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ruenorth\Desktop\00 PIPLINE PUNKS GIT\00-FLEET-COMPLIANCE-SENTINEL\tooling\ML-SIGNAL-STACK-TNCC\"/>
    </mc:Choice>
  </mc:AlternateContent>
  <xr:revisionPtr revIDLastSave="0" documentId="13_ncr:1_{A5FD1CA4-018E-4C16-A145-C04D2270A3E5}" xr6:coauthVersionLast="47" xr6:coauthVersionMax="47" xr10:uidLastSave="{00000000-0000-0000-0000-000000000000}"/>
  <bookViews>
    <workbookView xWindow="-28920" yWindow="-270" windowWidth="29040" windowHeight="15720" xr2:uid="{00000000-000D-0000-FFFF-FFFF00000000}"/>
  </bookViews>
  <sheets>
    <sheet name="Dashboard" sheetId="1" r:id="rId1"/>
    <sheet name="Weekly Log" sheetId="2" r:id="rId2"/>
    <sheet name="Benchmarks" sheetId="3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554" i="2" l="1"/>
  <c r="K3554" i="2"/>
  <c r="J3554" i="2"/>
  <c r="I3554" i="2"/>
  <c r="L3553" i="2"/>
  <c r="K3553" i="2"/>
  <c r="J3553" i="2"/>
  <c r="I3553" i="2"/>
  <c r="L3552" i="2"/>
  <c r="K3552" i="2"/>
  <c r="J3552" i="2"/>
  <c r="I3552" i="2"/>
  <c r="L3551" i="2"/>
  <c r="K3551" i="2"/>
  <c r="J3551" i="2"/>
  <c r="I3551" i="2"/>
  <c r="L3550" i="2"/>
  <c r="K3550" i="2"/>
  <c r="J3550" i="2"/>
  <c r="I3550" i="2"/>
  <c r="L3549" i="2"/>
  <c r="K3549" i="2"/>
  <c r="J3549" i="2"/>
  <c r="I3549" i="2"/>
  <c r="L3548" i="2"/>
  <c r="K3548" i="2"/>
  <c r="J3548" i="2"/>
  <c r="I3548" i="2"/>
  <c r="L3547" i="2"/>
  <c r="K3547" i="2"/>
  <c r="J3547" i="2"/>
  <c r="I3547" i="2"/>
  <c r="L3546" i="2"/>
  <c r="K3546" i="2"/>
  <c r="J3546" i="2"/>
  <c r="I3546" i="2"/>
  <c r="L3545" i="2"/>
  <c r="K3545" i="2"/>
  <c r="J3545" i="2"/>
  <c r="I3545" i="2"/>
  <c r="L3544" i="2"/>
  <c r="K3544" i="2"/>
  <c r="J3544" i="2"/>
  <c r="I3544" i="2"/>
  <c r="L3543" i="2"/>
  <c r="K3543" i="2"/>
  <c r="J3543" i="2"/>
  <c r="I3543" i="2"/>
  <c r="L3542" i="2"/>
  <c r="K3542" i="2"/>
  <c r="J3542" i="2"/>
  <c r="I3542" i="2"/>
  <c r="L3541" i="2"/>
  <c r="K3541" i="2"/>
  <c r="J3541" i="2"/>
  <c r="I3541" i="2"/>
  <c r="L3540" i="2"/>
  <c r="K3540" i="2"/>
  <c r="J3540" i="2"/>
  <c r="I3540" i="2"/>
  <c r="L3539" i="2"/>
  <c r="K3539" i="2"/>
  <c r="J3539" i="2"/>
  <c r="I3539" i="2"/>
  <c r="L3538" i="2"/>
  <c r="K3538" i="2"/>
  <c r="J3538" i="2"/>
  <c r="I3538" i="2"/>
  <c r="L3537" i="2"/>
  <c r="K3537" i="2"/>
  <c r="J3537" i="2"/>
  <c r="I3537" i="2"/>
  <c r="L3536" i="2"/>
  <c r="K3536" i="2"/>
  <c r="J3536" i="2"/>
  <c r="I3536" i="2"/>
  <c r="L3535" i="2"/>
  <c r="K3535" i="2"/>
  <c r="J3535" i="2"/>
  <c r="I3535" i="2"/>
  <c r="L3534" i="2"/>
  <c r="K3534" i="2"/>
  <c r="J3534" i="2"/>
  <c r="I3534" i="2"/>
  <c r="L3533" i="2"/>
  <c r="K3533" i="2"/>
  <c r="J3533" i="2"/>
  <c r="I3533" i="2"/>
  <c r="L3532" i="2"/>
  <c r="K3532" i="2"/>
  <c r="J3532" i="2"/>
  <c r="I3532" i="2"/>
  <c r="L3531" i="2"/>
  <c r="K3531" i="2"/>
  <c r="J3531" i="2"/>
  <c r="I3531" i="2"/>
  <c r="L3530" i="2"/>
  <c r="K3530" i="2"/>
  <c r="J3530" i="2"/>
  <c r="I3530" i="2"/>
  <c r="L3529" i="2"/>
  <c r="K3529" i="2"/>
  <c r="J3529" i="2"/>
  <c r="I3529" i="2"/>
  <c r="L3528" i="2"/>
  <c r="K3528" i="2"/>
  <c r="J3528" i="2"/>
  <c r="I3528" i="2"/>
  <c r="L3527" i="2"/>
  <c r="K3527" i="2"/>
  <c r="J3527" i="2"/>
  <c r="I3527" i="2"/>
  <c r="L3526" i="2"/>
  <c r="K3526" i="2"/>
  <c r="J3526" i="2"/>
  <c r="I3526" i="2"/>
  <c r="L3525" i="2"/>
  <c r="K3525" i="2"/>
  <c r="J3525" i="2"/>
  <c r="I3525" i="2"/>
  <c r="L3524" i="2"/>
  <c r="K3524" i="2"/>
  <c r="J3524" i="2"/>
  <c r="I3524" i="2"/>
  <c r="L3523" i="2"/>
  <c r="K3523" i="2"/>
  <c r="J3523" i="2"/>
  <c r="I3523" i="2"/>
  <c r="L3522" i="2"/>
  <c r="K3522" i="2"/>
  <c r="J3522" i="2"/>
  <c r="I3522" i="2"/>
  <c r="L3521" i="2"/>
  <c r="K3521" i="2"/>
  <c r="J3521" i="2"/>
  <c r="I3521" i="2"/>
  <c r="L3520" i="2"/>
  <c r="K3520" i="2"/>
  <c r="J3520" i="2"/>
  <c r="I3520" i="2"/>
  <c r="L3519" i="2"/>
  <c r="K3519" i="2"/>
  <c r="J3519" i="2"/>
  <c r="I3519" i="2"/>
  <c r="L3518" i="2"/>
  <c r="K3518" i="2"/>
  <c r="J3518" i="2"/>
  <c r="I3518" i="2"/>
  <c r="L3517" i="2"/>
  <c r="K3517" i="2"/>
  <c r="J3517" i="2"/>
  <c r="I3517" i="2"/>
  <c r="L3516" i="2"/>
  <c r="K3516" i="2"/>
  <c r="J3516" i="2"/>
  <c r="I3516" i="2"/>
  <c r="L3515" i="2"/>
  <c r="K3515" i="2"/>
  <c r="J3515" i="2"/>
  <c r="I3515" i="2"/>
  <c r="L3514" i="2"/>
  <c r="K3514" i="2"/>
  <c r="J3514" i="2"/>
  <c r="I3514" i="2"/>
  <c r="L3513" i="2"/>
  <c r="K3513" i="2"/>
  <c r="J3513" i="2"/>
  <c r="I3513" i="2"/>
  <c r="L3512" i="2"/>
  <c r="K3512" i="2"/>
  <c r="J3512" i="2"/>
  <c r="I3512" i="2"/>
  <c r="L3511" i="2"/>
  <c r="K3511" i="2"/>
  <c r="J3511" i="2"/>
  <c r="I3511" i="2"/>
  <c r="L3510" i="2"/>
  <c r="K3510" i="2"/>
  <c r="J3510" i="2"/>
  <c r="I3510" i="2"/>
  <c r="L3509" i="2"/>
  <c r="K3509" i="2"/>
  <c r="J3509" i="2"/>
  <c r="I3509" i="2"/>
  <c r="L3508" i="2"/>
  <c r="K3508" i="2"/>
  <c r="J3508" i="2"/>
  <c r="I3508" i="2"/>
  <c r="L3507" i="2"/>
  <c r="K3507" i="2"/>
  <c r="J3507" i="2"/>
  <c r="I3507" i="2"/>
  <c r="L3506" i="2"/>
  <c r="K3506" i="2"/>
  <c r="J3506" i="2"/>
  <c r="I3506" i="2"/>
  <c r="L3505" i="2"/>
  <c r="K3505" i="2"/>
  <c r="J3505" i="2"/>
  <c r="I3505" i="2"/>
  <c r="L3504" i="2"/>
  <c r="K3504" i="2"/>
  <c r="J3504" i="2"/>
  <c r="I3504" i="2"/>
  <c r="L3503" i="2"/>
  <c r="K3503" i="2"/>
  <c r="J3503" i="2"/>
  <c r="I3503" i="2"/>
  <c r="L3502" i="2"/>
  <c r="K3502" i="2"/>
  <c r="J3502" i="2"/>
  <c r="I3502" i="2"/>
  <c r="L3501" i="2"/>
  <c r="K3501" i="2"/>
  <c r="J3501" i="2"/>
  <c r="I3501" i="2"/>
  <c r="L3500" i="2"/>
  <c r="K3500" i="2"/>
  <c r="J3500" i="2"/>
  <c r="I3500" i="2"/>
  <c r="L3499" i="2"/>
  <c r="K3499" i="2"/>
  <c r="J3499" i="2"/>
  <c r="I3499" i="2"/>
  <c r="L3498" i="2"/>
  <c r="K3498" i="2"/>
  <c r="J3498" i="2"/>
  <c r="I3498" i="2"/>
  <c r="L3497" i="2"/>
  <c r="K3497" i="2"/>
  <c r="J3497" i="2"/>
  <c r="I3497" i="2"/>
  <c r="L3496" i="2"/>
  <c r="K3496" i="2"/>
  <c r="J3496" i="2"/>
  <c r="I3496" i="2"/>
  <c r="L3495" i="2"/>
  <c r="K3495" i="2"/>
  <c r="J3495" i="2"/>
  <c r="I3495" i="2"/>
  <c r="L3494" i="2"/>
  <c r="K3494" i="2"/>
  <c r="J3494" i="2"/>
  <c r="I3494" i="2"/>
  <c r="L3493" i="2"/>
  <c r="K3493" i="2"/>
  <c r="J3493" i="2"/>
  <c r="I3493" i="2"/>
  <c r="L3492" i="2"/>
  <c r="K3492" i="2"/>
  <c r="J3492" i="2"/>
  <c r="I3492" i="2"/>
  <c r="L3491" i="2"/>
  <c r="K3491" i="2"/>
  <c r="J3491" i="2"/>
  <c r="I3491" i="2"/>
  <c r="L3490" i="2"/>
  <c r="K3490" i="2"/>
  <c r="J3490" i="2"/>
  <c r="I3490" i="2"/>
  <c r="L3489" i="2"/>
  <c r="K3489" i="2"/>
  <c r="J3489" i="2"/>
  <c r="I3489" i="2"/>
  <c r="L3488" i="2"/>
  <c r="K3488" i="2"/>
  <c r="J3488" i="2"/>
  <c r="I3488" i="2"/>
  <c r="L3487" i="2"/>
  <c r="K3487" i="2"/>
  <c r="J3487" i="2"/>
  <c r="I3487" i="2"/>
  <c r="L3486" i="2"/>
  <c r="K3486" i="2"/>
  <c r="J3486" i="2"/>
  <c r="I3486" i="2"/>
  <c r="L3485" i="2"/>
  <c r="K3485" i="2"/>
  <c r="J3485" i="2"/>
  <c r="I3485" i="2"/>
  <c r="L3484" i="2"/>
  <c r="K3484" i="2"/>
  <c r="J3484" i="2"/>
  <c r="I3484" i="2"/>
  <c r="L3483" i="2"/>
  <c r="K3483" i="2"/>
  <c r="J3483" i="2"/>
  <c r="I3483" i="2"/>
  <c r="L3482" i="2"/>
  <c r="K3482" i="2"/>
  <c r="J3482" i="2"/>
  <c r="I3482" i="2"/>
  <c r="L3481" i="2"/>
  <c r="K3481" i="2"/>
  <c r="J3481" i="2"/>
  <c r="I3481" i="2"/>
  <c r="L3480" i="2"/>
  <c r="K3480" i="2"/>
  <c r="J3480" i="2"/>
  <c r="I3480" i="2"/>
  <c r="L3479" i="2"/>
  <c r="K3479" i="2"/>
  <c r="J3479" i="2"/>
  <c r="I3479" i="2"/>
  <c r="L3478" i="2"/>
  <c r="K3478" i="2"/>
  <c r="J3478" i="2"/>
  <c r="I3478" i="2"/>
  <c r="L3477" i="2"/>
  <c r="K3477" i="2"/>
  <c r="J3477" i="2"/>
  <c r="I3477" i="2"/>
  <c r="L3476" i="2"/>
  <c r="K3476" i="2"/>
  <c r="J3476" i="2"/>
  <c r="I3476" i="2"/>
  <c r="L3475" i="2"/>
  <c r="K3475" i="2"/>
  <c r="J3475" i="2"/>
  <c r="I3475" i="2"/>
  <c r="L3474" i="2"/>
  <c r="K3474" i="2"/>
  <c r="J3474" i="2"/>
  <c r="I3474" i="2"/>
  <c r="L3473" i="2"/>
  <c r="K3473" i="2"/>
  <c r="J3473" i="2"/>
  <c r="I3473" i="2"/>
  <c r="L3472" i="2"/>
  <c r="K3472" i="2"/>
  <c r="J3472" i="2"/>
  <c r="I3472" i="2"/>
  <c r="L3471" i="2"/>
  <c r="K3471" i="2"/>
  <c r="J3471" i="2"/>
  <c r="I3471" i="2"/>
  <c r="L3470" i="2"/>
  <c r="K3470" i="2"/>
  <c r="J3470" i="2"/>
  <c r="I3470" i="2"/>
  <c r="L3469" i="2"/>
  <c r="K3469" i="2"/>
  <c r="J3469" i="2"/>
  <c r="I3469" i="2"/>
  <c r="L3468" i="2"/>
  <c r="K3468" i="2"/>
  <c r="J3468" i="2"/>
  <c r="I3468" i="2"/>
  <c r="L3467" i="2"/>
  <c r="K3467" i="2"/>
  <c r="J3467" i="2"/>
  <c r="I3467" i="2"/>
  <c r="L3466" i="2"/>
  <c r="K3466" i="2"/>
  <c r="J3466" i="2"/>
  <c r="I3466" i="2"/>
  <c r="L3465" i="2"/>
  <c r="K3465" i="2"/>
  <c r="J3465" i="2"/>
  <c r="I3465" i="2"/>
  <c r="L3464" i="2"/>
  <c r="K3464" i="2"/>
  <c r="J3464" i="2"/>
  <c r="I3464" i="2"/>
  <c r="L3463" i="2"/>
  <c r="K3463" i="2"/>
  <c r="J3463" i="2"/>
  <c r="I3463" i="2"/>
  <c r="L3462" i="2"/>
  <c r="K3462" i="2"/>
  <c r="J3462" i="2"/>
  <c r="I3462" i="2"/>
  <c r="L3461" i="2"/>
  <c r="K3461" i="2"/>
  <c r="J3461" i="2"/>
  <c r="I3461" i="2"/>
  <c r="L3460" i="2"/>
  <c r="K3460" i="2"/>
  <c r="J3460" i="2"/>
  <c r="I3460" i="2"/>
  <c r="L3459" i="2"/>
  <c r="K3459" i="2"/>
  <c r="J3459" i="2"/>
  <c r="I3459" i="2"/>
  <c r="L3458" i="2"/>
  <c r="K3458" i="2"/>
  <c r="J3458" i="2"/>
  <c r="I3458" i="2"/>
  <c r="L3457" i="2"/>
  <c r="K3457" i="2"/>
  <c r="J3457" i="2"/>
  <c r="I3457" i="2"/>
  <c r="L3456" i="2"/>
  <c r="K3456" i="2"/>
  <c r="J3456" i="2"/>
  <c r="I3456" i="2"/>
  <c r="L3455" i="2"/>
  <c r="K3455" i="2"/>
  <c r="J3455" i="2"/>
  <c r="I3455" i="2"/>
  <c r="L3454" i="2"/>
  <c r="K3454" i="2"/>
  <c r="J3454" i="2"/>
  <c r="I3454" i="2"/>
  <c r="L3453" i="2"/>
  <c r="K3453" i="2"/>
  <c r="J3453" i="2"/>
  <c r="I3453" i="2"/>
  <c r="L3452" i="2"/>
  <c r="K3452" i="2"/>
  <c r="J3452" i="2"/>
  <c r="I3452" i="2"/>
  <c r="L3451" i="2"/>
  <c r="K3451" i="2"/>
  <c r="J3451" i="2"/>
  <c r="I3451" i="2"/>
  <c r="L3450" i="2"/>
  <c r="K3450" i="2"/>
  <c r="J3450" i="2"/>
  <c r="I3450" i="2"/>
  <c r="L3449" i="2"/>
  <c r="K3449" i="2"/>
  <c r="J3449" i="2"/>
  <c r="I3449" i="2"/>
  <c r="L3448" i="2"/>
  <c r="K3448" i="2"/>
  <c r="J3448" i="2"/>
  <c r="I3448" i="2"/>
  <c r="L3447" i="2"/>
  <c r="K3447" i="2"/>
  <c r="J3447" i="2"/>
  <c r="I3447" i="2"/>
  <c r="L3446" i="2"/>
  <c r="K3446" i="2"/>
  <c r="J3446" i="2"/>
  <c r="I3446" i="2"/>
  <c r="L3445" i="2"/>
  <c r="K3445" i="2"/>
  <c r="J3445" i="2"/>
  <c r="I3445" i="2"/>
  <c r="L3444" i="2"/>
  <c r="K3444" i="2"/>
  <c r="J3444" i="2"/>
  <c r="I3444" i="2"/>
  <c r="L3443" i="2"/>
  <c r="K3443" i="2"/>
  <c r="J3443" i="2"/>
  <c r="I3443" i="2"/>
  <c r="L3442" i="2"/>
  <c r="K3442" i="2"/>
  <c r="J3442" i="2"/>
  <c r="I3442" i="2"/>
  <c r="L3441" i="2"/>
  <c r="K3441" i="2"/>
  <c r="J3441" i="2"/>
  <c r="I3441" i="2"/>
  <c r="L3440" i="2"/>
  <c r="K3440" i="2"/>
  <c r="J3440" i="2"/>
  <c r="I3440" i="2"/>
  <c r="L3439" i="2"/>
  <c r="K3439" i="2"/>
  <c r="J3439" i="2"/>
  <c r="I3439" i="2"/>
  <c r="L3438" i="2"/>
  <c r="K3438" i="2"/>
  <c r="J3438" i="2"/>
  <c r="I3438" i="2"/>
  <c r="L3437" i="2"/>
  <c r="K3437" i="2"/>
  <c r="J3437" i="2"/>
  <c r="I3437" i="2"/>
  <c r="L3436" i="2"/>
  <c r="K3436" i="2"/>
  <c r="J3436" i="2"/>
  <c r="I3436" i="2"/>
  <c r="L3435" i="2"/>
  <c r="K3435" i="2"/>
  <c r="J3435" i="2"/>
  <c r="I3435" i="2"/>
  <c r="L3434" i="2"/>
  <c r="K3434" i="2"/>
  <c r="J3434" i="2"/>
  <c r="I3434" i="2"/>
  <c r="L3433" i="2"/>
  <c r="K3433" i="2"/>
  <c r="J3433" i="2"/>
  <c r="I3433" i="2"/>
  <c r="L3432" i="2"/>
  <c r="K3432" i="2"/>
  <c r="J3432" i="2"/>
  <c r="I3432" i="2"/>
  <c r="L3431" i="2"/>
  <c r="K3431" i="2"/>
  <c r="J3431" i="2"/>
  <c r="I3431" i="2"/>
  <c r="L3430" i="2"/>
  <c r="K3430" i="2"/>
  <c r="J3430" i="2"/>
  <c r="I3430" i="2"/>
  <c r="L3429" i="2"/>
  <c r="K3429" i="2"/>
  <c r="J3429" i="2"/>
  <c r="I3429" i="2"/>
  <c r="L3428" i="2"/>
  <c r="K3428" i="2"/>
  <c r="J3428" i="2"/>
  <c r="I3428" i="2"/>
  <c r="L3427" i="2"/>
  <c r="K3427" i="2"/>
  <c r="J3427" i="2"/>
  <c r="I3427" i="2"/>
  <c r="L3426" i="2"/>
  <c r="K3426" i="2"/>
  <c r="J3426" i="2"/>
  <c r="I3426" i="2"/>
  <c r="L3425" i="2"/>
  <c r="K3425" i="2"/>
  <c r="J3425" i="2"/>
  <c r="I3425" i="2"/>
  <c r="L3424" i="2"/>
  <c r="K3424" i="2"/>
  <c r="J3424" i="2"/>
  <c r="I3424" i="2"/>
  <c r="L3423" i="2"/>
  <c r="K3423" i="2"/>
  <c r="J3423" i="2"/>
  <c r="I3423" i="2"/>
  <c r="L3422" i="2"/>
  <c r="K3422" i="2"/>
  <c r="J3422" i="2"/>
  <c r="I3422" i="2"/>
  <c r="L3421" i="2"/>
  <c r="K3421" i="2"/>
  <c r="J3421" i="2"/>
  <c r="I3421" i="2"/>
  <c r="L3420" i="2"/>
  <c r="K3420" i="2"/>
  <c r="J3420" i="2"/>
  <c r="I3420" i="2"/>
  <c r="L3419" i="2"/>
  <c r="K3419" i="2"/>
  <c r="J3419" i="2"/>
  <c r="I3419" i="2"/>
  <c r="L3418" i="2"/>
  <c r="K3418" i="2"/>
  <c r="J3418" i="2"/>
  <c r="I3418" i="2"/>
  <c r="L3417" i="2"/>
  <c r="K3417" i="2"/>
  <c r="J3417" i="2"/>
  <c r="I3417" i="2"/>
  <c r="L3416" i="2"/>
  <c r="K3416" i="2"/>
  <c r="J3416" i="2"/>
  <c r="I3416" i="2"/>
  <c r="L3415" i="2"/>
  <c r="K3415" i="2"/>
  <c r="J3415" i="2"/>
  <c r="I3415" i="2"/>
  <c r="L3414" i="2"/>
  <c r="K3414" i="2"/>
  <c r="J3414" i="2"/>
  <c r="I3414" i="2"/>
  <c r="L3413" i="2"/>
  <c r="K3413" i="2"/>
  <c r="J3413" i="2"/>
  <c r="I3413" i="2"/>
  <c r="L3412" i="2"/>
  <c r="K3412" i="2"/>
  <c r="J3412" i="2"/>
  <c r="I3412" i="2"/>
  <c r="L3411" i="2"/>
  <c r="K3411" i="2"/>
  <c r="J3411" i="2"/>
  <c r="I3411" i="2"/>
  <c r="L3410" i="2"/>
  <c r="K3410" i="2"/>
  <c r="J3410" i="2"/>
  <c r="I3410" i="2"/>
  <c r="L3409" i="2"/>
  <c r="K3409" i="2"/>
  <c r="J3409" i="2"/>
  <c r="I3409" i="2"/>
  <c r="L3408" i="2"/>
  <c r="K3408" i="2"/>
  <c r="J3408" i="2"/>
  <c r="I3408" i="2"/>
  <c r="L3407" i="2"/>
  <c r="K3407" i="2"/>
  <c r="J3407" i="2"/>
  <c r="I3407" i="2"/>
  <c r="L3406" i="2"/>
  <c r="K3406" i="2"/>
  <c r="J3406" i="2"/>
  <c r="I3406" i="2"/>
  <c r="L3405" i="2"/>
  <c r="K3405" i="2"/>
  <c r="J3405" i="2"/>
  <c r="I3405" i="2"/>
  <c r="L3404" i="2"/>
  <c r="K3404" i="2"/>
  <c r="J3404" i="2"/>
  <c r="I3404" i="2"/>
  <c r="L3403" i="2"/>
  <c r="K3403" i="2"/>
  <c r="J3403" i="2"/>
  <c r="I3403" i="2"/>
  <c r="L3402" i="2"/>
  <c r="K3402" i="2"/>
  <c r="J3402" i="2"/>
  <c r="I3402" i="2"/>
  <c r="L3401" i="2"/>
  <c r="K3401" i="2"/>
  <c r="J3401" i="2"/>
  <c r="I3401" i="2"/>
  <c r="L3400" i="2"/>
  <c r="K3400" i="2"/>
  <c r="J3400" i="2"/>
  <c r="I3400" i="2"/>
  <c r="L3399" i="2"/>
  <c r="K3399" i="2"/>
  <c r="J3399" i="2"/>
  <c r="I3399" i="2"/>
  <c r="L3398" i="2"/>
  <c r="K3398" i="2"/>
  <c r="J3398" i="2"/>
  <c r="I3398" i="2"/>
  <c r="L3397" i="2"/>
  <c r="K3397" i="2"/>
  <c r="J3397" i="2"/>
  <c r="I3397" i="2"/>
  <c r="L3396" i="2"/>
  <c r="K3396" i="2"/>
  <c r="J3396" i="2"/>
  <c r="I3396" i="2"/>
  <c r="L3395" i="2"/>
  <c r="K3395" i="2"/>
  <c r="J3395" i="2"/>
  <c r="I3395" i="2"/>
  <c r="L3394" i="2"/>
  <c r="K3394" i="2"/>
  <c r="J3394" i="2"/>
  <c r="I3394" i="2"/>
  <c r="L3393" i="2"/>
  <c r="K3393" i="2"/>
  <c r="J3393" i="2"/>
  <c r="I3393" i="2"/>
  <c r="L3392" i="2"/>
  <c r="K3392" i="2"/>
  <c r="J3392" i="2"/>
  <c r="I3392" i="2"/>
  <c r="L3391" i="2"/>
  <c r="K3391" i="2"/>
  <c r="J3391" i="2"/>
  <c r="I3391" i="2"/>
  <c r="L3390" i="2"/>
  <c r="K3390" i="2"/>
  <c r="J3390" i="2"/>
  <c r="I3390" i="2"/>
  <c r="L3389" i="2"/>
  <c r="K3389" i="2"/>
  <c r="J3389" i="2"/>
  <c r="I3389" i="2"/>
  <c r="L3388" i="2"/>
  <c r="K3388" i="2"/>
  <c r="J3388" i="2"/>
  <c r="I3388" i="2"/>
  <c r="L3387" i="2"/>
  <c r="K3387" i="2"/>
  <c r="J3387" i="2"/>
  <c r="I3387" i="2"/>
  <c r="L3386" i="2"/>
  <c r="K3386" i="2"/>
  <c r="J3386" i="2"/>
  <c r="I3386" i="2"/>
  <c r="L3385" i="2"/>
  <c r="K3385" i="2"/>
  <c r="J3385" i="2"/>
  <c r="I3385" i="2"/>
  <c r="L3384" i="2"/>
  <c r="K3384" i="2"/>
  <c r="J3384" i="2"/>
  <c r="I3384" i="2"/>
  <c r="L3383" i="2"/>
  <c r="K3383" i="2"/>
  <c r="J3383" i="2"/>
  <c r="I3383" i="2"/>
  <c r="L3382" i="2"/>
  <c r="K3382" i="2"/>
  <c r="J3382" i="2"/>
  <c r="I3382" i="2"/>
  <c r="L3381" i="2"/>
  <c r="K3381" i="2"/>
  <c r="J3381" i="2"/>
  <c r="I3381" i="2"/>
  <c r="L3380" i="2"/>
  <c r="K3380" i="2"/>
  <c r="J3380" i="2"/>
  <c r="I3380" i="2"/>
  <c r="L3379" i="2"/>
  <c r="K3379" i="2"/>
  <c r="J3379" i="2"/>
  <c r="I3379" i="2"/>
  <c r="L3378" i="2"/>
  <c r="K3378" i="2"/>
  <c r="J3378" i="2"/>
  <c r="I3378" i="2"/>
  <c r="L3377" i="2"/>
  <c r="K3377" i="2"/>
  <c r="J3377" i="2"/>
  <c r="I3377" i="2"/>
  <c r="L3376" i="2"/>
  <c r="K3376" i="2"/>
  <c r="J3376" i="2"/>
  <c r="I3376" i="2"/>
  <c r="L3375" i="2"/>
  <c r="K3375" i="2"/>
  <c r="J3375" i="2"/>
  <c r="I3375" i="2"/>
  <c r="L3374" i="2"/>
  <c r="K3374" i="2"/>
  <c r="J3374" i="2"/>
  <c r="I3374" i="2"/>
  <c r="L3373" i="2"/>
  <c r="K3373" i="2"/>
  <c r="J3373" i="2"/>
  <c r="I3373" i="2"/>
  <c r="L3372" i="2"/>
  <c r="K3372" i="2"/>
  <c r="J3372" i="2"/>
  <c r="I3372" i="2"/>
  <c r="L3371" i="2"/>
  <c r="K3371" i="2"/>
  <c r="J3371" i="2"/>
  <c r="I3371" i="2"/>
  <c r="L3370" i="2"/>
  <c r="K3370" i="2"/>
  <c r="J3370" i="2"/>
  <c r="I3370" i="2"/>
  <c r="L3369" i="2"/>
  <c r="K3369" i="2"/>
  <c r="J3369" i="2"/>
  <c r="I3369" i="2"/>
  <c r="L3368" i="2"/>
  <c r="K3368" i="2"/>
  <c r="J3368" i="2"/>
  <c r="I3368" i="2"/>
  <c r="L3367" i="2"/>
  <c r="K3367" i="2"/>
  <c r="J3367" i="2"/>
  <c r="I3367" i="2"/>
  <c r="L3366" i="2"/>
  <c r="K3366" i="2"/>
  <c r="J3366" i="2"/>
  <c r="I3366" i="2"/>
  <c r="L3365" i="2"/>
  <c r="K3365" i="2"/>
  <c r="J3365" i="2"/>
  <c r="I3365" i="2"/>
  <c r="L3364" i="2"/>
  <c r="K3364" i="2"/>
  <c r="J3364" i="2"/>
  <c r="I3364" i="2"/>
  <c r="L3363" i="2"/>
  <c r="K3363" i="2"/>
  <c r="J3363" i="2"/>
  <c r="I3363" i="2"/>
  <c r="L3362" i="2"/>
  <c r="K3362" i="2"/>
  <c r="J3362" i="2"/>
  <c r="I3362" i="2"/>
  <c r="L3361" i="2"/>
  <c r="K3361" i="2"/>
  <c r="J3361" i="2"/>
  <c r="I3361" i="2"/>
  <c r="L3360" i="2"/>
  <c r="K3360" i="2"/>
  <c r="J3360" i="2"/>
  <c r="I3360" i="2"/>
  <c r="L3359" i="2"/>
  <c r="K3359" i="2"/>
  <c r="J3359" i="2"/>
  <c r="I3359" i="2"/>
  <c r="L3358" i="2"/>
  <c r="K3358" i="2"/>
  <c r="J3358" i="2"/>
  <c r="I3358" i="2"/>
  <c r="L3357" i="2"/>
  <c r="K3357" i="2"/>
  <c r="J3357" i="2"/>
  <c r="I3357" i="2"/>
  <c r="L3356" i="2"/>
  <c r="K3356" i="2"/>
  <c r="J3356" i="2"/>
  <c r="I3356" i="2"/>
  <c r="L3355" i="2"/>
  <c r="K3355" i="2"/>
  <c r="J3355" i="2"/>
  <c r="I3355" i="2"/>
  <c r="L3354" i="2"/>
  <c r="K3354" i="2"/>
  <c r="J3354" i="2"/>
  <c r="I3354" i="2"/>
  <c r="L3353" i="2"/>
  <c r="K3353" i="2"/>
  <c r="J3353" i="2"/>
  <c r="I3353" i="2"/>
  <c r="L3352" i="2"/>
  <c r="K3352" i="2"/>
  <c r="J3352" i="2"/>
  <c r="I3352" i="2"/>
  <c r="L3351" i="2"/>
  <c r="K3351" i="2"/>
  <c r="J3351" i="2"/>
  <c r="I3351" i="2"/>
  <c r="L3350" i="2"/>
  <c r="K3350" i="2"/>
  <c r="J3350" i="2"/>
  <c r="I3350" i="2"/>
  <c r="L3349" i="2"/>
  <c r="K3349" i="2"/>
  <c r="J3349" i="2"/>
  <c r="I3349" i="2"/>
  <c r="L3348" i="2"/>
  <c r="K3348" i="2"/>
  <c r="J3348" i="2"/>
  <c r="I3348" i="2"/>
  <c r="L3347" i="2"/>
  <c r="K3347" i="2"/>
  <c r="J3347" i="2"/>
  <c r="I3347" i="2"/>
  <c r="L3346" i="2"/>
  <c r="K3346" i="2"/>
  <c r="J3346" i="2"/>
  <c r="I3346" i="2"/>
  <c r="L3345" i="2"/>
  <c r="K3345" i="2"/>
  <c r="J3345" i="2"/>
  <c r="I3345" i="2"/>
  <c r="L3344" i="2"/>
  <c r="K3344" i="2"/>
  <c r="J3344" i="2"/>
  <c r="I3344" i="2"/>
  <c r="L3343" i="2"/>
  <c r="K3343" i="2"/>
  <c r="J3343" i="2"/>
  <c r="I3343" i="2"/>
  <c r="L3342" i="2"/>
  <c r="K3342" i="2"/>
  <c r="J3342" i="2"/>
  <c r="I3342" i="2"/>
  <c r="L3341" i="2"/>
  <c r="K3341" i="2"/>
  <c r="J3341" i="2"/>
  <c r="I3341" i="2"/>
  <c r="L3340" i="2"/>
  <c r="K3340" i="2"/>
  <c r="J3340" i="2"/>
  <c r="I3340" i="2"/>
  <c r="L3339" i="2"/>
  <c r="K3339" i="2"/>
  <c r="J3339" i="2"/>
  <c r="I3339" i="2"/>
  <c r="L3338" i="2"/>
  <c r="K3338" i="2"/>
  <c r="J3338" i="2"/>
  <c r="I3338" i="2"/>
  <c r="L3337" i="2"/>
  <c r="K3337" i="2"/>
  <c r="J3337" i="2"/>
  <c r="I3337" i="2"/>
  <c r="L3336" i="2"/>
  <c r="K3336" i="2"/>
  <c r="J3336" i="2"/>
  <c r="I3336" i="2"/>
  <c r="L3335" i="2"/>
  <c r="K3335" i="2"/>
  <c r="J3335" i="2"/>
  <c r="I3335" i="2"/>
  <c r="L3334" i="2"/>
  <c r="K3334" i="2"/>
  <c r="J3334" i="2"/>
  <c r="I3334" i="2"/>
  <c r="L3333" i="2"/>
  <c r="K3333" i="2"/>
  <c r="J3333" i="2"/>
  <c r="I3333" i="2"/>
  <c r="L3332" i="2"/>
  <c r="K3332" i="2"/>
  <c r="J3332" i="2"/>
  <c r="I3332" i="2"/>
  <c r="L3331" i="2"/>
  <c r="K3331" i="2"/>
  <c r="J3331" i="2"/>
  <c r="I3331" i="2"/>
  <c r="L3330" i="2"/>
  <c r="K3330" i="2"/>
  <c r="J3330" i="2"/>
  <c r="I3330" i="2"/>
  <c r="L3329" i="2"/>
  <c r="K3329" i="2"/>
  <c r="J3329" i="2"/>
  <c r="I3329" i="2"/>
  <c r="L3328" i="2"/>
  <c r="K3328" i="2"/>
  <c r="J3328" i="2"/>
  <c r="I3328" i="2"/>
  <c r="L3327" i="2"/>
  <c r="K3327" i="2"/>
  <c r="J3327" i="2"/>
  <c r="I3327" i="2"/>
  <c r="L3326" i="2"/>
  <c r="K3326" i="2"/>
  <c r="J3326" i="2"/>
  <c r="I3326" i="2"/>
  <c r="L3325" i="2"/>
  <c r="K3325" i="2"/>
  <c r="J3325" i="2"/>
  <c r="I3325" i="2"/>
  <c r="L3324" i="2"/>
  <c r="K3324" i="2"/>
  <c r="J3324" i="2"/>
  <c r="I3324" i="2"/>
  <c r="L3323" i="2"/>
  <c r="K3323" i="2"/>
  <c r="J3323" i="2"/>
  <c r="I3323" i="2"/>
  <c r="L3322" i="2"/>
  <c r="K3322" i="2"/>
  <c r="J3322" i="2"/>
  <c r="I3322" i="2"/>
  <c r="L3321" i="2"/>
  <c r="K3321" i="2"/>
  <c r="J3321" i="2"/>
  <c r="I3321" i="2"/>
  <c r="L3320" i="2"/>
  <c r="K3320" i="2"/>
  <c r="J3320" i="2"/>
  <c r="I3320" i="2"/>
  <c r="L3319" i="2"/>
  <c r="K3319" i="2"/>
  <c r="J3319" i="2"/>
  <c r="I3319" i="2"/>
  <c r="L3318" i="2"/>
  <c r="K3318" i="2"/>
  <c r="J3318" i="2"/>
  <c r="I3318" i="2"/>
  <c r="L3317" i="2"/>
  <c r="K3317" i="2"/>
  <c r="J3317" i="2"/>
  <c r="I3317" i="2"/>
  <c r="L3316" i="2"/>
  <c r="K3316" i="2"/>
  <c r="J3316" i="2"/>
  <c r="I3316" i="2"/>
  <c r="L3315" i="2"/>
  <c r="K3315" i="2"/>
  <c r="J3315" i="2"/>
  <c r="I3315" i="2"/>
  <c r="L3314" i="2"/>
  <c r="K3314" i="2"/>
  <c r="J3314" i="2"/>
  <c r="I3314" i="2"/>
  <c r="L3313" i="2"/>
  <c r="K3313" i="2"/>
  <c r="J3313" i="2"/>
  <c r="I3313" i="2"/>
  <c r="L3312" i="2"/>
  <c r="K3312" i="2"/>
  <c r="J3312" i="2"/>
  <c r="I3312" i="2"/>
  <c r="L3311" i="2"/>
  <c r="K3311" i="2"/>
  <c r="J3311" i="2"/>
  <c r="I3311" i="2"/>
  <c r="L3310" i="2"/>
  <c r="K3310" i="2"/>
  <c r="J3310" i="2"/>
  <c r="I3310" i="2"/>
  <c r="L3309" i="2"/>
  <c r="K3309" i="2"/>
  <c r="J3309" i="2"/>
  <c r="I3309" i="2"/>
  <c r="L3308" i="2"/>
  <c r="K3308" i="2"/>
  <c r="J3308" i="2"/>
  <c r="I3308" i="2"/>
  <c r="L3307" i="2"/>
  <c r="K3307" i="2"/>
  <c r="J3307" i="2"/>
  <c r="I3307" i="2"/>
  <c r="L3306" i="2"/>
  <c r="K3306" i="2"/>
  <c r="J3306" i="2"/>
  <c r="I3306" i="2"/>
  <c r="L3305" i="2"/>
  <c r="K3305" i="2"/>
  <c r="J3305" i="2"/>
  <c r="I3305" i="2"/>
  <c r="L3304" i="2"/>
  <c r="K3304" i="2"/>
  <c r="J3304" i="2"/>
  <c r="I3304" i="2"/>
  <c r="L3303" i="2"/>
  <c r="K3303" i="2"/>
  <c r="J3303" i="2"/>
  <c r="I3303" i="2"/>
  <c r="L3302" i="2"/>
  <c r="K3302" i="2"/>
  <c r="J3302" i="2"/>
  <c r="I3302" i="2"/>
  <c r="L3301" i="2"/>
  <c r="K3301" i="2"/>
  <c r="J3301" i="2"/>
  <c r="I3301" i="2"/>
  <c r="L3300" i="2"/>
  <c r="K3300" i="2"/>
  <c r="J3300" i="2"/>
  <c r="I3300" i="2"/>
  <c r="L3299" i="2"/>
  <c r="K3299" i="2"/>
  <c r="J3299" i="2"/>
  <c r="I3299" i="2"/>
  <c r="L3298" i="2"/>
  <c r="K3298" i="2"/>
  <c r="J3298" i="2"/>
  <c r="I3298" i="2"/>
  <c r="L3297" i="2"/>
  <c r="K3297" i="2"/>
  <c r="J3297" i="2"/>
  <c r="I3297" i="2"/>
  <c r="L3296" i="2"/>
  <c r="K3296" i="2"/>
  <c r="J3296" i="2"/>
  <c r="I3296" i="2"/>
  <c r="L3295" i="2"/>
  <c r="K3295" i="2"/>
  <c r="J3295" i="2"/>
  <c r="I3295" i="2"/>
  <c r="L3294" i="2"/>
  <c r="K3294" i="2"/>
  <c r="J3294" i="2"/>
  <c r="I3294" i="2"/>
  <c r="L3293" i="2"/>
  <c r="K3293" i="2"/>
  <c r="J3293" i="2"/>
  <c r="I3293" i="2"/>
  <c r="L3292" i="2"/>
  <c r="K3292" i="2"/>
  <c r="J3292" i="2"/>
  <c r="I3292" i="2"/>
  <c r="L3291" i="2"/>
  <c r="K3291" i="2"/>
  <c r="J3291" i="2"/>
  <c r="I3291" i="2"/>
  <c r="L3290" i="2"/>
  <c r="K3290" i="2"/>
  <c r="J3290" i="2"/>
  <c r="I3290" i="2"/>
  <c r="L3289" i="2"/>
  <c r="K3289" i="2"/>
  <c r="J3289" i="2"/>
  <c r="I3289" i="2"/>
  <c r="L3288" i="2"/>
  <c r="K3288" i="2"/>
  <c r="J3288" i="2"/>
  <c r="I3288" i="2"/>
  <c r="L3287" i="2"/>
  <c r="K3287" i="2"/>
  <c r="J3287" i="2"/>
  <c r="I3287" i="2"/>
  <c r="L3286" i="2"/>
  <c r="K3286" i="2"/>
  <c r="J3286" i="2"/>
  <c r="I3286" i="2"/>
  <c r="L3285" i="2"/>
  <c r="K3285" i="2"/>
  <c r="J3285" i="2"/>
  <c r="I3285" i="2"/>
  <c r="L3284" i="2"/>
  <c r="K3284" i="2"/>
  <c r="J3284" i="2"/>
  <c r="I3284" i="2"/>
  <c r="L3283" i="2"/>
  <c r="K3283" i="2"/>
  <c r="J3283" i="2"/>
  <c r="I3283" i="2"/>
  <c r="L3282" i="2"/>
  <c r="K3282" i="2"/>
  <c r="J3282" i="2"/>
  <c r="I3282" i="2"/>
  <c r="L3281" i="2"/>
  <c r="K3281" i="2"/>
  <c r="J3281" i="2"/>
  <c r="I3281" i="2"/>
  <c r="L3280" i="2"/>
  <c r="K3280" i="2"/>
  <c r="J3280" i="2"/>
  <c r="I3280" i="2"/>
  <c r="L3279" i="2"/>
  <c r="K3279" i="2"/>
  <c r="J3279" i="2"/>
  <c r="I3279" i="2"/>
  <c r="L3278" i="2"/>
  <c r="K3278" i="2"/>
  <c r="J3278" i="2"/>
  <c r="I3278" i="2"/>
  <c r="L3277" i="2"/>
  <c r="K3277" i="2"/>
  <c r="J3277" i="2"/>
  <c r="I3277" i="2"/>
  <c r="L3276" i="2"/>
  <c r="K3276" i="2"/>
  <c r="J3276" i="2"/>
  <c r="I3276" i="2"/>
  <c r="L3275" i="2"/>
  <c r="K3275" i="2"/>
  <c r="J3275" i="2"/>
  <c r="I3275" i="2"/>
  <c r="L3274" i="2"/>
  <c r="K3274" i="2"/>
  <c r="J3274" i="2"/>
  <c r="I3274" i="2"/>
  <c r="L3273" i="2"/>
  <c r="K3273" i="2"/>
  <c r="J3273" i="2"/>
  <c r="I3273" i="2"/>
  <c r="L3272" i="2"/>
  <c r="K3272" i="2"/>
  <c r="J3272" i="2"/>
  <c r="I3272" i="2"/>
  <c r="L3271" i="2"/>
  <c r="K3271" i="2"/>
  <c r="J3271" i="2"/>
  <c r="I3271" i="2"/>
  <c r="L3270" i="2"/>
  <c r="K3270" i="2"/>
  <c r="J3270" i="2"/>
  <c r="I3270" i="2"/>
  <c r="L3269" i="2"/>
  <c r="K3269" i="2"/>
  <c r="J3269" i="2"/>
  <c r="I3269" i="2"/>
  <c r="L3268" i="2"/>
  <c r="K3268" i="2"/>
  <c r="J3268" i="2"/>
  <c r="I3268" i="2"/>
  <c r="L3267" i="2"/>
  <c r="K3267" i="2"/>
  <c r="J3267" i="2"/>
  <c r="I3267" i="2"/>
  <c r="L3266" i="2"/>
  <c r="K3266" i="2"/>
  <c r="J3266" i="2"/>
  <c r="I3266" i="2"/>
  <c r="L3265" i="2"/>
  <c r="K3265" i="2"/>
  <c r="J3265" i="2"/>
  <c r="I3265" i="2"/>
  <c r="L3264" i="2"/>
  <c r="K3264" i="2"/>
  <c r="J3264" i="2"/>
  <c r="I3264" i="2"/>
  <c r="L3263" i="2"/>
  <c r="K3263" i="2"/>
  <c r="J3263" i="2"/>
  <c r="I3263" i="2"/>
  <c r="L3262" i="2"/>
  <c r="K3262" i="2"/>
  <c r="J3262" i="2"/>
  <c r="I3262" i="2"/>
  <c r="L3261" i="2"/>
  <c r="K3261" i="2"/>
  <c r="J3261" i="2"/>
  <c r="I3261" i="2"/>
  <c r="L3260" i="2"/>
  <c r="K3260" i="2"/>
  <c r="J3260" i="2"/>
  <c r="I3260" i="2"/>
  <c r="L3259" i="2"/>
  <c r="K3259" i="2"/>
  <c r="J3259" i="2"/>
  <c r="I3259" i="2"/>
  <c r="L3258" i="2"/>
  <c r="K3258" i="2"/>
  <c r="J3258" i="2"/>
  <c r="I3258" i="2"/>
  <c r="L3257" i="2"/>
  <c r="K3257" i="2"/>
  <c r="J3257" i="2"/>
  <c r="I3257" i="2"/>
  <c r="L3256" i="2"/>
  <c r="K3256" i="2"/>
  <c r="J3256" i="2"/>
  <c r="I3256" i="2"/>
  <c r="L3255" i="2"/>
  <c r="K3255" i="2"/>
  <c r="J3255" i="2"/>
  <c r="I3255" i="2"/>
  <c r="L3254" i="2"/>
  <c r="K3254" i="2"/>
  <c r="J3254" i="2"/>
  <c r="I3254" i="2"/>
  <c r="L3253" i="2"/>
  <c r="K3253" i="2"/>
  <c r="J3253" i="2"/>
  <c r="I3253" i="2"/>
  <c r="L3252" i="2"/>
  <c r="K3252" i="2"/>
  <c r="J3252" i="2"/>
  <c r="I3252" i="2"/>
  <c r="L3251" i="2"/>
  <c r="K3251" i="2"/>
  <c r="J3251" i="2"/>
  <c r="I3251" i="2"/>
  <c r="L3250" i="2"/>
  <c r="K3250" i="2"/>
  <c r="J3250" i="2"/>
  <c r="I3250" i="2"/>
  <c r="L3249" i="2"/>
  <c r="K3249" i="2"/>
  <c r="J3249" i="2"/>
  <c r="I3249" i="2"/>
  <c r="L3248" i="2"/>
  <c r="K3248" i="2"/>
  <c r="J3248" i="2"/>
  <c r="I3248" i="2"/>
  <c r="L3247" i="2"/>
  <c r="K3247" i="2"/>
  <c r="J3247" i="2"/>
  <c r="I3247" i="2"/>
  <c r="L3246" i="2"/>
  <c r="K3246" i="2"/>
  <c r="J3246" i="2"/>
  <c r="I3246" i="2"/>
  <c r="L3245" i="2"/>
  <c r="K3245" i="2"/>
  <c r="J3245" i="2"/>
  <c r="I3245" i="2"/>
  <c r="L3244" i="2"/>
  <c r="K3244" i="2"/>
  <c r="J3244" i="2"/>
  <c r="I3244" i="2"/>
  <c r="L3243" i="2"/>
  <c r="K3243" i="2"/>
  <c r="J3243" i="2"/>
  <c r="I3243" i="2"/>
  <c r="L3242" i="2"/>
  <c r="K3242" i="2"/>
  <c r="J3242" i="2"/>
  <c r="I3242" i="2"/>
  <c r="L3241" i="2"/>
  <c r="K3241" i="2"/>
  <c r="J3241" i="2"/>
  <c r="I3241" i="2"/>
  <c r="L3240" i="2"/>
  <c r="K3240" i="2"/>
  <c r="J3240" i="2"/>
  <c r="I3240" i="2"/>
  <c r="L3239" i="2"/>
  <c r="K3239" i="2"/>
  <c r="J3239" i="2"/>
  <c r="I3239" i="2"/>
  <c r="L3238" i="2"/>
  <c r="K3238" i="2"/>
  <c r="J3238" i="2"/>
  <c r="I3238" i="2"/>
  <c r="L3237" i="2"/>
  <c r="K3237" i="2"/>
  <c r="J3237" i="2"/>
  <c r="I3237" i="2"/>
  <c r="L3236" i="2"/>
  <c r="K3236" i="2"/>
  <c r="J3236" i="2"/>
  <c r="I3236" i="2"/>
  <c r="L3235" i="2"/>
  <c r="K3235" i="2"/>
  <c r="J3235" i="2"/>
  <c r="I3235" i="2"/>
  <c r="L3234" i="2"/>
  <c r="K3234" i="2"/>
  <c r="J3234" i="2"/>
  <c r="I3234" i="2"/>
  <c r="L3233" i="2"/>
  <c r="K3233" i="2"/>
  <c r="J3233" i="2"/>
  <c r="I3233" i="2"/>
  <c r="L3232" i="2"/>
  <c r="K3232" i="2"/>
  <c r="J3232" i="2"/>
  <c r="I3232" i="2"/>
  <c r="L3231" i="2"/>
  <c r="K3231" i="2"/>
  <c r="J3231" i="2"/>
  <c r="I3231" i="2"/>
  <c r="L3230" i="2"/>
  <c r="K3230" i="2"/>
  <c r="J3230" i="2"/>
  <c r="I3230" i="2"/>
  <c r="L3229" i="2"/>
  <c r="K3229" i="2"/>
  <c r="J3229" i="2"/>
  <c r="I3229" i="2"/>
  <c r="L3228" i="2"/>
  <c r="K3228" i="2"/>
  <c r="J3228" i="2"/>
  <c r="I3228" i="2"/>
  <c r="L3227" i="2"/>
  <c r="K3227" i="2"/>
  <c r="J3227" i="2"/>
  <c r="I3227" i="2"/>
  <c r="L3226" i="2"/>
  <c r="K3226" i="2"/>
  <c r="J3226" i="2"/>
  <c r="I3226" i="2"/>
  <c r="L3225" i="2"/>
  <c r="K3225" i="2"/>
  <c r="J3225" i="2"/>
  <c r="I3225" i="2"/>
  <c r="L3224" i="2"/>
  <c r="K3224" i="2"/>
  <c r="J3224" i="2"/>
  <c r="I3224" i="2"/>
  <c r="L3223" i="2"/>
  <c r="K3223" i="2"/>
  <c r="J3223" i="2"/>
  <c r="I3223" i="2"/>
  <c r="L3222" i="2"/>
  <c r="K3222" i="2"/>
  <c r="J3222" i="2"/>
  <c r="I3222" i="2"/>
  <c r="L3221" i="2"/>
  <c r="K3221" i="2"/>
  <c r="J3221" i="2"/>
  <c r="I3221" i="2"/>
  <c r="L3220" i="2"/>
  <c r="K3220" i="2"/>
  <c r="J3220" i="2"/>
  <c r="I3220" i="2"/>
  <c r="L3219" i="2"/>
  <c r="K3219" i="2"/>
  <c r="J3219" i="2"/>
  <c r="I3219" i="2"/>
  <c r="L3218" i="2"/>
  <c r="K3218" i="2"/>
  <c r="J3218" i="2"/>
  <c r="I3218" i="2"/>
  <c r="L3217" i="2"/>
  <c r="K3217" i="2"/>
  <c r="J3217" i="2"/>
  <c r="I3217" i="2"/>
  <c r="L3216" i="2"/>
  <c r="K3216" i="2"/>
  <c r="J3216" i="2"/>
  <c r="I3216" i="2"/>
  <c r="L3215" i="2"/>
  <c r="K3215" i="2"/>
  <c r="J3215" i="2"/>
  <c r="I3215" i="2"/>
  <c r="L3214" i="2"/>
  <c r="K3214" i="2"/>
  <c r="J3214" i="2"/>
  <c r="I3214" i="2"/>
  <c r="L3213" i="2"/>
  <c r="K3213" i="2"/>
  <c r="J3213" i="2"/>
  <c r="I3213" i="2"/>
  <c r="L3212" i="2"/>
  <c r="K3212" i="2"/>
  <c r="J3212" i="2"/>
  <c r="I3212" i="2"/>
  <c r="L3211" i="2"/>
  <c r="K3211" i="2"/>
  <c r="J3211" i="2"/>
  <c r="I3211" i="2"/>
  <c r="L3210" i="2"/>
  <c r="K3210" i="2"/>
  <c r="J3210" i="2"/>
  <c r="I3210" i="2"/>
  <c r="L3209" i="2"/>
  <c r="K3209" i="2"/>
  <c r="J3209" i="2"/>
  <c r="I3209" i="2"/>
  <c r="L3208" i="2"/>
  <c r="K3208" i="2"/>
  <c r="J3208" i="2"/>
  <c r="I3208" i="2"/>
  <c r="L3207" i="2"/>
  <c r="K3207" i="2"/>
  <c r="J3207" i="2"/>
  <c r="I3207" i="2"/>
  <c r="L3206" i="2"/>
  <c r="K3206" i="2"/>
  <c r="J3206" i="2"/>
  <c r="I3206" i="2"/>
  <c r="L3205" i="2"/>
  <c r="K3205" i="2"/>
  <c r="J3205" i="2"/>
  <c r="I3205" i="2"/>
  <c r="L3204" i="2"/>
  <c r="K3204" i="2"/>
  <c r="J3204" i="2"/>
  <c r="I3204" i="2"/>
  <c r="L3203" i="2"/>
  <c r="K3203" i="2"/>
  <c r="J3203" i="2"/>
  <c r="I3203" i="2"/>
  <c r="L3202" i="2"/>
  <c r="K3202" i="2"/>
  <c r="J3202" i="2"/>
  <c r="I3202" i="2"/>
  <c r="L3201" i="2"/>
  <c r="K3201" i="2"/>
  <c r="J3201" i="2"/>
  <c r="I3201" i="2"/>
  <c r="L3200" i="2"/>
  <c r="K3200" i="2"/>
  <c r="J3200" i="2"/>
  <c r="I3200" i="2"/>
  <c r="L3199" i="2"/>
  <c r="K3199" i="2"/>
  <c r="J3199" i="2"/>
  <c r="I3199" i="2"/>
  <c r="L3198" i="2"/>
  <c r="K3198" i="2"/>
  <c r="J3198" i="2"/>
  <c r="I3198" i="2"/>
  <c r="L3197" i="2"/>
  <c r="K3197" i="2"/>
  <c r="J3197" i="2"/>
  <c r="I3197" i="2"/>
  <c r="L3196" i="2"/>
  <c r="K3196" i="2"/>
  <c r="J3196" i="2"/>
  <c r="I3196" i="2"/>
  <c r="L3195" i="2"/>
  <c r="K3195" i="2"/>
  <c r="J3195" i="2"/>
  <c r="I3195" i="2"/>
  <c r="L3194" i="2"/>
  <c r="K3194" i="2"/>
  <c r="J3194" i="2"/>
  <c r="I3194" i="2"/>
  <c r="L3193" i="2"/>
  <c r="K3193" i="2"/>
  <c r="J3193" i="2"/>
  <c r="I3193" i="2"/>
  <c r="L3192" i="2"/>
  <c r="K3192" i="2"/>
  <c r="J3192" i="2"/>
  <c r="I3192" i="2"/>
  <c r="L3191" i="2"/>
  <c r="K3191" i="2"/>
  <c r="J3191" i="2"/>
  <c r="I3191" i="2"/>
  <c r="L3190" i="2"/>
  <c r="K3190" i="2"/>
  <c r="J3190" i="2"/>
  <c r="I3190" i="2"/>
  <c r="L3189" i="2"/>
  <c r="K3189" i="2"/>
  <c r="J3189" i="2"/>
  <c r="I3189" i="2"/>
  <c r="L3188" i="2"/>
  <c r="K3188" i="2"/>
  <c r="J3188" i="2"/>
  <c r="I3188" i="2"/>
  <c r="L3187" i="2"/>
  <c r="K3187" i="2"/>
  <c r="J3187" i="2"/>
  <c r="I3187" i="2"/>
  <c r="L3186" i="2"/>
  <c r="K3186" i="2"/>
  <c r="J3186" i="2"/>
  <c r="I3186" i="2"/>
  <c r="L3185" i="2"/>
  <c r="K3185" i="2"/>
  <c r="J3185" i="2"/>
  <c r="I3185" i="2"/>
  <c r="L3184" i="2"/>
  <c r="K3184" i="2"/>
  <c r="J3184" i="2"/>
  <c r="I3184" i="2"/>
  <c r="L3183" i="2"/>
  <c r="K3183" i="2"/>
  <c r="J3183" i="2"/>
  <c r="I3183" i="2"/>
  <c r="L3182" i="2"/>
  <c r="K3182" i="2"/>
  <c r="J3182" i="2"/>
  <c r="I3182" i="2"/>
  <c r="L3181" i="2"/>
  <c r="K3181" i="2"/>
  <c r="J3181" i="2"/>
  <c r="I3181" i="2"/>
  <c r="L3180" i="2"/>
  <c r="K3180" i="2"/>
  <c r="J3180" i="2"/>
  <c r="I3180" i="2"/>
  <c r="L3179" i="2"/>
  <c r="K3179" i="2"/>
  <c r="J3179" i="2"/>
  <c r="I3179" i="2"/>
  <c r="L3178" i="2"/>
  <c r="K3178" i="2"/>
  <c r="J3178" i="2"/>
  <c r="I3178" i="2"/>
  <c r="L3177" i="2"/>
  <c r="K3177" i="2"/>
  <c r="J3177" i="2"/>
  <c r="I3177" i="2"/>
  <c r="L3176" i="2"/>
  <c r="K3176" i="2"/>
  <c r="J3176" i="2"/>
  <c r="I3176" i="2"/>
  <c r="L3175" i="2"/>
  <c r="K3175" i="2"/>
  <c r="J3175" i="2"/>
  <c r="I3175" i="2"/>
  <c r="L3174" i="2"/>
  <c r="K3174" i="2"/>
  <c r="J3174" i="2"/>
  <c r="I3174" i="2"/>
  <c r="L3173" i="2"/>
  <c r="K3173" i="2"/>
  <c r="J3173" i="2"/>
  <c r="I3173" i="2"/>
  <c r="L3172" i="2"/>
  <c r="K3172" i="2"/>
  <c r="J3172" i="2"/>
  <c r="I3172" i="2"/>
  <c r="L3171" i="2"/>
  <c r="K3171" i="2"/>
  <c r="J3171" i="2"/>
  <c r="I3171" i="2"/>
  <c r="L3170" i="2"/>
  <c r="K3170" i="2"/>
  <c r="J3170" i="2"/>
  <c r="I3170" i="2"/>
  <c r="L3169" i="2"/>
  <c r="K3169" i="2"/>
  <c r="J3169" i="2"/>
  <c r="I3169" i="2"/>
  <c r="L3168" i="2"/>
  <c r="K3168" i="2"/>
  <c r="J3168" i="2"/>
  <c r="I3168" i="2"/>
  <c r="L3167" i="2"/>
  <c r="K3167" i="2"/>
  <c r="J3167" i="2"/>
  <c r="I3167" i="2"/>
  <c r="L3166" i="2"/>
  <c r="K3166" i="2"/>
  <c r="J3166" i="2"/>
  <c r="I3166" i="2"/>
  <c r="L3165" i="2"/>
  <c r="K3165" i="2"/>
  <c r="J3165" i="2"/>
  <c r="I3165" i="2"/>
  <c r="L3164" i="2"/>
  <c r="K3164" i="2"/>
  <c r="J3164" i="2"/>
  <c r="I3164" i="2"/>
  <c r="L3163" i="2"/>
  <c r="K3163" i="2"/>
  <c r="J3163" i="2"/>
  <c r="I3163" i="2"/>
  <c r="L3162" i="2"/>
  <c r="K3162" i="2"/>
  <c r="J3162" i="2"/>
  <c r="I3162" i="2"/>
  <c r="L3161" i="2"/>
  <c r="K3161" i="2"/>
  <c r="J3161" i="2"/>
  <c r="I3161" i="2"/>
  <c r="L3160" i="2"/>
  <c r="K3160" i="2"/>
  <c r="J3160" i="2"/>
  <c r="I3160" i="2"/>
  <c r="L3159" i="2"/>
  <c r="K3159" i="2"/>
  <c r="J3159" i="2"/>
  <c r="I3159" i="2"/>
  <c r="L3158" i="2"/>
  <c r="K3158" i="2"/>
  <c r="J3158" i="2"/>
  <c r="I3158" i="2"/>
  <c r="L3157" i="2"/>
  <c r="K3157" i="2"/>
  <c r="J3157" i="2"/>
  <c r="I3157" i="2"/>
  <c r="L3156" i="2"/>
  <c r="K3156" i="2"/>
  <c r="J3156" i="2"/>
  <c r="I3156" i="2"/>
  <c r="L3155" i="2"/>
  <c r="K3155" i="2"/>
  <c r="J3155" i="2"/>
  <c r="I3155" i="2"/>
  <c r="L3154" i="2"/>
  <c r="K3154" i="2"/>
  <c r="J3154" i="2"/>
  <c r="I3154" i="2"/>
  <c r="L3153" i="2"/>
  <c r="K3153" i="2"/>
  <c r="J3153" i="2"/>
  <c r="I3153" i="2"/>
  <c r="L3152" i="2"/>
  <c r="K3152" i="2"/>
  <c r="J3152" i="2"/>
  <c r="I3152" i="2"/>
  <c r="L3151" i="2"/>
  <c r="K3151" i="2"/>
  <c r="J3151" i="2"/>
  <c r="I3151" i="2"/>
  <c r="L3150" i="2"/>
  <c r="K3150" i="2"/>
  <c r="J3150" i="2"/>
  <c r="I3150" i="2"/>
  <c r="L3149" i="2"/>
  <c r="K3149" i="2"/>
  <c r="J3149" i="2"/>
  <c r="I3149" i="2"/>
  <c r="L3148" i="2"/>
  <c r="K3148" i="2"/>
  <c r="J3148" i="2"/>
  <c r="I3148" i="2"/>
  <c r="L3147" i="2"/>
  <c r="K3147" i="2"/>
  <c r="J3147" i="2"/>
  <c r="I3147" i="2"/>
  <c r="L3146" i="2"/>
  <c r="K3146" i="2"/>
  <c r="J3146" i="2"/>
  <c r="I3146" i="2"/>
  <c r="L3145" i="2"/>
  <c r="K3145" i="2"/>
  <c r="J3145" i="2"/>
  <c r="I3145" i="2"/>
  <c r="L3144" i="2"/>
  <c r="K3144" i="2"/>
  <c r="J3144" i="2"/>
  <c r="I3144" i="2"/>
  <c r="L3143" i="2"/>
  <c r="K3143" i="2"/>
  <c r="J3143" i="2"/>
  <c r="I3143" i="2"/>
  <c r="L3142" i="2"/>
  <c r="K3142" i="2"/>
  <c r="J3142" i="2"/>
  <c r="I3142" i="2"/>
  <c r="L3141" i="2"/>
  <c r="K3141" i="2"/>
  <c r="J3141" i="2"/>
  <c r="I3141" i="2"/>
  <c r="L3140" i="2"/>
  <c r="K3140" i="2"/>
  <c r="J3140" i="2"/>
  <c r="I3140" i="2"/>
  <c r="L3139" i="2"/>
  <c r="K3139" i="2"/>
  <c r="J3139" i="2"/>
  <c r="I3139" i="2"/>
  <c r="L3138" i="2"/>
  <c r="K3138" i="2"/>
  <c r="J3138" i="2"/>
  <c r="I3138" i="2"/>
  <c r="L3137" i="2"/>
  <c r="K3137" i="2"/>
  <c r="J3137" i="2"/>
  <c r="I3137" i="2"/>
  <c r="L3136" i="2"/>
  <c r="K3136" i="2"/>
  <c r="J3136" i="2"/>
  <c r="I3136" i="2"/>
  <c r="L3135" i="2"/>
  <c r="K3135" i="2"/>
  <c r="J3135" i="2"/>
  <c r="I3135" i="2"/>
  <c r="L3134" i="2"/>
  <c r="K3134" i="2"/>
  <c r="J3134" i="2"/>
  <c r="I3134" i="2"/>
  <c r="L3133" i="2"/>
  <c r="K3133" i="2"/>
  <c r="J3133" i="2"/>
  <c r="I3133" i="2"/>
  <c r="L3132" i="2"/>
  <c r="K3132" i="2"/>
  <c r="J3132" i="2"/>
  <c r="I3132" i="2"/>
  <c r="L3131" i="2"/>
  <c r="K3131" i="2"/>
  <c r="J3131" i="2"/>
  <c r="I3131" i="2"/>
  <c r="L3130" i="2"/>
  <c r="K3130" i="2"/>
  <c r="J3130" i="2"/>
  <c r="I3130" i="2"/>
  <c r="L3129" i="2"/>
  <c r="K3129" i="2"/>
  <c r="J3129" i="2"/>
  <c r="I3129" i="2"/>
  <c r="L3128" i="2"/>
  <c r="K3128" i="2"/>
  <c r="J3128" i="2"/>
  <c r="I3128" i="2"/>
  <c r="L3127" i="2"/>
  <c r="K3127" i="2"/>
  <c r="J3127" i="2"/>
  <c r="I3127" i="2"/>
  <c r="L3126" i="2"/>
  <c r="K3126" i="2"/>
  <c r="J3126" i="2"/>
  <c r="I3126" i="2"/>
  <c r="L3125" i="2"/>
  <c r="K3125" i="2"/>
  <c r="J3125" i="2"/>
  <c r="I3125" i="2"/>
  <c r="L3124" i="2"/>
  <c r="K3124" i="2"/>
  <c r="J3124" i="2"/>
  <c r="I3124" i="2"/>
  <c r="L3123" i="2"/>
  <c r="K3123" i="2"/>
  <c r="J3123" i="2"/>
  <c r="I3123" i="2"/>
  <c r="L3122" i="2"/>
  <c r="K3122" i="2"/>
  <c r="J3122" i="2"/>
  <c r="I3122" i="2"/>
  <c r="L3121" i="2"/>
  <c r="K3121" i="2"/>
  <c r="J3121" i="2"/>
  <c r="I3121" i="2"/>
  <c r="L3120" i="2"/>
  <c r="K3120" i="2"/>
  <c r="J3120" i="2"/>
  <c r="I3120" i="2"/>
  <c r="L3119" i="2"/>
  <c r="K3119" i="2"/>
  <c r="J3119" i="2"/>
  <c r="I3119" i="2"/>
  <c r="L3118" i="2"/>
  <c r="K3118" i="2"/>
  <c r="J3118" i="2"/>
  <c r="I3118" i="2"/>
  <c r="L3117" i="2"/>
  <c r="K3117" i="2"/>
  <c r="J3117" i="2"/>
  <c r="I3117" i="2"/>
  <c r="L3116" i="2"/>
  <c r="K3116" i="2"/>
  <c r="J3116" i="2"/>
  <c r="I3116" i="2"/>
  <c r="L3115" i="2"/>
  <c r="K3115" i="2"/>
  <c r="J3115" i="2"/>
  <c r="I3115" i="2"/>
  <c r="L3114" i="2"/>
  <c r="K3114" i="2"/>
  <c r="J3114" i="2"/>
  <c r="I3114" i="2"/>
  <c r="L3113" i="2"/>
  <c r="K3113" i="2"/>
  <c r="J3113" i="2"/>
  <c r="I3113" i="2"/>
  <c r="L3112" i="2"/>
  <c r="K3112" i="2"/>
  <c r="J3112" i="2"/>
  <c r="I3112" i="2"/>
  <c r="L3111" i="2"/>
  <c r="K3111" i="2"/>
  <c r="J3111" i="2"/>
  <c r="I3111" i="2"/>
  <c r="L3110" i="2"/>
  <c r="K3110" i="2"/>
  <c r="J3110" i="2"/>
  <c r="I3110" i="2"/>
  <c r="L3109" i="2"/>
  <c r="K3109" i="2"/>
  <c r="J3109" i="2"/>
  <c r="I3109" i="2"/>
  <c r="L3108" i="2"/>
  <c r="K3108" i="2"/>
  <c r="J3108" i="2"/>
  <c r="I3108" i="2"/>
  <c r="L3107" i="2"/>
  <c r="K3107" i="2"/>
  <c r="J3107" i="2"/>
  <c r="I3107" i="2"/>
  <c r="L3106" i="2"/>
  <c r="K3106" i="2"/>
  <c r="J3106" i="2"/>
  <c r="I3106" i="2"/>
  <c r="L3105" i="2"/>
  <c r="K3105" i="2"/>
  <c r="J3105" i="2"/>
  <c r="I3105" i="2"/>
  <c r="L3104" i="2"/>
  <c r="K3104" i="2"/>
  <c r="J3104" i="2"/>
  <c r="I3104" i="2"/>
  <c r="L3103" i="2"/>
  <c r="K3103" i="2"/>
  <c r="J3103" i="2"/>
  <c r="I3103" i="2"/>
  <c r="L3102" i="2"/>
  <c r="K3102" i="2"/>
  <c r="J3102" i="2"/>
  <c r="I3102" i="2"/>
  <c r="L3101" i="2"/>
  <c r="K3101" i="2"/>
  <c r="J3101" i="2"/>
  <c r="I3101" i="2"/>
  <c r="L3100" i="2"/>
  <c r="K3100" i="2"/>
  <c r="J3100" i="2"/>
  <c r="I3100" i="2"/>
  <c r="L3099" i="2"/>
  <c r="K3099" i="2"/>
  <c r="J3099" i="2"/>
  <c r="I3099" i="2"/>
  <c r="L3098" i="2"/>
  <c r="K3098" i="2"/>
  <c r="J3098" i="2"/>
  <c r="I3098" i="2"/>
  <c r="L3097" i="2"/>
  <c r="K3097" i="2"/>
  <c r="J3097" i="2"/>
  <c r="I3097" i="2"/>
  <c r="L3096" i="2"/>
  <c r="K3096" i="2"/>
  <c r="J3096" i="2"/>
  <c r="I3096" i="2"/>
  <c r="L3095" i="2"/>
  <c r="K3095" i="2"/>
  <c r="J3095" i="2"/>
  <c r="I3095" i="2"/>
  <c r="L3094" i="2"/>
  <c r="K3094" i="2"/>
  <c r="J3094" i="2"/>
  <c r="I3094" i="2"/>
  <c r="L3093" i="2"/>
  <c r="K3093" i="2"/>
  <c r="J3093" i="2"/>
  <c r="I3093" i="2"/>
  <c r="L3092" i="2"/>
  <c r="K3092" i="2"/>
  <c r="J3092" i="2"/>
  <c r="I3092" i="2"/>
  <c r="L3091" i="2"/>
  <c r="K3091" i="2"/>
  <c r="J3091" i="2"/>
  <c r="I3091" i="2"/>
  <c r="L3090" i="2"/>
  <c r="K3090" i="2"/>
  <c r="J3090" i="2"/>
  <c r="I3090" i="2"/>
  <c r="L3089" i="2"/>
  <c r="K3089" i="2"/>
  <c r="J3089" i="2"/>
  <c r="I3089" i="2"/>
  <c r="L3088" i="2"/>
  <c r="K3088" i="2"/>
  <c r="J3088" i="2"/>
  <c r="I3088" i="2"/>
  <c r="L3087" i="2"/>
  <c r="K3087" i="2"/>
  <c r="J3087" i="2"/>
  <c r="I3087" i="2"/>
  <c r="L3086" i="2"/>
  <c r="K3086" i="2"/>
  <c r="J3086" i="2"/>
  <c r="I3086" i="2"/>
  <c r="L3085" i="2"/>
  <c r="K3085" i="2"/>
  <c r="J3085" i="2"/>
  <c r="I3085" i="2"/>
  <c r="L3084" i="2"/>
  <c r="K3084" i="2"/>
  <c r="J3084" i="2"/>
  <c r="I3084" i="2"/>
  <c r="L3083" i="2"/>
  <c r="K3083" i="2"/>
  <c r="J3083" i="2"/>
  <c r="I3083" i="2"/>
  <c r="L3082" i="2"/>
  <c r="K3082" i="2"/>
  <c r="J3082" i="2"/>
  <c r="I3082" i="2"/>
  <c r="L3081" i="2"/>
  <c r="K3081" i="2"/>
  <c r="J3081" i="2"/>
  <c r="I3081" i="2"/>
  <c r="L3080" i="2"/>
  <c r="K3080" i="2"/>
  <c r="J3080" i="2"/>
  <c r="I3080" i="2"/>
  <c r="L3079" i="2"/>
  <c r="K3079" i="2"/>
  <c r="J3079" i="2"/>
  <c r="I3079" i="2"/>
  <c r="L3078" i="2"/>
  <c r="K3078" i="2"/>
  <c r="J3078" i="2"/>
  <c r="I3078" i="2"/>
  <c r="L3077" i="2"/>
  <c r="K3077" i="2"/>
  <c r="J3077" i="2"/>
  <c r="I3077" i="2"/>
  <c r="L3076" i="2"/>
  <c r="K3076" i="2"/>
  <c r="J3076" i="2"/>
  <c r="I3076" i="2"/>
  <c r="L3075" i="2"/>
  <c r="K3075" i="2"/>
  <c r="J3075" i="2"/>
  <c r="I3075" i="2"/>
  <c r="L3074" i="2"/>
  <c r="K3074" i="2"/>
  <c r="J3074" i="2"/>
  <c r="I3074" i="2"/>
  <c r="L3073" i="2"/>
  <c r="K3073" i="2"/>
  <c r="J3073" i="2"/>
  <c r="I3073" i="2"/>
  <c r="L3072" i="2"/>
  <c r="K3072" i="2"/>
  <c r="J3072" i="2"/>
  <c r="I3072" i="2"/>
  <c r="L3071" i="2"/>
  <c r="K3071" i="2"/>
  <c r="J3071" i="2"/>
  <c r="I3071" i="2"/>
  <c r="L3070" i="2"/>
  <c r="K3070" i="2"/>
  <c r="J3070" i="2"/>
  <c r="I3070" i="2"/>
  <c r="L3069" i="2"/>
  <c r="K3069" i="2"/>
  <c r="J3069" i="2"/>
  <c r="I3069" i="2"/>
  <c r="L3068" i="2"/>
  <c r="K3068" i="2"/>
  <c r="J3068" i="2"/>
  <c r="I3068" i="2"/>
  <c r="L3067" i="2"/>
  <c r="K3067" i="2"/>
  <c r="J3067" i="2"/>
  <c r="I3067" i="2"/>
  <c r="L3066" i="2"/>
  <c r="K3066" i="2"/>
  <c r="J3066" i="2"/>
  <c r="I3066" i="2"/>
  <c r="L3065" i="2"/>
  <c r="K3065" i="2"/>
  <c r="J3065" i="2"/>
  <c r="I3065" i="2"/>
  <c r="L3064" i="2"/>
  <c r="K3064" i="2"/>
  <c r="J3064" i="2"/>
  <c r="I3064" i="2"/>
  <c r="L3063" i="2"/>
  <c r="K3063" i="2"/>
  <c r="J3063" i="2"/>
  <c r="I3063" i="2"/>
  <c r="L3062" i="2"/>
  <c r="K3062" i="2"/>
  <c r="J3062" i="2"/>
  <c r="I3062" i="2"/>
  <c r="L3061" i="2"/>
  <c r="K3061" i="2"/>
  <c r="J3061" i="2"/>
  <c r="I3061" i="2"/>
  <c r="L3060" i="2"/>
  <c r="K3060" i="2"/>
  <c r="J3060" i="2"/>
  <c r="I3060" i="2"/>
  <c r="L3059" i="2"/>
  <c r="K3059" i="2"/>
  <c r="J3059" i="2"/>
  <c r="I3059" i="2"/>
  <c r="L3058" i="2"/>
  <c r="K3058" i="2"/>
  <c r="J3058" i="2"/>
  <c r="I3058" i="2"/>
  <c r="L3057" i="2"/>
  <c r="K3057" i="2"/>
  <c r="J3057" i="2"/>
  <c r="I3057" i="2"/>
  <c r="L3056" i="2"/>
  <c r="K3056" i="2"/>
  <c r="J3056" i="2"/>
  <c r="I3056" i="2"/>
  <c r="L3055" i="2"/>
  <c r="K3055" i="2"/>
  <c r="J3055" i="2"/>
  <c r="I3055" i="2"/>
  <c r="L3054" i="2"/>
  <c r="K3054" i="2"/>
  <c r="J3054" i="2"/>
  <c r="I3054" i="2"/>
  <c r="L3053" i="2"/>
  <c r="K3053" i="2"/>
  <c r="J3053" i="2"/>
  <c r="I3053" i="2"/>
  <c r="L3052" i="2"/>
  <c r="K3052" i="2"/>
  <c r="J3052" i="2"/>
  <c r="I3052" i="2"/>
  <c r="L3051" i="2"/>
  <c r="K3051" i="2"/>
  <c r="J3051" i="2"/>
  <c r="I3051" i="2"/>
  <c r="L3050" i="2"/>
  <c r="K3050" i="2"/>
  <c r="J3050" i="2"/>
  <c r="I3050" i="2"/>
  <c r="L3049" i="2"/>
  <c r="K3049" i="2"/>
  <c r="J3049" i="2"/>
  <c r="I3049" i="2"/>
  <c r="L3048" i="2"/>
  <c r="K3048" i="2"/>
  <c r="J3048" i="2"/>
  <c r="I3048" i="2"/>
  <c r="L3047" i="2"/>
  <c r="K3047" i="2"/>
  <c r="J3047" i="2"/>
  <c r="I3047" i="2"/>
  <c r="L3046" i="2"/>
  <c r="K3046" i="2"/>
  <c r="J3046" i="2"/>
  <c r="I3046" i="2"/>
  <c r="L3045" i="2"/>
  <c r="K3045" i="2"/>
  <c r="J3045" i="2"/>
  <c r="I3045" i="2"/>
  <c r="L3044" i="2"/>
  <c r="K3044" i="2"/>
  <c r="J3044" i="2"/>
  <c r="I3044" i="2"/>
  <c r="L3043" i="2"/>
  <c r="K3043" i="2"/>
  <c r="J3043" i="2"/>
  <c r="I3043" i="2"/>
  <c r="L3042" i="2"/>
  <c r="K3042" i="2"/>
  <c r="J3042" i="2"/>
  <c r="I3042" i="2"/>
  <c r="L3041" i="2"/>
  <c r="K3041" i="2"/>
  <c r="J3041" i="2"/>
  <c r="I3041" i="2"/>
  <c r="L3040" i="2"/>
  <c r="K3040" i="2"/>
  <c r="J3040" i="2"/>
  <c r="I3040" i="2"/>
  <c r="L3039" i="2"/>
  <c r="K3039" i="2"/>
  <c r="J3039" i="2"/>
  <c r="I3039" i="2"/>
  <c r="L3038" i="2"/>
  <c r="K3038" i="2"/>
  <c r="J3038" i="2"/>
  <c r="I3038" i="2"/>
  <c r="L3037" i="2"/>
  <c r="K3037" i="2"/>
  <c r="J3037" i="2"/>
  <c r="I3037" i="2"/>
  <c r="L3036" i="2"/>
  <c r="K3036" i="2"/>
  <c r="J3036" i="2"/>
  <c r="I3036" i="2"/>
  <c r="L3035" i="2"/>
  <c r="K3035" i="2"/>
  <c r="J3035" i="2"/>
  <c r="I3035" i="2"/>
  <c r="L3034" i="2"/>
  <c r="K3034" i="2"/>
  <c r="J3034" i="2"/>
  <c r="I3034" i="2"/>
  <c r="L3033" i="2"/>
  <c r="K3033" i="2"/>
  <c r="J3033" i="2"/>
  <c r="I3033" i="2"/>
  <c r="L3032" i="2"/>
  <c r="K3032" i="2"/>
  <c r="J3032" i="2"/>
  <c r="I3032" i="2"/>
  <c r="L3031" i="2"/>
  <c r="K3031" i="2"/>
  <c r="J3031" i="2"/>
  <c r="I3031" i="2"/>
  <c r="L3030" i="2"/>
  <c r="K3030" i="2"/>
  <c r="J3030" i="2"/>
  <c r="I3030" i="2"/>
  <c r="L3029" i="2"/>
  <c r="K3029" i="2"/>
  <c r="J3029" i="2"/>
  <c r="I3029" i="2"/>
  <c r="L3028" i="2"/>
  <c r="K3028" i="2"/>
  <c r="J3028" i="2"/>
  <c r="I3028" i="2"/>
  <c r="L3027" i="2"/>
  <c r="K3027" i="2"/>
  <c r="J3027" i="2"/>
  <c r="I3027" i="2"/>
  <c r="L3026" i="2"/>
  <c r="K3026" i="2"/>
  <c r="J3026" i="2"/>
  <c r="I3026" i="2"/>
  <c r="L3025" i="2"/>
  <c r="K3025" i="2"/>
  <c r="J3025" i="2"/>
  <c r="I3025" i="2"/>
  <c r="L3024" i="2"/>
  <c r="K3024" i="2"/>
  <c r="J3024" i="2"/>
  <c r="I3024" i="2"/>
  <c r="L3023" i="2"/>
  <c r="K3023" i="2"/>
  <c r="J3023" i="2"/>
  <c r="I3023" i="2"/>
  <c r="L3022" i="2"/>
  <c r="K3022" i="2"/>
  <c r="J3022" i="2"/>
  <c r="I3022" i="2"/>
  <c r="L3021" i="2"/>
  <c r="K3021" i="2"/>
  <c r="J3021" i="2"/>
  <c r="I3021" i="2"/>
  <c r="L3020" i="2"/>
  <c r="K3020" i="2"/>
  <c r="J3020" i="2"/>
  <c r="I3020" i="2"/>
  <c r="L3019" i="2"/>
  <c r="K3019" i="2"/>
  <c r="J3019" i="2"/>
  <c r="I3019" i="2"/>
  <c r="L3018" i="2"/>
  <c r="K3018" i="2"/>
  <c r="J3018" i="2"/>
  <c r="I3018" i="2"/>
  <c r="L3017" i="2"/>
  <c r="K3017" i="2"/>
  <c r="J3017" i="2"/>
  <c r="I3017" i="2"/>
  <c r="L3016" i="2"/>
  <c r="K3016" i="2"/>
  <c r="J3016" i="2"/>
  <c r="I3016" i="2"/>
  <c r="L3015" i="2"/>
  <c r="K3015" i="2"/>
  <c r="J3015" i="2"/>
  <c r="I3015" i="2"/>
  <c r="L3014" i="2"/>
  <c r="K3014" i="2"/>
  <c r="J3014" i="2"/>
  <c r="I3014" i="2"/>
  <c r="L3013" i="2"/>
  <c r="K3013" i="2"/>
  <c r="J3013" i="2"/>
  <c r="I3013" i="2"/>
  <c r="L3012" i="2"/>
  <c r="K3012" i="2"/>
  <c r="J3012" i="2"/>
  <c r="I3012" i="2"/>
  <c r="L3011" i="2"/>
  <c r="K3011" i="2"/>
  <c r="J3011" i="2"/>
  <c r="I3011" i="2"/>
  <c r="L3010" i="2"/>
  <c r="K3010" i="2"/>
  <c r="J3010" i="2"/>
  <c r="I3010" i="2"/>
  <c r="L3009" i="2"/>
  <c r="K3009" i="2"/>
  <c r="J3009" i="2"/>
  <c r="I3009" i="2"/>
  <c r="L3008" i="2"/>
  <c r="K3008" i="2"/>
  <c r="J3008" i="2"/>
  <c r="I3008" i="2"/>
  <c r="L3007" i="2"/>
  <c r="K3007" i="2"/>
  <c r="J3007" i="2"/>
  <c r="I3007" i="2"/>
  <c r="L3006" i="2"/>
  <c r="K3006" i="2"/>
  <c r="J3006" i="2"/>
  <c r="I3006" i="2"/>
  <c r="L3005" i="2"/>
  <c r="K3005" i="2"/>
  <c r="J3005" i="2"/>
  <c r="I3005" i="2"/>
  <c r="L3004" i="2"/>
  <c r="K3004" i="2"/>
  <c r="J3004" i="2"/>
  <c r="I3004" i="2"/>
  <c r="L3003" i="2"/>
  <c r="K3003" i="2"/>
  <c r="J3003" i="2"/>
  <c r="I3003" i="2"/>
  <c r="L3002" i="2"/>
  <c r="K3002" i="2"/>
  <c r="J3002" i="2"/>
  <c r="I3002" i="2"/>
  <c r="L3001" i="2"/>
  <c r="K3001" i="2"/>
  <c r="J3001" i="2"/>
  <c r="I3001" i="2"/>
  <c r="L3000" i="2"/>
  <c r="K3000" i="2"/>
  <c r="J3000" i="2"/>
  <c r="I3000" i="2"/>
  <c r="L2999" i="2"/>
  <c r="K2999" i="2"/>
  <c r="J2999" i="2"/>
  <c r="I2999" i="2"/>
  <c r="L2998" i="2"/>
  <c r="K2998" i="2"/>
  <c r="J2998" i="2"/>
  <c r="I2998" i="2"/>
  <c r="L2997" i="2"/>
  <c r="K2997" i="2"/>
  <c r="J2997" i="2"/>
  <c r="I2997" i="2"/>
  <c r="L2996" i="2"/>
  <c r="K2996" i="2"/>
  <c r="J2996" i="2"/>
  <c r="I2996" i="2"/>
  <c r="L2995" i="2"/>
  <c r="K2995" i="2"/>
  <c r="J2995" i="2"/>
  <c r="I2995" i="2"/>
  <c r="L2994" i="2"/>
  <c r="K2994" i="2"/>
  <c r="J2994" i="2"/>
  <c r="I2994" i="2"/>
  <c r="L2993" i="2"/>
  <c r="K2993" i="2"/>
  <c r="J2993" i="2"/>
  <c r="I2993" i="2"/>
  <c r="L2992" i="2"/>
  <c r="K2992" i="2"/>
  <c r="J2992" i="2"/>
  <c r="I2992" i="2"/>
  <c r="L2991" i="2"/>
  <c r="K2991" i="2"/>
  <c r="J2991" i="2"/>
  <c r="I2991" i="2"/>
  <c r="L2990" i="2"/>
  <c r="K2990" i="2"/>
  <c r="J2990" i="2"/>
  <c r="I2990" i="2"/>
  <c r="L2989" i="2"/>
  <c r="K2989" i="2"/>
  <c r="J2989" i="2"/>
  <c r="I2989" i="2"/>
  <c r="L2988" i="2"/>
  <c r="K2988" i="2"/>
  <c r="J2988" i="2"/>
  <c r="I2988" i="2"/>
  <c r="L2987" i="2"/>
  <c r="K2987" i="2"/>
  <c r="J2987" i="2"/>
  <c r="I2987" i="2"/>
  <c r="L2986" i="2"/>
  <c r="K2986" i="2"/>
  <c r="J2986" i="2"/>
  <c r="I2986" i="2"/>
  <c r="L2985" i="2"/>
  <c r="K2985" i="2"/>
  <c r="J2985" i="2"/>
  <c r="I2985" i="2"/>
  <c r="L2984" i="2"/>
  <c r="K2984" i="2"/>
  <c r="J2984" i="2"/>
  <c r="I2984" i="2"/>
  <c r="L2983" i="2"/>
  <c r="K2983" i="2"/>
  <c r="J2983" i="2"/>
  <c r="I2983" i="2"/>
  <c r="L2982" i="2"/>
  <c r="K2982" i="2"/>
  <c r="J2982" i="2"/>
  <c r="I2982" i="2"/>
  <c r="L2981" i="2"/>
  <c r="K2981" i="2"/>
  <c r="J2981" i="2"/>
  <c r="I2981" i="2"/>
  <c r="L2980" i="2"/>
  <c r="K2980" i="2"/>
  <c r="J2980" i="2"/>
  <c r="I2980" i="2"/>
  <c r="L2979" i="2"/>
  <c r="K2979" i="2"/>
  <c r="J2979" i="2"/>
  <c r="I2979" i="2"/>
  <c r="L2978" i="2"/>
  <c r="K2978" i="2"/>
  <c r="J2978" i="2"/>
  <c r="I2978" i="2"/>
  <c r="L2977" i="2"/>
  <c r="K2977" i="2"/>
  <c r="J2977" i="2"/>
  <c r="I2977" i="2"/>
  <c r="L2976" i="2"/>
  <c r="K2976" i="2"/>
  <c r="J2976" i="2"/>
  <c r="I2976" i="2"/>
  <c r="L2975" i="2"/>
  <c r="K2975" i="2"/>
  <c r="J2975" i="2"/>
  <c r="I2975" i="2"/>
  <c r="L2974" i="2"/>
  <c r="K2974" i="2"/>
  <c r="J2974" i="2"/>
  <c r="I2974" i="2"/>
  <c r="L2973" i="2"/>
  <c r="K2973" i="2"/>
  <c r="J2973" i="2"/>
  <c r="I2973" i="2"/>
  <c r="L2972" i="2"/>
  <c r="K2972" i="2"/>
  <c r="J2972" i="2"/>
  <c r="I2972" i="2"/>
  <c r="L2971" i="2"/>
  <c r="K2971" i="2"/>
  <c r="J2971" i="2"/>
  <c r="I2971" i="2"/>
  <c r="L2970" i="2"/>
  <c r="K2970" i="2"/>
  <c r="J2970" i="2"/>
  <c r="I2970" i="2"/>
  <c r="L2969" i="2"/>
  <c r="K2969" i="2"/>
  <c r="J2969" i="2"/>
  <c r="I2969" i="2"/>
  <c r="L2968" i="2"/>
  <c r="K2968" i="2"/>
  <c r="J2968" i="2"/>
  <c r="I2968" i="2"/>
  <c r="L2967" i="2"/>
  <c r="K2967" i="2"/>
  <c r="J2967" i="2"/>
  <c r="I2967" i="2"/>
  <c r="L2966" i="2"/>
  <c r="K2966" i="2"/>
  <c r="J2966" i="2"/>
  <c r="I2966" i="2"/>
  <c r="L2965" i="2"/>
  <c r="K2965" i="2"/>
  <c r="J2965" i="2"/>
  <c r="I2965" i="2"/>
  <c r="L2964" i="2"/>
  <c r="K2964" i="2"/>
  <c r="J2964" i="2"/>
  <c r="I2964" i="2"/>
  <c r="L2963" i="2"/>
  <c r="K2963" i="2"/>
  <c r="J2963" i="2"/>
  <c r="I2963" i="2"/>
  <c r="L2962" i="2"/>
  <c r="K2962" i="2"/>
  <c r="J2962" i="2"/>
  <c r="I2962" i="2"/>
  <c r="L2961" i="2"/>
  <c r="K2961" i="2"/>
  <c r="J2961" i="2"/>
  <c r="I2961" i="2"/>
  <c r="L2960" i="2"/>
  <c r="K2960" i="2"/>
  <c r="J2960" i="2"/>
  <c r="I2960" i="2"/>
  <c r="L2959" i="2"/>
  <c r="K2959" i="2"/>
  <c r="J2959" i="2"/>
  <c r="I2959" i="2"/>
  <c r="L2958" i="2"/>
  <c r="K2958" i="2"/>
  <c r="J2958" i="2"/>
  <c r="I2958" i="2"/>
  <c r="L2957" i="2"/>
  <c r="K2957" i="2"/>
  <c r="J2957" i="2"/>
  <c r="I2957" i="2"/>
  <c r="L2956" i="2"/>
  <c r="K2956" i="2"/>
  <c r="J2956" i="2"/>
  <c r="I2956" i="2"/>
  <c r="L2955" i="2"/>
  <c r="K2955" i="2"/>
  <c r="J2955" i="2"/>
  <c r="I2955" i="2"/>
  <c r="L2954" i="2"/>
  <c r="K2954" i="2"/>
  <c r="J2954" i="2"/>
  <c r="I2954" i="2"/>
  <c r="L2953" i="2"/>
  <c r="K2953" i="2"/>
  <c r="J2953" i="2"/>
  <c r="I2953" i="2"/>
  <c r="L2952" i="2"/>
  <c r="K2952" i="2"/>
  <c r="J2952" i="2"/>
  <c r="I2952" i="2"/>
  <c r="L2951" i="2"/>
  <c r="K2951" i="2"/>
  <c r="J2951" i="2"/>
  <c r="I2951" i="2"/>
  <c r="L2950" i="2"/>
  <c r="K2950" i="2"/>
  <c r="J2950" i="2"/>
  <c r="I2950" i="2"/>
  <c r="L2949" i="2"/>
  <c r="K2949" i="2"/>
  <c r="J2949" i="2"/>
  <c r="I2949" i="2"/>
  <c r="L2948" i="2"/>
  <c r="K2948" i="2"/>
  <c r="J2948" i="2"/>
  <c r="I2948" i="2"/>
  <c r="L2947" i="2"/>
  <c r="K2947" i="2"/>
  <c r="J2947" i="2"/>
  <c r="I2947" i="2"/>
  <c r="L2946" i="2"/>
  <c r="K2946" i="2"/>
  <c r="J2946" i="2"/>
  <c r="I2946" i="2"/>
  <c r="L2945" i="2"/>
  <c r="K2945" i="2"/>
  <c r="J2945" i="2"/>
  <c r="I2945" i="2"/>
  <c r="L2944" i="2"/>
  <c r="K2944" i="2"/>
  <c r="J2944" i="2"/>
  <c r="I2944" i="2"/>
  <c r="L2943" i="2"/>
  <c r="K2943" i="2"/>
  <c r="J2943" i="2"/>
  <c r="I2943" i="2"/>
  <c r="L2942" i="2"/>
  <c r="K2942" i="2"/>
  <c r="J2942" i="2"/>
  <c r="I2942" i="2"/>
  <c r="L2941" i="2"/>
  <c r="K2941" i="2"/>
  <c r="J2941" i="2"/>
  <c r="I2941" i="2"/>
  <c r="L2940" i="2"/>
  <c r="K2940" i="2"/>
  <c r="J2940" i="2"/>
  <c r="I2940" i="2"/>
  <c r="L2939" i="2"/>
  <c r="K2939" i="2"/>
  <c r="J2939" i="2"/>
  <c r="I2939" i="2"/>
  <c r="L2938" i="2"/>
  <c r="K2938" i="2"/>
  <c r="J2938" i="2"/>
  <c r="I2938" i="2"/>
  <c r="L2937" i="2"/>
  <c r="K2937" i="2"/>
  <c r="J2937" i="2"/>
  <c r="I2937" i="2"/>
  <c r="L2936" i="2"/>
  <c r="K2936" i="2"/>
  <c r="J2936" i="2"/>
  <c r="I2936" i="2"/>
  <c r="L2935" i="2"/>
  <c r="K2935" i="2"/>
  <c r="J2935" i="2"/>
  <c r="I2935" i="2"/>
  <c r="L2934" i="2"/>
  <c r="K2934" i="2"/>
  <c r="J2934" i="2"/>
  <c r="I2934" i="2"/>
  <c r="L2933" i="2"/>
  <c r="K2933" i="2"/>
  <c r="J2933" i="2"/>
  <c r="I2933" i="2"/>
  <c r="L2932" i="2"/>
  <c r="K2932" i="2"/>
  <c r="J2932" i="2"/>
  <c r="I2932" i="2"/>
  <c r="L2931" i="2"/>
  <c r="K2931" i="2"/>
  <c r="J2931" i="2"/>
  <c r="I2931" i="2"/>
  <c r="L2930" i="2"/>
  <c r="K2930" i="2"/>
  <c r="J2930" i="2"/>
  <c r="I2930" i="2"/>
  <c r="L2929" i="2"/>
  <c r="K2929" i="2"/>
  <c r="J2929" i="2"/>
  <c r="I2929" i="2"/>
  <c r="L2928" i="2"/>
  <c r="K2928" i="2"/>
  <c r="J2928" i="2"/>
  <c r="I2928" i="2"/>
  <c r="L2927" i="2"/>
  <c r="K2927" i="2"/>
  <c r="J2927" i="2"/>
  <c r="I2927" i="2"/>
  <c r="L2926" i="2"/>
  <c r="K2926" i="2"/>
  <c r="J2926" i="2"/>
  <c r="I2926" i="2"/>
  <c r="L2925" i="2"/>
  <c r="K2925" i="2"/>
  <c r="J2925" i="2"/>
  <c r="I2925" i="2"/>
  <c r="L2924" i="2"/>
  <c r="K2924" i="2"/>
  <c r="J2924" i="2"/>
  <c r="I2924" i="2"/>
  <c r="L2923" i="2"/>
  <c r="K2923" i="2"/>
  <c r="J2923" i="2"/>
  <c r="I2923" i="2"/>
  <c r="L2922" i="2"/>
  <c r="K2922" i="2"/>
  <c r="J2922" i="2"/>
  <c r="I2922" i="2"/>
  <c r="L2921" i="2"/>
  <c r="K2921" i="2"/>
  <c r="J2921" i="2"/>
  <c r="I2921" i="2"/>
  <c r="L2920" i="2"/>
  <c r="K2920" i="2"/>
  <c r="J2920" i="2"/>
  <c r="I2920" i="2"/>
  <c r="L2919" i="2"/>
  <c r="K2919" i="2"/>
  <c r="J2919" i="2"/>
  <c r="I2919" i="2"/>
  <c r="L2918" i="2"/>
  <c r="K2918" i="2"/>
  <c r="J2918" i="2"/>
  <c r="I2918" i="2"/>
  <c r="L2917" i="2"/>
  <c r="K2917" i="2"/>
  <c r="J2917" i="2"/>
  <c r="I2917" i="2"/>
  <c r="L2916" i="2"/>
  <c r="K2916" i="2"/>
  <c r="J2916" i="2"/>
  <c r="I2916" i="2"/>
  <c r="L2915" i="2"/>
  <c r="K2915" i="2"/>
  <c r="J2915" i="2"/>
  <c r="I2915" i="2"/>
  <c r="L2914" i="2"/>
  <c r="K2914" i="2"/>
  <c r="J2914" i="2"/>
  <c r="I2914" i="2"/>
  <c r="L2913" i="2"/>
  <c r="K2913" i="2"/>
  <c r="J2913" i="2"/>
  <c r="I2913" i="2"/>
  <c r="L2912" i="2"/>
  <c r="K2912" i="2"/>
  <c r="J2912" i="2"/>
  <c r="I2912" i="2"/>
  <c r="L2911" i="2"/>
  <c r="K2911" i="2"/>
  <c r="J2911" i="2"/>
  <c r="I2911" i="2"/>
  <c r="L2910" i="2"/>
  <c r="K2910" i="2"/>
  <c r="J2910" i="2"/>
  <c r="I2910" i="2"/>
  <c r="L2909" i="2"/>
  <c r="K2909" i="2"/>
  <c r="J2909" i="2"/>
  <c r="I2909" i="2"/>
  <c r="L2908" i="2"/>
  <c r="K2908" i="2"/>
  <c r="J2908" i="2"/>
  <c r="I2908" i="2"/>
  <c r="L2907" i="2"/>
  <c r="K2907" i="2"/>
  <c r="J2907" i="2"/>
  <c r="I2907" i="2"/>
  <c r="L2906" i="2"/>
  <c r="K2906" i="2"/>
  <c r="J2906" i="2"/>
  <c r="I2906" i="2"/>
  <c r="L2905" i="2"/>
  <c r="K2905" i="2"/>
  <c r="J2905" i="2"/>
  <c r="I2905" i="2"/>
  <c r="L2904" i="2"/>
  <c r="K2904" i="2"/>
  <c r="J2904" i="2"/>
  <c r="I2904" i="2"/>
  <c r="L2903" i="2"/>
  <c r="K2903" i="2"/>
  <c r="J2903" i="2"/>
  <c r="I2903" i="2"/>
  <c r="L2902" i="2"/>
  <c r="K2902" i="2"/>
  <c r="J2902" i="2"/>
  <c r="I2902" i="2"/>
  <c r="L2901" i="2"/>
  <c r="K2901" i="2"/>
  <c r="J2901" i="2"/>
  <c r="I2901" i="2"/>
  <c r="L2900" i="2"/>
  <c r="K2900" i="2"/>
  <c r="J2900" i="2"/>
  <c r="I2900" i="2"/>
  <c r="L2899" i="2"/>
  <c r="K2899" i="2"/>
  <c r="J2899" i="2"/>
  <c r="I2899" i="2"/>
  <c r="L2898" i="2"/>
  <c r="K2898" i="2"/>
  <c r="J2898" i="2"/>
  <c r="I2898" i="2"/>
  <c r="L2897" i="2"/>
  <c r="K2897" i="2"/>
  <c r="J2897" i="2"/>
  <c r="I2897" i="2"/>
  <c r="L2896" i="2"/>
  <c r="K2896" i="2"/>
  <c r="J2896" i="2"/>
  <c r="I2896" i="2"/>
  <c r="L2895" i="2"/>
  <c r="K2895" i="2"/>
  <c r="J2895" i="2"/>
  <c r="I2895" i="2"/>
  <c r="L2894" i="2"/>
  <c r="K2894" i="2"/>
  <c r="J2894" i="2"/>
  <c r="I2894" i="2"/>
  <c r="L2893" i="2"/>
  <c r="K2893" i="2"/>
  <c r="J2893" i="2"/>
  <c r="I2893" i="2"/>
  <c r="L2892" i="2"/>
  <c r="K2892" i="2"/>
  <c r="J2892" i="2"/>
  <c r="I2892" i="2"/>
  <c r="L2891" i="2"/>
  <c r="K2891" i="2"/>
  <c r="J2891" i="2"/>
  <c r="I2891" i="2"/>
  <c r="L2890" i="2"/>
  <c r="K2890" i="2"/>
  <c r="J2890" i="2"/>
  <c r="I2890" i="2"/>
  <c r="L2889" i="2"/>
  <c r="K2889" i="2"/>
  <c r="J2889" i="2"/>
  <c r="I2889" i="2"/>
  <c r="L2888" i="2"/>
  <c r="K2888" i="2"/>
  <c r="J2888" i="2"/>
  <c r="I2888" i="2"/>
  <c r="L2887" i="2"/>
  <c r="K2887" i="2"/>
  <c r="J2887" i="2"/>
  <c r="I2887" i="2"/>
  <c r="L2886" i="2"/>
  <c r="K2886" i="2"/>
  <c r="J2886" i="2"/>
  <c r="I2886" i="2"/>
  <c r="L2885" i="2"/>
  <c r="K2885" i="2"/>
  <c r="J2885" i="2"/>
  <c r="I2885" i="2"/>
  <c r="L2884" i="2"/>
  <c r="K2884" i="2"/>
  <c r="J2884" i="2"/>
  <c r="I2884" i="2"/>
  <c r="L2883" i="2"/>
  <c r="K2883" i="2"/>
  <c r="J2883" i="2"/>
  <c r="I2883" i="2"/>
  <c r="L2882" i="2"/>
  <c r="K2882" i="2"/>
  <c r="J2882" i="2"/>
  <c r="I2882" i="2"/>
  <c r="L2881" i="2"/>
  <c r="K2881" i="2"/>
  <c r="J2881" i="2"/>
  <c r="I2881" i="2"/>
  <c r="L2880" i="2"/>
  <c r="K2880" i="2"/>
  <c r="J2880" i="2"/>
  <c r="I2880" i="2"/>
  <c r="L2879" i="2"/>
  <c r="K2879" i="2"/>
  <c r="J2879" i="2"/>
  <c r="I2879" i="2"/>
  <c r="L2878" i="2"/>
  <c r="K2878" i="2"/>
  <c r="J2878" i="2"/>
  <c r="I2878" i="2"/>
  <c r="L2877" i="2"/>
  <c r="K2877" i="2"/>
  <c r="J2877" i="2"/>
  <c r="I2877" i="2"/>
  <c r="L2876" i="2"/>
  <c r="K2876" i="2"/>
  <c r="J2876" i="2"/>
  <c r="I2876" i="2"/>
  <c r="L2875" i="2"/>
  <c r="K2875" i="2"/>
  <c r="J2875" i="2"/>
  <c r="I2875" i="2"/>
  <c r="L2874" i="2"/>
  <c r="K2874" i="2"/>
  <c r="J2874" i="2"/>
  <c r="I2874" i="2"/>
  <c r="L2873" i="2"/>
  <c r="K2873" i="2"/>
  <c r="J2873" i="2"/>
  <c r="I2873" i="2"/>
  <c r="L2872" i="2"/>
  <c r="K2872" i="2"/>
  <c r="J2872" i="2"/>
  <c r="I2872" i="2"/>
  <c r="L2871" i="2"/>
  <c r="K2871" i="2"/>
  <c r="J2871" i="2"/>
  <c r="I2871" i="2"/>
  <c r="L2870" i="2"/>
  <c r="K2870" i="2"/>
  <c r="J2870" i="2"/>
  <c r="I2870" i="2"/>
  <c r="L2869" i="2"/>
  <c r="K2869" i="2"/>
  <c r="J2869" i="2"/>
  <c r="I2869" i="2"/>
  <c r="L2868" i="2"/>
  <c r="K2868" i="2"/>
  <c r="J2868" i="2"/>
  <c r="I2868" i="2"/>
  <c r="L2867" i="2"/>
  <c r="K2867" i="2"/>
  <c r="J2867" i="2"/>
  <c r="I2867" i="2"/>
  <c r="L2866" i="2"/>
  <c r="K2866" i="2"/>
  <c r="J2866" i="2"/>
  <c r="I2866" i="2"/>
  <c r="L2865" i="2"/>
  <c r="K2865" i="2"/>
  <c r="J2865" i="2"/>
  <c r="I2865" i="2"/>
  <c r="L2864" i="2"/>
  <c r="K2864" i="2"/>
  <c r="J2864" i="2"/>
  <c r="I2864" i="2"/>
  <c r="L2863" i="2"/>
  <c r="K2863" i="2"/>
  <c r="J2863" i="2"/>
  <c r="I2863" i="2"/>
  <c r="L2862" i="2"/>
  <c r="K2862" i="2"/>
  <c r="J2862" i="2"/>
  <c r="I2862" i="2"/>
  <c r="L2861" i="2"/>
  <c r="K2861" i="2"/>
  <c r="J2861" i="2"/>
  <c r="I2861" i="2"/>
  <c r="L2860" i="2"/>
  <c r="K2860" i="2"/>
  <c r="J2860" i="2"/>
  <c r="I2860" i="2"/>
  <c r="L2859" i="2"/>
  <c r="K2859" i="2"/>
  <c r="J2859" i="2"/>
  <c r="I2859" i="2"/>
  <c r="L2858" i="2"/>
  <c r="K2858" i="2"/>
  <c r="J2858" i="2"/>
  <c r="I2858" i="2"/>
  <c r="L2857" i="2"/>
  <c r="K2857" i="2"/>
  <c r="J2857" i="2"/>
  <c r="I2857" i="2"/>
  <c r="L2856" i="2"/>
  <c r="K2856" i="2"/>
  <c r="J2856" i="2"/>
  <c r="I2856" i="2"/>
  <c r="L2855" i="2"/>
  <c r="K2855" i="2"/>
  <c r="J2855" i="2"/>
  <c r="I2855" i="2"/>
  <c r="L2854" i="2"/>
  <c r="K2854" i="2"/>
  <c r="J2854" i="2"/>
  <c r="I2854" i="2"/>
  <c r="L2853" i="2"/>
  <c r="K2853" i="2"/>
  <c r="J2853" i="2"/>
  <c r="I2853" i="2"/>
  <c r="L2852" i="2"/>
  <c r="K2852" i="2"/>
  <c r="J2852" i="2"/>
  <c r="I2852" i="2"/>
  <c r="L2851" i="2"/>
  <c r="K2851" i="2"/>
  <c r="J2851" i="2"/>
  <c r="I2851" i="2"/>
  <c r="L2850" i="2"/>
  <c r="K2850" i="2"/>
  <c r="J2850" i="2"/>
  <c r="I2850" i="2"/>
  <c r="L2849" i="2"/>
  <c r="K2849" i="2"/>
  <c r="J2849" i="2"/>
  <c r="I2849" i="2"/>
  <c r="L2848" i="2"/>
  <c r="K2848" i="2"/>
  <c r="J2848" i="2"/>
  <c r="I2848" i="2"/>
  <c r="L2847" i="2"/>
  <c r="K2847" i="2"/>
  <c r="J2847" i="2"/>
  <c r="I2847" i="2"/>
  <c r="L2846" i="2"/>
  <c r="K2846" i="2"/>
  <c r="J2846" i="2"/>
  <c r="I2846" i="2"/>
  <c r="L2845" i="2"/>
  <c r="K2845" i="2"/>
  <c r="J2845" i="2"/>
  <c r="I2845" i="2"/>
  <c r="L2844" i="2"/>
  <c r="K2844" i="2"/>
  <c r="J2844" i="2"/>
  <c r="I2844" i="2"/>
  <c r="L2843" i="2"/>
  <c r="K2843" i="2"/>
  <c r="J2843" i="2"/>
  <c r="I2843" i="2"/>
  <c r="L2842" i="2"/>
  <c r="K2842" i="2"/>
  <c r="J2842" i="2"/>
  <c r="I2842" i="2"/>
  <c r="L2841" i="2"/>
  <c r="K2841" i="2"/>
  <c r="J2841" i="2"/>
  <c r="I2841" i="2"/>
  <c r="L2840" i="2"/>
  <c r="K2840" i="2"/>
  <c r="J2840" i="2"/>
  <c r="I2840" i="2"/>
  <c r="L2839" i="2"/>
  <c r="K2839" i="2"/>
  <c r="J2839" i="2"/>
  <c r="I2839" i="2"/>
  <c r="L2838" i="2"/>
  <c r="K2838" i="2"/>
  <c r="J2838" i="2"/>
  <c r="I2838" i="2"/>
  <c r="L2837" i="2"/>
  <c r="K2837" i="2"/>
  <c r="J2837" i="2"/>
  <c r="I2837" i="2"/>
  <c r="L2836" i="2"/>
  <c r="K2836" i="2"/>
  <c r="J2836" i="2"/>
  <c r="I2836" i="2"/>
  <c r="L2835" i="2"/>
  <c r="K2835" i="2"/>
  <c r="J2835" i="2"/>
  <c r="I2835" i="2"/>
  <c r="L2834" i="2"/>
  <c r="K2834" i="2"/>
  <c r="J2834" i="2"/>
  <c r="I2834" i="2"/>
  <c r="L2833" i="2"/>
  <c r="K2833" i="2"/>
  <c r="J2833" i="2"/>
  <c r="I2833" i="2"/>
  <c r="L2832" i="2"/>
  <c r="K2832" i="2"/>
  <c r="J2832" i="2"/>
  <c r="I2832" i="2"/>
  <c r="L2831" i="2"/>
  <c r="K2831" i="2"/>
  <c r="J2831" i="2"/>
  <c r="I2831" i="2"/>
  <c r="L2830" i="2"/>
  <c r="K2830" i="2"/>
  <c r="J2830" i="2"/>
  <c r="I2830" i="2"/>
  <c r="L2829" i="2"/>
  <c r="K2829" i="2"/>
  <c r="J2829" i="2"/>
  <c r="I2829" i="2"/>
  <c r="L2828" i="2"/>
  <c r="K2828" i="2"/>
  <c r="J2828" i="2"/>
  <c r="I2828" i="2"/>
  <c r="L2827" i="2"/>
  <c r="K2827" i="2"/>
  <c r="J2827" i="2"/>
  <c r="I2827" i="2"/>
  <c r="L2826" i="2"/>
  <c r="K2826" i="2"/>
  <c r="J2826" i="2"/>
  <c r="I2826" i="2"/>
  <c r="L2825" i="2"/>
  <c r="K2825" i="2"/>
  <c r="J2825" i="2"/>
  <c r="I2825" i="2"/>
  <c r="L2824" i="2"/>
  <c r="K2824" i="2"/>
  <c r="J2824" i="2"/>
  <c r="I2824" i="2"/>
  <c r="L2823" i="2"/>
  <c r="K2823" i="2"/>
  <c r="J2823" i="2"/>
  <c r="I2823" i="2"/>
  <c r="L2822" i="2"/>
  <c r="K2822" i="2"/>
  <c r="J2822" i="2"/>
  <c r="I2822" i="2"/>
  <c r="L2821" i="2"/>
  <c r="K2821" i="2"/>
  <c r="J2821" i="2"/>
  <c r="I2821" i="2"/>
  <c r="L2820" i="2"/>
  <c r="K2820" i="2"/>
  <c r="J2820" i="2"/>
  <c r="I2820" i="2"/>
  <c r="L2819" i="2"/>
  <c r="K2819" i="2"/>
  <c r="J2819" i="2"/>
  <c r="I2819" i="2"/>
  <c r="L2818" i="2"/>
  <c r="K2818" i="2"/>
  <c r="J2818" i="2"/>
  <c r="I2818" i="2"/>
  <c r="L2817" i="2"/>
  <c r="K2817" i="2"/>
  <c r="J2817" i="2"/>
  <c r="I2817" i="2"/>
  <c r="L2816" i="2"/>
  <c r="K2816" i="2"/>
  <c r="J2816" i="2"/>
  <c r="I2816" i="2"/>
  <c r="L2815" i="2"/>
  <c r="K2815" i="2"/>
  <c r="J2815" i="2"/>
  <c r="I2815" i="2"/>
  <c r="L2814" i="2"/>
  <c r="K2814" i="2"/>
  <c r="J2814" i="2"/>
  <c r="I2814" i="2"/>
  <c r="L2813" i="2"/>
  <c r="K2813" i="2"/>
  <c r="J2813" i="2"/>
  <c r="I2813" i="2"/>
  <c r="L2812" i="2"/>
  <c r="K2812" i="2"/>
  <c r="J2812" i="2"/>
  <c r="I2812" i="2"/>
  <c r="L2811" i="2"/>
  <c r="K2811" i="2"/>
  <c r="J2811" i="2"/>
  <c r="I2811" i="2"/>
  <c r="L2810" i="2"/>
  <c r="K2810" i="2"/>
  <c r="J2810" i="2"/>
  <c r="I2810" i="2"/>
  <c r="L2809" i="2"/>
  <c r="K2809" i="2"/>
  <c r="J2809" i="2"/>
  <c r="I2809" i="2"/>
  <c r="L2808" i="2"/>
  <c r="K2808" i="2"/>
  <c r="J2808" i="2"/>
  <c r="I2808" i="2"/>
  <c r="L2807" i="2"/>
  <c r="K2807" i="2"/>
  <c r="J2807" i="2"/>
  <c r="I2807" i="2"/>
  <c r="L2806" i="2"/>
  <c r="K2806" i="2"/>
  <c r="J2806" i="2"/>
  <c r="I2806" i="2"/>
  <c r="L2805" i="2"/>
  <c r="K2805" i="2"/>
  <c r="J2805" i="2"/>
  <c r="I2805" i="2"/>
  <c r="L2804" i="2"/>
  <c r="K2804" i="2"/>
  <c r="J2804" i="2"/>
  <c r="I2804" i="2"/>
  <c r="L2803" i="2"/>
  <c r="K2803" i="2"/>
  <c r="J2803" i="2"/>
  <c r="I2803" i="2"/>
  <c r="L2802" i="2"/>
  <c r="K2802" i="2"/>
  <c r="J2802" i="2"/>
  <c r="I2802" i="2"/>
  <c r="L2801" i="2"/>
  <c r="K2801" i="2"/>
  <c r="J2801" i="2"/>
  <c r="I2801" i="2"/>
  <c r="L2800" i="2"/>
  <c r="K2800" i="2"/>
  <c r="J2800" i="2"/>
  <c r="I2800" i="2"/>
  <c r="L2799" i="2"/>
  <c r="K2799" i="2"/>
  <c r="J2799" i="2"/>
  <c r="I2799" i="2"/>
  <c r="L2798" i="2"/>
  <c r="K2798" i="2"/>
  <c r="J2798" i="2"/>
  <c r="I2798" i="2"/>
  <c r="L2797" i="2"/>
  <c r="K2797" i="2"/>
  <c r="J2797" i="2"/>
  <c r="I2797" i="2"/>
  <c r="L2796" i="2"/>
  <c r="K2796" i="2"/>
  <c r="J2796" i="2"/>
  <c r="I2796" i="2"/>
  <c r="L2795" i="2"/>
  <c r="K2795" i="2"/>
  <c r="J2795" i="2"/>
  <c r="I2795" i="2"/>
  <c r="L2794" i="2"/>
  <c r="K2794" i="2"/>
  <c r="J2794" i="2"/>
  <c r="I2794" i="2"/>
  <c r="L2793" i="2"/>
  <c r="K2793" i="2"/>
  <c r="J2793" i="2"/>
  <c r="I2793" i="2"/>
  <c r="L2792" i="2"/>
  <c r="K2792" i="2"/>
  <c r="J2792" i="2"/>
  <c r="I2792" i="2"/>
  <c r="L2791" i="2"/>
  <c r="K2791" i="2"/>
  <c r="J2791" i="2"/>
  <c r="I2791" i="2"/>
  <c r="L2790" i="2"/>
  <c r="K2790" i="2"/>
  <c r="J2790" i="2"/>
  <c r="I2790" i="2"/>
  <c r="L2789" i="2"/>
  <c r="K2789" i="2"/>
  <c r="J2789" i="2"/>
  <c r="I2789" i="2"/>
  <c r="L2788" i="2"/>
  <c r="K2788" i="2"/>
  <c r="J2788" i="2"/>
  <c r="I2788" i="2"/>
  <c r="L2787" i="2"/>
  <c r="K2787" i="2"/>
  <c r="J2787" i="2"/>
  <c r="I2787" i="2"/>
  <c r="L2786" i="2"/>
  <c r="K2786" i="2"/>
  <c r="J2786" i="2"/>
  <c r="I2786" i="2"/>
  <c r="L2785" i="2"/>
  <c r="K2785" i="2"/>
  <c r="J2785" i="2"/>
  <c r="I2785" i="2"/>
  <c r="L2784" i="2"/>
  <c r="K2784" i="2"/>
  <c r="J2784" i="2"/>
  <c r="I2784" i="2"/>
  <c r="L2783" i="2"/>
  <c r="K2783" i="2"/>
  <c r="J2783" i="2"/>
  <c r="I2783" i="2"/>
  <c r="L2782" i="2"/>
  <c r="K2782" i="2"/>
  <c r="J2782" i="2"/>
  <c r="I2782" i="2"/>
  <c r="L2781" i="2"/>
  <c r="K2781" i="2"/>
  <c r="J2781" i="2"/>
  <c r="I2781" i="2"/>
  <c r="L2780" i="2"/>
  <c r="K2780" i="2"/>
  <c r="J2780" i="2"/>
  <c r="I2780" i="2"/>
  <c r="L2779" i="2"/>
  <c r="K2779" i="2"/>
  <c r="J2779" i="2"/>
  <c r="I2779" i="2"/>
  <c r="L2778" i="2"/>
  <c r="K2778" i="2"/>
  <c r="J2778" i="2"/>
  <c r="I2778" i="2"/>
  <c r="L2777" i="2"/>
  <c r="K2777" i="2"/>
  <c r="J2777" i="2"/>
  <c r="I2777" i="2"/>
  <c r="L2776" i="2"/>
  <c r="K2776" i="2"/>
  <c r="J2776" i="2"/>
  <c r="I2776" i="2"/>
  <c r="L2775" i="2"/>
  <c r="K2775" i="2"/>
  <c r="J2775" i="2"/>
  <c r="I2775" i="2"/>
  <c r="L2774" i="2"/>
  <c r="K2774" i="2"/>
  <c r="J2774" i="2"/>
  <c r="I2774" i="2"/>
  <c r="L2773" i="2"/>
  <c r="K2773" i="2"/>
  <c r="J2773" i="2"/>
  <c r="I2773" i="2"/>
  <c r="L2772" i="2"/>
  <c r="K2772" i="2"/>
  <c r="J2772" i="2"/>
  <c r="I2772" i="2"/>
  <c r="L2771" i="2"/>
  <c r="K2771" i="2"/>
  <c r="J2771" i="2"/>
  <c r="I2771" i="2"/>
  <c r="L2770" i="2"/>
  <c r="K2770" i="2"/>
  <c r="J2770" i="2"/>
  <c r="I2770" i="2"/>
  <c r="L2769" i="2"/>
  <c r="K2769" i="2"/>
  <c r="J2769" i="2"/>
  <c r="I2769" i="2"/>
  <c r="L2768" i="2"/>
  <c r="K2768" i="2"/>
  <c r="J2768" i="2"/>
  <c r="I2768" i="2"/>
  <c r="L2767" i="2"/>
  <c r="K2767" i="2"/>
  <c r="J2767" i="2"/>
  <c r="I2767" i="2"/>
  <c r="L2766" i="2"/>
  <c r="K2766" i="2"/>
  <c r="J2766" i="2"/>
  <c r="I2766" i="2"/>
  <c r="L2765" i="2"/>
  <c r="K2765" i="2"/>
  <c r="J2765" i="2"/>
  <c r="I2765" i="2"/>
  <c r="L2764" i="2"/>
  <c r="K2764" i="2"/>
  <c r="J2764" i="2"/>
  <c r="I2764" i="2"/>
  <c r="L2763" i="2"/>
  <c r="K2763" i="2"/>
  <c r="J2763" i="2"/>
  <c r="I2763" i="2"/>
  <c r="L2762" i="2"/>
  <c r="K2762" i="2"/>
  <c r="J2762" i="2"/>
  <c r="I2762" i="2"/>
  <c r="L2761" i="2"/>
  <c r="K2761" i="2"/>
  <c r="J2761" i="2"/>
  <c r="I2761" i="2"/>
  <c r="L2760" i="2"/>
  <c r="K2760" i="2"/>
  <c r="J2760" i="2"/>
  <c r="I2760" i="2"/>
  <c r="L2759" i="2"/>
  <c r="K2759" i="2"/>
  <c r="J2759" i="2"/>
  <c r="I2759" i="2"/>
  <c r="L2758" i="2"/>
  <c r="K2758" i="2"/>
  <c r="J2758" i="2"/>
  <c r="I2758" i="2"/>
  <c r="L2757" i="2"/>
  <c r="K2757" i="2"/>
  <c r="J2757" i="2"/>
  <c r="I2757" i="2"/>
  <c r="L2756" i="2"/>
  <c r="K2756" i="2"/>
  <c r="J2756" i="2"/>
  <c r="I2756" i="2"/>
  <c r="L2755" i="2"/>
  <c r="K2755" i="2"/>
  <c r="J2755" i="2"/>
  <c r="I2755" i="2"/>
  <c r="L2754" i="2"/>
  <c r="K2754" i="2"/>
  <c r="J2754" i="2"/>
  <c r="I2754" i="2"/>
  <c r="L2753" i="2"/>
  <c r="K2753" i="2"/>
  <c r="J2753" i="2"/>
  <c r="I2753" i="2"/>
  <c r="L2752" i="2"/>
  <c r="K2752" i="2"/>
  <c r="J2752" i="2"/>
  <c r="I2752" i="2"/>
  <c r="L2751" i="2"/>
  <c r="K2751" i="2"/>
  <c r="J2751" i="2"/>
  <c r="I2751" i="2"/>
  <c r="L2750" i="2"/>
  <c r="K2750" i="2"/>
  <c r="J2750" i="2"/>
  <c r="I2750" i="2"/>
  <c r="L2749" i="2"/>
  <c r="K2749" i="2"/>
  <c r="J2749" i="2"/>
  <c r="I2749" i="2"/>
  <c r="L2748" i="2"/>
  <c r="K2748" i="2"/>
  <c r="J2748" i="2"/>
  <c r="I2748" i="2"/>
  <c r="L2747" i="2"/>
  <c r="K2747" i="2"/>
  <c r="J2747" i="2"/>
  <c r="I2747" i="2"/>
  <c r="L2746" i="2"/>
  <c r="K2746" i="2"/>
  <c r="J2746" i="2"/>
  <c r="I2746" i="2"/>
  <c r="L2745" i="2"/>
  <c r="K2745" i="2"/>
  <c r="J2745" i="2"/>
  <c r="I2745" i="2"/>
  <c r="L2744" i="2"/>
  <c r="K2744" i="2"/>
  <c r="J2744" i="2"/>
  <c r="I2744" i="2"/>
  <c r="L2743" i="2"/>
  <c r="K2743" i="2"/>
  <c r="J2743" i="2"/>
  <c r="I2743" i="2"/>
  <c r="L2742" i="2"/>
  <c r="K2742" i="2"/>
  <c r="J2742" i="2"/>
  <c r="I2742" i="2"/>
  <c r="L2741" i="2"/>
  <c r="K2741" i="2"/>
  <c r="J2741" i="2"/>
  <c r="I2741" i="2"/>
  <c r="L2740" i="2"/>
  <c r="K2740" i="2"/>
  <c r="J2740" i="2"/>
  <c r="I2740" i="2"/>
  <c r="L2739" i="2"/>
  <c r="K2739" i="2"/>
  <c r="J2739" i="2"/>
  <c r="I2739" i="2"/>
  <c r="L2738" i="2"/>
  <c r="K2738" i="2"/>
  <c r="J2738" i="2"/>
  <c r="I2738" i="2"/>
  <c r="L2737" i="2"/>
  <c r="K2737" i="2"/>
  <c r="J2737" i="2"/>
  <c r="I2737" i="2"/>
  <c r="L2736" i="2"/>
  <c r="K2736" i="2"/>
  <c r="J2736" i="2"/>
  <c r="I2736" i="2"/>
  <c r="L2735" i="2"/>
  <c r="K2735" i="2"/>
  <c r="J2735" i="2"/>
  <c r="I2735" i="2"/>
  <c r="L2734" i="2"/>
  <c r="K2734" i="2"/>
  <c r="J2734" i="2"/>
  <c r="I2734" i="2"/>
  <c r="L2733" i="2"/>
  <c r="K2733" i="2"/>
  <c r="J2733" i="2"/>
  <c r="I2733" i="2"/>
  <c r="L2732" i="2"/>
  <c r="K2732" i="2"/>
  <c r="J2732" i="2"/>
  <c r="I2732" i="2"/>
  <c r="L2731" i="2"/>
  <c r="K2731" i="2"/>
  <c r="J2731" i="2"/>
  <c r="I2731" i="2"/>
  <c r="L2730" i="2"/>
  <c r="K2730" i="2"/>
  <c r="J2730" i="2"/>
  <c r="I2730" i="2"/>
  <c r="L2729" i="2"/>
  <c r="K2729" i="2"/>
  <c r="J2729" i="2"/>
  <c r="I2729" i="2"/>
  <c r="L2728" i="2"/>
  <c r="K2728" i="2"/>
  <c r="J2728" i="2"/>
  <c r="I2728" i="2"/>
  <c r="L2727" i="2"/>
  <c r="K2727" i="2"/>
  <c r="J2727" i="2"/>
  <c r="I2727" i="2"/>
  <c r="L2726" i="2"/>
  <c r="K2726" i="2"/>
  <c r="J2726" i="2"/>
  <c r="I2726" i="2"/>
  <c r="L2725" i="2"/>
  <c r="K2725" i="2"/>
  <c r="J2725" i="2"/>
  <c r="I2725" i="2"/>
  <c r="L2724" i="2"/>
  <c r="K2724" i="2"/>
  <c r="J2724" i="2"/>
  <c r="I2724" i="2"/>
  <c r="L2723" i="2"/>
  <c r="K2723" i="2"/>
  <c r="J2723" i="2"/>
  <c r="I2723" i="2"/>
  <c r="L2722" i="2"/>
  <c r="K2722" i="2"/>
  <c r="J2722" i="2"/>
  <c r="I2722" i="2"/>
  <c r="L2721" i="2"/>
  <c r="K2721" i="2"/>
  <c r="J2721" i="2"/>
  <c r="I2721" i="2"/>
  <c r="L2720" i="2"/>
  <c r="K2720" i="2"/>
  <c r="J2720" i="2"/>
  <c r="I2720" i="2"/>
  <c r="L2719" i="2"/>
  <c r="K2719" i="2"/>
  <c r="J2719" i="2"/>
  <c r="I2719" i="2"/>
  <c r="L2718" i="2"/>
  <c r="K2718" i="2"/>
  <c r="J2718" i="2"/>
  <c r="I2718" i="2"/>
  <c r="L2717" i="2"/>
  <c r="K2717" i="2"/>
  <c r="J2717" i="2"/>
  <c r="I2717" i="2"/>
  <c r="L2716" i="2"/>
  <c r="K2716" i="2"/>
  <c r="J2716" i="2"/>
  <c r="I2716" i="2"/>
  <c r="L2715" i="2"/>
  <c r="K2715" i="2"/>
  <c r="J2715" i="2"/>
  <c r="I2715" i="2"/>
  <c r="L2714" i="2"/>
  <c r="K2714" i="2"/>
  <c r="J2714" i="2"/>
  <c r="I2714" i="2"/>
  <c r="L2713" i="2"/>
  <c r="K2713" i="2"/>
  <c r="J2713" i="2"/>
  <c r="I2713" i="2"/>
  <c r="L2712" i="2"/>
  <c r="K2712" i="2"/>
  <c r="J2712" i="2"/>
  <c r="I2712" i="2"/>
  <c r="L2711" i="2"/>
  <c r="K2711" i="2"/>
  <c r="J2711" i="2"/>
  <c r="I2711" i="2"/>
  <c r="L2710" i="2"/>
  <c r="K2710" i="2"/>
  <c r="J2710" i="2"/>
  <c r="I2710" i="2"/>
  <c r="L2709" i="2"/>
  <c r="K2709" i="2"/>
  <c r="J2709" i="2"/>
  <c r="I2709" i="2"/>
  <c r="L2708" i="2"/>
  <c r="K2708" i="2"/>
  <c r="J2708" i="2"/>
  <c r="I2708" i="2"/>
  <c r="L2707" i="2"/>
  <c r="K2707" i="2"/>
  <c r="J2707" i="2"/>
  <c r="I2707" i="2"/>
  <c r="L2706" i="2"/>
  <c r="K2706" i="2"/>
  <c r="J2706" i="2"/>
  <c r="I2706" i="2"/>
  <c r="L2705" i="2"/>
  <c r="K2705" i="2"/>
  <c r="J2705" i="2"/>
  <c r="I2705" i="2"/>
  <c r="L2704" i="2"/>
  <c r="K2704" i="2"/>
  <c r="J2704" i="2"/>
  <c r="I2704" i="2"/>
  <c r="L2703" i="2"/>
  <c r="K2703" i="2"/>
  <c r="J2703" i="2"/>
  <c r="I2703" i="2"/>
  <c r="L2702" i="2"/>
  <c r="K2702" i="2"/>
  <c r="J2702" i="2"/>
  <c r="I2702" i="2"/>
  <c r="L2701" i="2"/>
  <c r="K2701" i="2"/>
  <c r="J2701" i="2"/>
  <c r="I2701" i="2"/>
  <c r="L2700" i="2"/>
  <c r="K2700" i="2"/>
  <c r="J2700" i="2"/>
  <c r="I2700" i="2"/>
  <c r="L2699" i="2"/>
  <c r="K2699" i="2"/>
  <c r="J2699" i="2"/>
  <c r="I2699" i="2"/>
  <c r="L2698" i="2"/>
  <c r="K2698" i="2"/>
  <c r="J2698" i="2"/>
  <c r="I2698" i="2"/>
  <c r="L2697" i="2"/>
  <c r="K2697" i="2"/>
  <c r="J2697" i="2"/>
  <c r="I2697" i="2"/>
  <c r="L2696" i="2"/>
  <c r="K2696" i="2"/>
  <c r="J2696" i="2"/>
  <c r="I2696" i="2"/>
  <c r="L2695" i="2"/>
  <c r="K2695" i="2"/>
  <c r="J2695" i="2"/>
  <c r="I2695" i="2"/>
  <c r="L2694" i="2"/>
  <c r="K2694" i="2"/>
  <c r="J2694" i="2"/>
  <c r="I2694" i="2"/>
  <c r="L2693" i="2"/>
  <c r="K2693" i="2"/>
  <c r="J2693" i="2"/>
  <c r="I2693" i="2"/>
  <c r="L2692" i="2"/>
  <c r="K2692" i="2"/>
  <c r="J2692" i="2"/>
  <c r="I2692" i="2"/>
  <c r="L2691" i="2"/>
  <c r="K2691" i="2"/>
  <c r="J2691" i="2"/>
  <c r="I2691" i="2"/>
  <c r="L2690" i="2"/>
  <c r="K2690" i="2"/>
  <c r="J2690" i="2"/>
  <c r="I2690" i="2"/>
  <c r="L2689" i="2"/>
  <c r="K2689" i="2"/>
  <c r="J2689" i="2"/>
  <c r="I2689" i="2"/>
  <c r="L2688" i="2"/>
  <c r="K2688" i="2"/>
  <c r="J2688" i="2"/>
  <c r="I2688" i="2"/>
  <c r="L2687" i="2"/>
  <c r="K2687" i="2"/>
  <c r="J2687" i="2"/>
  <c r="I2687" i="2"/>
  <c r="L2686" i="2"/>
  <c r="K2686" i="2"/>
  <c r="J2686" i="2"/>
  <c r="I2686" i="2"/>
  <c r="L2685" i="2"/>
  <c r="K2685" i="2"/>
  <c r="J2685" i="2"/>
  <c r="I2685" i="2"/>
  <c r="L2684" i="2"/>
  <c r="K2684" i="2"/>
  <c r="J2684" i="2"/>
  <c r="I2684" i="2"/>
  <c r="L2683" i="2"/>
  <c r="K2683" i="2"/>
  <c r="J2683" i="2"/>
  <c r="I2683" i="2"/>
  <c r="L2682" i="2"/>
  <c r="K2682" i="2"/>
  <c r="J2682" i="2"/>
  <c r="I2682" i="2"/>
  <c r="L2681" i="2"/>
  <c r="K2681" i="2"/>
  <c r="J2681" i="2"/>
  <c r="I2681" i="2"/>
  <c r="L2680" i="2"/>
  <c r="K2680" i="2"/>
  <c r="J2680" i="2"/>
  <c r="I2680" i="2"/>
  <c r="L2679" i="2"/>
  <c r="K2679" i="2"/>
  <c r="J2679" i="2"/>
  <c r="I2679" i="2"/>
  <c r="L2678" i="2"/>
  <c r="K2678" i="2"/>
  <c r="J2678" i="2"/>
  <c r="I2678" i="2"/>
  <c r="L2677" i="2"/>
  <c r="K2677" i="2"/>
  <c r="J2677" i="2"/>
  <c r="I2677" i="2"/>
  <c r="L2676" i="2"/>
  <c r="K2676" i="2"/>
  <c r="J2676" i="2"/>
  <c r="I2676" i="2"/>
  <c r="L2675" i="2"/>
  <c r="K2675" i="2"/>
  <c r="J2675" i="2"/>
  <c r="I2675" i="2"/>
  <c r="L2674" i="2"/>
  <c r="K2674" i="2"/>
  <c r="J2674" i="2"/>
  <c r="I2674" i="2"/>
  <c r="L2673" i="2"/>
  <c r="K2673" i="2"/>
  <c r="J2673" i="2"/>
  <c r="I2673" i="2"/>
  <c r="L2672" i="2"/>
  <c r="K2672" i="2"/>
  <c r="J2672" i="2"/>
  <c r="I2672" i="2"/>
  <c r="L2671" i="2"/>
  <c r="K2671" i="2"/>
  <c r="J2671" i="2"/>
  <c r="I2671" i="2"/>
  <c r="L2670" i="2"/>
  <c r="K2670" i="2"/>
  <c r="J2670" i="2"/>
  <c r="I2670" i="2"/>
  <c r="L2669" i="2"/>
  <c r="K2669" i="2"/>
  <c r="J2669" i="2"/>
  <c r="I2669" i="2"/>
  <c r="L2668" i="2"/>
  <c r="K2668" i="2"/>
  <c r="J2668" i="2"/>
  <c r="I2668" i="2"/>
  <c r="L2667" i="2"/>
  <c r="K2667" i="2"/>
  <c r="J2667" i="2"/>
  <c r="I2667" i="2"/>
  <c r="L2666" i="2"/>
  <c r="K2666" i="2"/>
  <c r="J2666" i="2"/>
  <c r="I2666" i="2"/>
  <c r="L2665" i="2"/>
  <c r="K2665" i="2"/>
  <c r="J2665" i="2"/>
  <c r="I2665" i="2"/>
  <c r="L2664" i="2"/>
  <c r="K2664" i="2"/>
  <c r="J2664" i="2"/>
  <c r="I2664" i="2"/>
  <c r="L2663" i="2"/>
  <c r="K2663" i="2"/>
  <c r="J2663" i="2"/>
  <c r="I2663" i="2"/>
  <c r="L2662" i="2"/>
  <c r="K2662" i="2"/>
  <c r="J2662" i="2"/>
  <c r="I2662" i="2"/>
  <c r="L2661" i="2"/>
  <c r="K2661" i="2"/>
  <c r="J2661" i="2"/>
  <c r="I2661" i="2"/>
  <c r="L2660" i="2"/>
  <c r="K2660" i="2"/>
  <c r="J2660" i="2"/>
  <c r="I2660" i="2"/>
  <c r="L2659" i="2"/>
  <c r="K2659" i="2"/>
  <c r="J2659" i="2"/>
  <c r="I2659" i="2"/>
  <c r="L2658" i="2"/>
  <c r="K2658" i="2"/>
  <c r="J2658" i="2"/>
  <c r="I2658" i="2"/>
  <c r="L2657" i="2"/>
  <c r="K2657" i="2"/>
  <c r="J2657" i="2"/>
  <c r="I2657" i="2"/>
  <c r="L2656" i="2"/>
  <c r="K2656" i="2"/>
  <c r="J2656" i="2"/>
  <c r="I2656" i="2"/>
  <c r="L2655" i="2"/>
  <c r="K2655" i="2"/>
  <c r="J2655" i="2"/>
  <c r="I2655" i="2"/>
  <c r="L2654" i="2"/>
  <c r="K2654" i="2"/>
  <c r="J2654" i="2"/>
  <c r="I2654" i="2"/>
  <c r="L2653" i="2"/>
  <c r="K2653" i="2"/>
  <c r="J2653" i="2"/>
  <c r="I2653" i="2"/>
  <c r="L2652" i="2"/>
  <c r="K2652" i="2"/>
  <c r="J2652" i="2"/>
  <c r="I2652" i="2"/>
  <c r="L2651" i="2"/>
  <c r="K2651" i="2"/>
  <c r="J2651" i="2"/>
  <c r="I2651" i="2"/>
  <c r="L2650" i="2"/>
  <c r="K2650" i="2"/>
  <c r="J2650" i="2"/>
  <c r="I2650" i="2"/>
  <c r="L2649" i="2"/>
  <c r="K2649" i="2"/>
  <c r="J2649" i="2"/>
  <c r="I2649" i="2"/>
  <c r="L2648" i="2"/>
  <c r="K2648" i="2"/>
  <c r="J2648" i="2"/>
  <c r="I2648" i="2"/>
  <c r="L2647" i="2"/>
  <c r="K2647" i="2"/>
  <c r="J2647" i="2"/>
  <c r="I2647" i="2"/>
  <c r="L2646" i="2"/>
  <c r="K2646" i="2"/>
  <c r="J2646" i="2"/>
  <c r="I2646" i="2"/>
  <c r="L2645" i="2"/>
  <c r="K2645" i="2"/>
  <c r="J2645" i="2"/>
  <c r="I2645" i="2"/>
  <c r="L2644" i="2"/>
  <c r="K2644" i="2"/>
  <c r="J2644" i="2"/>
  <c r="I2644" i="2"/>
  <c r="L2643" i="2"/>
  <c r="K2643" i="2"/>
  <c r="J2643" i="2"/>
  <c r="I2643" i="2"/>
  <c r="L2642" i="2"/>
  <c r="K2642" i="2"/>
  <c r="J2642" i="2"/>
  <c r="I2642" i="2"/>
  <c r="L2641" i="2"/>
  <c r="K2641" i="2"/>
  <c r="J2641" i="2"/>
  <c r="I2641" i="2"/>
  <c r="L2640" i="2"/>
  <c r="K2640" i="2"/>
  <c r="J2640" i="2"/>
  <c r="I2640" i="2"/>
  <c r="L2639" i="2"/>
  <c r="K2639" i="2"/>
  <c r="J2639" i="2"/>
  <c r="I2639" i="2"/>
  <c r="L2638" i="2"/>
  <c r="K2638" i="2"/>
  <c r="J2638" i="2"/>
  <c r="I2638" i="2"/>
  <c r="L2637" i="2"/>
  <c r="K2637" i="2"/>
  <c r="J2637" i="2"/>
  <c r="I2637" i="2"/>
  <c r="L2636" i="2"/>
  <c r="K2636" i="2"/>
  <c r="J2636" i="2"/>
  <c r="I2636" i="2"/>
  <c r="L2635" i="2"/>
  <c r="K2635" i="2"/>
  <c r="J2635" i="2"/>
  <c r="I2635" i="2"/>
  <c r="L2634" i="2"/>
  <c r="K2634" i="2"/>
  <c r="J2634" i="2"/>
  <c r="I2634" i="2"/>
  <c r="L2633" i="2"/>
  <c r="K2633" i="2"/>
  <c r="J2633" i="2"/>
  <c r="I2633" i="2"/>
  <c r="L2632" i="2"/>
  <c r="K2632" i="2"/>
  <c r="J2632" i="2"/>
  <c r="I2632" i="2"/>
  <c r="L2631" i="2"/>
  <c r="K2631" i="2"/>
  <c r="J2631" i="2"/>
  <c r="I2631" i="2"/>
  <c r="L2630" i="2"/>
  <c r="K2630" i="2"/>
  <c r="J2630" i="2"/>
  <c r="I2630" i="2"/>
  <c r="L2629" i="2"/>
  <c r="K2629" i="2"/>
  <c r="J2629" i="2"/>
  <c r="I2629" i="2"/>
  <c r="L2628" i="2"/>
  <c r="K2628" i="2"/>
  <c r="J2628" i="2"/>
  <c r="I2628" i="2"/>
  <c r="L2627" i="2"/>
  <c r="K2627" i="2"/>
  <c r="J2627" i="2"/>
  <c r="I2627" i="2"/>
  <c r="L2626" i="2"/>
  <c r="K2626" i="2"/>
  <c r="J2626" i="2"/>
  <c r="I2626" i="2"/>
  <c r="L2625" i="2"/>
  <c r="K2625" i="2"/>
  <c r="J2625" i="2"/>
  <c r="I2625" i="2"/>
  <c r="L2624" i="2"/>
  <c r="K2624" i="2"/>
  <c r="J2624" i="2"/>
  <c r="I2624" i="2"/>
  <c r="L2623" i="2"/>
  <c r="K2623" i="2"/>
  <c r="J2623" i="2"/>
  <c r="I2623" i="2"/>
  <c r="L2622" i="2"/>
  <c r="K2622" i="2"/>
  <c r="J2622" i="2"/>
  <c r="I2622" i="2"/>
  <c r="L2621" i="2"/>
  <c r="K2621" i="2"/>
  <c r="J2621" i="2"/>
  <c r="I2621" i="2"/>
  <c r="L2620" i="2"/>
  <c r="K2620" i="2"/>
  <c r="J2620" i="2"/>
  <c r="I2620" i="2"/>
  <c r="L2619" i="2"/>
  <c r="K2619" i="2"/>
  <c r="J2619" i="2"/>
  <c r="I2619" i="2"/>
  <c r="L2618" i="2"/>
  <c r="K2618" i="2"/>
  <c r="J2618" i="2"/>
  <c r="I2618" i="2"/>
  <c r="L2617" i="2"/>
  <c r="K2617" i="2"/>
  <c r="J2617" i="2"/>
  <c r="I2617" i="2"/>
  <c r="L2616" i="2"/>
  <c r="K2616" i="2"/>
  <c r="J2616" i="2"/>
  <c r="I2616" i="2"/>
  <c r="L2615" i="2"/>
  <c r="K2615" i="2"/>
  <c r="J2615" i="2"/>
  <c r="I2615" i="2"/>
  <c r="L2614" i="2"/>
  <c r="K2614" i="2"/>
  <c r="J2614" i="2"/>
  <c r="I2614" i="2"/>
  <c r="L2613" i="2"/>
  <c r="K2613" i="2"/>
  <c r="J2613" i="2"/>
  <c r="I2613" i="2"/>
  <c r="L2612" i="2"/>
  <c r="K2612" i="2"/>
  <c r="J2612" i="2"/>
  <c r="I2612" i="2"/>
  <c r="L2611" i="2"/>
  <c r="K2611" i="2"/>
  <c r="J2611" i="2"/>
  <c r="I2611" i="2"/>
  <c r="L2610" i="2"/>
  <c r="K2610" i="2"/>
  <c r="J2610" i="2"/>
  <c r="I2610" i="2"/>
  <c r="L2609" i="2"/>
  <c r="K2609" i="2"/>
  <c r="J2609" i="2"/>
  <c r="I2609" i="2"/>
  <c r="L2608" i="2"/>
  <c r="K2608" i="2"/>
  <c r="J2608" i="2"/>
  <c r="I2608" i="2"/>
  <c r="L2607" i="2"/>
  <c r="K2607" i="2"/>
  <c r="J2607" i="2"/>
  <c r="I2607" i="2"/>
  <c r="L2606" i="2"/>
  <c r="K2606" i="2"/>
  <c r="J2606" i="2"/>
  <c r="I2606" i="2"/>
  <c r="L2605" i="2"/>
  <c r="K2605" i="2"/>
  <c r="J2605" i="2"/>
  <c r="I2605" i="2"/>
  <c r="L2604" i="2"/>
  <c r="K2604" i="2"/>
  <c r="J2604" i="2"/>
  <c r="I2604" i="2"/>
  <c r="L2603" i="2"/>
  <c r="K2603" i="2"/>
  <c r="J2603" i="2"/>
  <c r="I2603" i="2"/>
  <c r="L2602" i="2"/>
  <c r="K2602" i="2"/>
  <c r="J2602" i="2"/>
  <c r="I2602" i="2"/>
  <c r="L2601" i="2"/>
  <c r="K2601" i="2"/>
  <c r="J2601" i="2"/>
  <c r="I2601" i="2"/>
  <c r="L2600" i="2"/>
  <c r="K2600" i="2"/>
  <c r="J2600" i="2"/>
  <c r="I2600" i="2"/>
  <c r="L2599" i="2"/>
  <c r="K2599" i="2"/>
  <c r="J2599" i="2"/>
  <c r="I2599" i="2"/>
  <c r="L2598" i="2"/>
  <c r="K2598" i="2"/>
  <c r="J2598" i="2"/>
  <c r="I2598" i="2"/>
  <c r="L2597" i="2"/>
  <c r="K2597" i="2"/>
  <c r="J2597" i="2"/>
  <c r="I2597" i="2"/>
  <c r="L2596" i="2"/>
  <c r="K2596" i="2"/>
  <c r="J2596" i="2"/>
  <c r="I2596" i="2"/>
  <c r="L2595" i="2"/>
  <c r="K2595" i="2"/>
  <c r="J2595" i="2"/>
  <c r="I2595" i="2"/>
  <c r="L2594" i="2"/>
  <c r="K2594" i="2"/>
  <c r="J2594" i="2"/>
  <c r="I2594" i="2"/>
  <c r="L2593" i="2"/>
  <c r="K2593" i="2"/>
  <c r="J2593" i="2"/>
  <c r="I2593" i="2"/>
  <c r="L2592" i="2"/>
  <c r="K2592" i="2"/>
  <c r="J2592" i="2"/>
  <c r="I2592" i="2"/>
  <c r="L2591" i="2"/>
  <c r="K2591" i="2"/>
  <c r="J2591" i="2"/>
  <c r="I2591" i="2"/>
  <c r="L2590" i="2"/>
  <c r="K2590" i="2"/>
  <c r="J2590" i="2"/>
  <c r="I2590" i="2"/>
  <c r="L2589" i="2"/>
  <c r="K2589" i="2"/>
  <c r="J2589" i="2"/>
  <c r="I2589" i="2"/>
  <c r="L2588" i="2"/>
  <c r="K2588" i="2"/>
  <c r="J2588" i="2"/>
  <c r="I2588" i="2"/>
  <c r="L2587" i="2"/>
  <c r="K2587" i="2"/>
  <c r="J2587" i="2"/>
  <c r="I2587" i="2"/>
  <c r="L2586" i="2"/>
  <c r="K2586" i="2"/>
  <c r="J2586" i="2"/>
  <c r="I2586" i="2"/>
  <c r="L2585" i="2"/>
  <c r="K2585" i="2"/>
  <c r="J2585" i="2"/>
  <c r="I2585" i="2"/>
  <c r="L2584" i="2"/>
  <c r="K2584" i="2"/>
  <c r="J2584" i="2"/>
  <c r="I2584" i="2"/>
  <c r="L2583" i="2"/>
  <c r="K2583" i="2"/>
  <c r="J2583" i="2"/>
  <c r="I2583" i="2"/>
  <c r="L2582" i="2"/>
  <c r="K2582" i="2"/>
  <c r="J2582" i="2"/>
  <c r="I2582" i="2"/>
  <c r="L2581" i="2"/>
  <c r="K2581" i="2"/>
  <c r="J2581" i="2"/>
  <c r="I2581" i="2"/>
  <c r="L2580" i="2"/>
  <c r="K2580" i="2"/>
  <c r="J2580" i="2"/>
  <c r="I2580" i="2"/>
  <c r="L2579" i="2"/>
  <c r="K2579" i="2"/>
  <c r="J2579" i="2"/>
  <c r="I2579" i="2"/>
  <c r="L2578" i="2"/>
  <c r="K2578" i="2"/>
  <c r="J2578" i="2"/>
  <c r="I2578" i="2"/>
  <c r="L2577" i="2"/>
  <c r="K2577" i="2"/>
  <c r="J2577" i="2"/>
  <c r="I2577" i="2"/>
  <c r="L2576" i="2"/>
  <c r="K2576" i="2"/>
  <c r="J2576" i="2"/>
  <c r="I2576" i="2"/>
  <c r="L2575" i="2"/>
  <c r="K2575" i="2"/>
  <c r="J2575" i="2"/>
  <c r="I2575" i="2"/>
  <c r="L2574" i="2"/>
  <c r="K2574" i="2"/>
  <c r="J2574" i="2"/>
  <c r="I2574" i="2"/>
  <c r="L2573" i="2"/>
  <c r="K2573" i="2"/>
  <c r="J2573" i="2"/>
  <c r="I2573" i="2"/>
  <c r="L2572" i="2"/>
  <c r="K2572" i="2"/>
  <c r="J2572" i="2"/>
  <c r="I2572" i="2"/>
  <c r="L2571" i="2"/>
  <c r="K2571" i="2"/>
  <c r="J2571" i="2"/>
  <c r="I2571" i="2"/>
  <c r="L2570" i="2"/>
  <c r="K2570" i="2"/>
  <c r="J2570" i="2"/>
  <c r="I2570" i="2"/>
  <c r="L2569" i="2"/>
  <c r="K2569" i="2"/>
  <c r="J2569" i="2"/>
  <c r="I2569" i="2"/>
  <c r="L2568" i="2"/>
  <c r="K2568" i="2"/>
  <c r="J2568" i="2"/>
  <c r="I2568" i="2"/>
  <c r="L2567" i="2"/>
  <c r="K2567" i="2"/>
  <c r="J2567" i="2"/>
  <c r="I2567" i="2"/>
  <c r="L2566" i="2"/>
  <c r="K2566" i="2"/>
  <c r="J2566" i="2"/>
  <c r="I2566" i="2"/>
  <c r="L2565" i="2"/>
  <c r="K2565" i="2"/>
  <c r="J2565" i="2"/>
  <c r="I2565" i="2"/>
  <c r="L2564" i="2"/>
  <c r="K2564" i="2"/>
  <c r="J2564" i="2"/>
  <c r="I2564" i="2"/>
  <c r="L2563" i="2"/>
  <c r="K2563" i="2"/>
  <c r="J2563" i="2"/>
  <c r="I2563" i="2"/>
  <c r="L2562" i="2"/>
  <c r="K2562" i="2"/>
  <c r="J2562" i="2"/>
  <c r="I2562" i="2"/>
  <c r="L2561" i="2"/>
  <c r="K2561" i="2"/>
  <c r="J2561" i="2"/>
  <c r="I2561" i="2"/>
  <c r="L2560" i="2"/>
  <c r="K2560" i="2"/>
  <c r="J2560" i="2"/>
  <c r="I2560" i="2"/>
  <c r="L2559" i="2"/>
  <c r="K2559" i="2"/>
  <c r="J2559" i="2"/>
  <c r="I2559" i="2"/>
  <c r="L2558" i="2"/>
  <c r="K2558" i="2"/>
  <c r="J2558" i="2"/>
  <c r="I2558" i="2"/>
  <c r="L2557" i="2"/>
  <c r="K2557" i="2"/>
  <c r="J2557" i="2"/>
  <c r="I2557" i="2"/>
  <c r="L2556" i="2"/>
  <c r="K2556" i="2"/>
  <c r="J2556" i="2"/>
  <c r="I2556" i="2"/>
  <c r="L2555" i="2"/>
  <c r="K2555" i="2"/>
  <c r="J2555" i="2"/>
  <c r="I2555" i="2"/>
  <c r="L2554" i="2"/>
  <c r="K2554" i="2"/>
  <c r="J2554" i="2"/>
  <c r="I2554" i="2"/>
  <c r="L2553" i="2"/>
  <c r="K2553" i="2"/>
  <c r="J2553" i="2"/>
  <c r="I2553" i="2"/>
  <c r="L2552" i="2"/>
  <c r="K2552" i="2"/>
  <c r="J2552" i="2"/>
  <c r="I2552" i="2"/>
  <c r="L2551" i="2"/>
  <c r="K2551" i="2"/>
  <c r="J2551" i="2"/>
  <c r="I2551" i="2"/>
  <c r="L2550" i="2"/>
  <c r="K2550" i="2"/>
  <c r="J2550" i="2"/>
  <c r="I2550" i="2"/>
  <c r="L2549" i="2"/>
  <c r="K2549" i="2"/>
  <c r="J2549" i="2"/>
  <c r="I2549" i="2"/>
  <c r="L2548" i="2"/>
  <c r="K2548" i="2"/>
  <c r="J2548" i="2"/>
  <c r="I2548" i="2"/>
  <c r="L2547" i="2"/>
  <c r="K2547" i="2"/>
  <c r="J2547" i="2"/>
  <c r="I2547" i="2"/>
  <c r="L2546" i="2"/>
  <c r="K2546" i="2"/>
  <c r="J2546" i="2"/>
  <c r="I2546" i="2"/>
  <c r="L2545" i="2"/>
  <c r="K2545" i="2"/>
  <c r="J2545" i="2"/>
  <c r="I2545" i="2"/>
  <c r="L2544" i="2"/>
  <c r="K2544" i="2"/>
  <c r="J2544" i="2"/>
  <c r="I2544" i="2"/>
  <c r="L2543" i="2"/>
  <c r="K2543" i="2"/>
  <c r="J2543" i="2"/>
  <c r="I2543" i="2"/>
  <c r="L2542" i="2"/>
  <c r="K2542" i="2"/>
  <c r="J2542" i="2"/>
  <c r="I2542" i="2"/>
  <c r="L2541" i="2"/>
  <c r="K2541" i="2"/>
  <c r="J2541" i="2"/>
  <c r="I2541" i="2"/>
  <c r="L2540" i="2"/>
  <c r="K2540" i="2"/>
  <c r="J2540" i="2"/>
  <c r="I2540" i="2"/>
  <c r="L2539" i="2"/>
  <c r="K2539" i="2"/>
  <c r="J2539" i="2"/>
  <c r="I2539" i="2"/>
  <c r="L2538" i="2"/>
  <c r="K2538" i="2"/>
  <c r="J2538" i="2"/>
  <c r="I2538" i="2"/>
  <c r="L2537" i="2"/>
  <c r="K2537" i="2"/>
  <c r="J2537" i="2"/>
  <c r="I2537" i="2"/>
  <c r="L2536" i="2"/>
  <c r="K2536" i="2"/>
  <c r="J2536" i="2"/>
  <c r="I2536" i="2"/>
  <c r="L2535" i="2"/>
  <c r="K2535" i="2"/>
  <c r="J2535" i="2"/>
  <c r="I2535" i="2"/>
  <c r="L2534" i="2"/>
  <c r="K2534" i="2"/>
  <c r="J2534" i="2"/>
  <c r="I2534" i="2"/>
  <c r="L2533" i="2"/>
  <c r="K2533" i="2"/>
  <c r="J2533" i="2"/>
  <c r="I2533" i="2"/>
  <c r="L2532" i="2"/>
  <c r="K2532" i="2"/>
  <c r="J2532" i="2"/>
  <c r="I2532" i="2"/>
  <c r="L2531" i="2"/>
  <c r="K2531" i="2"/>
  <c r="J2531" i="2"/>
  <c r="I2531" i="2"/>
  <c r="L2530" i="2"/>
  <c r="K2530" i="2"/>
  <c r="J2530" i="2"/>
  <c r="I2530" i="2"/>
  <c r="L2529" i="2"/>
  <c r="K2529" i="2"/>
  <c r="J2529" i="2"/>
  <c r="I2529" i="2"/>
  <c r="L2528" i="2"/>
  <c r="K2528" i="2"/>
  <c r="J2528" i="2"/>
  <c r="I2528" i="2"/>
  <c r="L2527" i="2"/>
  <c r="K2527" i="2"/>
  <c r="J2527" i="2"/>
  <c r="I2527" i="2"/>
  <c r="L2526" i="2"/>
  <c r="K2526" i="2"/>
  <c r="J2526" i="2"/>
  <c r="I2526" i="2"/>
  <c r="L2525" i="2"/>
  <c r="K2525" i="2"/>
  <c r="J2525" i="2"/>
  <c r="I2525" i="2"/>
  <c r="L2524" i="2"/>
  <c r="K2524" i="2"/>
  <c r="J2524" i="2"/>
  <c r="I2524" i="2"/>
  <c r="L2523" i="2"/>
  <c r="K2523" i="2"/>
  <c r="J2523" i="2"/>
  <c r="I2523" i="2"/>
  <c r="L2522" i="2"/>
  <c r="K2522" i="2"/>
  <c r="J2522" i="2"/>
  <c r="I2522" i="2"/>
  <c r="L2521" i="2"/>
  <c r="K2521" i="2"/>
  <c r="J2521" i="2"/>
  <c r="I2521" i="2"/>
  <c r="L2520" i="2"/>
  <c r="K2520" i="2"/>
  <c r="J2520" i="2"/>
  <c r="I2520" i="2"/>
  <c r="L2519" i="2"/>
  <c r="K2519" i="2"/>
  <c r="J2519" i="2"/>
  <c r="I2519" i="2"/>
  <c r="L2518" i="2"/>
  <c r="K2518" i="2"/>
  <c r="J2518" i="2"/>
  <c r="I2518" i="2"/>
  <c r="L2517" i="2"/>
  <c r="K2517" i="2"/>
  <c r="J2517" i="2"/>
  <c r="I2517" i="2"/>
  <c r="L2516" i="2"/>
  <c r="K2516" i="2"/>
  <c r="J2516" i="2"/>
  <c r="I2516" i="2"/>
  <c r="L2515" i="2"/>
  <c r="K2515" i="2"/>
  <c r="J2515" i="2"/>
  <c r="I2515" i="2"/>
  <c r="L2514" i="2"/>
  <c r="K2514" i="2"/>
  <c r="J2514" i="2"/>
  <c r="I2514" i="2"/>
  <c r="L2513" i="2"/>
  <c r="K2513" i="2"/>
  <c r="J2513" i="2"/>
  <c r="I2513" i="2"/>
  <c r="L2512" i="2"/>
  <c r="K2512" i="2"/>
  <c r="J2512" i="2"/>
  <c r="I2512" i="2"/>
  <c r="L2511" i="2"/>
  <c r="K2511" i="2"/>
  <c r="J2511" i="2"/>
  <c r="I2511" i="2"/>
  <c r="L2510" i="2"/>
  <c r="K2510" i="2"/>
  <c r="J2510" i="2"/>
  <c r="I2510" i="2"/>
  <c r="L2509" i="2"/>
  <c r="K2509" i="2"/>
  <c r="J2509" i="2"/>
  <c r="I2509" i="2"/>
  <c r="L2508" i="2"/>
  <c r="K2508" i="2"/>
  <c r="J2508" i="2"/>
  <c r="I2508" i="2"/>
  <c r="L2507" i="2"/>
  <c r="K2507" i="2"/>
  <c r="J2507" i="2"/>
  <c r="I2507" i="2"/>
  <c r="L2506" i="2"/>
  <c r="K2506" i="2"/>
  <c r="J2506" i="2"/>
  <c r="I2506" i="2"/>
  <c r="L2505" i="2"/>
  <c r="K2505" i="2"/>
  <c r="J2505" i="2"/>
  <c r="I2505" i="2"/>
  <c r="L2504" i="2"/>
  <c r="K2504" i="2"/>
  <c r="J2504" i="2"/>
  <c r="I2504" i="2"/>
  <c r="L2503" i="2"/>
  <c r="K2503" i="2"/>
  <c r="J2503" i="2"/>
  <c r="I2503" i="2"/>
  <c r="L2502" i="2"/>
  <c r="K2502" i="2"/>
  <c r="J2502" i="2"/>
  <c r="I2502" i="2"/>
  <c r="L2501" i="2"/>
  <c r="K2501" i="2"/>
  <c r="J2501" i="2"/>
  <c r="I2501" i="2"/>
  <c r="L2500" i="2"/>
  <c r="K2500" i="2"/>
  <c r="J2500" i="2"/>
  <c r="I2500" i="2"/>
  <c r="L2499" i="2"/>
  <c r="K2499" i="2"/>
  <c r="J2499" i="2"/>
  <c r="I2499" i="2"/>
  <c r="L2498" i="2"/>
  <c r="K2498" i="2"/>
  <c r="J2498" i="2"/>
  <c r="I2498" i="2"/>
  <c r="L2497" i="2"/>
  <c r="K2497" i="2"/>
  <c r="J2497" i="2"/>
  <c r="I2497" i="2"/>
  <c r="L2496" i="2"/>
  <c r="K2496" i="2"/>
  <c r="J2496" i="2"/>
  <c r="I2496" i="2"/>
  <c r="L2495" i="2"/>
  <c r="K2495" i="2"/>
  <c r="J2495" i="2"/>
  <c r="I2495" i="2"/>
  <c r="L2494" i="2"/>
  <c r="K2494" i="2"/>
  <c r="J2494" i="2"/>
  <c r="I2494" i="2"/>
  <c r="L2493" i="2"/>
  <c r="K2493" i="2"/>
  <c r="J2493" i="2"/>
  <c r="I2493" i="2"/>
  <c r="L2492" i="2"/>
  <c r="K2492" i="2"/>
  <c r="J2492" i="2"/>
  <c r="I2492" i="2"/>
  <c r="L2491" i="2"/>
  <c r="K2491" i="2"/>
  <c r="J2491" i="2"/>
  <c r="I2491" i="2"/>
  <c r="L2490" i="2"/>
  <c r="K2490" i="2"/>
  <c r="J2490" i="2"/>
  <c r="I2490" i="2"/>
  <c r="L2489" i="2"/>
  <c r="K2489" i="2"/>
  <c r="J2489" i="2"/>
  <c r="I2489" i="2"/>
  <c r="L2488" i="2"/>
  <c r="K2488" i="2"/>
  <c r="J2488" i="2"/>
  <c r="I2488" i="2"/>
  <c r="L2487" i="2"/>
  <c r="K2487" i="2"/>
  <c r="J2487" i="2"/>
  <c r="I2487" i="2"/>
  <c r="L2486" i="2"/>
  <c r="K2486" i="2"/>
  <c r="J2486" i="2"/>
  <c r="I2486" i="2"/>
  <c r="L2485" i="2"/>
  <c r="K2485" i="2"/>
  <c r="J2485" i="2"/>
  <c r="I2485" i="2"/>
  <c r="L2484" i="2"/>
  <c r="K2484" i="2"/>
  <c r="J2484" i="2"/>
  <c r="I2484" i="2"/>
  <c r="L2483" i="2"/>
  <c r="K2483" i="2"/>
  <c r="J2483" i="2"/>
  <c r="I2483" i="2"/>
  <c r="L2482" i="2"/>
  <c r="K2482" i="2"/>
  <c r="J2482" i="2"/>
  <c r="I2482" i="2"/>
  <c r="L2481" i="2"/>
  <c r="K2481" i="2"/>
  <c r="J2481" i="2"/>
  <c r="I2481" i="2"/>
  <c r="L2480" i="2"/>
  <c r="K2480" i="2"/>
  <c r="J2480" i="2"/>
  <c r="I2480" i="2"/>
  <c r="L2479" i="2"/>
  <c r="K2479" i="2"/>
  <c r="J2479" i="2"/>
  <c r="I2479" i="2"/>
  <c r="L2478" i="2"/>
  <c r="K2478" i="2"/>
  <c r="J2478" i="2"/>
  <c r="I2478" i="2"/>
  <c r="L2477" i="2"/>
  <c r="K2477" i="2"/>
  <c r="J2477" i="2"/>
  <c r="I2477" i="2"/>
  <c r="L2476" i="2"/>
  <c r="K2476" i="2"/>
  <c r="J2476" i="2"/>
  <c r="I2476" i="2"/>
  <c r="L2475" i="2"/>
  <c r="K2475" i="2"/>
  <c r="J2475" i="2"/>
  <c r="I2475" i="2"/>
  <c r="L2474" i="2"/>
  <c r="K2474" i="2"/>
  <c r="J2474" i="2"/>
  <c r="I2474" i="2"/>
  <c r="L2473" i="2"/>
  <c r="K2473" i="2"/>
  <c r="J2473" i="2"/>
  <c r="I2473" i="2"/>
  <c r="L2472" i="2"/>
  <c r="K2472" i="2"/>
  <c r="J2472" i="2"/>
  <c r="I2472" i="2"/>
  <c r="L2471" i="2"/>
  <c r="K2471" i="2"/>
  <c r="J2471" i="2"/>
  <c r="I2471" i="2"/>
  <c r="L2470" i="2"/>
  <c r="K2470" i="2"/>
  <c r="J2470" i="2"/>
  <c r="I2470" i="2"/>
  <c r="L2469" i="2"/>
  <c r="K2469" i="2"/>
  <c r="J2469" i="2"/>
  <c r="I2469" i="2"/>
  <c r="L2468" i="2"/>
  <c r="K2468" i="2"/>
  <c r="J2468" i="2"/>
  <c r="I2468" i="2"/>
  <c r="L2467" i="2"/>
  <c r="K2467" i="2"/>
  <c r="J2467" i="2"/>
  <c r="I2467" i="2"/>
  <c r="L2466" i="2"/>
  <c r="K2466" i="2"/>
  <c r="J2466" i="2"/>
  <c r="I2466" i="2"/>
  <c r="L2465" i="2"/>
  <c r="K2465" i="2"/>
  <c r="J2465" i="2"/>
  <c r="I2465" i="2"/>
  <c r="L2464" i="2"/>
  <c r="K2464" i="2"/>
  <c r="J2464" i="2"/>
  <c r="I2464" i="2"/>
  <c r="L2463" i="2"/>
  <c r="K2463" i="2"/>
  <c r="J2463" i="2"/>
  <c r="I2463" i="2"/>
  <c r="L2462" i="2"/>
  <c r="K2462" i="2"/>
  <c r="J2462" i="2"/>
  <c r="I2462" i="2"/>
  <c r="L2461" i="2"/>
  <c r="K2461" i="2"/>
  <c r="J2461" i="2"/>
  <c r="I2461" i="2"/>
  <c r="L2460" i="2"/>
  <c r="K2460" i="2"/>
  <c r="J2460" i="2"/>
  <c r="I2460" i="2"/>
  <c r="L2459" i="2"/>
  <c r="K2459" i="2"/>
  <c r="J2459" i="2"/>
  <c r="I2459" i="2"/>
  <c r="L2458" i="2"/>
  <c r="K2458" i="2"/>
  <c r="J2458" i="2"/>
  <c r="I2458" i="2"/>
  <c r="L2457" i="2"/>
  <c r="K2457" i="2"/>
  <c r="J2457" i="2"/>
  <c r="I2457" i="2"/>
  <c r="L2456" i="2"/>
  <c r="K2456" i="2"/>
  <c r="J2456" i="2"/>
  <c r="I2456" i="2"/>
  <c r="L2455" i="2"/>
  <c r="K2455" i="2"/>
  <c r="J2455" i="2"/>
  <c r="I2455" i="2"/>
  <c r="L2454" i="2"/>
  <c r="K2454" i="2"/>
  <c r="J2454" i="2"/>
  <c r="I2454" i="2"/>
  <c r="L2453" i="2"/>
  <c r="K2453" i="2"/>
  <c r="J2453" i="2"/>
  <c r="I2453" i="2"/>
  <c r="L2452" i="2"/>
  <c r="K2452" i="2"/>
  <c r="J2452" i="2"/>
  <c r="I2452" i="2"/>
  <c r="L2451" i="2"/>
  <c r="K2451" i="2"/>
  <c r="J2451" i="2"/>
  <c r="I2451" i="2"/>
  <c r="L2450" i="2"/>
  <c r="K2450" i="2"/>
  <c r="J2450" i="2"/>
  <c r="I2450" i="2"/>
  <c r="L2449" i="2"/>
  <c r="K2449" i="2"/>
  <c r="J2449" i="2"/>
  <c r="I2449" i="2"/>
  <c r="L2448" i="2"/>
  <c r="K2448" i="2"/>
  <c r="J2448" i="2"/>
  <c r="I2448" i="2"/>
  <c r="L2447" i="2"/>
  <c r="K2447" i="2"/>
  <c r="J2447" i="2"/>
  <c r="I2447" i="2"/>
  <c r="L2446" i="2"/>
  <c r="K2446" i="2"/>
  <c r="J2446" i="2"/>
  <c r="I2446" i="2"/>
  <c r="L2445" i="2"/>
  <c r="K2445" i="2"/>
  <c r="J2445" i="2"/>
  <c r="I2445" i="2"/>
  <c r="L2444" i="2"/>
  <c r="K2444" i="2"/>
  <c r="J2444" i="2"/>
  <c r="I2444" i="2"/>
  <c r="L2443" i="2"/>
  <c r="K2443" i="2"/>
  <c r="J2443" i="2"/>
  <c r="I2443" i="2"/>
  <c r="L2442" i="2"/>
  <c r="K2442" i="2"/>
  <c r="J2442" i="2"/>
  <c r="I2442" i="2"/>
  <c r="L2441" i="2"/>
  <c r="K2441" i="2"/>
  <c r="J2441" i="2"/>
  <c r="I2441" i="2"/>
  <c r="L2440" i="2"/>
  <c r="K2440" i="2"/>
  <c r="J2440" i="2"/>
  <c r="I2440" i="2"/>
  <c r="L2439" i="2"/>
  <c r="K2439" i="2"/>
  <c r="J2439" i="2"/>
  <c r="I2439" i="2"/>
  <c r="L2438" i="2"/>
  <c r="K2438" i="2"/>
  <c r="J2438" i="2"/>
  <c r="I2438" i="2"/>
  <c r="L2437" i="2"/>
  <c r="K2437" i="2"/>
  <c r="J2437" i="2"/>
  <c r="I2437" i="2"/>
  <c r="L2436" i="2"/>
  <c r="K2436" i="2"/>
  <c r="J2436" i="2"/>
  <c r="I2436" i="2"/>
  <c r="L2435" i="2"/>
  <c r="K2435" i="2"/>
  <c r="J2435" i="2"/>
  <c r="I2435" i="2"/>
  <c r="L2434" i="2"/>
  <c r="K2434" i="2"/>
  <c r="J2434" i="2"/>
  <c r="I2434" i="2"/>
  <c r="L2433" i="2"/>
  <c r="K2433" i="2"/>
  <c r="J2433" i="2"/>
  <c r="I2433" i="2"/>
  <c r="L2432" i="2"/>
  <c r="K2432" i="2"/>
  <c r="J2432" i="2"/>
  <c r="I2432" i="2"/>
  <c r="L2431" i="2"/>
  <c r="K2431" i="2"/>
  <c r="J2431" i="2"/>
  <c r="I2431" i="2"/>
  <c r="L2430" i="2"/>
  <c r="K2430" i="2"/>
  <c r="J2430" i="2"/>
  <c r="I2430" i="2"/>
  <c r="L2429" i="2"/>
  <c r="K2429" i="2"/>
  <c r="J2429" i="2"/>
  <c r="I2429" i="2"/>
  <c r="L2428" i="2"/>
  <c r="K2428" i="2"/>
  <c r="J2428" i="2"/>
  <c r="I2428" i="2"/>
  <c r="L2427" i="2"/>
  <c r="K2427" i="2"/>
  <c r="J2427" i="2"/>
  <c r="I2427" i="2"/>
  <c r="L2426" i="2"/>
  <c r="K2426" i="2"/>
  <c r="J2426" i="2"/>
  <c r="I2426" i="2"/>
  <c r="L2425" i="2"/>
  <c r="K2425" i="2"/>
  <c r="J2425" i="2"/>
  <c r="I2425" i="2"/>
  <c r="L2424" i="2"/>
  <c r="K2424" i="2"/>
  <c r="J2424" i="2"/>
  <c r="I2424" i="2"/>
  <c r="L2423" i="2"/>
  <c r="K2423" i="2"/>
  <c r="J2423" i="2"/>
  <c r="I2423" i="2"/>
  <c r="L2422" i="2"/>
  <c r="K2422" i="2"/>
  <c r="J2422" i="2"/>
  <c r="I2422" i="2"/>
  <c r="L2421" i="2"/>
  <c r="K2421" i="2"/>
  <c r="J2421" i="2"/>
  <c r="I2421" i="2"/>
  <c r="L2420" i="2"/>
  <c r="K2420" i="2"/>
  <c r="J2420" i="2"/>
  <c r="I2420" i="2"/>
  <c r="L2419" i="2"/>
  <c r="K2419" i="2"/>
  <c r="J2419" i="2"/>
  <c r="I2419" i="2"/>
  <c r="L2418" i="2"/>
  <c r="K2418" i="2"/>
  <c r="J2418" i="2"/>
  <c r="I2418" i="2"/>
  <c r="L2417" i="2"/>
  <c r="K2417" i="2"/>
  <c r="J2417" i="2"/>
  <c r="I2417" i="2"/>
  <c r="L2416" i="2"/>
  <c r="K2416" i="2"/>
  <c r="J2416" i="2"/>
  <c r="I2416" i="2"/>
  <c r="L2415" i="2"/>
  <c r="K2415" i="2"/>
  <c r="J2415" i="2"/>
  <c r="I2415" i="2"/>
  <c r="L2414" i="2"/>
  <c r="K2414" i="2"/>
  <c r="J2414" i="2"/>
  <c r="I2414" i="2"/>
  <c r="L2413" i="2"/>
  <c r="K2413" i="2"/>
  <c r="J2413" i="2"/>
  <c r="I2413" i="2"/>
  <c r="L2412" i="2"/>
  <c r="K2412" i="2"/>
  <c r="J2412" i="2"/>
  <c r="I2412" i="2"/>
  <c r="L2411" i="2"/>
  <c r="K2411" i="2"/>
  <c r="J2411" i="2"/>
  <c r="I2411" i="2"/>
  <c r="L2410" i="2"/>
  <c r="K2410" i="2"/>
  <c r="J2410" i="2"/>
  <c r="I2410" i="2"/>
  <c r="L2409" i="2"/>
  <c r="K2409" i="2"/>
  <c r="J2409" i="2"/>
  <c r="I2409" i="2"/>
  <c r="L2408" i="2"/>
  <c r="K2408" i="2"/>
  <c r="J2408" i="2"/>
  <c r="I2408" i="2"/>
  <c r="L2407" i="2"/>
  <c r="K2407" i="2"/>
  <c r="J2407" i="2"/>
  <c r="I2407" i="2"/>
  <c r="L2406" i="2"/>
  <c r="K2406" i="2"/>
  <c r="J2406" i="2"/>
  <c r="I2406" i="2"/>
  <c r="L2405" i="2"/>
  <c r="K2405" i="2"/>
  <c r="J2405" i="2"/>
  <c r="I2405" i="2"/>
  <c r="L2404" i="2"/>
  <c r="K2404" i="2"/>
  <c r="J2404" i="2"/>
  <c r="I2404" i="2"/>
  <c r="L2403" i="2"/>
  <c r="K2403" i="2"/>
  <c r="J2403" i="2"/>
  <c r="I2403" i="2"/>
  <c r="L2402" i="2"/>
  <c r="K2402" i="2"/>
  <c r="J2402" i="2"/>
  <c r="I2402" i="2"/>
  <c r="L2401" i="2"/>
  <c r="K2401" i="2"/>
  <c r="J2401" i="2"/>
  <c r="I2401" i="2"/>
  <c r="L2400" i="2"/>
  <c r="K2400" i="2"/>
  <c r="J2400" i="2"/>
  <c r="I2400" i="2"/>
  <c r="L2399" i="2"/>
  <c r="K2399" i="2"/>
  <c r="J2399" i="2"/>
  <c r="I2399" i="2"/>
  <c r="L2398" i="2"/>
  <c r="K2398" i="2"/>
  <c r="J2398" i="2"/>
  <c r="I2398" i="2"/>
  <c r="L2397" i="2"/>
  <c r="K2397" i="2"/>
  <c r="J2397" i="2"/>
  <c r="I2397" i="2"/>
  <c r="L2396" i="2"/>
  <c r="K2396" i="2"/>
  <c r="J2396" i="2"/>
  <c r="I2396" i="2"/>
  <c r="L2395" i="2"/>
  <c r="K2395" i="2"/>
  <c r="J2395" i="2"/>
  <c r="I2395" i="2"/>
  <c r="L2394" i="2"/>
  <c r="K2394" i="2"/>
  <c r="J2394" i="2"/>
  <c r="I2394" i="2"/>
  <c r="L2393" i="2"/>
  <c r="K2393" i="2"/>
  <c r="J2393" i="2"/>
  <c r="I2393" i="2"/>
  <c r="L2392" i="2"/>
  <c r="K2392" i="2"/>
  <c r="J2392" i="2"/>
  <c r="I2392" i="2"/>
  <c r="L2391" i="2"/>
  <c r="K2391" i="2"/>
  <c r="J2391" i="2"/>
  <c r="I2391" i="2"/>
  <c r="L2390" i="2"/>
  <c r="K2390" i="2"/>
  <c r="J2390" i="2"/>
  <c r="I2390" i="2"/>
  <c r="L2389" i="2"/>
  <c r="K2389" i="2"/>
  <c r="J2389" i="2"/>
  <c r="I2389" i="2"/>
  <c r="L2388" i="2"/>
  <c r="K2388" i="2"/>
  <c r="J2388" i="2"/>
  <c r="I2388" i="2"/>
  <c r="L2387" i="2"/>
  <c r="K2387" i="2"/>
  <c r="J2387" i="2"/>
  <c r="I2387" i="2"/>
  <c r="L2386" i="2"/>
  <c r="K2386" i="2"/>
  <c r="J2386" i="2"/>
  <c r="I2386" i="2"/>
  <c r="L2385" i="2"/>
  <c r="K2385" i="2"/>
  <c r="J2385" i="2"/>
  <c r="I2385" i="2"/>
  <c r="L2384" i="2"/>
  <c r="K2384" i="2"/>
  <c r="J2384" i="2"/>
  <c r="I2384" i="2"/>
  <c r="L2383" i="2"/>
  <c r="K2383" i="2"/>
  <c r="J2383" i="2"/>
  <c r="I2383" i="2"/>
  <c r="L2382" i="2"/>
  <c r="K2382" i="2"/>
  <c r="J2382" i="2"/>
  <c r="I2382" i="2"/>
  <c r="L2381" i="2"/>
  <c r="K2381" i="2"/>
  <c r="J2381" i="2"/>
  <c r="I2381" i="2"/>
  <c r="L2380" i="2"/>
  <c r="K2380" i="2"/>
  <c r="J2380" i="2"/>
  <c r="I2380" i="2"/>
  <c r="L2379" i="2"/>
  <c r="K2379" i="2"/>
  <c r="J2379" i="2"/>
  <c r="I2379" i="2"/>
  <c r="L2378" i="2"/>
  <c r="K2378" i="2"/>
  <c r="J2378" i="2"/>
  <c r="I2378" i="2"/>
  <c r="L2377" i="2"/>
  <c r="K2377" i="2"/>
  <c r="J2377" i="2"/>
  <c r="I2377" i="2"/>
  <c r="L2376" i="2"/>
  <c r="K2376" i="2"/>
  <c r="J2376" i="2"/>
  <c r="I2376" i="2"/>
  <c r="L2375" i="2"/>
  <c r="K2375" i="2"/>
  <c r="J2375" i="2"/>
  <c r="I2375" i="2"/>
  <c r="L2374" i="2"/>
  <c r="K2374" i="2"/>
  <c r="J2374" i="2"/>
  <c r="I2374" i="2"/>
  <c r="L2373" i="2"/>
  <c r="K2373" i="2"/>
  <c r="J2373" i="2"/>
  <c r="I2373" i="2"/>
  <c r="L2372" i="2"/>
  <c r="K2372" i="2"/>
  <c r="J2372" i="2"/>
  <c r="I2372" i="2"/>
  <c r="L2371" i="2"/>
  <c r="K2371" i="2"/>
  <c r="J2371" i="2"/>
  <c r="I2371" i="2"/>
  <c r="L2370" i="2"/>
  <c r="K2370" i="2"/>
  <c r="J2370" i="2"/>
  <c r="I2370" i="2"/>
  <c r="L2369" i="2"/>
  <c r="K2369" i="2"/>
  <c r="J2369" i="2"/>
  <c r="I2369" i="2"/>
  <c r="L2368" i="2"/>
  <c r="K2368" i="2"/>
  <c r="J2368" i="2"/>
  <c r="I2368" i="2"/>
  <c r="L2367" i="2"/>
  <c r="K2367" i="2"/>
  <c r="J2367" i="2"/>
  <c r="I2367" i="2"/>
  <c r="L2366" i="2"/>
  <c r="K2366" i="2"/>
  <c r="J2366" i="2"/>
  <c r="I2366" i="2"/>
  <c r="L2365" i="2"/>
  <c r="K2365" i="2"/>
  <c r="J2365" i="2"/>
  <c r="I2365" i="2"/>
  <c r="L2364" i="2"/>
  <c r="K2364" i="2"/>
  <c r="J2364" i="2"/>
  <c r="I2364" i="2"/>
  <c r="L2363" i="2"/>
  <c r="K2363" i="2"/>
  <c r="J2363" i="2"/>
  <c r="I2363" i="2"/>
  <c r="L2362" i="2"/>
  <c r="K2362" i="2"/>
  <c r="J2362" i="2"/>
  <c r="I2362" i="2"/>
  <c r="L2361" i="2"/>
  <c r="K2361" i="2"/>
  <c r="J2361" i="2"/>
  <c r="I2361" i="2"/>
  <c r="L2360" i="2"/>
  <c r="K2360" i="2"/>
  <c r="J2360" i="2"/>
  <c r="I2360" i="2"/>
  <c r="L2359" i="2"/>
  <c r="K2359" i="2"/>
  <c r="J2359" i="2"/>
  <c r="I2359" i="2"/>
  <c r="L2358" i="2"/>
  <c r="K2358" i="2"/>
  <c r="J2358" i="2"/>
  <c r="I2358" i="2"/>
  <c r="L2357" i="2"/>
  <c r="K2357" i="2"/>
  <c r="J2357" i="2"/>
  <c r="I2357" i="2"/>
  <c r="L2356" i="2"/>
  <c r="K2356" i="2"/>
  <c r="J2356" i="2"/>
  <c r="I2356" i="2"/>
  <c r="L2355" i="2"/>
  <c r="K2355" i="2"/>
  <c r="J2355" i="2"/>
  <c r="I2355" i="2"/>
  <c r="L2354" i="2"/>
  <c r="K2354" i="2"/>
  <c r="J2354" i="2"/>
  <c r="I2354" i="2"/>
  <c r="L2353" i="2"/>
  <c r="K2353" i="2"/>
  <c r="J2353" i="2"/>
  <c r="I2353" i="2"/>
  <c r="L2352" i="2"/>
  <c r="K2352" i="2"/>
  <c r="J2352" i="2"/>
  <c r="I2352" i="2"/>
  <c r="L2351" i="2"/>
  <c r="K2351" i="2"/>
  <c r="J2351" i="2"/>
  <c r="I2351" i="2"/>
  <c r="L2350" i="2"/>
  <c r="K2350" i="2"/>
  <c r="J2350" i="2"/>
  <c r="I2350" i="2"/>
  <c r="L2349" i="2"/>
  <c r="K2349" i="2"/>
  <c r="J2349" i="2"/>
  <c r="I2349" i="2"/>
  <c r="L2348" i="2"/>
  <c r="K2348" i="2"/>
  <c r="J2348" i="2"/>
  <c r="I2348" i="2"/>
  <c r="L2347" i="2"/>
  <c r="K2347" i="2"/>
  <c r="J2347" i="2"/>
  <c r="I2347" i="2"/>
  <c r="L2346" i="2"/>
  <c r="K2346" i="2"/>
  <c r="J2346" i="2"/>
  <c r="I2346" i="2"/>
  <c r="L2345" i="2"/>
  <c r="K2345" i="2"/>
  <c r="J2345" i="2"/>
  <c r="I2345" i="2"/>
  <c r="L2344" i="2"/>
  <c r="K2344" i="2"/>
  <c r="J2344" i="2"/>
  <c r="I2344" i="2"/>
  <c r="L2343" i="2"/>
  <c r="K2343" i="2"/>
  <c r="J2343" i="2"/>
  <c r="I2343" i="2"/>
  <c r="L2342" i="2"/>
  <c r="K2342" i="2"/>
  <c r="J2342" i="2"/>
  <c r="I2342" i="2"/>
  <c r="L2341" i="2"/>
  <c r="K2341" i="2"/>
  <c r="J2341" i="2"/>
  <c r="I2341" i="2"/>
  <c r="L2340" i="2"/>
  <c r="K2340" i="2"/>
  <c r="J2340" i="2"/>
  <c r="I2340" i="2"/>
  <c r="L2339" i="2"/>
  <c r="K2339" i="2"/>
  <c r="J2339" i="2"/>
  <c r="I2339" i="2"/>
  <c r="L2338" i="2"/>
  <c r="K2338" i="2"/>
  <c r="J2338" i="2"/>
  <c r="I2338" i="2"/>
  <c r="L2337" i="2"/>
  <c r="K2337" i="2"/>
  <c r="J2337" i="2"/>
  <c r="I2337" i="2"/>
  <c r="L2336" i="2"/>
  <c r="K2336" i="2"/>
  <c r="J2336" i="2"/>
  <c r="I2336" i="2"/>
  <c r="L2335" i="2"/>
  <c r="K2335" i="2"/>
  <c r="J2335" i="2"/>
  <c r="I2335" i="2"/>
  <c r="L2334" i="2"/>
  <c r="K2334" i="2"/>
  <c r="J2334" i="2"/>
  <c r="I2334" i="2"/>
  <c r="L2333" i="2"/>
  <c r="K2333" i="2"/>
  <c r="J2333" i="2"/>
  <c r="I2333" i="2"/>
  <c r="L2332" i="2"/>
  <c r="K2332" i="2"/>
  <c r="J2332" i="2"/>
  <c r="I2332" i="2"/>
  <c r="L2331" i="2"/>
  <c r="K2331" i="2"/>
  <c r="J2331" i="2"/>
  <c r="I2331" i="2"/>
  <c r="L2330" i="2"/>
  <c r="K2330" i="2"/>
  <c r="J2330" i="2"/>
  <c r="I2330" i="2"/>
  <c r="L2329" i="2"/>
  <c r="K2329" i="2"/>
  <c r="J2329" i="2"/>
  <c r="I2329" i="2"/>
  <c r="L2328" i="2"/>
  <c r="K2328" i="2"/>
  <c r="J2328" i="2"/>
  <c r="I2328" i="2"/>
  <c r="L2327" i="2"/>
  <c r="K2327" i="2"/>
  <c r="J2327" i="2"/>
  <c r="I2327" i="2"/>
  <c r="L2326" i="2"/>
  <c r="K2326" i="2"/>
  <c r="J2326" i="2"/>
  <c r="I2326" i="2"/>
  <c r="L2325" i="2"/>
  <c r="K2325" i="2"/>
  <c r="J2325" i="2"/>
  <c r="I2325" i="2"/>
  <c r="L2324" i="2"/>
  <c r="K2324" i="2"/>
  <c r="J2324" i="2"/>
  <c r="I2324" i="2"/>
  <c r="L2323" i="2"/>
  <c r="K2323" i="2"/>
  <c r="J2323" i="2"/>
  <c r="I2323" i="2"/>
  <c r="L2322" i="2"/>
  <c r="K2322" i="2"/>
  <c r="J2322" i="2"/>
  <c r="I2322" i="2"/>
  <c r="L2321" i="2"/>
  <c r="K2321" i="2"/>
  <c r="J2321" i="2"/>
  <c r="I2321" i="2"/>
  <c r="L2320" i="2"/>
  <c r="K2320" i="2"/>
  <c r="J2320" i="2"/>
  <c r="I2320" i="2"/>
  <c r="L2319" i="2"/>
  <c r="K2319" i="2"/>
  <c r="J2319" i="2"/>
  <c r="I2319" i="2"/>
  <c r="L2318" i="2"/>
  <c r="K2318" i="2"/>
  <c r="J2318" i="2"/>
  <c r="I2318" i="2"/>
  <c r="L2317" i="2"/>
  <c r="K2317" i="2"/>
  <c r="J2317" i="2"/>
  <c r="I2317" i="2"/>
  <c r="L2316" i="2"/>
  <c r="K2316" i="2"/>
  <c r="J2316" i="2"/>
  <c r="I2316" i="2"/>
  <c r="L2315" i="2"/>
  <c r="K2315" i="2"/>
  <c r="J2315" i="2"/>
  <c r="I2315" i="2"/>
  <c r="L2314" i="2"/>
  <c r="K2314" i="2"/>
  <c r="J2314" i="2"/>
  <c r="I2314" i="2"/>
  <c r="L2313" i="2"/>
  <c r="K2313" i="2"/>
  <c r="J2313" i="2"/>
  <c r="I2313" i="2"/>
  <c r="L2312" i="2"/>
  <c r="K2312" i="2"/>
  <c r="J2312" i="2"/>
  <c r="I2312" i="2"/>
  <c r="L2311" i="2"/>
  <c r="K2311" i="2"/>
  <c r="J2311" i="2"/>
  <c r="I2311" i="2"/>
  <c r="L2310" i="2"/>
  <c r="K2310" i="2"/>
  <c r="J2310" i="2"/>
  <c r="I2310" i="2"/>
  <c r="L2309" i="2"/>
  <c r="K2309" i="2"/>
  <c r="J2309" i="2"/>
  <c r="I2309" i="2"/>
  <c r="L2308" i="2"/>
  <c r="K2308" i="2"/>
  <c r="J2308" i="2"/>
  <c r="I2308" i="2"/>
  <c r="L2307" i="2"/>
  <c r="K2307" i="2"/>
  <c r="J2307" i="2"/>
  <c r="I2307" i="2"/>
  <c r="L2306" i="2"/>
  <c r="K2306" i="2"/>
  <c r="J2306" i="2"/>
  <c r="I2306" i="2"/>
  <c r="L2305" i="2"/>
  <c r="K2305" i="2"/>
  <c r="J2305" i="2"/>
  <c r="I2305" i="2"/>
  <c r="L2304" i="2"/>
  <c r="K2304" i="2"/>
  <c r="J2304" i="2"/>
  <c r="I2304" i="2"/>
  <c r="L2303" i="2"/>
  <c r="K2303" i="2"/>
  <c r="J2303" i="2"/>
  <c r="I2303" i="2"/>
  <c r="L2302" i="2"/>
  <c r="K2302" i="2"/>
  <c r="J2302" i="2"/>
  <c r="I2302" i="2"/>
  <c r="L2301" i="2"/>
  <c r="K2301" i="2"/>
  <c r="J2301" i="2"/>
  <c r="I2301" i="2"/>
  <c r="L2300" i="2"/>
  <c r="K2300" i="2"/>
  <c r="J2300" i="2"/>
  <c r="I2300" i="2"/>
  <c r="L2299" i="2"/>
  <c r="K2299" i="2"/>
  <c r="J2299" i="2"/>
  <c r="I2299" i="2"/>
  <c r="L2298" i="2"/>
  <c r="K2298" i="2"/>
  <c r="J2298" i="2"/>
  <c r="I2298" i="2"/>
  <c r="L2297" i="2"/>
  <c r="K2297" i="2"/>
  <c r="J2297" i="2"/>
  <c r="I2297" i="2"/>
  <c r="L2296" i="2"/>
  <c r="K2296" i="2"/>
  <c r="J2296" i="2"/>
  <c r="I2296" i="2"/>
  <c r="L2295" i="2"/>
  <c r="K2295" i="2"/>
  <c r="J2295" i="2"/>
  <c r="I2295" i="2"/>
  <c r="L2294" i="2"/>
  <c r="K2294" i="2"/>
  <c r="J2294" i="2"/>
  <c r="I2294" i="2"/>
  <c r="L2293" i="2"/>
  <c r="K2293" i="2"/>
  <c r="J2293" i="2"/>
  <c r="I2293" i="2"/>
  <c r="L2292" i="2"/>
  <c r="K2292" i="2"/>
  <c r="J2292" i="2"/>
  <c r="I2292" i="2"/>
  <c r="L2291" i="2"/>
  <c r="K2291" i="2"/>
  <c r="J2291" i="2"/>
  <c r="I2291" i="2"/>
  <c r="L2290" i="2"/>
  <c r="K2290" i="2"/>
  <c r="J2290" i="2"/>
  <c r="I2290" i="2"/>
  <c r="L2289" i="2"/>
  <c r="K2289" i="2"/>
  <c r="J2289" i="2"/>
  <c r="I2289" i="2"/>
  <c r="L2288" i="2"/>
  <c r="K2288" i="2"/>
  <c r="J2288" i="2"/>
  <c r="I2288" i="2"/>
  <c r="L2287" i="2"/>
  <c r="K2287" i="2"/>
  <c r="J2287" i="2"/>
  <c r="I2287" i="2"/>
  <c r="L2286" i="2"/>
  <c r="K2286" i="2"/>
  <c r="J2286" i="2"/>
  <c r="I2286" i="2"/>
  <c r="L2285" i="2"/>
  <c r="K2285" i="2"/>
  <c r="J2285" i="2"/>
  <c r="I2285" i="2"/>
  <c r="L2284" i="2"/>
  <c r="K2284" i="2"/>
  <c r="J2284" i="2"/>
  <c r="I2284" i="2"/>
  <c r="L2283" i="2"/>
  <c r="K2283" i="2"/>
  <c r="J2283" i="2"/>
  <c r="I2283" i="2"/>
  <c r="L2282" i="2"/>
  <c r="K2282" i="2"/>
  <c r="J2282" i="2"/>
  <c r="I2282" i="2"/>
  <c r="L2281" i="2"/>
  <c r="K2281" i="2"/>
  <c r="J2281" i="2"/>
  <c r="I2281" i="2"/>
  <c r="L2280" i="2"/>
  <c r="K2280" i="2"/>
  <c r="J2280" i="2"/>
  <c r="I2280" i="2"/>
  <c r="L2279" i="2"/>
  <c r="K2279" i="2"/>
  <c r="J2279" i="2"/>
  <c r="I2279" i="2"/>
  <c r="L2278" i="2"/>
  <c r="K2278" i="2"/>
  <c r="J2278" i="2"/>
  <c r="I2278" i="2"/>
  <c r="L2277" i="2"/>
  <c r="K2277" i="2"/>
  <c r="J2277" i="2"/>
  <c r="I2277" i="2"/>
  <c r="L2276" i="2"/>
  <c r="K2276" i="2"/>
  <c r="J2276" i="2"/>
  <c r="I2276" i="2"/>
  <c r="L2275" i="2"/>
  <c r="K2275" i="2"/>
  <c r="J2275" i="2"/>
  <c r="I2275" i="2"/>
  <c r="L2274" i="2"/>
  <c r="K2274" i="2"/>
  <c r="J2274" i="2"/>
  <c r="I2274" i="2"/>
  <c r="L2273" i="2"/>
  <c r="K2273" i="2"/>
  <c r="J2273" i="2"/>
  <c r="I2273" i="2"/>
  <c r="L2272" i="2"/>
  <c r="K2272" i="2"/>
  <c r="J2272" i="2"/>
  <c r="I2272" i="2"/>
  <c r="L2271" i="2"/>
  <c r="K2271" i="2"/>
  <c r="J2271" i="2"/>
  <c r="I2271" i="2"/>
  <c r="L2270" i="2"/>
  <c r="K2270" i="2"/>
  <c r="J2270" i="2"/>
  <c r="I2270" i="2"/>
  <c r="L2269" i="2"/>
  <c r="K2269" i="2"/>
  <c r="J2269" i="2"/>
  <c r="I2269" i="2"/>
  <c r="L2268" i="2"/>
  <c r="K2268" i="2"/>
  <c r="J2268" i="2"/>
  <c r="I2268" i="2"/>
  <c r="L2267" i="2"/>
  <c r="K2267" i="2"/>
  <c r="J2267" i="2"/>
  <c r="I2267" i="2"/>
  <c r="L2266" i="2"/>
  <c r="K2266" i="2"/>
  <c r="J2266" i="2"/>
  <c r="I2266" i="2"/>
  <c r="L2265" i="2"/>
  <c r="K2265" i="2"/>
  <c r="J2265" i="2"/>
  <c r="I2265" i="2"/>
  <c r="L2264" i="2"/>
  <c r="K2264" i="2"/>
  <c r="J2264" i="2"/>
  <c r="I2264" i="2"/>
  <c r="L2263" i="2"/>
  <c r="K2263" i="2"/>
  <c r="J2263" i="2"/>
  <c r="I2263" i="2"/>
  <c r="L2262" i="2"/>
  <c r="K2262" i="2"/>
  <c r="J2262" i="2"/>
  <c r="I2262" i="2"/>
  <c r="L2261" i="2"/>
  <c r="K2261" i="2"/>
  <c r="J2261" i="2"/>
  <c r="I2261" i="2"/>
  <c r="L2260" i="2"/>
  <c r="K2260" i="2"/>
  <c r="J2260" i="2"/>
  <c r="I2260" i="2"/>
  <c r="L2259" i="2"/>
  <c r="K2259" i="2"/>
  <c r="J2259" i="2"/>
  <c r="I2259" i="2"/>
  <c r="L2258" i="2"/>
  <c r="K2258" i="2"/>
  <c r="J2258" i="2"/>
  <c r="I2258" i="2"/>
  <c r="L2257" i="2"/>
  <c r="K2257" i="2"/>
  <c r="J2257" i="2"/>
  <c r="I2257" i="2"/>
  <c r="L2256" i="2"/>
  <c r="K2256" i="2"/>
  <c r="J2256" i="2"/>
  <c r="I2256" i="2"/>
  <c r="L2255" i="2"/>
  <c r="K2255" i="2"/>
  <c r="J2255" i="2"/>
  <c r="I2255" i="2"/>
  <c r="L2254" i="2"/>
  <c r="K2254" i="2"/>
  <c r="J2254" i="2"/>
  <c r="I2254" i="2"/>
  <c r="L2253" i="2"/>
  <c r="K2253" i="2"/>
  <c r="J2253" i="2"/>
  <c r="I2253" i="2"/>
  <c r="L2252" i="2"/>
  <c r="K2252" i="2"/>
  <c r="J2252" i="2"/>
  <c r="I2252" i="2"/>
  <c r="L2251" i="2"/>
  <c r="K2251" i="2"/>
  <c r="J2251" i="2"/>
  <c r="I2251" i="2"/>
  <c r="L2250" i="2"/>
  <c r="K2250" i="2"/>
  <c r="J2250" i="2"/>
  <c r="I2250" i="2"/>
  <c r="L2249" i="2"/>
  <c r="K2249" i="2"/>
  <c r="J2249" i="2"/>
  <c r="I2249" i="2"/>
  <c r="L2248" i="2"/>
  <c r="K2248" i="2"/>
  <c r="J2248" i="2"/>
  <c r="I2248" i="2"/>
  <c r="L2247" i="2"/>
  <c r="K2247" i="2"/>
  <c r="J2247" i="2"/>
  <c r="I2247" i="2"/>
  <c r="L2246" i="2"/>
  <c r="K2246" i="2"/>
  <c r="J2246" i="2"/>
  <c r="I2246" i="2"/>
  <c r="L2245" i="2"/>
  <c r="K2245" i="2"/>
  <c r="J2245" i="2"/>
  <c r="I2245" i="2"/>
  <c r="L2244" i="2"/>
  <c r="K2244" i="2"/>
  <c r="J2244" i="2"/>
  <c r="I2244" i="2"/>
  <c r="L2243" i="2"/>
  <c r="K2243" i="2"/>
  <c r="J2243" i="2"/>
  <c r="I2243" i="2"/>
  <c r="L2242" i="2"/>
  <c r="K2242" i="2"/>
  <c r="J2242" i="2"/>
  <c r="I2242" i="2"/>
  <c r="L2241" i="2"/>
  <c r="K2241" i="2"/>
  <c r="J2241" i="2"/>
  <c r="I2241" i="2"/>
  <c r="L2240" i="2"/>
  <c r="K2240" i="2"/>
  <c r="J2240" i="2"/>
  <c r="I2240" i="2"/>
  <c r="L2239" i="2"/>
  <c r="K2239" i="2"/>
  <c r="J2239" i="2"/>
  <c r="I2239" i="2"/>
  <c r="L2238" i="2"/>
  <c r="K2238" i="2"/>
  <c r="J2238" i="2"/>
  <c r="I2238" i="2"/>
  <c r="L2237" i="2"/>
  <c r="K2237" i="2"/>
  <c r="J2237" i="2"/>
  <c r="I2237" i="2"/>
  <c r="L2236" i="2"/>
  <c r="K2236" i="2"/>
  <c r="J2236" i="2"/>
  <c r="I2236" i="2"/>
  <c r="L2235" i="2"/>
  <c r="K2235" i="2"/>
  <c r="J2235" i="2"/>
  <c r="I2235" i="2"/>
  <c r="L2234" i="2"/>
  <c r="K2234" i="2"/>
  <c r="J2234" i="2"/>
  <c r="I2234" i="2"/>
  <c r="L2233" i="2"/>
  <c r="K2233" i="2"/>
  <c r="J2233" i="2"/>
  <c r="I2233" i="2"/>
  <c r="L2232" i="2"/>
  <c r="K2232" i="2"/>
  <c r="J2232" i="2"/>
  <c r="I2232" i="2"/>
  <c r="L2231" i="2"/>
  <c r="K2231" i="2"/>
  <c r="J2231" i="2"/>
  <c r="I2231" i="2"/>
  <c r="L2230" i="2"/>
  <c r="K2230" i="2"/>
  <c r="J2230" i="2"/>
  <c r="I2230" i="2"/>
  <c r="L2229" i="2"/>
  <c r="K2229" i="2"/>
  <c r="J2229" i="2"/>
  <c r="I2229" i="2"/>
  <c r="L2228" i="2"/>
  <c r="K2228" i="2"/>
  <c r="J2228" i="2"/>
  <c r="I2228" i="2"/>
  <c r="L2227" i="2"/>
  <c r="K2227" i="2"/>
  <c r="J2227" i="2"/>
  <c r="I2227" i="2"/>
  <c r="L2226" i="2"/>
  <c r="K2226" i="2"/>
  <c r="J2226" i="2"/>
  <c r="I2226" i="2"/>
  <c r="L2225" i="2"/>
  <c r="K2225" i="2"/>
  <c r="J2225" i="2"/>
  <c r="I2225" i="2"/>
  <c r="L2224" i="2"/>
  <c r="K2224" i="2"/>
  <c r="J2224" i="2"/>
  <c r="I2224" i="2"/>
  <c r="L2223" i="2"/>
  <c r="K2223" i="2"/>
  <c r="J2223" i="2"/>
  <c r="I2223" i="2"/>
  <c r="L2222" i="2"/>
  <c r="K2222" i="2"/>
  <c r="J2222" i="2"/>
  <c r="I2222" i="2"/>
  <c r="L2221" i="2"/>
  <c r="K2221" i="2"/>
  <c r="J2221" i="2"/>
  <c r="I2221" i="2"/>
  <c r="L2220" i="2"/>
  <c r="K2220" i="2"/>
  <c r="J2220" i="2"/>
  <c r="I2220" i="2"/>
  <c r="L2219" i="2"/>
  <c r="K2219" i="2"/>
  <c r="J2219" i="2"/>
  <c r="I2219" i="2"/>
  <c r="L2218" i="2"/>
  <c r="K2218" i="2"/>
  <c r="J2218" i="2"/>
  <c r="I2218" i="2"/>
  <c r="L2217" i="2"/>
  <c r="K2217" i="2"/>
  <c r="J2217" i="2"/>
  <c r="I2217" i="2"/>
  <c r="L2216" i="2"/>
  <c r="K2216" i="2"/>
  <c r="J2216" i="2"/>
  <c r="I2216" i="2"/>
  <c r="L2215" i="2"/>
  <c r="K2215" i="2"/>
  <c r="J2215" i="2"/>
  <c r="I2215" i="2"/>
  <c r="L2214" i="2"/>
  <c r="K2214" i="2"/>
  <c r="J2214" i="2"/>
  <c r="I2214" i="2"/>
  <c r="L2213" i="2"/>
  <c r="K2213" i="2"/>
  <c r="J2213" i="2"/>
  <c r="I2213" i="2"/>
  <c r="L2212" i="2"/>
  <c r="K2212" i="2"/>
  <c r="J2212" i="2"/>
  <c r="I2212" i="2"/>
  <c r="L2211" i="2"/>
  <c r="K2211" i="2"/>
  <c r="J2211" i="2"/>
  <c r="I2211" i="2"/>
  <c r="L2210" i="2"/>
  <c r="K2210" i="2"/>
  <c r="J2210" i="2"/>
  <c r="I2210" i="2"/>
  <c r="L2209" i="2"/>
  <c r="K2209" i="2"/>
  <c r="J2209" i="2"/>
  <c r="I2209" i="2"/>
  <c r="L2208" i="2"/>
  <c r="K2208" i="2"/>
  <c r="J2208" i="2"/>
  <c r="I2208" i="2"/>
  <c r="L2207" i="2"/>
  <c r="K2207" i="2"/>
  <c r="J2207" i="2"/>
  <c r="I2207" i="2"/>
  <c r="L2206" i="2"/>
  <c r="K2206" i="2"/>
  <c r="J2206" i="2"/>
  <c r="I2206" i="2"/>
  <c r="L2205" i="2"/>
  <c r="K2205" i="2"/>
  <c r="J2205" i="2"/>
  <c r="I2205" i="2"/>
  <c r="L2204" i="2"/>
  <c r="K2204" i="2"/>
  <c r="J2204" i="2"/>
  <c r="I2204" i="2"/>
  <c r="L2203" i="2"/>
  <c r="K2203" i="2"/>
  <c r="J2203" i="2"/>
  <c r="I2203" i="2"/>
  <c r="L2202" i="2"/>
  <c r="K2202" i="2"/>
  <c r="J2202" i="2"/>
  <c r="I2202" i="2"/>
  <c r="L2201" i="2"/>
  <c r="K2201" i="2"/>
  <c r="J2201" i="2"/>
  <c r="I2201" i="2"/>
  <c r="L2200" i="2"/>
  <c r="K2200" i="2"/>
  <c r="J2200" i="2"/>
  <c r="I2200" i="2"/>
  <c r="L2199" i="2"/>
  <c r="K2199" i="2"/>
  <c r="J2199" i="2"/>
  <c r="I2199" i="2"/>
  <c r="L2198" i="2"/>
  <c r="K2198" i="2"/>
  <c r="J2198" i="2"/>
  <c r="I2198" i="2"/>
  <c r="L2197" i="2"/>
  <c r="K2197" i="2"/>
  <c r="J2197" i="2"/>
  <c r="I2197" i="2"/>
  <c r="L2196" i="2"/>
  <c r="K2196" i="2"/>
  <c r="J2196" i="2"/>
  <c r="I2196" i="2"/>
  <c r="L2195" i="2"/>
  <c r="K2195" i="2"/>
  <c r="J2195" i="2"/>
  <c r="I2195" i="2"/>
  <c r="L2194" i="2"/>
  <c r="K2194" i="2"/>
  <c r="J2194" i="2"/>
  <c r="I2194" i="2"/>
  <c r="L2193" i="2"/>
  <c r="K2193" i="2"/>
  <c r="J2193" i="2"/>
  <c r="I2193" i="2"/>
  <c r="L2192" i="2"/>
  <c r="K2192" i="2"/>
  <c r="J2192" i="2"/>
  <c r="I2192" i="2"/>
  <c r="L2191" i="2"/>
  <c r="K2191" i="2"/>
  <c r="J2191" i="2"/>
  <c r="I2191" i="2"/>
  <c r="L2190" i="2"/>
  <c r="K2190" i="2"/>
  <c r="J2190" i="2"/>
  <c r="I2190" i="2"/>
  <c r="L2189" i="2"/>
  <c r="K2189" i="2"/>
  <c r="J2189" i="2"/>
  <c r="I2189" i="2"/>
  <c r="L2188" i="2"/>
  <c r="K2188" i="2"/>
  <c r="J2188" i="2"/>
  <c r="I2188" i="2"/>
  <c r="L2187" i="2"/>
  <c r="K2187" i="2"/>
  <c r="J2187" i="2"/>
  <c r="I2187" i="2"/>
  <c r="L2186" i="2"/>
  <c r="K2186" i="2"/>
  <c r="J2186" i="2"/>
  <c r="I2186" i="2"/>
  <c r="L2185" i="2"/>
  <c r="K2185" i="2"/>
  <c r="J2185" i="2"/>
  <c r="I2185" i="2"/>
  <c r="L2184" i="2"/>
  <c r="K2184" i="2"/>
  <c r="J2184" i="2"/>
  <c r="I2184" i="2"/>
  <c r="L2183" i="2"/>
  <c r="K2183" i="2"/>
  <c r="J2183" i="2"/>
  <c r="I2183" i="2"/>
  <c r="L2182" i="2"/>
  <c r="K2182" i="2"/>
  <c r="J2182" i="2"/>
  <c r="I2182" i="2"/>
  <c r="L2181" i="2"/>
  <c r="K2181" i="2"/>
  <c r="J2181" i="2"/>
  <c r="I2181" i="2"/>
  <c r="L2180" i="2"/>
  <c r="K2180" i="2"/>
  <c r="J2180" i="2"/>
  <c r="I2180" i="2"/>
  <c r="L2179" i="2"/>
  <c r="K2179" i="2"/>
  <c r="J2179" i="2"/>
  <c r="I2179" i="2"/>
  <c r="L2178" i="2"/>
  <c r="K2178" i="2"/>
  <c r="J2178" i="2"/>
  <c r="I2178" i="2"/>
  <c r="L2177" i="2"/>
  <c r="K2177" i="2"/>
  <c r="J2177" i="2"/>
  <c r="I2177" i="2"/>
  <c r="L2176" i="2"/>
  <c r="K2176" i="2"/>
  <c r="J2176" i="2"/>
  <c r="I2176" i="2"/>
  <c r="L2175" i="2"/>
  <c r="K2175" i="2"/>
  <c r="J2175" i="2"/>
  <c r="I2175" i="2"/>
  <c r="L2174" i="2"/>
  <c r="K2174" i="2"/>
  <c r="J2174" i="2"/>
  <c r="I2174" i="2"/>
  <c r="L2173" i="2"/>
  <c r="K2173" i="2"/>
  <c r="J2173" i="2"/>
  <c r="I2173" i="2"/>
  <c r="L2172" i="2"/>
  <c r="K2172" i="2"/>
  <c r="J2172" i="2"/>
  <c r="I2172" i="2"/>
  <c r="L2171" i="2"/>
  <c r="K2171" i="2"/>
  <c r="J2171" i="2"/>
  <c r="I2171" i="2"/>
  <c r="L2170" i="2"/>
  <c r="K2170" i="2"/>
  <c r="J2170" i="2"/>
  <c r="I2170" i="2"/>
  <c r="L2169" i="2"/>
  <c r="K2169" i="2"/>
  <c r="J2169" i="2"/>
  <c r="I2169" i="2"/>
  <c r="L2168" i="2"/>
  <c r="K2168" i="2"/>
  <c r="J2168" i="2"/>
  <c r="I2168" i="2"/>
  <c r="L2167" i="2"/>
  <c r="K2167" i="2"/>
  <c r="J2167" i="2"/>
  <c r="I2167" i="2"/>
  <c r="L2166" i="2"/>
  <c r="K2166" i="2"/>
  <c r="J2166" i="2"/>
  <c r="I2166" i="2"/>
  <c r="L2165" i="2"/>
  <c r="K2165" i="2"/>
  <c r="J2165" i="2"/>
  <c r="I2165" i="2"/>
  <c r="L2164" i="2"/>
  <c r="K2164" i="2"/>
  <c r="J2164" i="2"/>
  <c r="I2164" i="2"/>
  <c r="L2163" i="2"/>
  <c r="K2163" i="2"/>
  <c r="J2163" i="2"/>
  <c r="I2163" i="2"/>
  <c r="L2162" i="2"/>
  <c r="K2162" i="2"/>
  <c r="J2162" i="2"/>
  <c r="I2162" i="2"/>
  <c r="L2161" i="2"/>
  <c r="K2161" i="2"/>
  <c r="J2161" i="2"/>
  <c r="I2161" i="2"/>
  <c r="L2160" i="2"/>
  <c r="K2160" i="2"/>
  <c r="J2160" i="2"/>
  <c r="I2160" i="2"/>
  <c r="L2159" i="2"/>
  <c r="K2159" i="2"/>
  <c r="J2159" i="2"/>
  <c r="I2159" i="2"/>
  <c r="L2158" i="2"/>
  <c r="K2158" i="2"/>
  <c r="J2158" i="2"/>
  <c r="I2158" i="2"/>
  <c r="L2157" i="2"/>
  <c r="K2157" i="2"/>
  <c r="J2157" i="2"/>
  <c r="I2157" i="2"/>
  <c r="L2156" i="2"/>
  <c r="K2156" i="2"/>
  <c r="J2156" i="2"/>
  <c r="I2156" i="2"/>
  <c r="L2155" i="2"/>
  <c r="K2155" i="2"/>
  <c r="J2155" i="2"/>
  <c r="I2155" i="2"/>
  <c r="L2154" i="2"/>
  <c r="K2154" i="2"/>
  <c r="J2154" i="2"/>
  <c r="I2154" i="2"/>
  <c r="L2153" i="2"/>
  <c r="K2153" i="2"/>
  <c r="J2153" i="2"/>
  <c r="I2153" i="2"/>
  <c r="L2152" i="2"/>
  <c r="K2152" i="2"/>
  <c r="J2152" i="2"/>
  <c r="I2152" i="2"/>
  <c r="L2151" i="2"/>
  <c r="K2151" i="2"/>
  <c r="J2151" i="2"/>
  <c r="I2151" i="2"/>
  <c r="L2150" i="2"/>
  <c r="K2150" i="2"/>
  <c r="J2150" i="2"/>
  <c r="I2150" i="2"/>
  <c r="L2149" i="2"/>
  <c r="K2149" i="2"/>
  <c r="J2149" i="2"/>
  <c r="I2149" i="2"/>
  <c r="L2148" i="2"/>
  <c r="K2148" i="2"/>
  <c r="J2148" i="2"/>
  <c r="I2148" i="2"/>
  <c r="L2147" i="2"/>
  <c r="K2147" i="2"/>
  <c r="J2147" i="2"/>
  <c r="I2147" i="2"/>
  <c r="L2146" i="2"/>
  <c r="K2146" i="2"/>
  <c r="J2146" i="2"/>
  <c r="I2146" i="2"/>
  <c r="L2145" i="2"/>
  <c r="K2145" i="2"/>
  <c r="J2145" i="2"/>
  <c r="I2145" i="2"/>
  <c r="L2144" i="2"/>
  <c r="K2144" i="2"/>
  <c r="J2144" i="2"/>
  <c r="I2144" i="2"/>
  <c r="L2143" i="2"/>
  <c r="K2143" i="2"/>
  <c r="J2143" i="2"/>
  <c r="I2143" i="2"/>
  <c r="L2142" i="2"/>
  <c r="K2142" i="2"/>
  <c r="J2142" i="2"/>
  <c r="I2142" i="2"/>
  <c r="L2141" i="2"/>
  <c r="K2141" i="2"/>
  <c r="J2141" i="2"/>
  <c r="I2141" i="2"/>
  <c r="L2140" i="2"/>
  <c r="K2140" i="2"/>
  <c r="J2140" i="2"/>
  <c r="I2140" i="2"/>
  <c r="L2139" i="2"/>
  <c r="K2139" i="2"/>
  <c r="J2139" i="2"/>
  <c r="I2139" i="2"/>
  <c r="L2138" i="2"/>
  <c r="K2138" i="2"/>
  <c r="J2138" i="2"/>
  <c r="I2138" i="2"/>
  <c r="L2137" i="2"/>
  <c r="K2137" i="2"/>
  <c r="J2137" i="2"/>
  <c r="I2137" i="2"/>
  <c r="L2136" i="2"/>
  <c r="K2136" i="2"/>
  <c r="J2136" i="2"/>
  <c r="I2136" i="2"/>
  <c r="L2135" i="2"/>
  <c r="K2135" i="2"/>
  <c r="J2135" i="2"/>
  <c r="I2135" i="2"/>
  <c r="L2134" i="2"/>
  <c r="K2134" i="2"/>
  <c r="J2134" i="2"/>
  <c r="I2134" i="2"/>
  <c r="L2133" i="2"/>
  <c r="K2133" i="2"/>
  <c r="J2133" i="2"/>
  <c r="I2133" i="2"/>
  <c r="L2132" i="2"/>
  <c r="K2132" i="2"/>
  <c r="J2132" i="2"/>
  <c r="I2132" i="2"/>
  <c r="L2131" i="2"/>
  <c r="K2131" i="2"/>
  <c r="J2131" i="2"/>
  <c r="I2131" i="2"/>
  <c r="L2130" i="2"/>
  <c r="K2130" i="2"/>
  <c r="J2130" i="2"/>
  <c r="I2130" i="2"/>
  <c r="L2129" i="2"/>
  <c r="K2129" i="2"/>
  <c r="J2129" i="2"/>
  <c r="I2129" i="2"/>
  <c r="L2128" i="2"/>
  <c r="K2128" i="2"/>
  <c r="J2128" i="2"/>
  <c r="I2128" i="2"/>
  <c r="L2127" i="2"/>
  <c r="K2127" i="2"/>
  <c r="J2127" i="2"/>
  <c r="I2127" i="2"/>
  <c r="L2126" i="2"/>
  <c r="K2126" i="2"/>
  <c r="J2126" i="2"/>
  <c r="I2126" i="2"/>
  <c r="L2125" i="2"/>
  <c r="K2125" i="2"/>
  <c r="J2125" i="2"/>
  <c r="I2125" i="2"/>
  <c r="L2124" i="2"/>
  <c r="K2124" i="2"/>
  <c r="J2124" i="2"/>
  <c r="I2124" i="2"/>
  <c r="L2123" i="2"/>
  <c r="K2123" i="2"/>
  <c r="J2123" i="2"/>
  <c r="I2123" i="2"/>
  <c r="L2122" i="2"/>
  <c r="K2122" i="2"/>
  <c r="J2122" i="2"/>
  <c r="I2122" i="2"/>
  <c r="L2121" i="2"/>
  <c r="K2121" i="2"/>
  <c r="J2121" i="2"/>
  <c r="I2121" i="2"/>
  <c r="L2120" i="2"/>
  <c r="K2120" i="2"/>
  <c r="J2120" i="2"/>
  <c r="I2120" i="2"/>
  <c r="L2119" i="2"/>
  <c r="K2119" i="2"/>
  <c r="J2119" i="2"/>
  <c r="I2119" i="2"/>
  <c r="L2118" i="2"/>
  <c r="K2118" i="2"/>
  <c r="J2118" i="2"/>
  <c r="I2118" i="2"/>
  <c r="L2117" i="2"/>
  <c r="K2117" i="2"/>
  <c r="J2117" i="2"/>
  <c r="I2117" i="2"/>
  <c r="L2116" i="2"/>
  <c r="K2116" i="2"/>
  <c r="J2116" i="2"/>
  <c r="I2116" i="2"/>
  <c r="L2115" i="2"/>
  <c r="K2115" i="2"/>
  <c r="J2115" i="2"/>
  <c r="I2115" i="2"/>
  <c r="L2114" i="2"/>
  <c r="K2114" i="2"/>
  <c r="J2114" i="2"/>
  <c r="I2114" i="2"/>
  <c r="L2113" i="2"/>
  <c r="K2113" i="2"/>
  <c r="J2113" i="2"/>
  <c r="I2113" i="2"/>
  <c r="L2112" i="2"/>
  <c r="K2112" i="2"/>
  <c r="J2112" i="2"/>
  <c r="I2112" i="2"/>
  <c r="L2111" i="2"/>
  <c r="K2111" i="2"/>
  <c r="J2111" i="2"/>
  <c r="I2111" i="2"/>
  <c r="L2110" i="2"/>
  <c r="K2110" i="2"/>
  <c r="J2110" i="2"/>
  <c r="I2110" i="2"/>
  <c r="L2109" i="2"/>
  <c r="K2109" i="2"/>
  <c r="J2109" i="2"/>
  <c r="I2109" i="2"/>
  <c r="L2108" i="2"/>
  <c r="K2108" i="2"/>
  <c r="J2108" i="2"/>
  <c r="I2108" i="2"/>
  <c r="L2107" i="2"/>
  <c r="K2107" i="2"/>
  <c r="J2107" i="2"/>
  <c r="I2107" i="2"/>
  <c r="L2106" i="2"/>
  <c r="K2106" i="2"/>
  <c r="J2106" i="2"/>
  <c r="I2106" i="2"/>
  <c r="L2105" i="2"/>
  <c r="K2105" i="2"/>
  <c r="J2105" i="2"/>
  <c r="I2105" i="2"/>
  <c r="L2104" i="2"/>
  <c r="K2104" i="2"/>
  <c r="J2104" i="2"/>
  <c r="I2104" i="2"/>
  <c r="L2103" i="2"/>
  <c r="K2103" i="2"/>
  <c r="J2103" i="2"/>
  <c r="I2103" i="2"/>
  <c r="L2102" i="2"/>
  <c r="K2102" i="2"/>
  <c r="J2102" i="2"/>
  <c r="I2102" i="2"/>
  <c r="L2101" i="2"/>
  <c r="K2101" i="2"/>
  <c r="J2101" i="2"/>
  <c r="I2101" i="2"/>
  <c r="L2100" i="2"/>
  <c r="K2100" i="2"/>
  <c r="J2100" i="2"/>
  <c r="I2100" i="2"/>
  <c r="L2099" i="2"/>
  <c r="K2099" i="2"/>
  <c r="J2099" i="2"/>
  <c r="I2099" i="2"/>
  <c r="L2098" i="2"/>
  <c r="K2098" i="2"/>
  <c r="J2098" i="2"/>
  <c r="I2098" i="2"/>
  <c r="L2097" i="2"/>
  <c r="K2097" i="2"/>
  <c r="J2097" i="2"/>
  <c r="I2097" i="2"/>
  <c r="L2096" i="2"/>
  <c r="K2096" i="2"/>
  <c r="J2096" i="2"/>
  <c r="I2096" i="2"/>
  <c r="L2095" i="2"/>
  <c r="K2095" i="2"/>
  <c r="J2095" i="2"/>
  <c r="I2095" i="2"/>
  <c r="L2094" i="2"/>
  <c r="K2094" i="2"/>
  <c r="J2094" i="2"/>
  <c r="I2094" i="2"/>
  <c r="L2093" i="2"/>
  <c r="K2093" i="2"/>
  <c r="J2093" i="2"/>
  <c r="I2093" i="2"/>
  <c r="L2092" i="2"/>
  <c r="K2092" i="2"/>
  <c r="J2092" i="2"/>
  <c r="I2092" i="2"/>
  <c r="L2091" i="2"/>
  <c r="K2091" i="2"/>
  <c r="J2091" i="2"/>
  <c r="I2091" i="2"/>
  <c r="L2090" i="2"/>
  <c r="K2090" i="2"/>
  <c r="J2090" i="2"/>
  <c r="I2090" i="2"/>
  <c r="L2089" i="2"/>
  <c r="K2089" i="2"/>
  <c r="J2089" i="2"/>
  <c r="I2089" i="2"/>
  <c r="L2088" i="2"/>
  <c r="K2088" i="2"/>
  <c r="J2088" i="2"/>
  <c r="I2088" i="2"/>
  <c r="L2087" i="2"/>
  <c r="K2087" i="2"/>
  <c r="J2087" i="2"/>
  <c r="I2087" i="2"/>
  <c r="L2086" i="2"/>
  <c r="K2086" i="2"/>
  <c r="J2086" i="2"/>
  <c r="I2086" i="2"/>
  <c r="L2085" i="2"/>
  <c r="K2085" i="2"/>
  <c r="J2085" i="2"/>
  <c r="I2085" i="2"/>
  <c r="L2084" i="2"/>
  <c r="K2084" i="2"/>
  <c r="J2084" i="2"/>
  <c r="I2084" i="2"/>
  <c r="L2083" i="2"/>
  <c r="K2083" i="2"/>
  <c r="J2083" i="2"/>
  <c r="I2083" i="2"/>
  <c r="L2082" i="2"/>
  <c r="K2082" i="2"/>
  <c r="J2082" i="2"/>
  <c r="I2082" i="2"/>
  <c r="L2081" i="2"/>
  <c r="K2081" i="2"/>
  <c r="J2081" i="2"/>
  <c r="I2081" i="2"/>
  <c r="L2080" i="2"/>
  <c r="K2080" i="2"/>
  <c r="J2080" i="2"/>
  <c r="I2080" i="2"/>
  <c r="L2079" i="2"/>
  <c r="K2079" i="2"/>
  <c r="J2079" i="2"/>
  <c r="I2079" i="2"/>
  <c r="L2078" i="2"/>
  <c r="K2078" i="2"/>
  <c r="J2078" i="2"/>
  <c r="I2078" i="2"/>
  <c r="L2077" i="2"/>
  <c r="K2077" i="2"/>
  <c r="J2077" i="2"/>
  <c r="I2077" i="2"/>
  <c r="L2076" i="2"/>
  <c r="K2076" i="2"/>
  <c r="J2076" i="2"/>
  <c r="I2076" i="2"/>
  <c r="L2075" i="2"/>
  <c r="K2075" i="2"/>
  <c r="J2075" i="2"/>
  <c r="I2075" i="2"/>
  <c r="L2074" i="2"/>
  <c r="K2074" i="2"/>
  <c r="J2074" i="2"/>
  <c r="I2074" i="2"/>
  <c r="L2073" i="2"/>
  <c r="K2073" i="2"/>
  <c r="J2073" i="2"/>
  <c r="I2073" i="2"/>
  <c r="L2072" i="2"/>
  <c r="K2072" i="2"/>
  <c r="J2072" i="2"/>
  <c r="I2072" i="2"/>
  <c r="L2071" i="2"/>
  <c r="K2071" i="2"/>
  <c r="J2071" i="2"/>
  <c r="I2071" i="2"/>
  <c r="L2070" i="2"/>
  <c r="K2070" i="2"/>
  <c r="J2070" i="2"/>
  <c r="I2070" i="2"/>
  <c r="L2069" i="2"/>
  <c r="K2069" i="2"/>
  <c r="J2069" i="2"/>
  <c r="I2069" i="2"/>
  <c r="L2068" i="2"/>
  <c r="K2068" i="2"/>
  <c r="J2068" i="2"/>
  <c r="I2068" i="2"/>
  <c r="L2067" i="2"/>
  <c r="K2067" i="2"/>
  <c r="J2067" i="2"/>
  <c r="I2067" i="2"/>
  <c r="L2066" i="2"/>
  <c r="K2066" i="2"/>
  <c r="J2066" i="2"/>
  <c r="I2066" i="2"/>
  <c r="L2065" i="2"/>
  <c r="K2065" i="2"/>
  <c r="J2065" i="2"/>
  <c r="I2065" i="2"/>
  <c r="L2064" i="2"/>
  <c r="K2064" i="2"/>
  <c r="J2064" i="2"/>
  <c r="I2064" i="2"/>
  <c r="L2063" i="2"/>
  <c r="K2063" i="2"/>
  <c r="J2063" i="2"/>
  <c r="I2063" i="2"/>
  <c r="L2062" i="2"/>
  <c r="K2062" i="2"/>
  <c r="J2062" i="2"/>
  <c r="I2062" i="2"/>
  <c r="L2061" i="2"/>
  <c r="K2061" i="2"/>
  <c r="J2061" i="2"/>
  <c r="I2061" i="2"/>
  <c r="L2060" i="2"/>
  <c r="K2060" i="2"/>
  <c r="J2060" i="2"/>
  <c r="I2060" i="2"/>
  <c r="L2059" i="2"/>
  <c r="K2059" i="2"/>
  <c r="J2059" i="2"/>
  <c r="I2059" i="2"/>
  <c r="L2058" i="2"/>
  <c r="K2058" i="2"/>
  <c r="J2058" i="2"/>
  <c r="I2058" i="2"/>
  <c r="L2057" i="2"/>
  <c r="K2057" i="2"/>
  <c r="J2057" i="2"/>
  <c r="I2057" i="2"/>
  <c r="L2056" i="2"/>
  <c r="K2056" i="2"/>
  <c r="J2056" i="2"/>
  <c r="I2056" i="2"/>
  <c r="L2055" i="2"/>
  <c r="K2055" i="2"/>
  <c r="J2055" i="2"/>
  <c r="I2055" i="2"/>
  <c r="L2054" i="2"/>
  <c r="K2054" i="2"/>
  <c r="J2054" i="2"/>
  <c r="I2054" i="2"/>
  <c r="L2053" i="2"/>
  <c r="K2053" i="2"/>
  <c r="J2053" i="2"/>
  <c r="I2053" i="2"/>
  <c r="L2052" i="2"/>
  <c r="K2052" i="2"/>
  <c r="J2052" i="2"/>
  <c r="I2052" i="2"/>
  <c r="L2051" i="2"/>
  <c r="K2051" i="2"/>
  <c r="J2051" i="2"/>
  <c r="I2051" i="2"/>
  <c r="L2050" i="2"/>
  <c r="K2050" i="2"/>
  <c r="J2050" i="2"/>
  <c r="I2050" i="2"/>
  <c r="L2049" i="2"/>
  <c r="K2049" i="2"/>
  <c r="J2049" i="2"/>
  <c r="I2049" i="2"/>
  <c r="L2048" i="2"/>
  <c r="K2048" i="2"/>
  <c r="J2048" i="2"/>
  <c r="I2048" i="2"/>
  <c r="L2047" i="2"/>
  <c r="K2047" i="2"/>
  <c r="J2047" i="2"/>
  <c r="I2047" i="2"/>
  <c r="L2046" i="2"/>
  <c r="K2046" i="2"/>
  <c r="J2046" i="2"/>
  <c r="I2046" i="2"/>
  <c r="L2045" i="2"/>
  <c r="K2045" i="2"/>
  <c r="J2045" i="2"/>
  <c r="I2045" i="2"/>
  <c r="L2044" i="2"/>
  <c r="K2044" i="2"/>
  <c r="J2044" i="2"/>
  <c r="I2044" i="2"/>
  <c r="L2043" i="2"/>
  <c r="K2043" i="2"/>
  <c r="J2043" i="2"/>
  <c r="I2043" i="2"/>
  <c r="L2042" i="2"/>
  <c r="K2042" i="2"/>
  <c r="J2042" i="2"/>
  <c r="I2042" i="2"/>
  <c r="L2041" i="2"/>
  <c r="K2041" i="2"/>
  <c r="J2041" i="2"/>
  <c r="I2041" i="2"/>
  <c r="L2040" i="2"/>
  <c r="K2040" i="2"/>
  <c r="J2040" i="2"/>
  <c r="I2040" i="2"/>
  <c r="L2039" i="2"/>
  <c r="K2039" i="2"/>
  <c r="J2039" i="2"/>
  <c r="I2039" i="2"/>
  <c r="L2038" i="2"/>
  <c r="K2038" i="2"/>
  <c r="J2038" i="2"/>
  <c r="I2038" i="2"/>
  <c r="L2037" i="2"/>
  <c r="K2037" i="2"/>
  <c r="J2037" i="2"/>
  <c r="I2037" i="2"/>
  <c r="L2036" i="2"/>
  <c r="K2036" i="2"/>
  <c r="J2036" i="2"/>
  <c r="I2036" i="2"/>
  <c r="L2035" i="2"/>
  <c r="K2035" i="2"/>
  <c r="J2035" i="2"/>
  <c r="I2035" i="2"/>
  <c r="L2034" i="2"/>
  <c r="K2034" i="2"/>
  <c r="J2034" i="2"/>
  <c r="I2034" i="2"/>
  <c r="L2033" i="2"/>
  <c r="K2033" i="2"/>
  <c r="J2033" i="2"/>
  <c r="I2033" i="2"/>
  <c r="L2032" i="2"/>
  <c r="K2032" i="2"/>
  <c r="J2032" i="2"/>
  <c r="I2032" i="2"/>
  <c r="L2031" i="2"/>
  <c r="K2031" i="2"/>
  <c r="J2031" i="2"/>
  <c r="I2031" i="2"/>
  <c r="L2030" i="2"/>
  <c r="K2030" i="2"/>
  <c r="J2030" i="2"/>
  <c r="I2030" i="2"/>
  <c r="L2029" i="2"/>
  <c r="K2029" i="2"/>
  <c r="J2029" i="2"/>
  <c r="I2029" i="2"/>
  <c r="L2028" i="2"/>
  <c r="K2028" i="2"/>
  <c r="J2028" i="2"/>
  <c r="I2028" i="2"/>
  <c r="L2027" i="2"/>
  <c r="K2027" i="2"/>
  <c r="J2027" i="2"/>
  <c r="I2027" i="2"/>
  <c r="L2026" i="2"/>
  <c r="K2026" i="2"/>
  <c r="J2026" i="2"/>
  <c r="I2026" i="2"/>
  <c r="L2025" i="2"/>
  <c r="K2025" i="2"/>
  <c r="J2025" i="2"/>
  <c r="I2025" i="2"/>
  <c r="L2024" i="2"/>
  <c r="K2024" i="2"/>
  <c r="J2024" i="2"/>
  <c r="I2024" i="2"/>
  <c r="L2023" i="2"/>
  <c r="K2023" i="2"/>
  <c r="J2023" i="2"/>
  <c r="I2023" i="2"/>
  <c r="L2022" i="2"/>
  <c r="K2022" i="2"/>
  <c r="J2022" i="2"/>
  <c r="I2022" i="2"/>
  <c r="L2021" i="2"/>
  <c r="K2021" i="2"/>
  <c r="J2021" i="2"/>
  <c r="I2021" i="2"/>
  <c r="L2020" i="2"/>
  <c r="K2020" i="2"/>
  <c r="J2020" i="2"/>
  <c r="I2020" i="2"/>
  <c r="L2019" i="2"/>
  <c r="K2019" i="2"/>
  <c r="J2019" i="2"/>
  <c r="I2019" i="2"/>
  <c r="L2018" i="2"/>
  <c r="K2018" i="2"/>
  <c r="J2018" i="2"/>
  <c r="I2018" i="2"/>
  <c r="L2017" i="2"/>
  <c r="K2017" i="2"/>
  <c r="J2017" i="2"/>
  <c r="I2017" i="2"/>
  <c r="L2016" i="2"/>
  <c r="K2016" i="2"/>
  <c r="J2016" i="2"/>
  <c r="I2016" i="2"/>
  <c r="L2015" i="2"/>
  <c r="K2015" i="2"/>
  <c r="J2015" i="2"/>
  <c r="I2015" i="2"/>
  <c r="L2014" i="2"/>
  <c r="K2014" i="2"/>
  <c r="J2014" i="2"/>
  <c r="I2014" i="2"/>
  <c r="L2013" i="2"/>
  <c r="K2013" i="2"/>
  <c r="J2013" i="2"/>
  <c r="I2013" i="2"/>
  <c r="L2012" i="2"/>
  <c r="K2012" i="2"/>
  <c r="J2012" i="2"/>
  <c r="I2012" i="2"/>
  <c r="L2011" i="2"/>
  <c r="K2011" i="2"/>
  <c r="J2011" i="2"/>
  <c r="I2011" i="2"/>
  <c r="L2010" i="2"/>
  <c r="K2010" i="2"/>
  <c r="J2010" i="2"/>
  <c r="I2010" i="2"/>
  <c r="L2009" i="2"/>
  <c r="K2009" i="2"/>
  <c r="J2009" i="2"/>
  <c r="I2009" i="2"/>
  <c r="L2008" i="2"/>
  <c r="K2008" i="2"/>
  <c r="J2008" i="2"/>
  <c r="I2008" i="2"/>
  <c r="L2007" i="2"/>
  <c r="K2007" i="2"/>
  <c r="J2007" i="2"/>
  <c r="I2007" i="2"/>
  <c r="L2006" i="2"/>
  <c r="K2006" i="2"/>
  <c r="J2006" i="2"/>
  <c r="I2006" i="2"/>
  <c r="L2005" i="2"/>
  <c r="K2005" i="2"/>
  <c r="J2005" i="2"/>
  <c r="I2005" i="2"/>
  <c r="L2004" i="2"/>
  <c r="K2004" i="2"/>
  <c r="J2004" i="2"/>
  <c r="I2004" i="2"/>
  <c r="L2003" i="2"/>
  <c r="K2003" i="2"/>
  <c r="J2003" i="2"/>
  <c r="I2003" i="2"/>
  <c r="L2002" i="2"/>
  <c r="K2002" i="2"/>
  <c r="J2002" i="2"/>
  <c r="I2002" i="2"/>
  <c r="L2001" i="2"/>
  <c r="K2001" i="2"/>
  <c r="J2001" i="2"/>
  <c r="I2001" i="2"/>
  <c r="L2000" i="2"/>
  <c r="K2000" i="2"/>
  <c r="J2000" i="2"/>
  <c r="I2000" i="2"/>
  <c r="L1999" i="2"/>
  <c r="K1999" i="2"/>
  <c r="J1999" i="2"/>
  <c r="I1999" i="2"/>
  <c r="L1998" i="2"/>
  <c r="K1998" i="2"/>
  <c r="J1998" i="2"/>
  <c r="I1998" i="2"/>
  <c r="L1997" i="2"/>
  <c r="K1997" i="2"/>
  <c r="J1997" i="2"/>
  <c r="I1997" i="2"/>
  <c r="L1996" i="2"/>
  <c r="K1996" i="2"/>
  <c r="J1996" i="2"/>
  <c r="I1996" i="2"/>
  <c r="L1995" i="2"/>
  <c r="K1995" i="2"/>
  <c r="J1995" i="2"/>
  <c r="I1995" i="2"/>
  <c r="L1994" i="2"/>
  <c r="K1994" i="2"/>
  <c r="J1994" i="2"/>
  <c r="I1994" i="2"/>
  <c r="L1993" i="2"/>
  <c r="K1993" i="2"/>
  <c r="J1993" i="2"/>
  <c r="I1993" i="2"/>
  <c r="L1992" i="2"/>
  <c r="K1992" i="2"/>
  <c r="J1992" i="2"/>
  <c r="I1992" i="2"/>
  <c r="L1991" i="2"/>
  <c r="K1991" i="2"/>
  <c r="J1991" i="2"/>
  <c r="I1991" i="2"/>
  <c r="L1990" i="2"/>
  <c r="K1990" i="2"/>
  <c r="J1990" i="2"/>
  <c r="I1990" i="2"/>
  <c r="L1989" i="2"/>
  <c r="K1989" i="2"/>
  <c r="J1989" i="2"/>
  <c r="I1989" i="2"/>
  <c r="L1988" i="2"/>
  <c r="K1988" i="2"/>
  <c r="J1988" i="2"/>
  <c r="I1988" i="2"/>
  <c r="L1987" i="2"/>
  <c r="K1987" i="2"/>
  <c r="J1987" i="2"/>
  <c r="I1987" i="2"/>
  <c r="L1986" i="2"/>
  <c r="K1986" i="2"/>
  <c r="J1986" i="2"/>
  <c r="I1986" i="2"/>
  <c r="L1985" i="2"/>
  <c r="K1985" i="2"/>
  <c r="J1985" i="2"/>
  <c r="I1985" i="2"/>
  <c r="L1984" i="2"/>
  <c r="K1984" i="2"/>
  <c r="J1984" i="2"/>
  <c r="I1984" i="2"/>
  <c r="L1983" i="2"/>
  <c r="K1983" i="2"/>
  <c r="J1983" i="2"/>
  <c r="I1983" i="2"/>
  <c r="L1982" i="2"/>
  <c r="K1982" i="2"/>
  <c r="J1982" i="2"/>
  <c r="I1982" i="2"/>
  <c r="L1981" i="2"/>
  <c r="K1981" i="2"/>
  <c r="J1981" i="2"/>
  <c r="I1981" i="2"/>
  <c r="L1980" i="2"/>
  <c r="K1980" i="2"/>
  <c r="J1980" i="2"/>
  <c r="I1980" i="2"/>
  <c r="L1979" i="2"/>
  <c r="K1979" i="2"/>
  <c r="J1979" i="2"/>
  <c r="I1979" i="2"/>
  <c r="L1978" i="2"/>
  <c r="K1978" i="2"/>
  <c r="J1978" i="2"/>
  <c r="I1978" i="2"/>
  <c r="L1977" i="2"/>
  <c r="K1977" i="2"/>
  <c r="J1977" i="2"/>
  <c r="I1977" i="2"/>
  <c r="L1976" i="2"/>
  <c r="K1976" i="2"/>
  <c r="J1976" i="2"/>
  <c r="I1976" i="2"/>
  <c r="L1975" i="2"/>
  <c r="K1975" i="2"/>
  <c r="J1975" i="2"/>
  <c r="I1975" i="2"/>
  <c r="L1974" i="2"/>
  <c r="K1974" i="2"/>
  <c r="J1974" i="2"/>
  <c r="I1974" i="2"/>
  <c r="L1973" i="2"/>
  <c r="K1973" i="2"/>
  <c r="J1973" i="2"/>
  <c r="I1973" i="2"/>
  <c r="L1972" i="2"/>
  <c r="K1972" i="2"/>
  <c r="J1972" i="2"/>
  <c r="I1972" i="2"/>
  <c r="L1971" i="2"/>
  <c r="K1971" i="2"/>
  <c r="J1971" i="2"/>
  <c r="I1971" i="2"/>
  <c r="L1970" i="2"/>
  <c r="K1970" i="2"/>
  <c r="J1970" i="2"/>
  <c r="I1970" i="2"/>
  <c r="L1969" i="2"/>
  <c r="K1969" i="2"/>
  <c r="J1969" i="2"/>
  <c r="I1969" i="2"/>
  <c r="L1968" i="2"/>
  <c r="K1968" i="2"/>
  <c r="J1968" i="2"/>
  <c r="I1968" i="2"/>
  <c r="L1967" i="2"/>
  <c r="K1967" i="2"/>
  <c r="J1967" i="2"/>
  <c r="I1967" i="2"/>
  <c r="L1966" i="2"/>
  <c r="K1966" i="2"/>
  <c r="J1966" i="2"/>
  <c r="I1966" i="2"/>
  <c r="L1965" i="2"/>
  <c r="K1965" i="2"/>
  <c r="J1965" i="2"/>
  <c r="I1965" i="2"/>
  <c r="L1964" i="2"/>
  <c r="K1964" i="2"/>
  <c r="J1964" i="2"/>
  <c r="I1964" i="2"/>
  <c r="L1963" i="2"/>
  <c r="K1963" i="2"/>
  <c r="J1963" i="2"/>
  <c r="I1963" i="2"/>
  <c r="L1962" i="2"/>
  <c r="K1962" i="2"/>
  <c r="J1962" i="2"/>
  <c r="I1962" i="2"/>
  <c r="L1961" i="2"/>
  <c r="K1961" i="2"/>
  <c r="J1961" i="2"/>
  <c r="I1961" i="2"/>
  <c r="L1960" i="2"/>
  <c r="K1960" i="2"/>
  <c r="J1960" i="2"/>
  <c r="I1960" i="2"/>
  <c r="L1959" i="2"/>
  <c r="K1959" i="2"/>
  <c r="J1959" i="2"/>
  <c r="I1959" i="2"/>
  <c r="L1958" i="2"/>
  <c r="K1958" i="2"/>
  <c r="J1958" i="2"/>
  <c r="I1958" i="2"/>
  <c r="L1957" i="2"/>
  <c r="K1957" i="2"/>
  <c r="J1957" i="2"/>
  <c r="I1957" i="2"/>
  <c r="L1956" i="2"/>
  <c r="K1956" i="2"/>
  <c r="J1956" i="2"/>
  <c r="I1956" i="2"/>
  <c r="L1955" i="2"/>
  <c r="K1955" i="2"/>
  <c r="J1955" i="2"/>
  <c r="I1955" i="2"/>
  <c r="L1954" i="2"/>
  <c r="K1954" i="2"/>
  <c r="J1954" i="2"/>
  <c r="I1954" i="2"/>
  <c r="L1953" i="2"/>
  <c r="K1953" i="2"/>
  <c r="J1953" i="2"/>
  <c r="I1953" i="2"/>
  <c r="L1952" i="2"/>
  <c r="K1952" i="2"/>
  <c r="J1952" i="2"/>
  <c r="I1952" i="2"/>
  <c r="L1951" i="2"/>
  <c r="K1951" i="2"/>
  <c r="J1951" i="2"/>
  <c r="I1951" i="2"/>
  <c r="L1950" i="2"/>
  <c r="K1950" i="2"/>
  <c r="J1950" i="2"/>
  <c r="I1950" i="2"/>
  <c r="L1949" i="2"/>
  <c r="K1949" i="2"/>
  <c r="J1949" i="2"/>
  <c r="I1949" i="2"/>
  <c r="L1948" i="2"/>
  <c r="K1948" i="2"/>
  <c r="J1948" i="2"/>
  <c r="I1948" i="2"/>
  <c r="L1947" i="2"/>
  <c r="K1947" i="2"/>
  <c r="J1947" i="2"/>
  <c r="I1947" i="2"/>
  <c r="L1946" i="2"/>
  <c r="K1946" i="2"/>
  <c r="J1946" i="2"/>
  <c r="I1946" i="2"/>
  <c r="L1945" i="2"/>
  <c r="K1945" i="2"/>
  <c r="J1945" i="2"/>
  <c r="I1945" i="2"/>
  <c r="L1944" i="2"/>
  <c r="K1944" i="2"/>
  <c r="J1944" i="2"/>
  <c r="I1944" i="2"/>
  <c r="L1943" i="2"/>
  <c r="K1943" i="2"/>
  <c r="J1943" i="2"/>
  <c r="I1943" i="2"/>
  <c r="L1942" i="2"/>
  <c r="K1942" i="2"/>
  <c r="J1942" i="2"/>
  <c r="I1942" i="2"/>
  <c r="L1941" i="2"/>
  <c r="K1941" i="2"/>
  <c r="J1941" i="2"/>
  <c r="I1941" i="2"/>
  <c r="L1940" i="2"/>
  <c r="K1940" i="2"/>
  <c r="J1940" i="2"/>
  <c r="I1940" i="2"/>
  <c r="L1939" i="2"/>
  <c r="K1939" i="2"/>
  <c r="J1939" i="2"/>
  <c r="I1939" i="2"/>
  <c r="L1938" i="2"/>
  <c r="K1938" i="2"/>
  <c r="J1938" i="2"/>
  <c r="I1938" i="2"/>
  <c r="L1937" i="2"/>
  <c r="K1937" i="2"/>
  <c r="J1937" i="2"/>
  <c r="I1937" i="2"/>
  <c r="L1936" i="2"/>
  <c r="K1936" i="2"/>
  <c r="J1936" i="2"/>
  <c r="I1936" i="2"/>
  <c r="L1935" i="2"/>
  <c r="K1935" i="2"/>
  <c r="J1935" i="2"/>
  <c r="I1935" i="2"/>
  <c r="L1934" i="2"/>
  <c r="K1934" i="2"/>
  <c r="J1934" i="2"/>
  <c r="I1934" i="2"/>
  <c r="L1933" i="2"/>
  <c r="K1933" i="2"/>
  <c r="J1933" i="2"/>
  <c r="I1933" i="2"/>
  <c r="L1932" i="2"/>
  <c r="K1932" i="2"/>
  <c r="J1932" i="2"/>
  <c r="I1932" i="2"/>
  <c r="L1931" i="2"/>
  <c r="K1931" i="2"/>
  <c r="J1931" i="2"/>
  <c r="I1931" i="2"/>
  <c r="L1930" i="2"/>
  <c r="K1930" i="2"/>
  <c r="J1930" i="2"/>
  <c r="I1930" i="2"/>
  <c r="L1929" i="2"/>
  <c r="K1929" i="2"/>
  <c r="J1929" i="2"/>
  <c r="I1929" i="2"/>
  <c r="L1928" i="2"/>
  <c r="K1928" i="2"/>
  <c r="J1928" i="2"/>
  <c r="I1928" i="2"/>
  <c r="L1927" i="2"/>
  <c r="K1927" i="2"/>
  <c r="J1927" i="2"/>
  <c r="I1927" i="2"/>
  <c r="L1926" i="2"/>
  <c r="K1926" i="2"/>
  <c r="J1926" i="2"/>
  <c r="I1926" i="2"/>
  <c r="L1925" i="2"/>
  <c r="K1925" i="2"/>
  <c r="J1925" i="2"/>
  <c r="I1925" i="2"/>
  <c r="L1924" i="2"/>
  <c r="K1924" i="2"/>
  <c r="J1924" i="2"/>
  <c r="I1924" i="2"/>
  <c r="L1923" i="2"/>
  <c r="K1923" i="2"/>
  <c r="J1923" i="2"/>
  <c r="I1923" i="2"/>
  <c r="L1922" i="2"/>
  <c r="K1922" i="2"/>
  <c r="J1922" i="2"/>
  <c r="I1922" i="2"/>
  <c r="L1921" i="2"/>
  <c r="K1921" i="2"/>
  <c r="J1921" i="2"/>
  <c r="I1921" i="2"/>
  <c r="L1920" i="2"/>
  <c r="K1920" i="2"/>
  <c r="J1920" i="2"/>
  <c r="I1920" i="2"/>
  <c r="L1919" i="2"/>
  <c r="K1919" i="2"/>
  <c r="J1919" i="2"/>
  <c r="I1919" i="2"/>
  <c r="L1918" i="2"/>
  <c r="K1918" i="2"/>
  <c r="J1918" i="2"/>
  <c r="I1918" i="2"/>
  <c r="L1917" i="2"/>
  <c r="K1917" i="2"/>
  <c r="J1917" i="2"/>
  <c r="I1917" i="2"/>
  <c r="L1916" i="2"/>
  <c r="K1916" i="2"/>
  <c r="J1916" i="2"/>
  <c r="I1916" i="2"/>
  <c r="L1915" i="2"/>
  <c r="K1915" i="2"/>
  <c r="J1915" i="2"/>
  <c r="I1915" i="2"/>
  <c r="L1914" i="2"/>
  <c r="K1914" i="2"/>
  <c r="J1914" i="2"/>
  <c r="I1914" i="2"/>
  <c r="L1913" i="2"/>
  <c r="K1913" i="2"/>
  <c r="J1913" i="2"/>
  <c r="I1913" i="2"/>
  <c r="L1912" i="2"/>
  <c r="K1912" i="2"/>
  <c r="J1912" i="2"/>
  <c r="I1912" i="2"/>
  <c r="L1911" i="2"/>
  <c r="K1911" i="2"/>
  <c r="J1911" i="2"/>
  <c r="I1911" i="2"/>
  <c r="L1910" i="2"/>
  <c r="K1910" i="2"/>
  <c r="J1910" i="2"/>
  <c r="I1910" i="2"/>
  <c r="L1909" i="2"/>
  <c r="K1909" i="2"/>
  <c r="J1909" i="2"/>
  <c r="I1909" i="2"/>
  <c r="L1908" i="2"/>
  <c r="K1908" i="2"/>
  <c r="J1908" i="2"/>
  <c r="I1908" i="2"/>
  <c r="L1907" i="2"/>
  <c r="K1907" i="2"/>
  <c r="J1907" i="2"/>
  <c r="I1907" i="2"/>
  <c r="L1906" i="2"/>
  <c r="K1906" i="2"/>
  <c r="J1906" i="2"/>
  <c r="I1906" i="2"/>
  <c r="L1905" i="2"/>
  <c r="K1905" i="2"/>
  <c r="J1905" i="2"/>
  <c r="I1905" i="2"/>
  <c r="L1904" i="2"/>
  <c r="K1904" i="2"/>
  <c r="J1904" i="2"/>
  <c r="I1904" i="2"/>
  <c r="L1903" i="2"/>
  <c r="K1903" i="2"/>
  <c r="J1903" i="2"/>
  <c r="I1903" i="2"/>
  <c r="L1902" i="2"/>
  <c r="K1902" i="2"/>
  <c r="J1902" i="2"/>
  <c r="I1902" i="2"/>
  <c r="L1901" i="2"/>
  <c r="K1901" i="2"/>
  <c r="J1901" i="2"/>
  <c r="I1901" i="2"/>
  <c r="L1900" i="2"/>
  <c r="K1900" i="2"/>
  <c r="J1900" i="2"/>
  <c r="I1900" i="2"/>
  <c r="L1899" i="2"/>
  <c r="K1899" i="2"/>
  <c r="J1899" i="2"/>
  <c r="I1899" i="2"/>
  <c r="L1898" i="2"/>
  <c r="K1898" i="2"/>
  <c r="J1898" i="2"/>
  <c r="I1898" i="2"/>
  <c r="L1897" i="2"/>
  <c r="K1897" i="2"/>
  <c r="J1897" i="2"/>
  <c r="I1897" i="2"/>
  <c r="L1896" i="2"/>
  <c r="K1896" i="2"/>
  <c r="J1896" i="2"/>
  <c r="I1896" i="2"/>
  <c r="L1895" i="2"/>
  <c r="K1895" i="2"/>
  <c r="J1895" i="2"/>
  <c r="I1895" i="2"/>
  <c r="L1894" i="2"/>
  <c r="K1894" i="2"/>
  <c r="J1894" i="2"/>
  <c r="I1894" i="2"/>
  <c r="L1893" i="2"/>
  <c r="K1893" i="2"/>
  <c r="J1893" i="2"/>
  <c r="I1893" i="2"/>
  <c r="L1892" i="2"/>
  <c r="K1892" i="2"/>
  <c r="J1892" i="2"/>
  <c r="I1892" i="2"/>
  <c r="L1891" i="2"/>
  <c r="K1891" i="2"/>
  <c r="J1891" i="2"/>
  <c r="I1891" i="2"/>
  <c r="L1890" i="2"/>
  <c r="K1890" i="2"/>
  <c r="J1890" i="2"/>
  <c r="I1890" i="2"/>
  <c r="L1889" i="2"/>
  <c r="K1889" i="2"/>
  <c r="J1889" i="2"/>
  <c r="I1889" i="2"/>
  <c r="L1888" i="2"/>
  <c r="K1888" i="2"/>
  <c r="J1888" i="2"/>
  <c r="I1888" i="2"/>
  <c r="L1887" i="2"/>
  <c r="K1887" i="2"/>
  <c r="J1887" i="2"/>
  <c r="I1887" i="2"/>
  <c r="L1886" i="2"/>
  <c r="K1886" i="2"/>
  <c r="J1886" i="2"/>
  <c r="I1886" i="2"/>
  <c r="L1885" i="2"/>
  <c r="K1885" i="2"/>
  <c r="J1885" i="2"/>
  <c r="I1885" i="2"/>
  <c r="L1884" i="2"/>
  <c r="K1884" i="2"/>
  <c r="J1884" i="2"/>
  <c r="I1884" i="2"/>
  <c r="L1883" i="2"/>
  <c r="K1883" i="2"/>
  <c r="J1883" i="2"/>
  <c r="I1883" i="2"/>
  <c r="L1882" i="2"/>
  <c r="K1882" i="2"/>
  <c r="J1882" i="2"/>
  <c r="I1882" i="2"/>
  <c r="L1881" i="2"/>
  <c r="K1881" i="2"/>
  <c r="J1881" i="2"/>
  <c r="I1881" i="2"/>
  <c r="L1880" i="2"/>
  <c r="K1880" i="2"/>
  <c r="J1880" i="2"/>
  <c r="I1880" i="2"/>
  <c r="L1879" i="2"/>
  <c r="K1879" i="2"/>
  <c r="J1879" i="2"/>
  <c r="I1879" i="2"/>
  <c r="L1878" i="2"/>
  <c r="K1878" i="2"/>
  <c r="J1878" i="2"/>
  <c r="I1878" i="2"/>
  <c r="L1877" i="2"/>
  <c r="K1877" i="2"/>
  <c r="J1877" i="2"/>
  <c r="I1877" i="2"/>
  <c r="L1876" i="2"/>
  <c r="K1876" i="2"/>
  <c r="J1876" i="2"/>
  <c r="I1876" i="2"/>
  <c r="L1875" i="2"/>
  <c r="K1875" i="2"/>
  <c r="J1875" i="2"/>
  <c r="I1875" i="2"/>
  <c r="L1874" i="2"/>
  <c r="K1874" i="2"/>
  <c r="J1874" i="2"/>
  <c r="I1874" i="2"/>
  <c r="L1873" i="2"/>
  <c r="K1873" i="2"/>
  <c r="J1873" i="2"/>
  <c r="I1873" i="2"/>
  <c r="L1872" i="2"/>
  <c r="K1872" i="2"/>
  <c r="J1872" i="2"/>
  <c r="I1872" i="2"/>
  <c r="L1871" i="2"/>
  <c r="K1871" i="2"/>
  <c r="J1871" i="2"/>
  <c r="I1871" i="2"/>
  <c r="L1870" i="2"/>
  <c r="K1870" i="2"/>
  <c r="J1870" i="2"/>
  <c r="I1870" i="2"/>
  <c r="L1869" i="2"/>
  <c r="K1869" i="2"/>
  <c r="J1869" i="2"/>
  <c r="I1869" i="2"/>
  <c r="L1868" i="2"/>
  <c r="K1868" i="2"/>
  <c r="J1868" i="2"/>
  <c r="I1868" i="2"/>
  <c r="L1867" i="2"/>
  <c r="K1867" i="2"/>
  <c r="J1867" i="2"/>
  <c r="I1867" i="2"/>
  <c r="L1866" i="2"/>
  <c r="K1866" i="2"/>
  <c r="J1866" i="2"/>
  <c r="I1866" i="2"/>
  <c r="L1865" i="2"/>
  <c r="K1865" i="2"/>
  <c r="J1865" i="2"/>
  <c r="I1865" i="2"/>
  <c r="L1864" i="2"/>
  <c r="K1864" i="2"/>
  <c r="J1864" i="2"/>
  <c r="I1864" i="2"/>
  <c r="L1863" i="2"/>
  <c r="K1863" i="2"/>
  <c r="J1863" i="2"/>
  <c r="I1863" i="2"/>
  <c r="L1862" i="2"/>
  <c r="K1862" i="2"/>
  <c r="J1862" i="2"/>
  <c r="I1862" i="2"/>
  <c r="L1861" i="2"/>
  <c r="K1861" i="2"/>
  <c r="J1861" i="2"/>
  <c r="I1861" i="2"/>
  <c r="L1860" i="2"/>
  <c r="K1860" i="2"/>
  <c r="J1860" i="2"/>
  <c r="I1860" i="2"/>
  <c r="L1859" i="2"/>
  <c r="K1859" i="2"/>
  <c r="J1859" i="2"/>
  <c r="I1859" i="2"/>
  <c r="L1858" i="2"/>
  <c r="K1858" i="2"/>
  <c r="J1858" i="2"/>
  <c r="I1858" i="2"/>
  <c r="L1857" i="2"/>
  <c r="K1857" i="2"/>
  <c r="J1857" i="2"/>
  <c r="I1857" i="2"/>
  <c r="L1856" i="2"/>
  <c r="K1856" i="2"/>
  <c r="J1856" i="2"/>
  <c r="I1856" i="2"/>
  <c r="L1855" i="2"/>
  <c r="K1855" i="2"/>
  <c r="J1855" i="2"/>
  <c r="I1855" i="2"/>
  <c r="L1854" i="2"/>
  <c r="K1854" i="2"/>
  <c r="J1854" i="2"/>
  <c r="I1854" i="2"/>
  <c r="L1853" i="2"/>
  <c r="K1853" i="2"/>
  <c r="J1853" i="2"/>
  <c r="I1853" i="2"/>
  <c r="L1852" i="2"/>
  <c r="K1852" i="2"/>
  <c r="J1852" i="2"/>
  <c r="I1852" i="2"/>
  <c r="L1851" i="2"/>
  <c r="K1851" i="2"/>
  <c r="J1851" i="2"/>
  <c r="I1851" i="2"/>
  <c r="L1850" i="2"/>
  <c r="K1850" i="2"/>
  <c r="J1850" i="2"/>
  <c r="I1850" i="2"/>
  <c r="L1849" i="2"/>
  <c r="K1849" i="2"/>
  <c r="J1849" i="2"/>
  <c r="I1849" i="2"/>
  <c r="L1848" i="2"/>
  <c r="K1848" i="2"/>
  <c r="J1848" i="2"/>
  <c r="I1848" i="2"/>
  <c r="L1847" i="2"/>
  <c r="K1847" i="2"/>
  <c r="J1847" i="2"/>
  <c r="I1847" i="2"/>
  <c r="L1846" i="2"/>
  <c r="K1846" i="2"/>
  <c r="J1846" i="2"/>
  <c r="I1846" i="2"/>
  <c r="L1845" i="2"/>
  <c r="K1845" i="2"/>
  <c r="J1845" i="2"/>
  <c r="I1845" i="2"/>
  <c r="L1844" i="2"/>
  <c r="K1844" i="2"/>
  <c r="J1844" i="2"/>
  <c r="I1844" i="2"/>
  <c r="L1843" i="2"/>
  <c r="K1843" i="2"/>
  <c r="J1843" i="2"/>
  <c r="I1843" i="2"/>
  <c r="L1842" i="2"/>
  <c r="K1842" i="2"/>
  <c r="J1842" i="2"/>
  <c r="I1842" i="2"/>
  <c r="L1841" i="2"/>
  <c r="K1841" i="2"/>
  <c r="J1841" i="2"/>
  <c r="I1841" i="2"/>
  <c r="L1840" i="2"/>
  <c r="K1840" i="2"/>
  <c r="J1840" i="2"/>
  <c r="I1840" i="2"/>
  <c r="L1839" i="2"/>
  <c r="K1839" i="2"/>
  <c r="J1839" i="2"/>
  <c r="I1839" i="2"/>
  <c r="L1838" i="2"/>
  <c r="K1838" i="2"/>
  <c r="J1838" i="2"/>
  <c r="I1838" i="2"/>
  <c r="L1837" i="2"/>
  <c r="K1837" i="2"/>
  <c r="J1837" i="2"/>
  <c r="I1837" i="2"/>
  <c r="L1836" i="2"/>
  <c r="K1836" i="2"/>
  <c r="J1836" i="2"/>
  <c r="I1836" i="2"/>
  <c r="L1835" i="2"/>
  <c r="K1835" i="2"/>
  <c r="J1835" i="2"/>
  <c r="I1835" i="2"/>
  <c r="L1834" i="2"/>
  <c r="K1834" i="2"/>
  <c r="J1834" i="2"/>
  <c r="I1834" i="2"/>
  <c r="L1833" i="2"/>
  <c r="K1833" i="2"/>
  <c r="J1833" i="2"/>
  <c r="I1833" i="2"/>
  <c r="L1832" i="2"/>
  <c r="K1832" i="2"/>
  <c r="J1832" i="2"/>
  <c r="I1832" i="2"/>
  <c r="L1831" i="2"/>
  <c r="K1831" i="2"/>
  <c r="J1831" i="2"/>
  <c r="I1831" i="2"/>
  <c r="L1830" i="2"/>
  <c r="K1830" i="2"/>
  <c r="J1830" i="2"/>
  <c r="I1830" i="2"/>
  <c r="L1829" i="2"/>
  <c r="K1829" i="2"/>
  <c r="J1829" i="2"/>
  <c r="I1829" i="2"/>
  <c r="L1828" i="2"/>
  <c r="K1828" i="2"/>
  <c r="J1828" i="2"/>
  <c r="I1828" i="2"/>
  <c r="L1827" i="2"/>
  <c r="K1827" i="2"/>
  <c r="J1827" i="2"/>
  <c r="I1827" i="2"/>
  <c r="L1826" i="2"/>
  <c r="K1826" i="2"/>
  <c r="J1826" i="2"/>
  <c r="I1826" i="2"/>
  <c r="L1825" i="2"/>
  <c r="K1825" i="2"/>
  <c r="J1825" i="2"/>
  <c r="I1825" i="2"/>
  <c r="L1824" i="2"/>
  <c r="K1824" i="2"/>
  <c r="J1824" i="2"/>
  <c r="I1824" i="2"/>
  <c r="L1823" i="2"/>
  <c r="K1823" i="2"/>
  <c r="J1823" i="2"/>
  <c r="I1823" i="2"/>
  <c r="L1822" i="2"/>
  <c r="K1822" i="2"/>
  <c r="J1822" i="2"/>
  <c r="I1822" i="2"/>
  <c r="L1821" i="2"/>
  <c r="K1821" i="2"/>
  <c r="J1821" i="2"/>
  <c r="I1821" i="2"/>
  <c r="L1820" i="2"/>
  <c r="K1820" i="2"/>
  <c r="J1820" i="2"/>
  <c r="I1820" i="2"/>
  <c r="L1819" i="2"/>
  <c r="K1819" i="2"/>
  <c r="J1819" i="2"/>
  <c r="I1819" i="2"/>
  <c r="L1818" i="2"/>
  <c r="K1818" i="2"/>
  <c r="J1818" i="2"/>
  <c r="I1818" i="2"/>
  <c r="L1817" i="2"/>
  <c r="K1817" i="2"/>
  <c r="J1817" i="2"/>
  <c r="I1817" i="2"/>
  <c r="L1816" i="2"/>
  <c r="K1816" i="2"/>
  <c r="J1816" i="2"/>
  <c r="I1816" i="2"/>
  <c r="L1815" i="2"/>
  <c r="K1815" i="2"/>
  <c r="J1815" i="2"/>
  <c r="I1815" i="2"/>
  <c r="L1814" i="2"/>
  <c r="K1814" i="2"/>
  <c r="J1814" i="2"/>
  <c r="I1814" i="2"/>
  <c r="L1813" i="2"/>
  <c r="K1813" i="2"/>
  <c r="J1813" i="2"/>
  <c r="I1813" i="2"/>
  <c r="L1812" i="2"/>
  <c r="K1812" i="2"/>
  <c r="J1812" i="2"/>
  <c r="I1812" i="2"/>
  <c r="L1811" i="2"/>
  <c r="K1811" i="2"/>
  <c r="J1811" i="2"/>
  <c r="I1811" i="2"/>
  <c r="L1810" i="2"/>
  <c r="K1810" i="2"/>
  <c r="J1810" i="2"/>
  <c r="I1810" i="2"/>
  <c r="L1809" i="2"/>
  <c r="K1809" i="2"/>
  <c r="J1809" i="2"/>
  <c r="I1809" i="2"/>
  <c r="L1808" i="2"/>
  <c r="K1808" i="2"/>
  <c r="J1808" i="2"/>
  <c r="I1808" i="2"/>
  <c r="L1807" i="2"/>
  <c r="K1807" i="2"/>
  <c r="J1807" i="2"/>
  <c r="I1807" i="2"/>
  <c r="L1806" i="2"/>
  <c r="K1806" i="2"/>
  <c r="J1806" i="2"/>
  <c r="I1806" i="2"/>
  <c r="L1805" i="2"/>
  <c r="K1805" i="2"/>
  <c r="J1805" i="2"/>
  <c r="I1805" i="2"/>
  <c r="L1804" i="2"/>
  <c r="K1804" i="2"/>
  <c r="J1804" i="2"/>
  <c r="I1804" i="2"/>
  <c r="L1803" i="2"/>
  <c r="K1803" i="2"/>
  <c r="J1803" i="2"/>
  <c r="I1803" i="2"/>
  <c r="L1802" i="2"/>
  <c r="K1802" i="2"/>
  <c r="J1802" i="2"/>
  <c r="I1802" i="2"/>
  <c r="L1801" i="2"/>
  <c r="K1801" i="2"/>
  <c r="J1801" i="2"/>
  <c r="I1801" i="2"/>
  <c r="L1800" i="2"/>
  <c r="K1800" i="2"/>
  <c r="J1800" i="2"/>
  <c r="I1800" i="2"/>
  <c r="L1799" i="2"/>
  <c r="K1799" i="2"/>
  <c r="J1799" i="2"/>
  <c r="I1799" i="2"/>
  <c r="L1798" i="2"/>
  <c r="K1798" i="2"/>
  <c r="J1798" i="2"/>
  <c r="I1798" i="2"/>
  <c r="L1797" i="2"/>
  <c r="K1797" i="2"/>
  <c r="J1797" i="2"/>
  <c r="I1797" i="2"/>
  <c r="L1796" i="2"/>
  <c r="K1796" i="2"/>
  <c r="J1796" i="2"/>
  <c r="I1796" i="2"/>
  <c r="L1795" i="2"/>
  <c r="K1795" i="2"/>
  <c r="J1795" i="2"/>
  <c r="I1795" i="2"/>
  <c r="L1794" i="2"/>
  <c r="K1794" i="2"/>
  <c r="J1794" i="2"/>
  <c r="I1794" i="2"/>
  <c r="L1793" i="2"/>
  <c r="K1793" i="2"/>
  <c r="J1793" i="2"/>
  <c r="I1793" i="2"/>
  <c r="L1792" i="2"/>
  <c r="K1792" i="2"/>
  <c r="J1792" i="2"/>
  <c r="I1792" i="2"/>
  <c r="L1791" i="2"/>
  <c r="K1791" i="2"/>
  <c r="J1791" i="2"/>
  <c r="I1791" i="2"/>
  <c r="L1790" i="2"/>
  <c r="K1790" i="2"/>
  <c r="J1790" i="2"/>
  <c r="I1790" i="2"/>
  <c r="L1789" i="2"/>
  <c r="K1789" i="2"/>
  <c r="J1789" i="2"/>
  <c r="I1789" i="2"/>
  <c r="L1788" i="2"/>
  <c r="K1788" i="2"/>
  <c r="J1788" i="2"/>
  <c r="I1788" i="2"/>
  <c r="L1787" i="2"/>
  <c r="K1787" i="2"/>
  <c r="J1787" i="2"/>
  <c r="I1787" i="2"/>
  <c r="L1786" i="2"/>
  <c r="K1786" i="2"/>
  <c r="J1786" i="2"/>
  <c r="I1786" i="2"/>
  <c r="L1785" i="2"/>
  <c r="K1785" i="2"/>
  <c r="J1785" i="2"/>
  <c r="I1785" i="2"/>
  <c r="L1784" i="2"/>
  <c r="K1784" i="2"/>
  <c r="J1784" i="2"/>
  <c r="I1784" i="2"/>
  <c r="L1783" i="2"/>
  <c r="K1783" i="2"/>
  <c r="J1783" i="2"/>
  <c r="I1783" i="2"/>
  <c r="L1782" i="2"/>
  <c r="K1782" i="2"/>
  <c r="J1782" i="2"/>
  <c r="I1782" i="2"/>
  <c r="L1781" i="2"/>
  <c r="K1781" i="2"/>
  <c r="J1781" i="2"/>
  <c r="I1781" i="2"/>
  <c r="L1780" i="2"/>
  <c r="K1780" i="2"/>
  <c r="J1780" i="2"/>
  <c r="I1780" i="2"/>
  <c r="L1779" i="2"/>
  <c r="K1779" i="2"/>
  <c r="J1779" i="2"/>
  <c r="I1779" i="2"/>
  <c r="L1778" i="2"/>
  <c r="K1778" i="2"/>
  <c r="J1778" i="2"/>
  <c r="I1778" i="2"/>
  <c r="L1777" i="2"/>
  <c r="K1777" i="2"/>
  <c r="J1777" i="2"/>
  <c r="I1777" i="2"/>
  <c r="L1776" i="2"/>
  <c r="K1776" i="2"/>
  <c r="J1776" i="2"/>
  <c r="I1776" i="2"/>
  <c r="L1775" i="2"/>
  <c r="K1775" i="2"/>
  <c r="J1775" i="2"/>
  <c r="I1775" i="2"/>
  <c r="L1774" i="2"/>
  <c r="K1774" i="2"/>
  <c r="J1774" i="2"/>
  <c r="I1774" i="2"/>
  <c r="L1773" i="2"/>
  <c r="K1773" i="2"/>
  <c r="J1773" i="2"/>
  <c r="I1773" i="2"/>
  <c r="L1772" i="2"/>
  <c r="K1772" i="2"/>
  <c r="J1772" i="2"/>
  <c r="I1772" i="2"/>
  <c r="L1771" i="2"/>
  <c r="K1771" i="2"/>
  <c r="J1771" i="2"/>
  <c r="I1771" i="2"/>
  <c r="L1770" i="2"/>
  <c r="K1770" i="2"/>
  <c r="J1770" i="2"/>
  <c r="I1770" i="2"/>
  <c r="L1769" i="2"/>
  <c r="K1769" i="2"/>
  <c r="J1769" i="2"/>
  <c r="I1769" i="2"/>
  <c r="L1768" i="2"/>
  <c r="K1768" i="2"/>
  <c r="J1768" i="2"/>
  <c r="I1768" i="2"/>
  <c r="L1767" i="2"/>
  <c r="K1767" i="2"/>
  <c r="J1767" i="2"/>
  <c r="I1767" i="2"/>
  <c r="L1766" i="2"/>
  <c r="K1766" i="2"/>
  <c r="J1766" i="2"/>
  <c r="I1766" i="2"/>
  <c r="L1765" i="2"/>
  <c r="K1765" i="2"/>
  <c r="J1765" i="2"/>
  <c r="I1765" i="2"/>
  <c r="L1764" i="2"/>
  <c r="K1764" i="2"/>
  <c r="J1764" i="2"/>
  <c r="I1764" i="2"/>
  <c r="L1763" i="2"/>
  <c r="K1763" i="2"/>
  <c r="J1763" i="2"/>
  <c r="I1763" i="2"/>
  <c r="L1762" i="2"/>
  <c r="K1762" i="2"/>
  <c r="J1762" i="2"/>
  <c r="I1762" i="2"/>
  <c r="L1761" i="2"/>
  <c r="K1761" i="2"/>
  <c r="J1761" i="2"/>
  <c r="I1761" i="2"/>
  <c r="L1760" i="2"/>
  <c r="K1760" i="2"/>
  <c r="J1760" i="2"/>
  <c r="I1760" i="2"/>
  <c r="L1759" i="2"/>
  <c r="K1759" i="2"/>
  <c r="J1759" i="2"/>
  <c r="I1759" i="2"/>
  <c r="L1758" i="2"/>
  <c r="K1758" i="2"/>
  <c r="J1758" i="2"/>
  <c r="I1758" i="2"/>
  <c r="L1757" i="2"/>
  <c r="K1757" i="2"/>
  <c r="J1757" i="2"/>
  <c r="I1757" i="2"/>
  <c r="L1756" i="2"/>
  <c r="K1756" i="2"/>
  <c r="J1756" i="2"/>
  <c r="I1756" i="2"/>
  <c r="L1755" i="2"/>
  <c r="K1755" i="2"/>
  <c r="J1755" i="2"/>
  <c r="I1755" i="2"/>
  <c r="L1754" i="2"/>
  <c r="K1754" i="2"/>
  <c r="J1754" i="2"/>
  <c r="I1754" i="2"/>
  <c r="L1753" i="2"/>
  <c r="K1753" i="2"/>
  <c r="J1753" i="2"/>
  <c r="I1753" i="2"/>
  <c r="L1752" i="2"/>
  <c r="K1752" i="2"/>
  <c r="J1752" i="2"/>
  <c r="I1752" i="2"/>
  <c r="L1751" i="2"/>
  <c r="K1751" i="2"/>
  <c r="J1751" i="2"/>
  <c r="I1751" i="2"/>
  <c r="L1750" i="2"/>
  <c r="K1750" i="2"/>
  <c r="J1750" i="2"/>
  <c r="I1750" i="2"/>
  <c r="L1749" i="2"/>
  <c r="K1749" i="2"/>
  <c r="J1749" i="2"/>
  <c r="I1749" i="2"/>
  <c r="L1748" i="2"/>
  <c r="K1748" i="2"/>
  <c r="J1748" i="2"/>
  <c r="I1748" i="2"/>
  <c r="L1747" i="2"/>
  <c r="K1747" i="2"/>
  <c r="J1747" i="2"/>
  <c r="I1747" i="2"/>
  <c r="L1746" i="2"/>
  <c r="K1746" i="2"/>
  <c r="J1746" i="2"/>
  <c r="I1746" i="2"/>
  <c r="L1745" i="2"/>
  <c r="K1745" i="2"/>
  <c r="J1745" i="2"/>
  <c r="I1745" i="2"/>
  <c r="L1744" i="2"/>
  <c r="K1744" i="2"/>
  <c r="J1744" i="2"/>
  <c r="I1744" i="2"/>
  <c r="L1743" i="2"/>
  <c r="K1743" i="2"/>
  <c r="J1743" i="2"/>
  <c r="I1743" i="2"/>
  <c r="L1742" i="2"/>
  <c r="K1742" i="2"/>
  <c r="J1742" i="2"/>
  <c r="I1742" i="2"/>
  <c r="L1741" i="2"/>
  <c r="K1741" i="2"/>
  <c r="J1741" i="2"/>
  <c r="I1741" i="2"/>
  <c r="L1740" i="2"/>
  <c r="K1740" i="2"/>
  <c r="J1740" i="2"/>
  <c r="I1740" i="2"/>
  <c r="L1739" i="2"/>
  <c r="K1739" i="2"/>
  <c r="J1739" i="2"/>
  <c r="I1739" i="2"/>
  <c r="L1738" i="2"/>
  <c r="K1738" i="2"/>
  <c r="J1738" i="2"/>
  <c r="I1738" i="2"/>
  <c r="L1737" i="2"/>
  <c r="K1737" i="2"/>
  <c r="J1737" i="2"/>
  <c r="I1737" i="2"/>
  <c r="L1736" i="2"/>
  <c r="K1736" i="2"/>
  <c r="J1736" i="2"/>
  <c r="I1736" i="2"/>
  <c r="L1735" i="2"/>
  <c r="K1735" i="2"/>
  <c r="J1735" i="2"/>
  <c r="I1735" i="2"/>
  <c r="L1734" i="2"/>
  <c r="K1734" i="2"/>
  <c r="J1734" i="2"/>
  <c r="I1734" i="2"/>
  <c r="L1733" i="2"/>
  <c r="K1733" i="2"/>
  <c r="J1733" i="2"/>
  <c r="I1733" i="2"/>
  <c r="L1732" i="2"/>
  <c r="K1732" i="2"/>
  <c r="J1732" i="2"/>
  <c r="I1732" i="2"/>
  <c r="L1731" i="2"/>
  <c r="K1731" i="2"/>
  <c r="J1731" i="2"/>
  <c r="I1731" i="2"/>
  <c r="L1730" i="2"/>
  <c r="K1730" i="2"/>
  <c r="J1730" i="2"/>
  <c r="I1730" i="2"/>
  <c r="L1729" i="2"/>
  <c r="K1729" i="2"/>
  <c r="J1729" i="2"/>
  <c r="I1729" i="2"/>
  <c r="L1728" i="2"/>
  <c r="K1728" i="2"/>
  <c r="J1728" i="2"/>
  <c r="I1728" i="2"/>
  <c r="L1727" i="2"/>
  <c r="K1727" i="2"/>
  <c r="J1727" i="2"/>
  <c r="I1727" i="2"/>
  <c r="L1726" i="2"/>
  <c r="K1726" i="2"/>
  <c r="J1726" i="2"/>
  <c r="I1726" i="2"/>
  <c r="L1725" i="2"/>
  <c r="K1725" i="2"/>
  <c r="J1725" i="2"/>
  <c r="I1725" i="2"/>
  <c r="L1724" i="2"/>
  <c r="K1724" i="2"/>
  <c r="J1724" i="2"/>
  <c r="I1724" i="2"/>
  <c r="L1723" i="2"/>
  <c r="K1723" i="2"/>
  <c r="J1723" i="2"/>
  <c r="I1723" i="2"/>
  <c r="L1722" i="2"/>
  <c r="K1722" i="2"/>
  <c r="J1722" i="2"/>
  <c r="I1722" i="2"/>
  <c r="L1721" i="2"/>
  <c r="K1721" i="2"/>
  <c r="J1721" i="2"/>
  <c r="I1721" i="2"/>
  <c r="L1720" i="2"/>
  <c r="K1720" i="2"/>
  <c r="J1720" i="2"/>
  <c r="I1720" i="2"/>
  <c r="L1719" i="2"/>
  <c r="K1719" i="2"/>
  <c r="J1719" i="2"/>
  <c r="I1719" i="2"/>
  <c r="L1718" i="2"/>
  <c r="K1718" i="2"/>
  <c r="J1718" i="2"/>
  <c r="I1718" i="2"/>
  <c r="L1717" i="2"/>
  <c r="K1717" i="2"/>
  <c r="J1717" i="2"/>
  <c r="I1717" i="2"/>
  <c r="L1716" i="2"/>
  <c r="K1716" i="2"/>
  <c r="J1716" i="2"/>
  <c r="I1716" i="2"/>
  <c r="L1715" i="2"/>
  <c r="K1715" i="2"/>
  <c r="J1715" i="2"/>
  <c r="I1715" i="2"/>
  <c r="L1714" i="2"/>
  <c r="K1714" i="2"/>
  <c r="J1714" i="2"/>
  <c r="I1714" i="2"/>
  <c r="L1713" i="2"/>
  <c r="K1713" i="2"/>
  <c r="J1713" i="2"/>
  <c r="I1713" i="2"/>
  <c r="L1712" i="2"/>
  <c r="K1712" i="2"/>
  <c r="J1712" i="2"/>
  <c r="I1712" i="2"/>
  <c r="L1711" i="2"/>
  <c r="K1711" i="2"/>
  <c r="J1711" i="2"/>
  <c r="I1711" i="2"/>
  <c r="L1710" i="2"/>
  <c r="K1710" i="2"/>
  <c r="J1710" i="2"/>
  <c r="I1710" i="2"/>
  <c r="L1709" i="2"/>
  <c r="K1709" i="2"/>
  <c r="J1709" i="2"/>
  <c r="I1709" i="2"/>
  <c r="L1708" i="2"/>
  <c r="K1708" i="2"/>
  <c r="J1708" i="2"/>
  <c r="I1708" i="2"/>
  <c r="L1707" i="2"/>
  <c r="K1707" i="2"/>
  <c r="J1707" i="2"/>
  <c r="I1707" i="2"/>
  <c r="L1706" i="2"/>
  <c r="K1706" i="2"/>
  <c r="J1706" i="2"/>
  <c r="I1706" i="2"/>
  <c r="L1705" i="2"/>
  <c r="K1705" i="2"/>
  <c r="J1705" i="2"/>
  <c r="I1705" i="2"/>
  <c r="L1704" i="2"/>
  <c r="K1704" i="2"/>
  <c r="J1704" i="2"/>
  <c r="I1704" i="2"/>
  <c r="L1703" i="2"/>
  <c r="K1703" i="2"/>
  <c r="J1703" i="2"/>
  <c r="I1703" i="2"/>
  <c r="L1702" i="2"/>
  <c r="K1702" i="2"/>
  <c r="J1702" i="2"/>
  <c r="I1702" i="2"/>
  <c r="L1701" i="2"/>
  <c r="K1701" i="2"/>
  <c r="J1701" i="2"/>
  <c r="I1701" i="2"/>
  <c r="L1700" i="2"/>
  <c r="K1700" i="2"/>
  <c r="J1700" i="2"/>
  <c r="I1700" i="2"/>
  <c r="L1699" i="2"/>
  <c r="K1699" i="2"/>
  <c r="J1699" i="2"/>
  <c r="I1699" i="2"/>
  <c r="L1698" i="2"/>
  <c r="K1698" i="2"/>
  <c r="J1698" i="2"/>
  <c r="I1698" i="2"/>
  <c r="L1697" i="2"/>
  <c r="K1697" i="2"/>
  <c r="J1697" i="2"/>
  <c r="I1697" i="2"/>
  <c r="L1696" i="2"/>
  <c r="K1696" i="2"/>
  <c r="J1696" i="2"/>
  <c r="I1696" i="2"/>
  <c r="L1695" i="2"/>
  <c r="K1695" i="2"/>
  <c r="J1695" i="2"/>
  <c r="I1695" i="2"/>
  <c r="L1694" i="2"/>
  <c r="K1694" i="2"/>
  <c r="J1694" i="2"/>
  <c r="I1694" i="2"/>
  <c r="L1693" i="2"/>
  <c r="K1693" i="2"/>
  <c r="J1693" i="2"/>
  <c r="I1693" i="2"/>
  <c r="L1692" i="2"/>
  <c r="K1692" i="2"/>
  <c r="J1692" i="2"/>
  <c r="I1692" i="2"/>
  <c r="L1691" i="2"/>
  <c r="K1691" i="2"/>
  <c r="J1691" i="2"/>
  <c r="I1691" i="2"/>
  <c r="L1690" i="2"/>
  <c r="K1690" i="2"/>
  <c r="J1690" i="2"/>
  <c r="I1690" i="2"/>
  <c r="L1689" i="2"/>
  <c r="K1689" i="2"/>
  <c r="J1689" i="2"/>
  <c r="I1689" i="2"/>
  <c r="L1688" i="2"/>
  <c r="K1688" i="2"/>
  <c r="J1688" i="2"/>
  <c r="I1688" i="2"/>
  <c r="L1687" i="2"/>
  <c r="K1687" i="2"/>
  <c r="J1687" i="2"/>
  <c r="I1687" i="2"/>
  <c r="L1686" i="2"/>
  <c r="K1686" i="2"/>
  <c r="J1686" i="2"/>
  <c r="I1686" i="2"/>
  <c r="L1685" i="2"/>
  <c r="K1685" i="2"/>
  <c r="J1685" i="2"/>
  <c r="I1685" i="2"/>
  <c r="L1684" i="2"/>
  <c r="K1684" i="2"/>
  <c r="J1684" i="2"/>
  <c r="I1684" i="2"/>
  <c r="L1683" i="2"/>
  <c r="K1683" i="2"/>
  <c r="J1683" i="2"/>
  <c r="I1683" i="2"/>
  <c r="L1682" i="2"/>
  <c r="K1682" i="2"/>
  <c r="J1682" i="2"/>
  <c r="I1682" i="2"/>
  <c r="L1681" i="2"/>
  <c r="K1681" i="2"/>
  <c r="J1681" i="2"/>
  <c r="I1681" i="2"/>
  <c r="L1680" i="2"/>
  <c r="K1680" i="2"/>
  <c r="J1680" i="2"/>
  <c r="I1680" i="2"/>
  <c r="L1679" i="2"/>
  <c r="K1679" i="2"/>
  <c r="J1679" i="2"/>
  <c r="I1679" i="2"/>
  <c r="L1678" i="2"/>
  <c r="K1678" i="2"/>
  <c r="J1678" i="2"/>
  <c r="I1678" i="2"/>
  <c r="L1677" i="2"/>
  <c r="K1677" i="2"/>
  <c r="J1677" i="2"/>
  <c r="I1677" i="2"/>
  <c r="L1676" i="2"/>
  <c r="K1676" i="2"/>
  <c r="J1676" i="2"/>
  <c r="I1676" i="2"/>
  <c r="L1675" i="2"/>
  <c r="K1675" i="2"/>
  <c r="J1675" i="2"/>
  <c r="I1675" i="2"/>
  <c r="L1674" i="2"/>
  <c r="K1674" i="2"/>
  <c r="J1674" i="2"/>
  <c r="I1674" i="2"/>
  <c r="L1673" i="2"/>
  <c r="K1673" i="2"/>
  <c r="J1673" i="2"/>
  <c r="I1673" i="2"/>
  <c r="L1672" i="2"/>
  <c r="K1672" i="2"/>
  <c r="J1672" i="2"/>
  <c r="I1672" i="2"/>
  <c r="L1671" i="2"/>
  <c r="K1671" i="2"/>
  <c r="J1671" i="2"/>
  <c r="I1671" i="2"/>
  <c r="L1670" i="2"/>
  <c r="K1670" i="2"/>
  <c r="J1670" i="2"/>
  <c r="I1670" i="2"/>
  <c r="L1669" i="2"/>
  <c r="K1669" i="2"/>
  <c r="J1669" i="2"/>
  <c r="I1669" i="2"/>
  <c r="L1668" i="2"/>
  <c r="K1668" i="2"/>
  <c r="J1668" i="2"/>
  <c r="I1668" i="2"/>
  <c r="L1667" i="2"/>
  <c r="K1667" i="2"/>
  <c r="J1667" i="2"/>
  <c r="I1667" i="2"/>
  <c r="L1666" i="2"/>
  <c r="K1666" i="2"/>
  <c r="J1666" i="2"/>
  <c r="I1666" i="2"/>
  <c r="L1665" i="2"/>
  <c r="K1665" i="2"/>
  <c r="J1665" i="2"/>
  <c r="I1665" i="2"/>
  <c r="L1664" i="2"/>
  <c r="K1664" i="2"/>
  <c r="J1664" i="2"/>
  <c r="I1664" i="2"/>
  <c r="L1663" i="2"/>
  <c r="K1663" i="2"/>
  <c r="J1663" i="2"/>
  <c r="I1663" i="2"/>
  <c r="L1662" i="2"/>
  <c r="K1662" i="2"/>
  <c r="J1662" i="2"/>
  <c r="I1662" i="2"/>
  <c r="L1661" i="2"/>
  <c r="K1661" i="2"/>
  <c r="J1661" i="2"/>
  <c r="I1661" i="2"/>
  <c r="L1660" i="2"/>
  <c r="K1660" i="2"/>
  <c r="J1660" i="2"/>
  <c r="I1660" i="2"/>
  <c r="L1659" i="2"/>
  <c r="K1659" i="2"/>
  <c r="J1659" i="2"/>
  <c r="I1659" i="2"/>
  <c r="L1658" i="2"/>
  <c r="K1658" i="2"/>
  <c r="J1658" i="2"/>
  <c r="I1658" i="2"/>
  <c r="L1657" i="2"/>
  <c r="K1657" i="2"/>
  <c r="J1657" i="2"/>
  <c r="I1657" i="2"/>
  <c r="L1656" i="2"/>
  <c r="K1656" i="2"/>
  <c r="J1656" i="2"/>
  <c r="I1656" i="2"/>
  <c r="L1655" i="2"/>
  <c r="K1655" i="2"/>
  <c r="J1655" i="2"/>
  <c r="I1655" i="2"/>
  <c r="L1654" i="2"/>
  <c r="K1654" i="2"/>
  <c r="J1654" i="2"/>
  <c r="I1654" i="2"/>
  <c r="L1653" i="2"/>
  <c r="K1653" i="2"/>
  <c r="J1653" i="2"/>
  <c r="I1653" i="2"/>
  <c r="L1652" i="2"/>
  <c r="K1652" i="2"/>
  <c r="J1652" i="2"/>
  <c r="I1652" i="2"/>
  <c r="L1651" i="2"/>
  <c r="K1651" i="2"/>
  <c r="J1651" i="2"/>
  <c r="I1651" i="2"/>
  <c r="L1650" i="2"/>
  <c r="K1650" i="2"/>
  <c r="J1650" i="2"/>
  <c r="I1650" i="2"/>
  <c r="L1649" i="2"/>
  <c r="K1649" i="2"/>
  <c r="J1649" i="2"/>
  <c r="I1649" i="2"/>
  <c r="L1648" i="2"/>
  <c r="K1648" i="2"/>
  <c r="J1648" i="2"/>
  <c r="I1648" i="2"/>
  <c r="L1647" i="2"/>
  <c r="K1647" i="2"/>
  <c r="J1647" i="2"/>
  <c r="I1647" i="2"/>
  <c r="L1646" i="2"/>
  <c r="K1646" i="2"/>
  <c r="J1646" i="2"/>
  <c r="I1646" i="2"/>
  <c r="L1645" i="2"/>
  <c r="K1645" i="2"/>
  <c r="J1645" i="2"/>
  <c r="I1645" i="2"/>
  <c r="L1644" i="2"/>
  <c r="K1644" i="2"/>
  <c r="J1644" i="2"/>
  <c r="I1644" i="2"/>
  <c r="L1643" i="2"/>
  <c r="K1643" i="2"/>
  <c r="J1643" i="2"/>
  <c r="I1643" i="2"/>
  <c r="L1642" i="2"/>
  <c r="K1642" i="2"/>
  <c r="J1642" i="2"/>
  <c r="I1642" i="2"/>
  <c r="L1641" i="2"/>
  <c r="K1641" i="2"/>
  <c r="J1641" i="2"/>
  <c r="I1641" i="2"/>
  <c r="L1640" i="2"/>
  <c r="K1640" i="2"/>
  <c r="J1640" i="2"/>
  <c r="I1640" i="2"/>
  <c r="L1639" i="2"/>
  <c r="K1639" i="2"/>
  <c r="J1639" i="2"/>
  <c r="I1639" i="2"/>
  <c r="L1638" i="2"/>
  <c r="K1638" i="2"/>
  <c r="J1638" i="2"/>
  <c r="I1638" i="2"/>
  <c r="L1637" i="2"/>
  <c r="K1637" i="2"/>
  <c r="J1637" i="2"/>
  <c r="I1637" i="2"/>
  <c r="L1636" i="2"/>
  <c r="K1636" i="2"/>
  <c r="J1636" i="2"/>
  <c r="I1636" i="2"/>
  <c r="L1635" i="2"/>
  <c r="K1635" i="2"/>
  <c r="J1635" i="2"/>
  <c r="I1635" i="2"/>
  <c r="L1634" i="2"/>
  <c r="K1634" i="2"/>
  <c r="J1634" i="2"/>
  <c r="I1634" i="2"/>
  <c r="L1633" i="2"/>
  <c r="K1633" i="2"/>
  <c r="J1633" i="2"/>
  <c r="I1633" i="2"/>
  <c r="L1632" i="2"/>
  <c r="K1632" i="2"/>
  <c r="J1632" i="2"/>
  <c r="I1632" i="2"/>
  <c r="L1631" i="2"/>
  <c r="K1631" i="2"/>
  <c r="J1631" i="2"/>
  <c r="I1631" i="2"/>
  <c r="L1630" i="2"/>
  <c r="K1630" i="2"/>
  <c r="J1630" i="2"/>
  <c r="I1630" i="2"/>
  <c r="L1629" i="2"/>
  <c r="K1629" i="2"/>
  <c r="J1629" i="2"/>
  <c r="I1629" i="2"/>
  <c r="L1628" i="2"/>
  <c r="K1628" i="2"/>
  <c r="J1628" i="2"/>
  <c r="I1628" i="2"/>
  <c r="L1627" i="2"/>
  <c r="K1627" i="2"/>
  <c r="J1627" i="2"/>
  <c r="I1627" i="2"/>
  <c r="L1626" i="2"/>
  <c r="K1626" i="2"/>
  <c r="J1626" i="2"/>
  <c r="I1626" i="2"/>
  <c r="L1625" i="2"/>
  <c r="K1625" i="2"/>
  <c r="J1625" i="2"/>
  <c r="I1625" i="2"/>
  <c r="L1624" i="2"/>
  <c r="K1624" i="2"/>
  <c r="J1624" i="2"/>
  <c r="I1624" i="2"/>
  <c r="L1623" i="2"/>
  <c r="K1623" i="2"/>
  <c r="J1623" i="2"/>
  <c r="I1623" i="2"/>
  <c r="L1622" i="2"/>
  <c r="K1622" i="2"/>
  <c r="J1622" i="2"/>
  <c r="I1622" i="2"/>
  <c r="L1621" i="2"/>
  <c r="K1621" i="2"/>
  <c r="J1621" i="2"/>
  <c r="I1621" i="2"/>
  <c r="L1620" i="2"/>
  <c r="K1620" i="2"/>
  <c r="J1620" i="2"/>
  <c r="I1620" i="2"/>
  <c r="L1619" i="2"/>
  <c r="K1619" i="2"/>
  <c r="J1619" i="2"/>
  <c r="I1619" i="2"/>
  <c r="L1618" i="2"/>
  <c r="K1618" i="2"/>
  <c r="J1618" i="2"/>
  <c r="I1618" i="2"/>
  <c r="L1617" i="2"/>
  <c r="K1617" i="2"/>
  <c r="J1617" i="2"/>
  <c r="I1617" i="2"/>
  <c r="L1616" i="2"/>
  <c r="K1616" i="2"/>
  <c r="J1616" i="2"/>
  <c r="I1616" i="2"/>
  <c r="L1615" i="2"/>
  <c r="K1615" i="2"/>
  <c r="J1615" i="2"/>
  <c r="I1615" i="2"/>
  <c r="L1614" i="2"/>
  <c r="K1614" i="2"/>
  <c r="J1614" i="2"/>
  <c r="I1614" i="2"/>
  <c r="L1613" i="2"/>
  <c r="K1613" i="2"/>
  <c r="J1613" i="2"/>
  <c r="I1613" i="2"/>
  <c r="L1612" i="2"/>
  <c r="K1612" i="2"/>
  <c r="J1612" i="2"/>
  <c r="I1612" i="2"/>
  <c r="L1611" i="2"/>
  <c r="K1611" i="2"/>
  <c r="J1611" i="2"/>
  <c r="I1611" i="2"/>
  <c r="L1610" i="2"/>
  <c r="K1610" i="2"/>
  <c r="J1610" i="2"/>
  <c r="I1610" i="2"/>
  <c r="L1609" i="2"/>
  <c r="K1609" i="2"/>
  <c r="J1609" i="2"/>
  <c r="I1609" i="2"/>
  <c r="L1608" i="2"/>
  <c r="K1608" i="2"/>
  <c r="J1608" i="2"/>
  <c r="I1608" i="2"/>
  <c r="L1607" i="2"/>
  <c r="K1607" i="2"/>
  <c r="J1607" i="2"/>
  <c r="I1607" i="2"/>
  <c r="L1606" i="2"/>
  <c r="K1606" i="2"/>
  <c r="J1606" i="2"/>
  <c r="I1606" i="2"/>
  <c r="L1605" i="2"/>
  <c r="K1605" i="2"/>
  <c r="J1605" i="2"/>
  <c r="I1605" i="2"/>
  <c r="L1604" i="2"/>
  <c r="K1604" i="2"/>
  <c r="J1604" i="2"/>
  <c r="I1604" i="2"/>
  <c r="L1603" i="2"/>
  <c r="K1603" i="2"/>
  <c r="J1603" i="2"/>
  <c r="I1603" i="2"/>
  <c r="L1602" i="2"/>
  <c r="K1602" i="2"/>
  <c r="J1602" i="2"/>
  <c r="I1602" i="2"/>
  <c r="L1601" i="2"/>
  <c r="K1601" i="2"/>
  <c r="J1601" i="2"/>
  <c r="I1601" i="2"/>
  <c r="L1600" i="2"/>
  <c r="K1600" i="2"/>
  <c r="J1600" i="2"/>
  <c r="I1600" i="2"/>
  <c r="L1599" i="2"/>
  <c r="K1599" i="2"/>
  <c r="J1599" i="2"/>
  <c r="I1599" i="2"/>
  <c r="L1598" i="2"/>
  <c r="K1598" i="2"/>
  <c r="J1598" i="2"/>
  <c r="I1598" i="2"/>
  <c r="L1597" i="2"/>
  <c r="K1597" i="2"/>
  <c r="J1597" i="2"/>
  <c r="I1597" i="2"/>
  <c r="L1596" i="2"/>
  <c r="K1596" i="2"/>
  <c r="J1596" i="2"/>
  <c r="I1596" i="2"/>
  <c r="L1595" i="2"/>
  <c r="K1595" i="2"/>
  <c r="J1595" i="2"/>
  <c r="I1595" i="2"/>
  <c r="L1594" i="2"/>
  <c r="K1594" i="2"/>
  <c r="J1594" i="2"/>
  <c r="I1594" i="2"/>
  <c r="L1593" i="2"/>
  <c r="K1593" i="2"/>
  <c r="J1593" i="2"/>
  <c r="I1593" i="2"/>
  <c r="L1592" i="2"/>
  <c r="K1592" i="2"/>
  <c r="J1592" i="2"/>
  <c r="I1592" i="2"/>
  <c r="L1591" i="2"/>
  <c r="K1591" i="2"/>
  <c r="J1591" i="2"/>
  <c r="I1591" i="2"/>
  <c r="L1590" i="2"/>
  <c r="K1590" i="2"/>
  <c r="J1590" i="2"/>
  <c r="I1590" i="2"/>
  <c r="L1589" i="2"/>
  <c r="K1589" i="2"/>
  <c r="J1589" i="2"/>
  <c r="I1589" i="2"/>
  <c r="L1588" i="2"/>
  <c r="K1588" i="2"/>
  <c r="J1588" i="2"/>
  <c r="I1588" i="2"/>
  <c r="L1587" i="2"/>
  <c r="K1587" i="2"/>
  <c r="J1587" i="2"/>
  <c r="I1587" i="2"/>
  <c r="L1586" i="2"/>
  <c r="K1586" i="2"/>
  <c r="J1586" i="2"/>
  <c r="I1586" i="2"/>
  <c r="L1585" i="2"/>
  <c r="K1585" i="2"/>
  <c r="J1585" i="2"/>
  <c r="I1585" i="2"/>
  <c r="L1584" i="2"/>
  <c r="K1584" i="2"/>
  <c r="J1584" i="2"/>
  <c r="I1584" i="2"/>
  <c r="L1583" i="2"/>
  <c r="K1583" i="2"/>
  <c r="J1583" i="2"/>
  <c r="I1583" i="2"/>
  <c r="L1582" i="2"/>
  <c r="K1582" i="2"/>
  <c r="J1582" i="2"/>
  <c r="I1582" i="2"/>
  <c r="L1581" i="2"/>
  <c r="K1581" i="2"/>
  <c r="J1581" i="2"/>
  <c r="I1581" i="2"/>
  <c r="L1580" i="2"/>
  <c r="K1580" i="2"/>
  <c r="J1580" i="2"/>
  <c r="I1580" i="2"/>
  <c r="L1579" i="2"/>
  <c r="K1579" i="2"/>
  <c r="J1579" i="2"/>
  <c r="I1579" i="2"/>
  <c r="L1578" i="2"/>
  <c r="K1578" i="2"/>
  <c r="J1578" i="2"/>
  <c r="I1578" i="2"/>
  <c r="L1577" i="2"/>
  <c r="K1577" i="2"/>
  <c r="J1577" i="2"/>
  <c r="I1577" i="2"/>
  <c r="L1576" i="2"/>
  <c r="K1576" i="2"/>
  <c r="J1576" i="2"/>
  <c r="I1576" i="2"/>
  <c r="L1575" i="2"/>
  <c r="K1575" i="2"/>
  <c r="J1575" i="2"/>
  <c r="I1575" i="2"/>
  <c r="L1574" i="2"/>
  <c r="K1574" i="2"/>
  <c r="J1574" i="2"/>
  <c r="I1574" i="2"/>
  <c r="L1573" i="2"/>
  <c r="K1573" i="2"/>
  <c r="J1573" i="2"/>
  <c r="I1573" i="2"/>
  <c r="L1572" i="2"/>
  <c r="K1572" i="2"/>
  <c r="J1572" i="2"/>
  <c r="I1572" i="2"/>
  <c r="L1571" i="2"/>
  <c r="K1571" i="2"/>
  <c r="J1571" i="2"/>
  <c r="I1571" i="2"/>
  <c r="L1570" i="2"/>
  <c r="K1570" i="2"/>
  <c r="J1570" i="2"/>
  <c r="I1570" i="2"/>
  <c r="L1569" i="2"/>
  <c r="K1569" i="2"/>
  <c r="J1569" i="2"/>
  <c r="I1569" i="2"/>
  <c r="L1568" i="2"/>
  <c r="K1568" i="2"/>
  <c r="J1568" i="2"/>
  <c r="I1568" i="2"/>
  <c r="L1567" i="2"/>
  <c r="K1567" i="2"/>
  <c r="J1567" i="2"/>
  <c r="I1567" i="2"/>
  <c r="L1566" i="2"/>
  <c r="K1566" i="2"/>
  <c r="J1566" i="2"/>
  <c r="I1566" i="2"/>
  <c r="L1565" i="2"/>
  <c r="K1565" i="2"/>
  <c r="J1565" i="2"/>
  <c r="I1565" i="2"/>
  <c r="L1564" i="2"/>
  <c r="K1564" i="2"/>
  <c r="J1564" i="2"/>
  <c r="I1564" i="2"/>
  <c r="L1563" i="2"/>
  <c r="K1563" i="2"/>
  <c r="J1563" i="2"/>
  <c r="I1563" i="2"/>
  <c r="L1562" i="2"/>
  <c r="K1562" i="2"/>
  <c r="J1562" i="2"/>
  <c r="I1562" i="2"/>
  <c r="L1561" i="2"/>
  <c r="K1561" i="2"/>
  <c r="J1561" i="2"/>
  <c r="I1561" i="2"/>
  <c r="L1560" i="2"/>
  <c r="K1560" i="2"/>
  <c r="J1560" i="2"/>
  <c r="I1560" i="2"/>
  <c r="L1559" i="2"/>
  <c r="K1559" i="2"/>
  <c r="J1559" i="2"/>
  <c r="I1559" i="2"/>
  <c r="L1558" i="2"/>
  <c r="K1558" i="2"/>
  <c r="J1558" i="2"/>
  <c r="I1558" i="2"/>
  <c r="L1557" i="2"/>
  <c r="K1557" i="2"/>
  <c r="J1557" i="2"/>
  <c r="I1557" i="2"/>
  <c r="L1556" i="2"/>
  <c r="K1556" i="2"/>
  <c r="J1556" i="2"/>
  <c r="I1556" i="2"/>
  <c r="L1555" i="2"/>
  <c r="K1555" i="2"/>
  <c r="J1555" i="2"/>
  <c r="I1555" i="2"/>
  <c r="L1554" i="2"/>
  <c r="K1554" i="2"/>
  <c r="J1554" i="2"/>
  <c r="I1554" i="2"/>
  <c r="L1553" i="2"/>
  <c r="K1553" i="2"/>
  <c r="J1553" i="2"/>
  <c r="I1553" i="2"/>
  <c r="L1552" i="2"/>
  <c r="K1552" i="2"/>
  <c r="J1552" i="2"/>
  <c r="I1552" i="2"/>
  <c r="L1551" i="2"/>
  <c r="K1551" i="2"/>
  <c r="J1551" i="2"/>
  <c r="I1551" i="2"/>
  <c r="L1550" i="2"/>
  <c r="K1550" i="2"/>
  <c r="J1550" i="2"/>
  <c r="I1550" i="2"/>
  <c r="L1549" i="2"/>
  <c r="K1549" i="2"/>
  <c r="J1549" i="2"/>
  <c r="I1549" i="2"/>
  <c r="L1548" i="2"/>
  <c r="K1548" i="2"/>
  <c r="J1548" i="2"/>
  <c r="I1548" i="2"/>
  <c r="L1547" i="2"/>
  <c r="K1547" i="2"/>
  <c r="J1547" i="2"/>
  <c r="I1547" i="2"/>
  <c r="L1546" i="2"/>
  <c r="K1546" i="2"/>
  <c r="J1546" i="2"/>
  <c r="I1546" i="2"/>
  <c r="L1545" i="2"/>
  <c r="K1545" i="2"/>
  <c r="J1545" i="2"/>
  <c r="I1545" i="2"/>
  <c r="L1544" i="2"/>
  <c r="K1544" i="2"/>
  <c r="J1544" i="2"/>
  <c r="I1544" i="2"/>
  <c r="L1543" i="2"/>
  <c r="K1543" i="2"/>
  <c r="J1543" i="2"/>
  <c r="I1543" i="2"/>
  <c r="L1542" i="2"/>
  <c r="K1542" i="2"/>
  <c r="J1542" i="2"/>
  <c r="I1542" i="2"/>
  <c r="L1541" i="2"/>
  <c r="K1541" i="2"/>
  <c r="J1541" i="2"/>
  <c r="I1541" i="2"/>
  <c r="L1540" i="2"/>
  <c r="K1540" i="2"/>
  <c r="J1540" i="2"/>
  <c r="I1540" i="2"/>
  <c r="L1539" i="2"/>
  <c r="K1539" i="2"/>
  <c r="J1539" i="2"/>
  <c r="I1539" i="2"/>
  <c r="L1538" i="2"/>
  <c r="K1538" i="2"/>
  <c r="J1538" i="2"/>
  <c r="I1538" i="2"/>
  <c r="L1537" i="2"/>
  <c r="K1537" i="2"/>
  <c r="J1537" i="2"/>
  <c r="I1537" i="2"/>
  <c r="L1536" i="2"/>
  <c r="K1536" i="2"/>
  <c r="J1536" i="2"/>
  <c r="I1536" i="2"/>
  <c r="L1535" i="2"/>
  <c r="K1535" i="2"/>
  <c r="J1535" i="2"/>
  <c r="I1535" i="2"/>
  <c r="L1534" i="2"/>
  <c r="K1534" i="2"/>
  <c r="J1534" i="2"/>
  <c r="I1534" i="2"/>
  <c r="L1533" i="2"/>
  <c r="K1533" i="2"/>
  <c r="J1533" i="2"/>
  <c r="I1533" i="2"/>
  <c r="L1532" i="2"/>
  <c r="K1532" i="2"/>
  <c r="J1532" i="2"/>
  <c r="I1532" i="2"/>
  <c r="L1531" i="2"/>
  <c r="K1531" i="2"/>
  <c r="J1531" i="2"/>
  <c r="I1531" i="2"/>
  <c r="L1530" i="2"/>
  <c r="K1530" i="2"/>
  <c r="J1530" i="2"/>
  <c r="I1530" i="2"/>
  <c r="L1529" i="2"/>
  <c r="K1529" i="2"/>
  <c r="J1529" i="2"/>
  <c r="I1529" i="2"/>
  <c r="L1528" i="2"/>
  <c r="K1528" i="2"/>
  <c r="J1528" i="2"/>
  <c r="I1528" i="2"/>
  <c r="L1527" i="2"/>
  <c r="K1527" i="2"/>
  <c r="J1527" i="2"/>
  <c r="I1527" i="2"/>
  <c r="L1526" i="2"/>
  <c r="K1526" i="2"/>
  <c r="J1526" i="2"/>
  <c r="I1526" i="2"/>
  <c r="L1525" i="2"/>
  <c r="K1525" i="2"/>
  <c r="J1525" i="2"/>
  <c r="I1525" i="2"/>
  <c r="L1524" i="2"/>
  <c r="K1524" i="2"/>
  <c r="J1524" i="2"/>
  <c r="I1524" i="2"/>
  <c r="L1523" i="2"/>
  <c r="K1523" i="2"/>
  <c r="J1523" i="2"/>
  <c r="I1523" i="2"/>
  <c r="L1522" i="2"/>
  <c r="K1522" i="2"/>
  <c r="J1522" i="2"/>
  <c r="I1522" i="2"/>
  <c r="L1521" i="2"/>
  <c r="K1521" i="2"/>
  <c r="J1521" i="2"/>
  <c r="I1521" i="2"/>
  <c r="L1520" i="2"/>
  <c r="K1520" i="2"/>
  <c r="J1520" i="2"/>
  <c r="I1520" i="2"/>
  <c r="L1519" i="2"/>
  <c r="K1519" i="2"/>
  <c r="J1519" i="2"/>
  <c r="I1519" i="2"/>
  <c r="L1518" i="2"/>
  <c r="K1518" i="2"/>
  <c r="J1518" i="2"/>
  <c r="I1518" i="2"/>
  <c r="L1517" i="2"/>
  <c r="K1517" i="2"/>
  <c r="J1517" i="2"/>
  <c r="I1517" i="2"/>
  <c r="L1516" i="2"/>
  <c r="K1516" i="2"/>
  <c r="J1516" i="2"/>
  <c r="I1516" i="2"/>
  <c r="L1515" i="2"/>
  <c r="K1515" i="2"/>
  <c r="J1515" i="2"/>
  <c r="I1515" i="2"/>
  <c r="L1514" i="2"/>
  <c r="K1514" i="2"/>
  <c r="J1514" i="2"/>
  <c r="I1514" i="2"/>
  <c r="L1513" i="2"/>
  <c r="K1513" i="2"/>
  <c r="J1513" i="2"/>
  <c r="I1513" i="2"/>
  <c r="L1512" i="2"/>
  <c r="K1512" i="2"/>
  <c r="J1512" i="2"/>
  <c r="I1512" i="2"/>
  <c r="L1511" i="2"/>
  <c r="K1511" i="2"/>
  <c r="J1511" i="2"/>
  <c r="I1511" i="2"/>
  <c r="L1510" i="2"/>
  <c r="K1510" i="2"/>
  <c r="J1510" i="2"/>
  <c r="I1510" i="2"/>
  <c r="L1509" i="2"/>
  <c r="K1509" i="2"/>
  <c r="J1509" i="2"/>
  <c r="I1509" i="2"/>
  <c r="L1508" i="2"/>
  <c r="K1508" i="2"/>
  <c r="J1508" i="2"/>
  <c r="I1508" i="2"/>
  <c r="L1507" i="2"/>
  <c r="K1507" i="2"/>
  <c r="J1507" i="2"/>
  <c r="I1507" i="2"/>
  <c r="L1506" i="2"/>
  <c r="K1506" i="2"/>
  <c r="J1506" i="2"/>
  <c r="I1506" i="2"/>
  <c r="L1505" i="2"/>
  <c r="K1505" i="2"/>
  <c r="J1505" i="2"/>
  <c r="I1505" i="2"/>
  <c r="L1504" i="2"/>
  <c r="K1504" i="2"/>
  <c r="J1504" i="2"/>
  <c r="I1504" i="2"/>
  <c r="L1503" i="2"/>
  <c r="K1503" i="2"/>
  <c r="J1503" i="2"/>
  <c r="I1503" i="2"/>
  <c r="L1502" i="2"/>
  <c r="K1502" i="2"/>
  <c r="J1502" i="2"/>
  <c r="I1502" i="2"/>
  <c r="L1501" i="2"/>
  <c r="K1501" i="2"/>
  <c r="J1501" i="2"/>
  <c r="I1501" i="2"/>
  <c r="L1500" i="2"/>
  <c r="K1500" i="2"/>
  <c r="J1500" i="2"/>
  <c r="I1500" i="2"/>
  <c r="L1499" i="2"/>
  <c r="K1499" i="2"/>
  <c r="J1499" i="2"/>
  <c r="I1499" i="2"/>
  <c r="L1498" i="2"/>
  <c r="K1498" i="2"/>
  <c r="J1498" i="2"/>
  <c r="I1498" i="2"/>
  <c r="L1497" i="2"/>
  <c r="K1497" i="2"/>
  <c r="J1497" i="2"/>
  <c r="I1497" i="2"/>
  <c r="L1496" i="2"/>
  <c r="K1496" i="2"/>
  <c r="J1496" i="2"/>
  <c r="I1496" i="2"/>
  <c r="L1495" i="2"/>
  <c r="K1495" i="2"/>
  <c r="J1495" i="2"/>
  <c r="I1495" i="2"/>
  <c r="L1494" i="2"/>
  <c r="K1494" i="2"/>
  <c r="J1494" i="2"/>
  <c r="I1494" i="2"/>
  <c r="L1493" i="2"/>
  <c r="K1493" i="2"/>
  <c r="J1493" i="2"/>
  <c r="I1493" i="2"/>
  <c r="L1492" i="2"/>
  <c r="K1492" i="2"/>
  <c r="J1492" i="2"/>
  <c r="I1492" i="2"/>
  <c r="L1491" i="2"/>
  <c r="K1491" i="2"/>
  <c r="J1491" i="2"/>
  <c r="I1491" i="2"/>
  <c r="L1490" i="2"/>
  <c r="K1490" i="2"/>
  <c r="J1490" i="2"/>
  <c r="I1490" i="2"/>
  <c r="L1489" i="2"/>
  <c r="K1489" i="2"/>
  <c r="J1489" i="2"/>
  <c r="I1489" i="2"/>
  <c r="L1488" i="2"/>
  <c r="K1488" i="2"/>
  <c r="J1488" i="2"/>
  <c r="I1488" i="2"/>
  <c r="L1487" i="2"/>
  <c r="K1487" i="2"/>
  <c r="J1487" i="2"/>
  <c r="I1487" i="2"/>
  <c r="L1486" i="2"/>
  <c r="K1486" i="2"/>
  <c r="J1486" i="2"/>
  <c r="I1486" i="2"/>
  <c r="L1485" i="2"/>
  <c r="K1485" i="2"/>
  <c r="J1485" i="2"/>
  <c r="I1485" i="2"/>
  <c r="L1484" i="2"/>
  <c r="K1484" i="2"/>
  <c r="J1484" i="2"/>
  <c r="I1484" i="2"/>
  <c r="L1483" i="2"/>
  <c r="K1483" i="2"/>
  <c r="J1483" i="2"/>
  <c r="I1483" i="2"/>
  <c r="L1482" i="2"/>
  <c r="K1482" i="2"/>
  <c r="J1482" i="2"/>
  <c r="I1482" i="2"/>
  <c r="L1481" i="2"/>
  <c r="K1481" i="2"/>
  <c r="J1481" i="2"/>
  <c r="I1481" i="2"/>
  <c r="L1480" i="2"/>
  <c r="K1480" i="2"/>
  <c r="J1480" i="2"/>
  <c r="I1480" i="2"/>
  <c r="L1479" i="2"/>
  <c r="K1479" i="2"/>
  <c r="J1479" i="2"/>
  <c r="I1479" i="2"/>
  <c r="L1478" i="2"/>
  <c r="K1478" i="2"/>
  <c r="J1478" i="2"/>
  <c r="I1478" i="2"/>
  <c r="L1477" i="2"/>
  <c r="K1477" i="2"/>
  <c r="J1477" i="2"/>
  <c r="I1477" i="2"/>
  <c r="L1476" i="2"/>
  <c r="K1476" i="2"/>
  <c r="J1476" i="2"/>
  <c r="I1476" i="2"/>
  <c r="L1475" i="2"/>
  <c r="K1475" i="2"/>
  <c r="J1475" i="2"/>
  <c r="I1475" i="2"/>
  <c r="L1474" i="2"/>
  <c r="K1474" i="2"/>
  <c r="J1474" i="2"/>
  <c r="I1474" i="2"/>
  <c r="L1473" i="2"/>
  <c r="K1473" i="2"/>
  <c r="J1473" i="2"/>
  <c r="I1473" i="2"/>
  <c r="L1472" i="2"/>
  <c r="K1472" i="2"/>
  <c r="J1472" i="2"/>
  <c r="I1472" i="2"/>
  <c r="L1471" i="2"/>
  <c r="K1471" i="2"/>
  <c r="J1471" i="2"/>
  <c r="I1471" i="2"/>
  <c r="L1470" i="2"/>
  <c r="K1470" i="2"/>
  <c r="J1470" i="2"/>
  <c r="I1470" i="2"/>
  <c r="L1469" i="2"/>
  <c r="K1469" i="2"/>
  <c r="J1469" i="2"/>
  <c r="I1469" i="2"/>
  <c r="L1468" i="2"/>
  <c r="K1468" i="2"/>
  <c r="J1468" i="2"/>
  <c r="I1468" i="2"/>
  <c r="L1467" i="2"/>
  <c r="K1467" i="2"/>
  <c r="J1467" i="2"/>
  <c r="I1467" i="2"/>
  <c r="L1466" i="2"/>
  <c r="K1466" i="2"/>
  <c r="J1466" i="2"/>
  <c r="I1466" i="2"/>
  <c r="L1465" i="2"/>
  <c r="K1465" i="2"/>
  <c r="J1465" i="2"/>
  <c r="I1465" i="2"/>
  <c r="L1464" i="2"/>
  <c r="K1464" i="2"/>
  <c r="J1464" i="2"/>
  <c r="I1464" i="2"/>
  <c r="L1463" i="2"/>
  <c r="K1463" i="2"/>
  <c r="J1463" i="2"/>
  <c r="I1463" i="2"/>
  <c r="L1462" i="2"/>
  <c r="K1462" i="2"/>
  <c r="J1462" i="2"/>
  <c r="I1462" i="2"/>
  <c r="L1461" i="2"/>
  <c r="K1461" i="2"/>
  <c r="J1461" i="2"/>
  <c r="I1461" i="2"/>
  <c r="L1460" i="2"/>
  <c r="K1460" i="2"/>
  <c r="J1460" i="2"/>
  <c r="I1460" i="2"/>
  <c r="L1459" i="2"/>
  <c r="K1459" i="2"/>
  <c r="J1459" i="2"/>
  <c r="I1459" i="2"/>
  <c r="L1458" i="2"/>
  <c r="K1458" i="2"/>
  <c r="J1458" i="2"/>
  <c r="I1458" i="2"/>
  <c r="L1457" i="2"/>
  <c r="K1457" i="2"/>
  <c r="J1457" i="2"/>
  <c r="I1457" i="2"/>
  <c r="L1456" i="2"/>
  <c r="K1456" i="2"/>
  <c r="J1456" i="2"/>
  <c r="I1456" i="2"/>
  <c r="L1455" i="2"/>
  <c r="K1455" i="2"/>
  <c r="J1455" i="2"/>
  <c r="I1455" i="2"/>
  <c r="L1454" i="2"/>
  <c r="K1454" i="2"/>
  <c r="J1454" i="2"/>
  <c r="I1454" i="2"/>
  <c r="L1453" i="2"/>
  <c r="K1453" i="2"/>
  <c r="J1453" i="2"/>
  <c r="I1453" i="2"/>
  <c r="L1452" i="2"/>
  <c r="K1452" i="2"/>
  <c r="J1452" i="2"/>
  <c r="I1452" i="2"/>
  <c r="L1451" i="2"/>
  <c r="K1451" i="2"/>
  <c r="J1451" i="2"/>
  <c r="I1451" i="2"/>
  <c r="L1450" i="2"/>
  <c r="K1450" i="2"/>
  <c r="J1450" i="2"/>
  <c r="I1450" i="2"/>
  <c r="L1449" i="2"/>
  <c r="K1449" i="2"/>
  <c r="J1449" i="2"/>
  <c r="I1449" i="2"/>
  <c r="L1448" i="2"/>
  <c r="K1448" i="2"/>
  <c r="J1448" i="2"/>
  <c r="I1448" i="2"/>
  <c r="L1447" i="2"/>
  <c r="K1447" i="2"/>
  <c r="J1447" i="2"/>
  <c r="I1447" i="2"/>
  <c r="L1446" i="2"/>
  <c r="K1446" i="2"/>
  <c r="J1446" i="2"/>
  <c r="I1446" i="2"/>
  <c r="L1445" i="2"/>
  <c r="K1445" i="2"/>
  <c r="J1445" i="2"/>
  <c r="I1445" i="2"/>
  <c r="L1444" i="2"/>
  <c r="K1444" i="2"/>
  <c r="J1444" i="2"/>
  <c r="I1444" i="2"/>
  <c r="L1443" i="2"/>
  <c r="K1443" i="2"/>
  <c r="J1443" i="2"/>
  <c r="I1443" i="2"/>
  <c r="L1442" i="2"/>
  <c r="K1442" i="2"/>
  <c r="J1442" i="2"/>
  <c r="I1442" i="2"/>
  <c r="L1441" i="2"/>
  <c r="K1441" i="2"/>
  <c r="J1441" i="2"/>
  <c r="I1441" i="2"/>
  <c r="L1440" i="2"/>
  <c r="K1440" i="2"/>
  <c r="J1440" i="2"/>
  <c r="I1440" i="2"/>
  <c r="L1439" i="2"/>
  <c r="K1439" i="2"/>
  <c r="J1439" i="2"/>
  <c r="I1439" i="2"/>
  <c r="L1438" i="2"/>
  <c r="K1438" i="2"/>
  <c r="J1438" i="2"/>
  <c r="I1438" i="2"/>
  <c r="L1437" i="2"/>
  <c r="K1437" i="2"/>
  <c r="J1437" i="2"/>
  <c r="I1437" i="2"/>
  <c r="L1436" i="2"/>
  <c r="K1436" i="2"/>
  <c r="J1436" i="2"/>
  <c r="I1436" i="2"/>
  <c r="L1435" i="2"/>
  <c r="K1435" i="2"/>
  <c r="J1435" i="2"/>
  <c r="I1435" i="2"/>
  <c r="L1434" i="2"/>
  <c r="K1434" i="2"/>
  <c r="J1434" i="2"/>
  <c r="I1434" i="2"/>
  <c r="L1433" i="2"/>
  <c r="K1433" i="2"/>
  <c r="J1433" i="2"/>
  <c r="I1433" i="2"/>
  <c r="L1432" i="2"/>
  <c r="K1432" i="2"/>
  <c r="J1432" i="2"/>
  <c r="I1432" i="2"/>
  <c r="L1431" i="2"/>
  <c r="K1431" i="2"/>
  <c r="J1431" i="2"/>
  <c r="I1431" i="2"/>
  <c r="L1430" i="2"/>
  <c r="K1430" i="2"/>
  <c r="J1430" i="2"/>
  <c r="I1430" i="2"/>
  <c r="L1429" i="2"/>
  <c r="K1429" i="2"/>
  <c r="J1429" i="2"/>
  <c r="I1429" i="2"/>
  <c r="L1428" i="2"/>
  <c r="K1428" i="2"/>
  <c r="J1428" i="2"/>
  <c r="I1428" i="2"/>
  <c r="L1427" i="2"/>
  <c r="K1427" i="2"/>
  <c r="J1427" i="2"/>
  <c r="I1427" i="2"/>
  <c r="L1426" i="2"/>
  <c r="K1426" i="2"/>
  <c r="J1426" i="2"/>
  <c r="I1426" i="2"/>
  <c r="L1425" i="2"/>
  <c r="K1425" i="2"/>
  <c r="J1425" i="2"/>
  <c r="I1425" i="2"/>
  <c r="L1424" i="2"/>
  <c r="K1424" i="2"/>
  <c r="J1424" i="2"/>
  <c r="I1424" i="2"/>
  <c r="L1423" i="2"/>
  <c r="K1423" i="2"/>
  <c r="J1423" i="2"/>
  <c r="I1423" i="2"/>
  <c r="L1422" i="2"/>
  <c r="K1422" i="2"/>
  <c r="J1422" i="2"/>
  <c r="I1422" i="2"/>
  <c r="L1421" i="2"/>
  <c r="K1421" i="2"/>
  <c r="J1421" i="2"/>
  <c r="I1421" i="2"/>
  <c r="L1420" i="2"/>
  <c r="K1420" i="2"/>
  <c r="J1420" i="2"/>
  <c r="I1420" i="2"/>
  <c r="L1419" i="2"/>
  <c r="K1419" i="2"/>
  <c r="J1419" i="2"/>
  <c r="I1419" i="2"/>
  <c r="L1418" i="2"/>
  <c r="K1418" i="2"/>
  <c r="J1418" i="2"/>
  <c r="I1418" i="2"/>
  <c r="L1417" i="2"/>
  <c r="K1417" i="2"/>
  <c r="J1417" i="2"/>
  <c r="I1417" i="2"/>
  <c r="L1416" i="2"/>
  <c r="K1416" i="2"/>
  <c r="J1416" i="2"/>
  <c r="I1416" i="2"/>
  <c r="L1415" i="2"/>
  <c r="K1415" i="2"/>
  <c r="J1415" i="2"/>
  <c r="I1415" i="2"/>
  <c r="L1414" i="2"/>
  <c r="K1414" i="2"/>
  <c r="J1414" i="2"/>
  <c r="I1414" i="2"/>
  <c r="L1413" i="2"/>
  <c r="K1413" i="2"/>
  <c r="J1413" i="2"/>
  <c r="I1413" i="2"/>
  <c r="L1412" i="2"/>
  <c r="K1412" i="2"/>
  <c r="J1412" i="2"/>
  <c r="I1412" i="2"/>
  <c r="L1411" i="2"/>
  <c r="K1411" i="2"/>
  <c r="J1411" i="2"/>
  <c r="I1411" i="2"/>
  <c r="L1410" i="2"/>
  <c r="K1410" i="2"/>
  <c r="J1410" i="2"/>
  <c r="I1410" i="2"/>
  <c r="L1409" i="2"/>
  <c r="K1409" i="2"/>
  <c r="J1409" i="2"/>
  <c r="I1409" i="2"/>
  <c r="L1408" i="2"/>
  <c r="K1408" i="2"/>
  <c r="J1408" i="2"/>
  <c r="I1408" i="2"/>
  <c r="L1407" i="2"/>
  <c r="K1407" i="2"/>
  <c r="J1407" i="2"/>
  <c r="I1407" i="2"/>
  <c r="L1406" i="2"/>
  <c r="K1406" i="2"/>
  <c r="J1406" i="2"/>
  <c r="I1406" i="2"/>
  <c r="L1405" i="2"/>
  <c r="K1405" i="2"/>
  <c r="J1405" i="2"/>
  <c r="I1405" i="2"/>
  <c r="L1404" i="2"/>
  <c r="K1404" i="2"/>
  <c r="J1404" i="2"/>
  <c r="I1404" i="2"/>
  <c r="L1403" i="2"/>
  <c r="K1403" i="2"/>
  <c r="J1403" i="2"/>
  <c r="I1403" i="2"/>
  <c r="L1402" i="2"/>
  <c r="K1402" i="2"/>
  <c r="J1402" i="2"/>
  <c r="I1402" i="2"/>
  <c r="L1401" i="2"/>
  <c r="K1401" i="2"/>
  <c r="J1401" i="2"/>
  <c r="I1401" i="2"/>
  <c r="L1400" i="2"/>
  <c r="K1400" i="2"/>
  <c r="J1400" i="2"/>
  <c r="I1400" i="2"/>
  <c r="L1399" i="2"/>
  <c r="K1399" i="2"/>
  <c r="J1399" i="2"/>
  <c r="I1399" i="2"/>
  <c r="L1398" i="2"/>
  <c r="K1398" i="2"/>
  <c r="J1398" i="2"/>
  <c r="I1398" i="2"/>
  <c r="L1397" i="2"/>
  <c r="K1397" i="2"/>
  <c r="J1397" i="2"/>
  <c r="I1397" i="2"/>
  <c r="L1396" i="2"/>
  <c r="K1396" i="2"/>
  <c r="J1396" i="2"/>
  <c r="I1396" i="2"/>
  <c r="L1395" i="2"/>
  <c r="K1395" i="2"/>
  <c r="J1395" i="2"/>
  <c r="I1395" i="2"/>
  <c r="L1394" i="2"/>
  <c r="K1394" i="2"/>
  <c r="J1394" i="2"/>
  <c r="I1394" i="2"/>
  <c r="L1393" i="2"/>
  <c r="K1393" i="2"/>
  <c r="J1393" i="2"/>
  <c r="I1393" i="2"/>
  <c r="L1392" i="2"/>
  <c r="K1392" i="2"/>
  <c r="J1392" i="2"/>
  <c r="I1392" i="2"/>
  <c r="L1391" i="2"/>
  <c r="K1391" i="2"/>
  <c r="J1391" i="2"/>
  <c r="I1391" i="2"/>
  <c r="L1390" i="2"/>
  <c r="K1390" i="2"/>
  <c r="J1390" i="2"/>
  <c r="I1390" i="2"/>
  <c r="L1389" i="2"/>
  <c r="K1389" i="2"/>
  <c r="J1389" i="2"/>
  <c r="I1389" i="2"/>
  <c r="L1388" i="2"/>
  <c r="K1388" i="2"/>
  <c r="J1388" i="2"/>
  <c r="I1388" i="2"/>
  <c r="L1387" i="2"/>
  <c r="K1387" i="2"/>
  <c r="J1387" i="2"/>
  <c r="I1387" i="2"/>
  <c r="L1386" i="2"/>
  <c r="K1386" i="2"/>
  <c r="J1386" i="2"/>
  <c r="I1386" i="2"/>
  <c r="L1385" i="2"/>
  <c r="K1385" i="2"/>
  <c r="J1385" i="2"/>
  <c r="I1385" i="2"/>
  <c r="L1384" i="2"/>
  <c r="K1384" i="2"/>
  <c r="J1384" i="2"/>
  <c r="I1384" i="2"/>
  <c r="L1383" i="2"/>
  <c r="K1383" i="2"/>
  <c r="J1383" i="2"/>
  <c r="I1383" i="2"/>
  <c r="L1382" i="2"/>
  <c r="K1382" i="2"/>
  <c r="J1382" i="2"/>
  <c r="I1382" i="2"/>
  <c r="L1381" i="2"/>
  <c r="K1381" i="2"/>
  <c r="J1381" i="2"/>
  <c r="I1381" i="2"/>
  <c r="L1380" i="2"/>
  <c r="K1380" i="2"/>
  <c r="J1380" i="2"/>
  <c r="I1380" i="2"/>
  <c r="L1379" i="2"/>
  <c r="K1379" i="2"/>
  <c r="J1379" i="2"/>
  <c r="I1379" i="2"/>
  <c r="L1378" i="2"/>
  <c r="K1378" i="2"/>
  <c r="J1378" i="2"/>
  <c r="I1378" i="2"/>
  <c r="L1377" i="2"/>
  <c r="K1377" i="2"/>
  <c r="J1377" i="2"/>
  <c r="I1377" i="2"/>
  <c r="L1376" i="2"/>
  <c r="K1376" i="2"/>
  <c r="J1376" i="2"/>
  <c r="I1376" i="2"/>
  <c r="L1375" i="2"/>
  <c r="K1375" i="2"/>
  <c r="J1375" i="2"/>
  <c r="I1375" i="2"/>
  <c r="L1374" i="2"/>
  <c r="K1374" i="2"/>
  <c r="J1374" i="2"/>
  <c r="I1374" i="2"/>
  <c r="L1373" i="2"/>
  <c r="K1373" i="2"/>
  <c r="J1373" i="2"/>
  <c r="I1373" i="2"/>
  <c r="L1372" i="2"/>
  <c r="K1372" i="2"/>
  <c r="J1372" i="2"/>
  <c r="I1372" i="2"/>
  <c r="L1371" i="2"/>
  <c r="K1371" i="2"/>
  <c r="J1371" i="2"/>
  <c r="I1371" i="2"/>
  <c r="L1370" i="2"/>
  <c r="K1370" i="2"/>
  <c r="J1370" i="2"/>
  <c r="I1370" i="2"/>
  <c r="L1369" i="2"/>
  <c r="K1369" i="2"/>
  <c r="J1369" i="2"/>
  <c r="I1369" i="2"/>
  <c r="L1368" i="2"/>
  <c r="K1368" i="2"/>
  <c r="J1368" i="2"/>
  <c r="I1368" i="2"/>
  <c r="L1367" i="2"/>
  <c r="K1367" i="2"/>
  <c r="J1367" i="2"/>
  <c r="I1367" i="2"/>
  <c r="L1366" i="2"/>
  <c r="K1366" i="2"/>
  <c r="J1366" i="2"/>
  <c r="I1366" i="2"/>
  <c r="L1365" i="2"/>
  <c r="K1365" i="2"/>
  <c r="J1365" i="2"/>
  <c r="I1365" i="2"/>
  <c r="L1364" i="2"/>
  <c r="K1364" i="2"/>
  <c r="J1364" i="2"/>
  <c r="I1364" i="2"/>
  <c r="L1363" i="2"/>
  <c r="K1363" i="2"/>
  <c r="J1363" i="2"/>
  <c r="I1363" i="2"/>
  <c r="L1362" i="2"/>
  <c r="K1362" i="2"/>
  <c r="J1362" i="2"/>
  <c r="I1362" i="2"/>
  <c r="L1361" i="2"/>
  <c r="K1361" i="2"/>
  <c r="J1361" i="2"/>
  <c r="I1361" i="2"/>
  <c r="L1360" i="2"/>
  <c r="K1360" i="2"/>
  <c r="J1360" i="2"/>
  <c r="I1360" i="2"/>
  <c r="L1359" i="2"/>
  <c r="K1359" i="2"/>
  <c r="J1359" i="2"/>
  <c r="I1359" i="2"/>
  <c r="L1358" i="2"/>
  <c r="K1358" i="2"/>
  <c r="J1358" i="2"/>
  <c r="I1358" i="2"/>
  <c r="L1357" i="2"/>
  <c r="K1357" i="2"/>
  <c r="J1357" i="2"/>
  <c r="I1357" i="2"/>
  <c r="L1356" i="2"/>
  <c r="K1356" i="2"/>
  <c r="J1356" i="2"/>
  <c r="I1356" i="2"/>
  <c r="L1355" i="2"/>
  <c r="K1355" i="2"/>
  <c r="J1355" i="2"/>
  <c r="I1355" i="2"/>
  <c r="L1354" i="2"/>
  <c r="K1354" i="2"/>
  <c r="J1354" i="2"/>
  <c r="I1354" i="2"/>
  <c r="L1353" i="2"/>
  <c r="K1353" i="2"/>
  <c r="J1353" i="2"/>
  <c r="I1353" i="2"/>
  <c r="L1352" i="2"/>
  <c r="K1352" i="2"/>
  <c r="J1352" i="2"/>
  <c r="I1352" i="2"/>
  <c r="L1351" i="2"/>
  <c r="K1351" i="2"/>
  <c r="J1351" i="2"/>
  <c r="I1351" i="2"/>
  <c r="L1350" i="2"/>
  <c r="K1350" i="2"/>
  <c r="J1350" i="2"/>
  <c r="I1350" i="2"/>
  <c r="L1349" i="2"/>
  <c r="K1349" i="2"/>
  <c r="J1349" i="2"/>
  <c r="I1349" i="2"/>
  <c r="L1348" i="2"/>
  <c r="K1348" i="2"/>
  <c r="J1348" i="2"/>
  <c r="I1348" i="2"/>
  <c r="L1347" i="2"/>
  <c r="K1347" i="2"/>
  <c r="J1347" i="2"/>
  <c r="I1347" i="2"/>
  <c r="L1346" i="2"/>
  <c r="K1346" i="2"/>
  <c r="J1346" i="2"/>
  <c r="I1346" i="2"/>
  <c r="L1345" i="2"/>
  <c r="K1345" i="2"/>
  <c r="J1345" i="2"/>
  <c r="I1345" i="2"/>
  <c r="L1344" i="2"/>
  <c r="K1344" i="2"/>
  <c r="J1344" i="2"/>
  <c r="I1344" i="2"/>
  <c r="L1343" i="2"/>
  <c r="K1343" i="2"/>
  <c r="J1343" i="2"/>
  <c r="I1343" i="2"/>
  <c r="L1342" i="2"/>
  <c r="K1342" i="2"/>
  <c r="J1342" i="2"/>
  <c r="I1342" i="2"/>
  <c r="L1341" i="2"/>
  <c r="K1341" i="2"/>
  <c r="J1341" i="2"/>
  <c r="I1341" i="2"/>
  <c r="L1340" i="2"/>
  <c r="K1340" i="2"/>
  <c r="J1340" i="2"/>
  <c r="I1340" i="2"/>
  <c r="L1339" i="2"/>
  <c r="K1339" i="2"/>
  <c r="J1339" i="2"/>
  <c r="I1339" i="2"/>
  <c r="L1338" i="2"/>
  <c r="K1338" i="2"/>
  <c r="J1338" i="2"/>
  <c r="I1338" i="2"/>
  <c r="L1337" i="2"/>
  <c r="K1337" i="2"/>
  <c r="J1337" i="2"/>
  <c r="I1337" i="2"/>
  <c r="L1336" i="2"/>
  <c r="K1336" i="2"/>
  <c r="J1336" i="2"/>
  <c r="I1336" i="2"/>
  <c r="L1335" i="2"/>
  <c r="K1335" i="2"/>
  <c r="J1335" i="2"/>
  <c r="I1335" i="2"/>
  <c r="L1334" i="2"/>
  <c r="K1334" i="2"/>
  <c r="J1334" i="2"/>
  <c r="I1334" i="2"/>
  <c r="L1333" i="2"/>
  <c r="K1333" i="2"/>
  <c r="J1333" i="2"/>
  <c r="I1333" i="2"/>
  <c r="L1332" i="2"/>
  <c r="K1332" i="2"/>
  <c r="J1332" i="2"/>
  <c r="I1332" i="2"/>
  <c r="L1331" i="2"/>
  <c r="K1331" i="2"/>
  <c r="J1331" i="2"/>
  <c r="I1331" i="2"/>
  <c r="L1330" i="2"/>
  <c r="K1330" i="2"/>
  <c r="J1330" i="2"/>
  <c r="I1330" i="2"/>
  <c r="L1329" i="2"/>
  <c r="K1329" i="2"/>
  <c r="J1329" i="2"/>
  <c r="I1329" i="2"/>
  <c r="L1328" i="2"/>
  <c r="K1328" i="2"/>
  <c r="J1328" i="2"/>
  <c r="I1328" i="2"/>
  <c r="L1327" i="2"/>
  <c r="K1327" i="2"/>
  <c r="J1327" i="2"/>
  <c r="I1327" i="2"/>
  <c r="L1326" i="2"/>
  <c r="K1326" i="2"/>
  <c r="J1326" i="2"/>
  <c r="I1326" i="2"/>
  <c r="L1325" i="2"/>
  <c r="K1325" i="2"/>
  <c r="J1325" i="2"/>
  <c r="I1325" i="2"/>
  <c r="L1324" i="2"/>
  <c r="K1324" i="2"/>
  <c r="J1324" i="2"/>
  <c r="I1324" i="2"/>
  <c r="L1323" i="2"/>
  <c r="K1323" i="2"/>
  <c r="J1323" i="2"/>
  <c r="I1323" i="2"/>
  <c r="L1322" i="2"/>
  <c r="K1322" i="2"/>
  <c r="J1322" i="2"/>
  <c r="I1322" i="2"/>
  <c r="L1321" i="2"/>
  <c r="K1321" i="2"/>
  <c r="J1321" i="2"/>
  <c r="I1321" i="2"/>
  <c r="L1320" i="2"/>
  <c r="K1320" i="2"/>
  <c r="J1320" i="2"/>
  <c r="I1320" i="2"/>
  <c r="L1319" i="2"/>
  <c r="K1319" i="2"/>
  <c r="J1319" i="2"/>
  <c r="I1319" i="2"/>
  <c r="L1318" i="2"/>
  <c r="K1318" i="2"/>
  <c r="J1318" i="2"/>
  <c r="I1318" i="2"/>
  <c r="L1317" i="2"/>
  <c r="K1317" i="2"/>
  <c r="J1317" i="2"/>
  <c r="I1317" i="2"/>
  <c r="L1316" i="2"/>
  <c r="K1316" i="2"/>
  <c r="J1316" i="2"/>
  <c r="I1316" i="2"/>
  <c r="L1315" i="2"/>
  <c r="K1315" i="2"/>
  <c r="J1315" i="2"/>
  <c r="I1315" i="2"/>
  <c r="L1314" i="2"/>
  <c r="K1314" i="2"/>
  <c r="J1314" i="2"/>
  <c r="I1314" i="2"/>
  <c r="L1313" i="2"/>
  <c r="K1313" i="2"/>
  <c r="J1313" i="2"/>
  <c r="I1313" i="2"/>
  <c r="L1312" i="2"/>
  <c r="K1312" i="2"/>
  <c r="J1312" i="2"/>
  <c r="I1312" i="2"/>
  <c r="L1311" i="2"/>
  <c r="K1311" i="2"/>
  <c r="J1311" i="2"/>
  <c r="I1311" i="2"/>
  <c r="L1310" i="2"/>
  <c r="K1310" i="2"/>
  <c r="J1310" i="2"/>
  <c r="I1310" i="2"/>
  <c r="L1309" i="2"/>
  <c r="K1309" i="2"/>
  <c r="J1309" i="2"/>
  <c r="I1309" i="2"/>
  <c r="L1308" i="2"/>
  <c r="K1308" i="2"/>
  <c r="J1308" i="2"/>
  <c r="I1308" i="2"/>
  <c r="L1307" i="2"/>
  <c r="K1307" i="2"/>
  <c r="J1307" i="2"/>
  <c r="I1307" i="2"/>
  <c r="L1306" i="2"/>
  <c r="K1306" i="2"/>
  <c r="J1306" i="2"/>
  <c r="I1306" i="2"/>
  <c r="L1305" i="2"/>
  <c r="K1305" i="2"/>
  <c r="J1305" i="2"/>
  <c r="I1305" i="2"/>
  <c r="L1304" i="2"/>
  <c r="K1304" i="2"/>
  <c r="J1304" i="2"/>
  <c r="I1304" i="2"/>
  <c r="L1303" i="2"/>
  <c r="K1303" i="2"/>
  <c r="J1303" i="2"/>
  <c r="I1303" i="2"/>
  <c r="L1302" i="2"/>
  <c r="K1302" i="2"/>
  <c r="J1302" i="2"/>
  <c r="I1302" i="2"/>
  <c r="L1301" i="2"/>
  <c r="K1301" i="2"/>
  <c r="J1301" i="2"/>
  <c r="I1301" i="2"/>
  <c r="L1300" i="2"/>
  <c r="K1300" i="2"/>
  <c r="J1300" i="2"/>
  <c r="I1300" i="2"/>
  <c r="L1299" i="2"/>
  <c r="K1299" i="2"/>
  <c r="J1299" i="2"/>
  <c r="I1299" i="2"/>
  <c r="L1298" i="2"/>
  <c r="K1298" i="2"/>
  <c r="J1298" i="2"/>
  <c r="I1298" i="2"/>
  <c r="L1297" i="2"/>
  <c r="K1297" i="2"/>
  <c r="J1297" i="2"/>
  <c r="I1297" i="2"/>
  <c r="L1296" i="2"/>
  <c r="K1296" i="2"/>
  <c r="J1296" i="2"/>
  <c r="I1296" i="2"/>
  <c r="L1295" i="2"/>
  <c r="K1295" i="2"/>
  <c r="J1295" i="2"/>
  <c r="I1295" i="2"/>
  <c r="L1294" i="2"/>
  <c r="K1294" i="2"/>
  <c r="J1294" i="2"/>
  <c r="I1294" i="2"/>
  <c r="L1293" i="2"/>
  <c r="K1293" i="2"/>
  <c r="J1293" i="2"/>
  <c r="I1293" i="2"/>
  <c r="L1292" i="2"/>
  <c r="K1292" i="2"/>
  <c r="J1292" i="2"/>
  <c r="I1292" i="2"/>
  <c r="L1291" i="2"/>
  <c r="K1291" i="2"/>
  <c r="J1291" i="2"/>
  <c r="I1291" i="2"/>
  <c r="L1290" i="2"/>
  <c r="K1290" i="2"/>
  <c r="J1290" i="2"/>
  <c r="I1290" i="2"/>
  <c r="L1289" i="2"/>
  <c r="K1289" i="2"/>
  <c r="J1289" i="2"/>
  <c r="I1289" i="2"/>
  <c r="L1288" i="2"/>
  <c r="K1288" i="2"/>
  <c r="J1288" i="2"/>
  <c r="I1288" i="2"/>
  <c r="L1287" i="2"/>
  <c r="K1287" i="2"/>
  <c r="J1287" i="2"/>
  <c r="I1287" i="2"/>
  <c r="L1286" i="2"/>
  <c r="K1286" i="2"/>
  <c r="J1286" i="2"/>
  <c r="I1286" i="2"/>
  <c r="L1285" i="2"/>
  <c r="K1285" i="2"/>
  <c r="J1285" i="2"/>
  <c r="I1285" i="2"/>
  <c r="L1284" i="2"/>
  <c r="K1284" i="2"/>
  <c r="J1284" i="2"/>
  <c r="I1284" i="2"/>
  <c r="L1283" i="2"/>
  <c r="K1283" i="2"/>
  <c r="J1283" i="2"/>
  <c r="I1283" i="2"/>
  <c r="L1282" i="2"/>
  <c r="K1282" i="2"/>
  <c r="J1282" i="2"/>
  <c r="I1282" i="2"/>
  <c r="L1281" i="2"/>
  <c r="K1281" i="2"/>
  <c r="J1281" i="2"/>
  <c r="I1281" i="2"/>
  <c r="L1280" i="2"/>
  <c r="K1280" i="2"/>
  <c r="J1280" i="2"/>
  <c r="I1280" i="2"/>
  <c r="L1279" i="2"/>
  <c r="K1279" i="2"/>
  <c r="J1279" i="2"/>
  <c r="I1279" i="2"/>
  <c r="L1278" i="2"/>
  <c r="K1278" i="2"/>
  <c r="J1278" i="2"/>
  <c r="I1278" i="2"/>
  <c r="L1277" i="2"/>
  <c r="K1277" i="2"/>
  <c r="J1277" i="2"/>
  <c r="I1277" i="2"/>
  <c r="L1276" i="2"/>
  <c r="K1276" i="2"/>
  <c r="J1276" i="2"/>
  <c r="I1276" i="2"/>
  <c r="L1275" i="2"/>
  <c r="K1275" i="2"/>
  <c r="J1275" i="2"/>
  <c r="I1275" i="2"/>
  <c r="L1274" i="2"/>
  <c r="K1274" i="2"/>
  <c r="J1274" i="2"/>
  <c r="I1274" i="2"/>
  <c r="L1273" i="2"/>
  <c r="K1273" i="2"/>
  <c r="J1273" i="2"/>
  <c r="I1273" i="2"/>
  <c r="L1272" i="2"/>
  <c r="K1272" i="2"/>
  <c r="J1272" i="2"/>
  <c r="I1272" i="2"/>
  <c r="L1271" i="2"/>
  <c r="K1271" i="2"/>
  <c r="J1271" i="2"/>
  <c r="I1271" i="2"/>
  <c r="L1270" i="2"/>
  <c r="K1270" i="2"/>
  <c r="J1270" i="2"/>
  <c r="I1270" i="2"/>
  <c r="L1269" i="2"/>
  <c r="K1269" i="2"/>
  <c r="J1269" i="2"/>
  <c r="I1269" i="2"/>
  <c r="L1268" i="2"/>
  <c r="K1268" i="2"/>
  <c r="J1268" i="2"/>
  <c r="I1268" i="2"/>
  <c r="L1267" i="2"/>
  <c r="K1267" i="2"/>
  <c r="J1267" i="2"/>
  <c r="I1267" i="2"/>
  <c r="L1266" i="2"/>
  <c r="K1266" i="2"/>
  <c r="J1266" i="2"/>
  <c r="I1266" i="2"/>
  <c r="L1265" i="2"/>
  <c r="K1265" i="2"/>
  <c r="J1265" i="2"/>
  <c r="I1265" i="2"/>
  <c r="L1264" i="2"/>
  <c r="K1264" i="2"/>
  <c r="J1264" i="2"/>
  <c r="I1264" i="2"/>
  <c r="L1263" i="2"/>
  <c r="K1263" i="2"/>
  <c r="J1263" i="2"/>
  <c r="I1263" i="2"/>
  <c r="L1262" i="2"/>
  <c r="K1262" i="2"/>
  <c r="J1262" i="2"/>
  <c r="I1262" i="2"/>
  <c r="L1261" i="2"/>
  <c r="K1261" i="2"/>
  <c r="J1261" i="2"/>
  <c r="I1261" i="2"/>
  <c r="L1260" i="2"/>
  <c r="K1260" i="2"/>
  <c r="J1260" i="2"/>
  <c r="I1260" i="2"/>
  <c r="L1259" i="2"/>
  <c r="K1259" i="2"/>
  <c r="J1259" i="2"/>
  <c r="I1259" i="2"/>
  <c r="L1258" i="2"/>
  <c r="K1258" i="2"/>
  <c r="J1258" i="2"/>
  <c r="I1258" i="2"/>
  <c r="L1257" i="2"/>
  <c r="K1257" i="2"/>
  <c r="J1257" i="2"/>
  <c r="I1257" i="2"/>
  <c r="L1256" i="2"/>
  <c r="K1256" i="2"/>
  <c r="J1256" i="2"/>
  <c r="I1256" i="2"/>
  <c r="L1255" i="2"/>
  <c r="K1255" i="2"/>
  <c r="J1255" i="2"/>
  <c r="I1255" i="2"/>
  <c r="L1254" i="2"/>
  <c r="K1254" i="2"/>
  <c r="J1254" i="2"/>
  <c r="I1254" i="2"/>
  <c r="L1253" i="2"/>
  <c r="K1253" i="2"/>
  <c r="J1253" i="2"/>
  <c r="I1253" i="2"/>
  <c r="L1252" i="2"/>
  <c r="K1252" i="2"/>
  <c r="J1252" i="2"/>
  <c r="I1252" i="2"/>
  <c r="L1251" i="2"/>
  <c r="K1251" i="2"/>
  <c r="J1251" i="2"/>
  <c r="I1251" i="2"/>
  <c r="L1250" i="2"/>
  <c r="K1250" i="2"/>
  <c r="J1250" i="2"/>
  <c r="I1250" i="2"/>
  <c r="L1249" i="2"/>
  <c r="K1249" i="2"/>
  <c r="J1249" i="2"/>
  <c r="I1249" i="2"/>
  <c r="L1248" i="2"/>
  <c r="K1248" i="2"/>
  <c r="J1248" i="2"/>
  <c r="I1248" i="2"/>
  <c r="L1247" i="2"/>
  <c r="K1247" i="2"/>
  <c r="J1247" i="2"/>
  <c r="I1247" i="2"/>
  <c r="L1246" i="2"/>
  <c r="K1246" i="2"/>
  <c r="J1246" i="2"/>
  <c r="I1246" i="2"/>
  <c r="L1245" i="2"/>
  <c r="K1245" i="2"/>
  <c r="J1245" i="2"/>
  <c r="I1245" i="2"/>
  <c r="L1244" i="2"/>
  <c r="K1244" i="2"/>
  <c r="J1244" i="2"/>
  <c r="I1244" i="2"/>
  <c r="L1243" i="2"/>
  <c r="K1243" i="2"/>
  <c r="J1243" i="2"/>
  <c r="I1243" i="2"/>
  <c r="L1242" i="2"/>
  <c r="K1242" i="2"/>
  <c r="J1242" i="2"/>
  <c r="I1242" i="2"/>
  <c r="L1241" i="2"/>
  <c r="K1241" i="2"/>
  <c r="J1241" i="2"/>
  <c r="I1241" i="2"/>
  <c r="L1240" i="2"/>
  <c r="K1240" i="2"/>
  <c r="J1240" i="2"/>
  <c r="I1240" i="2"/>
  <c r="L1239" i="2"/>
  <c r="K1239" i="2"/>
  <c r="J1239" i="2"/>
  <c r="I1239" i="2"/>
  <c r="L1238" i="2"/>
  <c r="K1238" i="2"/>
  <c r="J1238" i="2"/>
  <c r="I1238" i="2"/>
  <c r="L1237" i="2"/>
  <c r="K1237" i="2"/>
  <c r="J1237" i="2"/>
  <c r="I1237" i="2"/>
  <c r="L1236" i="2"/>
  <c r="K1236" i="2"/>
  <c r="J1236" i="2"/>
  <c r="I1236" i="2"/>
  <c r="L1235" i="2"/>
  <c r="K1235" i="2"/>
  <c r="J1235" i="2"/>
  <c r="I1235" i="2"/>
  <c r="L1234" i="2"/>
  <c r="K1234" i="2"/>
  <c r="J1234" i="2"/>
  <c r="I1234" i="2"/>
  <c r="L1233" i="2"/>
  <c r="K1233" i="2"/>
  <c r="J1233" i="2"/>
  <c r="I1233" i="2"/>
  <c r="L1232" i="2"/>
  <c r="K1232" i="2"/>
  <c r="J1232" i="2"/>
  <c r="I1232" i="2"/>
  <c r="L1231" i="2"/>
  <c r="K1231" i="2"/>
  <c r="J1231" i="2"/>
  <c r="I1231" i="2"/>
  <c r="L1230" i="2"/>
  <c r="K1230" i="2"/>
  <c r="J1230" i="2"/>
  <c r="I1230" i="2"/>
  <c r="L1229" i="2"/>
  <c r="K1229" i="2"/>
  <c r="J1229" i="2"/>
  <c r="I1229" i="2"/>
  <c r="L1228" i="2"/>
  <c r="K1228" i="2"/>
  <c r="J1228" i="2"/>
  <c r="I1228" i="2"/>
  <c r="L1227" i="2"/>
  <c r="K1227" i="2"/>
  <c r="J1227" i="2"/>
  <c r="I1227" i="2"/>
  <c r="L1226" i="2"/>
  <c r="K1226" i="2"/>
  <c r="J1226" i="2"/>
  <c r="I1226" i="2"/>
  <c r="L1225" i="2"/>
  <c r="K1225" i="2"/>
  <c r="J1225" i="2"/>
  <c r="I1225" i="2"/>
  <c r="L1224" i="2"/>
  <c r="K1224" i="2"/>
  <c r="J1224" i="2"/>
  <c r="I1224" i="2"/>
  <c r="L1223" i="2"/>
  <c r="K1223" i="2"/>
  <c r="J1223" i="2"/>
  <c r="I1223" i="2"/>
  <c r="L1222" i="2"/>
  <c r="K1222" i="2"/>
  <c r="J1222" i="2"/>
  <c r="I1222" i="2"/>
  <c r="L1221" i="2"/>
  <c r="K1221" i="2"/>
  <c r="J1221" i="2"/>
  <c r="I1221" i="2"/>
  <c r="L1220" i="2"/>
  <c r="K1220" i="2"/>
  <c r="J1220" i="2"/>
  <c r="I1220" i="2"/>
  <c r="L1219" i="2"/>
  <c r="K1219" i="2"/>
  <c r="J1219" i="2"/>
  <c r="I1219" i="2"/>
  <c r="L1218" i="2"/>
  <c r="K1218" i="2"/>
  <c r="J1218" i="2"/>
  <c r="I1218" i="2"/>
  <c r="L1217" i="2"/>
  <c r="K1217" i="2"/>
  <c r="J1217" i="2"/>
  <c r="I1217" i="2"/>
  <c r="L1216" i="2"/>
  <c r="K1216" i="2"/>
  <c r="J1216" i="2"/>
  <c r="I1216" i="2"/>
  <c r="L1215" i="2"/>
  <c r="K1215" i="2"/>
  <c r="J1215" i="2"/>
  <c r="I1215" i="2"/>
  <c r="L1214" i="2"/>
  <c r="K1214" i="2"/>
  <c r="J1214" i="2"/>
  <c r="I1214" i="2"/>
  <c r="L1213" i="2"/>
  <c r="K1213" i="2"/>
  <c r="J1213" i="2"/>
  <c r="I1213" i="2"/>
  <c r="L1212" i="2"/>
  <c r="K1212" i="2"/>
  <c r="J1212" i="2"/>
  <c r="I1212" i="2"/>
  <c r="L1211" i="2"/>
  <c r="K1211" i="2"/>
  <c r="J1211" i="2"/>
  <c r="I1211" i="2"/>
  <c r="L1210" i="2"/>
  <c r="K1210" i="2"/>
  <c r="J1210" i="2"/>
  <c r="I1210" i="2"/>
  <c r="L1209" i="2"/>
  <c r="K1209" i="2"/>
  <c r="J1209" i="2"/>
  <c r="I1209" i="2"/>
  <c r="L1208" i="2"/>
  <c r="K1208" i="2"/>
  <c r="J1208" i="2"/>
  <c r="I1208" i="2"/>
  <c r="L1207" i="2"/>
  <c r="K1207" i="2"/>
  <c r="J1207" i="2"/>
  <c r="I1207" i="2"/>
  <c r="L1206" i="2"/>
  <c r="K1206" i="2"/>
  <c r="J1206" i="2"/>
  <c r="I1206" i="2"/>
  <c r="L1205" i="2"/>
  <c r="K1205" i="2"/>
  <c r="J1205" i="2"/>
  <c r="I1205" i="2"/>
  <c r="L1204" i="2"/>
  <c r="K1204" i="2"/>
  <c r="J1204" i="2"/>
  <c r="I1204" i="2"/>
  <c r="L1203" i="2"/>
  <c r="K1203" i="2"/>
  <c r="J1203" i="2"/>
  <c r="I1203" i="2"/>
  <c r="L1202" i="2"/>
  <c r="K1202" i="2"/>
  <c r="J1202" i="2"/>
  <c r="I1202" i="2"/>
  <c r="L1201" i="2"/>
  <c r="K1201" i="2"/>
  <c r="J1201" i="2"/>
  <c r="I1201" i="2"/>
  <c r="L1200" i="2"/>
  <c r="K1200" i="2"/>
  <c r="J1200" i="2"/>
  <c r="I1200" i="2"/>
  <c r="L1199" i="2"/>
  <c r="K1199" i="2"/>
  <c r="J1199" i="2"/>
  <c r="I1199" i="2"/>
  <c r="L1198" i="2"/>
  <c r="K1198" i="2"/>
  <c r="J1198" i="2"/>
  <c r="I1198" i="2"/>
  <c r="L1197" i="2"/>
  <c r="K1197" i="2"/>
  <c r="J1197" i="2"/>
  <c r="I1197" i="2"/>
  <c r="L1196" i="2"/>
  <c r="K1196" i="2"/>
  <c r="J1196" i="2"/>
  <c r="I1196" i="2"/>
  <c r="L1195" i="2"/>
  <c r="K1195" i="2"/>
  <c r="J1195" i="2"/>
  <c r="I1195" i="2"/>
  <c r="L1194" i="2"/>
  <c r="K1194" i="2"/>
  <c r="J1194" i="2"/>
  <c r="I1194" i="2"/>
  <c r="L1193" i="2"/>
  <c r="K1193" i="2"/>
  <c r="J1193" i="2"/>
  <c r="I1193" i="2"/>
  <c r="L1192" i="2"/>
  <c r="K1192" i="2"/>
  <c r="J1192" i="2"/>
  <c r="I1192" i="2"/>
  <c r="L1191" i="2"/>
  <c r="K1191" i="2"/>
  <c r="J1191" i="2"/>
  <c r="I1191" i="2"/>
  <c r="L1190" i="2"/>
  <c r="K1190" i="2"/>
  <c r="J1190" i="2"/>
  <c r="I1190" i="2"/>
  <c r="L1189" i="2"/>
  <c r="K1189" i="2"/>
  <c r="J1189" i="2"/>
  <c r="I1189" i="2"/>
  <c r="L1188" i="2"/>
  <c r="K1188" i="2"/>
  <c r="J1188" i="2"/>
  <c r="I1188" i="2"/>
  <c r="L1187" i="2"/>
  <c r="K1187" i="2"/>
  <c r="J1187" i="2"/>
  <c r="I1187" i="2"/>
  <c r="L1186" i="2"/>
  <c r="K1186" i="2"/>
  <c r="J1186" i="2"/>
  <c r="I1186" i="2"/>
  <c r="L1185" i="2"/>
  <c r="K1185" i="2"/>
  <c r="J1185" i="2"/>
  <c r="I1185" i="2"/>
  <c r="L1184" i="2"/>
  <c r="K1184" i="2"/>
  <c r="J1184" i="2"/>
  <c r="I1184" i="2"/>
  <c r="L1183" i="2"/>
  <c r="K1183" i="2"/>
  <c r="J1183" i="2"/>
  <c r="I1183" i="2"/>
  <c r="L1182" i="2"/>
  <c r="K1182" i="2"/>
  <c r="J1182" i="2"/>
  <c r="I1182" i="2"/>
  <c r="L1181" i="2"/>
  <c r="K1181" i="2"/>
  <c r="J1181" i="2"/>
  <c r="I1181" i="2"/>
  <c r="L1180" i="2"/>
  <c r="K1180" i="2"/>
  <c r="J1180" i="2"/>
  <c r="I1180" i="2"/>
  <c r="L1179" i="2"/>
  <c r="K1179" i="2"/>
  <c r="J1179" i="2"/>
  <c r="I1179" i="2"/>
  <c r="L1178" i="2"/>
  <c r="K1178" i="2"/>
  <c r="J1178" i="2"/>
  <c r="I1178" i="2"/>
  <c r="L1177" i="2"/>
  <c r="K1177" i="2"/>
  <c r="J1177" i="2"/>
  <c r="I1177" i="2"/>
  <c r="L1176" i="2"/>
  <c r="K1176" i="2"/>
  <c r="J1176" i="2"/>
  <c r="I1176" i="2"/>
  <c r="L1175" i="2"/>
  <c r="K1175" i="2"/>
  <c r="J1175" i="2"/>
  <c r="I1175" i="2"/>
  <c r="L1174" i="2"/>
  <c r="K1174" i="2"/>
  <c r="J1174" i="2"/>
  <c r="I1174" i="2"/>
  <c r="L1173" i="2"/>
  <c r="K1173" i="2"/>
  <c r="J1173" i="2"/>
  <c r="I1173" i="2"/>
  <c r="L1172" i="2"/>
  <c r="K1172" i="2"/>
  <c r="J1172" i="2"/>
  <c r="I1172" i="2"/>
  <c r="L1171" i="2"/>
  <c r="K1171" i="2"/>
  <c r="J1171" i="2"/>
  <c r="I1171" i="2"/>
  <c r="L1170" i="2"/>
  <c r="K1170" i="2"/>
  <c r="J1170" i="2"/>
  <c r="I1170" i="2"/>
  <c r="L1169" i="2"/>
  <c r="K1169" i="2"/>
  <c r="J1169" i="2"/>
  <c r="I1169" i="2"/>
  <c r="L1168" i="2"/>
  <c r="K1168" i="2"/>
  <c r="J1168" i="2"/>
  <c r="I1168" i="2"/>
  <c r="L1167" i="2"/>
  <c r="K1167" i="2"/>
  <c r="J1167" i="2"/>
  <c r="I1167" i="2"/>
  <c r="L1166" i="2"/>
  <c r="K1166" i="2"/>
  <c r="J1166" i="2"/>
  <c r="I1166" i="2"/>
  <c r="L1165" i="2"/>
  <c r="K1165" i="2"/>
  <c r="J1165" i="2"/>
  <c r="I1165" i="2"/>
  <c r="L1164" i="2"/>
  <c r="K1164" i="2"/>
  <c r="J1164" i="2"/>
  <c r="I1164" i="2"/>
  <c r="L1163" i="2"/>
  <c r="K1163" i="2"/>
  <c r="J1163" i="2"/>
  <c r="I1163" i="2"/>
  <c r="L1162" i="2"/>
  <c r="K1162" i="2"/>
  <c r="J1162" i="2"/>
  <c r="I1162" i="2"/>
  <c r="L1161" i="2"/>
  <c r="K1161" i="2"/>
  <c r="J1161" i="2"/>
  <c r="I1161" i="2"/>
  <c r="L1160" i="2"/>
  <c r="K1160" i="2"/>
  <c r="J1160" i="2"/>
  <c r="I1160" i="2"/>
  <c r="L1159" i="2"/>
  <c r="K1159" i="2"/>
  <c r="J1159" i="2"/>
  <c r="I1159" i="2"/>
  <c r="L1158" i="2"/>
  <c r="K1158" i="2"/>
  <c r="J1158" i="2"/>
  <c r="I1158" i="2"/>
  <c r="L1157" i="2"/>
  <c r="K1157" i="2"/>
  <c r="J1157" i="2"/>
  <c r="I1157" i="2"/>
  <c r="L1156" i="2"/>
  <c r="K1156" i="2"/>
  <c r="J1156" i="2"/>
  <c r="I1156" i="2"/>
  <c r="L1155" i="2"/>
  <c r="K1155" i="2"/>
  <c r="J1155" i="2"/>
  <c r="I1155" i="2"/>
  <c r="L1154" i="2"/>
  <c r="K1154" i="2"/>
  <c r="J1154" i="2"/>
  <c r="I1154" i="2"/>
  <c r="L1153" i="2"/>
  <c r="K1153" i="2"/>
  <c r="J1153" i="2"/>
  <c r="I1153" i="2"/>
  <c r="L1152" i="2"/>
  <c r="K1152" i="2"/>
  <c r="J1152" i="2"/>
  <c r="I1152" i="2"/>
  <c r="L1151" i="2"/>
  <c r="K1151" i="2"/>
  <c r="J1151" i="2"/>
  <c r="I1151" i="2"/>
  <c r="L1150" i="2"/>
  <c r="K1150" i="2"/>
  <c r="J1150" i="2"/>
  <c r="I1150" i="2"/>
  <c r="L1149" i="2"/>
  <c r="K1149" i="2"/>
  <c r="J1149" i="2"/>
  <c r="I1149" i="2"/>
  <c r="L1148" i="2"/>
  <c r="K1148" i="2"/>
  <c r="J1148" i="2"/>
  <c r="I1148" i="2"/>
  <c r="L1147" i="2"/>
  <c r="K1147" i="2"/>
  <c r="J1147" i="2"/>
  <c r="I1147" i="2"/>
  <c r="L1146" i="2"/>
  <c r="K1146" i="2"/>
  <c r="J1146" i="2"/>
  <c r="I1146" i="2"/>
  <c r="L1145" i="2"/>
  <c r="K1145" i="2"/>
  <c r="J1145" i="2"/>
  <c r="I1145" i="2"/>
  <c r="L1144" i="2"/>
  <c r="K1144" i="2"/>
  <c r="J1144" i="2"/>
  <c r="I1144" i="2"/>
  <c r="L1143" i="2"/>
  <c r="K1143" i="2"/>
  <c r="J1143" i="2"/>
  <c r="I1143" i="2"/>
  <c r="L1142" i="2"/>
  <c r="K1142" i="2"/>
  <c r="J1142" i="2"/>
  <c r="I1142" i="2"/>
  <c r="L1141" i="2"/>
  <c r="K1141" i="2"/>
  <c r="J1141" i="2"/>
  <c r="I1141" i="2"/>
  <c r="L1140" i="2"/>
  <c r="K1140" i="2"/>
  <c r="J1140" i="2"/>
  <c r="I1140" i="2"/>
  <c r="L1139" i="2"/>
  <c r="K1139" i="2"/>
  <c r="J1139" i="2"/>
  <c r="I1139" i="2"/>
  <c r="L1138" i="2"/>
  <c r="K1138" i="2"/>
  <c r="J1138" i="2"/>
  <c r="I1138" i="2"/>
  <c r="L1137" i="2"/>
  <c r="K1137" i="2"/>
  <c r="J1137" i="2"/>
  <c r="I1137" i="2"/>
  <c r="L1136" i="2"/>
  <c r="K1136" i="2"/>
  <c r="J1136" i="2"/>
  <c r="I1136" i="2"/>
  <c r="L1135" i="2"/>
  <c r="K1135" i="2"/>
  <c r="J1135" i="2"/>
  <c r="I1135" i="2"/>
  <c r="L1134" i="2"/>
  <c r="K1134" i="2"/>
  <c r="J1134" i="2"/>
  <c r="I1134" i="2"/>
  <c r="L1133" i="2"/>
  <c r="K1133" i="2"/>
  <c r="J1133" i="2"/>
  <c r="I1133" i="2"/>
  <c r="L1132" i="2"/>
  <c r="K1132" i="2"/>
  <c r="J1132" i="2"/>
  <c r="I1132" i="2"/>
  <c r="L1131" i="2"/>
  <c r="K1131" i="2"/>
  <c r="J1131" i="2"/>
  <c r="I1131" i="2"/>
  <c r="L1130" i="2"/>
  <c r="K1130" i="2"/>
  <c r="J1130" i="2"/>
  <c r="I1130" i="2"/>
  <c r="L1129" i="2"/>
  <c r="K1129" i="2"/>
  <c r="J1129" i="2"/>
  <c r="I1129" i="2"/>
  <c r="L1128" i="2"/>
  <c r="K1128" i="2"/>
  <c r="J1128" i="2"/>
  <c r="I1128" i="2"/>
  <c r="L1127" i="2"/>
  <c r="K1127" i="2"/>
  <c r="J1127" i="2"/>
  <c r="I1127" i="2"/>
  <c r="L1126" i="2"/>
  <c r="K1126" i="2"/>
  <c r="J1126" i="2"/>
  <c r="I1126" i="2"/>
  <c r="L1125" i="2"/>
  <c r="K1125" i="2"/>
  <c r="J1125" i="2"/>
  <c r="I1125" i="2"/>
  <c r="L1124" i="2"/>
  <c r="K1124" i="2"/>
  <c r="J1124" i="2"/>
  <c r="I1124" i="2"/>
  <c r="L1123" i="2"/>
  <c r="K1123" i="2"/>
  <c r="J1123" i="2"/>
  <c r="I1123" i="2"/>
  <c r="L1122" i="2"/>
  <c r="K1122" i="2"/>
  <c r="J1122" i="2"/>
  <c r="I1122" i="2"/>
  <c r="L1121" i="2"/>
  <c r="K1121" i="2"/>
  <c r="J1121" i="2"/>
  <c r="I1121" i="2"/>
  <c r="L1120" i="2"/>
  <c r="K1120" i="2"/>
  <c r="J1120" i="2"/>
  <c r="I1120" i="2"/>
  <c r="L1119" i="2"/>
  <c r="K1119" i="2"/>
  <c r="J1119" i="2"/>
  <c r="I1119" i="2"/>
  <c r="L1118" i="2"/>
  <c r="K1118" i="2"/>
  <c r="J1118" i="2"/>
  <c r="I1118" i="2"/>
  <c r="L1117" i="2"/>
  <c r="K1117" i="2"/>
  <c r="J1117" i="2"/>
  <c r="I1117" i="2"/>
  <c r="L1116" i="2"/>
  <c r="K1116" i="2"/>
  <c r="J1116" i="2"/>
  <c r="I1116" i="2"/>
  <c r="L1115" i="2"/>
  <c r="K1115" i="2"/>
  <c r="J1115" i="2"/>
  <c r="I1115" i="2"/>
  <c r="L1114" i="2"/>
  <c r="K1114" i="2"/>
  <c r="J1114" i="2"/>
  <c r="I1114" i="2"/>
  <c r="L1113" i="2"/>
  <c r="K1113" i="2"/>
  <c r="J1113" i="2"/>
  <c r="I1113" i="2"/>
  <c r="L1112" i="2"/>
  <c r="K1112" i="2"/>
  <c r="J1112" i="2"/>
  <c r="I1112" i="2"/>
  <c r="L1111" i="2"/>
  <c r="K1111" i="2"/>
  <c r="J1111" i="2"/>
  <c r="I1111" i="2"/>
  <c r="L1110" i="2"/>
  <c r="K1110" i="2"/>
  <c r="J1110" i="2"/>
  <c r="I1110" i="2"/>
  <c r="L1109" i="2"/>
  <c r="K1109" i="2"/>
  <c r="J1109" i="2"/>
  <c r="I1109" i="2"/>
  <c r="L1108" i="2"/>
  <c r="K1108" i="2"/>
  <c r="J1108" i="2"/>
  <c r="I1108" i="2"/>
  <c r="L1107" i="2"/>
  <c r="K1107" i="2"/>
  <c r="J1107" i="2"/>
  <c r="I1107" i="2"/>
  <c r="L1106" i="2"/>
  <c r="K1106" i="2"/>
  <c r="J1106" i="2"/>
  <c r="I1106" i="2"/>
  <c r="L1105" i="2"/>
  <c r="K1105" i="2"/>
  <c r="J1105" i="2"/>
  <c r="I1105" i="2"/>
  <c r="L1104" i="2"/>
  <c r="K1104" i="2"/>
  <c r="J1104" i="2"/>
  <c r="I1104" i="2"/>
  <c r="L1103" i="2"/>
  <c r="K1103" i="2"/>
  <c r="J1103" i="2"/>
  <c r="I1103" i="2"/>
  <c r="L1102" i="2"/>
  <c r="K1102" i="2"/>
  <c r="J1102" i="2"/>
  <c r="I1102" i="2"/>
  <c r="L1101" i="2"/>
  <c r="K1101" i="2"/>
  <c r="J1101" i="2"/>
  <c r="I1101" i="2"/>
  <c r="L1100" i="2"/>
  <c r="K1100" i="2"/>
  <c r="J1100" i="2"/>
  <c r="I1100" i="2"/>
  <c r="L1099" i="2"/>
  <c r="K1099" i="2"/>
  <c r="J1099" i="2"/>
  <c r="I1099" i="2"/>
  <c r="L1098" i="2"/>
  <c r="K1098" i="2"/>
  <c r="J1098" i="2"/>
  <c r="I1098" i="2"/>
  <c r="L1097" i="2"/>
  <c r="K1097" i="2"/>
  <c r="J1097" i="2"/>
  <c r="I1097" i="2"/>
  <c r="L1096" i="2"/>
  <c r="K1096" i="2"/>
  <c r="J1096" i="2"/>
  <c r="I1096" i="2"/>
  <c r="L1095" i="2"/>
  <c r="K1095" i="2"/>
  <c r="J1095" i="2"/>
  <c r="I1095" i="2"/>
  <c r="L1094" i="2"/>
  <c r="K1094" i="2"/>
  <c r="J1094" i="2"/>
  <c r="I1094" i="2"/>
  <c r="L1093" i="2"/>
  <c r="K1093" i="2"/>
  <c r="J1093" i="2"/>
  <c r="I1093" i="2"/>
  <c r="L1092" i="2"/>
  <c r="K1092" i="2"/>
  <c r="J1092" i="2"/>
  <c r="I1092" i="2"/>
  <c r="L1091" i="2"/>
  <c r="K1091" i="2"/>
  <c r="J1091" i="2"/>
  <c r="I1091" i="2"/>
  <c r="L1090" i="2"/>
  <c r="K1090" i="2"/>
  <c r="J1090" i="2"/>
  <c r="I1090" i="2"/>
  <c r="L1089" i="2"/>
  <c r="K1089" i="2"/>
  <c r="J1089" i="2"/>
  <c r="I1089" i="2"/>
  <c r="L1088" i="2"/>
  <c r="K1088" i="2"/>
  <c r="J1088" i="2"/>
  <c r="I1088" i="2"/>
  <c r="L1087" i="2"/>
  <c r="K1087" i="2"/>
  <c r="J1087" i="2"/>
  <c r="I1087" i="2"/>
  <c r="L1086" i="2"/>
  <c r="K1086" i="2"/>
  <c r="J1086" i="2"/>
  <c r="I1086" i="2"/>
  <c r="L1085" i="2"/>
  <c r="K1085" i="2"/>
  <c r="J1085" i="2"/>
  <c r="I1085" i="2"/>
  <c r="L1084" i="2"/>
  <c r="K1084" i="2"/>
  <c r="J1084" i="2"/>
  <c r="I1084" i="2"/>
  <c r="L1083" i="2"/>
  <c r="K1083" i="2"/>
  <c r="J1083" i="2"/>
  <c r="I1083" i="2"/>
  <c r="L1082" i="2"/>
  <c r="K1082" i="2"/>
  <c r="J1082" i="2"/>
  <c r="I1082" i="2"/>
  <c r="L1081" i="2"/>
  <c r="K1081" i="2"/>
  <c r="J1081" i="2"/>
  <c r="I1081" i="2"/>
  <c r="L1080" i="2"/>
  <c r="K1080" i="2"/>
  <c r="J1080" i="2"/>
  <c r="I1080" i="2"/>
  <c r="L1079" i="2"/>
  <c r="K1079" i="2"/>
  <c r="J1079" i="2"/>
  <c r="I1079" i="2"/>
  <c r="L1078" i="2"/>
  <c r="K1078" i="2"/>
  <c r="J1078" i="2"/>
  <c r="I1078" i="2"/>
  <c r="L1077" i="2"/>
  <c r="K1077" i="2"/>
  <c r="J1077" i="2"/>
  <c r="I1077" i="2"/>
  <c r="L1076" i="2"/>
  <c r="K1076" i="2"/>
  <c r="J1076" i="2"/>
  <c r="I1076" i="2"/>
  <c r="L1075" i="2"/>
  <c r="K1075" i="2"/>
  <c r="J1075" i="2"/>
  <c r="I1075" i="2"/>
  <c r="L1074" i="2"/>
  <c r="K1074" i="2"/>
  <c r="J1074" i="2"/>
  <c r="I1074" i="2"/>
  <c r="L1073" i="2"/>
  <c r="K1073" i="2"/>
  <c r="J1073" i="2"/>
  <c r="I1073" i="2"/>
  <c r="L1072" i="2"/>
  <c r="K1072" i="2"/>
  <c r="J1072" i="2"/>
  <c r="I1072" i="2"/>
  <c r="L1071" i="2"/>
  <c r="K1071" i="2"/>
  <c r="J1071" i="2"/>
  <c r="I1071" i="2"/>
  <c r="L1070" i="2"/>
  <c r="K1070" i="2"/>
  <c r="J1070" i="2"/>
  <c r="I1070" i="2"/>
  <c r="L1069" i="2"/>
  <c r="K1069" i="2"/>
  <c r="J1069" i="2"/>
  <c r="I1069" i="2"/>
  <c r="L1068" i="2"/>
  <c r="K1068" i="2"/>
  <c r="J1068" i="2"/>
  <c r="I1068" i="2"/>
  <c r="L1067" i="2"/>
  <c r="K1067" i="2"/>
  <c r="J1067" i="2"/>
  <c r="I1067" i="2"/>
  <c r="L1066" i="2"/>
  <c r="K1066" i="2"/>
  <c r="J1066" i="2"/>
  <c r="I1066" i="2"/>
  <c r="L1065" i="2"/>
  <c r="K1065" i="2"/>
  <c r="J1065" i="2"/>
  <c r="I1065" i="2"/>
  <c r="L1064" i="2"/>
  <c r="K1064" i="2"/>
  <c r="J1064" i="2"/>
  <c r="I1064" i="2"/>
  <c r="L1063" i="2"/>
  <c r="K1063" i="2"/>
  <c r="J1063" i="2"/>
  <c r="I1063" i="2"/>
  <c r="L1062" i="2"/>
  <c r="K1062" i="2"/>
  <c r="J1062" i="2"/>
  <c r="I1062" i="2"/>
  <c r="L1061" i="2"/>
  <c r="K1061" i="2"/>
  <c r="J1061" i="2"/>
  <c r="I1061" i="2"/>
  <c r="L1060" i="2"/>
  <c r="K1060" i="2"/>
  <c r="J1060" i="2"/>
  <c r="I1060" i="2"/>
  <c r="L1059" i="2"/>
  <c r="K1059" i="2"/>
  <c r="J1059" i="2"/>
  <c r="I1059" i="2"/>
  <c r="L1058" i="2"/>
  <c r="K1058" i="2"/>
  <c r="J1058" i="2"/>
  <c r="I1058" i="2"/>
  <c r="L1057" i="2"/>
  <c r="K1057" i="2"/>
  <c r="J1057" i="2"/>
  <c r="I1057" i="2"/>
  <c r="L1056" i="2"/>
  <c r="K1056" i="2"/>
  <c r="J1056" i="2"/>
  <c r="I1056" i="2"/>
  <c r="L1055" i="2"/>
  <c r="K1055" i="2"/>
  <c r="J1055" i="2"/>
  <c r="I1055" i="2"/>
  <c r="L1054" i="2"/>
  <c r="K1054" i="2"/>
  <c r="J1054" i="2"/>
  <c r="I1054" i="2"/>
  <c r="L1053" i="2"/>
  <c r="K1053" i="2"/>
  <c r="J1053" i="2"/>
  <c r="I1053" i="2"/>
  <c r="L1052" i="2"/>
  <c r="K1052" i="2"/>
  <c r="J1052" i="2"/>
  <c r="I1052" i="2"/>
  <c r="L1051" i="2"/>
  <c r="K1051" i="2"/>
  <c r="J1051" i="2"/>
  <c r="I1051" i="2"/>
  <c r="L1050" i="2"/>
  <c r="K1050" i="2"/>
  <c r="J1050" i="2"/>
  <c r="I1050" i="2"/>
  <c r="L1049" i="2"/>
  <c r="K1049" i="2"/>
  <c r="J1049" i="2"/>
  <c r="I1049" i="2"/>
  <c r="L1048" i="2"/>
  <c r="K1048" i="2"/>
  <c r="J1048" i="2"/>
  <c r="I1048" i="2"/>
  <c r="L1047" i="2"/>
  <c r="K1047" i="2"/>
  <c r="J1047" i="2"/>
  <c r="I1047" i="2"/>
  <c r="L1046" i="2"/>
  <c r="K1046" i="2"/>
  <c r="J1046" i="2"/>
  <c r="I1046" i="2"/>
  <c r="L1045" i="2"/>
  <c r="K1045" i="2"/>
  <c r="J1045" i="2"/>
  <c r="I1045" i="2"/>
  <c r="L1044" i="2"/>
  <c r="K1044" i="2"/>
  <c r="J1044" i="2"/>
  <c r="I1044" i="2"/>
  <c r="L1043" i="2"/>
  <c r="K1043" i="2"/>
  <c r="J1043" i="2"/>
  <c r="I1043" i="2"/>
  <c r="L1042" i="2"/>
  <c r="K1042" i="2"/>
  <c r="J1042" i="2"/>
  <c r="I1042" i="2"/>
  <c r="L1041" i="2"/>
  <c r="K1041" i="2"/>
  <c r="J1041" i="2"/>
  <c r="I1041" i="2"/>
  <c r="L1040" i="2"/>
  <c r="K1040" i="2"/>
  <c r="J1040" i="2"/>
  <c r="I1040" i="2"/>
  <c r="L1039" i="2"/>
  <c r="K1039" i="2"/>
  <c r="J1039" i="2"/>
  <c r="I1039" i="2"/>
  <c r="L1038" i="2"/>
  <c r="K1038" i="2"/>
  <c r="J1038" i="2"/>
  <c r="I1038" i="2"/>
  <c r="L1037" i="2"/>
  <c r="K1037" i="2"/>
  <c r="J1037" i="2"/>
  <c r="I1037" i="2"/>
  <c r="L1036" i="2"/>
  <c r="K1036" i="2"/>
  <c r="J1036" i="2"/>
  <c r="I1036" i="2"/>
  <c r="L1035" i="2"/>
  <c r="K1035" i="2"/>
  <c r="J1035" i="2"/>
  <c r="I1035" i="2"/>
  <c r="L1034" i="2"/>
  <c r="K1034" i="2"/>
  <c r="J1034" i="2"/>
  <c r="I1034" i="2"/>
  <c r="L1033" i="2"/>
  <c r="K1033" i="2"/>
  <c r="J1033" i="2"/>
  <c r="I1033" i="2"/>
  <c r="L1032" i="2"/>
  <c r="K1032" i="2"/>
  <c r="J1032" i="2"/>
  <c r="I1032" i="2"/>
  <c r="L1031" i="2"/>
  <c r="K1031" i="2"/>
  <c r="J1031" i="2"/>
  <c r="I1031" i="2"/>
  <c r="L1030" i="2"/>
  <c r="K1030" i="2"/>
  <c r="J1030" i="2"/>
  <c r="I1030" i="2"/>
  <c r="L1029" i="2"/>
  <c r="K1029" i="2"/>
  <c r="J1029" i="2"/>
  <c r="I1029" i="2"/>
  <c r="L1028" i="2"/>
  <c r="K1028" i="2"/>
  <c r="J1028" i="2"/>
  <c r="I1028" i="2"/>
  <c r="L1027" i="2"/>
  <c r="K1027" i="2"/>
  <c r="J1027" i="2"/>
  <c r="I1027" i="2"/>
  <c r="L1026" i="2"/>
  <c r="K1026" i="2"/>
  <c r="J1026" i="2"/>
  <c r="I1026" i="2"/>
  <c r="L1025" i="2"/>
  <c r="K1025" i="2"/>
  <c r="J1025" i="2"/>
  <c r="I1025" i="2"/>
  <c r="L1024" i="2"/>
  <c r="K1024" i="2"/>
  <c r="J1024" i="2"/>
  <c r="I1024" i="2"/>
  <c r="L1023" i="2"/>
  <c r="K1023" i="2"/>
  <c r="J1023" i="2"/>
  <c r="I1023" i="2"/>
  <c r="L1022" i="2"/>
  <c r="K1022" i="2"/>
  <c r="J1022" i="2"/>
  <c r="I1022" i="2"/>
  <c r="L1021" i="2"/>
  <c r="K1021" i="2"/>
  <c r="J1021" i="2"/>
  <c r="I1021" i="2"/>
  <c r="L1020" i="2"/>
  <c r="K1020" i="2"/>
  <c r="J1020" i="2"/>
  <c r="I1020" i="2"/>
  <c r="L1019" i="2"/>
  <c r="K1019" i="2"/>
  <c r="J1019" i="2"/>
  <c r="I1019" i="2"/>
  <c r="L1018" i="2"/>
  <c r="K1018" i="2"/>
  <c r="J1018" i="2"/>
  <c r="I1018" i="2"/>
  <c r="L1017" i="2"/>
  <c r="K1017" i="2"/>
  <c r="J1017" i="2"/>
  <c r="I1017" i="2"/>
  <c r="L1016" i="2"/>
  <c r="K1016" i="2"/>
  <c r="J1016" i="2"/>
  <c r="I1016" i="2"/>
  <c r="L1015" i="2"/>
  <c r="K1015" i="2"/>
  <c r="J1015" i="2"/>
  <c r="I1015" i="2"/>
  <c r="L1014" i="2"/>
  <c r="K1014" i="2"/>
  <c r="J1014" i="2"/>
  <c r="I1014" i="2"/>
  <c r="L1013" i="2"/>
  <c r="K1013" i="2"/>
  <c r="J1013" i="2"/>
  <c r="I1013" i="2"/>
  <c r="L1012" i="2"/>
  <c r="K1012" i="2"/>
  <c r="J1012" i="2"/>
  <c r="I1012" i="2"/>
  <c r="L1011" i="2"/>
  <c r="K1011" i="2"/>
  <c r="J1011" i="2"/>
  <c r="I1011" i="2"/>
  <c r="L1010" i="2"/>
  <c r="K1010" i="2"/>
  <c r="J1010" i="2"/>
  <c r="I1010" i="2"/>
  <c r="L1009" i="2"/>
  <c r="K1009" i="2"/>
  <c r="J1009" i="2"/>
  <c r="I1009" i="2"/>
  <c r="L1008" i="2"/>
  <c r="K1008" i="2"/>
  <c r="J1008" i="2"/>
  <c r="I1008" i="2"/>
  <c r="L1007" i="2"/>
  <c r="K1007" i="2"/>
  <c r="J1007" i="2"/>
  <c r="I1007" i="2"/>
  <c r="L1006" i="2"/>
  <c r="K1006" i="2"/>
  <c r="J1006" i="2"/>
  <c r="I1006" i="2"/>
  <c r="L1005" i="2"/>
  <c r="K1005" i="2"/>
  <c r="J1005" i="2"/>
  <c r="I1005" i="2"/>
  <c r="L1004" i="2"/>
  <c r="K1004" i="2"/>
  <c r="J1004" i="2"/>
  <c r="I1004" i="2"/>
  <c r="L1003" i="2"/>
  <c r="K1003" i="2"/>
  <c r="J1003" i="2"/>
  <c r="I1003" i="2"/>
  <c r="L1002" i="2"/>
  <c r="K1002" i="2"/>
  <c r="J1002" i="2"/>
  <c r="I1002" i="2"/>
  <c r="L1001" i="2"/>
  <c r="K1001" i="2"/>
  <c r="J1001" i="2"/>
  <c r="I1001" i="2"/>
  <c r="L1000" i="2"/>
  <c r="K1000" i="2"/>
  <c r="J1000" i="2"/>
  <c r="I1000" i="2"/>
  <c r="L999" i="2"/>
  <c r="K999" i="2"/>
  <c r="J999" i="2"/>
  <c r="I999" i="2"/>
  <c r="L998" i="2"/>
  <c r="K998" i="2"/>
  <c r="J998" i="2"/>
  <c r="I998" i="2"/>
  <c r="L997" i="2"/>
  <c r="K997" i="2"/>
  <c r="J997" i="2"/>
  <c r="I997" i="2"/>
  <c r="L996" i="2"/>
  <c r="K996" i="2"/>
  <c r="J996" i="2"/>
  <c r="I996" i="2"/>
  <c r="L995" i="2"/>
  <c r="K995" i="2"/>
  <c r="J995" i="2"/>
  <c r="I995" i="2"/>
  <c r="L994" i="2"/>
  <c r="K994" i="2"/>
  <c r="J994" i="2"/>
  <c r="I994" i="2"/>
  <c r="L993" i="2"/>
  <c r="K993" i="2"/>
  <c r="J993" i="2"/>
  <c r="I993" i="2"/>
  <c r="L992" i="2"/>
  <c r="K992" i="2"/>
  <c r="J992" i="2"/>
  <c r="I992" i="2"/>
  <c r="L991" i="2"/>
  <c r="K991" i="2"/>
  <c r="J991" i="2"/>
  <c r="I991" i="2"/>
  <c r="L990" i="2"/>
  <c r="K990" i="2"/>
  <c r="J990" i="2"/>
  <c r="I990" i="2"/>
  <c r="L989" i="2"/>
  <c r="K989" i="2"/>
  <c r="J989" i="2"/>
  <c r="I989" i="2"/>
  <c r="L988" i="2"/>
  <c r="K988" i="2"/>
  <c r="J988" i="2"/>
  <c r="I988" i="2"/>
  <c r="L987" i="2"/>
  <c r="K987" i="2"/>
  <c r="J987" i="2"/>
  <c r="I987" i="2"/>
  <c r="L986" i="2"/>
  <c r="K986" i="2"/>
  <c r="J986" i="2"/>
  <c r="I986" i="2"/>
  <c r="L985" i="2"/>
  <c r="K985" i="2"/>
  <c r="J985" i="2"/>
  <c r="I985" i="2"/>
  <c r="L984" i="2"/>
  <c r="K984" i="2"/>
  <c r="J984" i="2"/>
  <c r="I984" i="2"/>
  <c r="L983" i="2"/>
  <c r="K983" i="2"/>
  <c r="J983" i="2"/>
  <c r="I983" i="2"/>
  <c r="L982" i="2"/>
  <c r="K982" i="2"/>
  <c r="J982" i="2"/>
  <c r="I982" i="2"/>
  <c r="L981" i="2"/>
  <c r="K981" i="2"/>
  <c r="J981" i="2"/>
  <c r="I981" i="2"/>
  <c r="L980" i="2"/>
  <c r="K980" i="2"/>
  <c r="J980" i="2"/>
  <c r="I980" i="2"/>
  <c r="L979" i="2"/>
  <c r="K979" i="2"/>
  <c r="J979" i="2"/>
  <c r="I979" i="2"/>
  <c r="L978" i="2"/>
  <c r="K978" i="2"/>
  <c r="J978" i="2"/>
  <c r="I978" i="2"/>
  <c r="L977" i="2"/>
  <c r="K977" i="2"/>
  <c r="J977" i="2"/>
  <c r="I977" i="2"/>
  <c r="L976" i="2"/>
  <c r="K976" i="2"/>
  <c r="J976" i="2"/>
  <c r="I976" i="2"/>
  <c r="L975" i="2"/>
  <c r="K975" i="2"/>
  <c r="J975" i="2"/>
  <c r="I975" i="2"/>
  <c r="L974" i="2"/>
  <c r="K974" i="2"/>
  <c r="J974" i="2"/>
  <c r="I974" i="2"/>
  <c r="L973" i="2"/>
  <c r="K973" i="2"/>
  <c r="J973" i="2"/>
  <c r="I973" i="2"/>
  <c r="L972" i="2"/>
  <c r="K972" i="2"/>
  <c r="J972" i="2"/>
  <c r="I972" i="2"/>
  <c r="L971" i="2"/>
  <c r="K971" i="2"/>
  <c r="J971" i="2"/>
  <c r="I971" i="2"/>
  <c r="L970" i="2"/>
  <c r="K970" i="2"/>
  <c r="J970" i="2"/>
  <c r="I970" i="2"/>
  <c r="L969" i="2"/>
  <c r="K969" i="2"/>
  <c r="J969" i="2"/>
  <c r="I969" i="2"/>
  <c r="L968" i="2"/>
  <c r="K968" i="2"/>
  <c r="J968" i="2"/>
  <c r="I968" i="2"/>
  <c r="L967" i="2"/>
  <c r="K967" i="2"/>
  <c r="J967" i="2"/>
  <c r="I967" i="2"/>
  <c r="L966" i="2"/>
  <c r="K966" i="2"/>
  <c r="J966" i="2"/>
  <c r="I966" i="2"/>
  <c r="L965" i="2"/>
  <c r="K965" i="2"/>
  <c r="J965" i="2"/>
  <c r="I965" i="2"/>
  <c r="L964" i="2"/>
  <c r="K964" i="2"/>
  <c r="J964" i="2"/>
  <c r="I964" i="2"/>
  <c r="L963" i="2"/>
  <c r="K963" i="2"/>
  <c r="J963" i="2"/>
  <c r="I963" i="2"/>
  <c r="L962" i="2"/>
  <c r="K962" i="2"/>
  <c r="J962" i="2"/>
  <c r="I962" i="2"/>
  <c r="L961" i="2"/>
  <c r="K961" i="2"/>
  <c r="J961" i="2"/>
  <c r="I961" i="2"/>
  <c r="L960" i="2"/>
  <c r="K960" i="2"/>
  <c r="J960" i="2"/>
  <c r="I960" i="2"/>
  <c r="L959" i="2"/>
  <c r="K959" i="2"/>
  <c r="J959" i="2"/>
  <c r="I959" i="2"/>
  <c r="L958" i="2"/>
  <c r="K958" i="2"/>
  <c r="J958" i="2"/>
  <c r="I958" i="2"/>
  <c r="L957" i="2"/>
  <c r="K957" i="2"/>
  <c r="J957" i="2"/>
  <c r="I957" i="2"/>
  <c r="L956" i="2"/>
  <c r="K956" i="2"/>
  <c r="J956" i="2"/>
  <c r="I956" i="2"/>
  <c r="L955" i="2"/>
  <c r="K955" i="2"/>
  <c r="J955" i="2"/>
  <c r="I955" i="2"/>
  <c r="L954" i="2"/>
  <c r="K954" i="2"/>
  <c r="J954" i="2"/>
  <c r="I954" i="2"/>
  <c r="L953" i="2"/>
  <c r="K953" i="2"/>
  <c r="J953" i="2"/>
  <c r="I953" i="2"/>
  <c r="L952" i="2"/>
  <c r="K952" i="2"/>
  <c r="J952" i="2"/>
  <c r="I952" i="2"/>
  <c r="L951" i="2"/>
  <c r="K951" i="2"/>
  <c r="J951" i="2"/>
  <c r="I951" i="2"/>
  <c r="L950" i="2"/>
  <c r="K950" i="2"/>
  <c r="J950" i="2"/>
  <c r="I950" i="2"/>
  <c r="L949" i="2"/>
  <c r="K949" i="2"/>
  <c r="J949" i="2"/>
  <c r="I949" i="2"/>
  <c r="L948" i="2"/>
  <c r="K948" i="2"/>
  <c r="J948" i="2"/>
  <c r="I948" i="2"/>
  <c r="L947" i="2"/>
  <c r="K947" i="2"/>
  <c r="J947" i="2"/>
  <c r="I947" i="2"/>
  <c r="L946" i="2"/>
  <c r="K946" i="2"/>
  <c r="J946" i="2"/>
  <c r="I946" i="2"/>
  <c r="L945" i="2"/>
  <c r="K945" i="2"/>
  <c r="J945" i="2"/>
  <c r="I945" i="2"/>
  <c r="L944" i="2"/>
  <c r="K944" i="2"/>
  <c r="J944" i="2"/>
  <c r="I944" i="2"/>
  <c r="L943" i="2"/>
  <c r="K943" i="2"/>
  <c r="J943" i="2"/>
  <c r="I943" i="2"/>
  <c r="L942" i="2"/>
  <c r="K942" i="2"/>
  <c r="J942" i="2"/>
  <c r="I942" i="2"/>
  <c r="L941" i="2"/>
  <c r="K941" i="2"/>
  <c r="J941" i="2"/>
  <c r="I941" i="2"/>
  <c r="L940" i="2"/>
  <c r="K940" i="2"/>
  <c r="J940" i="2"/>
  <c r="I940" i="2"/>
  <c r="L939" i="2"/>
  <c r="K939" i="2"/>
  <c r="J939" i="2"/>
  <c r="I939" i="2"/>
  <c r="L938" i="2"/>
  <c r="K938" i="2"/>
  <c r="J938" i="2"/>
  <c r="I938" i="2"/>
  <c r="L937" i="2"/>
  <c r="K937" i="2"/>
  <c r="J937" i="2"/>
  <c r="I937" i="2"/>
  <c r="L936" i="2"/>
  <c r="K936" i="2"/>
  <c r="J936" i="2"/>
  <c r="I936" i="2"/>
  <c r="L935" i="2"/>
  <c r="K935" i="2"/>
  <c r="J935" i="2"/>
  <c r="I935" i="2"/>
  <c r="L934" i="2"/>
  <c r="K934" i="2"/>
  <c r="J934" i="2"/>
  <c r="I934" i="2"/>
  <c r="L933" i="2"/>
  <c r="K933" i="2"/>
  <c r="J933" i="2"/>
  <c r="I933" i="2"/>
  <c r="L932" i="2"/>
  <c r="K932" i="2"/>
  <c r="J932" i="2"/>
  <c r="I932" i="2"/>
  <c r="L931" i="2"/>
  <c r="K931" i="2"/>
  <c r="J931" i="2"/>
  <c r="I931" i="2"/>
  <c r="L930" i="2"/>
  <c r="K930" i="2"/>
  <c r="J930" i="2"/>
  <c r="I930" i="2"/>
  <c r="L929" i="2"/>
  <c r="K929" i="2"/>
  <c r="J929" i="2"/>
  <c r="I929" i="2"/>
  <c r="L928" i="2"/>
  <c r="K928" i="2"/>
  <c r="J928" i="2"/>
  <c r="I928" i="2"/>
  <c r="L927" i="2"/>
  <c r="K927" i="2"/>
  <c r="J927" i="2"/>
  <c r="I927" i="2"/>
  <c r="L926" i="2"/>
  <c r="K926" i="2"/>
  <c r="J926" i="2"/>
  <c r="I926" i="2"/>
  <c r="L925" i="2"/>
  <c r="K925" i="2"/>
  <c r="J925" i="2"/>
  <c r="I925" i="2"/>
  <c r="L924" i="2"/>
  <c r="K924" i="2"/>
  <c r="J924" i="2"/>
  <c r="I924" i="2"/>
  <c r="L923" i="2"/>
  <c r="K923" i="2"/>
  <c r="J923" i="2"/>
  <c r="I923" i="2"/>
  <c r="L922" i="2"/>
  <c r="K922" i="2"/>
  <c r="J922" i="2"/>
  <c r="I922" i="2"/>
  <c r="L921" i="2"/>
  <c r="K921" i="2"/>
  <c r="J921" i="2"/>
  <c r="I921" i="2"/>
  <c r="L920" i="2"/>
  <c r="K920" i="2"/>
  <c r="J920" i="2"/>
  <c r="I920" i="2"/>
  <c r="L919" i="2"/>
  <c r="K919" i="2"/>
  <c r="J919" i="2"/>
  <c r="I919" i="2"/>
  <c r="L918" i="2"/>
  <c r="K918" i="2"/>
  <c r="J918" i="2"/>
  <c r="I918" i="2"/>
  <c r="L917" i="2"/>
  <c r="K917" i="2"/>
  <c r="J917" i="2"/>
  <c r="I917" i="2"/>
  <c r="L916" i="2"/>
  <c r="K916" i="2"/>
  <c r="J916" i="2"/>
  <c r="I916" i="2"/>
  <c r="L915" i="2"/>
  <c r="K915" i="2"/>
  <c r="J915" i="2"/>
  <c r="I915" i="2"/>
  <c r="L914" i="2"/>
  <c r="K914" i="2"/>
  <c r="J914" i="2"/>
  <c r="I914" i="2"/>
  <c r="L913" i="2"/>
  <c r="K913" i="2"/>
  <c r="J913" i="2"/>
  <c r="I913" i="2"/>
  <c r="L912" i="2"/>
  <c r="K912" i="2"/>
  <c r="J912" i="2"/>
  <c r="I912" i="2"/>
  <c r="L911" i="2"/>
  <c r="K911" i="2"/>
  <c r="J911" i="2"/>
  <c r="I911" i="2"/>
  <c r="L910" i="2"/>
  <c r="K910" i="2"/>
  <c r="J910" i="2"/>
  <c r="I910" i="2"/>
  <c r="L909" i="2"/>
  <c r="K909" i="2"/>
  <c r="J909" i="2"/>
  <c r="I909" i="2"/>
  <c r="L908" i="2"/>
  <c r="K908" i="2"/>
  <c r="J908" i="2"/>
  <c r="I908" i="2"/>
  <c r="L907" i="2"/>
  <c r="K907" i="2"/>
  <c r="J907" i="2"/>
  <c r="I907" i="2"/>
  <c r="L906" i="2"/>
  <c r="K906" i="2"/>
  <c r="J906" i="2"/>
  <c r="I906" i="2"/>
  <c r="L905" i="2"/>
  <c r="K905" i="2"/>
  <c r="J905" i="2"/>
  <c r="I905" i="2"/>
  <c r="L904" i="2"/>
  <c r="K904" i="2"/>
  <c r="J904" i="2"/>
  <c r="I904" i="2"/>
  <c r="L903" i="2"/>
  <c r="K903" i="2"/>
  <c r="J903" i="2"/>
  <c r="I903" i="2"/>
  <c r="L902" i="2"/>
  <c r="K902" i="2"/>
  <c r="J902" i="2"/>
  <c r="I902" i="2"/>
  <c r="L901" i="2"/>
  <c r="K901" i="2"/>
  <c r="J901" i="2"/>
  <c r="I901" i="2"/>
  <c r="L900" i="2"/>
  <c r="K900" i="2"/>
  <c r="J900" i="2"/>
  <c r="I900" i="2"/>
  <c r="L899" i="2"/>
  <c r="K899" i="2"/>
  <c r="J899" i="2"/>
  <c r="I899" i="2"/>
  <c r="L898" i="2"/>
  <c r="K898" i="2"/>
  <c r="J898" i="2"/>
  <c r="I898" i="2"/>
  <c r="L897" i="2"/>
  <c r="K897" i="2"/>
  <c r="J897" i="2"/>
  <c r="I897" i="2"/>
  <c r="L896" i="2"/>
  <c r="K896" i="2"/>
  <c r="J896" i="2"/>
  <c r="I896" i="2"/>
  <c r="L895" i="2"/>
  <c r="K895" i="2"/>
  <c r="J895" i="2"/>
  <c r="I895" i="2"/>
  <c r="L894" i="2"/>
  <c r="K894" i="2"/>
  <c r="J894" i="2"/>
  <c r="I894" i="2"/>
  <c r="L893" i="2"/>
  <c r="K893" i="2"/>
  <c r="J893" i="2"/>
  <c r="I893" i="2"/>
  <c r="L892" i="2"/>
  <c r="K892" i="2"/>
  <c r="J892" i="2"/>
  <c r="I892" i="2"/>
  <c r="L891" i="2"/>
  <c r="K891" i="2"/>
  <c r="J891" i="2"/>
  <c r="I891" i="2"/>
  <c r="L890" i="2"/>
  <c r="K890" i="2"/>
  <c r="J890" i="2"/>
  <c r="I890" i="2"/>
  <c r="L889" i="2"/>
  <c r="K889" i="2"/>
  <c r="J889" i="2"/>
  <c r="I889" i="2"/>
  <c r="L888" i="2"/>
  <c r="K888" i="2"/>
  <c r="J888" i="2"/>
  <c r="I888" i="2"/>
  <c r="L887" i="2"/>
  <c r="K887" i="2"/>
  <c r="J887" i="2"/>
  <c r="I887" i="2"/>
  <c r="L886" i="2"/>
  <c r="K886" i="2"/>
  <c r="J886" i="2"/>
  <c r="I886" i="2"/>
  <c r="L885" i="2"/>
  <c r="K885" i="2"/>
  <c r="J885" i="2"/>
  <c r="I885" i="2"/>
  <c r="L884" i="2"/>
  <c r="K884" i="2"/>
  <c r="J884" i="2"/>
  <c r="I884" i="2"/>
  <c r="L883" i="2"/>
  <c r="K883" i="2"/>
  <c r="J883" i="2"/>
  <c r="I883" i="2"/>
  <c r="L882" i="2"/>
  <c r="K882" i="2"/>
  <c r="J882" i="2"/>
  <c r="I882" i="2"/>
  <c r="L881" i="2"/>
  <c r="K881" i="2"/>
  <c r="J881" i="2"/>
  <c r="I881" i="2"/>
  <c r="L880" i="2"/>
  <c r="K880" i="2"/>
  <c r="J880" i="2"/>
  <c r="I880" i="2"/>
  <c r="L879" i="2"/>
  <c r="K879" i="2"/>
  <c r="J879" i="2"/>
  <c r="I879" i="2"/>
  <c r="L878" i="2"/>
  <c r="K878" i="2"/>
  <c r="J878" i="2"/>
  <c r="I878" i="2"/>
  <c r="L877" i="2"/>
  <c r="K877" i="2"/>
  <c r="J877" i="2"/>
  <c r="I877" i="2"/>
  <c r="L876" i="2"/>
  <c r="K876" i="2"/>
  <c r="J876" i="2"/>
  <c r="I876" i="2"/>
  <c r="L875" i="2"/>
  <c r="K875" i="2"/>
  <c r="J875" i="2"/>
  <c r="I875" i="2"/>
  <c r="L874" i="2"/>
  <c r="K874" i="2"/>
  <c r="J874" i="2"/>
  <c r="I874" i="2"/>
  <c r="L873" i="2"/>
  <c r="K873" i="2"/>
  <c r="J873" i="2"/>
  <c r="I873" i="2"/>
  <c r="L872" i="2"/>
  <c r="K872" i="2"/>
  <c r="J872" i="2"/>
  <c r="I872" i="2"/>
  <c r="L871" i="2"/>
  <c r="K871" i="2"/>
  <c r="J871" i="2"/>
  <c r="I871" i="2"/>
  <c r="L870" i="2"/>
  <c r="K870" i="2"/>
  <c r="J870" i="2"/>
  <c r="I870" i="2"/>
  <c r="L869" i="2"/>
  <c r="K869" i="2"/>
  <c r="J869" i="2"/>
  <c r="I869" i="2"/>
  <c r="L868" i="2"/>
  <c r="K868" i="2"/>
  <c r="J868" i="2"/>
  <c r="I868" i="2"/>
  <c r="L867" i="2"/>
  <c r="K867" i="2"/>
  <c r="J867" i="2"/>
  <c r="I867" i="2"/>
  <c r="L866" i="2"/>
  <c r="K866" i="2"/>
  <c r="J866" i="2"/>
  <c r="I866" i="2"/>
  <c r="L865" i="2"/>
  <c r="K865" i="2"/>
  <c r="J865" i="2"/>
  <c r="I865" i="2"/>
  <c r="L864" i="2"/>
  <c r="K864" i="2"/>
  <c r="J864" i="2"/>
  <c r="I864" i="2"/>
  <c r="L863" i="2"/>
  <c r="K863" i="2"/>
  <c r="J863" i="2"/>
  <c r="I863" i="2"/>
  <c r="L862" i="2"/>
  <c r="K862" i="2"/>
  <c r="J862" i="2"/>
  <c r="I862" i="2"/>
  <c r="L861" i="2"/>
  <c r="K861" i="2"/>
  <c r="J861" i="2"/>
  <c r="I861" i="2"/>
  <c r="L860" i="2"/>
  <c r="K860" i="2"/>
  <c r="J860" i="2"/>
  <c r="I860" i="2"/>
  <c r="L859" i="2"/>
  <c r="K859" i="2"/>
  <c r="J859" i="2"/>
  <c r="I859" i="2"/>
  <c r="L858" i="2"/>
  <c r="K858" i="2"/>
  <c r="J858" i="2"/>
  <c r="I858" i="2"/>
  <c r="L857" i="2"/>
  <c r="K857" i="2"/>
  <c r="J857" i="2"/>
  <c r="I857" i="2"/>
  <c r="L856" i="2"/>
  <c r="K856" i="2"/>
  <c r="J856" i="2"/>
  <c r="I856" i="2"/>
  <c r="L855" i="2"/>
  <c r="K855" i="2"/>
  <c r="J855" i="2"/>
  <c r="I855" i="2"/>
  <c r="L854" i="2"/>
  <c r="K854" i="2"/>
  <c r="J854" i="2"/>
  <c r="I854" i="2"/>
  <c r="L853" i="2"/>
  <c r="K853" i="2"/>
  <c r="J853" i="2"/>
  <c r="I853" i="2"/>
  <c r="L852" i="2"/>
  <c r="K852" i="2"/>
  <c r="J852" i="2"/>
  <c r="I852" i="2"/>
  <c r="L851" i="2"/>
  <c r="K851" i="2"/>
  <c r="J851" i="2"/>
  <c r="I851" i="2"/>
  <c r="L850" i="2"/>
  <c r="K850" i="2"/>
  <c r="J850" i="2"/>
  <c r="I850" i="2"/>
  <c r="L849" i="2"/>
  <c r="K849" i="2"/>
  <c r="J849" i="2"/>
  <c r="I849" i="2"/>
  <c r="L848" i="2"/>
  <c r="K848" i="2"/>
  <c r="J848" i="2"/>
  <c r="I848" i="2"/>
  <c r="L847" i="2"/>
  <c r="K847" i="2"/>
  <c r="J847" i="2"/>
  <c r="I847" i="2"/>
  <c r="L846" i="2"/>
  <c r="K846" i="2"/>
  <c r="J846" i="2"/>
  <c r="I846" i="2"/>
  <c r="L845" i="2"/>
  <c r="K845" i="2"/>
  <c r="J845" i="2"/>
  <c r="I845" i="2"/>
  <c r="L844" i="2"/>
  <c r="K844" i="2"/>
  <c r="J844" i="2"/>
  <c r="I844" i="2"/>
  <c r="L843" i="2"/>
  <c r="K843" i="2"/>
  <c r="J843" i="2"/>
  <c r="I843" i="2"/>
  <c r="L842" i="2"/>
  <c r="K842" i="2"/>
  <c r="J842" i="2"/>
  <c r="I842" i="2"/>
  <c r="L841" i="2"/>
  <c r="K841" i="2"/>
  <c r="J841" i="2"/>
  <c r="I841" i="2"/>
  <c r="L840" i="2"/>
  <c r="K840" i="2"/>
  <c r="J840" i="2"/>
  <c r="I840" i="2"/>
  <c r="L839" i="2"/>
  <c r="K839" i="2"/>
  <c r="J839" i="2"/>
  <c r="I839" i="2"/>
  <c r="L838" i="2"/>
  <c r="K838" i="2"/>
  <c r="J838" i="2"/>
  <c r="I838" i="2"/>
  <c r="L837" i="2"/>
  <c r="K837" i="2"/>
  <c r="J837" i="2"/>
  <c r="I837" i="2"/>
  <c r="L836" i="2"/>
  <c r="K836" i="2"/>
  <c r="J836" i="2"/>
  <c r="I836" i="2"/>
  <c r="L835" i="2"/>
  <c r="K835" i="2"/>
  <c r="J835" i="2"/>
  <c r="I835" i="2"/>
  <c r="L834" i="2"/>
  <c r="K834" i="2"/>
  <c r="J834" i="2"/>
  <c r="I834" i="2"/>
  <c r="L833" i="2"/>
  <c r="K833" i="2"/>
  <c r="J833" i="2"/>
  <c r="I833" i="2"/>
  <c r="L832" i="2"/>
  <c r="K832" i="2"/>
  <c r="J832" i="2"/>
  <c r="I832" i="2"/>
  <c r="L831" i="2"/>
  <c r="K831" i="2"/>
  <c r="J831" i="2"/>
  <c r="I831" i="2"/>
  <c r="L830" i="2"/>
  <c r="K830" i="2"/>
  <c r="J830" i="2"/>
  <c r="I830" i="2"/>
  <c r="L829" i="2"/>
  <c r="K829" i="2"/>
  <c r="J829" i="2"/>
  <c r="I829" i="2"/>
  <c r="L828" i="2"/>
  <c r="K828" i="2"/>
  <c r="J828" i="2"/>
  <c r="I828" i="2"/>
  <c r="L827" i="2"/>
  <c r="K827" i="2"/>
  <c r="J827" i="2"/>
  <c r="I827" i="2"/>
  <c r="L826" i="2"/>
  <c r="K826" i="2"/>
  <c r="J826" i="2"/>
  <c r="I826" i="2"/>
  <c r="L825" i="2"/>
  <c r="K825" i="2"/>
  <c r="J825" i="2"/>
  <c r="I825" i="2"/>
  <c r="L824" i="2"/>
  <c r="K824" i="2"/>
  <c r="J824" i="2"/>
  <c r="I824" i="2"/>
  <c r="L823" i="2"/>
  <c r="K823" i="2"/>
  <c r="J823" i="2"/>
  <c r="I823" i="2"/>
  <c r="L822" i="2"/>
  <c r="K822" i="2"/>
  <c r="J822" i="2"/>
  <c r="I822" i="2"/>
  <c r="L821" i="2"/>
  <c r="K821" i="2"/>
  <c r="J821" i="2"/>
  <c r="I821" i="2"/>
  <c r="L820" i="2"/>
  <c r="K820" i="2"/>
  <c r="J820" i="2"/>
  <c r="I820" i="2"/>
  <c r="L819" i="2"/>
  <c r="K819" i="2"/>
  <c r="J819" i="2"/>
  <c r="I819" i="2"/>
  <c r="L818" i="2"/>
  <c r="K818" i="2"/>
  <c r="J818" i="2"/>
  <c r="I818" i="2"/>
  <c r="L817" i="2"/>
  <c r="K817" i="2"/>
  <c r="J817" i="2"/>
  <c r="I817" i="2"/>
  <c r="L816" i="2"/>
  <c r="K816" i="2"/>
  <c r="J816" i="2"/>
  <c r="I816" i="2"/>
  <c r="L815" i="2"/>
  <c r="K815" i="2"/>
  <c r="J815" i="2"/>
  <c r="I815" i="2"/>
  <c r="L814" i="2"/>
  <c r="K814" i="2"/>
  <c r="J814" i="2"/>
  <c r="I814" i="2"/>
  <c r="L813" i="2"/>
  <c r="K813" i="2"/>
  <c r="J813" i="2"/>
  <c r="I813" i="2"/>
  <c r="L812" i="2"/>
  <c r="K812" i="2"/>
  <c r="J812" i="2"/>
  <c r="I812" i="2"/>
  <c r="L811" i="2"/>
  <c r="K811" i="2"/>
  <c r="J811" i="2"/>
  <c r="I811" i="2"/>
  <c r="L810" i="2"/>
  <c r="K810" i="2"/>
  <c r="J810" i="2"/>
  <c r="I810" i="2"/>
  <c r="L809" i="2"/>
  <c r="K809" i="2"/>
  <c r="J809" i="2"/>
  <c r="I809" i="2"/>
  <c r="L808" i="2"/>
  <c r="K808" i="2"/>
  <c r="J808" i="2"/>
  <c r="I808" i="2"/>
  <c r="L807" i="2"/>
  <c r="K807" i="2"/>
  <c r="J807" i="2"/>
  <c r="I807" i="2"/>
  <c r="L806" i="2"/>
  <c r="K806" i="2"/>
  <c r="J806" i="2"/>
  <c r="I806" i="2"/>
  <c r="L805" i="2"/>
  <c r="K805" i="2"/>
  <c r="J805" i="2"/>
  <c r="I805" i="2"/>
  <c r="L804" i="2"/>
  <c r="K804" i="2"/>
  <c r="J804" i="2"/>
  <c r="I804" i="2"/>
  <c r="L803" i="2"/>
  <c r="K803" i="2"/>
  <c r="J803" i="2"/>
  <c r="I803" i="2"/>
  <c r="L802" i="2"/>
  <c r="K802" i="2"/>
  <c r="J802" i="2"/>
  <c r="I802" i="2"/>
  <c r="L801" i="2"/>
  <c r="K801" i="2"/>
  <c r="J801" i="2"/>
  <c r="I801" i="2"/>
  <c r="L800" i="2"/>
  <c r="K800" i="2"/>
  <c r="J800" i="2"/>
  <c r="I800" i="2"/>
  <c r="L799" i="2"/>
  <c r="K799" i="2"/>
  <c r="J799" i="2"/>
  <c r="I799" i="2"/>
  <c r="L798" i="2"/>
  <c r="K798" i="2"/>
  <c r="J798" i="2"/>
  <c r="I798" i="2"/>
  <c r="L797" i="2"/>
  <c r="K797" i="2"/>
  <c r="J797" i="2"/>
  <c r="I797" i="2"/>
  <c r="L796" i="2"/>
  <c r="K796" i="2"/>
  <c r="J796" i="2"/>
  <c r="I796" i="2"/>
  <c r="L795" i="2"/>
  <c r="K795" i="2"/>
  <c r="J795" i="2"/>
  <c r="I795" i="2"/>
  <c r="L794" i="2"/>
  <c r="K794" i="2"/>
  <c r="J794" i="2"/>
  <c r="I794" i="2"/>
  <c r="L793" i="2"/>
  <c r="K793" i="2"/>
  <c r="J793" i="2"/>
  <c r="I793" i="2"/>
  <c r="L792" i="2"/>
  <c r="K792" i="2"/>
  <c r="J792" i="2"/>
  <c r="I792" i="2"/>
  <c r="L791" i="2"/>
  <c r="K791" i="2"/>
  <c r="J791" i="2"/>
  <c r="I791" i="2"/>
  <c r="L790" i="2"/>
  <c r="K790" i="2"/>
  <c r="J790" i="2"/>
  <c r="I790" i="2"/>
  <c r="L789" i="2"/>
  <c r="K789" i="2"/>
  <c r="J789" i="2"/>
  <c r="I789" i="2"/>
  <c r="L788" i="2"/>
  <c r="K788" i="2"/>
  <c r="J788" i="2"/>
  <c r="I788" i="2"/>
  <c r="L787" i="2"/>
  <c r="K787" i="2"/>
  <c r="J787" i="2"/>
  <c r="I787" i="2"/>
  <c r="L786" i="2"/>
  <c r="K786" i="2"/>
  <c r="J786" i="2"/>
  <c r="I786" i="2"/>
  <c r="L785" i="2"/>
  <c r="K785" i="2"/>
  <c r="J785" i="2"/>
  <c r="I785" i="2"/>
  <c r="L784" i="2"/>
  <c r="K784" i="2"/>
  <c r="J784" i="2"/>
  <c r="I784" i="2"/>
  <c r="L783" i="2"/>
  <c r="K783" i="2"/>
  <c r="J783" i="2"/>
  <c r="I783" i="2"/>
  <c r="L782" i="2"/>
  <c r="K782" i="2"/>
  <c r="J782" i="2"/>
  <c r="I782" i="2"/>
  <c r="L781" i="2"/>
  <c r="K781" i="2"/>
  <c r="J781" i="2"/>
  <c r="I781" i="2"/>
  <c r="L780" i="2"/>
  <c r="K780" i="2"/>
  <c r="J780" i="2"/>
  <c r="I780" i="2"/>
  <c r="L779" i="2"/>
  <c r="K779" i="2"/>
  <c r="J779" i="2"/>
  <c r="I779" i="2"/>
  <c r="L778" i="2"/>
  <c r="K778" i="2"/>
  <c r="J778" i="2"/>
  <c r="I778" i="2"/>
  <c r="L777" i="2"/>
  <c r="K777" i="2"/>
  <c r="J777" i="2"/>
  <c r="I777" i="2"/>
  <c r="L776" i="2"/>
  <c r="K776" i="2"/>
  <c r="J776" i="2"/>
  <c r="I776" i="2"/>
  <c r="L775" i="2"/>
  <c r="K775" i="2"/>
  <c r="J775" i="2"/>
  <c r="I775" i="2"/>
  <c r="L774" i="2"/>
  <c r="K774" i="2"/>
  <c r="J774" i="2"/>
  <c r="I774" i="2"/>
  <c r="L773" i="2"/>
  <c r="K773" i="2"/>
  <c r="J773" i="2"/>
  <c r="I773" i="2"/>
  <c r="L772" i="2"/>
  <c r="K772" i="2"/>
  <c r="J772" i="2"/>
  <c r="I772" i="2"/>
  <c r="L771" i="2"/>
  <c r="K771" i="2"/>
  <c r="J771" i="2"/>
  <c r="I771" i="2"/>
  <c r="L770" i="2"/>
  <c r="K770" i="2"/>
  <c r="J770" i="2"/>
  <c r="I770" i="2"/>
  <c r="L769" i="2"/>
  <c r="K769" i="2"/>
  <c r="J769" i="2"/>
  <c r="I769" i="2"/>
  <c r="L768" i="2"/>
  <c r="K768" i="2"/>
  <c r="J768" i="2"/>
  <c r="I768" i="2"/>
  <c r="L767" i="2"/>
  <c r="K767" i="2"/>
  <c r="J767" i="2"/>
  <c r="I767" i="2"/>
  <c r="L766" i="2"/>
  <c r="K766" i="2"/>
  <c r="J766" i="2"/>
  <c r="I766" i="2"/>
  <c r="L765" i="2"/>
  <c r="K765" i="2"/>
  <c r="J765" i="2"/>
  <c r="I765" i="2"/>
  <c r="L764" i="2"/>
  <c r="K764" i="2"/>
  <c r="J764" i="2"/>
  <c r="I764" i="2"/>
  <c r="L763" i="2"/>
  <c r="K763" i="2"/>
  <c r="J763" i="2"/>
  <c r="I763" i="2"/>
  <c r="L762" i="2"/>
  <c r="K762" i="2"/>
  <c r="J762" i="2"/>
  <c r="I762" i="2"/>
  <c r="L761" i="2"/>
  <c r="K761" i="2"/>
  <c r="J761" i="2"/>
  <c r="I761" i="2"/>
  <c r="L760" i="2"/>
  <c r="K760" i="2"/>
  <c r="J760" i="2"/>
  <c r="I760" i="2"/>
  <c r="L759" i="2"/>
  <c r="K759" i="2"/>
  <c r="J759" i="2"/>
  <c r="I759" i="2"/>
  <c r="L758" i="2"/>
  <c r="K758" i="2"/>
  <c r="J758" i="2"/>
  <c r="I758" i="2"/>
  <c r="L757" i="2"/>
  <c r="K757" i="2"/>
  <c r="J757" i="2"/>
  <c r="I757" i="2"/>
  <c r="L756" i="2"/>
  <c r="K756" i="2"/>
  <c r="J756" i="2"/>
  <c r="I756" i="2"/>
  <c r="L755" i="2"/>
  <c r="K755" i="2"/>
  <c r="J755" i="2"/>
  <c r="I755" i="2"/>
  <c r="L754" i="2"/>
  <c r="K754" i="2"/>
  <c r="J754" i="2"/>
  <c r="I754" i="2"/>
  <c r="L753" i="2"/>
  <c r="K753" i="2"/>
  <c r="J753" i="2"/>
  <c r="I753" i="2"/>
  <c r="L752" i="2"/>
  <c r="K752" i="2"/>
  <c r="J752" i="2"/>
  <c r="I752" i="2"/>
  <c r="L751" i="2"/>
  <c r="K751" i="2"/>
  <c r="J751" i="2"/>
  <c r="I751" i="2"/>
  <c r="L750" i="2"/>
  <c r="K750" i="2"/>
  <c r="J750" i="2"/>
  <c r="I750" i="2"/>
  <c r="L749" i="2"/>
  <c r="K749" i="2"/>
  <c r="J749" i="2"/>
  <c r="I749" i="2"/>
  <c r="L748" i="2"/>
  <c r="K748" i="2"/>
  <c r="J748" i="2"/>
  <c r="I748" i="2"/>
  <c r="L747" i="2"/>
  <c r="K747" i="2"/>
  <c r="J747" i="2"/>
  <c r="I747" i="2"/>
  <c r="L746" i="2"/>
  <c r="K746" i="2"/>
  <c r="J746" i="2"/>
  <c r="I746" i="2"/>
  <c r="L745" i="2"/>
  <c r="K745" i="2"/>
  <c r="J745" i="2"/>
  <c r="I745" i="2"/>
  <c r="L744" i="2"/>
  <c r="K744" i="2"/>
  <c r="J744" i="2"/>
  <c r="I744" i="2"/>
  <c r="L743" i="2"/>
  <c r="K743" i="2"/>
  <c r="J743" i="2"/>
  <c r="I743" i="2"/>
  <c r="L742" i="2"/>
  <c r="K742" i="2"/>
  <c r="J742" i="2"/>
  <c r="I742" i="2"/>
  <c r="L741" i="2"/>
  <c r="K741" i="2"/>
  <c r="J741" i="2"/>
  <c r="I741" i="2"/>
  <c r="L740" i="2"/>
  <c r="K740" i="2"/>
  <c r="J740" i="2"/>
  <c r="I740" i="2"/>
  <c r="L739" i="2"/>
  <c r="K739" i="2"/>
  <c r="J739" i="2"/>
  <c r="I739" i="2"/>
  <c r="L738" i="2"/>
  <c r="K738" i="2"/>
  <c r="J738" i="2"/>
  <c r="I738" i="2"/>
  <c r="L737" i="2"/>
  <c r="K737" i="2"/>
  <c r="J737" i="2"/>
  <c r="I737" i="2"/>
  <c r="L736" i="2"/>
  <c r="K736" i="2"/>
  <c r="J736" i="2"/>
  <c r="I736" i="2"/>
  <c r="L735" i="2"/>
  <c r="K735" i="2"/>
  <c r="J735" i="2"/>
  <c r="I735" i="2"/>
  <c r="L734" i="2"/>
  <c r="K734" i="2"/>
  <c r="J734" i="2"/>
  <c r="I734" i="2"/>
  <c r="L733" i="2"/>
  <c r="K733" i="2"/>
  <c r="J733" i="2"/>
  <c r="I733" i="2"/>
  <c r="L732" i="2"/>
  <c r="K732" i="2"/>
  <c r="J732" i="2"/>
  <c r="I732" i="2"/>
  <c r="L731" i="2"/>
  <c r="K731" i="2"/>
  <c r="J731" i="2"/>
  <c r="I731" i="2"/>
  <c r="L730" i="2"/>
  <c r="K730" i="2"/>
  <c r="J730" i="2"/>
  <c r="I730" i="2"/>
  <c r="L729" i="2"/>
  <c r="K729" i="2"/>
  <c r="J729" i="2"/>
  <c r="I729" i="2"/>
  <c r="L728" i="2"/>
  <c r="K728" i="2"/>
  <c r="J728" i="2"/>
  <c r="I728" i="2"/>
  <c r="L727" i="2"/>
  <c r="K727" i="2"/>
  <c r="J727" i="2"/>
  <c r="I727" i="2"/>
  <c r="L726" i="2"/>
  <c r="K726" i="2"/>
  <c r="J726" i="2"/>
  <c r="I726" i="2"/>
  <c r="L725" i="2"/>
  <c r="K725" i="2"/>
  <c r="J725" i="2"/>
  <c r="I725" i="2"/>
  <c r="L724" i="2"/>
  <c r="K724" i="2"/>
  <c r="J724" i="2"/>
  <c r="I724" i="2"/>
  <c r="L723" i="2"/>
  <c r="K723" i="2"/>
  <c r="J723" i="2"/>
  <c r="I723" i="2"/>
  <c r="L722" i="2"/>
  <c r="K722" i="2"/>
  <c r="J722" i="2"/>
  <c r="I722" i="2"/>
  <c r="L721" i="2"/>
  <c r="K721" i="2"/>
  <c r="J721" i="2"/>
  <c r="I721" i="2"/>
  <c r="L720" i="2"/>
  <c r="K720" i="2"/>
  <c r="J720" i="2"/>
  <c r="I720" i="2"/>
  <c r="L719" i="2"/>
  <c r="K719" i="2"/>
  <c r="J719" i="2"/>
  <c r="I719" i="2"/>
  <c r="L718" i="2"/>
  <c r="K718" i="2"/>
  <c r="J718" i="2"/>
  <c r="I718" i="2"/>
  <c r="L717" i="2"/>
  <c r="K717" i="2"/>
  <c r="J717" i="2"/>
  <c r="I717" i="2"/>
  <c r="L716" i="2"/>
  <c r="K716" i="2"/>
  <c r="J716" i="2"/>
  <c r="I716" i="2"/>
  <c r="L715" i="2"/>
  <c r="K715" i="2"/>
  <c r="J715" i="2"/>
  <c r="I715" i="2"/>
  <c r="L714" i="2"/>
  <c r="K714" i="2"/>
  <c r="J714" i="2"/>
  <c r="I714" i="2"/>
  <c r="L713" i="2"/>
  <c r="K713" i="2"/>
  <c r="J713" i="2"/>
  <c r="I713" i="2"/>
  <c r="L712" i="2"/>
  <c r="K712" i="2"/>
  <c r="J712" i="2"/>
  <c r="I712" i="2"/>
  <c r="L711" i="2"/>
  <c r="K711" i="2"/>
  <c r="J711" i="2"/>
  <c r="I711" i="2"/>
  <c r="L710" i="2"/>
  <c r="K710" i="2"/>
  <c r="J710" i="2"/>
  <c r="I710" i="2"/>
  <c r="L709" i="2"/>
  <c r="K709" i="2"/>
  <c r="J709" i="2"/>
  <c r="I709" i="2"/>
  <c r="L708" i="2"/>
  <c r="K708" i="2"/>
  <c r="J708" i="2"/>
  <c r="I708" i="2"/>
  <c r="L707" i="2"/>
  <c r="K707" i="2"/>
  <c r="J707" i="2"/>
  <c r="I707" i="2"/>
  <c r="L706" i="2"/>
  <c r="K706" i="2"/>
  <c r="J706" i="2"/>
  <c r="I706" i="2"/>
  <c r="L705" i="2"/>
  <c r="K705" i="2"/>
  <c r="J705" i="2"/>
  <c r="I705" i="2"/>
  <c r="L704" i="2"/>
  <c r="K704" i="2"/>
  <c r="J704" i="2"/>
  <c r="I704" i="2"/>
  <c r="L703" i="2"/>
  <c r="K703" i="2"/>
  <c r="J703" i="2"/>
  <c r="I703" i="2"/>
  <c r="L702" i="2"/>
  <c r="K702" i="2"/>
  <c r="J702" i="2"/>
  <c r="I702" i="2"/>
  <c r="L701" i="2"/>
  <c r="K701" i="2"/>
  <c r="J701" i="2"/>
  <c r="I701" i="2"/>
  <c r="L700" i="2"/>
  <c r="K700" i="2"/>
  <c r="J700" i="2"/>
  <c r="I700" i="2"/>
  <c r="L699" i="2"/>
  <c r="K699" i="2"/>
  <c r="J699" i="2"/>
  <c r="I699" i="2"/>
  <c r="L698" i="2"/>
  <c r="K698" i="2"/>
  <c r="J698" i="2"/>
  <c r="I698" i="2"/>
  <c r="L697" i="2"/>
  <c r="K697" i="2"/>
  <c r="J697" i="2"/>
  <c r="I697" i="2"/>
  <c r="L696" i="2"/>
  <c r="K696" i="2"/>
  <c r="J696" i="2"/>
  <c r="I696" i="2"/>
  <c r="L695" i="2"/>
  <c r="K695" i="2"/>
  <c r="J695" i="2"/>
  <c r="I695" i="2"/>
  <c r="L694" i="2"/>
  <c r="K694" i="2"/>
  <c r="J694" i="2"/>
  <c r="I694" i="2"/>
  <c r="L693" i="2"/>
  <c r="K693" i="2"/>
  <c r="J693" i="2"/>
  <c r="I693" i="2"/>
  <c r="L692" i="2"/>
  <c r="K692" i="2"/>
  <c r="J692" i="2"/>
  <c r="I692" i="2"/>
  <c r="L691" i="2"/>
  <c r="K691" i="2"/>
  <c r="J691" i="2"/>
  <c r="I691" i="2"/>
  <c r="L690" i="2"/>
  <c r="K690" i="2"/>
  <c r="J690" i="2"/>
  <c r="I690" i="2"/>
  <c r="L689" i="2"/>
  <c r="K689" i="2"/>
  <c r="J689" i="2"/>
  <c r="I689" i="2"/>
  <c r="L688" i="2"/>
  <c r="K688" i="2"/>
  <c r="J688" i="2"/>
  <c r="I688" i="2"/>
  <c r="L687" i="2"/>
  <c r="K687" i="2"/>
  <c r="J687" i="2"/>
  <c r="I687" i="2"/>
  <c r="L686" i="2"/>
  <c r="K686" i="2"/>
  <c r="J686" i="2"/>
  <c r="I686" i="2"/>
  <c r="L685" i="2"/>
  <c r="K685" i="2"/>
  <c r="J685" i="2"/>
  <c r="I685" i="2"/>
  <c r="L684" i="2"/>
  <c r="K684" i="2"/>
  <c r="J684" i="2"/>
  <c r="I684" i="2"/>
  <c r="L683" i="2"/>
  <c r="K683" i="2"/>
  <c r="J683" i="2"/>
  <c r="I683" i="2"/>
  <c r="L682" i="2"/>
  <c r="K682" i="2"/>
  <c r="J682" i="2"/>
  <c r="I682" i="2"/>
  <c r="L681" i="2"/>
  <c r="K681" i="2"/>
  <c r="J681" i="2"/>
  <c r="I681" i="2"/>
  <c r="L680" i="2"/>
  <c r="K680" i="2"/>
  <c r="J680" i="2"/>
  <c r="I680" i="2"/>
  <c r="L679" i="2"/>
  <c r="K679" i="2"/>
  <c r="J679" i="2"/>
  <c r="I679" i="2"/>
  <c r="L678" i="2"/>
  <c r="K678" i="2"/>
  <c r="J678" i="2"/>
  <c r="I678" i="2"/>
  <c r="L677" i="2"/>
  <c r="K677" i="2"/>
  <c r="J677" i="2"/>
  <c r="I677" i="2"/>
  <c r="L676" i="2"/>
  <c r="K676" i="2"/>
  <c r="J676" i="2"/>
  <c r="I676" i="2"/>
  <c r="L675" i="2"/>
  <c r="K675" i="2"/>
  <c r="J675" i="2"/>
  <c r="I675" i="2"/>
  <c r="L674" i="2"/>
  <c r="K674" i="2"/>
  <c r="J674" i="2"/>
  <c r="I674" i="2"/>
  <c r="L673" i="2"/>
  <c r="K673" i="2"/>
  <c r="J673" i="2"/>
  <c r="I673" i="2"/>
  <c r="L672" i="2"/>
  <c r="K672" i="2"/>
  <c r="J672" i="2"/>
  <c r="I672" i="2"/>
  <c r="L671" i="2"/>
  <c r="K671" i="2"/>
  <c r="J671" i="2"/>
  <c r="I671" i="2"/>
  <c r="L670" i="2"/>
  <c r="K670" i="2"/>
  <c r="J670" i="2"/>
  <c r="I670" i="2"/>
  <c r="L669" i="2"/>
  <c r="K669" i="2"/>
  <c r="J669" i="2"/>
  <c r="I669" i="2"/>
  <c r="L668" i="2"/>
  <c r="K668" i="2"/>
  <c r="J668" i="2"/>
  <c r="I668" i="2"/>
  <c r="L667" i="2"/>
  <c r="K667" i="2"/>
  <c r="J667" i="2"/>
  <c r="I667" i="2"/>
  <c r="L666" i="2"/>
  <c r="K666" i="2"/>
  <c r="J666" i="2"/>
  <c r="I666" i="2"/>
  <c r="L665" i="2"/>
  <c r="K665" i="2"/>
  <c r="J665" i="2"/>
  <c r="I665" i="2"/>
  <c r="L664" i="2"/>
  <c r="K664" i="2"/>
  <c r="J664" i="2"/>
  <c r="I664" i="2"/>
  <c r="L663" i="2"/>
  <c r="K663" i="2"/>
  <c r="J663" i="2"/>
  <c r="I663" i="2"/>
  <c r="L662" i="2"/>
  <c r="K662" i="2"/>
  <c r="J662" i="2"/>
  <c r="I662" i="2"/>
  <c r="L661" i="2"/>
  <c r="K661" i="2"/>
  <c r="J661" i="2"/>
  <c r="I661" i="2"/>
  <c r="L660" i="2"/>
  <c r="K660" i="2"/>
  <c r="J660" i="2"/>
  <c r="I660" i="2"/>
  <c r="L659" i="2"/>
  <c r="K659" i="2"/>
  <c r="J659" i="2"/>
  <c r="I659" i="2"/>
  <c r="L658" i="2"/>
  <c r="K658" i="2"/>
  <c r="J658" i="2"/>
  <c r="I658" i="2"/>
  <c r="L657" i="2"/>
  <c r="K657" i="2"/>
  <c r="J657" i="2"/>
  <c r="I657" i="2"/>
  <c r="L656" i="2"/>
  <c r="K656" i="2"/>
  <c r="J656" i="2"/>
  <c r="I656" i="2"/>
  <c r="L655" i="2"/>
  <c r="K655" i="2"/>
  <c r="J655" i="2"/>
  <c r="I655" i="2"/>
  <c r="L654" i="2"/>
  <c r="K654" i="2"/>
  <c r="J654" i="2"/>
  <c r="I654" i="2"/>
  <c r="L653" i="2"/>
  <c r="K653" i="2"/>
  <c r="J653" i="2"/>
  <c r="I653" i="2"/>
  <c r="L652" i="2"/>
  <c r="K652" i="2"/>
  <c r="J652" i="2"/>
  <c r="I652" i="2"/>
  <c r="L651" i="2"/>
  <c r="K651" i="2"/>
  <c r="J651" i="2"/>
  <c r="I651" i="2"/>
  <c r="L650" i="2"/>
  <c r="K650" i="2"/>
  <c r="J650" i="2"/>
  <c r="I650" i="2"/>
  <c r="L649" i="2"/>
  <c r="K649" i="2"/>
  <c r="J649" i="2"/>
  <c r="I649" i="2"/>
  <c r="L648" i="2"/>
  <c r="K648" i="2"/>
  <c r="J648" i="2"/>
  <c r="I648" i="2"/>
  <c r="L647" i="2"/>
  <c r="K647" i="2"/>
  <c r="J647" i="2"/>
  <c r="I647" i="2"/>
  <c r="L646" i="2"/>
  <c r="K646" i="2"/>
  <c r="J646" i="2"/>
  <c r="I646" i="2"/>
  <c r="L645" i="2"/>
  <c r="K645" i="2"/>
  <c r="J645" i="2"/>
  <c r="I645" i="2"/>
  <c r="L644" i="2"/>
  <c r="K644" i="2"/>
  <c r="J644" i="2"/>
  <c r="I644" i="2"/>
  <c r="L643" i="2"/>
  <c r="K643" i="2"/>
  <c r="J643" i="2"/>
  <c r="I643" i="2"/>
  <c r="L642" i="2"/>
  <c r="K642" i="2"/>
  <c r="J642" i="2"/>
  <c r="I642" i="2"/>
  <c r="L641" i="2"/>
  <c r="K641" i="2"/>
  <c r="J641" i="2"/>
  <c r="I641" i="2"/>
  <c r="L640" i="2"/>
  <c r="K640" i="2"/>
  <c r="J640" i="2"/>
  <c r="I640" i="2"/>
  <c r="L639" i="2"/>
  <c r="K639" i="2"/>
  <c r="J639" i="2"/>
  <c r="I639" i="2"/>
  <c r="L638" i="2"/>
  <c r="K638" i="2"/>
  <c r="J638" i="2"/>
  <c r="I638" i="2"/>
  <c r="L637" i="2"/>
  <c r="K637" i="2"/>
  <c r="J637" i="2"/>
  <c r="I637" i="2"/>
  <c r="L636" i="2"/>
  <c r="K636" i="2"/>
  <c r="J636" i="2"/>
  <c r="I636" i="2"/>
  <c r="L635" i="2"/>
  <c r="K635" i="2"/>
  <c r="J635" i="2"/>
  <c r="I635" i="2"/>
  <c r="L634" i="2"/>
  <c r="K634" i="2"/>
  <c r="J634" i="2"/>
  <c r="I634" i="2"/>
  <c r="L633" i="2"/>
  <c r="K633" i="2"/>
  <c r="J633" i="2"/>
  <c r="I633" i="2"/>
  <c r="L632" i="2"/>
  <c r="K632" i="2"/>
  <c r="J632" i="2"/>
  <c r="I632" i="2"/>
  <c r="L631" i="2"/>
  <c r="K631" i="2"/>
  <c r="J631" i="2"/>
  <c r="I631" i="2"/>
  <c r="L630" i="2"/>
  <c r="K630" i="2"/>
  <c r="J630" i="2"/>
  <c r="I630" i="2"/>
  <c r="L629" i="2"/>
  <c r="K629" i="2"/>
  <c r="J629" i="2"/>
  <c r="I629" i="2"/>
  <c r="L628" i="2"/>
  <c r="K628" i="2"/>
  <c r="J628" i="2"/>
  <c r="I628" i="2"/>
  <c r="L627" i="2"/>
  <c r="K627" i="2"/>
  <c r="J627" i="2"/>
  <c r="I627" i="2"/>
  <c r="L626" i="2"/>
  <c r="K626" i="2"/>
  <c r="J626" i="2"/>
  <c r="I626" i="2"/>
  <c r="L625" i="2"/>
  <c r="K625" i="2"/>
  <c r="J625" i="2"/>
  <c r="I625" i="2"/>
  <c r="L624" i="2"/>
  <c r="K624" i="2"/>
  <c r="J624" i="2"/>
  <c r="I624" i="2"/>
  <c r="L623" i="2"/>
  <c r="K623" i="2"/>
  <c r="J623" i="2"/>
  <c r="I623" i="2"/>
  <c r="L622" i="2"/>
  <c r="K622" i="2"/>
  <c r="J622" i="2"/>
  <c r="I622" i="2"/>
  <c r="L621" i="2"/>
  <c r="K621" i="2"/>
  <c r="J621" i="2"/>
  <c r="I621" i="2"/>
  <c r="L620" i="2"/>
  <c r="K620" i="2"/>
  <c r="J620" i="2"/>
  <c r="I620" i="2"/>
  <c r="L619" i="2"/>
  <c r="K619" i="2"/>
  <c r="J619" i="2"/>
  <c r="I619" i="2"/>
  <c r="L618" i="2"/>
  <c r="K618" i="2"/>
  <c r="J618" i="2"/>
  <c r="I618" i="2"/>
  <c r="L617" i="2"/>
  <c r="K617" i="2"/>
  <c r="J617" i="2"/>
  <c r="I617" i="2"/>
  <c r="L616" i="2"/>
  <c r="K616" i="2"/>
  <c r="J616" i="2"/>
  <c r="I616" i="2"/>
  <c r="L615" i="2"/>
  <c r="K615" i="2"/>
  <c r="J615" i="2"/>
  <c r="I615" i="2"/>
  <c r="L614" i="2"/>
  <c r="K614" i="2"/>
  <c r="J614" i="2"/>
  <c r="I614" i="2"/>
  <c r="L613" i="2"/>
  <c r="K613" i="2"/>
  <c r="J613" i="2"/>
  <c r="I613" i="2"/>
  <c r="L612" i="2"/>
  <c r="K612" i="2"/>
  <c r="J612" i="2"/>
  <c r="I612" i="2"/>
  <c r="L611" i="2"/>
  <c r="K611" i="2"/>
  <c r="J611" i="2"/>
  <c r="I611" i="2"/>
  <c r="L610" i="2"/>
  <c r="K610" i="2"/>
  <c r="J610" i="2"/>
  <c r="I610" i="2"/>
  <c r="L609" i="2"/>
  <c r="K609" i="2"/>
  <c r="J609" i="2"/>
  <c r="I609" i="2"/>
  <c r="L608" i="2"/>
  <c r="K608" i="2"/>
  <c r="J608" i="2"/>
  <c r="I608" i="2"/>
  <c r="L607" i="2"/>
  <c r="K607" i="2"/>
  <c r="J607" i="2"/>
  <c r="I607" i="2"/>
  <c r="L606" i="2"/>
  <c r="K606" i="2"/>
  <c r="J606" i="2"/>
  <c r="I606" i="2"/>
  <c r="L605" i="2"/>
  <c r="K605" i="2"/>
  <c r="J605" i="2"/>
  <c r="I605" i="2"/>
  <c r="L604" i="2"/>
  <c r="K604" i="2"/>
  <c r="J604" i="2"/>
  <c r="I604" i="2"/>
  <c r="L603" i="2"/>
  <c r="K603" i="2"/>
  <c r="J603" i="2"/>
  <c r="I603" i="2"/>
  <c r="L602" i="2"/>
  <c r="K602" i="2"/>
  <c r="J602" i="2"/>
  <c r="I602" i="2"/>
  <c r="L601" i="2"/>
  <c r="K601" i="2"/>
  <c r="J601" i="2"/>
  <c r="I601" i="2"/>
  <c r="L600" i="2"/>
  <c r="K600" i="2"/>
  <c r="J600" i="2"/>
  <c r="I600" i="2"/>
  <c r="L599" i="2"/>
  <c r="K599" i="2"/>
  <c r="J599" i="2"/>
  <c r="I599" i="2"/>
  <c r="L598" i="2"/>
  <c r="K598" i="2"/>
  <c r="J598" i="2"/>
  <c r="I598" i="2"/>
  <c r="L597" i="2"/>
  <c r="K597" i="2"/>
  <c r="J597" i="2"/>
  <c r="I597" i="2"/>
  <c r="L596" i="2"/>
  <c r="K596" i="2"/>
  <c r="J596" i="2"/>
  <c r="I596" i="2"/>
  <c r="L595" i="2"/>
  <c r="K595" i="2"/>
  <c r="J595" i="2"/>
  <c r="I595" i="2"/>
  <c r="L594" i="2"/>
  <c r="K594" i="2"/>
  <c r="J594" i="2"/>
  <c r="I594" i="2"/>
  <c r="L593" i="2"/>
  <c r="K593" i="2"/>
  <c r="J593" i="2"/>
  <c r="I593" i="2"/>
  <c r="L592" i="2"/>
  <c r="K592" i="2"/>
  <c r="J592" i="2"/>
  <c r="I592" i="2"/>
  <c r="L591" i="2"/>
  <c r="K591" i="2"/>
  <c r="J591" i="2"/>
  <c r="I591" i="2"/>
  <c r="L590" i="2"/>
  <c r="K590" i="2"/>
  <c r="J590" i="2"/>
  <c r="I590" i="2"/>
  <c r="L589" i="2"/>
  <c r="K589" i="2"/>
  <c r="J589" i="2"/>
  <c r="I589" i="2"/>
  <c r="L588" i="2"/>
  <c r="K588" i="2"/>
  <c r="J588" i="2"/>
  <c r="I588" i="2"/>
  <c r="L587" i="2"/>
  <c r="K587" i="2"/>
  <c r="J587" i="2"/>
  <c r="I587" i="2"/>
  <c r="L586" i="2"/>
  <c r="K586" i="2"/>
  <c r="J586" i="2"/>
  <c r="I586" i="2"/>
  <c r="L585" i="2"/>
  <c r="K585" i="2"/>
  <c r="J585" i="2"/>
  <c r="I585" i="2"/>
  <c r="L584" i="2"/>
  <c r="K584" i="2"/>
  <c r="J584" i="2"/>
  <c r="I584" i="2"/>
  <c r="L583" i="2"/>
  <c r="K583" i="2"/>
  <c r="J583" i="2"/>
  <c r="I583" i="2"/>
  <c r="L582" i="2"/>
  <c r="K582" i="2"/>
  <c r="J582" i="2"/>
  <c r="I582" i="2"/>
  <c r="L581" i="2"/>
  <c r="K581" i="2"/>
  <c r="J581" i="2"/>
  <c r="I581" i="2"/>
  <c r="L580" i="2"/>
  <c r="K580" i="2"/>
  <c r="J580" i="2"/>
  <c r="I580" i="2"/>
  <c r="L579" i="2"/>
  <c r="K579" i="2"/>
  <c r="J579" i="2"/>
  <c r="I579" i="2"/>
  <c r="L578" i="2"/>
  <c r="K578" i="2"/>
  <c r="J578" i="2"/>
  <c r="I578" i="2"/>
  <c r="L577" i="2"/>
  <c r="K577" i="2"/>
  <c r="J577" i="2"/>
  <c r="I577" i="2"/>
  <c r="L576" i="2"/>
  <c r="K576" i="2"/>
  <c r="J576" i="2"/>
  <c r="I576" i="2"/>
  <c r="L575" i="2"/>
  <c r="K575" i="2"/>
  <c r="J575" i="2"/>
  <c r="I575" i="2"/>
  <c r="L574" i="2"/>
  <c r="K574" i="2"/>
  <c r="J574" i="2"/>
  <c r="I574" i="2"/>
  <c r="L573" i="2"/>
  <c r="K573" i="2"/>
  <c r="J573" i="2"/>
  <c r="I573" i="2"/>
  <c r="L572" i="2"/>
  <c r="K572" i="2"/>
  <c r="J572" i="2"/>
  <c r="I572" i="2"/>
  <c r="L571" i="2"/>
  <c r="K571" i="2"/>
  <c r="J571" i="2"/>
  <c r="I571" i="2"/>
  <c r="L570" i="2"/>
  <c r="K570" i="2"/>
  <c r="J570" i="2"/>
  <c r="I570" i="2"/>
  <c r="L569" i="2"/>
  <c r="K569" i="2"/>
  <c r="J569" i="2"/>
  <c r="I569" i="2"/>
  <c r="L568" i="2"/>
  <c r="K568" i="2"/>
  <c r="J568" i="2"/>
  <c r="I568" i="2"/>
  <c r="L567" i="2"/>
  <c r="K567" i="2"/>
  <c r="J567" i="2"/>
  <c r="I567" i="2"/>
  <c r="L566" i="2"/>
  <c r="K566" i="2"/>
  <c r="J566" i="2"/>
  <c r="I566" i="2"/>
  <c r="L565" i="2"/>
  <c r="K565" i="2"/>
  <c r="J565" i="2"/>
  <c r="I565" i="2"/>
  <c r="L564" i="2"/>
  <c r="K564" i="2"/>
  <c r="J564" i="2"/>
  <c r="I564" i="2"/>
  <c r="L563" i="2"/>
  <c r="K563" i="2"/>
  <c r="J563" i="2"/>
  <c r="I563" i="2"/>
  <c r="L562" i="2"/>
  <c r="K562" i="2"/>
  <c r="J562" i="2"/>
  <c r="I562" i="2"/>
  <c r="L561" i="2"/>
  <c r="K561" i="2"/>
  <c r="J561" i="2"/>
  <c r="I561" i="2"/>
  <c r="L560" i="2"/>
  <c r="K560" i="2"/>
  <c r="J560" i="2"/>
  <c r="I560" i="2"/>
  <c r="L559" i="2"/>
  <c r="K559" i="2"/>
  <c r="J559" i="2"/>
  <c r="I559" i="2"/>
  <c r="L558" i="2"/>
  <c r="K558" i="2"/>
  <c r="J558" i="2"/>
  <c r="I558" i="2"/>
  <c r="L557" i="2"/>
  <c r="K557" i="2"/>
  <c r="J557" i="2"/>
  <c r="I557" i="2"/>
  <c r="L556" i="2"/>
  <c r="K556" i="2"/>
  <c r="J556" i="2"/>
  <c r="I556" i="2"/>
  <c r="L555" i="2"/>
  <c r="K555" i="2"/>
  <c r="J555" i="2"/>
  <c r="I555" i="2"/>
  <c r="L554" i="2"/>
  <c r="K554" i="2"/>
  <c r="J554" i="2"/>
  <c r="I554" i="2"/>
  <c r="L553" i="2"/>
  <c r="K553" i="2"/>
  <c r="J553" i="2"/>
  <c r="I553" i="2"/>
  <c r="L552" i="2"/>
  <c r="K552" i="2"/>
  <c r="J552" i="2"/>
  <c r="I552" i="2"/>
  <c r="L551" i="2"/>
  <c r="K551" i="2"/>
  <c r="J551" i="2"/>
  <c r="I551" i="2"/>
  <c r="L550" i="2"/>
  <c r="K550" i="2"/>
  <c r="J550" i="2"/>
  <c r="I550" i="2"/>
  <c r="L549" i="2"/>
  <c r="K549" i="2"/>
  <c r="J549" i="2"/>
  <c r="I549" i="2"/>
  <c r="L548" i="2"/>
  <c r="K548" i="2"/>
  <c r="J548" i="2"/>
  <c r="I548" i="2"/>
  <c r="L547" i="2"/>
  <c r="K547" i="2"/>
  <c r="J547" i="2"/>
  <c r="I547" i="2"/>
  <c r="L546" i="2"/>
  <c r="K546" i="2"/>
  <c r="J546" i="2"/>
  <c r="I546" i="2"/>
  <c r="L545" i="2"/>
  <c r="K545" i="2"/>
  <c r="J545" i="2"/>
  <c r="I545" i="2"/>
  <c r="L544" i="2"/>
  <c r="K544" i="2"/>
  <c r="J544" i="2"/>
  <c r="I544" i="2"/>
  <c r="L543" i="2"/>
  <c r="K543" i="2"/>
  <c r="J543" i="2"/>
  <c r="I543" i="2"/>
  <c r="L542" i="2"/>
  <c r="K542" i="2"/>
  <c r="J542" i="2"/>
  <c r="I542" i="2"/>
  <c r="L541" i="2"/>
  <c r="K541" i="2"/>
  <c r="J541" i="2"/>
  <c r="I541" i="2"/>
  <c r="L540" i="2"/>
  <c r="K540" i="2"/>
  <c r="J540" i="2"/>
  <c r="I540" i="2"/>
  <c r="L539" i="2"/>
  <c r="K539" i="2"/>
  <c r="J539" i="2"/>
  <c r="I539" i="2"/>
  <c r="L538" i="2"/>
  <c r="K538" i="2"/>
  <c r="J538" i="2"/>
  <c r="I538" i="2"/>
  <c r="L537" i="2"/>
  <c r="K537" i="2"/>
  <c r="J537" i="2"/>
  <c r="I537" i="2"/>
  <c r="L536" i="2"/>
  <c r="K536" i="2"/>
  <c r="J536" i="2"/>
  <c r="I536" i="2"/>
  <c r="L535" i="2"/>
  <c r="K535" i="2"/>
  <c r="J535" i="2"/>
  <c r="I535" i="2"/>
  <c r="L534" i="2"/>
  <c r="K534" i="2"/>
  <c r="J534" i="2"/>
  <c r="I534" i="2"/>
  <c r="L533" i="2"/>
  <c r="K533" i="2"/>
  <c r="J533" i="2"/>
  <c r="I533" i="2"/>
  <c r="L532" i="2"/>
  <c r="K532" i="2"/>
  <c r="J532" i="2"/>
  <c r="I532" i="2"/>
  <c r="L531" i="2"/>
  <c r="K531" i="2"/>
  <c r="J531" i="2"/>
  <c r="I531" i="2"/>
  <c r="L530" i="2"/>
  <c r="K530" i="2"/>
  <c r="J530" i="2"/>
  <c r="I530" i="2"/>
  <c r="L529" i="2"/>
  <c r="K529" i="2"/>
  <c r="J529" i="2"/>
  <c r="I529" i="2"/>
  <c r="L528" i="2"/>
  <c r="K528" i="2"/>
  <c r="J528" i="2"/>
  <c r="I528" i="2"/>
  <c r="L527" i="2"/>
  <c r="K527" i="2"/>
  <c r="J527" i="2"/>
  <c r="I527" i="2"/>
  <c r="L526" i="2"/>
  <c r="K526" i="2"/>
  <c r="J526" i="2"/>
  <c r="I526" i="2"/>
  <c r="L525" i="2"/>
  <c r="K525" i="2"/>
  <c r="J525" i="2"/>
  <c r="I525" i="2"/>
  <c r="L524" i="2"/>
  <c r="K524" i="2"/>
  <c r="J524" i="2"/>
  <c r="I524" i="2"/>
  <c r="L523" i="2"/>
  <c r="K523" i="2"/>
  <c r="J523" i="2"/>
  <c r="I523" i="2"/>
  <c r="L522" i="2"/>
  <c r="K522" i="2"/>
  <c r="J522" i="2"/>
  <c r="I522" i="2"/>
  <c r="L521" i="2"/>
  <c r="K521" i="2"/>
  <c r="J521" i="2"/>
  <c r="I521" i="2"/>
  <c r="L520" i="2"/>
  <c r="K520" i="2"/>
  <c r="J520" i="2"/>
  <c r="I520" i="2"/>
  <c r="L519" i="2"/>
  <c r="K519" i="2"/>
  <c r="J519" i="2"/>
  <c r="I519" i="2"/>
  <c r="L518" i="2"/>
  <c r="K518" i="2"/>
  <c r="J518" i="2"/>
  <c r="I518" i="2"/>
  <c r="L517" i="2"/>
  <c r="K517" i="2"/>
  <c r="J517" i="2"/>
  <c r="I517" i="2"/>
  <c r="L516" i="2"/>
  <c r="K516" i="2"/>
  <c r="J516" i="2"/>
  <c r="I516" i="2"/>
  <c r="L515" i="2"/>
  <c r="K515" i="2"/>
  <c r="J515" i="2"/>
  <c r="I515" i="2"/>
  <c r="L514" i="2"/>
  <c r="K514" i="2"/>
  <c r="J514" i="2"/>
  <c r="I514" i="2"/>
  <c r="L513" i="2"/>
  <c r="K513" i="2"/>
  <c r="J513" i="2"/>
  <c r="I513" i="2"/>
  <c r="L512" i="2"/>
  <c r="K512" i="2"/>
  <c r="J512" i="2"/>
  <c r="I512" i="2"/>
  <c r="L511" i="2"/>
  <c r="K511" i="2"/>
  <c r="J511" i="2"/>
  <c r="I511" i="2"/>
  <c r="L510" i="2"/>
  <c r="K510" i="2"/>
  <c r="J510" i="2"/>
  <c r="I510" i="2"/>
  <c r="L509" i="2"/>
  <c r="K509" i="2"/>
  <c r="J509" i="2"/>
  <c r="I509" i="2"/>
  <c r="L508" i="2"/>
  <c r="K508" i="2"/>
  <c r="J508" i="2"/>
  <c r="I508" i="2"/>
  <c r="L507" i="2"/>
  <c r="K507" i="2"/>
  <c r="J507" i="2"/>
  <c r="I507" i="2"/>
  <c r="L506" i="2"/>
  <c r="K506" i="2"/>
  <c r="J506" i="2"/>
  <c r="I506" i="2"/>
  <c r="L505" i="2"/>
  <c r="K505" i="2"/>
  <c r="J505" i="2"/>
  <c r="I505" i="2"/>
  <c r="L504" i="2"/>
  <c r="K504" i="2"/>
  <c r="J504" i="2"/>
  <c r="I504" i="2"/>
  <c r="L503" i="2"/>
  <c r="K503" i="2"/>
  <c r="J503" i="2"/>
  <c r="I503" i="2"/>
  <c r="L502" i="2"/>
  <c r="K502" i="2"/>
  <c r="J502" i="2"/>
  <c r="I502" i="2"/>
  <c r="L501" i="2"/>
  <c r="K501" i="2"/>
  <c r="J501" i="2"/>
  <c r="I501" i="2"/>
  <c r="L500" i="2"/>
  <c r="K500" i="2"/>
  <c r="J500" i="2"/>
  <c r="I500" i="2"/>
  <c r="L499" i="2"/>
  <c r="K499" i="2"/>
  <c r="J499" i="2"/>
  <c r="I499" i="2"/>
  <c r="L498" i="2"/>
  <c r="K498" i="2"/>
  <c r="J498" i="2"/>
  <c r="I498" i="2"/>
  <c r="L497" i="2"/>
  <c r="K497" i="2"/>
  <c r="J497" i="2"/>
  <c r="I497" i="2"/>
  <c r="L496" i="2"/>
  <c r="K496" i="2"/>
  <c r="J496" i="2"/>
  <c r="I496" i="2"/>
  <c r="L495" i="2"/>
  <c r="K495" i="2"/>
  <c r="J495" i="2"/>
  <c r="I495" i="2"/>
  <c r="L494" i="2"/>
  <c r="K494" i="2"/>
  <c r="J494" i="2"/>
  <c r="I494" i="2"/>
  <c r="L493" i="2"/>
  <c r="K493" i="2"/>
  <c r="J493" i="2"/>
  <c r="I493" i="2"/>
  <c r="L492" i="2"/>
  <c r="K492" i="2"/>
  <c r="J492" i="2"/>
  <c r="I492" i="2"/>
  <c r="L491" i="2"/>
  <c r="K491" i="2"/>
  <c r="J491" i="2"/>
  <c r="I491" i="2"/>
  <c r="L490" i="2"/>
  <c r="K490" i="2"/>
  <c r="J490" i="2"/>
  <c r="I490" i="2"/>
  <c r="L489" i="2"/>
  <c r="K489" i="2"/>
  <c r="J489" i="2"/>
  <c r="I489" i="2"/>
  <c r="L488" i="2"/>
  <c r="K488" i="2"/>
  <c r="J488" i="2"/>
  <c r="I488" i="2"/>
  <c r="L487" i="2"/>
  <c r="K487" i="2"/>
  <c r="J487" i="2"/>
  <c r="I487" i="2"/>
  <c r="L486" i="2"/>
  <c r="K486" i="2"/>
  <c r="J486" i="2"/>
  <c r="I486" i="2"/>
  <c r="L485" i="2"/>
  <c r="K485" i="2"/>
  <c r="J485" i="2"/>
  <c r="I485" i="2"/>
  <c r="L484" i="2"/>
  <c r="K484" i="2"/>
  <c r="J484" i="2"/>
  <c r="I484" i="2"/>
  <c r="L483" i="2"/>
  <c r="K483" i="2"/>
  <c r="J483" i="2"/>
  <c r="I483" i="2"/>
  <c r="L482" i="2"/>
  <c r="K482" i="2"/>
  <c r="J482" i="2"/>
  <c r="I482" i="2"/>
  <c r="L481" i="2"/>
  <c r="K481" i="2"/>
  <c r="J481" i="2"/>
  <c r="I481" i="2"/>
  <c r="L480" i="2"/>
  <c r="K480" i="2"/>
  <c r="J480" i="2"/>
  <c r="I480" i="2"/>
  <c r="L479" i="2"/>
  <c r="K479" i="2"/>
  <c r="J479" i="2"/>
  <c r="I479" i="2"/>
  <c r="L478" i="2"/>
  <c r="K478" i="2"/>
  <c r="J478" i="2"/>
  <c r="I478" i="2"/>
  <c r="L477" i="2"/>
  <c r="K477" i="2"/>
  <c r="J477" i="2"/>
  <c r="I477" i="2"/>
  <c r="L476" i="2"/>
  <c r="K476" i="2"/>
  <c r="J476" i="2"/>
  <c r="I476" i="2"/>
  <c r="L475" i="2"/>
  <c r="K475" i="2"/>
  <c r="J475" i="2"/>
  <c r="I475" i="2"/>
  <c r="L474" i="2"/>
  <c r="K474" i="2"/>
  <c r="J474" i="2"/>
  <c r="I474" i="2"/>
  <c r="L473" i="2"/>
  <c r="K473" i="2"/>
  <c r="J473" i="2"/>
  <c r="I473" i="2"/>
  <c r="L472" i="2"/>
  <c r="K472" i="2"/>
  <c r="J472" i="2"/>
  <c r="I472" i="2"/>
  <c r="L471" i="2"/>
  <c r="K471" i="2"/>
  <c r="J471" i="2"/>
  <c r="I471" i="2"/>
  <c r="L470" i="2"/>
  <c r="K470" i="2"/>
  <c r="J470" i="2"/>
  <c r="I470" i="2"/>
  <c r="L469" i="2"/>
  <c r="K469" i="2"/>
  <c r="J469" i="2"/>
  <c r="I469" i="2"/>
  <c r="L468" i="2"/>
  <c r="K468" i="2"/>
  <c r="J468" i="2"/>
  <c r="I468" i="2"/>
  <c r="L467" i="2"/>
  <c r="K467" i="2"/>
  <c r="J467" i="2"/>
  <c r="I467" i="2"/>
  <c r="L466" i="2"/>
  <c r="K466" i="2"/>
  <c r="J466" i="2"/>
  <c r="I466" i="2"/>
  <c r="L465" i="2"/>
  <c r="K465" i="2"/>
  <c r="J465" i="2"/>
  <c r="I465" i="2"/>
  <c r="L464" i="2"/>
  <c r="K464" i="2"/>
  <c r="J464" i="2"/>
  <c r="I464" i="2"/>
  <c r="L463" i="2"/>
  <c r="K463" i="2"/>
  <c r="J463" i="2"/>
  <c r="I463" i="2"/>
  <c r="L462" i="2"/>
  <c r="K462" i="2"/>
  <c r="J462" i="2"/>
  <c r="I462" i="2"/>
  <c r="L461" i="2"/>
  <c r="K461" i="2"/>
  <c r="J461" i="2"/>
  <c r="I461" i="2"/>
  <c r="L460" i="2"/>
  <c r="K460" i="2"/>
  <c r="J460" i="2"/>
  <c r="I460" i="2"/>
  <c r="L459" i="2"/>
  <c r="K459" i="2"/>
  <c r="J459" i="2"/>
  <c r="I459" i="2"/>
  <c r="L458" i="2"/>
  <c r="K458" i="2"/>
  <c r="J458" i="2"/>
  <c r="I458" i="2"/>
  <c r="L457" i="2"/>
  <c r="K457" i="2"/>
  <c r="J457" i="2"/>
  <c r="I457" i="2"/>
  <c r="L456" i="2"/>
  <c r="K456" i="2"/>
  <c r="J456" i="2"/>
  <c r="I456" i="2"/>
  <c r="L455" i="2"/>
  <c r="K455" i="2"/>
  <c r="J455" i="2"/>
  <c r="I455" i="2"/>
  <c r="L454" i="2"/>
  <c r="K454" i="2"/>
  <c r="J454" i="2"/>
  <c r="I454" i="2"/>
  <c r="L453" i="2"/>
  <c r="K453" i="2"/>
  <c r="J453" i="2"/>
  <c r="I453" i="2"/>
  <c r="L452" i="2"/>
  <c r="K452" i="2"/>
  <c r="J452" i="2"/>
  <c r="I452" i="2"/>
  <c r="L451" i="2"/>
  <c r="K451" i="2"/>
  <c r="J451" i="2"/>
  <c r="I451" i="2"/>
  <c r="L450" i="2"/>
  <c r="K450" i="2"/>
  <c r="J450" i="2"/>
  <c r="I450" i="2"/>
  <c r="L449" i="2"/>
  <c r="K449" i="2"/>
  <c r="J449" i="2"/>
  <c r="I449" i="2"/>
  <c r="L448" i="2"/>
  <c r="K448" i="2"/>
  <c r="J448" i="2"/>
  <c r="I448" i="2"/>
  <c r="L447" i="2"/>
  <c r="K447" i="2"/>
  <c r="J447" i="2"/>
  <c r="I447" i="2"/>
  <c r="L446" i="2"/>
  <c r="K446" i="2"/>
  <c r="J446" i="2"/>
  <c r="I446" i="2"/>
  <c r="L445" i="2"/>
  <c r="K445" i="2"/>
  <c r="J445" i="2"/>
  <c r="I445" i="2"/>
  <c r="L444" i="2"/>
  <c r="K444" i="2"/>
  <c r="J444" i="2"/>
  <c r="I444" i="2"/>
  <c r="L443" i="2"/>
  <c r="K443" i="2"/>
  <c r="J443" i="2"/>
  <c r="I443" i="2"/>
  <c r="L442" i="2"/>
  <c r="K442" i="2"/>
  <c r="J442" i="2"/>
  <c r="I442" i="2"/>
  <c r="L441" i="2"/>
  <c r="K441" i="2"/>
  <c r="J441" i="2"/>
  <c r="I441" i="2"/>
  <c r="L440" i="2"/>
  <c r="K440" i="2"/>
  <c r="J440" i="2"/>
  <c r="I440" i="2"/>
  <c r="L439" i="2"/>
  <c r="K439" i="2"/>
  <c r="J439" i="2"/>
  <c r="I439" i="2"/>
  <c r="L438" i="2"/>
  <c r="K438" i="2"/>
  <c r="J438" i="2"/>
  <c r="I438" i="2"/>
  <c r="L437" i="2"/>
  <c r="K437" i="2"/>
  <c r="J437" i="2"/>
  <c r="I437" i="2"/>
  <c r="L436" i="2"/>
  <c r="K436" i="2"/>
  <c r="J436" i="2"/>
  <c r="I436" i="2"/>
  <c r="L435" i="2"/>
  <c r="K435" i="2"/>
  <c r="J435" i="2"/>
  <c r="I435" i="2"/>
  <c r="L434" i="2"/>
  <c r="K434" i="2"/>
  <c r="J434" i="2"/>
  <c r="I434" i="2"/>
  <c r="L433" i="2"/>
  <c r="K433" i="2"/>
  <c r="J433" i="2"/>
  <c r="I433" i="2"/>
  <c r="L432" i="2"/>
  <c r="K432" i="2"/>
  <c r="J432" i="2"/>
  <c r="I432" i="2"/>
  <c r="L431" i="2"/>
  <c r="K431" i="2"/>
  <c r="J431" i="2"/>
  <c r="I431" i="2"/>
  <c r="L430" i="2"/>
  <c r="K430" i="2"/>
  <c r="J430" i="2"/>
  <c r="I430" i="2"/>
  <c r="L429" i="2"/>
  <c r="K429" i="2"/>
  <c r="J429" i="2"/>
  <c r="I429" i="2"/>
  <c r="L428" i="2"/>
  <c r="K428" i="2"/>
  <c r="J428" i="2"/>
  <c r="I428" i="2"/>
  <c r="L427" i="2"/>
  <c r="K427" i="2"/>
  <c r="J427" i="2"/>
  <c r="I427" i="2"/>
  <c r="L426" i="2"/>
  <c r="K426" i="2"/>
  <c r="J426" i="2"/>
  <c r="I426" i="2"/>
  <c r="L425" i="2"/>
  <c r="K425" i="2"/>
  <c r="J425" i="2"/>
  <c r="I425" i="2"/>
  <c r="L424" i="2"/>
  <c r="K424" i="2"/>
  <c r="J424" i="2"/>
  <c r="I424" i="2"/>
  <c r="L423" i="2"/>
  <c r="K423" i="2"/>
  <c r="J423" i="2"/>
  <c r="I423" i="2"/>
  <c r="L422" i="2"/>
  <c r="K422" i="2"/>
  <c r="J422" i="2"/>
  <c r="I422" i="2"/>
  <c r="L421" i="2"/>
  <c r="K421" i="2"/>
  <c r="J421" i="2"/>
  <c r="I421" i="2"/>
  <c r="L420" i="2"/>
  <c r="K420" i="2"/>
  <c r="J420" i="2"/>
  <c r="I420" i="2"/>
  <c r="L419" i="2"/>
  <c r="K419" i="2"/>
  <c r="J419" i="2"/>
  <c r="I419" i="2"/>
  <c r="L418" i="2"/>
  <c r="K418" i="2"/>
  <c r="J418" i="2"/>
  <c r="I418" i="2"/>
  <c r="L417" i="2"/>
  <c r="K417" i="2"/>
  <c r="J417" i="2"/>
  <c r="I417" i="2"/>
  <c r="L416" i="2"/>
  <c r="K416" i="2"/>
  <c r="J416" i="2"/>
  <c r="I416" i="2"/>
  <c r="L415" i="2"/>
  <c r="K415" i="2"/>
  <c r="J415" i="2"/>
  <c r="I415" i="2"/>
  <c r="L414" i="2"/>
  <c r="K414" i="2"/>
  <c r="J414" i="2"/>
  <c r="I414" i="2"/>
  <c r="L413" i="2"/>
  <c r="K413" i="2"/>
  <c r="J413" i="2"/>
  <c r="I413" i="2"/>
  <c r="L412" i="2"/>
  <c r="K412" i="2"/>
  <c r="J412" i="2"/>
  <c r="I412" i="2"/>
  <c r="L411" i="2"/>
  <c r="K411" i="2"/>
  <c r="J411" i="2"/>
  <c r="I411" i="2"/>
  <c r="L410" i="2"/>
  <c r="K410" i="2"/>
  <c r="J410" i="2"/>
  <c r="I410" i="2"/>
  <c r="L409" i="2"/>
  <c r="K409" i="2"/>
  <c r="J409" i="2"/>
  <c r="I409" i="2"/>
  <c r="L408" i="2"/>
  <c r="K408" i="2"/>
  <c r="J408" i="2"/>
  <c r="I408" i="2"/>
  <c r="L407" i="2"/>
  <c r="K407" i="2"/>
  <c r="J407" i="2"/>
  <c r="I407" i="2"/>
  <c r="L406" i="2"/>
  <c r="K406" i="2"/>
  <c r="J406" i="2"/>
  <c r="I406" i="2"/>
  <c r="L405" i="2"/>
  <c r="K405" i="2"/>
  <c r="J405" i="2"/>
  <c r="I405" i="2"/>
  <c r="L404" i="2"/>
  <c r="K404" i="2"/>
  <c r="J404" i="2"/>
  <c r="I404" i="2"/>
  <c r="L403" i="2"/>
  <c r="K403" i="2"/>
  <c r="J403" i="2"/>
  <c r="I403" i="2"/>
  <c r="L402" i="2"/>
  <c r="K402" i="2"/>
  <c r="J402" i="2"/>
  <c r="I402" i="2"/>
  <c r="L401" i="2"/>
  <c r="K401" i="2"/>
  <c r="J401" i="2"/>
  <c r="I401" i="2"/>
  <c r="L400" i="2"/>
  <c r="K400" i="2"/>
  <c r="J400" i="2"/>
  <c r="I400" i="2"/>
  <c r="L399" i="2"/>
  <c r="K399" i="2"/>
  <c r="J399" i="2"/>
  <c r="I399" i="2"/>
  <c r="L398" i="2"/>
  <c r="K398" i="2"/>
  <c r="J398" i="2"/>
  <c r="I398" i="2"/>
  <c r="L397" i="2"/>
  <c r="K397" i="2"/>
  <c r="J397" i="2"/>
  <c r="I397" i="2"/>
  <c r="L396" i="2"/>
  <c r="K396" i="2"/>
  <c r="J396" i="2"/>
  <c r="I396" i="2"/>
  <c r="L395" i="2"/>
  <c r="K395" i="2"/>
  <c r="J395" i="2"/>
  <c r="I395" i="2"/>
  <c r="L394" i="2"/>
  <c r="K394" i="2"/>
  <c r="J394" i="2"/>
  <c r="I394" i="2"/>
  <c r="L393" i="2"/>
  <c r="K393" i="2"/>
  <c r="J393" i="2"/>
  <c r="I393" i="2"/>
  <c r="L392" i="2"/>
  <c r="K392" i="2"/>
  <c r="J392" i="2"/>
  <c r="I392" i="2"/>
  <c r="L391" i="2"/>
  <c r="K391" i="2"/>
  <c r="J391" i="2"/>
  <c r="I391" i="2"/>
  <c r="L390" i="2"/>
  <c r="K390" i="2"/>
  <c r="J390" i="2"/>
  <c r="I390" i="2"/>
  <c r="L389" i="2"/>
  <c r="K389" i="2"/>
  <c r="J389" i="2"/>
  <c r="I389" i="2"/>
  <c r="L388" i="2"/>
  <c r="K388" i="2"/>
  <c r="J388" i="2"/>
  <c r="I388" i="2"/>
  <c r="L387" i="2"/>
  <c r="K387" i="2"/>
  <c r="J387" i="2"/>
  <c r="I387" i="2"/>
  <c r="L386" i="2"/>
  <c r="K386" i="2"/>
  <c r="J386" i="2"/>
  <c r="I386" i="2"/>
  <c r="L385" i="2"/>
  <c r="K385" i="2"/>
  <c r="J385" i="2"/>
  <c r="I385" i="2"/>
  <c r="L384" i="2"/>
  <c r="K384" i="2"/>
  <c r="J384" i="2"/>
  <c r="I384" i="2"/>
  <c r="L383" i="2"/>
  <c r="K383" i="2"/>
  <c r="J383" i="2"/>
  <c r="I383" i="2"/>
  <c r="L382" i="2"/>
  <c r="K382" i="2"/>
  <c r="J382" i="2"/>
  <c r="I382" i="2"/>
  <c r="L381" i="2"/>
  <c r="K381" i="2"/>
  <c r="J381" i="2"/>
  <c r="I381" i="2"/>
  <c r="L380" i="2"/>
  <c r="K380" i="2"/>
  <c r="J380" i="2"/>
  <c r="I380" i="2"/>
  <c r="L379" i="2"/>
  <c r="K379" i="2"/>
  <c r="J379" i="2"/>
  <c r="I379" i="2"/>
  <c r="L378" i="2"/>
  <c r="K378" i="2"/>
  <c r="J378" i="2"/>
  <c r="I378" i="2"/>
  <c r="L377" i="2"/>
  <c r="K377" i="2"/>
  <c r="J377" i="2"/>
  <c r="I377" i="2"/>
  <c r="L376" i="2"/>
  <c r="K376" i="2"/>
  <c r="J376" i="2"/>
  <c r="I376" i="2"/>
  <c r="L375" i="2"/>
  <c r="K375" i="2"/>
  <c r="J375" i="2"/>
  <c r="I375" i="2"/>
  <c r="L374" i="2"/>
  <c r="K374" i="2"/>
  <c r="J374" i="2"/>
  <c r="I374" i="2"/>
  <c r="L373" i="2"/>
  <c r="K373" i="2"/>
  <c r="J373" i="2"/>
  <c r="I373" i="2"/>
  <c r="L372" i="2"/>
  <c r="K372" i="2"/>
  <c r="J372" i="2"/>
  <c r="I372" i="2"/>
  <c r="L371" i="2"/>
  <c r="K371" i="2"/>
  <c r="J371" i="2"/>
  <c r="I371" i="2"/>
  <c r="L370" i="2"/>
  <c r="K370" i="2"/>
  <c r="J370" i="2"/>
  <c r="I370" i="2"/>
  <c r="L369" i="2"/>
  <c r="K369" i="2"/>
  <c r="J369" i="2"/>
  <c r="I369" i="2"/>
  <c r="L368" i="2"/>
  <c r="K368" i="2"/>
  <c r="J368" i="2"/>
  <c r="I368" i="2"/>
  <c r="L367" i="2"/>
  <c r="K367" i="2"/>
  <c r="J367" i="2"/>
  <c r="I367" i="2"/>
  <c r="L366" i="2"/>
  <c r="K366" i="2"/>
  <c r="J366" i="2"/>
  <c r="I366" i="2"/>
  <c r="L365" i="2"/>
  <c r="K365" i="2"/>
  <c r="J365" i="2"/>
  <c r="I365" i="2"/>
  <c r="L364" i="2"/>
  <c r="K364" i="2"/>
  <c r="J364" i="2"/>
  <c r="I364" i="2"/>
  <c r="L363" i="2"/>
  <c r="K363" i="2"/>
  <c r="J363" i="2"/>
  <c r="I363" i="2"/>
  <c r="L362" i="2"/>
  <c r="K362" i="2"/>
  <c r="J362" i="2"/>
  <c r="I362" i="2"/>
  <c r="L361" i="2"/>
  <c r="K361" i="2"/>
  <c r="J361" i="2"/>
  <c r="I361" i="2"/>
  <c r="L360" i="2"/>
  <c r="K360" i="2"/>
  <c r="J360" i="2"/>
  <c r="I360" i="2"/>
  <c r="L359" i="2"/>
  <c r="K359" i="2"/>
  <c r="J359" i="2"/>
  <c r="I359" i="2"/>
  <c r="L358" i="2"/>
  <c r="K358" i="2"/>
  <c r="J358" i="2"/>
  <c r="I358" i="2"/>
  <c r="L357" i="2"/>
  <c r="K357" i="2"/>
  <c r="J357" i="2"/>
  <c r="I357" i="2"/>
  <c r="L356" i="2"/>
  <c r="K356" i="2"/>
  <c r="J356" i="2"/>
  <c r="I356" i="2"/>
  <c r="L355" i="2"/>
  <c r="K355" i="2"/>
  <c r="J355" i="2"/>
  <c r="I355" i="2"/>
  <c r="L354" i="2"/>
  <c r="K354" i="2"/>
  <c r="J354" i="2"/>
  <c r="I354" i="2"/>
  <c r="L353" i="2"/>
  <c r="K353" i="2"/>
  <c r="J353" i="2"/>
  <c r="I353" i="2"/>
  <c r="L352" i="2"/>
  <c r="K352" i="2"/>
  <c r="J352" i="2"/>
  <c r="I352" i="2"/>
  <c r="L351" i="2"/>
  <c r="K351" i="2"/>
  <c r="J351" i="2"/>
  <c r="I351" i="2"/>
  <c r="L350" i="2"/>
  <c r="K350" i="2"/>
  <c r="J350" i="2"/>
  <c r="I350" i="2"/>
  <c r="L349" i="2"/>
  <c r="K349" i="2"/>
  <c r="J349" i="2"/>
  <c r="I349" i="2"/>
  <c r="L348" i="2"/>
  <c r="K348" i="2"/>
  <c r="J348" i="2"/>
  <c r="I348" i="2"/>
  <c r="L347" i="2"/>
  <c r="K347" i="2"/>
  <c r="J347" i="2"/>
  <c r="I347" i="2"/>
  <c r="L346" i="2"/>
  <c r="K346" i="2"/>
  <c r="J346" i="2"/>
  <c r="I346" i="2"/>
  <c r="L345" i="2"/>
  <c r="K345" i="2"/>
  <c r="J345" i="2"/>
  <c r="I345" i="2"/>
  <c r="L344" i="2"/>
  <c r="K344" i="2"/>
  <c r="J344" i="2"/>
  <c r="I344" i="2"/>
  <c r="L343" i="2"/>
  <c r="K343" i="2"/>
  <c r="J343" i="2"/>
  <c r="I343" i="2"/>
  <c r="L342" i="2"/>
  <c r="K342" i="2"/>
  <c r="J342" i="2"/>
  <c r="I342" i="2"/>
  <c r="L341" i="2"/>
  <c r="K341" i="2"/>
  <c r="J341" i="2"/>
  <c r="I341" i="2"/>
  <c r="L340" i="2"/>
  <c r="K340" i="2"/>
  <c r="J340" i="2"/>
  <c r="I340" i="2"/>
  <c r="L339" i="2"/>
  <c r="K339" i="2"/>
  <c r="J339" i="2"/>
  <c r="I339" i="2"/>
  <c r="L338" i="2"/>
  <c r="K338" i="2"/>
  <c r="J338" i="2"/>
  <c r="I338" i="2"/>
  <c r="L337" i="2"/>
  <c r="K337" i="2"/>
  <c r="J337" i="2"/>
  <c r="I337" i="2"/>
  <c r="L336" i="2"/>
  <c r="K336" i="2"/>
  <c r="J336" i="2"/>
  <c r="I336" i="2"/>
  <c r="L335" i="2"/>
  <c r="K335" i="2"/>
  <c r="J335" i="2"/>
  <c r="I335" i="2"/>
  <c r="L334" i="2"/>
  <c r="K334" i="2"/>
  <c r="J334" i="2"/>
  <c r="I334" i="2"/>
  <c r="L333" i="2"/>
  <c r="K333" i="2"/>
  <c r="J333" i="2"/>
  <c r="I333" i="2"/>
  <c r="L332" i="2"/>
  <c r="K332" i="2"/>
  <c r="J332" i="2"/>
  <c r="I332" i="2"/>
  <c r="L331" i="2"/>
  <c r="K331" i="2"/>
  <c r="J331" i="2"/>
  <c r="I331" i="2"/>
  <c r="L330" i="2"/>
  <c r="K330" i="2"/>
  <c r="J330" i="2"/>
  <c r="I330" i="2"/>
  <c r="L329" i="2"/>
  <c r="K329" i="2"/>
  <c r="J329" i="2"/>
  <c r="I329" i="2"/>
  <c r="L328" i="2"/>
  <c r="K328" i="2"/>
  <c r="J328" i="2"/>
  <c r="I328" i="2"/>
  <c r="L327" i="2"/>
  <c r="K327" i="2"/>
  <c r="J327" i="2"/>
  <c r="I327" i="2"/>
  <c r="L326" i="2"/>
  <c r="K326" i="2"/>
  <c r="J326" i="2"/>
  <c r="I326" i="2"/>
  <c r="L325" i="2"/>
  <c r="K325" i="2"/>
  <c r="J325" i="2"/>
  <c r="I325" i="2"/>
  <c r="L324" i="2"/>
  <c r="K324" i="2"/>
  <c r="J324" i="2"/>
  <c r="I324" i="2"/>
  <c r="L323" i="2"/>
  <c r="K323" i="2"/>
  <c r="J323" i="2"/>
  <c r="I323" i="2"/>
  <c r="L322" i="2"/>
  <c r="K322" i="2"/>
  <c r="J322" i="2"/>
  <c r="I322" i="2"/>
  <c r="L321" i="2"/>
  <c r="K321" i="2"/>
  <c r="J321" i="2"/>
  <c r="I321" i="2"/>
  <c r="L320" i="2"/>
  <c r="K320" i="2"/>
  <c r="J320" i="2"/>
  <c r="I320" i="2"/>
  <c r="L319" i="2"/>
  <c r="K319" i="2"/>
  <c r="J319" i="2"/>
  <c r="I319" i="2"/>
  <c r="L318" i="2"/>
  <c r="K318" i="2"/>
  <c r="J318" i="2"/>
  <c r="I318" i="2"/>
  <c r="L317" i="2"/>
  <c r="K317" i="2"/>
  <c r="J317" i="2"/>
  <c r="I317" i="2"/>
  <c r="L316" i="2"/>
  <c r="K316" i="2"/>
  <c r="J316" i="2"/>
  <c r="I316" i="2"/>
  <c r="L315" i="2"/>
  <c r="K315" i="2"/>
  <c r="J315" i="2"/>
  <c r="I315" i="2"/>
  <c r="L314" i="2"/>
  <c r="K314" i="2"/>
  <c r="J314" i="2"/>
  <c r="I314" i="2"/>
  <c r="L313" i="2"/>
  <c r="K313" i="2"/>
  <c r="J313" i="2"/>
  <c r="I313" i="2"/>
  <c r="L312" i="2"/>
  <c r="K312" i="2"/>
  <c r="J312" i="2"/>
  <c r="I312" i="2"/>
  <c r="L311" i="2"/>
  <c r="K311" i="2"/>
  <c r="J311" i="2"/>
  <c r="I311" i="2"/>
  <c r="L310" i="2"/>
  <c r="K310" i="2"/>
  <c r="J310" i="2"/>
  <c r="I310" i="2"/>
  <c r="L309" i="2"/>
  <c r="K309" i="2"/>
  <c r="J309" i="2"/>
  <c r="I309" i="2"/>
  <c r="L308" i="2"/>
  <c r="K308" i="2"/>
  <c r="J308" i="2"/>
  <c r="I308" i="2"/>
  <c r="L307" i="2"/>
  <c r="K307" i="2"/>
  <c r="J307" i="2"/>
  <c r="I307" i="2"/>
  <c r="L306" i="2"/>
  <c r="K306" i="2"/>
  <c r="J306" i="2"/>
  <c r="I306" i="2"/>
  <c r="L305" i="2"/>
  <c r="K305" i="2"/>
  <c r="J305" i="2"/>
  <c r="I305" i="2"/>
  <c r="L304" i="2"/>
  <c r="K304" i="2"/>
  <c r="J304" i="2"/>
  <c r="I304" i="2"/>
  <c r="L303" i="2"/>
  <c r="K303" i="2"/>
  <c r="J303" i="2"/>
  <c r="I303" i="2"/>
  <c r="L302" i="2"/>
  <c r="K302" i="2"/>
  <c r="J302" i="2"/>
  <c r="I302" i="2"/>
  <c r="L301" i="2"/>
  <c r="K301" i="2"/>
  <c r="J301" i="2"/>
  <c r="I301" i="2"/>
  <c r="L300" i="2"/>
  <c r="K300" i="2"/>
  <c r="J300" i="2"/>
  <c r="I300" i="2"/>
  <c r="L299" i="2"/>
  <c r="K299" i="2"/>
  <c r="J299" i="2"/>
  <c r="I299" i="2"/>
  <c r="L298" i="2"/>
  <c r="K298" i="2"/>
  <c r="J298" i="2"/>
  <c r="I298" i="2"/>
  <c r="L297" i="2"/>
  <c r="K297" i="2"/>
  <c r="J297" i="2"/>
  <c r="I297" i="2"/>
  <c r="L296" i="2"/>
  <c r="K296" i="2"/>
  <c r="J296" i="2"/>
  <c r="I296" i="2"/>
  <c r="L295" i="2"/>
  <c r="K295" i="2"/>
  <c r="J295" i="2"/>
  <c r="I295" i="2"/>
  <c r="L294" i="2"/>
  <c r="K294" i="2"/>
  <c r="J294" i="2"/>
  <c r="I294" i="2"/>
  <c r="L293" i="2"/>
  <c r="K293" i="2"/>
  <c r="J293" i="2"/>
  <c r="I293" i="2"/>
  <c r="L292" i="2"/>
  <c r="K292" i="2"/>
  <c r="J292" i="2"/>
  <c r="I292" i="2"/>
  <c r="L291" i="2"/>
  <c r="K291" i="2"/>
  <c r="J291" i="2"/>
  <c r="I291" i="2"/>
  <c r="L290" i="2"/>
  <c r="K290" i="2"/>
  <c r="J290" i="2"/>
  <c r="I290" i="2"/>
  <c r="L289" i="2"/>
  <c r="K289" i="2"/>
  <c r="J289" i="2"/>
  <c r="I289" i="2"/>
  <c r="L288" i="2"/>
  <c r="K288" i="2"/>
  <c r="J288" i="2"/>
  <c r="I288" i="2"/>
  <c r="L287" i="2"/>
  <c r="K287" i="2"/>
  <c r="J287" i="2"/>
  <c r="I287" i="2"/>
  <c r="L286" i="2"/>
  <c r="K286" i="2"/>
  <c r="J286" i="2"/>
  <c r="I286" i="2"/>
  <c r="L285" i="2"/>
  <c r="K285" i="2"/>
  <c r="J285" i="2"/>
  <c r="I285" i="2"/>
  <c r="L284" i="2"/>
  <c r="K284" i="2"/>
  <c r="J284" i="2"/>
  <c r="I284" i="2"/>
  <c r="L283" i="2"/>
  <c r="K283" i="2"/>
  <c r="J283" i="2"/>
  <c r="I283" i="2"/>
  <c r="L282" i="2"/>
  <c r="K282" i="2"/>
  <c r="J282" i="2"/>
  <c r="I282" i="2"/>
  <c r="L281" i="2"/>
  <c r="K281" i="2"/>
  <c r="J281" i="2"/>
  <c r="I281" i="2"/>
  <c r="L280" i="2"/>
  <c r="K280" i="2"/>
  <c r="J280" i="2"/>
  <c r="I280" i="2"/>
  <c r="L279" i="2"/>
  <c r="K279" i="2"/>
  <c r="J279" i="2"/>
  <c r="I279" i="2"/>
  <c r="L278" i="2"/>
  <c r="K278" i="2"/>
  <c r="J278" i="2"/>
  <c r="I278" i="2"/>
  <c r="L277" i="2"/>
  <c r="K277" i="2"/>
  <c r="J277" i="2"/>
  <c r="I277" i="2"/>
  <c r="L276" i="2"/>
  <c r="K276" i="2"/>
  <c r="J276" i="2"/>
  <c r="I276" i="2"/>
  <c r="L275" i="2"/>
  <c r="K275" i="2"/>
  <c r="J275" i="2"/>
  <c r="I275" i="2"/>
  <c r="L274" i="2"/>
  <c r="K274" i="2"/>
  <c r="J274" i="2"/>
  <c r="I274" i="2"/>
  <c r="L273" i="2"/>
  <c r="K273" i="2"/>
  <c r="J273" i="2"/>
  <c r="I273" i="2"/>
  <c r="L272" i="2"/>
  <c r="K272" i="2"/>
  <c r="J272" i="2"/>
  <c r="I272" i="2"/>
  <c r="L271" i="2"/>
  <c r="K271" i="2"/>
  <c r="J271" i="2"/>
  <c r="I271" i="2"/>
  <c r="L270" i="2"/>
  <c r="K270" i="2"/>
  <c r="J270" i="2"/>
  <c r="I270" i="2"/>
  <c r="L269" i="2"/>
  <c r="K269" i="2"/>
  <c r="J269" i="2"/>
  <c r="I269" i="2"/>
  <c r="L268" i="2"/>
  <c r="K268" i="2"/>
  <c r="J268" i="2"/>
  <c r="I268" i="2"/>
  <c r="L267" i="2"/>
  <c r="K267" i="2"/>
  <c r="J267" i="2"/>
  <c r="I267" i="2"/>
  <c r="L266" i="2"/>
  <c r="K266" i="2"/>
  <c r="J266" i="2"/>
  <c r="I266" i="2"/>
  <c r="L265" i="2"/>
  <c r="K265" i="2"/>
  <c r="J265" i="2"/>
  <c r="I265" i="2"/>
  <c r="L264" i="2"/>
  <c r="K264" i="2"/>
  <c r="J264" i="2"/>
  <c r="I264" i="2"/>
  <c r="L263" i="2"/>
  <c r="K263" i="2"/>
  <c r="J263" i="2"/>
  <c r="I263" i="2"/>
  <c r="L262" i="2"/>
  <c r="K262" i="2"/>
  <c r="J262" i="2"/>
  <c r="I262" i="2"/>
  <c r="L261" i="2"/>
  <c r="K261" i="2"/>
  <c r="J261" i="2"/>
  <c r="I261" i="2"/>
  <c r="L260" i="2"/>
  <c r="K260" i="2"/>
  <c r="J260" i="2"/>
  <c r="I260" i="2"/>
  <c r="L259" i="2"/>
  <c r="K259" i="2"/>
  <c r="J259" i="2"/>
  <c r="I259" i="2"/>
  <c r="L258" i="2"/>
  <c r="K258" i="2"/>
  <c r="J258" i="2"/>
  <c r="I258" i="2"/>
  <c r="L257" i="2"/>
  <c r="K257" i="2"/>
  <c r="J257" i="2"/>
  <c r="I257" i="2"/>
  <c r="L256" i="2"/>
  <c r="K256" i="2"/>
  <c r="J256" i="2"/>
  <c r="I256" i="2"/>
  <c r="L255" i="2"/>
  <c r="K255" i="2"/>
  <c r="J255" i="2"/>
  <c r="I255" i="2"/>
  <c r="L254" i="2"/>
  <c r="K254" i="2"/>
  <c r="J254" i="2"/>
  <c r="I254" i="2"/>
  <c r="L253" i="2"/>
  <c r="K253" i="2"/>
  <c r="J253" i="2"/>
  <c r="I253" i="2"/>
  <c r="L252" i="2"/>
  <c r="K252" i="2"/>
  <c r="J252" i="2"/>
  <c r="I252" i="2"/>
  <c r="L251" i="2"/>
  <c r="K251" i="2"/>
  <c r="J251" i="2"/>
  <c r="I251" i="2"/>
  <c r="L250" i="2"/>
  <c r="K250" i="2"/>
  <c r="J250" i="2"/>
  <c r="I250" i="2"/>
  <c r="L249" i="2"/>
  <c r="K249" i="2"/>
  <c r="J249" i="2"/>
  <c r="I249" i="2"/>
  <c r="L248" i="2"/>
  <c r="K248" i="2"/>
  <c r="J248" i="2"/>
  <c r="I248" i="2"/>
  <c r="L247" i="2"/>
  <c r="K247" i="2"/>
  <c r="J247" i="2"/>
  <c r="I247" i="2"/>
  <c r="L246" i="2"/>
  <c r="K246" i="2"/>
  <c r="J246" i="2"/>
  <c r="I246" i="2"/>
  <c r="L245" i="2"/>
  <c r="K245" i="2"/>
  <c r="J245" i="2"/>
  <c r="I245" i="2"/>
  <c r="L244" i="2"/>
  <c r="K244" i="2"/>
  <c r="J244" i="2"/>
  <c r="I244" i="2"/>
  <c r="L243" i="2"/>
  <c r="K243" i="2"/>
  <c r="J243" i="2"/>
  <c r="I243" i="2"/>
  <c r="L242" i="2"/>
  <c r="K242" i="2"/>
  <c r="J242" i="2"/>
  <c r="I242" i="2"/>
  <c r="L241" i="2"/>
  <c r="K241" i="2"/>
  <c r="J241" i="2"/>
  <c r="I241" i="2"/>
  <c r="L240" i="2"/>
  <c r="K240" i="2"/>
  <c r="J240" i="2"/>
  <c r="I240" i="2"/>
  <c r="L239" i="2"/>
  <c r="K239" i="2"/>
  <c r="J239" i="2"/>
  <c r="I239" i="2"/>
  <c r="L238" i="2"/>
  <c r="K238" i="2"/>
  <c r="J238" i="2"/>
  <c r="I238" i="2"/>
  <c r="L237" i="2"/>
  <c r="K237" i="2"/>
  <c r="J237" i="2"/>
  <c r="I237" i="2"/>
  <c r="L236" i="2"/>
  <c r="K236" i="2"/>
  <c r="J236" i="2"/>
  <c r="I236" i="2"/>
  <c r="L235" i="2"/>
  <c r="K235" i="2"/>
  <c r="J235" i="2"/>
  <c r="I235" i="2"/>
  <c r="L234" i="2"/>
  <c r="K234" i="2"/>
  <c r="J234" i="2"/>
  <c r="I234" i="2"/>
  <c r="L233" i="2"/>
  <c r="K233" i="2"/>
  <c r="J233" i="2"/>
  <c r="I233" i="2"/>
  <c r="L232" i="2"/>
  <c r="K232" i="2"/>
  <c r="J232" i="2"/>
  <c r="I232" i="2"/>
  <c r="L231" i="2"/>
  <c r="K231" i="2"/>
  <c r="J231" i="2"/>
  <c r="I231" i="2"/>
  <c r="L230" i="2"/>
  <c r="K230" i="2"/>
  <c r="J230" i="2"/>
  <c r="I230" i="2"/>
  <c r="L229" i="2"/>
  <c r="K229" i="2"/>
  <c r="J229" i="2"/>
  <c r="I229" i="2"/>
  <c r="L228" i="2"/>
  <c r="K228" i="2"/>
  <c r="J228" i="2"/>
  <c r="I228" i="2"/>
  <c r="L227" i="2"/>
  <c r="K227" i="2"/>
  <c r="J227" i="2"/>
  <c r="I227" i="2"/>
  <c r="L226" i="2"/>
  <c r="K226" i="2"/>
  <c r="J226" i="2"/>
  <c r="I226" i="2"/>
  <c r="L225" i="2"/>
  <c r="K225" i="2"/>
  <c r="J225" i="2"/>
  <c r="I225" i="2"/>
  <c r="L224" i="2"/>
  <c r="K224" i="2"/>
  <c r="J224" i="2"/>
  <c r="I224" i="2"/>
  <c r="L223" i="2"/>
  <c r="K223" i="2"/>
  <c r="J223" i="2"/>
  <c r="I223" i="2"/>
  <c r="L222" i="2"/>
  <c r="K222" i="2"/>
  <c r="J222" i="2"/>
  <c r="I222" i="2"/>
  <c r="L221" i="2"/>
  <c r="K221" i="2"/>
  <c r="J221" i="2"/>
  <c r="I221" i="2"/>
  <c r="L220" i="2"/>
  <c r="K220" i="2"/>
  <c r="J220" i="2"/>
  <c r="I220" i="2"/>
  <c r="L219" i="2"/>
  <c r="K219" i="2"/>
  <c r="J219" i="2"/>
  <c r="I219" i="2"/>
  <c r="L218" i="2"/>
  <c r="K218" i="2"/>
  <c r="J218" i="2"/>
  <c r="I218" i="2"/>
  <c r="L217" i="2"/>
  <c r="K217" i="2"/>
  <c r="J217" i="2"/>
  <c r="I217" i="2"/>
  <c r="L216" i="2"/>
  <c r="K216" i="2"/>
  <c r="J216" i="2"/>
  <c r="I216" i="2"/>
  <c r="L215" i="2"/>
  <c r="K215" i="2"/>
  <c r="J215" i="2"/>
  <c r="I215" i="2"/>
  <c r="L214" i="2"/>
  <c r="K214" i="2"/>
  <c r="J214" i="2"/>
  <c r="I214" i="2"/>
  <c r="L213" i="2"/>
  <c r="K213" i="2"/>
  <c r="J213" i="2"/>
  <c r="I213" i="2"/>
  <c r="L212" i="2"/>
  <c r="K212" i="2"/>
  <c r="J212" i="2"/>
  <c r="I212" i="2"/>
  <c r="L211" i="2"/>
  <c r="K211" i="2"/>
  <c r="J211" i="2"/>
  <c r="I211" i="2"/>
  <c r="L210" i="2"/>
  <c r="K210" i="2"/>
  <c r="J210" i="2"/>
  <c r="I210" i="2"/>
  <c r="L209" i="2"/>
  <c r="K209" i="2"/>
  <c r="J209" i="2"/>
  <c r="I209" i="2"/>
  <c r="L208" i="2"/>
  <c r="K208" i="2"/>
  <c r="J208" i="2"/>
  <c r="I208" i="2"/>
  <c r="L207" i="2"/>
  <c r="K207" i="2"/>
  <c r="J207" i="2"/>
  <c r="I207" i="2"/>
  <c r="L206" i="2"/>
  <c r="K206" i="2"/>
  <c r="J206" i="2"/>
  <c r="I206" i="2"/>
  <c r="L205" i="2"/>
  <c r="K205" i="2"/>
  <c r="J205" i="2"/>
  <c r="I205" i="2"/>
  <c r="L204" i="2"/>
  <c r="K204" i="2"/>
  <c r="J204" i="2"/>
  <c r="I204" i="2"/>
  <c r="L203" i="2"/>
  <c r="K203" i="2"/>
  <c r="J203" i="2"/>
  <c r="I203" i="2"/>
  <c r="L202" i="2"/>
  <c r="K202" i="2"/>
  <c r="J202" i="2"/>
  <c r="I202" i="2"/>
  <c r="L201" i="2"/>
  <c r="K201" i="2"/>
  <c r="J201" i="2"/>
  <c r="I201" i="2"/>
  <c r="L200" i="2"/>
  <c r="K200" i="2"/>
  <c r="J200" i="2"/>
  <c r="I200" i="2"/>
  <c r="L199" i="2"/>
  <c r="K199" i="2"/>
  <c r="J199" i="2"/>
  <c r="I199" i="2"/>
  <c r="L198" i="2"/>
  <c r="K198" i="2"/>
  <c r="J198" i="2"/>
  <c r="I198" i="2"/>
  <c r="L197" i="2"/>
  <c r="K197" i="2"/>
  <c r="J197" i="2"/>
  <c r="I197" i="2"/>
  <c r="L196" i="2"/>
  <c r="K196" i="2"/>
  <c r="J196" i="2"/>
  <c r="I196" i="2"/>
  <c r="L195" i="2"/>
  <c r="K195" i="2"/>
  <c r="J195" i="2"/>
  <c r="I195" i="2"/>
  <c r="L194" i="2"/>
  <c r="K194" i="2"/>
  <c r="J194" i="2"/>
  <c r="I194" i="2"/>
  <c r="L193" i="2"/>
  <c r="K193" i="2"/>
  <c r="J193" i="2"/>
  <c r="I193" i="2"/>
  <c r="L192" i="2"/>
  <c r="K192" i="2"/>
  <c r="J192" i="2"/>
  <c r="I192" i="2"/>
  <c r="L191" i="2"/>
  <c r="K191" i="2"/>
  <c r="J191" i="2"/>
  <c r="I191" i="2"/>
  <c r="L190" i="2"/>
  <c r="K190" i="2"/>
  <c r="J190" i="2"/>
  <c r="I190" i="2"/>
  <c r="L189" i="2"/>
  <c r="K189" i="2"/>
  <c r="J189" i="2"/>
  <c r="I189" i="2"/>
  <c r="L188" i="2"/>
  <c r="K188" i="2"/>
  <c r="J188" i="2"/>
  <c r="I188" i="2"/>
  <c r="L187" i="2"/>
  <c r="K187" i="2"/>
  <c r="J187" i="2"/>
  <c r="I187" i="2"/>
  <c r="L186" i="2"/>
  <c r="K186" i="2"/>
  <c r="J186" i="2"/>
  <c r="I186" i="2"/>
  <c r="L185" i="2"/>
  <c r="K185" i="2"/>
  <c r="J185" i="2"/>
  <c r="I185" i="2"/>
  <c r="L184" i="2"/>
  <c r="K184" i="2"/>
  <c r="J184" i="2"/>
  <c r="I184" i="2"/>
  <c r="L183" i="2"/>
  <c r="K183" i="2"/>
  <c r="J183" i="2"/>
  <c r="I183" i="2"/>
  <c r="L182" i="2"/>
  <c r="K182" i="2"/>
  <c r="J182" i="2"/>
  <c r="I182" i="2"/>
  <c r="L181" i="2"/>
  <c r="K181" i="2"/>
  <c r="J181" i="2"/>
  <c r="I181" i="2"/>
  <c r="L180" i="2"/>
  <c r="K180" i="2"/>
  <c r="J180" i="2"/>
  <c r="I180" i="2"/>
  <c r="L179" i="2"/>
  <c r="K179" i="2"/>
  <c r="J179" i="2"/>
  <c r="I179" i="2"/>
  <c r="L178" i="2"/>
  <c r="K178" i="2"/>
  <c r="J178" i="2"/>
  <c r="I178" i="2"/>
  <c r="L177" i="2"/>
  <c r="K177" i="2"/>
  <c r="J177" i="2"/>
  <c r="I177" i="2"/>
  <c r="L176" i="2"/>
  <c r="K176" i="2"/>
  <c r="J176" i="2"/>
  <c r="I176" i="2"/>
  <c r="L175" i="2"/>
  <c r="K175" i="2"/>
  <c r="J175" i="2"/>
  <c r="I175" i="2"/>
  <c r="L174" i="2"/>
  <c r="K174" i="2"/>
  <c r="J174" i="2"/>
  <c r="I174" i="2"/>
  <c r="L173" i="2"/>
  <c r="K173" i="2"/>
  <c r="J173" i="2"/>
  <c r="I173" i="2"/>
  <c r="L172" i="2"/>
  <c r="K172" i="2"/>
  <c r="J172" i="2"/>
  <c r="I172" i="2"/>
  <c r="L171" i="2"/>
  <c r="K171" i="2"/>
  <c r="J171" i="2"/>
  <c r="I171" i="2"/>
  <c r="L170" i="2"/>
  <c r="K170" i="2"/>
  <c r="J170" i="2"/>
  <c r="I170" i="2"/>
  <c r="L169" i="2"/>
  <c r="K169" i="2"/>
  <c r="J169" i="2"/>
  <c r="I169" i="2"/>
  <c r="L168" i="2"/>
  <c r="K168" i="2"/>
  <c r="J168" i="2"/>
  <c r="I168" i="2"/>
  <c r="L167" i="2"/>
  <c r="K167" i="2"/>
  <c r="J167" i="2"/>
  <c r="I167" i="2"/>
  <c r="L166" i="2"/>
  <c r="K166" i="2"/>
  <c r="J166" i="2"/>
  <c r="I166" i="2"/>
  <c r="L165" i="2"/>
  <c r="K165" i="2"/>
  <c r="J165" i="2"/>
  <c r="I165" i="2"/>
  <c r="L164" i="2"/>
  <c r="K164" i="2"/>
  <c r="J164" i="2"/>
  <c r="I164" i="2"/>
  <c r="L163" i="2"/>
  <c r="K163" i="2"/>
  <c r="J163" i="2"/>
  <c r="I163" i="2"/>
  <c r="L162" i="2"/>
  <c r="K162" i="2"/>
  <c r="J162" i="2"/>
  <c r="I162" i="2"/>
  <c r="L161" i="2"/>
  <c r="K161" i="2"/>
  <c r="J161" i="2"/>
  <c r="I161" i="2"/>
  <c r="L160" i="2"/>
  <c r="K160" i="2"/>
  <c r="J160" i="2"/>
  <c r="I160" i="2"/>
  <c r="L159" i="2"/>
  <c r="K159" i="2"/>
  <c r="J159" i="2"/>
  <c r="I159" i="2"/>
  <c r="L158" i="2"/>
  <c r="K158" i="2"/>
  <c r="J158" i="2"/>
  <c r="I158" i="2"/>
  <c r="L157" i="2"/>
  <c r="K157" i="2"/>
  <c r="J157" i="2"/>
  <c r="I157" i="2"/>
  <c r="L156" i="2"/>
  <c r="K156" i="2"/>
  <c r="J156" i="2"/>
  <c r="I156" i="2"/>
  <c r="L155" i="2"/>
  <c r="K155" i="2"/>
  <c r="J155" i="2"/>
  <c r="I155" i="2"/>
  <c r="L154" i="2"/>
  <c r="K154" i="2"/>
  <c r="J154" i="2"/>
  <c r="I154" i="2"/>
  <c r="L153" i="2"/>
  <c r="K153" i="2"/>
  <c r="J153" i="2"/>
  <c r="I153" i="2"/>
  <c r="L152" i="2"/>
  <c r="K152" i="2"/>
  <c r="J152" i="2"/>
  <c r="I152" i="2"/>
  <c r="L151" i="2"/>
  <c r="K151" i="2"/>
  <c r="J151" i="2"/>
  <c r="I151" i="2"/>
  <c r="L150" i="2"/>
  <c r="K150" i="2"/>
  <c r="J150" i="2"/>
  <c r="I150" i="2"/>
  <c r="L149" i="2"/>
  <c r="K149" i="2"/>
  <c r="J149" i="2"/>
  <c r="I149" i="2"/>
  <c r="L148" i="2"/>
  <c r="K148" i="2"/>
  <c r="J148" i="2"/>
  <c r="I148" i="2"/>
  <c r="L147" i="2"/>
  <c r="K147" i="2"/>
  <c r="J147" i="2"/>
  <c r="I147" i="2"/>
  <c r="L146" i="2"/>
  <c r="K146" i="2"/>
  <c r="J146" i="2"/>
  <c r="I146" i="2"/>
  <c r="L145" i="2"/>
  <c r="K145" i="2"/>
  <c r="J145" i="2"/>
  <c r="I145" i="2"/>
  <c r="L144" i="2"/>
  <c r="K144" i="2"/>
  <c r="J144" i="2"/>
  <c r="I144" i="2"/>
  <c r="L143" i="2"/>
  <c r="K143" i="2"/>
  <c r="J143" i="2"/>
  <c r="I143" i="2"/>
  <c r="L142" i="2"/>
  <c r="K142" i="2"/>
  <c r="J142" i="2"/>
  <c r="I142" i="2"/>
  <c r="L141" i="2"/>
  <c r="K141" i="2"/>
  <c r="J141" i="2"/>
  <c r="I141" i="2"/>
  <c r="L140" i="2"/>
  <c r="K140" i="2"/>
  <c r="J140" i="2"/>
  <c r="I140" i="2"/>
  <c r="L139" i="2"/>
  <c r="K139" i="2"/>
  <c r="J139" i="2"/>
  <c r="I139" i="2"/>
  <c r="L138" i="2"/>
  <c r="K138" i="2"/>
  <c r="J138" i="2"/>
  <c r="I138" i="2"/>
  <c r="L137" i="2"/>
  <c r="K137" i="2"/>
  <c r="J137" i="2"/>
  <c r="I137" i="2"/>
  <c r="L136" i="2"/>
  <c r="K136" i="2"/>
  <c r="J136" i="2"/>
  <c r="I136" i="2"/>
  <c r="L135" i="2"/>
  <c r="K135" i="2"/>
  <c r="J135" i="2"/>
  <c r="I135" i="2"/>
  <c r="L134" i="2"/>
  <c r="K134" i="2"/>
  <c r="J134" i="2"/>
  <c r="I134" i="2"/>
  <c r="L133" i="2"/>
  <c r="K133" i="2"/>
  <c r="J133" i="2"/>
  <c r="I133" i="2"/>
  <c r="L132" i="2"/>
  <c r="K132" i="2"/>
  <c r="J132" i="2"/>
  <c r="I132" i="2"/>
  <c r="L131" i="2"/>
  <c r="K131" i="2"/>
  <c r="J131" i="2"/>
  <c r="I131" i="2"/>
  <c r="L130" i="2"/>
  <c r="K130" i="2"/>
  <c r="J130" i="2"/>
  <c r="I130" i="2"/>
  <c r="L129" i="2"/>
  <c r="K129" i="2"/>
  <c r="J129" i="2"/>
  <c r="I129" i="2"/>
  <c r="L128" i="2"/>
  <c r="K128" i="2"/>
  <c r="J128" i="2"/>
  <c r="I128" i="2"/>
  <c r="L127" i="2"/>
  <c r="K127" i="2"/>
  <c r="J127" i="2"/>
  <c r="I127" i="2"/>
  <c r="L126" i="2"/>
  <c r="K126" i="2"/>
  <c r="J126" i="2"/>
  <c r="I126" i="2"/>
  <c r="L125" i="2"/>
  <c r="K125" i="2"/>
  <c r="J125" i="2"/>
  <c r="I125" i="2"/>
  <c r="L124" i="2"/>
  <c r="K124" i="2"/>
  <c r="J124" i="2"/>
  <c r="I124" i="2"/>
  <c r="L123" i="2"/>
  <c r="K123" i="2"/>
  <c r="J123" i="2"/>
  <c r="I123" i="2"/>
  <c r="L122" i="2"/>
  <c r="K122" i="2"/>
  <c r="J122" i="2"/>
  <c r="I122" i="2"/>
  <c r="L121" i="2"/>
  <c r="K121" i="2"/>
  <c r="J121" i="2"/>
  <c r="I121" i="2"/>
  <c r="L120" i="2"/>
  <c r="K120" i="2"/>
  <c r="J120" i="2"/>
  <c r="I120" i="2"/>
  <c r="L119" i="2"/>
  <c r="K119" i="2"/>
  <c r="J119" i="2"/>
  <c r="I119" i="2"/>
  <c r="L118" i="2"/>
  <c r="K118" i="2"/>
  <c r="J118" i="2"/>
  <c r="I118" i="2"/>
  <c r="L117" i="2"/>
  <c r="K117" i="2"/>
  <c r="J117" i="2"/>
  <c r="I117" i="2"/>
  <c r="L116" i="2"/>
  <c r="K116" i="2"/>
  <c r="J116" i="2"/>
  <c r="I116" i="2"/>
  <c r="L115" i="2"/>
  <c r="K115" i="2"/>
  <c r="J115" i="2"/>
  <c r="I115" i="2"/>
  <c r="L114" i="2"/>
  <c r="K114" i="2"/>
  <c r="J114" i="2"/>
  <c r="I114" i="2"/>
  <c r="L113" i="2"/>
  <c r="K113" i="2"/>
  <c r="J113" i="2"/>
  <c r="I113" i="2"/>
  <c r="L112" i="2"/>
  <c r="K112" i="2"/>
  <c r="J112" i="2"/>
  <c r="I112" i="2"/>
  <c r="L111" i="2"/>
  <c r="K111" i="2"/>
  <c r="J111" i="2"/>
  <c r="I111" i="2"/>
  <c r="L110" i="2"/>
  <c r="K110" i="2"/>
  <c r="J110" i="2"/>
  <c r="I110" i="2"/>
  <c r="L109" i="2"/>
  <c r="K109" i="2"/>
  <c r="J109" i="2"/>
  <c r="I109" i="2"/>
  <c r="L108" i="2"/>
  <c r="K108" i="2"/>
  <c r="J108" i="2"/>
  <c r="I108" i="2"/>
  <c r="L107" i="2"/>
  <c r="K107" i="2"/>
  <c r="J107" i="2"/>
  <c r="I107" i="2"/>
  <c r="L106" i="2"/>
  <c r="K106" i="2"/>
  <c r="J106" i="2"/>
  <c r="I106" i="2"/>
  <c r="L105" i="2"/>
  <c r="K105" i="2"/>
  <c r="J105" i="2"/>
  <c r="I105" i="2"/>
  <c r="L104" i="2"/>
  <c r="K104" i="2"/>
  <c r="J104" i="2"/>
  <c r="I104" i="2"/>
  <c r="L103" i="2"/>
  <c r="K103" i="2"/>
  <c r="J103" i="2"/>
  <c r="I103" i="2"/>
  <c r="L102" i="2"/>
  <c r="K102" i="2"/>
  <c r="J102" i="2"/>
  <c r="I102" i="2"/>
  <c r="L101" i="2"/>
  <c r="K101" i="2"/>
  <c r="J101" i="2"/>
  <c r="I101" i="2"/>
  <c r="L100" i="2"/>
  <c r="K100" i="2"/>
  <c r="J100" i="2"/>
  <c r="I100" i="2"/>
  <c r="L99" i="2"/>
  <c r="K99" i="2"/>
  <c r="J99" i="2"/>
  <c r="I99" i="2"/>
  <c r="L98" i="2"/>
  <c r="K98" i="2"/>
  <c r="J98" i="2"/>
  <c r="I98" i="2"/>
  <c r="L97" i="2"/>
  <c r="K97" i="2"/>
  <c r="J97" i="2"/>
  <c r="I97" i="2"/>
  <c r="L96" i="2"/>
  <c r="K96" i="2"/>
  <c r="J96" i="2"/>
  <c r="I96" i="2"/>
  <c r="L95" i="2"/>
  <c r="K95" i="2"/>
  <c r="J95" i="2"/>
  <c r="I95" i="2"/>
  <c r="L94" i="2"/>
  <c r="K94" i="2"/>
  <c r="J94" i="2"/>
  <c r="I94" i="2"/>
  <c r="L93" i="2"/>
  <c r="K93" i="2"/>
  <c r="J93" i="2"/>
  <c r="I93" i="2"/>
  <c r="L92" i="2"/>
  <c r="K92" i="2"/>
  <c r="J92" i="2"/>
  <c r="I92" i="2"/>
  <c r="L91" i="2"/>
  <c r="K91" i="2"/>
  <c r="J91" i="2"/>
  <c r="I91" i="2"/>
  <c r="L90" i="2"/>
  <c r="K90" i="2"/>
  <c r="J90" i="2"/>
  <c r="I90" i="2"/>
  <c r="L89" i="2"/>
  <c r="K89" i="2"/>
  <c r="J89" i="2"/>
  <c r="I89" i="2"/>
  <c r="L88" i="2"/>
  <c r="K88" i="2"/>
  <c r="J88" i="2"/>
  <c r="I88" i="2"/>
  <c r="L87" i="2"/>
  <c r="K87" i="2"/>
  <c r="J87" i="2"/>
  <c r="I87" i="2"/>
  <c r="L86" i="2"/>
  <c r="K86" i="2"/>
  <c r="J86" i="2"/>
  <c r="I86" i="2"/>
  <c r="L85" i="2"/>
  <c r="K85" i="2"/>
  <c r="J85" i="2"/>
  <c r="I85" i="2"/>
  <c r="L84" i="2"/>
  <c r="K84" i="2"/>
  <c r="J84" i="2"/>
  <c r="I84" i="2"/>
  <c r="L83" i="2"/>
  <c r="K83" i="2"/>
  <c r="J83" i="2"/>
  <c r="I83" i="2"/>
  <c r="L82" i="2"/>
  <c r="K82" i="2"/>
  <c r="J82" i="2"/>
  <c r="I82" i="2"/>
  <c r="L81" i="2"/>
  <c r="K81" i="2"/>
  <c r="J81" i="2"/>
  <c r="I81" i="2"/>
  <c r="L80" i="2"/>
  <c r="K80" i="2"/>
  <c r="J80" i="2"/>
  <c r="I80" i="2"/>
  <c r="L79" i="2"/>
  <c r="K79" i="2"/>
  <c r="J79" i="2"/>
  <c r="I79" i="2"/>
  <c r="L78" i="2"/>
  <c r="K78" i="2"/>
  <c r="J78" i="2"/>
  <c r="I78" i="2"/>
  <c r="L77" i="2"/>
  <c r="K77" i="2"/>
  <c r="J77" i="2"/>
  <c r="I77" i="2"/>
  <c r="L76" i="2"/>
  <c r="K76" i="2"/>
  <c r="J76" i="2"/>
  <c r="I76" i="2"/>
  <c r="L75" i="2"/>
  <c r="K75" i="2"/>
  <c r="J75" i="2"/>
  <c r="I75" i="2"/>
  <c r="L74" i="2"/>
  <c r="K74" i="2"/>
  <c r="J74" i="2"/>
  <c r="I74" i="2"/>
  <c r="L73" i="2"/>
  <c r="K73" i="2"/>
  <c r="J73" i="2"/>
  <c r="I73" i="2"/>
  <c r="L72" i="2"/>
  <c r="K72" i="2"/>
  <c r="J72" i="2"/>
  <c r="I72" i="2"/>
  <c r="L71" i="2"/>
  <c r="K71" i="2"/>
  <c r="J71" i="2"/>
  <c r="I71" i="2"/>
  <c r="L70" i="2"/>
  <c r="K70" i="2"/>
  <c r="J70" i="2"/>
  <c r="I70" i="2"/>
  <c r="L69" i="2"/>
  <c r="K69" i="2"/>
  <c r="J69" i="2"/>
  <c r="I69" i="2"/>
  <c r="L68" i="2"/>
  <c r="K68" i="2"/>
  <c r="J68" i="2"/>
  <c r="I68" i="2"/>
  <c r="L67" i="2"/>
  <c r="K67" i="2"/>
  <c r="J67" i="2"/>
  <c r="I67" i="2"/>
  <c r="L66" i="2"/>
  <c r="K66" i="2"/>
  <c r="J66" i="2"/>
  <c r="I66" i="2"/>
  <c r="L65" i="2"/>
  <c r="K65" i="2"/>
  <c r="J65" i="2"/>
  <c r="I65" i="2"/>
  <c r="L64" i="2"/>
  <c r="K64" i="2"/>
  <c r="J64" i="2"/>
  <c r="I64" i="2"/>
  <c r="L63" i="2"/>
  <c r="K63" i="2"/>
  <c r="J63" i="2"/>
  <c r="I63" i="2"/>
  <c r="L62" i="2"/>
  <c r="K62" i="2"/>
  <c r="J62" i="2"/>
  <c r="I62" i="2"/>
  <c r="L61" i="2"/>
  <c r="K61" i="2"/>
  <c r="J61" i="2"/>
  <c r="I61" i="2"/>
  <c r="L60" i="2"/>
  <c r="K60" i="2"/>
  <c r="J60" i="2"/>
  <c r="I60" i="2"/>
  <c r="L59" i="2"/>
  <c r="K59" i="2"/>
  <c r="J59" i="2"/>
  <c r="I59" i="2"/>
  <c r="L58" i="2"/>
  <c r="K58" i="2"/>
  <c r="J58" i="2"/>
  <c r="I58" i="2"/>
  <c r="L57" i="2"/>
  <c r="K57" i="2"/>
  <c r="J57" i="2"/>
  <c r="I57" i="2"/>
  <c r="L56" i="2"/>
  <c r="K56" i="2"/>
  <c r="J56" i="2"/>
  <c r="I56" i="2"/>
  <c r="L55" i="2"/>
  <c r="K55" i="2"/>
  <c r="J55" i="2"/>
  <c r="I55" i="2"/>
  <c r="L54" i="2"/>
  <c r="K54" i="2"/>
  <c r="J54" i="2"/>
  <c r="I54" i="2"/>
  <c r="L53" i="2"/>
  <c r="K53" i="2"/>
  <c r="J53" i="2"/>
  <c r="I53" i="2"/>
  <c r="L52" i="2"/>
  <c r="K52" i="2"/>
  <c r="J52" i="2"/>
  <c r="I52" i="2"/>
  <c r="L51" i="2"/>
  <c r="K51" i="2"/>
  <c r="J51" i="2"/>
  <c r="I51" i="2"/>
  <c r="L50" i="2"/>
  <c r="K50" i="2"/>
  <c r="J50" i="2"/>
  <c r="I50" i="2"/>
  <c r="L49" i="2"/>
  <c r="K49" i="2"/>
  <c r="J49" i="2"/>
  <c r="I49" i="2"/>
  <c r="L48" i="2"/>
  <c r="K48" i="2"/>
  <c r="J48" i="2"/>
  <c r="I48" i="2"/>
  <c r="L47" i="2"/>
  <c r="K47" i="2"/>
  <c r="J47" i="2"/>
  <c r="I47" i="2"/>
  <c r="L46" i="2"/>
  <c r="K46" i="2"/>
  <c r="J46" i="2"/>
  <c r="I46" i="2"/>
  <c r="L45" i="2"/>
  <c r="K45" i="2"/>
  <c r="J45" i="2"/>
  <c r="I45" i="2"/>
  <c r="L44" i="2"/>
  <c r="K44" i="2"/>
  <c r="J44" i="2"/>
  <c r="I44" i="2"/>
  <c r="L43" i="2"/>
  <c r="K43" i="2"/>
  <c r="J43" i="2"/>
  <c r="I43" i="2"/>
  <c r="L42" i="2"/>
  <c r="K42" i="2"/>
  <c r="J42" i="2"/>
  <c r="I42" i="2"/>
  <c r="L41" i="2"/>
  <c r="K41" i="2"/>
  <c r="J41" i="2"/>
  <c r="I41" i="2"/>
  <c r="L40" i="2"/>
  <c r="K40" i="2"/>
  <c r="J40" i="2"/>
  <c r="I40" i="2"/>
  <c r="L39" i="2"/>
  <c r="K39" i="2"/>
  <c r="J39" i="2"/>
  <c r="I39" i="2"/>
  <c r="L38" i="2"/>
  <c r="K38" i="2"/>
  <c r="J38" i="2"/>
  <c r="I38" i="2"/>
  <c r="L37" i="2"/>
  <c r="K37" i="2"/>
  <c r="J37" i="2"/>
  <c r="I37" i="2"/>
  <c r="L36" i="2"/>
  <c r="K36" i="2"/>
  <c r="J36" i="2"/>
  <c r="I36" i="2"/>
  <c r="L35" i="2"/>
  <c r="K35" i="2"/>
  <c r="J35" i="2"/>
  <c r="I35" i="2"/>
  <c r="L34" i="2"/>
  <c r="K34" i="2"/>
  <c r="J34" i="2"/>
  <c r="I34" i="2"/>
  <c r="L33" i="2"/>
  <c r="K33" i="2"/>
  <c r="J33" i="2"/>
  <c r="I33" i="2"/>
  <c r="L32" i="2"/>
  <c r="K32" i="2"/>
  <c r="J32" i="2"/>
  <c r="I32" i="2"/>
  <c r="L31" i="2"/>
  <c r="K31" i="2"/>
  <c r="J31" i="2"/>
  <c r="I31" i="2"/>
  <c r="L30" i="2"/>
  <c r="K30" i="2"/>
  <c r="J30" i="2"/>
  <c r="I30" i="2"/>
  <c r="L29" i="2"/>
  <c r="K29" i="2"/>
  <c r="J29" i="2"/>
  <c r="I29" i="2"/>
  <c r="L28" i="2"/>
  <c r="K28" i="2"/>
  <c r="J28" i="2"/>
  <c r="I28" i="2"/>
  <c r="L27" i="2"/>
  <c r="K27" i="2"/>
  <c r="J27" i="2"/>
  <c r="I27" i="2"/>
  <c r="L26" i="2"/>
  <c r="K26" i="2"/>
  <c r="J26" i="2"/>
  <c r="I26" i="2"/>
  <c r="L25" i="2"/>
  <c r="K25" i="2"/>
  <c r="J25" i="2"/>
  <c r="I25" i="2"/>
  <c r="L24" i="2"/>
  <c r="K24" i="2"/>
  <c r="J24" i="2"/>
  <c r="I24" i="2"/>
  <c r="L23" i="2"/>
  <c r="K23" i="2"/>
  <c r="J23" i="2"/>
  <c r="I23" i="2"/>
  <c r="L22" i="2"/>
  <c r="K22" i="2"/>
  <c r="J22" i="2"/>
  <c r="I22" i="2"/>
  <c r="L21" i="2"/>
  <c r="K21" i="2"/>
  <c r="J21" i="2"/>
  <c r="I21" i="2"/>
  <c r="L20" i="2"/>
  <c r="K20" i="2"/>
  <c r="J20" i="2"/>
  <c r="I20" i="2"/>
  <c r="L19" i="2"/>
  <c r="K19" i="2"/>
  <c r="J19" i="2"/>
  <c r="I19" i="2"/>
  <c r="L18" i="2"/>
  <c r="K18" i="2"/>
  <c r="J18" i="2"/>
  <c r="I18" i="2"/>
  <c r="L17" i="2"/>
  <c r="K17" i="2"/>
  <c r="J17" i="2"/>
  <c r="I17" i="2"/>
  <c r="L16" i="2"/>
  <c r="K16" i="2"/>
  <c r="J16" i="2"/>
  <c r="I16" i="2"/>
  <c r="L15" i="2"/>
  <c r="K15" i="2"/>
  <c r="J15" i="2"/>
  <c r="I15" i="2"/>
  <c r="L14" i="2"/>
  <c r="K14" i="2"/>
  <c r="J14" i="2"/>
  <c r="I14" i="2"/>
  <c r="L13" i="2"/>
  <c r="K13" i="2"/>
  <c r="J13" i="2"/>
  <c r="I13" i="2"/>
  <c r="L12" i="2"/>
  <c r="K12" i="2"/>
  <c r="J12" i="2"/>
  <c r="I12" i="2"/>
  <c r="L11" i="2"/>
  <c r="K11" i="2"/>
  <c r="J11" i="2"/>
  <c r="I11" i="2"/>
  <c r="L10" i="2"/>
  <c r="K10" i="2"/>
  <c r="J10" i="2"/>
  <c r="I10" i="2"/>
  <c r="L9" i="2"/>
  <c r="K9" i="2"/>
  <c r="J9" i="2"/>
  <c r="I9" i="2"/>
  <c r="L8" i="2"/>
  <c r="K8" i="2"/>
  <c r="J8" i="2"/>
  <c r="I8" i="2"/>
  <c r="L7" i="2"/>
  <c r="K7" i="2"/>
  <c r="J7" i="2"/>
  <c r="I7" i="2"/>
  <c r="L6" i="2"/>
  <c r="K6" i="2"/>
  <c r="J6" i="2"/>
  <c r="I6" i="2"/>
  <c r="L5" i="2"/>
  <c r="K5" i="2"/>
  <c r="J5" i="2"/>
  <c r="I5" i="2"/>
  <c r="J2000" i="1"/>
  <c r="C2000" i="1" s="1"/>
  <c r="F2000" i="1"/>
  <c r="E2000" i="1"/>
  <c r="D2000" i="1"/>
  <c r="B2000" i="1"/>
  <c r="A2000" i="1"/>
  <c r="J1999" i="1"/>
  <c r="J1998" i="1"/>
  <c r="G1998" i="1" s="1"/>
  <c r="E1998" i="1"/>
  <c r="D1998" i="1"/>
  <c r="B1998" i="1"/>
  <c r="J1997" i="1"/>
  <c r="D1997" i="1" s="1"/>
  <c r="J1996" i="1"/>
  <c r="F1996" i="1"/>
  <c r="E1996" i="1"/>
  <c r="J1995" i="1"/>
  <c r="G1995" i="1" s="1"/>
  <c r="C1995" i="1"/>
  <c r="J1994" i="1"/>
  <c r="G1994" i="1"/>
  <c r="F1994" i="1"/>
  <c r="E1994" i="1"/>
  <c r="D1994" i="1"/>
  <c r="C1994" i="1"/>
  <c r="J1993" i="1"/>
  <c r="J1992" i="1"/>
  <c r="A1992" i="1"/>
  <c r="J1991" i="1"/>
  <c r="A1991" i="1" s="1"/>
  <c r="D1991" i="1"/>
  <c r="B1991" i="1"/>
  <c r="J1990" i="1"/>
  <c r="C1990" i="1" s="1"/>
  <c r="J1989" i="1"/>
  <c r="A1989" i="1"/>
  <c r="J1988" i="1"/>
  <c r="G1988" i="1" s="1"/>
  <c r="C1988" i="1"/>
  <c r="B1988" i="1"/>
  <c r="J1987" i="1"/>
  <c r="G1987" i="1" s="1"/>
  <c r="E1987" i="1"/>
  <c r="D1987" i="1"/>
  <c r="B1987" i="1"/>
  <c r="J1986" i="1"/>
  <c r="E1986" i="1"/>
  <c r="J1985" i="1"/>
  <c r="G1985" i="1" s="1"/>
  <c r="E1985" i="1"/>
  <c r="B1985" i="1"/>
  <c r="J1984" i="1"/>
  <c r="J1983" i="1"/>
  <c r="F1983" i="1"/>
  <c r="E1983" i="1"/>
  <c r="B1983" i="1"/>
  <c r="J1982" i="1"/>
  <c r="G1982" i="1" s="1"/>
  <c r="C1982" i="1"/>
  <c r="J1981" i="1"/>
  <c r="G1981" i="1" s="1"/>
  <c r="E1981" i="1"/>
  <c r="J1980" i="1"/>
  <c r="G1980" i="1" s="1"/>
  <c r="J1979" i="1"/>
  <c r="D1979" i="1" s="1"/>
  <c r="J1978" i="1"/>
  <c r="C1978" i="1" s="1"/>
  <c r="G1978" i="1"/>
  <c r="E1978" i="1"/>
  <c r="B1978" i="1"/>
  <c r="J1977" i="1"/>
  <c r="D1977" i="1"/>
  <c r="J1976" i="1"/>
  <c r="J1975" i="1"/>
  <c r="E1975" i="1"/>
  <c r="J1974" i="1"/>
  <c r="G1974" i="1" s="1"/>
  <c r="D1974" i="1"/>
  <c r="J1973" i="1"/>
  <c r="D1973" i="1" s="1"/>
  <c r="J1972" i="1"/>
  <c r="A1972" i="1" s="1"/>
  <c r="J1971" i="1"/>
  <c r="G1971" i="1" s="1"/>
  <c r="F1971" i="1"/>
  <c r="J1970" i="1"/>
  <c r="B1970" i="1" s="1"/>
  <c r="G1970" i="1"/>
  <c r="J1969" i="1"/>
  <c r="E1969" i="1" s="1"/>
  <c r="A1969" i="1"/>
  <c r="J1968" i="1"/>
  <c r="J1967" i="1"/>
  <c r="J1966" i="1"/>
  <c r="J1965" i="1"/>
  <c r="J1964" i="1"/>
  <c r="D1964" i="1" s="1"/>
  <c r="J1963" i="1"/>
  <c r="D1963" i="1" s="1"/>
  <c r="E1963" i="1"/>
  <c r="J1962" i="1"/>
  <c r="J1961" i="1"/>
  <c r="D1961" i="1" s="1"/>
  <c r="J1960" i="1"/>
  <c r="J1959" i="1"/>
  <c r="J1958" i="1"/>
  <c r="E1958" i="1"/>
  <c r="J1957" i="1"/>
  <c r="F1957" i="1"/>
  <c r="E1957" i="1"/>
  <c r="D1957" i="1"/>
  <c r="B1957" i="1"/>
  <c r="A1957" i="1"/>
  <c r="J1956" i="1"/>
  <c r="E1956" i="1" s="1"/>
  <c r="J1955" i="1"/>
  <c r="F1955" i="1" s="1"/>
  <c r="E1955" i="1"/>
  <c r="D1955" i="1"/>
  <c r="J1954" i="1"/>
  <c r="D1954" i="1" s="1"/>
  <c r="J1953" i="1"/>
  <c r="J1952" i="1"/>
  <c r="J1951" i="1"/>
  <c r="A1951" i="1" s="1"/>
  <c r="J1950" i="1"/>
  <c r="J1949" i="1"/>
  <c r="E1949" i="1"/>
  <c r="J1948" i="1"/>
  <c r="J1947" i="1"/>
  <c r="E1947" i="1"/>
  <c r="J1946" i="1"/>
  <c r="J1945" i="1"/>
  <c r="J1944" i="1"/>
  <c r="C1944" i="1" s="1"/>
  <c r="G1944" i="1"/>
  <c r="D1944" i="1"/>
  <c r="J1943" i="1"/>
  <c r="F1943" i="1" s="1"/>
  <c r="J1942" i="1"/>
  <c r="G1942" i="1"/>
  <c r="D1942" i="1"/>
  <c r="C1942" i="1"/>
  <c r="J1941" i="1"/>
  <c r="C1941" i="1" s="1"/>
  <c r="G1941" i="1"/>
  <c r="F1941" i="1"/>
  <c r="E1941" i="1"/>
  <c r="D1941" i="1"/>
  <c r="B1941" i="1"/>
  <c r="A1941" i="1"/>
  <c r="J1940" i="1"/>
  <c r="B1940" i="1"/>
  <c r="A1940" i="1"/>
  <c r="J1939" i="1"/>
  <c r="F1939" i="1" s="1"/>
  <c r="C1939" i="1"/>
  <c r="J1938" i="1"/>
  <c r="G1938" i="1" s="1"/>
  <c r="E1938" i="1"/>
  <c r="D1938" i="1"/>
  <c r="C1938" i="1"/>
  <c r="J1937" i="1"/>
  <c r="E1937" i="1" s="1"/>
  <c r="J1936" i="1"/>
  <c r="G1936" i="1" s="1"/>
  <c r="J1935" i="1"/>
  <c r="J1934" i="1"/>
  <c r="B1934" i="1" s="1"/>
  <c r="J1933" i="1"/>
  <c r="A1933" i="1" s="1"/>
  <c r="J1932" i="1"/>
  <c r="J1931" i="1"/>
  <c r="A1931" i="1" s="1"/>
  <c r="D1931" i="1"/>
  <c r="C1931" i="1"/>
  <c r="J1930" i="1"/>
  <c r="G1930" i="1" s="1"/>
  <c r="J1929" i="1"/>
  <c r="G1929" i="1" s="1"/>
  <c r="J1928" i="1"/>
  <c r="J1927" i="1"/>
  <c r="F1927" i="1" s="1"/>
  <c r="J1926" i="1"/>
  <c r="G1926" i="1" s="1"/>
  <c r="J1925" i="1"/>
  <c r="A1925" i="1" s="1"/>
  <c r="J1924" i="1"/>
  <c r="D1924" i="1" s="1"/>
  <c r="G1924" i="1"/>
  <c r="F1924" i="1"/>
  <c r="E1924" i="1"/>
  <c r="C1924" i="1"/>
  <c r="B1924" i="1"/>
  <c r="A1924" i="1"/>
  <c r="J1923" i="1"/>
  <c r="D1923" i="1" s="1"/>
  <c r="G1923" i="1"/>
  <c r="F1923" i="1"/>
  <c r="E1923" i="1"/>
  <c r="B1923" i="1"/>
  <c r="A1923" i="1"/>
  <c r="J1922" i="1"/>
  <c r="B1922" i="1" s="1"/>
  <c r="F1922" i="1"/>
  <c r="J1921" i="1"/>
  <c r="J1920" i="1"/>
  <c r="J1919" i="1"/>
  <c r="D1919" i="1" s="1"/>
  <c r="J1918" i="1"/>
  <c r="J1917" i="1"/>
  <c r="E1917" i="1" s="1"/>
  <c r="J1916" i="1"/>
  <c r="E1916" i="1"/>
  <c r="D1916" i="1"/>
  <c r="J1915" i="1"/>
  <c r="J1914" i="1"/>
  <c r="C1914" i="1" s="1"/>
  <c r="G1914" i="1"/>
  <c r="D1914" i="1"/>
  <c r="B1914" i="1"/>
  <c r="J1913" i="1"/>
  <c r="F1913" i="1" s="1"/>
  <c r="G1913" i="1"/>
  <c r="E1913" i="1"/>
  <c r="B1913" i="1"/>
  <c r="J1912" i="1"/>
  <c r="F1912" i="1" s="1"/>
  <c r="E1912" i="1"/>
  <c r="J1911" i="1"/>
  <c r="J1910" i="1"/>
  <c r="J1909" i="1"/>
  <c r="B1909" i="1" s="1"/>
  <c r="G1909" i="1"/>
  <c r="E1909" i="1"/>
  <c r="A1909" i="1"/>
  <c r="J1908" i="1"/>
  <c r="D1908" i="1" s="1"/>
  <c r="G1908" i="1"/>
  <c r="F1908" i="1"/>
  <c r="C1908" i="1"/>
  <c r="J1907" i="1"/>
  <c r="G1907" i="1"/>
  <c r="J1906" i="1"/>
  <c r="J1905" i="1"/>
  <c r="J1904" i="1"/>
  <c r="F1904" i="1" s="1"/>
  <c r="G1904" i="1"/>
  <c r="B1904" i="1"/>
  <c r="J1903" i="1"/>
  <c r="D1903" i="1" s="1"/>
  <c r="B1903" i="1"/>
  <c r="J1902" i="1"/>
  <c r="J1901" i="1"/>
  <c r="F1901" i="1" s="1"/>
  <c r="J1900" i="1"/>
  <c r="D1900" i="1" s="1"/>
  <c r="G1900" i="1"/>
  <c r="E1900" i="1"/>
  <c r="A1900" i="1"/>
  <c r="J1899" i="1"/>
  <c r="J1898" i="1"/>
  <c r="J1897" i="1"/>
  <c r="J1896" i="1"/>
  <c r="G1896" i="1"/>
  <c r="J1895" i="1"/>
  <c r="J1894" i="1"/>
  <c r="C1894" i="1" s="1"/>
  <c r="F1894" i="1"/>
  <c r="J1893" i="1"/>
  <c r="E1893" i="1" s="1"/>
  <c r="J1892" i="1"/>
  <c r="G1892" i="1" s="1"/>
  <c r="C1892" i="1"/>
  <c r="J1891" i="1"/>
  <c r="E1891" i="1"/>
  <c r="A1891" i="1"/>
  <c r="J1890" i="1"/>
  <c r="C1890" i="1"/>
  <c r="B1890" i="1"/>
  <c r="J1889" i="1"/>
  <c r="J1888" i="1"/>
  <c r="F1888" i="1"/>
  <c r="E1888" i="1"/>
  <c r="J1887" i="1"/>
  <c r="J1886" i="1"/>
  <c r="E1886" i="1"/>
  <c r="B1886" i="1"/>
  <c r="J1885" i="1"/>
  <c r="E1885" i="1" s="1"/>
  <c r="D1885" i="1"/>
  <c r="B1885" i="1"/>
  <c r="J1884" i="1"/>
  <c r="B1884" i="1" s="1"/>
  <c r="J1883" i="1"/>
  <c r="A1883" i="1" s="1"/>
  <c r="D1883" i="1"/>
  <c r="J1882" i="1"/>
  <c r="E1882" i="1" s="1"/>
  <c r="C1882" i="1"/>
  <c r="J1881" i="1"/>
  <c r="G1881" i="1" s="1"/>
  <c r="E1881" i="1"/>
  <c r="D1881" i="1"/>
  <c r="B1881" i="1"/>
  <c r="J1880" i="1"/>
  <c r="A1880" i="1" s="1"/>
  <c r="J1879" i="1"/>
  <c r="G1879" i="1" s="1"/>
  <c r="C1879" i="1"/>
  <c r="J1878" i="1"/>
  <c r="J1877" i="1"/>
  <c r="A1877" i="1" s="1"/>
  <c r="J1876" i="1"/>
  <c r="J1875" i="1"/>
  <c r="J1874" i="1"/>
  <c r="B1874" i="1"/>
  <c r="J1873" i="1"/>
  <c r="G1873" i="1" s="1"/>
  <c r="E1873" i="1"/>
  <c r="B1873" i="1"/>
  <c r="A1873" i="1"/>
  <c r="J1872" i="1"/>
  <c r="B1872" i="1" s="1"/>
  <c r="J1871" i="1"/>
  <c r="J1870" i="1"/>
  <c r="C1870" i="1" s="1"/>
  <c r="F1870" i="1"/>
  <c r="J1869" i="1"/>
  <c r="J1868" i="1"/>
  <c r="J1867" i="1"/>
  <c r="J1866" i="1"/>
  <c r="J1865" i="1"/>
  <c r="J1864" i="1"/>
  <c r="J1863" i="1"/>
  <c r="J1862" i="1"/>
  <c r="B1862" i="1" s="1"/>
  <c r="G1862" i="1"/>
  <c r="J1861" i="1"/>
  <c r="J1860" i="1"/>
  <c r="E1860" i="1" s="1"/>
  <c r="J1859" i="1"/>
  <c r="J1858" i="1"/>
  <c r="E1858" i="1"/>
  <c r="J1857" i="1"/>
  <c r="J1856" i="1"/>
  <c r="J1855" i="1"/>
  <c r="J1854" i="1"/>
  <c r="D1854" i="1"/>
  <c r="B1854" i="1"/>
  <c r="J1853" i="1"/>
  <c r="J1852" i="1"/>
  <c r="B1852" i="1" s="1"/>
  <c r="G1852" i="1"/>
  <c r="D1852" i="1"/>
  <c r="C1852" i="1"/>
  <c r="J1851" i="1"/>
  <c r="E1851" i="1" s="1"/>
  <c r="D1851" i="1"/>
  <c r="J1850" i="1"/>
  <c r="B1850" i="1" s="1"/>
  <c r="J1849" i="1"/>
  <c r="J1848" i="1"/>
  <c r="G1848" i="1"/>
  <c r="J1847" i="1"/>
  <c r="J1846" i="1"/>
  <c r="G1846" i="1"/>
  <c r="F1846" i="1"/>
  <c r="E1846" i="1"/>
  <c r="D1846" i="1"/>
  <c r="C1846" i="1"/>
  <c r="B1846" i="1"/>
  <c r="A1846" i="1"/>
  <c r="J1845" i="1"/>
  <c r="C1845" i="1" s="1"/>
  <c r="G1845" i="1"/>
  <c r="F1845" i="1"/>
  <c r="E1845" i="1"/>
  <c r="D1845" i="1"/>
  <c r="B1845" i="1"/>
  <c r="A1845" i="1"/>
  <c r="J1844" i="1"/>
  <c r="C1844" i="1" s="1"/>
  <c r="A1844" i="1"/>
  <c r="J1843" i="1"/>
  <c r="F1843" i="1" s="1"/>
  <c r="J1842" i="1"/>
  <c r="J1841" i="1"/>
  <c r="J1840" i="1"/>
  <c r="J1839" i="1"/>
  <c r="J1838" i="1"/>
  <c r="C1838" i="1" s="1"/>
  <c r="G1838" i="1"/>
  <c r="F1838" i="1"/>
  <c r="B1838" i="1"/>
  <c r="A1838" i="1"/>
  <c r="J1837" i="1"/>
  <c r="A1837" i="1"/>
  <c r="J1836" i="1"/>
  <c r="G1836" i="1" s="1"/>
  <c r="A1836" i="1"/>
  <c r="J1835" i="1"/>
  <c r="J1834" i="1"/>
  <c r="E1834" i="1"/>
  <c r="J1833" i="1"/>
  <c r="F1833" i="1" s="1"/>
  <c r="E1833" i="1"/>
  <c r="D1833" i="1"/>
  <c r="J1832" i="1"/>
  <c r="J1831" i="1"/>
  <c r="C1831" i="1" s="1"/>
  <c r="J1830" i="1"/>
  <c r="J1829" i="1"/>
  <c r="B1829" i="1" s="1"/>
  <c r="D1829" i="1"/>
  <c r="J1828" i="1"/>
  <c r="J1827" i="1"/>
  <c r="F1827" i="1" s="1"/>
  <c r="G1827" i="1"/>
  <c r="C1827" i="1"/>
  <c r="J1826" i="1"/>
  <c r="C1826" i="1" s="1"/>
  <c r="A1826" i="1"/>
  <c r="J1825" i="1"/>
  <c r="J1824" i="1"/>
  <c r="G1824" i="1"/>
  <c r="J1823" i="1"/>
  <c r="J1822" i="1"/>
  <c r="C1822" i="1" s="1"/>
  <c r="G1822" i="1"/>
  <c r="D1822" i="1"/>
  <c r="J1821" i="1"/>
  <c r="B1821" i="1" s="1"/>
  <c r="A1821" i="1"/>
  <c r="J1820" i="1"/>
  <c r="D1820" i="1" s="1"/>
  <c r="J1819" i="1"/>
  <c r="B1819" i="1" s="1"/>
  <c r="D1819" i="1"/>
  <c r="J1818" i="1"/>
  <c r="B1818" i="1"/>
  <c r="J1817" i="1"/>
  <c r="J1816" i="1"/>
  <c r="J1815" i="1"/>
  <c r="C1815" i="1" s="1"/>
  <c r="A1815" i="1"/>
  <c r="J1814" i="1"/>
  <c r="F1814" i="1" s="1"/>
  <c r="J1813" i="1"/>
  <c r="J1812" i="1"/>
  <c r="J1811" i="1"/>
  <c r="B1811" i="1" s="1"/>
  <c r="G1811" i="1"/>
  <c r="C1811" i="1"/>
  <c r="J1810" i="1"/>
  <c r="J1809" i="1"/>
  <c r="J1808" i="1"/>
  <c r="J1807" i="1"/>
  <c r="B1807" i="1" s="1"/>
  <c r="J1806" i="1"/>
  <c r="D1806" i="1" s="1"/>
  <c r="C1806" i="1"/>
  <c r="B1806" i="1"/>
  <c r="A1806" i="1"/>
  <c r="J1805" i="1"/>
  <c r="D1805" i="1" s="1"/>
  <c r="J1804" i="1"/>
  <c r="A1804" i="1" s="1"/>
  <c r="E1804" i="1"/>
  <c r="J1803" i="1"/>
  <c r="J1802" i="1"/>
  <c r="C1802" i="1" s="1"/>
  <c r="J1801" i="1"/>
  <c r="G1801" i="1" s="1"/>
  <c r="F1801" i="1"/>
  <c r="E1801" i="1"/>
  <c r="D1801" i="1"/>
  <c r="J1800" i="1"/>
  <c r="B1800" i="1"/>
  <c r="J1799" i="1"/>
  <c r="G1799" i="1" s="1"/>
  <c r="J1798" i="1"/>
  <c r="J1797" i="1"/>
  <c r="G1797" i="1"/>
  <c r="J1796" i="1"/>
  <c r="A1796" i="1" s="1"/>
  <c r="J1795" i="1"/>
  <c r="A1795" i="1" s="1"/>
  <c r="G1795" i="1"/>
  <c r="E1795" i="1"/>
  <c r="B1795" i="1"/>
  <c r="J1794" i="1"/>
  <c r="G1794" i="1"/>
  <c r="F1794" i="1"/>
  <c r="E1794" i="1"/>
  <c r="D1794" i="1"/>
  <c r="C1794" i="1"/>
  <c r="B1794" i="1"/>
  <c r="A1794" i="1"/>
  <c r="J1793" i="1"/>
  <c r="J1792" i="1"/>
  <c r="A1792" i="1" s="1"/>
  <c r="J1791" i="1"/>
  <c r="J1790" i="1"/>
  <c r="F1790" i="1" s="1"/>
  <c r="J1789" i="1"/>
  <c r="G1789" i="1"/>
  <c r="A1789" i="1"/>
  <c r="J1788" i="1"/>
  <c r="D1788" i="1" s="1"/>
  <c r="J1787" i="1"/>
  <c r="G1787" i="1" s="1"/>
  <c r="A1787" i="1"/>
  <c r="J1786" i="1"/>
  <c r="A1786" i="1" s="1"/>
  <c r="J1785" i="1"/>
  <c r="F1785" i="1" s="1"/>
  <c r="J1784" i="1"/>
  <c r="B1784" i="1" s="1"/>
  <c r="E1784" i="1"/>
  <c r="J1783" i="1"/>
  <c r="J1782" i="1"/>
  <c r="G1782" i="1"/>
  <c r="J1781" i="1"/>
  <c r="B1781" i="1" s="1"/>
  <c r="E1781" i="1"/>
  <c r="J1780" i="1"/>
  <c r="E1780" i="1" s="1"/>
  <c r="F1780" i="1"/>
  <c r="J1779" i="1"/>
  <c r="J1778" i="1"/>
  <c r="J1777" i="1"/>
  <c r="D1777" i="1" s="1"/>
  <c r="B1777" i="1"/>
  <c r="J1776" i="1"/>
  <c r="F1776" i="1" s="1"/>
  <c r="J1775" i="1"/>
  <c r="B1775" i="1" s="1"/>
  <c r="G1775" i="1"/>
  <c r="J1774" i="1"/>
  <c r="J1773" i="1"/>
  <c r="J1772" i="1"/>
  <c r="D1772" i="1" s="1"/>
  <c r="J1771" i="1"/>
  <c r="J1770" i="1"/>
  <c r="J1769" i="1"/>
  <c r="D1769" i="1" s="1"/>
  <c r="G1769" i="1"/>
  <c r="J1768" i="1"/>
  <c r="F1768" i="1" s="1"/>
  <c r="J1767" i="1"/>
  <c r="B1767" i="1" s="1"/>
  <c r="J1766" i="1"/>
  <c r="J1765" i="1"/>
  <c r="F1765" i="1" s="1"/>
  <c r="D1765" i="1"/>
  <c r="J1764" i="1"/>
  <c r="J1763" i="1"/>
  <c r="B1763" i="1" s="1"/>
  <c r="E1763" i="1"/>
  <c r="C1763" i="1"/>
  <c r="J1762" i="1"/>
  <c r="G1762" i="1"/>
  <c r="F1762" i="1"/>
  <c r="A1762" i="1"/>
  <c r="J1761" i="1"/>
  <c r="G1761" i="1"/>
  <c r="E1761" i="1"/>
  <c r="J1760" i="1"/>
  <c r="J1759" i="1"/>
  <c r="E1759" i="1" s="1"/>
  <c r="J1758" i="1"/>
  <c r="D1758" i="1" s="1"/>
  <c r="J1757" i="1"/>
  <c r="F1757" i="1"/>
  <c r="B1757" i="1"/>
  <c r="J1756" i="1"/>
  <c r="J1755" i="1"/>
  <c r="G1755" i="1" s="1"/>
  <c r="A1755" i="1"/>
  <c r="J1754" i="1"/>
  <c r="J1753" i="1"/>
  <c r="A1753" i="1" s="1"/>
  <c r="J1752" i="1"/>
  <c r="E1752" i="1" s="1"/>
  <c r="F1752" i="1"/>
  <c r="J1751" i="1"/>
  <c r="J1750" i="1"/>
  <c r="J1749" i="1"/>
  <c r="J1748" i="1"/>
  <c r="G1748" i="1" s="1"/>
  <c r="F1748" i="1"/>
  <c r="D1748" i="1"/>
  <c r="C1748" i="1"/>
  <c r="B1748" i="1"/>
  <c r="J1747" i="1"/>
  <c r="D1747" i="1" s="1"/>
  <c r="J1746" i="1"/>
  <c r="F1746" i="1" s="1"/>
  <c r="J1745" i="1"/>
  <c r="J1744" i="1"/>
  <c r="J1743" i="1"/>
  <c r="J1742" i="1"/>
  <c r="G1742" i="1" s="1"/>
  <c r="D1742" i="1"/>
  <c r="J1741" i="1"/>
  <c r="J1740" i="1"/>
  <c r="E1740" i="1" s="1"/>
  <c r="D1740" i="1"/>
  <c r="C1740" i="1"/>
  <c r="J1739" i="1"/>
  <c r="F1739" i="1" s="1"/>
  <c r="J1738" i="1"/>
  <c r="E1738" i="1" s="1"/>
  <c r="C1738" i="1"/>
  <c r="J1737" i="1"/>
  <c r="B1737" i="1" s="1"/>
  <c r="G1737" i="1"/>
  <c r="E1737" i="1"/>
  <c r="J1736" i="1"/>
  <c r="J1735" i="1"/>
  <c r="J1734" i="1"/>
  <c r="G1734" i="1"/>
  <c r="F1734" i="1"/>
  <c r="E1734" i="1"/>
  <c r="D1734" i="1"/>
  <c r="C1734" i="1"/>
  <c r="B1734" i="1"/>
  <c r="A1734" i="1"/>
  <c r="J1733" i="1"/>
  <c r="J1732" i="1"/>
  <c r="B1732" i="1" s="1"/>
  <c r="D1732" i="1"/>
  <c r="C1732" i="1"/>
  <c r="J1731" i="1"/>
  <c r="J1730" i="1"/>
  <c r="F1730" i="1" s="1"/>
  <c r="J1729" i="1"/>
  <c r="G1729" i="1" s="1"/>
  <c r="E1729" i="1"/>
  <c r="B1729" i="1"/>
  <c r="J1728" i="1"/>
  <c r="A1728" i="1"/>
  <c r="J1727" i="1"/>
  <c r="C1727" i="1" s="1"/>
  <c r="J1726" i="1"/>
  <c r="J1725" i="1"/>
  <c r="A1725" i="1" s="1"/>
  <c r="J1724" i="1"/>
  <c r="J1723" i="1"/>
  <c r="J1722" i="1"/>
  <c r="B1722" i="1" s="1"/>
  <c r="J1721" i="1"/>
  <c r="D1721" i="1" s="1"/>
  <c r="J1720" i="1"/>
  <c r="J1719" i="1"/>
  <c r="D1719" i="1" s="1"/>
  <c r="E1719" i="1"/>
  <c r="C1719" i="1"/>
  <c r="B1719" i="1"/>
  <c r="A1719" i="1"/>
  <c r="J1718" i="1"/>
  <c r="J1717" i="1"/>
  <c r="J1716" i="1"/>
  <c r="B1716" i="1" s="1"/>
  <c r="A1716" i="1"/>
  <c r="J1715" i="1"/>
  <c r="J1714" i="1"/>
  <c r="J1713" i="1"/>
  <c r="J1712" i="1"/>
  <c r="D1712" i="1" s="1"/>
  <c r="E1712" i="1"/>
  <c r="J1711" i="1"/>
  <c r="E1711" i="1"/>
  <c r="A1711" i="1"/>
  <c r="J1710" i="1"/>
  <c r="C1710" i="1" s="1"/>
  <c r="B1710" i="1"/>
  <c r="J1709" i="1"/>
  <c r="B1709" i="1" s="1"/>
  <c r="J1708" i="1"/>
  <c r="A1708" i="1" s="1"/>
  <c r="J1707" i="1"/>
  <c r="G1707" i="1" s="1"/>
  <c r="E1707" i="1"/>
  <c r="J1706" i="1"/>
  <c r="J1705" i="1"/>
  <c r="F1705" i="1" s="1"/>
  <c r="E1705" i="1"/>
  <c r="D1705" i="1"/>
  <c r="J1704" i="1"/>
  <c r="J1703" i="1"/>
  <c r="E1703" i="1"/>
  <c r="J1702" i="1"/>
  <c r="F1702" i="1" s="1"/>
  <c r="B1702" i="1"/>
  <c r="A1702" i="1"/>
  <c r="J1701" i="1"/>
  <c r="G1701" i="1" s="1"/>
  <c r="J1700" i="1"/>
  <c r="F1700" i="1"/>
  <c r="J1699" i="1"/>
  <c r="J1698" i="1"/>
  <c r="A1698" i="1"/>
  <c r="J1697" i="1"/>
  <c r="A1697" i="1"/>
  <c r="J1696" i="1"/>
  <c r="J1695" i="1"/>
  <c r="D1695" i="1"/>
  <c r="C1695" i="1"/>
  <c r="J1694" i="1"/>
  <c r="J1693" i="1"/>
  <c r="J1692" i="1"/>
  <c r="D1692" i="1"/>
  <c r="J1691" i="1"/>
  <c r="E1691" i="1"/>
  <c r="C1691" i="1"/>
  <c r="J1690" i="1"/>
  <c r="J1689" i="1"/>
  <c r="E1689" i="1" s="1"/>
  <c r="G1689" i="1"/>
  <c r="A1689" i="1"/>
  <c r="J1688" i="1"/>
  <c r="G1688" i="1"/>
  <c r="E1688" i="1"/>
  <c r="C1688" i="1"/>
  <c r="B1688" i="1"/>
  <c r="J1687" i="1"/>
  <c r="C1687" i="1" s="1"/>
  <c r="J1686" i="1"/>
  <c r="F1686" i="1" s="1"/>
  <c r="J1685" i="1"/>
  <c r="J1684" i="1"/>
  <c r="G1684" i="1"/>
  <c r="F1684" i="1"/>
  <c r="E1684" i="1"/>
  <c r="D1684" i="1"/>
  <c r="C1684" i="1"/>
  <c r="B1684" i="1"/>
  <c r="A1684" i="1"/>
  <c r="J1683" i="1"/>
  <c r="B1683" i="1" s="1"/>
  <c r="J1682" i="1"/>
  <c r="J1681" i="1"/>
  <c r="J1680" i="1"/>
  <c r="B1680" i="1" s="1"/>
  <c r="A1680" i="1"/>
  <c r="J1679" i="1"/>
  <c r="D1679" i="1" s="1"/>
  <c r="J1678" i="1"/>
  <c r="D1678" i="1" s="1"/>
  <c r="J1677" i="1"/>
  <c r="G1677" i="1"/>
  <c r="J1676" i="1"/>
  <c r="J1675" i="1"/>
  <c r="G1675" i="1"/>
  <c r="C1675" i="1"/>
  <c r="A1675" i="1"/>
  <c r="J1674" i="1"/>
  <c r="J1673" i="1"/>
  <c r="F1673" i="1" s="1"/>
  <c r="G1673" i="1"/>
  <c r="J1672" i="1"/>
  <c r="G1672" i="1" s="1"/>
  <c r="J1671" i="1"/>
  <c r="G1671" i="1" s="1"/>
  <c r="C1671" i="1"/>
  <c r="B1671" i="1"/>
  <c r="J1670" i="1"/>
  <c r="J1669" i="1"/>
  <c r="B1669" i="1"/>
  <c r="A1669" i="1"/>
  <c r="J1668" i="1"/>
  <c r="J1667" i="1"/>
  <c r="F1667" i="1" s="1"/>
  <c r="J1666" i="1"/>
  <c r="B1666" i="1" s="1"/>
  <c r="C1666" i="1"/>
  <c r="J1665" i="1"/>
  <c r="F1665" i="1"/>
  <c r="E1665" i="1"/>
  <c r="D1665" i="1"/>
  <c r="J1664" i="1"/>
  <c r="C1664" i="1" s="1"/>
  <c r="F1664" i="1"/>
  <c r="D1664" i="1"/>
  <c r="J1663" i="1"/>
  <c r="D1663" i="1" s="1"/>
  <c r="J1662" i="1"/>
  <c r="D1662" i="1" s="1"/>
  <c r="G1662" i="1"/>
  <c r="J1661" i="1"/>
  <c r="E1661" i="1" s="1"/>
  <c r="J1660" i="1"/>
  <c r="G1660" i="1" s="1"/>
  <c r="C1660" i="1"/>
  <c r="B1660" i="1"/>
  <c r="J1659" i="1"/>
  <c r="C1659" i="1" s="1"/>
  <c r="J1658" i="1"/>
  <c r="D1658" i="1" s="1"/>
  <c r="G1658" i="1"/>
  <c r="B1658" i="1"/>
  <c r="J1657" i="1"/>
  <c r="B1657" i="1" s="1"/>
  <c r="J1656" i="1"/>
  <c r="G1656" i="1"/>
  <c r="F1656" i="1"/>
  <c r="E1656" i="1"/>
  <c r="D1656" i="1"/>
  <c r="C1656" i="1"/>
  <c r="B1656" i="1"/>
  <c r="A1656" i="1"/>
  <c r="J1655" i="1"/>
  <c r="J1654" i="1"/>
  <c r="F1654" i="1" s="1"/>
  <c r="C1654" i="1"/>
  <c r="B1654" i="1"/>
  <c r="J1653" i="1"/>
  <c r="A1653" i="1"/>
  <c r="J1652" i="1"/>
  <c r="C1652" i="1"/>
  <c r="J1651" i="1"/>
  <c r="G1651" i="1" s="1"/>
  <c r="J1650" i="1"/>
  <c r="J1649" i="1"/>
  <c r="D1649" i="1" s="1"/>
  <c r="J1648" i="1"/>
  <c r="D1648" i="1" s="1"/>
  <c r="J1647" i="1"/>
  <c r="G1647" i="1"/>
  <c r="J1646" i="1"/>
  <c r="J1645" i="1"/>
  <c r="E1645" i="1" s="1"/>
  <c r="J1644" i="1"/>
  <c r="B1644" i="1" s="1"/>
  <c r="F1644" i="1"/>
  <c r="C1644" i="1"/>
  <c r="J1643" i="1"/>
  <c r="J1642" i="1"/>
  <c r="C1642" i="1"/>
  <c r="J1641" i="1"/>
  <c r="B1641" i="1" s="1"/>
  <c r="J1640" i="1"/>
  <c r="C1640" i="1" s="1"/>
  <c r="E1640" i="1"/>
  <c r="J1639" i="1"/>
  <c r="J1638" i="1"/>
  <c r="J1637" i="1"/>
  <c r="B1637" i="1" s="1"/>
  <c r="F1637" i="1"/>
  <c r="C1637" i="1"/>
  <c r="J1636" i="1"/>
  <c r="J1635" i="1"/>
  <c r="D1635" i="1"/>
  <c r="J1634" i="1"/>
  <c r="J1633" i="1"/>
  <c r="C1633" i="1" s="1"/>
  <c r="G1633" i="1"/>
  <c r="D1633" i="1"/>
  <c r="J1632" i="1"/>
  <c r="D1632" i="1" s="1"/>
  <c r="J1631" i="1"/>
  <c r="G1631" i="1" s="1"/>
  <c r="J1630" i="1"/>
  <c r="J1629" i="1"/>
  <c r="J1628" i="1"/>
  <c r="J1627" i="1"/>
  <c r="D1627" i="1"/>
  <c r="J1626" i="1"/>
  <c r="C1626" i="1" s="1"/>
  <c r="J1625" i="1"/>
  <c r="D1625" i="1" s="1"/>
  <c r="G1625" i="1"/>
  <c r="F1625" i="1"/>
  <c r="E1625" i="1"/>
  <c r="B1625" i="1"/>
  <c r="A1625" i="1"/>
  <c r="J1624" i="1"/>
  <c r="B1624" i="1" s="1"/>
  <c r="J1623" i="1"/>
  <c r="J1622" i="1"/>
  <c r="J1621" i="1"/>
  <c r="J1620" i="1"/>
  <c r="J1619" i="1"/>
  <c r="J1618" i="1"/>
  <c r="E1618" i="1" s="1"/>
  <c r="G1618" i="1"/>
  <c r="J1617" i="1"/>
  <c r="C1617" i="1" s="1"/>
  <c r="J1616" i="1"/>
  <c r="J1615" i="1"/>
  <c r="G1615" i="1" s="1"/>
  <c r="J1614" i="1"/>
  <c r="J1613" i="1"/>
  <c r="F1613" i="1" s="1"/>
  <c r="G1613" i="1"/>
  <c r="A1613" i="1"/>
  <c r="J1612" i="1"/>
  <c r="E1612" i="1"/>
  <c r="J1611" i="1"/>
  <c r="G1611" i="1"/>
  <c r="F1611" i="1"/>
  <c r="C1611" i="1"/>
  <c r="A1611" i="1"/>
  <c r="J1610" i="1"/>
  <c r="D1610" i="1" s="1"/>
  <c r="J1609" i="1"/>
  <c r="J1608" i="1"/>
  <c r="B1608" i="1" s="1"/>
  <c r="D1608" i="1"/>
  <c r="J1607" i="1"/>
  <c r="C1607" i="1" s="1"/>
  <c r="J1606" i="1"/>
  <c r="E1606" i="1"/>
  <c r="D1606" i="1"/>
  <c r="J1605" i="1"/>
  <c r="A1605" i="1" s="1"/>
  <c r="J1604" i="1"/>
  <c r="A1604" i="1"/>
  <c r="J1603" i="1"/>
  <c r="D1603" i="1" s="1"/>
  <c r="G1603" i="1"/>
  <c r="J1602" i="1"/>
  <c r="G1602" i="1" s="1"/>
  <c r="F1602" i="1"/>
  <c r="J1601" i="1"/>
  <c r="J1600" i="1"/>
  <c r="J1599" i="1"/>
  <c r="C1599" i="1"/>
  <c r="B1599" i="1"/>
  <c r="J1598" i="1"/>
  <c r="G1598" i="1" s="1"/>
  <c r="E1598" i="1"/>
  <c r="B1598" i="1"/>
  <c r="A1598" i="1"/>
  <c r="J1597" i="1"/>
  <c r="G1597" i="1" s="1"/>
  <c r="F1597" i="1"/>
  <c r="J1596" i="1"/>
  <c r="J1595" i="1"/>
  <c r="E1595" i="1"/>
  <c r="J1594" i="1"/>
  <c r="B1594" i="1"/>
  <c r="J1593" i="1"/>
  <c r="J1592" i="1"/>
  <c r="A1592" i="1"/>
  <c r="J1591" i="1"/>
  <c r="J1590" i="1"/>
  <c r="C1590" i="1" s="1"/>
  <c r="G1590" i="1"/>
  <c r="J1589" i="1"/>
  <c r="D1589" i="1" s="1"/>
  <c r="G1589" i="1"/>
  <c r="F1589" i="1"/>
  <c r="E1589" i="1"/>
  <c r="C1589" i="1"/>
  <c r="B1589" i="1"/>
  <c r="A1589" i="1"/>
  <c r="J1588" i="1"/>
  <c r="J1587" i="1"/>
  <c r="A1587" i="1" s="1"/>
  <c r="B1587" i="1"/>
  <c r="J1586" i="1"/>
  <c r="G1586" i="1" s="1"/>
  <c r="E1586" i="1"/>
  <c r="D1586" i="1"/>
  <c r="C1586" i="1"/>
  <c r="A1586" i="1"/>
  <c r="J1585" i="1"/>
  <c r="B1585" i="1"/>
  <c r="J1584" i="1"/>
  <c r="G1584" i="1"/>
  <c r="J1583" i="1"/>
  <c r="G1583" i="1" s="1"/>
  <c r="J1582" i="1"/>
  <c r="F1582" i="1" s="1"/>
  <c r="J1581" i="1"/>
  <c r="A1581" i="1" s="1"/>
  <c r="J1580" i="1"/>
  <c r="E1580" i="1" s="1"/>
  <c r="D1580" i="1"/>
  <c r="J1579" i="1"/>
  <c r="G1579" i="1" s="1"/>
  <c r="J1578" i="1"/>
  <c r="E1578" i="1" s="1"/>
  <c r="C1578" i="1"/>
  <c r="J1577" i="1"/>
  <c r="J1576" i="1"/>
  <c r="F1576" i="1" s="1"/>
  <c r="J1575" i="1"/>
  <c r="G1575" i="1" s="1"/>
  <c r="E1575" i="1"/>
  <c r="J1574" i="1"/>
  <c r="E1574" i="1"/>
  <c r="J1573" i="1"/>
  <c r="D1573" i="1" s="1"/>
  <c r="G1573" i="1"/>
  <c r="F1573" i="1"/>
  <c r="E1573" i="1"/>
  <c r="C1573" i="1"/>
  <c r="B1573" i="1"/>
  <c r="A1573" i="1"/>
  <c r="J1572" i="1"/>
  <c r="J1571" i="1"/>
  <c r="C1571" i="1"/>
  <c r="B1571" i="1"/>
  <c r="J1570" i="1"/>
  <c r="E1570" i="1" s="1"/>
  <c r="F1570" i="1"/>
  <c r="A1570" i="1"/>
  <c r="J1569" i="1"/>
  <c r="J1568" i="1"/>
  <c r="J1567" i="1"/>
  <c r="D1567" i="1" s="1"/>
  <c r="G1567" i="1"/>
  <c r="F1567" i="1"/>
  <c r="E1567" i="1"/>
  <c r="C1567" i="1"/>
  <c r="B1567" i="1"/>
  <c r="A1567" i="1"/>
  <c r="J1566" i="1"/>
  <c r="A1566" i="1" s="1"/>
  <c r="J1565" i="1"/>
  <c r="J1564" i="1"/>
  <c r="D1564" i="1"/>
  <c r="J1563" i="1"/>
  <c r="A1563" i="1" s="1"/>
  <c r="E1563" i="1"/>
  <c r="J1562" i="1"/>
  <c r="E1562" i="1" s="1"/>
  <c r="J1561" i="1"/>
  <c r="F1561" i="1" s="1"/>
  <c r="E1561" i="1"/>
  <c r="J1560" i="1"/>
  <c r="E1560" i="1" s="1"/>
  <c r="C1560" i="1"/>
  <c r="B1560" i="1"/>
  <c r="J1559" i="1"/>
  <c r="B1559" i="1" s="1"/>
  <c r="J1558" i="1"/>
  <c r="B1558" i="1"/>
  <c r="J1557" i="1"/>
  <c r="J1556" i="1"/>
  <c r="D1556" i="1" s="1"/>
  <c r="E1556" i="1"/>
  <c r="B1556" i="1"/>
  <c r="A1556" i="1"/>
  <c r="J1555" i="1"/>
  <c r="F1555" i="1" s="1"/>
  <c r="C1555" i="1"/>
  <c r="B1555" i="1"/>
  <c r="J1554" i="1"/>
  <c r="J1553" i="1"/>
  <c r="G1553" i="1"/>
  <c r="F1553" i="1"/>
  <c r="D1553" i="1"/>
  <c r="C1553" i="1"/>
  <c r="B1553" i="1"/>
  <c r="J1552" i="1"/>
  <c r="B1552" i="1" s="1"/>
  <c r="J1551" i="1"/>
  <c r="J1550" i="1"/>
  <c r="J1549" i="1"/>
  <c r="J1548" i="1"/>
  <c r="J1547" i="1"/>
  <c r="G1547" i="1"/>
  <c r="F1547" i="1"/>
  <c r="J1546" i="1"/>
  <c r="J1545" i="1"/>
  <c r="J1544" i="1"/>
  <c r="G1544" i="1" s="1"/>
  <c r="J1543" i="1"/>
  <c r="G1543" i="1" s="1"/>
  <c r="F1543" i="1"/>
  <c r="E1543" i="1"/>
  <c r="J1542" i="1"/>
  <c r="J1541" i="1"/>
  <c r="B1541" i="1" s="1"/>
  <c r="E1541" i="1"/>
  <c r="D1541" i="1"/>
  <c r="A1541" i="1"/>
  <c r="J1540" i="1"/>
  <c r="D1540" i="1"/>
  <c r="C1540" i="1"/>
  <c r="B1540" i="1"/>
  <c r="J1539" i="1"/>
  <c r="C1539" i="1" s="1"/>
  <c r="F1539" i="1"/>
  <c r="J1538" i="1"/>
  <c r="D1538" i="1" s="1"/>
  <c r="G1538" i="1"/>
  <c r="E1538" i="1"/>
  <c r="C1538" i="1"/>
  <c r="J1537" i="1"/>
  <c r="J1536" i="1"/>
  <c r="J1535" i="1"/>
  <c r="J1534" i="1"/>
  <c r="A1534" i="1" s="1"/>
  <c r="F1534" i="1"/>
  <c r="J1533" i="1"/>
  <c r="J1532" i="1"/>
  <c r="B1532" i="1" s="1"/>
  <c r="E1532" i="1"/>
  <c r="J1531" i="1"/>
  <c r="J1530" i="1"/>
  <c r="G1530" i="1" s="1"/>
  <c r="D1530" i="1"/>
  <c r="J1529" i="1"/>
  <c r="B1529" i="1" s="1"/>
  <c r="J1528" i="1"/>
  <c r="E1528" i="1" s="1"/>
  <c r="J1527" i="1"/>
  <c r="J1526" i="1"/>
  <c r="C1526" i="1" s="1"/>
  <c r="G1526" i="1"/>
  <c r="F1526" i="1"/>
  <c r="D1526" i="1"/>
  <c r="J1525" i="1"/>
  <c r="G1525" i="1" s="1"/>
  <c r="J1524" i="1"/>
  <c r="G1524" i="1" s="1"/>
  <c r="F1524" i="1"/>
  <c r="J1523" i="1"/>
  <c r="A1523" i="1" s="1"/>
  <c r="F1523" i="1"/>
  <c r="J1522" i="1"/>
  <c r="J1521" i="1"/>
  <c r="B1521" i="1" s="1"/>
  <c r="C1521" i="1"/>
  <c r="J1520" i="1"/>
  <c r="C1520" i="1"/>
  <c r="J1519" i="1"/>
  <c r="C1519" i="1"/>
  <c r="J1518" i="1"/>
  <c r="A1518" i="1" s="1"/>
  <c r="D1518" i="1"/>
  <c r="J1517" i="1"/>
  <c r="B1517" i="1" s="1"/>
  <c r="J1516" i="1"/>
  <c r="J1515" i="1"/>
  <c r="J1514" i="1"/>
  <c r="J1513" i="1"/>
  <c r="J1512" i="1"/>
  <c r="J1511" i="1"/>
  <c r="A1511" i="1"/>
  <c r="J1510" i="1"/>
  <c r="J1509" i="1"/>
  <c r="C1509" i="1"/>
  <c r="J1508" i="1"/>
  <c r="E1508" i="1" s="1"/>
  <c r="F1508" i="1"/>
  <c r="J1507" i="1"/>
  <c r="J1506" i="1"/>
  <c r="J1505" i="1"/>
  <c r="G1505" i="1" s="1"/>
  <c r="J1504" i="1"/>
  <c r="G1504" i="1" s="1"/>
  <c r="F1504" i="1"/>
  <c r="C1504" i="1"/>
  <c r="J1503" i="1"/>
  <c r="G1503" i="1"/>
  <c r="B1503" i="1"/>
  <c r="J1502" i="1"/>
  <c r="B1502" i="1"/>
  <c r="J1501" i="1"/>
  <c r="D1501" i="1" s="1"/>
  <c r="F1501" i="1"/>
  <c r="A1501" i="1"/>
  <c r="J1500" i="1"/>
  <c r="B1500" i="1"/>
  <c r="A1500" i="1"/>
  <c r="J1499" i="1"/>
  <c r="J1498" i="1"/>
  <c r="E1498" i="1"/>
  <c r="D1498" i="1"/>
  <c r="A1498" i="1"/>
  <c r="J1497" i="1"/>
  <c r="D1497" i="1"/>
  <c r="J1496" i="1"/>
  <c r="A1496" i="1" s="1"/>
  <c r="J1495" i="1"/>
  <c r="C1495" i="1" s="1"/>
  <c r="E1495" i="1"/>
  <c r="J1494" i="1"/>
  <c r="J1493" i="1"/>
  <c r="B1493" i="1" s="1"/>
  <c r="A1493" i="1"/>
  <c r="J1492" i="1"/>
  <c r="J1491" i="1"/>
  <c r="J1490" i="1"/>
  <c r="J1489" i="1"/>
  <c r="B1489" i="1" s="1"/>
  <c r="A1489" i="1"/>
  <c r="J1488" i="1"/>
  <c r="C1488" i="1" s="1"/>
  <c r="D1488" i="1"/>
  <c r="J1487" i="1"/>
  <c r="J1486" i="1"/>
  <c r="E1486" i="1" s="1"/>
  <c r="J1485" i="1"/>
  <c r="J1484" i="1"/>
  <c r="D1484" i="1" s="1"/>
  <c r="G1484" i="1"/>
  <c r="F1484" i="1"/>
  <c r="E1484" i="1"/>
  <c r="A1484" i="1"/>
  <c r="J1483" i="1"/>
  <c r="J1482" i="1"/>
  <c r="A1482" i="1" s="1"/>
  <c r="J1481" i="1"/>
  <c r="D1481" i="1" s="1"/>
  <c r="J1480" i="1"/>
  <c r="D1480" i="1"/>
  <c r="J1479" i="1"/>
  <c r="G1479" i="1" s="1"/>
  <c r="J1478" i="1"/>
  <c r="E1478" i="1"/>
  <c r="J1477" i="1"/>
  <c r="D1477" i="1" s="1"/>
  <c r="J1476" i="1"/>
  <c r="J1475" i="1"/>
  <c r="A1475" i="1"/>
  <c r="J1474" i="1"/>
  <c r="A1474" i="1" s="1"/>
  <c r="E1474" i="1"/>
  <c r="D1474" i="1"/>
  <c r="C1474" i="1"/>
  <c r="J1473" i="1"/>
  <c r="J1472" i="1"/>
  <c r="D1472" i="1" s="1"/>
  <c r="G1472" i="1"/>
  <c r="F1472" i="1"/>
  <c r="B1472" i="1"/>
  <c r="J1471" i="1"/>
  <c r="J1470" i="1"/>
  <c r="J1469" i="1"/>
  <c r="A1469" i="1" s="1"/>
  <c r="J1468" i="1"/>
  <c r="J1467" i="1"/>
  <c r="J1466" i="1"/>
  <c r="J1465" i="1"/>
  <c r="F1465" i="1"/>
  <c r="J1464" i="1"/>
  <c r="J1463" i="1"/>
  <c r="C1463" i="1" s="1"/>
  <c r="J1462" i="1"/>
  <c r="C1462" i="1"/>
  <c r="J1461" i="1"/>
  <c r="C1461" i="1" s="1"/>
  <c r="J1460" i="1"/>
  <c r="J1459" i="1"/>
  <c r="J1458" i="1"/>
  <c r="B1458" i="1" s="1"/>
  <c r="J1457" i="1"/>
  <c r="A1457" i="1" s="1"/>
  <c r="E1457" i="1"/>
  <c r="C1457" i="1"/>
  <c r="J1456" i="1"/>
  <c r="J1455" i="1"/>
  <c r="B1455" i="1"/>
  <c r="A1455" i="1"/>
  <c r="J1454" i="1"/>
  <c r="A1454" i="1" s="1"/>
  <c r="J1453" i="1"/>
  <c r="J1452" i="1"/>
  <c r="G1452" i="1"/>
  <c r="C1452" i="1"/>
  <c r="J1451" i="1"/>
  <c r="D1451" i="1" s="1"/>
  <c r="F1451" i="1"/>
  <c r="E1451" i="1"/>
  <c r="A1451" i="1"/>
  <c r="J1450" i="1"/>
  <c r="J1449" i="1"/>
  <c r="J1448" i="1"/>
  <c r="G1448" i="1"/>
  <c r="A1448" i="1"/>
  <c r="J1447" i="1"/>
  <c r="J1446" i="1"/>
  <c r="F1446" i="1"/>
  <c r="E1446" i="1"/>
  <c r="J1445" i="1"/>
  <c r="G1445" i="1"/>
  <c r="J1444" i="1"/>
  <c r="D1444" i="1" s="1"/>
  <c r="J1443" i="1"/>
  <c r="J1442" i="1"/>
  <c r="C1442" i="1" s="1"/>
  <c r="F1442" i="1"/>
  <c r="E1442" i="1"/>
  <c r="B1442" i="1"/>
  <c r="J1441" i="1"/>
  <c r="G1441" i="1"/>
  <c r="C1441" i="1"/>
  <c r="B1441" i="1"/>
  <c r="J1440" i="1"/>
  <c r="G1440" i="1" s="1"/>
  <c r="F1440" i="1"/>
  <c r="E1440" i="1"/>
  <c r="C1440" i="1"/>
  <c r="B1440" i="1"/>
  <c r="A1440" i="1"/>
  <c r="J1439" i="1"/>
  <c r="C1439" i="1"/>
  <c r="J1438" i="1"/>
  <c r="A1438" i="1" s="1"/>
  <c r="J1437" i="1"/>
  <c r="J1436" i="1"/>
  <c r="F1436" i="1"/>
  <c r="C1436" i="1"/>
  <c r="J1435" i="1"/>
  <c r="J1434" i="1"/>
  <c r="J1433" i="1"/>
  <c r="J1432" i="1"/>
  <c r="B1432" i="1" s="1"/>
  <c r="J1431" i="1"/>
  <c r="J1430" i="1"/>
  <c r="B1430" i="1" s="1"/>
  <c r="D1430" i="1"/>
  <c r="J1429" i="1"/>
  <c r="J1428" i="1"/>
  <c r="C1428" i="1"/>
  <c r="J1427" i="1"/>
  <c r="J1426" i="1"/>
  <c r="J1425" i="1"/>
  <c r="A1425" i="1" s="1"/>
  <c r="G1425" i="1"/>
  <c r="J1424" i="1"/>
  <c r="G1424" i="1"/>
  <c r="F1424" i="1"/>
  <c r="J1423" i="1"/>
  <c r="G1423" i="1" s="1"/>
  <c r="E1423" i="1"/>
  <c r="J1422" i="1"/>
  <c r="D1422" i="1" s="1"/>
  <c r="G1422" i="1"/>
  <c r="F1422" i="1"/>
  <c r="E1422" i="1"/>
  <c r="C1422" i="1"/>
  <c r="B1422" i="1"/>
  <c r="A1422" i="1"/>
  <c r="J1421" i="1"/>
  <c r="G1421" i="1" s="1"/>
  <c r="J1420" i="1"/>
  <c r="A1420" i="1" s="1"/>
  <c r="F1420" i="1"/>
  <c r="E1420" i="1"/>
  <c r="B1420" i="1"/>
  <c r="J1419" i="1"/>
  <c r="B1419" i="1" s="1"/>
  <c r="J1418" i="1"/>
  <c r="G1418" i="1" s="1"/>
  <c r="J1417" i="1"/>
  <c r="C1417" i="1" s="1"/>
  <c r="F1417" i="1"/>
  <c r="D1417" i="1"/>
  <c r="J1416" i="1"/>
  <c r="J1415" i="1"/>
  <c r="F1415" i="1"/>
  <c r="A1415" i="1"/>
  <c r="J1414" i="1"/>
  <c r="D1414" i="1"/>
  <c r="C1414" i="1"/>
  <c r="J1413" i="1"/>
  <c r="D1413" i="1"/>
  <c r="J1412" i="1"/>
  <c r="C1412" i="1" s="1"/>
  <c r="G1412" i="1"/>
  <c r="J1411" i="1"/>
  <c r="A1411" i="1"/>
  <c r="J1410" i="1"/>
  <c r="G1410" i="1" s="1"/>
  <c r="J1409" i="1"/>
  <c r="B1409" i="1"/>
  <c r="J1408" i="1"/>
  <c r="G1408" i="1" s="1"/>
  <c r="E1408" i="1"/>
  <c r="C1408" i="1"/>
  <c r="J1407" i="1"/>
  <c r="A1407" i="1" s="1"/>
  <c r="J1406" i="1"/>
  <c r="J1405" i="1"/>
  <c r="J1404" i="1"/>
  <c r="B1404" i="1" s="1"/>
  <c r="J1403" i="1"/>
  <c r="B1403" i="1" s="1"/>
  <c r="F1403" i="1"/>
  <c r="E1403" i="1"/>
  <c r="J1402" i="1"/>
  <c r="F1402" i="1" s="1"/>
  <c r="J1401" i="1"/>
  <c r="J1400" i="1"/>
  <c r="E1400" i="1" s="1"/>
  <c r="D1400" i="1"/>
  <c r="J1399" i="1"/>
  <c r="B1399" i="1" s="1"/>
  <c r="J1398" i="1"/>
  <c r="J1397" i="1"/>
  <c r="D1397" i="1" s="1"/>
  <c r="G1397" i="1"/>
  <c r="A1397" i="1"/>
  <c r="J1396" i="1"/>
  <c r="G1396" i="1"/>
  <c r="D1396" i="1"/>
  <c r="C1396" i="1"/>
  <c r="J1395" i="1"/>
  <c r="B1395" i="1" s="1"/>
  <c r="G1395" i="1"/>
  <c r="F1395" i="1"/>
  <c r="C1395" i="1"/>
  <c r="J1394" i="1"/>
  <c r="J1393" i="1"/>
  <c r="A1393" i="1" s="1"/>
  <c r="J1392" i="1"/>
  <c r="J1391" i="1"/>
  <c r="F1391" i="1"/>
  <c r="E1391" i="1"/>
  <c r="C1391" i="1"/>
  <c r="A1391" i="1"/>
  <c r="J1390" i="1"/>
  <c r="J1389" i="1"/>
  <c r="J1388" i="1"/>
  <c r="G1388" i="1" s="1"/>
  <c r="F1388" i="1"/>
  <c r="A1388" i="1"/>
  <c r="J1387" i="1"/>
  <c r="F1387" i="1" s="1"/>
  <c r="J1386" i="1"/>
  <c r="J1385" i="1"/>
  <c r="G1385" i="1" s="1"/>
  <c r="J1384" i="1"/>
  <c r="J1383" i="1"/>
  <c r="A1383" i="1" s="1"/>
  <c r="G1383" i="1"/>
  <c r="E1383" i="1"/>
  <c r="B1383" i="1"/>
  <c r="J1382" i="1"/>
  <c r="C1382" i="1" s="1"/>
  <c r="B1382" i="1"/>
  <c r="J1381" i="1"/>
  <c r="F1381" i="1" s="1"/>
  <c r="J1380" i="1"/>
  <c r="J1379" i="1"/>
  <c r="J1378" i="1"/>
  <c r="C1378" i="1" s="1"/>
  <c r="E1378" i="1"/>
  <c r="J1377" i="1"/>
  <c r="J1376" i="1"/>
  <c r="J1375" i="1"/>
  <c r="E1375" i="1" s="1"/>
  <c r="F1375" i="1"/>
  <c r="J1374" i="1"/>
  <c r="D1374" i="1" s="1"/>
  <c r="E1374" i="1"/>
  <c r="J1373" i="1"/>
  <c r="A1373" i="1" s="1"/>
  <c r="J1372" i="1"/>
  <c r="C1372" i="1" s="1"/>
  <c r="F1372" i="1"/>
  <c r="J1371" i="1"/>
  <c r="J1370" i="1"/>
  <c r="J1369" i="1"/>
  <c r="J1368" i="1"/>
  <c r="C1368" i="1"/>
  <c r="J1367" i="1"/>
  <c r="B1367" i="1" s="1"/>
  <c r="E1367" i="1"/>
  <c r="C1367" i="1"/>
  <c r="J1366" i="1"/>
  <c r="J1365" i="1"/>
  <c r="A1365" i="1" s="1"/>
  <c r="F1365" i="1"/>
  <c r="D1365" i="1"/>
  <c r="J1364" i="1"/>
  <c r="A1364" i="1" s="1"/>
  <c r="J1363" i="1"/>
  <c r="J1362" i="1"/>
  <c r="C1362" i="1" s="1"/>
  <c r="F1362" i="1"/>
  <c r="D1362" i="1"/>
  <c r="J1361" i="1"/>
  <c r="J1360" i="1"/>
  <c r="G1360" i="1"/>
  <c r="J1359" i="1"/>
  <c r="B1359" i="1" s="1"/>
  <c r="J1358" i="1"/>
  <c r="F1358" i="1" s="1"/>
  <c r="E1358" i="1"/>
  <c r="J1357" i="1"/>
  <c r="A1357" i="1" s="1"/>
  <c r="E1357" i="1"/>
  <c r="C1357" i="1"/>
  <c r="J1356" i="1"/>
  <c r="F1356" i="1"/>
  <c r="J1355" i="1"/>
  <c r="E1355" i="1" s="1"/>
  <c r="J1354" i="1"/>
  <c r="A1354" i="1"/>
  <c r="J1353" i="1"/>
  <c r="J1352" i="1"/>
  <c r="G1352" i="1"/>
  <c r="D1352" i="1"/>
  <c r="B1352" i="1"/>
  <c r="J1351" i="1"/>
  <c r="J1350" i="1"/>
  <c r="J1349" i="1"/>
  <c r="D1349" i="1"/>
  <c r="J1348" i="1"/>
  <c r="C1348" i="1" s="1"/>
  <c r="J1347" i="1"/>
  <c r="J1346" i="1"/>
  <c r="B1346" i="1" s="1"/>
  <c r="F1346" i="1"/>
  <c r="C1346" i="1"/>
  <c r="J1345" i="1"/>
  <c r="D1345" i="1" s="1"/>
  <c r="E1345" i="1"/>
  <c r="J1344" i="1"/>
  <c r="F1344" i="1"/>
  <c r="J1343" i="1"/>
  <c r="B1343" i="1" s="1"/>
  <c r="J1342" i="1"/>
  <c r="E1342" i="1" s="1"/>
  <c r="J1341" i="1"/>
  <c r="J1340" i="1"/>
  <c r="J1339" i="1"/>
  <c r="C1339" i="1"/>
  <c r="A1339" i="1"/>
  <c r="J1338" i="1"/>
  <c r="J1337" i="1"/>
  <c r="J1336" i="1"/>
  <c r="G1336" i="1"/>
  <c r="J1335" i="1"/>
  <c r="E1335" i="1" s="1"/>
  <c r="J1334" i="1"/>
  <c r="D1334" i="1" s="1"/>
  <c r="F1334" i="1"/>
  <c r="J1333" i="1"/>
  <c r="J1332" i="1"/>
  <c r="J1331" i="1"/>
  <c r="J1330" i="1"/>
  <c r="G1330" i="1" s="1"/>
  <c r="J1329" i="1"/>
  <c r="G1329" i="1"/>
  <c r="J1328" i="1"/>
  <c r="J1327" i="1"/>
  <c r="A1327" i="1" s="1"/>
  <c r="J1326" i="1"/>
  <c r="J1325" i="1"/>
  <c r="E1325" i="1"/>
  <c r="A1325" i="1"/>
  <c r="J1324" i="1"/>
  <c r="J1323" i="1"/>
  <c r="G1323" i="1" s="1"/>
  <c r="J1322" i="1"/>
  <c r="J1321" i="1"/>
  <c r="J1320" i="1"/>
  <c r="F1320" i="1" s="1"/>
  <c r="J1319" i="1"/>
  <c r="J1318" i="1"/>
  <c r="D1318" i="1" s="1"/>
  <c r="G1318" i="1"/>
  <c r="J1317" i="1"/>
  <c r="J1316" i="1"/>
  <c r="C1316" i="1" s="1"/>
  <c r="J1315" i="1"/>
  <c r="D1315" i="1" s="1"/>
  <c r="F1315" i="1"/>
  <c r="E1315" i="1"/>
  <c r="B1315" i="1"/>
  <c r="J1314" i="1"/>
  <c r="J1313" i="1"/>
  <c r="G1313" i="1"/>
  <c r="J1312" i="1"/>
  <c r="G1312" i="1"/>
  <c r="J1311" i="1"/>
  <c r="B1311" i="1" s="1"/>
  <c r="C1311" i="1"/>
  <c r="J1310" i="1"/>
  <c r="F1310" i="1" s="1"/>
  <c r="D1310" i="1"/>
  <c r="B1310" i="1"/>
  <c r="J1309" i="1"/>
  <c r="J1308" i="1"/>
  <c r="B1308" i="1" s="1"/>
  <c r="E1308" i="1"/>
  <c r="C1308" i="1"/>
  <c r="J1307" i="1"/>
  <c r="A1307" i="1" s="1"/>
  <c r="F1307" i="1"/>
  <c r="J1306" i="1"/>
  <c r="B1306" i="1"/>
  <c r="J1305" i="1"/>
  <c r="D1305" i="1"/>
  <c r="J1304" i="1"/>
  <c r="G1304" i="1" s="1"/>
  <c r="J1303" i="1"/>
  <c r="B1303" i="1" s="1"/>
  <c r="C1303" i="1"/>
  <c r="J1302" i="1"/>
  <c r="J1301" i="1"/>
  <c r="J1300" i="1"/>
  <c r="G1300" i="1" s="1"/>
  <c r="J1299" i="1"/>
  <c r="G1299" i="1"/>
  <c r="E1299" i="1"/>
  <c r="J1298" i="1"/>
  <c r="B1298" i="1" s="1"/>
  <c r="J1297" i="1"/>
  <c r="C1297" i="1" s="1"/>
  <c r="F1297" i="1"/>
  <c r="E1297" i="1"/>
  <c r="J1296" i="1"/>
  <c r="F1296" i="1" s="1"/>
  <c r="E1296" i="1"/>
  <c r="A1296" i="1"/>
  <c r="J1295" i="1"/>
  <c r="J1294" i="1"/>
  <c r="J1293" i="1"/>
  <c r="J1292" i="1"/>
  <c r="C1292" i="1"/>
  <c r="J1291" i="1"/>
  <c r="J1290" i="1"/>
  <c r="F1290" i="1" s="1"/>
  <c r="G1290" i="1"/>
  <c r="J1289" i="1"/>
  <c r="J1288" i="1"/>
  <c r="F1288" i="1"/>
  <c r="J1287" i="1"/>
  <c r="G1287" i="1"/>
  <c r="J1286" i="1"/>
  <c r="B1286" i="1" s="1"/>
  <c r="C1286" i="1"/>
  <c r="J1285" i="1"/>
  <c r="G1285" i="1" s="1"/>
  <c r="F1285" i="1"/>
  <c r="C1285" i="1"/>
  <c r="J1284" i="1"/>
  <c r="F1284" i="1"/>
  <c r="E1284" i="1"/>
  <c r="J1283" i="1"/>
  <c r="G1283" i="1" s="1"/>
  <c r="C1283" i="1"/>
  <c r="J1282" i="1"/>
  <c r="J1281" i="1"/>
  <c r="E1281" i="1" s="1"/>
  <c r="J1280" i="1"/>
  <c r="D1280" i="1" s="1"/>
  <c r="J1279" i="1"/>
  <c r="C1279" i="1" s="1"/>
  <c r="J1278" i="1"/>
  <c r="J1277" i="1"/>
  <c r="B1277" i="1" s="1"/>
  <c r="J1276" i="1"/>
  <c r="B1276" i="1"/>
  <c r="J1275" i="1"/>
  <c r="J1274" i="1"/>
  <c r="J1273" i="1"/>
  <c r="F1273" i="1"/>
  <c r="J1272" i="1"/>
  <c r="G1272" i="1" s="1"/>
  <c r="J1271" i="1"/>
  <c r="G1271" i="1" s="1"/>
  <c r="J1270" i="1"/>
  <c r="E1270" i="1"/>
  <c r="B1270" i="1"/>
  <c r="A1270" i="1"/>
  <c r="J1269" i="1"/>
  <c r="C1269" i="1" s="1"/>
  <c r="B1269" i="1"/>
  <c r="J1268" i="1"/>
  <c r="B1268" i="1" s="1"/>
  <c r="J1267" i="1"/>
  <c r="J1266" i="1"/>
  <c r="J1265" i="1"/>
  <c r="E1265" i="1"/>
  <c r="J1264" i="1"/>
  <c r="J1263" i="1"/>
  <c r="A1263" i="1"/>
  <c r="J1262" i="1"/>
  <c r="J1261" i="1"/>
  <c r="J1260" i="1"/>
  <c r="G1260" i="1" s="1"/>
  <c r="A1260" i="1"/>
  <c r="J1259" i="1"/>
  <c r="B1259" i="1" s="1"/>
  <c r="J1258" i="1"/>
  <c r="G1258" i="1" s="1"/>
  <c r="J1257" i="1"/>
  <c r="J1256" i="1"/>
  <c r="G1256" i="1" s="1"/>
  <c r="D1256" i="1"/>
  <c r="C1256" i="1"/>
  <c r="J1255" i="1"/>
  <c r="J1254" i="1"/>
  <c r="J1253" i="1"/>
  <c r="J1252" i="1"/>
  <c r="B1252" i="1" s="1"/>
  <c r="F1252" i="1"/>
  <c r="J1251" i="1"/>
  <c r="J1250" i="1"/>
  <c r="E1250" i="1" s="1"/>
  <c r="J1249" i="1"/>
  <c r="G1249" i="1" s="1"/>
  <c r="J1248" i="1"/>
  <c r="E1248" i="1" s="1"/>
  <c r="C1248" i="1"/>
  <c r="J1247" i="1"/>
  <c r="G1247" i="1" s="1"/>
  <c r="J1246" i="1"/>
  <c r="C1246" i="1" s="1"/>
  <c r="J1245" i="1"/>
  <c r="D1245" i="1" s="1"/>
  <c r="F1245" i="1"/>
  <c r="J1244" i="1"/>
  <c r="J1243" i="1"/>
  <c r="G1243" i="1"/>
  <c r="A1243" i="1"/>
  <c r="J1242" i="1"/>
  <c r="J1241" i="1"/>
  <c r="J1240" i="1"/>
  <c r="C1240" i="1" s="1"/>
  <c r="J1239" i="1"/>
  <c r="J1238" i="1"/>
  <c r="G1238" i="1"/>
  <c r="J1237" i="1"/>
  <c r="E1237" i="1"/>
  <c r="A1237" i="1"/>
  <c r="J1236" i="1"/>
  <c r="E1236" i="1" s="1"/>
  <c r="C1236" i="1"/>
  <c r="J1235" i="1"/>
  <c r="E1235" i="1" s="1"/>
  <c r="G1235" i="1"/>
  <c r="F1235" i="1"/>
  <c r="J1234" i="1"/>
  <c r="E1234" i="1" s="1"/>
  <c r="F1234" i="1"/>
  <c r="B1234" i="1"/>
  <c r="A1234" i="1"/>
  <c r="J1233" i="1"/>
  <c r="B1233" i="1"/>
  <c r="J1232" i="1"/>
  <c r="F1232" i="1" s="1"/>
  <c r="D1232" i="1"/>
  <c r="J1231" i="1"/>
  <c r="F1231" i="1"/>
  <c r="A1231" i="1"/>
  <c r="J1230" i="1"/>
  <c r="J1229" i="1"/>
  <c r="D1229" i="1" s="1"/>
  <c r="J1228" i="1"/>
  <c r="J1227" i="1"/>
  <c r="J1226" i="1"/>
  <c r="G1226" i="1"/>
  <c r="F1226" i="1"/>
  <c r="E1226" i="1"/>
  <c r="J1225" i="1"/>
  <c r="F1225" i="1"/>
  <c r="E1225" i="1"/>
  <c r="A1225" i="1"/>
  <c r="J1224" i="1"/>
  <c r="D1224" i="1" s="1"/>
  <c r="J1223" i="1"/>
  <c r="J1222" i="1"/>
  <c r="B1222" i="1" s="1"/>
  <c r="J1221" i="1"/>
  <c r="F1221" i="1" s="1"/>
  <c r="J1220" i="1"/>
  <c r="G1220" i="1" s="1"/>
  <c r="J1219" i="1"/>
  <c r="E1219" i="1" s="1"/>
  <c r="F1219" i="1"/>
  <c r="B1219" i="1"/>
  <c r="A1219" i="1"/>
  <c r="J1218" i="1"/>
  <c r="B1218" i="1" s="1"/>
  <c r="F1218" i="1"/>
  <c r="J1217" i="1"/>
  <c r="D1217" i="1" s="1"/>
  <c r="G1217" i="1"/>
  <c r="J1216" i="1"/>
  <c r="C1216" i="1" s="1"/>
  <c r="G1216" i="1"/>
  <c r="F1216" i="1"/>
  <c r="E1216" i="1"/>
  <c r="B1216" i="1"/>
  <c r="A1216" i="1"/>
  <c r="J1215" i="1"/>
  <c r="J1214" i="1"/>
  <c r="F1214" i="1" s="1"/>
  <c r="J1213" i="1"/>
  <c r="D1213" i="1" s="1"/>
  <c r="G1213" i="1"/>
  <c r="J1212" i="1"/>
  <c r="J1211" i="1"/>
  <c r="G1211" i="1" s="1"/>
  <c r="J1210" i="1"/>
  <c r="A1210" i="1"/>
  <c r="J1209" i="1"/>
  <c r="A1209" i="1" s="1"/>
  <c r="J1208" i="1"/>
  <c r="D1208" i="1"/>
  <c r="J1207" i="1"/>
  <c r="A1207" i="1" s="1"/>
  <c r="J1206" i="1"/>
  <c r="D1206" i="1" s="1"/>
  <c r="E1206" i="1"/>
  <c r="J1205" i="1"/>
  <c r="G1205" i="1"/>
  <c r="E1205" i="1"/>
  <c r="D1205" i="1"/>
  <c r="J1204" i="1"/>
  <c r="J1203" i="1"/>
  <c r="D1203" i="1" s="1"/>
  <c r="G1203" i="1"/>
  <c r="F1203" i="1"/>
  <c r="E1203" i="1"/>
  <c r="B1203" i="1"/>
  <c r="A1203" i="1"/>
  <c r="J1202" i="1"/>
  <c r="B1202" i="1" s="1"/>
  <c r="A1202" i="1"/>
  <c r="J1201" i="1"/>
  <c r="J1200" i="1"/>
  <c r="E1200" i="1" s="1"/>
  <c r="D1200" i="1"/>
  <c r="J1199" i="1"/>
  <c r="E1199" i="1" s="1"/>
  <c r="J1198" i="1"/>
  <c r="B1198" i="1"/>
  <c r="J1197" i="1"/>
  <c r="J1196" i="1"/>
  <c r="E1196" i="1" s="1"/>
  <c r="D1196" i="1"/>
  <c r="J1195" i="1"/>
  <c r="J1194" i="1"/>
  <c r="G1194" i="1"/>
  <c r="J1193" i="1"/>
  <c r="D1193" i="1" s="1"/>
  <c r="F1193" i="1"/>
  <c r="E1193" i="1"/>
  <c r="J1192" i="1"/>
  <c r="F1192" i="1"/>
  <c r="A1192" i="1"/>
  <c r="J1191" i="1"/>
  <c r="J1190" i="1"/>
  <c r="B1190" i="1"/>
  <c r="J1189" i="1"/>
  <c r="D1189" i="1" s="1"/>
  <c r="C1189" i="1"/>
  <c r="B1189" i="1"/>
  <c r="J1188" i="1"/>
  <c r="C1188" i="1" s="1"/>
  <c r="J1187" i="1"/>
  <c r="G1187" i="1" s="1"/>
  <c r="J1186" i="1"/>
  <c r="J1185" i="1"/>
  <c r="C1185" i="1" s="1"/>
  <c r="J1184" i="1"/>
  <c r="J1183" i="1"/>
  <c r="G1183" i="1"/>
  <c r="F1183" i="1"/>
  <c r="E1183" i="1"/>
  <c r="C1183" i="1"/>
  <c r="B1183" i="1"/>
  <c r="J1182" i="1"/>
  <c r="E1182" i="1"/>
  <c r="J1181" i="1"/>
  <c r="J1180" i="1"/>
  <c r="J1179" i="1"/>
  <c r="C1179" i="1"/>
  <c r="J1178" i="1"/>
  <c r="F1178" i="1" s="1"/>
  <c r="G1178" i="1"/>
  <c r="D1178" i="1"/>
  <c r="B1178" i="1"/>
  <c r="J1177" i="1"/>
  <c r="G1177" i="1" s="1"/>
  <c r="A1177" i="1"/>
  <c r="J1176" i="1"/>
  <c r="A1176" i="1" s="1"/>
  <c r="D1176" i="1"/>
  <c r="J1175" i="1"/>
  <c r="B1175" i="1" s="1"/>
  <c r="J1174" i="1"/>
  <c r="C1174" i="1" s="1"/>
  <c r="A1174" i="1"/>
  <c r="J1173" i="1"/>
  <c r="A1173" i="1" s="1"/>
  <c r="J1172" i="1"/>
  <c r="B1172" i="1" s="1"/>
  <c r="F1172" i="1"/>
  <c r="C1172" i="1"/>
  <c r="J1171" i="1"/>
  <c r="A1171" i="1" s="1"/>
  <c r="J1170" i="1"/>
  <c r="C1170" i="1" s="1"/>
  <c r="G1170" i="1"/>
  <c r="A1170" i="1"/>
  <c r="J1169" i="1"/>
  <c r="J1168" i="1"/>
  <c r="E1168" i="1"/>
  <c r="J1167" i="1"/>
  <c r="J1166" i="1"/>
  <c r="J1165" i="1"/>
  <c r="G1165" i="1" s="1"/>
  <c r="J1164" i="1"/>
  <c r="J1163" i="1"/>
  <c r="E1163" i="1" s="1"/>
  <c r="D1163" i="1"/>
  <c r="B1163" i="1"/>
  <c r="J1162" i="1"/>
  <c r="E1162" i="1" s="1"/>
  <c r="D1162" i="1"/>
  <c r="J1161" i="1"/>
  <c r="E1161" i="1" s="1"/>
  <c r="A1161" i="1"/>
  <c r="J1160" i="1"/>
  <c r="J1159" i="1"/>
  <c r="G1159" i="1" s="1"/>
  <c r="J1158" i="1"/>
  <c r="F1158" i="1" s="1"/>
  <c r="J1157" i="1"/>
  <c r="G1157" i="1" s="1"/>
  <c r="F1157" i="1"/>
  <c r="E1157" i="1"/>
  <c r="D1157" i="1"/>
  <c r="C1157" i="1"/>
  <c r="B1157" i="1"/>
  <c r="A1157" i="1"/>
  <c r="J1156" i="1"/>
  <c r="G1156" i="1" s="1"/>
  <c r="J1155" i="1"/>
  <c r="B1155" i="1" s="1"/>
  <c r="G1155" i="1"/>
  <c r="C1155" i="1"/>
  <c r="J1154" i="1"/>
  <c r="A1154" i="1" s="1"/>
  <c r="J1153" i="1"/>
  <c r="J1152" i="1"/>
  <c r="F1152" i="1"/>
  <c r="J1151" i="1"/>
  <c r="J1150" i="1"/>
  <c r="G1150" i="1"/>
  <c r="J1149" i="1"/>
  <c r="D1149" i="1" s="1"/>
  <c r="C1149" i="1"/>
  <c r="J1148" i="1"/>
  <c r="D1148" i="1"/>
  <c r="J1147" i="1"/>
  <c r="J1146" i="1"/>
  <c r="B1146" i="1" s="1"/>
  <c r="C1146" i="1"/>
  <c r="J1145" i="1"/>
  <c r="J1144" i="1"/>
  <c r="E1144" i="1" s="1"/>
  <c r="J1143" i="1"/>
  <c r="G1143" i="1" s="1"/>
  <c r="F1143" i="1"/>
  <c r="D1143" i="1"/>
  <c r="J1142" i="1"/>
  <c r="G1142" i="1" s="1"/>
  <c r="J1141" i="1"/>
  <c r="C1141" i="1" s="1"/>
  <c r="D1141" i="1"/>
  <c r="J1140" i="1"/>
  <c r="G1140" i="1" s="1"/>
  <c r="J1139" i="1"/>
  <c r="B1139" i="1" s="1"/>
  <c r="J1138" i="1"/>
  <c r="E1138" i="1"/>
  <c r="J1137" i="1"/>
  <c r="J1136" i="1"/>
  <c r="A1136" i="1" s="1"/>
  <c r="J1135" i="1"/>
  <c r="J1134" i="1"/>
  <c r="G1134" i="1" s="1"/>
  <c r="J1133" i="1"/>
  <c r="C1133" i="1" s="1"/>
  <c r="F1133" i="1"/>
  <c r="J1132" i="1"/>
  <c r="J1131" i="1"/>
  <c r="G1131" i="1" s="1"/>
  <c r="D1131" i="1"/>
  <c r="J1130" i="1"/>
  <c r="A1130" i="1" s="1"/>
  <c r="B1130" i="1"/>
  <c r="J1129" i="1"/>
  <c r="G1129" i="1" s="1"/>
  <c r="E1129" i="1"/>
  <c r="A1129" i="1"/>
  <c r="J1128" i="1"/>
  <c r="F1128" i="1" s="1"/>
  <c r="E1128" i="1"/>
  <c r="D1128" i="1"/>
  <c r="J1127" i="1"/>
  <c r="F1127" i="1"/>
  <c r="D1127" i="1"/>
  <c r="B1127" i="1"/>
  <c r="J1126" i="1"/>
  <c r="F1126" i="1" s="1"/>
  <c r="E1126" i="1"/>
  <c r="C1126" i="1"/>
  <c r="B1126" i="1"/>
  <c r="A1126" i="1"/>
  <c r="J1125" i="1"/>
  <c r="J1124" i="1"/>
  <c r="E1124" i="1" s="1"/>
  <c r="A1124" i="1"/>
  <c r="J1123" i="1"/>
  <c r="C1123" i="1" s="1"/>
  <c r="J1122" i="1"/>
  <c r="C1122" i="1" s="1"/>
  <c r="B1122" i="1"/>
  <c r="J1121" i="1"/>
  <c r="A1121" i="1"/>
  <c r="J1120" i="1"/>
  <c r="G1120" i="1" s="1"/>
  <c r="J1119" i="1"/>
  <c r="A1119" i="1" s="1"/>
  <c r="G1119" i="1"/>
  <c r="F1119" i="1"/>
  <c r="D1119" i="1"/>
  <c r="C1119" i="1"/>
  <c r="B1119" i="1"/>
  <c r="J1118" i="1"/>
  <c r="E1118" i="1" s="1"/>
  <c r="J1117" i="1"/>
  <c r="A1117" i="1"/>
  <c r="J1116" i="1"/>
  <c r="G1116" i="1" s="1"/>
  <c r="A1116" i="1"/>
  <c r="J1115" i="1"/>
  <c r="D1115" i="1" s="1"/>
  <c r="J1114" i="1"/>
  <c r="G1114" i="1" s="1"/>
  <c r="F1114" i="1"/>
  <c r="C1114" i="1"/>
  <c r="J1113" i="1"/>
  <c r="E1113" i="1" s="1"/>
  <c r="F1113" i="1"/>
  <c r="C1113" i="1"/>
  <c r="J1112" i="1"/>
  <c r="J1111" i="1"/>
  <c r="G1111" i="1"/>
  <c r="F1111" i="1"/>
  <c r="C1111" i="1"/>
  <c r="B1111" i="1"/>
  <c r="J1110" i="1"/>
  <c r="C1110" i="1" s="1"/>
  <c r="A1110" i="1"/>
  <c r="J1109" i="1"/>
  <c r="J1108" i="1"/>
  <c r="C1108" i="1" s="1"/>
  <c r="A1108" i="1"/>
  <c r="J1107" i="1"/>
  <c r="J1106" i="1"/>
  <c r="D1106" i="1" s="1"/>
  <c r="F1106" i="1"/>
  <c r="J1105" i="1"/>
  <c r="C1105" i="1" s="1"/>
  <c r="B1105" i="1"/>
  <c r="J1104" i="1"/>
  <c r="A1104" i="1" s="1"/>
  <c r="D1104" i="1"/>
  <c r="J1103" i="1"/>
  <c r="A1103" i="1" s="1"/>
  <c r="G1103" i="1"/>
  <c r="F1103" i="1"/>
  <c r="B1103" i="1"/>
  <c r="J1102" i="1"/>
  <c r="J1101" i="1"/>
  <c r="G1101" i="1" s="1"/>
  <c r="J1100" i="1"/>
  <c r="E1100" i="1"/>
  <c r="J1099" i="1"/>
  <c r="E1099" i="1" s="1"/>
  <c r="J1098" i="1"/>
  <c r="J1097" i="1"/>
  <c r="D1097" i="1"/>
  <c r="J1096" i="1"/>
  <c r="J1095" i="1"/>
  <c r="A1095" i="1" s="1"/>
  <c r="F1095" i="1"/>
  <c r="E1095" i="1"/>
  <c r="C1095" i="1"/>
  <c r="B1095" i="1"/>
  <c r="J1094" i="1"/>
  <c r="J1093" i="1"/>
  <c r="J1092" i="1"/>
  <c r="B1092" i="1" s="1"/>
  <c r="J1091" i="1"/>
  <c r="G1091" i="1" s="1"/>
  <c r="J1090" i="1"/>
  <c r="C1090" i="1" s="1"/>
  <c r="D1090" i="1"/>
  <c r="J1089" i="1"/>
  <c r="C1089" i="1" s="1"/>
  <c r="D1089" i="1"/>
  <c r="J1088" i="1"/>
  <c r="J1087" i="1"/>
  <c r="B1087" i="1" s="1"/>
  <c r="C1087" i="1"/>
  <c r="J1086" i="1"/>
  <c r="J1085" i="1"/>
  <c r="A1085" i="1" s="1"/>
  <c r="G1085" i="1"/>
  <c r="B1085" i="1"/>
  <c r="J1084" i="1"/>
  <c r="D1084" i="1"/>
  <c r="J1083" i="1"/>
  <c r="J1082" i="1"/>
  <c r="G1082" i="1" s="1"/>
  <c r="D1082" i="1"/>
  <c r="C1082" i="1"/>
  <c r="J1081" i="1"/>
  <c r="G1081" i="1"/>
  <c r="J1080" i="1"/>
  <c r="C1080" i="1"/>
  <c r="J1079" i="1"/>
  <c r="G1079" i="1" s="1"/>
  <c r="C1079" i="1"/>
  <c r="J1078" i="1"/>
  <c r="J1077" i="1"/>
  <c r="B1077" i="1" s="1"/>
  <c r="C1077" i="1"/>
  <c r="J1076" i="1"/>
  <c r="C1076" i="1" s="1"/>
  <c r="G1076" i="1"/>
  <c r="E1076" i="1"/>
  <c r="A1076" i="1"/>
  <c r="J1075" i="1"/>
  <c r="J1074" i="1"/>
  <c r="G1074" i="1"/>
  <c r="J1073" i="1"/>
  <c r="J1072" i="1"/>
  <c r="E1072" i="1" s="1"/>
  <c r="D1072" i="1"/>
  <c r="J1071" i="1"/>
  <c r="J1070" i="1"/>
  <c r="B1070" i="1" s="1"/>
  <c r="F1070" i="1"/>
  <c r="D1070" i="1"/>
  <c r="C1070" i="1"/>
  <c r="J1069" i="1"/>
  <c r="C1069" i="1"/>
  <c r="J1068" i="1"/>
  <c r="D1068" i="1" s="1"/>
  <c r="J1067" i="1"/>
  <c r="A1067" i="1"/>
  <c r="J1066" i="1"/>
  <c r="J1065" i="1"/>
  <c r="G1065" i="1"/>
  <c r="J1064" i="1"/>
  <c r="J1063" i="1"/>
  <c r="G1063" i="1" s="1"/>
  <c r="D1063" i="1"/>
  <c r="J1062" i="1"/>
  <c r="J1061" i="1"/>
  <c r="J1060" i="1"/>
  <c r="J1059" i="1"/>
  <c r="G1059" i="1"/>
  <c r="J1058" i="1"/>
  <c r="E1058" i="1" s="1"/>
  <c r="C1058" i="1"/>
  <c r="B1058" i="1"/>
  <c r="A1058" i="1"/>
  <c r="J1057" i="1"/>
  <c r="J1056" i="1"/>
  <c r="J1055" i="1"/>
  <c r="D1055" i="1" s="1"/>
  <c r="J1054" i="1"/>
  <c r="J1053" i="1"/>
  <c r="J1052" i="1"/>
  <c r="J1051" i="1"/>
  <c r="J1050" i="1"/>
  <c r="J1049" i="1"/>
  <c r="J1048" i="1"/>
  <c r="G1048" i="1" s="1"/>
  <c r="D1048" i="1"/>
  <c r="C1048" i="1"/>
  <c r="J1047" i="1"/>
  <c r="G1047" i="1"/>
  <c r="J1046" i="1"/>
  <c r="J1045" i="1"/>
  <c r="J1044" i="1"/>
  <c r="F1044" i="1" s="1"/>
  <c r="J1043" i="1"/>
  <c r="D1043" i="1" s="1"/>
  <c r="F1043" i="1"/>
  <c r="B1043" i="1"/>
  <c r="A1043" i="1"/>
  <c r="J1042" i="1"/>
  <c r="B1042" i="1" s="1"/>
  <c r="J1041" i="1"/>
  <c r="J1040" i="1"/>
  <c r="B1040" i="1" s="1"/>
  <c r="J1039" i="1"/>
  <c r="J1038" i="1"/>
  <c r="B1038" i="1" s="1"/>
  <c r="J1037" i="1"/>
  <c r="D1037" i="1"/>
  <c r="A1037" i="1"/>
  <c r="J1036" i="1"/>
  <c r="J1035" i="1"/>
  <c r="F1035" i="1"/>
  <c r="C1035" i="1"/>
  <c r="J1034" i="1"/>
  <c r="D1034" i="1"/>
  <c r="J1033" i="1"/>
  <c r="A1033" i="1" s="1"/>
  <c r="F1033" i="1"/>
  <c r="J1032" i="1"/>
  <c r="D1032" i="1" s="1"/>
  <c r="J1031" i="1"/>
  <c r="J1030" i="1"/>
  <c r="F1030" i="1" s="1"/>
  <c r="J1029" i="1"/>
  <c r="J1028" i="1"/>
  <c r="E1028" i="1" s="1"/>
  <c r="J1027" i="1"/>
  <c r="F1027" i="1" s="1"/>
  <c r="J1026" i="1"/>
  <c r="C1026" i="1"/>
  <c r="J1025" i="1"/>
  <c r="B1025" i="1" s="1"/>
  <c r="D1025" i="1"/>
  <c r="J1024" i="1"/>
  <c r="J1023" i="1"/>
  <c r="F1023" i="1" s="1"/>
  <c r="J1022" i="1"/>
  <c r="J1021" i="1"/>
  <c r="C1021" i="1" s="1"/>
  <c r="J1020" i="1"/>
  <c r="J1019" i="1"/>
  <c r="J1018" i="1"/>
  <c r="E1018" i="1" s="1"/>
  <c r="F1018" i="1"/>
  <c r="J1017" i="1"/>
  <c r="C1017" i="1"/>
  <c r="J1016" i="1"/>
  <c r="E1016" i="1"/>
  <c r="D1016" i="1"/>
  <c r="C1016" i="1"/>
  <c r="J1015" i="1"/>
  <c r="G1015" i="1"/>
  <c r="C1015" i="1"/>
  <c r="B1015" i="1"/>
  <c r="J1014" i="1"/>
  <c r="B1014" i="1"/>
  <c r="J1013" i="1"/>
  <c r="C1013" i="1" s="1"/>
  <c r="J1012" i="1"/>
  <c r="C1012" i="1" s="1"/>
  <c r="B1012" i="1"/>
  <c r="A1012" i="1"/>
  <c r="J1011" i="1"/>
  <c r="A1011" i="1" s="1"/>
  <c r="G1011" i="1"/>
  <c r="J1010" i="1"/>
  <c r="J1009" i="1"/>
  <c r="J1008" i="1"/>
  <c r="G1008" i="1"/>
  <c r="F1008" i="1"/>
  <c r="E1008" i="1"/>
  <c r="D1008" i="1"/>
  <c r="C1008" i="1"/>
  <c r="B1008" i="1"/>
  <c r="A1008" i="1"/>
  <c r="J1007" i="1"/>
  <c r="J1006" i="1"/>
  <c r="J1005" i="1"/>
  <c r="D1005" i="1"/>
  <c r="A1005" i="1"/>
  <c r="J1004" i="1"/>
  <c r="G1004" i="1" s="1"/>
  <c r="E1004" i="1"/>
  <c r="D1004" i="1"/>
  <c r="B1004" i="1"/>
  <c r="J1003" i="1"/>
  <c r="J1002" i="1"/>
  <c r="J1001" i="1"/>
  <c r="J1000" i="1"/>
  <c r="G1000" i="1"/>
  <c r="J999" i="1"/>
  <c r="J998" i="1"/>
  <c r="B998" i="1" s="1"/>
  <c r="J997" i="1"/>
  <c r="C997" i="1" s="1"/>
  <c r="J996" i="1"/>
  <c r="B996" i="1" s="1"/>
  <c r="E996" i="1"/>
  <c r="J995" i="1"/>
  <c r="G995" i="1" s="1"/>
  <c r="F995" i="1"/>
  <c r="J994" i="1"/>
  <c r="B994" i="1" s="1"/>
  <c r="J993" i="1"/>
  <c r="C993" i="1"/>
  <c r="A993" i="1"/>
  <c r="J992" i="1"/>
  <c r="F992" i="1" s="1"/>
  <c r="B992" i="1"/>
  <c r="J991" i="1"/>
  <c r="J990" i="1"/>
  <c r="G990" i="1" s="1"/>
  <c r="J989" i="1"/>
  <c r="D989" i="1" s="1"/>
  <c r="F989" i="1"/>
  <c r="A989" i="1"/>
  <c r="J988" i="1"/>
  <c r="A988" i="1" s="1"/>
  <c r="J987" i="1"/>
  <c r="G987" i="1"/>
  <c r="J986" i="1"/>
  <c r="F986" i="1"/>
  <c r="B986" i="1"/>
  <c r="A986" i="1"/>
  <c r="J985" i="1"/>
  <c r="J984" i="1"/>
  <c r="A984" i="1"/>
  <c r="J983" i="1"/>
  <c r="J982" i="1"/>
  <c r="E982" i="1" s="1"/>
  <c r="D982" i="1"/>
  <c r="J981" i="1"/>
  <c r="C981" i="1" s="1"/>
  <c r="J980" i="1"/>
  <c r="B980" i="1" s="1"/>
  <c r="G980" i="1"/>
  <c r="J979" i="1"/>
  <c r="D979" i="1" s="1"/>
  <c r="J978" i="1"/>
  <c r="F978" i="1"/>
  <c r="D978" i="1"/>
  <c r="C978" i="1"/>
  <c r="B978" i="1"/>
  <c r="A978" i="1"/>
  <c r="J977" i="1"/>
  <c r="C977" i="1" s="1"/>
  <c r="D977" i="1"/>
  <c r="J976" i="1"/>
  <c r="G976" i="1" s="1"/>
  <c r="A976" i="1"/>
  <c r="J975" i="1"/>
  <c r="G975" i="1" s="1"/>
  <c r="F975" i="1"/>
  <c r="E975" i="1"/>
  <c r="D975" i="1"/>
  <c r="C975" i="1"/>
  <c r="B975" i="1"/>
  <c r="A975" i="1"/>
  <c r="J974" i="1"/>
  <c r="B974" i="1" s="1"/>
  <c r="E974" i="1"/>
  <c r="J973" i="1"/>
  <c r="D973" i="1" s="1"/>
  <c r="J972" i="1"/>
  <c r="J971" i="1"/>
  <c r="E971" i="1"/>
  <c r="J970" i="1"/>
  <c r="J969" i="1"/>
  <c r="F969" i="1" s="1"/>
  <c r="G969" i="1"/>
  <c r="J968" i="1"/>
  <c r="G968" i="1" s="1"/>
  <c r="J967" i="1"/>
  <c r="E967" i="1" s="1"/>
  <c r="D967" i="1"/>
  <c r="J966" i="1"/>
  <c r="B966" i="1" s="1"/>
  <c r="D966" i="1"/>
  <c r="J965" i="1"/>
  <c r="G965" i="1" s="1"/>
  <c r="J964" i="1"/>
  <c r="J963" i="1"/>
  <c r="G963" i="1" s="1"/>
  <c r="F963" i="1"/>
  <c r="C963" i="1"/>
  <c r="J962" i="1"/>
  <c r="C962" i="1" s="1"/>
  <c r="E962" i="1"/>
  <c r="J961" i="1"/>
  <c r="F961" i="1" s="1"/>
  <c r="G961" i="1"/>
  <c r="J960" i="1"/>
  <c r="G960" i="1" s="1"/>
  <c r="J959" i="1"/>
  <c r="F959" i="1" s="1"/>
  <c r="E959" i="1"/>
  <c r="D959" i="1"/>
  <c r="C959" i="1"/>
  <c r="J958" i="1"/>
  <c r="G958" i="1" s="1"/>
  <c r="J957" i="1"/>
  <c r="D957" i="1" s="1"/>
  <c r="G957" i="1"/>
  <c r="F957" i="1"/>
  <c r="J956" i="1"/>
  <c r="J955" i="1"/>
  <c r="B955" i="1" s="1"/>
  <c r="J954" i="1"/>
  <c r="D954" i="1" s="1"/>
  <c r="C954" i="1"/>
  <c r="J953" i="1"/>
  <c r="C953" i="1" s="1"/>
  <c r="D953" i="1"/>
  <c r="A953" i="1"/>
  <c r="J952" i="1"/>
  <c r="G952" i="1" s="1"/>
  <c r="D952" i="1"/>
  <c r="B952" i="1"/>
  <c r="J951" i="1"/>
  <c r="C951" i="1" s="1"/>
  <c r="J950" i="1"/>
  <c r="G950" i="1"/>
  <c r="J949" i="1"/>
  <c r="G949" i="1"/>
  <c r="J948" i="1"/>
  <c r="F948" i="1"/>
  <c r="J947" i="1"/>
  <c r="J946" i="1"/>
  <c r="D946" i="1"/>
  <c r="J945" i="1"/>
  <c r="A945" i="1" s="1"/>
  <c r="J944" i="1"/>
  <c r="F944" i="1" s="1"/>
  <c r="J943" i="1"/>
  <c r="G943" i="1" s="1"/>
  <c r="J942" i="1"/>
  <c r="E942" i="1" s="1"/>
  <c r="J941" i="1"/>
  <c r="C941" i="1" s="1"/>
  <c r="J940" i="1"/>
  <c r="G940" i="1" s="1"/>
  <c r="C940" i="1"/>
  <c r="J939" i="1"/>
  <c r="J938" i="1"/>
  <c r="J937" i="1"/>
  <c r="C937" i="1" s="1"/>
  <c r="J936" i="1"/>
  <c r="G936" i="1"/>
  <c r="B936" i="1"/>
  <c r="J935" i="1"/>
  <c r="E935" i="1" s="1"/>
  <c r="G935" i="1"/>
  <c r="F935" i="1"/>
  <c r="J934" i="1"/>
  <c r="A934" i="1" s="1"/>
  <c r="F934" i="1"/>
  <c r="J933" i="1"/>
  <c r="J932" i="1"/>
  <c r="G932" i="1" s="1"/>
  <c r="F932" i="1"/>
  <c r="E932" i="1"/>
  <c r="D932" i="1"/>
  <c r="B932" i="1"/>
  <c r="A932" i="1"/>
  <c r="J931" i="1"/>
  <c r="J930" i="1"/>
  <c r="G930" i="1"/>
  <c r="F930" i="1"/>
  <c r="B930" i="1"/>
  <c r="A930" i="1"/>
  <c r="J929" i="1"/>
  <c r="A929" i="1" s="1"/>
  <c r="B929" i="1"/>
  <c r="J928" i="1"/>
  <c r="G928" i="1" s="1"/>
  <c r="J927" i="1"/>
  <c r="G927" i="1"/>
  <c r="J926" i="1"/>
  <c r="C926" i="1" s="1"/>
  <c r="J925" i="1"/>
  <c r="J924" i="1"/>
  <c r="G924" i="1" s="1"/>
  <c r="D924" i="1"/>
  <c r="J923" i="1"/>
  <c r="J922" i="1"/>
  <c r="C922" i="1" s="1"/>
  <c r="J921" i="1"/>
  <c r="D921" i="1" s="1"/>
  <c r="J920" i="1"/>
  <c r="D920" i="1" s="1"/>
  <c r="J919" i="1"/>
  <c r="E919" i="1" s="1"/>
  <c r="J918" i="1"/>
  <c r="B918" i="1" s="1"/>
  <c r="J917" i="1"/>
  <c r="J916" i="1"/>
  <c r="D916" i="1" s="1"/>
  <c r="E916" i="1"/>
  <c r="J915" i="1"/>
  <c r="F915" i="1" s="1"/>
  <c r="J914" i="1"/>
  <c r="J913" i="1"/>
  <c r="J912" i="1"/>
  <c r="C912" i="1" s="1"/>
  <c r="D912" i="1"/>
  <c r="J911" i="1"/>
  <c r="D911" i="1" s="1"/>
  <c r="C911" i="1"/>
  <c r="J910" i="1"/>
  <c r="J909" i="1"/>
  <c r="F909" i="1"/>
  <c r="B909" i="1"/>
  <c r="J908" i="1"/>
  <c r="A908" i="1" s="1"/>
  <c r="J907" i="1"/>
  <c r="E907" i="1" s="1"/>
  <c r="C907" i="1"/>
  <c r="A907" i="1"/>
  <c r="J906" i="1"/>
  <c r="D906" i="1" s="1"/>
  <c r="J905" i="1"/>
  <c r="C905" i="1" s="1"/>
  <c r="D905" i="1"/>
  <c r="J904" i="1"/>
  <c r="G904" i="1" s="1"/>
  <c r="J903" i="1"/>
  <c r="A903" i="1"/>
  <c r="J902" i="1"/>
  <c r="J901" i="1"/>
  <c r="C901" i="1" s="1"/>
  <c r="G901" i="1"/>
  <c r="F901" i="1"/>
  <c r="B901" i="1"/>
  <c r="J900" i="1"/>
  <c r="J899" i="1"/>
  <c r="B899" i="1" s="1"/>
  <c r="J898" i="1"/>
  <c r="J897" i="1"/>
  <c r="C897" i="1" s="1"/>
  <c r="D897" i="1"/>
  <c r="J896" i="1"/>
  <c r="E896" i="1" s="1"/>
  <c r="C896" i="1"/>
  <c r="J895" i="1"/>
  <c r="B895" i="1" s="1"/>
  <c r="F895" i="1"/>
  <c r="D895" i="1"/>
  <c r="J894" i="1"/>
  <c r="J893" i="1"/>
  <c r="G893" i="1" s="1"/>
  <c r="J892" i="1"/>
  <c r="C892" i="1" s="1"/>
  <c r="B892" i="1"/>
  <c r="J891" i="1"/>
  <c r="B891" i="1" s="1"/>
  <c r="F891" i="1"/>
  <c r="D891" i="1"/>
  <c r="C891" i="1"/>
  <c r="J890" i="1"/>
  <c r="J889" i="1"/>
  <c r="G889" i="1"/>
  <c r="J888" i="1"/>
  <c r="B888" i="1"/>
  <c r="J887" i="1"/>
  <c r="F887" i="1" s="1"/>
  <c r="D887" i="1"/>
  <c r="C887" i="1"/>
  <c r="J886" i="1"/>
  <c r="D886" i="1" s="1"/>
  <c r="E886" i="1"/>
  <c r="J885" i="1"/>
  <c r="D885" i="1" s="1"/>
  <c r="G885" i="1"/>
  <c r="F885" i="1"/>
  <c r="J884" i="1"/>
  <c r="E884" i="1"/>
  <c r="C884" i="1"/>
  <c r="A884" i="1"/>
  <c r="J883" i="1"/>
  <c r="D883" i="1" s="1"/>
  <c r="C883" i="1"/>
  <c r="J882" i="1"/>
  <c r="B882" i="1" s="1"/>
  <c r="J881" i="1"/>
  <c r="F881" i="1"/>
  <c r="A881" i="1"/>
  <c r="J880" i="1"/>
  <c r="D880" i="1" s="1"/>
  <c r="J879" i="1"/>
  <c r="E879" i="1"/>
  <c r="J878" i="1"/>
  <c r="D878" i="1" s="1"/>
  <c r="J877" i="1"/>
  <c r="D877" i="1" s="1"/>
  <c r="J876" i="1"/>
  <c r="D876" i="1" s="1"/>
  <c r="C876" i="1"/>
  <c r="J875" i="1"/>
  <c r="J874" i="1"/>
  <c r="G874" i="1" s="1"/>
  <c r="J873" i="1"/>
  <c r="G873" i="1"/>
  <c r="J872" i="1"/>
  <c r="B872" i="1" s="1"/>
  <c r="J871" i="1"/>
  <c r="J870" i="1"/>
  <c r="C870" i="1" s="1"/>
  <c r="E870" i="1"/>
  <c r="J869" i="1"/>
  <c r="G869" i="1" s="1"/>
  <c r="A869" i="1"/>
  <c r="J868" i="1"/>
  <c r="B868" i="1" s="1"/>
  <c r="J867" i="1"/>
  <c r="F867" i="1" s="1"/>
  <c r="E867" i="1"/>
  <c r="B867" i="1"/>
  <c r="J866" i="1"/>
  <c r="E866" i="1"/>
  <c r="J865" i="1"/>
  <c r="G865" i="1" s="1"/>
  <c r="J864" i="1"/>
  <c r="J863" i="1"/>
  <c r="E863" i="1"/>
  <c r="C863" i="1"/>
  <c r="J862" i="1"/>
  <c r="D862" i="1" s="1"/>
  <c r="J861" i="1"/>
  <c r="C861" i="1" s="1"/>
  <c r="G861" i="1"/>
  <c r="F861" i="1"/>
  <c r="J860" i="1"/>
  <c r="G860" i="1" s="1"/>
  <c r="D860" i="1"/>
  <c r="C860" i="1"/>
  <c r="J859" i="1"/>
  <c r="C859" i="1" s="1"/>
  <c r="J858" i="1"/>
  <c r="A858" i="1" s="1"/>
  <c r="G858" i="1"/>
  <c r="F858" i="1"/>
  <c r="C858" i="1"/>
  <c r="B858" i="1"/>
  <c r="J857" i="1"/>
  <c r="F857" i="1" s="1"/>
  <c r="J856" i="1"/>
  <c r="J855" i="1"/>
  <c r="A855" i="1" s="1"/>
  <c r="G855" i="1"/>
  <c r="F855" i="1"/>
  <c r="J854" i="1"/>
  <c r="G854" i="1"/>
  <c r="F854" i="1"/>
  <c r="J853" i="1"/>
  <c r="G853" i="1" s="1"/>
  <c r="B853" i="1"/>
  <c r="A853" i="1"/>
  <c r="J852" i="1"/>
  <c r="B852" i="1" s="1"/>
  <c r="J851" i="1"/>
  <c r="A851" i="1" s="1"/>
  <c r="G851" i="1"/>
  <c r="F851" i="1"/>
  <c r="E851" i="1"/>
  <c r="D851" i="1"/>
  <c r="C851" i="1"/>
  <c r="B851" i="1"/>
  <c r="J850" i="1"/>
  <c r="F850" i="1" s="1"/>
  <c r="C850" i="1"/>
  <c r="B850" i="1"/>
  <c r="J849" i="1"/>
  <c r="C849" i="1" s="1"/>
  <c r="F849" i="1"/>
  <c r="D849" i="1"/>
  <c r="A849" i="1"/>
  <c r="J848" i="1"/>
  <c r="A848" i="1" s="1"/>
  <c r="E848" i="1"/>
  <c r="C848" i="1"/>
  <c r="J847" i="1"/>
  <c r="J846" i="1"/>
  <c r="F846" i="1" s="1"/>
  <c r="G846" i="1"/>
  <c r="E846" i="1"/>
  <c r="D846" i="1"/>
  <c r="B846" i="1"/>
  <c r="A846" i="1"/>
  <c r="J845" i="1"/>
  <c r="C845" i="1" s="1"/>
  <c r="J844" i="1"/>
  <c r="J843" i="1"/>
  <c r="C843" i="1" s="1"/>
  <c r="D843" i="1"/>
  <c r="J842" i="1"/>
  <c r="J841" i="1"/>
  <c r="J840" i="1"/>
  <c r="C840" i="1" s="1"/>
  <c r="G840" i="1"/>
  <c r="F840" i="1"/>
  <c r="B840" i="1"/>
  <c r="J839" i="1"/>
  <c r="E839" i="1" s="1"/>
  <c r="G839" i="1"/>
  <c r="F839" i="1"/>
  <c r="J838" i="1"/>
  <c r="B838" i="1" s="1"/>
  <c r="A838" i="1"/>
  <c r="J837" i="1"/>
  <c r="F837" i="1" s="1"/>
  <c r="J836" i="1"/>
  <c r="G836" i="1"/>
  <c r="J835" i="1"/>
  <c r="J834" i="1"/>
  <c r="G834" i="1" s="1"/>
  <c r="D834" i="1"/>
  <c r="J833" i="1"/>
  <c r="J832" i="1"/>
  <c r="F832" i="1"/>
  <c r="J831" i="1"/>
  <c r="J830" i="1"/>
  <c r="F830" i="1"/>
  <c r="E830" i="1"/>
  <c r="A830" i="1"/>
  <c r="J829" i="1"/>
  <c r="G829" i="1" s="1"/>
  <c r="F829" i="1"/>
  <c r="D829" i="1"/>
  <c r="B829" i="1"/>
  <c r="J828" i="1"/>
  <c r="G828" i="1" s="1"/>
  <c r="C828" i="1"/>
  <c r="J827" i="1"/>
  <c r="J826" i="1"/>
  <c r="E826" i="1" s="1"/>
  <c r="D826" i="1"/>
  <c r="J825" i="1"/>
  <c r="J824" i="1"/>
  <c r="F824" i="1" s="1"/>
  <c r="B824" i="1"/>
  <c r="J823" i="1"/>
  <c r="D823" i="1" s="1"/>
  <c r="G823" i="1"/>
  <c r="F823" i="1"/>
  <c r="E823" i="1"/>
  <c r="C823" i="1"/>
  <c r="B823" i="1"/>
  <c r="A823" i="1"/>
  <c r="J822" i="1"/>
  <c r="F822" i="1" s="1"/>
  <c r="G822" i="1"/>
  <c r="J821" i="1"/>
  <c r="G821" i="1" s="1"/>
  <c r="J820" i="1"/>
  <c r="G820" i="1" s="1"/>
  <c r="D820" i="1"/>
  <c r="B820" i="1"/>
  <c r="J819" i="1"/>
  <c r="C819" i="1" s="1"/>
  <c r="F819" i="1"/>
  <c r="D819" i="1"/>
  <c r="A819" i="1"/>
  <c r="J818" i="1"/>
  <c r="J817" i="1"/>
  <c r="A817" i="1" s="1"/>
  <c r="J816" i="1"/>
  <c r="J815" i="1"/>
  <c r="E815" i="1" s="1"/>
  <c r="C815" i="1"/>
  <c r="A815" i="1"/>
  <c r="J814" i="1"/>
  <c r="F814" i="1" s="1"/>
  <c r="J813" i="1"/>
  <c r="J812" i="1"/>
  <c r="A812" i="1"/>
  <c r="J811" i="1"/>
  <c r="C811" i="1" s="1"/>
  <c r="B811" i="1"/>
  <c r="J810" i="1"/>
  <c r="A810" i="1" s="1"/>
  <c r="G810" i="1"/>
  <c r="J809" i="1"/>
  <c r="F809" i="1"/>
  <c r="J808" i="1"/>
  <c r="E808" i="1" s="1"/>
  <c r="J807" i="1"/>
  <c r="F807" i="1" s="1"/>
  <c r="C807" i="1"/>
  <c r="B807" i="1"/>
  <c r="J806" i="1"/>
  <c r="J805" i="1"/>
  <c r="J804" i="1"/>
  <c r="D804" i="1" s="1"/>
  <c r="J803" i="1"/>
  <c r="F803" i="1"/>
  <c r="J802" i="1"/>
  <c r="J801" i="1"/>
  <c r="G801" i="1" s="1"/>
  <c r="J800" i="1"/>
  <c r="J799" i="1"/>
  <c r="J798" i="1"/>
  <c r="J797" i="1"/>
  <c r="F797" i="1"/>
  <c r="A797" i="1"/>
  <c r="J796" i="1"/>
  <c r="F796" i="1"/>
  <c r="E796" i="1"/>
  <c r="D796" i="1"/>
  <c r="C796" i="1"/>
  <c r="B796" i="1"/>
  <c r="J795" i="1"/>
  <c r="J794" i="1"/>
  <c r="G794" i="1"/>
  <c r="J793" i="1"/>
  <c r="C793" i="1" s="1"/>
  <c r="J792" i="1"/>
  <c r="D792" i="1"/>
  <c r="A792" i="1"/>
  <c r="J791" i="1"/>
  <c r="E791" i="1" s="1"/>
  <c r="A791" i="1"/>
  <c r="J790" i="1"/>
  <c r="J789" i="1"/>
  <c r="J788" i="1"/>
  <c r="G788" i="1"/>
  <c r="D788" i="1"/>
  <c r="J787" i="1"/>
  <c r="F787" i="1" s="1"/>
  <c r="C787" i="1"/>
  <c r="J786" i="1"/>
  <c r="F786" i="1" s="1"/>
  <c r="E786" i="1"/>
  <c r="D786" i="1"/>
  <c r="C786" i="1"/>
  <c r="B786" i="1"/>
  <c r="J785" i="1"/>
  <c r="C785" i="1"/>
  <c r="J784" i="1"/>
  <c r="F784" i="1"/>
  <c r="E784" i="1"/>
  <c r="J783" i="1"/>
  <c r="D783" i="1" s="1"/>
  <c r="J782" i="1"/>
  <c r="A782" i="1" s="1"/>
  <c r="G782" i="1"/>
  <c r="E782" i="1"/>
  <c r="J781" i="1"/>
  <c r="A781" i="1"/>
  <c r="J780" i="1"/>
  <c r="J779" i="1"/>
  <c r="J778" i="1"/>
  <c r="A778" i="1" s="1"/>
  <c r="G778" i="1"/>
  <c r="J777" i="1"/>
  <c r="J776" i="1"/>
  <c r="E776" i="1" s="1"/>
  <c r="D776" i="1"/>
  <c r="J775" i="1"/>
  <c r="J774" i="1"/>
  <c r="J773" i="1"/>
  <c r="J772" i="1"/>
  <c r="G772" i="1" s="1"/>
  <c r="J771" i="1"/>
  <c r="E771" i="1" s="1"/>
  <c r="J770" i="1"/>
  <c r="B770" i="1" s="1"/>
  <c r="J769" i="1"/>
  <c r="G769" i="1" s="1"/>
  <c r="J768" i="1"/>
  <c r="A768" i="1" s="1"/>
  <c r="J767" i="1"/>
  <c r="J766" i="1"/>
  <c r="F766" i="1" s="1"/>
  <c r="J765" i="1"/>
  <c r="C765" i="1" s="1"/>
  <c r="G765" i="1"/>
  <c r="J764" i="1"/>
  <c r="D764" i="1" s="1"/>
  <c r="J763" i="1"/>
  <c r="D763" i="1" s="1"/>
  <c r="G763" i="1"/>
  <c r="E763" i="1"/>
  <c r="J762" i="1"/>
  <c r="J761" i="1"/>
  <c r="G761" i="1" s="1"/>
  <c r="J760" i="1"/>
  <c r="E760" i="1" s="1"/>
  <c r="F760" i="1"/>
  <c r="J759" i="1"/>
  <c r="C759" i="1"/>
  <c r="J758" i="1"/>
  <c r="J757" i="1"/>
  <c r="J756" i="1"/>
  <c r="F756" i="1" s="1"/>
  <c r="G756" i="1"/>
  <c r="B756" i="1"/>
  <c r="J755" i="1"/>
  <c r="D755" i="1" s="1"/>
  <c r="J754" i="1"/>
  <c r="G754" i="1" s="1"/>
  <c r="J753" i="1"/>
  <c r="F753" i="1"/>
  <c r="J752" i="1"/>
  <c r="E752" i="1"/>
  <c r="J751" i="1"/>
  <c r="J750" i="1"/>
  <c r="G750" i="1" s="1"/>
  <c r="J749" i="1"/>
  <c r="C749" i="1" s="1"/>
  <c r="J748" i="1"/>
  <c r="A748" i="1" s="1"/>
  <c r="G748" i="1"/>
  <c r="B748" i="1"/>
  <c r="J747" i="1"/>
  <c r="B747" i="1" s="1"/>
  <c r="J746" i="1"/>
  <c r="F746" i="1"/>
  <c r="J745" i="1"/>
  <c r="B745" i="1" s="1"/>
  <c r="A745" i="1"/>
  <c r="J744" i="1"/>
  <c r="C744" i="1" s="1"/>
  <c r="F744" i="1"/>
  <c r="D744" i="1"/>
  <c r="J743" i="1"/>
  <c r="B743" i="1" s="1"/>
  <c r="J742" i="1"/>
  <c r="J741" i="1"/>
  <c r="F741" i="1"/>
  <c r="J740" i="1"/>
  <c r="E740" i="1" s="1"/>
  <c r="J739" i="1"/>
  <c r="A739" i="1" s="1"/>
  <c r="J738" i="1"/>
  <c r="B738" i="1" s="1"/>
  <c r="J737" i="1"/>
  <c r="J736" i="1"/>
  <c r="F736" i="1" s="1"/>
  <c r="E736" i="1"/>
  <c r="D736" i="1"/>
  <c r="J735" i="1"/>
  <c r="G735" i="1"/>
  <c r="F735" i="1"/>
  <c r="E735" i="1"/>
  <c r="D735" i="1"/>
  <c r="A735" i="1"/>
  <c r="J734" i="1"/>
  <c r="J733" i="1"/>
  <c r="J732" i="1"/>
  <c r="F732" i="1"/>
  <c r="J731" i="1"/>
  <c r="D731" i="1" s="1"/>
  <c r="F731" i="1"/>
  <c r="E731" i="1"/>
  <c r="C731" i="1"/>
  <c r="A731" i="1"/>
  <c r="J730" i="1"/>
  <c r="J729" i="1"/>
  <c r="F729" i="1" s="1"/>
  <c r="G729" i="1"/>
  <c r="A729" i="1"/>
  <c r="J728" i="1"/>
  <c r="B728" i="1" s="1"/>
  <c r="J727" i="1"/>
  <c r="A727" i="1" s="1"/>
  <c r="C727" i="1"/>
  <c r="J726" i="1"/>
  <c r="B726" i="1" s="1"/>
  <c r="J725" i="1"/>
  <c r="J724" i="1"/>
  <c r="E724" i="1"/>
  <c r="D724" i="1"/>
  <c r="C724" i="1"/>
  <c r="J723" i="1"/>
  <c r="B723" i="1" s="1"/>
  <c r="G723" i="1"/>
  <c r="F723" i="1"/>
  <c r="A723" i="1"/>
  <c r="J722" i="1"/>
  <c r="J721" i="1"/>
  <c r="G721" i="1" s="1"/>
  <c r="J720" i="1"/>
  <c r="D720" i="1"/>
  <c r="J719" i="1"/>
  <c r="D719" i="1" s="1"/>
  <c r="J718" i="1"/>
  <c r="D718" i="1" s="1"/>
  <c r="J717" i="1"/>
  <c r="G717" i="1"/>
  <c r="J716" i="1"/>
  <c r="G716" i="1" s="1"/>
  <c r="A716" i="1"/>
  <c r="J715" i="1"/>
  <c r="J714" i="1"/>
  <c r="C714" i="1" s="1"/>
  <c r="D714" i="1"/>
  <c r="J713" i="1"/>
  <c r="A713" i="1"/>
  <c r="J712" i="1"/>
  <c r="B712" i="1" s="1"/>
  <c r="J711" i="1"/>
  <c r="J710" i="1"/>
  <c r="J709" i="1"/>
  <c r="D709" i="1" s="1"/>
  <c r="J708" i="1"/>
  <c r="J707" i="1"/>
  <c r="B707" i="1" s="1"/>
  <c r="G707" i="1"/>
  <c r="F707" i="1"/>
  <c r="C707" i="1"/>
  <c r="J706" i="1"/>
  <c r="C706" i="1"/>
  <c r="J705" i="1"/>
  <c r="J704" i="1"/>
  <c r="B704" i="1" s="1"/>
  <c r="F704" i="1"/>
  <c r="E704" i="1"/>
  <c r="J703" i="1"/>
  <c r="E703" i="1" s="1"/>
  <c r="D703" i="1"/>
  <c r="J702" i="1"/>
  <c r="G702" i="1" s="1"/>
  <c r="J701" i="1"/>
  <c r="G701" i="1" s="1"/>
  <c r="J700" i="1"/>
  <c r="G700" i="1" s="1"/>
  <c r="J699" i="1"/>
  <c r="J698" i="1"/>
  <c r="C698" i="1"/>
  <c r="J697" i="1"/>
  <c r="B697" i="1" s="1"/>
  <c r="D697" i="1"/>
  <c r="C697" i="1"/>
  <c r="J696" i="1"/>
  <c r="D696" i="1" s="1"/>
  <c r="J695" i="1"/>
  <c r="A695" i="1" s="1"/>
  <c r="G695" i="1"/>
  <c r="F695" i="1"/>
  <c r="D695" i="1"/>
  <c r="C695" i="1"/>
  <c r="J694" i="1"/>
  <c r="J693" i="1"/>
  <c r="J692" i="1"/>
  <c r="F692" i="1" s="1"/>
  <c r="J691" i="1"/>
  <c r="B691" i="1" s="1"/>
  <c r="E691" i="1"/>
  <c r="D691" i="1"/>
  <c r="C691" i="1"/>
  <c r="A691" i="1"/>
  <c r="J690" i="1"/>
  <c r="G690" i="1" s="1"/>
  <c r="E690" i="1"/>
  <c r="J689" i="1"/>
  <c r="A689" i="1" s="1"/>
  <c r="G689" i="1"/>
  <c r="F689" i="1"/>
  <c r="J688" i="1"/>
  <c r="C688" i="1" s="1"/>
  <c r="D688" i="1"/>
  <c r="J687" i="1"/>
  <c r="D687" i="1" s="1"/>
  <c r="J686" i="1"/>
  <c r="J685" i="1"/>
  <c r="G685" i="1" s="1"/>
  <c r="J684" i="1"/>
  <c r="B684" i="1" s="1"/>
  <c r="E684" i="1"/>
  <c r="J683" i="1"/>
  <c r="J682" i="1"/>
  <c r="B682" i="1"/>
  <c r="J681" i="1"/>
  <c r="J680" i="1"/>
  <c r="D680" i="1" s="1"/>
  <c r="E680" i="1"/>
  <c r="A680" i="1"/>
  <c r="J679" i="1"/>
  <c r="G679" i="1" s="1"/>
  <c r="J678" i="1"/>
  <c r="C678" i="1" s="1"/>
  <c r="A678" i="1"/>
  <c r="J677" i="1"/>
  <c r="J676" i="1"/>
  <c r="B676" i="1" s="1"/>
  <c r="J675" i="1"/>
  <c r="A675" i="1"/>
  <c r="J674" i="1"/>
  <c r="J673" i="1"/>
  <c r="J672" i="1"/>
  <c r="J671" i="1"/>
  <c r="D671" i="1" s="1"/>
  <c r="G671" i="1"/>
  <c r="E671" i="1"/>
  <c r="C671" i="1"/>
  <c r="A671" i="1"/>
  <c r="J670" i="1"/>
  <c r="J669" i="1"/>
  <c r="B669" i="1" s="1"/>
  <c r="G669" i="1"/>
  <c r="D669" i="1"/>
  <c r="C669" i="1"/>
  <c r="A669" i="1"/>
  <c r="J668" i="1"/>
  <c r="J667" i="1"/>
  <c r="A667" i="1" s="1"/>
  <c r="G667" i="1"/>
  <c r="B667" i="1"/>
  <c r="J666" i="1"/>
  <c r="F666" i="1" s="1"/>
  <c r="J665" i="1"/>
  <c r="J664" i="1"/>
  <c r="B664" i="1" s="1"/>
  <c r="F664" i="1"/>
  <c r="J663" i="1"/>
  <c r="D663" i="1" s="1"/>
  <c r="J662" i="1"/>
  <c r="G662" i="1" s="1"/>
  <c r="C662" i="1"/>
  <c r="J661" i="1"/>
  <c r="E661" i="1" s="1"/>
  <c r="D661" i="1"/>
  <c r="B661" i="1"/>
  <c r="J660" i="1"/>
  <c r="A660" i="1" s="1"/>
  <c r="J659" i="1"/>
  <c r="D659" i="1" s="1"/>
  <c r="J658" i="1"/>
  <c r="J657" i="1"/>
  <c r="G657" i="1" s="1"/>
  <c r="E657" i="1"/>
  <c r="D657" i="1"/>
  <c r="J656" i="1"/>
  <c r="G656" i="1" s="1"/>
  <c r="J655" i="1"/>
  <c r="J654" i="1"/>
  <c r="E654" i="1" s="1"/>
  <c r="G654" i="1"/>
  <c r="F654" i="1"/>
  <c r="C654" i="1"/>
  <c r="B654" i="1"/>
  <c r="A654" i="1"/>
  <c r="J653" i="1"/>
  <c r="A653" i="1" s="1"/>
  <c r="J652" i="1"/>
  <c r="G652" i="1" s="1"/>
  <c r="J651" i="1"/>
  <c r="B651" i="1" s="1"/>
  <c r="F651" i="1"/>
  <c r="J650" i="1"/>
  <c r="B650" i="1" s="1"/>
  <c r="J649" i="1"/>
  <c r="E649" i="1" s="1"/>
  <c r="C649" i="1"/>
  <c r="J648" i="1"/>
  <c r="G648" i="1" s="1"/>
  <c r="J647" i="1"/>
  <c r="G647" i="1" s="1"/>
  <c r="B647" i="1"/>
  <c r="J646" i="1"/>
  <c r="J645" i="1"/>
  <c r="A645" i="1"/>
  <c r="J644" i="1"/>
  <c r="J643" i="1"/>
  <c r="J642" i="1"/>
  <c r="J641" i="1"/>
  <c r="D641" i="1" s="1"/>
  <c r="J640" i="1"/>
  <c r="J639" i="1"/>
  <c r="F639" i="1"/>
  <c r="J638" i="1"/>
  <c r="J637" i="1"/>
  <c r="G637" i="1"/>
  <c r="F637" i="1"/>
  <c r="B637" i="1"/>
  <c r="J636" i="1"/>
  <c r="J635" i="1"/>
  <c r="E635" i="1" s="1"/>
  <c r="F635" i="1"/>
  <c r="C635" i="1"/>
  <c r="B635" i="1"/>
  <c r="J634" i="1"/>
  <c r="E634" i="1" s="1"/>
  <c r="J633" i="1"/>
  <c r="B633" i="1"/>
  <c r="J632" i="1"/>
  <c r="D632" i="1" s="1"/>
  <c r="J631" i="1"/>
  <c r="C631" i="1" s="1"/>
  <c r="J630" i="1"/>
  <c r="J629" i="1"/>
  <c r="D629" i="1" s="1"/>
  <c r="A629" i="1"/>
  <c r="J628" i="1"/>
  <c r="E628" i="1" s="1"/>
  <c r="J627" i="1"/>
  <c r="B627" i="1" s="1"/>
  <c r="C627" i="1"/>
  <c r="J626" i="1"/>
  <c r="G626" i="1"/>
  <c r="B626" i="1"/>
  <c r="J625" i="1"/>
  <c r="J624" i="1"/>
  <c r="E624" i="1" s="1"/>
  <c r="G624" i="1"/>
  <c r="B624" i="1"/>
  <c r="A624" i="1"/>
  <c r="J623" i="1"/>
  <c r="A623" i="1" s="1"/>
  <c r="F623" i="1"/>
  <c r="C623" i="1"/>
  <c r="J622" i="1"/>
  <c r="A622" i="1" s="1"/>
  <c r="G622" i="1"/>
  <c r="F622" i="1"/>
  <c r="C622" i="1"/>
  <c r="B622" i="1"/>
  <c r="J621" i="1"/>
  <c r="F621" i="1" s="1"/>
  <c r="G621" i="1"/>
  <c r="C621" i="1"/>
  <c r="J620" i="1"/>
  <c r="G620" i="1" s="1"/>
  <c r="F620" i="1"/>
  <c r="C620" i="1"/>
  <c r="J619" i="1"/>
  <c r="G619" i="1" s="1"/>
  <c r="J618" i="1"/>
  <c r="B618" i="1" s="1"/>
  <c r="J617" i="1"/>
  <c r="C617" i="1" s="1"/>
  <c r="J616" i="1"/>
  <c r="F616" i="1" s="1"/>
  <c r="E616" i="1"/>
  <c r="B616" i="1"/>
  <c r="A616" i="1"/>
  <c r="J615" i="1"/>
  <c r="F615" i="1" s="1"/>
  <c r="J614" i="1"/>
  <c r="G614" i="1" s="1"/>
  <c r="J613" i="1"/>
  <c r="G613" i="1"/>
  <c r="J612" i="1"/>
  <c r="G612" i="1" s="1"/>
  <c r="D612" i="1"/>
  <c r="J611" i="1"/>
  <c r="J610" i="1"/>
  <c r="G610" i="1" s="1"/>
  <c r="J609" i="1"/>
  <c r="J608" i="1"/>
  <c r="J607" i="1"/>
  <c r="G607" i="1" s="1"/>
  <c r="E607" i="1"/>
  <c r="J606" i="1"/>
  <c r="J605" i="1"/>
  <c r="G605" i="1" s="1"/>
  <c r="J604" i="1"/>
  <c r="E604" i="1" s="1"/>
  <c r="G604" i="1"/>
  <c r="F604" i="1"/>
  <c r="J603" i="1"/>
  <c r="B603" i="1" s="1"/>
  <c r="J602" i="1"/>
  <c r="B602" i="1" s="1"/>
  <c r="J601" i="1"/>
  <c r="G601" i="1" s="1"/>
  <c r="J600" i="1"/>
  <c r="J599" i="1"/>
  <c r="G599" i="1"/>
  <c r="J598" i="1"/>
  <c r="A598" i="1" s="1"/>
  <c r="E598" i="1"/>
  <c r="D598" i="1"/>
  <c r="J597" i="1"/>
  <c r="E597" i="1" s="1"/>
  <c r="J596" i="1"/>
  <c r="A596" i="1" s="1"/>
  <c r="F596" i="1"/>
  <c r="J595" i="1"/>
  <c r="J594" i="1"/>
  <c r="J593" i="1"/>
  <c r="G593" i="1" s="1"/>
  <c r="D593" i="1"/>
  <c r="J592" i="1"/>
  <c r="D592" i="1" s="1"/>
  <c r="J591" i="1"/>
  <c r="D591" i="1" s="1"/>
  <c r="J590" i="1"/>
  <c r="E590" i="1" s="1"/>
  <c r="D590" i="1"/>
  <c r="J589" i="1"/>
  <c r="B589" i="1"/>
  <c r="J588" i="1"/>
  <c r="G588" i="1" s="1"/>
  <c r="D588" i="1"/>
  <c r="J587" i="1"/>
  <c r="G587" i="1"/>
  <c r="D587" i="1"/>
  <c r="J586" i="1"/>
  <c r="A586" i="1" s="1"/>
  <c r="J585" i="1"/>
  <c r="F585" i="1" s="1"/>
  <c r="J584" i="1"/>
  <c r="J583" i="1"/>
  <c r="C583" i="1" s="1"/>
  <c r="E583" i="1"/>
  <c r="J582" i="1"/>
  <c r="F582" i="1"/>
  <c r="B582" i="1"/>
  <c r="A582" i="1"/>
  <c r="J581" i="1"/>
  <c r="G581" i="1" s="1"/>
  <c r="F581" i="1"/>
  <c r="E581" i="1"/>
  <c r="J580" i="1"/>
  <c r="F580" i="1" s="1"/>
  <c r="D580" i="1"/>
  <c r="J579" i="1"/>
  <c r="J578" i="1"/>
  <c r="D578" i="1" s="1"/>
  <c r="E578" i="1"/>
  <c r="A578" i="1"/>
  <c r="J577" i="1"/>
  <c r="J576" i="1"/>
  <c r="A576" i="1" s="1"/>
  <c r="J575" i="1"/>
  <c r="J574" i="1"/>
  <c r="J573" i="1"/>
  <c r="D573" i="1" s="1"/>
  <c r="G573" i="1"/>
  <c r="F573" i="1"/>
  <c r="B573" i="1"/>
  <c r="J572" i="1"/>
  <c r="G572" i="1"/>
  <c r="F572" i="1"/>
  <c r="B572" i="1"/>
  <c r="J571" i="1"/>
  <c r="G571" i="1" s="1"/>
  <c r="J570" i="1"/>
  <c r="D570" i="1" s="1"/>
  <c r="E570" i="1"/>
  <c r="J569" i="1"/>
  <c r="J568" i="1"/>
  <c r="B568" i="1" s="1"/>
  <c r="J567" i="1"/>
  <c r="G567" i="1" s="1"/>
  <c r="F567" i="1"/>
  <c r="E567" i="1"/>
  <c r="B567" i="1"/>
  <c r="J566" i="1"/>
  <c r="F566" i="1"/>
  <c r="A566" i="1"/>
  <c r="J565" i="1"/>
  <c r="E565" i="1" s="1"/>
  <c r="J564" i="1"/>
  <c r="D564" i="1"/>
  <c r="J563" i="1"/>
  <c r="J562" i="1"/>
  <c r="E562" i="1" s="1"/>
  <c r="D562" i="1"/>
  <c r="J561" i="1"/>
  <c r="E561" i="1" s="1"/>
  <c r="J560" i="1"/>
  <c r="C560" i="1" s="1"/>
  <c r="J559" i="1"/>
  <c r="D559" i="1" s="1"/>
  <c r="J558" i="1"/>
  <c r="E558" i="1" s="1"/>
  <c r="F558" i="1"/>
  <c r="D558" i="1"/>
  <c r="A558" i="1"/>
  <c r="J557" i="1"/>
  <c r="A557" i="1" s="1"/>
  <c r="G557" i="1"/>
  <c r="E557" i="1"/>
  <c r="D557" i="1"/>
  <c r="J556" i="1"/>
  <c r="C556" i="1" s="1"/>
  <c r="F556" i="1"/>
  <c r="J555" i="1"/>
  <c r="E555" i="1" s="1"/>
  <c r="J554" i="1"/>
  <c r="D554" i="1"/>
  <c r="C554" i="1"/>
  <c r="J553" i="1"/>
  <c r="E553" i="1" s="1"/>
  <c r="J552" i="1"/>
  <c r="J551" i="1"/>
  <c r="F551" i="1" s="1"/>
  <c r="J550" i="1"/>
  <c r="G550" i="1" s="1"/>
  <c r="J549" i="1"/>
  <c r="J548" i="1"/>
  <c r="J547" i="1"/>
  <c r="J546" i="1"/>
  <c r="G546" i="1" s="1"/>
  <c r="J545" i="1"/>
  <c r="B545" i="1" s="1"/>
  <c r="J544" i="1"/>
  <c r="J543" i="1"/>
  <c r="G543" i="1" s="1"/>
  <c r="C543" i="1"/>
  <c r="J542" i="1"/>
  <c r="J541" i="1"/>
  <c r="E541" i="1" s="1"/>
  <c r="G541" i="1"/>
  <c r="F541" i="1"/>
  <c r="J540" i="1"/>
  <c r="D540" i="1" s="1"/>
  <c r="J539" i="1"/>
  <c r="B539" i="1"/>
  <c r="J538" i="1"/>
  <c r="D538" i="1" s="1"/>
  <c r="A538" i="1"/>
  <c r="J537" i="1"/>
  <c r="G537" i="1" s="1"/>
  <c r="F537" i="1"/>
  <c r="E537" i="1"/>
  <c r="J536" i="1"/>
  <c r="J535" i="1"/>
  <c r="J534" i="1"/>
  <c r="G534" i="1" s="1"/>
  <c r="E534" i="1"/>
  <c r="D534" i="1"/>
  <c r="J533" i="1"/>
  <c r="G533" i="1" s="1"/>
  <c r="F533" i="1"/>
  <c r="E533" i="1"/>
  <c r="J532" i="1"/>
  <c r="C532" i="1" s="1"/>
  <c r="G532" i="1"/>
  <c r="J531" i="1"/>
  <c r="J530" i="1"/>
  <c r="D530" i="1" s="1"/>
  <c r="G530" i="1"/>
  <c r="J529" i="1"/>
  <c r="B529" i="1" s="1"/>
  <c r="J528" i="1"/>
  <c r="J527" i="1"/>
  <c r="J526" i="1"/>
  <c r="E526" i="1" s="1"/>
  <c r="F526" i="1"/>
  <c r="B526" i="1"/>
  <c r="A526" i="1"/>
  <c r="J525" i="1"/>
  <c r="J524" i="1"/>
  <c r="J523" i="1"/>
  <c r="F523" i="1"/>
  <c r="J522" i="1"/>
  <c r="G522" i="1" s="1"/>
  <c r="E522" i="1"/>
  <c r="B522" i="1"/>
  <c r="J521" i="1"/>
  <c r="J520" i="1"/>
  <c r="G520" i="1" s="1"/>
  <c r="E520" i="1"/>
  <c r="D520" i="1"/>
  <c r="J519" i="1"/>
  <c r="G519" i="1" s="1"/>
  <c r="F519" i="1"/>
  <c r="B519" i="1"/>
  <c r="J518" i="1"/>
  <c r="B518" i="1" s="1"/>
  <c r="J517" i="1"/>
  <c r="A517" i="1" s="1"/>
  <c r="G517" i="1"/>
  <c r="J516" i="1"/>
  <c r="C516" i="1" s="1"/>
  <c r="D516" i="1"/>
  <c r="J515" i="1"/>
  <c r="G515" i="1" s="1"/>
  <c r="J514" i="1"/>
  <c r="F514" i="1" s="1"/>
  <c r="J513" i="1"/>
  <c r="J512" i="1"/>
  <c r="J511" i="1"/>
  <c r="F511" i="1" s="1"/>
  <c r="J510" i="1"/>
  <c r="F510" i="1"/>
  <c r="J509" i="1"/>
  <c r="E509" i="1" s="1"/>
  <c r="J508" i="1"/>
  <c r="J507" i="1"/>
  <c r="J506" i="1"/>
  <c r="F506" i="1" s="1"/>
  <c r="G506" i="1"/>
  <c r="B506" i="1"/>
  <c r="J505" i="1"/>
  <c r="E505" i="1" s="1"/>
  <c r="A505" i="1"/>
  <c r="J504" i="1"/>
  <c r="A504" i="1" s="1"/>
  <c r="J503" i="1"/>
  <c r="D503" i="1"/>
  <c r="C503" i="1"/>
  <c r="J502" i="1"/>
  <c r="J501" i="1"/>
  <c r="F501" i="1" s="1"/>
  <c r="J500" i="1"/>
  <c r="B500" i="1" s="1"/>
  <c r="E500" i="1"/>
  <c r="J499" i="1"/>
  <c r="F499" i="1" s="1"/>
  <c r="E499" i="1"/>
  <c r="J498" i="1"/>
  <c r="J497" i="1"/>
  <c r="G497" i="1" s="1"/>
  <c r="J496" i="1"/>
  <c r="B496" i="1" s="1"/>
  <c r="G496" i="1"/>
  <c r="C496" i="1"/>
  <c r="J495" i="1"/>
  <c r="J494" i="1"/>
  <c r="E494" i="1" s="1"/>
  <c r="G494" i="1"/>
  <c r="F494" i="1"/>
  <c r="D494" i="1"/>
  <c r="B494" i="1"/>
  <c r="A494" i="1"/>
  <c r="J493" i="1"/>
  <c r="B493" i="1"/>
  <c r="J492" i="1"/>
  <c r="C492" i="1" s="1"/>
  <c r="G492" i="1"/>
  <c r="J491" i="1"/>
  <c r="G491" i="1" s="1"/>
  <c r="J490" i="1"/>
  <c r="J489" i="1"/>
  <c r="F489" i="1"/>
  <c r="A489" i="1"/>
  <c r="J488" i="1"/>
  <c r="D488" i="1" s="1"/>
  <c r="J487" i="1"/>
  <c r="F487" i="1"/>
  <c r="C487" i="1"/>
  <c r="B487" i="1"/>
  <c r="J486" i="1"/>
  <c r="G486" i="1" s="1"/>
  <c r="E486" i="1"/>
  <c r="D486" i="1"/>
  <c r="A486" i="1"/>
  <c r="J485" i="1"/>
  <c r="C485" i="1" s="1"/>
  <c r="G485" i="1"/>
  <c r="F485" i="1"/>
  <c r="J484" i="1"/>
  <c r="G484" i="1"/>
  <c r="J483" i="1"/>
  <c r="J482" i="1"/>
  <c r="G482" i="1"/>
  <c r="J481" i="1"/>
  <c r="F481" i="1" s="1"/>
  <c r="G481" i="1"/>
  <c r="C481" i="1"/>
  <c r="B481" i="1"/>
  <c r="J480" i="1"/>
  <c r="C480" i="1" s="1"/>
  <c r="G480" i="1"/>
  <c r="F480" i="1"/>
  <c r="D480" i="1"/>
  <c r="J479" i="1"/>
  <c r="J478" i="1"/>
  <c r="J477" i="1"/>
  <c r="J476" i="1"/>
  <c r="J475" i="1"/>
  <c r="G475" i="1" s="1"/>
  <c r="F475" i="1"/>
  <c r="J474" i="1"/>
  <c r="G474" i="1" s="1"/>
  <c r="D474" i="1"/>
  <c r="C474" i="1"/>
  <c r="J473" i="1"/>
  <c r="B473" i="1" s="1"/>
  <c r="E473" i="1"/>
  <c r="D473" i="1"/>
  <c r="J472" i="1"/>
  <c r="J471" i="1"/>
  <c r="J470" i="1"/>
  <c r="E470" i="1" s="1"/>
  <c r="J469" i="1"/>
  <c r="J468" i="1"/>
  <c r="G468" i="1" s="1"/>
  <c r="F468" i="1"/>
  <c r="A468" i="1"/>
  <c r="J467" i="1"/>
  <c r="D467" i="1" s="1"/>
  <c r="J466" i="1"/>
  <c r="C466" i="1" s="1"/>
  <c r="J465" i="1"/>
  <c r="J464" i="1"/>
  <c r="J463" i="1"/>
  <c r="G463" i="1" s="1"/>
  <c r="J462" i="1"/>
  <c r="C462" i="1" s="1"/>
  <c r="B462" i="1"/>
  <c r="J461" i="1"/>
  <c r="J460" i="1"/>
  <c r="G460" i="1" s="1"/>
  <c r="E460" i="1"/>
  <c r="B460" i="1"/>
  <c r="J459" i="1"/>
  <c r="F459" i="1" s="1"/>
  <c r="E459" i="1"/>
  <c r="D459" i="1"/>
  <c r="J458" i="1"/>
  <c r="C458" i="1" s="1"/>
  <c r="J457" i="1"/>
  <c r="B457" i="1" s="1"/>
  <c r="F457" i="1"/>
  <c r="E457" i="1"/>
  <c r="C457" i="1"/>
  <c r="A457" i="1"/>
  <c r="J456" i="1"/>
  <c r="C456" i="1" s="1"/>
  <c r="J455" i="1"/>
  <c r="D455" i="1" s="1"/>
  <c r="J454" i="1"/>
  <c r="B454" i="1" s="1"/>
  <c r="J453" i="1"/>
  <c r="B453" i="1"/>
  <c r="J452" i="1"/>
  <c r="J451" i="1"/>
  <c r="F451" i="1" s="1"/>
  <c r="G451" i="1"/>
  <c r="D451" i="1"/>
  <c r="B451" i="1"/>
  <c r="J450" i="1"/>
  <c r="E450" i="1" s="1"/>
  <c r="J449" i="1"/>
  <c r="G449" i="1"/>
  <c r="J448" i="1"/>
  <c r="J447" i="1"/>
  <c r="D447" i="1" s="1"/>
  <c r="J446" i="1"/>
  <c r="J445" i="1"/>
  <c r="J444" i="1"/>
  <c r="G444" i="1" s="1"/>
  <c r="J443" i="1"/>
  <c r="C443" i="1" s="1"/>
  <c r="J442" i="1"/>
  <c r="F442" i="1" s="1"/>
  <c r="E442" i="1"/>
  <c r="B442" i="1"/>
  <c r="A442" i="1"/>
  <c r="J441" i="1"/>
  <c r="E441" i="1" s="1"/>
  <c r="G441" i="1"/>
  <c r="F441" i="1"/>
  <c r="D441" i="1"/>
  <c r="J440" i="1"/>
  <c r="F440" i="1" s="1"/>
  <c r="G440" i="1"/>
  <c r="D440" i="1"/>
  <c r="C440" i="1"/>
  <c r="J439" i="1"/>
  <c r="C439" i="1" s="1"/>
  <c r="D439" i="1"/>
  <c r="J438" i="1"/>
  <c r="A438" i="1"/>
  <c r="J437" i="1"/>
  <c r="D437" i="1" s="1"/>
  <c r="F437" i="1"/>
  <c r="E437" i="1"/>
  <c r="C437" i="1"/>
  <c r="A437" i="1"/>
  <c r="J436" i="1"/>
  <c r="D436" i="1" s="1"/>
  <c r="J435" i="1"/>
  <c r="G435" i="1"/>
  <c r="J434" i="1"/>
  <c r="F434" i="1"/>
  <c r="E434" i="1"/>
  <c r="J433" i="1"/>
  <c r="J432" i="1"/>
  <c r="E432" i="1" s="1"/>
  <c r="J431" i="1"/>
  <c r="E431" i="1" s="1"/>
  <c r="J430" i="1"/>
  <c r="G430" i="1"/>
  <c r="J429" i="1"/>
  <c r="C429" i="1" s="1"/>
  <c r="A429" i="1"/>
  <c r="J428" i="1"/>
  <c r="D428" i="1" s="1"/>
  <c r="J427" i="1"/>
  <c r="D427" i="1" s="1"/>
  <c r="E427" i="1"/>
  <c r="J426" i="1"/>
  <c r="C426" i="1" s="1"/>
  <c r="J425" i="1"/>
  <c r="C425" i="1"/>
  <c r="J424" i="1"/>
  <c r="J423" i="1"/>
  <c r="J422" i="1"/>
  <c r="D422" i="1"/>
  <c r="J421" i="1"/>
  <c r="E421" i="1" s="1"/>
  <c r="J420" i="1"/>
  <c r="C420" i="1" s="1"/>
  <c r="G420" i="1"/>
  <c r="J419" i="1"/>
  <c r="B419" i="1" s="1"/>
  <c r="F419" i="1"/>
  <c r="J418" i="1"/>
  <c r="D418" i="1"/>
  <c r="J417" i="1"/>
  <c r="G417" i="1" s="1"/>
  <c r="E417" i="1"/>
  <c r="J416" i="1"/>
  <c r="E416" i="1"/>
  <c r="J415" i="1"/>
  <c r="E415" i="1"/>
  <c r="D415" i="1"/>
  <c r="J414" i="1"/>
  <c r="J413" i="1"/>
  <c r="C413" i="1"/>
  <c r="B413" i="1"/>
  <c r="J412" i="1"/>
  <c r="E412" i="1" s="1"/>
  <c r="D412" i="1"/>
  <c r="C412" i="1"/>
  <c r="J411" i="1"/>
  <c r="A411" i="1" s="1"/>
  <c r="E411" i="1"/>
  <c r="B411" i="1"/>
  <c r="J410" i="1"/>
  <c r="D410" i="1"/>
  <c r="C410" i="1"/>
  <c r="J409" i="1"/>
  <c r="J408" i="1"/>
  <c r="B408" i="1" s="1"/>
  <c r="J407" i="1"/>
  <c r="D407" i="1"/>
  <c r="J406" i="1"/>
  <c r="F406" i="1" s="1"/>
  <c r="J405" i="1"/>
  <c r="J404" i="1"/>
  <c r="E404" i="1"/>
  <c r="J403" i="1"/>
  <c r="D403" i="1" s="1"/>
  <c r="J402" i="1"/>
  <c r="G402" i="1" s="1"/>
  <c r="B402" i="1"/>
  <c r="J401" i="1"/>
  <c r="D401" i="1" s="1"/>
  <c r="G401" i="1"/>
  <c r="F401" i="1"/>
  <c r="J400" i="1"/>
  <c r="E400" i="1" s="1"/>
  <c r="A400" i="1"/>
  <c r="J399" i="1"/>
  <c r="J398" i="1"/>
  <c r="J397" i="1"/>
  <c r="G397" i="1"/>
  <c r="B397" i="1"/>
  <c r="J396" i="1"/>
  <c r="G396" i="1" s="1"/>
  <c r="F396" i="1"/>
  <c r="E396" i="1"/>
  <c r="C396" i="1"/>
  <c r="B396" i="1"/>
  <c r="A396" i="1"/>
  <c r="J395" i="1"/>
  <c r="A395" i="1" s="1"/>
  <c r="F395" i="1"/>
  <c r="E395" i="1"/>
  <c r="J394" i="1"/>
  <c r="E394" i="1" s="1"/>
  <c r="J393" i="1"/>
  <c r="D393" i="1" s="1"/>
  <c r="G393" i="1"/>
  <c r="J392" i="1"/>
  <c r="J391" i="1"/>
  <c r="J390" i="1"/>
  <c r="J389" i="1"/>
  <c r="E389" i="1" s="1"/>
  <c r="J388" i="1"/>
  <c r="D388" i="1" s="1"/>
  <c r="G388" i="1"/>
  <c r="J387" i="1"/>
  <c r="D387" i="1" s="1"/>
  <c r="J386" i="1"/>
  <c r="G386" i="1"/>
  <c r="J385" i="1"/>
  <c r="E385" i="1" s="1"/>
  <c r="F385" i="1"/>
  <c r="D385" i="1"/>
  <c r="A385" i="1"/>
  <c r="J384" i="1"/>
  <c r="D384" i="1" s="1"/>
  <c r="G384" i="1"/>
  <c r="A384" i="1"/>
  <c r="J383" i="1"/>
  <c r="A383" i="1" s="1"/>
  <c r="D383" i="1"/>
  <c r="B383" i="1"/>
  <c r="J382" i="1"/>
  <c r="G382" i="1" s="1"/>
  <c r="J381" i="1"/>
  <c r="G381" i="1" s="1"/>
  <c r="E381" i="1"/>
  <c r="B381" i="1"/>
  <c r="J380" i="1"/>
  <c r="J379" i="1"/>
  <c r="G379" i="1" s="1"/>
  <c r="C379" i="1"/>
  <c r="J378" i="1"/>
  <c r="J377" i="1"/>
  <c r="F377" i="1" s="1"/>
  <c r="J376" i="1"/>
  <c r="E376" i="1"/>
  <c r="J375" i="1"/>
  <c r="J374" i="1"/>
  <c r="A374" i="1" s="1"/>
  <c r="J373" i="1"/>
  <c r="E373" i="1" s="1"/>
  <c r="B373" i="1"/>
  <c r="A373" i="1"/>
  <c r="J372" i="1"/>
  <c r="C372" i="1" s="1"/>
  <c r="J371" i="1"/>
  <c r="J370" i="1"/>
  <c r="G370" i="1" s="1"/>
  <c r="J369" i="1"/>
  <c r="C369" i="1" s="1"/>
  <c r="F369" i="1"/>
  <c r="J368" i="1"/>
  <c r="J367" i="1"/>
  <c r="B367" i="1" s="1"/>
  <c r="J366" i="1"/>
  <c r="G366" i="1"/>
  <c r="F366" i="1"/>
  <c r="E366" i="1"/>
  <c r="A366" i="1"/>
  <c r="J365" i="1"/>
  <c r="E365" i="1"/>
  <c r="J364" i="1"/>
  <c r="D364" i="1" s="1"/>
  <c r="C364" i="1"/>
  <c r="J363" i="1"/>
  <c r="G363" i="1" s="1"/>
  <c r="J362" i="1"/>
  <c r="G362" i="1" s="1"/>
  <c r="C362" i="1"/>
  <c r="J361" i="1"/>
  <c r="J360" i="1"/>
  <c r="J359" i="1"/>
  <c r="E359" i="1" s="1"/>
  <c r="B359" i="1"/>
  <c r="J358" i="1"/>
  <c r="B358" i="1" s="1"/>
  <c r="J357" i="1"/>
  <c r="B357" i="1" s="1"/>
  <c r="G357" i="1"/>
  <c r="F357" i="1"/>
  <c r="E357" i="1"/>
  <c r="C357" i="1"/>
  <c r="J356" i="1"/>
  <c r="G356" i="1" s="1"/>
  <c r="F356" i="1"/>
  <c r="J355" i="1"/>
  <c r="G355" i="1" s="1"/>
  <c r="F355" i="1"/>
  <c r="J354" i="1"/>
  <c r="G354" i="1" s="1"/>
  <c r="J353" i="1"/>
  <c r="D353" i="1" s="1"/>
  <c r="G353" i="1"/>
  <c r="E353" i="1"/>
  <c r="B353" i="1"/>
  <c r="A353" i="1"/>
  <c r="J352" i="1"/>
  <c r="E352" i="1" s="1"/>
  <c r="B352" i="1"/>
  <c r="A352" i="1"/>
  <c r="J351" i="1"/>
  <c r="G351" i="1"/>
  <c r="E351" i="1"/>
  <c r="D351" i="1"/>
  <c r="A351" i="1"/>
  <c r="J350" i="1"/>
  <c r="E350" i="1"/>
  <c r="J349" i="1"/>
  <c r="J348" i="1"/>
  <c r="D348" i="1" s="1"/>
  <c r="J347" i="1"/>
  <c r="J346" i="1"/>
  <c r="J345" i="1"/>
  <c r="G345" i="1" s="1"/>
  <c r="J344" i="1"/>
  <c r="C344" i="1" s="1"/>
  <c r="F344" i="1"/>
  <c r="J343" i="1"/>
  <c r="G343" i="1" s="1"/>
  <c r="J342" i="1"/>
  <c r="J341" i="1"/>
  <c r="D341" i="1" s="1"/>
  <c r="J340" i="1"/>
  <c r="F340" i="1" s="1"/>
  <c r="J339" i="1"/>
  <c r="G339" i="1" s="1"/>
  <c r="C339" i="1"/>
  <c r="J338" i="1"/>
  <c r="F338" i="1" s="1"/>
  <c r="J337" i="1"/>
  <c r="G337" i="1" s="1"/>
  <c r="E337" i="1"/>
  <c r="D337" i="1"/>
  <c r="A337" i="1"/>
  <c r="J336" i="1"/>
  <c r="D336" i="1" s="1"/>
  <c r="J335" i="1"/>
  <c r="J334" i="1"/>
  <c r="J333" i="1"/>
  <c r="D333" i="1" s="1"/>
  <c r="E333" i="1"/>
  <c r="J332" i="1"/>
  <c r="E332" i="1" s="1"/>
  <c r="J331" i="1"/>
  <c r="D331" i="1" s="1"/>
  <c r="J330" i="1"/>
  <c r="G330" i="1" s="1"/>
  <c r="J329" i="1"/>
  <c r="J328" i="1"/>
  <c r="F328" i="1" s="1"/>
  <c r="J327" i="1"/>
  <c r="D327" i="1" s="1"/>
  <c r="F327" i="1"/>
  <c r="E327" i="1"/>
  <c r="J326" i="1"/>
  <c r="B326" i="1" s="1"/>
  <c r="J325" i="1"/>
  <c r="E325" i="1" s="1"/>
  <c r="F325" i="1"/>
  <c r="C325" i="1"/>
  <c r="J324" i="1"/>
  <c r="G324" i="1" s="1"/>
  <c r="F324" i="1"/>
  <c r="E324" i="1"/>
  <c r="J323" i="1"/>
  <c r="G323" i="1" s="1"/>
  <c r="E323" i="1"/>
  <c r="J322" i="1"/>
  <c r="J321" i="1"/>
  <c r="B321" i="1"/>
  <c r="J320" i="1"/>
  <c r="G320" i="1" s="1"/>
  <c r="F320" i="1"/>
  <c r="E320" i="1"/>
  <c r="D320" i="1"/>
  <c r="B320" i="1"/>
  <c r="A320" i="1"/>
  <c r="J319" i="1"/>
  <c r="E319" i="1" s="1"/>
  <c r="J318" i="1"/>
  <c r="G318" i="1" s="1"/>
  <c r="J317" i="1"/>
  <c r="A317" i="1"/>
  <c r="J316" i="1"/>
  <c r="J315" i="1"/>
  <c r="C315" i="1" s="1"/>
  <c r="J314" i="1"/>
  <c r="J313" i="1"/>
  <c r="J312" i="1"/>
  <c r="F312" i="1" s="1"/>
  <c r="J311" i="1"/>
  <c r="B311" i="1" s="1"/>
  <c r="J310" i="1"/>
  <c r="B310" i="1"/>
  <c r="J309" i="1"/>
  <c r="D309" i="1" s="1"/>
  <c r="E309" i="1"/>
  <c r="J308" i="1"/>
  <c r="A308" i="1" s="1"/>
  <c r="F308" i="1"/>
  <c r="J307" i="1"/>
  <c r="D307" i="1" s="1"/>
  <c r="G307" i="1"/>
  <c r="F307" i="1"/>
  <c r="J306" i="1"/>
  <c r="G306" i="1" s="1"/>
  <c r="F306" i="1"/>
  <c r="J305" i="1"/>
  <c r="G305" i="1" s="1"/>
  <c r="F305" i="1"/>
  <c r="A305" i="1"/>
  <c r="J304" i="1"/>
  <c r="J303" i="1"/>
  <c r="J302" i="1"/>
  <c r="A302" i="1"/>
  <c r="J301" i="1"/>
  <c r="D301" i="1" s="1"/>
  <c r="J300" i="1"/>
  <c r="C300" i="1" s="1"/>
  <c r="J299" i="1"/>
  <c r="G299" i="1" s="1"/>
  <c r="J298" i="1"/>
  <c r="A298" i="1"/>
  <c r="J297" i="1"/>
  <c r="J296" i="1"/>
  <c r="C296" i="1" s="1"/>
  <c r="F296" i="1"/>
  <c r="J295" i="1"/>
  <c r="G295" i="1" s="1"/>
  <c r="J294" i="1"/>
  <c r="D294" i="1" s="1"/>
  <c r="F294" i="1"/>
  <c r="E294" i="1"/>
  <c r="J293" i="1"/>
  <c r="G293" i="1" s="1"/>
  <c r="B293" i="1"/>
  <c r="J292" i="1"/>
  <c r="J291" i="1"/>
  <c r="E291" i="1" s="1"/>
  <c r="D291" i="1"/>
  <c r="J290" i="1"/>
  <c r="D290" i="1" s="1"/>
  <c r="J289" i="1"/>
  <c r="G289" i="1" s="1"/>
  <c r="J288" i="1"/>
  <c r="A288" i="1"/>
  <c r="J287" i="1"/>
  <c r="J286" i="1"/>
  <c r="D286" i="1" s="1"/>
  <c r="J285" i="1"/>
  <c r="E285" i="1" s="1"/>
  <c r="G285" i="1"/>
  <c r="F285" i="1"/>
  <c r="D285" i="1"/>
  <c r="A285" i="1"/>
  <c r="J284" i="1"/>
  <c r="J283" i="1"/>
  <c r="C283" i="1" s="1"/>
  <c r="G283" i="1"/>
  <c r="D283" i="1"/>
  <c r="J282" i="1"/>
  <c r="D282" i="1" s="1"/>
  <c r="J281" i="1"/>
  <c r="G281" i="1"/>
  <c r="J280" i="1"/>
  <c r="F280" i="1" s="1"/>
  <c r="J279" i="1"/>
  <c r="G279" i="1"/>
  <c r="B279" i="1"/>
  <c r="J278" i="1"/>
  <c r="G278" i="1" s="1"/>
  <c r="B278" i="1"/>
  <c r="J277" i="1"/>
  <c r="J276" i="1"/>
  <c r="C276" i="1" s="1"/>
  <c r="J275" i="1"/>
  <c r="D275" i="1" s="1"/>
  <c r="G275" i="1"/>
  <c r="J274" i="1"/>
  <c r="J273" i="1"/>
  <c r="C273" i="1" s="1"/>
  <c r="G273" i="1"/>
  <c r="F273" i="1"/>
  <c r="E273" i="1"/>
  <c r="D273" i="1"/>
  <c r="B273" i="1"/>
  <c r="A273" i="1"/>
  <c r="J272" i="1"/>
  <c r="J271" i="1"/>
  <c r="J270" i="1"/>
  <c r="A270" i="1"/>
  <c r="J269" i="1"/>
  <c r="E269" i="1" s="1"/>
  <c r="J268" i="1"/>
  <c r="C268" i="1" s="1"/>
  <c r="J267" i="1"/>
  <c r="J266" i="1"/>
  <c r="J265" i="1"/>
  <c r="B265" i="1" s="1"/>
  <c r="G265" i="1"/>
  <c r="J264" i="1"/>
  <c r="C264" i="1" s="1"/>
  <c r="F264" i="1"/>
  <c r="J263" i="1"/>
  <c r="E263" i="1" s="1"/>
  <c r="F263" i="1"/>
  <c r="C263" i="1"/>
  <c r="J262" i="1"/>
  <c r="E262" i="1" s="1"/>
  <c r="J261" i="1"/>
  <c r="D261" i="1" s="1"/>
  <c r="G261" i="1"/>
  <c r="F261" i="1"/>
  <c r="B261" i="1"/>
  <c r="A261" i="1"/>
  <c r="J260" i="1"/>
  <c r="J259" i="1"/>
  <c r="E259" i="1" s="1"/>
  <c r="J258" i="1"/>
  <c r="F258" i="1" s="1"/>
  <c r="G258" i="1"/>
  <c r="D258" i="1"/>
  <c r="C258" i="1"/>
  <c r="J257" i="1"/>
  <c r="G257" i="1" s="1"/>
  <c r="F257" i="1"/>
  <c r="B257" i="1"/>
  <c r="A257" i="1"/>
  <c r="J256" i="1"/>
  <c r="F256" i="1" s="1"/>
  <c r="E256" i="1"/>
  <c r="D256" i="1"/>
  <c r="A256" i="1"/>
  <c r="J255" i="1"/>
  <c r="D255" i="1" s="1"/>
  <c r="E255" i="1"/>
  <c r="J254" i="1"/>
  <c r="J253" i="1"/>
  <c r="E253" i="1" s="1"/>
  <c r="J252" i="1"/>
  <c r="F252" i="1" s="1"/>
  <c r="C252" i="1"/>
  <c r="J251" i="1"/>
  <c r="J250" i="1"/>
  <c r="J249" i="1"/>
  <c r="J248" i="1"/>
  <c r="E248" i="1" s="1"/>
  <c r="C248" i="1"/>
  <c r="B248" i="1"/>
  <c r="J247" i="1"/>
  <c r="A247" i="1" s="1"/>
  <c r="F247" i="1"/>
  <c r="E247" i="1"/>
  <c r="C247" i="1"/>
  <c r="J246" i="1"/>
  <c r="E246" i="1" s="1"/>
  <c r="G246" i="1"/>
  <c r="A246" i="1"/>
  <c r="J245" i="1"/>
  <c r="G245" i="1" s="1"/>
  <c r="J244" i="1"/>
  <c r="G244" i="1" s="1"/>
  <c r="F244" i="1"/>
  <c r="E244" i="1"/>
  <c r="D244" i="1"/>
  <c r="C244" i="1"/>
  <c r="B244" i="1"/>
  <c r="A244" i="1"/>
  <c r="J243" i="1"/>
  <c r="J242" i="1"/>
  <c r="C242" i="1" s="1"/>
  <c r="G242" i="1"/>
  <c r="J241" i="1"/>
  <c r="A241" i="1" s="1"/>
  <c r="G241" i="1"/>
  <c r="B241" i="1"/>
  <c r="J240" i="1"/>
  <c r="G240" i="1" s="1"/>
  <c r="E240" i="1"/>
  <c r="D240" i="1"/>
  <c r="A240" i="1"/>
  <c r="J239" i="1"/>
  <c r="J238" i="1"/>
  <c r="D238" i="1" s="1"/>
  <c r="J237" i="1"/>
  <c r="J236" i="1"/>
  <c r="D236" i="1" s="1"/>
  <c r="J235" i="1"/>
  <c r="G235" i="1" s="1"/>
  <c r="J234" i="1"/>
  <c r="J233" i="1"/>
  <c r="G233" i="1"/>
  <c r="J232" i="1"/>
  <c r="C232" i="1" s="1"/>
  <c r="J231" i="1"/>
  <c r="B231" i="1" s="1"/>
  <c r="J230" i="1"/>
  <c r="G230" i="1"/>
  <c r="J229" i="1"/>
  <c r="J228" i="1"/>
  <c r="G228" i="1" s="1"/>
  <c r="F228" i="1"/>
  <c r="J227" i="1"/>
  <c r="G227" i="1" s="1"/>
  <c r="E227" i="1"/>
  <c r="J226" i="1"/>
  <c r="D226" i="1" s="1"/>
  <c r="F226" i="1"/>
  <c r="E226" i="1"/>
  <c r="J225" i="1"/>
  <c r="G225" i="1"/>
  <c r="D225" i="1"/>
  <c r="C225" i="1"/>
  <c r="J224" i="1"/>
  <c r="G224" i="1" s="1"/>
  <c r="E224" i="1"/>
  <c r="B224" i="1"/>
  <c r="A224" i="1"/>
  <c r="J223" i="1"/>
  <c r="G223" i="1" s="1"/>
  <c r="F223" i="1"/>
  <c r="A223" i="1"/>
  <c r="J222" i="1"/>
  <c r="F222" i="1" s="1"/>
  <c r="A222" i="1"/>
  <c r="J221" i="1"/>
  <c r="J220" i="1"/>
  <c r="J219" i="1"/>
  <c r="C219" i="1" s="1"/>
  <c r="G219" i="1"/>
  <c r="F219" i="1"/>
  <c r="J218" i="1"/>
  <c r="G218" i="1"/>
  <c r="J217" i="1"/>
  <c r="G217" i="1" s="1"/>
  <c r="C217" i="1"/>
  <c r="A217" i="1"/>
  <c r="J216" i="1"/>
  <c r="J215" i="1"/>
  <c r="A215" i="1" s="1"/>
  <c r="F215" i="1"/>
  <c r="B215" i="1"/>
  <c r="J214" i="1"/>
  <c r="J213" i="1"/>
  <c r="E213" i="1" s="1"/>
  <c r="G213" i="1"/>
  <c r="C213" i="1"/>
  <c r="B213" i="1"/>
  <c r="J212" i="1"/>
  <c r="B212" i="1" s="1"/>
  <c r="F212" i="1"/>
  <c r="E212" i="1"/>
  <c r="J211" i="1"/>
  <c r="G211" i="1" s="1"/>
  <c r="C211" i="1"/>
  <c r="J210" i="1"/>
  <c r="F210" i="1" s="1"/>
  <c r="J209" i="1"/>
  <c r="B209" i="1" s="1"/>
  <c r="A209" i="1"/>
  <c r="J208" i="1"/>
  <c r="G208" i="1" s="1"/>
  <c r="D208" i="1"/>
  <c r="J207" i="1"/>
  <c r="A207" i="1" s="1"/>
  <c r="J206" i="1"/>
  <c r="E206" i="1" s="1"/>
  <c r="B206" i="1"/>
  <c r="J205" i="1"/>
  <c r="J204" i="1"/>
  <c r="J203" i="1"/>
  <c r="F203" i="1" s="1"/>
  <c r="E203" i="1"/>
  <c r="J202" i="1"/>
  <c r="G202" i="1" s="1"/>
  <c r="D202" i="1"/>
  <c r="C202" i="1"/>
  <c r="J201" i="1"/>
  <c r="C201" i="1" s="1"/>
  <c r="D201" i="1"/>
  <c r="J200" i="1"/>
  <c r="J199" i="1"/>
  <c r="J198" i="1"/>
  <c r="F198" i="1" s="1"/>
  <c r="G198" i="1"/>
  <c r="J197" i="1"/>
  <c r="J196" i="1"/>
  <c r="F196" i="1"/>
  <c r="B196" i="1"/>
  <c r="J195" i="1"/>
  <c r="G195" i="1" s="1"/>
  <c r="F195" i="1"/>
  <c r="E195" i="1"/>
  <c r="B195" i="1"/>
  <c r="A195" i="1"/>
  <c r="J194" i="1"/>
  <c r="F194" i="1" s="1"/>
  <c r="B194" i="1"/>
  <c r="A194" i="1"/>
  <c r="J193" i="1"/>
  <c r="D193" i="1" s="1"/>
  <c r="F193" i="1"/>
  <c r="E193" i="1"/>
  <c r="J192" i="1"/>
  <c r="B192" i="1" s="1"/>
  <c r="J191" i="1"/>
  <c r="A191" i="1" s="1"/>
  <c r="E191" i="1"/>
  <c r="J190" i="1"/>
  <c r="F190" i="1" s="1"/>
  <c r="G190" i="1"/>
  <c r="J189" i="1"/>
  <c r="F189" i="1"/>
  <c r="J188" i="1"/>
  <c r="A188" i="1" s="1"/>
  <c r="J187" i="1"/>
  <c r="J186" i="1"/>
  <c r="F186" i="1" s="1"/>
  <c r="J185" i="1"/>
  <c r="E185" i="1"/>
  <c r="J184" i="1"/>
  <c r="J183" i="1"/>
  <c r="F183" i="1" s="1"/>
  <c r="G183" i="1"/>
  <c r="J182" i="1"/>
  <c r="A182" i="1" s="1"/>
  <c r="G182" i="1"/>
  <c r="D182" i="1"/>
  <c r="C182" i="1"/>
  <c r="J181" i="1"/>
  <c r="A181" i="1" s="1"/>
  <c r="F181" i="1"/>
  <c r="E181" i="1"/>
  <c r="B181" i="1"/>
  <c r="J180" i="1"/>
  <c r="J179" i="1"/>
  <c r="J178" i="1"/>
  <c r="D178" i="1"/>
  <c r="J177" i="1"/>
  <c r="E177" i="1" s="1"/>
  <c r="J176" i="1"/>
  <c r="C176" i="1"/>
  <c r="J175" i="1"/>
  <c r="D175" i="1" s="1"/>
  <c r="F175" i="1"/>
  <c r="J174" i="1"/>
  <c r="G174" i="1" s="1"/>
  <c r="C174" i="1"/>
  <c r="J173" i="1"/>
  <c r="G173" i="1" s="1"/>
  <c r="J172" i="1"/>
  <c r="D172" i="1" s="1"/>
  <c r="C172" i="1"/>
  <c r="J171" i="1"/>
  <c r="J170" i="1"/>
  <c r="F170" i="1" s="1"/>
  <c r="E170" i="1"/>
  <c r="B170" i="1"/>
  <c r="J169" i="1"/>
  <c r="G169" i="1" s="1"/>
  <c r="F169" i="1"/>
  <c r="J168" i="1"/>
  <c r="C168" i="1" s="1"/>
  <c r="J167" i="1"/>
  <c r="B167" i="1"/>
  <c r="J166" i="1"/>
  <c r="D166" i="1" s="1"/>
  <c r="J165" i="1"/>
  <c r="B165" i="1"/>
  <c r="J164" i="1"/>
  <c r="J163" i="1"/>
  <c r="D163" i="1" s="1"/>
  <c r="G163" i="1"/>
  <c r="F163" i="1"/>
  <c r="E163" i="1"/>
  <c r="C163" i="1"/>
  <c r="B163" i="1"/>
  <c r="A163" i="1"/>
  <c r="J162" i="1"/>
  <c r="B162" i="1" s="1"/>
  <c r="J161" i="1"/>
  <c r="C161" i="1" s="1"/>
  <c r="J160" i="1"/>
  <c r="F160" i="1"/>
  <c r="J159" i="1"/>
  <c r="J158" i="1"/>
  <c r="B158" i="1" s="1"/>
  <c r="E158" i="1"/>
  <c r="D158" i="1"/>
  <c r="J157" i="1"/>
  <c r="B157" i="1" s="1"/>
  <c r="G157" i="1"/>
  <c r="J156" i="1"/>
  <c r="C156" i="1" s="1"/>
  <c r="F156" i="1"/>
  <c r="J155" i="1"/>
  <c r="J154" i="1"/>
  <c r="C154" i="1"/>
  <c r="J153" i="1"/>
  <c r="J152" i="1"/>
  <c r="E152" i="1"/>
  <c r="J151" i="1"/>
  <c r="E151" i="1" s="1"/>
  <c r="G151" i="1"/>
  <c r="F151" i="1"/>
  <c r="D151" i="1"/>
  <c r="B151" i="1"/>
  <c r="A151" i="1"/>
  <c r="J150" i="1"/>
  <c r="C150" i="1" s="1"/>
  <c r="G150" i="1"/>
  <c r="J149" i="1"/>
  <c r="J148" i="1"/>
  <c r="G148" i="1" s="1"/>
  <c r="F148" i="1"/>
  <c r="B148" i="1"/>
  <c r="A148" i="1"/>
  <c r="J147" i="1"/>
  <c r="C147" i="1" s="1"/>
  <c r="F147" i="1"/>
  <c r="E147" i="1"/>
  <c r="A147" i="1"/>
  <c r="J146" i="1"/>
  <c r="J145" i="1"/>
  <c r="G145" i="1"/>
  <c r="J144" i="1"/>
  <c r="E144" i="1" s="1"/>
  <c r="J143" i="1"/>
  <c r="J142" i="1"/>
  <c r="J141" i="1"/>
  <c r="J140" i="1"/>
  <c r="B140" i="1" s="1"/>
  <c r="J139" i="1"/>
  <c r="G139" i="1" s="1"/>
  <c r="D139" i="1"/>
  <c r="C139" i="1"/>
  <c r="J138" i="1"/>
  <c r="E138" i="1" s="1"/>
  <c r="D138" i="1"/>
  <c r="J137" i="1"/>
  <c r="J136" i="1"/>
  <c r="F136" i="1" s="1"/>
  <c r="B136" i="1"/>
  <c r="J135" i="1"/>
  <c r="J134" i="1"/>
  <c r="C134" i="1" s="1"/>
  <c r="G134" i="1"/>
  <c r="D134" i="1"/>
  <c r="J133" i="1"/>
  <c r="G133" i="1"/>
  <c r="F133" i="1"/>
  <c r="E133" i="1"/>
  <c r="D133" i="1"/>
  <c r="C133" i="1"/>
  <c r="B133" i="1"/>
  <c r="A133" i="1"/>
  <c r="J132" i="1"/>
  <c r="F132" i="1" s="1"/>
  <c r="E132" i="1"/>
  <c r="A132" i="1"/>
  <c r="J131" i="1"/>
  <c r="G131" i="1" s="1"/>
  <c r="E131" i="1"/>
  <c r="B131" i="1"/>
  <c r="J130" i="1"/>
  <c r="B130" i="1" s="1"/>
  <c r="J129" i="1"/>
  <c r="G129" i="1" s="1"/>
  <c r="F129" i="1"/>
  <c r="E129" i="1"/>
  <c r="D129" i="1"/>
  <c r="A129" i="1"/>
  <c r="J128" i="1"/>
  <c r="C128" i="1" s="1"/>
  <c r="J127" i="1"/>
  <c r="G127" i="1" s="1"/>
  <c r="J126" i="1"/>
  <c r="J125" i="1"/>
  <c r="A125" i="1"/>
  <c r="J124" i="1"/>
  <c r="C124" i="1"/>
  <c r="J123" i="1"/>
  <c r="F123" i="1" s="1"/>
  <c r="D123" i="1"/>
  <c r="C123" i="1"/>
  <c r="J122" i="1"/>
  <c r="G122" i="1" s="1"/>
  <c r="D122" i="1"/>
  <c r="C122" i="1"/>
  <c r="J121" i="1"/>
  <c r="A121" i="1" s="1"/>
  <c r="J120" i="1"/>
  <c r="A120" i="1"/>
  <c r="J119" i="1"/>
  <c r="A119" i="1" s="1"/>
  <c r="G119" i="1"/>
  <c r="F119" i="1"/>
  <c r="E119" i="1"/>
  <c r="D119" i="1"/>
  <c r="B119" i="1"/>
  <c r="J118" i="1"/>
  <c r="C118" i="1" s="1"/>
  <c r="D118" i="1"/>
  <c r="J117" i="1"/>
  <c r="F117" i="1" s="1"/>
  <c r="G117" i="1"/>
  <c r="J116" i="1"/>
  <c r="D116" i="1" s="1"/>
  <c r="J115" i="1"/>
  <c r="G115" i="1" s="1"/>
  <c r="F115" i="1"/>
  <c r="C115" i="1"/>
  <c r="J114" i="1"/>
  <c r="D114" i="1" s="1"/>
  <c r="F114" i="1"/>
  <c r="E114" i="1"/>
  <c r="A114" i="1"/>
  <c r="J113" i="1"/>
  <c r="A113" i="1"/>
  <c r="J112" i="1"/>
  <c r="G112" i="1" s="1"/>
  <c r="J111" i="1"/>
  <c r="F111" i="1" s="1"/>
  <c r="J110" i="1"/>
  <c r="A110" i="1" s="1"/>
  <c r="E110" i="1"/>
  <c r="J109" i="1"/>
  <c r="D109" i="1" s="1"/>
  <c r="F109" i="1"/>
  <c r="E109" i="1"/>
  <c r="A109" i="1"/>
  <c r="J108" i="1"/>
  <c r="G108" i="1" s="1"/>
  <c r="C108" i="1"/>
  <c r="J107" i="1"/>
  <c r="J106" i="1"/>
  <c r="C106" i="1" s="1"/>
  <c r="D106" i="1"/>
  <c r="J105" i="1"/>
  <c r="J104" i="1"/>
  <c r="G104" i="1" s="1"/>
  <c r="J103" i="1"/>
  <c r="G103" i="1" s="1"/>
  <c r="J102" i="1"/>
  <c r="F102" i="1" s="1"/>
  <c r="J101" i="1"/>
  <c r="A101" i="1" s="1"/>
  <c r="G101" i="1"/>
  <c r="C101" i="1"/>
  <c r="B101" i="1"/>
  <c r="J100" i="1"/>
  <c r="G100" i="1" s="1"/>
  <c r="E100" i="1"/>
  <c r="D100" i="1"/>
  <c r="J99" i="1"/>
  <c r="D99" i="1" s="1"/>
  <c r="E99" i="1"/>
  <c r="J98" i="1"/>
  <c r="G98" i="1" s="1"/>
  <c r="B98" i="1"/>
  <c r="J97" i="1"/>
  <c r="J96" i="1"/>
  <c r="B96" i="1"/>
  <c r="J95" i="1"/>
  <c r="J94" i="1"/>
  <c r="J93" i="1"/>
  <c r="D93" i="1" s="1"/>
  <c r="J92" i="1"/>
  <c r="J91" i="1"/>
  <c r="E91" i="1" s="1"/>
  <c r="J90" i="1"/>
  <c r="G90" i="1"/>
  <c r="J89" i="1"/>
  <c r="J88" i="1"/>
  <c r="A88" i="1" s="1"/>
  <c r="J87" i="1"/>
  <c r="G87" i="1" s="1"/>
  <c r="J86" i="1"/>
  <c r="B86" i="1" s="1"/>
  <c r="J85" i="1"/>
  <c r="C85" i="1" s="1"/>
  <c r="J84" i="1"/>
  <c r="F84" i="1" s="1"/>
  <c r="B84" i="1"/>
  <c r="J83" i="1"/>
  <c r="C83" i="1" s="1"/>
  <c r="D83" i="1"/>
  <c r="J82" i="1"/>
  <c r="J81" i="1"/>
  <c r="F81" i="1" s="1"/>
  <c r="G81" i="1"/>
  <c r="D81" i="1"/>
  <c r="C81" i="1"/>
  <c r="J80" i="1"/>
  <c r="F80" i="1" s="1"/>
  <c r="C80" i="1"/>
  <c r="J79" i="1"/>
  <c r="A79" i="1" s="1"/>
  <c r="F79" i="1"/>
  <c r="J78" i="1"/>
  <c r="E78" i="1" s="1"/>
  <c r="G78" i="1"/>
  <c r="F78" i="1"/>
  <c r="C78" i="1"/>
  <c r="B78" i="1"/>
  <c r="J77" i="1"/>
  <c r="G77" i="1" s="1"/>
  <c r="F77" i="1"/>
  <c r="A77" i="1"/>
  <c r="J76" i="1"/>
  <c r="E76" i="1" s="1"/>
  <c r="J75" i="1"/>
  <c r="F75" i="1" s="1"/>
  <c r="G75" i="1"/>
  <c r="D75" i="1"/>
  <c r="C75" i="1"/>
  <c r="J74" i="1"/>
  <c r="F74" i="1" s="1"/>
  <c r="G74" i="1"/>
  <c r="J73" i="1"/>
  <c r="J72" i="1"/>
  <c r="G72" i="1" s="1"/>
  <c r="A72" i="1"/>
  <c r="J71" i="1"/>
  <c r="J70" i="1"/>
  <c r="J69" i="1"/>
  <c r="E69" i="1" s="1"/>
  <c r="F69" i="1"/>
  <c r="D69" i="1"/>
  <c r="J68" i="1"/>
  <c r="J67" i="1"/>
  <c r="G67" i="1" s="1"/>
  <c r="F67" i="1"/>
  <c r="J66" i="1"/>
  <c r="A66" i="1" s="1"/>
  <c r="F66" i="1"/>
  <c r="C66" i="1"/>
  <c r="B66" i="1"/>
  <c r="J65" i="1"/>
  <c r="D65" i="1" s="1"/>
  <c r="G65" i="1"/>
  <c r="F65" i="1"/>
  <c r="B65" i="1"/>
  <c r="A65" i="1"/>
  <c r="J64" i="1"/>
  <c r="E64" i="1"/>
  <c r="D64" i="1"/>
  <c r="J63" i="1"/>
  <c r="F63" i="1" s="1"/>
  <c r="J62" i="1"/>
  <c r="C62" i="1" s="1"/>
  <c r="J61" i="1"/>
  <c r="J60" i="1"/>
  <c r="G60" i="1" s="1"/>
  <c r="F60" i="1"/>
  <c r="B60" i="1"/>
  <c r="J59" i="1"/>
  <c r="E59" i="1" s="1"/>
  <c r="F59" i="1"/>
  <c r="D59" i="1"/>
  <c r="C59" i="1"/>
  <c r="A59" i="1"/>
  <c r="J58" i="1"/>
  <c r="J57" i="1"/>
  <c r="E57" i="1" s="1"/>
  <c r="J56" i="1"/>
  <c r="G56" i="1" s="1"/>
  <c r="C56" i="1"/>
  <c r="J55" i="1"/>
  <c r="B55" i="1"/>
  <c r="A55" i="1"/>
  <c r="J54" i="1"/>
  <c r="A54" i="1"/>
  <c r="J53" i="1"/>
  <c r="J52" i="1"/>
  <c r="G52" i="1" s="1"/>
  <c r="J51" i="1"/>
  <c r="C51" i="1" s="1"/>
  <c r="G51" i="1"/>
  <c r="J50" i="1"/>
  <c r="E50" i="1" s="1"/>
  <c r="G50" i="1"/>
  <c r="J49" i="1"/>
  <c r="D49" i="1" s="1"/>
  <c r="G49" i="1"/>
  <c r="J48" i="1"/>
  <c r="F48" i="1"/>
  <c r="C48" i="1"/>
  <c r="B48" i="1"/>
  <c r="J47" i="1"/>
  <c r="B47" i="1" s="1"/>
  <c r="G47" i="1"/>
  <c r="F47" i="1"/>
  <c r="E47" i="1"/>
  <c r="D47" i="1"/>
  <c r="C47" i="1"/>
  <c r="A47" i="1"/>
  <c r="J46" i="1"/>
  <c r="G46" i="1" s="1"/>
  <c r="D46" i="1"/>
  <c r="J45" i="1"/>
  <c r="G45" i="1" s="1"/>
  <c r="D45" i="1"/>
  <c r="J44" i="1"/>
  <c r="C44" i="1"/>
  <c r="J43" i="1"/>
  <c r="J42" i="1"/>
  <c r="J41" i="1"/>
  <c r="B41" i="1"/>
  <c r="J40" i="1"/>
  <c r="A40" i="1"/>
  <c r="J39" i="1"/>
  <c r="B39" i="1"/>
  <c r="J38" i="1"/>
  <c r="D38" i="1" s="1"/>
  <c r="G38" i="1"/>
  <c r="F38" i="1"/>
  <c r="B38" i="1"/>
  <c r="A38" i="1"/>
  <c r="J37" i="1"/>
  <c r="E37" i="1"/>
  <c r="B37" i="1"/>
  <c r="J36" i="1"/>
  <c r="G36" i="1" s="1"/>
  <c r="E36" i="1"/>
  <c r="D36" i="1"/>
  <c r="J35" i="1"/>
  <c r="G35" i="1" s="1"/>
  <c r="J34" i="1"/>
  <c r="J33" i="1"/>
  <c r="J32" i="1"/>
  <c r="B32" i="1"/>
  <c r="J31" i="1"/>
  <c r="J30" i="1"/>
  <c r="F30" i="1" s="1"/>
  <c r="G30" i="1"/>
  <c r="E30" i="1"/>
  <c r="B30" i="1"/>
  <c r="A30" i="1"/>
  <c r="J29" i="1"/>
  <c r="E29" i="1"/>
  <c r="D29" i="1"/>
  <c r="J28" i="1"/>
  <c r="B28" i="1" s="1"/>
  <c r="C28" i="1"/>
  <c r="J27" i="1"/>
  <c r="J26" i="1"/>
  <c r="E26" i="1" s="1"/>
  <c r="D26" i="1"/>
  <c r="C26" i="1"/>
  <c r="J25" i="1"/>
  <c r="J24" i="1"/>
  <c r="B24" i="1" s="1"/>
  <c r="J23" i="1"/>
  <c r="C23" i="1" s="1"/>
  <c r="B23" i="1"/>
  <c r="J22" i="1"/>
  <c r="A22" i="1" s="1"/>
  <c r="J21" i="1"/>
  <c r="E21" i="1"/>
  <c r="J20" i="1"/>
  <c r="E20" i="1"/>
  <c r="J19" i="1"/>
  <c r="D19" i="1" s="1"/>
  <c r="J18" i="1"/>
  <c r="C18" i="1" s="1"/>
  <c r="J17" i="1"/>
  <c r="F17" i="1" s="1"/>
  <c r="G17" i="1"/>
  <c r="J16" i="1"/>
  <c r="G16" i="1" s="1"/>
  <c r="J15" i="1"/>
  <c r="D15" i="1" s="1"/>
  <c r="E15" i="1"/>
  <c r="J14" i="1"/>
  <c r="G14" i="1" s="1"/>
  <c r="J13" i="1"/>
  <c r="F13" i="1"/>
  <c r="J12" i="1"/>
  <c r="F12" i="1" s="1"/>
  <c r="J11" i="1"/>
  <c r="D11" i="1" s="1"/>
  <c r="J10" i="1"/>
  <c r="A10" i="1" s="1"/>
  <c r="E10" i="1"/>
  <c r="D10" i="1"/>
  <c r="G1073" i="1" l="1"/>
  <c r="F1073" i="1"/>
  <c r="C1073" i="1"/>
  <c r="A1073" i="1"/>
  <c r="F33" i="1"/>
  <c r="G33" i="1"/>
  <c r="F216" i="1"/>
  <c r="C216" i="1"/>
  <c r="B216" i="1"/>
  <c r="G313" i="1"/>
  <c r="C313" i="1"/>
  <c r="A435" i="1"/>
  <c r="B435" i="1"/>
  <c r="C435" i="1"/>
  <c r="E881" i="1"/>
  <c r="D881" i="1"/>
  <c r="C881" i="1"/>
  <c r="B881" i="1"/>
  <c r="F914" i="1"/>
  <c r="E914" i="1"/>
  <c r="F983" i="1"/>
  <c r="E983" i="1"/>
  <c r="D983" i="1"/>
  <c r="D1240" i="1"/>
  <c r="G1817" i="1"/>
  <c r="E1817" i="1"/>
  <c r="D1817" i="1"/>
  <c r="E767" i="1"/>
  <c r="D767" i="1"/>
  <c r="E113" i="1"/>
  <c r="G113" i="1"/>
  <c r="F113" i="1"/>
  <c r="G1621" i="1"/>
  <c r="E1621" i="1"/>
  <c r="D1621" i="1"/>
  <c r="A1621" i="1"/>
  <c r="D334" i="1"/>
  <c r="E334" i="1"/>
  <c r="C418" i="1"/>
  <c r="G418" i="1"/>
  <c r="F418" i="1"/>
  <c r="E418" i="1"/>
  <c r="B418" i="1"/>
  <c r="A418" i="1"/>
  <c r="D789" i="1"/>
  <c r="C789" i="1"/>
  <c r="B789" i="1"/>
  <c r="A789" i="1"/>
  <c r="E898" i="1"/>
  <c r="B898" i="1"/>
  <c r="F1210" i="1"/>
  <c r="D1210" i="1"/>
  <c r="E1210" i="1"/>
  <c r="F642" i="1"/>
  <c r="A642" i="1"/>
  <c r="D644" i="1"/>
  <c r="A644" i="1"/>
  <c r="C262" i="1"/>
  <c r="G368" i="1"/>
  <c r="E368" i="1"/>
  <c r="D368" i="1"/>
  <c r="A368" i="1"/>
  <c r="A471" i="1"/>
  <c r="C471" i="1"/>
  <c r="G471" i="1"/>
  <c r="B471" i="1"/>
  <c r="E917" i="1"/>
  <c r="G917" i="1"/>
  <c r="F917" i="1"/>
  <c r="A917" i="1"/>
  <c r="G64" i="1"/>
  <c r="B64" i="1"/>
  <c r="A64" i="1"/>
  <c r="F64" i="1"/>
  <c r="D97" i="1"/>
  <c r="E97" i="1"/>
  <c r="A335" i="1"/>
  <c r="E335" i="1"/>
  <c r="C335" i="1"/>
  <c r="D335" i="1"/>
  <c r="F502" i="1"/>
  <c r="D502" i="1"/>
  <c r="E521" i="1"/>
  <c r="B521" i="1"/>
  <c r="A732" i="1"/>
  <c r="C732" i="1"/>
  <c r="G790" i="1"/>
  <c r="D790" i="1"/>
  <c r="C790" i="1"/>
  <c r="C1449" i="1"/>
  <c r="E1449" i="1"/>
  <c r="D1449" i="1"/>
  <c r="G1449" i="1"/>
  <c r="G1542" i="1"/>
  <c r="C1542" i="1"/>
  <c r="D1542" i="1"/>
  <c r="C1690" i="1"/>
  <c r="B1690" i="1"/>
  <c r="C1889" i="1"/>
  <c r="G1889" i="1"/>
  <c r="A1889" i="1"/>
  <c r="F1889" i="1"/>
  <c r="B1889" i="1"/>
  <c r="C1227" i="1"/>
  <c r="F1227" i="1"/>
  <c r="A715" i="1"/>
  <c r="G715" i="1"/>
  <c r="D715" i="1"/>
  <c r="A262" i="1"/>
  <c r="B262" i="1"/>
  <c r="G262" i="1"/>
  <c r="F262" i="1"/>
  <c r="C204" i="1"/>
  <c r="E204" i="1"/>
  <c r="D204" i="1"/>
  <c r="C453" i="1"/>
  <c r="F453" i="1"/>
  <c r="D453" i="1"/>
  <c r="E453" i="1"/>
  <c r="A453" i="1"/>
  <c r="A539" i="1"/>
  <c r="G539" i="1"/>
  <c r="E539" i="1"/>
  <c r="F539" i="1"/>
  <c r="B866" i="1"/>
  <c r="D866" i="1"/>
  <c r="A866" i="1"/>
  <c r="A1228" i="1"/>
  <c r="G1228" i="1"/>
  <c r="C1228" i="1"/>
  <c r="C1471" i="1"/>
  <c r="B1471" i="1"/>
  <c r="D1975" i="1"/>
  <c r="C1975" i="1"/>
  <c r="A1975" i="1"/>
  <c r="D535" i="1"/>
  <c r="G535" i="1"/>
  <c r="E535" i="1"/>
  <c r="B95" i="1"/>
  <c r="D95" i="1"/>
  <c r="B733" i="1"/>
  <c r="G733" i="1"/>
  <c r="C733" i="1"/>
  <c r="G37" i="1"/>
  <c r="F37" i="1"/>
  <c r="E205" i="1"/>
  <c r="A205" i="1"/>
  <c r="D205" i="1"/>
  <c r="E438" i="1"/>
  <c r="F438" i="1"/>
  <c r="D438" i="1"/>
  <c r="B438" i="1"/>
  <c r="B559" i="1"/>
  <c r="C682" i="1"/>
  <c r="G682" i="1"/>
  <c r="D682" i="1"/>
  <c r="B1060" i="1"/>
  <c r="F1060" i="1"/>
  <c r="C1060" i="1"/>
  <c r="F1078" i="1"/>
  <c r="E1078" i="1"/>
  <c r="D1078" i="1"/>
  <c r="C1976" i="1"/>
  <c r="D1976" i="1"/>
  <c r="A1976" i="1"/>
  <c r="E260" i="1"/>
  <c r="A260" i="1"/>
  <c r="A167" i="1"/>
  <c r="F167" i="1"/>
  <c r="E167" i="1"/>
  <c r="F900" i="1"/>
  <c r="A900" i="1"/>
  <c r="C220" i="1"/>
  <c r="D220" i="1"/>
  <c r="E237" i="1"/>
  <c r="F237" i="1"/>
  <c r="D300" i="1"/>
  <c r="D577" i="1"/>
  <c r="C577" i="1"/>
  <c r="G921" i="1"/>
  <c r="C921" i="1"/>
  <c r="D1490" i="1"/>
  <c r="F1490" i="1"/>
  <c r="E1490" i="1"/>
  <c r="C1490" i="1"/>
  <c r="B1490" i="1"/>
  <c r="C1527" i="1"/>
  <c r="A1527" i="1"/>
  <c r="B1544" i="1"/>
  <c r="F1522" i="1"/>
  <c r="E1522" i="1"/>
  <c r="C1522" i="1"/>
  <c r="G251" i="1"/>
  <c r="E251" i="1"/>
  <c r="D251" i="1"/>
  <c r="F594" i="1"/>
  <c r="G594" i="1"/>
  <c r="A594" i="1"/>
  <c r="B1019" i="1"/>
  <c r="E1019" i="1"/>
  <c r="G1019" i="1"/>
  <c r="C1019" i="1"/>
  <c r="A1876" i="1"/>
  <c r="F1876" i="1"/>
  <c r="E229" i="1"/>
  <c r="D229" i="1"/>
  <c r="D574" i="1"/>
  <c r="E574" i="1"/>
  <c r="A143" i="1"/>
  <c r="E143" i="1"/>
  <c r="D143" i="1"/>
  <c r="C841" i="1"/>
  <c r="B841" i="1"/>
  <c r="B239" i="1"/>
  <c r="A239" i="1"/>
  <c r="C390" i="1"/>
  <c r="D390" i="1"/>
  <c r="G422" i="1"/>
  <c r="F422" i="1"/>
  <c r="C595" i="1"/>
  <c r="F595" i="1"/>
  <c r="E595" i="1"/>
  <c r="D595" i="1"/>
  <c r="B1439" i="1"/>
  <c r="G1439" i="1"/>
  <c r="F1439" i="1"/>
  <c r="D1492" i="1"/>
  <c r="C1492" i="1"/>
  <c r="B1492" i="1"/>
  <c r="F1646" i="1"/>
  <c r="G1646" i="1"/>
  <c r="D1646" i="1"/>
  <c r="D1724" i="1"/>
  <c r="G1724" i="1"/>
  <c r="B1724" i="1"/>
  <c r="C1724" i="1"/>
  <c r="A1638" i="1"/>
  <c r="E1638" i="1"/>
  <c r="F1798" i="1"/>
  <c r="E1798" i="1"/>
  <c r="D1798" i="1"/>
  <c r="D22" i="1"/>
  <c r="G22" i="1"/>
  <c r="F22" i="1"/>
  <c r="E22" i="1"/>
  <c r="B504" i="1"/>
  <c r="G504" i="1"/>
  <c r="F504" i="1"/>
  <c r="E504" i="1"/>
  <c r="G1006" i="1"/>
  <c r="E1006" i="1"/>
  <c r="D1006" i="1"/>
  <c r="G130" i="1"/>
  <c r="F130" i="1"/>
  <c r="E130" i="1"/>
  <c r="D130" i="1"/>
  <c r="A130" i="1"/>
  <c r="G207" i="1"/>
  <c r="F207" i="1"/>
  <c r="E207" i="1"/>
  <c r="B207" i="1"/>
  <c r="A391" i="1"/>
  <c r="G391" i="1"/>
  <c r="F391" i="1"/>
  <c r="B391" i="1"/>
  <c r="E423" i="1"/>
  <c r="D423" i="1"/>
  <c r="E542" i="1"/>
  <c r="C542" i="1"/>
  <c r="C629" i="1"/>
  <c r="G629" i="1"/>
  <c r="E629" i="1"/>
  <c r="B1607" i="1"/>
  <c r="A1607" i="1"/>
  <c r="G1607" i="1"/>
  <c r="F1607" i="1"/>
  <c r="D1607" i="1"/>
  <c r="G1767" i="1"/>
  <c r="E1767" i="1"/>
  <c r="D1767" i="1"/>
  <c r="C1767" i="1"/>
  <c r="A1767" i="1"/>
  <c r="E1842" i="1"/>
  <c r="D1842" i="1"/>
  <c r="C1842" i="1"/>
  <c r="G1842" i="1"/>
  <c r="A1842" i="1"/>
  <c r="G1877" i="1"/>
  <c r="F1877" i="1"/>
  <c r="B1877" i="1"/>
  <c r="F1054" i="1"/>
  <c r="E1054" i="1"/>
  <c r="D1054" i="1"/>
  <c r="G185" i="1"/>
  <c r="D185" i="1"/>
  <c r="F681" i="1"/>
  <c r="D681" i="1"/>
  <c r="C681" i="1"/>
  <c r="F145" i="1"/>
  <c r="D145" i="1"/>
  <c r="C145" i="1"/>
  <c r="E392" i="1"/>
  <c r="G392" i="1"/>
  <c r="F392" i="1"/>
  <c r="C392" i="1"/>
  <c r="E424" i="1"/>
  <c r="D424" i="1"/>
  <c r="A424" i="1"/>
  <c r="G579" i="1"/>
  <c r="B579" i="1"/>
  <c r="D617" i="1"/>
  <c r="D630" i="1"/>
  <c r="C630" i="1"/>
  <c r="A630" i="1"/>
  <c r="D668" i="1"/>
  <c r="C668" i="1"/>
  <c r="G686" i="1"/>
  <c r="C686" i="1"/>
  <c r="B686" i="1"/>
  <c r="C1164" i="1"/>
  <c r="A1164" i="1"/>
  <c r="C1591" i="1"/>
  <c r="E1591" i="1"/>
  <c r="B1591" i="1"/>
  <c r="D498" i="1"/>
  <c r="E498" i="1"/>
  <c r="G374" i="1"/>
  <c r="F374" i="1"/>
  <c r="B374" i="1"/>
  <c r="E374" i="1"/>
  <c r="G176" i="1"/>
  <c r="F176" i="1"/>
  <c r="E176" i="1"/>
  <c r="D176" i="1"/>
  <c r="B176" i="1"/>
  <c r="A176" i="1"/>
  <c r="D321" i="1"/>
  <c r="G321" i="1"/>
  <c r="E321" i="1"/>
  <c r="F321" i="1"/>
  <c r="A321" i="1"/>
  <c r="D375" i="1"/>
  <c r="G375" i="1"/>
  <c r="B375" i="1"/>
  <c r="A375" i="1"/>
  <c r="E1201" i="1"/>
  <c r="D1201" i="1"/>
  <c r="B1201" i="1"/>
  <c r="C1370" i="1"/>
  <c r="B1370" i="1"/>
  <c r="E1681" i="1"/>
  <c r="D1681" i="1"/>
  <c r="G1714" i="1"/>
  <c r="E1714" i="1"/>
  <c r="D1714" i="1"/>
  <c r="C199" i="1"/>
  <c r="G199" i="1"/>
  <c r="D199" i="1"/>
  <c r="G640" i="1"/>
  <c r="F640" i="1"/>
  <c r="A153" i="1"/>
  <c r="F153" i="1"/>
  <c r="D153" i="1"/>
  <c r="G146" i="1"/>
  <c r="F146" i="1"/>
  <c r="E146" i="1"/>
  <c r="G267" i="1"/>
  <c r="C267" i="1"/>
  <c r="C304" i="1"/>
  <c r="D304" i="1"/>
  <c r="D477" i="1"/>
  <c r="C477" i="1"/>
  <c r="C342" i="1"/>
  <c r="B342" i="1"/>
  <c r="F342" i="1"/>
  <c r="D342" i="1"/>
  <c r="E342" i="1"/>
  <c r="E478" i="1"/>
  <c r="G478" i="1"/>
  <c r="F478" i="1"/>
  <c r="D478" i="1"/>
  <c r="D507" i="1"/>
  <c r="G507" i="1"/>
  <c r="C507" i="1"/>
  <c r="G757" i="1"/>
  <c r="C757" i="1"/>
  <c r="A757" i="1"/>
  <c r="C781" i="1"/>
  <c r="F781" i="1"/>
  <c r="D781" i="1"/>
  <c r="D1167" i="1"/>
  <c r="E1167" i="1"/>
  <c r="G1167" i="1"/>
  <c r="F1292" i="1"/>
  <c r="A1292" i="1"/>
  <c r="G1292" i="1"/>
  <c r="E1292" i="1"/>
  <c r="D1292" i="1"/>
  <c r="B1292" i="1"/>
  <c r="E1715" i="1"/>
  <c r="D1715" i="1"/>
  <c r="F1715" i="1"/>
  <c r="C1715" i="1"/>
  <c r="A1715" i="1"/>
  <c r="E1792" i="1"/>
  <c r="C1792" i="1"/>
  <c r="F1792" i="1"/>
  <c r="B1792" i="1"/>
  <c r="A806" i="1"/>
  <c r="D806" i="1"/>
  <c r="B806" i="1"/>
  <c r="F1093" i="1"/>
  <c r="E1093" i="1"/>
  <c r="D1093" i="1"/>
  <c r="A1093" i="1"/>
  <c r="B1093" i="1"/>
  <c r="C1750" i="1"/>
  <c r="G1750" i="1"/>
  <c r="F1750" i="1"/>
  <c r="B1750" i="1"/>
  <c r="D39" i="1"/>
  <c r="G39" i="1"/>
  <c r="E39" i="1"/>
  <c r="F39" i="1"/>
  <c r="A39" i="1"/>
  <c r="F177" i="1"/>
  <c r="C177" i="1"/>
  <c r="B177" i="1"/>
  <c r="A177" i="1"/>
  <c r="G209" i="1"/>
  <c r="F209" i="1"/>
  <c r="E209" i="1"/>
  <c r="B426" i="1"/>
  <c r="G426" i="1"/>
  <c r="F426" i="1"/>
  <c r="D426" i="1"/>
  <c r="A426" i="1"/>
  <c r="C545" i="1"/>
  <c r="F545" i="1"/>
  <c r="G545" i="1"/>
  <c r="E545" i="1"/>
  <c r="E1044" i="1"/>
  <c r="B1044" i="1"/>
  <c r="A1101" i="1"/>
  <c r="C1101" i="1"/>
  <c r="A1333" i="1"/>
  <c r="G1333" i="1"/>
  <c r="C1353" i="1"/>
  <c r="E1353" i="1"/>
  <c r="A1353" i="1"/>
  <c r="G1533" i="1"/>
  <c r="F1533" i="1"/>
  <c r="C1533" i="1"/>
  <c r="A1629" i="1"/>
  <c r="G1629" i="1"/>
  <c r="C1629" i="1"/>
  <c r="G1771" i="1"/>
  <c r="A1771" i="1"/>
  <c r="F1880" i="1"/>
  <c r="C1880" i="1"/>
  <c r="E1880" i="1"/>
  <c r="B1880" i="1"/>
  <c r="D1880" i="1"/>
  <c r="F1895" i="1"/>
  <c r="D1895" i="1"/>
  <c r="C1895" i="1"/>
  <c r="B1620" i="1"/>
  <c r="D1620" i="1"/>
  <c r="A53" i="1"/>
  <c r="G53" i="1"/>
  <c r="E53" i="1"/>
  <c r="F53" i="1"/>
  <c r="E872" i="1"/>
  <c r="G872" i="1"/>
  <c r="F872" i="1"/>
  <c r="C872" i="1"/>
  <c r="A730" i="1"/>
  <c r="F730" i="1"/>
  <c r="C730" i="1"/>
  <c r="B730" i="1"/>
  <c r="E1083" i="1"/>
  <c r="B1083" i="1"/>
  <c r="F1083" i="1"/>
  <c r="E41" i="1"/>
  <c r="G41" i="1"/>
  <c r="C41" i="1"/>
  <c r="F41" i="1"/>
  <c r="A41" i="1"/>
  <c r="D55" i="1"/>
  <c r="G55" i="1"/>
  <c r="F55" i="1"/>
  <c r="C55" i="1"/>
  <c r="C178" i="1"/>
  <c r="G178" i="1"/>
  <c r="F178" i="1"/>
  <c r="E178" i="1"/>
  <c r="B178" i="1"/>
  <c r="A178" i="1"/>
  <c r="F270" i="1"/>
  <c r="D270" i="1"/>
  <c r="E270" i="1"/>
  <c r="G493" i="1"/>
  <c r="F493" i="1"/>
  <c r="C493" i="1"/>
  <c r="E493" i="1"/>
  <c r="A493" i="1"/>
  <c r="D599" i="1"/>
  <c r="F599" i="1"/>
  <c r="E1952" i="1"/>
  <c r="F1952" i="1"/>
  <c r="B1952" i="1"/>
  <c r="A1952" i="1"/>
  <c r="F563" i="1"/>
  <c r="E563" i="1"/>
  <c r="G1274" i="1"/>
  <c r="C1274" i="1"/>
  <c r="D1274" i="1"/>
  <c r="E42" i="1"/>
  <c r="G42" i="1"/>
  <c r="F42" i="1"/>
  <c r="C42" i="1"/>
  <c r="E105" i="1"/>
  <c r="G105" i="1"/>
  <c r="F105" i="1"/>
  <c r="G179" i="1"/>
  <c r="A179" i="1"/>
  <c r="B179" i="1"/>
  <c r="E271" i="1"/>
  <c r="D271" i="1"/>
  <c r="A271" i="1"/>
  <c r="A548" i="1"/>
  <c r="D548" i="1"/>
  <c r="D945" i="1"/>
  <c r="F945" i="1"/>
  <c r="C945" i="1"/>
  <c r="B945" i="1"/>
  <c r="G1009" i="1"/>
  <c r="A1009" i="1"/>
  <c r="A1027" i="1"/>
  <c r="A1254" i="1"/>
  <c r="C1254" i="1"/>
  <c r="D1515" i="1"/>
  <c r="E1515" i="1"/>
  <c r="F1515" i="1"/>
  <c r="A1515" i="1"/>
  <c r="C1835" i="1"/>
  <c r="E1835" i="1"/>
  <c r="G1835" i="1"/>
  <c r="D1835" i="1"/>
  <c r="G1531" i="1"/>
  <c r="C1531" i="1"/>
  <c r="B1531" i="1"/>
  <c r="A43" i="1"/>
  <c r="G43" i="1"/>
  <c r="C43" i="1"/>
  <c r="D43" i="1"/>
  <c r="B70" i="1"/>
  <c r="A70" i="1"/>
  <c r="G180" i="1"/>
  <c r="E180" i="1"/>
  <c r="C180" i="1"/>
  <c r="B180" i="1"/>
  <c r="G243" i="1"/>
  <c r="E243" i="1"/>
  <c r="C243" i="1"/>
  <c r="G272" i="1"/>
  <c r="D272" i="1"/>
  <c r="A272" i="1"/>
  <c r="B272" i="1"/>
  <c r="E1186" i="1"/>
  <c r="F1186" i="1"/>
  <c r="A1186" i="1"/>
  <c r="F1809" i="1"/>
  <c r="D1809" i="1"/>
  <c r="D1600" i="1"/>
  <c r="B1600" i="1"/>
  <c r="E1600" i="1"/>
  <c r="C27" i="1"/>
  <c r="E27" i="1"/>
  <c r="D27" i="1"/>
  <c r="A1045" i="1"/>
  <c r="F1045" i="1"/>
  <c r="D1045" i="1"/>
  <c r="F347" i="1"/>
  <c r="G347" i="1"/>
  <c r="C347" i="1"/>
  <c r="G528" i="1"/>
  <c r="D528" i="1"/>
  <c r="E994" i="1"/>
  <c r="G994" i="1"/>
  <c r="D994" i="1"/>
  <c r="F994" i="1"/>
  <c r="A994" i="1"/>
  <c r="F1756" i="1"/>
  <c r="B1756" i="1"/>
  <c r="D12" i="1"/>
  <c r="G44" i="1"/>
  <c r="D44" i="1"/>
  <c r="D461" i="1"/>
  <c r="C461" i="1"/>
  <c r="G742" i="1"/>
  <c r="C742" i="1"/>
  <c r="B742" i="1"/>
  <c r="F611" i="1"/>
  <c r="G611" i="1"/>
  <c r="D380" i="1"/>
  <c r="C380" i="1"/>
  <c r="D908" i="1"/>
  <c r="F908" i="1"/>
  <c r="E908" i="1"/>
  <c r="C908" i="1"/>
  <c r="E1736" i="1"/>
  <c r="G1736" i="1"/>
  <c r="D1736" i="1"/>
  <c r="A1736" i="1"/>
  <c r="A86" i="1"/>
  <c r="F86" i="1"/>
  <c r="E86" i="1"/>
  <c r="D86" i="1"/>
  <c r="D349" i="1"/>
  <c r="E349" i="1"/>
  <c r="A349" i="1"/>
  <c r="A656" i="1"/>
  <c r="G1029" i="1"/>
  <c r="A1029" i="1"/>
  <c r="B1086" i="1"/>
  <c r="A1086" i="1"/>
  <c r="G1086" i="1"/>
  <c r="C1204" i="1"/>
  <c r="G1204" i="1"/>
  <c r="D1204" i="1"/>
  <c r="D1458" i="1"/>
  <c r="E1458" i="1"/>
  <c r="G1458" i="1"/>
  <c r="F1458" i="1"/>
  <c r="C1458" i="1"/>
  <c r="A1458" i="1"/>
  <c r="G795" i="1"/>
  <c r="D795" i="1"/>
  <c r="E795" i="1"/>
  <c r="G1027" i="1"/>
  <c r="B1027" i="1"/>
  <c r="E1027" i="1"/>
  <c r="D1027" i="1"/>
  <c r="C1027" i="1"/>
  <c r="A1810" i="1"/>
  <c r="G1810" i="1"/>
  <c r="B1810" i="1"/>
  <c r="F1810" i="1"/>
  <c r="E1810" i="1"/>
  <c r="C1810" i="1"/>
  <c r="G12" i="1"/>
  <c r="E12" i="1"/>
  <c r="F708" i="1"/>
  <c r="E708" i="1"/>
  <c r="D708" i="1"/>
  <c r="G1049" i="1"/>
  <c r="C1049" i="1"/>
  <c r="B1049" i="1"/>
  <c r="G1279" i="1"/>
  <c r="E1279" i="1"/>
  <c r="B1279" i="1"/>
  <c r="A1279" i="1"/>
  <c r="G1377" i="1"/>
  <c r="F1377" i="1"/>
  <c r="D1377" i="1"/>
  <c r="C1377" i="1"/>
  <c r="B1377" i="1"/>
  <c r="D1864" i="1"/>
  <c r="E1864" i="1"/>
  <c r="A1864" i="1"/>
  <c r="G1864" i="1"/>
  <c r="F495" i="1"/>
  <c r="G495" i="1"/>
  <c r="E728" i="1"/>
  <c r="G728" i="1"/>
  <c r="C728" i="1"/>
  <c r="F728" i="1"/>
  <c r="A728" i="1"/>
  <c r="B1685" i="1"/>
  <c r="A1685" i="1"/>
  <c r="G1778" i="1"/>
  <c r="E1778" i="1"/>
  <c r="C1778" i="1"/>
  <c r="D746" i="1"/>
  <c r="E746" i="1"/>
  <c r="A469" i="1"/>
  <c r="B469" i="1"/>
  <c r="G162" i="1"/>
  <c r="F162" i="1"/>
  <c r="E162" i="1"/>
  <c r="D162" i="1"/>
  <c r="A162" i="1"/>
  <c r="G13" i="1"/>
  <c r="E13" i="1"/>
  <c r="A13" i="1"/>
  <c r="B13" i="1"/>
  <c r="F414" i="1"/>
  <c r="B414" i="1"/>
  <c r="E447" i="1"/>
  <c r="F482" i="1"/>
  <c r="A482" i="1"/>
  <c r="E674" i="1"/>
  <c r="C674" i="1"/>
  <c r="B674" i="1"/>
  <c r="G710" i="1"/>
  <c r="F710" i="1"/>
  <c r="B710" i="1"/>
  <c r="G1088" i="1"/>
  <c r="C1088" i="1"/>
  <c r="E1569" i="1"/>
  <c r="G1569" i="1"/>
  <c r="F1569" i="1"/>
  <c r="C1569" i="1"/>
  <c r="B1569" i="1"/>
  <c r="A277" i="1"/>
  <c r="F277" i="1"/>
  <c r="B277" i="1"/>
  <c r="E277" i="1"/>
  <c r="E71" i="1"/>
  <c r="A71" i="1"/>
  <c r="D71" i="1"/>
  <c r="D214" i="1"/>
  <c r="E214" i="1"/>
  <c r="C465" i="1"/>
  <c r="G465" i="1"/>
  <c r="E465" i="1"/>
  <c r="D483" i="1"/>
  <c r="G483" i="1"/>
  <c r="C483" i="1"/>
  <c r="G586" i="1"/>
  <c r="B586" i="1"/>
  <c r="F586" i="1"/>
  <c r="E586" i="1"/>
  <c r="F711" i="1"/>
  <c r="A711" i="1"/>
  <c r="D711" i="1"/>
  <c r="C711" i="1"/>
  <c r="B711" i="1"/>
  <c r="E802" i="1"/>
  <c r="G802" i="1"/>
  <c r="F802" i="1"/>
  <c r="G1052" i="1"/>
  <c r="C1052" i="1"/>
  <c r="A1052" i="1"/>
  <c r="D1340" i="1"/>
  <c r="C1340" i="1"/>
  <c r="B1340" i="1"/>
  <c r="F1379" i="1"/>
  <c r="C1379" i="1"/>
  <c r="C137" i="1"/>
  <c r="E137" i="1"/>
  <c r="D137" i="1"/>
  <c r="B780" i="1"/>
  <c r="C780" i="1"/>
  <c r="A274" i="1"/>
  <c r="G274" i="1"/>
  <c r="A310" i="1"/>
  <c r="F310" i="1"/>
  <c r="E310" i="1"/>
  <c r="D310" i="1"/>
  <c r="G365" i="1"/>
  <c r="D365" i="1"/>
  <c r="G448" i="1"/>
  <c r="B448" i="1"/>
  <c r="D658" i="1"/>
  <c r="E658" i="1"/>
  <c r="C658" i="1"/>
  <c r="A835" i="1"/>
  <c r="B835" i="1"/>
  <c r="F835" i="1"/>
  <c r="E835" i="1"/>
  <c r="G1053" i="1"/>
  <c r="F1053" i="1"/>
  <c r="D1053" i="1"/>
  <c r="A1053" i="1"/>
  <c r="B1073" i="1"/>
  <c r="C1107" i="1"/>
  <c r="E1107" i="1"/>
  <c r="D1107" i="1"/>
  <c r="G1121" i="1"/>
  <c r="D1121" i="1"/>
  <c r="C1121" i="1"/>
  <c r="F1121" i="1"/>
  <c r="B1121" i="1"/>
  <c r="E1121" i="1"/>
  <c r="E1723" i="1"/>
  <c r="D1723" i="1"/>
  <c r="A1723" i="1"/>
  <c r="C1948" i="1"/>
  <c r="A1948" i="1"/>
  <c r="E1948" i="1"/>
  <c r="D85" i="1"/>
  <c r="G186" i="1"/>
  <c r="F255" i="1"/>
  <c r="E301" i="1"/>
  <c r="G376" i="1"/>
  <c r="F376" i="1"/>
  <c r="G387" i="1"/>
  <c r="C397" i="1"/>
  <c r="D397" i="1"/>
  <c r="F473" i="1"/>
  <c r="B505" i="1"/>
  <c r="B560" i="1"/>
  <c r="D600" i="1"/>
  <c r="B600" i="1"/>
  <c r="C657" i="1"/>
  <c r="E695" i="1"/>
  <c r="D791" i="1"/>
  <c r="E820" i="1"/>
  <c r="A867" i="1"/>
  <c r="F952" i="1"/>
  <c r="B976" i="1"/>
  <c r="G989" i="1"/>
  <c r="D1074" i="1"/>
  <c r="C1074" i="1"/>
  <c r="C1175" i="1"/>
  <c r="G1189" i="1"/>
  <c r="G1362" i="1"/>
  <c r="C1410" i="1"/>
  <c r="B1501" i="1"/>
  <c r="F1532" i="1"/>
  <c r="E1545" i="1"/>
  <c r="D1545" i="1"/>
  <c r="B1626" i="1"/>
  <c r="C1658" i="1"/>
  <c r="G1732" i="1"/>
  <c r="B1747" i="1"/>
  <c r="C1761" i="1"/>
  <c r="F1761" i="1"/>
  <c r="B1761" i="1"/>
  <c r="A1761" i="1"/>
  <c r="G1858" i="1"/>
  <c r="D1858" i="1"/>
  <c r="F1958" i="1"/>
  <c r="B1958" i="1"/>
  <c r="G412" i="1"/>
  <c r="F412" i="1"/>
  <c r="B412" i="1"/>
  <c r="C519" i="1"/>
  <c r="E519" i="1"/>
  <c r="G747" i="1"/>
  <c r="C747" i="1"/>
  <c r="F882" i="1"/>
  <c r="A882" i="1"/>
  <c r="D963" i="1"/>
  <c r="E963" i="1"/>
  <c r="A1561" i="1"/>
  <c r="F1658" i="1"/>
  <c r="F1671" i="1"/>
  <c r="D1671" i="1"/>
  <c r="D1702" i="1"/>
  <c r="E1702" i="1"/>
  <c r="G1943" i="1"/>
  <c r="C1943" i="1"/>
  <c r="A1988" i="1"/>
  <c r="F1988" i="1"/>
  <c r="C353" i="1"/>
  <c r="F353" i="1"/>
  <c r="D506" i="1"/>
  <c r="C1349" i="1"/>
  <c r="B1349" i="1"/>
  <c r="D1453" i="1"/>
  <c r="C1453" i="1"/>
  <c r="G1878" i="1"/>
  <c r="E1878" i="1"/>
  <c r="D1878" i="1"/>
  <c r="C1904" i="1"/>
  <c r="D101" i="1"/>
  <c r="A765" i="1"/>
  <c r="B822" i="1"/>
  <c r="G1411" i="1"/>
  <c r="E1411" i="1"/>
  <c r="G1501" i="1"/>
  <c r="E1501" i="1"/>
  <c r="C1627" i="1"/>
  <c r="G1627" i="1"/>
  <c r="G1989" i="1"/>
  <c r="B1989" i="1"/>
  <c r="C38" i="1"/>
  <c r="E101" i="1"/>
  <c r="B114" i="1"/>
  <c r="B147" i="1"/>
  <c r="D366" i="1"/>
  <c r="B366" i="1"/>
  <c r="E506" i="1"/>
  <c r="B547" i="1"/>
  <c r="G547" i="1"/>
  <c r="A684" i="1"/>
  <c r="F724" i="1"/>
  <c r="B724" i="1"/>
  <c r="D765" i="1"/>
  <c r="C822" i="1"/>
  <c r="C856" i="1"/>
  <c r="G856" i="1"/>
  <c r="A966" i="1"/>
  <c r="D1062" i="1"/>
  <c r="A1062" i="1"/>
  <c r="B1217" i="1"/>
  <c r="A1381" i="1"/>
  <c r="A1412" i="1"/>
  <c r="F1423" i="1"/>
  <c r="C1472" i="1"/>
  <c r="C1547" i="1"/>
  <c r="E1547" i="1"/>
  <c r="D1762" i="1"/>
  <c r="C1762" i="1"/>
  <c r="E1820" i="1"/>
  <c r="A1862" i="1"/>
  <c r="D1904" i="1"/>
  <c r="C65" i="1"/>
  <c r="E38" i="1"/>
  <c r="E65" i="1"/>
  <c r="F101" i="1"/>
  <c r="C114" i="1"/>
  <c r="D147" i="1"/>
  <c r="E287" i="1"/>
  <c r="A287" i="1"/>
  <c r="A327" i="1"/>
  <c r="E355" i="1"/>
  <c r="E401" i="1"/>
  <c r="D475" i="1"/>
  <c r="F587" i="1"/>
  <c r="C587" i="1"/>
  <c r="B604" i="1"/>
  <c r="B621" i="1"/>
  <c r="F765" i="1"/>
  <c r="B834" i="1"/>
  <c r="C1047" i="1"/>
  <c r="D1047" i="1"/>
  <c r="G1128" i="1"/>
  <c r="A1128" i="1"/>
  <c r="B1147" i="1"/>
  <c r="G1147" i="1"/>
  <c r="C1147" i="1"/>
  <c r="B1232" i="1"/>
  <c r="D1296" i="1"/>
  <c r="G1296" i="1"/>
  <c r="C1296" i="1"/>
  <c r="B1296" i="1"/>
  <c r="F1454" i="1"/>
  <c r="E1454" i="1"/>
  <c r="F1502" i="1"/>
  <c r="C1502" i="1"/>
  <c r="B1548" i="1"/>
  <c r="A1548" i="1"/>
  <c r="C1563" i="1"/>
  <c r="A1688" i="1"/>
  <c r="F1688" i="1"/>
  <c r="F1862" i="1"/>
  <c r="G1890" i="1"/>
  <c r="E1890" i="1"/>
  <c r="G1990" i="1"/>
  <c r="D1990" i="1"/>
  <c r="C684" i="1"/>
  <c r="F684" i="1"/>
  <c r="C1217" i="1"/>
  <c r="F1217" i="1"/>
  <c r="E1217" i="1"/>
  <c r="A1217" i="1"/>
  <c r="F1265" i="1"/>
  <c r="A1265" i="1"/>
  <c r="A1963" i="1"/>
  <c r="C1963" i="1"/>
  <c r="D536" i="1"/>
  <c r="B536" i="1"/>
  <c r="F1104" i="1"/>
  <c r="B1104" i="1"/>
  <c r="E1412" i="1"/>
  <c r="F1412" i="1"/>
  <c r="E1904" i="1"/>
  <c r="A1904" i="1"/>
  <c r="C1920" i="1"/>
  <c r="A1920" i="1"/>
  <c r="C14" i="1"/>
  <c r="F28" i="1"/>
  <c r="F56" i="1"/>
  <c r="B77" i="1"/>
  <c r="G114" i="1"/>
  <c r="G147" i="1"/>
  <c r="G170" i="1"/>
  <c r="B191" i="1"/>
  <c r="D246" i="1"/>
  <c r="D257" i="1"/>
  <c r="C265" i="1"/>
  <c r="C305" i="1"/>
  <c r="D318" i="1"/>
  <c r="B356" i="1"/>
  <c r="C381" i="1"/>
  <c r="E451" i="1"/>
  <c r="B485" i="1"/>
  <c r="A485" i="1"/>
  <c r="D496" i="1"/>
  <c r="B578" i="1"/>
  <c r="E632" i="1"/>
  <c r="G645" i="1"/>
  <c r="B645" i="1"/>
  <c r="G660" i="1"/>
  <c r="A885" i="1"/>
  <c r="D896" i="1"/>
  <c r="A1018" i="1"/>
  <c r="F1048" i="1"/>
  <c r="B1193" i="1"/>
  <c r="B1397" i="1"/>
  <c r="D1424" i="1"/>
  <c r="B1424" i="1"/>
  <c r="E1472" i="1"/>
  <c r="A1472" i="1"/>
  <c r="F1574" i="1"/>
  <c r="A1574" i="1"/>
  <c r="C1602" i="1"/>
  <c r="G1763" i="1"/>
  <c r="A1763" i="1"/>
  <c r="C1780" i="1"/>
  <c r="B1891" i="1"/>
  <c r="F1891" i="1"/>
  <c r="G1947" i="1"/>
  <c r="D1947" i="1"/>
  <c r="E1991" i="1"/>
  <c r="C506" i="1"/>
  <c r="A506" i="1"/>
  <c r="E822" i="1"/>
  <c r="A822" i="1"/>
  <c r="F1148" i="1"/>
  <c r="G1148" i="1"/>
  <c r="E77" i="1"/>
  <c r="D191" i="1"/>
  <c r="B203" i="1"/>
  <c r="F246" i="1"/>
  <c r="E257" i="1"/>
  <c r="D265" i="1"/>
  <c r="E305" i="1"/>
  <c r="C356" i="1"/>
  <c r="D381" i="1"/>
  <c r="A402" i="1"/>
  <c r="F496" i="1"/>
  <c r="C871" i="1"/>
  <c r="B871" i="1"/>
  <c r="C885" i="1"/>
  <c r="A957" i="1"/>
  <c r="B1285" i="1"/>
  <c r="F1352" i="1"/>
  <c r="E1352" i="1"/>
  <c r="C1413" i="1"/>
  <c r="G1413" i="1"/>
  <c r="F1413" i="1"/>
  <c r="B1425" i="1"/>
  <c r="D1441" i="1"/>
  <c r="F1441" i="1"/>
  <c r="E1441" i="1"/>
  <c r="A1441" i="1"/>
  <c r="G1564" i="1"/>
  <c r="C1564" i="1"/>
  <c r="C1575" i="1"/>
  <c r="D1602" i="1"/>
  <c r="C1662" i="1"/>
  <c r="D1707" i="1"/>
  <c r="D1836" i="1"/>
  <c r="E1836" i="1"/>
  <c r="A1892" i="1"/>
  <c r="G1906" i="1"/>
  <c r="A1906" i="1"/>
  <c r="E1922" i="1"/>
  <c r="E1964" i="1"/>
  <c r="C1964" i="1"/>
  <c r="G1130" i="1"/>
  <c r="F1130" i="1"/>
  <c r="E1130" i="1"/>
  <c r="F1397" i="1"/>
  <c r="E1397" i="1"/>
  <c r="F673" i="1"/>
  <c r="D673" i="1"/>
  <c r="F16" i="1"/>
  <c r="D148" i="1"/>
  <c r="F192" i="1"/>
  <c r="B247" i="1"/>
  <c r="A258" i="1"/>
  <c r="B306" i="1"/>
  <c r="G331" i="1"/>
  <c r="A417" i="1"/>
  <c r="D553" i="1"/>
  <c r="E591" i="1"/>
  <c r="F769" i="1"/>
  <c r="B836" i="1"/>
  <c r="A836" i="1"/>
  <c r="B1035" i="1"/>
  <c r="A1035" i="1"/>
  <c r="E1051" i="1"/>
  <c r="D1051" i="1"/>
  <c r="D1079" i="1"/>
  <c r="G1193" i="1"/>
  <c r="A1193" i="1"/>
  <c r="C1219" i="1"/>
  <c r="C1234" i="1"/>
  <c r="A1538" i="1"/>
  <c r="F1538" i="1"/>
  <c r="B1538" i="1"/>
  <c r="B1590" i="1"/>
  <c r="B1603" i="1"/>
  <c r="A1752" i="1"/>
  <c r="E1866" i="1"/>
  <c r="A1866" i="1"/>
  <c r="B1949" i="1"/>
  <c r="D1949" i="1"/>
  <c r="E1993" i="1"/>
  <c r="D1993" i="1"/>
  <c r="F929" i="1"/>
  <c r="D929" i="1"/>
  <c r="F1179" i="1"/>
  <c r="E1179" i="1"/>
  <c r="D1780" i="1"/>
  <c r="B1780" i="1"/>
  <c r="F1837" i="1"/>
  <c r="E1837" i="1"/>
  <c r="D1837" i="1"/>
  <c r="B67" i="1"/>
  <c r="E148" i="1"/>
  <c r="B258" i="1"/>
  <c r="C306" i="1"/>
  <c r="D417" i="1"/>
  <c r="G509" i="1"/>
  <c r="A509" i="1"/>
  <c r="E525" i="1"/>
  <c r="D525" i="1"/>
  <c r="G634" i="1"/>
  <c r="D634" i="1"/>
  <c r="A649" i="1"/>
  <c r="A662" i="1"/>
  <c r="G970" i="1"/>
  <c r="D970" i="1"/>
  <c r="C970" i="1"/>
  <c r="E1285" i="1"/>
  <c r="D1285" i="1"/>
  <c r="A1285" i="1"/>
  <c r="C1427" i="1"/>
  <c r="F1427" i="1"/>
  <c r="C1505" i="1"/>
  <c r="D1505" i="1"/>
  <c r="D1524" i="1"/>
  <c r="B1577" i="1"/>
  <c r="G1577" i="1"/>
  <c r="C1577" i="1"/>
  <c r="C1603" i="1"/>
  <c r="A1617" i="1"/>
  <c r="G1617" i="1"/>
  <c r="D1651" i="1"/>
  <c r="F1651" i="1"/>
  <c r="E1651" i="1"/>
  <c r="E1663" i="1"/>
  <c r="F1663" i="1"/>
  <c r="B1982" i="1"/>
  <c r="G609" i="1"/>
  <c r="C609" i="1"/>
  <c r="B971" i="1"/>
  <c r="F971" i="1"/>
  <c r="G1234" i="1"/>
  <c r="D1234" i="1"/>
  <c r="F1590" i="1"/>
  <c r="A1590" i="1"/>
  <c r="G1752" i="1"/>
  <c r="B1752" i="1"/>
  <c r="G1428" i="1"/>
  <c r="D1428" i="1"/>
  <c r="D1652" i="1"/>
  <c r="B1652" i="1"/>
  <c r="F1782" i="1"/>
  <c r="B1782" i="1"/>
  <c r="G106" i="1"/>
  <c r="F138" i="1"/>
  <c r="A175" i="1"/>
  <c r="C181" i="1"/>
  <c r="G193" i="1"/>
  <c r="D215" i="1"/>
  <c r="B240" i="1"/>
  <c r="G247" i="1"/>
  <c r="E258" i="1"/>
  <c r="C278" i="1"/>
  <c r="B294" i="1"/>
  <c r="B307" i="1"/>
  <c r="D372" i="1"/>
  <c r="F383" i="1"/>
  <c r="E467" i="1"/>
  <c r="B480" i="1"/>
  <c r="G511" i="1"/>
  <c r="D526" i="1"/>
  <c r="E580" i="1"/>
  <c r="G623" i="1"/>
  <c r="D635" i="1"/>
  <c r="E663" i="1"/>
  <c r="A704" i="1"/>
  <c r="D729" i="1"/>
  <c r="C740" i="1"/>
  <c r="E756" i="1"/>
  <c r="A796" i="1"/>
  <c r="G796" i="1"/>
  <c r="B839" i="1"/>
  <c r="F860" i="1"/>
  <c r="A887" i="1"/>
  <c r="C930" i="1"/>
  <c r="E930" i="1"/>
  <c r="D930" i="1"/>
  <c r="G1037" i="1"/>
  <c r="F1037" i="1"/>
  <c r="A1070" i="1"/>
  <c r="G1133" i="1"/>
  <c r="E1209" i="1"/>
  <c r="C1235" i="1"/>
  <c r="A1252" i="1"/>
  <c r="D1270" i="1"/>
  <c r="C1270" i="1"/>
  <c r="G1302" i="1"/>
  <c r="B1302" i="1"/>
  <c r="B1318" i="1"/>
  <c r="F1339" i="1"/>
  <c r="E1339" i="1"/>
  <c r="A1372" i="1"/>
  <c r="B1508" i="1"/>
  <c r="A1870" i="1"/>
  <c r="D1882" i="1"/>
  <c r="A1970" i="1"/>
  <c r="E1195" i="1"/>
  <c r="C1195" i="1"/>
  <c r="D1219" i="1"/>
  <c r="G1219" i="1"/>
  <c r="G1692" i="1"/>
  <c r="C1692" i="1"/>
  <c r="A60" i="1"/>
  <c r="A69" i="1"/>
  <c r="C79" i="1"/>
  <c r="F150" i="1"/>
  <c r="E175" i="1"/>
  <c r="D181" i="1"/>
  <c r="E215" i="1"/>
  <c r="A226" i="1"/>
  <c r="C240" i="1"/>
  <c r="C294" i="1"/>
  <c r="E307" i="1"/>
  <c r="D690" i="1"/>
  <c r="C704" i="1"/>
  <c r="G786" i="1"/>
  <c r="A786" i="1"/>
  <c r="D824" i="1"/>
  <c r="G824" i="1"/>
  <c r="A824" i="1"/>
  <c r="C839" i="1"/>
  <c r="B887" i="1"/>
  <c r="G1109" i="1"/>
  <c r="A1109" i="1"/>
  <c r="E1372" i="1"/>
  <c r="C1430" i="1"/>
  <c r="C1508" i="1"/>
  <c r="B1580" i="1"/>
  <c r="D1710" i="1"/>
  <c r="F1710" i="1"/>
  <c r="E1710" i="1"/>
  <c r="B1870" i="1"/>
  <c r="B1939" i="1"/>
  <c r="G1939" i="1"/>
  <c r="A1939" i="1"/>
  <c r="D741" i="1"/>
  <c r="G741" i="1"/>
  <c r="A961" i="1"/>
  <c r="A974" i="1"/>
  <c r="E1252" i="1"/>
  <c r="D1252" i="1"/>
  <c r="C60" i="1"/>
  <c r="G651" i="1"/>
  <c r="C651" i="1"/>
  <c r="G1303" i="1"/>
  <c r="F1303" i="1"/>
  <c r="E1303" i="1"/>
  <c r="C1970" i="1"/>
  <c r="F1970" i="1"/>
  <c r="D1970" i="1"/>
  <c r="B50" i="1"/>
  <c r="D60" i="1"/>
  <c r="G181" i="1"/>
  <c r="D206" i="1"/>
  <c r="F240" i="1"/>
  <c r="F248" i="1"/>
  <c r="G294" i="1"/>
  <c r="G359" i="1"/>
  <c r="C373" i="1"/>
  <c r="E384" i="1"/>
  <c r="G395" i="1"/>
  <c r="G408" i="1"/>
  <c r="A541" i="1"/>
  <c r="A570" i="1"/>
  <c r="E612" i="1"/>
  <c r="E718" i="1"/>
  <c r="E887" i="1"/>
  <c r="C916" i="1"/>
  <c r="D961" i="1"/>
  <c r="C974" i="1"/>
  <c r="B1011" i="1"/>
  <c r="A1025" i="1"/>
  <c r="E1170" i="1"/>
  <c r="D1235" i="1"/>
  <c r="B1235" i="1"/>
  <c r="A1235" i="1"/>
  <c r="G1357" i="1"/>
  <c r="F1357" i="1"/>
  <c r="E1373" i="1"/>
  <c r="G1403" i="1"/>
  <c r="G1592" i="1"/>
  <c r="D1592" i="1"/>
  <c r="G1637" i="1"/>
  <c r="E1637" i="1"/>
  <c r="D1637" i="1"/>
  <c r="A1637" i="1"/>
  <c r="G1711" i="1"/>
  <c r="C1711" i="1"/>
  <c r="A1739" i="1"/>
  <c r="B1769" i="1"/>
  <c r="E1827" i="1"/>
  <c r="E1940" i="1"/>
  <c r="D1940" i="1"/>
  <c r="A1971" i="1"/>
  <c r="E1995" i="1"/>
  <c r="B384" i="1"/>
  <c r="G500" i="1"/>
  <c r="F500" i="1"/>
  <c r="A635" i="1"/>
  <c r="G635" i="1"/>
  <c r="A756" i="1"/>
  <c r="C756" i="1"/>
  <c r="D1170" i="1"/>
  <c r="E1682" i="1"/>
  <c r="B1682" i="1"/>
  <c r="A1682" i="1"/>
  <c r="G1784" i="1"/>
  <c r="F1784" i="1"/>
  <c r="A1784" i="1"/>
  <c r="D1827" i="1"/>
  <c r="F50" i="1"/>
  <c r="E60" i="1"/>
  <c r="B227" i="1"/>
  <c r="F384" i="1"/>
  <c r="C468" i="1"/>
  <c r="E468" i="1"/>
  <c r="E480" i="1"/>
  <c r="A480" i="1"/>
  <c r="B541" i="1"/>
  <c r="A776" i="1"/>
  <c r="B815" i="1"/>
  <c r="D815" i="1"/>
  <c r="D974" i="1"/>
  <c r="D997" i="1"/>
  <c r="B997" i="1"/>
  <c r="F1011" i="1"/>
  <c r="E1070" i="1"/>
  <c r="G1070" i="1"/>
  <c r="F1170" i="1"/>
  <c r="C1358" i="1"/>
  <c r="F1696" i="1"/>
  <c r="D1696" i="1"/>
  <c r="F1884" i="1"/>
  <c r="C1884" i="1"/>
  <c r="B1971" i="1"/>
  <c r="E961" i="1"/>
  <c r="C961" i="1"/>
  <c r="G570" i="1"/>
  <c r="C570" i="1"/>
  <c r="B758" i="1"/>
  <c r="C758" i="1"/>
  <c r="C1290" i="1"/>
  <c r="B1290" i="1"/>
  <c r="A1622" i="1"/>
  <c r="G1622" i="1"/>
  <c r="D1622" i="1"/>
  <c r="G1697" i="1"/>
  <c r="B1697" i="1"/>
  <c r="C1769" i="1"/>
  <c r="F1769" i="1"/>
  <c r="E1769" i="1"/>
  <c r="A1769" i="1"/>
  <c r="B1827" i="1"/>
  <c r="A1827" i="1"/>
  <c r="C1843" i="1"/>
  <c r="B228" i="1"/>
  <c r="A323" i="1"/>
  <c r="E481" i="1"/>
  <c r="C637" i="1"/>
  <c r="E637" i="1"/>
  <c r="E667" i="1"/>
  <c r="C680" i="1"/>
  <c r="A962" i="1"/>
  <c r="C1043" i="1"/>
  <c r="A1111" i="1"/>
  <c r="D1111" i="1"/>
  <c r="G1225" i="1"/>
  <c r="D1225" i="1"/>
  <c r="B1225" i="1"/>
  <c r="A1345" i="1"/>
  <c r="C1406" i="1"/>
  <c r="F1406" i="1"/>
  <c r="D1406" i="1"/>
  <c r="G1435" i="1"/>
  <c r="A1435" i="1"/>
  <c r="E1529" i="1"/>
  <c r="C1570" i="1"/>
  <c r="B1640" i="1"/>
  <c r="E1728" i="1"/>
  <c r="B1728" i="1"/>
  <c r="A1814" i="1"/>
  <c r="D1843" i="1"/>
  <c r="C1996" i="1"/>
  <c r="G1996" i="1"/>
  <c r="B1996" i="1"/>
  <c r="A1996" i="1"/>
  <c r="E613" i="1"/>
  <c r="A613" i="1"/>
  <c r="G888" i="1"/>
  <c r="F888" i="1"/>
  <c r="F999" i="1"/>
  <c r="B999" i="1"/>
  <c r="E1025" i="1"/>
  <c r="G1025" i="1"/>
  <c r="F1025" i="1"/>
  <c r="F1255" i="1"/>
  <c r="C1255" i="1"/>
  <c r="A36" i="1"/>
  <c r="D110" i="1"/>
  <c r="C228" i="1"/>
  <c r="E261" i="1"/>
  <c r="D323" i="1"/>
  <c r="C337" i="1"/>
  <c r="B385" i="1"/>
  <c r="D396" i="1"/>
  <c r="F517" i="1"/>
  <c r="B558" i="1"/>
  <c r="E638" i="1"/>
  <c r="C638" i="1"/>
  <c r="D654" i="1"/>
  <c r="F667" i="1"/>
  <c r="E949" i="1"/>
  <c r="F949" i="1"/>
  <c r="G986" i="1"/>
  <c r="E986" i="1"/>
  <c r="D1026" i="1"/>
  <c r="F1026" i="1"/>
  <c r="E1026" i="1"/>
  <c r="E1043" i="1"/>
  <c r="C1213" i="1"/>
  <c r="F1276" i="1"/>
  <c r="A1276" i="1"/>
  <c r="D1306" i="1"/>
  <c r="F1306" i="1"/>
  <c r="E1306" i="1"/>
  <c r="G1698" i="1"/>
  <c r="C1698" i="1"/>
  <c r="A1741" i="1"/>
  <c r="E1741" i="1"/>
  <c r="B1925" i="1"/>
  <c r="C1585" i="1"/>
  <c r="A1585" i="1"/>
  <c r="G1829" i="1"/>
  <c r="F1829" i="1"/>
  <c r="A1829" i="1"/>
  <c r="A1843" i="1"/>
  <c r="G1843" i="1"/>
  <c r="B1843" i="1"/>
  <c r="D481" i="1"/>
  <c r="A481" i="1"/>
  <c r="B934" i="1"/>
  <c r="E934" i="1"/>
  <c r="C1345" i="1"/>
  <c r="F1345" i="1"/>
  <c r="F1483" i="1"/>
  <c r="A1483" i="1"/>
  <c r="A1558" i="1"/>
  <c r="G1558" i="1"/>
  <c r="C1558" i="1"/>
  <c r="G1640" i="1"/>
  <c r="F1640" i="1"/>
  <c r="A1640" i="1"/>
  <c r="F36" i="1"/>
  <c r="F72" i="1"/>
  <c r="E83" i="1"/>
  <c r="A100" i="1"/>
  <c r="G111" i="1"/>
  <c r="E208" i="1"/>
  <c r="D219" i="1"/>
  <c r="D299" i="1"/>
  <c r="A324" i="1"/>
  <c r="D352" i="1"/>
  <c r="G385" i="1"/>
  <c r="G421" i="1"/>
  <c r="D434" i="1"/>
  <c r="A434" i="1"/>
  <c r="A473" i="1"/>
  <c r="G518" i="1"/>
  <c r="D543" i="1"/>
  <c r="G558" i="1"/>
  <c r="A628" i="1"/>
  <c r="C723" i="1"/>
  <c r="D853" i="1"/>
  <c r="F905" i="1"/>
  <c r="C935" i="1"/>
  <c r="A963" i="1"/>
  <c r="B988" i="1"/>
  <c r="F1085" i="1"/>
  <c r="E1085" i="1"/>
  <c r="D1085" i="1"/>
  <c r="D1100" i="1"/>
  <c r="A1100" i="1"/>
  <c r="G1113" i="1"/>
  <c r="G1172" i="1"/>
  <c r="E1172" i="1"/>
  <c r="D1172" i="1"/>
  <c r="A1172" i="1"/>
  <c r="E1202" i="1"/>
  <c r="A1258" i="1"/>
  <c r="G1325" i="1"/>
  <c r="D1325" i="1"/>
  <c r="B1362" i="1"/>
  <c r="E1773" i="1"/>
  <c r="F1773" i="1"/>
  <c r="F1900" i="1"/>
  <c r="C1900" i="1"/>
  <c r="B1900" i="1"/>
  <c r="B1814" i="1"/>
  <c r="E1814" i="1"/>
  <c r="C1814" i="1"/>
  <c r="B1238" i="1"/>
  <c r="F1238" i="1"/>
  <c r="D1570" i="1"/>
  <c r="G1570" i="1"/>
  <c r="B1570" i="1"/>
  <c r="C100" i="1"/>
  <c r="E219" i="1"/>
  <c r="B324" i="1"/>
  <c r="A412" i="1"/>
  <c r="D533" i="1"/>
  <c r="B695" i="1"/>
  <c r="E723" i="1"/>
  <c r="A820" i="1"/>
  <c r="A952" i="1"/>
  <c r="B963" i="1"/>
  <c r="B1142" i="1"/>
  <c r="D1142" i="1"/>
  <c r="C1142" i="1"/>
  <c r="A1215" i="1"/>
  <c r="C1215" i="1"/>
  <c r="B1215" i="1"/>
  <c r="D1408" i="1"/>
  <c r="F1408" i="1"/>
  <c r="B1408" i="1"/>
  <c r="A1408" i="1"/>
  <c r="E1559" i="1"/>
  <c r="C1559" i="1"/>
  <c r="D1597" i="1"/>
  <c r="E1597" i="1"/>
  <c r="A1597" i="1"/>
  <c r="D1761" i="1"/>
  <c r="F1844" i="1"/>
  <c r="E1844" i="1"/>
  <c r="G1927" i="1"/>
  <c r="D1927" i="1"/>
  <c r="C932" i="1"/>
  <c r="A959" i="1"/>
  <c r="A1004" i="1"/>
  <c r="G1095" i="1"/>
  <c r="E1283" i="1"/>
  <c r="G1451" i="1"/>
  <c r="F1556" i="1"/>
  <c r="F1598" i="1"/>
  <c r="E1608" i="1"/>
  <c r="G1659" i="1"/>
  <c r="C1746" i="1"/>
  <c r="G2000" i="1"/>
  <c r="E992" i="1"/>
  <c r="F1004" i="1"/>
  <c r="F1063" i="1"/>
  <c r="B1159" i="1"/>
  <c r="F1207" i="1"/>
  <c r="G1307" i="1"/>
  <c r="G1378" i="1"/>
  <c r="F1495" i="1"/>
  <c r="A1624" i="1"/>
  <c r="D1660" i="1"/>
  <c r="E1806" i="1"/>
  <c r="D1879" i="1"/>
  <c r="F1985" i="1"/>
  <c r="A1442" i="1"/>
  <c r="B1484" i="1"/>
  <c r="C1625" i="1"/>
  <c r="A1987" i="1"/>
  <c r="A1881" i="1"/>
  <c r="F1987" i="1"/>
  <c r="A1315" i="1"/>
  <c r="B1586" i="1"/>
  <c r="B1801" i="1"/>
  <c r="B1969" i="1"/>
  <c r="A1998" i="1"/>
  <c r="E915" i="1"/>
  <c r="G1315" i="1"/>
  <c r="A1402" i="1"/>
  <c r="E1530" i="1"/>
  <c r="F1541" i="1"/>
  <c r="F1586" i="1"/>
  <c r="G1644" i="1"/>
  <c r="B1755" i="1"/>
  <c r="G1894" i="1"/>
  <c r="G1931" i="1"/>
  <c r="F1981" i="1"/>
  <c r="F1998" i="1"/>
  <c r="C371" i="1"/>
  <c r="G371" i="1"/>
  <c r="D371" i="1"/>
  <c r="G154" i="1"/>
  <c r="D154" i="1"/>
  <c r="C1304" i="1"/>
  <c r="F1304" i="1"/>
  <c r="A1304" i="1"/>
  <c r="E1304" i="1"/>
  <c r="D1304" i="1"/>
  <c r="B1304" i="1"/>
  <c r="G32" i="1"/>
  <c r="F32" i="1"/>
  <c r="C32" i="1"/>
  <c r="F49" i="1"/>
  <c r="E49" i="1"/>
  <c r="B49" i="1"/>
  <c r="A49" i="1"/>
  <c r="D91" i="1"/>
  <c r="D155" i="1"/>
  <c r="G155" i="1"/>
  <c r="B155" i="1"/>
  <c r="A155" i="1"/>
  <c r="G196" i="1"/>
  <c r="E196" i="1"/>
  <c r="C196" i="1"/>
  <c r="D196" i="1"/>
  <c r="A196" i="1"/>
  <c r="B259" i="1"/>
  <c r="D269" i="1"/>
  <c r="B269" i="1"/>
  <c r="A269" i="1"/>
  <c r="C290" i="1"/>
  <c r="A338" i="1"/>
  <c r="E358" i="1"/>
  <c r="G358" i="1"/>
  <c r="F358" i="1"/>
  <c r="C358" i="1"/>
  <c r="C610" i="1"/>
  <c r="A632" i="1"/>
  <c r="G799" i="1"/>
  <c r="F799" i="1"/>
  <c r="E799" i="1"/>
  <c r="D1251" i="1"/>
  <c r="A1251" i="1"/>
  <c r="G1251" i="1"/>
  <c r="F1251" i="1"/>
  <c r="C1251" i="1"/>
  <c r="B1251" i="1"/>
  <c r="D1683" i="1"/>
  <c r="G1683" i="1"/>
  <c r="F1683" i="1"/>
  <c r="A1683" i="1"/>
  <c r="E1683" i="1"/>
  <c r="C1683" i="1"/>
  <c r="G102" i="1"/>
  <c r="D125" i="1"/>
  <c r="E125" i="1"/>
  <c r="B125" i="1"/>
  <c r="G458" i="1"/>
  <c r="B458" i="1"/>
  <c r="C523" i="1"/>
  <c r="D523" i="1"/>
  <c r="D584" i="1"/>
  <c r="C584" i="1"/>
  <c r="B800" i="1"/>
  <c r="E800" i="1"/>
  <c r="F800" i="1"/>
  <c r="C800" i="1"/>
  <c r="G800" i="1"/>
  <c r="A800" i="1"/>
  <c r="G894" i="1"/>
  <c r="D894" i="1"/>
  <c r="F894" i="1"/>
  <c r="E894" i="1"/>
  <c r="A1464" i="1"/>
  <c r="D1464" i="1"/>
  <c r="G1743" i="1"/>
  <c r="C1743" i="1"/>
  <c r="E1743" i="1"/>
  <c r="D1743" i="1"/>
  <c r="B1743" i="1"/>
  <c r="F1743" i="1"/>
  <c r="A1743" i="1"/>
  <c r="D382" i="1"/>
  <c r="F382" i="1"/>
  <c r="E382" i="1"/>
  <c r="B382" i="1"/>
  <c r="D249" i="1"/>
  <c r="G249" i="1"/>
  <c r="F1405" i="1"/>
  <c r="E1405" i="1"/>
  <c r="B1405" i="1"/>
  <c r="C1405" i="1"/>
  <c r="D1405" i="1"/>
  <c r="A1405" i="1"/>
  <c r="G1405" i="1"/>
  <c r="C490" i="1"/>
  <c r="B490" i="1"/>
  <c r="F1999" i="1"/>
  <c r="E1999" i="1"/>
  <c r="B1999" i="1"/>
  <c r="D643" i="1"/>
  <c r="G643" i="1"/>
  <c r="E643" i="1"/>
  <c r="C632" i="1"/>
  <c r="B632" i="1"/>
  <c r="G632" i="1"/>
  <c r="F632" i="1"/>
  <c r="C93" i="1"/>
  <c r="D103" i="1"/>
  <c r="C103" i="1"/>
  <c r="B103" i="1"/>
  <c r="A134" i="1"/>
  <c r="F134" i="1"/>
  <c r="E134" i="1"/>
  <c r="B134" i="1"/>
  <c r="F168" i="1"/>
  <c r="C187" i="1"/>
  <c r="G187" i="1"/>
  <c r="D187" i="1"/>
  <c r="E218" i="1"/>
  <c r="C218" i="1"/>
  <c r="D241" i="1"/>
  <c r="F241" i="1"/>
  <c r="E241" i="1"/>
  <c r="G315" i="1"/>
  <c r="D315" i="1"/>
  <c r="F360" i="1"/>
  <c r="C360" i="1"/>
  <c r="B360" i="1"/>
  <c r="D405" i="1"/>
  <c r="C405" i="1"/>
  <c r="F448" i="1"/>
  <c r="C448" i="1"/>
  <c r="E448" i="1"/>
  <c r="G946" i="1"/>
  <c r="C946" i="1"/>
  <c r="D1392" i="1"/>
  <c r="C1392" i="1"/>
  <c r="F1392" i="1"/>
  <c r="A1392" i="1"/>
  <c r="G1392" i="1"/>
  <c r="E1392" i="1"/>
  <c r="B1392" i="1"/>
  <c r="B1466" i="1"/>
  <c r="E1466" i="1"/>
  <c r="F1466" i="1"/>
  <c r="D1568" i="1"/>
  <c r="C1568" i="1"/>
  <c r="F1568" i="1"/>
  <c r="E1568" i="1"/>
  <c r="G1568" i="1"/>
  <c r="B1568" i="1"/>
  <c r="A1568" i="1"/>
  <c r="D1828" i="1"/>
  <c r="A1828" i="1"/>
  <c r="B1828" i="1"/>
  <c r="G1828" i="1"/>
  <c r="C1828" i="1"/>
  <c r="E1828" i="1"/>
  <c r="F1828" i="1"/>
  <c r="A250" i="1"/>
  <c r="G250" i="1"/>
  <c r="D250" i="1"/>
  <c r="C250" i="1"/>
  <c r="D70" i="1"/>
  <c r="F70" i="1"/>
  <c r="E70" i="1"/>
  <c r="C135" i="1"/>
  <c r="G135" i="1"/>
  <c r="F135" i="1"/>
  <c r="G291" i="1"/>
  <c r="F291" i="1"/>
  <c r="C291" i="1"/>
  <c r="B291" i="1"/>
  <c r="A291" i="1"/>
  <c r="D316" i="1"/>
  <c r="C316" i="1"/>
  <c r="A316" i="1"/>
  <c r="E326" i="1"/>
  <c r="G326" i="1"/>
  <c r="C326" i="1"/>
  <c r="F326" i="1"/>
  <c r="F339" i="1"/>
  <c r="E339" i="1"/>
  <c r="D339" i="1"/>
  <c r="B339" i="1"/>
  <c r="A339" i="1"/>
  <c r="G472" i="1"/>
  <c r="C472" i="1"/>
  <c r="B472" i="1"/>
  <c r="F491" i="1"/>
  <c r="E491" i="1"/>
  <c r="D491" i="1"/>
  <c r="C491" i="1"/>
  <c r="G525" i="1"/>
  <c r="F525" i="1"/>
  <c r="C525" i="1"/>
  <c r="B525" i="1"/>
  <c r="A525" i="1"/>
  <c r="E1075" i="1"/>
  <c r="C1075" i="1"/>
  <c r="B1075" i="1"/>
  <c r="G1075" i="1"/>
  <c r="F1075" i="1"/>
  <c r="F1494" i="1"/>
  <c r="E1494" i="1"/>
  <c r="G1494" i="1"/>
  <c r="E1840" i="1"/>
  <c r="F1840" i="1"/>
  <c r="B1840" i="1"/>
  <c r="A1840" i="1"/>
  <c r="E524" i="1"/>
  <c r="B524" i="1"/>
  <c r="A416" i="1"/>
  <c r="D416" i="1"/>
  <c r="F1322" i="1"/>
  <c r="C1322" i="1"/>
  <c r="D259" i="1"/>
  <c r="G259" i="1"/>
  <c r="F259" i="1"/>
  <c r="A259" i="1"/>
  <c r="G93" i="1"/>
  <c r="F93" i="1"/>
  <c r="E93" i="1"/>
  <c r="B93" i="1"/>
  <c r="A93" i="1"/>
  <c r="A23" i="1"/>
  <c r="G23" i="1"/>
  <c r="F23" i="1"/>
  <c r="F94" i="1"/>
  <c r="G94" i="1"/>
  <c r="D94" i="1"/>
  <c r="A94" i="1"/>
  <c r="A229" i="1"/>
  <c r="G229" i="1"/>
  <c r="F229" i="1"/>
  <c r="C229" i="1"/>
  <c r="B229" i="1"/>
  <c r="F242" i="1"/>
  <c r="E242" i="1"/>
  <c r="D242" i="1"/>
  <c r="B242" i="1"/>
  <c r="A242" i="1"/>
  <c r="E279" i="1"/>
  <c r="F279" i="1"/>
  <c r="D279" i="1"/>
  <c r="C279" i="1"/>
  <c r="A279" i="1"/>
  <c r="E317" i="1"/>
  <c r="D317" i="1"/>
  <c r="A340" i="1"/>
  <c r="E340" i="1"/>
  <c r="B340" i="1"/>
  <c r="D513" i="1"/>
  <c r="E513" i="1"/>
  <c r="D575" i="1"/>
  <c r="G575" i="1"/>
  <c r="F575" i="1"/>
  <c r="C575" i="1"/>
  <c r="E716" i="1"/>
  <c r="F716" i="1"/>
  <c r="D716" i="1"/>
  <c r="B716" i="1"/>
  <c r="A818" i="1"/>
  <c r="G818" i="1"/>
  <c r="F818" i="1"/>
  <c r="C818" i="1"/>
  <c r="B818" i="1"/>
  <c r="E818" i="1"/>
  <c r="D818" i="1"/>
  <c r="G948" i="1"/>
  <c r="C948" i="1"/>
  <c r="B948" i="1"/>
  <c r="E948" i="1"/>
  <c r="D948" i="1"/>
  <c r="A948" i="1"/>
  <c r="B1623" i="1"/>
  <c r="G1623" i="1"/>
  <c r="F1623" i="1"/>
  <c r="C1623" i="1"/>
  <c r="A1623" i="1"/>
  <c r="E1623" i="1"/>
  <c r="D1623" i="1"/>
  <c r="E508" i="1"/>
  <c r="D508" i="1"/>
  <c r="B124" i="1"/>
  <c r="F124" i="1"/>
  <c r="E124" i="1"/>
  <c r="D124" i="1"/>
  <c r="G11" i="1"/>
  <c r="A11" i="1"/>
  <c r="G404" i="1"/>
  <c r="D404" i="1"/>
  <c r="C404" i="1"/>
  <c r="E406" i="1"/>
  <c r="D406" i="1"/>
  <c r="B406" i="1"/>
  <c r="A406" i="1"/>
  <c r="F62" i="1"/>
  <c r="G62" i="1"/>
  <c r="D62" i="1"/>
  <c r="G116" i="1"/>
  <c r="C116" i="1"/>
  <c r="E189" i="1"/>
  <c r="A189" i="1"/>
  <c r="D189" i="1"/>
  <c r="F200" i="1"/>
  <c r="D200" i="1"/>
  <c r="A210" i="1"/>
  <c r="C341" i="1"/>
  <c r="A407" i="1"/>
  <c r="G407" i="1"/>
  <c r="F407" i="1"/>
  <c r="E407" i="1"/>
  <c r="C407" i="1"/>
  <c r="B407" i="1"/>
  <c r="C538" i="1"/>
  <c r="B538" i="1"/>
  <c r="G538" i="1"/>
  <c r="F538" i="1"/>
  <c r="A668" i="1"/>
  <c r="B668" i="1"/>
  <c r="F668" i="1"/>
  <c r="G668" i="1"/>
  <c r="E668" i="1"/>
  <c r="B803" i="1"/>
  <c r="G803" i="1"/>
  <c r="E803" i="1"/>
  <c r="A803" i="1"/>
  <c r="D1366" i="1"/>
  <c r="F1366" i="1"/>
  <c r="E1366" i="1"/>
  <c r="E1470" i="1"/>
  <c r="F1470" i="1"/>
  <c r="A1470" i="1"/>
  <c r="D1470" i="1"/>
  <c r="C1470" i="1"/>
  <c r="B1470" i="1"/>
  <c r="D1535" i="1"/>
  <c r="G1535" i="1"/>
  <c r="F1535" i="1"/>
  <c r="B1535" i="1"/>
  <c r="A1535" i="1"/>
  <c r="C1535" i="1"/>
  <c r="E1535" i="1"/>
  <c r="D1783" i="1"/>
  <c r="E1783" i="1"/>
  <c r="E665" i="1"/>
  <c r="D665" i="1"/>
  <c r="G665" i="1"/>
  <c r="F665" i="1"/>
  <c r="A665" i="1"/>
  <c r="G314" i="1"/>
  <c r="F314" i="1"/>
  <c r="C314" i="1"/>
  <c r="C679" i="1"/>
  <c r="F679" i="1"/>
  <c r="E679" i="1"/>
  <c r="F199" i="1"/>
  <c r="E199" i="1"/>
  <c r="B199" i="1"/>
  <c r="A199" i="1"/>
  <c r="G24" i="1"/>
  <c r="F24" i="1"/>
  <c r="C24" i="1"/>
  <c r="C71" i="1"/>
  <c r="B71" i="1"/>
  <c r="G71" i="1"/>
  <c r="F71" i="1"/>
  <c r="G82" i="1"/>
  <c r="E82" i="1"/>
  <c r="D82" i="1"/>
  <c r="E159" i="1"/>
  <c r="B159" i="1"/>
  <c r="F230" i="1"/>
  <c r="C230" i="1"/>
  <c r="B230" i="1"/>
  <c r="C280" i="1"/>
  <c r="B280" i="1"/>
  <c r="E576" i="1"/>
  <c r="D576" i="1"/>
  <c r="C576" i="1"/>
  <c r="F576" i="1"/>
  <c r="B576" i="1"/>
  <c r="B646" i="1"/>
  <c r="A646" i="1"/>
  <c r="E705" i="1"/>
  <c r="B705" i="1"/>
  <c r="A705" i="1"/>
  <c r="G705" i="1"/>
  <c r="F705" i="1"/>
  <c r="D705" i="1"/>
  <c r="C705" i="1"/>
  <c r="A827" i="1"/>
  <c r="E827" i="1"/>
  <c r="E923" i="1"/>
  <c r="A923" i="1"/>
  <c r="D923" i="1"/>
  <c r="B923" i="1"/>
  <c r="G446" i="1"/>
  <c r="F446" i="1"/>
  <c r="E446" i="1"/>
  <c r="C446" i="1"/>
  <c r="B446" i="1"/>
  <c r="F610" i="1"/>
  <c r="E610" i="1"/>
  <c r="D610" i="1"/>
  <c r="G292" i="1"/>
  <c r="E292" i="1"/>
  <c r="F292" i="1"/>
  <c r="A292" i="1"/>
  <c r="B292" i="1"/>
  <c r="B1717" i="1"/>
  <c r="G1717" i="1"/>
  <c r="E1717" i="1"/>
  <c r="A91" i="1"/>
  <c r="G91" i="1"/>
  <c r="F91" i="1"/>
  <c r="C91" i="1"/>
  <c r="B91" i="1"/>
  <c r="E547" i="1"/>
  <c r="C547" i="1"/>
  <c r="D547" i="1"/>
  <c r="F281" i="1"/>
  <c r="D281" i="1"/>
  <c r="C281" i="1"/>
  <c r="C779" i="1"/>
  <c r="D779" i="1"/>
  <c r="D510" i="1"/>
  <c r="A510" i="1"/>
  <c r="G510" i="1"/>
  <c r="E510" i="1"/>
  <c r="B510" i="1"/>
  <c r="D549" i="1"/>
  <c r="E549" i="1"/>
  <c r="D254" i="1"/>
  <c r="E254" i="1"/>
  <c r="A97" i="1"/>
  <c r="E107" i="1"/>
  <c r="G107" i="1"/>
  <c r="G171" i="1"/>
  <c r="D171" i="1"/>
  <c r="D179" i="1"/>
  <c r="F179" i="1"/>
  <c r="E179" i="1"/>
  <c r="E221" i="1"/>
  <c r="D221" i="1"/>
  <c r="B221" i="1"/>
  <c r="F232" i="1"/>
  <c r="G409" i="1"/>
  <c r="C409" i="1"/>
  <c r="B409" i="1"/>
  <c r="B527" i="1"/>
  <c r="G527" i="1"/>
  <c r="B648" i="1"/>
  <c r="E126" i="1"/>
  <c r="D126" i="1"/>
  <c r="C126" i="1"/>
  <c r="A126" i="1"/>
  <c r="G34" i="1"/>
  <c r="C34" i="1"/>
  <c r="A425" i="1"/>
  <c r="F425" i="1"/>
  <c r="E425" i="1"/>
  <c r="D425" i="1"/>
  <c r="B425" i="1"/>
  <c r="D188" i="1"/>
  <c r="C188" i="1"/>
  <c r="F408" i="1"/>
  <c r="C408" i="1"/>
  <c r="A564" i="1"/>
  <c r="C564" i="1"/>
  <c r="G692" i="1"/>
  <c r="D692" i="1"/>
  <c r="C692" i="1"/>
  <c r="E692" i="1"/>
  <c r="B692" i="1"/>
  <c r="A692" i="1"/>
  <c r="A14" i="1"/>
  <c r="G54" i="1"/>
  <c r="F54" i="1"/>
  <c r="E54" i="1"/>
  <c r="B54" i="1"/>
  <c r="F73" i="1"/>
  <c r="G73" i="1"/>
  <c r="B73" i="1"/>
  <c r="A84" i="1"/>
  <c r="E118" i="1"/>
  <c r="G118" i="1"/>
  <c r="F118" i="1"/>
  <c r="B118" i="1"/>
  <c r="A118" i="1"/>
  <c r="F211" i="1"/>
  <c r="E211" i="1"/>
  <c r="D211" i="1"/>
  <c r="B211" i="1"/>
  <c r="A211" i="1"/>
  <c r="G462" i="1"/>
  <c r="E462" i="1"/>
  <c r="D462" i="1"/>
  <c r="A462" i="1"/>
  <c r="C588" i="1"/>
  <c r="C600" i="1"/>
  <c r="F600" i="1"/>
  <c r="A600" i="1"/>
  <c r="G600" i="1"/>
  <c r="E600" i="1"/>
  <c r="D615" i="1"/>
  <c r="E615" i="1"/>
  <c r="G694" i="1"/>
  <c r="B694" i="1"/>
  <c r="D1112" i="1"/>
  <c r="E1112" i="1"/>
  <c r="G1112" i="1"/>
  <c r="F1112" i="1"/>
  <c r="C1112" i="1"/>
  <c r="B1112" i="1"/>
  <c r="A1112" i="1"/>
  <c r="B699" i="1"/>
  <c r="G699" i="1"/>
  <c r="F699" i="1"/>
  <c r="C699" i="1"/>
  <c r="D699" i="1"/>
  <c r="A699" i="1"/>
  <c r="D90" i="1"/>
  <c r="F90" i="1"/>
  <c r="E90" i="1"/>
  <c r="G1145" i="1"/>
  <c r="D1145" i="1"/>
  <c r="F1145" i="1"/>
  <c r="A1145" i="1"/>
  <c r="E1145" i="1"/>
  <c r="B1145" i="1"/>
  <c r="E1096" i="1"/>
  <c r="G1096" i="1"/>
  <c r="B1096" i="1"/>
  <c r="C1096" i="1"/>
  <c r="F1096" i="1"/>
  <c r="F128" i="1"/>
  <c r="E128" i="1"/>
  <c r="D128" i="1"/>
  <c r="A128" i="1"/>
  <c r="E341" i="1"/>
  <c r="G341" i="1"/>
  <c r="F341" i="1"/>
  <c r="B341" i="1"/>
  <c r="A341" i="1"/>
  <c r="B452" i="1"/>
  <c r="D452" i="1"/>
  <c r="C899" i="1"/>
  <c r="D899" i="1"/>
  <c r="A899" i="1"/>
  <c r="G899" i="1"/>
  <c r="F899" i="1"/>
  <c r="E899" i="1"/>
  <c r="A1326" i="1"/>
  <c r="B1326" i="1"/>
  <c r="G166" i="1"/>
  <c r="E166" i="1"/>
  <c r="F166" i="1"/>
  <c r="C166" i="1"/>
  <c r="B166" i="1"/>
  <c r="D1935" i="1"/>
  <c r="E1935" i="1"/>
  <c r="A1935" i="1"/>
  <c r="F1935" i="1"/>
  <c r="E156" i="1"/>
  <c r="D156" i="1"/>
  <c r="C61" i="1"/>
  <c r="G61" i="1"/>
  <c r="C648" i="1"/>
  <c r="F648" i="1"/>
  <c r="E648" i="1"/>
  <c r="D648" i="1"/>
  <c r="A648" i="1"/>
  <c r="G926" i="1"/>
  <c r="B926" i="1"/>
  <c r="A926" i="1"/>
  <c r="F926" i="1"/>
  <c r="E926" i="1"/>
  <c r="D926" i="1"/>
  <c r="G97" i="1"/>
  <c r="F97" i="1"/>
  <c r="C97" i="1"/>
  <c r="B97" i="1"/>
  <c r="C233" i="1"/>
  <c r="E233" i="1"/>
  <c r="D233" i="1"/>
  <c r="C295" i="1"/>
  <c r="A463" i="1"/>
  <c r="F463" i="1"/>
  <c r="B463" i="1"/>
  <c r="C463" i="1"/>
  <c r="C529" i="1"/>
  <c r="C601" i="1"/>
  <c r="B601" i="1"/>
  <c r="A601" i="1"/>
  <c r="F601" i="1"/>
  <c r="E601" i="1"/>
  <c r="D601" i="1"/>
  <c r="F755" i="1"/>
  <c r="C755" i="1"/>
  <c r="E793" i="1"/>
  <c r="B793" i="1"/>
  <c r="F793" i="1"/>
  <c r="D793" i="1"/>
  <c r="A793" i="1"/>
  <c r="G338" i="1"/>
  <c r="E338" i="1"/>
  <c r="C338" i="1"/>
  <c r="B338" i="1"/>
  <c r="G304" i="1"/>
  <c r="B304" i="1"/>
  <c r="A304" i="1"/>
  <c r="F304" i="1"/>
  <c r="E304" i="1"/>
  <c r="F25" i="1"/>
  <c r="G25" i="1"/>
  <c r="D25" i="1"/>
  <c r="C25" i="1"/>
  <c r="G160" i="1"/>
  <c r="E160" i="1"/>
  <c r="A160" i="1"/>
  <c r="D160" i="1"/>
  <c r="E659" i="1"/>
  <c r="C659" i="1"/>
  <c r="F1699" i="1"/>
  <c r="E1699" i="1"/>
  <c r="A1699" i="1"/>
  <c r="G1699" i="1"/>
  <c r="D1699" i="1"/>
  <c r="B1699" i="1"/>
  <c r="C1699" i="1"/>
  <c r="B14" i="1"/>
  <c r="F14" i="1"/>
  <c r="D14" i="1"/>
  <c r="E84" i="1"/>
  <c r="D84" i="1"/>
  <c r="G234" i="1"/>
  <c r="D234" i="1"/>
  <c r="C284" i="1"/>
  <c r="D284" i="1"/>
  <c r="D295" i="1"/>
  <c r="C343" i="1"/>
  <c r="A354" i="1"/>
  <c r="B429" i="1"/>
  <c r="D429" i="1"/>
  <c r="F429" i="1"/>
  <c r="E429" i="1"/>
  <c r="G464" i="1"/>
  <c r="D464" i="1"/>
  <c r="C464" i="1"/>
  <c r="C555" i="1"/>
  <c r="F588" i="1"/>
  <c r="E588" i="1"/>
  <c r="B588" i="1"/>
  <c r="A588" i="1"/>
  <c r="B636" i="1"/>
  <c r="E636" i="1"/>
  <c r="G722" i="1"/>
  <c r="F722" i="1"/>
  <c r="G852" i="1"/>
  <c r="E852" i="1"/>
  <c r="D852" i="1"/>
  <c r="A852" i="1"/>
  <c r="F852" i="1"/>
  <c r="C852" i="1"/>
  <c r="D1582" i="1"/>
  <c r="G1582" i="1"/>
  <c r="C1582" i="1"/>
  <c r="B1582" i="1"/>
  <c r="E1582" i="1"/>
  <c r="A1582" i="1"/>
  <c r="G290" i="1"/>
  <c r="F290" i="1"/>
  <c r="E290" i="1"/>
  <c r="B290" i="1"/>
  <c r="A290" i="1"/>
  <c r="G210" i="1"/>
  <c r="E210" i="1"/>
  <c r="B210" i="1"/>
  <c r="C210" i="1"/>
  <c r="G96" i="1"/>
  <c r="E96" i="1"/>
  <c r="D96" i="1"/>
  <c r="C96" i="1"/>
  <c r="A96" i="1"/>
  <c r="F149" i="1"/>
  <c r="G149" i="1"/>
  <c r="D875" i="1"/>
  <c r="C875" i="1"/>
  <c r="D1187" i="1"/>
  <c r="F1187" i="1"/>
  <c r="A1187" i="1"/>
  <c r="E1187" i="1"/>
  <c r="B1187" i="1"/>
  <c r="G192" i="1"/>
  <c r="E192" i="1"/>
  <c r="D192" i="1"/>
  <c r="C192" i="1"/>
  <c r="A192" i="1"/>
  <c r="F386" i="1"/>
  <c r="B386" i="1"/>
  <c r="A419" i="1"/>
  <c r="E419" i="1"/>
  <c r="D419" i="1"/>
  <c r="C419" i="1"/>
  <c r="C484" i="1"/>
  <c r="D484" i="1"/>
  <c r="F484" i="1"/>
  <c r="B683" i="1"/>
  <c r="G683" i="1"/>
  <c r="F683" i="1"/>
  <c r="E785" i="1"/>
  <c r="D785" i="1"/>
  <c r="G785" i="1"/>
  <c r="F785" i="1"/>
  <c r="A785" i="1"/>
  <c r="B785" i="1"/>
  <c r="B794" i="1"/>
  <c r="C794" i="1"/>
  <c r="F794" i="1"/>
  <c r="A794" i="1"/>
  <c r="C1125" i="1"/>
  <c r="D1125" i="1"/>
  <c r="E1125" i="1"/>
  <c r="A295" i="1"/>
  <c r="B295" i="1"/>
  <c r="F295" i="1"/>
  <c r="E295" i="1"/>
  <c r="E85" i="1"/>
  <c r="B85" i="1"/>
  <c r="A85" i="1"/>
  <c r="G85" i="1"/>
  <c r="F85" i="1"/>
  <c r="G378" i="1"/>
  <c r="E378" i="1"/>
  <c r="D378" i="1"/>
  <c r="B1551" i="1"/>
  <c r="A1551" i="1"/>
  <c r="G1551" i="1"/>
  <c r="F1551" i="1"/>
  <c r="E1551" i="1"/>
  <c r="A1871" i="1"/>
  <c r="F1871" i="1"/>
  <c r="C1871" i="1"/>
  <c r="B1871" i="1"/>
  <c r="G1871" i="1"/>
  <c r="G68" i="1"/>
  <c r="C68" i="1"/>
  <c r="E302" i="1"/>
  <c r="D302" i="1"/>
  <c r="C302" i="1"/>
  <c r="B302" i="1"/>
  <c r="D354" i="1"/>
  <c r="F354" i="1"/>
  <c r="E354" i="1"/>
  <c r="B354" i="1"/>
  <c r="A15" i="1"/>
  <c r="C15" i="1"/>
  <c r="B15" i="1"/>
  <c r="G15" i="1"/>
  <c r="F15" i="1"/>
  <c r="G141" i="1"/>
  <c r="E141" i="1"/>
  <c r="D141" i="1"/>
  <c r="F531" i="1"/>
  <c r="E531" i="1"/>
  <c r="D531" i="1"/>
  <c r="F1153" i="1"/>
  <c r="B1153" i="1"/>
  <c r="A1153" i="1"/>
  <c r="E1153" i="1"/>
  <c r="C1965" i="1"/>
  <c r="E1965" i="1"/>
  <c r="D1965" i="1"/>
  <c r="A1965" i="1"/>
  <c r="F1965" i="1"/>
  <c r="G28" i="1"/>
  <c r="E28" i="1"/>
  <c r="D28" i="1"/>
  <c r="A28" i="1"/>
  <c r="C99" i="1"/>
  <c r="A99" i="1"/>
  <c r="G99" i="1"/>
  <c r="F99" i="1"/>
  <c r="G142" i="1"/>
  <c r="F142" i="1"/>
  <c r="A142" i="1"/>
  <c r="G308" i="1"/>
  <c r="E308" i="1"/>
  <c r="C308" i="1"/>
  <c r="B308" i="1"/>
  <c r="F420" i="1"/>
  <c r="E420" i="1"/>
  <c r="D420" i="1"/>
  <c r="B420" i="1"/>
  <c r="A420" i="1"/>
  <c r="B466" i="1"/>
  <c r="A618" i="1"/>
  <c r="A743" i="1"/>
  <c r="G831" i="1"/>
  <c r="D831" i="1"/>
  <c r="B831" i="1"/>
  <c r="G1384" i="1"/>
  <c r="F1384" i="1"/>
  <c r="E1384" i="1"/>
  <c r="C1384" i="1"/>
  <c r="A777" i="1"/>
  <c r="G777" i="1"/>
  <c r="D777" i="1"/>
  <c r="C777" i="1"/>
  <c r="B777" i="1"/>
  <c r="A343" i="1"/>
  <c r="F343" i="1"/>
  <c r="E343" i="1"/>
  <c r="D343" i="1"/>
  <c r="B343" i="1"/>
  <c r="F76" i="1"/>
  <c r="D76" i="1"/>
  <c r="G120" i="1"/>
  <c r="F120" i="1"/>
  <c r="E120" i="1"/>
  <c r="D120" i="1"/>
  <c r="G297" i="1"/>
  <c r="D297" i="1"/>
  <c r="C297" i="1"/>
  <c r="G367" i="1"/>
  <c r="F367" i="1"/>
  <c r="E367" i="1"/>
  <c r="C367" i="1"/>
  <c r="A367" i="1"/>
  <c r="C433" i="1"/>
  <c r="F433" i="1"/>
  <c r="E433" i="1"/>
  <c r="A433" i="1"/>
  <c r="C568" i="1"/>
  <c r="G568" i="1"/>
  <c r="F568" i="1"/>
  <c r="D568" i="1"/>
  <c r="E568" i="1"/>
  <c r="A568" i="1"/>
  <c r="D939" i="1"/>
  <c r="F939" i="1"/>
  <c r="E939" i="1"/>
  <c r="G939" i="1"/>
  <c r="A939" i="1"/>
  <c r="G1823" i="1"/>
  <c r="E1823" i="1"/>
  <c r="C1823" i="1"/>
  <c r="A1823" i="1"/>
  <c r="D1823" i="1"/>
  <c r="B569" i="1"/>
  <c r="C569" i="1"/>
  <c r="G1332" i="1"/>
  <c r="E1332" i="1"/>
  <c r="D1332" i="1"/>
  <c r="A1332" i="1"/>
  <c r="B1332" i="1"/>
  <c r="B377" i="1"/>
  <c r="C377" i="1"/>
  <c r="E466" i="1"/>
  <c r="G466" i="1"/>
  <c r="F466" i="1"/>
  <c r="C902" i="1"/>
  <c r="B902" i="1"/>
  <c r="C29" i="1"/>
  <c r="G29" i="1"/>
  <c r="F29" i="1"/>
  <c r="B29" i="1"/>
  <c r="A29" i="1"/>
  <c r="D121" i="1"/>
  <c r="G121" i="1"/>
  <c r="B121" i="1"/>
  <c r="A214" i="1"/>
  <c r="G214" i="1"/>
  <c r="F214" i="1"/>
  <c r="C214" i="1"/>
  <c r="B214" i="1"/>
  <c r="D274" i="1"/>
  <c r="F274" i="1"/>
  <c r="E274" i="1"/>
  <c r="B274" i="1"/>
  <c r="D298" i="1"/>
  <c r="G298" i="1"/>
  <c r="B298" i="1"/>
  <c r="A309" i="1"/>
  <c r="C309" i="1"/>
  <c r="B309" i="1"/>
  <c r="G309" i="1"/>
  <c r="F309" i="1"/>
  <c r="G322" i="1"/>
  <c r="F322" i="1"/>
  <c r="E322" i="1"/>
  <c r="A322" i="1"/>
  <c r="D443" i="1"/>
  <c r="C696" i="1"/>
  <c r="G696" i="1"/>
  <c r="F696" i="1"/>
  <c r="E696" i="1"/>
  <c r="C889" i="1"/>
  <c r="F889" i="1"/>
  <c r="A1386" i="1"/>
  <c r="B1386" i="1"/>
  <c r="C1386" i="1"/>
  <c r="G1386" i="1"/>
  <c r="C454" i="1"/>
  <c r="G454" i="1"/>
  <c r="F454" i="1"/>
  <c r="D454" i="1"/>
  <c r="A454" i="1"/>
  <c r="G743" i="1"/>
  <c r="F743" i="1"/>
  <c r="C743" i="1"/>
  <c r="E743" i="1"/>
  <c r="D743" i="1"/>
  <c r="B57" i="1"/>
  <c r="D57" i="1"/>
  <c r="B144" i="1"/>
  <c r="C275" i="1"/>
  <c r="E286" i="1"/>
  <c r="A286" i="1"/>
  <c r="A336" i="1"/>
  <c r="D605" i="1"/>
  <c r="B605" i="1"/>
  <c r="F605" i="1"/>
  <c r="E605" i="1"/>
  <c r="C605" i="1"/>
  <c r="A605" i="1"/>
  <c r="F619" i="1"/>
  <c r="D619" i="1"/>
  <c r="C619" i="1"/>
  <c r="D638" i="1"/>
  <c r="G638" i="1"/>
  <c r="F638" i="1"/>
  <c r="B638" i="1"/>
  <c r="A638" i="1"/>
  <c r="F685" i="1"/>
  <c r="B685" i="1"/>
  <c r="D685" i="1"/>
  <c r="C685" i="1"/>
  <c r="B773" i="1"/>
  <c r="F773" i="1"/>
  <c r="C773" i="1"/>
  <c r="A773" i="1"/>
  <c r="G773" i="1"/>
  <c r="E31" i="1"/>
  <c r="G31" i="1"/>
  <c r="F31" i="1"/>
  <c r="C31" i="1"/>
  <c r="A31" i="1"/>
  <c r="E821" i="1"/>
  <c r="B821" i="1"/>
  <c r="F821" i="1"/>
  <c r="D821" i="1"/>
  <c r="C821" i="1"/>
  <c r="A821" i="1"/>
  <c r="E399" i="1"/>
  <c r="D399" i="1"/>
  <c r="E618" i="1"/>
  <c r="G618" i="1"/>
  <c r="F618" i="1"/>
  <c r="G1115" i="1"/>
  <c r="E1115" i="1"/>
  <c r="G58" i="1"/>
  <c r="D58" i="1"/>
  <c r="A58" i="1"/>
  <c r="F152" i="1"/>
  <c r="D152" i="1"/>
  <c r="F225" i="1"/>
  <c r="E225" i="1"/>
  <c r="B225" i="1"/>
  <c r="A225" i="1"/>
  <c r="E239" i="1"/>
  <c r="D239" i="1"/>
  <c r="A390" i="1"/>
  <c r="F390" i="1"/>
  <c r="E390" i="1"/>
  <c r="B390" i="1"/>
  <c r="E456" i="1"/>
  <c r="G456" i="1"/>
  <c r="D456" i="1"/>
  <c r="F456" i="1"/>
  <c r="B456" i="1"/>
  <c r="A456" i="1"/>
  <c r="D479" i="1"/>
  <c r="C479" i="1"/>
  <c r="C606" i="1"/>
  <c r="E606" i="1"/>
  <c r="G606" i="1"/>
  <c r="D606" i="1"/>
  <c r="A663" i="1"/>
  <c r="C663" i="1"/>
  <c r="B663" i="1"/>
  <c r="G663" i="1"/>
  <c r="F663" i="1"/>
  <c r="G1010" i="1"/>
  <c r="F1010" i="1"/>
  <c r="B1010" i="1"/>
  <c r="E1010" i="1"/>
  <c r="C1010" i="1"/>
  <c r="A1010" i="1"/>
  <c r="D1010" i="1"/>
  <c r="G1046" i="1"/>
  <c r="D1046" i="1"/>
  <c r="C1046" i="1"/>
  <c r="D1001" i="1"/>
  <c r="G1001" i="1"/>
  <c r="F1001" i="1"/>
  <c r="D235" i="1"/>
  <c r="C235" i="1"/>
  <c r="A235" i="1"/>
  <c r="E603" i="1"/>
  <c r="D603" i="1"/>
  <c r="C603" i="1"/>
  <c r="G544" i="1"/>
  <c r="D544" i="1"/>
  <c r="B184" i="1"/>
  <c r="F184" i="1"/>
  <c r="C184" i="1"/>
  <c r="G798" i="1"/>
  <c r="A798" i="1"/>
  <c r="B798" i="1"/>
  <c r="E1275" i="1"/>
  <c r="G1275" i="1"/>
  <c r="F1275" i="1"/>
  <c r="A1275" i="1"/>
  <c r="E19" i="1"/>
  <c r="A19" i="1"/>
  <c r="F164" i="1"/>
  <c r="A164" i="1"/>
  <c r="B444" i="1"/>
  <c r="E444" i="1"/>
  <c r="F444" i="1"/>
  <c r="A444" i="1"/>
  <c r="E955" i="1"/>
  <c r="D955" i="1"/>
  <c r="C955" i="1"/>
  <c r="A955" i="1"/>
  <c r="B275" i="1"/>
  <c r="A275" i="1"/>
  <c r="F275" i="1"/>
  <c r="E275" i="1"/>
  <c r="F758" i="1"/>
  <c r="G758" i="1"/>
  <c r="A758" i="1"/>
  <c r="E758" i="1"/>
  <c r="D758" i="1"/>
  <c r="D1156" i="1"/>
  <c r="E1156" i="1"/>
  <c r="F1156" i="1"/>
  <c r="C1156" i="1"/>
  <c r="B1156" i="1"/>
  <c r="D21" i="1"/>
  <c r="G21" i="1"/>
  <c r="F21" i="1"/>
  <c r="B21" i="1"/>
  <c r="A21" i="1"/>
  <c r="A555" i="1"/>
  <c r="D555" i="1"/>
  <c r="G555" i="1"/>
  <c r="F555" i="1"/>
  <c r="B555" i="1"/>
  <c r="G336" i="1"/>
  <c r="F336" i="1"/>
  <c r="E336" i="1"/>
  <c r="E904" i="1"/>
  <c r="A904" i="1"/>
  <c r="F904" i="1"/>
  <c r="D904" i="1"/>
  <c r="B904" i="1"/>
  <c r="C88" i="1"/>
  <c r="F88" i="1"/>
  <c r="E88" i="1"/>
  <c r="F445" i="1"/>
  <c r="C445" i="1"/>
  <c r="B445" i="1"/>
  <c r="C1022" i="1"/>
  <c r="A1022" i="1"/>
  <c r="F1022" i="1"/>
  <c r="E1022" i="1"/>
  <c r="G1022" i="1"/>
  <c r="D1022" i="1"/>
  <c r="B1022" i="1"/>
  <c r="G40" i="1"/>
  <c r="F40" i="1"/>
  <c r="E40" i="1"/>
  <c r="B40" i="1"/>
  <c r="E165" i="1"/>
  <c r="G165" i="1"/>
  <c r="F165" i="1"/>
  <c r="G413" i="1"/>
  <c r="F413" i="1"/>
  <c r="E413" i="1"/>
  <c r="A413" i="1"/>
  <c r="A446" i="1"/>
  <c r="B665" i="1"/>
  <c r="C675" i="1"/>
  <c r="B675" i="1"/>
  <c r="E675" i="1"/>
  <c r="G675" i="1"/>
  <c r="F675" i="1"/>
  <c r="D675" i="1"/>
  <c r="F745" i="1"/>
  <c r="G745" i="1"/>
  <c r="C745" i="1"/>
  <c r="E812" i="1"/>
  <c r="F812" i="1"/>
  <c r="C812" i="1"/>
  <c r="D812" i="1"/>
  <c r="B812" i="1"/>
  <c r="D944" i="1"/>
  <c r="G944" i="1"/>
  <c r="A944" i="1"/>
  <c r="E944" i="1"/>
  <c r="C944" i="1"/>
  <c r="B944" i="1"/>
  <c r="D1059" i="1"/>
  <c r="F1059" i="1"/>
  <c r="E1059" i="1"/>
  <c r="C1059" i="1"/>
  <c r="B1059" i="1"/>
  <c r="G1094" i="1"/>
  <c r="F1094" i="1"/>
  <c r="E1094" i="1"/>
  <c r="A1094" i="1"/>
  <c r="D1094" i="1"/>
  <c r="B1094" i="1"/>
  <c r="B289" i="1"/>
  <c r="F289" i="1"/>
  <c r="E289" i="1"/>
  <c r="G266" i="1"/>
  <c r="C266" i="1"/>
  <c r="D653" i="1"/>
  <c r="G653" i="1"/>
  <c r="B653" i="1"/>
  <c r="F653" i="1"/>
  <c r="E653" i="1"/>
  <c r="C653" i="1"/>
  <c r="G956" i="1"/>
  <c r="F956" i="1"/>
  <c r="E956" i="1"/>
  <c r="B956" i="1"/>
  <c r="A956" i="1"/>
  <c r="D956" i="1"/>
  <c r="C956" i="1"/>
  <c r="G20" i="1"/>
  <c r="D20" i="1"/>
  <c r="A20" i="1"/>
  <c r="G48" i="1"/>
  <c r="E48" i="1"/>
  <c r="D48" i="1"/>
  <c r="A48" i="1"/>
  <c r="F89" i="1"/>
  <c r="G89" i="1"/>
  <c r="C89" i="1"/>
  <c r="B89" i="1"/>
  <c r="G288" i="1"/>
  <c r="F288" i="1"/>
  <c r="E288" i="1"/>
  <c r="D288" i="1"/>
  <c r="C21" i="1"/>
  <c r="B31" i="1"/>
  <c r="C49" i="1"/>
  <c r="C90" i="1"/>
  <c r="A154" i="1"/>
  <c r="A166" i="1"/>
  <c r="D268" i="1"/>
  <c r="G276" i="1"/>
  <c r="F276" i="1"/>
  <c r="E276" i="1"/>
  <c r="D276" i="1"/>
  <c r="B276" i="1"/>
  <c r="A276" i="1"/>
  <c r="A289" i="1"/>
  <c r="A370" i="1"/>
  <c r="D370" i="1"/>
  <c r="C370" i="1"/>
  <c r="A382" i="1"/>
  <c r="D446" i="1"/>
  <c r="A507" i="1"/>
  <c r="F507" i="1"/>
  <c r="E507" i="1"/>
  <c r="B507" i="1"/>
  <c r="G608" i="1"/>
  <c r="C608" i="1"/>
  <c r="A608" i="1"/>
  <c r="C665" i="1"/>
  <c r="E699" i="1"/>
  <c r="E813" i="1"/>
  <c r="F813" i="1"/>
  <c r="G813" i="1"/>
  <c r="B813" i="1"/>
  <c r="A813" i="1"/>
  <c r="C931" i="1"/>
  <c r="B931" i="1"/>
  <c r="F931" i="1"/>
  <c r="G931" i="1"/>
  <c r="A145" i="1"/>
  <c r="E554" i="1"/>
  <c r="A554" i="1"/>
  <c r="D572" i="1"/>
  <c r="A572" i="1"/>
  <c r="D772" i="1"/>
  <c r="E772" i="1"/>
  <c r="F847" i="1"/>
  <c r="D847" i="1"/>
  <c r="E847" i="1"/>
  <c r="F879" i="1"/>
  <c r="C879" i="1"/>
  <c r="D879" i="1"/>
  <c r="A879" i="1"/>
  <c r="C1354" i="1"/>
  <c r="G1354" i="1"/>
  <c r="E1354" i="1"/>
  <c r="B1354" i="1"/>
  <c r="A1557" i="1"/>
  <c r="B1557" i="1"/>
  <c r="F1557" i="1"/>
  <c r="E1557" i="1"/>
  <c r="G1557" i="1"/>
  <c r="D1557" i="1"/>
  <c r="C1557" i="1"/>
  <c r="D421" i="1"/>
  <c r="F421" i="1"/>
  <c r="D542" i="1"/>
  <c r="F542" i="1"/>
  <c r="G542" i="1"/>
  <c r="A542" i="1"/>
  <c r="G563" i="1"/>
  <c r="C563" i="1"/>
  <c r="E854" i="1"/>
  <c r="D854" i="1"/>
  <c r="A854" i="1"/>
  <c r="F1151" i="1"/>
  <c r="D1151" i="1"/>
  <c r="E1151" i="1"/>
  <c r="B1151" i="1"/>
  <c r="C30" i="1"/>
  <c r="C50" i="1"/>
  <c r="B79" i="1"/>
  <c r="B145" i="1"/>
  <c r="A208" i="1"/>
  <c r="A213" i="1"/>
  <c r="B226" i="1"/>
  <c r="B325" i="1"/>
  <c r="A356" i="1"/>
  <c r="A365" i="1"/>
  <c r="C417" i="1"/>
  <c r="B422" i="1"/>
  <c r="C438" i="1"/>
  <c r="A460" i="1"/>
  <c r="D493" i="1"/>
  <c r="A535" i="1"/>
  <c r="B535" i="1"/>
  <c r="F535" i="1"/>
  <c r="A589" i="1"/>
  <c r="C589" i="1"/>
  <c r="A599" i="1"/>
  <c r="C599" i="1"/>
  <c r="E599" i="1"/>
  <c r="B607" i="1"/>
  <c r="F607" i="1"/>
  <c r="D717" i="1"/>
  <c r="C717" i="1"/>
  <c r="B717" i="1"/>
  <c r="G804" i="1"/>
  <c r="B804" i="1"/>
  <c r="C900" i="1"/>
  <c r="D900" i="1"/>
  <c r="E900" i="1"/>
  <c r="B900" i="1"/>
  <c r="E911" i="1"/>
  <c r="G911" i="1"/>
  <c r="F911" i="1"/>
  <c r="A970" i="1"/>
  <c r="A990" i="1"/>
  <c r="C990" i="1"/>
  <c r="B990" i="1"/>
  <c r="F990" i="1"/>
  <c r="B1137" i="1"/>
  <c r="F1137" i="1"/>
  <c r="E1137" i="1"/>
  <c r="D1273" i="1"/>
  <c r="B1273" i="1"/>
  <c r="G1273" i="1"/>
  <c r="C1273" i="1"/>
  <c r="A1380" i="1"/>
  <c r="F1380" i="1"/>
  <c r="G1380" i="1"/>
  <c r="C1380" i="1"/>
  <c r="B1380" i="1"/>
  <c r="G1609" i="1"/>
  <c r="C1609" i="1"/>
  <c r="E1609" i="1"/>
  <c r="D1609" i="1"/>
  <c r="B1609" i="1"/>
  <c r="A1609" i="1"/>
  <c r="F1609" i="1"/>
  <c r="B1649" i="1"/>
  <c r="F1649" i="1"/>
  <c r="E1649" i="1"/>
  <c r="A1649" i="1"/>
  <c r="B59" i="1"/>
  <c r="B72" i="1"/>
  <c r="G79" i="1"/>
  <c r="C86" i="1"/>
  <c r="B100" i="1"/>
  <c r="A117" i="1"/>
  <c r="G123" i="1"/>
  <c r="C130" i="1"/>
  <c r="C136" i="1"/>
  <c r="E145" i="1"/>
  <c r="C151" i="1"/>
  <c r="A180" i="1"/>
  <c r="G194" i="1"/>
  <c r="G201" i="1"/>
  <c r="F208" i="1"/>
  <c r="D213" i="1"/>
  <c r="G226" i="1"/>
  <c r="D247" i="1"/>
  <c r="C257" i="1"/>
  <c r="D262" i="1"/>
  <c r="G282" i="1"/>
  <c r="B296" i="1"/>
  <c r="B305" i="1"/>
  <c r="C310" i="1"/>
  <c r="C320" i="1"/>
  <c r="G325" i="1"/>
  <c r="D356" i="1"/>
  <c r="F365" i="1"/>
  <c r="D379" i="1"/>
  <c r="C385" i="1"/>
  <c r="G438" i="1"/>
  <c r="F460" i="1"/>
  <c r="C478" i="1"/>
  <c r="B509" i="1"/>
  <c r="C526" i="1"/>
  <c r="G526" i="1"/>
  <c r="A537" i="1"/>
  <c r="B565" i="1"/>
  <c r="E582" i="1"/>
  <c r="G582" i="1"/>
  <c r="C591" i="1"/>
  <c r="D609" i="1"/>
  <c r="C624" i="1"/>
  <c r="G759" i="1"/>
  <c r="D759" i="1"/>
  <c r="E775" i="1"/>
  <c r="C775" i="1"/>
  <c r="B856" i="1"/>
  <c r="G1760" i="1"/>
  <c r="E1760" i="1"/>
  <c r="B1760" i="1"/>
  <c r="F1760" i="1"/>
  <c r="A1760" i="1"/>
  <c r="G1898" i="1"/>
  <c r="D1898" i="1"/>
  <c r="C1898" i="1"/>
  <c r="A1898" i="1"/>
  <c r="E1898" i="1"/>
  <c r="C17" i="1"/>
  <c r="A45" i="1"/>
  <c r="B51" i="1"/>
  <c r="E72" i="1"/>
  <c r="F213" i="1"/>
  <c r="E356" i="1"/>
  <c r="D402" i="1"/>
  <c r="F402" i="1"/>
  <c r="B417" i="1"/>
  <c r="F417" i="1"/>
  <c r="A422" i="1"/>
  <c r="C422" i="1"/>
  <c r="D509" i="1"/>
  <c r="C520" i="1"/>
  <c r="B537" i="1"/>
  <c r="B634" i="1"/>
  <c r="A641" i="1"/>
  <c r="C641" i="1"/>
  <c r="F661" i="1"/>
  <c r="A661" i="1"/>
  <c r="B690" i="1"/>
  <c r="A710" i="1"/>
  <c r="C736" i="1"/>
  <c r="A736" i="1"/>
  <c r="G736" i="1"/>
  <c r="F747" i="1"/>
  <c r="E747" i="1"/>
  <c r="D747" i="1"/>
  <c r="A747" i="1"/>
  <c r="F970" i="1"/>
  <c r="E970" i="1"/>
  <c r="G1013" i="1"/>
  <c r="B1013" i="1"/>
  <c r="D1105" i="1"/>
  <c r="E1105" i="1"/>
  <c r="G1105" i="1"/>
  <c r="F1105" i="1"/>
  <c r="D1165" i="1"/>
  <c r="F1165" i="1"/>
  <c r="E1165" i="1"/>
  <c r="C1165" i="1"/>
  <c r="B1165" i="1"/>
  <c r="A1165" i="1"/>
  <c r="E1328" i="1"/>
  <c r="A1328" i="1"/>
  <c r="F1328" i="1"/>
  <c r="G1328" i="1"/>
  <c r="C1328" i="1"/>
  <c r="D1328" i="1"/>
  <c r="F1537" i="1"/>
  <c r="B1537" i="1"/>
  <c r="E1537" i="1"/>
  <c r="D1537" i="1"/>
  <c r="A1537" i="1"/>
  <c r="G1537" i="1"/>
  <c r="C1537" i="1"/>
  <c r="D1899" i="1"/>
  <c r="F1899" i="1"/>
  <c r="A1899" i="1"/>
  <c r="C1899" i="1"/>
  <c r="B1899" i="1"/>
  <c r="G1899" i="1"/>
  <c r="E1899" i="1"/>
  <c r="F856" i="1"/>
  <c r="E856" i="1"/>
  <c r="D856" i="1"/>
  <c r="A856" i="1"/>
  <c r="G1601" i="1"/>
  <c r="C1601" i="1"/>
  <c r="C403" i="1"/>
  <c r="G403" i="1"/>
  <c r="G591" i="1"/>
  <c r="B591" i="1"/>
  <c r="E720" i="1"/>
  <c r="C720" i="1"/>
  <c r="B720" i="1"/>
  <c r="F1084" i="1"/>
  <c r="A1084" i="1"/>
  <c r="B1084" i="1"/>
  <c r="B1312" i="1"/>
  <c r="F1312" i="1"/>
  <c r="C1312" i="1"/>
  <c r="A1312" i="1"/>
  <c r="E1312" i="1"/>
  <c r="D1312" i="1"/>
  <c r="C39" i="1"/>
  <c r="G59" i="1"/>
  <c r="G66" i="1"/>
  <c r="A81" i="1"/>
  <c r="G86" i="1"/>
  <c r="F100" i="1"/>
  <c r="G109" i="1"/>
  <c r="A146" i="1"/>
  <c r="G175" i="1"/>
  <c r="F180" i="1"/>
  <c r="C195" i="1"/>
  <c r="C209" i="1"/>
  <c r="G310" i="1"/>
  <c r="B337" i="1"/>
  <c r="C366" i="1"/>
  <c r="A381" i="1"/>
  <c r="F411" i="1"/>
  <c r="A440" i="1"/>
  <c r="C494" i="1"/>
  <c r="G556" i="1"/>
  <c r="E642" i="1"/>
  <c r="D642" i="1"/>
  <c r="E903" i="1"/>
  <c r="F903" i="1"/>
  <c r="D903" i="1"/>
  <c r="D981" i="1"/>
  <c r="E993" i="1"/>
  <c r="F993" i="1"/>
  <c r="G993" i="1"/>
  <c r="D993" i="1"/>
  <c r="A1038" i="1"/>
  <c r="C1190" i="1"/>
  <c r="E1190" i="1"/>
  <c r="A1190" i="1"/>
  <c r="F1190" i="1"/>
  <c r="G1190" i="1"/>
  <c r="D1190" i="1"/>
  <c r="B698" i="1"/>
  <c r="G698" i="1"/>
  <c r="A1014" i="1"/>
  <c r="D1014" i="1"/>
  <c r="G1014" i="1"/>
  <c r="F1014" i="1"/>
  <c r="C1014" i="1"/>
  <c r="D1287" i="1"/>
  <c r="F1287" i="1"/>
  <c r="E1287" i="1"/>
  <c r="C1287" i="1"/>
  <c r="B1287" i="1"/>
  <c r="A1287" i="1"/>
  <c r="F1431" i="1"/>
  <c r="G1431" i="1"/>
  <c r="E1431" i="1"/>
  <c r="C1431" i="1"/>
  <c r="A1431" i="1"/>
  <c r="A12" i="1"/>
  <c r="C12" i="1"/>
  <c r="B53" i="1"/>
  <c r="B81" i="1"/>
  <c r="C138" i="1"/>
  <c r="B146" i="1"/>
  <c r="D195" i="1"/>
  <c r="A203" i="1"/>
  <c r="D209" i="1"/>
  <c r="A228" i="1"/>
  <c r="B263" i="1"/>
  <c r="A306" i="1"/>
  <c r="G373" i="1"/>
  <c r="D373" i="1"/>
  <c r="B440" i="1"/>
  <c r="A520" i="1"/>
  <c r="B520" i="1"/>
  <c r="F520" i="1"/>
  <c r="C528" i="1"/>
  <c r="B528" i="1"/>
  <c r="C634" i="1"/>
  <c r="F634" i="1"/>
  <c r="A634" i="1"/>
  <c r="B662" i="1"/>
  <c r="E662" i="1"/>
  <c r="F662" i="1"/>
  <c r="C690" i="1"/>
  <c r="A690" i="1"/>
  <c r="F690" i="1"/>
  <c r="C710" i="1"/>
  <c r="E710" i="1"/>
  <c r="D710" i="1"/>
  <c r="B721" i="1"/>
  <c r="A721" i="1"/>
  <c r="A807" i="1"/>
  <c r="G807" i="1"/>
  <c r="D838" i="1"/>
  <c r="C838" i="1"/>
  <c r="E838" i="1"/>
  <c r="G838" i="1"/>
  <c r="F838" i="1"/>
  <c r="A972" i="1"/>
  <c r="G972" i="1"/>
  <c r="D972" i="1"/>
  <c r="C1191" i="1"/>
  <c r="E1191" i="1"/>
  <c r="F1222" i="1"/>
  <c r="E1222" i="1"/>
  <c r="G1222" i="1"/>
  <c r="A1222" i="1"/>
  <c r="D1222" i="1"/>
  <c r="C1222" i="1"/>
  <c r="F1260" i="1"/>
  <c r="B1260" i="1"/>
  <c r="D1260" i="1"/>
  <c r="E1260" i="1"/>
  <c r="C1260" i="1"/>
  <c r="D1330" i="1"/>
  <c r="F1330" i="1"/>
  <c r="A1330" i="1"/>
  <c r="C1330" i="1"/>
  <c r="E1330" i="1"/>
  <c r="B1330" i="1"/>
  <c r="D1830" i="1"/>
  <c r="F1830" i="1"/>
  <c r="E1830" i="1"/>
  <c r="A1830" i="1"/>
  <c r="G1830" i="1"/>
  <c r="C1830" i="1"/>
  <c r="B1830" i="1"/>
  <c r="A1911" i="1"/>
  <c r="D1911" i="1"/>
  <c r="F1911" i="1"/>
  <c r="E1911" i="1"/>
  <c r="G1911" i="1"/>
  <c r="C1911" i="1"/>
  <c r="B1911" i="1"/>
  <c r="E81" i="1"/>
  <c r="G138" i="1"/>
  <c r="B153" i="1"/>
  <c r="D161" i="1"/>
  <c r="C167" i="1"/>
  <c r="A190" i="1"/>
  <c r="G203" i="1"/>
  <c r="D222" i="1"/>
  <c r="D228" i="1"/>
  <c r="A236" i="1"/>
  <c r="A243" i="1"/>
  <c r="G263" i="1"/>
  <c r="E272" i="1"/>
  <c r="C277" i="1"/>
  <c r="D306" i="1"/>
  <c r="B327" i="1"/>
  <c r="F337" i="1"/>
  <c r="A342" i="1"/>
  <c r="G342" i="1"/>
  <c r="C374" i="1"/>
  <c r="B434" i="1"/>
  <c r="E440" i="1"/>
  <c r="E471" i="1"/>
  <c r="D511" i="1"/>
  <c r="G521" i="1"/>
  <c r="F521" i="1"/>
  <c r="C521" i="1"/>
  <c r="C530" i="1"/>
  <c r="D545" i="1"/>
  <c r="A545" i="1"/>
  <c r="G585" i="1"/>
  <c r="E585" i="1"/>
  <c r="B594" i="1"/>
  <c r="G602" i="1"/>
  <c r="D611" i="1"/>
  <c r="A620" i="1"/>
  <c r="G730" i="1"/>
  <c r="E730" i="1"/>
  <c r="F916" i="1"/>
  <c r="B916" i="1"/>
  <c r="A916" i="1"/>
  <c r="G916" i="1"/>
  <c r="D962" i="1"/>
  <c r="G962" i="1"/>
  <c r="F962" i="1"/>
  <c r="B962" i="1"/>
  <c r="F1040" i="1"/>
  <c r="A1040" i="1"/>
  <c r="A1074" i="1"/>
  <c r="B1074" i="1"/>
  <c r="F1074" i="1"/>
  <c r="E1074" i="1"/>
  <c r="C1487" i="1"/>
  <c r="E1487" i="1"/>
  <c r="A1487" i="1"/>
  <c r="G1487" i="1"/>
  <c r="B1487" i="1"/>
  <c r="G1796" i="1"/>
  <c r="E1796" i="1"/>
  <c r="D1796" i="1"/>
  <c r="C1796" i="1"/>
  <c r="B111" i="1"/>
  <c r="C153" i="1"/>
  <c r="D167" i="1"/>
  <c r="D190" i="1"/>
  <c r="E228" i="1"/>
  <c r="B243" i="1"/>
  <c r="D277" i="1"/>
  <c r="E306" i="1"/>
  <c r="C327" i="1"/>
  <c r="G352" i="1"/>
  <c r="C352" i="1"/>
  <c r="A357" i="1"/>
  <c r="D357" i="1"/>
  <c r="D374" i="1"/>
  <c r="C434" i="1"/>
  <c r="F471" i="1"/>
  <c r="E511" i="1"/>
  <c r="A522" i="1"/>
  <c r="B620" i="1"/>
  <c r="E644" i="1"/>
  <c r="F644" i="1"/>
  <c r="G752" i="1"/>
  <c r="A752" i="1"/>
  <c r="D752" i="1"/>
  <c r="B752" i="1"/>
  <c r="C778" i="1"/>
  <c r="B778" i="1"/>
  <c r="A1007" i="1"/>
  <c r="E1007" i="1"/>
  <c r="F1007" i="1"/>
  <c r="E1041" i="1"/>
  <c r="F1041" i="1"/>
  <c r="A1041" i="1"/>
  <c r="G1041" i="1"/>
  <c r="D1041" i="1"/>
  <c r="C1041" i="1"/>
  <c r="B1041" i="1"/>
  <c r="D1398" i="1"/>
  <c r="E1398" i="1"/>
  <c r="G1398" i="1"/>
  <c r="B1398" i="1"/>
  <c r="C1398" i="1"/>
  <c r="F1398" i="1"/>
  <c r="A1398" i="1"/>
  <c r="B1473" i="1"/>
  <c r="G1473" i="1"/>
  <c r="E1473" i="1"/>
  <c r="C1512" i="1"/>
  <c r="B1512" i="1"/>
  <c r="G1512" i="1"/>
  <c r="D1512" i="1"/>
  <c r="A1512" i="1"/>
  <c r="F1512" i="1"/>
  <c r="E1512" i="1"/>
  <c r="E495" i="1"/>
  <c r="B495" i="1"/>
  <c r="E594" i="1"/>
  <c r="D594" i="1"/>
  <c r="C594" i="1"/>
  <c r="E1042" i="1"/>
  <c r="C1042" i="1"/>
  <c r="G1042" i="1"/>
  <c r="F1042" i="1"/>
  <c r="F1572" i="1"/>
  <c r="E1572" i="1"/>
  <c r="E1181" i="1"/>
  <c r="B1181" i="1"/>
  <c r="C1655" i="1"/>
  <c r="A1655" i="1"/>
  <c r="B69" i="1"/>
  <c r="C119" i="1"/>
  <c r="G153" i="1"/>
  <c r="C162" i="1"/>
  <c r="G167" i="1"/>
  <c r="C215" i="1"/>
  <c r="E238" i="1"/>
  <c r="F243" i="1"/>
  <c r="A265" i="1"/>
  <c r="G277" i="1"/>
  <c r="A307" i="1"/>
  <c r="G327" i="1"/>
  <c r="G434" i="1"/>
  <c r="A441" i="1"/>
  <c r="A487" i="1"/>
  <c r="G487" i="1"/>
  <c r="B512" i="1"/>
  <c r="D512" i="1"/>
  <c r="F522" i="1"/>
  <c r="C539" i="1"/>
  <c r="C558" i="1"/>
  <c r="G628" i="1"/>
  <c r="D628" i="1"/>
  <c r="F682" i="1"/>
  <c r="A682" i="1"/>
  <c r="E682" i="1"/>
  <c r="C712" i="1"/>
  <c r="E780" i="1"/>
  <c r="G797" i="1"/>
  <c r="B797" i="1"/>
  <c r="F810" i="1"/>
  <c r="E810" i="1"/>
  <c r="B810" i="1"/>
  <c r="D884" i="1"/>
  <c r="G884" i="1"/>
  <c r="F884" i="1"/>
  <c r="B884" i="1"/>
  <c r="B906" i="1"/>
  <c r="A906" i="1"/>
  <c r="C906" i="1"/>
  <c r="F906" i="1"/>
  <c r="E906" i="1"/>
  <c r="G954" i="1"/>
  <c r="C1065" i="1"/>
  <c r="D1065" i="1"/>
  <c r="B1065" i="1"/>
  <c r="F1097" i="1"/>
  <c r="B1097" i="1"/>
  <c r="G1097" i="1"/>
  <c r="E1097" i="1"/>
  <c r="C1097" i="1"/>
  <c r="A1097" i="1"/>
  <c r="E530" i="1"/>
  <c r="F530" i="1"/>
  <c r="E764" i="1"/>
  <c r="C764" i="1"/>
  <c r="A1348" i="1"/>
  <c r="G1348" i="1"/>
  <c r="C13" i="1"/>
  <c r="D13" i="1"/>
  <c r="C69" i="1"/>
  <c r="C299" i="1"/>
  <c r="E299" i="1"/>
  <c r="A397" i="1"/>
  <c r="F505" i="1"/>
  <c r="G505" i="1"/>
  <c r="E620" i="1"/>
  <c r="D620" i="1"/>
  <c r="E673" i="1"/>
  <c r="G673" i="1"/>
  <c r="C673" i="1"/>
  <c r="A673" i="1"/>
  <c r="B703" i="1"/>
  <c r="F703" i="1"/>
  <c r="D742" i="1"/>
  <c r="F742" i="1"/>
  <c r="E742" i="1"/>
  <c r="A742" i="1"/>
  <c r="D871" i="1"/>
  <c r="F871" i="1"/>
  <c r="G871" i="1"/>
  <c r="E871" i="1"/>
  <c r="A871" i="1"/>
  <c r="E985" i="1"/>
  <c r="C985" i="1"/>
  <c r="A985" i="1"/>
  <c r="F985" i="1"/>
  <c r="D985" i="1"/>
  <c r="D995" i="1"/>
  <c r="A995" i="1"/>
  <c r="B995" i="1"/>
  <c r="C995" i="1"/>
  <c r="D1120" i="1"/>
  <c r="E1120" i="1"/>
  <c r="F1120" i="1"/>
  <c r="A1120" i="1"/>
  <c r="C1120" i="1"/>
  <c r="B1120" i="1"/>
  <c r="G1144" i="1"/>
  <c r="F1144" i="1"/>
  <c r="B1144" i="1"/>
  <c r="A1144" i="1"/>
  <c r="D1144" i="1"/>
  <c r="E1361" i="1"/>
  <c r="B1361" i="1"/>
  <c r="A1361" i="1"/>
  <c r="G1361" i="1"/>
  <c r="D1361" i="1"/>
  <c r="C1361" i="1"/>
  <c r="F1361" i="1"/>
  <c r="C1528" i="1"/>
  <c r="G1528" i="1"/>
  <c r="F1528" i="1"/>
  <c r="B1528" i="1"/>
  <c r="D1528" i="1"/>
  <c r="A1528" i="1"/>
  <c r="D1616" i="1"/>
  <c r="C1616" i="1"/>
  <c r="E1616" i="1"/>
  <c r="G69" i="1"/>
  <c r="A169" i="1"/>
  <c r="G215" i="1"/>
  <c r="C224" i="1"/>
  <c r="B323" i="1"/>
  <c r="B344" i="1"/>
  <c r="C359" i="1"/>
  <c r="B368" i="1"/>
  <c r="E375" i="1"/>
  <c r="E397" i="1"/>
  <c r="D435" i="1"/>
  <c r="C489" i="1"/>
  <c r="E489" i="1"/>
  <c r="E587" i="1"/>
  <c r="B613" i="1"/>
  <c r="D621" i="1"/>
  <c r="A714" i="1"/>
  <c r="B830" i="1"/>
  <c r="D830" i="1"/>
  <c r="C830" i="1"/>
  <c r="G830" i="1"/>
  <c r="G907" i="1"/>
  <c r="B907" i="1"/>
  <c r="D907" i="1"/>
  <c r="G964" i="1"/>
  <c r="D964" i="1"/>
  <c r="C964" i="1"/>
  <c r="D996" i="1"/>
  <c r="C996" i="1"/>
  <c r="G996" i="1"/>
  <c r="F996" i="1"/>
  <c r="A996" i="1"/>
  <c r="D1194" i="1"/>
  <c r="F1194" i="1"/>
  <c r="A1194" i="1"/>
  <c r="E1194" i="1"/>
  <c r="B1194" i="1"/>
  <c r="E1389" i="1"/>
  <c r="B1389" i="1"/>
  <c r="F1389" i="1"/>
  <c r="G1389" i="1"/>
  <c r="D1476" i="1"/>
  <c r="E1476" i="1"/>
  <c r="F1476" i="1"/>
  <c r="B1476" i="1"/>
  <c r="A1476" i="1"/>
  <c r="G1476" i="1"/>
  <c r="B1643" i="1"/>
  <c r="G1643" i="1"/>
  <c r="C1643" i="1"/>
  <c r="D1643" i="1"/>
  <c r="F1643" i="1"/>
  <c r="E1643" i="1"/>
  <c r="A1643" i="1"/>
  <c r="D169" i="1"/>
  <c r="B198" i="1"/>
  <c r="A206" i="1"/>
  <c r="D224" i="1"/>
  <c r="A294" i="1"/>
  <c r="C323" i="1"/>
  <c r="B331" i="1"/>
  <c r="F359" i="1"/>
  <c r="C368" i="1"/>
  <c r="F375" i="1"/>
  <c r="C383" i="1"/>
  <c r="F397" i="1"/>
  <c r="F435" i="1"/>
  <c r="E496" i="1"/>
  <c r="A496" i="1"/>
  <c r="G578" i="1"/>
  <c r="F578" i="1"/>
  <c r="C578" i="1"/>
  <c r="C596" i="1"/>
  <c r="G674" i="1"/>
  <c r="A674" i="1"/>
  <c r="F674" i="1"/>
  <c r="A790" i="1"/>
  <c r="F790" i="1"/>
  <c r="E790" i="1"/>
  <c r="B790" i="1"/>
  <c r="F842" i="1"/>
  <c r="D842" i="1"/>
  <c r="A842" i="1"/>
  <c r="B1029" i="1"/>
  <c r="D1029" i="1"/>
  <c r="C1029" i="1"/>
  <c r="A1068" i="1"/>
  <c r="C1068" i="1"/>
  <c r="G1068" i="1"/>
  <c r="E1068" i="1"/>
  <c r="G1390" i="1"/>
  <c r="F1390" i="1"/>
  <c r="B1390" i="1"/>
  <c r="C1390" i="1"/>
  <c r="E1390" i="1"/>
  <c r="D1565" i="1"/>
  <c r="F1565" i="1"/>
  <c r="A1565" i="1"/>
  <c r="G1565" i="1"/>
  <c r="E1565" i="1"/>
  <c r="C1565" i="1"/>
  <c r="B1565" i="1"/>
  <c r="A587" i="1"/>
  <c r="B587" i="1"/>
  <c r="F613" i="1"/>
  <c r="C613" i="1"/>
  <c r="F714" i="1"/>
  <c r="E714" i="1"/>
  <c r="B1293" i="1"/>
  <c r="A1293" i="1"/>
  <c r="C1450" i="1"/>
  <c r="A1450" i="1"/>
  <c r="G1450" i="1"/>
  <c r="G1928" i="1"/>
  <c r="F1928" i="1"/>
  <c r="E1928" i="1"/>
  <c r="A1928" i="1"/>
  <c r="B1928" i="1"/>
  <c r="D1928" i="1"/>
  <c r="E621" i="1"/>
  <c r="A621" i="1"/>
  <c r="D725" i="1"/>
  <c r="C725" i="1"/>
  <c r="B725" i="1"/>
  <c r="E897" i="1"/>
  <c r="B897" i="1"/>
  <c r="G897" i="1"/>
  <c r="F897" i="1"/>
  <c r="A897" i="1"/>
  <c r="C1791" i="1"/>
  <c r="B1791" i="1"/>
  <c r="A1791" i="1"/>
  <c r="G1791" i="1"/>
  <c r="F1791" i="1"/>
  <c r="E1791" i="1"/>
  <c r="D1791" i="1"/>
  <c r="F1997" i="1"/>
  <c r="E1997" i="1"/>
  <c r="A1997" i="1"/>
  <c r="C148" i="1"/>
  <c r="A170" i="1"/>
  <c r="F260" i="1"/>
  <c r="F323" i="1"/>
  <c r="A345" i="1"/>
  <c r="F368" i="1"/>
  <c r="A376" i="1"/>
  <c r="G383" i="1"/>
  <c r="C391" i="1"/>
  <c r="C414" i="1"/>
  <c r="E436" i="1"/>
  <c r="G442" i="1"/>
  <c r="D457" i="1"/>
  <c r="G457" i="1"/>
  <c r="C473" i="1"/>
  <c r="G473" i="1"/>
  <c r="G498" i="1"/>
  <c r="B517" i="1"/>
  <c r="C541" i="1"/>
  <c r="C666" i="1"/>
  <c r="E666" i="1"/>
  <c r="A666" i="1"/>
  <c r="A726" i="1"/>
  <c r="A873" i="1"/>
  <c r="B873" i="1"/>
  <c r="C873" i="1"/>
  <c r="B886" i="1"/>
  <c r="A886" i="1"/>
  <c r="G886" i="1"/>
  <c r="F886" i="1"/>
  <c r="C886" i="1"/>
  <c r="B987" i="1"/>
  <c r="A987" i="1"/>
  <c r="F987" i="1"/>
  <c r="C987" i="1"/>
  <c r="E1009" i="1"/>
  <c r="F1009" i="1"/>
  <c r="B1009" i="1"/>
  <c r="F1131" i="1"/>
  <c r="F1478" i="1"/>
  <c r="C1478" i="1"/>
  <c r="B1478" i="1"/>
  <c r="D1478" i="1"/>
  <c r="G1478" i="1"/>
  <c r="A1478" i="1"/>
  <c r="G1813" i="1"/>
  <c r="D1813" i="1"/>
  <c r="E1813" i="1"/>
  <c r="B22" i="1"/>
  <c r="C22" i="1"/>
  <c r="A37" i="1"/>
  <c r="B42" i="1"/>
  <c r="B56" i="1"/>
  <c r="A78" i="1"/>
  <c r="C105" i="1"/>
  <c r="B376" i="1"/>
  <c r="D391" i="1"/>
  <c r="E517" i="1"/>
  <c r="D541" i="1"/>
  <c r="F570" i="1"/>
  <c r="B570" i="1"/>
  <c r="A580" i="1"/>
  <c r="B791" i="1"/>
  <c r="G791" i="1"/>
  <c r="F791" i="1"/>
  <c r="C791" i="1"/>
  <c r="G862" i="1"/>
  <c r="C862" i="1"/>
  <c r="D1056" i="1"/>
  <c r="A1056" i="1"/>
  <c r="F1056" i="1"/>
  <c r="E1056" i="1"/>
  <c r="C1779" i="1"/>
  <c r="F1779" i="1"/>
  <c r="G1779" i="1"/>
  <c r="B1779" i="1"/>
  <c r="A1779" i="1"/>
  <c r="C1917" i="1"/>
  <c r="G1917" i="1"/>
  <c r="F1917" i="1"/>
  <c r="A1917" i="1"/>
  <c r="B1917" i="1"/>
  <c r="D78" i="1"/>
  <c r="B129" i="1"/>
  <c r="A193" i="1"/>
  <c r="C207" i="1"/>
  <c r="A212" i="1"/>
  <c r="B246" i="1"/>
  <c r="C261" i="1"/>
  <c r="C324" i="1"/>
  <c r="A355" i="1"/>
  <c r="C384" i="1"/>
  <c r="A421" i="1"/>
  <c r="B459" i="1"/>
  <c r="B475" i="1"/>
  <c r="B499" i="1"/>
  <c r="C499" i="1"/>
  <c r="C572" i="1"/>
  <c r="G598" i="1"/>
  <c r="F598" i="1"/>
  <c r="A658" i="1"/>
  <c r="B658" i="1"/>
  <c r="G658" i="1"/>
  <c r="F658" i="1"/>
  <c r="G676" i="1"/>
  <c r="A676" i="1"/>
  <c r="E727" i="1"/>
  <c r="D727" i="1"/>
  <c r="G784" i="1"/>
  <c r="A784" i="1"/>
  <c r="E814" i="1"/>
  <c r="C814" i="1"/>
  <c r="B814" i="1"/>
  <c r="B854" i="1"/>
  <c r="A863" i="1"/>
  <c r="D863" i="1"/>
  <c r="B947" i="1"/>
  <c r="F947" i="1"/>
  <c r="C947" i="1"/>
  <c r="A947" i="1"/>
  <c r="E1021" i="1"/>
  <c r="B1021" i="1"/>
  <c r="A1021" i="1"/>
  <c r="F1021" i="1"/>
  <c r="D1021" i="1"/>
  <c r="G1080" i="1"/>
  <c r="B1080" i="1"/>
  <c r="G1198" i="1"/>
  <c r="F1198" i="1"/>
  <c r="A1198" i="1"/>
  <c r="E1198" i="1"/>
  <c r="D1198" i="1"/>
  <c r="B115" i="1"/>
  <c r="C129" i="1"/>
  <c r="B193" i="1"/>
  <c r="D207" i="1"/>
  <c r="C246" i="1"/>
  <c r="D324" i="1"/>
  <c r="B355" i="1"/>
  <c r="B392" i="1"/>
  <c r="A401" i="1"/>
  <c r="B421" i="1"/>
  <c r="A428" i="1"/>
  <c r="E428" i="1"/>
  <c r="C459" i="1"/>
  <c r="C475" i="1"/>
  <c r="A500" i="1"/>
  <c r="C535" i="1"/>
  <c r="B542" i="1"/>
  <c r="B554" i="1"/>
  <c r="D563" i="1"/>
  <c r="E572" i="1"/>
  <c r="D581" i="1"/>
  <c r="B599" i="1"/>
  <c r="B623" i="1"/>
  <c r="G677" i="1"/>
  <c r="F677" i="1"/>
  <c r="C677" i="1"/>
  <c r="B677" i="1"/>
  <c r="E757" i="1"/>
  <c r="B757" i="1"/>
  <c r="F757" i="1"/>
  <c r="D757" i="1"/>
  <c r="C834" i="1"/>
  <c r="A834" i="1"/>
  <c r="F834" i="1"/>
  <c r="E834" i="1"/>
  <c r="C854" i="1"/>
  <c r="D864" i="1"/>
  <c r="B864" i="1"/>
  <c r="F924" i="1"/>
  <c r="E924" i="1"/>
  <c r="C967" i="1"/>
  <c r="A967" i="1"/>
  <c r="G967" i="1"/>
  <c r="F967" i="1"/>
  <c r="B967" i="1"/>
  <c r="G1034" i="1"/>
  <c r="E1034" i="1"/>
  <c r="A1091" i="1"/>
  <c r="F1091" i="1"/>
  <c r="C1091" i="1"/>
  <c r="D1091" i="1"/>
  <c r="B1091" i="1"/>
  <c r="E1091" i="1"/>
  <c r="B583" i="1"/>
  <c r="F583" i="1"/>
  <c r="C667" i="1"/>
  <c r="D723" i="1"/>
  <c r="E729" i="1"/>
  <c r="C729" i="1"/>
  <c r="D839" i="1"/>
  <c r="D872" i="1"/>
  <c r="G1044" i="1"/>
  <c r="D1044" i="1"/>
  <c r="C1044" i="1"/>
  <c r="G1054" i="1"/>
  <c r="B1054" i="1"/>
  <c r="A1054" i="1"/>
  <c r="F1146" i="1"/>
  <c r="E1146" i="1"/>
  <c r="A1146" i="1"/>
  <c r="G1146" i="1"/>
  <c r="D1146" i="1"/>
  <c r="B1213" i="1"/>
  <c r="F1213" i="1"/>
  <c r="E1213" i="1"/>
  <c r="A1213" i="1"/>
  <c r="B1246" i="1"/>
  <c r="F1246" i="1"/>
  <c r="A1246" i="1"/>
  <c r="G1246" i="1"/>
  <c r="D1246" i="1"/>
  <c r="G1426" i="1"/>
  <c r="C1426" i="1"/>
  <c r="D1426" i="1"/>
  <c r="F1887" i="1"/>
  <c r="B1887" i="1"/>
  <c r="A1887" i="1"/>
  <c r="G1887" i="1"/>
  <c r="D1887" i="1"/>
  <c r="C1887" i="1"/>
  <c r="E1887" i="1"/>
  <c r="A746" i="1"/>
  <c r="B855" i="1"/>
  <c r="C855" i="1"/>
  <c r="B917" i="1"/>
  <c r="A971" i="1"/>
  <c r="B989" i="1"/>
  <c r="B1076" i="1"/>
  <c r="B1329" i="1"/>
  <c r="A1329" i="1"/>
  <c r="F1329" i="1"/>
  <c r="E1329" i="1"/>
  <c r="D1329" i="1"/>
  <c r="C1329" i="1"/>
  <c r="A1344" i="1"/>
  <c r="B1344" i="1"/>
  <c r="G1344" i="1"/>
  <c r="C1344" i="1"/>
  <c r="E1344" i="1"/>
  <c r="D1344" i="1"/>
  <c r="G1356" i="1"/>
  <c r="E1356" i="1"/>
  <c r="E1368" i="1"/>
  <c r="D1368" i="1"/>
  <c r="A1368" i="1"/>
  <c r="B1368" i="1"/>
  <c r="E1946" i="1"/>
  <c r="B1946" i="1"/>
  <c r="A707" i="1"/>
  <c r="B746" i="1"/>
  <c r="D756" i="1"/>
  <c r="A840" i="1"/>
  <c r="A891" i="1"/>
  <c r="E891" i="1"/>
  <c r="D917" i="1"/>
  <c r="G978" i="1"/>
  <c r="E978" i="1"/>
  <c r="C1148" i="1"/>
  <c r="D1158" i="1"/>
  <c r="G1158" i="1"/>
  <c r="E1158" i="1"/>
  <c r="A1158" i="1"/>
  <c r="C1158" i="1"/>
  <c r="B1158" i="1"/>
  <c r="F1182" i="1"/>
  <c r="D1182" i="1"/>
  <c r="A1182" i="1"/>
  <c r="F1248" i="1"/>
  <c r="A1248" i="1"/>
  <c r="D1248" i="1"/>
  <c r="C1288" i="1"/>
  <c r="B1288" i="1"/>
  <c r="D1288" i="1"/>
  <c r="E1288" i="1"/>
  <c r="A1288" i="1"/>
  <c r="A1300" i="1"/>
  <c r="B1300" i="1"/>
  <c r="D1300" i="1"/>
  <c r="A1479" i="1"/>
  <c r="C1479" i="1"/>
  <c r="F1479" i="1"/>
  <c r="B1479" i="1"/>
  <c r="D1972" i="1"/>
  <c r="G1972" i="1"/>
  <c r="F1972" i="1"/>
  <c r="E1972" i="1"/>
  <c r="C1972" i="1"/>
  <c r="B1972" i="1"/>
  <c r="E936" i="1"/>
  <c r="F936" i="1"/>
  <c r="D936" i="1"/>
  <c r="C936" i="1"/>
  <c r="C971" i="1"/>
  <c r="D971" i="1"/>
  <c r="E989" i="1"/>
  <c r="C989" i="1"/>
  <c r="D1076" i="1"/>
  <c r="F1076" i="1"/>
  <c r="E1331" i="1"/>
  <c r="F1331" i="1"/>
  <c r="C1371" i="1"/>
  <c r="A1371" i="1"/>
  <c r="G1429" i="1"/>
  <c r="C1429" i="1"/>
  <c r="B1429" i="1"/>
  <c r="A1452" i="1"/>
  <c r="E1452" i="1"/>
  <c r="F1452" i="1"/>
  <c r="B1452" i="1"/>
  <c r="D1452" i="1"/>
  <c r="D1467" i="1"/>
  <c r="G1467" i="1"/>
  <c r="F1467" i="1"/>
  <c r="A1467" i="1"/>
  <c r="C1467" i="1"/>
  <c r="B1467" i="1"/>
  <c r="E1467" i="1"/>
  <c r="D1519" i="1"/>
  <c r="E1519" i="1"/>
  <c r="G1519" i="1"/>
  <c r="F1519" i="1"/>
  <c r="A1519" i="1"/>
  <c r="D1642" i="1"/>
  <c r="F1642" i="1"/>
  <c r="B1642" i="1"/>
  <c r="A1642" i="1"/>
  <c r="G1642" i="1"/>
  <c r="E1642" i="1"/>
  <c r="F1678" i="1"/>
  <c r="B1678" i="1"/>
  <c r="G1678" i="1"/>
  <c r="E1678" i="1"/>
  <c r="A1678" i="1"/>
  <c r="C1678" i="1"/>
  <c r="B629" i="1"/>
  <c r="F629" i="1"/>
  <c r="G691" i="1"/>
  <c r="F691" i="1"/>
  <c r="A741" i="1"/>
  <c r="G908" i="1"/>
  <c r="B908" i="1"/>
  <c r="E1037" i="1"/>
  <c r="C1037" i="1"/>
  <c r="B1037" i="1"/>
  <c r="D1058" i="1"/>
  <c r="G1058" i="1"/>
  <c r="F1058" i="1"/>
  <c r="D1086" i="1"/>
  <c r="E1086" i="1"/>
  <c r="F1086" i="1"/>
  <c r="C1086" i="1"/>
  <c r="G1481" i="1"/>
  <c r="E1481" i="1"/>
  <c r="G1566" i="1"/>
  <c r="F1566" i="1"/>
  <c r="B1566" i="1"/>
  <c r="D1566" i="1"/>
  <c r="E1566" i="1"/>
  <c r="C1566" i="1"/>
  <c r="D1595" i="1"/>
  <c r="G1595" i="1"/>
  <c r="C1595" i="1"/>
  <c r="B1595" i="1"/>
  <c r="F1595" i="1"/>
  <c r="A1595" i="1"/>
  <c r="B1726" i="1"/>
  <c r="A1726" i="1"/>
  <c r="F1726" i="1"/>
  <c r="E1726" i="1"/>
  <c r="D1726" i="1"/>
  <c r="G1726" i="1"/>
  <c r="C1726" i="1"/>
  <c r="D684" i="1"/>
  <c r="G684" i="1"/>
  <c r="B819" i="1"/>
  <c r="C824" i="1"/>
  <c r="E885" i="1"/>
  <c r="B885" i="1"/>
  <c r="A895" i="1"/>
  <c r="E901" i="1"/>
  <c r="A901" i="1"/>
  <c r="A949" i="1"/>
  <c r="B957" i="1"/>
  <c r="C1039" i="1"/>
  <c r="A1039" i="1"/>
  <c r="F1039" i="1"/>
  <c r="E1039" i="1"/>
  <c r="G1138" i="1"/>
  <c r="F1138" i="1"/>
  <c r="C1138" i="1"/>
  <c r="B1138" i="1"/>
  <c r="A1138" i="1"/>
  <c r="D1619" i="1"/>
  <c r="E1619" i="1"/>
  <c r="F1619" i="1"/>
  <c r="A1619" i="1"/>
  <c r="G731" i="1"/>
  <c r="B731" i="1"/>
  <c r="E824" i="1"/>
  <c r="C895" i="1"/>
  <c r="B921" i="1"/>
  <c r="B949" i="1"/>
  <c r="A992" i="1"/>
  <c r="D999" i="1"/>
  <c r="G999" i="1"/>
  <c r="G1280" i="1"/>
  <c r="C1280" i="1"/>
  <c r="D1409" i="1"/>
  <c r="G1409" i="1"/>
  <c r="F1409" i="1"/>
  <c r="A1507" i="1"/>
  <c r="G1507" i="1"/>
  <c r="A787" i="1"/>
  <c r="B787" i="1"/>
  <c r="G819" i="1"/>
  <c r="E819" i="1"/>
  <c r="G895" i="1"/>
  <c r="F921" i="1"/>
  <c r="F940" i="1"/>
  <c r="E957" i="1"/>
  <c r="C957" i="1"/>
  <c r="A1060" i="1"/>
  <c r="F1089" i="1"/>
  <c r="B1237" i="1"/>
  <c r="F1237" i="1"/>
  <c r="F1282" i="1"/>
  <c r="D1282" i="1"/>
  <c r="D1657" i="1"/>
  <c r="E1657" i="1"/>
  <c r="A1657" i="1"/>
  <c r="G1657" i="1"/>
  <c r="F1657" i="1"/>
  <c r="C1657" i="1"/>
  <c r="G1668" i="1"/>
  <c r="F1668" i="1"/>
  <c r="C1668" i="1"/>
  <c r="B1668" i="1"/>
  <c r="F1800" i="1"/>
  <c r="D1800" i="1"/>
  <c r="C1800" i="1"/>
  <c r="A983" i="1"/>
  <c r="C983" i="1"/>
  <c r="B983" i="1"/>
  <c r="G992" i="1"/>
  <c r="D992" i="1"/>
  <c r="C992" i="1"/>
  <c r="A1163" i="1"/>
  <c r="F1163" i="1"/>
  <c r="G1163" i="1"/>
  <c r="C1163" i="1"/>
  <c r="D1174" i="1"/>
  <c r="G1174" i="1"/>
  <c r="B1174" i="1"/>
  <c r="F1174" i="1"/>
  <c r="E1174" i="1"/>
  <c r="G1186" i="1"/>
  <c r="C1186" i="1"/>
  <c r="B1186" i="1"/>
  <c r="D1186" i="1"/>
  <c r="A1197" i="1"/>
  <c r="E1197" i="1"/>
  <c r="B1197" i="1"/>
  <c r="F1197" i="1"/>
  <c r="D1335" i="1"/>
  <c r="G1335" i="1"/>
  <c r="F1335" i="1"/>
  <c r="B1335" i="1"/>
  <c r="A1335" i="1"/>
  <c r="C1335" i="1"/>
  <c r="E1634" i="1"/>
  <c r="A1634" i="1"/>
  <c r="C1634" i="1"/>
  <c r="G1634" i="1"/>
  <c r="D1634" i="1"/>
  <c r="C1764" i="1"/>
  <c r="D1764" i="1"/>
  <c r="B1764" i="1"/>
  <c r="G1764" i="1"/>
  <c r="D835" i="1"/>
  <c r="C835" i="1"/>
  <c r="G859" i="1"/>
  <c r="D859" i="1"/>
  <c r="G912" i="1"/>
  <c r="G1060" i="1"/>
  <c r="E1060" i="1"/>
  <c r="D1060" i="1"/>
  <c r="D1110" i="1"/>
  <c r="F1110" i="1"/>
  <c r="E1110" i="1"/>
  <c r="B1164" i="1"/>
  <c r="G1164" i="1"/>
  <c r="F1164" i="1"/>
  <c r="E1230" i="1"/>
  <c r="B1230" i="1"/>
  <c r="D1230" i="1"/>
  <c r="E1294" i="1"/>
  <c r="D1294" i="1"/>
  <c r="E1577" i="1"/>
  <c r="A1577" i="1"/>
  <c r="D1577" i="1"/>
  <c r="F1577" i="1"/>
  <c r="F1636" i="1"/>
  <c r="B1636" i="1"/>
  <c r="E1966" i="1"/>
  <c r="B1966" i="1"/>
  <c r="A1966" i="1"/>
  <c r="F1966" i="1"/>
  <c r="G1966" i="1"/>
  <c r="D1966" i="1"/>
  <c r="D769" i="1"/>
  <c r="A769" i="1"/>
  <c r="F1019" i="1"/>
  <c r="A1019" i="1"/>
  <c r="G1061" i="1"/>
  <c r="C1061" i="1"/>
  <c r="B1061" i="1"/>
  <c r="C1081" i="1"/>
  <c r="D1081" i="1"/>
  <c r="B1081" i="1"/>
  <c r="D1218" i="1"/>
  <c r="A1218" i="1"/>
  <c r="G1218" i="1"/>
  <c r="C1295" i="1"/>
  <c r="B1295" i="1"/>
  <c r="G1351" i="1"/>
  <c r="C1351" i="1"/>
  <c r="B649" i="1"/>
  <c r="F649" i="1"/>
  <c r="D728" i="1"/>
  <c r="D828" i="1"/>
  <c r="E853" i="1"/>
  <c r="C853" i="1"/>
  <c r="F853" i="1"/>
  <c r="G887" i="1"/>
  <c r="C1011" i="1"/>
  <c r="E1011" i="1"/>
  <c r="D1011" i="1"/>
  <c r="A1092" i="1"/>
  <c r="C1129" i="1"/>
  <c r="F1129" i="1"/>
  <c r="D1129" i="1"/>
  <c r="B1129" i="1"/>
  <c r="A1155" i="1"/>
  <c r="E1155" i="1"/>
  <c r="F1155" i="1"/>
  <c r="D1155" i="1"/>
  <c r="B1177" i="1"/>
  <c r="C1177" i="1"/>
  <c r="F1177" i="1"/>
  <c r="E1177" i="1"/>
  <c r="D1323" i="1"/>
  <c r="E1323" i="1"/>
  <c r="C1323" i="1"/>
  <c r="F1323" i="1"/>
  <c r="A1323" i="1"/>
  <c r="E1708" i="1"/>
  <c r="G1708" i="1"/>
  <c r="D1708" i="1"/>
  <c r="C1708" i="1"/>
  <c r="G1860" i="1"/>
  <c r="F1860" i="1"/>
  <c r="B1860" i="1"/>
  <c r="D1860" i="1"/>
  <c r="C1860" i="1"/>
  <c r="A1860" i="1"/>
  <c r="E711" i="1"/>
  <c r="G711" i="1"/>
  <c r="D861" i="1"/>
  <c r="D914" i="1"/>
  <c r="B914" i="1"/>
  <c r="A914" i="1"/>
  <c r="C952" i="1"/>
  <c r="E952" i="1"/>
  <c r="E960" i="1"/>
  <c r="F960" i="1"/>
  <c r="A960" i="1"/>
  <c r="C986" i="1"/>
  <c r="G1031" i="1"/>
  <c r="F1031" i="1"/>
  <c r="D1102" i="1"/>
  <c r="F1102" i="1"/>
  <c r="E1102" i="1"/>
  <c r="D1438" i="1"/>
  <c r="G1438" i="1"/>
  <c r="C1438" i="1"/>
  <c r="B1438" i="1"/>
  <c r="F1438" i="1"/>
  <c r="E1438" i="1"/>
  <c r="C1905" i="1"/>
  <c r="G1905" i="1"/>
  <c r="B1905" i="1"/>
  <c r="F1905" i="1"/>
  <c r="E1905" i="1"/>
  <c r="D1905" i="1"/>
  <c r="A1905" i="1"/>
  <c r="E806" i="1"/>
  <c r="F806" i="1"/>
  <c r="G1012" i="1"/>
  <c r="F1012" i="1"/>
  <c r="E1012" i="1"/>
  <c r="B1064" i="1"/>
  <c r="C1064" i="1"/>
  <c r="G1064" i="1"/>
  <c r="A1083" i="1"/>
  <c r="D1083" i="1"/>
  <c r="C1083" i="1"/>
  <c r="A1233" i="1"/>
  <c r="F1233" i="1"/>
  <c r="E1233" i="1"/>
  <c r="E1243" i="1"/>
  <c r="C1243" i="1"/>
  <c r="B1243" i="1"/>
  <c r="E1514" i="1"/>
  <c r="D1514" i="1"/>
  <c r="B395" i="1"/>
  <c r="B437" i="1"/>
  <c r="E953" i="1"/>
  <c r="B953" i="1"/>
  <c r="G953" i="1"/>
  <c r="F953" i="1"/>
  <c r="C1033" i="1"/>
  <c r="D1033" i="1"/>
  <c r="A1044" i="1"/>
  <c r="C1054" i="1"/>
  <c r="D1168" i="1"/>
  <c r="F1168" i="1"/>
  <c r="G1168" i="1"/>
  <c r="B1168" i="1"/>
  <c r="A1168" i="1"/>
  <c r="F1258" i="1"/>
  <c r="C1258" i="1"/>
  <c r="E1258" i="1"/>
  <c r="D1258" i="1"/>
  <c r="B1258" i="1"/>
  <c r="E1527" i="1"/>
  <c r="B1527" i="1"/>
  <c r="F1527" i="1"/>
  <c r="D1548" i="1"/>
  <c r="G1548" i="1"/>
  <c r="C1548" i="1"/>
  <c r="D1661" i="1"/>
  <c r="G1661" i="1"/>
  <c r="A1921" i="1"/>
  <c r="G1921" i="1"/>
  <c r="D1921" i="1"/>
  <c r="G1932" i="1"/>
  <c r="D1932" i="1"/>
  <c r="A1932" i="1"/>
  <c r="E1932" i="1"/>
  <c r="G1099" i="1"/>
  <c r="D1099" i="1"/>
  <c r="D1179" i="1"/>
  <c r="G1179" i="1"/>
  <c r="B1179" i="1"/>
  <c r="D1226" i="1"/>
  <c r="B1226" i="1"/>
  <c r="G1259" i="1"/>
  <c r="E1259" i="1"/>
  <c r="C1259" i="1"/>
  <c r="C1305" i="1"/>
  <c r="E1305" i="1"/>
  <c r="G1477" i="1"/>
  <c r="E1477" i="1"/>
  <c r="B1477" i="1"/>
  <c r="C1477" i="1"/>
  <c r="C1653" i="1"/>
  <c r="F1653" i="1"/>
  <c r="G1653" i="1"/>
  <c r="B1653" i="1"/>
  <c r="G1720" i="1"/>
  <c r="C1720" i="1"/>
  <c r="A1720" i="1"/>
  <c r="D1766" i="1"/>
  <c r="C1766" i="1"/>
  <c r="A1945" i="1"/>
  <c r="F1945" i="1"/>
  <c r="E1945" i="1"/>
  <c r="G1227" i="1"/>
  <c r="B1227" i="1"/>
  <c r="D1236" i="1"/>
  <c r="F1236" i="1"/>
  <c r="A1236" i="1"/>
  <c r="G1236" i="1"/>
  <c r="B1236" i="1"/>
  <c r="C1355" i="1"/>
  <c r="F1355" i="1"/>
  <c r="C1745" i="1"/>
  <c r="G1745" i="1"/>
  <c r="F1745" i="1"/>
  <c r="A1745" i="1"/>
  <c r="E1745" i="1"/>
  <c r="B1745" i="1"/>
  <c r="G1857" i="1"/>
  <c r="A1857" i="1"/>
  <c r="E1992" i="1"/>
  <c r="D1992" i="1"/>
  <c r="G1992" i="1"/>
  <c r="F1992" i="1"/>
  <c r="B1992" i="1"/>
  <c r="C867" i="1"/>
  <c r="D867" i="1"/>
  <c r="C994" i="1"/>
  <c r="B1026" i="1"/>
  <c r="G1035" i="1"/>
  <c r="G1043" i="1"/>
  <c r="G1077" i="1"/>
  <c r="G1093" i="1"/>
  <c r="C1093" i="1"/>
  <c r="F1136" i="1"/>
  <c r="E1192" i="1"/>
  <c r="D1192" i="1"/>
  <c r="C1192" i="1"/>
  <c r="G1202" i="1"/>
  <c r="D1202" i="1"/>
  <c r="F1202" i="1"/>
  <c r="A1238" i="1"/>
  <c r="B1297" i="1"/>
  <c r="F1434" i="1"/>
  <c r="D1434" i="1"/>
  <c r="A1434" i="1"/>
  <c r="E1677" i="1"/>
  <c r="D1677" i="1"/>
  <c r="D1759" i="1"/>
  <c r="B1802" i="1"/>
  <c r="G1802" i="1"/>
  <c r="G1126" i="1"/>
  <c r="D1126" i="1"/>
  <c r="G1173" i="1"/>
  <c r="F1173" i="1"/>
  <c r="E1173" i="1"/>
  <c r="B1173" i="1"/>
  <c r="G1229" i="1"/>
  <c r="C1229" i="1"/>
  <c r="G1276" i="1"/>
  <c r="E1276" i="1"/>
  <c r="D1276" i="1"/>
  <c r="C1276" i="1"/>
  <c r="B1379" i="1"/>
  <c r="A1379" i="1"/>
  <c r="D1578" i="1"/>
  <c r="G1578" i="1"/>
  <c r="F1578" i="1"/>
  <c r="A1578" i="1"/>
  <c r="B1578" i="1"/>
  <c r="A1747" i="1"/>
  <c r="G1747" i="1"/>
  <c r="C1747" i="1"/>
  <c r="F1747" i="1"/>
  <c r="E1747" i="1"/>
  <c r="C1768" i="1"/>
  <c r="G1768" i="1"/>
  <c r="A1768" i="1"/>
  <c r="B1768" i="1"/>
  <c r="B1793" i="1"/>
  <c r="D1793" i="1"/>
  <c r="E1803" i="1"/>
  <c r="D1803" i="1"/>
  <c r="G1803" i="1"/>
  <c r="A1803" i="1"/>
  <c r="B1018" i="1"/>
  <c r="D1018" i="1"/>
  <c r="G1026" i="1"/>
  <c r="C1103" i="1"/>
  <c r="C1238" i="1"/>
  <c r="D1238" i="1"/>
  <c r="E1238" i="1"/>
  <c r="A1297" i="1"/>
  <c r="D1297" i="1"/>
  <c r="D1308" i="1"/>
  <c r="F1308" i="1"/>
  <c r="G1308" i="1"/>
  <c r="A1308" i="1"/>
  <c r="D1346" i="1"/>
  <c r="E1346" i="1"/>
  <c r="G1346" i="1"/>
  <c r="A1346" i="1"/>
  <c r="B1369" i="1"/>
  <c r="F1369" i="1"/>
  <c r="G1369" i="1"/>
  <c r="D1369" i="1"/>
  <c r="E1493" i="1"/>
  <c r="D1493" i="1"/>
  <c r="C1493" i="1"/>
  <c r="F1493" i="1"/>
  <c r="G1518" i="1"/>
  <c r="E1518" i="1"/>
  <c r="E1552" i="1"/>
  <c r="G1552" i="1"/>
  <c r="F1552" i="1"/>
  <c r="G1804" i="1"/>
  <c r="F1804" i="1"/>
  <c r="B1804" i="1"/>
  <c r="D1804" i="1"/>
  <c r="C1804" i="1"/>
  <c r="E988" i="1"/>
  <c r="D988" i="1"/>
  <c r="A1078" i="1"/>
  <c r="G1078" i="1"/>
  <c r="B1078" i="1"/>
  <c r="E1103" i="1"/>
  <c r="A1127" i="1"/>
  <c r="E1127" i="1"/>
  <c r="B1231" i="1"/>
  <c r="C1231" i="1"/>
  <c r="G1231" i="1"/>
  <c r="G1239" i="1"/>
  <c r="F1239" i="1"/>
  <c r="C1239" i="1"/>
  <c r="C1347" i="1"/>
  <c r="B1347" i="1"/>
  <c r="G1381" i="1"/>
  <c r="D1381" i="1"/>
  <c r="C1381" i="1"/>
  <c r="D1436" i="1"/>
  <c r="G1436" i="1"/>
  <c r="A1436" i="1"/>
  <c r="C1445" i="1"/>
  <c r="B1445" i="1"/>
  <c r="D1445" i="1"/>
  <c r="A1445" i="1"/>
  <c r="D1482" i="1"/>
  <c r="C1482" i="1"/>
  <c r="G1599" i="1"/>
  <c r="D1599" i="1"/>
  <c r="F1599" i="1"/>
  <c r="E1599" i="1"/>
  <c r="A1599" i="1"/>
  <c r="F1166" i="1"/>
  <c r="G1166" i="1"/>
  <c r="F1240" i="1"/>
  <c r="A1240" i="1"/>
  <c r="G1240" i="1"/>
  <c r="C1299" i="1"/>
  <c r="A1299" i="1"/>
  <c r="G1446" i="1"/>
  <c r="B1446" i="1"/>
  <c r="D1446" i="1"/>
  <c r="G1457" i="1"/>
  <c r="F1457" i="1"/>
  <c r="B1457" i="1"/>
  <c r="D1457" i="1"/>
  <c r="A1505" i="1"/>
  <c r="F1505" i="1"/>
  <c r="B1505" i="1"/>
  <c r="E1505" i="1"/>
  <c r="D1581" i="1"/>
  <c r="F1581" i="1"/>
  <c r="E1581" i="1"/>
  <c r="F1622" i="1"/>
  <c r="E1622" i="1"/>
  <c r="A1666" i="1"/>
  <c r="E1666" i="1"/>
  <c r="D1666" i="1"/>
  <c r="G1666" i="1"/>
  <c r="F1666" i="1"/>
  <c r="E1690" i="1"/>
  <c r="G1690" i="1"/>
  <c r="F1690" i="1"/>
  <c r="A1690" i="1"/>
  <c r="D1690" i="1"/>
  <c r="A1214" i="1"/>
  <c r="G1214" i="1"/>
  <c r="C1214" i="1"/>
  <c r="E1214" i="1"/>
  <c r="B1214" i="1"/>
  <c r="A1232" i="1"/>
  <c r="E1232" i="1"/>
  <c r="E1310" i="1"/>
  <c r="A1310" i="1"/>
  <c r="G1310" i="1"/>
  <c r="C1310" i="1"/>
  <c r="E1359" i="1"/>
  <c r="A1359" i="1"/>
  <c r="F1414" i="1"/>
  <c r="G1414" i="1"/>
  <c r="E1414" i="1"/>
  <c r="F1447" i="1"/>
  <c r="E1447" i="1"/>
  <c r="C1447" i="1"/>
  <c r="D1520" i="1"/>
  <c r="B1520" i="1"/>
  <c r="A1520" i="1"/>
  <c r="G1520" i="1"/>
  <c r="F1520" i="1"/>
  <c r="E1520" i="1"/>
  <c r="C1818" i="1"/>
  <c r="G1818" i="1"/>
  <c r="F1818" i="1"/>
  <c r="D1818" i="1"/>
  <c r="E945" i="1"/>
  <c r="G945" i="1"/>
  <c r="G959" i="1"/>
  <c r="B959" i="1"/>
  <c r="E966" i="1"/>
  <c r="F966" i="1"/>
  <c r="E1073" i="1"/>
  <c r="D1073" i="1"/>
  <c r="F1088" i="1"/>
  <c r="G1141" i="1"/>
  <c r="D1254" i="1"/>
  <c r="F1254" i="1"/>
  <c r="E1254" i="1"/>
  <c r="D1269" i="1"/>
  <c r="E1269" i="1"/>
  <c r="F1269" i="1"/>
  <c r="A1269" i="1"/>
  <c r="G1269" i="1"/>
  <c r="B1372" i="1"/>
  <c r="G1372" i="1"/>
  <c r="D1372" i="1"/>
  <c r="D1415" i="1"/>
  <c r="E1415" i="1"/>
  <c r="C1415" i="1"/>
  <c r="B1415" i="1"/>
  <c r="A1521" i="1"/>
  <c r="F1521" i="1"/>
  <c r="G1521" i="1"/>
  <c r="E1647" i="1"/>
  <c r="D1647" i="1"/>
  <c r="E1896" i="1"/>
  <c r="F1896" i="1"/>
  <c r="D1896" i="1"/>
  <c r="B1896" i="1"/>
  <c r="A1896" i="1"/>
  <c r="G1977" i="1"/>
  <c r="B1977" i="1"/>
  <c r="E1104" i="1"/>
  <c r="G1104" i="1"/>
  <c r="C1104" i="1"/>
  <c r="G1224" i="1"/>
  <c r="C1224" i="1"/>
  <c r="F1224" i="1"/>
  <c r="D1583" i="1"/>
  <c r="F1583" i="1"/>
  <c r="B1583" i="1"/>
  <c r="A1583" i="1"/>
  <c r="G1682" i="1"/>
  <c r="F1682" i="1"/>
  <c r="C1682" i="1"/>
  <c r="D1682" i="1"/>
  <c r="D1738" i="1"/>
  <c r="F1738" i="1"/>
  <c r="B1738" i="1"/>
  <c r="G1738" i="1"/>
  <c r="C1808" i="1"/>
  <c r="D1808" i="1"/>
  <c r="A1808" i="1"/>
  <c r="E1808" i="1"/>
  <c r="D1906" i="1"/>
  <c r="F1906" i="1"/>
  <c r="C1906" i="1"/>
  <c r="E1906" i="1"/>
  <c r="B1906" i="1"/>
  <c r="C1929" i="1"/>
  <c r="E1929" i="1"/>
  <c r="F1929" i="1"/>
  <c r="B1929" i="1"/>
  <c r="A1929" i="1"/>
  <c r="A1953" i="1"/>
  <c r="B1953" i="1"/>
  <c r="G1953" i="1"/>
  <c r="F1327" i="1"/>
  <c r="B1327" i="1"/>
  <c r="D1716" i="1"/>
  <c r="F1716" i="1"/>
  <c r="E1716" i="1"/>
  <c r="G1716" i="1"/>
  <c r="C1716" i="1"/>
  <c r="D1739" i="1"/>
  <c r="G1739" i="1"/>
  <c r="B1739" i="1"/>
  <c r="E1739" i="1"/>
  <c r="C1739" i="1"/>
  <c r="F1786" i="1"/>
  <c r="G1786" i="1"/>
  <c r="C1786" i="1"/>
  <c r="B1786" i="1"/>
  <c r="E1786" i="1"/>
  <c r="D1786" i="1"/>
  <c r="B1188" i="1"/>
  <c r="G1188" i="1"/>
  <c r="G1509" i="1"/>
  <c r="F1509" i="1"/>
  <c r="D1509" i="1"/>
  <c r="B1152" i="1"/>
  <c r="E1152" i="1"/>
  <c r="E1178" i="1"/>
  <c r="A1178" i="1"/>
  <c r="A1226" i="1"/>
  <c r="B1284" i="1"/>
  <c r="G1284" i="1"/>
  <c r="E1340" i="1"/>
  <c r="F1340" i="1"/>
  <c r="A1340" i="1"/>
  <c r="D1375" i="1"/>
  <c r="G1375" i="1"/>
  <c r="A1375" i="1"/>
  <c r="B1375" i="1"/>
  <c r="D1419" i="1"/>
  <c r="F1419" i="1"/>
  <c r="E1419" i="1"/>
  <c r="A1419" i="1"/>
  <c r="G1419" i="1"/>
  <c r="C1419" i="1"/>
  <c r="F1428" i="1"/>
  <c r="B1428" i="1"/>
  <c r="E1428" i="1"/>
  <c r="A1428" i="1"/>
  <c r="G1462" i="1"/>
  <c r="F1462" i="1"/>
  <c r="D1462" i="1"/>
  <c r="B1462" i="1"/>
  <c r="D1475" i="1"/>
  <c r="G1475" i="1"/>
  <c r="F1475" i="1"/>
  <c r="E1475" i="1"/>
  <c r="C1475" i="1"/>
  <c r="G1500" i="1"/>
  <c r="F1500" i="1"/>
  <c r="C1500" i="1"/>
  <c r="E1500" i="1"/>
  <c r="D1500" i="1"/>
  <c r="D1511" i="1"/>
  <c r="E1511" i="1"/>
  <c r="F1511" i="1"/>
  <c r="F1536" i="1"/>
  <c r="G1536" i="1"/>
  <c r="B1536" i="1"/>
  <c r="A1536" i="1"/>
  <c r="G1594" i="1"/>
  <c r="F1594" i="1"/>
  <c r="E1594" i="1"/>
  <c r="A1594" i="1"/>
  <c r="C1594" i="1"/>
  <c r="E1603" i="1"/>
  <c r="A1603" i="1"/>
  <c r="F1603" i="1"/>
  <c r="C1614" i="1"/>
  <c r="D1614" i="1"/>
  <c r="G1614" i="1"/>
  <c r="G1730" i="1"/>
  <c r="E1730" i="1"/>
  <c r="B1730" i="1"/>
  <c r="A1730" i="1"/>
  <c r="E1754" i="1"/>
  <c r="D1754" i="1"/>
  <c r="C1956" i="1"/>
  <c r="G1956" i="1"/>
  <c r="F1956" i="1"/>
  <c r="G1106" i="1"/>
  <c r="A1106" i="1"/>
  <c r="A1179" i="1"/>
  <c r="C1208" i="1"/>
  <c r="E1208" i="1"/>
  <c r="C1226" i="1"/>
  <c r="A1376" i="1"/>
  <c r="G1376" i="1"/>
  <c r="C1376" i="1"/>
  <c r="B1376" i="1"/>
  <c r="E1488" i="1"/>
  <c r="G1488" i="1"/>
  <c r="A1488" i="1"/>
  <c r="F1488" i="1"/>
  <c r="G1301" i="1"/>
  <c r="D1301" i="1"/>
  <c r="F1301" i="1"/>
  <c r="F1342" i="1"/>
  <c r="D1342" i="1"/>
  <c r="A1424" i="1"/>
  <c r="E1424" i="1"/>
  <c r="F1638" i="1"/>
  <c r="D1638" i="1"/>
  <c r="C1665" i="1"/>
  <c r="G1665" i="1"/>
  <c r="B1665" i="1"/>
  <c r="C1809" i="1"/>
  <c r="E1809" i="1"/>
  <c r="G1809" i="1"/>
  <c r="B1809" i="1"/>
  <c r="A1809" i="1"/>
  <c r="C1819" i="1"/>
  <c r="G1819" i="1"/>
  <c r="C1907" i="1"/>
  <c r="D1907" i="1"/>
  <c r="F1907" i="1"/>
  <c r="B1907" i="1"/>
  <c r="G1983" i="1"/>
  <c r="C1983" i="1"/>
  <c r="D1983" i="1"/>
  <c r="G1252" i="1"/>
  <c r="C1252" i="1"/>
  <c r="B1417" i="1"/>
  <c r="A1417" i="1"/>
  <c r="G1417" i="1"/>
  <c r="G1442" i="1"/>
  <c r="D1442" i="1"/>
  <c r="E1502" i="1"/>
  <c r="G1502" i="1"/>
  <c r="G1539" i="1"/>
  <c r="G1709" i="1"/>
  <c r="E1709" i="1"/>
  <c r="D1709" i="1"/>
  <c r="C1974" i="1"/>
  <c r="A1974" i="1"/>
  <c r="D1590" i="1"/>
  <c r="E1590" i="1"/>
  <c r="G1920" i="1"/>
  <c r="E1920" i="1"/>
  <c r="D1920" i="1"/>
  <c r="B1993" i="1"/>
  <c r="G1993" i="1"/>
  <c r="E1362" i="1"/>
  <c r="A1362" i="1"/>
  <c r="G1382" i="1"/>
  <c r="D1391" i="1"/>
  <c r="G1391" i="1"/>
  <c r="B1391" i="1"/>
  <c r="D1410" i="1"/>
  <c r="A1495" i="1"/>
  <c r="A1504" i="1"/>
  <c r="B1524" i="1"/>
  <c r="A1533" i="1"/>
  <c r="B1550" i="1"/>
  <c r="A1550" i="1"/>
  <c r="E1629" i="1"/>
  <c r="B1629" i="1"/>
  <c r="F1629" i="1"/>
  <c r="E1658" i="1"/>
  <c r="A1658" i="1"/>
  <c r="A1811" i="1"/>
  <c r="A1822" i="1"/>
  <c r="A1922" i="1"/>
  <c r="F1986" i="1"/>
  <c r="B1986" i="1"/>
  <c r="A1986" i="1"/>
  <c r="E1111" i="1"/>
  <c r="E1119" i="1"/>
  <c r="B1265" i="1"/>
  <c r="D1265" i="1"/>
  <c r="F1453" i="1"/>
  <c r="E1453" i="1"/>
  <c r="B1453" i="1"/>
  <c r="B1504" i="1"/>
  <c r="C1524" i="1"/>
  <c r="B1533" i="1"/>
  <c r="G1540" i="1"/>
  <c r="E1540" i="1"/>
  <c r="A1540" i="1"/>
  <c r="D1591" i="1"/>
  <c r="G1591" i="1"/>
  <c r="F1591" i="1"/>
  <c r="A1591" i="1"/>
  <c r="A1652" i="1"/>
  <c r="G1721" i="1"/>
  <c r="F1721" i="1"/>
  <c r="E1721" i="1"/>
  <c r="E1782" i="1"/>
  <c r="A1782" i="1"/>
  <c r="D1782" i="1"/>
  <c r="C1782" i="1"/>
  <c r="B1875" i="1"/>
  <c r="E1875" i="1"/>
  <c r="D1875" i="1"/>
  <c r="D1495" i="1"/>
  <c r="G1495" i="1"/>
  <c r="B1495" i="1"/>
  <c r="E1652" i="1"/>
  <c r="D1811" i="1"/>
  <c r="F1811" i="1"/>
  <c r="E1811" i="1"/>
  <c r="F1822" i="1"/>
  <c r="E1822" i="1"/>
  <c r="B1822" i="1"/>
  <c r="B1876" i="1"/>
  <c r="E1876" i="1"/>
  <c r="D1876" i="1"/>
  <c r="G1922" i="1"/>
  <c r="C1922" i="1"/>
  <c r="D1922" i="1"/>
  <c r="C1954" i="1"/>
  <c r="G1954" i="1"/>
  <c r="F1954" i="1"/>
  <c r="C1454" i="1"/>
  <c r="G1454" i="1"/>
  <c r="D1454" i="1"/>
  <c r="B1454" i="1"/>
  <c r="E1504" i="1"/>
  <c r="D1504" i="1"/>
  <c r="E1524" i="1"/>
  <c r="A1524" i="1"/>
  <c r="E1533" i="1"/>
  <c r="D1533" i="1"/>
  <c r="D1560" i="1"/>
  <c r="G1560" i="1"/>
  <c r="F1560" i="1"/>
  <c r="A1560" i="1"/>
  <c r="G1585" i="1"/>
  <c r="F1585" i="1"/>
  <c r="E1585" i="1"/>
  <c r="C1592" i="1"/>
  <c r="E1592" i="1"/>
  <c r="G1681" i="1"/>
  <c r="F1681" i="1"/>
  <c r="A1681" i="1"/>
  <c r="C1689" i="1"/>
  <c r="F1689" i="1"/>
  <c r="B1689" i="1"/>
  <c r="E1732" i="1"/>
  <c r="F1732" i="1"/>
  <c r="A1732" i="1"/>
  <c r="A1833" i="1"/>
  <c r="E1849" i="1"/>
  <c r="G1849" i="1"/>
  <c r="F1849" i="1"/>
  <c r="D1863" i="1"/>
  <c r="F1863" i="1"/>
  <c r="A1884" i="1"/>
  <c r="E1884" i="1"/>
  <c r="G1884" i="1"/>
  <c r="F1903" i="1"/>
  <c r="E1903" i="1"/>
  <c r="A1903" i="1"/>
  <c r="A1942" i="1"/>
  <c r="F1942" i="1"/>
  <c r="E1942" i="1"/>
  <c r="B1942" i="1"/>
  <c r="A1955" i="1"/>
  <c r="C1085" i="1"/>
  <c r="D1455" i="1"/>
  <c r="G1455" i="1"/>
  <c r="F1455" i="1"/>
  <c r="E1602" i="1"/>
  <c r="B1602" i="1"/>
  <c r="A1602" i="1"/>
  <c r="E1824" i="1"/>
  <c r="D1824" i="1"/>
  <c r="B1824" i="1"/>
  <c r="G1851" i="1"/>
  <c r="F1933" i="1"/>
  <c r="E1933" i="1"/>
  <c r="F1968" i="1"/>
  <c r="E1968" i="1"/>
  <c r="D1968" i="1"/>
  <c r="E1825" i="1"/>
  <c r="D1825" i="1"/>
  <c r="C1833" i="1"/>
  <c r="G1833" i="1"/>
  <c r="B1833" i="1"/>
  <c r="C1878" i="1"/>
  <c r="D1912" i="1"/>
  <c r="A1912" i="1"/>
  <c r="B1955" i="1"/>
  <c r="G1955" i="1"/>
  <c r="C1955" i="1"/>
  <c r="C1004" i="1"/>
  <c r="C1025" i="1"/>
  <c r="B1113" i="1"/>
  <c r="B1128" i="1"/>
  <c r="D1183" i="1"/>
  <c r="A1183" i="1"/>
  <c r="B1448" i="1"/>
  <c r="F1448" i="1"/>
  <c r="E1448" i="1"/>
  <c r="E1553" i="1"/>
  <c r="A1553" i="1"/>
  <c r="G1612" i="1"/>
  <c r="D1612" i="1"/>
  <c r="A1714" i="1"/>
  <c r="B1714" i="1"/>
  <c r="F1714" i="1"/>
  <c r="C1714" i="1"/>
  <c r="F1763" i="1"/>
  <c r="D1763" i="1"/>
  <c r="C1755" i="1"/>
  <c r="F1755" i="1"/>
  <c r="D1866" i="1"/>
  <c r="G1866" i="1"/>
  <c r="A1878" i="1"/>
  <c r="F1878" i="1"/>
  <c r="B1878" i="1"/>
  <c r="B1979" i="1"/>
  <c r="C1979" i="1"/>
  <c r="C1162" i="1"/>
  <c r="A1162" i="1"/>
  <c r="B1170" i="1"/>
  <c r="F1209" i="1"/>
  <c r="D1209" i="1"/>
  <c r="D1250" i="1"/>
  <c r="F1281" i="1"/>
  <c r="C1281" i="1"/>
  <c r="D1339" i="1"/>
  <c r="G1339" i="1"/>
  <c r="B1339" i="1"/>
  <c r="B1378" i="1"/>
  <c r="B1387" i="1"/>
  <c r="B1406" i="1"/>
  <c r="D1489" i="1"/>
  <c r="G1489" i="1"/>
  <c r="F1489" i="1"/>
  <c r="A1579" i="1"/>
  <c r="B1613" i="1"/>
  <c r="E1613" i="1"/>
  <c r="C1613" i="1"/>
  <c r="A1693" i="1"/>
  <c r="F1693" i="1"/>
  <c r="G1746" i="1"/>
  <c r="D1756" i="1"/>
  <c r="E1756" i="1"/>
  <c r="G1765" i="1"/>
  <c r="C1787" i="1"/>
  <c r="B1835" i="1"/>
  <c r="A1835" i="1"/>
  <c r="F1835" i="1"/>
  <c r="B1897" i="1"/>
  <c r="E1897" i="1"/>
  <c r="D1897" i="1"/>
  <c r="A1201" i="1"/>
  <c r="F1201" i="1"/>
  <c r="A1555" i="1"/>
  <c r="G1555" i="1"/>
  <c r="A1564" i="1"/>
  <c r="F1564" i="1"/>
  <c r="E1564" i="1"/>
  <c r="B1564" i="1"/>
  <c r="A1646" i="1"/>
  <c r="A1378" i="1"/>
  <c r="F1378" i="1"/>
  <c r="G1406" i="1"/>
  <c r="E1406" i="1"/>
  <c r="A1406" i="1"/>
  <c r="E1433" i="1"/>
  <c r="D1433" i="1"/>
  <c r="B1545" i="1"/>
  <c r="A1545" i="1"/>
  <c r="E1615" i="1"/>
  <c r="D1615" i="1"/>
  <c r="A1664" i="1"/>
  <c r="E1664" i="1"/>
  <c r="B1664" i="1"/>
  <c r="G1695" i="1"/>
  <c r="F1695" i="1"/>
  <c r="E1695" i="1"/>
  <c r="B1695" i="1"/>
  <c r="A1695" i="1"/>
  <c r="G1210" i="1"/>
  <c r="B1210" i="1"/>
  <c r="A1318" i="1"/>
  <c r="F1318" i="1"/>
  <c r="E1318" i="1"/>
  <c r="A1360" i="1"/>
  <c r="B1360" i="1"/>
  <c r="C1388" i="1"/>
  <c r="B1388" i="1"/>
  <c r="E1388" i="1"/>
  <c r="D1388" i="1"/>
  <c r="C1424" i="1"/>
  <c r="G1480" i="1"/>
  <c r="C1480" i="1"/>
  <c r="C1580" i="1"/>
  <c r="G1580" i="1"/>
  <c r="F1580" i="1"/>
  <c r="A1580" i="1"/>
  <c r="A1665" i="1"/>
  <c r="E1675" i="1"/>
  <c r="D1675" i="1"/>
  <c r="B1758" i="1"/>
  <c r="G1758" i="1"/>
  <c r="B1789" i="1"/>
  <c r="E1789" i="1"/>
  <c r="D1789" i="1"/>
  <c r="E1870" i="1"/>
  <c r="D1870" i="1"/>
  <c r="A1983" i="1"/>
  <c r="G1358" i="1"/>
  <c r="D1358" i="1"/>
  <c r="B1798" i="1"/>
  <c r="E1843" i="1"/>
  <c r="A1895" i="1"/>
  <c r="E1895" i="1"/>
  <c r="E1970" i="1"/>
  <c r="G1710" i="1"/>
  <c r="A1710" i="1"/>
  <c r="A1750" i="1"/>
  <c r="E1750" i="1"/>
  <c r="C1862" i="1"/>
  <c r="E1862" i="1"/>
  <c r="A1978" i="1"/>
  <c r="F1978" i="1"/>
  <c r="C1352" i="1"/>
  <c r="A1352" i="1"/>
  <c r="D1440" i="1"/>
  <c r="C1556" i="1"/>
  <c r="A1600" i="1"/>
  <c r="E1607" i="1"/>
  <c r="D1640" i="1"/>
  <c r="C1702" i="1"/>
  <c r="D1814" i="1"/>
  <c r="C1873" i="1"/>
  <c r="F1873" i="1"/>
  <c r="B1345" i="1"/>
  <c r="F1353" i="1"/>
  <c r="C1397" i="1"/>
  <c r="B1412" i="1"/>
  <c r="C1484" i="1"/>
  <c r="B1515" i="1"/>
  <c r="A1522" i="1"/>
  <c r="G1556" i="1"/>
  <c r="F1600" i="1"/>
  <c r="E1679" i="1"/>
  <c r="G1702" i="1"/>
  <c r="C1752" i="1"/>
  <c r="A1778" i="1"/>
  <c r="D1792" i="1"/>
  <c r="G1792" i="1"/>
  <c r="G1814" i="1"/>
  <c r="F1852" i="1"/>
  <c r="E1852" i="1"/>
  <c r="A1852" i="1"/>
  <c r="B1864" i="1"/>
  <c r="D1889" i="1"/>
  <c r="B1919" i="1"/>
  <c r="A1943" i="1"/>
  <c r="C1952" i="1"/>
  <c r="D1952" i="1"/>
  <c r="D1988" i="1"/>
  <c r="B1994" i="1"/>
  <c r="A1994" i="1"/>
  <c r="C1515" i="1"/>
  <c r="B1522" i="1"/>
  <c r="G1574" i="1"/>
  <c r="B1574" i="1"/>
  <c r="A1608" i="1"/>
  <c r="A1663" i="1"/>
  <c r="C1728" i="1"/>
  <c r="F1728" i="1"/>
  <c r="D1737" i="1"/>
  <c r="D1752" i="1"/>
  <c r="B1778" i="1"/>
  <c r="D1844" i="1"/>
  <c r="G1844" i="1"/>
  <c r="B1844" i="1"/>
  <c r="E1889" i="1"/>
  <c r="C1927" i="1"/>
  <c r="B1943" i="1"/>
  <c r="A1964" i="1"/>
  <c r="E1971" i="1"/>
  <c r="C1971" i="1"/>
  <c r="E1988" i="1"/>
  <c r="B1995" i="1"/>
  <c r="G1515" i="1"/>
  <c r="C1541" i="1"/>
  <c r="G1541" i="1"/>
  <c r="F1608" i="1"/>
  <c r="F1729" i="1"/>
  <c r="G1964" i="1"/>
  <c r="F1995" i="1"/>
  <c r="D1778" i="1"/>
  <c r="F1778" i="1"/>
  <c r="E1943" i="1"/>
  <c r="D1943" i="1"/>
  <c r="D1981" i="1"/>
  <c r="A1981" i="1"/>
  <c r="D1216" i="1"/>
  <c r="A1449" i="1"/>
  <c r="A1508" i="1"/>
  <c r="G1508" i="1"/>
  <c r="F1517" i="1"/>
  <c r="A1517" i="1"/>
  <c r="A1651" i="1"/>
  <c r="G1705" i="1"/>
  <c r="A1705" i="1"/>
  <c r="B1762" i="1"/>
  <c r="D1996" i="1"/>
  <c r="B1474" i="1"/>
  <c r="C1697" i="1"/>
  <c r="F1697" i="1"/>
  <c r="B1715" i="1"/>
  <c r="D1810" i="1"/>
  <c r="A1913" i="1"/>
  <c r="D1939" i="1"/>
  <c r="E1939" i="1"/>
  <c r="D1795" i="1"/>
  <c r="F1795" i="1"/>
  <c r="F1991" i="1"/>
  <c r="G1940" i="1"/>
  <c r="F1940" i="1"/>
  <c r="A1358" i="1"/>
  <c r="A1395" i="1"/>
  <c r="A1403" i="1"/>
  <c r="A1439" i="1"/>
  <c r="B1948" i="1"/>
  <c r="G1948" i="1"/>
  <c r="F1948" i="1"/>
  <c r="E1976" i="1"/>
  <c r="F1976" i="1"/>
  <c r="B1358" i="1"/>
  <c r="A1547" i="1"/>
  <c r="A1757" i="1"/>
  <c r="E1757" i="1"/>
  <c r="B1895" i="1"/>
  <c r="G140" i="1"/>
  <c r="E140" i="1"/>
  <c r="F346" i="1"/>
  <c r="E346" i="1"/>
  <c r="B346" i="1"/>
  <c r="A346" i="1"/>
  <c r="F329" i="1"/>
  <c r="E329" i="1"/>
  <c r="B329" i="1"/>
  <c r="A329" i="1"/>
  <c r="B361" i="1"/>
  <c r="A361" i="1"/>
  <c r="F361" i="1"/>
  <c r="G350" i="1"/>
  <c r="F350" i="1"/>
  <c r="C350" i="1"/>
  <c r="B350" i="1"/>
  <c r="E706" i="1"/>
  <c r="D706" i="1"/>
  <c r="G706" i="1"/>
  <c r="F706" i="1"/>
  <c r="B706" i="1"/>
  <c r="A706" i="1"/>
  <c r="B1264" i="1"/>
  <c r="G1264" i="1"/>
  <c r="F1264" i="1"/>
  <c r="A1264" i="1"/>
  <c r="E1264" i="1"/>
  <c r="D1264" i="1"/>
  <c r="C1264" i="1"/>
  <c r="B1460" i="1"/>
  <c r="A1460" i="1"/>
  <c r="E1460" i="1"/>
  <c r="G1460" i="1"/>
  <c r="F1460" i="1"/>
  <c r="D1460" i="1"/>
  <c r="C1460" i="1"/>
  <c r="F10" i="1"/>
  <c r="B19" i="1"/>
  <c r="D23" i="1"/>
  <c r="F27" i="1"/>
  <c r="B36" i="1"/>
  <c r="C40" i="1"/>
  <c r="E44" i="1"/>
  <c r="C53" i="1"/>
  <c r="F57" i="1"/>
  <c r="A62" i="1"/>
  <c r="D66" i="1"/>
  <c r="G70" i="1"/>
  <c r="A75" i="1"/>
  <c r="D79" i="1"/>
  <c r="F83" i="1"/>
  <c r="B88" i="1"/>
  <c r="E102" i="1"/>
  <c r="D102" i="1"/>
  <c r="A102" i="1"/>
  <c r="A108" i="1"/>
  <c r="B113" i="1"/>
  <c r="E117" i="1"/>
  <c r="D117" i="1"/>
  <c r="G132" i="1"/>
  <c r="C132" i="1"/>
  <c r="F137" i="1"/>
  <c r="C142" i="1"/>
  <c r="B142" i="1"/>
  <c r="A158" i="1"/>
  <c r="B168" i="1"/>
  <c r="A174" i="1"/>
  <c r="E183" i="1"/>
  <c r="D183" i="1"/>
  <c r="A183" i="1"/>
  <c r="E190" i="1"/>
  <c r="G200" i="1"/>
  <c r="A200" i="1"/>
  <c r="E200" i="1"/>
  <c r="D217" i="1"/>
  <c r="C223" i="1"/>
  <c r="B223" i="1"/>
  <c r="F234" i="1"/>
  <c r="E234" i="1"/>
  <c r="B234" i="1"/>
  <c r="A234" i="1"/>
  <c r="C269" i="1"/>
  <c r="B314" i="1"/>
  <c r="A314" i="1"/>
  <c r="A333" i="1"/>
  <c r="D362" i="1"/>
  <c r="C386" i="1"/>
  <c r="C393" i="1"/>
  <c r="C431" i="1"/>
  <c r="A443" i="1"/>
  <c r="G443" i="1"/>
  <c r="F443" i="1"/>
  <c r="E443" i="1"/>
  <c r="B443" i="1"/>
  <c r="D450" i="1"/>
  <c r="F518" i="1"/>
  <c r="E518" i="1"/>
  <c r="D518" i="1"/>
  <c r="C518" i="1"/>
  <c r="B532" i="1"/>
  <c r="B544" i="1"/>
  <c r="A544" i="1"/>
  <c r="F544" i="1"/>
  <c r="E544" i="1"/>
  <c r="A559" i="1"/>
  <c r="G559" i="1"/>
  <c r="C559" i="1"/>
  <c r="F559" i="1"/>
  <c r="E559" i="1"/>
  <c r="B574" i="1"/>
  <c r="A574" i="1"/>
  <c r="G574" i="1"/>
  <c r="F574" i="1"/>
  <c r="C574" i="1"/>
  <c r="G617" i="1"/>
  <c r="B617" i="1"/>
  <c r="A617" i="1"/>
  <c r="F617" i="1"/>
  <c r="E617" i="1"/>
  <c r="A636" i="1"/>
  <c r="C942" i="1"/>
  <c r="B942" i="1"/>
  <c r="G942" i="1"/>
  <c r="F942" i="1"/>
  <c r="D942" i="1"/>
  <c r="A942" i="1"/>
  <c r="G10" i="1"/>
  <c r="C19" i="1"/>
  <c r="E23" i="1"/>
  <c r="G27" i="1"/>
  <c r="A32" i="1"/>
  <c r="C36" i="1"/>
  <c r="D40" i="1"/>
  <c r="F44" i="1"/>
  <c r="D53" i="1"/>
  <c r="G57" i="1"/>
  <c r="B62" i="1"/>
  <c r="E66" i="1"/>
  <c r="B75" i="1"/>
  <c r="E79" i="1"/>
  <c r="G83" i="1"/>
  <c r="A98" i="1"/>
  <c r="A103" i="1"/>
  <c r="B108" i="1"/>
  <c r="F122" i="1"/>
  <c r="E122" i="1"/>
  <c r="G137" i="1"/>
  <c r="G152" i="1"/>
  <c r="A152" i="1"/>
  <c r="B174" i="1"/>
  <c r="F251" i="1"/>
  <c r="B251" i="1"/>
  <c r="A251" i="1"/>
  <c r="G286" i="1"/>
  <c r="F286" i="1"/>
  <c r="C286" i="1"/>
  <c r="B286" i="1"/>
  <c r="F297" i="1"/>
  <c r="E297" i="1"/>
  <c r="B297" i="1"/>
  <c r="A297" i="1"/>
  <c r="A399" i="1"/>
  <c r="G399" i="1"/>
  <c r="F399" i="1"/>
  <c r="C399" i="1"/>
  <c r="B399" i="1"/>
  <c r="G424" i="1"/>
  <c r="F424" i="1"/>
  <c r="C424" i="1"/>
  <c r="B424" i="1"/>
  <c r="F477" i="1"/>
  <c r="G477" i="1"/>
  <c r="E477" i="1"/>
  <c r="B477" i="1"/>
  <c r="A477" i="1"/>
  <c r="A483" i="1"/>
  <c r="F483" i="1"/>
  <c r="E483" i="1"/>
  <c r="B483" i="1"/>
  <c r="B553" i="1"/>
  <c r="G553" i="1"/>
  <c r="F553" i="1"/>
  <c r="C553" i="1"/>
  <c r="A553" i="1"/>
  <c r="D652" i="1"/>
  <c r="F652" i="1"/>
  <c r="E652" i="1"/>
  <c r="A652" i="1"/>
  <c r="C652" i="1"/>
  <c r="B652" i="1"/>
  <c r="F678" i="1"/>
  <c r="B678" i="1"/>
  <c r="D678" i="1"/>
  <c r="G678" i="1"/>
  <c r="E678" i="1"/>
  <c r="B766" i="1"/>
  <c r="A766" i="1"/>
  <c r="G766" i="1"/>
  <c r="C766" i="1"/>
  <c r="E766" i="1"/>
  <c r="D766" i="1"/>
  <c r="E933" i="1"/>
  <c r="D933" i="1"/>
  <c r="A933" i="1"/>
  <c r="G933" i="1"/>
  <c r="F933" i="1"/>
  <c r="C933" i="1"/>
  <c r="B933" i="1"/>
  <c r="G1066" i="1"/>
  <c r="F1066" i="1"/>
  <c r="E1066" i="1"/>
  <c r="D1066" i="1"/>
  <c r="A1066" i="1"/>
  <c r="B1066" i="1"/>
  <c r="C1066" i="1"/>
  <c r="C430" i="1"/>
  <c r="E430" i="1"/>
  <c r="D430" i="1"/>
  <c r="A450" i="1"/>
  <c r="G450" i="1"/>
  <c r="F450" i="1"/>
  <c r="C450" i="1"/>
  <c r="B450" i="1"/>
  <c r="E670" i="1"/>
  <c r="B670" i="1"/>
  <c r="A670" i="1"/>
  <c r="G670" i="1"/>
  <c r="F670" i="1"/>
  <c r="E98" i="1"/>
  <c r="D108" i="1"/>
  <c r="G269" i="1"/>
  <c r="F269" i="1"/>
  <c r="B287" i="1"/>
  <c r="C363" i="1"/>
  <c r="E532" i="1"/>
  <c r="A532" i="1"/>
  <c r="F532" i="1"/>
  <c r="D532" i="1"/>
  <c r="A561" i="1"/>
  <c r="C991" i="1"/>
  <c r="F991" i="1"/>
  <c r="E991" i="1"/>
  <c r="A991" i="1"/>
  <c r="G991" i="1"/>
  <c r="D991" i="1"/>
  <c r="B991" i="1"/>
  <c r="G92" i="1"/>
  <c r="E92" i="1"/>
  <c r="C190" i="1"/>
  <c r="B190" i="1"/>
  <c r="D252" i="1"/>
  <c r="E386" i="1"/>
  <c r="D386" i="1"/>
  <c r="A386" i="1"/>
  <c r="F602" i="1"/>
  <c r="E602" i="1"/>
  <c r="A602" i="1"/>
  <c r="D602" i="1"/>
  <c r="C602" i="1"/>
  <c r="G1950" i="1"/>
  <c r="F1950" i="1"/>
  <c r="B1950" i="1"/>
  <c r="E1950" i="1"/>
  <c r="A1950" i="1"/>
  <c r="D1950" i="1"/>
  <c r="C1950" i="1"/>
  <c r="B11" i="1"/>
  <c r="F19" i="1"/>
  <c r="D32" i="1"/>
  <c r="B58" i="1"/>
  <c r="E62" i="1"/>
  <c r="E75" i="1"/>
  <c r="G88" i="1"/>
  <c r="D88" i="1"/>
  <c r="F98" i="1"/>
  <c r="E103" i="1"/>
  <c r="E108" i="1"/>
  <c r="D113" i="1"/>
  <c r="C113" i="1"/>
  <c r="E123" i="1"/>
  <c r="G143" i="1"/>
  <c r="F143" i="1"/>
  <c r="C143" i="1"/>
  <c r="B143" i="1"/>
  <c r="G158" i="1"/>
  <c r="F158" i="1"/>
  <c r="C158" i="1"/>
  <c r="E174" i="1"/>
  <c r="G184" i="1"/>
  <c r="E184" i="1"/>
  <c r="D184" i="1"/>
  <c r="A184" i="1"/>
  <c r="F201" i="1"/>
  <c r="E201" i="1"/>
  <c r="B201" i="1"/>
  <c r="A201" i="1"/>
  <c r="G212" i="1"/>
  <c r="D212" i="1"/>
  <c r="C212" i="1"/>
  <c r="D218" i="1"/>
  <c r="E252" i="1"/>
  <c r="D287" i="1"/>
  <c r="C298" i="1"/>
  <c r="F315" i="1"/>
  <c r="E315" i="1"/>
  <c r="B315" i="1"/>
  <c r="A315" i="1"/>
  <c r="A334" i="1"/>
  <c r="F351" i="1"/>
  <c r="C351" i="1"/>
  <c r="B351" i="1"/>
  <c r="D363" i="1"/>
  <c r="B369" i="1"/>
  <c r="C387" i="1"/>
  <c r="D394" i="1"/>
  <c r="D400" i="1"/>
  <c r="D432" i="1"/>
  <c r="B492" i="1"/>
  <c r="C497" i="1"/>
  <c r="B561" i="1"/>
  <c r="B596" i="1"/>
  <c r="G596" i="1"/>
  <c r="E596" i="1"/>
  <c r="D596" i="1"/>
  <c r="B631" i="1"/>
  <c r="C672" i="1"/>
  <c r="B672" i="1"/>
  <c r="G672" i="1"/>
  <c r="F672" i="1"/>
  <c r="A672" i="1"/>
  <c r="E672" i="1"/>
  <c r="D672" i="1"/>
  <c r="F750" i="1"/>
  <c r="C750" i="1"/>
  <c r="B750" i="1"/>
  <c r="D750" i="1"/>
  <c r="E750" i="1"/>
  <c r="A750" i="1"/>
  <c r="F844" i="1"/>
  <c r="E844" i="1"/>
  <c r="A844" i="1"/>
  <c r="D844" i="1"/>
  <c r="C844" i="1"/>
  <c r="B844" i="1"/>
  <c r="G844" i="1"/>
  <c r="C910" i="1"/>
  <c r="E910" i="1"/>
  <c r="A910" i="1"/>
  <c r="G910" i="1"/>
  <c r="F910" i="1"/>
  <c r="B910" i="1"/>
  <c r="D910" i="1"/>
  <c r="F1036" i="1"/>
  <c r="B1036" i="1"/>
  <c r="G1036" i="1"/>
  <c r="E1036" i="1"/>
  <c r="A1036" i="1"/>
  <c r="D1036" i="1"/>
  <c r="C1036" i="1"/>
  <c r="G1169" i="1"/>
  <c r="D1169" i="1"/>
  <c r="C1169" i="1"/>
  <c r="E1169" i="1"/>
  <c r="B1169" i="1"/>
  <c r="F1169" i="1"/>
  <c r="A1169" i="1"/>
  <c r="C398" i="1"/>
  <c r="F398" i="1"/>
  <c r="E398" i="1"/>
  <c r="A398" i="1"/>
  <c r="G168" i="1"/>
  <c r="E168" i="1"/>
  <c r="D168" i="1"/>
  <c r="A168" i="1"/>
  <c r="D174" i="1"/>
  <c r="G333" i="1"/>
  <c r="F333" i="1"/>
  <c r="C333" i="1"/>
  <c r="B333" i="1"/>
  <c r="B393" i="1"/>
  <c r="F393" i="1"/>
  <c r="E393" i="1"/>
  <c r="A393" i="1"/>
  <c r="B400" i="1"/>
  <c r="A432" i="1"/>
  <c r="B497" i="1"/>
  <c r="G636" i="1"/>
  <c r="F636" i="1"/>
  <c r="D636" i="1"/>
  <c r="C636" i="1"/>
  <c r="C1385" i="1"/>
  <c r="D1385" i="1"/>
  <c r="F1385" i="1"/>
  <c r="E1385" i="1"/>
  <c r="B1385" i="1"/>
  <c r="A1385" i="1"/>
  <c r="B45" i="1"/>
  <c r="C11" i="1"/>
  <c r="G19" i="1"/>
  <c r="A24" i="1"/>
  <c r="E32" i="1"/>
  <c r="C45" i="1"/>
  <c r="C58" i="1"/>
  <c r="A67" i="1"/>
  <c r="A80" i="1"/>
  <c r="A89" i="1"/>
  <c r="F103" i="1"/>
  <c r="F108" i="1"/>
  <c r="G128" i="1"/>
  <c r="B128" i="1"/>
  <c r="A144" i="1"/>
  <c r="E153" i="1"/>
  <c r="A159" i="1"/>
  <c r="C169" i="1"/>
  <c r="F174" i="1"/>
  <c r="C185" i="1"/>
  <c r="A202" i="1"/>
  <c r="F235" i="1"/>
  <c r="E235" i="1"/>
  <c r="B235" i="1"/>
  <c r="G280" i="1"/>
  <c r="E280" i="1"/>
  <c r="D280" i="1"/>
  <c r="A280" i="1"/>
  <c r="B322" i="1"/>
  <c r="G344" i="1"/>
  <c r="E344" i="1"/>
  <c r="D344" i="1"/>
  <c r="A344" i="1"/>
  <c r="G751" i="1"/>
  <c r="F751" i="1"/>
  <c r="B751" i="1"/>
  <c r="C751" i="1"/>
  <c r="A751" i="1"/>
  <c r="E751" i="1"/>
  <c r="D751" i="1"/>
  <c r="F927" i="1"/>
  <c r="B927" i="1"/>
  <c r="A927" i="1"/>
  <c r="D927" i="1"/>
  <c r="E927" i="1"/>
  <c r="C927" i="1"/>
  <c r="F1140" i="1"/>
  <c r="E1140" i="1"/>
  <c r="A1140" i="1"/>
  <c r="C1140" i="1"/>
  <c r="D1140" i="1"/>
  <c r="B1140" i="1"/>
  <c r="D1459" i="1"/>
  <c r="F1459" i="1"/>
  <c r="E1459" i="1"/>
  <c r="A1459" i="1"/>
  <c r="G1459" i="1"/>
  <c r="C1459" i="1"/>
  <c r="B1459" i="1"/>
  <c r="F173" i="1"/>
  <c r="C173" i="1"/>
  <c r="F363" i="1"/>
  <c r="E363" i="1"/>
  <c r="B363" i="1"/>
  <c r="A363" i="1"/>
  <c r="G561" i="1"/>
  <c r="F561" i="1"/>
  <c r="D561" i="1"/>
  <c r="C561" i="1"/>
  <c r="F768" i="1"/>
  <c r="B768" i="1"/>
  <c r="G768" i="1"/>
  <c r="E768" i="1"/>
  <c r="D768" i="1"/>
  <c r="C768" i="1"/>
  <c r="A625" i="1"/>
  <c r="F625" i="1"/>
  <c r="B625" i="1"/>
  <c r="G625" i="1"/>
  <c r="E625" i="1"/>
  <c r="E311" i="1"/>
  <c r="D311" i="1"/>
  <c r="A311" i="1"/>
  <c r="C303" i="1"/>
  <c r="B303" i="1"/>
  <c r="G303" i="1"/>
  <c r="G287" i="1"/>
  <c r="F287" i="1"/>
  <c r="C287" i="1"/>
  <c r="G432" i="1"/>
  <c r="F432" i="1"/>
  <c r="C432" i="1"/>
  <c r="B432" i="1"/>
  <c r="E845" i="1"/>
  <c r="F845" i="1"/>
  <c r="B845" i="1"/>
  <c r="A845" i="1"/>
  <c r="G845" i="1"/>
  <c r="D845" i="1"/>
  <c r="E45" i="1"/>
  <c r="D80" i="1"/>
  <c r="F298" i="1"/>
  <c r="E298" i="1"/>
  <c r="A387" i="1"/>
  <c r="F387" i="1"/>
  <c r="E387" i="1"/>
  <c r="B387" i="1"/>
  <c r="F660" i="1"/>
  <c r="E660" i="1"/>
  <c r="D660" i="1"/>
  <c r="C660" i="1"/>
  <c r="B660" i="1"/>
  <c r="F816" i="1"/>
  <c r="D816" i="1"/>
  <c r="C816" i="1"/>
  <c r="G816" i="1"/>
  <c r="E816" i="1"/>
  <c r="B816" i="1"/>
  <c r="A816" i="1"/>
  <c r="E197" i="1"/>
  <c r="D197" i="1"/>
  <c r="A197" i="1"/>
  <c r="E1554" i="1"/>
  <c r="D1554" i="1"/>
  <c r="C1554" i="1"/>
  <c r="F1554" i="1"/>
  <c r="B1554" i="1"/>
  <c r="A1554" i="1"/>
  <c r="G1554" i="1"/>
  <c r="C127" i="1"/>
  <c r="B127" i="1"/>
  <c r="G470" i="1"/>
  <c r="F470" i="1"/>
  <c r="C470" i="1"/>
  <c r="B470" i="1"/>
  <c r="E11" i="1"/>
  <c r="E58" i="1"/>
  <c r="F218" i="1"/>
  <c r="B218" i="1"/>
  <c r="A218" i="1"/>
  <c r="B236" i="1"/>
  <c r="A253" i="1"/>
  <c r="C293" i="1"/>
  <c r="G334" i="1"/>
  <c r="F334" i="1"/>
  <c r="C334" i="1"/>
  <c r="B334" i="1"/>
  <c r="C345" i="1"/>
  <c r="F569" i="1"/>
  <c r="E569" i="1"/>
  <c r="A569" i="1"/>
  <c r="G569" i="1"/>
  <c r="D569" i="1"/>
  <c r="E857" i="1"/>
  <c r="A857" i="1"/>
  <c r="G857" i="1"/>
  <c r="C857" i="1"/>
  <c r="B857" i="1"/>
  <c r="D857" i="1"/>
  <c r="F11" i="1"/>
  <c r="B20" i="1"/>
  <c r="D24" i="1"/>
  <c r="A33" i="1"/>
  <c r="C37" i="1"/>
  <c r="D41" i="1"/>
  <c r="F45" i="1"/>
  <c r="C54" i="1"/>
  <c r="F58" i="1"/>
  <c r="A63" i="1"/>
  <c r="D67" i="1"/>
  <c r="B76" i="1"/>
  <c r="E80" i="1"/>
  <c r="G84" i="1"/>
  <c r="C84" i="1"/>
  <c r="D89" i="1"/>
  <c r="E94" i="1"/>
  <c r="B99" i="1"/>
  <c r="A104" i="1"/>
  <c r="B138" i="1"/>
  <c r="A138" i="1"/>
  <c r="D144" i="1"/>
  <c r="A149" i="1"/>
  <c r="D159" i="1"/>
  <c r="E164" i="1"/>
  <c r="G191" i="1"/>
  <c r="F191" i="1"/>
  <c r="C191" i="1"/>
  <c r="C236" i="1"/>
  <c r="D253" i="1"/>
  <c r="B264" i="1"/>
  <c r="C270" i="1"/>
  <c r="B270" i="1"/>
  <c r="G270" i="1"/>
  <c r="E281" i="1"/>
  <c r="F293" i="1"/>
  <c r="G316" i="1"/>
  <c r="F316" i="1"/>
  <c r="E316" i="1"/>
  <c r="B316" i="1"/>
  <c r="D345" i="1"/>
  <c r="C388" i="1"/>
  <c r="A464" i="1"/>
  <c r="F464" i="1"/>
  <c r="E464" i="1"/>
  <c r="B464" i="1"/>
  <c r="C540" i="1"/>
  <c r="A546" i="1"/>
  <c r="B1184" i="1"/>
  <c r="E1184" i="1"/>
  <c r="A1184" i="1"/>
  <c r="G1184" i="1"/>
  <c r="F1184" i="1"/>
  <c r="D1184" i="1"/>
  <c r="C1184" i="1"/>
  <c r="E245" i="1"/>
  <c r="D245" i="1"/>
  <c r="A245" i="1"/>
  <c r="A431" i="1"/>
  <c r="D431" i="1"/>
  <c r="G431" i="1"/>
  <c r="F431" i="1"/>
  <c r="B431" i="1"/>
  <c r="B394" i="1"/>
  <c r="G394" i="1"/>
  <c r="F394" i="1"/>
  <c r="C394" i="1"/>
  <c r="A394" i="1"/>
  <c r="A631" i="1"/>
  <c r="E631" i="1"/>
  <c r="D631" i="1"/>
  <c r="G631" i="1"/>
  <c r="F631" i="1"/>
  <c r="C67" i="1"/>
  <c r="B123" i="1"/>
  <c r="A123" i="1"/>
  <c r="C144" i="1"/>
  <c r="C159" i="1"/>
  <c r="B164" i="1"/>
  <c r="G369" i="1"/>
  <c r="E369" i="1"/>
  <c r="D369" i="1"/>
  <c r="A369" i="1"/>
  <c r="F492" i="1"/>
  <c r="E492" i="1"/>
  <c r="D492" i="1"/>
  <c r="A492" i="1"/>
  <c r="D808" i="1"/>
  <c r="G808" i="1"/>
  <c r="F808" i="1"/>
  <c r="B808" i="1"/>
  <c r="A808" i="1"/>
  <c r="C808" i="1"/>
  <c r="E1704" i="1"/>
  <c r="A1704" i="1"/>
  <c r="F1704" i="1"/>
  <c r="C1704" i="1"/>
  <c r="B1704" i="1"/>
  <c r="D1704" i="1"/>
  <c r="G1704" i="1"/>
  <c r="A16" i="1"/>
  <c r="C20" i="1"/>
  <c r="E24" i="1"/>
  <c r="B33" i="1"/>
  <c r="D37" i="1"/>
  <c r="A50" i="1"/>
  <c r="D54" i="1"/>
  <c r="B63" i="1"/>
  <c r="E67" i="1"/>
  <c r="C76" i="1"/>
  <c r="E89" i="1"/>
  <c r="B104" i="1"/>
  <c r="B149" i="1"/>
  <c r="E169" i="1"/>
  <c r="B169" i="1"/>
  <c r="F185" i="1"/>
  <c r="B185" i="1"/>
  <c r="A185" i="1"/>
  <c r="F202" i="1"/>
  <c r="E202" i="1"/>
  <c r="B202" i="1"/>
  <c r="D322" i="1"/>
  <c r="C322" i="1"/>
  <c r="G364" i="1"/>
  <c r="F364" i="1"/>
  <c r="E364" i="1"/>
  <c r="B364" i="1"/>
  <c r="A364" i="1"/>
  <c r="G414" i="1"/>
  <c r="E414" i="1"/>
  <c r="D414" i="1"/>
  <c r="A414" i="1"/>
  <c r="A445" i="1"/>
  <c r="G445" i="1"/>
  <c r="E445" i="1"/>
  <c r="D445" i="1"/>
  <c r="E472" i="1"/>
  <c r="F472" i="1"/>
  <c r="D472" i="1"/>
  <c r="A472" i="1"/>
  <c r="A479" i="1"/>
  <c r="G479" i="1"/>
  <c r="F479" i="1"/>
  <c r="E479" i="1"/>
  <c r="B479" i="1"/>
  <c r="B562" i="1"/>
  <c r="G562" i="1"/>
  <c r="F562" i="1"/>
  <c r="C562" i="1"/>
  <c r="A562" i="1"/>
  <c r="C590" i="1"/>
  <c r="B590" i="1"/>
  <c r="G590" i="1"/>
  <c r="F590" i="1"/>
  <c r="A590" i="1"/>
  <c r="F646" i="1"/>
  <c r="G646" i="1"/>
  <c r="E646" i="1"/>
  <c r="D646" i="1"/>
  <c r="C646" i="1"/>
  <c r="F686" i="1"/>
  <c r="A686" i="1"/>
  <c r="E686" i="1"/>
  <c r="D686" i="1"/>
  <c r="E693" i="1"/>
  <c r="F693" i="1"/>
  <c r="D693" i="1"/>
  <c r="C693" i="1"/>
  <c r="B693" i="1"/>
  <c r="G693" i="1"/>
  <c r="A693" i="1"/>
  <c r="A700" i="1"/>
  <c r="E700" i="1"/>
  <c r="D700" i="1"/>
  <c r="C700" i="1"/>
  <c r="F700" i="1"/>
  <c r="B700" i="1"/>
  <c r="E817" i="1"/>
  <c r="F817" i="1"/>
  <c r="D817" i="1"/>
  <c r="B817" i="1"/>
  <c r="G817" i="1"/>
  <c r="C817" i="1"/>
  <c r="E874" i="1"/>
  <c r="F874" i="1"/>
  <c r="D874" i="1"/>
  <c r="C874" i="1"/>
  <c r="B874" i="1"/>
  <c r="A874" i="1"/>
  <c r="F476" i="1"/>
  <c r="A476" i="1"/>
  <c r="E476" i="1"/>
  <c r="D476" i="1"/>
  <c r="G332" i="1"/>
  <c r="B332" i="1"/>
  <c r="A332" i="1"/>
  <c r="F332" i="1"/>
  <c r="E749" i="1"/>
  <c r="F749" i="1"/>
  <c r="G749" i="1"/>
  <c r="D749" i="1"/>
  <c r="B749" i="1"/>
  <c r="A749" i="1"/>
  <c r="C104" i="1"/>
  <c r="C149" i="1"/>
  <c r="F345" i="1"/>
  <c r="E345" i="1"/>
  <c r="B345" i="1"/>
  <c r="B890" i="1"/>
  <c r="A890" i="1"/>
  <c r="G890" i="1"/>
  <c r="F890" i="1"/>
  <c r="C890" i="1"/>
  <c r="D890" i="1"/>
  <c r="E890" i="1"/>
  <c r="G1984" i="1"/>
  <c r="E1984" i="1"/>
  <c r="D1984" i="1"/>
  <c r="A1984" i="1"/>
  <c r="F1984" i="1"/>
  <c r="C1984" i="1"/>
  <c r="B1984" i="1"/>
  <c r="G734" i="1"/>
  <c r="C734" i="1"/>
  <c r="B734" i="1"/>
  <c r="E734" i="1"/>
  <c r="D734" i="1"/>
  <c r="A734" i="1"/>
  <c r="B449" i="1"/>
  <c r="A449" i="1"/>
  <c r="F449" i="1"/>
  <c r="E1967" i="1"/>
  <c r="B1967" i="1"/>
  <c r="A1967" i="1"/>
  <c r="G1967" i="1"/>
  <c r="F1967" i="1"/>
  <c r="C1967" i="1"/>
  <c r="D1967" i="1"/>
  <c r="G400" i="1"/>
  <c r="F400" i="1"/>
  <c r="C400" i="1"/>
  <c r="G597" i="1"/>
  <c r="F597" i="1"/>
  <c r="B597" i="1"/>
  <c r="D597" i="1"/>
  <c r="C597" i="1"/>
  <c r="A597" i="1"/>
  <c r="B16" i="1"/>
  <c r="C63" i="1"/>
  <c r="G159" i="1"/>
  <c r="F159" i="1"/>
  <c r="G253" i="1"/>
  <c r="F253" i="1"/>
  <c r="C253" i="1"/>
  <c r="B253" i="1"/>
  <c r="A540" i="1"/>
  <c r="G540" i="1"/>
  <c r="F540" i="1"/>
  <c r="E540" i="1"/>
  <c r="B540" i="1"/>
  <c r="A46" i="1"/>
  <c r="C94" i="1"/>
  <c r="B94" i="1"/>
  <c r="D104" i="1"/>
  <c r="D149" i="1"/>
  <c r="D186" i="1"/>
  <c r="C197" i="1"/>
  <c r="A237" i="1"/>
  <c r="A254" i="1"/>
  <c r="F388" i="1"/>
  <c r="E388" i="1"/>
  <c r="B388" i="1"/>
  <c r="A388" i="1"/>
  <c r="F512" i="1"/>
  <c r="C512" i="1"/>
  <c r="A512" i="1"/>
  <c r="G512" i="1"/>
  <c r="E512" i="1"/>
  <c r="G998" i="1"/>
  <c r="F998" i="1"/>
  <c r="C998" i="1"/>
  <c r="E998" i="1"/>
  <c r="D998" i="1"/>
  <c r="A998" i="1"/>
  <c r="E1317" i="1"/>
  <c r="C1317" i="1"/>
  <c r="G1317" i="1"/>
  <c r="D1317" i="1"/>
  <c r="B1317" i="1"/>
  <c r="F1317" i="1"/>
  <c r="A1317" i="1"/>
  <c r="E231" i="1"/>
  <c r="D231" i="1"/>
  <c r="A231" i="1"/>
  <c r="D552" i="1"/>
  <c r="C552" i="1"/>
  <c r="G552" i="1"/>
  <c r="F552" i="1"/>
  <c r="B552" i="1"/>
  <c r="A552" i="1"/>
  <c r="F217" i="1"/>
  <c r="E217" i="1"/>
  <c r="B217" i="1"/>
  <c r="G164" i="1"/>
  <c r="D164" i="1"/>
  <c r="C164" i="1"/>
  <c r="C186" i="1"/>
  <c r="B197" i="1"/>
  <c r="E293" i="1"/>
  <c r="D293" i="1"/>
  <c r="A293" i="1"/>
  <c r="B328" i="1"/>
  <c r="E709" i="1"/>
  <c r="C709" i="1"/>
  <c r="B709" i="1"/>
  <c r="G709" i="1"/>
  <c r="F709" i="1"/>
  <c r="A709" i="1"/>
  <c r="C16" i="1"/>
  <c r="B281" i="1"/>
  <c r="A281" i="1"/>
  <c r="F452" i="1"/>
  <c r="C452" i="1"/>
  <c r="G452" i="1"/>
  <c r="E452" i="1"/>
  <c r="A452" i="1"/>
  <c r="E701" i="1"/>
  <c r="D701" i="1"/>
  <c r="B701" i="1"/>
  <c r="A701" i="1"/>
  <c r="F701" i="1"/>
  <c r="C701" i="1"/>
  <c r="G1962" i="1"/>
  <c r="F1962" i="1"/>
  <c r="B1962" i="1"/>
  <c r="D1962" i="1"/>
  <c r="C1962" i="1"/>
  <c r="E1962" i="1"/>
  <c r="A1962" i="1"/>
  <c r="B12" i="1"/>
  <c r="D16" i="1"/>
  <c r="F20" i="1"/>
  <c r="A25" i="1"/>
  <c r="E33" i="1"/>
  <c r="B46" i="1"/>
  <c r="D50" i="1"/>
  <c r="E63" i="1"/>
  <c r="A68" i="1"/>
  <c r="C72" i="1"/>
  <c r="A95" i="1"/>
  <c r="E104" i="1"/>
  <c r="C109" i="1"/>
  <c r="B109" i="1"/>
  <c r="F139" i="1"/>
  <c r="E139" i="1"/>
  <c r="B139" i="1"/>
  <c r="A139" i="1"/>
  <c r="E149" i="1"/>
  <c r="C165" i="1"/>
  <c r="C170" i="1"/>
  <c r="C175" i="1"/>
  <c r="B175" i="1"/>
  <c r="E186" i="1"/>
  <c r="F197" i="1"/>
  <c r="C203" i="1"/>
  <c r="D237" i="1"/>
  <c r="B254" i="1"/>
  <c r="G271" i="1"/>
  <c r="F271" i="1"/>
  <c r="C271" i="1"/>
  <c r="B271" i="1"/>
  <c r="C282" i="1"/>
  <c r="B299" i="1"/>
  <c r="A299" i="1"/>
  <c r="F299" i="1"/>
  <c r="G317" i="1"/>
  <c r="F317" i="1"/>
  <c r="C317" i="1"/>
  <c r="B317" i="1"/>
  <c r="D328" i="1"/>
  <c r="G335" i="1"/>
  <c r="F335" i="1"/>
  <c r="B335" i="1"/>
  <c r="G340" i="1"/>
  <c r="D340" i="1"/>
  <c r="C340" i="1"/>
  <c r="D346" i="1"/>
  <c r="F370" i="1"/>
  <c r="E370" i="1"/>
  <c r="B370" i="1"/>
  <c r="D389" i="1"/>
  <c r="A415" i="1"/>
  <c r="G415" i="1"/>
  <c r="F415" i="1"/>
  <c r="C415" i="1"/>
  <c r="B415" i="1"/>
  <c r="E458" i="1"/>
  <c r="F458" i="1"/>
  <c r="D458" i="1"/>
  <c r="A458" i="1"/>
  <c r="A513" i="1"/>
  <c r="G584" i="1"/>
  <c r="A584" i="1"/>
  <c r="F584" i="1"/>
  <c r="E584" i="1"/>
  <c r="B584" i="1"/>
  <c r="C625" i="1"/>
  <c r="E694" i="1"/>
  <c r="F694" i="1"/>
  <c r="A694" i="1"/>
  <c r="D694" i="1"/>
  <c r="C694" i="1"/>
  <c r="E753" i="1"/>
  <c r="G753" i="1"/>
  <c r="D753" i="1"/>
  <c r="C753" i="1"/>
  <c r="B753" i="1"/>
  <c r="A753" i="1"/>
  <c r="F362" i="1"/>
  <c r="E362" i="1"/>
  <c r="B362" i="1"/>
  <c r="A362" i="1"/>
  <c r="D98" i="1"/>
  <c r="C98" i="1"/>
  <c r="G252" i="1"/>
  <c r="B252" i="1"/>
  <c r="A252" i="1"/>
  <c r="D497" i="1"/>
  <c r="A497" i="1"/>
  <c r="F497" i="1"/>
  <c r="E497" i="1"/>
  <c r="D1267" i="1"/>
  <c r="G1267" i="1"/>
  <c r="C1267" i="1"/>
  <c r="B1267" i="1"/>
  <c r="F1267" i="1"/>
  <c r="E1267" i="1"/>
  <c r="A1267" i="1"/>
  <c r="C33" i="1"/>
  <c r="G80" i="1"/>
  <c r="B80" i="1"/>
  <c r="G144" i="1"/>
  <c r="F144" i="1"/>
  <c r="G236" i="1"/>
  <c r="F236" i="1"/>
  <c r="E236" i="1"/>
  <c r="E546" i="1"/>
  <c r="F546" i="1"/>
  <c r="D546" i="1"/>
  <c r="C546" i="1"/>
  <c r="B546" i="1"/>
  <c r="D33" i="1"/>
  <c r="D63" i="1"/>
  <c r="G264" i="1"/>
  <c r="E264" i="1"/>
  <c r="D264" i="1"/>
  <c r="A264" i="1"/>
  <c r="C328" i="1"/>
  <c r="C346" i="1"/>
  <c r="A439" i="1"/>
  <c r="F439" i="1"/>
  <c r="G439" i="1"/>
  <c r="E439" i="1"/>
  <c r="B439" i="1"/>
  <c r="E737" i="1"/>
  <c r="B737" i="1"/>
  <c r="G737" i="1"/>
  <c r="C737" i="1"/>
  <c r="A737" i="1"/>
  <c r="F737" i="1"/>
  <c r="D737" i="1"/>
  <c r="D1516" i="1"/>
  <c r="C1516" i="1"/>
  <c r="G1516" i="1"/>
  <c r="F1516" i="1"/>
  <c r="A1516" i="1"/>
  <c r="B1516" i="1"/>
  <c r="E1516" i="1"/>
  <c r="E16" i="1"/>
  <c r="B25" i="1"/>
  <c r="A42" i="1"/>
  <c r="C46" i="1"/>
  <c r="G63" i="1"/>
  <c r="B68" i="1"/>
  <c r="D72" i="1"/>
  <c r="G76" i="1"/>
  <c r="A76" i="1"/>
  <c r="C95" i="1"/>
  <c r="F104" i="1"/>
  <c r="A115" i="1"/>
  <c r="G124" i="1"/>
  <c r="A124" i="1"/>
  <c r="A140" i="1"/>
  <c r="F154" i="1"/>
  <c r="E154" i="1"/>
  <c r="B154" i="1"/>
  <c r="D170" i="1"/>
  <c r="G197" i="1"/>
  <c r="D203" i="1"/>
  <c r="B219" i="1"/>
  <c r="A219" i="1"/>
  <c r="E230" i="1"/>
  <c r="D230" i="1"/>
  <c r="A230" i="1"/>
  <c r="A318" i="1"/>
  <c r="G346" i="1"/>
  <c r="E408" i="1"/>
  <c r="D408" i="1"/>
  <c r="A408" i="1"/>
  <c r="B577" i="1"/>
  <c r="A577" i="1"/>
  <c r="G577" i="1"/>
  <c r="F577" i="1"/>
  <c r="E577" i="1"/>
  <c r="D625" i="1"/>
  <c r="B702" i="1"/>
  <c r="A702" i="1"/>
  <c r="F702" i="1"/>
  <c r="E702" i="1"/>
  <c r="D702" i="1"/>
  <c r="C702" i="1"/>
  <c r="F738" i="1"/>
  <c r="E738" i="1"/>
  <c r="A738" i="1"/>
  <c r="D738" i="1"/>
  <c r="G738" i="1"/>
  <c r="C738" i="1"/>
  <c r="G328" i="1"/>
  <c r="A328" i="1"/>
  <c r="E328" i="1"/>
  <c r="D68" i="1"/>
  <c r="B186" i="1"/>
  <c r="A186" i="1"/>
  <c r="C231" i="1"/>
  <c r="F282" i="1"/>
  <c r="E282" i="1"/>
  <c r="B282" i="1"/>
  <c r="A282" i="1"/>
  <c r="G513" i="1"/>
  <c r="F513" i="1"/>
  <c r="C513" i="1"/>
  <c r="B513" i="1"/>
  <c r="F1416" i="1"/>
  <c r="B1416" i="1"/>
  <c r="E1416" i="1"/>
  <c r="D1416" i="1"/>
  <c r="C1416" i="1"/>
  <c r="A1416" i="1"/>
  <c r="G1416" i="1"/>
  <c r="G1706" i="1"/>
  <c r="D1706" i="1"/>
  <c r="A1706" i="1"/>
  <c r="F1706" i="1"/>
  <c r="E1706" i="1"/>
  <c r="C1706" i="1"/>
  <c r="B1706" i="1"/>
  <c r="G254" i="1"/>
  <c r="F254" i="1"/>
  <c r="C254" i="1"/>
  <c r="A527" i="1"/>
  <c r="F527" i="1"/>
  <c r="D527" i="1"/>
  <c r="E527" i="1"/>
  <c r="C527" i="1"/>
  <c r="A1241" i="1"/>
  <c r="F1241" i="1"/>
  <c r="E1241" i="1"/>
  <c r="D1241" i="1"/>
  <c r="C1241" i="1"/>
  <c r="B1241" i="1"/>
  <c r="G1241" i="1"/>
  <c r="A34" i="1"/>
  <c r="D42" i="1"/>
  <c r="F46" i="1"/>
  <c r="C77" i="1"/>
  <c r="F95" i="1"/>
  <c r="D105" i="1"/>
  <c r="G110" i="1"/>
  <c r="F110" i="1"/>
  <c r="C110" i="1"/>
  <c r="B110" i="1"/>
  <c r="D115" i="1"/>
  <c r="B120" i="1"/>
  <c r="C125" i="1"/>
  <c r="B135" i="1"/>
  <c r="D140" i="1"/>
  <c r="B150" i="1"/>
  <c r="C155" i="1"/>
  <c r="A161" i="1"/>
  <c r="D165" i="1"/>
  <c r="A165" i="1"/>
  <c r="A187" i="1"/>
  <c r="C198" i="1"/>
  <c r="G220" i="1"/>
  <c r="F220" i="1"/>
  <c r="E220" i="1"/>
  <c r="B220" i="1"/>
  <c r="A220" i="1"/>
  <c r="F231" i="1"/>
  <c r="A238" i="1"/>
  <c r="D248" i="1"/>
  <c r="A255" i="1"/>
  <c r="B260" i="1"/>
  <c r="A283" i="1"/>
  <c r="A301" i="1"/>
  <c r="F311" i="1"/>
  <c r="F318" i="1"/>
  <c r="D329" i="1"/>
  <c r="D347" i="1"/>
  <c r="F371" i="1"/>
  <c r="E371" i="1"/>
  <c r="B371" i="1"/>
  <c r="A371" i="1"/>
  <c r="G377" i="1"/>
  <c r="E377" i="1"/>
  <c r="D377" i="1"/>
  <c r="A377" i="1"/>
  <c r="G416" i="1"/>
  <c r="F416" i="1"/>
  <c r="C416" i="1"/>
  <c r="B416" i="1"/>
  <c r="A427" i="1"/>
  <c r="C427" i="1"/>
  <c r="G427" i="1"/>
  <c r="F427" i="1"/>
  <c r="B427" i="1"/>
  <c r="A514" i="1"/>
  <c r="C571" i="1"/>
  <c r="C592" i="1"/>
  <c r="C633" i="1"/>
  <c r="F633" i="1"/>
  <c r="E633" i="1"/>
  <c r="A633" i="1"/>
  <c r="G633" i="1"/>
  <c r="D633" i="1"/>
  <c r="B1150" i="1"/>
  <c r="A1150" i="1"/>
  <c r="E1150" i="1"/>
  <c r="F1150" i="1"/>
  <c r="D1150" i="1"/>
  <c r="C1150" i="1"/>
  <c r="F1242" i="1"/>
  <c r="E1242" i="1"/>
  <c r="B1242" i="1"/>
  <c r="A1242" i="1"/>
  <c r="D1242" i="1"/>
  <c r="C1242" i="1"/>
  <c r="G1242" i="1"/>
  <c r="E46" i="1"/>
  <c r="E95" i="1"/>
  <c r="C140" i="1"/>
  <c r="C237" i="1"/>
  <c r="B237" i="1"/>
  <c r="G237" i="1"/>
  <c r="G300" i="1"/>
  <c r="F300" i="1"/>
  <c r="E300" i="1"/>
  <c r="B300" i="1"/>
  <c r="A300" i="1"/>
  <c r="C311" i="1"/>
  <c r="E318" i="1"/>
  <c r="C329" i="1"/>
  <c r="F739" i="1"/>
  <c r="E739" i="1"/>
  <c r="B739" i="1"/>
  <c r="C739" i="1"/>
  <c r="G739" i="1"/>
  <c r="D739" i="1"/>
  <c r="A17" i="1"/>
  <c r="E25" i="1"/>
  <c r="E68" i="1"/>
  <c r="B17" i="1"/>
  <c r="B34" i="1"/>
  <c r="A51" i="1"/>
  <c r="E55" i="1"/>
  <c r="C64" i="1"/>
  <c r="F68" i="1"/>
  <c r="A73" i="1"/>
  <c r="D77" i="1"/>
  <c r="B90" i="1"/>
  <c r="A90" i="1"/>
  <c r="G95" i="1"/>
  <c r="A111" i="1"/>
  <c r="E115" i="1"/>
  <c r="C120" i="1"/>
  <c r="F140" i="1"/>
  <c r="B161" i="1"/>
  <c r="C171" i="1"/>
  <c r="A221" i="1"/>
  <c r="G231" i="1"/>
  <c r="F265" i="1"/>
  <c r="E265" i="1"/>
  <c r="D289" i="1"/>
  <c r="C289" i="1"/>
  <c r="G311" i="1"/>
  <c r="G329" i="1"/>
  <c r="C378" i="1"/>
  <c r="F409" i="1"/>
  <c r="E409" i="1"/>
  <c r="D409" i="1"/>
  <c r="A409" i="1"/>
  <c r="A639" i="1"/>
  <c r="B639" i="1"/>
  <c r="G639" i="1"/>
  <c r="C639" i="1"/>
  <c r="E639" i="1"/>
  <c r="D639" i="1"/>
  <c r="E761" i="1"/>
  <c r="A761" i="1"/>
  <c r="D761" i="1"/>
  <c r="C761" i="1"/>
  <c r="B761" i="1"/>
  <c r="F761" i="1"/>
  <c r="A389" i="1"/>
  <c r="G389" i="1"/>
  <c r="F389" i="1"/>
  <c r="C389" i="1"/>
  <c r="B389" i="1"/>
  <c r="E514" i="1"/>
  <c r="G514" i="1"/>
  <c r="B514" i="1"/>
  <c r="D514" i="1"/>
  <c r="C514" i="1"/>
  <c r="A655" i="1"/>
  <c r="F655" i="1"/>
  <c r="E655" i="1"/>
  <c r="C655" i="1"/>
  <c r="B655" i="1"/>
  <c r="G655" i="1"/>
  <c r="D655" i="1"/>
  <c r="C73" i="1"/>
  <c r="E198" i="1"/>
  <c r="D198" i="1"/>
  <c r="A198" i="1"/>
  <c r="A232" i="1"/>
  <c r="G260" i="1"/>
  <c r="D260" i="1"/>
  <c r="C260" i="1"/>
  <c r="D266" i="1"/>
  <c r="G372" i="1"/>
  <c r="F372" i="1"/>
  <c r="E372" i="1"/>
  <c r="B372" i="1"/>
  <c r="A372" i="1"/>
  <c r="C548" i="1"/>
  <c r="B548" i="1"/>
  <c r="E548" i="1"/>
  <c r="G548" i="1"/>
  <c r="F548" i="1"/>
  <c r="A571" i="1"/>
  <c r="D571" i="1"/>
  <c r="B571" i="1"/>
  <c r="F571" i="1"/>
  <c r="E571" i="1"/>
  <c r="A762" i="1"/>
  <c r="F762" i="1"/>
  <c r="E762" i="1"/>
  <c r="C762" i="1"/>
  <c r="B762" i="1"/>
  <c r="G762" i="1"/>
  <c r="D762" i="1"/>
  <c r="G125" i="1"/>
  <c r="F125" i="1"/>
  <c r="A141" i="1"/>
  <c r="G238" i="1"/>
  <c r="F238" i="1"/>
  <c r="C238" i="1"/>
  <c r="B238" i="1"/>
  <c r="G301" i="1"/>
  <c r="F301" i="1"/>
  <c r="C301" i="1"/>
  <c r="B301" i="1"/>
  <c r="B312" i="1"/>
  <c r="A319" i="1"/>
  <c r="C330" i="1"/>
  <c r="A467" i="1"/>
  <c r="B467" i="1"/>
  <c r="G467" i="1"/>
  <c r="F467" i="1"/>
  <c r="C467" i="1"/>
  <c r="A501" i="1"/>
  <c r="E973" i="1"/>
  <c r="G973" i="1"/>
  <c r="F973" i="1"/>
  <c r="B973" i="1"/>
  <c r="A973" i="1"/>
  <c r="C973" i="1"/>
  <c r="E17" i="1"/>
  <c r="E51" i="1"/>
  <c r="D73" i="1"/>
  <c r="B82" i="1"/>
  <c r="B105" i="1"/>
  <c r="A105" i="1"/>
  <c r="D111" i="1"/>
  <c r="A116" i="1"/>
  <c r="E135" i="1"/>
  <c r="D135" i="1"/>
  <c r="A135" i="1"/>
  <c r="B141" i="1"/>
  <c r="E150" i="1"/>
  <c r="D150" i="1"/>
  <c r="A150" i="1"/>
  <c r="F161" i="1"/>
  <c r="F171" i="1"/>
  <c r="F187" i="1"/>
  <c r="E187" i="1"/>
  <c r="B187" i="1"/>
  <c r="G204" i="1"/>
  <c r="B204" i="1"/>
  <c r="A204" i="1"/>
  <c r="F204" i="1"/>
  <c r="B232" i="1"/>
  <c r="C249" i="1"/>
  <c r="G255" i="1"/>
  <c r="C255" i="1"/>
  <c r="B255" i="1"/>
  <c r="E266" i="1"/>
  <c r="F283" i="1"/>
  <c r="E283" i="1"/>
  <c r="B283" i="1"/>
  <c r="C312" i="1"/>
  <c r="D319" i="1"/>
  <c r="D330" i="1"/>
  <c r="C348" i="1"/>
  <c r="A403" i="1"/>
  <c r="F403" i="1"/>
  <c r="E403" i="1"/>
  <c r="B403" i="1"/>
  <c r="F410" i="1"/>
  <c r="G410" i="1"/>
  <c r="E410" i="1"/>
  <c r="B410" i="1"/>
  <c r="A410" i="1"/>
  <c r="G428" i="1"/>
  <c r="F428" i="1"/>
  <c r="C428" i="1"/>
  <c r="B428" i="1"/>
  <c r="A447" i="1"/>
  <c r="G447" i="1"/>
  <c r="F447" i="1"/>
  <c r="C447" i="1"/>
  <c r="B447" i="1"/>
  <c r="B488" i="1"/>
  <c r="B501" i="1"/>
  <c r="A515" i="1"/>
  <c r="C515" i="1"/>
  <c r="F515" i="1"/>
  <c r="E515" i="1"/>
  <c r="D515" i="1"/>
  <c r="B515" i="1"/>
  <c r="A549" i="1"/>
  <c r="A627" i="1"/>
  <c r="G627" i="1"/>
  <c r="F627" i="1"/>
  <c r="E627" i="1"/>
  <c r="D627" i="1"/>
  <c r="B718" i="1"/>
  <c r="A718" i="1"/>
  <c r="G718" i="1"/>
  <c r="F718" i="1"/>
  <c r="C718" i="1"/>
  <c r="C771" i="1"/>
  <c r="G771" i="1"/>
  <c r="F771" i="1"/>
  <c r="D771" i="1"/>
  <c r="B771" i="1"/>
  <c r="A771" i="1"/>
  <c r="A592" i="1"/>
  <c r="E592" i="1"/>
  <c r="G592" i="1"/>
  <c r="F592" i="1"/>
  <c r="B592" i="1"/>
  <c r="G1839" i="1"/>
  <c r="B1839" i="1"/>
  <c r="A1839" i="1"/>
  <c r="E1839" i="1"/>
  <c r="D1839" i="1"/>
  <c r="F1839" i="1"/>
  <c r="C1839" i="1"/>
  <c r="D17" i="1"/>
  <c r="D34" i="1"/>
  <c r="D51" i="1"/>
  <c r="A82" i="1"/>
  <c r="C111" i="1"/>
  <c r="F155" i="1"/>
  <c r="E155" i="1"/>
  <c r="E161" i="1"/>
  <c r="E171" i="1"/>
  <c r="G248" i="1"/>
  <c r="A248" i="1"/>
  <c r="E347" i="1"/>
  <c r="B347" i="1"/>
  <c r="A347" i="1"/>
  <c r="F938" i="1"/>
  <c r="E938" i="1"/>
  <c r="B938" i="1"/>
  <c r="A938" i="1"/>
  <c r="D938" i="1"/>
  <c r="C938" i="1"/>
  <c r="G938" i="1"/>
  <c r="A26" i="1"/>
  <c r="E34" i="1"/>
  <c r="B26" i="1"/>
  <c r="D30" i="1"/>
  <c r="F34" i="1"/>
  <c r="B43" i="1"/>
  <c r="F51" i="1"/>
  <c r="A56" i="1"/>
  <c r="E73" i="1"/>
  <c r="C82" i="1"/>
  <c r="E111" i="1"/>
  <c r="B116" i="1"/>
  <c r="B126" i="1"/>
  <c r="A131" i="1"/>
  <c r="A136" i="1"/>
  <c r="C141" i="1"/>
  <c r="G161" i="1"/>
  <c r="B182" i="1"/>
  <c r="G221" i="1"/>
  <c r="F221" i="1"/>
  <c r="C221" i="1"/>
  <c r="A227" i="1"/>
  <c r="B378" i="1"/>
  <c r="A378" i="1"/>
  <c r="F378" i="1"/>
  <c r="F474" i="1"/>
  <c r="E474" i="1"/>
  <c r="B474" i="1"/>
  <c r="A474" i="1"/>
  <c r="G536" i="1"/>
  <c r="C536" i="1"/>
  <c r="F536" i="1"/>
  <c r="E536" i="1"/>
  <c r="A536" i="1"/>
  <c r="D565" i="1"/>
  <c r="C565" i="1"/>
  <c r="G565" i="1"/>
  <c r="F565" i="1"/>
  <c r="A565" i="1"/>
  <c r="E656" i="1"/>
  <c r="F656" i="1"/>
  <c r="D656" i="1"/>
  <c r="C656" i="1"/>
  <c r="B656" i="1"/>
  <c r="E1002" i="1"/>
  <c r="D1002" i="1"/>
  <c r="F1002" i="1"/>
  <c r="C1002" i="1"/>
  <c r="G1002" i="1"/>
  <c r="B1002" i="1"/>
  <c r="A1002" i="1"/>
  <c r="G1055" i="1"/>
  <c r="C1055" i="1"/>
  <c r="F1055" i="1"/>
  <c r="E1055" i="1"/>
  <c r="A1055" i="1"/>
  <c r="B1055" i="1"/>
  <c r="B266" i="1"/>
  <c r="A266" i="1"/>
  <c r="F266" i="1"/>
  <c r="G501" i="1"/>
  <c r="C501" i="1"/>
  <c r="E501" i="1"/>
  <c r="D501" i="1"/>
  <c r="G319" i="1"/>
  <c r="F319" i="1"/>
  <c r="C319" i="1"/>
  <c r="B319" i="1"/>
  <c r="F1003" i="1"/>
  <c r="B1003" i="1"/>
  <c r="G1003" i="1"/>
  <c r="E1003" i="1"/>
  <c r="A1003" i="1"/>
  <c r="D1003" i="1"/>
  <c r="C1003" i="1"/>
  <c r="G232" i="1"/>
  <c r="E232" i="1"/>
  <c r="D232" i="1"/>
  <c r="F516" i="1"/>
  <c r="G516" i="1"/>
  <c r="E516" i="1"/>
  <c r="B516" i="1"/>
  <c r="A516" i="1"/>
  <c r="D774" i="1"/>
  <c r="F774" i="1"/>
  <c r="E774" i="1"/>
  <c r="A774" i="1"/>
  <c r="G774" i="1"/>
  <c r="C774" i="1"/>
  <c r="B774" i="1"/>
  <c r="G1468" i="1"/>
  <c r="E1468" i="1"/>
  <c r="D1468" i="1"/>
  <c r="A1468" i="1"/>
  <c r="F1468" i="1"/>
  <c r="C1468" i="1"/>
  <c r="B1468" i="1"/>
  <c r="G312" i="1"/>
  <c r="E312" i="1"/>
  <c r="D312" i="1"/>
  <c r="A312" i="1"/>
  <c r="F783" i="1"/>
  <c r="G783" i="1"/>
  <c r="E783" i="1"/>
  <c r="B783" i="1"/>
  <c r="A783" i="1"/>
  <c r="C783" i="1"/>
  <c r="F249" i="1"/>
  <c r="E249" i="1"/>
  <c r="B249" i="1"/>
  <c r="A249" i="1"/>
  <c r="C549" i="1"/>
  <c r="B549" i="1"/>
  <c r="G549" i="1"/>
  <c r="F549" i="1"/>
  <c r="F1244" i="1"/>
  <c r="E1244" i="1"/>
  <c r="C1244" i="1"/>
  <c r="G1244" i="1"/>
  <c r="D1244" i="1"/>
  <c r="B1244" i="1"/>
  <c r="A1244" i="1"/>
  <c r="A18" i="1"/>
  <c r="F26" i="1"/>
  <c r="B35" i="1"/>
  <c r="E43" i="1"/>
  <c r="A74" i="1"/>
  <c r="F82" i="1"/>
  <c r="B87" i="1"/>
  <c r="F106" i="1"/>
  <c r="E106" i="1"/>
  <c r="B106" i="1"/>
  <c r="A106" i="1"/>
  <c r="A112" i="1"/>
  <c r="E116" i="1"/>
  <c r="C121" i="1"/>
  <c r="F131" i="1"/>
  <c r="E136" i="1"/>
  <c r="F141" i="1"/>
  <c r="D146" i="1"/>
  <c r="C146" i="1"/>
  <c r="G156" i="1"/>
  <c r="B156" i="1"/>
  <c r="A156" i="1"/>
  <c r="E182" i="1"/>
  <c r="G188" i="1"/>
  <c r="F188" i="1"/>
  <c r="E188" i="1"/>
  <c r="B188" i="1"/>
  <c r="E194" i="1"/>
  <c r="G205" i="1"/>
  <c r="F205" i="1"/>
  <c r="C205" i="1"/>
  <c r="B205" i="1"/>
  <c r="E222" i="1"/>
  <c r="F227" i="1"/>
  <c r="G239" i="1"/>
  <c r="F239" i="1"/>
  <c r="C239" i="1"/>
  <c r="D267" i="1"/>
  <c r="F278" i="1"/>
  <c r="D313" i="1"/>
  <c r="C331" i="1"/>
  <c r="B349" i="1"/>
  <c r="A436" i="1"/>
  <c r="C455" i="1"/>
  <c r="C508" i="1"/>
  <c r="G508" i="1"/>
  <c r="F508" i="1"/>
  <c r="B508" i="1"/>
  <c r="A508" i="1"/>
  <c r="B550" i="1"/>
  <c r="G566" i="1"/>
  <c r="D566" i="1"/>
  <c r="C566" i="1"/>
  <c r="E566" i="1"/>
  <c r="B566" i="1"/>
  <c r="A579" i="1"/>
  <c r="F579" i="1"/>
  <c r="C579" i="1"/>
  <c r="E579" i="1"/>
  <c r="D579" i="1"/>
  <c r="A650" i="1"/>
  <c r="G284" i="1"/>
  <c r="F284" i="1"/>
  <c r="E284" i="1"/>
  <c r="B284" i="1"/>
  <c r="A284" i="1"/>
  <c r="F529" i="1"/>
  <c r="E529" i="1"/>
  <c r="G529" i="1"/>
  <c r="D529" i="1"/>
  <c r="A529" i="1"/>
  <c r="C1418" i="1"/>
  <c r="A1418" i="1"/>
  <c r="F1418" i="1"/>
  <c r="B1418" i="1"/>
  <c r="E1418" i="1"/>
  <c r="D1418" i="1"/>
  <c r="A52" i="1"/>
  <c r="D56" i="1"/>
  <c r="B18" i="1"/>
  <c r="G26" i="1"/>
  <c r="C35" i="1"/>
  <c r="F43" i="1"/>
  <c r="B52" i="1"/>
  <c r="E56" i="1"/>
  <c r="A61" i="1"/>
  <c r="B74" i="1"/>
  <c r="C87" i="1"/>
  <c r="A92" i="1"/>
  <c r="A107" i="1"/>
  <c r="B112" i="1"/>
  <c r="F116" i="1"/>
  <c r="G126" i="1"/>
  <c r="F126" i="1"/>
  <c r="A157" i="1"/>
  <c r="G172" i="1"/>
  <c r="F172" i="1"/>
  <c r="E172" i="1"/>
  <c r="B172" i="1"/>
  <c r="A172" i="1"/>
  <c r="G177" i="1"/>
  <c r="D177" i="1"/>
  <c r="F182" i="1"/>
  <c r="G256" i="1"/>
  <c r="C256" i="1"/>
  <c r="B256" i="1"/>
  <c r="G302" i="1"/>
  <c r="F302" i="1"/>
  <c r="G360" i="1"/>
  <c r="E360" i="1"/>
  <c r="D360" i="1"/>
  <c r="A360" i="1"/>
  <c r="F379" i="1"/>
  <c r="E379" i="1"/>
  <c r="B379" i="1"/>
  <c r="A379" i="1"/>
  <c r="B404" i="1"/>
  <c r="A404" i="1"/>
  <c r="F404" i="1"/>
  <c r="E461" i="1"/>
  <c r="B461" i="1"/>
  <c r="G461" i="1"/>
  <c r="F461" i="1"/>
  <c r="A461" i="1"/>
  <c r="G880" i="1"/>
  <c r="C880" i="1"/>
  <c r="B880" i="1"/>
  <c r="F880" i="1"/>
  <c r="E880" i="1"/>
  <c r="A880" i="1"/>
  <c r="A1098" i="1"/>
  <c r="E1098" i="1"/>
  <c r="G1098" i="1"/>
  <c r="C1098" i="1"/>
  <c r="B1098" i="1"/>
  <c r="F1098" i="1"/>
  <c r="D1098" i="1"/>
  <c r="C318" i="1"/>
  <c r="B318" i="1"/>
  <c r="F330" i="1"/>
  <c r="E330" i="1"/>
  <c r="B330" i="1"/>
  <c r="A330" i="1"/>
  <c r="C614" i="1"/>
  <c r="B614" i="1"/>
  <c r="F614" i="1"/>
  <c r="A614" i="1"/>
  <c r="E614" i="1"/>
  <c r="D614" i="1"/>
  <c r="D18" i="1"/>
  <c r="B61" i="1"/>
  <c r="A127" i="1"/>
  <c r="F267" i="1"/>
  <c r="E267" i="1"/>
  <c r="B267" i="1"/>
  <c r="A267" i="1"/>
  <c r="F550" i="1"/>
  <c r="E550" i="1"/>
  <c r="A550" i="1"/>
  <c r="D550" i="1"/>
  <c r="C550" i="1"/>
  <c r="G488" i="1"/>
  <c r="C488" i="1"/>
  <c r="F488" i="1"/>
  <c r="E488" i="1"/>
  <c r="A488" i="1"/>
  <c r="E833" i="1"/>
  <c r="B833" i="1"/>
  <c r="F833" i="1"/>
  <c r="D833" i="1"/>
  <c r="C833" i="1"/>
  <c r="A833" i="1"/>
  <c r="G833" i="1"/>
  <c r="C74" i="1"/>
  <c r="D131" i="1"/>
  <c r="C131" i="1"/>
  <c r="G222" i="1"/>
  <c r="C222" i="1"/>
  <c r="B222" i="1"/>
  <c r="F313" i="1"/>
  <c r="E313" i="1"/>
  <c r="B313" i="1"/>
  <c r="A313" i="1"/>
  <c r="C361" i="1"/>
  <c r="E805" i="1"/>
  <c r="G805" i="1"/>
  <c r="F805" i="1"/>
  <c r="A805" i="1"/>
  <c r="D805" i="1"/>
  <c r="C805" i="1"/>
  <c r="B805" i="1"/>
  <c r="A27" i="1"/>
  <c r="D61" i="1"/>
  <c r="B171" i="1"/>
  <c r="A171" i="1"/>
  <c r="G348" i="1"/>
  <c r="F348" i="1"/>
  <c r="E348" i="1"/>
  <c r="B348" i="1"/>
  <c r="A348" i="1"/>
  <c r="C1024" i="1"/>
  <c r="G1024" i="1"/>
  <c r="F1024" i="1"/>
  <c r="B1024" i="1"/>
  <c r="A1024" i="1"/>
  <c r="E1024" i="1"/>
  <c r="D1024" i="1"/>
  <c r="A87" i="1"/>
  <c r="D35" i="1"/>
  <c r="D87" i="1"/>
  <c r="B92" i="1"/>
  <c r="B107" i="1"/>
  <c r="C112" i="1"/>
  <c r="C157" i="1"/>
  <c r="A173" i="1"/>
  <c r="E278" i="1"/>
  <c r="D278" i="1"/>
  <c r="A278" i="1"/>
  <c r="A303" i="1"/>
  <c r="G650" i="1"/>
  <c r="E650" i="1"/>
  <c r="D650" i="1"/>
  <c r="F650" i="1"/>
  <c r="C650" i="1"/>
  <c r="A83" i="1"/>
  <c r="E87" i="1"/>
  <c r="C92" i="1"/>
  <c r="C107" i="1"/>
  <c r="D112" i="1"/>
  <c r="F331" i="1"/>
  <c r="E331" i="1"/>
  <c r="A331" i="1"/>
  <c r="G436" i="1"/>
  <c r="F436" i="1"/>
  <c r="C436" i="1"/>
  <c r="B436" i="1"/>
  <c r="C449" i="1"/>
  <c r="D712" i="1"/>
  <c r="F712" i="1"/>
  <c r="A712" i="1"/>
  <c r="G712" i="1"/>
  <c r="E712" i="1"/>
  <c r="B1261" i="1"/>
  <c r="F1261" i="1"/>
  <c r="G1261" i="1"/>
  <c r="E1261" i="1"/>
  <c r="D1261" i="1"/>
  <c r="C1261" i="1"/>
  <c r="A1261" i="1"/>
  <c r="A44" i="1"/>
  <c r="C70" i="1"/>
  <c r="E74" i="1"/>
  <c r="B83" i="1"/>
  <c r="F87" i="1"/>
  <c r="D92" i="1"/>
  <c r="B102" i="1"/>
  <c r="D107" i="1"/>
  <c r="E112" i="1"/>
  <c r="B117" i="1"/>
  <c r="A122" i="1"/>
  <c r="E127" i="1"/>
  <c r="B132" i="1"/>
  <c r="B137" i="1"/>
  <c r="D142" i="1"/>
  <c r="B152" i="1"/>
  <c r="E157" i="1"/>
  <c r="D173" i="1"/>
  <c r="B183" i="1"/>
  <c r="B200" i="1"/>
  <c r="D223" i="1"/>
  <c r="B233" i="1"/>
  <c r="A233" i="1"/>
  <c r="F233" i="1"/>
  <c r="C245" i="1"/>
  <c r="F250" i="1"/>
  <c r="E250" i="1"/>
  <c r="B250" i="1"/>
  <c r="E303" i="1"/>
  <c r="D314" i="1"/>
  <c r="C332" i="1"/>
  <c r="A350" i="1"/>
  <c r="E361" i="1"/>
  <c r="G380" i="1"/>
  <c r="F380" i="1"/>
  <c r="E380" i="1"/>
  <c r="B380" i="1"/>
  <c r="A380" i="1"/>
  <c r="D398" i="1"/>
  <c r="E405" i="1"/>
  <c r="G405" i="1"/>
  <c r="F405" i="1"/>
  <c r="B405" i="1"/>
  <c r="A405" i="1"/>
  <c r="B430" i="1"/>
  <c r="D449" i="1"/>
  <c r="A470" i="1"/>
  <c r="C476" i="1"/>
  <c r="A503" i="1"/>
  <c r="G503" i="1"/>
  <c r="F503" i="1"/>
  <c r="E503" i="1"/>
  <c r="B503" i="1"/>
  <c r="D524" i="1"/>
  <c r="C524" i="1"/>
  <c r="G524" i="1"/>
  <c r="F524" i="1"/>
  <c r="A524" i="1"/>
  <c r="A551" i="1"/>
  <c r="G551" i="1"/>
  <c r="D551" i="1"/>
  <c r="C551" i="1"/>
  <c r="E551" i="1"/>
  <c r="B551" i="1"/>
  <c r="C670" i="1"/>
  <c r="E925" i="1"/>
  <c r="B925" i="1"/>
  <c r="C925" i="1"/>
  <c r="F925" i="1"/>
  <c r="D925" i="1"/>
  <c r="G925" i="1"/>
  <c r="A925" i="1"/>
  <c r="A35" i="1"/>
  <c r="C52" i="1"/>
  <c r="G136" i="1"/>
  <c r="D136" i="1"/>
  <c r="D227" i="1"/>
  <c r="C227" i="1"/>
  <c r="A455" i="1"/>
  <c r="E455" i="1"/>
  <c r="G455" i="1"/>
  <c r="F455" i="1"/>
  <c r="B455" i="1"/>
  <c r="E18" i="1"/>
  <c r="E35" i="1"/>
  <c r="D52" i="1"/>
  <c r="D74" i="1"/>
  <c r="F121" i="1"/>
  <c r="E121" i="1"/>
  <c r="D127" i="1"/>
  <c r="A137" i="1"/>
  <c r="D157" i="1"/>
  <c r="B173" i="1"/>
  <c r="D194" i="1"/>
  <c r="C194" i="1"/>
  <c r="B245" i="1"/>
  <c r="D303" i="1"/>
  <c r="G349" i="1"/>
  <c r="F349" i="1"/>
  <c r="C349" i="1"/>
  <c r="D361" i="1"/>
  <c r="B398" i="1"/>
  <c r="A430" i="1"/>
  <c r="G469" i="1"/>
  <c r="F469" i="1"/>
  <c r="C469" i="1"/>
  <c r="E469" i="1"/>
  <c r="D469" i="1"/>
  <c r="B476" i="1"/>
  <c r="E825" i="1"/>
  <c r="A825" i="1"/>
  <c r="G825" i="1"/>
  <c r="F825" i="1"/>
  <c r="B825" i="1"/>
  <c r="D825" i="1"/>
  <c r="C825" i="1"/>
  <c r="B10" i="1"/>
  <c r="F18" i="1"/>
  <c r="B27" i="1"/>
  <c r="D31" i="1"/>
  <c r="F35" i="1"/>
  <c r="E52" i="1"/>
  <c r="A57" i="1"/>
  <c r="E61" i="1"/>
  <c r="C10" i="1"/>
  <c r="E14" i="1"/>
  <c r="G18" i="1"/>
  <c r="B44" i="1"/>
  <c r="F52" i="1"/>
  <c r="C57" i="1"/>
  <c r="F61" i="1"/>
  <c r="F92" i="1"/>
  <c r="C102" i="1"/>
  <c r="F107" i="1"/>
  <c r="F112" i="1"/>
  <c r="C117" i="1"/>
  <c r="B122" i="1"/>
  <c r="F127" i="1"/>
  <c r="D132" i="1"/>
  <c r="E142" i="1"/>
  <c r="C152" i="1"/>
  <c r="F157" i="1"/>
  <c r="E173" i="1"/>
  <c r="C183" i="1"/>
  <c r="G189" i="1"/>
  <c r="C189" i="1"/>
  <c r="B189" i="1"/>
  <c r="C200" i="1"/>
  <c r="G206" i="1"/>
  <c r="F206" i="1"/>
  <c r="C206" i="1"/>
  <c r="G216" i="1"/>
  <c r="E216" i="1"/>
  <c r="D216" i="1"/>
  <c r="A216" i="1"/>
  <c r="E223" i="1"/>
  <c r="C234" i="1"/>
  <c r="F245" i="1"/>
  <c r="C251" i="1"/>
  <c r="G268" i="1"/>
  <c r="F268" i="1"/>
  <c r="E268" i="1"/>
  <c r="B268" i="1"/>
  <c r="A268" i="1"/>
  <c r="C285" i="1"/>
  <c r="B285" i="1"/>
  <c r="G296" i="1"/>
  <c r="E296" i="1"/>
  <c r="D296" i="1"/>
  <c r="A296" i="1"/>
  <c r="F303" i="1"/>
  <c r="E314" i="1"/>
  <c r="D332" i="1"/>
  <c r="D350" i="1"/>
  <c r="G361" i="1"/>
  <c r="G398" i="1"/>
  <c r="A423" i="1"/>
  <c r="B423" i="1"/>
  <c r="G423" i="1"/>
  <c r="F423" i="1"/>
  <c r="C423" i="1"/>
  <c r="F430" i="1"/>
  <c r="E449" i="1"/>
  <c r="D470" i="1"/>
  <c r="G476" i="1"/>
  <c r="D490" i="1"/>
  <c r="F490" i="1"/>
  <c r="G490" i="1"/>
  <c r="E490" i="1"/>
  <c r="A490" i="1"/>
  <c r="A518" i="1"/>
  <c r="C544" i="1"/>
  <c r="E552" i="1"/>
  <c r="G664" i="1"/>
  <c r="E664" i="1"/>
  <c r="A664" i="1"/>
  <c r="D664" i="1"/>
  <c r="C664" i="1"/>
  <c r="D670" i="1"/>
  <c r="F734" i="1"/>
  <c r="B482" i="1"/>
  <c r="D482" i="1"/>
  <c r="G502" i="1"/>
  <c r="B502" i="1"/>
  <c r="E502" i="1"/>
  <c r="A640" i="1"/>
  <c r="E640" i="1"/>
  <c r="D640" i="1"/>
  <c r="E722" i="1"/>
  <c r="D722" i="1"/>
  <c r="A722" i="1"/>
  <c r="C722" i="1"/>
  <c r="G760" i="1"/>
  <c r="C760" i="1"/>
  <c r="B760" i="1"/>
  <c r="D760" i="1"/>
  <c r="C832" i="1"/>
  <c r="B832" i="1"/>
  <c r="G832" i="1"/>
  <c r="D832" i="1"/>
  <c r="A832" i="1"/>
  <c r="E832" i="1"/>
  <c r="F876" i="1"/>
  <c r="B876" i="1"/>
  <c r="A876" i="1"/>
  <c r="G876" i="1"/>
  <c r="E876" i="1"/>
  <c r="D898" i="1"/>
  <c r="C898" i="1"/>
  <c r="G898" i="1"/>
  <c r="F898" i="1"/>
  <c r="A898" i="1"/>
  <c r="A950" i="1"/>
  <c r="F950" i="1"/>
  <c r="E950" i="1"/>
  <c r="B950" i="1"/>
  <c r="D950" i="1"/>
  <c r="C950" i="1"/>
  <c r="B1289" i="1"/>
  <c r="A1289" i="1"/>
  <c r="E1289" i="1"/>
  <c r="F1289" i="1"/>
  <c r="D1289" i="1"/>
  <c r="G1289" i="1"/>
  <c r="C1289" i="1"/>
  <c r="C1513" i="1"/>
  <c r="B1513" i="1"/>
  <c r="A1513" i="1"/>
  <c r="F1513" i="1"/>
  <c r="G1513" i="1"/>
  <c r="E1513" i="1"/>
  <c r="D1513" i="1"/>
  <c r="E391" i="1"/>
  <c r="D413" i="1"/>
  <c r="E426" i="1"/>
  <c r="E454" i="1"/>
  <c r="B533" i="1"/>
  <c r="A533" i="1"/>
  <c r="D567" i="1"/>
  <c r="A611" i="1"/>
  <c r="E611" i="1"/>
  <c r="F715" i="1"/>
  <c r="C715" i="1"/>
  <c r="B715" i="1"/>
  <c r="E715" i="1"/>
  <c r="E755" i="1"/>
  <c r="A755" i="1"/>
  <c r="G755" i="1"/>
  <c r="B755" i="1"/>
  <c r="G868" i="1"/>
  <c r="D868" i="1"/>
  <c r="E868" i="1"/>
  <c r="A868" i="1"/>
  <c r="F868" i="1"/>
  <c r="C868" i="1"/>
  <c r="F920" i="1"/>
  <c r="G920" i="1"/>
  <c r="E920" i="1"/>
  <c r="B920" i="1"/>
  <c r="A920" i="1"/>
  <c r="C920" i="1"/>
  <c r="F1067" i="1"/>
  <c r="C1067" i="1"/>
  <c r="B1067" i="1"/>
  <c r="D1067" i="1"/>
  <c r="G1067" i="1"/>
  <c r="E1067" i="1"/>
  <c r="A478" i="1"/>
  <c r="B478" i="1"/>
  <c r="C498" i="1"/>
  <c r="A523" i="1"/>
  <c r="E523" i="1"/>
  <c r="G523" i="1"/>
  <c r="B523" i="1"/>
  <c r="F528" i="1"/>
  <c r="E528" i="1"/>
  <c r="A528" i="1"/>
  <c r="B556" i="1"/>
  <c r="E641" i="1"/>
  <c r="B641" i="1"/>
  <c r="G641" i="1"/>
  <c r="F641" i="1"/>
  <c r="C770" i="1"/>
  <c r="F770" i="1"/>
  <c r="E770" i="1"/>
  <c r="A770" i="1"/>
  <c r="G770" i="1"/>
  <c r="D770" i="1"/>
  <c r="F878" i="1"/>
  <c r="G878" i="1"/>
  <c r="E878" i="1"/>
  <c r="B878" i="1"/>
  <c r="A878" i="1"/>
  <c r="C878" i="1"/>
  <c r="A912" i="1"/>
  <c r="B912" i="1"/>
  <c r="F912" i="1"/>
  <c r="E912" i="1"/>
  <c r="B1020" i="1"/>
  <c r="F1020" i="1"/>
  <c r="E1020" i="1"/>
  <c r="A1020" i="1"/>
  <c r="G1020" i="1"/>
  <c r="D1020" i="1"/>
  <c r="C1020" i="1"/>
  <c r="A1123" i="1"/>
  <c r="G1123" i="1"/>
  <c r="F1123" i="1"/>
  <c r="B1123" i="1"/>
  <c r="E1123" i="1"/>
  <c r="D1123" i="1"/>
  <c r="D180" i="1"/>
  <c r="A263" i="1"/>
  <c r="D308" i="1"/>
  <c r="A325" i="1"/>
  <c r="A358" i="1"/>
  <c r="E383" i="1"/>
  <c r="A392" i="1"/>
  <c r="E422" i="1"/>
  <c r="A459" i="1"/>
  <c r="G459" i="1"/>
  <c r="B534" i="1"/>
  <c r="F534" i="1"/>
  <c r="C534" i="1"/>
  <c r="A534" i="1"/>
  <c r="A567" i="1"/>
  <c r="C567" i="1"/>
  <c r="F612" i="1"/>
  <c r="C612" i="1"/>
  <c r="B612" i="1"/>
  <c r="A612" i="1"/>
  <c r="G630" i="1"/>
  <c r="F630" i="1"/>
  <c r="B630" i="1"/>
  <c r="E630" i="1"/>
  <c r="C798" i="1"/>
  <c r="F798" i="1"/>
  <c r="E798" i="1"/>
  <c r="D798" i="1"/>
  <c r="G814" i="1"/>
  <c r="D814" i="1"/>
  <c r="A814" i="1"/>
  <c r="A1257" i="1"/>
  <c r="E1257" i="1"/>
  <c r="G1257" i="1"/>
  <c r="B1257" i="1"/>
  <c r="D1257" i="1"/>
  <c r="C1257" i="1"/>
  <c r="F1257" i="1"/>
  <c r="D1291" i="1"/>
  <c r="B1291" i="1"/>
  <c r="G1291" i="1"/>
  <c r="F1291" i="1"/>
  <c r="A1291" i="1"/>
  <c r="E1291" i="1"/>
  <c r="C1291" i="1"/>
  <c r="B160" i="1"/>
  <c r="C193" i="1"/>
  <c r="C226" i="1"/>
  <c r="C259" i="1"/>
  <c r="D263" i="1"/>
  <c r="B288" i="1"/>
  <c r="C292" i="1"/>
  <c r="C321" i="1"/>
  <c r="D325" i="1"/>
  <c r="C354" i="1"/>
  <c r="D358" i="1"/>
  <c r="C375" i="1"/>
  <c r="D392" i="1"/>
  <c r="B401" i="1"/>
  <c r="B441" i="1"/>
  <c r="C460" i="1"/>
  <c r="B465" i="1"/>
  <c r="B484" i="1"/>
  <c r="B489" i="1"/>
  <c r="F498" i="1"/>
  <c r="A498" i="1"/>
  <c r="B498" i="1"/>
  <c r="C504" i="1"/>
  <c r="E556" i="1"/>
  <c r="D556" i="1"/>
  <c r="A556" i="1"/>
  <c r="C573" i="1"/>
  <c r="E589" i="1"/>
  <c r="D589" i="1"/>
  <c r="G589" i="1"/>
  <c r="F589" i="1"/>
  <c r="A606" i="1"/>
  <c r="F606" i="1"/>
  <c r="B606" i="1"/>
  <c r="A619" i="1"/>
  <c r="E619" i="1"/>
  <c r="B619" i="1"/>
  <c r="F748" i="1"/>
  <c r="D748" i="1"/>
  <c r="C748" i="1"/>
  <c r="E748" i="1"/>
  <c r="A780" i="1"/>
  <c r="G792" i="1"/>
  <c r="F792" i="1"/>
  <c r="C792" i="1"/>
  <c r="B792" i="1"/>
  <c r="E792" i="1"/>
  <c r="C958" i="1"/>
  <c r="A958" i="1"/>
  <c r="F958" i="1"/>
  <c r="E958" i="1"/>
  <c r="D958" i="1"/>
  <c r="B958" i="1"/>
  <c r="C1249" i="1"/>
  <c r="A1249" i="1"/>
  <c r="E1249" i="1"/>
  <c r="F1249" i="1"/>
  <c r="D1249" i="1"/>
  <c r="B1249" i="1"/>
  <c r="C160" i="1"/>
  <c r="C288" i="1"/>
  <c r="D292" i="1"/>
  <c r="C401" i="1"/>
  <c r="C441" i="1"/>
  <c r="D460" i="1"/>
  <c r="D504" i="1"/>
  <c r="A595" i="1"/>
  <c r="G595" i="1"/>
  <c r="B595" i="1"/>
  <c r="F624" i="1"/>
  <c r="D624" i="1"/>
  <c r="E893" i="1"/>
  <c r="F893" i="1"/>
  <c r="B893" i="1"/>
  <c r="D893" i="1"/>
  <c r="C893" i="1"/>
  <c r="A893" i="1"/>
  <c r="G922" i="1"/>
  <c r="F922" i="1"/>
  <c r="A922" i="1"/>
  <c r="E922" i="1"/>
  <c r="D922" i="1"/>
  <c r="B922" i="1"/>
  <c r="E1350" i="1"/>
  <c r="D1350" i="1"/>
  <c r="G1350" i="1"/>
  <c r="F1350" i="1"/>
  <c r="C1350" i="1"/>
  <c r="B1350" i="1"/>
  <c r="A1350" i="1"/>
  <c r="F465" i="1"/>
  <c r="D465" i="1"/>
  <c r="A465" i="1"/>
  <c r="G489" i="1"/>
  <c r="D489" i="1"/>
  <c r="A573" i="1"/>
  <c r="E573" i="1"/>
  <c r="A643" i="1"/>
  <c r="C643" i="1"/>
  <c r="B643" i="1"/>
  <c r="F643" i="1"/>
  <c r="G780" i="1"/>
  <c r="F780" i="1"/>
  <c r="D780" i="1"/>
  <c r="B827" i="1"/>
  <c r="G827" i="1"/>
  <c r="D827" i="1"/>
  <c r="C827" i="1"/>
  <c r="F827" i="1"/>
  <c r="E937" i="1"/>
  <c r="F937" i="1"/>
  <c r="G937" i="1"/>
  <c r="D937" i="1"/>
  <c r="A937" i="1"/>
  <c r="B937" i="1"/>
  <c r="E1149" i="1"/>
  <c r="B1149" i="1"/>
  <c r="A1149" i="1"/>
  <c r="G1149" i="1"/>
  <c r="F1149" i="1"/>
  <c r="D1171" i="1"/>
  <c r="C1171" i="1"/>
  <c r="G1171" i="1"/>
  <c r="F1171" i="1"/>
  <c r="E1171" i="1"/>
  <c r="B1171" i="1"/>
  <c r="D210" i="1"/>
  <c r="D243" i="1"/>
  <c r="C272" i="1"/>
  <c r="D305" i="1"/>
  <c r="A326" i="1"/>
  <c r="D338" i="1"/>
  <c r="A359" i="1"/>
  <c r="D367" i="1"/>
  <c r="C406" i="1"/>
  <c r="A466" i="1"/>
  <c r="E484" i="1"/>
  <c r="A484" i="1"/>
  <c r="A499" i="1"/>
  <c r="G499" i="1"/>
  <c r="D499" i="1"/>
  <c r="C509" i="1"/>
  <c r="F557" i="1"/>
  <c r="C557" i="1"/>
  <c r="B557" i="1"/>
  <c r="A607" i="1"/>
  <c r="D607" i="1"/>
  <c r="C607" i="1"/>
  <c r="E809" i="1"/>
  <c r="G809" i="1"/>
  <c r="C809" i="1"/>
  <c r="B809" i="1"/>
  <c r="D809" i="1"/>
  <c r="A809" i="1"/>
  <c r="E965" i="1"/>
  <c r="F965" i="1"/>
  <c r="D965" i="1"/>
  <c r="C965" i="1"/>
  <c r="B965" i="1"/>
  <c r="A965" i="1"/>
  <c r="G979" i="1"/>
  <c r="B979" i="1"/>
  <c r="F979" i="1"/>
  <c r="E979" i="1"/>
  <c r="C979" i="1"/>
  <c r="A979" i="1"/>
  <c r="F1000" i="1"/>
  <c r="E1000" i="1"/>
  <c r="D1000" i="1"/>
  <c r="A1000" i="1"/>
  <c r="C1000" i="1"/>
  <c r="B1000" i="1"/>
  <c r="E1132" i="1"/>
  <c r="B1132" i="1"/>
  <c r="A1132" i="1"/>
  <c r="G1132" i="1"/>
  <c r="F1132" i="1"/>
  <c r="D1132" i="1"/>
  <c r="C1132" i="1"/>
  <c r="F272" i="1"/>
  <c r="D326" i="1"/>
  <c r="C355" i="1"/>
  <c r="D359" i="1"/>
  <c r="C376" i="1"/>
  <c r="C402" i="1"/>
  <c r="G406" i="1"/>
  <c r="C411" i="1"/>
  <c r="G419" i="1"/>
  <c r="B433" i="1"/>
  <c r="G437" i="1"/>
  <c r="C442" i="1"/>
  <c r="A451" i="1"/>
  <c r="C451" i="1"/>
  <c r="D466" i="1"/>
  <c r="D485" i="1"/>
  <c r="C495" i="1"/>
  <c r="C500" i="1"/>
  <c r="C505" i="1"/>
  <c r="F509" i="1"/>
  <c r="A530" i="1"/>
  <c r="B530" i="1"/>
  <c r="C586" i="1"/>
  <c r="B615" i="1"/>
  <c r="A681" i="1"/>
  <c r="F698" i="1"/>
  <c r="E698" i="1"/>
  <c r="D698" i="1"/>
  <c r="A698" i="1"/>
  <c r="E744" i="1"/>
  <c r="A744" i="1"/>
  <c r="G744" i="1"/>
  <c r="B744" i="1"/>
  <c r="F788" i="1"/>
  <c r="E788" i="1"/>
  <c r="B788" i="1"/>
  <c r="A788" i="1"/>
  <c r="C788" i="1"/>
  <c r="E801" i="1"/>
  <c r="F801" i="1"/>
  <c r="D801" i="1"/>
  <c r="A801" i="1"/>
  <c r="C801" i="1"/>
  <c r="B801" i="1"/>
  <c r="D355" i="1"/>
  <c r="D376" i="1"/>
  <c r="E402" i="1"/>
  <c r="D411" i="1"/>
  <c r="D433" i="1"/>
  <c r="D442" i="1"/>
  <c r="A475" i="1"/>
  <c r="E475" i="1"/>
  <c r="E485" i="1"/>
  <c r="D500" i="1"/>
  <c r="D505" i="1"/>
  <c r="C531" i="1"/>
  <c r="D586" i="1"/>
  <c r="E608" i="1"/>
  <c r="B608" i="1"/>
  <c r="F608" i="1"/>
  <c r="D608" i="1"/>
  <c r="F626" i="1"/>
  <c r="E626" i="1"/>
  <c r="A626" i="1"/>
  <c r="D626" i="1"/>
  <c r="C626" i="1"/>
  <c r="B644" i="1"/>
  <c r="G644" i="1"/>
  <c r="C644" i="1"/>
  <c r="B681" i="1"/>
  <c r="G1071" i="1"/>
  <c r="D1071" i="1"/>
  <c r="C1071" i="1"/>
  <c r="E1071" i="1"/>
  <c r="B1071" i="1"/>
  <c r="F1071" i="1"/>
  <c r="A1071" i="1"/>
  <c r="G411" i="1"/>
  <c r="G433" i="1"/>
  <c r="A495" i="1"/>
  <c r="D495" i="1"/>
  <c r="G564" i="1"/>
  <c r="F564" i="1"/>
  <c r="B564" i="1"/>
  <c r="E564" i="1"/>
  <c r="A581" i="1"/>
  <c r="A615" i="1"/>
  <c r="G615" i="1"/>
  <c r="C615" i="1"/>
  <c r="G719" i="1"/>
  <c r="F719" i="1"/>
  <c r="E719" i="1"/>
  <c r="A719" i="1"/>
  <c r="C719" i="1"/>
  <c r="B719" i="1"/>
  <c r="G726" i="1"/>
  <c r="F726" i="1"/>
  <c r="C726" i="1"/>
  <c r="E726" i="1"/>
  <c r="D726" i="1"/>
  <c r="F782" i="1"/>
  <c r="D782" i="1"/>
  <c r="C782" i="1"/>
  <c r="B782" i="1"/>
  <c r="E865" i="1"/>
  <c r="C865" i="1"/>
  <c r="B865" i="1"/>
  <c r="F865" i="1"/>
  <c r="D865" i="1"/>
  <c r="A865" i="1"/>
  <c r="F1062" i="1"/>
  <c r="E1062" i="1"/>
  <c r="C1062" i="1"/>
  <c r="B1062" i="1"/>
  <c r="G1062" i="1"/>
  <c r="A531" i="1"/>
  <c r="G531" i="1"/>
  <c r="B531" i="1"/>
  <c r="E609" i="1"/>
  <c r="F609" i="1"/>
  <c r="B609" i="1"/>
  <c r="A609" i="1"/>
  <c r="F645" i="1"/>
  <c r="C645" i="1"/>
  <c r="E645" i="1"/>
  <c r="D645" i="1"/>
  <c r="E681" i="1"/>
  <c r="G681" i="1"/>
  <c r="F687" i="1"/>
  <c r="G687" i="1"/>
  <c r="E687" i="1"/>
  <c r="B687" i="1"/>
  <c r="C687" i="1"/>
  <c r="A687" i="1"/>
  <c r="D775" i="1"/>
  <c r="B775" i="1"/>
  <c r="A775" i="1"/>
  <c r="G775" i="1"/>
  <c r="F775" i="1"/>
  <c r="F811" i="1"/>
  <c r="E811" i="1"/>
  <c r="G811" i="1"/>
  <c r="D811" i="1"/>
  <c r="A811" i="1"/>
  <c r="E837" i="1"/>
  <c r="C837" i="1"/>
  <c r="G837" i="1"/>
  <c r="B837" i="1"/>
  <c r="A837" i="1"/>
  <c r="D837" i="1"/>
  <c r="G882" i="1"/>
  <c r="E882" i="1"/>
  <c r="D882" i="1"/>
  <c r="C882" i="1"/>
  <c r="E1032" i="1"/>
  <c r="A1032" i="1"/>
  <c r="G1032" i="1"/>
  <c r="F1032" i="1"/>
  <c r="B1032" i="1"/>
  <c r="C1032" i="1"/>
  <c r="F381" i="1"/>
  <c r="G429" i="1"/>
  <c r="F462" i="1"/>
  <c r="A491" i="1"/>
  <c r="B491" i="1"/>
  <c r="D537" i="1"/>
  <c r="C537" i="1"/>
  <c r="A603" i="1"/>
  <c r="G603" i="1"/>
  <c r="F603" i="1"/>
  <c r="F688" i="1"/>
  <c r="G688" i="1"/>
  <c r="E688" i="1"/>
  <c r="B688" i="1"/>
  <c r="A688" i="1"/>
  <c r="E713" i="1"/>
  <c r="G713" i="1"/>
  <c r="F713" i="1"/>
  <c r="B713" i="1"/>
  <c r="D713" i="1"/>
  <c r="C713" i="1"/>
  <c r="B732" i="1"/>
  <c r="E732" i="1"/>
  <c r="D732" i="1"/>
  <c r="G732" i="1"/>
  <c r="E1057" i="1"/>
  <c r="C1057" i="1"/>
  <c r="G1057" i="1"/>
  <c r="F1057" i="1"/>
  <c r="A1057" i="1"/>
  <c r="D1057" i="1"/>
  <c r="B1057" i="1"/>
  <c r="C486" i="1"/>
  <c r="F486" i="1"/>
  <c r="B486" i="1"/>
  <c r="D521" i="1"/>
  <c r="A521" i="1"/>
  <c r="C581" i="1"/>
  <c r="B581" i="1"/>
  <c r="C598" i="1"/>
  <c r="B598" i="1"/>
  <c r="G616" i="1"/>
  <c r="D616" i="1"/>
  <c r="C616" i="1"/>
  <c r="F727" i="1"/>
  <c r="G727" i="1"/>
  <c r="B727" i="1"/>
  <c r="D740" i="1"/>
  <c r="G740" i="1"/>
  <c r="F740" i="1"/>
  <c r="B740" i="1"/>
  <c r="A740" i="1"/>
  <c r="G776" i="1"/>
  <c r="F776" i="1"/>
  <c r="C776" i="1"/>
  <c r="B776" i="1"/>
  <c r="E941" i="1"/>
  <c r="G941" i="1"/>
  <c r="F941" i="1"/>
  <c r="D941" i="1"/>
  <c r="A941" i="1"/>
  <c r="B941" i="1"/>
  <c r="F1180" i="1"/>
  <c r="E1180" i="1"/>
  <c r="A1180" i="1"/>
  <c r="G1180" i="1"/>
  <c r="D1180" i="1"/>
  <c r="B1180" i="1"/>
  <c r="C1180" i="1"/>
  <c r="D1253" i="1"/>
  <c r="C1253" i="1"/>
  <c r="G1253" i="1"/>
  <c r="F1253" i="1"/>
  <c r="B1253" i="1"/>
  <c r="A1253" i="1"/>
  <c r="E1253" i="1"/>
  <c r="F1338" i="1"/>
  <c r="B1338" i="1"/>
  <c r="C1338" i="1"/>
  <c r="E1338" i="1"/>
  <c r="G1338" i="1"/>
  <c r="D1338" i="1"/>
  <c r="A1338" i="1"/>
  <c r="F96" i="1"/>
  <c r="C179" i="1"/>
  <c r="B208" i="1"/>
  <c r="F224" i="1"/>
  <c r="C241" i="1"/>
  <c r="C274" i="1"/>
  <c r="C307" i="1"/>
  <c r="B336" i="1"/>
  <c r="F352" i="1"/>
  <c r="B365" i="1"/>
  <c r="F373" i="1"/>
  <c r="C382" i="1"/>
  <c r="G390" i="1"/>
  <c r="C395" i="1"/>
  <c r="C421" i="1"/>
  <c r="G425" i="1"/>
  <c r="C444" i="1"/>
  <c r="D448" i="1"/>
  <c r="A448" i="1"/>
  <c r="G453" i="1"/>
  <c r="D463" i="1"/>
  <c r="B468" i="1"/>
  <c r="C482" i="1"/>
  <c r="D487" i="1"/>
  <c r="A502" i="1"/>
  <c r="A511" i="1"/>
  <c r="B511" i="1"/>
  <c r="C511" i="1"/>
  <c r="C517" i="1"/>
  <c r="C522" i="1"/>
  <c r="C533" i="1"/>
  <c r="G554" i="1"/>
  <c r="F554" i="1"/>
  <c r="G576" i="1"/>
  <c r="C582" i="1"/>
  <c r="B611" i="1"/>
  <c r="B640" i="1"/>
  <c r="E689" i="1"/>
  <c r="C689" i="1"/>
  <c r="B689" i="1"/>
  <c r="D689" i="1"/>
  <c r="E721" i="1"/>
  <c r="D721" i="1"/>
  <c r="C721" i="1"/>
  <c r="F721" i="1"/>
  <c r="E733" i="1"/>
  <c r="A733" i="1"/>
  <c r="F733" i="1"/>
  <c r="D733" i="1"/>
  <c r="F759" i="1"/>
  <c r="B759" i="1"/>
  <c r="E759" i="1"/>
  <c r="A759" i="1"/>
  <c r="C208" i="1"/>
  <c r="C336" i="1"/>
  <c r="C365" i="1"/>
  <c r="D395" i="1"/>
  <c r="D444" i="1"/>
  <c r="E463" i="1"/>
  <c r="D468" i="1"/>
  <c r="E482" i="1"/>
  <c r="E487" i="1"/>
  <c r="C502" i="1"/>
  <c r="D517" i="1"/>
  <c r="D522" i="1"/>
  <c r="A543" i="1"/>
  <c r="E543" i="1"/>
  <c r="F543" i="1"/>
  <c r="B543" i="1"/>
  <c r="F560" i="1"/>
  <c r="E560" i="1"/>
  <c r="A560" i="1"/>
  <c r="G560" i="1"/>
  <c r="D560" i="1"/>
  <c r="D582" i="1"/>
  <c r="F593" i="1"/>
  <c r="E593" i="1"/>
  <c r="A593" i="1"/>
  <c r="C593" i="1"/>
  <c r="B593" i="1"/>
  <c r="C611" i="1"/>
  <c r="C640" i="1"/>
  <c r="A647" i="1"/>
  <c r="D647" i="1"/>
  <c r="C647" i="1"/>
  <c r="F647" i="1"/>
  <c r="E647" i="1"/>
  <c r="E676" i="1"/>
  <c r="D676" i="1"/>
  <c r="F676" i="1"/>
  <c r="C676" i="1"/>
  <c r="B722" i="1"/>
  <c r="F754" i="1"/>
  <c r="E754" i="1"/>
  <c r="B754" i="1"/>
  <c r="A754" i="1"/>
  <c r="D754" i="1"/>
  <c r="C754" i="1"/>
  <c r="A760" i="1"/>
  <c r="F918" i="1"/>
  <c r="E918" i="1"/>
  <c r="G918" i="1"/>
  <c r="A918" i="1"/>
  <c r="D918" i="1"/>
  <c r="C918" i="1"/>
  <c r="D943" i="1"/>
  <c r="C943" i="1"/>
  <c r="B943" i="1"/>
  <c r="F943" i="1"/>
  <c r="E943" i="1"/>
  <c r="A943" i="1"/>
  <c r="B580" i="1"/>
  <c r="A585" i="1"/>
  <c r="A651" i="1"/>
  <c r="E651" i="1"/>
  <c r="D651" i="1"/>
  <c r="B666" i="1"/>
  <c r="B696" i="1"/>
  <c r="A696" i="1"/>
  <c r="D707" i="1"/>
  <c r="E707" i="1"/>
  <c r="A763" i="1"/>
  <c r="F763" i="1"/>
  <c r="C763" i="1"/>
  <c r="B763" i="1"/>
  <c r="E807" i="1"/>
  <c r="D807" i="1"/>
  <c r="C831" i="1"/>
  <c r="F831" i="1"/>
  <c r="E831" i="1"/>
  <c r="A831" i="1"/>
  <c r="F864" i="1"/>
  <c r="C864" i="1"/>
  <c r="G864" i="1"/>
  <c r="E864" i="1"/>
  <c r="A864" i="1"/>
  <c r="B1133" i="1"/>
  <c r="A1133" i="1"/>
  <c r="E1133" i="1"/>
  <c r="D1133" i="1"/>
  <c r="D1220" i="1"/>
  <c r="F1220" i="1"/>
  <c r="B1220" i="1"/>
  <c r="A1220" i="1"/>
  <c r="E1220" i="1"/>
  <c r="C1220" i="1"/>
  <c r="E1341" i="1"/>
  <c r="G1341" i="1"/>
  <c r="F1341" i="1"/>
  <c r="B1341" i="1"/>
  <c r="A1341" i="1"/>
  <c r="C1341" i="1"/>
  <c r="D1341" i="1"/>
  <c r="D1363" i="1"/>
  <c r="E1363" i="1"/>
  <c r="G1363" i="1"/>
  <c r="C1363" i="1"/>
  <c r="F1363" i="1"/>
  <c r="B1363" i="1"/>
  <c r="A1363" i="1"/>
  <c r="G1506" i="1"/>
  <c r="F1506" i="1"/>
  <c r="C1506" i="1"/>
  <c r="B1506" i="1"/>
  <c r="E1506" i="1"/>
  <c r="D1506" i="1"/>
  <c r="A1506" i="1"/>
  <c r="E435" i="1"/>
  <c r="E538" i="1"/>
  <c r="A547" i="1"/>
  <c r="F547" i="1"/>
  <c r="C580" i="1"/>
  <c r="B585" i="1"/>
  <c r="D613" i="1"/>
  <c r="E622" i="1"/>
  <c r="D622" i="1"/>
  <c r="G661" i="1"/>
  <c r="C661" i="1"/>
  <c r="D666" i="1"/>
  <c r="A708" i="1"/>
  <c r="G724" i="1"/>
  <c r="A724" i="1"/>
  <c r="C735" i="1"/>
  <c r="B735" i="1"/>
  <c r="G746" i="1"/>
  <c r="C746" i="1"/>
  <c r="A764" i="1"/>
  <c r="D784" i="1"/>
  <c r="E789" i="1"/>
  <c r="G789" i="1"/>
  <c r="F789" i="1"/>
  <c r="C795" i="1"/>
  <c r="D1407" i="1"/>
  <c r="E1407" i="1"/>
  <c r="F1407" i="1"/>
  <c r="C1407" i="1"/>
  <c r="G1407" i="1"/>
  <c r="B1407" i="1"/>
  <c r="A575" i="1"/>
  <c r="E575" i="1"/>
  <c r="B575" i="1"/>
  <c r="G580" i="1"/>
  <c r="C604" i="1"/>
  <c r="D618" i="1"/>
  <c r="C618" i="1"/>
  <c r="D623" i="1"/>
  <c r="B628" i="1"/>
  <c r="B642" i="1"/>
  <c r="A657" i="1"/>
  <c r="D662" i="1"/>
  <c r="G666" i="1"/>
  <c r="B671" i="1"/>
  <c r="F671" i="1"/>
  <c r="A677" i="1"/>
  <c r="E697" i="1"/>
  <c r="G697" i="1"/>
  <c r="F697" i="1"/>
  <c r="A697" i="1"/>
  <c r="B714" i="1"/>
  <c r="A720" i="1"/>
  <c r="C802" i="1"/>
  <c r="A892" i="1"/>
  <c r="F892" i="1"/>
  <c r="E892" i="1"/>
  <c r="G892" i="1"/>
  <c r="D892" i="1"/>
  <c r="G919" i="1"/>
  <c r="F919" i="1"/>
  <c r="C919" i="1"/>
  <c r="B919" i="1"/>
  <c r="D919" i="1"/>
  <c r="A919" i="1"/>
  <c r="E947" i="1"/>
  <c r="D947" i="1"/>
  <c r="G947" i="1"/>
  <c r="G1007" i="1"/>
  <c r="C1007" i="1"/>
  <c r="D1007" i="1"/>
  <c r="B1007" i="1"/>
  <c r="G1437" i="1"/>
  <c r="C1437" i="1"/>
  <c r="A1437" i="1"/>
  <c r="F1437" i="1"/>
  <c r="E1437" i="1"/>
  <c r="D1437" i="1"/>
  <c r="B1437" i="1"/>
  <c r="D585" i="1"/>
  <c r="C585" i="1"/>
  <c r="E623" i="1"/>
  <c r="C628" i="1"/>
  <c r="C642" i="1"/>
  <c r="C708" i="1"/>
  <c r="G708" i="1"/>
  <c r="B708" i="1"/>
  <c r="E725" i="1"/>
  <c r="G725" i="1"/>
  <c r="F725" i="1"/>
  <c r="A725" i="1"/>
  <c r="G764" i="1"/>
  <c r="F764" i="1"/>
  <c r="B764" i="1"/>
  <c r="C784" i="1"/>
  <c r="B784" i="1"/>
  <c r="B795" i="1"/>
  <c r="A795" i="1"/>
  <c r="F795" i="1"/>
  <c r="B1278" i="1"/>
  <c r="G1278" i="1"/>
  <c r="D1278" i="1"/>
  <c r="C1278" i="1"/>
  <c r="F1278" i="1"/>
  <c r="E1278" i="1"/>
  <c r="A1278" i="1"/>
  <c r="D1293" i="1"/>
  <c r="C1293" i="1"/>
  <c r="E1293" i="1"/>
  <c r="G1293" i="1"/>
  <c r="F1293" i="1"/>
  <c r="E1316" i="1"/>
  <c r="D1316" i="1"/>
  <c r="G1316" i="1"/>
  <c r="F1316" i="1"/>
  <c r="A1316" i="1"/>
  <c r="B1316" i="1"/>
  <c r="D1343" i="1"/>
  <c r="A1343" i="1"/>
  <c r="F1343" i="1"/>
  <c r="E1343" i="1"/>
  <c r="G1343" i="1"/>
  <c r="C1343" i="1"/>
  <c r="D1387" i="1"/>
  <c r="G1387" i="1"/>
  <c r="A1387" i="1"/>
  <c r="E1387" i="1"/>
  <c r="C1387" i="1"/>
  <c r="G1401" i="1"/>
  <c r="A1401" i="1"/>
  <c r="F1401" i="1"/>
  <c r="E1401" i="1"/>
  <c r="D1401" i="1"/>
  <c r="C1401" i="1"/>
  <c r="B1401" i="1"/>
  <c r="D604" i="1"/>
  <c r="A604" i="1"/>
  <c r="F628" i="1"/>
  <c r="D637" i="1"/>
  <c r="A637" i="1"/>
  <c r="G642" i="1"/>
  <c r="A683" i="1"/>
  <c r="C703" i="1"/>
  <c r="G703" i="1"/>
  <c r="A703" i="1"/>
  <c r="G714" i="1"/>
  <c r="A772" i="1"/>
  <c r="D802" i="1"/>
  <c r="B802" i="1"/>
  <c r="A802" i="1"/>
  <c r="C866" i="1"/>
  <c r="G866" i="1"/>
  <c r="F866" i="1"/>
  <c r="E913" i="1"/>
  <c r="B913" i="1"/>
  <c r="A913" i="1"/>
  <c r="G913" i="1"/>
  <c r="F913" i="1"/>
  <c r="D913" i="1"/>
  <c r="C913" i="1"/>
  <c r="G1050" i="1"/>
  <c r="F1050" i="1"/>
  <c r="C1050" i="1"/>
  <c r="B1050" i="1"/>
  <c r="D1050" i="1"/>
  <c r="A1050" i="1"/>
  <c r="E1050" i="1"/>
  <c r="F657" i="1"/>
  <c r="B657" i="1"/>
  <c r="E677" i="1"/>
  <c r="D677" i="1"/>
  <c r="F720" i="1"/>
  <c r="G720" i="1"/>
  <c r="E778" i="1"/>
  <c r="F778" i="1"/>
  <c r="D778" i="1"/>
  <c r="A826" i="1"/>
  <c r="G826" i="1"/>
  <c r="F826" i="1"/>
  <c r="C826" i="1"/>
  <c r="B826" i="1"/>
  <c r="F928" i="1"/>
  <c r="E928" i="1"/>
  <c r="B928" i="1"/>
  <c r="A928" i="1"/>
  <c r="D928" i="1"/>
  <c r="C928" i="1"/>
  <c r="D1223" i="1"/>
  <c r="F1223" i="1"/>
  <c r="E1223" i="1"/>
  <c r="A1223" i="1"/>
  <c r="G1223" i="1"/>
  <c r="C1223" i="1"/>
  <c r="B1223" i="1"/>
  <c r="E683" i="1"/>
  <c r="D683" i="1"/>
  <c r="C683" i="1"/>
  <c r="F772" i="1"/>
  <c r="C772" i="1"/>
  <c r="B772" i="1"/>
  <c r="E779" i="1"/>
  <c r="G779" i="1"/>
  <c r="F779" i="1"/>
  <c r="B779" i="1"/>
  <c r="A779" i="1"/>
  <c r="G848" i="1"/>
  <c r="F848" i="1"/>
  <c r="B848" i="1"/>
  <c r="D848" i="1"/>
  <c r="A860" i="1"/>
  <c r="D1154" i="1"/>
  <c r="C1154" i="1"/>
  <c r="G1154" i="1"/>
  <c r="F1154" i="1"/>
  <c r="E1154" i="1"/>
  <c r="B1154" i="1"/>
  <c r="A1160" i="1"/>
  <c r="G1160" i="1"/>
  <c r="F1160" i="1"/>
  <c r="C1160" i="1"/>
  <c r="B1160" i="1"/>
  <c r="E1160" i="1"/>
  <c r="D1160" i="1"/>
  <c r="D1271" i="1"/>
  <c r="F1271" i="1"/>
  <c r="E1271" i="1"/>
  <c r="A1271" i="1"/>
  <c r="C1271" i="1"/>
  <c r="B1271" i="1"/>
  <c r="G1444" i="1"/>
  <c r="F1444" i="1"/>
  <c r="E1444" i="1"/>
  <c r="B1444" i="1"/>
  <c r="A1444" i="1"/>
  <c r="C1444" i="1"/>
  <c r="D1028" i="1"/>
  <c r="G1028" i="1"/>
  <c r="F1028" i="1"/>
  <c r="B1028" i="1"/>
  <c r="A1028" i="1"/>
  <c r="C1028" i="1"/>
  <c r="D1319" i="1"/>
  <c r="G1319" i="1"/>
  <c r="F1319" i="1"/>
  <c r="E1319" i="1"/>
  <c r="C1319" i="1"/>
  <c r="A1319" i="1"/>
  <c r="B1319" i="1"/>
  <c r="E1588" i="1"/>
  <c r="A1588" i="1"/>
  <c r="D1588" i="1"/>
  <c r="C1588" i="1"/>
  <c r="B1588" i="1"/>
  <c r="F1588" i="1"/>
  <c r="G1588" i="1"/>
  <c r="D471" i="1"/>
  <c r="A563" i="1"/>
  <c r="B563" i="1"/>
  <c r="A591" i="1"/>
  <c r="F591" i="1"/>
  <c r="B610" i="1"/>
  <c r="A610" i="1"/>
  <c r="D915" i="1"/>
  <c r="C915" i="1"/>
  <c r="G915" i="1"/>
  <c r="B915" i="1"/>
  <c r="A915" i="1"/>
  <c r="G982" i="1"/>
  <c r="F982" i="1"/>
  <c r="C982" i="1"/>
  <c r="B982" i="1"/>
  <c r="A982" i="1"/>
  <c r="D1211" i="1"/>
  <c r="F1211" i="1"/>
  <c r="C1211" i="1"/>
  <c r="E1211" i="1"/>
  <c r="B1211" i="1"/>
  <c r="A1211" i="1"/>
  <c r="B1262" i="1"/>
  <c r="G1262" i="1"/>
  <c r="D1262" i="1"/>
  <c r="C1262" i="1"/>
  <c r="E1262" i="1"/>
  <c r="F1262" i="1"/>
  <c r="A1262" i="1"/>
  <c r="E797" i="1"/>
  <c r="D797" i="1"/>
  <c r="C797" i="1"/>
  <c r="C804" i="1"/>
  <c r="F804" i="1"/>
  <c r="E804" i="1"/>
  <c r="A804" i="1"/>
  <c r="B828" i="1"/>
  <c r="A828" i="1"/>
  <c r="F828" i="1"/>
  <c r="E828" i="1"/>
  <c r="E841" i="1"/>
  <c r="D841" i="1"/>
  <c r="G841" i="1"/>
  <c r="F841" i="1"/>
  <c r="A841" i="1"/>
  <c r="E860" i="1"/>
  <c r="B860" i="1"/>
  <c r="E875" i="1"/>
  <c r="G875" i="1"/>
  <c r="F875" i="1"/>
  <c r="B875" i="1"/>
  <c r="A875" i="1"/>
  <c r="G883" i="1"/>
  <c r="F883" i="1"/>
  <c r="E883" i="1"/>
  <c r="B883" i="1"/>
  <c r="A883" i="1"/>
  <c r="A888" i="1"/>
  <c r="B968" i="1"/>
  <c r="A968" i="1"/>
  <c r="F968" i="1"/>
  <c r="E968" i="1"/>
  <c r="D968" i="1"/>
  <c r="C968" i="1"/>
  <c r="A1139" i="1"/>
  <c r="D1139" i="1"/>
  <c r="F1139" i="1"/>
  <c r="E1139" i="1"/>
  <c r="G1139" i="1"/>
  <c r="C1139" i="1"/>
  <c r="C510" i="1"/>
  <c r="G649" i="1"/>
  <c r="D649" i="1"/>
  <c r="A659" i="1"/>
  <c r="G659" i="1"/>
  <c r="F659" i="1"/>
  <c r="B659" i="1"/>
  <c r="D679" i="1"/>
  <c r="B679" i="1"/>
  <c r="A679" i="1"/>
  <c r="B767" i="1"/>
  <c r="G767" i="1"/>
  <c r="F767" i="1"/>
  <c r="C767" i="1"/>
  <c r="A767" i="1"/>
  <c r="G850" i="1"/>
  <c r="E850" i="1"/>
  <c r="D850" i="1"/>
  <c r="A850" i="1"/>
  <c r="E969" i="1"/>
  <c r="B969" i="1"/>
  <c r="A969" i="1"/>
  <c r="D969" i="1"/>
  <c r="C969" i="1"/>
  <c r="C1116" i="1"/>
  <c r="B1116" i="1"/>
  <c r="F1116" i="1"/>
  <c r="E1116" i="1"/>
  <c r="D1116" i="1"/>
  <c r="E842" i="1"/>
  <c r="G842" i="1"/>
  <c r="C842" i="1"/>
  <c r="B842" i="1"/>
  <c r="E869" i="1"/>
  <c r="D869" i="1"/>
  <c r="C869" i="1"/>
  <c r="F869" i="1"/>
  <c r="B869" i="1"/>
  <c r="E888" i="1"/>
  <c r="D888" i="1"/>
  <c r="C888" i="1"/>
  <c r="B896" i="1"/>
  <c r="G896" i="1"/>
  <c r="F896" i="1"/>
  <c r="A896" i="1"/>
  <c r="A902" i="1"/>
  <c r="F902" i="1"/>
  <c r="E902" i="1"/>
  <c r="G902" i="1"/>
  <c r="D902" i="1"/>
  <c r="F951" i="1"/>
  <c r="E951" i="1"/>
  <c r="B951" i="1"/>
  <c r="A951" i="1"/>
  <c r="G951" i="1"/>
  <c r="D951" i="1"/>
  <c r="G1023" i="1"/>
  <c r="A1023" i="1"/>
  <c r="E1023" i="1"/>
  <c r="D1023" i="1"/>
  <c r="C1023" i="1"/>
  <c r="B1023" i="1"/>
  <c r="E1030" i="1"/>
  <c r="B1030" i="1"/>
  <c r="A1030" i="1"/>
  <c r="G1030" i="1"/>
  <c r="C1030" i="1"/>
  <c r="D1030" i="1"/>
  <c r="E1069" i="1"/>
  <c r="G1069" i="1"/>
  <c r="B1069" i="1"/>
  <c r="F1069" i="1"/>
  <c r="D1069" i="1"/>
  <c r="A1069" i="1"/>
  <c r="A519" i="1"/>
  <c r="D519" i="1"/>
  <c r="A583" i="1"/>
  <c r="G583" i="1"/>
  <c r="D583" i="1"/>
  <c r="E669" i="1"/>
  <c r="F669" i="1"/>
  <c r="G787" i="1"/>
  <c r="E787" i="1"/>
  <c r="D787" i="1"/>
  <c r="D836" i="1"/>
  <c r="C836" i="1"/>
  <c r="F836" i="1"/>
  <c r="E836" i="1"/>
  <c r="F843" i="1"/>
  <c r="B843" i="1"/>
  <c r="A843" i="1"/>
  <c r="G843" i="1"/>
  <c r="E843" i="1"/>
  <c r="E855" i="1"/>
  <c r="D855" i="1"/>
  <c r="D870" i="1"/>
  <c r="G870" i="1"/>
  <c r="F870" i="1"/>
  <c r="B870" i="1"/>
  <c r="A870" i="1"/>
  <c r="E877" i="1"/>
  <c r="G877" i="1"/>
  <c r="F877" i="1"/>
  <c r="A877" i="1"/>
  <c r="C877" i="1"/>
  <c r="B877" i="1"/>
  <c r="E909" i="1"/>
  <c r="D909" i="1"/>
  <c r="C909" i="1"/>
  <c r="G909" i="1"/>
  <c r="A909" i="1"/>
  <c r="F984" i="1"/>
  <c r="E984" i="1"/>
  <c r="B984" i="1"/>
  <c r="G984" i="1"/>
  <c r="D984" i="1"/>
  <c r="C984" i="1"/>
  <c r="A1031" i="1"/>
  <c r="E1031" i="1"/>
  <c r="D1031" i="1"/>
  <c r="C1031" i="1"/>
  <c r="B1031" i="1"/>
  <c r="F1090" i="1"/>
  <c r="B1090" i="1"/>
  <c r="G1090" i="1"/>
  <c r="E1090" i="1"/>
  <c r="A1090" i="1"/>
  <c r="F1118" i="1"/>
  <c r="G1118" i="1"/>
  <c r="B1118" i="1"/>
  <c r="D1118" i="1"/>
  <c r="C1118" i="1"/>
  <c r="A1118" i="1"/>
  <c r="G680" i="1"/>
  <c r="F680" i="1"/>
  <c r="B680" i="1"/>
  <c r="E685" i="1"/>
  <c r="A685" i="1"/>
  <c r="E717" i="1"/>
  <c r="F717" i="1"/>
  <c r="A717" i="1"/>
  <c r="B862" i="1"/>
  <c r="F862" i="1"/>
  <c r="E862" i="1"/>
  <c r="A862" i="1"/>
  <c r="C924" i="1"/>
  <c r="B924" i="1"/>
  <c r="A924" i="1"/>
  <c r="E1017" i="1"/>
  <c r="G1017" i="1"/>
  <c r="F1017" i="1"/>
  <c r="B1017" i="1"/>
  <c r="D1017" i="1"/>
  <c r="A1017" i="1"/>
  <c r="B1324" i="1"/>
  <c r="F1324" i="1"/>
  <c r="D1324" i="1"/>
  <c r="G1324" i="1"/>
  <c r="E1324" i="1"/>
  <c r="C1324" i="1"/>
  <c r="A1324" i="1"/>
  <c r="D539" i="1"/>
  <c r="D667" i="1"/>
  <c r="B736" i="1"/>
  <c r="G793" i="1"/>
  <c r="G812" i="1"/>
  <c r="G835" i="1"/>
  <c r="E840" i="1"/>
  <c r="D840" i="1"/>
  <c r="C846" i="1"/>
  <c r="G891" i="1"/>
  <c r="F907" i="1"/>
  <c r="E1045" i="1"/>
  <c r="G1045" i="1"/>
  <c r="C1045" i="1"/>
  <c r="B1045" i="1"/>
  <c r="F1134" i="1"/>
  <c r="E1134" i="1"/>
  <c r="B1134" i="1"/>
  <c r="A1134" i="1"/>
  <c r="D1134" i="1"/>
  <c r="C1134" i="1"/>
  <c r="E1302" i="1"/>
  <c r="F1302" i="1"/>
  <c r="D1302" i="1"/>
  <c r="C1302" i="1"/>
  <c r="A1302" i="1"/>
  <c r="C1309" i="1"/>
  <c r="F1309" i="1"/>
  <c r="G1309" i="1"/>
  <c r="E1309" i="1"/>
  <c r="A1309" i="1"/>
  <c r="D1309" i="1"/>
  <c r="B1309" i="1"/>
  <c r="A964" i="1"/>
  <c r="F964" i="1"/>
  <c r="E964" i="1"/>
  <c r="B964" i="1"/>
  <c r="D976" i="1"/>
  <c r="C976" i="1"/>
  <c r="F976" i="1"/>
  <c r="E976" i="1"/>
  <c r="G1040" i="1"/>
  <c r="C1040" i="1"/>
  <c r="E1040" i="1"/>
  <c r="D1040" i="1"/>
  <c r="E1080" i="1"/>
  <c r="A1080" i="1"/>
  <c r="F1080" i="1"/>
  <c r="D1080" i="1"/>
  <c r="A1135" i="1"/>
  <c r="C1135" i="1"/>
  <c r="G1135" i="1"/>
  <c r="D1135" i="1"/>
  <c r="B1135" i="1"/>
  <c r="F1135" i="1"/>
  <c r="E1135" i="1"/>
  <c r="G1185" i="1"/>
  <c r="B1185" i="1"/>
  <c r="A1185" i="1"/>
  <c r="E1185" i="1"/>
  <c r="F1185" i="1"/>
  <c r="D1185" i="1"/>
  <c r="D1247" i="1"/>
  <c r="F1247" i="1"/>
  <c r="E1247" i="1"/>
  <c r="A1247" i="1"/>
  <c r="C1247" i="1"/>
  <c r="B1247" i="1"/>
  <c r="D1272" i="1"/>
  <c r="F1272" i="1"/>
  <c r="B1272" i="1"/>
  <c r="A1272" i="1"/>
  <c r="E1272" i="1"/>
  <c r="C1272" i="1"/>
  <c r="F1394" i="1"/>
  <c r="E1394" i="1"/>
  <c r="B1394" i="1"/>
  <c r="A1394" i="1"/>
  <c r="G1394" i="1"/>
  <c r="D1394" i="1"/>
  <c r="C1394" i="1"/>
  <c r="B741" i="1"/>
  <c r="B781" i="1"/>
  <c r="D794" i="1"/>
  <c r="A799" i="1"/>
  <c r="D803" i="1"/>
  <c r="C803" i="1"/>
  <c r="C813" i="1"/>
  <c r="D822" i="1"/>
  <c r="E861" i="1"/>
  <c r="B861" i="1"/>
  <c r="A861" i="1"/>
  <c r="B903" i="1"/>
  <c r="B954" i="1"/>
  <c r="F954" i="1"/>
  <c r="E954" i="1"/>
  <c r="A954" i="1"/>
  <c r="D960" i="1"/>
  <c r="E977" i="1"/>
  <c r="G977" i="1"/>
  <c r="F977" i="1"/>
  <c r="B977" i="1"/>
  <c r="A977" i="1"/>
  <c r="B1047" i="1"/>
  <c r="G1136" i="1"/>
  <c r="D1136" i="1"/>
  <c r="C1136" i="1"/>
  <c r="E1136" i="1"/>
  <c r="B1136" i="1"/>
  <c r="F1206" i="1"/>
  <c r="C1206" i="1"/>
  <c r="B1206" i="1"/>
  <c r="G1206" i="1"/>
  <c r="A1206" i="1"/>
  <c r="D1263" i="1"/>
  <c r="E1263" i="1"/>
  <c r="F1263" i="1"/>
  <c r="C1263" i="1"/>
  <c r="G1263" i="1"/>
  <c r="B1263" i="1"/>
  <c r="G1465" i="1"/>
  <c r="B1465" i="1"/>
  <c r="A1465" i="1"/>
  <c r="E1465" i="1"/>
  <c r="D1465" i="1"/>
  <c r="C1465" i="1"/>
  <c r="E1674" i="1"/>
  <c r="A1674" i="1"/>
  <c r="G1674" i="1"/>
  <c r="F1674" i="1"/>
  <c r="D1674" i="1"/>
  <c r="C1674" i="1"/>
  <c r="B1674" i="1"/>
  <c r="E745" i="1"/>
  <c r="D745" i="1"/>
  <c r="E794" i="1"/>
  <c r="D799" i="1"/>
  <c r="D813" i="1"/>
  <c r="A847" i="1"/>
  <c r="C903" i="1"/>
  <c r="A931" i="1"/>
  <c r="E931" i="1"/>
  <c r="D931" i="1"/>
  <c r="A1087" i="1"/>
  <c r="F1087" i="1"/>
  <c r="E1087" i="1"/>
  <c r="G1087" i="1"/>
  <c r="D1087" i="1"/>
  <c r="D1199" i="1"/>
  <c r="B1199" i="1"/>
  <c r="G1199" i="1"/>
  <c r="F1199" i="1"/>
  <c r="C1199" i="1"/>
  <c r="A1199" i="1"/>
  <c r="D1255" i="1"/>
  <c r="A1255" i="1"/>
  <c r="E1255" i="1"/>
  <c r="G1255" i="1"/>
  <c r="B1255" i="1"/>
  <c r="A1456" i="1"/>
  <c r="B1456" i="1"/>
  <c r="F1456" i="1"/>
  <c r="G1456" i="1"/>
  <c r="E1456" i="1"/>
  <c r="C1456" i="1"/>
  <c r="D1456" i="1"/>
  <c r="E741" i="1"/>
  <c r="C741" i="1"/>
  <c r="E781" i="1"/>
  <c r="G781" i="1"/>
  <c r="G903" i="1"/>
  <c r="C960" i="1"/>
  <c r="B960" i="1"/>
  <c r="E1047" i="1"/>
  <c r="A1047" i="1"/>
  <c r="F1047" i="1"/>
  <c r="F1101" i="1"/>
  <c r="B1101" i="1"/>
  <c r="E1101" i="1"/>
  <c r="D1101" i="1"/>
  <c r="G1200" i="1"/>
  <c r="F1200" i="1"/>
  <c r="C1200" i="1"/>
  <c r="B1200" i="1"/>
  <c r="A1200" i="1"/>
  <c r="C1320" i="1"/>
  <c r="D1320" i="1"/>
  <c r="B1320" i="1"/>
  <c r="G1320" i="1"/>
  <c r="E1320" i="1"/>
  <c r="A1320" i="1"/>
  <c r="A1336" i="1"/>
  <c r="F1336" i="1"/>
  <c r="E1336" i="1"/>
  <c r="B1336" i="1"/>
  <c r="D1336" i="1"/>
  <c r="C1336" i="1"/>
  <c r="B1593" i="1"/>
  <c r="A1593" i="1"/>
  <c r="D1593" i="1"/>
  <c r="G1593" i="1"/>
  <c r="F1593" i="1"/>
  <c r="C1593" i="1"/>
  <c r="E1593" i="1"/>
  <c r="C799" i="1"/>
  <c r="B799" i="1"/>
  <c r="G847" i="1"/>
  <c r="C847" i="1"/>
  <c r="B847" i="1"/>
  <c r="E1061" i="1"/>
  <c r="D1061" i="1"/>
  <c r="F1061" i="1"/>
  <c r="A1061" i="1"/>
  <c r="B1082" i="1"/>
  <c r="F1082" i="1"/>
  <c r="E1082" i="1"/>
  <c r="A1082" i="1"/>
  <c r="E1088" i="1"/>
  <c r="B1088" i="1"/>
  <c r="A1088" i="1"/>
  <c r="D1088" i="1"/>
  <c r="G1108" i="1"/>
  <c r="F1108" i="1"/>
  <c r="B1108" i="1"/>
  <c r="E1108" i="1"/>
  <c r="D1108" i="1"/>
  <c r="C1221" i="1"/>
  <c r="D1221" i="1"/>
  <c r="B1221" i="1"/>
  <c r="G1221" i="1"/>
  <c r="E1221" i="1"/>
  <c r="A1221" i="1"/>
  <c r="C1282" i="1"/>
  <c r="B1282" i="1"/>
  <c r="E1282" i="1"/>
  <c r="G1282" i="1"/>
  <c r="A1282" i="1"/>
  <c r="F1321" i="1"/>
  <c r="D1321" i="1"/>
  <c r="C1321" i="1"/>
  <c r="G1321" i="1"/>
  <c r="E1321" i="1"/>
  <c r="B1321" i="1"/>
  <c r="A1321" i="1"/>
  <c r="B1337" i="1"/>
  <c r="F1337" i="1"/>
  <c r="G1337" i="1"/>
  <c r="E1337" i="1"/>
  <c r="A1337" i="1"/>
  <c r="C1337" i="1"/>
  <c r="D1337" i="1"/>
  <c r="B673" i="1"/>
  <c r="C716" i="1"/>
  <c r="B729" i="1"/>
  <c r="E777" i="1"/>
  <c r="F777" i="1"/>
  <c r="D800" i="1"/>
  <c r="E873" i="1"/>
  <c r="F873" i="1"/>
  <c r="D873" i="1"/>
  <c r="B879" i="1"/>
  <c r="A894" i="1"/>
  <c r="C904" i="1"/>
  <c r="C972" i="1"/>
  <c r="B972" i="1"/>
  <c r="F972" i="1"/>
  <c r="E972" i="1"/>
  <c r="E1015" i="1"/>
  <c r="F1015" i="1"/>
  <c r="D1015" i="1"/>
  <c r="A1015" i="1"/>
  <c r="F1109" i="1"/>
  <c r="C1109" i="1"/>
  <c r="B1109" i="1"/>
  <c r="E1109" i="1"/>
  <c r="D1109" i="1"/>
  <c r="G1122" i="1"/>
  <c r="D1122" i="1"/>
  <c r="A1122" i="1"/>
  <c r="F1122" i="1"/>
  <c r="E1122" i="1"/>
  <c r="A1159" i="1"/>
  <c r="F1159" i="1"/>
  <c r="E1159" i="1"/>
  <c r="D1159" i="1"/>
  <c r="C1159" i="1"/>
  <c r="E1266" i="1"/>
  <c r="C1266" i="1"/>
  <c r="G1266" i="1"/>
  <c r="F1266" i="1"/>
  <c r="A1266" i="1"/>
  <c r="D1266" i="1"/>
  <c r="B1266" i="1"/>
  <c r="B769" i="1"/>
  <c r="E773" i="1"/>
  <c r="D773" i="1"/>
  <c r="C810" i="1"/>
  <c r="B849" i="1"/>
  <c r="D858" i="1"/>
  <c r="B863" i="1"/>
  <c r="G863" i="1"/>
  <c r="F863" i="1"/>
  <c r="G879" i="1"/>
  <c r="B889" i="1"/>
  <c r="A1016" i="1"/>
  <c r="G1016" i="1"/>
  <c r="F1016" i="1"/>
  <c r="B1016" i="1"/>
  <c r="E1049" i="1"/>
  <c r="A1049" i="1"/>
  <c r="F1049" i="1"/>
  <c r="D1049" i="1"/>
  <c r="G1117" i="1"/>
  <c r="F1117" i="1"/>
  <c r="C1117" i="1"/>
  <c r="B1117" i="1"/>
  <c r="E1117" i="1"/>
  <c r="D1117" i="1"/>
  <c r="G1161" i="1"/>
  <c r="F1161" i="1"/>
  <c r="B1161" i="1"/>
  <c r="D1161" i="1"/>
  <c r="C1161" i="1"/>
  <c r="F1268" i="1"/>
  <c r="A1268" i="1"/>
  <c r="E1268" i="1"/>
  <c r="D1268" i="1"/>
  <c r="G1268" i="1"/>
  <c r="C1268" i="1"/>
  <c r="D810" i="1"/>
  <c r="E858" i="1"/>
  <c r="C894" i="1"/>
  <c r="B894" i="1"/>
  <c r="E997" i="1"/>
  <c r="A997" i="1"/>
  <c r="G997" i="1"/>
  <c r="F997" i="1"/>
  <c r="G1124" i="1"/>
  <c r="F1124" i="1"/>
  <c r="B1124" i="1"/>
  <c r="D1124" i="1"/>
  <c r="C1124" i="1"/>
  <c r="D1181" i="1"/>
  <c r="G1181" i="1"/>
  <c r="F1181" i="1"/>
  <c r="A1181" i="1"/>
  <c r="C1181" i="1"/>
  <c r="C1298" i="1"/>
  <c r="G1298" i="1"/>
  <c r="E1298" i="1"/>
  <c r="A1298" i="1"/>
  <c r="F1298" i="1"/>
  <c r="D1298" i="1"/>
  <c r="E1469" i="1"/>
  <c r="D1469" i="1"/>
  <c r="C1469" i="1"/>
  <c r="F1469" i="1"/>
  <c r="B1469" i="1"/>
  <c r="G1469" i="1"/>
  <c r="E769" i="1"/>
  <c r="C769" i="1"/>
  <c r="E849" i="1"/>
  <c r="G849" i="1"/>
  <c r="E889" i="1"/>
  <c r="D889" i="1"/>
  <c r="A889" i="1"/>
  <c r="E905" i="1"/>
  <c r="G905" i="1"/>
  <c r="B905" i="1"/>
  <c r="A905" i="1"/>
  <c r="C934" i="1"/>
  <c r="E1005" i="1"/>
  <c r="C1005" i="1"/>
  <c r="B1005" i="1"/>
  <c r="G1005" i="1"/>
  <c r="F1005" i="1"/>
  <c r="E1064" i="1"/>
  <c r="A1064" i="1"/>
  <c r="F1064" i="1"/>
  <c r="D1064" i="1"/>
  <c r="E1077" i="1"/>
  <c r="D1077" i="1"/>
  <c r="F1077" i="1"/>
  <c r="A1077" i="1"/>
  <c r="G1084" i="1"/>
  <c r="C1084" i="1"/>
  <c r="E1084" i="1"/>
  <c r="D1313" i="1"/>
  <c r="F1313" i="1"/>
  <c r="B1313" i="1"/>
  <c r="E1313" i="1"/>
  <c r="C1313" i="1"/>
  <c r="A1313" i="1"/>
  <c r="D674" i="1"/>
  <c r="D704" i="1"/>
  <c r="D730" i="1"/>
  <c r="C752" i="1"/>
  <c r="C806" i="1"/>
  <c r="G815" i="1"/>
  <c r="F815" i="1"/>
  <c r="C820" i="1"/>
  <c r="C829" i="1"/>
  <c r="B859" i="1"/>
  <c r="E895" i="1"/>
  <c r="D934" i="1"/>
  <c r="B940" i="1"/>
  <c r="G974" i="1"/>
  <c r="F974" i="1"/>
  <c r="E980" i="1"/>
  <c r="D980" i="1"/>
  <c r="A980" i="1"/>
  <c r="F980" i="1"/>
  <c r="C980" i="1"/>
  <c r="A1006" i="1"/>
  <c r="F1051" i="1"/>
  <c r="B1051" i="1"/>
  <c r="G1051" i="1"/>
  <c r="C1051" i="1"/>
  <c r="A1051" i="1"/>
  <c r="G1072" i="1"/>
  <c r="C1072" i="1"/>
  <c r="F1072" i="1"/>
  <c r="B1072" i="1"/>
  <c r="A1072" i="1"/>
  <c r="D1175" i="1"/>
  <c r="F1175" i="1"/>
  <c r="E1175" i="1"/>
  <c r="A1175" i="1"/>
  <c r="G1175" i="1"/>
  <c r="C1314" i="1"/>
  <c r="G1314" i="1"/>
  <c r="F1314" i="1"/>
  <c r="B1314" i="1"/>
  <c r="A1314" i="1"/>
  <c r="E1314" i="1"/>
  <c r="D1314" i="1"/>
  <c r="D1641" i="1"/>
  <c r="C1641" i="1"/>
  <c r="F1641" i="1"/>
  <c r="A1641" i="1"/>
  <c r="G1641" i="1"/>
  <c r="E1641" i="1"/>
  <c r="G704" i="1"/>
  <c r="F752" i="1"/>
  <c r="E765" i="1"/>
  <c r="B765" i="1"/>
  <c r="G806" i="1"/>
  <c r="F820" i="1"/>
  <c r="B911" i="1"/>
  <c r="A911" i="1"/>
  <c r="G923" i="1"/>
  <c r="F923" i="1"/>
  <c r="C923" i="1"/>
  <c r="E929" i="1"/>
  <c r="C929" i="1"/>
  <c r="G929" i="1"/>
  <c r="G934" i="1"/>
  <c r="E981" i="1"/>
  <c r="G981" i="1"/>
  <c r="F981" i="1"/>
  <c r="B981" i="1"/>
  <c r="A981" i="1"/>
  <c r="C1176" i="1"/>
  <c r="B1176" i="1"/>
  <c r="F1176" i="1"/>
  <c r="G1176" i="1"/>
  <c r="E1176" i="1"/>
  <c r="B1212" i="1"/>
  <c r="D1212" i="1"/>
  <c r="C1212" i="1"/>
  <c r="A1212" i="1"/>
  <c r="G1212" i="1"/>
  <c r="F1212" i="1"/>
  <c r="E1212" i="1"/>
  <c r="F1277" i="1"/>
  <c r="E1277" i="1"/>
  <c r="D1277" i="1"/>
  <c r="A1277" i="1"/>
  <c r="G1277" i="1"/>
  <c r="C1277" i="1"/>
  <c r="E829" i="1"/>
  <c r="A829" i="1"/>
  <c r="A859" i="1"/>
  <c r="F859" i="1"/>
  <c r="E859" i="1"/>
  <c r="A940" i="1"/>
  <c r="E940" i="1"/>
  <c r="D940" i="1"/>
  <c r="F946" i="1"/>
  <c r="E946" i="1"/>
  <c r="B946" i="1"/>
  <c r="A946" i="1"/>
  <c r="F1006" i="1"/>
  <c r="C1006" i="1"/>
  <c r="B1006" i="1"/>
  <c r="G1038" i="1"/>
  <c r="D1038" i="1"/>
  <c r="C1038" i="1"/>
  <c r="F1038" i="1"/>
  <c r="E1038" i="1"/>
  <c r="F1052" i="1"/>
  <c r="B1052" i="1"/>
  <c r="E1052" i="1"/>
  <c r="D1052" i="1"/>
  <c r="G1092" i="1"/>
  <c r="D1092" i="1"/>
  <c r="C1092" i="1"/>
  <c r="F1092" i="1"/>
  <c r="E1092" i="1"/>
  <c r="D1491" i="1"/>
  <c r="C1491" i="1"/>
  <c r="B1491" i="1"/>
  <c r="G1491" i="1"/>
  <c r="F1491" i="1"/>
  <c r="E1491" i="1"/>
  <c r="A1491" i="1"/>
  <c r="B1670" i="1"/>
  <c r="G1670" i="1"/>
  <c r="D1670" i="1"/>
  <c r="C1670" i="1"/>
  <c r="A1670" i="1"/>
  <c r="F1670" i="1"/>
  <c r="E1670" i="1"/>
  <c r="G867" i="1"/>
  <c r="G900" i="1"/>
  <c r="B935" i="1"/>
  <c r="A935" i="1"/>
  <c r="C949" i="1"/>
  <c r="G971" i="1"/>
  <c r="G985" i="1"/>
  <c r="D990" i="1"/>
  <c r="C999" i="1"/>
  <c r="G1018" i="1"/>
  <c r="B1033" i="1"/>
  <c r="A1102" i="1"/>
  <c r="A1125" i="1"/>
  <c r="A1137" i="1"/>
  <c r="C1166" i="1"/>
  <c r="E1166" i="1"/>
  <c r="A1166" i="1"/>
  <c r="G1196" i="1"/>
  <c r="F1196" i="1"/>
  <c r="C1196" i="1"/>
  <c r="B1196" i="1"/>
  <c r="D1311" i="1"/>
  <c r="A1311" i="1"/>
  <c r="F1311" i="1"/>
  <c r="G1311" i="1"/>
  <c r="E1311" i="1"/>
  <c r="D1443" i="1"/>
  <c r="F1443" i="1"/>
  <c r="A1443" i="1"/>
  <c r="E1443" i="1"/>
  <c r="C1443" i="1"/>
  <c r="B1443" i="1"/>
  <c r="G1443" i="1"/>
  <c r="C1485" i="1"/>
  <c r="F1485" i="1"/>
  <c r="E1485" i="1"/>
  <c r="A1485" i="1"/>
  <c r="G1485" i="1"/>
  <c r="D1485" i="1"/>
  <c r="B1485" i="1"/>
  <c r="A839" i="1"/>
  <c r="A872" i="1"/>
  <c r="A936" i="1"/>
  <c r="D949" i="1"/>
  <c r="E990" i="1"/>
  <c r="E1013" i="1"/>
  <c r="F1013" i="1"/>
  <c r="D1013" i="1"/>
  <c r="A1013" i="1"/>
  <c r="E1048" i="1"/>
  <c r="A1048" i="1"/>
  <c r="A1107" i="1"/>
  <c r="G1107" i="1"/>
  <c r="F1107" i="1"/>
  <c r="B1107" i="1"/>
  <c r="D1239" i="1"/>
  <c r="A1239" i="1"/>
  <c r="E1239" i="1"/>
  <c r="D1327" i="1"/>
  <c r="G1327" i="1"/>
  <c r="E1327" i="1"/>
  <c r="C1327" i="1"/>
  <c r="C1333" i="1"/>
  <c r="E1333" i="1"/>
  <c r="F1333" i="1"/>
  <c r="D1333" i="1"/>
  <c r="B1333" i="1"/>
  <c r="G1404" i="1"/>
  <c r="C1404" i="1"/>
  <c r="F1404" i="1"/>
  <c r="E1404" i="1"/>
  <c r="D1404" i="1"/>
  <c r="A1404" i="1"/>
  <c r="E999" i="1"/>
  <c r="A999" i="1"/>
  <c r="E1033" i="1"/>
  <c r="G1033" i="1"/>
  <c r="B1039" i="1"/>
  <c r="B1102" i="1"/>
  <c r="G1102" i="1"/>
  <c r="C1102" i="1"/>
  <c r="A1114" i="1"/>
  <c r="G1125" i="1"/>
  <c r="F1125" i="1"/>
  <c r="B1125" i="1"/>
  <c r="D1137" i="1"/>
  <c r="C1137" i="1"/>
  <c r="G1137" i="1"/>
  <c r="B1167" i="1"/>
  <c r="C1167" i="1"/>
  <c r="A1167" i="1"/>
  <c r="F1167" i="1"/>
  <c r="B1228" i="1"/>
  <c r="F1228" i="1"/>
  <c r="E1228" i="1"/>
  <c r="D1228" i="1"/>
  <c r="B1305" i="1"/>
  <c r="G1305" i="1"/>
  <c r="F1305" i="1"/>
  <c r="A1305" i="1"/>
  <c r="E1334" i="1"/>
  <c r="A1334" i="1"/>
  <c r="G1334" i="1"/>
  <c r="C1334" i="1"/>
  <c r="B1334" i="1"/>
  <c r="B1348" i="1"/>
  <c r="D1348" i="1"/>
  <c r="F1348" i="1"/>
  <c r="E1348" i="1"/>
  <c r="G1562" i="1"/>
  <c r="F1562" i="1"/>
  <c r="C1562" i="1"/>
  <c r="B1562" i="1"/>
  <c r="D1562" i="1"/>
  <c r="A1562" i="1"/>
  <c r="D901" i="1"/>
  <c r="C914" i="1"/>
  <c r="D986" i="1"/>
  <c r="E995" i="1"/>
  <c r="E1014" i="1"/>
  <c r="D1019" i="1"/>
  <c r="A1034" i="1"/>
  <c r="D1039" i="1"/>
  <c r="B1114" i="1"/>
  <c r="C1131" i="1"/>
  <c r="G1197" i="1"/>
  <c r="D1197" i="1"/>
  <c r="C1197" i="1"/>
  <c r="B1229" i="1"/>
  <c r="B1274" i="1"/>
  <c r="B1280" i="1"/>
  <c r="D1286" i="1"/>
  <c r="F1286" i="1"/>
  <c r="G1286" i="1"/>
  <c r="E1286" i="1"/>
  <c r="A1286" i="1"/>
  <c r="G1370" i="1"/>
  <c r="F1370" i="1"/>
  <c r="E1370" i="1"/>
  <c r="D1370" i="1"/>
  <c r="A1370" i="1"/>
  <c r="D1411" i="1"/>
  <c r="C1411" i="1"/>
  <c r="B1411" i="1"/>
  <c r="F1411" i="1"/>
  <c r="G914" i="1"/>
  <c r="G1039" i="1"/>
  <c r="E1065" i="1"/>
  <c r="F1065" i="1"/>
  <c r="A1065" i="1"/>
  <c r="E1081" i="1"/>
  <c r="F1081" i="1"/>
  <c r="A1081" i="1"/>
  <c r="G1162" i="1"/>
  <c r="F1162" i="1"/>
  <c r="B1162" i="1"/>
  <c r="D1191" i="1"/>
  <c r="G1191" i="1"/>
  <c r="F1191" i="1"/>
  <c r="B1191" i="1"/>
  <c r="A1191" i="1"/>
  <c r="F1204" i="1"/>
  <c r="E1204" i="1"/>
  <c r="B1204" i="1"/>
  <c r="A1204" i="1"/>
  <c r="F1349" i="1"/>
  <c r="G1349" i="1"/>
  <c r="E1349" i="1"/>
  <c r="A1349" i="1"/>
  <c r="G1959" i="1"/>
  <c r="D1959" i="1"/>
  <c r="C1959" i="1"/>
  <c r="E1959" i="1"/>
  <c r="B1959" i="1"/>
  <c r="A1959" i="1"/>
  <c r="F1959" i="1"/>
  <c r="F1034" i="1"/>
  <c r="C1034" i="1"/>
  <c r="B1034" i="1"/>
  <c r="E1114" i="1"/>
  <c r="D1114" i="1"/>
  <c r="A1131" i="1"/>
  <c r="B1131" i="1"/>
  <c r="E1131" i="1"/>
  <c r="F1229" i="1"/>
  <c r="E1229" i="1"/>
  <c r="A1229" i="1"/>
  <c r="A1274" i="1"/>
  <c r="F1274" i="1"/>
  <c r="E1274" i="1"/>
  <c r="F1280" i="1"/>
  <c r="E1280" i="1"/>
  <c r="A1280" i="1"/>
  <c r="D1432" i="1"/>
  <c r="F1432" i="1"/>
  <c r="E1432" i="1"/>
  <c r="A1432" i="1"/>
  <c r="G1432" i="1"/>
  <c r="C1432" i="1"/>
  <c r="C1749" i="1"/>
  <c r="E1749" i="1"/>
  <c r="F1749" i="1"/>
  <c r="D1749" i="1"/>
  <c r="B1749" i="1"/>
  <c r="G1749" i="1"/>
  <c r="A1749" i="1"/>
  <c r="F1770" i="1"/>
  <c r="B1770" i="1"/>
  <c r="E1770" i="1"/>
  <c r="C1770" i="1"/>
  <c r="A1770" i="1"/>
  <c r="G1770" i="1"/>
  <c r="D1770" i="1"/>
  <c r="A1816" i="1"/>
  <c r="D1816" i="1"/>
  <c r="F1816" i="1"/>
  <c r="E1816" i="1"/>
  <c r="G1816" i="1"/>
  <c r="C1816" i="1"/>
  <c r="B1816" i="1"/>
  <c r="G881" i="1"/>
  <c r="G906" i="1"/>
  <c r="D987" i="1"/>
  <c r="C1001" i="1"/>
  <c r="E1029" i="1"/>
  <c r="F1029" i="1"/>
  <c r="D1035" i="1"/>
  <c r="B1056" i="1"/>
  <c r="A1152" i="1"/>
  <c r="C1205" i="1"/>
  <c r="F1205" i="1"/>
  <c r="B1205" i="1"/>
  <c r="A1205" i="1"/>
  <c r="C1300" i="1"/>
  <c r="F1300" i="1"/>
  <c r="E1300" i="1"/>
  <c r="F1364" i="1"/>
  <c r="B1364" i="1"/>
  <c r="G1364" i="1"/>
  <c r="D1364" i="1"/>
  <c r="E1364" i="1"/>
  <c r="C1364" i="1"/>
  <c r="G955" i="1"/>
  <c r="F955" i="1"/>
  <c r="E987" i="1"/>
  <c r="E1035" i="1"/>
  <c r="A1115" i="1"/>
  <c r="F1115" i="1"/>
  <c r="C1115" i="1"/>
  <c r="B1115" i="1"/>
  <c r="C1230" i="1"/>
  <c r="G1230" i="1"/>
  <c r="F1230" i="1"/>
  <c r="A1230" i="1"/>
  <c r="B1294" i="1"/>
  <c r="F1294" i="1"/>
  <c r="C1294" i="1"/>
  <c r="A1294" i="1"/>
  <c r="G1294" i="1"/>
  <c r="B1322" i="1"/>
  <c r="A1322" i="1"/>
  <c r="G1322" i="1"/>
  <c r="E1322" i="1"/>
  <c r="D1322" i="1"/>
  <c r="D1351" i="1"/>
  <c r="A1351" i="1"/>
  <c r="B1351" i="1"/>
  <c r="F1351" i="1"/>
  <c r="E1351" i="1"/>
  <c r="A1510" i="1"/>
  <c r="G1510" i="1"/>
  <c r="F1510" i="1"/>
  <c r="B1510" i="1"/>
  <c r="C1510" i="1"/>
  <c r="D1510" i="1"/>
  <c r="E1510" i="1"/>
  <c r="E1001" i="1"/>
  <c r="B1001" i="1"/>
  <c r="A1001" i="1"/>
  <c r="G1056" i="1"/>
  <c r="C1056" i="1"/>
  <c r="G1152" i="1"/>
  <c r="D1152" i="1"/>
  <c r="C1152" i="1"/>
  <c r="D1295" i="1"/>
  <c r="G1295" i="1"/>
  <c r="A1295" i="1"/>
  <c r="F1295" i="1"/>
  <c r="E1295" i="1"/>
  <c r="E1365" i="1"/>
  <c r="C1365" i="1"/>
  <c r="B1365" i="1"/>
  <c r="G1365" i="1"/>
  <c r="D1399" i="1"/>
  <c r="F1399" i="1"/>
  <c r="E1399" i="1"/>
  <c r="A1399" i="1"/>
  <c r="G1399" i="1"/>
  <c r="C1399" i="1"/>
  <c r="G1874" i="1"/>
  <c r="E1874" i="1"/>
  <c r="D1874" i="1"/>
  <c r="F1874" i="1"/>
  <c r="C1874" i="1"/>
  <c r="A1874" i="1"/>
  <c r="B961" i="1"/>
  <c r="B970" i="1"/>
  <c r="G983" i="1"/>
  <c r="B993" i="1"/>
  <c r="C1078" i="1"/>
  <c r="B1089" i="1"/>
  <c r="B1141" i="1"/>
  <c r="A1188" i="1"/>
  <c r="D1207" i="1"/>
  <c r="E1207" i="1"/>
  <c r="G1207" i="1"/>
  <c r="C1207" i="1"/>
  <c r="B1207" i="1"/>
  <c r="E1393" i="1"/>
  <c r="C1393" i="1"/>
  <c r="F1393" i="1"/>
  <c r="D1393" i="1"/>
  <c r="G1393" i="1"/>
  <c r="B1393" i="1"/>
  <c r="A1544" i="1"/>
  <c r="D1544" i="1"/>
  <c r="F1544" i="1"/>
  <c r="E1544" i="1"/>
  <c r="C1544" i="1"/>
  <c r="G1856" i="1"/>
  <c r="E1856" i="1"/>
  <c r="B1856" i="1"/>
  <c r="A1856" i="1"/>
  <c r="F1856" i="1"/>
  <c r="D1856" i="1"/>
  <c r="C1856" i="1"/>
  <c r="G988" i="1"/>
  <c r="F988" i="1"/>
  <c r="C988" i="1"/>
  <c r="F1046" i="1"/>
  <c r="E1046" i="1"/>
  <c r="B1046" i="1"/>
  <c r="A1046" i="1"/>
  <c r="A1099" i="1"/>
  <c r="C1099" i="1"/>
  <c r="B1099" i="1"/>
  <c r="F1099" i="1"/>
  <c r="G1153" i="1"/>
  <c r="D1153" i="1"/>
  <c r="C1153" i="1"/>
  <c r="F1250" i="1"/>
  <c r="A1250" i="1"/>
  <c r="C1250" i="1"/>
  <c r="B1250" i="1"/>
  <c r="G1250" i="1"/>
  <c r="F1256" i="1"/>
  <c r="E1256" i="1"/>
  <c r="B1256" i="1"/>
  <c r="A1256" i="1"/>
  <c r="D1283" i="1"/>
  <c r="F1283" i="1"/>
  <c r="B1283" i="1"/>
  <c r="A1283" i="1"/>
  <c r="C1374" i="1"/>
  <c r="B1374" i="1"/>
  <c r="G1374" i="1"/>
  <c r="F1374" i="1"/>
  <c r="A1374" i="1"/>
  <c r="C1421" i="1"/>
  <c r="F1421" i="1"/>
  <c r="B1421" i="1"/>
  <c r="A1421" i="1"/>
  <c r="E1421" i="1"/>
  <c r="D1421" i="1"/>
  <c r="E1776" i="1"/>
  <c r="B1776" i="1"/>
  <c r="A1776" i="1"/>
  <c r="C1776" i="1"/>
  <c r="G1776" i="1"/>
  <c r="D1776" i="1"/>
  <c r="G1089" i="1"/>
  <c r="E1089" i="1"/>
  <c r="A1089" i="1"/>
  <c r="F1141" i="1"/>
  <c r="E1141" i="1"/>
  <c r="A1141" i="1"/>
  <c r="A1147" i="1"/>
  <c r="F1147" i="1"/>
  <c r="E1147" i="1"/>
  <c r="D1147" i="1"/>
  <c r="D1188" i="1"/>
  <c r="F1188" i="1"/>
  <c r="E1188" i="1"/>
  <c r="A1208" i="1"/>
  <c r="G1208" i="1"/>
  <c r="F1208" i="1"/>
  <c r="B1208" i="1"/>
  <c r="E1360" i="1"/>
  <c r="C1360" i="1"/>
  <c r="F1360" i="1"/>
  <c r="D1360" i="1"/>
  <c r="A1461" i="1"/>
  <c r="G1461" i="1"/>
  <c r="B1461" i="1"/>
  <c r="D1461" i="1"/>
  <c r="F1461" i="1"/>
  <c r="E1461" i="1"/>
  <c r="D1499" i="1"/>
  <c r="G1499" i="1"/>
  <c r="F1499" i="1"/>
  <c r="B1499" i="1"/>
  <c r="C1499" i="1"/>
  <c r="E1499" i="1"/>
  <c r="A1499" i="1"/>
  <c r="G1596" i="1"/>
  <c r="C1596" i="1"/>
  <c r="F1596" i="1"/>
  <c r="E1596" i="1"/>
  <c r="A1596" i="1"/>
  <c r="D1596" i="1"/>
  <c r="B1596" i="1"/>
  <c r="C966" i="1"/>
  <c r="D1012" i="1"/>
  <c r="C1053" i="1"/>
  <c r="C1063" i="1"/>
  <c r="F1068" i="1"/>
  <c r="B1068" i="1"/>
  <c r="G1100" i="1"/>
  <c r="F1100" i="1"/>
  <c r="C1100" i="1"/>
  <c r="B1100" i="1"/>
  <c r="B1106" i="1"/>
  <c r="D1331" i="1"/>
  <c r="B1331" i="1"/>
  <c r="A1331" i="1"/>
  <c r="C1331" i="1"/>
  <c r="G1331" i="1"/>
  <c r="D1402" i="1"/>
  <c r="G1402" i="1"/>
  <c r="E1402" i="1"/>
  <c r="C1402" i="1"/>
  <c r="B1402" i="1"/>
  <c r="C917" i="1"/>
  <c r="E921" i="1"/>
  <c r="A921" i="1"/>
  <c r="D935" i="1"/>
  <c r="C939" i="1"/>
  <c r="B939" i="1"/>
  <c r="G966" i="1"/>
  <c r="B985" i="1"/>
  <c r="C1018" i="1"/>
  <c r="B1048" i="1"/>
  <c r="B1166" i="1"/>
  <c r="D1195" i="1"/>
  <c r="A1195" i="1"/>
  <c r="G1195" i="1"/>
  <c r="F1195" i="1"/>
  <c r="B1195" i="1"/>
  <c r="D1215" i="1"/>
  <c r="G1215" i="1"/>
  <c r="F1215" i="1"/>
  <c r="E1215" i="1"/>
  <c r="G1233" i="1"/>
  <c r="D1233" i="1"/>
  <c r="C1233" i="1"/>
  <c r="D1584" i="1"/>
  <c r="F1584" i="1"/>
  <c r="E1584" i="1"/>
  <c r="A1584" i="1"/>
  <c r="B1584" i="1"/>
  <c r="C1584" i="1"/>
  <c r="G1834" i="1"/>
  <c r="C1834" i="1"/>
  <c r="B1834" i="1"/>
  <c r="F1834" i="1"/>
  <c r="A1834" i="1"/>
  <c r="D1834" i="1"/>
  <c r="E1859" i="1"/>
  <c r="A1859" i="1"/>
  <c r="F1859" i="1"/>
  <c r="D1859" i="1"/>
  <c r="G1859" i="1"/>
  <c r="C1859" i="1"/>
  <c r="B1859" i="1"/>
  <c r="E1053" i="1"/>
  <c r="B1053" i="1"/>
  <c r="E1063" i="1"/>
  <c r="B1063" i="1"/>
  <c r="A1063" i="1"/>
  <c r="F1079" i="1"/>
  <c r="E1079" i="1"/>
  <c r="B1079" i="1"/>
  <c r="A1079" i="1"/>
  <c r="C1106" i="1"/>
  <c r="E1106" i="1"/>
  <c r="F1142" i="1"/>
  <c r="E1142" i="1"/>
  <c r="A1142" i="1"/>
  <c r="E1148" i="1"/>
  <c r="B1148" i="1"/>
  <c r="A1148" i="1"/>
  <c r="D1166" i="1"/>
  <c r="F1189" i="1"/>
  <c r="E1189" i="1"/>
  <c r="A1189" i="1"/>
  <c r="A1196" i="1"/>
  <c r="B1239" i="1"/>
  <c r="B1245" i="1"/>
  <c r="E1245" i="1"/>
  <c r="C1245" i="1"/>
  <c r="A1245" i="1"/>
  <c r="G1245" i="1"/>
  <c r="C1326" i="1"/>
  <c r="G1326" i="1"/>
  <c r="E1326" i="1"/>
  <c r="D1326" i="1"/>
  <c r="F1326" i="1"/>
  <c r="A1382" i="1"/>
  <c r="E1382" i="1"/>
  <c r="F1382" i="1"/>
  <c r="D1382" i="1"/>
  <c r="D1095" i="1"/>
  <c r="C1194" i="1"/>
  <c r="A1284" i="1"/>
  <c r="D1284" i="1"/>
  <c r="D1299" i="1"/>
  <c r="F1299" i="1"/>
  <c r="E1426" i="1"/>
  <c r="F1426" i="1"/>
  <c r="B1426" i="1"/>
  <c r="A1426" i="1"/>
  <c r="F1433" i="1"/>
  <c r="B1433" i="1"/>
  <c r="G1433" i="1"/>
  <c r="C1433" i="1"/>
  <c r="A1433" i="1"/>
  <c r="D1463" i="1"/>
  <c r="G1463" i="1"/>
  <c r="F1463" i="1"/>
  <c r="B1463" i="1"/>
  <c r="A1463" i="1"/>
  <c r="E1463" i="1"/>
  <c r="E1628" i="1"/>
  <c r="A1628" i="1"/>
  <c r="G1628" i="1"/>
  <c r="C1628" i="1"/>
  <c r="B1628" i="1"/>
  <c r="D1628" i="1"/>
  <c r="F1628" i="1"/>
  <c r="B1718" i="1"/>
  <c r="A1718" i="1"/>
  <c r="G1718" i="1"/>
  <c r="D1718" i="1"/>
  <c r="C1718" i="1"/>
  <c r="F1718" i="1"/>
  <c r="E1718" i="1"/>
  <c r="D1231" i="1"/>
  <c r="E1231" i="1"/>
  <c r="C1265" i="1"/>
  <c r="G1265" i="1"/>
  <c r="G1270" i="1"/>
  <c r="F1270" i="1"/>
  <c r="D1275" i="1"/>
  <c r="B1275" i="1"/>
  <c r="C1275" i="1"/>
  <c r="D1390" i="1"/>
  <c r="A1390" i="1"/>
  <c r="E1396" i="1"/>
  <c r="A1396" i="1"/>
  <c r="B1396" i="1"/>
  <c r="F1396" i="1"/>
  <c r="D1427" i="1"/>
  <c r="A1427" i="1"/>
  <c r="B1427" i="1"/>
  <c r="G1427" i="1"/>
  <c r="E1427" i="1"/>
  <c r="F1464" i="1"/>
  <c r="C1464" i="1"/>
  <c r="B1464" i="1"/>
  <c r="E1464" i="1"/>
  <c r="G1464" i="1"/>
  <c r="C1861" i="1"/>
  <c r="E1861" i="1"/>
  <c r="G1861" i="1"/>
  <c r="F1861" i="1"/>
  <c r="A1861" i="1"/>
  <c r="D1861" i="1"/>
  <c r="B1861" i="1"/>
  <c r="G1951" i="1"/>
  <c r="F1951" i="1"/>
  <c r="B1951" i="1"/>
  <c r="E1951" i="1"/>
  <c r="D1951" i="1"/>
  <c r="C1951" i="1"/>
  <c r="A1042" i="1"/>
  <c r="A1075" i="1"/>
  <c r="A1096" i="1"/>
  <c r="A1113" i="1"/>
  <c r="D1138" i="1"/>
  <c r="C1151" i="1"/>
  <c r="C1168" i="1"/>
  <c r="D1177" i="1"/>
  <c r="E1246" i="1"/>
  <c r="E1251" i="1"/>
  <c r="C1366" i="1"/>
  <c r="G1366" i="1"/>
  <c r="B1366" i="1"/>
  <c r="A1366" i="1"/>
  <c r="G1434" i="1"/>
  <c r="C1434" i="1"/>
  <c r="B1434" i="1"/>
  <c r="E1434" i="1"/>
  <c r="B1727" i="1"/>
  <c r="G1727" i="1"/>
  <c r="F1727" i="1"/>
  <c r="A1727" i="1"/>
  <c r="E1727" i="1"/>
  <c r="D1727" i="1"/>
  <c r="C1009" i="1"/>
  <c r="G1021" i="1"/>
  <c r="D1042" i="1"/>
  <c r="D1075" i="1"/>
  <c r="G1083" i="1"/>
  <c r="D1096" i="1"/>
  <c r="D1113" i="1"/>
  <c r="C1130" i="1"/>
  <c r="B1143" i="1"/>
  <c r="D1164" i="1"/>
  <c r="C1173" i="1"/>
  <c r="B1182" i="1"/>
  <c r="B1209" i="1"/>
  <c r="C1218" i="1"/>
  <c r="C1237" i="1"/>
  <c r="A1281" i="1"/>
  <c r="A1290" i="1"/>
  <c r="E1290" i="1"/>
  <c r="D1290" i="1"/>
  <c r="B1301" i="1"/>
  <c r="C1306" i="1"/>
  <c r="B1356" i="1"/>
  <c r="B1373" i="1"/>
  <c r="F1373" i="1"/>
  <c r="G1373" i="1"/>
  <c r="D1373" i="1"/>
  <c r="C1373" i="1"/>
  <c r="D1435" i="1"/>
  <c r="C1435" i="1"/>
  <c r="E1435" i="1"/>
  <c r="F1435" i="1"/>
  <c r="B1435" i="1"/>
  <c r="A1473" i="1"/>
  <c r="F1525" i="1"/>
  <c r="E1525" i="1"/>
  <c r="D1525" i="1"/>
  <c r="C1525" i="1"/>
  <c r="B1525" i="1"/>
  <c r="A1525" i="1"/>
  <c r="G1532" i="1"/>
  <c r="C1532" i="1"/>
  <c r="D1532" i="1"/>
  <c r="A1532" i="1"/>
  <c r="E1630" i="1"/>
  <c r="A1630" i="1"/>
  <c r="G1630" i="1"/>
  <c r="C1630" i="1"/>
  <c r="B1630" i="1"/>
  <c r="D1630" i="1"/>
  <c r="F1630" i="1"/>
  <c r="C1713" i="1"/>
  <c r="E1713" i="1"/>
  <c r="A1713" i="1"/>
  <c r="D1713" i="1"/>
  <c r="B1713" i="1"/>
  <c r="G1713" i="1"/>
  <c r="F1713" i="1"/>
  <c r="D1009" i="1"/>
  <c r="A1026" i="1"/>
  <c r="A1059" i="1"/>
  <c r="A1105" i="1"/>
  <c r="D1130" i="1"/>
  <c r="C1143" i="1"/>
  <c r="A1151" i="1"/>
  <c r="G1151" i="1"/>
  <c r="A1156" i="1"/>
  <c r="E1164" i="1"/>
  <c r="D1173" i="1"/>
  <c r="C1182" i="1"/>
  <c r="C1209" i="1"/>
  <c r="E1218" i="1"/>
  <c r="D1227" i="1"/>
  <c r="A1227" i="1"/>
  <c r="E1227" i="1"/>
  <c r="D1237" i="1"/>
  <c r="B1281" i="1"/>
  <c r="C1301" i="1"/>
  <c r="C1356" i="1"/>
  <c r="D1367" i="1"/>
  <c r="F1367" i="1"/>
  <c r="A1367" i="1"/>
  <c r="G1367" i="1"/>
  <c r="B1576" i="1"/>
  <c r="G1576" i="1"/>
  <c r="D1576" i="1"/>
  <c r="A1576" i="1"/>
  <c r="E1576" i="1"/>
  <c r="C1576" i="1"/>
  <c r="C1178" i="1"/>
  <c r="G1182" i="1"/>
  <c r="C1187" i="1"/>
  <c r="G1209" i="1"/>
  <c r="D1214" i="1"/>
  <c r="G1237" i="1"/>
  <c r="G1306" i="1"/>
  <c r="A1306" i="1"/>
  <c r="D1380" i="1"/>
  <c r="D1473" i="1"/>
  <c r="C1473" i="1"/>
  <c r="F1473" i="1"/>
  <c r="C1486" i="1"/>
  <c r="B1486" i="1"/>
  <c r="F1486" i="1"/>
  <c r="G1486" i="1"/>
  <c r="D1486" i="1"/>
  <c r="A1486" i="1"/>
  <c r="F1632" i="1"/>
  <c r="B1632" i="1"/>
  <c r="A1632" i="1"/>
  <c r="G1632" i="1"/>
  <c r="E1632" i="1"/>
  <c r="C1632" i="1"/>
  <c r="A1143" i="1"/>
  <c r="E1143" i="1"/>
  <c r="G1281" i="1"/>
  <c r="D1281" i="1"/>
  <c r="A1301" i="1"/>
  <c r="E1301" i="1"/>
  <c r="D1356" i="1"/>
  <c r="A1356" i="1"/>
  <c r="E1380" i="1"/>
  <c r="A1410" i="1"/>
  <c r="E1410" i="1"/>
  <c r="F1410" i="1"/>
  <c r="B1410" i="1"/>
  <c r="D1751" i="1"/>
  <c r="C1751" i="1"/>
  <c r="G1751" i="1"/>
  <c r="F1751" i="1"/>
  <c r="A1751" i="1"/>
  <c r="E1751" i="1"/>
  <c r="B1751" i="1"/>
  <c r="G1790" i="1"/>
  <c r="B1790" i="1"/>
  <c r="A1790" i="1"/>
  <c r="E1790" i="1"/>
  <c r="D1790" i="1"/>
  <c r="C1790" i="1"/>
  <c r="G1902" i="1"/>
  <c r="C1902" i="1"/>
  <c r="F1902" i="1"/>
  <c r="E1902" i="1"/>
  <c r="D1902" i="1"/>
  <c r="A1902" i="1"/>
  <c r="B1902" i="1"/>
  <c r="B1110" i="1"/>
  <c r="C1127" i="1"/>
  <c r="C1144" i="1"/>
  <c r="B1192" i="1"/>
  <c r="C1201" i="1"/>
  <c r="C1210" i="1"/>
  <c r="B1224" i="1"/>
  <c r="D1307" i="1"/>
  <c r="C1307" i="1"/>
  <c r="E1307" i="1"/>
  <c r="B1307" i="1"/>
  <c r="E1386" i="1"/>
  <c r="D1386" i="1"/>
  <c r="F1386" i="1"/>
  <c r="E1429" i="1"/>
  <c r="A1429" i="1"/>
  <c r="F1429" i="1"/>
  <c r="D1429" i="1"/>
  <c r="G1110" i="1"/>
  <c r="G1127" i="1"/>
  <c r="G1192" i="1"/>
  <c r="G1201" i="1"/>
  <c r="C1369" i="1"/>
  <c r="E1369" i="1"/>
  <c r="A1369" i="1"/>
  <c r="F1430" i="1"/>
  <c r="G1430" i="1"/>
  <c r="A1430" i="1"/>
  <c r="E1430" i="1"/>
  <c r="D1494" i="1"/>
  <c r="C1494" i="1"/>
  <c r="A1494" i="1"/>
  <c r="B1494" i="1"/>
  <c r="C1731" i="1"/>
  <c r="F1731" i="1"/>
  <c r="E1731" i="1"/>
  <c r="G1731" i="1"/>
  <c r="D1731" i="1"/>
  <c r="A1731" i="1"/>
  <c r="B1731" i="1"/>
  <c r="C1865" i="1"/>
  <c r="F1865" i="1"/>
  <c r="A1865" i="1"/>
  <c r="G1865" i="1"/>
  <c r="E1865" i="1"/>
  <c r="D1865" i="1"/>
  <c r="B1865" i="1"/>
  <c r="A1224" i="1"/>
  <c r="E1224" i="1"/>
  <c r="D1243" i="1"/>
  <c r="F1243" i="1"/>
  <c r="G1248" i="1"/>
  <c r="B1248" i="1"/>
  <c r="C1094" i="1"/>
  <c r="C1128" i="1"/>
  <c r="C1145" i="1"/>
  <c r="C1193" i="1"/>
  <c r="C1202" i="1"/>
  <c r="C1225" i="1"/>
  <c r="B1254" i="1"/>
  <c r="A1259" i="1"/>
  <c r="E1273" i="1"/>
  <c r="A1273" i="1"/>
  <c r="B1325" i="1"/>
  <c r="B1353" i="1"/>
  <c r="A1610" i="1"/>
  <c r="G1610" i="1"/>
  <c r="F1610" i="1"/>
  <c r="C1610" i="1"/>
  <c r="B1610" i="1"/>
  <c r="E1610" i="1"/>
  <c r="B1635" i="1"/>
  <c r="E1635" i="1"/>
  <c r="A1635" i="1"/>
  <c r="G1635" i="1"/>
  <c r="F1635" i="1"/>
  <c r="C1635" i="1"/>
  <c r="C1325" i="1"/>
  <c r="D1347" i="1"/>
  <c r="E1347" i="1"/>
  <c r="G1347" i="1"/>
  <c r="F1347" i="1"/>
  <c r="A1347" i="1"/>
  <c r="D1353" i="1"/>
  <c r="E1376" i="1"/>
  <c r="F1376" i="1"/>
  <c r="D1376" i="1"/>
  <c r="F1400" i="1"/>
  <c r="B1400" i="1"/>
  <c r="A1400" i="1"/>
  <c r="G1400" i="1"/>
  <c r="C1400" i="1"/>
  <c r="F1449" i="1"/>
  <c r="B1449" i="1"/>
  <c r="C1785" i="1"/>
  <c r="G1785" i="1"/>
  <c r="B1785" i="1"/>
  <c r="E1785" i="1"/>
  <c r="D1785" i="1"/>
  <c r="A1785" i="1"/>
  <c r="G1918" i="1"/>
  <c r="D1918" i="1"/>
  <c r="E1918" i="1"/>
  <c r="A1918" i="1"/>
  <c r="F1918" i="1"/>
  <c r="C1918" i="1"/>
  <c r="B1918" i="1"/>
  <c r="D1103" i="1"/>
  <c r="C1198" i="1"/>
  <c r="G1254" i="1"/>
  <c r="C1284" i="1"/>
  <c r="B1299" i="1"/>
  <c r="F1325" i="1"/>
  <c r="G1353" i="1"/>
  <c r="D1503" i="1"/>
  <c r="A1503" i="1"/>
  <c r="E1503" i="1"/>
  <c r="F1503" i="1"/>
  <c r="C1503" i="1"/>
  <c r="G1549" i="1"/>
  <c r="B1549" i="1"/>
  <c r="A1549" i="1"/>
  <c r="E1549" i="1"/>
  <c r="F1549" i="1"/>
  <c r="D1549" i="1"/>
  <c r="C1549" i="1"/>
  <c r="G1847" i="1"/>
  <c r="F1847" i="1"/>
  <c r="C1847" i="1"/>
  <c r="B1847" i="1"/>
  <c r="D1847" i="1"/>
  <c r="E1847" i="1"/>
  <c r="A1847" i="1"/>
  <c r="D1259" i="1"/>
  <c r="F1259" i="1"/>
  <c r="D1359" i="1"/>
  <c r="C1359" i="1"/>
  <c r="G1359" i="1"/>
  <c r="F1359" i="1"/>
  <c r="D1371" i="1"/>
  <c r="G1371" i="1"/>
  <c r="B1371" i="1"/>
  <c r="F1371" i="1"/>
  <c r="E1371" i="1"/>
  <c r="A1413" i="1"/>
  <c r="E1413" i="1"/>
  <c r="B1413" i="1"/>
  <c r="D1425" i="1"/>
  <c r="E1425" i="1"/>
  <c r="F1425" i="1"/>
  <c r="C1425" i="1"/>
  <c r="B1450" i="1"/>
  <c r="E1450" i="1"/>
  <c r="F1450" i="1"/>
  <c r="D1450" i="1"/>
  <c r="G1482" i="1"/>
  <c r="F1482" i="1"/>
  <c r="E1482" i="1"/>
  <c r="B1482" i="1"/>
  <c r="G1496" i="1"/>
  <c r="D1496" i="1"/>
  <c r="E1496" i="1"/>
  <c r="C1496" i="1"/>
  <c r="F1496" i="1"/>
  <c r="B1496" i="1"/>
  <c r="G1604" i="1"/>
  <c r="C1604" i="1"/>
  <c r="F1604" i="1"/>
  <c r="E1604" i="1"/>
  <c r="D1604" i="1"/>
  <c r="B1604" i="1"/>
  <c r="C1733" i="1"/>
  <c r="E1733" i="1"/>
  <c r="D1733" i="1"/>
  <c r="F1733" i="1"/>
  <c r="B1733" i="1"/>
  <c r="G1733" i="1"/>
  <c r="A1733" i="1"/>
  <c r="D1303" i="1"/>
  <c r="A1303" i="1"/>
  <c r="C1332" i="1"/>
  <c r="B1342" i="1"/>
  <c r="A1377" i="1"/>
  <c r="E1377" i="1"/>
  <c r="D1403" i="1"/>
  <c r="C1403" i="1"/>
  <c r="E1436" i="1"/>
  <c r="B1436" i="1"/>
  <c r="A1446" i="1"/>
  <c r="C1446" i="1"/>
  <c r="B1514" i="1"/>
  <c r="F1514" i="1"/>
  <c r="A1514" i="1"/>
  <c r="G1514" i="1"/>
  <c r="C1514" i="1"/>
  <c r="F1650" i="1"/>
  <c r="E1650" i="1"/>
  <c r="D1650" i="1"/>
  <c r="G1650" i="1"/>
  <c r="C1650" i="1"/>
  <c r="B1650" i="1"/>
  <c r="A1650" i="1"/>
  <c r="D1700" i="1"/>
  <c r="G1700" i="1"/>
  <c r="B1700" i="1"/>
  <c r="C1700" i="1"/>
  <c r="E1700" i="1"/>
  <c r="A1700" i="1"/>
  <c r="E1240" i="1"/>
  <c r="B1240" i="1"/>
  <c r="C1318" i="1"/>
  <c r="B1323" i="1"/>
  <c r="B1328" i="1"/>
  <c r="F1332" i="1"/>
  <c r="D1383" i="1"/>
  <c r="F1383" i="1"/>
  <c r="C1383" i="1"/>
  <c r="C1389" i="1"/>
  <c r="C1409" i="1"/>
  <c r="B1539" i="1"/>
  <c r="E1832" i="1"/>
  <c r="A1832" i="1"/>
  <c r="G1832" i="1"/>
  <c r="C1832" i="1"/>
  <c r="D1832" i="1"/>
  <c r="B1832" i="1"/>
  <c r="F1832" i="1"/>
  <c r="G1342" i="1"/>
  <c r="C1342" i="1"/>
  <c r="A1342" i="1"/>
  <c r="D1357" i="1"/>
  <c r="B1357" i="1"/>
  <c r="D1471" i="1"/>
  <c r="G1471" i="1"/>
  <c r="F1471" i="1"/>
  <c r="A1471" i="1"/>
  <c r="E1471" i="1"/>
  <c r="G1605" i="1"/>
  <c r="F1605" i="1"/>
  <c r="C1605" i="1"/>
  <c r="B1605" i="1"/>
  <c r="E1605" i="1"/>
  <c r="D1605" i="1"/>
  <c r="D1626" i="1"/>
  <c r="F1626" i="1"/>
  <c r="A1626" i="1"/>
  <c r="E1626" i="1"/>
  <c r="G1626" i="1"/>
  <c r="C1694" i="1"/>
  <c r="G1694" i="1"/>
  <c r="F1694" i="1"/>
  <c r="B1694" i="1"/>
  <c r="A1694" i="1"/>
  <c r="E1694" i="1"/>
  <c r="D1694" i="1"/>
  <c r="C1901" i="1"/>
  <c r="E1901" i="1"/>
  <c r="G1901" i="1"/>
  <c r="B1901" i="1"/>
  <c r="A1901" i="1"/>
  <c r="D1901" i="1"/>
  <c r="C1961" i="1"/>
  <c r="F1961" i="1"/>
  <c r="B1961" i="1"/>
  <c r="A1961" i="1"/>
  <c r="G1961" i="1"/>
  <c r="E1961" i="1"/>
  <c r="D1389" i="1"/>
  <c r="A1389" i="1"/>
  <c r="A1409" i="1"/>
  <c r="E1409" i="1"/>
  <c r="A1466" i="1"/>
  <c r="G1534" i="1"/>
  <c r="D1534" i="1"/>
  <c r="C1534" i="1"/>
  <c r="E1534" i="1"/>
  <c r="B1534" i="1"/>
  <c r="D1539" i="1"/>
  <c r="A1539" i="1"/>
  <c r="E1539" i="1"/>
  <c r="C1546" i="1"/>
  <c r="B1546" i="1"/>
  <c r="F1546" i="1"/>
  <c r="E1546" i="1"/>
  <c r="G1546" i="1"/>
  <c r="D1546" i="1"/>
  <c r="A1546" i="1"/>
  <c r="C1606" i="1"/>
  <c r="B1606" i="1"/>
  <c r="F1606" i="1"/>
  <c r="G1606" i="1"/>
  <c r="A1606" i="1"/>
  <c r="C1805" i="1"/>
  <c r="E1805" i="1"/>
  <c r="G1805" i="1"/>
  <c r="B1805" i="1"/>
  <c r="A1805" i="1"/>
  <c r="F1805" i="1"/>
  <c r="F1855" i="1"/>
  <c r="B1855" i="1"/>
  <c r="E1855" i="1"/>
  <c r="D1855" i="1"/>
  <c r="G1855" i="1"/>
  <c r="C1855" i="1"/>
  <c r="A1855" i="1"/>
  <c r="B1915" i="1"/>
  <c r="G1915" i="1"/>
  <c r="E1915" i="1"/>
  <c r="D1915" i="1"/>
  <c r="F1915" i="1"/>
  <c r="A1915" i="1"/>
  <c r="C1915" i="1"/>
  <c r="C1232" i="1"/>
  <c r="G1232" i="1"/>
  <c r="B1384" i="1"/>
  <c r="D1384" i="1"/>
  <c r="A1384" i="1"/>
  <c r="D1483" i="1"/>
  <c r="G1483" i="1"/>
  <c r="B1483" i="1"/>
  <c r="E1483" i="1"/>
  <c r="C1483" i="1"/>
  <c r="E1521" i="1"/>
  <c r="D1521" i="1"/>
  <c r="F1930" i="1"/>
  <c r="E1930" i="1"/>
  <c r="B1930" i="1"/>
  <c r="A1930" i="1"/>
  <c r="D1930" i="1"/>
  <c r="C1930" i="1"/>
  <c r="D1379" i="1"/>
  <c r="E1379" i="1"/>
  <c r="G1379" i="1"/>
  <c r="G1466" i="1"/>
  <c r="C1466" i="1"/>
  <c r="D1466" i="1"/>
  <c r="F1497" i="1"/>
  <c r="G1497" i="1"/>
  <c r="E1497" i="1"/>
  <c r="A1497" i="1"/>
  <c r="B1497" i="1"/>
  <c r="C1497" i="1"/>
  <c r="G1703" i="1"/>
  <c r="F1703" i="1"/>
  <c r="C1703" i="1"/>
  <c r="B1703" i="1"/>
  <c r="D1703" i="1"/>
  <c r="A1703" i="1"/>
  <c r="C1841" i="1"/>
  <c r="F1841" i="1"/>
  <c r="G1841" i="1"/>
  <c r="E1841" i="1"/>
  <c r="A1841" i="1"/>
  <c r="D1841" i="1"/>
  <c r="B1841" i="1"/>
  <c r="G1498" i="1"/>
  <c r="F1498" i="1"/>
  <c r="C1498" i="1"/>
  <c r="B1498" i="1"/>
  <c r="D1571" i="1"/>
  <c r="A1571" i="1"/>
  <c r="G1571" i="1"/>
  <c r="E1571" i="1"/>
  <c r="F1571" i="1"/>
  <c r="A1645" i="1"/>
  <c r="B1645" i="1"/>
  <c r="G1645" i="1"/>
  <c r="F1645" i="1"/>
  <c r="C1645" i="1"/>
  <c r="D1645" i="1"/>
  <c r="C1793" i="1"/>
  <c r="E1793" i="1"/>
  <c r="A1793" i="1"/>
  <c r="G1793" i="1"/>
  <c r="F1793" i="1"/>
  <c r="F1867" i="1"/>
  <c r="E1867" i="1"/>
  <c r="D1867" i="1"/>
  <c r="B1867" i="1"/>
  <c r="C1867" i="1"/>
  <c r="G1867" i="1"/>
  <c r="A1867" i="1"/>
  <c r="D1517" i="1"/>
  <c r="C1517" i="1"/>
  <c r="G1517" i="1"/>
  <c r="E1517" i="1"/>
  <c r="E1601" i="1"/>
  <c r="D1601" i="1"/>
  <c r="A1601" i="1"/>
  <c r="F1601" i="1"/>
  <c r="B1601" i="1"/>
  <c r="B1639" i="1"/>
  <c r="G1639" i="1"/>
  <c r="F1639" i="1"/>
  <c r="A1639" i="1"/>
  <c r="E1639" i="1"/>
  <c r="D1639" i="1"/>
  <c r="C1639" i="1"/>
  <c r="F1868" i="1"/>
  <c r="B1868" i="1"/>
  <c r="G1868" i="1"/>
  <c r="C1868" i="1"/>
  <c r="A1868" i="1"/>
  <c r="E1868" i="1"/>
  <c r="D1868" i="1"/>
  <c r="E1910" i="1"/>
  <c r="B1910" i="1"/>
  <c r="F1910" i="1"/>
  <c r="D1910" i="1"/>
  <c r="C1910" i="1"/>
  <c r="A1910" i="1"/>
  <c r="G1910" i="1"/>
  <c r="F1354" i="1"/>
  <c r="D1354" i="1"/>
  <c r="D1439" i="1"/>
  <c r="E1439" i="1"/>
  <c r="F1530" i="1"/>
  <c r="B1530" i="1"/>
  <c r="A1530" i="1"/>
  <c r="C1530" i="1"/>
  <c r="E1536" i="1"/>
  <c r="D1536" i="1"/>
  <c r="C1536" i="1"/>
  <c r="E1735" i="1"/>
  <c r="A1735" i="1"/>
  <c r="F1735" i="1"/>
  <c r="B1735" i="1"/>
  <c r="D1735" i="1"/>
  <c r="G1735" i="1"/>
  <c r="C1735" i="1"/>
  <c r="C1742" i="1"/>
  <c r="F1742" i="1"/>
  <c r="E1742" i="1"/>
  <c r="B1742" i="1"/>
  <c r="A1742" i="1"/>
  <c r="F1492" i="1"/>
  <c r="E1492" i="1"/>
  <c r="A1492" i="1"/>
  <c r="G1492" i="1"/>
  <c r="D1561" i="1"/>
  <c r="C1561" i="1"/>
  <c r="G1561" i="1"/>
  <c r="B1561" i="1"/>
  <c r="G1676" i="1"/>
  <c r="C1676" i="1"/>
  <c r="D1676" i="1"/>
  <c r="F1676" i="1"/>
  <c r="A1676" i="1"/>
  <c r="B1676" i="1"/>
  <c r="E1676" i="1"/>
  <c r="C1919" i="1"/>
  <c r="F1919" i="1"/>
  <c r="A1919" i="1"/>
  <c r="G1919" i="1"/>
  <c r="E1919" i="1"/>
  <c r="D1279" i="1"/>
  <c r="F1279" i="1"/>
  <c r="G1288" i="1"/>
  <c r="G1297" i="1"/>
  <c r="G1340" i="1"/>
  <c r="G1345" i="1"/>
  <c r="D1355" i="1"/>
  <c r="B1355" i="1"/>
  <c r="A1355" i="1"/>
  <c r="G1355" i="1"/>
  <c r="F1474" i="1"/>
  <c r="G1474" i="1"/>
  <c r="B1381" i="1"/>
  <c r="E1381" i="1"/>
  <c r="D1423" i="1"/>
  <c r="B1423" i="1"/>
  <c r="C1423" i="1"/>
  <c r="A1423" i="1"/>
  <c r="D1550" i="1"/>
  <c r="C1550" i="1"/>
  <c r="E1550" i="1"/>
  <c r="G1550" i="1"/>
  <c r="F1550" i="1"/>
  <c r="D1579" i="1"/>
  <c r="C1579" i="1"/>
  <c r="B1579" i="1"/>
  <c r="F1579" i="1"/>
  <c r="E1579" i="1"/>
  <c r="F1771" i="1"/>
  <c r="E1771" i="1"/>
  <c r="B1771" i="1"/>
  <c r="C1771" i="1"/>
  <c r="D1771" i="1"/>
  <c r="G1679" i="1"/>
  <c r="C1679" i="1"/>
  <c r="F1679" i="1"/>
  <c r="B1679" i="1"/>
  <c r="A1679" i="1"/>
  <c r="C1693" i="1"/>
  <c r="G1693" i="1"/>
  <c r="D1693" i="1"/>
  <c r="E1693" i="1"/>
  <c r="B1693" i="1"/>
  <c r="E1722" i="1"/>
  <c r="A1722" i="1"/>
  <c r="D1722" i="1"/>
  <c r="G1722" i="1"/>
  <c r="F1722" i="1"/>
  <c r="C1722" i="1"/>
  <c r="E1960" i="1"/>
  <c r="A1960" i="1"/>
  <c r="D1960" i="1"/>
  <c r="F1960" i="1"/>
  <c r="C1960" i="1"/>
  <c r="B1960" i="1"/>
  <c r="G1960" i="1"/>
  <c r="D1982" i="1"/>
  <c r="A1982" i="1"/>
  <c r="F1982" i="1"/>
  <c r="E1982" i="1"/>
  <c r="G1545" i="1"/>
  <c r="C1545" i="1"/>
  <c r="F1545" i="1"/>
  <c r="D1552" i="1"/>
  <c r="C1552" i="1"/>
  <c r="A1552" i="1"/>
  <c r="F1680" i="1"/>
  <c r="G1680" i="1"/>
  <c r="E1680" i="1"/>
  <c r="D1680" i="1"/>
  <c r="C1680" i="1"/>
  <c r="G1686" i="1"/>
  <c r="D1686" i="1"/>
  <c r="C1686" i="1"/>
  <c r="E1686" i="1"/>
  <c r="B1686" i="1"/>
  <c r="A1686" i="1"/>
  <c r="C1744" i="1"/>
  <c r="F1744" i="1"/>
  <c r="E1744" i="1"/>
  <c r="A1744" i="1"/>
  <c r="G1744" i="1"/>
  <c r="D1744" i="1"/>
  <c r="B1744" i="1"/>
  <c r="A1788" i="1"/>
  <c r="F1788" i="1"/>
  <c r="C1788" i="1"/>
  <c r="B1788" i="1"/>
  <c r="G1788" i="1"/>
  <c r="E1788" i="1"/>
  <c r="E1848" i="1"/>
  <c r="D1848" i="1"/>
  <c r="B1848" i="1"/>
  <c r="F1848" i="1"/>
  <c r="C1848" i="1"/>
  <c r="A1848" i="1"/>
  <c r="G1368" i="1"/>
  <c r="F1368" i="1"/>
  <c r="D1378" i="1"/>
  <c r="D1412" i="1"/>
  <c r="E1417" i="1"/>
  <c r="D1522" i="1"/>
  <c r="G1522" i="1"/>
  <c r="B1631" i="1"/>
  <c r="D1631" i="1"/>
  <c r="C1631" i="1"/>
  <c r="A1631" i="1"/>
  <c r="F1631" i="1"/>
  <c r="E1631" i="1"/>
  <c r="G1723" i="1"/>
  <c r="F1723" i="1"/>
  <c r="C1723" i="1"/>
  <c r="B1723" i="1"/>
  <c r="E1815" i="1"/>
  <c r="G1815" i="1"/>
  <c r="B1815" i="1"/>
  <c r="F1815" i="1"/>
  <c r="D1815" i="1"/>
  <c r="D1487" i="1"/>
  <c r="F1487" i="1"/>
  <c r="D1523" i="1"/>
  <c r="G1523" i="1"/>
  <c r="B1523" i="1"/>
  <c r="E1523" i="1"/>
  <c r="C1523" i="1"/>
  <c r="G1529" i="1"/>
  <c r="F1529" i="1"/>
  <c r="D1529" i="1"/>
  <c r="C1529" i="1"/>
  <c r="A1529" i="1"/>
  <c r="D1575" i="1"/>
  <c r="B1575" i="1"/>
  <c r="A1575" i="1"/>
  <c r="F1575" i="1"/>
  <c r="B1581" i="1"/>
  <c r="C1869" i="1"/>
  <c r="G1869" i="1"/>
  <c r="B1869" i="1"/>
  <c r="E1869" i="1"/>
  <c r="D1869" i="1"/>
  <c r="F1869" i="1"/>
  <c r="A1869" i="1"/>
  <c r="D1448" i="1"/>
  <c r="C1448" i="1"/>
  <c r="G1453" i="1"/>
  <c r="A1453" i="1"/>
  <c r="B1481" i="1"/>
  <c r="C1481" i="1"/>
  <c r="A1481" i="1"/>
  <c r="F1481" i="1"/>
  <c r="D1624" i="1"/>
  <c r="F1624" i="1"/>
  <c r="E1624" i="1"/>
  <c r="G1624" i="1"/>
  <c r="C1624" i="1"/>
  <c r="G1850" i="1"/>
  <c r="C1850" i="1"/>
  <c r="E1850" i="1"/>
  <c r="D1850" i="1"/>
  <c r="A1850" i="1"/>
  <c r="F1850" i="1"/>
  <c r="G1581" i="1"/>
  <c r="C1581" i="1"/>
  <c r="C1696" i="1"/>
  <c r="E1696" i="1"/>
  <c r="G1696" i="1"/>
  <c r="B1696" i="1"/>
  <c r="A1696" i="1"/>
  <c r="C1725" i="1"/>
  <c r="B1725" i="1"/>
  <c r="G1725" i="1"/>
  <c r="F1725" i="1"/>
  <c r="E1725" i="1"/>
  <c r="D1725" i="1"/>
  <c r="G1946" i="1"/>
  <c r="D1946" i="1"/>
  <c r="C1946" i="1"/>
  <c r="F1946" i="1"/>
  <c r="A1946" i="1"/>
  <c r="B1647" i="1"/>
  <c r="A1647" i="1"/>
  <c r="F1647" i="1"/>
  <c r="C1647" i="1"/>
  <c r="B1655" i="1"/>
  <c r="D1655" i="1"/>
  <c r="E1655" i="1"/>
  <c r="G1655" i="1"/>
  <c r="F1655" i="1"/>
  <c r="C1753" i="1"/>
  <c r="F1753" i="1"/>
  <c r="E1753" i="1"/>
  <c r="D1753" i="1"/>
  <c r="G1753" i="1"/>
  <c r="B1753" i="1"/>
  <c r="E1831" i="1"/>
  <c r="A1831" i="1"/>
  <c r="G1831" i="1"/>
  <c r="F1831" i="1"/>
  <c r="B1831" i="1"/>
  <c r="D1831" i="1"/>
  <c r="D1507" i="1"/>
  <c r="C1507" i="1"/>
  <c r="B1507" i="1"/>
  <c r="F1507" i="1"/>
  <c r="E1507" i="1"/>
  <c r="D1531" i="1"/>
  <c r="F1531" i="1"/>
  <c r="E1531" i="1"/>
  <c r="A1531" i="1"/>
  <c r="F1548" i="1"/>
  <c r="E1548" i="1"/>
  <c r="C1777" i="1"/>
  <c r="A1777" i="1"/>
  <c r="G1777" i="1"/>
  <c r="F1777" i="1"/>
  <c r="E1777" i="1"/>
  <c r="G1826" i="1"/>
  <c r="E1826" i="1"/>
  <c r="D1826" i="1"/>
  <c r="B1826" i="1"/>
  <c r="F1826" i="1"/>
  <c r="B1414" i="1"/>
  <c r="A1414" i="1"/>
  <c r="A1477" i="1"/>
  <c r="F1477" i="1"/>
  <c r="D1508" i="1"/>
  <c r="C1620" i="1"/>
  <c r="F1620" i="1"/>
  <c r="G1620" i="1"/>
  <c r="E1620" i="1"/>
  <c r="A1620" i="1"/>
  <c r="C1934" i="1"/>
  <c r="D1934" i="1"/>
  <c r="F1934" i="1"/>
  <c r="A1934" i="1"/>
  <c r="G1934" i="1"/>
  <c r="E1934" i="1"/>
  <c r="C1853" i="1"/>
  <c r="B1853" i="1"/>
  <c r="F1853" i="1"/>
  <c r="E1853" i="1"/>
  <c r="D1853" i="1"/>
  <c r="A1853" i="1"/>
  <c r="G1853" i="1"/>
  <c r="E1872" i="1"/>
  <c r="A1872" i="1"/>
  <c r="G1872" i="1"/>
  <c r="F1872" i="1"/>
  <c r="D1872" i="1"/>
  <c r="C1872" i="1"/>
  <c r="F1879" i="1"/>
  <c r="B1879" i="1"/>
  <c r="E1879" i="1"/>
  <c r="A1879" i="1"/>
  <c r="C1893" i="1"/>
  <c r="G1893" i="1"/>
  <c r="F1893" i="1"/>
  <c r="B1893" i="1"/>
  <c r="A1893" i="1"/>
  <c r="D1893" i="1"/>
  <c r="E1926" i="1"/>
  <c r="B1926" i="1"/>
  <c r="A1926" i="1"/>
  <c r="F1926" i="1"/>
  <c r="D1926" i="1"/>
  <c r="C1926" i="1"/>
  <c r="E1526" i="1"/>
  <c r="B1526" i="1"/>
  <c r="A1526" i="1"/>
  <c r="A1572" i="1"/>
  <c r="G1572" i="1"/>
  <c r="C1572" i="1"/>
  <c r="D1572" i="1"/>
  <c r="B1572" i="1"/>
  <c r="C1669" i="1"/>
  <c r="F1669" i="1"/>
  <c r="G1669" i="1"/>
  <c r="E1669" i="1"/>
  <c r="D1669" i="1"/>
  <c r="E1799" i="1"/>
  <c r="A1799" i="1"/>
  <c r="F1799" i="1"/>
  <c r="D1799" i="1"/>
  <c r="C1799" i="1"/>
  <c r="B1799" i="1"/>
  <c r="A1812" i="1"/>
  <c r="E1812" i="1"/>
  <c r="B1812" i="1"/>
  <c r="F1812" i="1"/>
  <c r="D1812" i="1"/>
  <c r="G1812" i="1"/>
  <c r="C1812" i="1"/>
  <c r="F1854" i="1"/>
  <c r="G1854" i="1"/>
  <c r="E1854" i="1"/>
  <c r="A1854" i="1"/>
  <c r="C1854" i="1"/>
  <c r="G1863" i="1"/>
  <c r="C1863" i="1"/>
  <c r="E1863" i="1"/>
  <c r="A1863" i="1"/>
  <c r="B1863" i="1"/>
  <c r="D1395" i="1"/>
  <c r="E1395" i="1"/>
  <c r="G1420" i="1"/>
  <c r="D1420" i="1"/>
  <c r="C1420" i="1"/>
  <c r="E1445" i="1"/>
  <c r="F1445" i="1"/>
  <c r="A1490" i="1"/>
  <c r="G1490" i="1"/>
  <c r="C1518" i="1"/>
  <c r="F1518" i="1"/>
  <c r="B1618" i="1"/>
  <c r="F1618" i="1"/>
  <c r="C1618" i="1"/>
  <c r="A1618" i="1"/>
  <c r="C1741" i="1"/>
  <c r="G1741" i="1"/>
  <c r="B1741" i="1"/>
  <c r="F1741" i="1"/>
  <c r="D1741" i="1"/>
  <c r="C1925" i="1"/>
  <c r="E1925" i="1"/>
  <c r="F1925" i="1"/>
  <c r="D1925" i="1"/>
  <c r="G1925" i="1"/>
  <c r="D1447" i="1"/>
  <c r="G1447" i="1"/>
  <c r="B1447" i="1"/>
  <c r="A1447" i="1"/>
  <c r="C1597" i="1"/>
  <c r="B1597" i="1"/>
  <c r="F1633" i="1"/>
  <c r="E1633" i="1"/>
  <c r="B1633" i="1"/>
  <c r="A1633" i="1"/>
  <c r="G1652" i="1"/>
  <c r="F1652" i="1"/>
  <c r="C1797" i="1"/>
  <c r="F1797" i="1"/>
  <c r="E1797" i="1"/>
  <c r="A1797" i="1"/>
  <c r="D1797" i="1"/>
  <c r="B1797" i="1"/>
  <c r="C1817" i="1"/>
  <c r="F1817" i="1"/>
  <c r="B1817" i="1"/>
  <c r="A1817" i="1"/>
  <c r="C1857" i="1"/>
  <c r="D1857" i="1"/>
  <c r="E1857" i="1"/>
  <c r="F1857" i="1"/>
  <c r="B1857" i="1"/>
  <c r="C1864" i="1"/>
  <c r="F1864" i="1"/>
  <c r="G1415" i="1"/>
  <c r="B1509" i="1"/>
  <c r="A1509" i="1"/>
  <c r="E1509" i="1"/>
  <c r="F1540" i="1"/>
  <c r="D1587" i="1"/>
  <c r="F1587" i="1"/>
  <c r="E1587" i="1"/>
  <c r="G1587" i="1"/>
  <c r="C1587" i="1"/>
  <c r="C1598" i="1"/>
  <c r="F1621" i="1"/>
  <c r="C1621" i="1"/>
  <c r="B1621" i="1"/>
  <c r="A1627" i="1"/>
  <c r="E1646" i="1"/>
  <c r="C1646" i="1"/>
  <c r="B1646" i="1"/>
  <c r="A1758" i="1"/>
  <c r="E1462" i="1"/>
  <c r="A1462" i="1"/>
  <c r="D1598" i="1"/>
  <c r="D1672" i="1"/>
  <c r="F1672" i="1"/>
  <c r="B1672" i="1"/>
  <c r="A1672" i="1"/>
  <c r="E1672" i="1"/>
  <c r="C1672" i="1"/>
  <c r="F1698" i="1"/>
  <c r="B1698" i="1"/>
  <c r="E1698" i="1"/>
  <c r="D1698" i="1"/>
  <c r="C1825" i="1"/>
  <c r="B1825" i="1"/>
  <c r="G1825" i="1"/>
  <c r="F1825" i="1"/>
  <c r="A1825" i="1"/>
  <c r="A1614" i="1"/>
  <c r="F1614" i="1"/>
  <c r="E1614" i="1"/>
  <c r="B1614" i="1"/>
  <c r="B1627" i="1"/>
  <c r="F1627" i="1"/>
  <c r="E1627" i="1"/>
  <c r="B1659" i="1"/>
  <c r="E1659" i="1"/>
  <c r="A1659" i="1"/>
  <c r="F1659" i="1"/>
  <c r="D1659" i="1"/>
  <c r="C1673" i="1"/>
  <c r="D1673" i="1"/>
  <c r="B1673" i="1"/>
  <c r="E1673" i="1"/>
  <c r="A1673" i="1"/>
  <c r="C1758" i="1"/>
  <c r="F1758" i="1"/>
  <c r="E1758" i="1"/>
  <c r="A1800" i="1"/>
  <c r="D1888" i="1"/>
  <c r="G1888" i="1"/>
  <c r="C1888" i="1"/>
  <c r="B1888" i="1"/>
  <c r="A1888" i="1"/>
  <c r="D1563" i="1"/>
  <c r="G1563" i="1"/>
  <c r="F1563" i="1"/>
  <c r="B1563" i="1"/>
  <c r="B1615" i="1"/>
  <c r="F1615" i="1"/>
  <c r="C1615" i="1"/>
  <c r="A1615" i="1"/>
  <c r="F1648" i="1"/>
  <c r="G1648" i="1"/>
  <c r="E1648" i="1"/>
  <c r="A1648" i="1"/>
  <c r="C1648" i="1"/>
  <c r="B1648" i="1"/>
  <c r="C1685" i="1"/>
  <c r="E1685" i="1"/>
  <c r="G1685" i="1"/>
  <c r="F1685" i="1"/>
  <c r="D1685" i="1"/>
  <c r="F1936" i="1"/>
  <c r="E1936" i="1"/>
  <c r="A1936" i="1"/>
  <c r="D1936" i="1"/>
  <c r="C1936" i="1"/>
  <c r="B1936" i="1"/>
  <c r="D1956" i="1"/>
  <c r="A1956" i="1"/>
  <c r="B1956" i="1"/>
  <c r="G1636" i="1"/>
  <c r="C1636" i="1"/>
  <c r="A1636" i="1"/>
  <c r="E1636" i="1"/>
  <c r="D1636" i="1"/>
  <c r="F1660" i="1"/>
  <c r="E1660" i="1"/>
  <c r="A1660" i="1"/>
  <c r="C1707" i="1"/>
  <c r="F1707" i="1"/>
  <c r="B1707" i="1"/>
  <c r="A1707" i="1"/>
  <c r="F1772" i="1"/>
  <c r="B1772" i="1"/>
  <c r="G1772" i="1"/>
  <c r="E1772" i="1"/>
  <c r="C1772" i="1"/>
  <c r="A1772" i="1"/>
  <c r="E1800" i="1"/>
  <c r="G1800" i="1"/>
  <c r="B1820" i="1"/>
  <c r="G1820" i="1"/>
  <c r="C1820" i="1"/>
  <c r="F1820" i="1"/>
  <c r="A1820" i="1"/>
  <c r="C1851" i="1"/>
  <c r="F1851" i="1"/>
  <c r="B1851" i="1"/>
  <c r="A1851" i="1"/>
  <c r="B1882" i="1"/>
  <c r="G1882" i="1"/>
  <c r="F1882" i="1"/>
  <c r="A1882" i="1"/>
  <c r="D1527" i="1"/>
  <c r="G1527" i="1"/>
  <c r="B1542" i="1"/>
  <c r="A1542" i="1"/>
  <c r="F1542" i="1"/>
  <c r="E1542" i="1"/>
  <c r="B1616" i="1"/>
  <c r="G1616" i="1"/>
  <c r="F1616" i="1"/>
  <c r="A1616" i="1"/>
  <c r="D1667" i="1"/>
  <c r="E1667" i="1"/>
  <c r="G1667" i="1"/>
  <c r="B1667" i="1"/>
  <c r="A1667" i="1"/>
  <c r="C1667" i="1"/>
  <c r="E1746" i="1"/>
  <c r="A1746" i="1"/>
  <c r="D1746" i="1"/>
  <c r="B1746" i="1"/>
  <c r="C1773" i="1"/>
  <c r="G1773" i="1"/>
  <c r="D1773" i="1"/>
  <c r="B1773" i="1"/>
  <c r="A1773" i="1"/>
  <c r="C1781" i="1"/>
  <c r="D1781" i="1"/>
  <c r="G1781" i="1"/>
  <c r="F1781" i="1"/>
  <c r="A1781" i="1"/>
  <c r="C1821" i="1"/>
  <c r="G1821" i="1"/>
  <c r="F1821" i="1"/>
  <c r="E1821" i="1"/>
  <c r="D1821" i="1"/>
  <c r="E1883" i="1"/>
  <c r="G1883" i="1"/>
  <c r="C1883" i="1"/>
  <c r="B1883" i="1"/>
  <c r="F1883" i="1"/>
  <c r="E1979" i="1"/>
  <c r="G1979" i="1"/>
  <c r="F1979" i="1"/>
  <c r="A1979" i="1"/>
  <c r="D1479" i="1"/>
  <c r="E1479" i="1"/>
  <c r="F1558" i="1"/>
  <c r="E1558" i="1"/>
  <c r="D1558" i="1"/>
  <c r="E1687" i="1"/>
  <c r="F1687" i="1"/>
  <c r="A1687" i="1"/>
  <c r="G1687" i="1"/>
  <c r="D1687" i="1"/>
  <c r="B1687" i="1"/>
  <c r="C1701" i="1"/>
  <c r="F1701" i="1"/>
  <c r="B1701" i="1"/>
  <c r="A1701" i="1"/>
  <c r="E1701" i="1"/>
  <c r="D1701" i="1"/>
  <c r="E1766" i="1"/>
  <c r="A1766" i="1"/>
  <c r="B1766" i="1"/>
  <c r="G1766" i="1"/>
  <c r="F1766" i="1"/>
  <c r="G1774" i="1"/>
  <c r="C1774" i="1"/>
  <c r="D1774" i="1"/>
  <c r="F1774" i="1"/>
  <c r="E1774" i="1"/>
  <c r="B1774" i="1"/>
  <c r="A1774" i="1"/>
  <c r="G1807" i="1"/>
  <c r="C1807" i="1"/>
  <c r="F1807" i="1"/>
  <c r="A1807" i="1"/>
  <c r="E1807" i="1"/>
  <c r="D1807" i="1"/>
  <c r="C1203" i="1"/>
  <c r="C1315" i="1"/>
  <c r="D1431" i="1"/>
  <c r="B1431" i="1"/>
  <c r="G1470" i="1"/>
  <c r="B1518" i="1"/>
  <c r="D1543" i="1"/>
  <c r="A1543" i="1"/>
  <c r="C1543" i="1"/>
  <c r="B1543" i="1"/>
  <c r="F1617" i="1"/>
  <c r="B1617" i="1"/>
  <c r="E1617" i="1"/>
  <c r="D1617" i="1"/>
  <c r="F1662" i="1"/>
  <c r="E1662" i="1"/>
  <c r="A1662" i="1"/>
  <c r="B1662" i="1"/>
  <c r="A1775" i="1"/>
  <c r="D1775" i="1"/>
  <c r="C1775" i="1"/>
  <c r="F1775" i="1"/>
  <c r="E1775" i="1"/>
  <c r="C1909" i="1"/>
  <c r="F1909" i="1"/>
  <c r="D1909" i="1"/>
  <c r="F1480" i="1"/>
  <c r="E1480" i="1"/>
  <c r="B1480" i="1"/>
  <c r="A1480" i="1"/>
  <c r="D1559" i="1"/>
  <c r="F1559" i="1"/>
  <c r="G1559" i="1"/>
  <c r="A1559" i="1"/>
  <c r="D1574" i="1"/>
  <c r="C1574" i="1"/>
  <c r="D1618" i="1"/>
  <c r="A1668" i="1"/>
  <c r="E1668" i="1"/>
  <c r="D1668" i="1"/>
  <c r="G1740" i="1"/>
  <c r="F1740" i="1"/>
  <c r="B1740" i="1"/>
  <c r="A1740" i="1"/>
  <c r="C1973" i="1"/>
  <c r="F1973" i="1"/>
  <c r="B1973" i="1"/>
  <c r="A1973" i="1"/>
  <c r="G1973" i="1"/>
  <c r="E1973" i="1"/>
  <c r="F1759" i="1"/>
  <c r="B1759" i="1"/>
  <c r="G1759" i="1"/>
  <c r="C1759" i="1"/>
  <c r="A1759" i="1"/>
  <c r="F1764" i="1"/>
  <c r="E1764" i="1"/>
  <c r="A1764" i="1"/>
  <c r="A1858" i="1"/>
  <c r="F1858" i="1"/>
  <c r="C1858" i="1"/>
  <c r="B1858" i="1"/>
  <c r="F1708" i="1"/>
  <c r="B1708" i="1"/>
  <c r="F1736" i="1"/>
  <c r="C1736" i="1"/>
  <c r="B1736" i="1"/>
  <c r="A1783" i="1"/>
  <c r="F1783" i="1"/>
  <c r="B1783" i="1"/>
  <c r="G1783" i="1"/>
  <c r="C1783" i="1"/>
  <c r="C1824" i="1"/>
  <c r="F1824" i="1"/>
  <c r="A1824" i="1"/>
  <c r="C1829" i="1"/>
  <c r="E1829" i="1"/>
  <c r="C1913" i="1"/>
  <c r="D1913" i="1"/>
  <c r="A1944" i="1"/>
  <c r="F1944" i="1"/>
  <c r="E1944" i="1"/>
  <c r="B1944" i="1"/>
  <c r="C1989" i="1"/>
  <c r="E1989" i="1"/>
  <c r="D1989" i="1"/>
  <c r="F1989" i="1"/>
  <c r="D1585" i="1"/>
  <c r="D1594" i="1"/>
  <c r="B1611" i="1"/>
  <c r="E1611" i="1"/>
  <c r="D1611" i="1"/>
  <c r="C1622" i="1"/>
  <c r="B1622" i="1"/>
  <c r="B1638" i="1"/>
  <c r="A1654" i="1"/>
  <c r="F1691" i="1"/>
  <c r="D1691" i="1"/>
  <c r="G1691" i="1"/>
  <c r="B1691" i="1"/>
  <c r="A1691" i="1"/>
  <c r="F1719" i="1"/>
  <c r="G1719" i="1"/>
  <c r="C1765" i="1"/>
  <c r="E1765" i="1"/>
  <c r="B1765" i="1"/>
  <c r="A1765" i="1"/>
  <c r="C1795" i="1"/>
  <c r="G1806" i="1"/>
  <c r="F1806" i="1"/>
  <c r="D1884" i="1"/>
  <c r="D1995" i="1"/>
  <c r="A1995" i="1"/>
  <c r="C1375" i="1"/>
  <c r="G1664" i="1"/>
  <c r="F1675" i="1"/>
  <c r="B1675" i="1"/>
  <c r="F1819" i="1"/>
  <c r="E1819" i="1"/>
  <c r="A1819" i="1"/>
  <c r="C1897" i="1"/>
  <c r="A1897" i="1"/>
  <c r="G1897" i="1"/>
  <c r="F1897" i="1"/>
  <c r="C1921" i="1"/>
  <c r="B1921" i="1"/>
  <c r="F1921" i="1"/>
  <c r="E1921" i="1"/>
  <c r="C1945" i="1"/>
  <c r="G1945" i="1"/>
  <c r="D1945" i="1"/>
  <c r="B1945" i="1"/>
  <c r="F1990" i="1"/>
  <c r="E1990" i="1"/>
  <c r="B1990" i="1"/>
  <c r="A1990" i="1"/>
  <c r="A1612" i="1"/>
  <c r="F1612" i="1"/>
  <c r="C1612" i="1"/>
  <c r="B1612" i="1"/>
  <c r="G1638" i="1"/>
  <c r="C1638" i="1"/>
  <c r="G1654" i="1"/>
  <c r="E1654" i="1"/>
  <c r="D1654" i="1"/>
  <c r="B1692" i="1"/>
  <c r="A1692" i="1"/>
  <c r="F1692" i="1"/>
  <c r="E1692" i="1"/>
  <c r="C1709" i="1"/>
  <c r="F1709" i="1"/>
  <c r="A1709" i="1"/>
  <c r="E1720" i="1"/>
  <c r="B1720" i="1"/>
  <c r="F1720" i="1"/>
  <c r="D1720" i="1"/>
  <c r="A1738" i="1"/>
  <c r="B1754" i="1"/>
  <c r="G1754" i="1"/>
  <c r="F1754" i="1"/>
  <c r="C1754" i="1"/>
  <c r="A1754" i="1"/>
  <c r="A1908" i="1"/>
  <c r="E1908" i="1"/>
  <c r="B1908" i="1"/>
  <c r="F1914" i="1"/>
  <c r="E1914" i="1"/>
  <c r="A1914" i="1"/>
  <c r="B1475" i="1"/>
  <c r="B1488" i="1"/>
  <c r="C1501" i="1"/>
  <c r="B1519" i="1"/>
  <c r="D1613" i="1"/>
  <c r="F1802" i="1"/>
  <c r="E1802" i="1"/>
  <c r="D1802" i="1"/>
  <c r="A1802" i="1"/>
  <c r="G1808" i="1"/>
  <c r="F1808" i="1"/>
  <c r="B1808" i="1"/>
  <c r="G1891" i="1"/>
  <c r="D1891" i="1"/>
  <c r="C1891" i="1"/>
  <c r="C1953" i="1"/>
  <c r="E1953" i="1"/>
  <c r="F1953" i="1"/>
  <c r="D1953" i="1"/>
  <c r="G1608" i="1"/>
  <c r="C1608" i="1"/>
  <c r="C1619" i="1"/>
  <c r="E1644" i="1"/>
  <c r="D1644" i="1"/>
  <c r="A1644" i="1"/>
  <c r="C1756" i="1"/>
  <c r="C1886" i="1"/>
  <c r="D1886" i="1"/>
  <c r="G1886" i="1"/>
  <c r="F1886" i="1"/>
  <c r="A1886" i="1"/>
  <c r="F1892" i="1"/>
  <c r="B1892" i="1"/>
  <c r="E1892" i="1"/>
  <c r="D1892" i="1"/>
  <c r="G1916" i="1"/>
  <c r="C1916" i="1"/>
  <c r="F1916" i="1"/>
  <c r="B1916" i="1"/>
  <c r="A1916" i="1"/>
  <c r="B1935" i="1"/>
  <c r="A1502" i="1"/>
  <c r="D1555" i="1"/>
  <c r="E1555" i="1"/>
  <c r="A1569" i="1"/>
  <c r="D1629" i="1"/>
  <c r="C1677" i="1"/>
  <c r="F1677" i="1"/>
  <c r="B1677" i="1"/>
  <c r="A1677" i="1"/>
  <c r="D1688" i="1"/>
  <c r="E1762" i="1"/>
  <c r="B1451" i="1"/>
  <c r="C1455" i="1"/>
  <c r="C1476" i="1"/>
  <c r="C1489" i="1"/>
  <c r="G1493" i="1"/>
  <c r="D1502" i="1"/>
  <c r="B1511" i="1"/>
  <c r="D1569" i="1"/>
  <c r="G1600" i="1"/>
  <c r="C1600" i="1"/>
  <c r="B1619" i="1"/>
  <c r="G1619" i="1"/>
  <c r="B1661" i="1"/>
  <c r="A1717" i="1"/>
  <c r="G1756" i="1"/>
  <c r="A1756" i="1"/>
  <c r="G1780" i="1"/>
  <c r="A1780" i="1"/>
  <c r="D1849" i="1"/>
  <c r="A1875" i="1"/>
  <c r="B1894" i="1"/>
  <c r="G1935" i="1"/>
  <c r="C1935" i="1"/>
  <c r="B1974" i="1"/>
  <c r="F1980" i="1"/>
  <c r="E1980" i="1"/>
  <c r="B1980" i="1"/>
  <c r="A1980" i="1"/>
  <c r="D1980" i="1"/>
  <c r="C1980" i="1"/>
  <c r="C1451" i="1"/>
  <c r="E1455" i="1"/>
  <c r="E1489" i="1"/>
  <c r="C1511" i="1"/>
  <c r="D1551" i="1"/>
  <c r="C1551" i="1"/>
  <c r="F1711" i="1"/>
  <c r="B1711" i="1"/>
  <c r="D1711" i="1"/>
  <c r="G1511" i="1"/>
  <c r="C1661" i="1"/>
  <c r="F1661" i="1"/>
  <c r="A1661" i="1"/>
  <c r="G1712" i="1"/>
  <c r="C1712" i="1"/>
  <c r="F1712" i="1"/>
  <c r="B1712" i="1"/>
  <c r="A1712" i="1"/>
  <c r="C1717" i="1"/>
  <c r="F1717" i="1"/>
  <c r="D1717" i="1"/>
  <c r="G1728" i="1"/>
  <c r="D1728" i="1"/>
  <c r="C1849" i="1"/>
  <c r="A1849" i="1"/>
  <c r="B1849" i="1"/>
  <c r="C1875" i="1"/>
  <c r="G1875" i="1"/>
  <c r="F1875" i="1"/>
  <c r="E1894" i="1"/>
  <c r="A1894" i="1"/>
  <c r="D1894" i="1"/>
  <c r="F1974" i="1"/>
  <c r="E1974" i="1"/>
  <c r="D1547" i="1"/>
  <c r="B1547" i="1"/>
  <c r="F1592" i="1"/>
  <c r="B1592" i="1"/>
  <c r="B1651" i="1"/>
  <c r="C1651" i="1"/>
  <c r="C1757" i="1"/>
  <c r="G1757" i="1"/>
  <c r="D1757" i="1"/>
  <c r="B1787" i="1"/>
  <c r="E1787" i="1"/>
  <c r="F1787" i="1"/>
  <c r="D1787" i="1"/>
  <c r="C1937" i="1"/>
  <c r="G1937" i="1"/>
  <c r="F1937" i="1"/>
  <c r="A1937" i="1"/>
  <c r="D1937" i="1"/>
  <c r="B1937" i="1"/>
  <c r="C1969" i="1"/>
  <c r="D1969" i="1"/>
  <c r="G1969" i="1"/>
  <c r="F1969" i="1"/>
  <c r="F1724" i="1"/>
  <c r="E1724" i="1"/>
  <c r="A1724" i="1"/>
  <c r="F1767" i="1"/>
  <c r="F1796" i="1"/>
  <c r="B1796" i="1"/>
  <c r="C1801" i="1"/>
  <c r="A1801" i="1"/>
  <c r="G1840" i="1"/>
  <c r="C1840" i="1"/>
  <c r="D1840" i="1"/>
  <c r="G1870" i="1"/>
  <c r="G1880" i="1"/>
  <c r="C1885" i="1"/>
  <c r="G1885" i="1"/>
  <c r="F1885" i="1"/>
  <c r="A1885" i="1"/>
  <c r="G1895" i="1"/>
  <c r="A1947" i="1"/>
  <c r="G1952" i="1"/>
  <c r="C1957" i="1"/>
  <c r="G1957" i="1"/>
  <c r="G1963" i="1"/>
  <c r="F1963" i="1"/>
  <c r="B1963" i="1"/>
  <c r="C1991" i="1"/>
  <c r="C1729" i="1"/>
  <c r="D1729" i="1"/>
  <c r="A1729" i="1"/>
  <c r="E1748" i="1"/>
  <c r="A1748" i="1"/>
  <c r="D1890" i="1"/>
  <c r="F1890" i="1"/>
  <c r="A1890" i="1"/>
  <c r="F1920" i="1"/>
  <c r="B1920" i="1"/>
  <c r="B1947" i="1"/>
  <c r="A1958" i="1"/>
  <c r="C1583" i="1"/>
  <c r="F1634" i="1"/>
  <c r="B1634" i="1"/>
  <c r="D1653" i="1"/>
  <c r="C1705" i="1"/>
  <c r="B1705" i="1"/>
  <c r="G1715" i="1"/>
  <c r="C1730" i="1"/>
  <c r="D1768" i="1"/>
  <c r="C1836" i="1"/>
  <c r="C1866" i="1"/>
  <c r="D1871" i="1"/>
  <c r="C1896" i="1"/>
  <c r="G1991" i="1"/>
  <c r="E1583" i="1"/>
  <c r="E1653" i="1"/>
  <c r="C1681" i="1"/>
  <c r="B1681" i="1"/>
  <c r="D1730" i="1"/>
  <c r="E1768" i="1"/>
  <c r="E1871" i="1"/>
  <c r="F1947" i="1"/>
  <c r="C1947" i="1"/>
  <c r="G1958" i="1"/>
  <c r="D1958" i="1"/>
  <c r="C1958" i="1"/>
  <c r="G1986" i="1"/>
  <c r="D1986" i="1"/>
  <c r="C1986" i="1"/>
  <c r="C1649" i="1"/>
  <c r="B1721" i="1"/>
  <c r="A1798" i="1"/>
  <c r="F1836" i="1"/>
  <c r="B1836" i="1"/>
  <c r="F1866" i="1"/>
  <c r="B1866" i="1"/>
  <c r="G1876" i="1"/>
  <c r="C1876" i="1"/>
  <c r="F1931" i="1"/>
  <c r="B1931" i="1"/>
  <c r="E1931" i="1"/>
  <c r="A1938" i="1"/>
  <c r="D1948" i="1"/>
  <c r="B1965" i="1"/>
  <c r="G1975" i="1"/>
  <c r="F1975" i="1"/>
  <c r="B1975" i="1"/>
  <c r="C1987" i="1"/>
  <c r="C1992" i="1"/>
  <c r="G1649" i="1"/>
  <c r="C1663" i="1"/>
  <c r="G1663" i="1"/>
  <c r="B1663" i="1"/>
  <c r="D1697" i="1"/>
  <c r="D1755" i="1"/>
  <c r="C1760" i="1"/>
  <c r="D1779" i="1"/>
  <c r="C1784" i="1"/>
  <c r="F1803" i="1"/>
  <c r="B1803" i="1"/>
  <c r="C1803" i="1"/>
  <c r="A1813" i="1"/>
  <c r="B1823" i="1"/>
  <c r="F1842" i="1"/>
  <c r="B1842" i="1"/>
  <c r="D1862" i="1"/>
  <c r="B1912" i="1"/>
  <c r="D1917" i="1"/>
  <c r="E1954" i="1"/>
  <c r="B1954" i="1"/>
  <c r="A1954" i="1"/>
  <c r="G1965" i="1"/>
  <c r="E1697" i="1"/>
  <c r="C1721" i="1"/>
  <c r="A1721" i="1"/>
  <c r="E1755" i="1"/>
  <c r="D1760" i="1"/>
  <c r="E1779" i="1"/>
  <c r="D1784" i="1"/>
  <c r="G1798" i="1"/>
  <c r="C1798" i="1"/>
  <c r="B1813" i="1"/>
  <c r="C1837" i="1"/>
  <c r="G1837" i="1"/>
  <c r="B1837" i="1"/>
  <c r="C1877" i="1"/>
  <c r="E1877" i="1"/>
  <c r="D1877" i="1"/>
  <c r="C1912" i="1"/>
  <c r="F1932" i="1"/>
  <c r="C1932" i="1"/>
  <c r="B1932" i="1"/>
  <c r="F1938" i="1"/>
  <c r="B1938" i="1"/>
  <c r="C1789" i="1"/>
  <c r="F1789" i="1"/>
  <c r="E1818" i="1"/>
  <c r="A1818" i="1"/>
  <c r="F1823" i="1"/>
  <c r="D1838" i="1"/>
  <c r="E1907" i="1"/>
  <c r="A1907" i="1"/>
  <c r="G1912" i="1"/>
  <c r="C1949" i="1"/>
  <c r="G1949" i="1"/>
  <c r="F1949" i="1"/>
  <c r="A1949" i="1"/>
  <c r="C1966" i="1"/>
  <c r="C1813" i="1"/>
  <c r="F1813" i="1"/>
  <c r="E1838" i="1"/>
  <c r="C1933" i="1"/>
  <c r="G1933" i="1"/>
  <c r="D1933" i="1"/>
  <c r="B1933" i="1"/>
  <c r="C1977" i="1"/>
  <c r="A1977" i="1"/>
  <c r="F1977" i="1"/>
  <c r="E1977" i="1"/>
  <c r="A1999" i="1"/>
  <c r="G1903" i="1"/>
  <c r="C1903" i="1"/>
  <c r="D1978" i="1"/>
  <c r="G1999" i="1"/>
  <c r="D1999" i="1"/>
  <c r="C1999" i="1"/>
  <c r="B1927" i="1"/>
  <c r="C1940" i="1"/>
  <c r="C1923" i="1"/>
  <c r="D1971" i="1"/>
  <c r="E1927" i="1"/>
  <c r="A1927" i="1"/>
  <c r="C1997" i="1"/>
  <c r="G1997" i="1"/>
  <c r="B1997" i="1"/>
  <c r="C1928" i="1"/>
  <c r="B1976" i="1"/>
  <c r="A1985" i="1"/>
  <c r="C1993" i="1"/>
  <c r="F1993" i="1"/>
  <c r="A1993" i="1"/>
  <c r="C1998" i="1"/>
  <c r="A1968" i="1"/>
  <c r="G1976" i="1"/>
  <c r="B1968" i="1"/>
  <c r="C1985" i="1"/>
  <c r="D1985" i="1"/>
  <c r="E1671" i="1"/>
  <c r="A1671" i="1"/>
  <c r="D1689" i="1"/>
  <c r="D1750" i="1"/>
  <c r="F1898" i="1"/>
  <c r="B1898" i="1"/>
  <c r="D1929" i="1"/>
  <c r="C1981" i="1"/>
  <c r="B1981" i="1"/>
  <c r="G1968" i="1"/>
  <c r="C1968" i="1"/>
  <c r="C1737" i="1"/>
  <c r="F1737" i="1"/>
  <c r="A1737" i="1"/>
  <c r="C1881" i="1"/>
  <c r="F1881" i="1"/>
  <c r="F1964" i="1"/>
  <c r="B1964" i="1"/>
  <c r="D1745" i="1"/>
  <c r="D1873" i="1"/>
  <c r="C6" i="1" l="1"/>
  <c r="B6" i="1"/>
  <c r="D6" i="1"/>
  <c r="A6" i="1"/>
  <c r="E6" i="1"/>
  <c r="F6" i="1"/>
</calcChain>
</file>

<file path=xl/sharedStrings.xml><?xml version="1.0" encoding="utf-8"?>
<sst xmlns="http://schemas.openxmlformats.org/spreadsheetml/2006/main" count="14267" uniqueCount="3612">
  <si>
    <t>SignalStack | Ops Pulse — Operational Health Dashboard</t>
  </si>
  <si>
    <t xml:space="preserve">  Weekly snapshot of field operations. Update the Weekly Log tab each week. Metrics auto-calculate here.</t>
  </si>
  <si>
    <t>KEY PERFORMANCE INDICATORS — CURRENT WEEK</t>
  </si>
  <si>
    <t>Jobs Completed</t>
  </si>
  <si>
    <t>On-Time Rate</t>
  </si>
  <si>
    <t>Callback Rate</t>
  </si>
  <si>
    <t>Avg Job Duration</t>
  </si>
  <si>
    <t>Crew Utilization</t>
  </si>
  <si>
    <t>Open Work Orders</t>
  </si>
  <si>
    <t>WEEKLY TREND — FULL HISTORY</t>
  </si>
  <si>
    <t>Week</t>
  </si>
  <si>
    <t>Jobs Done</t>
  </si>
  <si>
    <t>On-Time %</t>
  </si>
  <si>
    <t>Callback %</t>
  </si>
  <si>
    <t>Avg Hours</t>
  </si>
  <si>
    <t>Utilization %</t>
  </si>
  <si>
    <t>Open WOs</t>
  </si>
  <si>
    <t>Notes</t>
  </si>
  <si>
    <t>__week_start</t>
  </si>
  <si>
    <t>Holiday staffing</t>
  </si>
  <si>
    <t>Short week</t>
  </si>
  <si>
    <t>Christmas week</t>
  </si>
  <si>
    <t>New Years</t>
  </si>
  <si>
    <t>Back to full staff</t>
  </si>
  <si>
    <t>Weather delays</t>
  </si>
  <si>
    <t>Seasonal demand spike</t>
  </si>
  <si>
    <t>SignalStack | Ops Pulse — Weekly Job Log</t>
  </si>
  <si>
    <t xml:space="preserve">  Enter one row per job. All Dashboard KPIs pull from this sheet.</t>
  </si>
  <si>
    <t>Date</t>
  </si>
  <si>
    <t>Job ID</t>
  </si>
  <si>
    <t>Jobs
Completed</t>
  </si>
  <si>
    <t>Technician</t>
  </si>
  <si>
    <t>Scheduled
Time (h)</t>
  </si>
  <si>
    <t>Actual
Time (h)</t>
  </si>
  <si>
    <t>On Time?
(Y/N)</t>
  </si>
  <si>
    <t>Callback?
(Y/N)</t>
  </si>
  <si>
    <t>On-Time
Rate</t>
  </si>
  <si>
    <t>Callback
Rate</t>
  </si>
  <si>
    <t>Avg
Duration</t>
  </si>
  <si>
    <t>Utilization
%</t>
  </si>
  <si>
    <t>Open
WOs</t>
  </si>
  <si>
    <t>AUTO-CALCULATED — DO NOT EDIT</t>
  </si>
  <si>
    <t>JOB-1001</t>
  </si>
  <si>
    <t>James L.</t>
  </si>
  <si>
    <t>Y</t>
  </si>
  <si>
    <t>N</t>
  </si>
  <si>
    <t>JOB-1002</t>
  </si>
  <si>
    <t>Mike R.</t>
  </si>
  <si>
    <t>JOB-1003</t>
  </si>
  <si>
    <t>JOB-1004</t>
  </si>
  <si>
    <t>Chris B.</t>
  </si>
  <si>
    <t>JOB-1005</t>
  </si>
  <si>
    <t>Priya N.</t>
  </si>
  <si>
    <t>JOB-1006</t>
  </si>
  <si>
    <t>JOB-1007</t>
  </si>
  <si>
    <t>JOB-1008</t>
  </si>
  <si>
    <t>Sara T.</t>
  </si>
  <si>
    <t>JOB-1009</t>
  </si>
  <si>
    <t>JOB-1010</t>
  </si>
  <si>
    <t>JOB-1011</t>
  </si>
  <si>
    <t>Kyle S.</t>
  </si>
  <si>
    <t>JOB-1012</t>
  </si>
  <si>
    <t>JOB-1013</t>
  </si>
  <si>
    <t>JOB-1014</t>
  </si>
  <si>
    <t>Tom W.</t>
  </si>
  <si>
    <t>JOB-1015</t>
  </si>
  <si>
    <t>JOB-1016</t>
  </si>
  <si>
    <t>JOB-1017</t>
  </si>
  <si>
    <t>JOB-1018</t>
  </si>
  <si>
    <t>JOB-1019</t>
  </si>
  <si>
    <t>JOB-1020</t>
  </si>
  <si>
    <t>JOB-1021</t>
  </si>
  <si>
    <t>JOB-1022</t>
  </si>
  <si>
    <t>JOB-1023</t>
  </si>
  <si>
    <t>JOB-1024</t>
  </si>
  <si>
    <t>JOB-1025</t>
  </si>
  <si>
    <t>JOB-1026</t>
  </si>
  <si>
    <t>JOB-1027</t>
  </si>
  <si>
    <t>JOB-1028</t>
  </si>
  <si>
    <t>JOB-1029</t>
  </si>
  <si>
    <t>JOB-1030</t>
  </si>
  <si>
    <t>JOB-1031</t>
  </si>
  <si>
    <t>JOB-1032</t>
  </si>
  <si>
    <t>JOB-1033</t>
  </si>
  <si>
    <t>JOB-1034</t>
  </si>
  <si>
    <t>JOB-1035</t>
  </si>
  <si>
    <t>JOB-1036</t>
  </si>
  <si>
    <t>JOB-1037</t>
  </si>
  <si>
    <t>JOB-1038</t>
  </si>
  <si>
    <t>JOB-1039</t>
  </si>
  <si>
    <t>JOB-1040</t>
  </si>
  <si>
    <t>JOB-1041</t>
  </si>
  <si>
    <t>JOB-1042</t>
  </si>
  <si>
    <t>JOB-1043</t>
  </si>
  <si>
    <t>JOB-1044</t>
  </si>
  <si>
    <t>JOB-1045</t>
  </si>
  <si>
    <t>JOB-1046</t>
  </si>
  <si>
    <t>JOB-1047</t>
  </si>
  <si>
    <t>JOB-1048</t>
  </si>
  <si>
    <t>JOB-1049</t>
  </si>
  <si>
    <t>JOB-1050</t>
  </si>
  <si>
    <t>JOB-1051</t>
  </si>
  <si>
    <t>JOB-1052</t>
  </si>
  <si>
    <t>JOB-1053</t>
  </si>
  <si>
    <t>JOB-1054</t>
  </si>
  <si>
    <t>JOB-1055</t>
  </si>
  <si>
    <t>JOB-1056</t>
  </si>
  <si>
    <t>JOB-1057</t>
  </si>
  <si>
    <t>JOB-1058</t>
  </si>
  <si>
    <t>JOB-1059</t>
  </si>
  <si>
    <t>JOB-1060</t>
  </si>
  <si>
    <t>JOB-1061</t>
  </si>
  <si>
    <t>JOB-1062</t>
  </si>
  <si>
    <t>JOB-1063</t>
  </si>
  <si>
    <t>JOB-1064</t>
  </si>
  <si>
    <t>JOB-1065</t>
  </si>
  <si>
    <t>JOB-1066</t>
  </si>
  <si>
    <t>JOB-1067</t>
  </si>
  <si>
    <t>JOB-1068</t>
  </si>
  <si>
    <t>JOB-1069</t>
  </si>
  <si>
    <t>JOB-1070</t>
  </si>
  <si>
    <t>JOB-1071</t>
  </si>
  <si>
    <t>JOB-1072</t>
  </si>
  <si>
    <t>JOB-1073</t>
  </si>
  <si>
    <t>JOB-1074</t>
  </si>
  <si>
    <t>JOB-1075</t>
  </si>
  <si>
    <t>JOB-1076</t>
  </si>
  <si>
    <t>JOB-1077</t>
  </si>
  <si>
    <t>JOB-1078</t>
  </si>
  <si>
    <t>JOB-1079</t>
  </si>
  <si>
    <t>JOB-1080</t>
  </si>
  <si>
    <t>JOB-1081</t>
  </si>
  <si>
    <t>JOB-1082</t>
  </si>
  <si>
    <t>JOB-1083</t>
  </si>
  <si>
    <t>JOB-1084</t>
  </si>
  <si>
    <t>JOB-1085</t>
  </si>
  <si>
    <t>JOB-1086</t>
  </si>
  <si>
    <t>JOB-1087</t>
  </si>
  <si>
    <t>JOB-1088</t>
  </si>
  <si>
    <t>JOB-1089</t>
  </si>
  <si>
    <t>JOB-1090</t>
  </si>
  <si>
    <t>JOB-1091</t>
  </si>
  <si>
    <t>JOB-1092</t>
  </si>
  <si>
    <t>JOB-1093</t>
  </si>
  <si>
    <t>JOB-1094</t>
  </si>
  <si>
    <t>JOB-1095</t>
  </si>
  <si>
    <t>JOB-1096</t>
  </si>
  <si>
    <t>JOB-1097</t>
  </si>
  <si>
    <t>JOB-1098</t>
  </si>
  <si>
    <t>JOB-1099</t>
  </si>
  <si>
    <t>JOB-1100</t>
  </si>
  <si>
    <t>JOB-1101</t>
  </si>
  <si>
    <t>JOB-1102</t>
  </si>
  <si>
    <t>JOB-1103</t>
  </si>
  <si>
    <t>JOB-1104</t>
  </si>
  <si>
    <t>JOB-1105</t>
  </si>
  <si>
    <t>JOB-1106</t>
  </si>
  <si>
    <t>JOB-1107</t>
  </si>
  <si>
    <t>JOB-1108</t>
  </si>
  <si>
    <t>JOB-1109</t>
  </si>
  <si>
    <t>JOB-1110</t>
  </si>
  <si>
    <t>JOB-1111</t>
  </si>
  <si>
    <t>JOB-1112</t>
  </si>
  <si>
    <t>JOB-1113</t>
  </si>
  <si>
    <t>JOB-1114</t>
  </si>
  <si>
    <t>JOB-1115</t>
  </si>
  <si>
    <t>JOB-1116</t>
  </si>
  <si>
    <t>JOB-1117</t>
  </si>
  <si>
    <t>JOB-1118</t>
  </si>
  <si>
    <t>JOB-1119</t>
  </si>
  <si>
    <t>JOB-1120</t>
  </si>
  <si>
    <t>JOB-1121</t>
  </si>
  <si>
    <t>JOB-1122</t>
  </si>
  <si>
    <t>JOB-1123</t>
  </si>
  <si>
    <t>JOB-1124</t>
  </si>
  <si>
    <t>JOB-1125</t>
  </si>
  <si>
    <t>JOB-1126</t>
  </si>
  <si>
    <t>JOB-1127</t>
  </si>
  <si>
    <t>JOB-1128</t>
  </si>
  <si>
    <t>JOB-1129</t>
  </si>
  <si>
    <t>JOB-1130</t>
  </si>
  <si>
    <t>JOB-1131</t>
  </si>
  <si>
    <t>JOB-1132</t>
  </si>
  <si>
    <t>JOB-1133</t>
  </si>
  <si>
    <t>JOB-1134</t>
  </si>
  <si>
    <t>JOB-1135</t>
  </si>
  <si>
    <t>JOB-1136</t>
  </si>
  <si>
    <t>JOB-1137</t>
  </si>
  <si>
    <t>JOB-1138</t>
  </si>
  <si>
    <t>JOB-1139</t>
  </si>
  <si>
    <t>JOB-1140</t>
  </si>
  <si>
    <t>JOB-1141</t>
  </si>
  <si>
    <t>JOB-1142</t>
  </si>
  <si>
    <t>JOB-1143</t>
  </si>
  <si>
    <t>JOB-1144</t>
  </si>
  <si>
    <t>JOB-1145</t>
  </si>
  <si>
    <t>JOB-1146</t>
  </si>
  <si>
    <t>JOB-1147</t>
  </si>
  <si>
    <t>JOB-1148</t>
  </si>
  <si>
    <t>JOB-1149</t>
  </si>
  <si>
    <t>JOB-1150</t>
  </si>
  <si>
    <t>JOB-1151</t>
  </si>
  <si>
    <t>JOB-1152</t>
  </si>
  <si>
    <t>JOB-1153</t>
  </si>
  <si>
    <t>JOB-1154</t>
  </si>
  <si>
    <t>JOB-1155</t>
  </si>
  <si>
    <t>JOB-1156</t>
  </si>
  <si>
    <t>JOB-1157</t>
  </si>
  <si>
    <t>JOB-1158</t>
  </si>
  <si>
    <t>JOB-1159</t>
  </si>
  <si>
    <t>JOB-1160</t>
  </si>
  <si>
    <t>JOB-1161</t>
  </si>
  <si>
    <t>JOB-1162</t>
  </si>
  <si>
    <t>JOB-1163</t>
  </si>
  <si>
    <t>JOB-1164</t>
  </si>
  <si>
    <t>JOB-1165</t>
  </si>
  <si>
    <t>JOB-1166</t>
  </si>
  <si>
    <t>JOB-1167</t>
  </si>
  <si>
    <t>JOB-1168</t>
  </si>
  <si>
    <t>JOB-1169</t>
  </si>
  <si>
    <t>JOB-1170</t>
  </si>
  <si>
    <t>JOB-1171</t>
  </si>
  <si>
    <t>JOB-1172</t>
  </si>
  <si>
    <t>JOB-1173</t>
  </si>
  <si>
    <t>JOB-1174</t>
  </si>
  <si>
    <t>JOB-1175</t>
  </si>
  <si>
    <t>JOB-1176</t>
  </si>
  <si>
    <t>JOB-1177</t>
  </si>
  <si>
    <t>JOB-1178</t>
  </si>
  <si>
    <t>JOB-1179</t>
  </si>
  <si>
    <t>JOB-1180</t>
  </si>
  <si>
    <t>JOB-1181</t>
  </si>
  <si>
    <t>JOB-1182</t>
  </si>
  <si>
    <t>JOB-1183</t>
  </si>
  <si>
    <t>JOB-1184</t>
  </si>
  <si>
    <t>JOB-1185</t>
  </si>
  <si>
    <t>JOB-1186</t>
  </si>
  <si>
    <t>JOB-1187</t>
  </si>
  <si>
    <t>JOB-1188</t>
  </si>
  <si>
    <t>JOB-1189</t>
  </si>
  <si>
    <t>JOB-1190</t>
  </si>
  <si>
    <t>JOB-1191</t>
  </si>
  <si>
    <t>JOB-1192</t>
  </si>
  <si>
    <t>JOB-1193</t>
  </si>
  <si>
    <t>JOB-1194</t>
  </si>
  <si>
    <t>JOB-1195</t>
  </si>
  <si>
    <t>JOB-1196</t>
  </si>
  <si>
    <t>JOB-1197</t>
  </si>
  <si>
    <t>JOB-1198</t>
  </si>
  <si>
    <t>JOB-1199</t>
  </si>
  <si>
    <t>JOB-1200</t>
  </si>
  <si>
    <t>JOB-1201</t>
  </si>
  <si>
    <t>JOB-1202</t>
  </si>
  <si>
    <t>JOB-1203</t>
  </si>
  <si>
    <t>JOB-1204</t>
  </si>
  <si>
    <t>JOB-1205</t>
  </si>
  <si>
    <t>JOB-1206</t>
  </si>
  <si>
    <t>JOB-1207</t>
  </si>
  <si>
    <t>JOB-1208</t>
  </si>
  <si>
    <t>JOB-1209</t>
  </si>
  <si>
    <t>JOB-1210</t>
  </si>
  <si>
    <t>JOB-1211</t>
  </si>
  <si>
    <t>JOB-1212</t>
  </si>
  <si>
    <t>JOB-1213</t>
  </si>
  <si>
    <t>JOB-1214</t>
  </si>
  <si>
    <t>JOB-1215</t>
  </si>
  <si>
    <t>JOB-1216</t>
  </si>
  <si>
    <t>JOB-1217</t>
  </si>
  <si>
    <t>JOB-1218</t>
  </si>
  <si>
    <t>JOB-1219</t>
  </si>
  <si>
    <t>JOB-1220</t>
  </si>
  <si>
    <t>JOB-1221</t>
  </si>
  <si>
    <t>JOB-1222</t>
  </si>
  <si>
    <t>JOB-1223</t>
  </si>
  <si>
    <t>JOB-1224</t>
  </si>
  <si>
    <t>JOB-1225</t>
  </si>
  <si>
    <t>JOB-1226</t>
  </si>
  <si>
    <t>JOB-1227</t>
  </si>
  <si>
    <t>JOB-1228</t>
  </si>
  <si>
    <t>JOB-1229</t>
  </si>
  <si>
    <t>JOB-1230</t>
  </si>
  <si>
    <t>JOB-1231</t>
  </si>
  <si>
    <t>JOB-1232</t>
  </si>
  <si>
    <t>JOB-1233</t>
  </si>
  <si>
    <t>JOB-1234</t>
  </si>
  <si>
    <t>JOB-1235</t>
  </si>
  <si>
    <t>JOB-1236</t>
  </si>
  <si>
    <t>JOB-1237</t>
  </si>
  <si>
    <t>JOB-1238</t>
  </si>
  <si>
    <t>JOB-1239</t>
  </si>
  <si>
    <t>JOB-1240</t>
  </si>
  <si>
    <t>JOB-1241</t>
  </si>
  <si>
    <t>JOB-1242</t>
  </si>
  <si>
    <t>JOB-1243</t>
  </si>
  <si>
    <t>JOB-1244</t>
  </si>
  <si>
    <t>JOB-1245</t>
  </si>
  <si>
    <t>JOB-1246</t>
  </si>
  <si>
    <t>JOB-1247</t>
  </si>
  <si>
    <t>JOB-1248</t>
  </si>
  <si>
    <t>JOB-1249</t>
  </si>
  <si>
    <t>JOB-1250</t>
  </si>
  <si>
    <t>JOB-1251</t>
  </si>
  <si>
    <t>JOB-1252</t>
  </si>
  <si>
    <t>JOB-1253</t>
  </si>
  <si>
    <t>JOB-1254</t>
  </si>
  <si>
    <t>JOB-1255</t>
  </si>
  <si>
    <t>JOB-1256</t>
  </si>
  <si>
    <t>JOB-1257</t>
  </si>
  <si>
    <t>JOB-1258</t>
  </si>
  <si>
    <t>JOB-1259</t>
  </si>
  <si>
    <t>JOB-1260</t>
  </si>
  <si>
    <t>JOB-1261</t>
  </si>
  <si>
    <t>JOB-1262</t>
  </si>
  <si>
    <t>JOB-1263</t>
  </si>
  <si>
    <t>JOB-1264</t>
  </si>
  <si>
    <t>JOB-1265</t>
  </si>
  <si>
    <t>JOB-1266</t>
  </si>
  <si>
    <t>JOB-1267</t>
  </si>
  <si>
    <t>JOB-1268</t>
  </si>
  <si>
    <t>JOB-1269</t>
  </si>
  <si>
    <t>JOB-1270</t>
  </si>
  <si>
    <t>JOB-1271</t>
  </si>
  <si>
    <t>JOB-1272</t>
  </si>
  <si>
    <t>JOB-1273</t>
  </si>
  <si>
    <t>JOB-1274</t>
  </si>
  <si>
    <t>JOB-1275</t>
  </si>
  <si>
    <t>JOB-1276</t>
  </si>
  <si>
    <t>JOB-1277</t>
  </si>
  <si>
    <t>JOB-1278</t>
  </si>
  <si>
    <t>JOB-1279</t>
  </si>
  <si>
    <t>JOB-1280</t>
  </si>
  <si>
    <t>JOB-1281</t>
  </si>
  <si>
    <t>JOB-1282</t>
  </si>
  <si>
    <t>JOB-1283</t>
  </si>
  <si>
    <t>JOB-1284</t>
  </si>
  <si>
    <t>JOB-1285</t>
  </si>
  <si>
    <t>JOB-1286</t>
  </si>
  <si>
    <t>JOB-1287</t>
  </si>
  <si>
    <t>JOB-1288</t>
  </si>
  <si>
    <t>JOB-1289</t>
  </si>
  <si>
    <t>JOB-1290</t>
  </si>
  <si>
    <t>JOB-1291</t>
  </si>
  <si>
    <t>JOB-1292</t>
  </si>
  <si>
    <t>JOB-1293</t>
  </si>
  <si>
    <t>JOB-1294</t>
  </si>
  <si>
    <t>JOB-1295</t>
  </si>
  <si>
    <t>JOB-1296</t>
  </si>
  <si>
    <t>JOB-1297</t>
  </si>
  <si>
    <t>JOB-1298</t>
  </si>
  <si>
    <t>JOB-1299</t>
  </si>
  <si>
    <t>JOB-1300</t>
  </si>
  <si>
    <t>JOB-1301</t>
  </si>
  <si>
    <t>JOB-1302</t>
  </si>
  <si>
    <t>JOB-1303</t>
  </si>
  <si>
    <t>JOB-1304</t>
  </si>
  <si>
    <t>JOB-1305</t>
  </si>
  <si>
    <t>JOB-1306</t>
  </si>
  <si>
    <t>JOB-1307</t>
  </si>
  <si>
    <t>JOB-1308</t>
  </si>
  <si>
    <t>JOB-1309</t>
  </si>
  <si>
    <t>JOB-1310</t>
  </si>
  <si>
    <t>JOB-1311</t>
  </si>
  <si>
    <t>JOB-1312</t>
  </si>
  <si>
    <t>JOB-1313</t>
  </si>
  <si>
    <t>JOB-1314</t>
  </si>
  <si>
    <t>JOB-1315</t>
  </si>
  <si>
    <t>JOB-1316</t>
  </si>
  <si>
    <t>JOB-1317</t>
  </si>
  <si>
    <t>JOB-1318</t>
  </si>
  <si>
    <t>JOB-1319</t>
  </si>
  <si>
    <t>JOB-1320</t>
  </si>
  <si>
    <t>JOB-1321</t>
  </si>
  <si>
    <t>JOB-1322</t>
  </si>
  <si>
    <t>JOB-1323</t>
  </si>
  <si>
    <t>JOB-1324</t>
  </si>
  <si>
    <t>JOB-1325</t>
  </si>
  <si>
    <t>JOB-1326</t>
  </si>
  <si>
    <t>JOB-1327</t>
  </si>
  <si>
    <t>JOB-1328</t>
  </si>
  <si>
    <t>JOB-1329</t>
  </si>
  <si>
    <t>JOB-1330</t>
  </si>
  <si>
    <t>JOB-1331</t>
  </si>
  <si>
    <t>JOB-1332</t>
  </si>
  <si>
    <t>JOB-1333</t>
  </si>
  <si>
    <t>JOB-1334</t>
  </si>
  <si>
    <t>JOB-1335</t>
  </si>
  <si>
    <t>JOB-1336</t>
  </si>
  <si>
    <t>JOB-1337</t>
  </si>
  <si>
    <t>JOB-1338</t>
  </si>
  <si>
    <t>JOB-1339</t>
  </si>
  <si>
    <t>JOB-1340</t>
  </si>
  <si>
    <t>JOB-1341</t>
  </si>
  <si>
    <t>JOB-1342</t>
  </si>
  <si>
    <t>JOB-1343</t>
  </si>
  <si>
    <t>JOB-1344</t>
  </si>
  <si>
    <t>JOB-1345</t>
  </si>
  <si>
    <t>JOB-1346</t>
  </si>
  <si>
    <t>JOB-1347</t>
  </si>
  <si>
    <t>JOB-1348</t>
  </si>
  <si>
    <t>JOB-1349</t>
  </si>
  <si>
    <t>JOB-1350</t>
  </si>
  <si>
    <t>JOB-1351</t>
  </si>
  <si>
    <t>JOB-1352</t>
  </si>
  <si>
    <t>JOB-1353</t>
  </si>
  <si>
    <t>JOB-1354</t>
  </si>
  <si>
    <t>JOB-1355</t>
  </si>
  <si>
    <t>JOB-1356</t>
  </si>
  <si>
    <t>JOB-1357</t>
  </si>
  <si>
    <t>JOB-1358</t>
  </si>
  <si>
    <t>JOB-1359</t>
  </si>
  <si>
    <t>JOB-1360</t>
  </si>
  <si>
    <t>JOB-1361</t>
  </si>
  <si>
    <t>JOB-1362</t>
  </si>
  <si>
    <t>JOB-1363</t>
  </si>
  <si>
    <t>JOB-1364</t>
  </si>
  <si>
    <t>JOB-1365</t>
  </si>
  <si>
    <t>JOB-1366</t>
  </si>
  <si>
    <t>JOB-1367</t>
  </si>
  <si>
    <t>JOB-1368</t>
  </si>
  <si>
    <t>JOB-1369</t>
  </si>
  <si>
    <t>JOB-1370</t>
  </si>
  <si>
    <t>JOB-1371</t>
  </si>
  <si>
    <t>JOB-1372</t>
  </si>
  <si>
    <t>JOB-1373</t>
  </si>
  <si>
    <t>JOB-1374</t>
  </si>
  <si>
    <t>JOB-1375</t>
  </si>
  <si>
    <t>JOB-1376</t>
  </si>
  <si>
    <t>JOB-1377</t>
  </si>
  <si>
    <t>JOB-1378</t>
  </si>
  <si>
    <t>JOB-1379</t>
  </si>
  <si>
    <t>JOB-1380</t>
  </si>
  <si>
    <t>JOB-1381</t>
  </si>
  <si>
    <t>JOB-1382</t>
  </si>
  <si>
    <t>JOB-1383</t>
  </si>
  <si>
    <t>JOB-1384</t>
  </si>
  <si>
    <t>JOB-1385</t>
  </si>
  <si>
    <t>JOB-1386</t>
  </si>
  <si>
    <t>JOB-1387</t>
  </si>
  <si>
    <t>JOB-1388</t>
  </si>
  <si>
    <t>JOB-1389</t>
  </si>
  <si>
    <t>JOB-1390</t>
  </si>
  <si>
    <t>JOB-1391</t>
  </si>
  <si>
    <t>JOB-1392</t>
  </si>
  <si>
    <t>JOB-1393</t>
  </si>
  <si>
    <t>JOB-1394</t>
  </si>
  <si>
    <t>JOB-1395</t>
  </si>
  <si>
    <t>JOB-1396</t>
  </si>
  <si>
    <t>JOB-1397</t>
  </si>
  <si>
    <t>JOB-1398</t>
  </si>
  <si>
    <t>JOB-1399</t>
  </si>
  <si>
    <t>JOB-1400</t>
  </si>
  <si>
    <t>JOB-1401</t>
  </si>
  <si>
    <t>JOB-1402</t>
  </si>
  <si>
    <t>JOB-1403</t>
  </si>
  <si>
    <t>JOB-1404</t>
  </si>
  <si>
    <t>JOB-1405</t>
  </si>
  <si>
    <t>JOB-1406</t>
  </si>
  <si>
    <t>JOB-1407</t>
  </si>
  <si>
    <t>JOB-1408</t>
  </si>
  <si>
    <t>JOB-1409</t>
  </si>
  <si>
    <t>JOB-1410</t>
  </si>
  <si>
    <t>JOB-1411</t>
  </si>
  <si>
    <t>JOB-1412</t>
  </si>
  <si>
    <t>JOB-1413</t>
  </si>
  <si>
    <t>JOB-1414</t>
  </si>
  <si>
    <t>JOB-1415</t>
  </si>
  <si>
    <t>JOB-1416</t>
  </si>
  <si>
    <t>JOB-1417</t>
  </si>
  <si>
    <t>JOB-1418</t>
  </si>
  <si>
    <t>JOB-1419</t>
  </si>
  <si>
    <t>JOB-1420</t>
  </si>
  <si>
    <t>JOB-1421</t>
  </si>
  <si>
    <t>JOB-1422</t>
  </si>
  <si>
    <t>JOB-1423</t>
  </si>
  <si>
    <t>JOB-1424</t>
  </si>
  <si>
    <t>JOB-1425</t>
  </si>
  <si>
    <t>JOB-1426</t>
  </si>
  <si>
    <t>JOB-1427</t>
  </si>
  <si>
    <t>JOB-1428</t>
  </si>
  <si>
    <t>JOB-1429</t>
  </si>
  <si>
    <t>JOB-1430</t>
  </si>
  <si>
    <t>JOB-1431</t>
  </si>
  <si>
    <t>JOB-1432</t>
  </si>
  <si>
    <t>JOB-1433</t>
  </si>
  <si>
    <t>JOB-1434</t>
  </si>
  <si>
    <t>JOB-1435</t>
  </si>
  <si>
    <t>JOB-1436</t>
  </si>
  <si>
    <t>JOB-1437</t>
  </si>
  <si>
    <t>JOB-1438</t>
  </si>
  <si>
    <t>JOB-1439</t>
  </si>
  <si>
    <t>JOB-1440</t>
  </si>
  <si>
    <t>JOB-1441</t>
  </si>
  <si>
    <t>JOB-1442</t>
  </si>
  <si>
    <t>JOB-1443</t>
  </si>
  <si>
    <t>JOB-1444</t>
  </si>
  <si>
    <t>JOB-1445</t>
  </si>
  <si>
    <t>JOB-1446</t>
  </si>
  <si>
    <t>JOB-1447</t>
  </si>
  <si>
    <t>JOB-1448</t>
  </si>
  <si>
    <t>JOB-1449</t>
  </si>
  <si>
    <t>JOB-1450</t>
  </si>
  <si>
    <t>JOB-1451</t>
  </si>
  <si>
    <t>JOB-1452</t>
  </si>
  <si>
    <t>JOB-1453</t>
  </si>
  <si>
    <t>JOB-1454</t>
  </si>
  <si>
    <t>JOB-1455</t>
  </si>
  <si>
    <t>JOB-1456</t>
  </si>
  <si>
    <t>JOB-1457</t>
  </si>
  <si>
    <t>JOB-1458</t>
  </si>
  <si>
    <t>JOB-1459</t>
  </si>
  <si>
    <t>JOB-1460</t>
  </si>
  <si>
    <t>JOB-1461</t>
  </si>
  <si>
    <t>JOB-1462</t>
  </si>
  <si>
    <t>JOB-1463</t>
  </si>
  <si>
    <t>JOB-1464</t>
  </si>
  <si>
    <t>JOB-1465</t>
  </si>
  <si>
    <t>JOB-1466</t>
  </si>
  <si>
    <t>JOB-1467</t>
  </si>
  <si>
    <t>JOB-1468</t>
  </si>
  <si>
    <t>JOB-1469</t>
  </si>
  <si>
    <t>JOB-1470</t>
  </si>
  <si>
    <t>JOB-1471</t>
  </si>
  <si>
    <t>JOB-1472</t>
  </si>
  <si>
    <t>JOB-1473</t>
  </si>
  <si>
    <t>JOB-1474</t>
  </si>
  <si>
    <t>JOB-1475</t>
  </si>
  <si>
    <t>JOB-1476</t>
  </si>
  <si>
    <t>JOB-1477</t>
  </si>
  <si>
    <t>JOB-1478</t>
  </si>
  <si>
    <t>JOB-1479</t>
  </si>
  <si>
    <t>JOB-1480</t>
  </si>
  <si>
    <t>JOB-1481</t>
  </si>
  <si>
    <t>JOB-1482</t>
  </si>
  <si>
    <t>JOB-1483</t>
  </si>
  <si>
    <t>JOB-1484</t>
  </si>
  <si>
    <t>JOB-1485</t>
  </si>
  <si>
    <t>JOB-1486</t>
  </si>
  <si>
    <t>JOB-1487</t>
  </si>
  <si>
    <t>JOB-1488</t>
  </si>
  <si>
    <t>JOB-1489</t>
  </si>
  <si>
    <t>JOB-1490</t>
  </si>
  <si>
    <t>JOB-1491</t>
  </si>
  <si>
    <t>JOB-1492</t>
  </si>
  <si>
    <t>JOB-1493</t>
  </si>
  <si>
    <t>JOB-1494</t>
  </si>
  <si>
    <t>JOB-1495</t>
  </si>
  <si>
    <t>JOB-1496</t>
  </si>
  <si>
    <t>JOB-1497</t>
  </si>
  <si>
    <t>JOB-1498</t>
  </si>
  <si>
    <t>JOB-1499</t>
  </si>
  <si>
    <t>JOB-1500</t>
  </si>
  <si>
    <t>JOB-1501</t>
  </si>
  <si>
    <t>JOB-1502</t>
  </si>
  <si>
    <t>JOB-1503</t>
  </si>
  <si>
    <t>JOB-1504</t>
  </si>
  <si>
    <t>JOB-1505</t>
  </si>
  <si>
    <t>JOB-1506</t>
  </si>
  <si>
    <t>JOB-1507</t>
  </si>
  <si>
    <t>JOB-1508</t>
  </si>
  <si>
    <t>JOB-1509</t>
  </si>
  <si>
    <t>JOB-1510</t>
  </si>
  <si>
    <t>JOB-1511</t>
  </si>
  <si>
    <t>JOB-1512</t>
  </si>
  <si>
    <t>JOB-1513</t>
  </si>
  <si>
    <t>JOB-1514</t>
  </si>
  <si>
    <t>JOB-1515</t>
  </si>
  <si>
    <t>JOB-1516</t>
  </si>
  <si>
    <t>JOB-1517</t>
  </si>
  <si>
    <t>JOB-1518</t>
  </si>
  <si>
    <t>JOB-1519</t>
  </si>
  <si>
    <t>JOB-1520</t>
  </si>
  <si>
    <t>JOB-1521</t>
  </si>
  <si>
    <t>JOB-1522</t>
  </si>
  <si>
    <t>JOB-1523</t>
  </si>
  <si>
    <t>JOB-1524</t>
  </si>
  <si>
    <t>JOB-1525</t>
  </si>
  <si>
    <t>JOB-1526</t>
  </si>
  <si>
    <t>JOB-1527</t>
  </si>
  <si>
    <t>JOB-1528</t>
  </si>
  <si>
    <t>JOB-1529</t>
  </si>
  <si>
    <t>JOB-1530</t>
  </si>
  <si>
    <t>JOB-1531</t>
  </si>
  <si>
    <t>JOB-1532</t>
  </si>
  <si>
    <t>JOB-1533</t>
  </si>
  <si>
    <t>JOB-1534</t>
  </si>
  <si>
    <t>JOB-1535</t>
  </si>
  <si>
    <t>JOB-1536</t>
  </si>
  <si>
    <t>JOB-1537</t>
  </si>
  <si>
    <t>JOB-1538</t>
  </si>
  <si>
    <t>JOB-1539</t>
  </si>
  <si>
    <t>JOB-1540</t>
  </si>
  <si>
    <t>JOB-1541</t>
  </si>
  <si>
    <t>JOB-1542</t>
  </si>
  <si>
    <t>JOB-1543</t>
  </si>
  <si>
    <t>JOB-1544</t>
  </si>
  <si>
    <t>JOB-1545</t>
  </si>
  <si>
    <t>JOB-1546</t>
  </si>
  <si>
    <t>JOB-1547</t>
  </si>
  <si>
    <t>JOB-1548</t>
  </si>
  <si>
    <t>JOB-1549</t>
  </si>
  <si>
    <t>JOB-1550</t>
  </si>
  <si>
    <t>JOB-1551</t>
  </si>
  <si>
    <t>JOB-1552</t>
  </si>
  <si>
    <t>JOB-1553</t>
  </si>
  <si>
    <t>JOB-1554</t>
  </si>
  <si>
    <t>JOB-1555</t>
  </si>
  <si>
    <t>JOB-1556</t>
  </si>
  <si>
    <t>JOB-1557</t>
  </si>
  <si>
    <t>JOB-1558</t>
  </si>
  <si>
    <t>JOB-1559</t>
  </si>
  <si>
    <t>JOB-1560</t>
  </si>
  <si>
    <t>JOB-1561</t>
  </si>
  <si>
    <t>JOB-1562</t>
  </si>
  <si>
    <t>JOB-1563</t>
  </si>
  <si>
    <t>JOB-1564</t>
  </si>
  <si>
    <t>JOB-1565</t>
  </si>
  <si>
    <t>JOB-1566</t>
  </si>
  <si>
    <t>JOB-1567</t>
  </si>
  <si>
    <t>JOB-1568</t>
  </si>
  <si>
    <t>JOB-1569</t>
  </si>
  <si>
    <t>JOB-1570</t>
  </si>
  <si>
    <t>JOB-1571</t>
  </si>
  <si>
    <t>JOB-1572</t>
  </si>
  <si>
    <t>JOB-1573</t>
  </si>
  <si>
    <t>JOB-1574</t>
  </si>
  <si>
    <t>JOB-1575</t>
  </si>
  <si>
    <t>JOB-1576</t>
  </si>
  <si>
    <t>JOB-1577</t>
  </si>
  <si>
    <t>JOB-1578</t>
  </si>
  <si>
    <t>JOB-1579</t>
  </si>
  <si>
    <t>JOB-1580</t>
  </si>
  <si>
    <t>JOB-1581</t>
  </si>
  <si>
    <t>JOB-1582</t>
  </si>
  <si>
    <t>JOB-1583</t>
  </si>
  <si>
    <t>JOB-1584</t>
  </si>
  <si>
    <t>JOB-1585</t>
  </si>
  <si>
    <t>JOB-1586</t>
  </si>
  <si>
    <t>JOB-1587</t>
  </si>
  <si>
    <t>JOB-1588</t>
  </si>
  <si>
    <t>JOB-1589</t>
  </si>
  <si>
    <t>JOB-1590</t>
  </si>
  <si>
    <t>JOB-1591</t>
  </si>
  <si>
    <t>JOB-1592</t>
  </si>
  <si>
    <t>JOB-1593</t>
  </si>
  <si>
    <t>JOB-1594</t>
  </si>
  <si>
    <t>JOB-1595</t>
  </si>
  <si>
    <t>JOB-1596</t>
  </si>
  <si>
    <t>JOB-1597</t>
  </si>
  <si>
    <t>JOB-1598</t>
  </si>
  <si>
    <t>JOB-1599</t>
  </si>
  <si>
    <t>JOB-1600</t>
  </si>
  <si>
    <t>JOB-1601</t>
  </si>
  <si>
    <t>JOB-1602</t>
  </si>
  <si>
    <t>JOB-1603</t>
  </si>
  <si>
    <t>JOB-1604</t>
  </si>
  <si>
    <t>JOB-1605</t>
  </si>
  <si>
    <t>JOB-1606</t>
  </si>
  <si>
    <t>JOB-1607</t>
  </si>
  <si>
    <t>JOB-1608</t>
  </si>
  <si>
    <t>JOB-1609</t>
  </si>
  <si>
    <t>JOB-1610</t>
  </si>
  <si>
    <t>JOB-1611</t>
  </si>
  <si>
    <t>JOB-1612</t>
  </si>
  <si>
    <t>JOB-1613</t>
  </si>
  <si>
    <t>JOB-1614</t>
  </si>
  <si>
    <t>JOB-1615</t>
  </si>
  <si>
    <t>JOB-1616</t>
  </si>
  <si>
    <t>JOB-1617</t>
  </si>
  <si>
    <t>JOB-1618</t>
  </si>
  <si>
    <t>JOB-1619</t>
  </si>
  <si>
    <t>JOB-1620</t>
  </si>
  <si>
    <t>JOB-1621</t>
  </si>
  <si>
    <t>JOB-1622</t>
  </si>
  <si>
    <t>JOB-1623</t>
  </si>
  <si>
    <t>JOB-1624</t>
  </si>
  <si>
    <t>JOB-1625</t>
  </si>
  <si>
    <t>JOB-1626</t>
  </si>
  <si>
    <t>JOB-1627</t>
  </si>
  <si>
    <t>JOB-1628</t>
  </si>
  <si>
    <t>JOB-1629</t>
  </si>
  <si>
    <t>JOB-1630</t>
  </si>
  <si>
    <t>JOB-1631</t>
  </si>
  <si>
    <t>JOB-1632</t>
  </si>
  <si>
    <t>JOB-1633</t>
  </si>
  <si>
    <t>JOB-1634</t>
  </si>
  <si>
    <t>JOB-1635</t>
  </si>
  <si>
    <t>JOB-1636</t>
  </si>
  <si>
    <t>JOB-1637</t>
  </si>
  <si>
    <t>JOB-1638</t>
  </si>
  <si>
    <t>JOB-1639</t>
  </si>
  <si>
    <t>JOB-1640</t>
  </si>
  <si>
    <t>JOB-1641</t>
  </si>
  <si>
    <t>JOB-1642</t>
  </si>
  <si>
    <t>JOB-1643</t>
  </si>
  <si>
    <t>JOB-1644</t>
  </si>
  <si>
    <t>JOB-1645</t>
  </si>
  <si>
    <t>JOB-1646</t>
  </si>
  <si>
    <t>JOB-1647</t>
  </si>
  <si>
    <t>JOB-1648</t>
  </si>
  <si>
    <t>JOB-1649</t>
  </si>
  <si>
    <t>JOB-1650</t>
  </si>
  <si>
    <t>JOB-1651</t>
  </si>
  <si>
    <t>JOB-1652</t>
  </si>
  <si>
    <t>JOB-1653</t>
  </si>
  <si>
    <t>JOB-1654</t>
  </si>
  <si>
    <t>JOB-1655</t>
  </si>
  <si>
    <t>JOB-1656</t>
  </si>
  <si>
    <t>JOB-1657</t>
  </si>
  <si>
    <t>JOB-1658</t>
  </si>
  <si>
    <t>JOB-1659</t>
  </si>
  <si>
    <t>JOB-1660</t>
  </si>
  <si>
    <t>JOB-1661</t>
  </si>
  <si>
    <t>JOB-1662</t>
  </si>
  <si>
    <t>JOB-1663</t>
  </si>
  <si>
    <t>JOB-1664</t>
  </si>
  <si>
    <t>JOB-1665</t>
  </si>
  <si>
    <t>JOB-1666</t>
  </si>
  <si>
    <t>JOB-1667</t>
  </si>
  <si>
    <t>JOB-1668</t>
  </si>
  <si>
    <t>JOB-1669</t>
  </si>
  <si>
    <t>JOB-1670</t>
  </si>
  <si>
    <t>JOB-1671</t>
  </si>
  <si>
    <t>JOB-1672</t>
  </si>
  <si>
    <t>JOB-1673</t>
  </si>
  <si>
    <t>JOB-1674</t>
  </si>
  <si>
    <t>JOB-1675</t>
  </si>
  <si>
    <t>JOB-1676</t>
  </si>
  <si>
    <t>JOB-1677</t>
  </si>
  <si>
    <t>JOB-1678</t>
  </si>
  <si>
    <t>JOB-1679</t>
  </si>
  <si>
    <t>JOB-1680</t>
  </si>
  <si>
    <t>JOB-1681</t>
  </si>
  <si>
    <t>JOB-1682</t>
  </si>
  <si>
    <t>JOB-1683</t>
  </si>
  <si>
    <t>JOB-1684</t>
  </si>
  <si>
    <t>JOB-1685</t>
  </si>
  <si>
    <t>JOB-1686</t>
  </si>
  <si>
    <t>JOB-1687</t>
  </si>
  <si>
    <t>JOB-1688</t>
  </si>
  <si>
    <t>JOB-1689</t>
  </si>
  <si>
    <t>JOB-1690</t>
  </si>
  <si>
    <t>JOB-1691</t>
  </si>
  <si>
    <t>JOB-1692</t>
  </si>
  <si>
    <t>JOB-1693</t>
  </si>
  <si>
    <t>JOB-1694</t>
  </si>
  <si>
    <t>JOB-1695</t>
  </si>
  <si>
    <t>JOB-1696</t>
  </si>
  <si>
    <t>JOB-1697</t>
  </si>
  <si>
    <t>JOB-1698</t>
  </si>
  <si>
    <t>JOB-1699</t>
  </si>
  <si>
    <t>JOB-1700</t>
  </si>
  <si>
    <t>JOB-1701</t>
  </si>
  <si>
    <t>JOB-1702</t>
  </si>
  <si>
    <t>JOB-1703</t>
  </si>
  <si>
    <t>JOB-1704</t>
  </si>
  <si>
    <t>JOB-1705</t>
  </si>
  <si>
    <t>JOB-1706</t>
  </si>
  <si>
    <t>JOB-1707</t>
  </si>
  <si>
    <t>JOB-1708</t>
  </si>
  <si>
    <t>JOB-1709</t>
  </si>
  <si>
    <t>JOB-1710</t>
  </si>
  <si>
    <t>JOB-1711</t>
  </si>
  <si>
    <t>JOB-1712</t>
  </si>
  <si>
    <t>JOB-1713</t>
  </si>
  <si>
    <t>JOB-1714</t>
  </si>
  <si>
    <t>JOB-1715</t>
  </si>
  <si>
    <t>JOB-1716</t>
  </si>
  <si>
    <t>JOB-1717</t>
  </si>
  <si>
    <t>JOB-1718</t>
  </si>
  <si>
    <t>JOB-1719</t>
  </si>
  <si>
    <t>JOB-1720</t>
  </si>
  <si>
    <t>JOB-1721</t>
  </si>
  <si>
    <t>JOB-1722</t>
  </si>
  <si>
    <t>JOB-1723</t>
  </si>
  <si>
    <t>JOB-1724</t>
  </si>
  <si>
    <t>JOB-1725</t>
  </si>
  <si>
    <t>JOB-1726</t>
  </si>
  <si>
    <t>JOB-1727</t>
  </si>
  <si>
    <t>JOB-1728</t>
  </si>
  <si>
    <t>JOB-1729</t>
  </si>
  <si>
    <t>JOB-1730</t>
  </si>
  <si>
    <t>JOB-1731</t>
  </si>
  <si>
    <t>JOB-1732</t>
  </si>
  <si>
    <t>JOB-1733</t>
  </si>
  <si>
    <t>JOB-1734</t>
  </si>
  <si>
    <t>JOB-1735</t>
  </si>
  <si>
    <t>JOB-1736</t>
  </si>
  <si>
    <t>JOB-1737</t>
  </si>
  <si>
    <t>JOB-1738</t>
  </si>
  <si>
    <t>JOB-1739</t>
  </si>
  <si>
    <t>JOB-1740</t>
  </si>
  <si>
    <t>JOB-1741</t>
  </si>
  <si>
    <t>JOB-1742</t>
  </si>
  <si>
    <t>JOB-1743</t>
  </si>
  <si>
    <t>JOB-1744</t>
  </si>
  <si>
    <t>JOB-1745</t>
  </si>
  <si>
    <t>JOB-1746</t>
  </si>
  <si>
    <t>JOB-1747</t>
  </si>
  <si>
    <t>JOB-1748</t>
  </si>
  <si>
    <t>JOB-1749</t>
  </si>
  <si>
    <t>JOB-1750</t>
  </si>
  <si>
    <t>JOB-1751</t>
  </si>
  <si>
    <t>JOB-1752</t>
  </si>
  <si>
    <t>JOB-1753</t>
  </si>
  <si>
    <t>JOB-1754</t>
  </si>
  <si>
    <t>JOB-1755</t>
  </si>
  <si>
    <t>JOB-1756</t>
  </si>
  <si>
    <t>JOB-1757</t>
  </si>
  <si>
    <t>JOB-1758</t>
  </si>
  <si>
    <t>JOB-1759</t>
  </si>
  <si>
    <t>JOB-1760</t>
  </si>
  <si>
    <t>JOB-1761</t>
  </si>
  <si>
    <t>JOB-1762</t>
  </si>
  <si>
    <t>JOB-1763</t>
  </si>
  <si>
    <t>JOB-1764</t>
  </si>
  <si>
    <t>JOB-1765</t>
  </si>
  <si>
    <t>JOB-1766</t>
  </si>
  <si>
    <t>JOB-1767</t>
  </si>
  <si>
    <t>JOB-1768</t>
  </si>
  <si>
    <t>JOB-1769</t>
  </si>
  <si>
    <t>JOB-1770</t>
  </si>
  <si>
    <t>JOB-1771</t>
  </si>
  <si>
    <t>JOB-1772</t>
  </si>
  <si>
    <t>JOB-1773</t>
  </si>
  <si>
    <t>JOB-1774</t>
  </si>
  <si>
    <t>JOB-1775</t>
  </si>
  <si>
    <t>JOB-1776</t>
  </si>
  <si>
    <t>JOB-1777</t>
  </si>
  <si>
    <t>JOB-1778</t>
  </si>
  <si>
    <t>JOB-1779</t>
  </si>
  <si>
    <t>JOB-1780</t>
  </si>
  <si>
    <t>JOB-1781</t>
  </si>
  <si>
    <t>JOB-1782</t>
  </si>
  <si>
    <t>JOB-1783</t>
  </si>
  <si>
    <t>JOB-1784</t>
  </si>
  <si>
    <t>JOB-1785</t>
  </si>
  <si>
    <t>JOB-1786</t>
  </si>
  <si>
    <t>JOB-1787</t>
  </si>
  <si>
    <t>JOB-1788</t>
  </si>
  <si>
    <t>JOB-1789</t>
  </si>
  <si>
    <t>JOB-1790</t>
  </si>
  <si>
    <t>JOB-1791</t>
  </si>
  <si>
    <t>JOB-1792</t>
  </si>
  <si>
    <t>JOB-1793</t>
  </si>
  <si>
    <t>JOB-1794</t>
  </si>
  <si>
    <t>JOB-1795</t>
  </si>
  <si>
    <t>JOB-1796</t>
  </si>
  <si>
    <t>JOB-1797</t>
  </si>
  <si>
    <t>JOB-1798</t>
  </si>
  <si>
    <t>JOB-1799</t>
  </si>
  <si>
    <t>JOB-1800</t>
  </si>
  <si>
    <t>JOB-1801</t>
  </si>
  <si>
    <t>JOB-1802</t>
  </si>
  <si>
    <t>JOB-1803</t>
  </si>
  <si>
    <t>JOB-1804</t>
  </si>
  <si>
    <t>JOB-1805</t>
  </si>
  <si>
    <t>JOB-1806</t>
  </si>
  <si>
    <t>JOB-1807</t>
  </si>
  <si>
    <t>JOB-1808</t>
  </si>
  <si>
    <t>JOB-1809</t>
  </si>
  <si>
    <t>JOB-1810</t>
  </si>
  <si>
    <t>JOB-1811</t>
  </si>
  <si>
    <t>JOB-1812</t>
  </si>
  <si>
    <t>JOB-1813</t>
  </si>
  <si>
    <t>JOB-1814</t>
  </si>
  <si>
    <t>JOB-1815</t>
  </si>
  <si>
    <t>JOB-1816</t>
  </si>
  <si>
    <t>JOB-1817</t>
  </si>
  <si>
    <t>JOB-1818</t>
  </si>
  <si>
    <t>JOB-1819</t>
  </si>
  <si>
    <t>JOB-1820</t>
  </si>
  <si>
    <t>JOB-1821</t>
  </si>
  <si>
    <t>JOB-1822</t>
  </si>
  <si>
    <t>JOB-1823</t>
  </si>
  <si>
    <t>JOB-1824</t>
  </si>
  <si>
    <t>JOB-1825</t>
  </si>
  <si>
    <t>JOB-1826</t>
  </si>
  <si>
    <t>JOB-1827</t>
  </si>
  <si>
    <t>JOB-1828</t>
  </si>
  <si>
    <t>JOB-1829</t>
  </si>
  <si>
    <t>JOB-1830</t>
  </si>
  <si>
    <t>JOB-1831</t>
  </si>
  <si>
    <t>JOB-1832</t>
  </si>
  <si>
    <t>JOB-1833</t>
  </si>
  <si>
    <t>JOB-1834</t>
  </si>
  <si>
    <t>JOB-1835</t>
  </si>
  <si>
    <t>JOB-1836</t>
  </si>
  <si>
    <t>JOB-1837</t>
  </si>
  <si>
    <t>JOB-1838</t>
  </si>
  <si>
    <t>JOB-1839</t>
  </si>
  <si>
    <t>JOB-1840</t>
  </si>
  <si>
    <t>JOB-1841</t>
  </si>
  <si>
    <t>JOB-1842</t>
  </si>
  <si>
    <t>JOB-1843</t>
  </si>
  <si>
    <t>JOB-1844</t>
  </si>
  <si>
    <t>JOB-1845</t>
  </si>
  <si>
    <t>JOB-1846</t>
  </si>
  <si>
    <t>JOB-1847</t>
  </si>
  <si>
    <t>JOB-1848</t>
  </si>
  <si>
    <t>JOB-1849</t>
  </si>
  <si>
    <t>JOB-1850</t>
  </si>
  <si>
    <t>JOB-1851</t>
  </si>
  <si>
    <t>JOB-1852</t>
  </si>
  <si>
    <t>JOB-1853</t>
  </si>
  <si>
    <t>JOB-1854</t>
  </si>
  <si>
    <t>JOB-1855</t>
  </si>
  <si>
    <t>JOB-1856</t>
  </si>
  <si>
    <t>JOB-1857</t>
  </si>
  <si>
    <t>JOB-1858</t>
  </si>
  <si>
    <t>JOB-1859</t>
  </si>
  <si>
    <t>JOB-1860</t>
  </si>
  <si>
    <t>JOB-1861</t>
  </si>
  <si>
    <t>JOB-1862</t>
  </si>
  <si>
    <t>JOB-1863</t>
  </si>
  <si>
    <t>JOB-1864</t>
  </si>
  <si>
    <t>JOB-1865</t>
  </si>
  <si>
    <t>JOB-1866</t>
  </si>
  <si>
    <t>JOB-1867</t>
  </si>
  <si>
    <t>JOB-1868</t>
  </si>
  <si>
    <t>JOB-1869</t>
  </si>
  <si>
    <t>JOB-1870</t>
  </si>
  <si>
    <t>JOB-1871</t>
  </si>
  <si>
    <t>JOB-1872</t>
  </si>
  <si>
    <t>JOB-1873</t>
  </si>
  <si>
    <t>JOB-1874</t>
  </si>
  <si>
    <t>JOB-1875</t>
  </si>
  <si>
    <t>JOB-1876</t>
  </si>
  <si>
    <t>JOB-1877</t>
  </si>
  <si>
    <t>JOB-1878</t>
  </si>
  <si>
    <t>JOB-1879</t>
  </si>
  <si>
    <t>JOB-1880</t>
  </si>
  <si>
    <t>JOB-1881</t>
  </si>
  <si>
    <t>JOB-1882</t>
  </si>
  <si>
    <t>JOB-1883</t>
  </si>
  <si>
    <t>JOB-1884</t>
  </si>
  <si>
    <t>JOB-1885</t>
  </si>
  <si>
    <t>JOB-1886</t>
  </si>
  <si>
    <t>JOB-1887</t>
  </si>
  <si>
    <t>JOB-1888</t>
  </si>
  <si>
    <t>JOB-1889</t>
  </si>
  <si>
    <t>JOB-1890</t>
  </si>
  <si>
    <t>JOB-1891</t>
  </si>
  <si>
    <t>JOB-1892</t>
  </si>
  <si>
    <t>JOB-1893</t>
  </si>
  <si>
    <t>JOB-1894</t>
  </si>
  <si>
    <t>JOB-1895</t>
  </si>
  <si>
    <t>JOB-1896</t>
  </si>
  <si>
    <t>JOB-1897</t>
  </si>
  <si>
    <t>JOB-1898</t>
  </si>
  <si>
    <t>JOB-1899</t>
  </si>
  <si>
    <t>JOB-1900</t>
  </si>
  <si>
    <t>JOB-1901</t>
  </si>
  <si>
    <t>JOB-1902</t>
  </si>
  <si>
    <t>JOB-1903</t>
  </si>
  <si>
    <t>JOB-1904</t>
  </si>
  <si>
    <t>JOB-1905</t>
  </si>
  <si>
    <t>JOB-1906</t>
  </si>
  <si>
    <t>JOB-1907</t>
  </si>
  <si>
    <t>JOB-1908</t>
  </si>
  <si>
    <t>JOB-1909</t>
  </si>
  <si>
    <t>JOB-1910</t>
  </si>
  <si>
    <t>JOB-1911</t>
  </si>
  <si>
    <t>JOB-1912</t>
  </si>
  <si>
    <t>JOB-1913</t>
  </si>
  <si>
    <t>JOB-1914</t>
  </si>
  <si>
    <t>JOB-1915</t>
  </si>
  <si>
    <t>JOB-1916</t>
  </si>
  <si>
    <t>JOB-1917</t>
  </si>
  <si>
    <t>JOB-1918</t>
  </si>
  <si>
    <t>JOB-1919</t>
  </si>
  <si>
    <t>JOB-1920</t>
  </si>
  <si>
    <t>JOB-1921</t>
  </si>
  <si>
    <t>JOB-1922</t>
  </si>
  <si>
    <t>JOB-1923</t>
  </si>
  <si>
    <t>JOB-1924</t>
  </si>
  <si>
    <t>JOB-1925</t>
  </si>
  <si>
    <t>JOB-1926</t>
  </si>
  <si>
    <t>JOB-1927</t>
  </si>
  <si>
    <t>JOB-1928</t>
  </si>
  <si>
    <t>JOB-1929</t>
  </si>
  <si>
    <t>JOB-1930</t>
  </si>
  <si>
    <t>JOB-1931</t>
  </si>
  <si>
    <t>JOB-1932</t>
  </si>
  <si>
    <t>JOB-1933</t>
  </si>
  <si>
    <t>JOB-1934</t>
  </si>
  <si>
    <t>JOB-1935</t>
  </si>
  <si>
    <t>JOB-1936</t>
  </si>
  <si>
    <t>JOB-1937</t>
  </si>
  <si>
    <t>JOB-1938</t>
  </si>
  <si>
    <t>JOB-1939</t>
  </si>
  <si>
    <t>JOB-1940</t>
  </si>
  <si>
    <t>JOB-1941</t>
  </si>
  <si>
    <t>JOB-1942</t>
  </si>
  <si>
    <t>JOB-1943</t>
  </si>
  <si>
    <t>JOB-1944</t>
  </si>
  <si>
    <t>JOB-1945</t>
  </si>
  <si>
    <t>JOB-1946</t>
  </si>
  <si>
    <t>JOB-1947</t>
  </si>
  <si>
    <t>JOB-1948</t>
  </si>
  <si>
    <t>JOB-1949</t>
  </si>
  <si>
    <t>JOB-1950</t>
  </si>
  <si>
    <t>JOB-1951</t>
  </si>
  <si>
    <t>JOB-1952</t>
  </si>
  <si>
    <t>JOB-1953</t>
  </si>
  <si>
    <t>JOB-1954</t>
  </si>
  <si>
    <t>JOB-1955</t>
  </si>
  <si>
    <t>JOB-1956</t>
  </si>
  <si>
    <t>JOB-1957</t>
  </si>
  <si>
    <t>JOB-1958</t>
  </si>
  <si>
    <t>JOB-1959</t>
  </si>
  <si>
    <t>JOB-1960</t>
  </si>
  <si>
    <t>JOB-1961</t>
  </si>
  <si>
    <t>JOB-1962</t>
  </si>
  <si>
    <t>JOB-1963</t>
  </si>
  <si>
    <t>JOB-1964</t>
  </si>
  <si>
    <t>JOB-1965</t>
  </si>
  <si>
    <t>JOB-1966</t>
  </si>
  <si>
    <t>JOB-1967</t>
  </si>
  <si>
    <t>JOB-1968</t>
  </si>
  <si>
    <t>JOB-1969</t>
  </si>
  <si>
    <t>JOB-1970</t>
  </si>
  <si>
    <t>JOB-1971</t>
  </si>
  <si>
    <t>JOB-1972</t>
  </si>
  <si>
    <t>JOB-1973</t>
  </si>
  <si>
    <t>JOB-1974</t>
  </si>
  <si>
    <t>JOB-1975</t>
  </si>
  <si>
    <t>JOB-1976</t>
  </si>
  <si>
    <t>JOB-1977</t>
  </si>
  <si>
    <t>JOB-1978</t>
  </si>
  <si>
    <t>JOB-1979</t>
  </si>
  <si>
    <t>JOB-1980</t>
  </si>
  <si>
    <t>JOB-1981</t>
  </si>
  <si>
    <t>JOB-1982</t>
  </si>
  <si>
    <t>JOB-1983</t>
  </si>
  <si>
    <t>JOB-1984</t>
  </si>
  <si>
    <t>JOB-1985</t>
  </si>
  <si>
    <t>JOB-1986</t>
  </si>
  <si>
    <t>JOB-1987</t>
  </si>
  <si>
    <t>JOB-1988</t>
  </si>
  <si>
    <t>JOB-1989</t>
  </si>
  <si>
    <t>JOB-1990</t>
  </si>
  <si>
    <t>JOB-1991</t>
  </si>
  <si>
    <t>JOB-1992</t>
  </si>
  <si>
    <t>JOB-1993</t>
  </si>
  <si>
    <t>JOB-1994</t>
  </si>
  <si>
    <t>JOB-1995</t>
  </si>
  <si>
    <t>JOB-1996</t>
  </si>
  <si>
    <t>JOB-1997</t>
  </si>
  <si>
    <t>JOB-1998</t>
  </si>
  <si>
    <t>JOB-1999</t>
  </si>
  <si>
    <t>JOB-2000</t>
  </si>
  <si>
    <t>JOB-2001</t>
  </si>
  <si>
    <t>JOB-2002</t>
  </si>
  <si>
    <t>JOB-2003</t>
  </si>
  <si>
    <t>JOB-2004</t>
  </si>
  <si>
    <t>JOB-2005</t>
  </si>
  <si>
    <t>JOB-2006</t>
  </si>
  <si>
    <t>JOB-2007</t>
  </si>
  <si>
    <t>JOB-2008</t>
  </si>
  <si>
    <t>JOB-2009</t>
  </si>
  <si>
    <t>JOB-2010</t>
  </si>
  <si>
    <t>JOB-2011</t>
  </si>
  <si>
    <t>JOB-2012</t>
  </si>
  <si>
    <t>JOB-2013</t>
  </si>
  <si>
    <t>JOB-2014</t>
  </si>
  <si>
    <t>JOB-2015</t>
  </si>
  <si>
    <t>JOB-2016</t>
  </si>
  <si>
    <t>JOB-2017</t>
  </si>
  <si>
    <t>JOB-2018</t>
  </si>
  <si>
    <t>JOB-2019</t>
  </si>
  <si>
    <t>JOB-2020</t>
  </si>
  <si>
    <t>JOB-2021</t>
  </si>
  <si>
    <t>JOB-2022</t>
  </si>
  <si>
    <t>JOB-2023</t>
  </si>
  <si>
    <t>JOB-2024</t>
  </si>
  <si>
    <t>JOB-2025</t>
  </si>
  <si>
    <t>JOB-2026</t>
  </si>
  <si>
    <t>JOB-2027</t>
  </si>
  <si>
    <t>JOB-2028</t>
  </si>
  <si>
    <t>JOB-2029</t>
  </si>
  <si>
    <t>JOB-2030</t>
  </si>
  <si>
    <t>JOB-2031</t>
  </si>
  <si>
    <t>JOB-2032</t>
  </si>
  <si>
    <t>JOB-2033</t>
  </si>
  <si>
    <t>JOB-2034</t>
  </si>
  <si>
    <t>JOB-2035</t>
  </si>
  <si>
    <t>JOB-2036</t>
  </si>
  <si>
    <t>JOB-2037</t>
  </si>
  <si>
    <t>JOB-2038</t>
  </si>
  <si>
    <t>JOB-2039</t>
  </si>
  <si>
    <t>JOB-2040</t>
  </si>
  <si>
    <t>JOB-2041</t>
  </si>
  <si>
    <t>JOB-2042</t>
  </si>
  <si>
    <t>JOB-2043</t>
  </si>
  <si>
    <t>JOB-2044</t>
  </si>
  <si>
    <t>JOB-2045</t>
  </si>
  <si>
    <t>JOB-2046</t>
  </si>
  <si>
    <t>JOB-2047</t>
  </si>
  <si>
    <t>JOB-2048</t>
  </si>
  <si>
    <t>JOB-2049</t>
  </si>
  <si>
    <t>JOB-2050</t>
  </si>
  <si>
    <t>JOB-2051</t>
  </si>
  <si>
    <t>JOB-2052</t>
  </si>
  <si>
    <t>JOB-2053</t>
  </si>
  <si>
    <t>JOB-2054</t>
  </si>
  <si>
    <t>JOB-2055</t>
  </si>
  <si>
    <t>JOB-2056</t>
  </si>
  <si>
    <t>JOB-2057</t>
  </si>
  <si>
    <t>JOB-2058</t>
  </si>
  <si>
    <t>JOB-2059</t>
  </si>
  <si>
    <t>JOB-2060</t>
  </si>
  <si>
    <t>JOB-2061</t>
  </si>
  <si>
    <t>JOB-2062</t>
  </si>
  <si>
    <t>JOB-2063</t>
  </si>
  <si>
    <t>JOB-2064</t>
  </si>
  <si>
    <t>JOB-2065</t>
  </si>
  <si>
    <t>JOB-2066</t>
  </si>
  <si>
    <t>JOB-2067</t>
  </si>
  <si>
    <t>JOB-2068</t>
  </si>
  <si>
    <t>JOB-2069</t>
  </si>
  <si>
    <t>JOB-2070</t>
  </si>
  <si>
    <t>JOB-2071</t>
  </si>
  <si>
    <t>JOB-2072</t>
  </si>
  <si>
    <t>JOB-2073</t>
  </si>
  <si>
    <t>JOB-2074</t>
  </si>
  <si>
    <t>JOB-2075</t>
  </si>
  <si>
    <t>JOB-2076</t>
  </si>
  <si>
    <t>JOB-2077</t>
  </si>
  <si>
    <t>JOB-2078</t>
  </si>
  <si>
    <t>JOB-2079</t>
  </si>
  <si>
    <t>JOB-2080</t>
  </si>
  <si>
    <t>JOB-2081</t>
  </si>
  <si>
    <t>JOB-2082</t>
  </si>
  <si>
    <t>JOB-2083</t>
  </si>
  <si>
    <t>JOB-2084</t>
  </si>
  <si>
    <t>JOB-2085</t>
  </si>
  <si>
    <t>JOB-2086</t>
  </si>
  <si>
    <t>JOB-2087</t>
  </si>
  <si>
    <t>JOB-2088</t>
  </si>
  <si>
    <t>JOB-2089</t>
  </si>
  <si>
    <t>JOB-2090</t>
  </si>
  <si>
    <t>JOB-2091</t>
  </si>
  <si>
    <t>JOB-2092</t>
  </si>
  <si>
    <t>JOB-2093</t>
  </si>
  <si>
    <t>JOB-2094</t>
  </si>
  <si>
    <t>JOB-2095</t>
  </si>
  <si>
    <t>JOB-2096</t>
  </si>
  <si>
    <t>JOB-2097</t>
  </si>
  <si>
    <t>JOB-2098</t>
  </si>
  <si>
    <t>JOB-2099</t>
  </si>
  <si>
    <t>JOB-2100</t>
  </si>
  <si>
    <t>JOB-2101</t>
  </si>
  <si>
    <t>JOB-2102</t>
  </si>
  <si>
    <t>JOB-2103</t>
  </si>
  <si>
    <t>JOB-2104</t>
  </si>
  <si>
    <t>JOB-2105</t>
  </si>
  <si>
    <t>JOB-2106</t>
  </si>
  <si>
    <t>JOB-2107</t>
  </si>
  <si>
    <t>JOB-2108</t>
  </si>
  <si>
    <t>JOB-2109</t>
  </si>
  <si>
    <t>JOB-2110</t>
  </si>
  <si>
    <t>JOB-2111</t>
  </si>
  <si>
    <t>JOB-2112</t>
  </si>
  <si>
    <t>JOB-2113</t>
  </si>
  <si>
    <t>JOB-2114</t>
  </si>
  <si>
    <t>JOB-2115</t>
  </si>
  <si>
    <t>JOB-2116</t>
  </si>
  <si>
    <t>JOB-2117</t>
  </si>
  <si>
    <t>JOB-2118</t>
  </si>
  <si>
    <t>JOB-2119</t>
  </si>
  <si>
    <t>JOB-2120</t>
  </si>
  <si>
    <t>JOB-2121</t>
  </si>
  <si>
    <t>JOB-2122</t>
  </si>
  <si>
    <t>JOB-2123</t>
  </si>
  <si>
    <t>JOB-2124</t>
  </si>
  <si>
    <t>JOB-2125</t>
  </si>
  <si>
    <t>JOB-2126</t>
  </si>
  <si>
    <t>JOB-2127</t>
  </si>
  <si>
    <t>JOB-2128</t>
  </si>
  <si>
    <t>JOB-2129</t>
  </si>
  <si>
    <t>JOB-2130</t>
  </si>
  <si>
    <t>JOB-2131</t>
  </si>
  <si>
    <t>JOB-2132</t>
  </si>
  <si>
    <t>JOB-2133</t>
  </si>
  <si>
    <t>JOB-2134</t>
  </si>
  <si>
    <t>JOB-2135</t>
  </si>
  <si>
    <t>JOB-2136</t>
  </si>
  <si>
    <t>JOB-2137</t>
  </si>
  <si>
    <t>JOB-2138</t>
  </si>
  <si>
    <t>JOB-2139</t>
  </si>
  <si>
    <t>JOB-2140</t>
  </si>
  <si>
    <t>JOB-2141</t>
  </si>
  <si>
    <t>JOB-2142</t>
  </si>
  <si>
    <t>JOB-2143</t>
  </si>
  <si>
    <t>JOB-2144</t>
  </si>
  <si>
    <t>JOB-2145</t>
  </si>
  <si>
    <t>JOB-2146</t>
  </si>
  <si>
    <t>JOB-2147</t>
  </si>
  <si>
    <t>JOB-2148</t>
  </si>
  <si>
    <t>JOB-2149</t>
  </si>
  <si>
    <t>JOB-2150</t>
  </si>
  <si>
    <t>JOB-2151</t>
  </si>
  <si>
    <t>JOB-2152</t>
  </si>
  <si>
    <t>JOB-2153</t>
  </si>
  <si>
    <t>JOB-2154</t>
  </si>
  <si>
    <t>JOB-2155</t>
  </si>
  <si>
    <t>JOB-2156</t>
  </si>
  <si>
    <t>JOB-2157</t>
  </si>
  <si>
    <t>JOB-2158</t>
  </si>
  <si>
    <t>JOB-2159</t>
  </si>
  <si>
    <t>JOB-2160</t>
  </si>
  <si>
    <t>JOB-2161</t>
  </si>
  <si>
    <t>JOB-2162</t>
  </si>
  <si>
    <t>JOB-2163</t>
  </si>
  <si>
    <t>JOB-2164</t>
  </si>
  <si>
    <t>JOB-2165</t>
  </si>
  <si>
    <t>JOB-2166</t>
  </si>
  <si>
    <t>JOB-2167</t>
  </si>
  <si>
    <t>JOB-2168</t>
  </si>
  <si>
    <t>JOB-2169</t>
  </si>
  <si>
    <t>JOB-2170</t>
  </si>
  <si>
    <t>JOB-2171</t>
  </si>
  <si>
    <t>JOB-2172</t>
  </si>
  <si>
    <t>JOB-2173</t>
  </si>
  <si>
    <t>JOB-2174</t>
  </si>
  <si>
    <t>JOB-2175</t>
  </si>
  <si>
    <t>JOB-2176</t>
  </si>
  <si>
    <t>JOB-2177</t>
  </si>
  <si>
    <t>JOB-2178</t>
  </si>
  <si>
    <t>JOB-2179</t>
  </si>
  <si>
    <t>JOB-2180</t>
  </si>
  <si>
    <t>JOB-2181</t>
  </si>
  <si>
    <t>JOB-2182</t>
  </si>
  <si>
    <t>JOB-2183</t>
  </si>
  <si>
    <t>JOB-2184</t>
  </si>
  <si>
    <t>JOB-2185</t>
  </si>
  <si>
    <t>JOB-2186</t>
  </si>
  <si>
    <t>JOB-2187</t>
  </si>
  <si>
    <t>JOB-2188</t>
  </si>
  <si>
    <t>JOB-2189</t>
  </si>
  <si>
    <t>JOB-2190</t>
  </si>
  <si>
    <t>JOB-2191</t>
  </si>
  <si>
    <t>JOB-2192</t>
  </si>
  <si>
    <t>JOB-2193</t>
  </si>
  <si>
    <t>JOB-2194</t>
  </si>
  <si>
    <t>JOB-2195</t>
  </si>
  <si>
    <t>JOB-2196</t>
  </si>
  <si>
    <t>JOB-2197</t>
  </si>
  <si>
    <t>JOB-2198</t>
  </si>
  <si>
    <t>JOB-2199</t>
  </si>
  <si>
    <t>JOB-2200</t>
  </si>
  <si>
    <t>JOB-2201</t>
  </si>
  <si>
    <t>JOB-2202</t>
  </si>
  <si>
    <t>JOB-2203</t>
  </si>
  <si>
    <t>JOB-2204</t>
  </si>
  <si>
    <t>JOB-2205</t>
  </si>
  <si>
    <t>JOB-2206</t>
  </si>
  <si>
    <t>JOB-2207</t>
  </si>
  <si>
    <t>JOB-2208</t>
  </si>
  <si>
    <t>JOB-2209</t>
  </si>
  <si>
    <t>JOB-2210</t>
  </si>
  <si>
    <t>JOB-2211</t>
  </si>
  <si>
    <t>JOB-2212</t>
  </si>
  <si>
    <t>JOB-2213</t>
  </si>
  <si>
    <t>JOB-2214</t>
  </si>
  <si>
    <t>JOB-2215</t>
  </si>
  <si>
    <t>JOB-2216</t>
  </si>
  <si>
    <t>JOB-2217</t>
  </si>
  <si>
    <t>JOB-2218</t>
  </si>
  <si>
    <t>JOB-2219</t>
  </si>
  <si>
    <t>JOB-2220</t>
  </si>
  <si>
    <t>JOB-2221</t>
  </si>
  <si>
    <t>JOB-2222</t>
  </si>
  <si>
    <t>JOB-2223</t>
  </si>
  <si>
    <t>JOB-2224</t>
  </si>
  <si>
    <t>JOB-2225</t>
  </si>
  <si>
    <t>JOB-2226</t>
  </si>
  <si>
    <t>JOB-2227</t>
  </si>
  <si>
    <t>JOB-2228</t>
  </si>
  <si>
    <t>JOB-2229</t>
  </si>
  <si>
    <t>JOB-2230</t>
  </si>
  <si>
    <t>JOB-2231</t>
  </si>
  <si>
    <t>JOB-2232</t>
  </si>
  <si>
    <t>JOB-2233</t>
  </si>
  <si>
    <t>JOB-2234</t>
  </si>
  <si>
    <t>JOB-2235</t>
  </si>
  <si>
    <t>JOB-2236</t>
  </si>
  <si>
    <t>JOB-2237</t>
  </si>
  <si>
    <t>JOB-2238</t>
  </si>
  <si>
    <t>JOB-2239</t>
  </si>
  <si>
    <t>JOB-2240</t>
  </si>
  <si>
    <t>JOB-2241</t>
  </si>
  <si>
    <t>JOB-2242</t>
  </si>
  <si>
    <t>JOB-2243</t>
  </si>
  <si>
    <t>JOB-2244</t>
  </si>
  <si>
    <t>JOB-2245</t>
  </si>
  <si>
    <t>JOB-2246</t>
  </si>
  <si>
    <t>JOB-2247</t>
  </si>
  <si>
    <t>JOB-2248</t>
  </si>
  <si>
    <t>JOB-2249</t>
  </si>
  <si>
    <t>JOB-2250</t>
  </si>
  <si>
    <t>JOB-2251</t>
  </si>
  <si>
    <t>JOB-2252</t>
  </si>
  <si>
    <t>JOB-2253</t>
  </si>
  <si>
    <t>JOB-2254</t>
  </si>
  <si>
    <t>JOB-2255</t>
  </si>
  <si>
    <t>JOB-2256</t>
  </si>
  <si>
    <t>JOB-2257</t>
  </si>
  <si>
    <t>JOB-2258</t>
  </si>
  <si>
    <t>JOB-2259</t>
  </si>
  <si>
    <t>JOB-2260</t>
  </si>
  <si>
    <t>JOB-2261</t>
  </si>
  <si>
    <t>JOB-2262</t>
  </si>
  <si>
    <t>JOB-2263</t>
  </si>
  <si>
    <t>JOB-2264</t>
  </si>
  <si>
    <t>JOB-2265</t>
  </si>
  <si>
    <t>JOB-2266</t>
  </si>
  <si>
    <t>JOB-2267</t>
  </si>
  <si>
    <t>JOB-2268</t>
  </si>
  <si>
    <t>JOB-2269</t>
  </si>
  <si>
    <t>JOB-2270</t>
  </si>
  <si>
    <t>JOB-2271</t>
  </si>
  <si>
    <t>JOB-2272</t>
  </si>
  <si>
    <t>JOB-2273</t>
  </si>
  <si>
    <t>JOB-2274</t>
  </si>
  <si>
    <t>JOB-2275</t>
  </si>
  <si>
    <t>JOB-2276</t>
  </si>
  <si>
    <t>JOB-2277</t>
  </si>
  <si>
    <t>JOB-2278</t>
  </si>
  <si>
    <t>JOB-2279</t>
  </si>
  <si>
    <t>JOB-2280</t>
  </si>
  <si>
    <t>JOB-2281</t>
  </si>
  <si>
    <t>JOB-2282</t>
  </si>
  <si>
    <t>JOB-2283</t>
  </si>
  <si>
    <t>JOB-2284</t>
  </si>
  <si>
    <t>JOB-2285</t>
  </si>
  <si>
    <t>JOB-2286</t>
  </si>
  <si>
    <t>JOB-2287</t>
  </si>
  <si>
    <t>JOB-2288</t>
  </si>
  <si>
    <t>JOB-2289</t>
  </si>
  <si>
    <t>JOB-2290</t>
  </si>
  <si>
    <t>JOB-2291</t>
  </si>
  <si>
    <t>JOB-2292</t>
  </si>
  <si>
    <t>JOB-2293</t>
  </si>
  <si>
    <t>JOB-2294</t>
  </si>
  <si>
    <t>JOB-2295</t>
  </si>
  <si>
    <t>JOB-2296</t>
  </si>
  <si>
    <t>JOB-2297</t>
  </si>
  <si>
    <t>JOB-2298</t>
  </si>
  <si>
    <t>JOB-2299</t>
  </si>
  <si>
    <t>JOB-2300</t>
  </si>
  <si>
    <t>JOB-2301</t>
  </si>
  <si>
    <t>JOB-2302</t>
  </si>
  <si>
    <t>JOB-2303</t>
  </si>
  <si>
    <t>JOB-2304</t>
  </si>
  <si>
    <t>JOB-2305</t>
  </si>
  <si>
    <t>JOB-2306</t>
  </si>
  <si>
    <t>JOB-2307</t>
  </si>
  <si>
    <t>JOB-2308</t>
  </si>
  <si>
    <t>JOB-2309</t>
  </si>
  <si>
    <t>JOB-2310</t>
  </si>
  <si>
    <t>JOB-2311</t>
  </si>
  <si>
    <t>JOB-2312</t>
  </si>
  <si>
    <t>JOB-2313</t>
  </si>
  <si>
    <t>JOB-2314</t>
  </si>
  <si>
    <t>JOB-2315</t>
  </si>
  <si>
    <t>JOB-2316</t>
  </si>
  <si>
    <t>JOB-2317</t>
  </si>
  <si>
    <t>JOB-2318</t>
  </si>
  <si>
    <t>JOB-2319</t>
  </si>
  <si>
    <t>JOB-2320</t>
  </si>
  <si>
    <t>JOB-2321</t>
  </si>
  <si>
    <t>JOB-2322</t>
  </si>
  <si>
    <t>JOB-2323</t>
  </si>
  <si>
    <t>JOB-2324</t>
  </si>
  <si>
    <t>JOB-2325</t>
  </si>
  <si>
    <t>JOB-2326</t>
  </si>
  <si>
    <t>JOB-2327</t>
  </si>
  <si>
    <t>JOB-2328</t>
  </si>
  <si>
    <t>JOB-2329</t>
  </si>
  <si>
    <t>JOB-2330</t>
  </si>
  <si>
    <t>JOB-2331</t>
  </si>
  <si>
    <t>JOB-2332</t>
  </si>
  <si>
    <t>JOB-2333</t>
  </si>
  <si>
    <t>JOB-2334</t>
  </si>
  <si>
    <t>JOB-2335</t>
  </si>
  <si>
    <t>JOB-2336</t>
  </si>
  <si>
    <t>JOB-2337</t>
  </si>
  <si>
    <t>JOB-2338</t>
  </si>
  <si>
    <t>JOB-2339</t>
  </si>
  <si>
    <t>JOB-2340</t>
  </si>
  <si>
    <t>JOB-2341</t>
  </si>
  <si>
    <t>JOB-2342</t>
  </si>
  <si>
    <t>JOB-2343</t>
  </si>
  <si>
    <t>JOB-2344</t>
  </si>
  <si>
    <t>JOB-2345</t>
  </si>
  <si>
    <t>JOB-2346</t>
  </si>
  <si>
    <t>JOB-2347</t>
  </si>
  <si>
    <t>JOB-2348</t>
  </si>
  <si>
    <t>JOB-2349</t>
  </si>
  <si>
    <t>JOB-2350</t>
  </si>
  <si>
    <t>JOB-2351</t>
  </si>
  <si>
    <t>JOB-2352</t>
  </si>
  <si>
    <t>JOB-2353</t>
  </si>
  <si>
    <t>JOB-2354</t>
  </si>
  <si>
    <t>JOB-2355</t>
  </si>
  <si>
    <t>JOB-2356</t>
  </si>
  <si>
    <t>JOB-2357</t>
  </si>
  <si>
    <t>JOB-2358</t>
  </si>
  <si>
    <t>JOB-2359</t>
  </si>
  <si>
    <t>JOB-2360</t>
  </si>
  <si>
    <t>JOB-2361</t>
  </si>
  <si>
    <t>JOB-2362</t>
  </si>
  <si>
    <t>JOB-2363</t>
  </si>
  <si>
    <t>JOB-2364</t>
  </si>
  <si>
    <t>JOB-2365</t>
  </si>
  <si>
    <t>JOB-2366</t>
  </si>
  <si>
    <t>JOB-2367</t>
  </si>
  <si>
    <t>JOB-2368</t>
  </si>
  <si>
    <t>JOB-2369</t>
  </si>
  <si>
    <t>JOB-2370</t>
  </si>
  <si>
    <t>JOB-2371</t>
  </si>
  <si>
    <t>JOB-2372</t>
  </si>
  <si>
    <t>JOB-2373</t>
  </si>
  <si>
    <t>JOB-2374</t>
  </si>
  <si>
    <t>JOB-2375</t>
  </si>
  <si>
    <t>JOB-2376</t>
  </si>
  <si>
    <t>JOB-2377</t>
  </si>
  <si>
    <t>JOB-2378</t>
  </si>
  <si>
    <t>JOB-2379</t>
  </si>
  <si>
    <t>JOB-2380</t>
  </si>
  <si>
    <t>JOB-2381</t>
  </si>
  <si>
    <t>JOB-2382</t>
  </si>
  <si>
    <t>JOB-2383</t>
  </si>
  <si>
    <t>JOB-2384</t>
  </si>
  <si>
    <t>JOB-2385</t>
  </si>
  <si>
    <t>JOB-2386</t>
  </si>
  <si>
    <t>JOB-2387</t>
  </si>
  <si>
    <t>JOB-2388</t>
  </si>
  <si>
    <t>JOB-2389</t>
  </si>
  <si>
    <t>JOB-2390</t>
  </si>
  <si>
    <t>JOB-2391</t>
  </si>
  <si>
    <t>JOB-2392</t>
  </si>
  <si>
    <t>JOB-2393</t>
  </si>
  <si>
    <t>JOB-2394</t>
  </si>
  <si>
    <t>JOB-2395</t>
  </si>
  <si>
    <t>JOB-2396</t>
  </si>
  <si>
    <t>JOB-2397</t>
  </si>
  <si>
    <t>JOB-2398</t>
  </si>
  <si>
    <t>JOB-2399</t>
  </si>
  <si>
    <t>JOB-2400</t>
  </si>
  <si>
    <t>JOB-2401</t>
  </si>
  <si>
    <t>JOB-2402</t>
  </si>
  <si>
    <t>JOB-2403</t>
  </si>
  <si>
    <t>JOB-2404</t>
  </si>
  <si>
    <t>JOB-2405</t>
  </si>
  <si>
    <t>JOB-2406</t>
  </si>
  <si>
    <t>JOB-2407</t>
  </si>
  <si>
    <t>JOB-2408</t>
  </si>
  <si>
    <t>JOB-2409</t>
  </si>
  <si>
    <t>JOB-2410</t>
  </si>
  <si>
    <t>JOB-2411</t>
  </si>
  <si>
    <t>JOB-2412</t>
  </si>
  <si>
    <t>JOB-2413</t>
  </si>
  <si>
    <t>JOB-2414</t>
  </si>
  <si>
    <t>JOB-2415</t>
  </si>
  <si>
    <t>JOB-2416</t>
  </si>
  <si>
    <t>JOB-2417</t>
  </si>
  <si>
    <t>JOB-2418</t>
  </si>
  <si>
    <t>JOB-2419</t>
  </si>
  <si>
    <t>JOB-2420</t>
  </si>
  <si>
    <t>JOB-2421</t>
  </si>
  <si>
    <t>JOB-2422</t>
  </si>
  <si>
    <t>JOB-2423</t>
  </si>
  <si>
    <t>JOB-2424</t>
  </si>
  <si>
    <t>JOB-2425</t>
  </si>
  <si>
    <t>JOB-2426</t>
  </si>
  <si>
    <t>JOB-2427</t>
  </si>
  <si>
    <t>JOB-2428</t>
  </si>
  <si>
    <t>JOB-2429</t>
  </si>
  <si>
    <t>JOB-2430</t>
  </si>
  <si>
    <t>JOB-2431</t>
  </si>
  <si>
    <t>JOB-2432</t>
  </si>
  <si>
    <t>JOB-2433</t>
  </si>
  <si>
    <t>JOB-2434</t>
  </si>
  <si>
    <t>JOB-2435</t>
  </si>
  <si>
    <t>JOB-2436</t>
  </si>
  <si>
    <t>JOB-2437</t>
  </si>
  <si>
    <t>JOB-2438</t>
  </si>
  <si>
    <t>JOB-2439</t>
  </si>
  <si>
    <t>JOB-2440</t>
  </si>
  <si>
    <t>JOB-2441</t>
  </si>
  <si>
    <t>JOB-2442</t>
  </si>
  <si>
    <t>JOB-2443</t>
  </si>
  <si>
    <t>JOB-2444</t>
  </si>
  <si>
    <t>JOB-2445</t>
  </si>
  <si>
    <t>JOB-2446</t>
  </si>
  <si>
    <t>JOB-2447</t>
  </si>
  <si>
    <t>JOB-2448</t>
  </si>
  <si>
    <t>JOB-2449</t>
  </si>
  <si>
    <t>JOB-2450</t>
  </si>
  <si>
    <t>JOB-2451</t>
  </si>
  <si>
    <t>JOB-2452</t>
  </si>
  <si>
    <t>JOB-2453</t>
  </si>
  <si>
    <t>JOB-2454</t>
  </si>
  <si>
    <t>JOB-2455</t>
  </si>
  <si>
    <t>JOB-2456</t>
  </si>
  <si>
    <t>JOB-2457</t>
  </si>
  <si>
    <t>JOB-2458</t>
  </si>
  <si>
    <t>JOB-2459</t>
  </si>
  <si>
    <t>JOB-2460</t>
  </si>
  <si>
    <t>JOB-2461</t>
  </si>
  <si>
    <t>JOB-2462</t>
  </si>
  <si>
    <t>JOB-2463</t>
  </si>
  <si>
    <t>JOB-2464</t>
  </si>
  <si>
    <t>JOB-2465</t>
  </si>
  <si>
    <t>JOB-2466</t>
  </si>
  <si>
    <t>JOB-2467</t>
  </si>
  <si>
    <t>JOB-2468</t>
  </si>
  <si>
    <t>JOB-2469</t>
  </si>
  <si>
    <t>JOB-2470</t>
  </si>
  <si>
    <t>JOB-2471</t>
  </si>
  <si>
    <t>JOB-2472</t>
  </si>
  <si>
    <t>JOB-2473</t>
  </si>
  <si>
    <t>JOB-2474</t>
  </si>
  <si>
    <t>JOB-2475</t>
  </si>
  <si>
    <t>JOB-2476</t>
  </si>
  <si>
    <t>JOB-2477</t>
  </si>
  <si>
    <t>JOB-2478</t>
  </si>
  <si>
    <t>JOB-2479</t>
  </si>
  <si>
    <t>JOB-2480</t>
  </si>
  <si>
    <t>JOB-2481</t>
  </si>
  <si>
    <t>JOB-2482</t>
  </si>
  <si>
    <t>JOB-2483</t>
  </si>
  <si>
    <t>JOB-2484</t>
  </si>
  <si>
    <t>JOB-2485</t>
  </si>
  <si>
    <t>JOB-2486</t>
  </si>
  <si>
    <t>JOB-2487</t>
  </si>
  <si>
    <t>JOB-2488</t>
  </si>
  <si>
    <t>JOB-2489</t>
  </si>
  <si>
    <t>JOB-2490</t>
  </si>
  <si>
    <t>JOB-2491</t>
  </si>
  <si>
    <t>JOB-2492</t>
  </si>
  <si>
    <t>JOB-2493</t>
  </si>
  <si>
    <t>JOB-2494</t>
  </si>
  <si>
    <t>JOB-2495</t>
  </si>
  <si>
    <t>JOB-2496</t>
  </si>
  <si>
    <t>JOB-2497</t>
  </si>
  <si>
    <t>JOB-2498</t>
  </si>
  <si>
    <t>JOB-2499</t>
  </si>
  <si>
    <t>JOB-2500</t>
  </si>
  <si>
    <t>JOB-2501</t>
  </si>
  <si>
    <t>JOB-2502</t>
  </si>
  <si>
    <t>JOB-2503</t>
  </si>
  <si>
    <t>JOB-2504</t>
  </si>
  <si>
    <t>JOB-2505</t>
  </si>
  <si>
    <t>JOB-2506</t>
  </si>
  <si>
    <t>JOB-2507</t>
  </si>
  <si>
    <t>JOB-2508</t>
  </si>
  <si>
    <t>JOB-2509</t>
  </si>
  <si>
    <t>JOB-2510</t>
  </si>
  <si>
    <t>JOB-2511</t>
  </si>
  <si>
    <t>JOB-2512</t>
  </si>
  <si>
    <t>JOB-2513</t>
  </si>
  <si>
    <t>JOB-2514</t>
  </si>
  <si>
    <t>JOB-2515</t>
  </si>
  <si>
    <t>JOB-2516</t>
  </si>
  <si>
    <t>JOB-2517</t>
  </si>
  <si>
    <t>JOB-2518</t>
  </si>
  <si>
    <t>JOB-2519</t>
  </si>
  <si>
    <t>JOB-2520</t>
  </si>
  <si>
    <t>JOB-2521</t>
  </si>
  <si>
    <t>JOB-2522</t>
  </si>
  <si>
    <t>JOB-2523</t>
  </si>
  <si>
    <t>JOB-2524</t>
  </si>
  <si>
    <t>JOB-2525</t>
  </si>
  <si>
    <t>JOB-2526</t>
  </si>
  <si>
    <t>JOB-2527</t>
  </si>
  <si>
    <t>JOB-2528</t>
  </si>
  <si>
    <t>JOB-2529</t>
  </si>
  <si>
    <t>JOB-2530</t>
  </si>
  <si>
    <t>JOB-2531</t>
  </si>
  <si>
    <t>JOB-2532</t>
  </si>
  <si>
    <t>JOB-2533</t>
  </si>
  <si>
    <t>JOB-2534</t>
  </si>
  <si>
    <t>JOB-2535</t>
  </si>
  <si>
    <t>JOB-2536</t>
  </si>
  <si>
    <t>JOB-2537</t>
  </si>
  <si>
    <t>JOB-2538</t>
  </si>
  <si>
    <t>JOB-2539</t>
  </si>
  <si>
    <t>JOB-2540</t>
  </si>
  <si>
    <t>JOB-2541</t>
  </si>
  <si>
    <t>JOB-2542</t>
  </si>
  <si>
    <t>JOB-2543</t>
  </si>
  <si>
    <t>JOB-2544</t>
  </si>
  <si>
    <t>JOB-2545</t>
  </si>
  <si>
    <t>JOB-2546</t>
  </si>
  <si>
    <t>JOB-2547</t>
  </si>
  <si>
    <t>JOB-2548</t>
  </si>
  <si>
    <t>JOB-2549</t>
  </si>
  <si>
    <t>JOB-2550</t>
  </si>
  <si>
    <t>JOB-2551</t>
  </si>
  <si>
    <t>JOB-2552</t>
  </si>
  <si>
    <t>JOB-2553</t>
  </si>
  <si>
    <t>JOB-2554</t>
  </si>
  <si>
    <t>JOB-2555</t>
  </si>
  <si>
    <t>JOB-2556</t>
  </si>
  <si>
    <t>JOB-2557</t>
  </si>
  <si>
    <t>JOB-2558</t>
  </si>
  <si>
    <t>JOB-2559</t>
  </si>
  <si>
    <t>JOB-2560</t>
  </si>
  <si>
    <t>JOB-2561</t>
  </si>
  <si>
    <t>JOB-2562</t>
  </si>
  <si>
    <t>JOB-2563</t>
  </si>
  <si>
    <t>JOB-2564</t>
  </si>
  <si>
    <t>JOB-2565</t>
  </si>
  <si>
    <t>JOB-2566</t>
  </si>
  <si>
    <t>JOB-2567</t>
  </si>
  <si>
    <t>JOB-2568</t>
  </si>
  <si>
    <t>JOB-2569</t>
  </si>
  <si>
    <t>JOB-2570</t>
  </si>
  <si>
    <t>JOB-2571</t>
  </si>
  <si>
    <t>JOB-2572</t>
  </si>
  <si>
    <t>JOB-2573</t>
  </si>
  <si>
    <t>JOB-2574</t>
  </si>
  <si>
    <t>JOB-2575</t>
  </si>
  <si>
    <t>JOB-2576</t>
  </si>
  <si>
    <t>JOB-2577</t>
  </si>
  <si>
    <t>JOB-2578</t>
  </si>
  <si>
    <t>JOB-2579</t>
  </si>
  <si>
    <t>JOB-2580</t>
  </si>
  <si>
    <t>JOB-2581</t>
  </si>
  <si>
    <t>JOB-2582</t>
  </si>
  <si>
    <t>JOB-2583</t>
  </si>
  <si>
    <t>JOB-2584</t>
  </si>
  <si>
    <t>JOB-2585</t>
  </si>
  <si>
    <t>JOB-2586</t>
  </si>
  <si>
    <t>JOB-2587</t>
  </si>
  <si>
    <t>JOB-2588</t>
  </si>
  <si>
    <t>JOB-2589</t>
  </si>
  <si>
    <t>JOB-2590</t>
  </si>
  <si>
    <t>JOB-2591</t>
  </si>
  <si>
    <t>JOB-2592</t>
  </si>
  <si>
    <t>JOB-2593</t>
  </si>
  <si>
    <t>JOB-2594</t>
  </si>
  <si>
    <t>JOB-2595</t>
  </si>
  <si>
    <t>JOB-2596</t>
  </si>
  <si>
    <t>JOB-2597</t>
  </si>
  <si>
    <t>JOB-2598</t>
  </si>
  <si>
    <t>JOB-2599</t>
  </si>
  <si>
    <t>JOB-2600</t>
  </si>
  <si>
    <t>JOB-2601</t>
  </si>
  <si>
    <t>JOB-2602</t>
  </si>
  <si>
    <t>JOB-2603</t>
  </si>
  <si>
    <t>JOB-2604</t>
  </si>
  <si>
    <t>JOB-2605</t>
  </si>
  <si>
    <t>JOB-2606</t>
  </si>
  <si>
    <t>JOB-2607</t>
  </si>
  <si>
    <t>JOB-2608</t>
  </si>
  <si>
    <t>JOB-2609</t>
  </si>
  <si>
    <t>JOB-2610</t>
  </si>
  <si>
    <t>JOB-2611</t>
  </si>
  <si>
    <t>JOB-2612</t>
  </si>
  <si>
    <t>JOB-2613</t>
  </si>
  <si>
    <t>JOB-2614</t>
  </si>
  <si>
    <t>JOB-2615</t>
  </si>
  <si>
    <t>JOB-2616</t>
  </si>
  <si>
    <t>JOB-2617</t>
  </si>
  <si>
    <t>JOB-2618</t>
  </si>
  <si>
    <t>JOB-2619</t>
  </si>
  <si>
    <t>JOB-2620</t>
  </si>
  <si>
    <t>JOB-2621</t>
  </si>
  <si>
    <t>JOB-2622</t>
  </si>
  <si>
    <t>JOB-2623</t>
  </si>
  <si>
    <t>JOB-2624</t>
  </si>
  <si>
    <t>JOB-2625</t>
  </si>
  <si>
    <t>JOB-2626</t>
  </si>
  <si>
    <t>JOB-2627</t>
  </si>
  <si>
    <t>JOB-2628</t>
  </si>
  <si>
    <t>JOB-2629</t>
  </si>
  <si>
    <t>JOB-2630</t>
  </si>
  <si>
    <t>JOB-2631</t>
  </si>
  <si>
    <t>JOB-2632</t>
  </si>
  <si>
    <t>JOB-2633</t>
  </si>
  <si>
    <t>JOB-2634</t>
  </si>
  <si>
    <t>JOB-2635</t>
  </si>
  <si>
    <t>JOB-2636</t>
  </si>
  <si>
    <t>JOB-2637</t>
  </si>
  <si>
    <t>JOB-2638</t>
  </si>
  <si>
    <t>JOB-2639</t>
  </si>
  <si>
    <t>JOB-2640</t>
  </si>
  <si>
    <t>JOB-2641</t>
  </si>
  <si>
    <t>JOB-2642</t>
  </si>
  <si>
    <t>JOB-2643</t>
  </si>
  <si>
    <t>JOB-2644</t>
  </si>
  <si>
    <t>JOB-2645</t>
  </si>
  <si>
    <t>JOB-2646</t>
  </si>
  <si>
    <t>JOB-2647</t>
  </si>
  <si>
    <t>JOB-2648</t>
  </si>
  <si>
    <t>JOB-2649</t>
  </si>
  <si>
    <t>JOB-2650</t>
  </si>
  <si>
    <t>JOB-2651</t>
  </si>
  <si>
    <t>JOB-2652</t>
  </si>
  <si>
    <t>JOB-2653</t>
  </si>
  <si>
    <t>JOB-2654</t>
  </si>
  <si>
    <t>JOB-2655</t>
  </si>
  <si>
    <t>JOB-2656</t>
  </si>
  <si>
    <t>JOB-2657</t>
  </si>
  <si>
    <t>JOB-2658</t>
  </si>
  <si>
    <t>JOB-2659</t>
  </si>
  <si>
    <t>JOB-2660</t>
  </si>
  <si>
    <t>JOB-2661</t>
  </si>
  <si>
    <t>JOB-2662</t>
  </si>
  <si>
    <t>JOB-2663</t>
  </si>
  <si>
    <t>JOB-2664</t>
  </si>
  <si>
    <t>JOB-2665</t>
  </si>
  <si>
    <t>JOB-2666</t>
  </si>
  <si>
    <t>JOB-2667</t>
  </si>
  <si>
    <t>JOB-2668</t>
  </si>
  <si>
    <t>JOB-2669</t>
  </si>
  <si>
    <t>JOB-2670</t>
  </si>
  <si>
    <t>JOB-2671</t>
  </si>
  <si>
    <t>JOB-2672</t>
  </si>
  <si>
    <t>JOB-2673</t>
  </si>
  <si>
    <t>JOB-2674</t>
  </si>
  <si>
    <t>JOB-2675</t>
  </si>
  <si>
    <t>JOB-2676</t>
  </si>
  <si>
    <t>JOB-2677</t>
  </si>
  <si>
    <t>JOB-2678</t>
  </si>
  <si>
    <t>JOB-2679</t>
  </si>
  <si>
    <t>JOB-2680</t>
  </si>
  <si>
    <t>JOB-2681</t>
  </si>
  <si>
    <t>JOB-2682</t>
  </si>
  <si>
    <t>JOB-2683</t>
  </si>
  <si>
    <t>JOB-2684</t>
  </si>
  <si>
    <t>JOB-2685</t>
  </si>
  <si>
    <t>JOB-2686</t>
  </si>
  <si>
    <t>JOB-2687</t>
  </si>
  <si>
    <t>JOB-2688</t>
  </si>
  <si>
    <t>JOB-2689</t>
  </si>
  <si>
    <t>JOB-2690</t>
  </si>
  <si>
    <t>JOB-2691</t>
  </si>
  <si>
    <t>JOB-2692</t>
  </si>
  <si>
    <t>JOB-2693</t>
  </si>
  <si>
    <t>JOB-2694</t>
  </si>
  <si>
    <t>JOB-2695</t>
  </si>
  <si>
    <t>JOB-2696</t>
  </si>
  <si>
    <t>JOB-2697</t>
  </si>
  <si>
    <t>JOB-2698</t>
  </si>
  <si>
    <t>JOB-2699</t>
  </si>
  <si>
    <t>JOB-2700</t>
  </si>
  <si>
    <t>JOB-2701</t>
  </si>
  <si>
    <t>JOB-2702</t>
  </si>
  <si>
    <t>JOB-2703</t>
  </si>
  <si>
    <t>JOB-2704</t>
  </si>
  <si>
    <t>JOB-2705</t>
  </si>
  <si>
    <t>JOB-2706</t>
  </si>
  <si>
    <t>JOB-2707</t>
  </si>
  <si>
    <t>JOB-2708</t>
  </si>
  <si>
    <t>JOB-2709</t>
  </si>
  <si>
    <t>JOB-2710</t>
  </si>
  <si>
    <t>JOB-2711</t>
  </si>
  <si>
    <t>JOB-2712</t>
  </si>
  <si>
    <t>JOB-2713</t>
  </si>
  <si>
    <t>JOB-2714</t>
  </si>
  <si>
    <t>JOB-2715</t>
  </si>
  <si>
    <t>JOB-2716</t>
  </si>
  <si>
    <t>JOB-2717</t>
  </si>
  <si>
    <t>JOB-2718</t>
  </si>
  <si>
    <t>JOB-2719</t>
  </si>
  <si>
    <t>JOB-2720</t>
  </si>
  <si>
    <t>JOB-2721</t>
  </si>
  <si>
    <t>JOB-2722</t>
  </si>
  <si>
    <t>JOB-2723</t>
  </si>
  <si>
    <t>JOB-2724</t>
  </si>
  <si>
    <t>JOB-2725</t>
  </si>
  <si>
    <t>JOB-2726</t>
  </si>
  <si>
    <t>JOB-2727</t>
  </si>
  <si>
    <t>JOB-2728</t>
  </si>
  <si>
    <t>JOB-2729</t>
  </si>
  <si>
    <t>JOB-2730</t>
  </si>
  <si>
    <t>JOB-2731</t>
  </si>
  <si>
    <t>JOB-2732</t>
  </si>
  <si>
    <t>JOB-2733</t>
  </si>
  <si>
    <t>JOB-2734</t>
  </si>
  <si>
    <t>JOB-2735</t>
  </si>
  <si>
    <t>JOB-2736</t>
  </si>
  <si>
    <t>JOB-2737</t>
  </si>
  <si>
    <t>JOB-2738</t>
  </si>
  <si>
    <t>JOB-2739</t>
  </si>
  <si>
    <t>JOB-2740</t>
  </si>
  <si>
    <t>JOB-2741</t>
  </si>
  <si>
    <t>JOB-2742</t>
  </si>
  <si>
    <t>JOB-2743</t>
  </si>
  <si>
    <t>JOB-2744</t>
  </si>
  <si>
    <t>JOB-2745</t>
  </si>
  <si>
    <t>JOB-2746</t>
  </si>
  <si>
    <t>JOB-2747</t>
  </si>
  <si>
    <t>JOB-2748</t>
  </si>
  <si>
    <t>JOB-2749</t>
  </si>
  <si>
    <t>JOB-2750</t>
  </si>
  <si>
    <t>JOB-2751</t>
  </si>
  <si>
    <t>JOB-2752</t>
  </si>
  <si>
    <t>JOB-2753</t>
  </si>
  <si>
    <t>JOB-2754</t>
  </si>
  <si>
    <t>JOB-2755</t>
  </si>
  <si>
    <t>JOB-2756</t>
  </si>
  <si>
    <t>JOB-2757</t>
  </si>
  <si>
    <t>JOB-2758</t>
  </si>
  <si>
    <t>JOB-2759</t>
  </si>
  <si>
    <t>JOB-2760</t>
  </si>
  <si>
    <t>JOB-2761</t>
  </si>
  <si>
    <t>JOB-2762</t>
  </si>
  <si>
    <t>JOB-2763</t>
  </si>
  <si>
    <t>JOB-2764</t>
  </si>
  <si>
    <t>JOB-2765</t>
  </si>
  <si>
    <t>JOB-2766</t>
  </si>
  <si>
    <t>JOB-2767</t>
  </si>
  <si>
    <t>JOB-2768</t>
  </si>
  <si>
    <t>JOB-2769</t>
  </si>
  <si>
    <t>JOB-2770</t>
  </si>
  <si>
    <t>JOB-2771</t>
  </si>
  <si>
    <t>JOB-2772</t>
  </si>
  <si>
    <t>JOB-2773</t>
  </si>
  <si>
    <t>JOB-2774</t>
  </si>
  <si>
    <t>JOB-2775</t>
  </si>
  <si>
    <t>JOB-2776</t>
  </si>
  <si>
    <t>JOB-2777</t>
  </si>
  <si>
    <t>JOB-2778</t>
  </si>
  <si>
    <t>JOB-2779</t>
  </si>
  <si>
    <t>JOB-2780</t>
  </si>
  <si>
    <t>JOB-2781</t>
  </si>
  <si>
    <t>JOB-2782</t>
  </si>
  <si>
    <t>JOB-2783</t>
  </si>
  <si>
    <t>JOB-2784</t>
  </si>
  <si>
    <t>JOB-2785</t>
  </si>
  <si>
    <t>JOB-2786</t>
  </si>
  <si>
    <t>JOB-2787</t>
  </si>
  <si>
    <t>JOB-2788</t>
  </si>
  <si>
    <t>JOB-2789</t>
  </si>
  <si>
    <t>JOB-2790</t>
  </si>
  <si>
    <t>JOB-2791</t>
  </si>
  <si>
    <t>JOB-2792</t>
  </si>
  <si>
    <t>JOB-2793</t>
  </si>
  <si>
    <t>JOB-2794</t>
  </si>
  <si>
    <t>JOB-2795</t>
  </si>
  <si>
    <t>JOB-2796</t>
  </si>
  <si>
    <t>JOB-2797</t>
  </si>
  <si>
    <t>JOB-2798</t>
  </si>
  <si>
    <t>JOB-2799</t>
  </si>
  <si>
    <t>JOB-2800</t>
  </si>
  <si>
    <t>JOB-2801</t>
  </si>
  <si>
    <t>JOB-2802</t>
  </si>
  <si>
    <t>JOB-2803</t>
  </si>
  <si>
    <t>JOB-2804</t>
  </si>
  <si>
    <t>JOB-2805</t>
  </si>
  <si>
    <t>JOB-2806</t>
  </si>
  <si>
    <t>JOB-2807</t>
  </si>
  <si>
    <t>JOB-2808</t>
  </si>
  <si>
    <t>JOB-2809</t>
  </si>
  <si>
    <t>JOB-2810</t>
  </si>
  <si>
    <t>JOB-2811</t>
  </si>
  <si>
    <t>JOB-2812</t>
  </si>
  <si>
    <t>JOB-2813</t>
  </si>
  <si>
    <t>JOB-2814</t>
  </si>
  <si>
    <t>JOB-2815</t>
  </si>
  <si>
    <t>JOB-2816</t>
  </si>
  <si>
    <t>JOB-2817</t>
  </si>
  <si>
    <t>JOB-2818</t>
  </si>
  <si>
    <t>JOB-2819</t>
  </si>
  <si>
    <t>JOB-2820</t>
  </si>
  <si>
    <t>JOB-2821</t>
  </si>
  <si>
    <t>JOB-2822</t>
  </si>
  <si>
    <t>JOB-2823</t>
  </si>
  <si>
    <t>JOB-2824</t>
  </si>
  <si>
    <t>JOB-2825</t>
  </si>
  <si>
    <t>JOB-2826</t>
  </si>
  <si>
    <t>JOB-2827</t>
  </si>
  <si>
    <t>JOB-2828</t>
  </si>
  <si>
    <t>JOB-2829</t>
  </si>
  <si>
    <t>JOB-2830</t>
  </si>
  <si>
    <t>JOB-2831</t>
  </si>
  <si>
    <t>JOB-2832</t>
  </si>
  <si>
    <t>JOB-2833</t>
  </si>
  <si>
    <t>JOB-2834</t>
  </si>
  <si>
    <t>JOB-2835</t>
  </si>
  <si>
    <t>JOB-2836</t>
  </si>
  <si>
    <t>JOB-2837</t>
  </si>
  <si>
    <t>JOB-2838</t>
  </si>
  <si>
    <t>JOB-2839</t>
  </si>
  <si>
    <t>JOB-2840</t>
  </si>
  <si>
    <t>JOB-2841</t>
  </si>
  <si>
    <t>JOB-2842</t>
  </si>
  <si>
    <t>JOB-2843</t>
  </si>
  <si>
    <t>JOB-2844</t>
  </si>
  <si>
    <t>JOB-2845</t>
  </si>
  <si>
    <t>JOB-2846</t>
  </si>
  <si>
    <t>JOB-2847</t>
  </si>
  <si>
    <t>JOB-2848</t>
  </si>
  <si>
    <t>JOB-2849</t>
  </si>
  <si>
    <t>JOB-2850</t>
  </si>
  <si>
    <t>JOB-2851</t>
  </si>
  <si>
    <t>JOB-2852</t>
  </si>
  <si>
    <t>JOB-2853</t>
  </si>
  <si>
    <t>JOB-2854</t>
  </si>
  <si>
    <t>JOB-2855</t>
  </si>
  <si>
    <t>JOB-2856</t>
  </si>
  <si>
    <t>JOB-2857</t>
  </si>
  <si>
    <t>JOB-2858</t>
  </si>
  <si>
    <t>JOB-2859</t>
  </si>
  <si>
    <t>JOB-2860</t>
  </si>
  <si>
    <t>JOB-2861</t>
  </si>
  <si>
    <t>JOB-2862</t>
  </si>
  <si>
    <t>JOB-2863</t>
  </si>
  <si>
    <t>JOB-2864</t>
  </si>
  <si>
    <t>JOB-2865</t>
  </si>
  <si>
    <t>JOB-2866</t>
  </si>
  <si>
    <t>JOB-2867</t>
  </si>
  <si>
    <t>JOB-2868</t>
  </si>
  <si>
    <t>JOB-2869</t>
  </si>
  <si>
    <t>JOB-2870</t>
  </si>
  <si>
    <t>JOB-2871</t>
  </si>
  <si>
    <t>JOB-2872</t>
  </si>
  <si>
    <t>JOB-2873</t>
  </si>
  <si>
    <t>JOB-2874</t>
  </si>
  <si>
    <t>JOB-2875</t>
  </si>
  <si>
    <t>JOB-2876</t>
  </si>
  <si>
    <t>JOB-2877</t>
  </si>
  <si>
    <t>JOB-2878</t>
  </si>
  <si>
    <t>JOB-2879</t>
  </si>
  <si>
    <t>JOB-2880</t>
  </si>
  <si>
    <t>JOB-2881</t>
  </si>
  <si>
    <t>JOB-2882</t>
  </si>
  <si>
    <t>JOB-2883</t>
  </si>
  <si>
    <t>JOB-2884</t>
  </si>
  <si>
    <t>JOB-2885</t>
  </si>
  <si>
    <t>JOB-2886</t>
  </si>
  <si>
    <t>JOB-2887</t>
  </si>
  <si>
    <t>JOB-2888</t>
  </si>
  <si>
    <t>JOB-2889</t>
  </si>
  <si>
    <t>JOB-2890</t>
  </si>
  <si>
    <t>JOB-2891</t>
  </si>
  <si>
    <t>JOB-2892</t>
  </si>
  <si>
    <t>JOB-2893</t>
  </si>
  <si>
    <t>JOB-2894</t>
  </si>
  <si>
    <t>JOB-2895</t>
  </si>
  <si>
    <t>JOB-2896</t>
  </si>
  <si>
    <t>JOB-2897</t>
  </si>
  <si>
    <t>JOB-2898</t>
  </si>
  <si>
    <t>JOB-2899</t>
  </si>
  <si>
    <t>JOB-2900</t>
  </si>
  <si>
    <t>JOB-2901</t>
  </si>
  <si>
    <t>JOB-2902</t>
  </si>
  <si>
    <t>JOB-2903</t>
  </si>
  <si>
    <t>JOB-2904</t>
  </si>
  <si>
    <t>JOB-2905</t>
  </si>
  <si>
    <t>JOB-2906</t>
  </si>
  <si>
    <t>JOB-2907</t>
  </si>
  <si>
    <t>JOB-2908</t>
  </si>
  <si>
    <t>JOB-2909</t>
  </si>
  <si>
    <t>JOB-2910</t>
  </si>
  <si>
    <t>JOB-2911</t>
  </si>
  <si>
    <t>JOB-2912</t>
  </si>
  <si>
    <t>JOB-2913</t>
  </si>
  <si>
    <t>JOB-2914</t>
  </si>
  <si>
    <t>JOB-2915</t>
  </si>
  <si>
    <t>JOB-2916</t>
  </si>
  <si>
    <t>JOB-2917</t>
  </si>
  <si>
    <t>JOB-2918</t>
  </si>
  <si>
    <t>JOB-2919</t>
  </si>
  <si>
    <t>JOB-2920</t>
  </si>
  <si>
    <t>JOB-2921</t>
  </si>
  <si>
    <t>JOB-2922</t>
  </si>
  <si>
    <t>JOB-2923</t>
  </si>
  <si>
    <t>JOB-2924</t>
  </si>
  <si>
    <t>JOB-2925</t>
  </si>
  <si>
    <t>JOB-2926</t>
  </si>
  <si>
    <t>JOB-2927</t>
  </si>
  <si>
    <t>JOB-2928</t>
  </si>
  <si>
    <t>JOB-2929</t>
  </si>
  <si>
    <t>JOB-2930</t>
  </si>
  <si>
    <t>JOB-2931</t>
  </si>
  <si>
    <t>JOB-2932</t>
  </si>
  <si>
    <t>JOB-2933</t>
  </si>
  <si>
    <t>JOB-2934</t>
  </si>
  <si>
    <t>JOB-2935</t>
  </si>
  <si>
    <t>JOB-2936</t>
  </si>
  <si>
    <t>JOB-2937</t>
  </si>
  <si>
    <t>JOB-2938</t>
  </si>
  <si>
    <t>JOB-2939</t>
  </si>
  <si>
    <t>JOB-2940</t>
  </si>
  <si>
    <t>JOB-2941</t>
  </si>
  <si>
    <t>JOB-2942</t>
  </si>
  <si>
    <t>JOB-2943</t>
  </si>
  <si>
    <t>JOB-2944</t>
  </si>
  <si>
    <t>JOB-2945</t>
  </si>
  <si>
    <t>JOB-2946</t>
  </si>
  <si>
    <t>JOB-2947</t>
  </si>
  <si>
    <t>JOB-2948</t>
  </si>
  <si>
    <t>JOB-2949</t>
  </si>
  <si>
    <t>JOB-2950</t>
  </si>
  <si>
    <t>JOB-2951</t>
  </si>
  <si>
    <t>JOB-2952</t>
  </si>
  <si>
    <t>JOB-2953</t>
  </si>
  <si>
    <t>JOB-2954</t>
  </si>
  <si>
    <t>JOB-2955</t>
  </si>
  <si>
    <t>JOB-2956</t>
  </si>
  <si>
    <t>JOB-2957</t>
  </si>
  <si>
    <t>JOB-2958</t>
  </si>
  <si>
    <t>JOB-2959</t>
  </si>
  <si>
    <t>JOB-2960</t>
  </si>
  <si>
    <t>JOB-2961</t>
  </si>
  <si>
    <t>JOB-2962</t>
  </si>
  <si>
    <t>JOB-2963</t>
  </si>
  <si>
    <t>JOB-2964</t>
  </si>
  <si>
    <t>JOB-2965</t>
  </si>
  <si>
    <t>JOB-2966</t>
  </si>
  <si>
    <t>JOB-2967</t>
  </si>
  <si>
    <t>JOB-2968</t>
  </si>
  <si>
    <t>JOB-2969</t>
  </si>
  <si>
    <t>JOB-2970</t>
  </si>
  <si>
    <t>JOB-2971</t>
  </si>
  <si>
    <t>JOB-2972</t>
  </si>
  <si>
    <t>JOB-2973</t>
  </si>
  <si>
    <t>JOB-2974</t>
  </si>
  <si>
    <t>JOB-2975</t>
  </si>
  <si>
    <t>JOB-2976</t>
  </si>
  <si>
    <t>JOB-2977</t>
  </si>
  <si>
    <t>JOB-2978</t>
  </si>
  <si>
    <t>JOB-2979</t>
  </si>
  <si>
    <t>JOB-2980</t>
  </si>
  <si>
    <t>JOB-2981</t>
  </si>
  <si>
    <t>JOB-2982</t>
  </si>
  <si>
    <t>JOB-2983</t>
  </si>
  <si>
    <t>JOB-2984</t>
  </si>
  <si>
    <t>JOB-2985</t>
  </si>
  <si>
    <t>JOB-2986</t>
  </si>
  <si>
    <t>JOB-2987</t>
  </si>
  <si>
    <t>JOB-2988</t>
  </si>
  <si>
    <t>JOB-2989</t>
  </si>
  <si>
    <t>JOB-2990</t>
  </si>
  <si>
    <t>JOB-2991</t>
  </si>
  <si>
    <t>JOB-2992</t>
  </si>
  <si>
    <t>JOB-2993</t>
  </si>
  <si>
    <t>JOB-2994</t>
  </si>
  <si>
    <t>JOB-2995</t>
  </si>
  <si>
    <t>JOB-2996</t>
  </si>
  <si>
    <t>JOB-2997</t>
  </si>
  <si>
    <t>JOB-2998</t>
  </si>
  <si>
    <t>JOB-2999</t>
  </si>
  <si>
    <t>JOB-3000</t>
  </si>
  <si>
    <t>JOB-3001</t>
  </si>
  <si>
    <t>JOB-3002</t>
  </si>
  <si>
    <t>JOB-3003</t>
  </si>
  <si>
    <t>JOB-3004</t>
  </si>
  <si>
    <t>JOB-3005</t>
  </si>
  <si>
    <t>JOB-3006</t>
  </si>
  <si>
    <t>JOB-3007</t>
  </si>
  <si>
    <t>JOB-3008</t>
  </si>
  <si>
    <t>JOB-3009</t>
  </si>
  <si>
    <t>JOB-3010</t>
  </si>
  <si>
    <t>JOB-3011</t>
  </si>
  <si>
    <t>JOB-3012</t>
  </si>
  <si>
    <t>JOB-3013</t>
  </si>
  <si>
    <t>JOB-3014</t>
  </si>
  <si>
    <t>JOB-3015</t>
  </si>
  <si>
    <t>JOB-3016</t>
  </si>
  <si>
    <t>JOB-3017</t>
  </si>
  <si>
    <t>JOB-3018</t>
  </si>
  <si>
    <t>JOB-3019</t>
  </si>
  <si>
    <t>JOB-3020</t>
  </si>
  <si>
    <t>JOB-3021</t>
  </si>
  <si>
    <t>JOB-3022</t>
  </si>
  <si>
    <t>JOB-3023</t>
  </si>
  <si>
    <t>JOB-3024</t>
  </si>
  <si>
    <t>JOB-3025</t>
  </si>
  <si>
    <t>JOB-3026</t>
  </si>
  <si>
    <t>JOB-3027</t>
  </si>
  <si>
    <t>JOB-3028</t>
  </si>
  <si>
    <t>JOB-3029</t>
  </si>
  <si>
    <t>JOB-3030</t>
  </si>
  <si>
    <t>JOB-3031</t>
  </si>
  <si>
    <t>JOB-3032</t>
  </si>
  <si>
    <t>JOB-3033</t>
  </si>
  <si>
    <t>JOB-3034</t>
  </si>
  <si>
    <t>JOB-3035</t>
  </si>
  <si>
    <t>JOB-3036</t>
  </si>
  <si>
    <t>JOB-3037</t>
  </si>
  <si>
    <t>JOB-3038</t>
  </si>
  <si>
    <t>JOB-3039</t>
  </si>
  <si>
    <t>JOB-3040</t>
  </si>
  <si>
    <t>JOB-3041</t>
  </si>
  <si>
    <t>JOB-3042</t>
  </si>
  <si>
    <t>JOB-3043</t>
  </si>
  <si>
    <t>JOB-3044</t>
  </si>
  <si>
    <t>JOB-3045</t>
  </si>
  <si>
    <t>JOB-3046</t>
  </si>
  <si>
    <t>JOB-3047</t>
  </si>
  <si>
    <t>JOB-3048</t>
  </si>
  <si>
    <t>JOB-3049</t>
  </si>
  <si>
    <t>JOB-3050</t>
  </si>
  <si>
    <t>JOB-3051</t>
  </si>
  <si>
    <t>JOB-3052</t>
  </si>
  <si>
    <t>JOB-3053</t>
  </si>
  <si>
    <t>JOB-3054</t>
  </si>
  <si>
    <t>JOB-3055</t>
  </si>
  <si>
    <t>JOB-3056</t>
  </si>
  <si>
    <t>JOB-3057</t>
  </si>
  <si>
    <t>JOB-3058</t>
  </si>
  <si>
    <t>JOB-3059</t>
  </si>
  <si>
    <t>JOB-3060</t>
  </si>
  <si>
    <t>JOB-3061</t>
  </si>
  <si>
    <t>JOB-3062</t>
  </si>
  <si>
    <t>JOB-3063</t>
  </si>
  <si>
    <t>JOB-3064</t>
  </si>
  <si>
    <t>JOB-3065</t>
  </si>
  <si>
    <t>JOB-3066</t>
  </si>
  <si>
    <t>JOB-3067</t>
  </si>
  <si>
    <t>JOB-3068</t>
  </si>
  <si>
    <t>JOB-3069</t>
  </si>
  <si>
    <t>JOB-3070</t>
  </si>
  <si>
    <t>JOB-3071</t>
  </si>
  <si>
    <t>JOB-3072</t>
  </si>
  <si>
    <t>JOB-3073</t>
  </si>
  <si>
    <t>JOB-3074</t>
  </si>
  <si>
    <t>JOB-3075</t>
  </si>
  <si>
    <t>JOB-3076</t>
  </si>
  <si>
    <t>JOB-3077</t>
  </si>
  <si>
    <t>JOB-3078</t>
  </si>
  <si>
    <t>JOB-3079</t>
  </si>
  <si>
    <t>JOB-3080</t>
  </si>
  <si>
    <t>JOB-3081</t>
  </si>
  <si>
    <t>JOB-3082</t>
  </si>
  <si>
    <t>JOB-3083</t>
  </si>
  <si>
    <t>JOB-3084</t>
  </si>
  <si>
    <t>JOB-3085</t>
  </si>
  <si>
    <t>JOB-3086</t>
  </si>
  <si>
    <t>JOB-3087</t>
  </si>
  <si>
    <t>JOB-3088</t>
  </si>
  <si>
    <t>JOB-3089</t>
  </si>
  <si>
    <t>JOB-3090</t>
  </si>
  <si>
    <t>JOB-3091</t>
  </si>
  <si>
    <t>JOB-3092</t>
  </si>
  <si>
    <t>JOB-3093</t>
  </si>
  <si>
    <t>JOB-3094</t>
  </si>
  <si>
    <t>JOB-3095</t>
  </si>
  <si>
    <t>JOB-3096</t>
  </si>
  <si>
    <t>JOB-3097</t>
  </si>
  <si>
    <t>JOB-3098</t>
  </si>
  <si>
    <t>JOB-3099</t>
  </si>
  <si>
    <t>JOB-3100</t>
  </si>
  <si>
    <t>JOB-3101</t>
  </si>
  <si>
    <t>JOB-3102</t>
  </si>
  <si>
    <t>JOB-3103</t>
  </si>
  <si>
    <t>JOB-3104</t>
  </si>
  <si>
    <t>JOB-3105</t>
  </si>
  <si>
    <t>JOB-3106</t>
  </si>
  <si>
    <t>JOB-3107</t>
  </si>
  <si>
    <t>JOB-3108</t>
  </si>
  <si>
    <t>JOB-3109</t>
  </si>
  <si>
    <t>JOB-3110</t>
  </si>
  <si>
    <t>JOB-3111</t>
  </si>
  <si>
    <t>JOB-3112</t>
  </si>
  <si>
    <t>JOB-3113</t>
  </si>
  <si>
    <t>JOB-3114</t>
  </si>
  <si>
    <t>JOB-3115</t>
  </si>
  <si>
    <t>JOB-3116</t>
  </si>
  <si>
    <t>JOB-3117</t>
  </si>
  <si>
    <t>JOB-3118</t>
  </si>
  <si>
    <t>JOB-3119</t>
  </si>
  <si>
    <t>JOB-3120</t>
  </si>
  <si>
    <t>JOB-3121</t>
  </si>
  <si>
    <t>JOB-3122</t>
  </si>
  <si>
    <t>JOB-3123</t>
  </si>
  <si>
    <t>JOB-3124</t>
  </si>
  <si>
    <t>JOB-3125</t>
  </si>
  <si>
    <t>JOB-3126</t>
  </si>
  <si>
    <t>JOB-3127</t>
  </si>
  <si>
    <t>JOB-3128</t>
  </si>
  <si>
    <t>JOB-3129</t>
  </si>
  <si>
    <t>JOB-3130</t>
  </si>
  <si>
    <t>JOB-3131</t>
  </si>
  <si>
    <t>JOB-3132</t>
  </si>
  <si>
    <t>JOB-3133</t>
  </si>
  <si>
    <t>JOB-3134</t>
  </si>
  <si>
    <t>JOB-3135</t>
  </si>
  <si>
    <t>JOB-3136</t>
  </si>
  <si>
    <t>JOB-3137</t>
  </si>
  <si>
    <t>JOB-3138</t>
  </si>
  <si>
    <t>JOB-3139</t>
  </si>
  <si>
    <t>JOB-3140</t>
  </si>
  <si>
    <t>JOB-3141</t>
  </si>
  <si>
    <t>JOB-3142</t>
  </si>
  <si>
    <t>JOB-3143</t>
  </si>
  <si>
    <t>JOB-3144</t>
  </si>
  <si>
    <t>JOB-3145</t>
  </si>
  <si>
    <t>JOB-3146</t>
  </si>
  <si>
    <t>JOB-3147</t>
  </si>
  <si>
    <t>JOB-3148</t>
  </si>
  <si>
    <t>JOB-3149</t>
  </si>
  <si>
    <t>JOB-3150</t>
  </si>
  <si>
    <t>JOB-3151</t>
  </si>
  <si>
    <t>JOB-3152</t>
  </si>
  <si>
    <t>JOB-3153</t>
  </si>
  <si>
    <t>JOB-3154</t>
  </si>
  <si>
    <t>JOB-3155</t>
  </si>
  <si>
    <t>JOB-3156</t>
  </si>
  <si>
    <t>JOB-3157</t>
  </si>
  <si>
    <t>JOB-3158</t>
  </si>
  <si>
    <t>JOB-3159</t>
  </si>
  <si>
    <t>JOB-3160</t>
  </si>
  <si>
    <t>JOB-3161</t>
  </si>
  <si>
    <t>JOB-3162</t>
  </si>
  <si>
    <t>JOB-3163</t>
  </si>
  <si>
    <t>JOB-3164</t>
  </si>
  <si>
    <t>JOB-3165</t>
  </si>
  <si>
    <t>JOB-3166</t>
  </si>
  <si>
    <t>JOB-3167</t>
  </si>
  <si>
    <t>JOB-3168</t>
  </si>
  <si>
    <t>JOB-3169</t>
  </si>
  <si>
    <t>JOB-3170</t>
  </si>
  <si>
    <t>JOB-3171</t>
  </si>
  <si>
    <t>JOB-3172</t>
  </si>
  <si>
    <t>JOB-3173</t>
  </si>
  <si>
    <t>JOB-3174</t>
  </si>
  <si>
    <t>JOB-3175</t>
  </si>
  <si>
    <t>JOB-3176</t>
  </si>
  <si>
    <t>JOB-3177</t>
  </si>
  <si>
    <t>JOB-3178</t>
  </si>
  <si>
    <t>JOB-3179</t>
  </si>
  <si>
    <t>JOB-3180</t>
  </si>
  <si>
    <t>JOB-3181</t>
  </si>
  <si>
    <t>JOB-3182</t>
  </si>
  <si>
    <t>JOB-3183</t>
  </si>
  <si>
    <t>JOB-3184</t>
  </si>
  <si>
    <t>JOB-3185</t>
  </si>
  <si>
    <t>JOB-3186</t>
  </si>
  <si>
    <t>JOB-3187</t>
  </si>
  <si>
    <t>JOB-3188</t>
  </si>
  <si>
    <t>JOB-3189</t>
  </si>
  <si>
    <t>JOB-3190</t>
  </si>
  <si>
    <t>JOB-3191</t>
  </si>
  <si>
    <t>JOB-3192</t>
  </si>
  <si>
    <t>JOB-3193</t>
  </si>
  <si>
    <t>JOB-3194</t>
  </si>
  <si>
    <t>JOB-3195</t>
  </si>
  <si>
    <t>JOB-3196</t>
  </si>
  <si>
    <t>JOB-3197</t>
  </si>
  <si>
    <t>JOB-3198</t>
  </si>
  <si>
    <t>JOB-3199</t>
  </si>
  <si>
    <t>JOB-3200</t>
  </si>
  <si>
    <t>JOB-3201</t>
  </si>
  <si>
    <t>JOB-3202</t>
  </si>
  <si>
    <t>JOB-3203</t>
  </si>
  <si>
    <t>JOB-3204</t>
  </si>
  <si>
    <t>JOB-3205</t>
  </si>
  <si>
    <t>JOB-3206</t>
  </si>
  <si>
    <t>JOB-3207</t>
  </si>
  <si>
    <t>JOB-3208</t>
  </si>
  <si>
    <t>JOB-3209</t>
  </si>
  <si>
    <t>JOB-3210</t>
  </si>
  <si>
    <t>JOB-3211</t>
  </si>
  <si>
    <t>JOB-3212</t>
  </si>
  <si>
    <t>JOB-3213</t>
  </si>
  <si>
    <t>JOB-3214</t>
  </si>
  <si>
    <t>JOB-3215</t>
  </si>
  <si>
    <t>JOB-3216</t>
  </si>
  <si>
    <t>JOB-3217</t>
  </si>
  <si>
    <t>JOB-3218</t>
  </si>
  <si>
    <t>JOB-3219</t>
  </si>
  <si>
    <t>JOB-3220</t>
  </si>
  <si>
    <t>JOB-3221</t>
  </si>
  <si>
    <t>JOB-3222</t>
  </si>
  <si>
    <t>JOB-3223</t>
  </si>
  <si>
    <t>JOB-3224</t>
  </si>
  <si>
    <t>JOB-3225</t>
  </si>
  <si>
    <t>JOB-3226</t>
  </si>
  <si>
    <t>JOB-3227</t>
  </si>
  <si>
    <t>JOB-3228</t>
  </si>
  <si>
    <t>JOB-3229</t>
  </si>
  <si>
    <t>JOB-3230</t>
  </si>
  <si>
    <t>JOB-3231</t>
  </si>
  <si>
    <t>JOB-3232</t>
  </si>
  <si>
    <t>JOB-3233</t>
  </si>
  <si>
    <t>JOB-3234</t>
  </si>
  <si>
    <t>JOB-3235</t>
  </si>
  <si>
    <t>JOB-3236</t>
  </si>
  <si>
    <t>JOB-3237</t>
  </si>
  <si>
    <t>JOB-3238</t>
  </si>
  <si>
    <t>JOB-3239</t>
  </si>
  <si>
    <t>JOB-3240</t>
  </si>
  <si>
    <t>JOB-3241</t>
  </si>
  <si>
    <t>JOB-3242</t>
  </si>
  <si>
    <t>JOB-3243</t>
  </si>
  <si>
    <t>JOB-3244</t>
  </si>
  <si>
    <t>JOB-3245</t>
  </si>
  <si>
    <t>JOB-3246</t>
  </si>
  <si>
    <t>JOB-3247</t>
  </si>
  <si>
    <t>JOB-3248</t>
  </si>
  <si>
    <t>JOB-3249</t>
  </si>
  <si>
    <t>JOB-3250</t>
  </si>
  <si>
    <t>JOB-3251</t>
  </si>
  <si>
    <t>JOB-3252</t>
  </si>
  <si>
    <t>JOB-3253</t>
  </si>
  <si>
    <t>JOB-3254</t>
  </si>
  <si>
    <t>JOB-3255</t>
  </si>
  <si>
    <t>JOB-3256</t>
  </si>
  <si>
    <t>JOB-3257</t>
  </si>
  <si>
    <t>JOB-3258</t>
  </si>
  <si>
    <t>JOB-3259</t>
  </si>
  <si>
    <t>JOB-3260</t>
  </si>
  <si>
    <t>JOB-3261</t>
  </si>
  <si>
    <t>JOB-3262</t>
  </si>
  <si>
    <t>JOB-3263</t>
  </si>
  <si>
    <t>JOB-3264</t>
  </si>
  <si>
    <t>JOB-3265</t>
  </si>
  <si>
    <t>JOB-3266</t>
  </si>
  <si>
    <t>JOB-3267</t>
  </si>
  <si>
    <t>JOB-3268</t>
  </si>
  <si>
    <t>JOB-3269</t>
  </si>
  <si>
    <t>JOB-3270</t>
  </si>
  <si>
    <t>JOB-3271</t>
  </si>
  <si>
    <t>JOB-3272</t>
  </si>
  <si>
    <t>JOB-3273</t>
  </si>
  <si>
    <t>JOB-3274</t>
  </si>
  <si>
    <t>JOB-3275</t>
  </si>
  <si>
    <t>JOB-3276</t>
  </si>
  <si>
    <t>JOB-3277</t>
  </si>
  <si>
    <t>JOB-3278</t>
  </si>
  <si>
    <t>JOB-3279</t>
  </si>
  <si>
    <t>JOB-3280</t>
  </si>
  <si>
    <t>JOB-3281</t>
  </si>
  <si>
    <t>JOB-3282</t>
  </si>
  <si>
    <t>JOB-3283</t>
  </si>
  <si>
    <t>JOB-3284</t>
  </si>
  <si>
    <t>JOB-3285</t>
  </si>
  <si>
    <t>JOB-3286</t>
  </si>
  <si>
    <t>JOB-3287</t>
  </si>
  <si>
    <t>JOB-3288</t>
  </si>
  <si>
    <t>JOB-3289</t>
  </si>
  <si>
    <t>JOB-3290</t>
  </si>
  <si>
    <t>JOB-3291</t>
  </si>
  <si>
    <t>JOB-3292</t>
  </si>
  <si>
    <t>JOB-3293</t>
  </si>
  <si>
    <t>JOB-3294</t>
  </si>
  <si>
    <t>JOB-3295</t>
  </si>
  <si>
    <t>JOB-3296</t>
  </si>
  <si>
    <t>JOB-3297</t>
  </si>
  <si>
    <t>JOB-3298</t>
  </si>
  <si>
    <t>JOB-3299</t>
  </si>
  <si>
    <t>JOB-3300</t>
  </si>
  <si>
    <t>JOB-3301</t>
  </si>
  <si>
    <t>JOB-3302</t>
  </si>
  <si>
    <t>JOB-3303</t>
  </si>
  <si>
    <t>JOB-3304</t>
  </si>
  <si>
    <t>JOB-3305</t>
  </si>
  <si>
    <t>JOB-3306</t>
  </si>
  <si>
    <t>JOB-3307</t>
  </si>
  <si>
    <t>JOB-3308</t>
  </si>
  <si>
    <t>JOB-3309</t>
  </si>
  <si>
    <t>JOB-3310</t>
  </si>
  <si>
    <t>JOB-3311</t>
  </si>
  <si>
    <t>JOB-3312</t>
  </si>
  <si>
    <t>JOB-3313</t>
  </si>
  <si>
    <t>JOB-3314</t>
  </si>
  <si>
    <t>JOB-3315</t>
  </si>
  <si>
    <t>JOB-3316</t>
  </si>
  <si>
    <t>JOB-3317</t>
  </si>
  <si>
    <t>JOB-3318</t>
  </si>
  <si>
    <t>JOB-3319</t>
  </si>
  <si>
    <t>JOB-3320</t>
  </si>
  <si>
    <t>JOB-3321</t>
  </si>
  <si>
    <t>JOB-3322</t>
  </si>
  <si>
    <t>JOB-3323</t>
  </si>
  <si>
    <t>JOB-3324</t>
  </si>
  <si>
    <t>JOB-3325</t>
  </si>
  <si>
    <t>JOB-3326</t>
  </si>
  <si>
    <t>JOB-3327</t>
  </si>
  <si>
    <t>JOB-3328</t>
  </si>
  <si>
    <t>JOB-3329</t>
  </si>
  <si>
    <t>JOB-3330</t>
  </si>
  <si>
    <t>JOB-3331</t>
  </si>
  <si>
    <t>JOB-3332</t>
  </si>
  <si>
    <t>JOB-3333</t>
  </si>
  <si>
    <t>JOB-3334</t>
  </si>
  <si>
    <t>JOB-3335</t>
  </si>
  <si>
    <t>JOB-3336</t>
  </si>
  <si>
    <t>JOB-3337</t>
  </si>
  <si>
    <t>JOB-3338</t>
  </si>
  <si>
    <t>JOB-3339</t>
  </si>
  <si>
    <t>JOB-3340</t>
  </si>
  <si>
    <t>JOB-3341</t>
  </si>
  <si>
    <t>JOB-3342</t>
  </si>
  <si>
    <t>JOB-3343</t>
  </si>
  <si>
    <t>JOB-3344</t>
  </si>
  <si>
    <t>JOB-3345</t>
  </si>
  <si>
    <t>JOB-3346</t>
  </si>
  <si>
    <t>JOB-3347</t>
  </si>
  <si>
    <t>JOB-3348</t>
  </si>
  <si>
    <t>JOB-3349</t>
  </si>
  <si>
    <t>JOB-3350</t>
  </si>
  <si>
    <t>JOB-3351</t>
  </si>
  <si>
    <t>JOB-3352</t>
  </si>
  <si>
    <t>JOB-3353</t>
  </si>
  <si>
    <t>JOB-3354</t>
  </si>
  <si>
    <t>JOB-3355</t>
  </si>
  <si>
    <t>JOB-3356</t>
  </si>
  <si>
    <t>JOB-3357</t>
  </si>
  <si>
    <t>JOB-3358</t>
  </si>
  <si>
    <t>JOB-3359</t>
  </si>
  <si>
    <t>JOB-3360</t>
  </si>
  <si>
    <t>JOB-3361</t>
  </si>
  <si>
    <t>JOB-3362</t>
  </si>
  <si>
    <t>JOB-3363</t>
  </si>
  <si>
    <t>JOB-3364</t>
  </si>
  <si>
    <t>JOB-3365</t>
  </si>
  <si>
    <t>JOB-3366</t>
  </si>
  <si>
    <t>JOB-3367</t>
  </si>
  <si>
    <t>JOB-3368</t>
  </si>
  <si>
    <t>JOB-3369</t>
  </si>
  <si>
    <t>JOB-3370</t>
  </si>
  <si>
    <t>JOB-3371</t>
  </si>
  <si>
    <t>JOB-3372</t>
  </si>
  <si>
    <t>JOB-3373</t>
  </si>
  <si>
    <t>JOB-3374</t>
  </si>
  <si>
    <t>JOB-3375</t>
  </si>
  <si>
    <t>JOB-3376</t>
  </si>
  <si>
    <t>JOB-3377</t>
  </si>
  <si>
    <t>JOB-3378</t>
  </si>
  <si>
    <t>JOB-3379</t>
  </si>
  <si>
    <t>JOB-3380</t>
  </si>
  <si>
    <t>JOB-3381</t>
  </si>
  <si>
    <t>JOB-3382</t>
  </si>
  <si>
    <t>JOB-3383</t>
  </si>
  <si>
    <t>JOB-3384</t>
  </si>
  <si>
    <t>JOB-3385</t>
  </si>
  <si>
    <t>JOB-3386</t>
  </si>
  <si>
    <t>JOB-3387</t>
  </si>
  <si>
    <t>JOB-3388</t>
  </si>
  <si>
    <t>JOB-3389</t>
  </si>
  <si>
    <t>JOB-3390</t>
  </si>
  <si>
    <t>JOB-3391</t>
  </si>
  <si>
    <t>JOB-3392</t>
  </si>
  <si>
    <t>JOB-3393</t>
  </si>
  <si>
    <t>JOB-3394</t>
  </si>
  <si>
    <t>JOB-3395</t>
  </si>
  <si>
    <t>JOB-3396</t>
  </si>
  <si>
    <t>JOB-3397</t>
  </si>
  <si>
    <t>JOB-3398</t>
  </si>
  <si>
    <t>JOB-3399</t>
  </si>
  <si>
    <t>JOB-3400</t>
  </si>
  <si>
    <t>JOB-3401</t>
  </si>
  <si>
    <t>JOB-3402</t>
  </si>
  <si>
    <t>JOB-3403</t>
  </si>
  <si>
    <t>JOB-3404</t>
  </si>
  <si>
    <t>JOB-3405</t>
  </si>
  <si>
    <t>JOB-3406</t>
  </si>
  <si>
    <t>JOB-3407</t>
  </si>
  <si>
    <t>JOB-3408</t>
  </si>
  <si>
    <t>JOB-3409</t>
  </si>
  <si>
    <t>JOB-3410</t>
  </si>
  <si>
    <t>JOB-3411</t>
  </si>
  <si>
    <t>JOB-3412</t>
  </si>
  <si>
    <t>JOB-3413</t>
  </si>
  <si>
    <t>JOB-3414</t>
  </si>
  <si>
    <t>JOB-3415</t>
  </si>
  <si>
    <t>JOB-3416</t>
  </si>
  <si>
    <t>JOB-3417</t>
  </si>
  <si>
    <t>JOB-3418</t>
  </si>
  <si>
    <t>JOB-3419</t>
  </si>
  <si>
    <t>JOB-3420</t>
  </si>
  <si>
    <t>JOB-3421</t>
  </si>
  <si>
    <t>JOB-3422</t>
  </si>
  <si>
    <t>JOB-3423</t>
  </si>
  <si>
    <t>JOB-3424</t>
  </si>
  <si>
    <t>JOB-3425</t>
  </si>
  <si>
    <t>JOB-3426</t>
  </si>
  <si>
    <t>JOB-3427</t>
  </si>
  <si>
    <t>JOB-3428</t>
  </si>
  <si>
    <t>JOB-3429</t>
  </si>
  <si>
    <t>JOB-3430</t>
  </si>
  <si>
    <t>JOB-3431</t>
  </si>
  <si>
    <t>JOB-3432</t>
  </si>
  <si>
    <t>JOB-3433</t>
  </si>
  <si>
    <t>JOB-3434</t>
  </si>
  <si>
    <t>JOB-3435</t>
  </si>
  <si>
    <t>JOB-3436</t>
  </si>
  <si>
    <t>JOB-3437</t>
  </si>
  <si>
    <t>JOB-3438</t>
  </si>
  <si>
    <t>JOB-3439</t>
  </si>
  <si>
    <t>JOB-3440</t>
  </si>
  <si>
    <t>JOB-3441</t>
  </si>
  <si>
    <t>JOB-3442</t>
  </si>
  <si>
    <t>JOB-3443</t>
  </si>
  <si>
    <t>JOB-3444</t>
  </si>
  <si>
    <t>JOB-3445</t>
  </si>
  <si>
    <t>JOB-3446</t>
  </si>
  <si>
    <t>JOB-3447</t>
  </si>
  <si>
    <t>JOB-3448</t>
  </si>
  <si>
    <t>JOB-3449</t>
  </si>
  <si>
    <t>JOB-3450</t>
  </si>
  <si>
    <t>JOB-3451</t>
  </si>
  <si>
    <t>JOB-3452</t>
  </si>
  <si>
    <t>JOB-3453</t>
  </si>
  <si>
    <t>JOB-3454</t>
  </si>
  <si>
    <t>JOB-3455</t>
  </si>
  <si>
    <t>JOB-3456</t>
  </si>
  <si>
    <t>JOB-3457</t>
  </si>
  <si>
    <t>JOB-3458</t>
  </si>
  <si>
    <t>JOB-3459</t>
  </si>
  <si>
    <t>JOB-3460</t>
  </si>
  <si>
    <t>JOB-3461</t>
  </si>
  <si>
    <t>JOB-3462</t>
  </si>
  <si>
    <t>JOB-3463</t>
  </si>
  <si>
    <t>JOB-3464</t>
  </si>
  <si>
    <t>JOB-3465</t>
  </si>
  <si>
    <t>JOB-3466</t>
  </si>
  <si>
    <t>JOB-3467</t>
  </si>
  <si>
    <t>JOB-3468</t>
  </si>
  <si>
    <t>JOB-3469</t>
  </si>
  <si>
    <t>JOB-3470</t>
  </si>
  <si>
    <t>JOB-3471</t>
  </si>
  <si>
    <t>JOB-3472</t>
  </si>
  <si>
    <t>JOB-3473</t>
  </si>
  <si>
    <t>JOB-3474</t>
  </si>
  <si>
    <t>JOB-3475</t>
  </si>
  <si>
    <t>JOB-3476</t>
  </si>
  <si>
    <t>JOB-3477</t>
  </si>
  <si>
    <t>JOB-3478</t>
  </si>
  <si>
    <t>JOB-3479</t>
  </si>
  <si>
    <t>JOB-3480</t>
  </si>
  <si>
    <t>JOB-3481</t>
  </si>
  <si>
    <t>JOB-3482</t>
  </si>
  <si>
    <t>JOB-3483</t>
  </si>
  <si>
    <t>JOB-3484</t>
  </si>
  <si>
    <t>JOB-3485</t>
  </si>
  <si>
    <t>JOB-3486</t>
  </si>
  <si>
    <t>JOB-3487</t>
  </si>
  <si>
    <t>JOB-3488</t>
  </si>
  <si>
    <t>JOB-3489</t>
  </si>
  <si>
    <t>JOB-3490</t>
  </si>
  <si>
    <t>JOB-3491</t>
  </si>
  <si>
    <t>JOB-3492</t>
  </si>
  <si>
    <t>JOB-3493</t>
  </si>
  <si>
    <t>JOB-3494</t>
  </si>
  <si>
    <t>JOB-3495</t>
  </si>
  <si>
    <t>JOB-3496</t>
  </si>
  <si>
    <t>JOB-3497</t>
  </si>
  <si>
    <t>JOB-3498</t>
  </si>
  <si>
    <t>JOB-3499</t>
  </si>
  <si>
    <t>JOB-3500</t>
  </si>
  <si>
    <t>JOB-3501</t>
  </si>
  <si>
    <t>JOB-3502</t>
  </si>
  <si>
    <t>JOB-3503</t>
  </si>
  <si>
    <t>JOB-3504</t>
  </si>
  <si>
    <t>JOB-3505</t>
  </si>
  <si>
    <t>JOB-3506</t>
  </si>
  <si>
    <t>JOB-3507</t>
  </si>
  <si>
    <t>JOB-3508</t>
  </si>
  <si>
    <t>JOB-3509</t>
  </si>
  <si>
    <t>JOB-3510</t>
  </si>
  <si>
    <t>JOB-3511</t>
  </si>
  <si>
    <t>JOB-3512</t>
  </si>
  <si>
    <t>JOB-3513</t>
  </si>
  <si>
    <t>JOB-3514</t>
  </si>
  <si>
    <t>JOB-3515</t>
  </si>
  <si>
    <t>JOB-3516</t>
  </si>
  <si>
    <t>JOB-3517</t>
  </si>
  <si>
    <t>JOB-3518</t>
  </si>
  <si>
    <t>JOB-3519</t>
  </si>
  <si>
    <t>JOB-3520</t>
  </si>
  <si>
    <t>JOB-3521</t>
  </si>
  <si>
    <t>JOB-3522</t>
  </si>
  <si>
    <t>JOB-3523</t>
  </si>
  <si>
    <t>JOB-3524</t>
  </si>
  <si>
    <t>JOB-3525</t>
  </si>
  <si>
    <t>JOB-3526</t>
  </si>
  <si>
    <t>JOB-3527</t>
  </si>
  <si>
    <t>JOB-3528</t>
  </si>
  <si>
    <t>JOB-3529</t>
  </si>
  <si>
    <t>JOB-3530</t>
  </si>
  <si>
    <t>JOB-3531</t>
  </si>
  <si>
    <t>JOB-3532</t>
  </si>
  <si>
    <t>JOB-3533</t>
  </si>
  <si>
    <t>JOB-3534</t>
  </si>
  <si>
    <t>JOB-3535</t>
  </si>
  <si>
    <t>JOB-3536</t>
  </si>
  <si>
    <t>JOB-3537</t>
  </si>
  <si>
    <t>JOB-3538</t>
  </si>
  <si>
    <t>JOB-3539</t>
  </si>
  <si>
    <t>JOB-3540</t>
  </si>
  <si>
    <t>JOB-3541</t>
  </si>
  <si>
    <t>JOB-3542</t>
  </si>
  <si>
    <t>JOB-3543</t>
  </si>
  <si>
    <t>JOB-3544</t>
  </si>
  <si>
    <t>JOB-3545</t>
  </si>
  <si>
    <t>JOB-3546</t>
  </si>
  <si>
    <t>JOB-3547</t>
  </si>
  <si>
    <t>JOB-3548</t>
  </si>
  <si>
    <t>JOB-3549</t>
  </si>
  <si>
    <t>JOB-3550</t>
  </si>
  <si>
    <t>JOB-3551</t>
  </si>
  <si>
    <t>JOB-3552</t>
  </si>
  <si>
    <t>JOB-3553</t>
  </si>
  <si>
    <t>JOB-3554</t>
  </si>
  <si>
    <t>JOB-3555</t>
  </si>
  <si>
    <t>JOB-3556</t>
  </si>
  <si>
    <t>JOB-3557</t>
  </si>
  <si>
    <t>JOB-3558</t>
  </si>
  <si>
    <t>JOB-3559</t>
  </si>
  <si>
    <t>JOB-3560</t>
  </si>
  <si>
    <t>JOB-3561</t>
  </si>
  <si>
    <t>JOB-3562</t>
  </si>
  <si>
    <t>JOB-3563</t>
  </si>
  <si>
    <t>JOB-3564</t>
  </si>
  <si>
    <t>JOB-3565</t>
  </si>
  <si>
    <t>JOB-3566</t>
  </si>
  <si>
    <t>JOB-3567</t>
  </si>
  <si>
    <t>JOB-3568</t>
  </si>
  <si>
    <t>JOB-3569</t>
  </si>
  <si>
    <t>JOB-3570</t>
  </si>
  <si>
    <t>JOB-3571</t>
  </si>
  <si>
    <t>JOB-3572</t>
  </si>
  <si>
    <t>JOB-3573</t>
  </si>
  <si>
    <t>JOB-3574</t>
  </si>
  <si>
    <t>JOB-3575</t>
  </si>
  <si>
    <t>JOB-3576</t>
  </si>
  <si>
    <t>JOB-3577</t>
  </si>
  <si>
    <t>JOB-3578</t>
  </si>
  <si>
    <t>JOB-3579</t>
  </si>
  <si>
    <t>JOB-3580</t>
  </si>
  <si>
    <t>JOB-3581</t>
  </si>
  <si>
    <t>JOB-3582</t>
  </si>
  <si>
    <t>JOB-3583</t>
  </si>
  <si>
    <t>JOB-3584</t>
  </si>
  <si>
    <t>JOB-3585</t>
  </si>
  <si>
    <t>JOB-3586</t>
  </si>
  <si>
    <t>JOB-3587</t>
  </si>
  <si>
    <t>JOB-3588</t>
  </si>
  <si>
    <t>JOB-3589</t>
  </si>
  <si>
    <t>JOB-3590</t>
  </si>
  <si>
    <t>JOB-3591</t>
  </si>
  <si>
    <t>JOB-3592</t>
  </si>
  <si>
    <t>JOB-3593</t>
  </si>
  <si>
    <t>JOB-3594</t>
  </si>
  <si>
    <t>JOB-3595</t>
  </si>
  <si>
    <t>JOB-3596</t>
  </si>
  <si>
    <t>JOB-3597</t>
  </si>
  <si>
    <t>JOB-3598</t>
  </si>
  <si>
    <t>JOB-3599</t>
  </si>
  <si>
    <t>JOB-3600</t>
  </si>
  <si>
    <t>JOB-3601</t>
  </si>
  <si>
    <t>JOB-3602</t>
  </si>
  <si>
    <t>JOB-3603</t>
  </si>
  <si>
    <t>JOB-3604</t>
  </si>
  <si>
    <t>JOB-3605</t>
  </si>
  <si>
    <t>JOB-3606</t>
  </si>
  <si>
    <t>JOB-3607</t>
  </si>
  <si>
    <t>JOB-3608</t>
  </si>
  <si>
    <t>JOB-3609</t>
  </si>
  <si>
    <t>JOB-3610</t>
  </si>
  <si>
    <t>JOB-3611</t>
  </si>
  <si>
    <t>JOB-3612</t>
  </si>
  <si>
    <t>JOB-3613</t>
  </si>
  <si>
    <t>JOB-3614</t>
  </si>
  <si>
    <t>JOB-3615</t>
  </si>
  <si>
    <t>JOB-3616</t>
  </si>
  <si>
    <t>JOB-3617</t>
  </si>
  <si>
    <t>JOB-3618</t>
  </si>
  <si>
    <t>JOB-3619</t>
  </si>
  <si>
    <t>JOB-3620</t>
  </si>
  <si>
    <t>JOB-3621</t>
  </si>
  <si>
    <t>JOB-3622</t>
  </si>
  <si>
    <t>JOB-3623</t>
  </si>
  <si>
    <t>JOB-3624</t>
  </si>
  <si>
    <t>JOB-3625</t>
  </si>
  <si>
    <t>JOB-3626</t>
  </si>
  <si>
    <t>JOB-3627</t>
  </si>
  <si>
    <t>JOB-3628</t>
  </si>
  <si>
    <t>JOB-3629</t>
  </si>
  <si>
    <t>JOB-3630</t>
  </si>
  <si>
    <t>JOB-3631</t>
  </si>
  <si>
    <t>JOB-3632</t>
  </si>
  <si>
    <t>JOB-3633</t>
  </si>
  <si>
    <t>JOB-3634</t>
  </si>
  <si>
    <t>JOB-3635</t>
  </si>
  <si>
    <t>JOB-3636</t>
  </si>
  <si>
    <t>JOB-3637</t>
  </si>
  <si>
    <t>JOB-3638</t>
  </si>
  <si>
    <t>JOB-3639</t>
  </si>
  <si>
    <t>JOB-3640</t>
  </si>
  <si>
    <t>JOB-3641</t>
  </si>
  <si>
    <t>JOB-3642</t>
  </si>
  <si>
    <t>JOB-3643</t>
  </si>
  <si>
    <t>JOB-3644</t>
  </si>
  <si>
    <t>JOB-3645</t>
  </si>
  <si>
    <t>JOB-3646</t>
  </si>
  <si>
    <t>JOB-3647</t>
  </si>
  <si>
    <t>JOB-3648</t>
  </si>
  <si>
    <t>JOB-3649</t>
  </si>
  <si>
    <t>JOB-3650</t>
  </si>
  <si>
    <t>JOB-3651</t>
  </si>
  <si>
    <t>JOB-3652</t>
  </si>
  <si>
    <t>JOB-3653</t>
  </si>
  <si>
    <t>JOB-3654</t>
  </si>
  <si>
    <t>JOB-3655</t>
  </si>
  <si>
    <t>JOB-3656</t>
  </si>
  <si>
    <t>JOB-3657</t>
  </si>
  <si>
    <t>JOB-3658</t>
  </si>
  <si>
    <t>JOB-3659</t>
  </si>
  <si>
    <t>JOB-3660</t>
  </si>
  <si>
    <t>JOB-3661</t>
  </si>
  <si>
    <t>JOB-3662</t>
  </si>
  <si>
    <t>JOB-3663</t>
  </si>
  <si>
    <t>JOB-3664</t>
  </si>
  <si>
    <t>JOB-3665</t>
  </si>
  <si>
    <t>JOB-3666</t>
  </si>
  <si>
    <t>JOB-3667</t>
  </si>
  <si>
    <t>JOB-3668</t>
  </si>
  <si>
    <t>JOB-3669</t>
  </si>
  <si>
    <t>JOB-3670</t>
  </si>
  <si>
    <t>JOB-3671</t>
  </si>
  <si>
    <t>JOB-3672</t>
  </si>
  <si>
    <t>JOB-3673</t>
  </si>
  <si>
    <t>JOB-3674</t>
  </si>
  <si>
    <t>JOB-3675</t>
  </si>
  <si>
    <t>JOB-3676</t>
  </si>
  <si>
    <t>JOB-3677</t>
  </si>
  <si>
    <t>JOB-3678</t>
  </si>
  <si>
    <t>JOB-3679</t>
  </si>
  <si>
    <t>JOB-3680</t>
  </si>
  <si>
    <t>JOB-3681</t>
  </si>
  <si>
    <t>JOB-3682</t>
  </si>
  <si>
    <t>JOB-3683</t>
  </si>
  <si>
    <t>JOB-3684</t>
  </si>
  <si>
    <t>JOB-3685</t>
  </si>
  <si>
    <t>JOB-3686</t>
  </si>
  <si>
    <t>JOB-3687</t>
  </si>
  <si>
    <t>JOB-3688</t>
  </si>
  <si>
    <t>JOB-3689</t>
  </si>
  <si>
    <t>JOB-3690</t>
  </si>
  <si>
    <t>JOB-3691</t>
  </si>
  <si>
    <t>JOB-3692</t>
  </si>
  <si>
    <t>JOB-3693</t>
  </si>
  <si>
    <t>JOB-3694</t>
  </si>
  <si>
    <t>JOB-3695</t>
  </si>
  <si>
    <t>JOB-3696</t>
  </si>
  <si>
    <t>JOB-3697</t>
  </si>
  <si>
    <t>JOB-3698</t>
  </si>
  <si>
    <t>JOB-3699</t>
  </si>
  <si>
    <t>JOB-3700</t>
  </si>
  <si>
    <t>JOB-3701</t>
  </si>
  <si>
    <t>JOB-3702</t>
  </si>
  <si>
    <t>JOB-3703</t>
  </si>
  <si>
    <t>JOB-3704</t>
  </si>
  <si>
    <t>JOB-3705</t>
  </si>
  <si>
    <t>JOB-3706</t>
  </si>
  <si>
    <t>JOB-3707</t>
  </si>
  <si>
    <t>JOB-3708</t>
  </si>
  <si>
    <t>JOB-3709</t>
  </si>
  <si>
    <t>JOB-3710</t>
  </si>
  <si>
    <t>JOB-3711</t>
  </si>
  <si>
    <t>JOB-3712</t>
  </si>
  <si>
    <t>JOB-3713</t>
  </si>
  <si>
    <t>JOB-3714</t>
  </si>
  <si>
    <t>JOB-3715</t>
  </si>
  <si>
    <t>JOB-3716</t>
  </si>
  <si>
    <t>JOB-3717</t>
  </si>
  <si>
    <t>JOB-3718</t>
  </si>
  <si>
    <t>JOB-3719</t>
  </si>
  <si>
    <t>JOB-3720</t>
  </si>
  <si>
    <t>JOB-3721</t>
  </si>
  <si>
    <t>JOB-3722</t>
  </si>
  <si>
    <t>JOB-3723</t>
  </si>
  <si>
    <t>JOB-3724</t>
  </si>
  <si>
    <t>JOB-3725</t>
  </si>
  <si>
    <t>JOB-3726</t>
  </si>
  <si>
    <t>JOB-3727</t>
  </si>
  <si>
    <t>JOB-3728</t>
  </si>
  <si>
    <t>JOB-3729</t>
  </si>
  <si>
    <t>JOB-3730</t>
  </si>
  <si>
    <t>JOB-3731</t>
  </si>
  <si>
    <t>JOB-3732</t>
  </si>
  <si>
    <t>JOB-3733</t>
  </si>
  <si>
    <t>JOB-3734</t>
  </si>
  <si>
    <t>JOB-3735</t>
  </si>
  <si>
    <t>JOB-3736</t>
  </si>
  <si>
    <t>JOB-3737</t>
  </si>
  <si>
    <t>JOB-3738</t>
  </si>
  <si>
    <t>JOB-3739</t>
  </si>
  <si>
    <t>JOB-3740</t>
  </si>
  <si>
    <t>JOB-3741</t>
  </si>
  <si>
    <t>JOB-3742</t>
  </si>
  <si>
    <t>JOB-3743</t>
  </si>
  <si>
    <t>JOB-3744</t>
  </si>
  <si>
    <t>JOB-3745</t>
  </si>
  <si>
    <t>JOB-3746</t>
  </si>
  <si>
    <t>JOB-3747</t>
  </si>
  <si>
    <t>JOB-3748</t>
  </si>
  <si>
    <t>JOB-3749</t>
  </si>
  <si>
    <t>JOB-3750</t>
  </si>
  <si>
    <t>JOB-3751</t>
  </si>
  <si>
    <t>JOB-3752</t>
  </si>
  <si>
    <t>JOB-3753</t>
  </si>
  <si>
    <t>JOB-3754</t>
  </si>
  <si>
    <t>JOB-3755</t>
  </si>
  <si>
    <t>JOB-3756</t>
  </si>
  <si>
    <t>JOB-3757</t>
  </si>
  <si>
    <t>JOB-3758</t>
  </si>
  <si>
    <t>JOB-3759</t>
  </si>
  <si>
    <t>JOB-3760</t>
  </si>
  <si>
    <t>JOB-3761</t>
  </si>
  <si>
    <t>JOB-3762</t>
  </si>
  <si>
    <t>JOB-3763</t>
  </si>
  <si>
    <t>JOB-3764</t>
  </si>
  <si>
    <t>JOB-3765</t>
  </si>
  <si>
    <t>JOB-3766</t>
  </si>
  <si>
    <t>JOB-3767</t>
  </si>
  <si>
    <t>JOB-3768</t>
  </si>
  <si>
    <t>JOB-3769</t>
  </si>
  <si>
    <t>JOB-3770</t>
  </si>
  <si>
    <t>JOB-3771</t>
  </si>
  <si>
    <t>JOB-3772</t>
  </si>
  <si>
    <t>JOB-3773</t>
  </si>
  <si>
    <t>JOB-3774</t>
  </si>
  <si>
    <t>JOB-3775</t>
  </si>
  <si>
    <t>JOB-3776</t>
  </si>
  <si>
    <t>JOB-3777</t>
  </si>
  <si>
    <t>JOB-3778</t>
  </si>
  <si>
    <t>JOB-3779</t>
  </si>
  <si>
    <t>JOB-3780</t>
  </si>
  <si>
    <t>JOB-3781</t>
  </si>
  <si>
    <t>JOB-3782</t>
  </si>
  <si>
    <t>JOB-3783</t>
  </si>
  <si>
    <t>JOB-3784</t>
  </si>
  <si>
    <t>JOB-3785</t>
  </si>
  <si>
    <t>JOB-3786</t>
  </si>
  <si>
    <t>JOB-3787</t>
  </si>
  <si>
    <t>JOB-3788</t>
  </si>
  <si>
    <t>JOB-3789</t>
  </si>
  <si>
    <t>JOB-3790</t>
  </si>
  <si>
    <t>JOB-3791</t>
  </si>
  <si>
    <t>JOB-3792</t>
  </si>
  <si>
    <t>JOB-3793</t>
  </si>
  <si>
    <t>JOB-3794</t>
  </si>
  <si>
    <t>JOB-3795</t>
  </si>
  <si>
    <t>JOB-3796</t>
  </si>
  <si>
    <t>JOB-3797</t>
  </si>
  <si>
    <t>JOB-3798</t>
  </si>
  <si>
    <t>JOB-3799</t>
  </si>
  <si>
    <t>JOB-3800</t>
  </si>
  <si>
    <t>JOB-3801</t>
  </si>
  <si>
    <t>JOB-3802</t>
  </si>
  <si>
    <t>JOB-3803</t>
  </si>
  <si>
    <t>JOB-3804</t>
  </si>
  <si>
    <t>JOB-3805</t>
  </si>
  <si>
    <t>JOB-3806</t>
  </si>
  <si>
    <t>JOB-3807</t>
  </si>
  <si>
    <t>JOB-3808</t>
  </si>
  <si>
    <t>JOB-3809</t>
  </si>
  <si>
    <t>JOB-3810</t>
  </si>
  <si>
    <t>JOB-3811</t>
  </si>
  <si>
    <t>JOB-3812</t>
  </si>
  <si>
    <t>JOB-3813</t>
  </si>
  <si>
    <t>JOB-3814</t>
  </si>
  <si>
    <t>JOB-3815</t>
  </si>
  <si>
    <t>JOB-3816</t>
  </si>
  <si>
    <t>JOB-3817</t>
  </si>
  <si>
    <t>JOB-3818</t>
  </si>
  <si>
    <t>JOB-3819</t>
  </si>
  <si>
    <t>JOB-3820</t>
  </si>
  <si>
    <t>JOB-3821</t>
  </si>
  <si>
    <t>JOB-3822</t>
  </si>
  <si>
    <t>JOB-3823</t>
  </si>
  <si>
    <t>JOB-3824</t>
  </si>
  <si>
    <t>JOB-3825</t>
  </si>
  <si>
    <t>JOB-3826</t>
  </si>
  <si>
    <t>JOB-3827</t>
  </si>
  <si>
    <t>JOB-3828</t>
  </si>
  <si>
    <t>JOB-3829</t>
  </si>
  <si>
    <t>JOB-3830</t>
  </si>
  <si>
    <t>JOB-3831</t>
  </si>
  <si>
    <t>JOB-3832</t>
  </si>
  <si>
    <t>JOB-3833</t>
  </si>
  <si>
    <t>JOB-3834</t>
  </si>
  <si>
    <t>JOB-3835</t>
  </si>
  <si>
    <t>JOB-3836</t>
  </si>
  <si>
    <t>JOB-3837</t>
  </si>
  <si>
    <t>JOB-3838</t>
  </si>
  <si>
    <t>JOB-3839</t>
  </si>
  <si>
    <t>JOB-3840</t>
  </si>
  <si>
    <t>JOB-3841</t>
  </si>
  <si>
    <t>JOB-3842</t>
  </si>
  <si>
    <t>JOB-3843</t>
  </si>
  <si>
    <t>JOB-3844</t>
  </si>
  <si>
    <t>JOB-3845</t>
  </si>
  <si>
    <t>JOB-3846</t>
  </si>
  <si>
    <t>JOB-3847</t>
  </si>
  <si>
    <t>JOB-3848</t>
  </si>
  <si>
    <t>JOB-3849</t>
  </si>
  <si>
    <t>JOB-3850</t>
  </si>
  <si>
    <t>JOB-3851</t>
  </si>
  <si>
    <t>JOB-3852</t>
  </si>
  <si>
    <t>JOB-3853</t>
  </si>
  <si>
    <t>JOB-3854</t>
  </si>
  <si>
    <t>JOB-3855</t>
  </si>
  <si>
    <t>JOB-3856</t>
  </si>
  <si>
    <t>JOB-3857</t>
  </si>
  <si>
    <t>JOB-3858</t>
  </si>
  <si>
    <t>JOB-3859</t>
  </si>
  <si>
    <t>JOB-3860</t>
  </si>
  <si>
    <t>JOB-3861</t>
  </si>
  <si>
    <t>JOB-3862</t>
  </si>
  <si>
    <t>JOB-3863</t>
  </si>
  <si>
    <t>JOB-3864</t>
  </si>
  <si>
    <t>JOB-3865</t>
  </si>
  <si>
    <t>JOB-3866</t>
  </si>
  <si>
    <t>JOB-3867</t>
  </si>
  <si>
    <t>JOB-3868</t>
  </si>
  <si>
    <t>JOB-3869</t>
  </si>
  <si>
    <t>JOB-3870</t>
  </si>
  <si>
    <t>JOB-3871</t>
  </si>
  <si>
    <t>JOB-3872</t>
  </si>
  <si>
    <t>JOB-3873</t>
  </si>
  <si>
    <t>JOB-3874</t>
  </si>
  <si>
    <t>JOB-3875</t>
  </si>
  <si>
    <t>JOB-3876</t>
  </si>
  <si>
    <t>JOB-3877</t>
  </si>
  <si>
    <t>JOB-3878</t>
  </si>
  <si>
    <t>JOB-3879</t>
  </si>
  <si>
    <t>JOB-3880</t>
  </si>
  <si>
    <t>JOB-3881</t>
  </si>
  <si>
    <t>JOB-3882</t>
  </si>
  <si>
    <t>JOB-3883</t>
  </si>
  <si>
    <t>JOB-3884</t>
  </si>
  <si>
    <t>JOB-3885</t>
  </si>
  <si>
    <t>JOB-3886</t>
  </si>
  <si>
    <t>JOB-3887</t>
  </si>
  <si>
    <t>JOB-3888</t>
  </si>
  <si>
    <t>JOB-3889</t>
  </si>
  <si>
    <t>JOB-3890</t>
  </si>
  <si>
    <t>JOB-3891</t>
  </si>
  <si>
    <t>JOB-3892</t>
  </si>
  <si>
    <t>JOB-3893</t>
  </si>
  <si>
    <t>JOB-3894</t>
  </si>
  <si>
    <t>JOB-3895</t>
  </si>
  <si>
    <t>JOB-3896</t>
  </si>
  <si>
    <t>JOB-3897</t>
  </si>
  <si>
    <t>JOB-3898</t>
  </si>
  <si>
    <t>JOB-3899</t>
  </si>
  <si>
    <t>JOB-3900</t>
  </si>
  <si>
    <t>JOB-3901</t>
  </si>
  <si>
    <t>JOB-3902</t>
  </si>
  <si>
    <t>JOB-3903</t>
  </si>
  <si>
    <t>JOB-3904</t>
  </si>
  <si>
    <t>JOB-3905</t>
  </si>
  <si>
    <t>JOB-3906</t>
  </si>
  <si>
    <t>JOB-3907</t>
  </si>
  <si>
    <t>JOB-3908</t>
  </si>
  <si>
    <t>JOB-3909</t>
  </si>
  <si>
    <t>JOB-3910</t>
  </si>
  <si>
    <t>JOB-3911</t>
  </si>
  <si>
    <t>JOB-3912</t>
  </si>
  <si>
    <t>JOB-3913</t>
  </si>
  <si>
    <t>JOB-3914</t>
  </si>
  <si>
    <t>JOB-3915</t>
  </si>
  <si>
    <t>JOB-3916</t>
  </si>
  <si>
    <t>JOB-3917</t>
  </si>
  <si>
    <t>JOB-3918</t>
  </si>
  <si>
    <t>JOB-3919</t>
  </si>
  <si>
    <t>JOB-3920</t>
  </si>
  <si>
    <t>JOB-3921</t>
  </si>
  <si>
    <t>JOB-3922</t>
  </si>
  <si>
    <t>JOB-3923</t>
  </si>
  <si>
    <t>JOB-3924</t>
  </si>
  <si>
    <t>JOB-3925</t>
  </si>
  <si>
    <t>JOB-3926</t>
  </si>
  <si>
    <t>JOB-3927</t>
  </si>
  <si>
    <t>JOB-3928</t>
  </si>
  <si>
    <t>JOB-3929</t>
  </si>
  <si>
    <t>JOB-3930</t>
  </si>
  <si>
    <t>JOB-3931</t>
  </si>
  <si>
    <t>JOB-3932</t>
  </si>
  <si>
    <t>JOB-3933</t>
  </si>
  <si>
    <t>JOB-3934</t>
  </si>
  <si>
    <t>JOB-3935</t>
  </si>
  <si>
    <t>JOB-3936</t>
  </si>
  <si>
    <t>JOB-3937</t>
  </si>
  <si>
    <t>JOB-3938</t>
  </si>
  <si>
    <t>JOB-3939</t>
  </si>
  <si>
    <t>JOB-3940</t>
  </si>
  <si>
    <t>JOB-3941</t>
  </si>
  <si>
    <t>JOB-3942</t>
  </si>
  <si>
    <t>JOB-3943</t>
  </si>
  <si>
    <t>JOB-3944</t>
  </si>
  <si>
    <t>JOB-3945</t>
  </si>
  <si>
    <t>JOB-3946</t>
  </si>
  <si>
    <t>JOB-3947</t>
  </si>
  <si>
    <t>JOB-3948</t>
  </si>
  <si>
    <t>JOB-3949</t>
  </si>
  <si>
    <t>JOB-3950</t>
  </si>
  <si>
    <t>JOB-3951</t>
  </si>
  <si>
    <t>JOB-3952</t>
  </si>
  <si>
    <t>JOB-3953</t>
  </si>
  <si>
    <t>JOB-3954</t>
  </si>
  <si>
    <t>JOB-3955</t>
  </si>
  <si>
    <t>JOB-3956</t>
  </si>
  <si>
    <t>JOB-3957</t>
  </si>
  <si>
    <t>JOB-3958</t>
  </si>
  <si>
    <t>JOB-3959</t>
  </si>
  <si>
    <t>JOB-3960</t>
  </si>
  <si>
    <t>JOB-3961</t>
  </si>
  <si>
    <t>JOB-3962</t>
  </si>
  <si>
    <t>JOB-3963</t>
  </si>
  <si>
    <t>JOB-3964</t>
  </si>
  <si>
    <t>JOB-3965</t>
  </si>
  <si>
    <t>JOB-3966</t>
  </si>
  <si>
    <t>JOB-3967</t>
  </si>
  <si>
    <t>JOB-3968</t>
  </si>
  <si>
    <t>JOB-3969</t>
  </si>
  <si>
    <t>JOB-3970</t>
  </si>
  <si>
    <t>JOB-3971</t>
  </si>
  <si>
    <t>JOB-3972</t>
  </si>
  <si>
    <t>JOB-3973</t>
  </si>
  <si>
    <t>JOB-3974</t>
  </si>
  <si>
    <t>JOB-3975</t>
  </si>
  <si>
    <t>JOB-3976</t>
  </si>
  <si>
    <t>JOB-3977</t>
  </si>
  <si>
    <t>JOB-3978</t>
  </si>
  <si>
    <t>JOB-3979</t>
  </si>
  <si>
    <t>JOB-3980</t>
  </si>
  <si>
    <t>JOB-3981</t>
  </si>
  <si>
    <t>JOB-3982</t>
  </si>
  <si>
    <t>JOB-3983</t>
  </si>
  <si>
    <t>JOB-3984</t>
  </si>
  <si>
    <t>JOB-3985</t>
  </si>
  <si>
    <t>JOB-3986</t>
  </si>
  <si>
    <t>JOB-3987</t>
  </si>
  <si>
    <t>JOB-3988</t>
  </si>
  <si>
    <t>JOB-3989</t>
  </si>
  <si>
    <t>JOB-3990</t>
  </si>
  <si>
    <t>JOB-3991</t>
  </si>
  <si>
    <t>JOB-3992</t>
  </si>
  <si>
    <t>JOB-3993</t>
  </si>
  <si>
    <t>JOB-3994</t>
  </si>
  <si>
    <t>JOB-3995</t>
  </si>
  <si>
    <t>JOB-3996</t>
  </si>
  <si>
    <t>JOB-3997</t>
  </si>
  <si>
    <t>JOB-3998</t>
  </si>
  <si>
    <t>JOB-3999</t>
  </si>
  <si>
    <t>JOB-4000</t>
  </si>
  <si>
    <t>JOB-4001</t>
  </si>
  <si>
    <t>JOB-4002</t>
  </si>
  <si>
    <t>JOB-4003</t>
  </si>
  <si>
    <t>JOB-4004</t>
  </si>
  <si>
    <t>JOB-4005</t>
  </si>
  <si>
    <t>JOB-4006</t>
  </si>
  <si>
    <t>JOB-4007</t>
  </si>
  <si>
    <t>JOB-4008</t>
  </si>
  <si>
    <t>JOB-4009</t>
  </si>
  <si>
    <t>JOB-4010</t>
  </si>
  <si>
    <t>JOB-4011</t>
  </si>
  <si>
    <t>JOB-4012</t>
  </si>
  <si>
    <t>JOB-4013</t>
  </si>
  <si>
    <t>JOB-4014</t>
  </si>
  <si>
    <t>JOB-4015</t>
  </si>
  <si>
    <t>JOB-4016</t>
  </si>
  <si>
    <t>JOB-4017</t>
  </si>
  <si>
    <t>JOB-4018</t>
  </si>
  <si>
    <t>JOB-4019</t>
  </si>
  <si>
    <t>JOB-4020</t>
  </si>
  <si>
    <t>JOB-4021</t>
  </si>
  <si>
    <t>JOB-4022</t>
  </si>
  <si>
    <t>JOB-4023</t>
  </si>
  <si>
    <t>JOB-4024</t>
  </si>
  <si>
    <t>JOB-4025</t>
  </si>
  <si>
    <t>JOB-4026</t>
  </si>
  <si>
    <t>JOB-4027</t>
  </si>
  <si>
    <t>JOB-4028</t>
  </si>
  <si>
    <t>JOB-4029</t>
  </si>
  <si>
    <t>JOB-4030</t>
  </si>
  <si>
    <t>JOB-4031</t>
  </si>
  <si>
    <t>JOB-4032</t>
  </si>
  <si>
    <t>JOB-4033</t>
  </si>
  <si>
    <t>JOB-4034</t>
  </si>
  <si>
    <t>JOB-4035</t>
  </si>
  <si>
    <t>JOB-4036</t>
  </si>
  <si>
    <t>JOB-4037</t>
  </si>
  <si>
    <t>JOB-4038</t>
  </si>
  <si>
    <t>JOB-4039</t>
  </si>
  <si>
    <t>JOB-4040</t>
  </si>
  <si>
    <t>JOB-4041</t>
  </si>
  <si>
    <t>JOB-4042</t>
  </si>
  <si>
    <t>JOB-4043</t>
  </si>
  <si>
    <t>JOB-4044</t>
  </si>
  <si>
    <t>JOB-4045</t>
  </si>
  <si>
    <t>JOB-4046</t>
  </si>
  <si>
    <t>JOB-4047</t>
  </si>
  <si>
    <t>JOB-4048</t>
  </si>
  <si>
    <t>JOB-4049</t>
  </si>
  <si>
    <t>JOB-4050</t>
  </si>
  <si>
    <t>JOB-4051</t>
  </si>
  <si>
    <t>JOB-4052</t>
  </si>
  <si>
    <t>JOB-4053</t>
  </si>
  <si>
    <t>JOB-4054</t>
  </si>
  <si>
    <t>JOB-4055</t>
  </si>
  <si>
    <t>JOB-4056</t>
  </si>
  <si>
    <t>JOB-4057</t>
  </si>
  <si>
    <t>JOB-4058</t>
  </si>
  <si>
    <t>JOB-4059</t>
  </si>
  <si>
    <t>JOB-4060</t>
  </si>
  <si>
    <t>JOB-4061</t>
  </si>
  <si>
    <t>JOB-4062</t>
  </si>
  <si>
    <t>JOB-4063</t>
  </si>
  <si>
    <t>JOB-4064</t>
  </si>
  <si>
    <t>JOB-4065</t>
  </si>
  <si>
    <t>JOB-4066</t>
  </si>
  <si>
    <t>JOB-4067</t>
  </si>
  <si>
    <t>JOB-4068</t>
  </si>
  <si>
    <t>JOB-4069</t>
  </si>
  <si>
    <t>JOB-4070</t>
  </si>
  <si>
    <t>JOB-4071</t>
  </si>
  <si>
    <t>JOB-4072</t>
  </si>
  <si>
    <t>JOB-4073</t>
  </si>
  <si>
    <t>JOB-4074</t>
  </si>
  <si>
    <t>JOB-4075</t>
  </si>
  <si>
    <t>JOB-4076</t>
  </si>
  <si>
    <t>JOB-4077</t>
  </si>
  <si>
    <t>JOB-4078</t>
  </si>
  <si>
    <t>JOB-4079</t>
  </si>
  <si>
    <t>JOB-4080</t>
  </si>
  <si>
    <t>JOB-4081</t>
  </si>
  <si>
    <t>JOB-4082</t>
  </si>
  <si>
    <t>JOB-4083</t>
  </si>
  <si>
    <t>JOB-4084</t>
  </si>
  <si>
    <t>JOB-4085</t>
  </si>
  <si>
    <t>JOB-4086</t>
  </si>
  <si>
    <t>JOB-4087</t>
  </si>
  <si>
    <t>JOB-4088</t>
  </si>
  <si>
    <t>JOB-4089</t>
  </si>
  <si>
    <t>JOB-4090</t>
  </si>
  <si>
    <t>JOB-4091</t>
  </si>
  <si>
    <t>JOB-4092</t>
  </si>
  <si>
    <t>JOB-4093</t>
  </si>
  <si>
    <t>JOB-4094</t>
  </si>
  <si>
    <t>JOB-4095</t>
  </si>
  <si>
    <t>JOB-4096</t>
  </si>
  <si>
    <t>JOB-4097</t>
  </si>
  <si>
    <t>JOB-4098</t>
  </si>
  <si>
    <t>JOB-4099</t>
  </si>
  <si>
    <t>JOB-4100</t>
  </si>
  <si>
    <t>JOB-4101</t>
  </si>
  <si>
    <t>JOB-4102</t>
  </si>
  <si>
    <t>JOB-4103</t>
  </si>
  <si>
    <t>JOB-4104</t>
  </si>
  <si>
    <t>JOB-4105</t>
  </si>
  <si>
    <t>JOB-4106</t>
  </si>
  <si>
    <t>JOB-4107</t>
  </si>
  <si>
    <t>JOB-4108</t>
  </si>
  <si>
    <t>JOB-4109</t>
  </si>
  <si>
    <t>JOB-4110</t>
  </si>
  <si>
    <t>JOB-4111</t>
  </si>
  <si>
    <t>JOB-4112</t>
  </si>
  <si>
    <t>JOB-4113</t>
  </si>
  <si>
    <t>JOB-4114</t>
  </si>
  <si>
    <t>JOB-4115</t>
  </si>
  <si>
    <t>JOB-4116</t>
  </si>
  <si>
    <t>JOB-4117</t>
  </si>
  <si>
    <t>JOB-4118</t>
  </si>
  <si>
    <t>JOB-4119</t>
  </si>
  <si>
    <t>JOB-4120</t>
  </si>
  <si>
    <t>JOB-4121</t>
  </si>
  <si>
    <t>JOB-4122</t>
  </si>
  <si>
    <t>JOB-4123</t>
  </si>
  <si>
    <t>JOB-4124</t>
  </si>
  <si>
    <t>JOB-4125</t>
  </si>
  <si>
    <t>JOB-4126</t>
  </si>
  <si>
    <t>JOB-4127</t>
  </si>
  <si>
    <t>JOB-4128</t>
  </si>
  <si>
    <t>JOB-4129</t>
  </si>
  <si>
    <t>JOB-4130</t>
  </si>
  <si>
    <t>JOB-4131</t>
  </si>
  <si>
    <t>JOB-4132</t>
  </si>
  <si>
    <t>JOB-4133</t>
  </si>
  <si>
    <t>JOB-4134</t>
  </si>
  <si>
    <t>JOB-4135</t>
  </si>
  <si>
    <t>JOB-4136</t>
  </si>
  <si>
    <t>JOB-4137</t>
  </si>
  <si>
    <t>JOB-4138</t>
  </si>
  <si>
    <t>JOB-4139</t>
  </si>
  <si>
    <t>JOB-4140</t>
  </si>
  <si>
    <t>JOB-4141</t>
  </si>
  <si>
    <t>JOB-4142</t>
  </si>
  <si>
    <t>JOB-4143</t>
  </si>
  <si>
    <t>JOB-4144</t>
  </si>
  <si>
    <t>JOB-4145</t>
  </si>
  <si>
    <t>JOB-4146</t>
  </si>
  <si>
    <t>JOB-4147</t>
  </si>
  <si>
    <t>JOB-4148</t>
  </si>
  <si>
    <t>JOB-4149</t>
  </si>
  <si>
    <t>JOB-4150</t>
  </si>
  <si>
    <t>JOB-4151</t>
  </si>
  <si>
    <t>JOB-4152</t>
  </si>
  <si>
    <t>JOB-4153</t>
  </si>
  <si>
    <t>JOB-4154</t>
  </si>
  <si>
    <t>JOB-4155</t>
  </si>
  <si>
    <t>JOB-4156</t>
  </si>
  <si>
    <t>JOB-4157</t>
  </si>
  <si>
    <t>JOB-4158</t>
  </si>
  <si>
    <t>JOB-4159</t>
  </si>
  <si>
    <t>JOB-4160</t>
  </si>
  <si>
    <t>JOB-4161</t>
  </si>
  <si>
    <t>JOB-4162</t>
  </si>
  <si>
    <t>JOB-4163</t>
  </si>
  <si>
    <t>JOB-4164</t>
  </si>
  <si>
    <t>JOB-4165</t>
  </si>
  <si>
    <t>JOB-4166</t>
  </si>
  <si>
    <t>JOB-4167</t>
  </si>
  <si>
    <t>JOB-4168</t>
  </si>
  <si>
    <t>JOB-4169</t>
  </si>
  <si>
    <t>JOB-4170</t>
  </si>
  <si>
    <t>JOB-4171</t>
  </si>
  <si>
    <t>JOB-4172</t>
  </si>
  <si>
    <t>JOB-4173</t>
  </si>
  <si>
    <t>JOB-4174</t>
  </si>
  <si>
    <t>JOB-4175</t>
  </si>
  <si>
    <t>JOB-4176</t>
  </si>
  <si>
    <t>JOB-4177</t>
  </si>
  <si>
    <t>JOB-4178</t>
  </si>
  <si>
    <t>JOB-4179</t>
  </si>
  <si>
    <t>JOB-4180</t>
  </si>
  <si>
    <t>JOB-4181</t>
  </si>
  <si>
    <t>JOB-4182</t>
  </si>
  <si>
    <t>JOB-4183</t>
  </si>
  <si>
    <t>JOB-4184</t>
  </si>
  <si>
    <t>JOB-4185</t>
  </si>
  <si>
    <t>JOB-4186</t>
  </si>
  <si>
    <t>JOB-4187</t>
  </si>
  <si>
    <t>JOB-4188</t>
  </si>
  <si>
    <t>JOB-4189</t>
  </si>
  <si>
    <t>JOB-4190</t>
  </si>
  <si>
    <t>JOB-4191</t>
  </si>
  <si>
    <t>JOB-4192</t>
  </si>
  <si>
    <t>JOB-4193</t>
  </si>
  <si>
    <t>JOB-4194</t>
  </si>
  <si>
    <t>JOB-4195</t>
  </si>
  <si>
    <t>JOB-4196</t>
  </si>
  <si>
    <t>JOB-4197</t>
  </si>
  <si>
    <t>JOB-4198</t>
  </si>
  <si>
    <t>JOB-4199</t>
  </si>
  <si>
    <t>JOB-4200</t>
  </si>
  <si>
    <t>JOB-4201</t>
  </si>
  <si>
    <t>JOB-4202</t>
  </si>
  <si>
    <t>JOB-4203</t>
  </si>
  <si>
    <t>JOB-4204</t>
  </si>
  <si>
    <t>JOB-4205</t>
  </si>
  <si>
    <t>JOB-4206</t>
  </si>
  <si>
    <t>JOB-4207</t>
  </si>
  <si>
    <t>JOB-4208</t>
  </si>
  <si>
    <t>JOB-4209</t>
  </si>
  <si>
    <t>JOB-4210</t>
  </si>
  <si>
    <t>JOB-4211</t>
  </si>
  <si>
    <t>JOB-4212</t>
  </si>
  <si>
    <t>JOB-4213</t>
  </si>
  <si>
    <t>JOB-4214</t>
  </si>
  <si>
    <t>JOB-4215</t>
  </si>
  <si>
    <t>JOB-4216</t>
  </si>
  <si>
    <t>JOB-4217</t>
  </si>
  <si>
    <t>JOB-4218</t>
  </si>
  <si>
    <t>JOB-4219</t>
  </si>
  <si>
    <t>JOB-4220</t>
  </si>
  <si>
    <t>JOB-4221</t>
  </si>
  <si>
    <t>JOB-4222</t>
  </si>
  <si>
    <t>JOB-4223</t>
  </si>
  <si>
    <t>JOB-4224</t>
  </si>
  <si>
    <t>JOB-4225</t>
  </si>
  <si>
    <t>JOB-4226</t>
  </si>
  <si>
    <t>JOB-4227</t>
  </si>
  <si>
    <t>JOB-4228</t>
  </si>
  <si>
    <t>JOB-4229</t>
  </si>
  <si>
    <t>JOB-4230</t>
  </si>
  <si>
    <t>JOB-4231</t>
  </si>
  <si>
    <t>JOB-4232</t>
  </si>
  <si>
    <t>JOB-4233</t>
  </si>
  <si>
    <t>JOB-4234</t>
  </si>
  <si>
    <t>JOB-4235</t>
  </si>
  <si>
    <t>JOB-4236</t>
  </si>
  <si>
    <t>JOB-4237</t>
  </si>
  <si>
    <t>JOB-4238</t>
  </si>
  <si>
    <t>JOB-4239</t>
  </si>
  <si>
    <t>JOB-4240</t>
  </si>
  <si>
    <t>JOB-4241</t>
  </si>
  <si>
    <t>JOB-4242</t>
  </si>
  <si>
    <t>JOB-4243</t>
  </si>
  <si>
    <t>JOB-4244</t>
  </si>
  <si>
    <t>JOB-4245</t>
  </si>
  <si>
    <t>JOB-4246</t>
  </si>
  <si>
    <t>JOB-4247</t>
  </si>
  <si>
    <t>JOB-4248</t>
  </si>
  <si>
    <t>JOB-4249</t>
  </si>
  <si>
    <t>JOB-4250</t>
  </si>
  <si>
    <t>JOB-4251</t>
  </si>
  <si>
    <t>JOB-4252</t>
  </si>
  <si>
    <t>JOB-4253</t>
  </si>
  <si>
    <t>JOB-4254</t>
  </si>
  <si>
    <t>JOB-4255</t>
  </si>
  <si>
    <t>JOB-4256</t>
  </si>
  <si>
    <t>JOB-4257</t>
  </si>
  <si>
    <t>JOB-4258</t>
  </si>
  <si>
    <t>JOB-4259</t>
  </si>
  <si>
    <t>JOB-4260</t>
  </si>
  <si>
    <t>JOB-4261</t>
  </si>
  <si>
    <t>JOB-4262</t>
  </si>
  <si>
    <t>JOB-4263</t>
  </si>
  <si>
    <t>JOB-4264</t>
  </si>
  <si>
    <t>JOB-4265</t>
  </si>
  <si>
    <t>JOB-4266</t>
  </si>
  <si>
    <t>JOB-4267</t>
  </si>
  <si>
    <t>JOB-4268</t>
  </si>
  <si>
    <t>JOB-4269</t>
  </si>
  <si>
    <t>JOB-4270</t>
  </si>
  <si>
    <t>JOB-4271</t>
  </si>
  <si>
    <t>JOB-4272</t>
  </si>
  <si>
    <t>JOB-4273</t>
  </si>
  <si>
    <t>JOB-4274</t>
  </si>
  <si>
    <t>JOB-4275</t>
  </si>
  <si>
    <t>JOB-4276</t>
  </si>
  <si>
    <t>JOB-4277</t>
  </si>
  <si>
    <t>JOB-4278</t>
  </si>
  <si>
    <t>JOB-4279</t>
  </si>
  <si>
    <t>JOB-4280</t>
  </si>
  <si>
    <t>JOB-4281</t>
  </si>
  <si>
    <t>JOB-4282</t>
  </si>
  <si>
    <t>JOB-4283</t>
  </si>
  <si>
    <t>JOB-4284</t>
  </si>
  <si>
    <t>JOB-4285</t>
  </si>
  <si>
    <t>JOB-4286</t>
  </si>
  <si>
    <t>JOB-4287</t>
  </si>
  <si>
    <t>JOB-4288</t>
  </si>
  <si>
    <t>JOB-4289</t>
  </si>
  <si>
    <t>JOB-4290</t>
  </si>
  <si>
    <t>JOB-4291</t>
  </si>
  <si>
    <t>JOB-4292</t>
  </si>
  <si>
    <t>JOB-4293</t>
  </si>
  <si>
    <t>JOB-4294</t>
  </si>
  <si>
    <t>JOB-4295</t>
  </si>
  <si>
    <t>JOB-4296</t>
  </si>
  <si>
    <t>JOB-4297</t>
  </si>
  <si>
    <t>JOB-4298</t>
  </si>
  <si>
    <t>JOB-4299</t>
  </si>
  <si>
    <t>JOB-4300</t>
  </si>
  <si>
    <t>JOB-4301</t>
  </si>
  <si>
    <t>JOB-4302</t>
  </si>
  <si>
    <t>JOB-4303</t>
  </si>
  <si>
    <t>JOB-4304</t>
  </si>
  <si>
    <t>JOB-4305</t>
  </si>
  <si>
    <t>JOB-4306</t>
  </si>
  <si>
    <t>JOB-4307</t>
  </si>
  <si>
    <t>JOB-4308</t>
  </si>
  <si>
    <t>JOB-4309</t>
  </si>
  <si>
    <t>JOB-4310</t>
  </si>
  <si>
    <t>JOB-4311</t>
  </si>
  <si>
    <t>JOB-4312</t>
  </si>
  <si>
    <t>JOB-4313</t>
  </si>
  <si>
    <t>JOB-4314</t>
  </si>
  <si>
    <t>JOB-4315</t>
  </si>
  <si>
    <t>JOB-4316</t>
  </si>
  <si>
    <t>JOB-4317</t>
  </si>
  <si>
    <t>JOB-4318</t>
  </si>
  <si>
    <t>JOB-4319</t>
  </si>
  <si>
    <t>JOB-4320</t>
  </si>
  <si>
    <t>JOB-4321</t>
  </si>
  <si>
    <t>JOB-4322</t>
  </si>
  <si>
    <t>JOB-4323</t>
  </si>
  <si>
    <t>JOB-4324</t>
  </si>
  <si>
    <t>JOB-4325</t>
  </si>
  <si>
    <t>JOB-4326</t>
  </si>
  <si>
    <t>JOB-4327</t>
  </si>
  <si>
    <t>JOB-4328</t>
  </si>
  <si>
    <t>JOB-4329</t>
  </si>
  <si>
    <t>JOB-4330</t>
  </si>
  <si>
    <t>JOB-4331</t>
  </si>
  <si>
    <t>JOB-4332</t>
  </si>
  <si>
    <t>JOB-4333</t>
  </si>
  <si>
    <t>JOB-4334</t>
  </si>
  <si>
    <t>JOB-4335</t>
  </si>
  <si>
    <t>JOB-4336</t>
  </si>
  <si>
    <t>JOB-4337</t>
  </si>
  <si>
    <t>JOB-4338</t>
  </si>
  <si>
    <t>JOB-4339</t>
  </si>
  <si>
    <t>JOB-4340</t>
  </si>
  <si>
    <t>JOB-4341</t>
  </si>
  <si>
    <t>JOB-4342</t>
  </si>
  <si>
    <t>JOB-4343</t>
  </si>
  <si>
    <t>JOB-4344</t>
  </si>
  <si>
    <t>JOB-4345</t>
  </si>
  <si>
    <t>JOB-4346</t>
  </si>
  <si>
    <t>JOB-4347</t>
  </si>
  <si>
    <t>JOB-4348</t>
  </si>
  <si>
    <t>JOB-4349</t>
  </si>
  <si>
    <t>JOB-4350</t>
  </si>
  <si>
    <t>JOB-4351</t>
  </si>
  <si>
    <t>JOB-4352</t>
  </si>
  <si>
    <t>JOB-4353</t>
  </si>
  <si>
    <t>JOB-4354</t>
  </si>
  <si>
    <t>JOB-4355</t>
  </si>
  <si>
    <t>JOB-4356</t>
  </si>
  <si>
    <t>JOB-4357</t>
  </si>
  <si>
    <t>JOB-4358</t>
  </si>
  <si>
    <t>JOB-4359</t>
  </si>
  <si>
    <t>JOB-4360</t>
  </si>
  <si>
    <t>JOB-4361</t>
  </si>
  <si>
    <t>JOB-4362</t>
  </si>
  <si>
    <t>JOB-4363</t>
  </si>
  <si>
    <t>JOB-4364</t>
  </si>
  <si>
    <t>JOB-4365</t>
  </si>
  <si>
    <t>JOB-4366</t>
  </si>
  <si>
    <t>JOB-4367</t>
  </si>
  <si>
    <t>JOB-4368</t>
  </si>
  <si>
    <t>JOB-4369</t>
  </si>
  <si>
    <t>JOB-4370</t>
  </si>
  <si>
    <t>JOB-4371</t>
  </si>
  <si>
    <t>JOB-4372</t>
  </si>
  <si>
    <t>JOB-4373</t>
  </si>
  <si>
    <t>JOB-4374</t>
  </si>
  <si>
    <t>JOB-4375</t>
  </si>
  <si>
    <t>JOB-4376</t>
  </si>
  <si>
    <t>JOB-4377</t>
  </si>
  <si>
    <t>JOB-4378</t>
  </si>
  <si>
    <t>JOB-4379</t>
  </si>
  <si>
    <t>JOB-4380</t>
  </si>
  <si>
    <t>JOB-4381</t>
  </si>
  <si>
    <t>JOB-4382</t>
  </si>
  <si>
    <t>JOB-4383</t>
  </si>
  <si>
    <t>JOB-4384</t>
  </si>
  <si>
    <t>JOB-4385</t>
  </si>
  <si>
    <t>JOB-4386</t>
  </si>
  <si>
    <t>JOB-4387</t>
  </si>
  <si>
    <t>JOB-4388</t>
  </si>
  <si>
    <t>JOB-4389</t>
  </si>
  <si>
    <t>JOB-4390</t>
  </si>
  <si>
    <t>JOB-4391</t>
  </si>
  <si>
    <t>JOB-4392</t>
  </si>
  <si>
    <t>JOB-4393</t>
  </si>
  <si>
    <t>JOB-4394</t>
  </si>
  <si>
    <t>JOB-4395</t>
  </si>
  <si>
    <t>JOB-4396</t>
  </si>
  <si>
    <t>JOB-4397</t>
  </si>
  <si>
    <t>JOB-4398</t>
  </si>
  <si>
    <t>JOB-4399</t>
  </si>
  <si>
    <t>JOB-4400</t>
  </si>
  <si>
    <t>JOB-4401</t>
  </si>
  <si>
    <t>JOB-4402</t>
  </si>
  <si>
    <t>JOB-4403</t>
  </si>
  <si>
    <t>JOB-4404</t>
  </si>
  <si>
    <t>JOB-4405</t>
  </si>
  <si>
    <t>JOB-4406</t>
  </si>
  <si>
    <t>JOB-4407</t>
  </si>
  <si>
    <t>JOB-4408</t>
  </si>
  <si>
    <t>JOB-4409</t>
  </si>
  <si>
    <t>JOB-4410</t>
  </si>
  <si>
    <t>JOB-4411</t>
  </si>
  <si>
    <t>JOB-4412</t>
  </si>
  <si>
    <t>JOB-4413</t>
  </si>
  <si>
    <t>JOB-4414</t>
  </si>
  <si>
    <t>JOB-4415</t>
  </si>
  <si>
    <t>JOB-4416</t>
  </si>
  <si>
    <t>JOB-4417</t>
  </si>
  <si>
    <t>JOB-4418</t>
  </si>
  <si>
    <t>JOB-4419</t>
  </si>
  <si>
    <t>JOB-4420</t>
  </si>
  <si>
    <t>JOB-4421</t>
  </si>
  <si>
    <t>JOB-4422</t>
  </si>
  <si>
    <t>JOB-4423</t>
  </si>
  <si>
    <t>JOB-4424</t>
  </si>
  <si>
    <t>JOB-4425</t>
  </si>
  <si>
    <t>JOB-4426</t>
  </si>
  <si>
    <t>JOB-4427</t>
  </si>
  <si>
    <t>JOB-4428</t>
  </si>
  <si>
    <t>JOB-4429</t>
  </si>
  <si>
    <t>JOB-4430</t>
  </si>
  <si>
    <t>JOB-4431</t>
  </si>
  <si>
    <t>JOB-4432</t>
  </si>
  <si>
    <t>JOB-4433</t>
  </si>
  <si>
    <t>JOB-4434</t>
  </si>
  <si>
    <t>JOB-4435</t>
  </si>
  <si>
    <t>JOB-4436</t>
  </si>
  <si>
    <t>JOB-4437</t>
  </si>
  <si>
    <t>JOB-4438</t>
  </si>
  <si>
    <t>JOB-4439</t>
  </si>
  <si>
    <t>JOB-4440</t>
  </si>
  <si>
    <t>JOB-4441</t>
  </si>
  <si>
    <t>JOB-4442</t>
  </si>
  <si>
    <t>JOB-4443</t>
  </si>
  <si>
    <t>JOB-4444</t>
  </si>
  <si>
    <t>JOB-4445</t>
  </si>
  <si>
    <t>JOB-4446</t>
  </si>
  <si>
    <t>JOB-4447</t>
  </si>
  <si>
    <t>JOB-4448</t>
  </si>
  <si>
    <t>JOB-4449</t>
  </si>
  <si>
    <t>JOB-4450</t>
  </si>
  <si>
    <t>JOB-4451</t>
  </si>
  <si>
    <t>JOB-4452</t>
  </si>
  <si>
    <t>JOB-4453</t>
  </si>
  <si>
    <t>JOB-4454</t>
  </si>
  <si>
    <t>JOB-4455</t>
  </si>
  <si>
    <t>JOB-4456</t>
  </si>
  <si>
    <t>JOB-4457</t>
  </si>
  <si>
    <t>JOB-4458</t>
  </si>
  <si>
    <t>JOB-4459</t>
  </si>
  <si>
    <t>JOB-4460</t>
  </si>
  <si>
    <t>JOB-4461</t>
  </si>
  <si>
    <t>JOB-4462</t>
  </si>
  <si>
    <t>JOB-4463</t>
  </si>
  <si>
    <t>JOB-4464</t>
  </si>
  <si>
    <t>JOB-4465</t>
  </si>
  <si>
    <t>JOB-4466</t>
  </si>
  <si>
    <t>JOB-4467</t>
  </si>
  <si>
    <t>JOB-4468</t>
  </si>
  <si>
    <t>JOB-4469</t>
  </si>
  <si>
    <t>JOB-4470</t>
  </si>
  <si>
    <t>JOB-4471</t>
  </si>
  <si>
    <t>JOB-4472</t>
  </si>
  <si>
    <t>JOB-4473</t>
  </si>
  <si>
    <t>JOB-4474</t>
  </si>
  <si>
    <t>JOB-4475</t>
  </si>
  <si>
    <t>JOB-4476</t>
  </si>
  <si>
    <t>JOB-4477</t>
  </si>
  <si>
    <t>JOB-4478</t>
  </si>
  <si>
    <t>JOB-4479</t>
  </si>
  <si>
    <t>JOB-4480</t>
  </si>
  <si>
    <t>JOB-4481</t>
  </si>
  <si>
    <t>JOB-4482</t>
  </si>
  <si>
    <t>JOB-4483</t>
  </si>
  <si>
    <t>JOB-4484</t>
  </si>
  <si>
    <t>JOB-4485</t>
  </si>
  <si>
    <t>JOB-4486</t>
  </si>
  <si>
    <t>JOB-4487</t>
  </si>
  <si>
    <t>JOB-4488</t>
  </si>
  <si>
    <t>JOB-4489</t>
  </si>
  <si>
    <t>JOB-4490</t>
  </si>
  <si>
    <t>JOB-4491</t>
  </si>
  <si>
    <t>JOB-4492</t>
  </si>
  <si>
    <t>JOB-4493</t>
  </si>
  <si>
    <t>JOB-4494</t>
  </si>
  <si>
    <t>JOB-4495</t>
  </si>
  <si>
    <t>JOB-4496</t>
  </si>
  <si>
    <t>JOB-4497</t>
  </si>
  <si>
    <t>JOB-4498</t>
  </si>
  <si>
    <t>JOB-4499</t>
  </si>
  <si>
    <t>JOB-4500</t>
  </si>
  <si>
    <t>JOB-4501</t>
  </si>
  <si>
    <t>JOB-4502</t>
  </si>
  <si>
    <t>JOB-4503</t>
  </si>
  <si>
    <t>JOB-4504</t>
  </si>
  <si>
    <t>JOB-4505</t>
  </si>
  <si>
    <t>JOB-4506</t>
  </si>
  <si>
    <t>JOB-4507</t>
  </si>
  <si>
    <t>JOB-4508</t>
  </si>
  <si>
    <t>JOB-4509</t>
  </si>
  <si>
    <t>JOB-4510</t>
  </si>
  <si>
    <t>JOB-4511</t>
  </si>
  <si>
    <t>JOB-4512</t>
  </si>
  <si>
    <t>JOB-4513</t>
  </si>
  <si>
    <t>JOB-4514</t>
  </si>
  <si>
    <t>JOB-4515</t>
  </si>
  <si>
    <t>JOB-4516</t>
  </si>
  <si>
    <t>JOB-4517</t>
  </si>
  <si>
    <t>JOB-4518</t>
  </si>
  <si>
    <t>JOB-4519</t>
  </si>
  <si>
    <t>JOB-4520</t>
  </si>
  <si>
    <t>JOB-4521</t>
  </si>
  <si>
    <t>JOB-4522</t>
  </si>
  <si>
    <t>JOB-4523</t>
  </si>
  <si>
    <t>JOB-4524</t>
  </si>
  <si>
    <t>JOB-4525</t>
  </si>
  <si>
    <t>JOB-4526</t>
  </si>
  <si>
    <t>JOB-4527</t>
  </si>
  <si>
    <t>JOB-4528</t>
  </si>
  <si>
    <t>JOB-4529</t>
  </si>
  <si>
    <t>JOB-4530</t>
  </si>
  <si>
    <t>JOB-4531</t>
  </si>
  <si>
    <t>JOB-4532</t>
  </si>
  <si>
    <t>JOB-4533</t>
  </si>
  <si>
    <t>JOB-4534</t>
  </si>
  <si>
    <t>JOB-4535</t>
  </si>
  <si>
    <t>JOB-4536</t>
  </si>
  <si>
    <t>JOB-4537</t>
  </si>
  <si>
    <t>JOB-4538</t>
  </si>
  <si>
    <t>JOB-4539</t>
  </si>
  <si>
    <t>JOB-4540</t>
  </si>
  <si>
    <t>JOB-4541</t>
  </si>
  <si>
    <t>JOB-4542</t>
  </si>
  <si>
    <t>JOB-4543</t>
  </si>
  <si>
    <t>JOB-4544</t>
  </si>
  <si>
    <t>JOB-4545</t>
  </si>
  <si>
    <t>JOB-4546</t>
  </si>
  <si>
    <t>JOB-4547</t>
  </si>
  <si>
    <t>JOB-4548</t>
  </si>
  <si>
    <t>JOB-4549</t>
  </si>
  <si>
    <t>JOB-4550</t>
  </si>
  <si>
    <t>SignalStack | Ops Pulse — Target Benchmarks</t>
  </si>
  <si>
    <t xml:space="preserve">  Set your targets here. Red/yellow/green flags on Dashboard compare actuals against these.</t>
  </si>
  <si>
    <t>Metric</t>
  </si>
  <si>
    <t>Your Target</t>
  </si>
  <si>
    <t>Industry Avg</t>
  </si>
  <si>
    <t>Best-in-class field service = 95%+</t>
  </si>
  <si>
    <t>Under 3% = excellent; over 8% = investigate</t>
  </si>
  <si>
    <t>Track in hours. Benchmark varies by trade.</t>
  </si>
  <si>
    <t>80-85% is the sweet spot. Over 90% = burnout risk.</t>
  </si>
  <si>
    <t>Jobs per Tech/Wk</t>
  </si>
  <si>
    <t>Adjust based on job complexity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</si>
</sst>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#,##0.0&quot;h&quot;"/>
    <numFmt numFmtId="166" formatCode="#,##0.0"/>
    <numFmt numFmtId="167" formatCode="0.00000000"/>
    <numFmt numFmtId="168" formatCode="mm/dd/yyyy"/>
    <numFmt numFmtId="169" formatCode="0.0"/>
  </numFmts>
  <fonts count="8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9"/>
      <color rgb="FF1A3A5C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4"/>
      <color rgb="FF1A3A5C"/>
      <name val="Arial"/>
    </font>
    <font>
      <sz val="10"/>
      <color rgb="FF000000"/>
      <name val="Arial"/>
    </font>
    <font>
      <b/>
      <sz val="10"/>
      <color rgb="FF444441"/>
      <name val="Arial"/>
    </font>
  </fonts>
  <fills count="10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D6E8F5"/>
      </patternFill>
    </fill>
    <fill>
      <patternFill patternType="solid">
        <fgColor rgb="FF3D8EB9"/>
      </patternFill>
    </fill>
    <fill>
      <patternFill patternType="solid">
        <fgColor rgb="FFFFFFFF"/>
      </patternFill>
    </fill>
    <fill>
      <patternFill patternType="solid">
        <fgColor rgb="FFF7F9FB"/>
      </patternFill>
    </fill>
    <fill>
      <patternFill patternType="solid">
        <fgColor rgb="FFE0E0E0"/>
      </patternFill>
    </fill>
    <fill>
      <patternFill patternType="solid">
        <fgColor rgb="FFFFF2CC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/>
    </xf>
    <xf numFmtId="3" fontId="6" fillId="9" borderId="4" xfId="0" applyNumberFormat="1" applyFont="1" applyFill="1" applyBorder="1" applyAlignment="1">
      <alignment horizontal="center" vertical="center"/>
    </xf>
    <xf numFmtId="164" fontId="6" fillId="9" borderId="4" xfId="0" applyNumberFormat="1" applyFont="1" applyFill="1" applyBorder="1" applyAlignment="1">
      <alignment horizontal="center" vertical="center"/>
    </xf>
    <xf numFmtId="166" fontId="6" fillId="9" borderId="4" xfId="0" applyNumberFormat="1" applyFont="1" applyFill="1" applyBorder="1" applyAlignment="1">
      <alignment horizontal="center" vertical="center"/>
    </xf>
    <xf numFmtId="0" fontId="0" fillId="9" borderId="4" xfId="0" applyFill="1" applyBorder="1" applyAlignment="1">
      <alignment horizontal="center"/>
    </xf>
    <xf numFmtId="3" fontId="0" fillId="9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6" fontId="0" fillId="9" borderId="4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166" fontId="6" fillId="5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3" fontId="6" fillId="8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4" fontId="6" fillId="5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68" fontId="6" fillId="5" borderId="1" xfId="0" applyNumberFormat="1" applyFont="1" applyFill="1" applyBorder="1" applyAlignment="1">
      <alignment horizontal="center" vertical="center"/>
    </xf>
    <xf numFmtId="168" fontId="6" fillId="6" borderId="1" xfId="0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1" fontId="6" fillId="5" borderId="1" xfId="0" applyNumberFormat="1" applyFont="1" applyFill="1" applyBorder="1" applyAlignment="1">
      <alignment horizontal="center" vertical="center"/>
    </xf>
    <xf numFmtId="169" fontId="6" fillId="5" borderId="1" xfId="0" applyNumberFormat="1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 vertical="center"/>
    </xf>
    <xf numFmtId="169" fontId="6" fillId="6" borderId="1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2" fillId="3" borderId="0" xfId="0" applyFont="1" applyFill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00"/>
  <sheetViews>
    <sheetView tabSelected="1" zoomScaleNormal="100" workbookViewId="0">
      <pane ySplit="9" topLeftCell="A10" activePane="bottomLeft" state="frozen"/>
      <selection pane="bottomLeft" activeCell="C10" sqref="C10"/>
    </sheetView>
  </sheetViews>
  <sheetFormatPr defaultRowHeight="15" x14ac:dyDescent="0.25"/>
  <cols>
    <col min="1" max="1" width="14.28515625" style="16" bestFit="1" customWidth="1"/>
    <col min="2" max="2" width="12" style="16" customWidth="1"/>
    <col min="3" max="3" width="12.140625" style="16" bestFit="1" customWidth="1"/>
    <col min="4" max="4" width="14.85546875" style="16" bestFit="1" customWidth="1"/>
    <col min="5" max="5" width="13.7109375" style="16" bestFit="1" customWidth="1"/>
    <col min="6" max="6" width="16.42578125" style="16" bestFit="1" customWidth="1"/>
    <col min="7" max="7" width="10" style="16" customWidth="1"/>
    <col min="8" max="8" width="30" style="16" customWidth="1"/>
    <col min="9" max="9" width="10" style="16" customWidth="1"/>
    <col min="10" max="10" width="13" hidden="1" customWidth="1"/>
    <col min="11" max="12" width="9.140625" style="16" customWidth="1"/>
    <col min="13" max="16384" width="9.140625" style="16"/>
  </cols>
  <sheetData>
    <row r="1" spans="1:10" ht="30" customHeight="1" x14ac:dyDescent="0.25">
      <c r="A1" s="36" t="s">
        <v>0</v>
      </c>
      <c r="B1" s="37"/>
      <c r="C1" s="37"/>
      <c r="D1" s="37"/>
      <c r="E1" s="37"/>
      <c r="F1" s="37"/>
      <c r="G1" s="37"/>
      <c r="H1" s="37"/>
      <c r="I1" s="37"/>
      <c r="J1" s="38"/>
    </row>
    <row r="2" spans="1:10" ht="15.95" customHeight="1" x14ac:dyDescent="0.25">
      <c r="A2" s="42" t="s">
        <v>1</v>
      </c>
      <c r="B2" s="37"/>
      <c r="C2" s="37"/>
      <c r="D2" s="37"/>
      <c r="E2" s="37"/>
      <c r="F2" s="37"/>
      <c r="G2" s="37"/>
      <c r="H2" s="37"/>
      <c r="I2" s="37"/>
      <c r="J2" s="38"/>
    </row>
    <row r="3" spans="1:10" ht="8.1" customHeight="1" x14ac:dyDescent="0.25"/>
    <row r="4" spans="1:10" ht="21.95" customHeight="1" x14ac:dyDescent="0.25">
      <c r="A4" s="39" t="s">
        <v>2</v>
      </c>
      <c r="B4" s="40"/>
      <c r="C4" s="40"/>
      <c r="D4" s="40"/>
      <c r="E4" s="40"/>
      <c r="F4" s="40"/>
      <c r="G4" s="40"/>
      <c r="H4" s="40"/>
      <c r="I4" s="40"/>
      <c r="J4" s="41"/>
    </row>
    <row r="5" spans="1:10" ht="18" customHeight="1" x14ac:dyDescent="0.2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</row>
    <row r="6" spans="1:10" ht="27.95" customHeight="1" x14ac:dyDescent="0.25">
      <c r="A6" s="2">
        <f>LOOKUP(2,1/(A10:A2000&lt;&gt;""),B10:B2000)</f>
        <v>43</v>
      </c>
      <c r="B6" s="3">
        <f>LOOKUP(2,1/(A10:A2000&lt;&gt;""),C10:C2000)</f>
        <v>0.88372093023255816</v>
      </c>
      <c r="C6" s="3">
        <f>LOOKUP(2,1/(A10:A2000&lt;&gt;""),D10:D2000)</f>
        <v>4.6511627906976744E-2</v>
      </c>
      <c r="D6" s="4">
        <f>LOOKUP(2,1/(A10:A2000&lt;&gt;""),E10:E2000)</f>
        <v>2.4</v>
      </c>
      <c r="E6" s="3">
        <f>LOOKUP(2,1/(A10:A2000&lt;&gt;""),F10:F2000)</f>
        <v>0.75715333822450492</v>
      </c>
      <c r="F6" s="2">
        <f>LOOKUP(2,1/(A10:A2000&lt;&gt;""),G10:G2000)</f>
        <v>14</v>
      </c>
    </row>
    <row r="7" spans="1:10" ht="9.9499999999999993" customHeight="1" x14ac:dyDescent="0.25"/>
    <row r="8" spans="1:10" ht="21.95" customHeight="1" x14ac:dyDescent="0.25">
      <c r="A8" s="39" t="s">
        <v>9</v>
      </c>
      <c r="B8" s="40"/>
      <c r="C8" s="40"/>
      <c r="D8" s="40"/>
      <c r="E8" s="40"/>
      <c r="F8" s="40"/>
      <c r="G8" s="40"/>
      <c r="H8" s="40"/>
      <c r="I8" s="40"/>
      <c r="J8" s="41"/>
    </row>
    <row r="9" spans="1:10" ht="33.950000000000003" customHeight="1" x14ac:dyDescent="0.25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J9" t="s">
        <v>18</v>
      </c>
    </row>
    <row r="10" spans="1:10" x14ac:dyDescent="0.25">
      <c r="A10" s="8" t="str">
        <f t="shared" ref="A10:A73" si="0">IF($J10="","",YEAR($J10-WEEKDAY($J10,2)+4)&amp;"-W"&amp;TEXT(WEEKNUM($J10,21),"00"))</f>
        <v>2024-W47</v>
      </c>
      <c r="B10" s="9">
        <f>IF($J10="","",SUMIFS('Weekly Log'!$C:$C,'Weekly Log'!$A:$A,"&gt;="&amp;$J10,'Weekly Log'!$A:$A,"&lt;"&amp;$J10+7))</f>
        <v>36</v>
      </c>
      <c r="C10" s="10">
        <f>IF($J10="","",IFERROR(COUNTIFS('Weekly Log'!$G:$G,"Y",'Weekly Log'!$A:$A,"&gt;="&amp;$J10,'Weekly Log'!$A:$A,"&lt;"&amp;$J10+7)/COUNTIFS('Weekly Log'!$G:$G,"&lt;&gt;",'Weekly Log'!$A:$A,"&gt;="&amp;$J10,'Weekly Log'!$A:$A,"&lt;"&amp;$J10+7),0))</f>
        <v>0.86111111111111116</v>
      </c>
      <c r="D10" s="10">
        <f>IF($J10="","",IFERROR(COUNTIFS('Weekly Log'!$H:$H,"Y",'Weekly Log'!$A:$A,"&gt;="&amp;$J10,'Weekly Log'!$A:$A,"&lt;"&amp;$J10+7)/COUNTIFS('Weekly Log'!$H:$H,"&lt;&gt;",'Weekly Log'!$A:$A,"&gt;="&amp;$J10,'Weekly Log'!$A:$A,"&lt;"&amp;$J10+7),0))</f>
        <v>5.5555555555555552E-2</v>
      </c>
      <c r="E10" s="11">
        <f>IF($J10="","",IFERROR(AVERAGEIFS('Weekly Log'!$F:$F,'Weekly Log'!$A:$A,"&gt;="&amp;$J10,'Weekly Log'!$A:$A,"&lt;"&amp;$J10+7),0))</f>
        <v>2.2000000000000002</v>
      </c>
      <c r="F10" s="10">
        <f>IF($J10="","",IFERROR(SUMIFS('Weekly Log'!$F:$F,'Weekly Log'!$A:$A,"&gt;="&amp;$J10,'Weekly Log'!$A:$A,"&lt;"&amp;$J10+7)/SUMIFS('Weekly Log'!$E:$E,'Weekly Log'!$A:$A,"&gt;="&amp;$J10,'Weekly Log'!$A:$A,"&lt;"&amp;$J10+7),0))</f>
        <v>0.74087932647333976</v>
      </c>
      <c r="G10" s="9">
        <f>IF($J10="","",IFERROR(LOOKUP(2,1/(('Weekly Log'!$A$5:$A$5000&gt;=$J10)*('Weekly Log'!$A$5:$A$5000&lt;$J10+7)*('Weekly Log'!$M$5:$M$5000&lt;&gt;"")),'Weekly Log'!$M$5:$M$5000),0))</f>
        <v>16</v>
      </c>
      <c r="H10" s="8"/>
      <c r="J10">
        <f>IF(COUNT('Weekly Log'!$A$5:$A$5000)=0,"",IF(MIN('Weekly Log'!$A$5:$A$5000)+7*(ROW()-10)&gt;MAX('Weekly Log'!$A$5:$A$5000),"",MIN('Weekly Log'!$A$5:$A$5000)+7*(ROW()-10)))</f>
        <v>45614</v>
      </c>
    </row>
    <row r="11" spans="1:10" x14ac:dyDescent="0.25">
      <c r="A11" s="8" t="str">
        <f t="shared" si="0"/>
        <v>2024-W48</v>
      </c>
      <c r="B11" s="9">
        <f>IF($J11="","",SUMIFS('Weekly Log'!$C:$C,'Weekly Log'!$A:$A,"&gt;="&amp;$J11,'Weekly Log'!$A:$A,"&lt;"&amp;$J11+7))</f>
        <v>38</v>
      </c>
      <c r="C11" s="10">
        <f>IF($J11="","",IFERROR(COUNTIFS('Weekly Log'!$G:$G,"Y",'Weekly Log'!$A:$A,"&gt;="&amp;$J11,'Weekly Log'!$A:$A,"&lt;"&amp;$J11+7)/COUNTIFS('Weekly Log'!$G:$G,"&lt;&gt;",'Weekly Log'!$A:$A,"&gt;="&amp;$J11,'Weekly Log'!$A:$A,"&lt;"&amp;$J11+7),0))</f>
        <v>0.86842105263157898</v>
      </c>
      <c r="D11" s="10">
        <f>IF($J11="","",IFERROR(COUNTIFS('Weekly Log'!$H:$H,"Y",'Weekly Log'!$A:$A,"&gt;="&amp;$J11,'Weekly Log'!$A:$A,"&lt;"&amp;$J11+7)/COUNTIFS('Weekly Log'!$H:$H,"&lt;&gt;",'Weekly Log'!$A:$A,"&gt;="&amp;$J11,'Weekly Log'!$A:$A,"&lt;"&amp;$J11+7),0))</f>
        <v>5.2631578947368418E-2</v>
      </c>
      <c r="E11" s="11">
        <f>IF($J11="","",IFERROR(AVERAGEIFS('Weekly Log'!$F:$F,'Weekly Log'!$A:$A,"&gt;="&amp;$J11,'Weekly Log'!$A:$A,"&lt;"&amp;$J11+7),0))</f>
        <v>2.1</v>
      </c>
      <c r="F11" s="10">
        <f>IF($J11="","",IFERROR(SUMIFS('Weekly Log'!$F:$F,'Weekly Log'!$A:$A,"&gt;="&amp;$J11,'Weekly Log'!$A:$A,"&lt;"&amp;$J11+7)/SUMIFS('Weekly Log'!$E:$E,'Weekly Log'!$A:$A,"&gt;="&amp;$J11,'Weekly Log'!$A:$A,"&lt;"&amp;$J11+7),0))</f>
        <v>0.74789128397375826</v>
      </c>
      <c r="G11" s="9">
        <f>IF($J11="","",IFERROR(LOOKUP(2,1/(('Weekly Log'!$A$5:$A$5000&gt;=$J11)*('Weekly Log'!$A$5:$A$5000&lt;$J11+7)*('Weekly Log'!$M$5:$M$5000&lt;&gt;"")),'Weekly Log'!$M$5:$M$5000),0))</f>
        <v>15</v>
      </c>
      <c r="H11" s="8"/>
      <c r="J11">
        <f>IF(COUNT('Weekly Log'!$A$5:$A$5000)=0,"",IF(MIN('Weekly Log'!$A$5:$A$5000)+7*(ROW()-10)&gt;MAX('Weekly Log'!$A$5:$A$5000),"",MIN('Weekly Log'!$A$5:$A$5000)+7*(ROW()-10)))</f>
        <v>45621</v>
      </c>
    </row>
    <row r="12" spans="1:10" x14ac:dyDescent="0.25">
      <c r="A12" s="8" t="str">
        <f t="shared" si="0"/>
        <v>2024-W49</v>
      </c>
      <c r="B12" s="9">
        <f>IF($J12="","",SUMIFS('Weekly Log'!$C:$C,'Weekly Log'!$A:$A,"&gt;="&amp;$J12,'Weekly Log'!$A:$A,"&lt;"&amp;$J12+7))</f>
        <v>34</v>
      </c>
      <c r="C12" s="10">
        <f>IF($J12="","",IFERROR(COUNTIFS('Weekly Log'!$G:$G,"Y",'Weekly Log'!$A:$A,"&gt;="&amp;$J12,'Weekly Log'!$A:$A,"&lt;"&amp;$J12+7)/COUNTIFS('Weekly Log'!$G:$G,"&lt;&gt;",'Weekly Log'!$A:$A,"&gt;="&amp;$J12,'Weekly Log'!$A:$A,"&lt;"&amp;$J12+7),0))</f>
        <v>0.8529411764705882</v>
      </c>
      <c r="D12" s="10">
        <f>IF($J12="","",IFERROR(COUNTIFS('Weekly Log'!$H:$H,"Y",'Weekly Log'!$A:$A,"&gt;="&amp;$J12,'Weekly Log'!$A:$A,"&lt;"&amp;$J12+7)/COUNTIFS('Weekly Log'!$H:$H,"&lt;&gt;",'Weekly Log'!$A:$A,"&gt;="&amp;$J12,'Weekly Log'!$A:$A,"&lt;"&amp;$J12+7),0))</f>
        <v>5.8823529411764705E-2</v>
      </c>
      <c r="E12" s="11">
        <f>IF($J12="","",IFERROR(AVERAGEIFS('Weekly Log'!$F:$F,'Weekly Log'!$A:$A,"&gt;="&amp;$J12,'Weekly Log'!$A:$A,"&lt;"&amp;$J12+7),0))</f>
        <v>2.3000000000000003</v>
      </c>
      <c r="F12" s="10">
        <f>IF($J12="","",IFERROR(SUMIFS('Weekly Log'!$F:$F,'Weekly Log'!$A:$A,"&gt;="&amp;$J12,'Weekly Log'!$A:$A,"&lt;"&amp;$J12+7)/SUMIFS('Weekly Log'!$E:$E,'Weekly Log'!$A:$A,"&gt;="&amp;$J12,'Weekly Log'!$A:$A,"&lt;"&amp;$J12+7),0))</f>
        <v>0.73496240601503782</v>
      </c>
      <c r="G12" s="9">
        <f>IF($J12="","",IFERROR(LOOKUP(2,1/(('Weekly Log'!$A$5:$A$5000&gt;=$J12)*('Weekly Log'!$A$5:$A$5000&lt;$J12+7)*('Weekly Log'!$M$5:$M$5000&lt;&gt;"")),'Weekly Log'!$M$5:$M$5000),0))</f>
        <v>18</v>
      </c>
      <c r="H12" s="8" t="s">
        <v>19</v>
      </c>
      <c r="J12">
        <f>IF(COUNT('Weekly Log'!$A$5:$A$5000)=0,"",IF(MIN('Weekly Log'!$A$5:$A$5000)+7*(ROW()-10)&gt;MAX('Weekly Log'!$A$5:$A$5000),"",MIN('Weekly Log'!$A$5:$A$5000)+7*(ROW()-10)))</f>
        <v>45628</v>
      </c>
    </row>
    <row r="13" spans="1:10" x14ac:dyDescent="0.25">
      <c r="A13" s="8" t="str">
        <f t="shared" si="0"/>
        <v>2024-W50</v>
      </c>
      <c r="B13" s="9">
        <f>IF($J13="","",SUMIFS('Weekly Log'!$C:$C,'Weekly Log'!$A:$A,"&gt;="&amp;$J13,'Weekly Log'!$A:$A,"&lt;"&amp;$J13+7))</f>
        <v>31</v>
      </c>
      <c r="C13" s="10">
        <f>IF($J13="","",IFERROR(COUNTIFS('Weekly Log'!$G:$G,"Y",'Weekly Log'!$A:$A,"&gt;="&amp;$J13,'Weekly Log'!$A:$A,"&lt;"&amp;$J13+7)/COUNTIFS('Weekly Log'!$G:$G,"&lt;&gt;",'Weekly Log'!$A:$A,"&gt;="&amp;$J13,'Weekly Log'!$A:$A,"&lt;"&amp;$J13+7),0))</f>
        <v>0.83870967741935487</v>
      </c>
      <c r="D13" s="10">
        <f>IF($J13="","",IFERROR(COUNTIFS('Weekly Log'!$H:$H,"Y",'Weekly Log'!$A:$A,"&gt;="&amp;$J13,'Weekly Log'!$A:$A,"&lt;"&amp;$J13+7)/COUNTIFS('Weekly Log'!$H:$H,"&lt;&gt;",'Weekly Log'!$A:$A,"&gt;="&amp;$J13,'Weekly Log'!$A:$A,"&lt;"&amp;$J13+7),0))</f>
        <v>6.4516129032258063E-2</v>
      </c>
      <c r="E13" s="11">
        <f>IF($J13="","",IFERROR(AVERAGEIFS('Weekly Log'!$F:$F,'Weekly Log'!$A:$A,"&gt;="&amp;$J13,'Weekly Log'!$A:$A,"&lt;"&amp;$J13+7),0))</f>
        <v>2.2000000000000002</v>
      </c>
      <c r="F13" s="10">
        <f>IF($J13="","",IFERROR(SUMIFS('Weekly Log'!$F:$F,'Weekly Log'!$A:$A,"&gt;="&amp;$J13,'Weekly Log'!$A:$A,"&lt;"&amp;$J13+7)/SUMIFS('Weekly Log'!$E:$E,'Weekly Log'!$A:$A,"&gt;="&amp;$J13,'Weekly Log'!$A:$A,"&lt;"&amp;$J13+7),0))</f>
        <v>0.71789473684210536</v>
      </c>
      <c r="G13" s="9">
        <f>IF($J13="","",IFERROR(LOOKUP(2,1/(('Weekly Log'!$A$5:$A$5000&gt;=$J13)*('Weekly Log'!$A$5:$A$5000&lt;$J13+7)*('Weekly Log'!$M$5:$M$5000&lt;&gt;"")),'Weekly Log'!$M$5:$M$5000),0))</f>
        <v>20</v>
      </c>
      <c r="H13" s="8" t="s">
        <v>20</v>
      </c>
      <c r="J13">
        <f>IF(COUNT('Weekly Log'!$A$5:$A$5000)=0,"",IF(MIN('Weekly Log'!$A$5:$A$5000)+7*(ROW()-10)&gt;MAX('Weekly Log'!$A$5:$A$5000),"",MIN('Weekly Log'!$A$5:$A$5000)+7*(ROW()-10)))</f>
        <v>45635</v>
      </c>
    </row>
    <row r="14" spans="1:10" x14ac:dyDescent="0.25">
      <c r="A14" s="8" t="str">
        <f t="shared" si="0"/>
        <v>2024-W51</v>
      </c>
      <c r="B14" s="9">
        <f>IF($J14="","",SUMIFS('Weekly Log'!$C:$C,'Weekly Log'!$A:$A,"&gt;="&amp;$J14,'Weekly Log'!$A:$A,"&lt;"&amp;$J14+7))</f>
        <v>28</v>
      </c>
      <c r="C14" s="10">
        <f>IF($J14="","",IFERROR(COUNTIFS('Weekly Log'!$G:$G,"Y",'Weekly Log'!$A:$A,"&gt;="&amp;$J14,'Weekly Log'!$A:$A,"&lt;"&amp;$J14+7)/COUNTIFS('Weekly Log'!$G:$G,"&lt;&gt;",'Weekly Log'!$A:$A,"&gt;="&amp;$J14,'Weekly Log'!$A:$A,"&lt;"&amp;$J14+7),0))</f>
        <v>0.8214285714285714</v>
      </c>
      <c r="D14" s="10">
        <f>IF($J14="","",IFERROR(COUNTIFS('Weekly Log'!$H:$H,"Y",'Weekly Log'!$A:$A,"&gt;="&amp;$J14,'Weekly Log'!$A:$A,"&lt;"&amp;$J14+7)/COUNTIFS('Weekly Log'!$H:$H,"&lt;&gt;",'Weekly Log'!$A:$A,"&gt;="&amp;$J14,'Weekly Log'!$A:$A,"&lt;"&amp;$J14+7),0))</f>
        <v>7.1428571428571425E-2</v>
      </c>
      <c r="E14" s="11">
        <f>IF($J14="","",IFERROR(AVERAGEIFS('Weekly Log'!$F:$F,'Weekly Log'!$A:$A,"&gt;="&amp;$J14,'Weekly Log'!$A:$A,"&lt;"&amp;$J14+7),0))</f>
        <v>2</v>
      </c>
      <c r="F14" s="10">
        <f>IF($J14="","",IFERROR(SUMIFS('Weekly Log'!$F:$F,'Weekly Log'!$A:$A,"&gt;="&amp;$J14,'Weekly Log'!$A:$A,"&lt;"&amp;$J14+7)/SUMIFS('Weekly Log'!$E:$E,'Weekly Log'!$A:$A,"&gt;="&amp;$J14,'Weekly Log'!$A:$A,"&lt;"&amp;$J14+7),0))</f>
        <v>0.70440251572327039</v>
      </c>
      <c r="G14" s="9">
        <f>IF($J14="","",IFERROR(LOOKUP(2,1/(('Weekly Log'!$A$5:$A$5000&gt;=$J14)*('Weekly Log'!$A$5:$A$5000&lt;$J14+7)*('Weekly Log'!$M$5:$M$5000&lt;&gt;"")),'Weekly Log'!$M$5:$M$5000),0))</f>
        <v>22</v>
      </c>
      <c r="H14" s="8" t="s">
        <v>21</v>
      </c>
      <c r="J14">
        <f>IF(COUNT('Weekly Log'!$A$5:$A$5000)=0,"",IF(MIN('Weekly Log'!$A$5:$A$5000)+7*(ROW()-10)&gt;MAX('Weekly Log'!$A$5:$A$5000),"",MIN('Weekly Log'!$A$5:$A$5000)+7*(ROW()-10)))</f>
        <v>45642</v>
      </c>
    </row>
    <row r="15" spans="1:10" x14ac:dyDescent="0.25">
      <c r="A15" s="8" t="str">
        <f t="shared" si="0"/>
        <v>2024-W52</v>
      </c>
      <c r="B15" s="9">
        <f>IF($J15="","",SUMIFS('Weekly Log'!$C:$C,'Weekly Log'!$A:$A,"&gt;="&amp;$J15,'Weekly Log'!$A:$A,"&lt;"&amp;$J15+7))</f>
        <v>22</v>
      </c>
      <c r="C15" s="10">
        <f>IF($J15="","",IFERROR(COUNTIFS('Weekly Log'!$G:$G,"Y",'Weekly Log'!$A:$A,"&gt;="&amp;$J15,'Weekly Log'!$A:$A,"&lt;"&amp;$J15+7)/COUNTIFS('Weekly Log'!$G:$G,"&lt;&gt;",'Weekly Log'!$A:$A,"&gt;="&amp;$J15,'Weekly Log'!$A:$A,"&lt;"&amp;$J15+7),0))</f>
        <v>0.81818181818181823</v>
      </c>
      <c r="D15" s="10">
        <f>IF($J15="","",IFERROR(COUNTIFS('Weekly Log'!$H:$H,"Y",'Weekly Log'!$A:$A,"&gt;="&amp;$J15,'Weekly Log'!$A:$A,"&lt;"&amp;$J15+7)/COUNTIFS('Weekly Log'!$H:$H,"&lt;&gt;",'Weekly Log'!$A:$A,"&gt;="&amp;$J15,'Weekly Log'!$A:$A,"&lt;"&amp;$J15+7),0))</f>
        <v>9.0909090909090912E-2</v>
      </c>
      <c r="E15" s="11">
        <f>IF($J15="","",IFERROR(AVERAGEIFS('Weekly Log'!$F:$F,'Weekly Log'!$A:$A,"&gt;="&amp;$J15,'Weekly Log'!$A:$A,"&lt;"&amp;$J15+7),0))</f>
        <v>1.9000000000000001</v>
      </c>
      <c r="F15" s="10">
        <f>IF($J15="","",IFERROR(SUMIFS('Weekly Log'!$F:$F,'Weekly Log'!$A:$A,"&gt;="&amp;$J15,'Weekly Log'!$A:$A,"&lt;"&amp;$J15+7)/SUMIFS('Weekly Log'!$E:$E,'Weekly Log'!$A:$A,"&gt;="&amp;$J15,'Weekly Log'!$A:$A,"&lt;"&amp;$J15+7),0))</f>
        <v>0.6807817589576548</v>
      </c>
      <c r="G15" s="9">
        <f>IF($J15="","",IFERROR(LOOKUP(2,1/(('Weekly Log'!$A$5:$A$5000&gt;=$J15)*('Weekly Log'!$A$5:$A$5000&lt;$J15+7)*('Weekly Log'!$M$5:$M$5000&lt;&gt;"")),'Weekly Log'!$M$5:$M$5000),0))</f>
        <v>24</v>
      </c>
      <c r="H15" s="8" t="s">
        <v>22</v>
      </c>
      <c r="J15">
        <f>IF(COUNT('Weekly Log'!$A$5:$A$5000)=0,"",IF(MIN('Weekly Log'!$A$5:$A$5000)+7*(ROW()-10)&gt;MAX('Weekly Log'!$A$5:$A$5000),"",MIN('Weekly Log'!$A$5:$A$5000)+7*(ROW()-10)))</f>
        <v>45649</v>
      </c>
    </row>
    <row r="16" spans="1:10" x14ac:dyDescent="0.25">
      <c r="A16" s="8" t="str">
        <f t="shared" si="0"/>
        <v>2025-W01</v>
      </c>
      <c r="B16" s="9">
        <f>IF($J16="","",SUMIFS('Weekly Log'!$C:$C,'Weekly Log'!$A:$A,"&gt;="&amp;$J16,'Weekly Log'!$A:$A,"&lt;"&amp;$J16+7))</f>
        <v>35</v>
      </c>
      <c r="C16" s="10">
        <f>IF($J16="","",IFERROR(COUNTIFS('Weekly Log'!$G:$G,"Y",'Weekly Log'!$A:$A,"&gt;="&amp;$J16,'Weekly Log'!$A:$A,"&lt;"&amp;$J16+7)/COUNTIFS('Weekly Log'!$G:$G,"&lt;&gt;",'Weekly Log'!$A:$A,"&gt;="&amp;$J16,'Weekly Log'!$A:$A,"&lt;"&amp;$J16+7),0))</f>
        <v>0.8571428571428571</v>
      </c>
      <c r="D16" s="10">
        <f>IF($J16="","",IFERROR(COUNTIFS('Weekly Log'!$H:$H,"Y",'Weekly Log'!$A:$A,"&gt;="&amp;$J16,'Weekly Log'!$A:$A,"&lt;"&amp;$J16+7)/COUNTIFS('Weekly Log'!$H:$H,"&lt;&gt;",'Weekly Log'!$A:$A,"&gt;="&amp;$J16,'Weekly Log'!$A:$A,"&lt;"&amp;$J16+7),0))</f>
        <v>5.7142857142857141E-2</v>
      </c>
      <c r="E16" s="11">
        <f>IF($J16="","",IFERROR(AVERAGEIFS('Weekly Log'!$F:$F,'Weekly Log'!$A:$A,"&gt;="&amp;$J16,'Weekly Log'!$A:$A,"&lt;"&amp;$J16+7),0))</f>
        <v>2.1</v>
      </c>
      <c r="F16" s="10">
        <f>IF($J16="","",IFERROR(SUMIFS('Weekly Log'!$F:$F,'Weekly Log'!$A:$A,"&gt;="&amp;$J16,'Weekly Log'!$A:$A,"&lt;"&amp;$J16+7)/SUMIFS('Weekly Log'!$E:$E,'Weekly Log'!$A:$A,"&gt;="&amp;$J16,'Weekly Log'!$A:$A,"&lt;"&amp;$J16+7),0))</f>
        <v>0.73795180722891551</v>
      </c>
      <c r="G16" s="9">
        <f>IF($J16="","",IFERROR(LOOKUP(2,1/(('Weekly Log'!$A$5:$A$5000&gt;=$J16)*('Weekly Log'!$A$5:$A$5000&lt;$J16+7)*('Weekly Log'!$M$5:$M$5000&lt;&gt;"")),'Weekly Log'!$M$5:$M$5000),0))</f>
        <v>17</v>
      </c>
      <c r="H16" s="8" t="s">
        <v>23</v>
      </c>
      <c r="J16">
        <f>IF(COUNT('Weekly Log'!$A$5:$A$5000)=0,"",IF(MIN('Weekly Log'!$A$5:$A$5000)+7*(ROW()-10)&gt;MAX('Weekly Log'!$A$5:$A$5000),"",MIN('Weekly Log'!$A$5:$A$5000)+7*(ROW()-10)))</f>
        <v>45656</v>
      </c>
    </row>
    <row r="17" spans="1:10" x14ac:dyDescent="0.25">
      <c r="A17" s="8" t="str">
        <f t="shared" si="0"/>
        <v>2025-W02</v>
      </c>
      <c r="B17" s="9">
        <f>IF($J17="","",SUMIFS('Weekly Log'!$C:$C,'Weekly Log'!$A:$A,"&gt;="&amp;$J17,'Weekly Log'!$A:$A,"&lt;"&amp;$J17+7))</f>
        <v>38</v>
      </c>
      <c r="C17" s="10">
        <f>IF($J17="","",IFERROR(COUNTIFS('Weekly Log'!$G:$G,"Y",'Weekly Log'!$A:$A,"&gt;="&amp;$J17,'Weekly Log'!$A:$A,"&lt;"&amp;$J17+7)/COUNTIFS('Weekly Log'!$G:$G,"&lt;&gt;",'Weekly Log'!$A:$A,"&gt;="&amp;$J17,'Weekly Log'!$A:$A,"&lt;"&amp;$J17+7),0))</f>
        <v>0.86842105263157898</v>
      </c>
      <c r="D17" s="10">
        <f>IF($J17="","",IFERROR(COUNTIFS('Weekly Log'!$H:$H,"Y",'Weekly Log'!$A:$A,"&gt;="&amp;$J17,'Weekly Log'!$A:$A,"&lt;"&amp;$J17+7)/COUNTIFS('Weekly Log'!$H:$H,"&lt;&gt;",'Weekly Log'!$A:$A,"&gt;="&amp;$J17,'Weekly Log'!$A:$A,"&lt;"&amp;$J17+7),0))</f>
        <v>5.2631578947368418E-2</v>
      </c>
      <c r="E17" s="11">
        <f>IF($J17="","",IFERROR(AVERAGEIFS('Weekly Log'!$F:$F,'Weekly Log'!$A:$A,"&gt;="&amp;$J17,'Weekly Log'!$A:$A,"&lt;"&amp;$J17+7),0))</f>
        <v>2.2000000000000002</v>
      </c>
      <c r="F17" s="10">
        <f>IF($J17="","",IFERROR(SUMIFS('Weekly Log'!$F:$F,'Weekly Log'!$A:$A,"&gt;="&amp;$J17,'Weekly Log'!$A:$A,"&lt;"&amp;$J17+7)/SUMIFS('Weekly Log'!$E:$E,'Weekly Log'!$A:$A,"&gt;="&amp;$J17,'Weekly Log'!$A:$A,"&lt;"&amp;$J17+7),0))</f>
        <v>0.7450980392156864</v>
      </c>
      <c r="G17" s="9">
        <f>IF($J17="","",IFERROR(LOOKUP(2,1/(('Weekly Log'!$A$5:$A$5000&gt;=$J17)*('Weekly Log'!$A$5:$A$5000&lt;$J17+7)*('Weekly Log'!$M$5:$M$5000&lt;&gt;"")),'Weekly Log'!$M$5:$M$5000),0))</f>
        <v>15</v>
      </c>
      <c r="H17" s="8"/>
      <c r="J17">
        <f>IF(COUNT('Weekly Log'!$A$5:$A$5000)=0,"",IF(MIN('Weekly Log'!$A$5:$A$5000)+7*(ROW()-10)&gt;MAX('Weekly Log'!$A$5:$A$5000),"",MIN('Weekly Log'!$A$5:$A$5000)+7*(ROW()-10)))</f>
        <v>45663</v>
      </c>
    </row>
    <row r="18" spans="1:10" x14ac:dyDescent="0.25">
      <c r="A18" s="12" t="str">
        <f t="shared" si="0"/>
        <v>2025-W03</v>
      </c>
      <c r="B18" s="13">
        <f>IF($J18="","",SUMIFS('Weekly Log'!$C:$C,'Weekly Log'!$A:$A,"&gt;="&amp;$J18,'Weekly Log'!$A:$A,"&lt;"&amp;$J18+7))</f>
        <v>40</v>
      </c>
      <c r="C18" s="14">
        <f>IF($J18="","",IFERROR(COUNTIFS('Weekly Log'!$G:$G,"Y",'Weekly Log'!$A:$A,"&gt;="&amp;$J18,'Weekly Log'!$A:$A,"&lt;"&amp;$J18+7)/COUNTIFS('Weekly Log'!$G:$G,"&lt;&gt;",'Weekly Log'!$A:$A,"&gt;="&amp;$J18,'Weekly Log'!$A:$A,"&lt;"&amp;$J18+7),0))</f>
        <v>0.875</v>
      </c>
      <c r="D18" s="14">
        <f>IF($J18="","",IFERROR(COUNTIFS('Weekly Log'!$H:$H,"Y",'Weekly Log'!$A:$A,"&gt;="&amp;$J18,'Weekly Log'!$A:$A,"&lt;"&amp;$J18+7)/COUNTIFS('Weekly Log'!$H:$H,"&lt;&gt;",'Weekly Log'!$A:$A,"&gt;="&amp;$J18,'Weekly Log'!$A:$A,"&lt;"&amp;$J18+7),0))</f>
        <v>0.05</v>
      </c>
      <c r="E18" s="15">
        <f>IF($J18="","",IFERROR(AVERAGEIFS('Weekly Log'!$F:$F,'Weekly Log'!$A:$A,"&gt;="&amp;$J18,'Weekly Log'!$A:$A,"&lt;"&amp;$J18+7),0))</f>
        <v>2.1999999999999997</v>
      </c>
      <c r="F18" s="14">
        <f>IF($J18="","",IFERROR(SUMIFS('Weekly Log'!$F:$F,'Weekly Log'!$A:$A,"&gt;="&amp;$J18,'Weekly Log'!$A:$A,"&lt;"&amp;$J18+7)/SUMIFS('Weekly Log'!$E:$E,'Weekly Log'!$A:$A,"&gt;="&amp;$J18,'Weekly Log'!$A:$A,"&lt;"&amp;$J18+7),0))</f>
        <v>0.75213675213675202</v>
      </c>
      <c r="G18" s="13">
        <f>IF($J18="","",IFERROR(LOOKUP(2,1/(('Weekly Log'!$A$5:$A$5000&gt;=$J18)*('Weekly Log'!$A$5:$A$5000&lt;$J18+7)*('Weekly Log'!$M$5:$M$5000&lt;&gt;"")),'Weekly Log'!$M$5:$M$5000),0))</f>
        <v>14</v>
      </c>
      <c r="H18" s="12"/>
      <c r="J18">
        <f>IF(COUNT('Weekly Log'!$A$5:$A$5000)=0,"",IF(MIN('Weekly Log'!$A$5:$A$5000)+7*(ROW()-10)&gt;MAX('Weekly Log'!$A$5:$A$5000),"",MIN('Weekly Log'!$A$5:$A$5000)+7*(ROW()-10)))</f>
        <v>45670</v>
      </c>
    </row>
    <row r="19" spans="1:10" x14ac:dyDescent="0.25">
      <c r="A19" s="12" t="str">
        <f t="shared" si="0"/>
        <v>2025-W04</v>
      </c>
      <c r="B19" s="13">
        <f>IF($J19="","",SUMIFS('Weekly Log'!$C:$C,'Weekly Log'!$A:$A,"&gt;="&amp;$J19,'Weekly Log'!$A:$A,"&lt;"&amp;$J19+7))</f>
        <v>37</v>
      </c>
      <c r="C19" s="14">
        <f>IF($J19="","",IFERROR(COUNTIFS('Weekly Log'!$G:$G,"Y",'Weekly Log'!$A:$A,"&gt;="&amp;$J19,'Weekly Log'!$A:$A,"&lt;"&amp;$J19+7)/COUNTIFS('Weekly Log'!$G:$G,"&lt;&gt;",'Weekly Log'!$A:$A,"&gt;="&amp;$J19,'Weekly Log'!$A:$A,"&lt;"&amp;$J19+7),0))</f>
        <v>0.86486486486486491</v>
      </c>
      <c r="D19" s="14">
        <f>IF($J19="","",IFERROR(COUNTIFS('Weekly Log'!$H:$H,"Y",'Weekly Log'!$A:$A,"&gt;="&amp;$J19,'Weekly Log'!$A:$A,"&lt;"&amp;$J19+7)/COUNTIFS('Weekly Log'!$H:$H,"&lt;&gt;",'Weekly Log'!$A:$A,"&gt;="&amp;$J19,'Weekly Log'!$A:$A,"&lt;"&amp;$J19+7),0))</f>
        <v>5.4054054054054057E-2</v>
      </c>
      <c r="E19" s="15">
        <f>IF($J19="","",IFERROR(AVERAGEIFS('Weekly Log'!$F:$F,'Weekly Log'!$A:$A,"&gt;="&amp;$J19,'Weekly Log'!$A:$A,"&lt;"&amp;$J19+7),0))</f>
        <v>2.3000000000000003</v>
      </c>
      <c r="F19" s="14">
        <f>IF($J19="","",IFERROR(SUMIFS('Weekly Log'!$F:$F,'Weekly Log'!$A:$A,"&gt;="&amp;$J19,'Weekly Log'!$A:$A,"&lt;"&amp;$J19+7)/SUMIFS('Weekly Log'!$E:$E,'Weekly Log'!$A:$A,"&gt;="&amp;$J19,'Weekly Log'!$A:$A,"&lt;"&amp;$J19+7),0))</f>
        <v>0.74193548387096775</v>
      </c>
      <c r="G19" s="13">
        <f>IF($J19="","",IFERROR(LOOKUP(2,1/(('Weekly Log'!$A$5:$A$5000&gt;=$J19)*('Weekly Log'!$A$5:$A$5000&lt;$J19+7)*('Weekly Log'!$M$5:$M$5000&lt;&gt;"")),'Weekly Log'!$M$5:$M$5000),0))</f>
        <v>16</v>
      </c>
      <c r="H19" s="12"/>
      <c r="J19">
        <f>IF(COUNT('Weekly Log'!$A$5:$A$5000)=0,"",IF(MIN('Weekly Log'!$A$5:$A$5000)+7*(ROW()-10)&gt;MAX('Weekly Log'!$A$5:$A$5000),"",MIN('Weekly Log'!$A$5:$A$5000)+7*(ROW()-10)))</f>
        <v>45677</v>
      </c>
    </row>
    <row r="20" spans="1:10" x14ac:dyDescent="0.25">
      <c r="A20" s="12" t="str">
        <f t="shared" si="0"/>
        <v>2025-W05</v>
      </c>
      <c r="B20" s="13">
        <f>IF($J20="","",SUMIFS('Weekly Log'!$C:$C,'Weekly Log'!$A:$A,"&gt;="&amp;$J20,'Weekly Log'!$A:$A,"&lt;"&amp;$J20+7))</f>
        <v>41</v>
      </c>
      <c r="C20" s="14">
        <f>IF($J20="","",IFERROR(COUNTIFS('Weekly Log'!$G:$G,"Y",'Weekly Log'!$A:$A,"&gt;="&amp;$J20,'Weekly Log'!$A:$A,"&lt;"&amp;$J20+7)/COUNTIFS('Weekly Log'!$G:$G,"&lt;&gt;",'Weekly Log'!$A:$A,"&gt;="&amp;$J20,'Weekly Log'!$A:$A,"&lt;"&amp;$J20+7),0))</f>
        <v>0.87804878048780488</v>
      </c>
      <c r="D20" s="14">
        <f>IF($J20="","",IFERROR(COUNTIFS('Weekly Log'!$H:$H,"Y",'Weekly Log'!$A:$A,"&gt;="&amp;$J20,'Weekly Log'!$A:$A,"&lt;"&amp;$J20+7)/COUNTIFS('Weekly Log'!$H:$H,"&lt;&gt;",'Weekly Log'!$A:$A,"&gt;="&amp;$J20,'Weekly Log'!$A:$A,"&lt;"&amp;$J20+7),0))</f>
        <v>4.878048780487805E-2</v>
      </c>
      <c r="E20" s="15">
        <f>IF($J20="","",IFERROR(AVERAGEIFS('Weekly Log'!$F:$F,'Weekly Log'!$A:$A,"&gt;="&amp;$J20,'Weekly Log'!$A:$A,"&lt;"&amp;$J20+7),0))</f>
        <v>2.1</v>
      </c>
      <c r="F20" s="14">
        <f>IF($J20="","",IFERROR(SUMIFS('Weekly Log'!$F:$F,'Weekly Log'!$A:$A,"&gt;="&amp;$J20,'Weekly Log'!$A:$A,"&lt;"&amp;$J20+7)/SUMIFS('Weekly Log'!$E:$E,'Weekly Log'!$A:$A,"&gt;="&amp;$J20,'Weekly Log'!$A:$A,"&lt;"&amp;$J20+7),0))</f>
        <v>0.75792253521126762</v>
      </c>
      <c r="G20" s="13">
        <f>IF($J20="","",IFERROR(LOOKUP(2,1/(('Weekly Log'!$A$5:$A$5000&gt;=$J20)*('Weekly Log'!$A$5:$A$5000&lt;$J20+7)*('Weekly Log'!$M$5:$M$5000&lt;&gt;"")),'Weekly Log'!$M$5:$M$5000),0))</f>
        <v>13</v>
      </c>
      <c r="H20" s="12"/>
      <c r="J20">
        <f>IF(COUNT('Weekly Log'!$A$5:$A$5000)=0,"",IF(MIN('Weekly Log'!$A$5:$A$5000)+7*(ROW()-10)&gt;MAX('Weekly Log'!$A$5:$A$5000),"",MIN('Weekly Log'!$A$5:$A$5000)+7*(ROW()-10)))</f>
        <v>45684</v>
      </c>
    </row>
    <row r="21" spans="1:10" x14ac:dyDescent="0.25">
      <c r="A21" s="12" t="str">
        <f t="shared" si="0"/>
        <v>2025-W06</v>
      </c>
      <c r="B21" s="13">
        <f>IF($J21="","",SUMIFS('Weekly Log'!$C:$C,'Weekly Log'!$A:$A,"&gt;="&amp;$J21,'Weekly Log'!$A:$A,"&lt;"&amp;$J21+7))</f>
        <v>40</v>
      </c>
      <c r="C21" s="14">
        <f>IF($J21="","",IFERROR(COUNTIFS('Weekly Log'!$G:$G,"Y",'Weekly Log'!$A:$A,"&gt;="&amp;$J21,'Weekly Log'!$A:$A,"&lt;"&amp;$J21+7)/COUNTIFS('Weekly Log'!$G:$G,"&lt;&gt;",'Weekly Log'!$A:$A,"&gt;="&amp;$J21,'Weekly Log'!$A:$A,"&lt;"&amp;$J21+7),0))</f>
        <v>0.875</v>
      </c>
      <c r="D21" s="14">
        <f>IF($J21="","",IFERROR(COUNTIFS('Weekly Log'!$H:$H,"Y",'Weekly Log'!$A:$A,"&gt;="&amp;$J21,'Weekly Log'!$A:$A,"&lt;"&amp;$J21+7)/COUNTIFS('Weekly Log'!$H:$H,"&lt;&gt;",'Weekly Log'!$A:$A,"&gt;="&amp;$J21,'Weekly Log'!$A:$A,"&lt;"&amp;$J21+7),0))</f>
        <v>0.05</v>
      </c>
      <c r="E21" s="15">
        <f>IF($J21="","",IFERROR(AVERAGEIFS('Weekly Log'!$F:$F,'Weekly Log'!$A:$A,"&gt;="&amp;$J21,'Weekly Log'!$A:$A,"&lt;"&amp;$J21+7),0))</f>
        <v>2.2000000000000002</v>
      </c>
      <c r="F21" s="14">
        <f>IF($J21="","",IFERROR(SUMIFS('Weekly Log'!$F:$F,'Weekly Log'!$A:$A,"&gt;="&amp;$J21,'Weekly Log'!$A:$A,"&lt;"&amp;$J21+7)/SUMIFS('Weekly Log'!$E:$E,'Weekly Log'!$A:$A,"&gt;="&amp;$J21,'Weekly Log'!$A:$A,"&lt;"&amp;$J21+7),0))</f>
        <v>0.7508532423208194</v>
      </c>
      <c r="G21" s="13">
        <f>IF($J21="","",IFERROR(LOOKUP(2,1/(('Weekly Log'!$A$5:$A$5000&gt;=$J21)*('Weekly Log'!$A$5:$A$5000&lt;$J21+7)*('Weekly Log'!$M$5:$M$5000&lt;&gt;"")),'Weekly Log'!$M$5:$M$5000),0))</f>
        <v>14</v>
      </c>
      <c r="H21" s="12"/>
      <c r="J21">
        <f>IF(COUNT('Weekly Log'!$A$5:$A$5000)=0,"",IF(MIN('Weekly Log'!$A$5:$A$5000)+7*(ROW()-10)&gt;MAX('Weekly Log'!$A$5:$A$5000),"",MIN('Weekly Log'!$A$5:$A$5000)+7*(ROW()-10)))</f>
        <v>45691</v>
      </c>
    </row>
    <row r="22" spans="1:10" x14ac:dyDescent="0.25">
      <c r="A22" s="12" t="str">
        <f t="shared" si="0"/>
        <v>2025-W07</v>
      </c>
      <c r="B22" s="13">
        <f>IF($J22="","",SUMIFS('Weekly Log'!$C:$C,'Weekly Log'!$A:$A,"&gt;="&amp;$J22,'Weekly Log'!$A:$A,"&lt;"&amp;$J22+7))</f>
        <v>42</v>
      </c>
      <c r="C22" s="14">
        <f>IF($J22="","",IFERROR(COUNTIFS('Weekly Log'!$G:$G,"Y",'Weekly Log'!$A:$A,"&gt;="&amp;$J22,'Weekly Log'!$A:$A,"&lt;"&amp;$J22+7)/COUNTIFS('Weekly Log'!$G:$G,"&lt;&gt;",'Weekly Log'!$A:$A,"&gt;="&amp;$J22,'Weekly Log'!$A:$A,"&lt;"&amp;$J22+7),0))</f>
        <v>0.88095238095238093</v>
      </c>
      <c r="D22" s="14">
        <f>IF($J22="","",IFERROR(COUNTIFS('Weekly Log'!$H:$H,"Y",'Weekly Log'!$A:$A,"&gt;="&amp;$J22,'Weekly Log'!$A:$A,"&lt;"&amp;$J22+7)/COUNTIFS('Weekly Log'!$H:$H,"&lt;&gt;",'Weekly Log'!$A:$A,"&gt;="&amp;$J22,'Weekly Log'!$A:$A,"&lt;"&amp;$J22+7),0))</f>
        <v>4.7619047619047616E-2</v>
      </c>
      <c r="E22" s="15">
        <f>IF($J22="","",IFERROR(AVERAGEIFS('Weekly Log'!$F:$F,'Weekly Log'!$A:$A,"&gt;="&amp;$J22,'Weekly Log'!$A:$A,"&lt;"&amp;$J22+7),0))</f>
        <v>2.2999999999999998</v>
      </c>
      <c r="F22" s="14">
        <f>IF($J22="","",IFERROR(SUMIFS('Weekly Log'!$F:$F,'Weekly Log'!$A:$A,"&gt;="&amp;$J22,'Weekly Log'!$A:$A,"&lt;"&amp;$J22+7)/SUMIFS('Weekly Log'!$E:$E,'Weekly Log'!$A:$A,"&gt;="&amp;$J22,'Weekly Log'!$A:$A,"&lt;"&amp;$J22+7),0))</f>
        <v>0.76182965299684546</v>
      </c>
      <c r="G22" s="13">
        <f>IF($J22="","",IFERROR(LOOKUP(2,1/(('Weekly Log'!$A$5:$A$5000&gt;=$J22)*('Weekly Log'!$A$5:$A$5000&lt;$J22+7)*('Weekly Log'!$M$5:$M$5000&lt;&gt;"")),'Weekly Log'!$M$5:$M$5000),0))</f>
        <v>12</v>
      </c>
      <c r="H22" s="12"/>
      <c r="J22">
        <f>IF(COUNT('Weekly Log'!$A$5:$A$5000)=0,"",IF(MIN('Weekly Log'!$A$5:$A$5000)+7*(ROW()-10)&gt;MAX('Weekly Log'!$A$5:$A$5000),"",MIN('Weekly Log'!$A$5:$A$5000)+7*(ROW()-10)))</f>
        <v>45698</v>
      </c>
    </row>
    <row r="23" spans="1:10" x14ac:dyDescent="0.25">
      <c r="A23" s="12" t="str">
        <f t="shared" si="0"/>
        <v>2025-W08</v>
      </c>
      <c r="B23" s="13">
        <f>IF($J23="","",SUMIFS('Weekly Log'!$C:$C,'Weekly Log'!$A:$A,"&gt;="&amp;$J23,'Weekly Log'!$A:$A,"&lt;"&amp;$J23+7))</f>
        <v>43</v>
      </c>
      <c r="C23" s="14">
        <f>IF($J23="","",IFERROR(COUNTIFS('Weekly Log'!$G:$G,"Y",'Weekly Log'!$A:$A,"&gt;="&amp;$J23,'Weekly Log'!$A:$A,"&lt;"&amp;$J23+7)/COUNTIFS('Weekly Log'!$G:$G,"&lt;&gt;",'Weekly Log'!$A:$A,"&gt;="&amp;$J23,'Weekly Log'!$A:$A,"&lt;"&amp;$J23+7),0))</f>
        <v>0.88372093023255816</v>
      </c>
      <c r="D23" s="14">
        <f>IF($J23="","",IFERROR(COUNTIFS('Weekly Log'!$H:$H,"Y",'Weekly Log'!$A:$A,"&gt;="&amp;$J23,'Weekly Log'!$A:$A,"&lt;"&amp;$J23+7)/COUNTIFS('Weekly Log'!$H:$H,"&lt;&gt;",'Weekly Log'!$A:$A,"&gt;="&amp;$J23,'Weekly Log'!$A:$A,"&lt;"&amp;$J23+7),0))</f>
        <v>4.6511627906976744E-2</v>
      </c>
      <c r="E23" s="15">
        <f>IF($J23="","",IFERROR(AVERAGEIFS('Weekly Log'!$F:$F,'Weekly Log'!$A:$A,"&gt;="&amp;$J23,'Weekly Log'!$A:$A,"&lt;"&amp;$J23+7),0))</f>
        <v>2.2000000000000006</v>
      </c>
      <c r="F23" s="14">
        <f>IF($J23="","",IFERROR(SUMIFS('Weekly Log'!$F:$F,'Weekly Log'!$A:$A,"&gt;="&amp;$J23,'Weekly Log'!$A:$A,"&lt;"&amp;$J23+7)/SUMIFS('Weekly Log'!$E:$E,'Weekly Log'!$A:$A,"&gt;="&amp;$J23,'Weekly Log'!$A:$A,"&lt;"&amp;$J23+7),0))</f>
        <v>0.76475343573160892</v>
      </c>
      <c r="G23" s="13">
        <f>IF($J23="","",IFERROR(LOOKUP(2,1/(('Weekly Log'!$A$5:$A$5000&gt;=$J23)*('Weekly Log'!$A$5:$A$5000&lt;$J23+7)*('Weekly Log'!$M$5:$M$5000&lt;&gt;"")),'Weekly Log'!$M$5:$M$5000),0))</f>
        <v>11</v>
      </c>
      <c r="H23" s="12"/>
      <c r="J23">
        <f>IF(COUNT('Weekly Log'!$A$5:$A$5000)=0,"",IF(MIN('Weekly Log'!$A$5:$A$5000)+7*(ROW()-10)&gt;MAX('Weekly Log'!$A$5:$A$5000),"",MIN('Weekly Log'!$A$5:$A$5000)+7*(ROW()-10)))</f>
        <v>45705</v>
      </c>
    </row>
    <row r="24" spans="1:10" x14ac:dyDescent="0.25">
      <c r="A24" s="12" t="str">
        <f t="shared" si="0"/>
        <v>2025-W09</v>
      </c>
      <c r="B24" s="13">
        <f>IF($J24="","",SUMIFS('Weekly Log'!$C:$C,'Weekly Log'!$A:$A,"&gt;="&amp;$J24,'Weekly Log'!$A:$A,"&lt;"&amp;$J24+7))</f>
        <v>41</v>
      </c>
      <c r="C24" s="14">
        <f>IF($J24="","",IFERROR(COUNTIFS('Weekly Log'!$G:$G,"Y",'Weekly Log'!$A:$A,"&gt;="&amp;$J24,'Weekly Log'!$A:$A,"&lt;"&amp;$J24+7)/COUNTIFS('Weekly Log'!$G:$G,"&lt;&gt;",'Weekly Log'!$A:$A,"&gt;="&amp;$J24,'Weekly Log'!$A:$A,"&lt;"&amp;$J24+7),0))</f>
        <v>0.87804878048780488</v>
      </c>
      <c r="D24" s="14">
        <f>IF($J24="","",IFERROR(COUNTIFS('Weekly Log'!$H:$H,"Y",'Weekly Log'!$A:$A,"&gt;="&amp;$J24,'Weekly Log'!$A:$A,"&lt;"&amp;$J24+7)/COUNTIFS('Weekly Log'!$H:$H,"&lt;&gt;",'Weekly Log'!$A:$A,"&gt;="&amp;$J24,'Weekly Log'!$A:$A,"&lt;"&amp;$J24+7),0))</f>
        <v>4.878048780487805E-2</v>
      </c>
      <c r="E24" s="15">
        <f>IF($J24="","",IFERROR(AVERAGEIFS('Weekly Log'!$F:$F,'Weekly Log'!$A:$A,"&gt;="&amp;$J24,'Weekly Log'!$A:$A,"&lt;"&amp;$J24+7),0))</f>
        <v>2.1</v>
      </c>
      <c r="F24" s="14">
        <f>IF($J24="","",IFERROR(SUMIFS('Weekly Log'!$F:$F,'Weekly Log'!$A:$A,"&gt;="&amp;$J24,'Weekly Log'!$A:$A,"&lt;"&amp;$J24+7)/SUMIFS('Weekly Log'!$E:$E,'Weekly Log'!$A:$A,"&gt;="&amp;$J24,'Weekly Log'!$A:$A,"&lt;"&amp;$J24+7),0))</f>
        <v>0.76127320954907174</v>
      </c>
      <c r="G24" s="13">
        <f>IF($J24="","",IFERROR(LOOKUP(2,1/(('Weekly Log'!$A$5:$A$5000&gt;=$J24)*('Weekly Log'!$A$5:$A$5000&lt;$J24+7)*('Weekly Log'!$M$5:$M$5000&lt;&gt;"")),'Weekly Log'!$M$5:$M$5000),0))</f>
        <v>12</v>
      </c>
      <c r="H24" s="12" t="s">
        <v>20</v>
      </c>
      <c r="J24">
        <f>IF(COUNT('Weekly Log'!$A$5:$A$5000)=0,"",IF(MIN('Weekly Log'!$A$5:$A$5000)+7*(ROW()-10)&gt;MAX('Weekly Log'!$A$5:$A$5000),"",MIN('Weekly Log'!$A$5:$A$5000)+7*(ROW()-10)))</f>
        <v>45712</v>
      </c>
    </row>
    <row r="25" spans="1:10" x14ac:dyDescent="0.25">
      <c r="A25" s="12" t="str">
        <f t="shared" si="0"/>
        <v>2025-W10</v>
      </c>
      <c r="B25" s="13">
        <f>IF($J25="","",SUMIFS('Weekly Log'!$C:$C,'Weekly Log'!$A:$A,"&gt;="&amp;$J25,'Weekly Log'!$A:$A,"&lt;"&amp;$J25+7))</f>
        <v>44</v>
      </c>
      <c r="C25" s="14">
        <f>IF($J25="","",IFERROR(COUNTIFS('Weekly Log'!$G:$G,"Y",'Weekly Log'!$A:$A,"&gt;="&amp;$J25,'Weekly Log'!$A:$A,"&lt;"&amp;$J25+7)/COUNTIFS('Weekly Log'!$G:$G,"&lt;&gt;",'Weekly Log'!$A:$A,"&gt;="&amp;$J25,'Weekly Log'!$A:$A,"&lt;"&amp;$J25+7),0))</f>
        <v>0.88636363636363635</v>
      </c>
      <c r="D25" s="14">
        <f>IF($J25="","",IFERROR(COUNTIFS('Weekly Log'!$H:$H,"Y",'Weekly Log'!$A:$A,"&gt;="&amp;$J25,'Weekly Log'!$A:$A,"&lt;"&amp;$J25+7)/COUNTIFS('Weekly Log'!$H:$H,"&lt;&gt;",'Weekly Log'!$A:$A,"&gt;="&amp;$J25,'Weekly Log'!$A:$A,"&lt;"&amp;$J25+7),0))</f>
        <v>4.5454545454545456E-2</v>
      </c>
      <c r="E25" s="15">
        <f>IF($J25="","",IFERROR(AVERAGEIFS('Weekly Log'!$F:$F,'Weekly Log'!$A:$A,"&gt;="&amp;$J25,'Weekly Log'!$A:$A,"&lt;"&amp;$J25+7),0))</f>
        <v>2.1999999999999997</v>
      </c>
      <c r="F25" s="14">
        <f>IF($J25="","",IFERROR(SUMIFS('Weekly Log'!$F:$F,'Weekly Log'!$A:$A,"&gt;="&amp;$J25,'Weekly Log'!$A:$A,"&lt;"&amp;$J25+7)/SUMIFS('Weekly Log'!$E:$E,'Weekly Log'!$A:$A,"&gt;="&amp;$J25,'Weekly Log'!$A:$A,"&lt;"&amp;$J25+7),0))</f>
        <v>0.76886417791898343</v>
      </c>
      <c r="G25" s="13">
        <f>IF($J25="","",IFERROR(LOOKUP(2,1/(('Weekly Log'!$A$5:$A$5000&gt;=$J25)*('Weekly Log'!$A$5:$A$5000&lt;$J25+7)*('Weekly Log'!$M$5:$M$5000&lt;&gt;"")),'Weekly Log'!$M$5:$M$5000),0))</f>
        <v>10</v>
      </c>
      <c r="H25" s="12"/>
      <c r="J25">
        <f>IF(COUNT('Weekly Log'!$A$5:$A$5000)=0,"",IF(MIN('Weekly Log'!$A$5:$A$5000)+7*(ROW()-10)&gt;MAX('Weekly Log'!$A$5:$A$5000),"",MIN('Weekly Log'!$A$5:$A$5000)+7*(ROW()-10)))</f>
        <v>45719</v>
      </c>
    </row>
    <row r="26" spans="1:10" x14ac:dyDescent="0.25">
      <c r="A26" s="12" t="str">
        <f t="shared" si="0"/>
        <v>2025-W11</v>
      </c>
      <c r="B26" s="13">
        <f>IF($J26="","",SUMIFS('Weekly Log'!$C:$C,'Weekly Log'!$A:$A,"&gt;="&amp;$J26,'Weekly Log'!$A:$A,"&lt;"&amp;$J26+7))</f>
        <v>39</v>
      </c>
      <c r="C26" s="14">
        <f>IF($J26="","",IFERROR(COUNTIFS('Weekly Log'!$G:$G,"Y",'Weekly Log'!$A:$A,"&gt;="&amp;$J26,'Weekly Log'!$A:$A,"&lt;"&amp;$J26+7)/COUNTIFS('Weekly Log'!$G:$G,"&lt;&gt;",'Weekly Log'!$A:$A,"&gt;="&amp;$J26,'Weekly Log'!$A:$A,"&lt;"&amp;$J26+7),0))</f>
        <v>0.87179487179487181</v>
      </c>
      <c r="D26" s="14">
        <f>IF($J26="","",IFERROR(COUNTIFS('Weekly Log'!$H:$H,"Y",'Weekly Log'!$A:$A,"&gt;="&amp;$J26,'Weekly Log'!$A:$A,"&lt;"&amp;$J26+7)/COUNTIFS('Weekly Log'!$H:$H,"&lt;&gt;",'Weekly Log'!$A:$A,"&gt;="&amp;$J26,'Weekly Log'!$A:$A,"&lt;"&amp;$J26+7),0))</f>
        <v>5.128205128205128E-2</v>
      </c>
      <c r="E26" s="15">
        <f>IF($J26="","",IFERROR(AVERAGEIFS('Weekly Log'!$F:$F,'Weekly Log'!$A:$A,"&gt;="&amp;$J26,'Weekly Log'!$A:$A,"&lt;"&amp;$J26+7),0))</f>
        <v>2.4000000000000004</v>
      </c>
      <c r="F26" s="14">
        <f>IF($J26="","",IFERROR(SUMIFS('Weekly Log'!$F:$F,'Weekly Log'!$A:$A,"&gt;="&amp;$J26,'Weekly Log'!$A:$A,"&lt;"&amp;$J26+7)/SUMIFS('Weekly Log'!$E:$E,'Weekly Log'!$A:$A,"&gt;="&amp;$J26,'Weekly Log'!$A:$A,"&lt;"&amp;$J26+7),0))</f>
        <v>0.75483870967741939</v>
      </c>
      <c r="G26" s="13">
        <f>IF($J26="","",IFERROR(LOOKUP(2,1/(('Weekly Log'!$A$5:$A$5000&gt;=$J26)*('Weekly Log'!$A$5:$A$5000&lt;$J26+7)*('Weekly Log'!$M$5:$M$5000&lt;&gt;"")),'Weekly Log'!$M$5:$M$5000),0))</f>
        <v>14</v>
      </c>
      <c r="H26" s="12" t="s">
        <v>24</v>
      </c>
      <c r="J26">
        <f>IF(COUNT('Weekly Log'!$A$5:$A$5000)=0,"",IF(MIN('Weekly Log'!$A$5:$A$5000)+7*(ROW()-10)&gt;MAX('Weekly Log'!$A$5:$A$5000),"",MIN('Weekly Log'!$A$5:$A$5000)+7*(ROW()-10)))</f>
        <v>45726</v>
      </c>
    </row>
    <row r="27" spans="1:10" x14ac:dyDescent="0.25">
      <c r="A27" s="12" t="str">
        <f t="shared" si="0"/>
        <v>2025-W12</v>
      </c>
      <c r="B27" s="13">
        <f>IF($J27="","",SUMIFS('Weekly Log'!$C:$C,'Weekly Log'!$A:$A,"&gt;="&amp;$J27,'Weekly Log'!$A:$A,"&lt;"&amp;$J27+7))</f>
        <v>46</v>
      </c>
      <c r="C27" s="14">
        <f>IF($J27="","",IFERROR(COUNTIFS('Weekly Log'!$G:$G,"Y",'Weekly Log'!$A:$A,"&gt;="&amp;$J27,'Weekly Log'!$A:$A,"&lt;"&amp;$J27+7)/COUNTIFS('Weekly Log'!$G:$G,"&lt;&gt;",'Weekly Log'!$A:$A,"&gt;="&amp;$J27,'Weekly Log'!$A:$A,"&lt;"&amp;$J27+7),0))</f>
        <v>0.89130434782608692</v>
      </c>
      <c r="D27" s="14">
        <f>IF($J27="","",IFERROR(COUNTIFS('Weekly Log'!$H:$H,"Y",'Weekly Log'!$A:$A,"&gt;="&amp;$J27,'Weekly Log'!$A:$A,"&lt;"&amp;$J27+7)/COUNTIFS('Weekly Log'!$H:$H,"&lt;&gt;",'Weekly Log'!$A:$A,"&gt;="&amp;$J27,'Weekly Log'!$A:$A,"&lt;"&amp;$J27+7),0))</f>
        <v>4.3478260869565216E-2</v>
      </c>
      <c r="E27" s="15">
        <f>IF($J27="","",IFERROR(AVERAGEIFS('Weekly Log'!$F:$F,'Weekly Log'!$A:$A,"&gt;="&amp;$J27,'Weekly Log'!$A:$A,"&lt;"&amp;$J27+7),0))</f>
        <v>2.3000000000000007</v>
      </c>
      <c r="F27" s="14">
        <f>IF($J27="","",IFERROR(SUMIFS('Weekly Log'!$F:$F,'Weekly Log'!$A:$A,"&gt;="&amp;$J27,'Weekly Log'!$A:$A,"&lt;"&amp;$J27+7)/SUMIFS('Weekly Log'!$E:$E,'Weekly Log'!$A:$A,"&gt;="&amp;$J27,'Weekly Log'!$A:$A,"&lt;"&amp;$J27+7),0))</f>
        <v>0.78023598820059059</v>
      </c>
      <c r="G27" s="13">
        <f>IF($J27="","",IFERROR(LOOKUP(2,1/(('Weekly Log'!$A$5:$A$5000&gt;=$J27)*('Weekly Log'!$A$5:$A$5000&lt;$J27+7)*('Weekly Log'!$M$5:$M$5000&lt;&gt;"")),'Weekly Log'!$M$5:$M$5000),0))</f>
        <v>9</v>
      </c>
      <c r="H27" s="12"/>
      <c r="J27">
        <f>IF(COUNT('Weekly Log'!$A$5:$A$5000)=0,"",IF(MIN('Weekly Log'!$A$5:$A$5000)+7*(ROW()-10)&gt;MAX('Weekly Log'!$A$5:$A$5000),"",MIN('Weekly Log'!$A$5:$A$5000)+7*(ROW()-10)))</f>
        <v>45733</v>
      </c>
    </row>
    <row r="28" spans="1:10" x14ac:dyDescent="0.25">
      <c r="A28" s="12" t="str">
        <f t="shared" si="0"/>
        <v>2025-W13</v>
      </c>
      <c r="B28" s="13">
        <f>IF($J28="","",SUMIFS('Weekly Log'!$C:$C,'Weekly Log'!$A:$A,"&gt;="&amp;$J28,'Weekly Log'!$A:$A,"&lt;"&amp;$J28+7))</f>
        <v>43</v>
      </c>
      <c r="C28" s="14">
        <f>IF($J28="","",IFERROR(COUNTIFS('Weekly Log'!$G:$G,"Y",'Weekly Log'!$A:$A,"&gt;="&amp;$J28,'Weekly Log'!$A:$A,"&lt;"&amp;$J28+7)/COUNTIFS('Weekly Log'!$G:$G,"&lt;&gt;",'Weekly Log'!$A:$A,"&gt;="&amp;$J28,'Weekly Log'!$A:$A,"&lt;"&amp;$J28+7),0))</f>
        <v>0.88372093023255816</v>
      </c>
      <c r="D28" s="14">
        <f>IF($J28="","",IFERROR(COUNTIFS('Weekly Log'!$H:$H,"Y",'Weekly Log'!$A:$A,"&gt;="&amp;$J28,'Weekly Log'!$A:$A,"&lt;"&amp;$J28+7)/COUNTIFS('Weekly Log'!$H:$H,"&lt;&gt;",'Weekly Log'!$A:$A,"&gt;="&amp;$J28,'Weekly Log'!$A:$A,"&lt;"&amp;$J28+7),0))</f>
        <v>4.6511627906976744E-2</v>
      </c>
      <c r="E28" s="15">
        <f>IF($J28="","",IFERROR(AVERAGEIFS('Weekly Log'!$F:$F,'Weekly Log'!$A:$A,"&gt;="&amp;$J28,'Weekly Log'!$A:$A,"&lt;"&amp;$J28+7),0))</f>
        <v>2.1999999999999993</v>
      </c>
      <c r="F28" s="14">
        <f>IF($J28="","",IFERROR(SUMIFS('Weekly Log'!$F:$F,'Weekly Log'!$A:$A,"&gt;="&amp;$J28,'Weekly Log'!$A:$A,"&lt;"&amp;$J28+7)/SUMIFS('Weekly Log'!$E:$E,'Weekly Log'!$A:$A,"&gt;="&amp;$J28,'Weekly Log'!$A:$A,"&lt;"&amp;$J28+7),0))</f>
        <v>0.77224489795918327</v>
      </c>
      <c r="G28" s="13">
        <f>IF($J28="","",IFERROR(LOOKUP(2,1/(('Weekly Log'!$A$5:$A$5000&gt;=$J28)*('Weekly Log'!$A$5:$A$5000&lt;$J28+7)*('Weekly Log'!$M$5:$M$5000&lt;&gt;"")),'Weekly Log'!$M$5:$M$5000),0))</f>
        <v>11</v>
      </c>
      <c r="H28" s="12"/>
      <c r="J28">
        <f>IF(COUNT('Weekly Log'!$A$5:$A$5000)=0,"",IF(MIN('Weekly Log'!$A$5:$A$5000)+7*(ROW()-10)&gt;MAX('Weekly Log'!$A$5:$A$5000),"",MIN('Weekly Log'!$A$5:$A$5000)+7*(ROW()-10)))</f>
        <v>45740</v>
      </c>
    </row>
    <row r="29" spans="1:10" x14ac:dyDescent="0.25">
      <c r="A29" s="12" t="str">
        <f t="shared" si="0"/>
        <v>2025-W14</v>
      </c>
      <c r="B29" s="13">
        <f>IF($J29="","",SUMIFS('Weekly Log'!$C:$C,'Weekly Log'!$A:$A,"&gt;="&amp;$J29,'Weekly Log'!$A:$A,"&lt;"&amp;$J29+7))</f>
        <v>48</v>
      </c>
      <c r="C29" s="14">
        <f>IF($J29="","",IFERROR(COUNTIFS('Weekly Log'!$G:$G,"Y",'Weekly Log'!$A:$A,"&gt;="&amp;$J29,'Weekly Log'!$A:$A,"&lt;"&amp;$J29+7)/COUNTIFS('Weekly Log'!$G:$G,"&lt;&gt;",'Weekly Log'!$A:$A,"&gt;="&amp;$J29,'Weekly Log'!$A:$A,"&lt;"&amp;$J29+7),0))</f>
        <v>0.91666666666666663</v>
      </c>
      <c r="D29" s="14">
        <f>IF($J29="","",IFERROR(COUNTIFS('Weekly Log'!$H:$H,"Y",'Weekly Log'!$A:$A,"&gt;="&amp;$J29,'Weekly Log'!$A:$A,"&lt;"&amp;$J29+7)/COUNTIFS('Weekly Log'!$H:$H,"&lt;&gt;",'Weekly Log'!$A:$A,"&gt;="&amp;$J29,'Weekly Log'!$A:$A,"&lt;"&amp;$J29+7),0))</f>
        <v>4.1666666666666664E-2</v>
      </c>
      <c r="E29" s="15">
        <f>IF($J29="","",IFERROR(AVERAGEIFS('Weekly Log'!$F:$F,'Weekly Log'!$A:$A,"&gt;="&amp;$J29,'Weekly Log'!$A:$A,"&lt;"&amp;$J29+7),0))</f>
        <v>2.3000000000000003</v>
      </c>
      <c r="F29" s="14">
        <f>IF($J29="","",IFERROR(SUMIFS('Weekly Log'!$F:$F,'Weekly Log'!$A:$A,"&gt;="&amp;$J29,'Weekly Log'!$A:$A,"&lt;"&amp;$J29+7)/SUMIFS('Weekly Log'!$E:$E,'Weekly Log'!$A:$A,"&gt;="&amp;$J29,'Weekly Log'!$A:$A,"&lt;"&amp;$J29+7),0))</f>
        <v>0.78800856531049279</v>
      </c>
      <c r="G29" s="13">
        <f>IF($J29="","",IFERROR(LOOKUP(2,1/(('Weekly Log'!$A$5:$A$5000&gt;=$J29)*('Weekly Log'!$A$5:$A$5000&lt;$J29+7)*('Weekly Log'!$M$5:$M$5000&lt;&gt;"")),'Weekly Log'!$M$5:$M$5000),0))</f>
        <v>7</v>
      </c>
      <c r="H29" s="12"/>
      <c r="J29">
        <f>IF(COUNT('Weekly Log'!$A$5:$A$5000)=0,"",IF(MIN('Weekly Log'!$A$5:$A$5000)+7*(ROW()-10)&gt;MAX('Weekly Log'!$A$5:$A$5000),"",MIN('Weekly Log'!$A$5:$A$5000)+7*(ROW()-10)))</f>
        <v>45747</v>
      </c>
    </row>
    <row r="30" spans="1:10" x14ac:dyDescent="0.25">
      <c r="A30" s="12" t="str">
        <f t="shared" si="0"/>
        <v>2025-W15</v>
      </c>
      <c r="B30" s="13">
        <f>IF($J30="","",SUMIFS('Weekly Log'!$C:$C,'Weekly Log'!$A:$A,"&gt;="&amp;$J30,'Weekly Log'!$A:$A,"&lt;"&amp;$J30+7))</f>
        <v>44</v>
      </c>
      <c r="C30" s="14">
        <f>IF($J30="","",IFERROR(COUNTIFS('Weekly Log'!$G:$G,"Y",'Weekly Log'!$A:$A,"&gt;="&amp;$J30,'Weekly Log'!$A:$A,"&lt;"&amp;$J30+7)/COUNTIFS('Weekly Log'!$G:$G,"&lt;&gt;",'Weekly Log'!$A:$A,"&gt;="&amp;$J30,'Weekly Log'!$A:$A,"&lt;"&amp;$J30+7),0))</f>
        <v>0.88636363636363635</v>
      </c>
      <c r="D30" s="14">
        <f>IF($J30="","",IFERROR(COUNTIFS('Weekly Log'!$H:$H,"Y",'Weekly Log'!$A:$A,"&gt;="&amp;$J30,'Weekly Log'!$A:$A,"&lt;"&amp;$J30+7)/COUNTIFS('Weekly Log'!$H:$H,"&lt;&gt;",'Weekly Log'!$A:$A,"&gt;="&amp;$J30,'Weekly Log'!$A:$A,"&lt;"&amp;$J30+7),0))</f>
        <v>4.5454545454545456E-2</v>
      </c>
      <c r="E30" s="15">
        <f>IF($J30="","",IFERROR(AVERAGEIFS('Weekly Log'!$F:$F,'Weekly Log'!$A:$A,"&gt;="&amp;$J30,'Weekly Log'!$A:$A,"&lt;"&amp;$J30+7),0))</f>
        <v>2.1999999999999997</v>
      </c>
      <c r="F30" s="14">
        <f>IF($J30="","",IFERROR(SUMIFS('Weekly Log'!$F:$F,'Weekly Log'!$A:$A,"&gt;="&amp;$J30,'Weekly Log'!$A:$A,"&lt;"&amp;$J30+7)/SUMIFS('Weekly Log'!$E:$E,'Weekly Log'!$A:$A,"&gt;="&amp;$J30,'Weekly Log'!$A:$A,"&lt;"&amp;$J30+7),0))</f>
        <v>0.76400947119179119</v>
      </c>
      <c r="G30" s="13">
        <f>IF($J30="","",IFERROR(LOOKUP(2,1/(('Weekly Log'!$A$5:$A$5000&gt;=$J30)*('Weekly Log'!$A$5:$A$5000&lt;$J30+7)*('Weekly Log'!$M$5:$M$5000&lt;&gt;"")),'Weekly Log'!$M$5:$M$5000),0))</f>
        <v>13</v>
      </c>
      <c r="H30" s="12"/>
      <c r="J30">
        <f>IF(COUNT('Weekly Log'!$A$5:$A$5000)=0,"",IF(MIN('Weekly Log'!$A$5:$A$5000)+7*(ROW()-10)&gt;MAX('Weekly Log'!$A$5:$A$5000),"",MIN('Weekly Log'!$A$5:$A$5000)+7*(ROW()-10)))</f>
        <v>45754</v>
      </c>
    </row>
    <row r="31" spans="1:10" x14ac:dyDescent="0.25">
      <c r="A31" s="12" t="str">
        <f t="shared" si="0"/>
        <v>2025-W16</v>
      </c>
      <c r="B31" s="13">
        <f>IF($J31="","",SUMIFS('Weekly Log'!$C:$C,'Weekly Log'!$A:$A,"&gt;="&amp;$J31,'Weekly Log'!$A:$A,"&lt;"&amp;$J31+7))</f>
        <v>42</v>
      </c>
      <c r="C31" s="14">
        <f>IF($J31="","",IFERROR(COUNTIFS('Weekly Log'!$G:$G,"Y",'Weekly Log'!$A:$A,"&gt;="&amp;$J31,'Weekly Log'!$A:$A,"&lt;"&amp;$J31+7)/COUNTIFS('Weekly Log'!$G:$G,"&lt;&gt;",'Weekly Log'!$A:$A,"&gt;="&amp;$J31,'Weekly Log'!$A:$A,"&lt;"&amp;$J31+7),0))</f>
        <v>0.88095238095238093</v>
      </c>
      <c r="D31" s="14">
        <f>IF($J31="","",IFERROR(COUNTIFS('Weekly Log'!$H:$H,"Y",'Weekly Log'!$A:$A,"&gt;="&amp;$J31,'Weekly Log'!$A:$A,"&lt;"&amp;$J31+7)/COUNTIFS('Weekly Log'!$H:$H,"&lt;&gt;",'Weekly Log'!$A:$A,"&gt;="&amp;$J31,'Weekly Log'!$A:$A,"&lt;"&amp;$J31+7),0))</f>
        <v>4.7619047619047616E-2</v>
      </c>
      <c r="E31" s="15">
        <f>IF($J31="","",IFERROR(AVERAGEIFS('Weekly Log'!$F:$F,'Weekly Log'!$A:$A,"&gt;="&amp;$J31,'Weekly Log'!$A:$A,"&lt;"&amp;$J31+7),0))</f>
        <v>2.3000000000000003</v>
      </c>
      <c r="F31" s="14">
        <f>IF($J31="","",IFERROR(SUMIFS('Weekly Log'!$F:$F,'Weekly Log'!$A:$A,"&gt;="&amp;$J31,'Weekly Log'!$A:$A,"&lt;"&amp;$J31+7)/SUMIFS('Weekly Log'!$E:$E,'Weekly Log'!$A:$A,"&gt;="&amp;$J31,'Weekly Log'!$A:$A,"&lt;"&amp;$J31+7),0))</f>
        <v>0.75705329153605039</v>
      </c>
      <c r="G31" s="13">
        <f>IF($J31="","",IFERROR(LOOKUP(2,1/(('Weekly Log'!$A$5:$A$5000&gt;=$J31)*('Weekly Log'!$A$5:$A$5000&lt;$J31+7)*('Weekly Log'!$M$5:$M$5000&lt;&gt;"")),'Weekly Log'!$M$5:$M$5000),0))</f>
        <v>9</v>
      </c>
      <c r="H31" s="12"/>
      <c r="J31">
        <f>IF(COUNT('Weekly Log'!$A$5:$A$5000)=0,"",IF(MIN('Weekly Log'!$A$5:$A$5000)+7*(ROW()-10)&gt;MAX('Weekly Log'!$A$5:$A$5000),"",MIN('Weekly Log'!$A$5:$A$5000)+7*(ROW()-10)))</f>
        <v>45761</v>
      </c>
    </row>
    <row r="32" spans="1:10" x14ac:dyDescent="0.25">
      <c r="A32" s="12" t="str">
        <f t="shared" si="0"/>
        <v>2025-W17</v>
      </c>
      <c r="B32" s="13">
        <f>IF($J32="","",SUMIFS('Weekly Log'!$C:$C,'Weekly Log'!$A:$A,"&gt;="&amp;$J32,'Weekly Log'!$A:$A,"&lt;"&amp;$J32+7))</f>
        <v>42</v>
      </c>
      <c r="C32" s="14">
        <f>IF($J32="","",IFERROR(COUNTIFS('Weekly Log'!$G:$G,"Y",'Weekly Log'!$A:$A,"&gt;="&amp;$J32,'Weekly Log'!$A:$A,"&lt;"&amp;$J32+7)/COUNTIFS('Weekly Log'!$G:$G,"&lt;&gt;",'Weekly Log'!$A:$A,"&gt;="&amp;$J32,'Weekly Log'!$A:$A,"&lt;"&amp;$J32+7),0))</f>
        <v>0.8571428571428571</v>
      </c>
      <c r="D32" s="14">
        <f>IF($J32="","",IFERROR(COUNTIFS('Weekly Log'!$H:$H,"Y",'Weekly Log'!$A:$A,"&gt;="&amp;$J32,'Weekly Log'!$A:$A,"&lt;"&amp;$J32+7)/COUNTIFS('Weekly Log'!$H:$H,"&lt;&gt;",'Weekly Log'!$A:$A,"&gt;="&amp;$J32,'Weekly Log'!$A:$A,"&lt;"&amp;$J32+7),0))</f>
        <v>4.7619047619047616E-2</v>
      </c>
      <c r="E32" s="15">
        <f>IF($J32="","",IFERROR(AVERAGEIFS('Weekly Log'!$F:$F,'Weekly Log'!$A:$A,"&gt;="&amp;$J32,'Weekly Log'!$A:$A,"&lt;"&amp;$J32+7),0))</f>
        <v>2.2000000000000002</v>
      </c>
      <c r="F32" s="14">
        <f>IF($J32="","",IFERROR(SUMIFS('Weekly Log'!$F:$F,'Weekly Log'!$A:$A,"&gt;="&amp;$J32,'Weekly Log'!$A:$A,"&lt;"&amp;$J32+7)/SUMIFS('Weekly Log'!$E:$E,'Weekly Log'!$A:$A,"&gt;="&amp;$J32,'Weekly Log'!$A:$A,"&lt;"&amp;$J32+7),0))</f>
        <v>0.76174773289365239</v>
      </c>
      <c r="G32" s="13">
        <f>IF($J32="","",IFERROR(LOOKUP(2,1/(('Weekly Log'!$A$5:$A$5000&gt;=$J32)*('Weekly Log'!$A$5:$A$5000&lt;$J32+7)*('Weekly Log'!$M$5:$M$5000&lt;&gt;"")),'Weekly Log'!$M$5:$M$5000),0))</f>
        <v>14</v>
      </c>
      <c r="H32" s="12"/>
      <c r="J32">
        <f>IF(COUNT('Weekly Log'!$A$5:$A$5000)=0,"",IF(MIN('Weekly Log'!$A$5:$A$5000)+7*(ROW()-10)&gt;MAX('Weekly Log'!$A$5:$A$5000),"",MIN('Weekly Log'!$A$5:$A$5000)+7*(ROW()-10)))</f>
        <v>45768</v>
      </c>
    </row>
    <row r="33" spans="1:10" x14ac:dyDescent="0.25">
      <c r="A33" s="12" t="str">
        <f t="shared" si="0"/>
        <v>2025-W18</v>
      </c>
      <c r="B33" s="13">
        <f>IF($J33="","",SUMIFS('Weekly Log'!$C:$C,'Weekly Log'!$A:$A,"&gt;="&amp;$J33,'Weekly Log'!$A:$A,"&lt;"&amp;$J33+7))</f>
        <v>42</v>
      </c>
      <c r="C33" s="14">
        <f>IF($J33="","",IFERROR(COUNTIFS('Weekly Log'!$G:$G,"Y",'Weekly Log'!$A:$A,"&gt;="&amp;$J33,'Weekly Log'!$A:$A,"&lt;"&amp;$J33+7)/COUNTIFS('Weekly Log'!$G:$G,"&lt;&gt;",'Weekly Log'!$A:$A,"&gt;="&amp;$J33,'Weekly Log'!$A:$A,"&lt;"&amp;$J33+7),0))</f>
        <v>0.90476190476190477</v>
      </c>
      <c r="D33" s="14">
        <f>IF($J33="","",IFERROR(COUNTIFS('Weekly Log'!$H:$H,"Y",'Weekly Log'!$A:$A,"&gt;="&amp;$J33,'Weekly Log'!$A:$A,"&lt;"&amp;$J33+7)/COUNTIFS('Weekly Log'!$H:$H,"&lt;&gt;",'Weekly Log'!$A:$A,"&gt;="&amp;$J33,'Weekly Log'!$A:$A,"&lt;"&amp;$J33+7),0))</f>
        <v>4.7619047619047616E-2</v>
      </c>
      <c r="E33" s="15">
        <f>IF($J33="","",IFERROR(AVERAGEIFS('Weekly Log'!$F:$F,'Weekly Log'!$A:$A,"&gt;="&amp;$J33,'Weekly Log'!$A:$A,"&lt;"&amp;$J33+7),0))</f>
        <v>2.2999999999999994</v>
      </c>
      <c r="F33" s="14">
        <f>IF($J33="","",IFERROR(SUMIFS('Weekly Log'!$F:$F,'Weekly Log'!$A:$A,"&gt;="&amp;$J33,'Weekly Log'!$A:$A,"&lt;"&amp;$J33+7)/SUMIFS('Weekly Log'!$E:$E,'Weekly Log'!$A:$A,"&gt;="&amp;$J33,'Weekly Log'!$A:$A,"&lt;"&amp;$J33+7),0))</f>
        <v>0.78282009724473256</v>
      </c>
      <c r="G33" s="13">
        <f>IF($J33="","",IFERROR(LOOKUP(2,1/(('Weekly Log'!$A$5:$A$5000&gt;=$J33)*('Weekly Log'!$A$5:$A$5000&lt;$J33+7)*('Weekly Log'!$M$5:$M$5000&lt;&gt;"")),'Weekly Log'!$M$5:$M$5000),0))</f>
        <v>10</v>
      </c>
      <c r="H33" s="12"/>
      <c r="J33">
        <f>IF(COUNT('Weekly Log'!$A$5:$A$5000)=0,"",IF(MIN('Weekly Log'!$A$5:$A$5000)+7*(ROW()-10)&gt;MAX('Weekly Log'!$A$5:$A$5000),"",MIN('Weekly Log'!$A$5:$A$5000)+7*(ROW()-10)))</f>
        <v>45775</v>
      </c>
    </row>
    <row r="34" spans="1:10" x14ac:dyDescent="0.25">
      <c r="A34" s="12" t="str">
        <f t="shared" si="0"/>
        <v>2025-W19</v>
      </c>
      <c r="B34" s="13">
        <f>IF($J34="","",SUMIFS('Weekly Log'!$C:$C,'Weekly Log'!$A:$A,"&gt;="&amp;$J34,'Weekly Log'!$A:$A,"&lt;"&amp;$J34+7))</f>
        <v>40</v>
      </c>
      <c r="C34" s="14">
        <f>IF($J34="","",IFERROR(COUNTIFS('Weekly Log'!$G:$G,"Y",'Weekly Log'!$A:$A,"&gt;="&amp;$J34,'Weekly Log'!$A:$A,"&lt;"&amp;$J34+7)/COUNTIFS('Weekly Log'!$G:$G,"&lt;&gt;",'Weekly Log'!$A:$A,"&gt;="&amp;$J34,'Weekly Log'!$A:$A,"&lt;"&amp;$J34+7),0))</f>
        <v>0.875</v>
      </c>
      <c r="D34" s="14">
        <f>IF($J34="","",IFERROR(COUNTIFS('Weekly Log'!$H:$H,"Y",'Weekly Log'!$A:$A,"&gt;="&amp;$J34,'Weekly Log'!$A:$A,"&lt;"&amp;$J34+7)/COUNTIFS('Weekly Log'!$H:$H,"&lt;&gt;",'Weekly Log'!$A:$A,"&gt;="&amp;$J34,'Weekly Log'!$A:$A,"&lt;"&amp;$J34+7),0))</f>
        <v>0.05</v>
      </c>
      <c r="E34" s="15">
        <f>IF($J34="","",IFERROR(AVERAGEIFS('Weekly Log'!$F:$F,'Weekly Log'!$A:$A,"&gt;="&amp;$J34,'Weekly Log'!$A:$A,"&lt;"&amp;$J34+7),0))</f>
        <v>2.4</v>
      </c>
      <c r="F34" s="14">
        <f>IF($J34="","",IFERROR(SUMIFS('Weekly Log'!$F:$F,'Weekly Log'!$A:$A,"&gt;="&amp;$J34,'Weekly Log'!$A:$A,"&lt;"&amp;$J34+7)/SUMIFS('Weekly Log'!$E:$E,'Weekly Log'!$A:$A,"&gt;="&amp;$J34,'Weekly Log'!$A:$A,"&lt;"&amp;$J34+7),0))</f>
        <v>0.76677316293929743</v>
      </c>
      <c r="G34" s="13">
        <f>IF($J34="","",IFERROR(LOOKUP(2,1/(('Weekly Log'!$A$5:$A$5000&gt;=$J34)*('Weekly Log'!$A$5:$A$5000&lt;$J34+7)*('Weekly Log'!$M$5:$M$5000&lt;&gt;"")),'Weekly Log'!$M$5:$M$5000),0))</f>
        <v>12</v>
      </c>
      <c r="H34" s="12" t="s">
        <v>25</v>
      </c>
      <c r="J34">
        <f>IF(COUNT('Weekly Log'!$A$5:$A$5000)=0,"",IF(MIN('Weekly Log'!$A$5:$A$5000)+7*(ROW()-10)&gt;MAX('Weekly Log'!$A$5:$A$5000),"",MIN('Weekly Log'!$A$5:$A$5000)+7*(ROW()-10)))</f>
        <v>45782</v>
      </c>
    </row>
    <row r="35" spans="1:10" x14ac:dyDescent="0.25">
      <c r="A35" s="12" t="str">
        <f t="shared" si="0"/>
        <v>2025-W20</v>
      </c>
      <c r="B35" s="13">
        <f>IF($J35="","",SUMIFS('Weekly Log'!$C:$C,'Weekly Log'!$A:$A,"&gt;="&amp;$J35,'Weekly Log'!$A:$A,"&lt;"&amp;$J35+7))</f>
        <v>47</v>
      </c>
      <c r="C35" s="14">
        <f>IF($J35="","",IFERROR(COUNTIFS('Weekly Log'!$G:$G,"Y",'Weekly Log'!$A:$A,"&gt;="&amp;$J35,'Weekly Log'!$A:$A,"&lt;"&amp;$J35+7)/COUNTIFS('Weekly Log'!$G:$G,"&lt;&gt;",'Weekly Log'!$A:$A,"&gt;="&amp;$J35,'Weekly Log'!$A:$A,"&lt;"&amp;$J35+7),0))</f>
        <v>0.91489361702127658</v>
      </c>
      <c r="D35" s="14">
        <f>IF($J35="","",IFERROR(COUNTIFS('Weekly Log'!$H:$H,"Y",'Weekly Log'!$A:$A,"&gt;="&amp;$J35,'Weekly Log'!$A:$A,"&lt;"&amp;$J35+7)/COUNTIFS('Weekly Log'!$H:$H,"&lt;&gt;",'Weekly Log'!$A:$A,"&gt;="&amp;$J35,'Weekly Log'!$A:$A,"&lt;"&amp;$J35+7),0))</f>
        <v>4.2553191489361701E-2</v>
      </c>
      <c r="E35" s="15">
        <f>IF($J35="","",IFERROR(AVERAGEIFS('Weekly Log'!$F:$F,'Weekly Log'!$A:$A,"&gt;="&amp;$J35,'Weekly Log'!$A:$A,"&lt;"&amp;$J35+7),0))</f>
        <v>2.1999999999999997</v>
      </c>
      <c r="F35" s="14">
        <f>IF($J35="","",IFERROR(SUMIFS('Weekly Log'!$F:$F,'Weekly Log'!$A:$A,"&gt;="&amp;$J35,'Weekly Log'!$A:$A,"&lt;"&amp;$J35+7)/SUMIFS('Weekly Log'!$E:$E,'Weekly Log'!$A:$A,"&gt;="&amp;$J35,'Weekly Log'!$A:$A,"&lt;"&amp;$J35+7),0))</f>
        <v>0.78810975609756118</v>
      </c>
      <c r="G35" s="13">
        <f>IF($J35="","",IFERROR(LOOKUP(2,1/(('Weekly Log'!$A$5:$A$5000&gt;=$J35)*('Weekly Log'!$A$5:$A$5000&lt;$J35+7)*('Weekly Log'!$M$5:$M$5000&lt;&gt;"")),'Weekly Log'!$M$5:$M$5000),0))</f>
        <v>7</v>
      </c>
      <c r="H35" s="12"/>
      <c r="J35">
        <f>IF(COUNT('Weekly Log'!$A$5:$A$5000)=0,"",IF(MIN('Weekly Log'!$A$5:$A$5000)+7*(ROW()-10)&gt;MAX('Weekly Log'!$A$5:$A$5000),"",MIN('Weekly Log'!$A$5:$A$5000)+7*(ROW()-10)))</f>
        <v>45789</v>
      </c>
    </row>
    <row r="36" spans="1:10" x14ac:dyDescent="0.25">
      <c r="A36" s="12" t="str">
        <f t="shared" si="0"/>
        <v>2025-W21</v>
      </c>
      <c r="B36" s="13">
        <f>IF($J36="","",SUMIFS('Weekly Log'!$C:$C,'Weekly Log'!$A:$A,"&gt;="&amp;$J36,'Weekly Log'!$A:$A,"&lt;"&amp;$J36+7))</f>
        <v>41</v>
      </c>
      <c r="C36" s="14">
        <f>IF($J36="","",IFERROR(COUNTIFS('Weekly Log'!$G:$G,"Y",'Weekly Log'!$A:$A,"&gt;="&amp;$J36,'Weekly Log'!$A:$A,"&lt;"&amp;$J36+7)/COUNTIFS('Weekly Log'!$G:$G,"&lt;&gt;",'Weekly Log'!$A:$A,"&gt;="&amp;$J36,'Weekly Log'!$A:$A,"&lt;"&amp;$J36+7),0))</f>
        <v>0.90243902439024393</v>
      </c>
      <c r="D36" s="14">
        <f>IF($J36="","",IFERROR(COUNTIFS('Weekly Log'!$H:$H,"Y",'Weekly Log'!$A:$A,"&gt;="&amp;$J36,'Weekly Log'!$A:$A,"&lt;"&amp;$J36+7)/COUNTIFS('Weekly Log'!$H:$H,"&lt;&gt;",'Weekly Log'!$A:$A,"&gt;="&amp;$J36,'Weekly Log'!$A:$A,"&lt;"&amp;$J36+7),0))</f>
        <v>4.878048780487805E-2</v>
      </c>
      <c r="E36" s="15">
        <f>IF($J36="","",IFERROR(AVERAGEIFS('Weekly Log'!$F:$F,'Weekly Log'!$A:$A,"&gt;="&amp;$J36,'Weekly Log'!$A:$A,"&lt;"&amp;$J36+7),0))</f>
        <v>2.0999999999999996</v>
      </c>
      <c r="F36" s="14">
        <f>IF($J36="","",IFERROR(SUMIFS('Weekly Log'!$F:$F,'Weekly Log'!$A:$A,"&gt;="&amp;$J36,'Weekly Log'!$A:$A,"&lt;"&amp;$J36+7)/SUMIFS('Weekly Log'!$E:$E,'Weekly Log'!$A:$A,"&gt;="&amp;$J36,'Weekly Log'!$A:$A,"&lt;"&amp;$J36+7),0))</f>
        <v>0.77012522361359592</v>
      </c>
      <c r="G36" s="13">
        <f>IF($J36="","",IFERROR(LOOKUP(2,1/(('Weekly Log'!$A$5:$A$5000&gt;=$J36)*('Weekly Log'!$A$5:$A$5000&lt;$J36+7)*('Weekly Log'!$M$5:$M$5000&lt;&gt;"")),'Weekly Log'!$M$5:$M$5000),0))</f>
        <v>11</v>
      </c>
      <c r="H36" s="12"/>
      <c r="J36">
        <f>IF(COUNT('Weekly Log'!$A$5:$A$5000)=0,"",IF(MIN('Weekly Log'!$A$5:$A$5000)+7*(ROW()-10)&gt;MAX('Weekly Log'!$A$5:$A$5000),"",MIN('Weekly Log'!$A$5:$A$5000)+7*(ROW()-10)))</f>
        <v>45796</v>
      </c>
    </row>
    <row r="37" spans="1:10" x14ac:dyDescent="0.25">
      <c r="A37" s="12" t="str">
        <f t="shared" si="0"/>
        <v>2025-W22</v>
      </c>
      <c r="B37" s="13">
        <f>IF($J37="","",SUMIFS('Weekly Log'!$C:$C,'Weekly Log'!$A:$A,"&gt;="&amp;$J37,'Weekly Log'!$A:$A,"&lt;"&amp;$J37+7))</f>
        <v>51</v>
      </c>
      <c r="C37" s="14">
        <f>IF($J37="","",IFERROR(COUNTIFS('Weekly Log'!$G:$G,"Y",'Weekly Log'!$A:$A,"&gt;="&amp;$J37,'Weekly Log'!$A:$A,"&lt;"&amp;$J37+7)/COUNTIFS('Weekly Log'!$G:$G,"&lt;&gt;",'Weekly Log'!$A:$A,"&gt;="&amp;$J37,'Weekly Log'!$A:$A,"&lt;"&amp;$J37+7),0))</f>
        <v>0.90196078431372551</v>
      </c>
      <c r="D37" s="14">
        <f>IF($J37="","",IFERROR(COUNTIFS('Weekly Log'!$H:$H,"Y",'Weekly Log'!$A:$A,"&gt;="&amp;$J37,'Weekly Log'!$A:$A,"&lt;"&amp;$J37+7)/COUNTIFS('Weekly Log'!$H:$H,"&lt;&gt;",'Weekly Log'!$A:$A,"&gt;="&amp;$J37,'Weekly Log'!$A:$A,"&lt;"&amp;$J37+7),0))</f>
        <v>3.9215686274509803E-2</v>
      </c>
      <c r="E37" s="15">
        <f>IF($J37="","",IFERROR(AVERAGEIFS('Weekly Log'!$F:$F,'Weekly Log'!$A:$A,"&gt;="&amp;$J37,'Weekly Log'!$A:$A,"&lt;"&amp;$J37+7),0))</f>
        <v>2.2999999999999994</v>
      </c>
      <c r="F37" s="14">
        <f>IF($J37="","",IFERROR(SUMIFS('Weekly Log'!$F:$F,'Weekly Log'!$A:$A,"&gt;="&amp;$J37,'Weekly Log'!$A:$A,"&lt;"&amp;$J37+7)/SUMIFS('Weekly Log'!$E:$E,'Weekly Log'!$A:$A,"&gt;="&amp;$J37,'Weekly Log'!$A:$A,"&lt;"&amp;$J37+7),0))</f>
        <v>0.77992021276595735</v>
      </c>
      <c r="G37" s="13">
        <f>IF($J37="","",IFERROR(LOOKUP(2,1/(('Weekly Log'!$A$5:$A$5000&gt;=$J37)*('Weekly Log'!$A$5:$A$5000&lt;$J37+7)*('Weekly Log'!$M$5:$M$5000&lt;&gt;"")),'Weekly Log'!$M$5:$M$5000),0))</f>
        <v>8</v>
      </c>
      <c r="H37" s="12" t="s">
        <v>20</v>
      </c>
      <c r="J37">
        <f>IF(COUNT('Weekly Log'!$A$5:$A$5000)=0,"",IF(MIN('Weekly Log'!$A$5:$A$5000)+7*(ROW()-10)&gt;MAX('Weekly Log'!$A$5:$A$5000),"",MIN('Weekly Log'!$A$5:$A$5000)+7*(ROW()-10)))</f>
        <v>45803</v>
      </c>
    </row>
    <row r="38" spans="1:10" x14ac:dyDescent="0.25">
      <c r="A38" s="12" t="str">
        <f t="shared" si="0"/>
        <v>2025-W23</v>
      </c>
      <c r="B38" s="13">
        <f>IF($J38="","",SUMIFS('Weekly Log'!$C:$C,'Weekly Log'!$A:$A,"&gt;="&amp;$J38,'Weekly Log'!$A:$A,"&lt;"&amp;$J38+7))</f>
        <v>41</v>
      </c>
      <c r="C38" s="14">
        <f>IF($J38="","",IFERROR(COUNTIFS('Weekly Log'!$G:$G,"Y",'Weekly Log'!$A:$A,"&gt;="&amp;$J38,'Weekly Log'!$A:$A,"&lt;"&amp;$J38+7)/COUNTIFS('Weekly Log'!$G:$G,"&lt;&gt;",'Weekly Log'!$A:$A,"&gt;="&amp;$J38,'Weekly Log'!$A:$A,"&lt;"&amp;$J38+7),0))</f>
        <v>0.87804878048780488</v>
      </c>
      <c r="D38" s="14">
        <f>IF($J38="","",IFERROR(COUNTIFS('Weekly Log'!$H:$H,"Y",'Weekly Log'!$A:$A,"&gt;="&amp;$J38,'Weekly Log'!$A:$A,"&lt;"&amp;$J38+7)/COUNTIFS('Weekly Log'!$H:$H,"&lt;&gt;",'Weekly Log'!$A:$A,"&gt;="&amp;$J38,'Weekly Log'!$A:$A,"&lt;"&amp;$J38+7),0))</f>
        <v>4.878048780487805E-2</v>
      </c>
      <c r="E38" s="15">
        <f>IF($J38="","",IFERROR(AVERAGEIFS('Weekly Log'!$F:$F,'Weekly Log'!$A:$A,"&gt;="&amp;$J38,'Weekly Log'!$A:$A,"&lt;"&amp;$J38+7),0))</f>
        <v>2.2000000000000006</v>
      </c>
      <c r="F38" s="14">
        <f>IF($J38="","",IFERROR(SUMIFS('Weekly Log'!$F:$F,'Weekly Log'!$A:$A,"&gt;="&amp;$J38,'Weekly Log'!$A:$A,"&lt;"&amp;$J38+7)/SUMIFS('Weekly Log'!$E:$E,'Weekly Log'!$A:$A,"&gt;="&amp;$J38,'Weekly Log'!$A:$A,"&lt;"&amp;$J38+7),0))</f>
        <v>0.76570458404074715</v>
      </c>
      <c r="G38" s="13">
        <f>IF($J38="","",IFERROR(LOOKUP(2,1/(('Weekly Log'!$A$5:$A$5000&gt;=$J38)*('Weekly Log'!$A$5:$A$5000&lt;$J38+7)*('Weekly Log'!$M$5:$M$5000&lt;&gt;"")),'Weekly Log'!$M$5:$M$5000),0))</f>
        <v>12</v>
      </c>
      <c r="H38" s="12"/>
      <c r="J38">
        <f>IF(COUNT('Weekly Log'!$A$5:$A$5000)=0,"",IF(MIN('Weekly Log'!$A$5:$A$5000)+7*(ROW()-10)&gt;MAX('Weekly Log'!$A$5:$A$5000),"",MIN('Weekly Log'!$A$5:$A$5000)+7*(ROW()-10)))</f>
        <v>45810</v>
      </c>
    </row>
    <row r="39" spans="1:10" x14ac:dyDescent="0.25">
      <c r="A39" s="12" t="str">
        <f t="shared" si="0"/>
        <v>2025-W24</v>
      </c>
      <c r="B39" s="13">
        <f>IF($J39="","",SUMIFS('Weekly Log'!$C:$C,'Weekly Log'!$A:$A,"&gt;="&amp;$J39,'Weekly Log'!$A:$A,"&lt;"&amp;$J39+7))</f>
        <v>42</v>
      </c>
      <c r="C39" s="14">
        <f>IF($J39="","",IFERROR(COUNTIFS('Weekly Log'!$G:$G,"Y",'Weekly Log'!$A:$A,"&gt;="&amp;$J39,'Weekly Log'!$A:$A,"&lt;"&amp;$J39+7)/COUNTIFS('Weekly Log'!$G:$G,"&lt;&gt;",'Weekly Log'!$A:$A,"&gt;="&amp;$J39,'Weekly Log'!$A:$A,"&lt;"&amp;$J39+7),0))</f>
        <v>0.88095238095238093</v>
      </c>
      <c r="D39" s="14">
        <f>IF($J39="","",IFERROR(COUNTIFS('Weekly Log'!$H:$H,"Y",'Weekly Log'!$A:$A,"&gt;="&amp;$J39,'Weekly Log'!$A:$A,"&lt;"&amp;$J39+7)/COUNTIFS('Weekly Log'!$H:$H,"&lt;&gt;",'Weekly Log'!$A:$A,"&gt;="&amp;$J39,'Weekly Log'!$A:$A,"&lt;"&amp;$J39+7),0))</f>
        <v>4.7619047619047616E-2</v>
      </c>
      <c r="E39" s="15">
        <f>IF($J39="","",IFERROR(AVERAGEIFS('Weekly Log'!$F:$F,'Weekly Log'!$A:$A,"&gt;="&amp;$J39,'Weekly Log'!$A:$A,"&lt;"&amp;$J39+7),0))</f>
        <v>2.1</v>
      </c>
      <c r="F39" s="14">
        <f>IF($J39="","",IFERROR(SUMIFS('Weekly Log'!$F:$F,'Weekly Log'!$A:$A,"&gt;="&amp;$J39,'Weekly Log'!$A:$A,"&lt;"&amp;$J39+7)/SUMIFS('Weekly Log'!$E:$E,'Weekly Log'!$A:$A,"&gt;="&amp;$J39,'Weekly Log'!$A:$A,"&lt;"&amp;$J39+7),0))</f>
        <v>0.76297577854671284</v>
      </c>
      <c r="G39" s="13">
        <f>IF($J39="","",IFERROR(LOOKUP(2,1/(('Weekly Log'!$A$5:$A$5000&gt;=$J39)*('Weekly Log'!$A$5:$A$5000&lt;$J39+7)*('Weekly Log'!$M$5:$M$5000&lt;&gt;"")),'Weekly Log'!$M$5:$M$5000),0))</f>
        <v>12</v>
      </c>
      <c r="H39" s="12"/>
      <c r="J39">
        <f>IF(COUNT('Weekly Log'!$A$5:$A$5000)=0,"",IF(MIN('Weekly Log'!$A$5:$A$5000)+7*(ROW()-10)&gt;MAX('Weekly Log'!$A$5:$A$5000),"",MIN('Weekly Log'!$A$5:$A$5000)+7*(ROW()-10)))</f>
        <v>45817</v>
      </c>
    </row>
    <row r="40" spans="1:10" x14ac:dyDescent="0.25">
      <c r="A40" s="12" t="str">
        <f t="shared" si="0"/>
        <v>2025-W25</v>
      </c>
      <c r="B40" s="13">
        <f>IF($J40="","",SUMIFS('Weekly Log'!$C:$C,'Weekly Log'!$A:$A,"&gt;="&amp;$J40,'Weekly Log'!$A:$A,"&lt;"&amp;$J40+7))</f>
        <v>44</v>
      </c>
      <c r="C40" s="14">
        <f>IF($J40="","",IFERROR(COUNTIFS('Weekly Log'!$G:$G,"Y",'Weekly Log'!$A:$A,"&gt;="&amp;$J40,'Weekly Log'!$A:$A,"&lt;"&amp;$J40+7)/COUNTIFS('Weekly Log'!$G:$G,"&lt;&gt;",'Weekly Log'!$A:$A,"&gt;="&amp;$J40,'Weekly Log'!$A:$A,"&lt;"&amp;$J40+7),0))</f>
        <v>0.88636363636363635</v>
      </c>
      <c r="D40" s="14">
        <f>IF($J40="","",IFERROR(COUNTIFS('Weekly Log'!$H:$H,"Y",'Weekly Log'!$A:$A,"&gt;="&amp;$J40,'Weekly Log'!$A:$A,"&lt;"&amp;$J40+7)/COUNTIFS('Weekly Log'!$H:$H,"&lt;&gt;",'Weekly Log'!$A:$A,"&gt;="&amp;$J40,'Weekly Log'!$A:$A,"&lt;"&amp;$J40+7),0))</f>
        <v>4.5454545454545456E-2</v>
      </c>
      <c r="E40" s="15">
        <f>IF($J40="","",IFERROR(AVERAGEIFS('Weekly Log'!$F:$F,'Weekly Log'!$A:$A,"&gt;="&amp;$J40,'Weekly Log'!$A:$A,"&lt;"&amp;$J40+7),0))</f>
        <v>2</v>
      </c>
      <c r="F40" s="14">
        <f>IF($J40="","",IFERROR(SUMIFS('Weekly Log'!$F:$F,'Weekly Log'!$A:$A,"&gt;="&amp;$J40,'Weekly Log'!$A:$A,"&lt;"&amp;$J40+7)/SUMIFS('Weekly Log'!$E:$E,'Weekly Log'!$A:$A,"&gt;="&amp;$J40,'Weekly Log'!$A:$A,"&lt;"&amp;$J40+7),0))</f>
        <v>0.74893617021276571</v>
      </c>
      <c r="G40" s="13">
        <f>IF($J40="","",IFERROR(LOOKUP(2,1/(('Weekly Log'!$A$5:$A$5000&gt;=$J40)*('Weekly Log'!$A$5:$A$5000&lt;$J40+7)*('Weekly Log'!$M$5:$M$5000&lt;&gt;"")),'Weekly Log'!$M$5:$M$5000),0))</f>
        <v>13</v>
      </c>
      <c r="H40" s="12" t="s">
        <v>25</v>
      </c>
      <c r="J40">
        <f>IF(COUNT('Weekly Log'!$A$5:$A$5000)=0,"",IF(MIN('Weekly Log'!$A$5:$A$5000)+7*(ROW()-10)&gt;MAX('Weekly Log'!$A$5:$A$5000),"",MIN('Weekly Log'!$A$5:$A$5000)+7*(ROW()-10)))</f>
        <v>45824</v>
      </c>
    </row>
    <row r="41" spans="1:10" x14ac:dyDescent="0.25">
      <c r="A41" s="12" t="str">
        <f t="shared" si="0"/>
        <v>2025-W26</v>
      </c>
      <c r="B41" s="13">
        <f>IF($J41="","",SUMIFS('Weekly Log'!$C:$C,'Weekly Log'!$A:$A,"&gt;="&amp;$J41,'Weekly Log'!$A:$A,"&lt;"&amp;$J41+7))</f>
        <v>44</v>
      </c>
      <c r="C41" s="14">
        <f>IF($J41="","",IFERROR(COUNTIFS('Weekly Log'!$G:$G,"Y",'Weekly Log'!$A:$A,"&gt;="&amp;$J41,'Weekly Log'!$A:$A,"&lt;"&amp;$J41+7)/COUNTIFS('Weekly Log'!$G:$G,"&lt;&gt;",'Weekly Log'!$A:$A,"&gt;="&amp;$J41,'Weekly Log'!$A:$A,"&lt;"&amp;$J41+7),0))</f>
        <v>0.88636363636363635</v>
      </c>
      <c r="D41" s="14">
        <f>IF($J41="","",IFERROR(COUNTIFS('Weekly Log'!$H:$H,"Y",'Weekly Log'!$A:$A,"&gt;="&amp;$J41,'Weekly Log'!$A:$A,"&lt;"&amp;$J41+7)/COUNTIFS('Weekly Log'!$H:$H,"&lt;&gt;",'Weekly Log'!$A:$A,"&gt;="&amp;$J41,'Weekly Log'!$A:$A,"&lt;"&amp;$J41+7),0))</f>
        <v>4.5454545454545456E-2</v>
      </c>
      <c r="E41" s="15">
        <f>IF($J41="","",IFERROR(AVERAGEIFS('Weekly Log'!$F:$F,'Weekly Log'!$A:$A,"&gt;="&amp;$J41,'Weekly Log'!$A:$A,"&lt;"&amp;$J41+7),0))</f>
        <v>2.0999999999999996</v>
      </c>
      <c r="F41" s="14">
        <f>IF($J41="","",IFERROR(SUMIFS('Weekly Log'!$F:$F,'Weekly Log'!$A:$A,"&gt;="&amp;$J41,'Weekly Log'!$A:$A,"&lt;"&amp;$J41+7)/SUMIFS('Weekly Log'!$E:$E,'Weekly Log'!$A:$A,"&gt;="&amp;$J41,'Weekly Log'!$A:$A,"&lt;"&amp;$J41+7),0))</f>
        <v>0.76490066225165554</v>
      </c>
      <c r="G41" s="13">
        <f>IF($J41="","",IFERROR(LOOKUP(2,1/(('Weekly Log'!$A$5:$A$5000&gt;=$J41)*('Weekly Log'!$A$5:$A$5000&lt;$J41+7)*('Weekly Log'!$M$5:$M$5000&lt;&gt;"")),'Weekly Log'!$M$5:$M$5000),0))</f>
        <v>8</v>
      </c>
      <c r="H41" s="12"/>
      <c r="J41">
        <f>IF(COUNT('Weekly Log'!$A$5:$A$5000)=0,"",IF(MIN('Weekly Log'!$A$5:$A$5000)+7*(ROW()-10)&gt;MAX('Weekly Log'!$A$5:$A$5000),"",MIN('Weekly Log'!$A$5:$A$5000)+7*(ROW()-10)))</f>
        <v>45831</v>
      </c>
    </row>
    <row r="42" spans="1:10" x14ac:dyDescent="0.25">
      <c r="A42" s="12" t="str">
        <f t="shared" si="0"/>
        <v>2025-W27</v>
      </c>
      <c r="B42" s="13">
        <f>IF($J42="","",SUMIFS('Weekly Log'!$C:$C,'Weekly Log'!$A:$A,"&gt;="&amp;$J42,'Weekly Log'!$A:$A,"&lt;"&amp;$J42+7))</f>
        <v>41</v>
      </c>
      <c r="C42" s="14">
        <f>IF($J42="","",IFERROR(COUNTIFS('Weekly Log'!$G:$G,"Y",'Weekly Log'!$A:$A,"&gt;="&amp;$J42,'Weekly Log'!$A:$A,"&lt;"&amp;$J42+7)/COUNTIFS('Weekly Log'!$G:$G,"&lt;&gt;",'Weekly Log'!$A:$A,"&gt;="&amp;$J42,'Weekly Log'!$A:$A,"&lt;"&amp;$J42+7),0))</f>
        <v>0.87804878048780488</v>
      </c>
      <c r="D42" s="14">
        <f>IF($J42="","",IFERROR(COUNTIFS('Weekly Log'!$H:$H,"Y",'Weekly Log'!$A:$A,"&gt;="&amp;$J42,'Weekly Log'!$A:$A,"&lt;"&amp;$J42+7)/COUNTIFS('Weekly Log'!$H:$H,"&lt;&gt;",'Weekly Log'!$A:$A,"&gt;="&amp;$J42,'Weekly Log'!$A:$A,"&lt;"&amp;$J42+7),0))</f>
        <v>4.878048780487805E-2</v>
      </c>
      <c r="E42" s="15">
        <f>IF($J42="","",IFERROR(AVERAGEIFS('Weekly Log'!$F:$F,'Weekly Log'!$A:$A,"&gt;="&amp;$J42,'Weekly Log'!$A:$A,"&lt;"&amp;$J42+7),0))</f>
        <v>2.4999999999999996</v>
      </c>
      <c r="F42" s="14">
        <f>IF($J42="","",IFERROR(SUMIFS('Weekly Log'!$F:$F,'Weekly Log'!$A:$A,"&gt;="&amp;$J42,'Weekly Log'!$A:$A,"&lt;"&amp;$J42+7)/SUMIFS('Weekly Log'!$E:$E,'Weekly Log'!$A:$A,"&gt;="&amp;$J42,'Weekly Log'!$A:$A,"&lt;"&amp;$J42+7),0))</f>
        <v>0.75312270389419533</v>
      </c>
      <c r="G42" s="13">
        <f>IF($J42="","",IFERROR(LOOKUP(2,1/(('Weekly Log'!$A$5:$A$5000&gt;=$J42)*('Weekly Log'!$A$5:$A$5000&lt;$J42+7)*('Weekly Log'!$M$5:$M$5000&lt;&gt;"")),'Weekly Log'!$M$5:$M$5000),0))</f>
        <v>13</v>
      </c>
      <c r="H42" s="12"/>
      <c r="J42">
        <f>IF(COUNT('Weekly Log'!$A$5:$A$5000)=0,"",IF(MIN('Weekly Log'!$A$5:$A$5000)+7*(ROW()-10)&gt;MAX('Weekly Log'!$A$5:$A$5000),"",MIN('Weekly Log'!$A$5:$A$5000)+7*(ROW()-10)))</f>
        <v>45838</v>
      </c>
    </row>
    <row r="43" spans="1:10" x14ac:dyDescent="0.25">
      <c r="A43" s="12" t="str">
        <f t="shared" si="0"/>
        <v>2025-W28</v>
      </c>
      <c r="B43" s="13">
        <f>IF($J43="","",SUMIFS('Weekly Log'!$C:$C,'Weekly Log'!$A:$A,"&gt;="&amp;$J43,'Weekly Log'!$A:$A,"&lt;"&amp;$J43+7))</f>
        <v>41</v>
      </c>
      <c r="C43" s="14">
        <f>IF($J43="","",IFERROR(COUNTIFS('Weekly Log'!$G:$G,"Y",'Weekly Log'!$A:$A,"&gt;="&amp;$J43,'Weekly Log'!$A:$A,"&lt;"&amp;$J43+7)/COUNTIFS('Weekly Log'!$G:$G,"&lt;&gt;",'Weekly Log'!$A:$A,"&gt;="&amp;$J43,'Weekly Log'!$A:$A,"&lt;"&amp;$J43+7),0))</f>
        <v>0.87804878048780488</v>
      </c>
      <c r="D43" s="14">
        <f>IF($J43="","",IFERROR(COUNTIFS('Weekly Log'!$H:$H,"Y",'Weekly Log'!$A:$A,"&gt;="&amp;$J43,'Weekly Log'!$A:$A,"&lt;"&amp;$J43+7)/COUNTIFS('Weekly Log'!$H:$H,"&lt;&gt;",'Weekly Log'!$A:$A,"&gt;="&amp;$J43,'Weekly Log'!$A:$A,"&lt;"&amp;$J43+7),0))</f>
        <v>4.878048780487805E-2</v>
      </c>
      <c r="E43" s="15">
        <f>IF($J43="","",IFERROR(AVERAGEIFS('Weekly Log'!$F:$F,'Weekly Log'!$A:$A,"&gt;="&amp;$J43,'Weekly Log'!$A:$A,"&lt;"&amp;$J43+7),0))</f>
        <v>2.2000000000000002</v>
      </c>
      <c r="F43" s="14">
        <f>IF($J43="","",IFERROR(SUMIFS('Weekly Log'!$F:$F,'Weekly Log'!$A:$A,"&gt;="&amp;$J43,'Weekly Log'!$A:$A,"&lt;"&amp;$J43+7)/SUMIFS('Weekly Log'!$E:$E,'Weekly Log'!$A:$A,"&gt;="&amp;$J43,'Weekly Log'!$A:$A,"&lt;"&amp;$J43+7),0))</f>
        <v>0.76700680272108857</v>
      </c>
      <c r="G43" s="13">
        <f>IF($J43="","",IFERROR(LOOKUP(2,1/(('Weekly Log'!$A$5:$A$5000&gt;=$J43)*('Weekly Log'!$A$5:$A$5000&lt;$J43+7)*('Weekly Log'!$M$5:$M$5000&lt;&gt;"")),'Weekly Log'!$M$5:$M$5000),0))</f>
        <v>8</v>
      </c>
      <c r="H43" s="12"/>
      <c r="J43">
        <f>IF(COUNT('Weekly Log'!$A$5:$A$5000)=0,"",IF(MIN('Weekly Log'!$A$5:$A$5000)+7*(ROW()-10)&gt;MAX('Weekly Log'!$A$5:$A$5000),"",MIN('Weekly Log'!$A$5:$A$5000)+7*(ROW()-10)))</f>
        <v>45845</v>
      </c>
    </row>
    <row r="44" spans="1:10" x14ac:dyDescent="0.25">
      <c r="A44" s="12" t="str">
        <f t="shared" si="0"/>
        <v>2025-W29</v>
      </c>
      <c r="B44" s="13">
        <f>IF($J44="","",SUMIFS('Weekly Log'!$C:$C,'Weekly Log'!$A:$A,"&gt;="&amp;$J44,'Weekly Log'!$A:$A,"&lt;"&amp;$J44+7))</f>
        <v>40</v>
      </c>
      <c r="C44" s="14">
        <f>IF($J44="","",IFERROR(COUNTIFS('Weekly Log'!$G:$G,"Y",'Weekly Log'!$A:$A,"&gt;="&amp;$J44,'Weekly Log'!$A:$A,"&lt;"&amp;$J44+7)/COUNTIFS('Weekly Log'!$G:$G,"&lt;&gt;",'Weekly Log'!$A:$A,"&gt;="&amp;$J44,'Weekly Log'!$A:$A,"&lt;"&amp;$J44+7),0))</f>
        <v>0.875</v>
      </c>
      <c r="D44" s="14">
        <f>IF($J44="","",IFERROR(COUNTIFS('Weekly Log'!$H:$H,"Y",'Weekly Log'!$A:$A,"&gt;="&amp;$J44,'Weekly Log'!$A:$A,"&lt;"&amp;$J44+7)/COUNTIFS('Weekly Log'!$H:$H,"&lt;&gt;",'Weekly Log'!$A:$A,"&gt;="&amp;$J44,'Weekly Log'!$A:$A,"&lt;"&amp;$J44+7),0))</f>
        <v>0.05</v>
      </c>
      <c r="E44" s="15">
        <f>IF($J44="","",IFERROR(AVERAGEIFS('Weekly Log'!$F:$F,'Weekly Log'!$A:$A,"&gt;="&amp;$J44,'Weekly Log'!$A:$A,"&lt;"&amp;$J44+7),0))</f>
        <v>2.2999999999999998</v>
      </c>
      <c r="F44" s="14">
        <f>IF($J44="","",IFERROR(SUMIFS('Weekly Log'!$F:$F,'Weekly Log'!$A:$A,"&gt;="&amp;$J44,'Weekly Log'!$A:$A,"&lt;"&amp;$J44+7)/SUMIFS('Weekly Log'!$E:$E,'Weekly Log'!$A:$A,"&gt;="&amp;$J44,'Weekly Log'!$A:$A,"&lt;"&amp;$J44+7),0))</f>
        <v>0.74313408723747976</v>
      </c>
      <c r="G44" s="13">
        <f>IF($J44="","",IFERROR(LOOKUP(2,1/(('Weekly Log'!$A$5:$A$5000&gt;=$J44)*('Weekly Log'!$A$5:$A$5000&lt;$J44+7)*('Weekly Log'!$M$5:$M$5000&lt;&gt;"")),'Weekly Log'!$M$5:$M$5000),0))</f>
        <v>11</v>
      </c>
      <c r="H44" s="12"/>
      <c r="J44">
        <f>IF(COUNT('Weekly Log'!$A$5:$A$5000)=0,"",IF(MIN('Weekly Log'!$A$5:$A$5000)+7*(ROW()-10)&gt;MAX('Weekly Log'!$A$5:$A$5000),"",MIN('Weekly Log'!$A$5:$A$5000)+7*(ROW()-10)))</f>
        <v>45852</v>
      </c>
    </row>
    <row r="45" spans="1:10" x14ac:dyDescent="0.25">
      <c r="A45" s="12" t="str">
        <f t="shared" si="0"/>
        <v>2025-W30</v>
      </c>
      <c r="B45" s="13">
        <f>IF($J45="","",SUMIFS('Weekly Log'!$C:$C,'Weekly Log'!$A:$A,"&gt;="&amp;$J45,'Weekly Log'!$A:$A,"&lt;"&amp;$J45+7))</f>
        <v>40</v>
      </c>
      <c r="C45" s="14">
        <f>IF($J45="","",IFERROR(COUNTIFS('Weekly Log'!$G:$G,"Y",'Weekly Log'!$A:$A,"&gt;="&amp;$J45,'Weekly Log'!$A:$A,"&lt;"&amp;$J45+7)/COUNTIFS('Weekly Log'!$G:$G,"&lt;&gt;",'Weekly Log'!$A:$A,"&gt;="&amp;$J45,'Weekly Log'!$A:$A,"&lt;"&amp;$J45+7),0))</f>
        <v>0.875</v>
      </c>
      <c r="D45" s="14">
        <f>IF($J45="","",IFERROR(COUNTIFS('Weekly Log'!$H:$H,"Y",'Weekly Log'!$A:$A,"&gt;="&amp;$J45,'Weekly Log'!$A:$A,"&lt;"&amp;$J45+7)/COUNTIFS('Weekly Log'!$H:$H,"&lt;&gt;",'Weekly Log'!$A:$A,"&gt;="&amp;$J45,'Weekly Log'!$A:$A,"&lt;"&amp;$J45+7),0))</f>
        <v>0.05</v>
      </c>
      <c r="E45" s="15">
        <f>IF($J45="","",IFERROR(AVERAGEIFS('Weekly Log'!$F:$F,'Weekly Log'!$A:$A,"&gt;="&amp;$J45,'Weekly Log'!$A:$A,"&lt;"&amp;$J45+7),0))</f>
        <v>2.4</v>
      </c>
      <c r="F45" s="14">
        <f>IF($J45="","",IFERROR(SUMIFS('Weekly Log'!$F:$F,'Weekly Log'!$A:$A,"&gt;="&amp;$J45,'Weekly Log'!$A:$A,"&lt;"&amp;$J45+7)/SUMIFS('Weekly Log'!$E:$E,'Weekly Log'!$A:$A,"&gt;="&amp;$J45,'Weekly Log'!$A:$A,"&lt;"&amp;$J45+7),0))</f>
        <v>0.79668049792531115</v>
      </c>
      <c r="G45" s="13">
        <f>IF($J45="","",IFERROR(LOOKUP(2,1/(('Weekly Log'!$A$5:$A$5000&gt;=$J45)*('Weekly Log'!$A$5:$A$5000&lt;$J45+7)*('Weekly Log'!$M$5:$M$5000&lt;&gt;"")),'Weekly Log'!$M$5:$M$5000),0))</f>
        <v>13</v>
      </c>
      <c r="H45" s="12"/>
      <c r="J45">
        <f>IF(COUNT('Weekly Log'!$A$5:$A$5000)=0,"",IF(MIN('Weekly Log'!$A$5:$A$5000)+7*(ROW()-10)&gt;MAX('Weekly Log'!$A$5:$A$5000),"",MIN('Weekly Log'!$A$5:$A$5000)+7*(ROW()-10)))</f>
        <v>45859</v>
      </c>
    </row>
    <row r="46" spans="1:10" x14ac:dyDescent="0.25">
      <c r="A46" s="12" t="str">
        <f t="shared" si="0"/>
        <v>2025-W31</v>
      </c>
      <c r="B46" s="13">
        <f>IF($J46="","",SUMIFS('Weekly Log'!$C:$C,'Weekly Log'!$A:$A,"&gt;="&amp;$J46,'Weekly Log'!$A:$A,"&lt;"&amp;$J46+7))</f>
        <v>37</v>
      </c>
      <c r="C46" s="14">
        <f>IF($J46="","",IFERROR(COUNTIFS('Weekly Log'!$G:$G,"Y",'Weekly Log'!$A:$A,"&gt;="&amp;$J46,'Weekly Log'!$A:$A,"&lt;"&amp;$J46+7)/COUNTIFS('Weekly Log'!$G:$G,"&lt;&gt;",'Weekly Log'!$A:$A,"&gt;="&amp;$J46,'Weekly Log'!$A:$A,"&lt;"&amp;$J46+7),0))</f>
        <v>0.86486486486486491</v>
      </c>
      <c r="D46" s="14">
        <f>IF($J46="","",IFERROR(COUNTIFS('Weekly Log'!$H:$H,"Y",'Weekly Log'!$A:$A,"&gt;="&amp;$J46,'Weekly Log'!$A:$A,"&lt;"&amp;$J46+7)/COUNTIFS('Weekly Log'!$H:$H,"&lt;&gt;",'Weekly Log'!$A:$A,"&gt;="&amp;$J46,'Weekly Log'!$A:$A,"&lt;"&amp;$J46+7),0))</f>
        <v>5.4054054054054057E-2</v>
      </c>
      <c r="E46" s="15">
        <f>IF($J46="","",IFERROR(AVERAGEIFS('Weekly Log'!$F:$F,'Weekly Log'!$A:$A,"&gt;="&amp;$J46,'Weekly Log'!$A:$A,"&lt;"&amp;$J46+7),0))</f>
        <v>2.4999999999999996</v>
      </c>
      <c r="F46" s="14">
        <f>IF($J46="","",IFERROR(SUMIFS('Weekly Log'!$F:$F,'Weekly Log'!$A:$A,"&gt;="&amp;$J46,'Weekly Log'!$A:$A,"&lt;"&amp;$J46+7)/SUMIFS('Weekly Log'!$E:$E,'Weekly Log'!$A:$A,"&gt;="&amp;$J46,'Weekly Log'!$A:$A,"&lt;"&amp;$J46+7),0))</f>
        <v>0.78723404255319152</v>
      </c>
      <c r="G46" s="13">
        <f>IF($J46="","",IFERROR(LOOKUP(2,1/(('Weekly Log'!$A$5:$A$5000&gt;=$J46)*('Weekly Log'!$A$5:$A$5000&lt;$J46+7)*('Weekly Log'!$M$5:$M$5000&lt;&gt;"")),'Weekly Log'!$M$5:$M$5000),0))</f>
        <v>14</v>
      </c>
      <c r="H46" s="12"/>
      <c r="J46">
        <f>IF(COUNT('Weekly Log'!$A$5:$A$5000)=0,"",IF(MIN('Weekly Log'!$A$5:$A$5000)+7*(ROW()-10)&gt;MAX('Weekly Log'!$A$5:$A$5000),"",MIN('Weekly Log'!$A$5:$A$5000)+7*(ROW()-10)))</f>
        <v>45866</v>
      </c>
    </row>
    <row r="47" spans="1:10" x14ac:dyDescent="0.25">
      <c r="A47" s="12" t="str">
        <f t="shared" si="0"/>
        <v>2025-W32</v>
      </c>
      <c r="B47" s="13">
        <f>IF($J47="","",SUMIFS('Weekly Log'!$C:$C,'Weekly Log'!$A:$A,"&gt;="&amp;$J47,'Weekly Log'!$A:$A,"&lt;"&amp;$J47+7))</f>
        <v>46</v>
      </c>
      <c r="C47" s="14">
        <f>IF($J47="","",IFERROR(COUNTIFS('Weekly Log'!$G:$G,"Y",'Weekly Log'!$A:$A,"&gt;="&amp;$J47,'Weekly Log'!$A:$A,"&lt;"&amp;$J47+7)/COUNTIFS('Weekly Log'!$G:$G,"&lt;&gt;",'Weekly Log'!$A:$A,"&gt;="&amp;$J47,'Weekly Log'!$A:$A,"&lt;"&amp;$J47+7),0))</f>
        <v>0.91304347826086951</v>
      </c>
      <c r="D47" s="14">
        <f>IF($J47="","",IFERROR(COUNTIFS('Weekly Log'!$H:$H,"Y",'Weekly Log'!$A:$A,"&gt;="&amp;$J47,'Weekly Log'!$A:$A,"&lt;"&amp;$J47+7)/COUNTIFS('Weekly Log'!$H:$H,"&lt;&gt;",'Weekly Log'!$A:$A,"&gt;="&amp;$J47,'Weekly Log'!$A:$A,"&lt;"&amp;$J47+7),0))</f>
        <v>4.3478260869565216E-2</v>
      </c>
      <c r="E47" s="15">
        <f>IF($J47="","",IFERROR(AVERAGEIFS('Weekly Log'!$F:$F,'Weekly Log'!$A:$A,"&gt;="&amp;$J47,'Weekly Log'!$A:$A,"&lt;"&amp;$J47+7),0))</f>
        <v>1.9999999999999998</v>
      </c>
      <c r="F47" s="14">
        <f>IF($J47="","",IFERROR(SUMIFS('Weekly Log'!$F:$F,'Weekly Log'!$A:$A,"&gt;="&amp;$J47,'Weekly Log'!$A:$A,"&lt;"&amp;$J47+7)/SUMIFS('Weekly Log'!$E:$E,'Weekly Log'!$A:$A,"&gt;="&amp;$J47,'Weekly Log'!$A:$A,"&lt;"&amp;$J47+7),0))</f>
        <v>0.79999999999999993</v>
      </c>
      <c r="G47" s="13">
        <f>IF($J47="","",IFERROR(LOOKUP(2,1/(('Weekly Log'!$A$5:$A$5000&gt;=$J47)*('Weekly Log'!$A$5:$A$5000&lt;$J47+7)*('Weekly Log'!$M$5:$M$5000&lt;&gt;"")),'Weekly Log'!$M$5:$M$5000),0))</f>
        <v>5</v>
      </c>
      <c r="H47" s="12"/>
      <c r="J47">
        <f>IF(COUNT('Weekly Log'!$A$5:$A$5000)=0,"",IF(MIN('Weekly Log'!$A$5:$A$5000)+7*(ROW()-10)&gt;MAX('Weekly Log'!$A$5:$A$5000),"",MIN('Weekly Log'!$A$5:$A$5000)+7*(ROW()-10)))</f>
        <v>45873</v>
      </c>
    </row>
    <row r="48" spans="1:10" x14ac:dyDescent="0.25">
      <c r="A48" s="12" t="str">
        <f t="shared" si="0"/>
        <v>2025-W33</v>
      </c>
      <c r="B48" s="13">
        <f>IF($J48="","",SUMIFS('Weekly Log'!$C:$C,'Weekly Log'!$A:$A,"&gt;="&amp;$J48,'Weekly Log'!$A:$A,"&lt;"&amp;$J48+7))</f>
        <v>44</v>
      </c>
      <c r="C48" s="14">
        <f>IF($J48="","",IFERROR(COUNTIFS('Weekly Log'!$G:$G,"Y",'Weekly Log'!$A:$A,"&gt;="&amp;$J48,'Weekly Log'!$A:$A,"&lt;"&amp;$J48+7)/COUNTIFS('Weekly Log'!$G:$G,"&lt;&gt;",'Weekly Log'!$A:$A,"&gt;="&amp;$J48,'Weekly Log'!$A:$A,"&lt;"&amp;$J48+7),0))</f>
        <v>0.88636363636363635</v>
      </c>
      <c r="D48" s="14">
        <f>IF($J48="","",IFERROR(COUNTIFS('Weekly Log'!$H:$H,"Y",'Weekly Log'!$A:$A,"&gt;="&amp;$J48,'Weekly Log'!$A:$A,"&lt;"&amp;$J48+7)/COUNTIFS('Weekly Log'!$H:$H,"&lt;&gt;",'Weekly Log'!$A:$A,"&gt;="&amp;$J48,'Weekly Log'!$A:$A,"&lt;"&amp;$J48+7),0))</f>
        <v>4.5454545454545456E-2</v>
      </c>
      <c r="E48" s="15">
        <f>IF($J48="","",IFERROR(AVERAGEIFS('Weekly Log'!$F:$F,'Weekly Log'!$A:$A,"&gt;="&amp;$J48,'Weekly Log'!$A:$A,"&lt;"&amp;$J48+7),0))</f>
        <v>2.1999999999999993</v>
      </c>
      <c r="F48" s="14">
        <f>IF($J48="","",IFERROR(SUMIFS('Weekly Log'!$F:$F,'Weekly Log'!$A:$A,"&gt;="&amp;$J48,'Weekly Log'!$A:$A,"&lt;"&amp;$J48+7)/SUMIFS('Weekly Log'!$E:$E,'Weekly Log'!$A:$A,"&gt;="&amp;$J48,'Weekly Log'!$A:$A,"&lt;"&amp;$J48+7),0))</f>
        <v>0.79020408163265277</v>
      </c>
      <c r="G48" s="13">
        <f>IF($J48="","",IFERROR(LOOKUP(2,1/(('Weekly Log'!$A$5:$A$5000&gt;=$J48)*('Weekly Log'!$A$5:$A$5000&lt;$J48+7)*('Weekly Log'!$M$5:$M$5000&lt;&gt;"")),'Weekly Log'!$M$5:$M$5000),0))</f>
        <v>10</v>
      </c>
      <c r="H48" s="12"/>
      <c r="J48">
        <f>IF(COUNT('Weekly Log'!$A$5:$A$5000)=0,"",IF(MIN('Weekly Log'!$A$5:$A$5000)+7*(ROW()-10)&gt;MAX('Weekly Log'!$A$5:$A$5000),"",MIN('Weekly Log'!$A$5:$A$5000)+7*(ROW()-10)))</f>
        <v>45880</v>
      </c>
    </row>
    <row r="49" spans="1:10" x14ac:dyDescent="0.25">
      <c r="A49" s="12" t="str">
        <f t="shared" si="0"/>
        <v>2025-W34</v>
      </c>
      <c r="B49" s="13">
        <f>IF($J49="","",SUMIFS('Weekly Log'!$C:$C,'Weekly Log'!$A:$A,"&gt;="&amp;$J49,'Weekly Log'!$A:$A,"&lt;"&amp;$J49+7))</f>
        <v>51</v>
      </c>
      <c r="C49" s="14">
        <f>IF($J49="","",IFERROR(COUNTIFS('Weekly Log'!$G:$G,"Y",'Weekly Log'!$A:$A,"&gt;="&amp;$J49,'Weekly Log'!$A:$A,"&lt;"&amp;$J49+7)/COUNTIFS('Weekly Log'!$G:$G,"&lt;&gt;",'Weekly Log'!$A:$A,"&gt;="&amp;$J49,'Weekly Log'!$A:$A,"&lt;"&amp;$J49+7),0))</f>
        <v>0.90196078431372551</v>
      </c>
      <c r="D49" s="14">
        <f>IF($J49="","",IFERROR(COUNTIFS('Weekly Log'!$H:$H,"Y",'Weekly Log'!$A:$A,"&gt;="&amp;$J49,'Weekly Log'!$A:$A,"&lt;"&amp;$J49+7)/COUNTIFS('Weekly Log'!$H:$H,"&lt;&gt;",'Weekly Log'!$A:$A,"&gt;="&amp;$J49,'Weekly Log'!$A:$A,"&lt;"&amp;$J49+7),0))</f>
        <v>3.9215686274509803E-2</v>
      </c>
      <c r="E49" s="15">
        <f>IF($J49="","",IFERROR(AVERAGEIFS('Weekly Log'!$F:$F,'Weekly Log'!$A:$A,"&gt;="&amp;$J49,'Weekly Log'!$A:$A,"&lt;"&amp;$J49+7),0))</f>
        <v>2.2999999999999998</v>
      </c>
      <c r="F49" s="14">
        <f>IF($J49="","",IFERROR(SUMIFS('Weekly Log'!$F:$F,'Weekly Log'!$A:$A,"&gt;="&amp;$J49,'Weekly Log'!$A:$A,"&lt;"&amp;$J49+7)/SUMIFS('Weekly Log'!$E:$E,'Weekly Log'!$A:$A,"&gt;="&amp;$J49,'Weekly Log'!$A:$A,"&lt;"&amp;$J49+7),0))</f>
        <v>0.76119402985074669</v>
      </c>
      <c r="G49" s="13">
        <f>IF($J49="","",IFERROR(LOOKUP(2,1/(('Weekly Log'!$A$5:$A$5000&gt;=$J49)*('Weekly Log'!$A$5:$A$5000&lt;$J49+7)*('Weekly Log'!$M$5:$M$5000&lt;&gt;"")),'Weekly Log'!$M$5:$M$5000),0))</f>
        <v>8</v>
      </c>
      <c r="H49" s="12"/>
      <c r="J49">
        <f>IF(COUNT('Weekly Log'!$A$5:$A$5000)=0,"",IF(MIN('Weekly Log'!$A$5:$A$5000)+7*(ROW()-10)&gt;MAX('Weekly Log'!$A$5:$A$5000),"",MIN('Weekly Log'!$A$5:$A$5000)+7*(ROW()-10)))</f>
        <v>45887</v>
      </c>
    </row>
    <row r="50" spans="1:10" x14ac:dyDescent="0.25">
      <c r="A50" s="12" t="str">
        <f t="shared" si="0"/>
        <v>2025-W35</v>
      </c>
      <c r="B50" s="13">
        <f>IF($J50="","",SUMIFS('Weekly Log'!$C:$C,'Weekly Log'!$A:$A,"&gt;="&amp;$J50,'Weekly Log'!$A:$A,"&lt;"&amp;$J50+7))</f>
        <v>43</v>
      </c>
      <c r="C50" s="14">
        <f>IF($J50="","",IFERROR(COUNTIFS('Weekly Log'!$G:$G,"Y",'Weekly Log'!$A:$A,"&gt;="&amp;$J50,'Weekly Log'!$A:$A,"&lt;"&amp;$J50+7)/COUNTIFS('Weekly Log'!$G:$G,"&lt;&gt;",'Weekly Log'!$A:$A,"&gt;="&amp;$J50,'Weekly Log'!$A:$A,"&lt;"&amp;$J50+7),0))</f>
        <v>0.88372093023255816</v>
      </c>
      <c r="D50" s="14">
        <f>IF($J50="","",IFERROR(COUNTIFS('Weekly Log'!$H:$H,"Y",'Weekly Log'!$A:$A,"&gt;="&amp;$J50,'Weekly Log'!$A:$A,"&lt;"&amp;$J50+7)/COUNTIFS('Weekly Log'!$H:$H,"&lt;&gt;",'Weekly Log'!$A:$A,"&gt;="&amp;$J50,'Weekly Log'!$A:$A,"&lt;"&amp;$J50+7),0))</f>
        <v>4.6511627906976744E-2</v>
      </c>
      <c r="E50" s="15">
        <f>IF($J50="","",IFERROR(AVERAGEIFS('Weekly Log'!$F:$F,'Weekly Log'!$A:$A,"&gt;="&amp;$J50,'Weekly Log'!$A:$A,"&lt;"&amp;$J50+7),0))</f>
        <v>2.1999999999999997</v>
      </c>
      <c r="F50" s="14">
        <f>IF($J50="","",IFERROR(SUMIFS('Weekly Log'!$F:$F,'Weekly Log'!$A:$A,"&gt;="&amp;$J50,'Weekly Log'!$A:$A,"&lt;"&amp;$J50+7)/SUMIFS('Weekly Log'!$E:$E,'Weekly Log'!$A:$A,"&gt;="&amp;$J50,'Weekly Log'!$A:$A,"&lt;"&amp;$J50+7),0))</f>
        <v>0.76228847703464953</v>
      </c>
      <c r="G50" s="13">
        <f>IF($J50="","",IFERROR(LOOKUP(2,1/(('Weekly Log'!$A$5:$A$5000&gt;=$J50)*('Weekly Log'!$A$5:$A$5000&lt;$J50+7)*('Weekly Log'!$M$5:$M$5000&lt;&gt;"")),'Weekly Log'!$M$5:$M$5000),0))</f>
        <v>13</v>
      </c>
      <c r="H50" s="12"/>
      <c r="J50">
        <f>IF(COUNT('Weekly Log'!$A$5:$A$5000)=0,"",IF(MIN('Weekly Log'!$A$5:$A$5000)+7*(ROW()-10)&gt;MAX('Weekly Log'!$A$5:$A$5000),"",MIN('Weekly Log'!$A$5:$A$5000)+7*(ROW()-10)))</f>
        <v>45894</v>
      </c>
    </row>
    <row r="51" spans="1:10" x14ac:dyDescent="0.25">
      <c r="A51" s="12" t="str">
        <f t="shared" si="0"/>
        <v>2025-W36</v>
      </c>
      <c r="B51" s="13">
        <f>IF($J51="","",SUMIFS('Weekly Log'!$C:$C,'Weekly Log'!$A:$A,"&gt;="&amp;$J51,'Weekly Log'!$A:$A,"&lt;"&amp;$J51+7))</f>
        <v>39</v>
      </c>
      <c r="C51" s="14">
        <f>IF($J51="","",IFERROR(COUNTIFS('Weekly Log'!$G:$G,"Y",'Weekly Log'!$A:$A,"&gt;="&amp;$J51,'Weekly Log'!$A:$A,"&lt;"&amp;$J51+7)/COUNTIFS('Weekly Log'!$G:$G,"&lt;&gt;",'Weekly Log'!$A:$A,"&gt;="&amp;$J51,'Weekly Log'!$A:$A,"&lt;"&amp;$J51+7),0))</f>
        <v>0.87179487179487181</v>
      </c>
      <c r="D51" s="14">
        <f>IF($J51="","",IFERROR(COUNTIFS('Weekly Log'!$H:$H,"Y",'Weekly Log'!$A:$A,"&gt;="&amp;$J51,'Weekly Log'!$A:$A,"&lt;"&amp;$J51+7)/COUNTIFS('Weekly Log'!$H:$H,"&lt;&gt;",'Weekly Log'!$A:$A,"&gt;="&amp;$J51,'Weekly Log'!$A:$A,"&lt;"&amp;$J51+7),0))</f>
        <v>5.128205128205128E-2</v>
      </c>
      <c r="E51" s="15">
        <f>IF($J51="","",IFERROR(AVERAGEIFS('Weekly Log'!$F:$F,'Weekly Log'!$A:$A,"&gt;="&amp;$J51,'Weekly Log'!$A:$A,"&lt;"&amp;$J51+7),0))</f>
        <v>1.9000000000000001</v>
      </c>
      <c r="F51" s="14">
        <f>IF($J51="","",IFERROR(SUMIFS('Weekly Log'!$F:$F,'Weekly Log'!$A:$A,"&gt;="&amp;$J51,'Weekly Log'!$A:$A,"&lt;"&amp;$J51+7)/SUMIFS('Weekly Log'!$E:$E,'Weekly Log'!$A:$A,"&gt;="&amp;$J51,'Weekly Log'!$A:$A,"&lt;"&amp;$J51+7),0))</f>
        <v>0.77510460251046054</v>
      </c>
      <c r="G51" s="13">
        <f>IF($J51="","",IFERROR(LOOKUP(2,1/(('Weekly Log'!$A$5:$A$5000&gt;=$J51)*('Weekly Log'!$A$5:$A$5000&lt;$J51+7)*('Weekly Log'!$M$5:$M$5000&lt;&gt;"")),'Weekly Log'!$M$5:$M$5000),0))</f>
        <v>10</v>
      </c>
      <c r="H51" s="12"/>
      <c r="J51">
        <f>IF(COUNT('Weekly Log'!$A$5:$A$5000)=0,"",IF(MIN('Weekly Log'!$A$5:$A$5000)+7*(ROW()-10)&gt;MAX('Weekly Log'!$A$5:$A$5000),"",MIN('Weekly Log'!$A$5:$A$5000)+7*(ROW()-10)))</f>
        <v>45901</v>
      </c>
    </row>
    <row r="52" spans="1:10" x14ac:dyDescent="0.25">
      <c r="A52" s="12" t="str">
        <f t="shared" si="0"/>
        <v>2025-W37</v>
      </c>
      <c r="B52" s="13">
        <f>IF($J52="","",SUMIFS('Weekly Log'!$C:$C,'Weekly Log'!$A:$A,"&gt;="&amp;$J52,'Weekly Log'!$A:$A,"&lt;"&amp;$J52+7))</f>
        <v>41</v>
      </c>
      <c r="C52" s="14">
        <f>IF($J52="","",IFERROR(COUNTIFS('Weekly Log'!$G:$G,"Y",'Weekly Log'!$A:$A,"&gt;="&amp;$J52,'Weekly Log'!$A:$A,"&lt;"&amp;$J52+7)/COUNTIFS('Weekly Log'!$G:$G,"&lt;&gt;",'Weekly Log'!$A:$A,"&gt;="&amp;$J52,'Weekly Log'!$A:$A,"&lt;"&amp;$J52+7),0))</f>
        <v>0.90243902439024393</v>
      </c>
      <c r="D52" s="14">
        <f>IF($J52="","",IFERROR(COUNTIFS('Weekly Log'!$H:$H,"Y",'Weekly Log'!$A:$A,"&gt;="&amp;$J52,'Weekly Log'!$A:$A,"&lt;"&amp;$J52+7)/COUNTIFS('Weekly Log'!$H:$H,"&lt;&gt;",'Weekly Log'!$A:$A,"&gt;="&amp;$J52,'Weekly Log'!$A:$A,"&lt;"&amp;$J52+7),0))</f>
        <v>4.878048780487805E-2</v>
      </c>
      <c r="E52" s="15">
        <f>IF($J52="","",IFERROR(AVERAGEIFS('Weekly Log'!$F:$F,'Weekly Log'!$A:$A,"&gt;="&amp;$J52,'Weekly Log'!$A:$A,"&lt;"&amp;$J52+7),0))</f>
        <v>1.9999999999999993</v>
      </c>
      <c r="F52" s="14">
        <f>IF($J52="","",IFERROR(SUMIFS('Weekly Log'!$F:$F,'Weekly Log'!$A:$A,"&gt;="&amp;$J52,'Weekly Log'!$A:$A,"&lt;"&amp;$J52+7)/SUMIFS('Weekly Log'!$E:$E,'Weekly Log'!$A:$A,"&gt;="&amp;$J52,'Weekly Log'!$A:$A,"&lt;"&amp;$J52+7),0))</f>
        <v>0.7578558225508315</v>
      </c>
      <c r="G52" s="13">
        <f>IF($J52="","",IFERROR(LOOKUP(2,1/(('Weekly Log'!$A$5:$A$5000&gt;=$J52)*('Weekly Log'!$A$5:$A$5000&lt;$J52+7)*('Weekly Log'!$M$5:$M$5000&lt;&gt;"")),'Weekly Log'!$M$5:$M$5000),0))</f>
        <v>14</v>
      </c>
      <c r="H52" s="12"/>
      <c r="J52">
        <f>IF(COUNT('Weekly Log'!$A$5:$A$5000)=0,"",IF(MIN('Weekly Log'!$A$5:$A$5000)+7*(ROW()-10)&gt;MAX('Weekly Log'!$A$5:$A$5000),"",MIN('Weekly Log'!$A$5:$A$5000)+7*(ROW()-10)))</f>
        <v>45908</v>
      </c>
    </row>
    <row r="53" spans="1:10" x14ac:dyDescent="0.25">
      <c r="A53" s="12" t="str">
        <f t="shared" si="0"/>
        <v>2025-W38</v>
      </c>
      <c r="B53" s="13">
        <f>IF($J53="","",SUMIFS('Weekly Log'!$C:$C,'Weekly Log'!$A:$A,"&gt;="&amp;$J53,'Weekly Log'!$A:$A,"&lt;"&amp;$J53+7))</f>
        <v>43</v>
      </c>
      <c r="C53" s="14">
        <f>IF($J53="","",IFERROR(COUNTIFS('Weekly Log'!$G:$G,"Y",'Weekly Log'!$A:$A,"&gt;="&amp;$J53,'Weekly Log'!$A:$A,"&lt;"&amp;$J53+7)/COUNTIFS('Weekly Log'!$G:$G,"&lt;&gt;",'Weekly Log'!$A:$A,"&gt;="&amp;$J53,'Weekly Log'!$A:$A,"&lt;"&amp;$J53+7),0))</f>
        <v>0.88372093023255816</v>
      </c>
      <c r="D53" s="14">
        <f>IF($J53="","",IFERROR(COUNTIFS('Weekly Log'!$H:$H,"Y",'Weekly Log'!$A:$A,"&gt;="&amp;$J53,'Weekly Log'!$A:$A,"&lt;"&amp;$J53+7)/COUNTIFS('Weekly Log'!$H:$H,"&lt;&gt;",'Weekly Log'!$A:$A,"&gt;="&amp;$J53,'Weekly Log'!$A:$A,"&lt;"&amp;$J53+7),0))</f>
        <v>4.6511627906976744E-2</v>
      </c>
      <c r="E53" s="15">
        <f>IF($J53="","",IFERROR(AVERAGEIFS('Weekly Log'!$F:$F,'Weekly Log'!$A:$A,"&gt;="&amp;$J53,'Weekly Log'!$A:$A,"&lt;"&amp;$J53+7),0))</f>
        <v>2.2999999999999989</v>
      </c>
      <c r="F53" s="14">
        <f>IF($J53="","",IFERROR(SUMIFS('Weekly Log'!$F:$F,'Weekly Log'!$A:$A,"&gt;="&amp;$J53,'Weekly Log'!$A:$A,"&lt;"&amp;$J53+7)/SUMIFS('Weekly Log'!$E:$E,'Weekly Log'!$A:$A,"&gt;="&amp;$J53,'Weekly Log'!$A:$A,"&lt;"&amp;$J53+7),0))</f>
        <v>0.77996845425867467</v>
      </c>
      <c r="G53" s="13">
        <f>IF($J53="","",IFERROR(LOOKUP(2,1/(('Weekly Log'!$A$5:$A$5000&gt;=$J53)*('Weekly Log'!$A$5:$A$5000&lt;$J53+7)*('Weekly Log'!$M$5:$M$5000&lt;&gt;"")),'Weekly Log'!$M$5:$M$5000),0))</f>
        <v>8</v>
      </c>
      <c r="H53" s="12" t="s">
        <v>25</v>
      </c>
      <c r="J53">
        <f>IF(COUNT('Weekly Log'!$A$5:$A$5000)=0,"",IF(MIN('Weekly Log'!$A$5:$A$5000)+7*(ROW()-10)&gt;MAX('Weekly Log'!$A$5:$A$5000),"",MIN('Weekly Log'!$A$5:$A$5000)+7*(ROW()-10)))</f>
        <v>45915</v>
      </c>
    </row>
    <row r="54" spans="1:10" x14ac:dyDescent="0.25">
      <c r="A54" s="12" t="str">
        <f t="shared" si="0"/>
        <v>2025-W39</v>
      </c>
      <c r="B54" s="13">
        <f>IF($J54="","",SUMIFS('Weekly Log'!$C:$C,'Weekly Log'!$A:$A,"&gt;="&amp;$J54,'Weekly Log'!$A:$A,"&lt;"&amp;$J54+7))</f>
        <v>38</v>
      </c>
      <c r="C54" s="14">
        <f>IF($J54="","",IFERROR(COUNTIFS('Weekly Log'!$G:$G,"Y",'Weekly Log'!$A:$A,"&gt;="&amp;$J54,'Weekly Log'!$A:$A,"&lt;"&amp;$J54+7)/COUNTIFS('Weekly Log'!$G:$G,"&lt;&gt;",'Weekly Log'!$A:$A,"&gt;="&amp;$J54,'Weekly Log'!$A:$A,"&lt;"&amp;$J54+7),0))</f>
        <v>0.89473684210526316</v>
      </c>
      <c r="D54" s="14">
        <f>IF($J54="","",IFERROR(COUNTIFS('Weekly Log'!$H:$H,"Y",'Weekly Log'!$A:$A,"&gt;="&amp;$J54,'Weekly Log'!$A:$A,"&lt;"&amp;$J54+7)/COUNTIFS('Weekly Log'!$H:$H,"&lt;&gt;",'Weekly Log'!$A:$A,"&gt;="&amp;$J54,'Weekly Log'!$A:$A,"&lt;"&amp;$J54+7),0))</f>
        <v>5.2631578947368418E-2</v>
      </c>
      <c r="E54" s="15">
        <f>IF($J54="","",IFERROR(AVERAGEIFS('Weekly Log'!$F:$F,'Weekly Log'!$A:$A,"&gt;="&amp;$J54,'Weekly Log'!$A:$A,"&lt;"&amp;$J54+7),0))</f>
        <v>2.5999999999999996</v>
      </c>
      <c r="F54" s="14">
        <f>IF($J54="","",IFERROR(SUMIFS('Weekly Log'!$F:$F,'Weekly Log'!$A:$A,"&gt;="&amp;$J54,'Weekly Log'!$A:$A,"&lt;"&amp;$J54+7)/SUMIFS('Weekly Log'!$E:$E,'Weekly Log'!$A:$A,"&gt;="&amp;$J54,'Weekly Log'!$A:$A,"&lt;"&amp;$J54+7),0))</f>
        <v>0.75018982536066825</v>
      </c>
      <c r="G54" s="13">
        <f>IF($J54="","",IFERROR(LOOKUP(2,1/(('Weekly Log'!$A$5:$A$5000&gt;=$J54)*('Weekly Log'!$A$5:$A$5000&lt;$J54+7)*('Weekly Log'!$M$5:$M$5000&lt;&gt;"")),'Weekly Log'!$M$5:$M$5000),0))</f>
        <v>15</v>
      </c>
      <c r="H54" s="12"/>
      <c r="J54">
        <f>IF(COUNT('Weekly Log'!$A$5:$A$5000)=0,"",IF(MIN('Weekly Log'!$A$5:$A$5000)+7*(ROW()-10)&gt;MAX('Weekly Log'!$A$5:$A$5000),"",MIN('Weekly Log'!$A$5:$A$5000)+7*(ROW()-10)))</f>
        <v>45922</v>
      </c>
    </row>
    <row r="55" spans="1:10" x14ac:dyDescent="0.25">
      <c r="A55" s="12" t="str">
        <f t="shared" si="0"/>
        <v>2025-W40</v>
      </c>
      <c r="B55" s="13">
        <f>IF($J55="","",SUMIFS('Weekly Log'!$C:$C,'Weekly Log'!$A:$A,"&gt;="&amp;$J55,'Weekly Log'!$A:$A,"&lt;"&amp;$J55+7))</f>
        <v>41</v>
      </c>
      <c r="C55" s="14">
        <f>IF($J55="","",IFERROR(COUNTIFS('Weekly Log'!$G:$G,"Y",'Weekly Log'!$A:$A,"&gt;="&amp;$J55,'Weekly Log'!$A:$A,"&lt;"&amp;$J55+7)/COUNTIFS('Weekly Log'!$G:$G,"&lt;&gt;",'Weekly Log'!$A:$A,"&gt;="&amp;$J55,'Weekly Log'!$A:$A,"&lt;"&amp;$J55+7),0))</f>
        <v>0.85365853658536583</v>
      </c>
      <c r="D55" s="14">
        <f>IF($J55="","",IFERROR(COUNTIFS('Weekly Log'!$H:$H,"Y",'Weekly Log'!$A:$A,"&gt;="&amp;$J55,'Weekly Log'!$A:$A,"&lt;"&amp;$J55+7)/COUNTIFS('Weekly Log'!$H:$H,"&lt;&gt;",'Weekly Log'!$A:$A,"&gt;="&amp;$J55,'Weekly Log'!$A:$A,"&lt;"&amp;$J55+7),0))</f>
        <v>4.878048780487805E-2</v>
      </c>
      <c r="E55" s="15">
        <f>IF($J55="","",IFERROR(AVERAGEIFS('Weekly Log'!$F:$F,'Weekly Log'!$A:$A,"&gt;="&amp;$J55,'Weekly Log'!$A:$A,"&lt;"&amp;$J55+7),0))</f>
        <v>2.1000000000000005</v>
      </c>
      <c r="F55" s="14">
        <f>IF($J55="","",IFERROR(SUMIFS('Weekly Log'!$F:$F,'Weekly Log'!$A:$A,"&gt;="&amp;$J55,'Weekly Log'!$A:$A,"&lt;"&amp;$J55+7)/SUMIFS('Weekly Log'!$E:$E,'Weekly Log'!$A:$A,"&gt;="&amp;$J55,'Weekly Log'!$A:$A,"&lt;"&amp;$J55+7),0))</f>
        <v>0.74480968858131513</v>
      </c>
      <c r="G55" s="13">
        <f>IF($J55="","",IFERROR(LOOKUP(2,1/(('Weekly Log'!$A$5:$A$5000&gt;=$J55)*('Weekly Log'!$A$5:$A$5000&lt;$J55+7)*('Weekly Log'!$M$5:$M$5000&lt;&gt;"")),'Weekly Log'!$M$5:$M$5000),0))</f>
        <v>6</v>
      </c>
      <c r="H55" s="12"/>
      <c r="J55">
        <f>IF(COUNT('Weekly Log'!$A$5:$A$5000)=0,"",IF(MIN('Weekly Log'!$A$5:$A$5000)+7*(ROW()-10)&gt;MAX('Weekly Log'!$A$5:$A$5000),"",MIN('Weekly Log'!$A$5:$A$5000)+7*(ROW()-10)))</f>
        <v>45929</v>
      </c>
    </row>
    <row r="56" spans="1:10" x14ac:dyDescent="0.25">
      <c r="A56" s="12" t="str">
        <f t="shared" si="0"/>
        <v>2025-W41</v>
      </c>
      <c r="B56" s="13">
        <f>IF($J56="","",SUMIFS('Weekly Log'!$C:$C,'Weekly Log'!$A:$A,"&gt;="&amp;$J56,'Weekly Log'!$A:$A,"&lt;"&amp;$J56+7))</f>
        <v>39</v>
      </c>
      <c r="C56" s="14">
        <f>IF($J56="","",IFERROR(COUNTIFS('Weekly Log'!$G:$G,"Y",'Weekly Log'!$A:$A,"&gt;="&amp;$J56,'Weekly Log'!$A:$A,"&lt;"&amp;$J56+7)/COUNTIFS('Weekly Log'!$G:$G,"&lt;&gt;",'Weekly Log'!$A:$A,"&gt;="&amp;$J56,'Weekly Log'!$A:$A,"&lt;"&amp;$J56+7),0))</f>
        <v>0.87179487179487181</v>
      </c>
      <c r="D56" s="14">
        <f>IF($J56="","",IFERROR(COUNTIFS('Weekly Log'!$H:$H,"Y",'Weekly Log'!$A:$A,"&gt;="&amp;$J56,'Weekly Log'!$A:$A,"&lt;"&amp;$J56+7)/COUNTIFS('Weekly Log'!$H:$H,"&lt;&gt;",'Weekly Log'!$A:$A,"&gt;="&amp;$J56,'Weekly Log'!$A:$A,"&lt;"&amp;$J56+7),0))</f>
        <v>5.128205128205128E-2</v>
      </c>
      <c r="E56" s="15">
        <f>IF($J56="","",IFERROR(AVERAGEIFS('Weekly Log'!$F:$F,'Weekly Log'!$A:$A,"&gt;="&amp;$J56,'Weekly Log'!$A:$A,"&lt;"&amp;$J56+7),0))</f>
        <v>2.1999999999999997</v>
      </c>
      <c r="F56" s="14">
        <f>IF($J56="","",IFERROR(SUMIFS('Weekly Log'!$F:$F,'Weekly Log'!$A:$A,"&gt;="&amp;$J56,'Weekly Log'!$A:$A,"&lt;"&amp;$J56+7)/SUMIFS('Weekly Log'!$E:$E,'Weekly Log'!$A:$A,"&gt;="&amp;$J56,'Weekly Log'!$A:$A,"&lt;"&amp;$J56+7),0))</f>
        <v>0.77088948787062006</v>
      </c>
      <c r="G56" s="13">
        <f>IF($J56="","",IFERROR(LOOKUP(2,1/(('Weekly Log'!$A$5:$A$5000&gt;=$J56)*('Weekly Log'!$A$5:$A$5000&lt;$J56+7)*('Weekly Log'!$M$5:$M$5000&lt;&gt;"")),'Weekly Log'!$M$5:$M$5000),0))</f>
        <v>11</v>
      </c>
      <c r="H56" s="12"/>
      <c r="J56">
        <f>IF(COUNT('Weekly Log'!$A$5:$A$5000)=0,"",IF(MIN('Weekly Log'!$A$5:$A$5000)+7*(ROW()-10)&gt;MAX('Weekly Log'!$A$5:$A$5000),"",MIN('Weekly Log'!$A$5:$A$5000)+7*(ROW()-10)))</f>
        <v>45936</v>
      </c>
    </row>
    <row r="57" spans="1:10" x14ac:dyDescent="0.25">
      <c r="A57" s="12" t="str">
        <f t="shared" si="0"/>
        <v>2025-W42</v>
      </c>
      <c r="B57" s="13">
        <f>IF($J57="","",SUMIFS('Weekly Log'!$C:$C,'Weekly Log'!$A:$A,"&gt;="&amp;$J57,'Weekly Log'!$A:$A,"&lt;"&amp;$J57+7))</f>
        <v>44</v>
      </c>
      <c r="C57" s="14">
        <f>IF($J57="","",IFERROR(COUNTIFS('Weekly Log'!$G:$G,"Y",'Weekly Log'!$A:$A,"&gt;="&amp;$J57,'Weekly Log'!$A:$A,"&lt;"&amp;$J57+7)/COUNTIFS('Weekly Log'!$G:$G,"&lt;&gt;",'Weekly Log'!$A:$A,"&gt;="&amp;$J57,'Weekly Log'!$A:$A,"&lt;"&amp;$J57+7),0))</f>
        <v>0.90909090909090906</v>
      </c>
      <c r="D57" s="14">
        <f>IF($J57="","",IFERROR(COUNTIFS('Weekly Log'!$H:$H,"Y",'Weekly Log'!$A:$A,"&gt;="&amp;$J57,'Weekly Log'!$A:$A,"&lt;"&amp;$J57+7)/COUNTIFS('Weekly Log'!$H:$H,"&lt;&gt;",'Weekly Log'!$A:$A,"&gt;="&amp;$J57,'Weekly Log'!$A:$A,"&lt;"&amp;$J57+7),0))</f>
        <v>4.5454545454545456E-2</v>
      </c>
      <c r="E57" s="15">
        <f>IF($J57="","",IFERROR(AVERAGEIFS('Weekly Log'!$F:$F,'Weekly Log'!$A:$A,"&gt;="&amp;$J57,'Weekly Log'!$A:$A,"&lt;"&amp;$J57+7),0))</f>
        <v>2.3999999999999995</v>
      </c>
      <c r="F57" s="14">
        <f>IF($J57="","",IFERROR(SUMIFS('Weekly Log'!$F:$F,'Weekly Log'!$A:$A,"&gt;="&amp;$J57,'Weekly Log'!$A:$A,"&lt;"&amp;$J57+7)/SUMIFS('Weekly Log'!$E:$E,'Weekly Log'!$A:$A,"&gt;="&amp;$J57,'Weekly Log'!$A:$A,"&lt;"&amp;$J57+7),0))</f>
        <v>0.78280207561156412</v>
      </c>
      <c r="G57" s="13">
        <f>IF($J57="","",IFERROR(LOOKUP(2,1/(('Weekly Log'!$A$5:$A$5000&gt;=$J57)*('Weekly Log'!$A$5:$A$5000&lt;$J57+7)*('Weekly Log'!$M$5:$M$5000&lt;&gt;"")),'Weekly Log'!$M$5:$M$5000),0))</f>
        <v>8</v>
      </c>
      <c r="H57" s="12"/>
      <c r="J57">
        <f>IF(COUNT('Weekly Log'!$A$5:$A$5000)=0,"",IF(MIN('Weekly Log'!$A$5:$A$5000)+7*(ROW()-10)&gt;MAX('Weekly Log'!$A$5:$A$5000),"",MIN('Weekly Log'!$A$5:$A$5000)+7*(ROW()-10)))</f>
        <v>45943</v>
      </c>
    </row>
    <row r="58" spans="1:10" x14ac:dyDescent="0.25">
      <c r="A58" s="12" t="str">
        <f t="shared" si="0"/>
        <v>2025-W43</v>
      </c>
      <c r="B58" s="13">
        <f>IF($J58="","",SUMIFS('Weekly Log'!$C:$C,'Weekly Log'!$A:$A,"&gt;="&amp;$J58,'Weekly Log'!$A:$A,"&lt;"&amp;$J58+7))</f>
        <v>41</v>
      </c>
      <c r="C58" s="14">
        <f>IF($J58="","",IFERROR(COUNTIFS('Weekly Log'!$G:$G,"Y",'Weekly Log'!$A:$A,"&gt;="&amp;$J58,'Weekly Log'!$A:$A,"&lt;"&amp;$J58+7)/COUNTIFS('Weekly Log'!$G:$G,"&lt;&gt;",'Weekly Log'!$A:$A,"&gt;="&amp;$J58,'Weekly Log'!$A:$A,"&lt;"&amp;$J58+7),0))</f>
        <v>0.87804878048780488</v>
      </c>
      <c r="D58" s="14">
        <f>IF($J58="","",IFERROR(COUNTIFS('Weekly Log'!$H:$H,"Y",'Weekly Log'!$A:$A,"&gt;="&amp;$J58,'Weekly Log'!$A:$A,"&lt;"&amp;$J58+7)/COUNTIFS('Weekly Log'!$H:$H,"&lt;&gt;",'Weekly Log'!$A:$A,"&gt;="&amp;$J58,'Weekly Log'!$A:$A,"&lt;"&amp;$J58+7),0))</f>
        <v>4.878048780487805E-2</v>
      </c>
      <c r="E58" s="15">
        <f>IF($J58="","",IFERROR(AVERAGEIFS('Weekly Log'!$F:$F,'Weekly Log'!$A:$A,"&gt;="&amp;$J58,'Weekly Log'!$A:$A,"&lt;"&amp;$J58+7),0))</f>
        <v>2.4</v>
      </c>
      <c r="F58" s="14">
        <f>IF($J58="","",IFERROR(SUMIFS('Weekly Log'!$F:$F,'Weekly Log'!$A:$A,"&gt;="&amp;$J58,'Weekly Log'!$A:$A,"&lt;"&amp;$J58+7)/SUMIFS('Weekly Log'!$E:$E,'Weekly Log'!$A:$A,"&gt;="&amp;$J58,'Weekly Log'!$A:$A,"&lt;"&amp;$J58+7),0))</f>
        <v>0.76995305164319239</v>
      </c>
      <c r="G58" s="13">
        <f>IF($J58="","",IFERROR(LOOKUP(2,1/(('Weekly Log'!$A$5:$A$5000&gt;=$J58)*('Weekly Log'!$A$5:$A$5000&lt;$J58+7)*('Weekly Log'!$M$5:$M$5000&lt;&gt;"")),'Weekly Log'!$M$5:$M$5000),0))</f>
        <v>14</v>
      </c>
      <c r="H58" s="12" t="s">
        <v>24</v>
      </c>
      <c r="J58">
        <f>IF(COUNT('Weekly Log'!$A$5:$A$5000)=0,"",IF(MIN('Weekly Log'!$A$5:$A$5000)+7*(ROW()-10)&gt;MAX('Weekly Log'!$A$5:$A$5000),"",MIN('Weekly Log'!$A$5:$A$5000)+7*(ROW()-10)))</f>
        <v>45950</v>
      </c>
    </row>
    <row r="59" spans="1:10" x14ac:dyDescent="0.25">
      <c r="A59" s="12" t="str">
        <f t="shared" si="0"/>
        <v>2025-W44</v>
      </c>
      <c r="B59" s="13">
        <f>IF($J59="","",SUMIFS('Weekly Log'!$C:$C,'Weekly Log'!$A:$A,"&gt;="&amp;$J59,'Weekly Log'!$A:$A,"&lt;"&amp;$J59+7))</f>
        <v>43</v>
      </c>
      <c r="C59" s="14">
        <f>IF($J59="","",IFERROR(COUNTIFS('Weekly Log'!$G:$G,"Y",'Weekly Log'!$A:$A,"&gt;="&amp;$J59,'Weekly Log'!$A:$A,"&lt;"&amp;$J59+7)/COUNTIFS('Weekly Log'!$G:$G,"&lt;&gt;",'Weekly Log'!$A:$A,"&gt;="&amp;$J59,'Weekly Log'!$A:$A,"&lt;"&amp;$J59+7),0))</f>
        <v>0.90697674418604646</v>
      </c>
      <c r="D59" s="14">
        <f>IF($J59="","",IFERROR(COUNTIFS('Weekly Log'!$H:$H,"Y",'Weekly Log'!$A:$A,"&gt;="&amp;$J59,'Weekly Log'!$A:$A,"&lt;"&amp;$J59+7)/COUNTIFS('Weekly Log'!$H:$H,"&lt;&gt;",'Weekly Log'!$A:$A,"&gt;="&amp;$J59,'Weekly Log'!$A:$A,"&lt;"&amp;$J59+7),0))</f>
        <v>4.6511627906976744E-2</v>
      </c>
      <c r="E59" s="15">
        <f>IF($J59="","",IFERROR(AVERAGEIFS('Weekly Log'!$F:$F,'Weekly Log'!$A:$A,"&gt;="&amp;$J59,'Weekly Log'!$A:$A,"&lt;"&amp;$J59+7),0))</f>
        <v>2.1</v>
      </c>
      <c r="F59" s="14">
        <f>IF($J59="","",IFERROR(SUMIFS('Weekly Log'!$F:$F,'Weekly Log'!$A:$A,"&gt;="&amp;$J59,'Weekly Log'!$A:$A,"&lt;"&amp;$J59+7)/SUMIFS('Weekly Log'!$E:$E,'Weekly Log'!$A:$A,"&gt;="&amp;$J59,'Weekly Log'!$A:$A,"&lt;"&amp;$J59+7),0))</f>
        <v>0.76916524701873945</v>
      </c>
      <c r="G59" s="13">
        <f>IF($J59="","",IFERROR(LOOKUP(2,1/(('Weekly Log'!$A$5:$A$5000&gt;=$J59)*('Weekly Log'!$A$5:$A$5000&lt;$J59+7)*('Weekly Log'!$M$5:$M$5000&lt;&gt;"")),'Weekly Log'!$M$5:$M$5000),0))</f>
        <v>5</v>
      </c>
      <c r="H59" s="12"/>
      <c r="J59">
        <f>IF(COUNT('Weekly Log'!$A$5:$A$5000)=0,"",IF(MIN('Weekly Log'!$A$5:$A$5000)+7*(ROW()-10)&gt;MAX('Weekly Log'!$A$5:$A$5000),"",MIN('Weekly Log'!$A$5:$A$5000)+7*(ROW()-10)))</f>
        <v>45957</v>
      </c>
    </row>
    <row r="60" spans="1:10" x14ac:dyDescent="0.25">
      <c r="A60" s="12" t="str">
        <f t="shared" si="0"/>
        <v>2025-W45</v>
      </c>
      <c r="B60" s="13">
        <f>IF($J60="","",SUMIFS('Weekly Log'!$C:$C,'Weekly Log'!$A:$A,"&gt;="&amp;$J60,'Weekly Log'!$A:$A,"&lt;"&amp;$J60+7))</f>
        <v>44</v>
      </c>
      <c r="C60" s="14">
        <f>IF($J60="","",IFERROR(COUNTIFS('Weekly Log'!$G:$G,"Y",'Weekly Log'!$A:$A,"&gt;="&amp;$J60,'Weekly Log'!$A:$A,"&lt;"&amp;$J60+7)/COUNTIFS('Weekly Log'!$G:$G,"&lt;&gt;",'Weekly Log'!$A:$A,"&gt;="&amp;$J60,'Weekly Log'!$A:$A,"&lt;"&amp;$J60+7),0))</f>
        <v>0.90909090909090906</v>
      </c>
      <c r="D60" s="14">
        <f>IF($J60="","",IFERROR(COUNTIFS('Weekly Log'!$H:$H,"Y",'Weekly Log'!$A:$A,"&gt;="&amp;$J60,'Weekly Log'!$A:$A,"&lt;"&amp;$J60+7)/COUNTIFS('Weekly Log'!$H:$H,"&lt;&gt;",'Weekly Log'!$A:$A,"&gt;="&amp;$J60,'Weekly Log'!$A:$A,"&lt;"&amp;$J60+7),0))</f>
        <v>4.5454545454545456E-2</v>
      </c>
      <c r="E60" s="15">
        <f>IF($J60="","",IFERROR(AVERAGEIFS('Weekly Log'!$F:$F,'Weekly Log'!$A:$A,"&gt;="&amp;$J60,'Weekly Log'!$A:$A,"&lt;"&amp;$J60+7),0))</f>
        <v>2.1999999999999997</v>
      </c>
      <c r="F60" s="14">
        <f>IF($J60="","",IFERROR(SUMIFS('Weekly Log'!$F:$F,'Weekly Log'!$A:$A,"&gt;="&amp;$J60,'Weekly Log'!$A:$A,"&lt;"&amp;$J60+7)/SUMIFS('Weekly Log'!$E:$E,'Weekly Log'!$A:$A,"&gt;="&amp;$J60,'Weekly Log'!$A:$A,"&lt;"&amp;$J60+7),0))</f>
        <v>0.74980635166537568</v>
      </c>
      <c r="G60" s="13">
        <f>IF($J60="","",IFERROR(LOOKUP(2,1/(('Weekly Log'!$A$5:$A$5000&gt;=$J60)*('Weekly Log'!$A$5:$A$5000&lt;$J60+7)*('Weekly Log'!$M$5:$M$5000&lt;&gt;"")),'Weekly Log'!$M$5:$M$5000),0))</f>
        <v>9</v>
      </c>
      <c r="H60" s="12"/>
      <c r="J60">
        <f>IF(COUNT('Weekly Log'!$A$5:$A$5000)=0,"",IF(MIN('Weekly Log'!$A$5:$A$5000)+7*(ROW()-10)&gt;MAX('Weekly Log'!$A$5:$A$5000),"",MIN('Weekly Log'!$A$5:$A$5000)+7*(ROW()-10)))</f>
        <v>45964</v>
      </c>
    </row>
    <row r="61" spans="1:10" x14ac:dyDescent="0.25">
      <c r="A61" s="12" t="str">
        <f t="shared" si="0"/>
        <v>2025-W46</v>
      </c>
      <c r="B61" s="13">
        <f>IF($J61="","",SUMIFS('Weekly Log'!$C:$C,'Weekly Log'!$A:$A,"&gt;="&amp;$J61,'Weekly Log'!$A:$A,"&lt;"&amp;$J61+7))</f>
        <v>55</v>
      </c>
      <c r="C61" s="14">
        <f>IF($J61="","",IFERROR(COUNTIFS('Weekly Log'!$G:$G,"Y",'Weekly Log'!$A:$A,"&gt;="&amp;$J61,'Weekly Log'!$A:$A,"&lt;"&amp;$J61+7)/COUNTIFS('Weekly Log'!$G:$G,"&lt;&gt;",'Weekly Log'!$A:$A,"&gt;="&amp;$J61,'Weekly Log'!$A:$A,"&lt;"&amp;$J61+7),0))</f>
        <v>0.89090909090909087</v>
      </c>
      <c r="D61" s="14">
        <f>IF($J61="","",IFERROR(COUNTIFS('Weekly Log'!$H:$H,"Y",'Weekly Log'!$A:$A,"&gt;="&amp;$J61,'Weekly Log'!$A:$A,"&lt;"&amp;$J61+7)/COUNTIFS('Weekly Log'!$H:$H,"&lt;&gt;",'Weekly Log'!$A:$A,"&gt;="&amp;$J61,'Weekly Log'!$A:$A,"&lt;"&amp;$J61+7),0))</f>
        <v>3.6363636363636362E-2</v>
      </c>
      <c r="E61" s="15">
        <f>IF($J61="","",IFERROR(AVERAGEIFS('Weekly Log'!$F:$F,'Weekly Log'!$A:$A,"&gt;="&amp;$J61,'Weekly Log'!$A:$A,"&lt;"&amp;$J61+7),0))</f>
        <v>2.1999999999999997</v>
      </c>
      <c r="F61" s="14">
        <f>IF($J61="","",IFERROR(SUMIFS('Weekly Log'!$F:$F,'Weekly Log'!$A:$A,"&gt;="&amp;$J61,'Weekly Log'!$A:$A,"&lt;"&amp;$J61+7)/SUMIFS('Weekly Log'!$E:$E,'Weekly Log'!$A:$A,"&gt;="&amp;$J61,'Weekly Log'!$A:$A,"&lt;"&amp;$J61+7),0))</f>
        <v>0.77913715389568594</v>
      </c>
      <c r="G61" s="13">
        <f>IF($J61="","",IFERROR(LOOKUP(2,1/(('Weekly Log'!$A$5:$A$5000&gt;=$J61)*('Weekly Log'!$A$5:$A$5000&lt;$J61+7)*('Weekly Log'!$M$5:$M$5000&lt;&gt;"")),'Weekly Log'!$M$5:$M$5000),0))</f>
        <v>4</v>
      </c>
      <c r="H61" s="12"/>
      <c r="J61">
        <f>IF(COUNT('Weekly Log'!$A$5:$A$5000)=0,"",IF(MIN('Weekly Log'!$A$5:$A$5000)+7*(ROW()-10)&gt;MAX('Weekly Log'!$A$5:$A$5000),"",MIN('Weekly Log'!$A$5:$A$5000)+7*(ROW()-10)))</f>
        <v>45971</v>
      </c>
    </row>
    <row r="62" spans="1:10" x14ac:dyDescent="0.25">
      <c r="A62" s="12" t="str">
        <f t="shared" si="0"/>
        <v>2025-W47</v>
      </c>
      <c r="B62" s="13">
        <f>IF($J62="","",SUMIFS('Weekly Log'!$C:$C,'Weekly Log'!$A:$A,"&gt;="&amp;$J62,'Weekly Log'!$A:$A,"&lt;"&amp;$J62+7))</f>
        <v>43</v>
      </c>
      <c r="C62" s="14">
        <f>IF($J62="","",IFERROR(COUNTIFS('Weekly Log'!$G:$G,"Y",'Weekly Log'!$A:$A,"&gt;="&amp;$J62,'Weekly Log'!$A:$A,"&lt;"&amp;$J62+7)/COUNTIFS('Weekly Log'!$G:$G,"&lt;&gt;",'Weekly Log'!$A:$A,"&gt;="&amp;$J62,'Weekly Log'!$A:$A,"&lt;"&amp;$J62+7),0))</f>
        <v>0.88372093023255816</v>
      </c>
      <c r="D62" s="14">
        <f>IF($J62="","",IFERROR(COUNTIFS('Weekly Log'!$H:$H,"Y",'Weekly Log'!$A:$A,"&gt;="&amp;$J62,'Weekly Log'!$A:$A,"&lt;"&amp;$J62+7)/COUNTIFS('Weekly Log'!$H:$H,"&lt;&gt;",'Weekly Log'!$A:$A,"&gt;="&amp;$J62,'Weekly Log'!$A:$A,"&lt;"&amp;$J62+7),0))</f>
        <v>4.6511627906976744E-2</v>
      </c>
      <c r="E62" s="15">
        <f>IF($J62="","",IFERROR(AVERAGEIFS('Weekly Log'!$F:$F,'Weekly Log'!$A:$A,"&gt;="&amp;$J62,'Weekly Log'!$A:$A,"&lt;"&amp;$J62+7),0))</f>
        <v>2.1</v>
      </c>
      <c r="F62" s="14">
        <f>IF($J62="","",IFERROR(SUMIFS('Weekly Log'!$F:$F,'Weekly Log'!$A:$A,"&gt;="&amp;$J62,'Weekly Log'!$A:$A,"&lt;"&amp;$J62+7)/SUMIFS('Weekly Log'!$E:$E,'Weekly Log'!$A:$A,"&gt;="&amp;$J62,'Weekly Log'!$A:$A,"&lt;"&amp;$J62+7),0))</f>
        <v>0.75124792013311148</v>
      </c>
      <c r="G62" s="13">
        <f>IF($J62="","",IFERROR(LOOKUP(2,1/(('Weekly Log'!$A$5:$A$5000&gt;=$J62)*('Weekly Log'!$A$5:$A$5000&lt;$J62+7)*('Weekly Log'!$M$5:$M$5000&lt;&gt;"")),'Weekly Log'!$M$5:$M$5000),0))</f>
        <v>8</v>
      </c>
      <c r="H62" s="12"/>
      <c r="J62">
        <f>IF(COUNT('Weekly Log'!$A$5:$A$5000)=0,"",IF(MIN('Weekly Log'!$A$5:$A$5000)+7*(ROW()-10)&gt;MAX('Weekly Log'!$A$5:$A$5000),"",MIN('Weekly Log'!$A$5:$A$5000)+7*(ROW()-10)))</f>
        <v>45978</v>
      </c>
    </row>
    <row r="63" spans="1:10" x14ac:dyDescent="0.25">
      <c r="A63" s="12" t="str">
        <f t="shared" si="0"/>
        <v>2025-W48</v>
      </c>
      <c r="B63" s="13">
        <f>IF($J63="","",SUMIFS('Weekly Log'!$C:$C,'Weekly Log'!$A:$A,"&gt;="&amp;$J63,'Weekly Log'!$A:$A,"&lt;"&amp;$J63+7))</f>
        <v>40</v>
      </c>
      <c r="C63" s="14">
        <f>IF($J63="","",IFERROR(COUNTIFS('Weekly Log'!$G:$G,"Y",'Weekly Log'!$A:$A,"&gt;="&amp;$J63,'Weekly Log'!$A:$A,"&lt;"&amp;$J63+7)/COUNTIFS('Weekly Log'!$G:$G,"&lt;&gt;",'Weekly Log'!$A:$A,"&gt;="&amp;$J63,'Weekly Log'!$A:$A,"&lt;"&amp;$J63+7),0))</f>
        <v>0.9</v>
      </c>
      <c r="D63" s="14">
        <f>IF($J63="","",IFERROR(COUNTIFS('Weekly Log'!$H:$H,"Y",'Weekly Log'!$A:$A,"&gt;="&amp;$J63,'Weekly Log'!$A:$A,"&lt;"&amp;$J63+7)/COUNTIFS('Weekly Log'!$H:$H,"&lt;&gt;",'Weekly Log'!$A:$A,"&gt;="&amp;$J63,'Weekly Log'!$A:$A,"&lt;"&amp;$J63+7),0))</f>
        <v>0.05</v>
      </c>
      <c r="E63" s="15">
        <f>IF($J63="","",IFERROR(AVERAGEIFS('Weekly Log'!$F:$F,'Weekly Log'!$A:$A,"&gt;="&amp;$J63,'Weekly Log'!$A:$A,"&lt;"&amp;$J63+7),0))</f>
        <v>2</v>
      </c>
      <c r="F63" s="14">
        <f>IF($J63="","",IFERROR(SUMIFS('Weekly Log'!$F:$F,'Weekly Log'!$A:$A,"&gt;="&amp;$J63,'Weekly Log'!$A:$A,"&lt;"&amp;$J63+7)/SUMIFS('Weekly Log'!$E:$E,'Weekly Log'!$A:$A,"&gt;="&amp;$J63,'Weekly Log'!$A:$A,"&lt;"&amp;$J63+7),0))</f>
        <v>0.76408787010506218</v>
      </c>
      <c r="G63" s="13">
        <f>IF($J63="","",IFERROR(LOOKUP(2,1/(('Weekly Log'!$A$5:$A$5000&gt;=$J63)*('Weekly Log'!$A$5:$A$5000&lt;$J63+7)*('Weekly Log'!$M$5:$M$5000&lt;&gt;"")),'Weekly Log'!$M$5:$M$5000),0))</f>
        <v>10</v>
      </c>
      <c r="H63" s="12"/>
      <c r="J63">
        <f>IF(COUNT('Weekly Log'!$A$5:$A$5000)=0,"",IF(MIN('Weekly Log'!$A$5:$A$5000)+7*(ROW()-10)&gt;MAX('Weekly Log'!$A$5:$A$5000),"",MIN('Weekly Log'!$A$5:$A$5000)+7*(ROW()-10)))</f>
        <v>45985</v>
      </c>
    </row>
    <row r="64" spans="1:10" x14ac:dyDescent="0.25">
      <c r="A64" s="12" t="str">
        <f t="shared" si="0"/>
        <v>2025-W49</v>
      </c>
      <c r="B64" s="13">
        <f>IF($J64="","",SUMIFS('Weekly Log'!$C:$C,'Weekly Log'!$A:$A,"&gt;="&amp;$J64,'Weekly Log'!$A:$A,"&lt;"&amp;$J64+7))</f>
        <v>46</v>
      </c>
      <c r="C64" s="14">
        <f>IF($J64="","",IFERROR(COUNTIFS('Weekly Log'!$G:$G,"Y",'Weekly Log'!$A:$A,"&gt;="&amp;$J64,'Weekly Log'!$A:$A,"&lt;"&amp;$J64+7)/COUNTIFS('Weekly Log'!$G:$G,"&lt;&gt;",'Weekly Log'!$A:$A,"&gt;="&amp;$J64,'Weekly Log'!$A:$A,"&lt;"&amp;$J64+7),0))</f>
        <v>0.89130434782608692</v>
      </c>
      <c r="D64" s="14">
        <f>IF($J64="","",IFERROR(COUNTIFS('Weekly Log'!$H:$H,"Y",'Weekly Log'!$A:$A,"&gt;="&amp;$J64,'Weekly Log'!$A:$A,"&lt;"&amp;$J64+7)/COUNTIFS('Weekly Log'!$H:$H,"&lt;&gt;",'Weekly Log'!$A:$A,"&gt;="&amp;$J64,'Weekly Log'!$A:$A,"&lt;"&amp;$J64+7),0))</f>
        <v>4.3478260869565216E-2</v>
      </c>
      <c r="E64" s="15">
        <f>IF($J64="","",IFERROR(AVERAGEIFS('Weekly Log'!$F:$F,'Weekly Log'!$A:$A,"&gt;="&amp;$J64,'Weekly Log'!$A:$A,"&lt;"&amp;$J64+7),0))</f>
        <v>2.0999999999999996</v>
      </c>
      <c r="F64" s="14">
        <f>IF($J64="","",IFERROR(SUMIFS('Weekly Log'!$F:$F,'Weekly Log'!$A:$A,"&gt;="&amp;$J64,'Weekly Log'!$A:$A,"&lt;"&amp;$J64+7)/SUMIFS('Weekly Log'!$E:$E,'Weekly Log'!$A:$A,"&gt;="&amp;$J64,'Weekly Log'!$A:$A,"&lt;"&amp;$J64+7),0))</f>
        <v>0.75409836065573743</v>
      </c>
      <c r="G64" s="13">
        <f>IF($J64="","",IFERROR(LOOKUP(2,1/(('Weekly Log'!$A$5:$A$5000&gt;=$J64)*('Weekly Log'!$A$5:$A$5000&lt;$J64+7)*('Weekly Log'!$M$5:$M$5000&lt;&gt;"")),'Weekly Log'!$M$5:$M$5000),0))</f>
        <v>14</v>
      </c>
      <c r="H64" s="12"/>
      <c r="J64">
        <f>IF(COUNT('Weekly Log'!$A$5:$A$5000)=0,"",IF(MIN('Weekly Log'!$A$5:$A$5000)+7*(ROW()-10)&gt;MAX('Weekly Log'!$A$5:$A$5000),"",MIN('Weekly Log'!$A$5:$A$5000)+7*(ROW()-10)))</f>
        <v>45992</v>
      </c>
    </row>
    <row r="65" spans="1:10" x14ac:dyDescent="0.25">
      <c r="A65" s="12" t="str">
        <f t="shared" si="0"/>
        <v>2025-W50</v>
      </c>
      <c r="B65" s="13">
        <f>IF($J65="","",SUMIFS('Weekly Log'!$C:$C,'Weekly Log'!$A:$A,"&gt;="&amp;$J65,'Weekly Log'!$A:$A,"&lt;"&amp;$J65+7))</f>
        <v>44</v>
      </c>
      <c r="C65" s="14">
        <f>IF($J65="","",IFERROR(COUNTIFS('Weekly Log'!$G:$G,"Y",'Weekly Log'!$A:$A,"&gt;="&amp;$J65,'Weekly Log'!$A:$A,"&lt;"&amp;$J65+7)/COUNTIFS('Weekly Log'!$G:$G,"&lt;&gt;",'Weekly Log'!$A:$A,"&gt;="&amp;$J65,'Weekly Log'!$A:$A,"&lt;"&amp;$J65+7),0))</f>
        <v>0.90909090909090906</v>
      </c>
      <c r="D65" s="14">
        <f>IF($J65="","",IFERROR(COUNTIFS('Weekly Log'!$H:$H,"Y",'Weekly Log'!$A:$A,"&gt;="&amp;$J65,'Weekly Log'!$A:$A,"&lt;"&amp;$J65+7)/COUNTIFS('Weekly Log'!$H:$H,"&lt;&gt;",'Weekly Log'!$A:$A,"&gt;="&amp;$J65,'Weekly Log'!$A:$A,"&lt;"&amp;$J65+7),0))</f>
        <v>4.5454545454545456E-2</v>
      </c>
      <c r="E65" s="15">
        <f>IF($J65="","",IFERROR(AVERAGEIFS('Weekly Log'!$F:$F,'Weekly Log'!$A:$A,"&gt;="&amp;$J65,'Weekly Log'!$A:$A,"&lt;"&amp;$J65+7),0))</f>
        <v>2.0000000000000004</v>
      </c>
      <c r="F65" s="14">
        <f>IF($J65="","",IFERROR(SUMIFS('Weekly Log'!$F:$F,'Weekly Log'!$A:$A,"&gt;="&amp;$J65,'Weekly Log'!$A:$A,"&lt;"&amp;$J65+7)/SUMIFS('Weekly Log'!$E:$E,'Weekly Log'!$A:$A,"&gt;="&amp;$J65,'Weekly Log'!$A:$A,"&lt;"&amp;$J65+7),0))</f>
        <v>0.75993091537133006</v>
      </c>
      <c r="G65" s="13">
        <f>IF($J65="","",IFERROR(LOOKUP(2,1/(('Weekly Log'!$A$5:$A$5000&gt;=$J65)*('Weekly Log'!$A$5:$A$5000&lt;$J65+7)*('Weekly Log'!$M$5:$M$5000&lt;&gt;"")),'Weekly Log'!$M$5:$M$5000),0))</f>
        <v>8</v>
      </c>
      <c r="H65" s="12" t="s">
        <v>25</v>
      </c>
      <c r="J65">
        <f>IF(COUNT('Weekly Log'!$A$5:$A$5000)=0,"",IF(MIN('Weekly Log'!$A$5:$A$5000)+7*(ROW()-10)&gt;MAX('Weekly Log'!$A$5:$A$5000),"",MIN('Weekly Log'!$A$5:$A$5000)+7*(ROW()-10)))</f>
        <v>45999</v>
      </c>
    </row>
    <row r="66" spans="1:10" x14ac:dyDescent="0.25">
      <c r="A66" s="12" t="str">
        <f t="shared" si="0"/>
        <v>2025-W51</v>
      </c>
      <c r="B66" s="13">
        <f>IF($J66="","",SUMIFS('Weekly Log'!$C:$C,'Weekly Log'!$A:$A,"&gt;="&amp;$J66,'Weekly Log'!$A:$A,"&lt;"&amp;$J66+7))</f>
        <v>44</v>
      </c>
      <c r="C66" s="14">
        <f>IF($J66="","",IFERROR(COUNTIFS('Weekly Log'!$G:$G,"Y",'Weekly Log'!$A:$A,"&gt;="&amp;$J66,'Weekly Log'!$A:$A,"&lt;"&amp;$J66+7)/COUNTIFS('Weekly Log'!$G:$G,"&lt;&gt;",'Weekly Log'!$A:$A,"&gt;="&amp;$J66,'Weekly Log'!$A:$A,"&lt;"&amp;$J66+7),0))</f>
        <v>0.88636363636363635</v>
      </c>
      <c r="D66" s="14">
        <f>IF($J66="","",IFERROR(COUNTIFS('Weekly Log'!$H:$H,"Y",'Weekly Log'!$A:$A,"&gt;="&amp;$J66,'Weekly Log'!$A:$A,"&lt;"&amp;$J66+7)/COUNTIFS('Weekly Log'!$H:$H,"&lt;&gt;",'Weekly Log'!$A:$A,"&gt;="&amp;$J66,'Weekly Log'!$A:$A,"&lt;"&amp;$J66+7),0))</f>
        <v>4.5454545454545456E-2</v>
      </c>
      <c r="E66" s="15">
        <f>IF($J66="","",IFERROR(AVERAGEIFS('Weekly Log'!$F:$F,'Weekly Log'!$A:$A,"&gt;="&amp;$J66,'Weekly Log'!$A:$A,"&lt;"&amp;$J66+7),0))</f>
        <v>2.5</v>
      </c>
      <c r="F66" s="14">
        <f>IF($J66="","",IFERROR(SUMIFS('Weekly Log'!$F:$F,'Weekly Log'!$A:$A,"&gt;="&amp;$J66,'Weekly Log'!$A:$A,"&lt;"&amp;$J66+7)/SUMIFS('Weekly Log'!$E:$E,'Weekly Log'!$A:$A,"&gt;="&amp;$J66,'Weekly Log'!$A:$A,"&lt;"&amp;$J66+7),0))</f>
        <v>0.73924731182795711</v>
      </c>
      <c r="G66" s="13">
        <f>IF($J66="","",IFERROR(LOOKUP(2,1/(('Weekly Log'!$A$5:$A$5000&gt;=$J66)*('Weekly Log'!$A$5:$A$5000&lt;$J66+7)*('Weekly Log'!$M$5:$M$5000&lt;&gt;"")),'Weekly Log'!$M$5:$M$5000),0))</f>
        <v>12</v>
      </c>
      <c r="H66" s="12"/>
      <c r="J66">
        <f>IF(COUNT('Weekly Log'!$A$5:$A$5000)=0,"",IF(MIN('Weekly Log'!$A$5:$A$5000)+7*(ROW()-10)&gt;MAX('Weekly Log'!$A$5:$A$5000),"",MIN('Weekly Log'!$A$5:$A$5000)+7*(ROW()-10)))</f>
        <v>46006</v>
      </c>
    </row>
    <row r="67" spans="1:10" x14ac:dyDescent="0.25">
      <c r="A67" s="12" t="str">
        <f t="shared" si="0"/>
        <v>2025-W52</v>
      </c>
      <c r="B67" s="13">
        <f>IF($J67="","",SUMIFS('Weekly Log'!$C:$C,'Weekly Log'!$A:$A,"&gt;="&amp;$J67,'Weekly Log'!$A:$A,"&lt;"&amp;$J67+7))</f>
        <v>42</v>
      </c>
      <c r="C67" s="14">
        <f>IF($J67="","",IFERROR(COUNTIFS('Weekly Log'!$G:$G,"Y",'Weekly Log'!$A:$A,"&gt;="&amp;$J67,'Weekly Log'!$A:$A,"&lt;"&amp;$J67+7)/COUNTIFS('Weekly Log'!$G:$G,"&lt;&gt;",'Weekly Log'!$A:$A,"&gt;="&amp;$J67,'Weekly Log'!$A:$A,"&lt;"&amp;$J67+7),0))</f>
        <v>0.8571428571428571</v>
      </c>
      <c r="D67" s="14">
        <f>IF($J67="","",IFERROR(COUNTIFS('Weekly Log'!$H:$H,"Y",'Weekly Log'!$A:$A,"&gt;="&amp;$J67,'Weekly Log'!$A:$A,"&lt;"&amp;$J67+7)/COUNTIFS('Weekly Log'!$H:$H,"&lt;&gt;",'Weekly Log'!$A:$A,"&gt;="&amp;$J67,'Weekly Log'!$A:$A,"&lt;"&amp;$J67+7),0))</f>
        <v>4.7619047619047616E-2</v>
      </c>
      <c r="E67" s="15">
        <f>IF($J67="","",IFERROR(AVERAGEIFS('Weekly Log'!$F:$F,'Weekly Log'!$A:$A,"&gt;="&amp;$J67,'Weekly Log'!$A:$A,"&lt;"&amp;$J67+7),0))</f>
        <v>2.1999999999999997</v>
      </c>
      <c r="F67" s="14">
        <f>IF($J67="","",IFERROR(SUMIFS('Weekly Log'!$F:$F,'Weekly Log'!$A:$A,"&gt;="&amp;$J67,'Weekly Log'!$A:$A,"&lt;"&amp;$J67+7)/SUMIFS('Weekly Log'!$E:$E,'Weekly Log'!$A:$A,"&gt;="&amp;$J67,'Weekly Log'!$A:$A,"&lt;"&amp;$J67+7),0))</f>
        <v>0.76300578034682076</v>
      </c>
      <c r="G67" s="13">
        <f>IF($J67="","",IFERROR(LOOKUP(2,1/(('Weekly Log'!$A$5:$A$5000&gt;=$J67)*('Weekly Log'!$A$5:$A$5000&lt;$J67+7)*('Weekly Log'!$M$5:$M$5000&lt;&gt;"")),'Weekly Log'!$M$5:$M$5000),0))</f>
        <v>7</v>
      </c>
      <c r="H67" s="12"/>
      <c r="J67">
        <f>IF(COUNT('Weekly Log'!$A$5:$A$5000)=0,"",IF(MIN('Weekly Log'!$A$5:$A$5000)+7*(ROW()-10)&gt;MAX('Weekly Log'!$A$5:$A$5000),"",MIN('Weekly Log'!$A$5:$A$5000)+7*(ROW()-10)))</f>
        <v>46013</v>
      </c>
    </row>
    <row r="68" spans="1:10" x14ac:dyDescent="0.25">
      <c r="A68" s="12" t="str">
        <f t="shared" si="0"/>
        <v>2026-W01</v>
      </c>
      <c r="B68" s="13">
        <f>IF($J68="","",SUMIFS('Weekly Log'!$C:$C,'Weekly Log'!$A:$A,"&gt;="&amp;$J68,'Weekly Log'!$A:$A,"&lt;"&amp;$J68+7))</f>
        <v>42</v>
      </c>
      <c r="C68" s="14">
        <f>IF($J68="","",IFERROR(COUNTIFS('Weekly Log'!$G:$G,"Y",'Weekly Log'!$A:$A,"&gt;="&amp;$J68,'Weekly Log'!$A:$A,"&lt;"&amp;$J68+7)/COUNTIFS('Weekly Log'!$G:$G,"&lt;&gt;",'Weekly Log'!$A:$A,"&gt;="&amp;$J68,'Weekly Log'!$A:$A,"&lt;"&amp;$J68+7),0))</f>
        <v>0.8571428571428571</v>
      </c>
      <c r="D68" s="14">
        <f>IF($J68="","",IFERROR(COUNTIFS('Weekly Log'!$H:$H,"Y",'Weekly Log'!$A:$A,"&gt;="&amp;$J68,'Weekly Log'!$A:$A,"&lt;"&amp;$J68+7)/COUNTIFS('Weekly Log'!$H:$H,"&lt;&gt;",'Weekly Log'!$A:$A,"&gt;="&amp;$J68,'Weekly Log'!$A:$A,"&lt;"&amp;$J68+7),0))</f>
        <v>4.7619047619047616E-2</v>
      </c>
      <c r="E68" s="15">
        <f>IF($J68="","",IFERROR(AVERAGEIFS('Weekly Log'!$F:$F,'Weekly Log'!$A:$A,"&gt;="&amp;$J68,'Weekly Log'!$A:$A,"&lt;"&amp;$J68+7),0))</f>
        <v>2.4</v>
      </c>
      <c r="F68" s="14">
        <f>IF($J68="","",IFERROR(SUMIFS('Weekly Log'!$F:$F,'Weekly Log'!$A:$A,"&gt;="&amp;$J68,'Weekly Log'!$A:$A,"&lt;"&amp;$J68+7)/SUMIFS('Weekly Log'!$E:$E,'Weekly Log'!$A:$A,"&gt;="&amp;$J68,'Weekly Log'!$A:$A,"&lt;"&amp;$J68+7),0))</f>
        <v>0.77300613496932524</v>
      </c>
      <c r="G68" s="13">
        <f>IF($J68="","",IFERROR(LOOKUP(2,1/(('Weekly Log'!$A$5:$A$5000&gt;=$J68)*('Weekly Log'!$A$5:$A$5000&lt;$J68+7)*('Weekly Log'!$M$5:$M$5000&lt;&gt;"")),'Weekly Log'!$M$5:$M$5000),0))</f>
        <v>14</v>
      </c>
      <c r="H68" s="12"/>
      <c r="J68">
        <f>IF(COUNT('Weekly Log'!$A$5:$A$5000)=0,"",IF(MIN('Weekly Log'!$A$5:$A$5000)+7*(ROW()-10)&gt;MAX('Weekly Log'!$A$5:$A$5000),"",MIN('Weekly Log'!$A$5:$A$5000)+7*(ROW()-10)))</f>
        <v>46020</v>
      </c>
    </row>
    <row r="69" spans="1:10" x14ac:dyDescent="0.25">
      <c r="A69" s="12" t="str">
        <f t="shared" si="0"/>
        <v>2026-W02</v>
      </c>
      <c r="B69" s="13">
        <f>IF($J69="","",SUMIFS('Weekly Log'!$C:$C,'Weekly Log'!$A:$A,"&gt;="&amp;$J69,'Weekly Log'!$A:$A,"&lt;"&amp;$J69+7))</f>
        <v>39</v>
      </c>
      <c r="C69" s="14">
        <f>IF($J69="","",IFERROR(COUNTIFS('Weekly Log'!$G:$G,"Y",'Weekly Log'!$A:$A,"&gt;="&amp;$J69,'Weekly Log'!$A:$A,"&lt;"&amp;$J69+7)/COUNTIFS('Weekly Log'!$G:$G,"&lt;&gt;",'Weekly Log'!$A:$A,"&gt;="&amp;$J69,'Weekly Log'!$A:$A,"&lt;"&amp;$J69+7),0))</f>
        <v>0.89743589743589747</v>
      </c>
      <c r="D69" s="14">
        <f>IF($J69="","",IFERROR(COUNTIFS('Weekly Log'!$H:$H,"Y",'Weekly Log'!$A:$A,"&gt;="&amp;$J69,'Weekly Log'!$A:$A,"&lt;"&amp;$J69+7)/COUNTIFS('Weekly Log'!$H:$H,"&lt;&gt;",'Weekly Log'!$A:$A,"&gt;="&amp;$J69,'Weekly Log'!$A:$A,"&lt;"&amp;$J69+7),0))</f>
        <v>5.128205128205128E-2</v>
      </c>
      <c r="E69" s="15">
        <f>IF($J69="","",IFERROR(AVERAGEIFS('Weekly Log'!$F:$F,'Weekly Log'!$A:$A,"&gt;="&amp;$J69,'Weekly Log'!$A:$A,"&lt;"&amp;$J69+7),0))</f>
        <v>2.3000000000000003</v>
      </c>
      <c r="F69" s="14">
        <f>IF($J69="","",IFERROR(SUMIFS('Weekly Log'!$F:$F,'Weekly Log'!$A:$A,"&gt;="&amp;$J69,'Weekly Log'!$A:$A,"&lt;"&amp;$J69+7)/SUMIFS('Weekly Log'!$E:$E,'Weekly Log'!$A:$A,"&gt;="&amp;$J69,'Weekly Log'!$A:$A,"&lt;"&amp;$J69+7),0))</f>
        <v>0.79170344218887934</v>
      </c>
      <c r="G69" s="13">
        <f>IF($J69="","",IFERROR(LOOKUP(2,1/(('Weekly Log'!$A$5:$A$5000&gt;=$J69)*('Weekly Log'!$A$5:$A$5000&lt;$J69+7)*('Weekly Log'!$M$5:$M$5000&lt;&gt;"")),'Weekly Log'!$M$5:$M$5000),0))</f>
        <v>8</v>
      </c>
      <c r="H69" s="12"/>
      <c r="J69">
        <f>IF(COUNT('Weekly Log'!$A$5:$A$5000)=0,"",IF(MIN('Weekly Log'!$A$5:$A$5000)+7*(ROW()-10)&gt;MAX('Weekly Log'!$A$5:$A$5000),"",MIN('Weekly Log'!$A$5:$A$5000)+7*(ROW()-10)))</f>
        <v>46027</v>
      </c>
    </row>
    <row r="70" spans="1:10" x14ac:dyDescent="0.25">
      <c r="A70" s="12" t="str">
        <f t="shared" si="0"/>
        <v>2026-W03</v>
      </c>
      <c r="B70" s="13">
        <f>IF($J70="","",SUMIFS('Weekly Log'!$C:$C,'Weekly Log'!$A:$A,"&gt;="&amp;$J70,'Weekly Log'!$A:$A,"&lt;"&amp;$J70+7))</f>
        <v>37</v>
      </c>
      <c r="C70" s="14">
        <f>IF($J70="","",IFERROR(COUNTIFS('Weekly Log'!$G:$G,"Y",'Weekly Log'!$A:$A,"&gt;="&amp;$J70,'Weekly Log'!$A:$A,"&lt;"&amp;$J70+7)/COUNTIFS('Weekly Log'!$G:$G,"&lt;&gt;",'Weekly Log'!$A:$A,"&gt;="&amp;$J70,'Weekly Log'!$A:$A,"&lt;"&amp;$J70+7),0))</f>
        <v>0.89189189189189189</v>
      </c>
      <c r="D70" s="14">
        <f>IF($J70="","",IFERROR(COUNTIFS('Weekly Log'!$H:$H,"Y",'Weekly Log'!$A:$A,"&gt;="&amp;$J70,'Weekly Log'!$A:$A,"&lt;"&amp;$J70+7)/COUNTIFS('Weekly Log'!$H:$H,"&lt;&gt;",'Weekly Log'!$A:$A,"&gt;="&amp;$J70,'Weekly Log'!$A:$A,"&lt;"&amp;$J70+7),0))</f>
        <v>5.4054054054054057E-2</v>
      </c>
      <c r="E70" s="15">
        <f>IF($J70="","",IFERROR(AVERAGEIFS('Weekly Log'!$F:$F,'Weekly Log'!$A:$A,"&gt;="&amp;$J70,'Weekly Log'!$A:$A,"&lt;"&amp;$J70+7),0))</f>
        <v>2.2999999999999998</v>
      </c>
      <c r="F70" s="14">
        <f>IF($J70="","",IFERROR(SUMIFS('Weekly Log'!$F:$F,'Weekly Log'!$A:$A,"&gt;="&amp;$J70,'Weekly Log'!$A:$A,"&lt;"&amp;$J70+7)/SUMIFS('Weekly Log'!$E:$E,'Weekly Log'!$A:$A,"&gt;="&amp;$J70,'Weekly Log'!$A:$A,"&lt;"&amp;$J70+7),0))</f>
        <v>0.75110326566637231</v>
      </c>
      <c r="G70" s="13">
        <f>IF($J70="","",IFERROR(LOOKUP(2,1/(('Weekly Log'!$A$5:$A$5000&gt;=$J70)*('Weekly Log'!$A$5:$A$5000&lt;$J70+7)*('Weekly Log'!$M$5:$M$5000&lt;&gt;"")),'Weekly Log'!$M$5:$M$5000),0))</f>
        <v>10</v>
      </c>
      <c r="H70" s="12"/>
      <c r="J70">
        <f>IF(COUNT('Weekly Log'!$A$5:$A$5000)=0,"",IF(MIN('Weekly Log'!$A$5:$A$5000)+7*(ROW()-10)&gt;MAX('Weekly Log'!$A$5:$A$5000),"",MIN('Weekly Log'!$A$5:$A$5000)+7*(ROW()-10)))</f>
        <v>46034</v>
      </c>
    </row>
    <row r="71" spans="1:10" x14ac:dyDescent="0.25">
      <c r="A71" s="12" t="str">
        <f t="shared" si="0"/>
        <v>2026-W04</v>
      </c>
      <c r="B71" s="13">
        <f>IF($J71="","",SUMIFS('Weekly Log'!$C:$C,'Weekly Log'!$A:$A,"&gt;="&amp;$J71,'Weekly Log'!$A:$A,"&lt;"&amp;$J71+7))</f>
        <v>45</v>
      </c>
      <c r="C71" s="14">
        <f>IF($J71="","",IFERROR(COUNTIFS('Weekly Log'!$G:$G,"Y",'Weekly Log'!$A:$A,"&gt;="&amp;$J71,'Weekly Log'!$A:$A,"&lt;"&amp;$J71+7)/COUNTIFS('Weekly Log'!$G:$G,"&lt;&gt;",'Weekly Log'!$A:$A,"&gt;="&amp;$J71,'Weekly Log'!$A:$A,"&lt;"&amp;$J71+7),0))</f>
        <v>0.91111111111111109</v>
      </c>
      <c r="D71" s="14">
        <f>IF($J71="","",IFERROR(COUNTIFS('Weekly Log'!$H:$H,"Y",'Weekly Log'!$A:$A,"&gt;="&amp;$J71,'Weekly Log'!$A:$A,"&lt;"&amp;$J71+7)/COUNTIFS('Weekly Log'!$H:$H,"&lt;&gt;",'Weekly Log'!$A:$A,"&gt;="&amp;$J71,'Weekly Log'!$A:$A,"&lt;"&amp;$J71+7),0))</f>
        <v>4.4444444444444446E-2</v>
      </c>
      <c r="E71" s="15">
        <f>IF($J71="","",IFERROR(AVERAGEIFS('Weekly Log'!$F:$F,'Weekly Log'!$A:$A,"&gt;="&amp;$J71,'Weekly Log'!$A:$A,"&lt;"&amp;$J71+7),0))</f>
        <v>2.0000000000000004</v>
      </c>
      <c r="F71" s="14">
        <f>IF($J71="","",IFERROR(SUMIFS('Weekly Log'!$F:$F,'Weekly Log'!$A:$A,"&gt;="&amp;$J71,'Weekly Log'!$A:$A,"&lt;"&amp;$J71+7)/SUMIFS('Weekly Log'!$E:$E,'Weekly Log'!$A:$A,"&gt;="&amp;$J71,'Weekly Log'!$A:$A,"&lt;"&amp;$J71+7),0))</f>
        <v>0.77319587628866004</v>
      </c>
      <c r="G71" s="13">
        <f>IF($J71="","",IFERROR(LOOKUP(2,1/(('Weekly Log'!$A$5:$A$5000&gt;=$J71)*('Weekly Log'!$A$5:$A$5000&lt;$J71+7)*('Weekly Log'!$M$5:$M$5000&lt;&gt;"")),'Weekly Log'!$M$5:$M$5000),0))</f>
        <v>7</v>
      </c>
      <c r="H71" s="12"/>
      <c r="J71">
        <f>IF(COUNT('Weekly Log'!$A$5:$A$5000)=0,"",IF(MIN('Weekly Log'!$A$5:$A$5000)+7*(ROW()-10)&gt;MAX('Weekly Log'!$A$5:$A$5000),"",MIN('Weekly Log'!$A$5:$A$5000)+7*(ROW()-10)))</f>
        <v>46041</v>
      </c>
    </row>
    <row r="72" spans="1:10" x14ac:dyDescent="0.25">
      <c r="A72" s="12" t="str">
        <f t="shared" si="0"/>
        <v>2026-W05</v>
      </c>
      <c r="B72" s="13">
        <f>IF($J72="","",SUMIFS('Weekly Log'!$C:$C,'Weekly Log'!$A:$A,"&gt;="&amp;$J72,'Weekly Log'!$A:$A,"&lt;"&amp;$J72+7))</f>
        <v>44</v>
      </c>
      <c r="C72" s="14">
        <f>IF($J72="","",IFERROR(COUNTIFS('Weekly Log'!$G:$G,"Y",'Weekly Log'!$A:$A,"&gt;="&amp;$J72,'Weekly Log'!$A:$A,"&lt;"&amp;$J72+7)/COUNTIFS('Weekly Log'!$G:$G,"&lt;&gt;",'Weekly Log'!$A:$A,"&gt;="&amp;$J72,'Weekly Log'!$A:$A,"&lt;"&amp;$J72+7),0))</f>
        <v>0.90909090909090906</v>
      </c>
      <c r="D72" s="14">
        <f>IF($J72="","",IFERROR(COUNTIFS('Weekly Log'!$H:$H,"Y",'Weekly Log'!$A:$A,"&gt;="&amp;$J72,'Weekly Log'!$A:$A,"&lt;"&amp;$J72+7)/COUNTIFS('Weekly Log'!$H:$H,"&lt;&gt;",'Weekly Log'!$A:$A,"&gt;="&amp;$J72,'Weekly Log'!$A:$A,"&lt;"&amp;$J72+7),0))</f>
        <v>4.5454545454545456E-2</v>
      </c>
      <c r="E72" s="15">
        <f>IF($J72="","",IFERROR(AVERAGEIFS('Weekly Log'!$F:$F,'Weekly Log'!$A:$A,"&gt;="&amp;$J72,'Weekly Log'!$A:$A,"&lt;"&amp;$J72+7),0))</f>
        <v>2.0000000000000004</v>
      </c>
      <c r="F72" s="14">
        <f>IF($J72="","",IFERROR(SUMIFS('Weekly Log'!$F:$F,'Weekly Log'!$A:$A,"&gt;="&amp;$J72,'Weekly Log'!$A:$A,"&lt;"&amp;$J72+7)/SUMIFS('Weekly Log'!$E:$E,'Weekly Log'!$A:$A,"&gt;="&amp;$J72,'Weekly Log'!$A:$A,"&lt;"&amp;$J72+7),0))</f>
        <v>0.77533039647577129</v>
      </c>
      <c r="G72" s="13">
        <f>IF($J72="","",IFERROR(LOOKUP(2,1/(('Weekly Log'!$A$5:$A$5000&gt;=$J72)*('Weekly Log'!$A$5:$A$5000&lt;$J72+7)*('Weekly Log'!$M$5:$M$5000&lt;&gt;"")),'Weekly Log'!$M$5:$M$5000),0))</f>
        <v>13</v>
      </c>
      <c r="H72" s="12"/>
      <c r="J72">
        <f>IF(COUNT('Weekly Log'!$A$5:$A$5000)=0,"",IF(MIN('Weekly Log'!$A$5:$A$5000)+7*(ROW()-10)&gt;MAX('Weekly Log'!$A$5:$A$5000),"",MIN('Weekly Log'!$A$5:$A$5000)+7*(ROW()-10)))</f>
        <v>46048</v>
      </c>
    </row>
    <row r="73" spans="1:10" x14ac:dyDescent="0.25">
      <c r="A73" s="12" t="str">
        <f t="shared" si="0"/>
        <v>2026-W06</v>
      </c>
      <c r="B73" s="13">
        <f>IF($J73="","",SUMIFS('Weekly Log'!$C:$C,'Weekly Log'!$A:$A,"&gt;="&amp;$J73,'Weekly Log'!$A:$A,"&lt;"&amp;$J73+7))</f>
        <v>51</v>
      </c>
      <c r="C73" s="14">
        <f>IF($J73="","",IFERROR(COUNTIFS('Weekly Log'!$G:$G,"Y",'Weekly Log'!$A:$A,"&gt;="&amp;$J73,'Weekly Log'!$A:$A,"&lt;"&amp;$J73+7)/COUNTIFS('Weekly Log'!$G:$G,"&lt;&gt;",'Weekly Log'!$A:$A,"&gt;="&amp;$J73,'Weekly Log'!$A:$A,"&lt;"&amp;$J73+7),0))</f>
        <v>0.90196078431372551</v>
      </c>
      <c r="D73" s="14">
        <f>IF($J73="","",IFERROR(COUNTIFS('Weekly Log'!$H:$H,"Y",'Weekly Log'!$A:$A,"&gt;="&amp;$J73,'Weekly Log'!$A:$A,"&lt;"&amp;$J73+7)/COUNTIFS('Weekly Log'!$H:$H,"&lt;&gt;",'Weekly Log'!$A:$A,"&gt;="&amp;$J73,'Weekly Log'!$A:$A,"&lt;"&amp;$J73+7),0))</f>
        <v>3.9215686274509803E-2</v>
      </c>
      <c r="E73" s="15">
        <f>IF($J73="","",IFERROR(AVERAGEIFS('Weekly Log'!$F:$F,'Weekly Log'!$A:$A,"&gt;="&amp;$J73,'Weekly Log'!$A:$A,"&lt;"&amp;$J73+7),0))</f>
        <v>2.2999999999999998</v>
      </c>
      <c r="F73" s="14">
        <f>IF($J73="","",IFERROR(SUMIFS('Weekly Log'!$F:$F,'Weekly Log'!$A:$A,"&gt;="&amp;$J73,'Weekly Log'!$A:$A,"&lt;"&amp;$J73+7)/SUMIFS('Weekly Log'!$E:$E,'Weekly Log'!$A:$A,"&gt;="&amp;$J73,'Weekly Log'!$A:$A,"&lt;"&amp;$J73+7),0))</f>
        <v>0.78883658372562226</v>
      </c>
      <c r="G73" s="13">
        <f>IF($J73="","",IFERROR(LOOKUP(2,1/(('Weekly Log'!$A$5:$A$5000&gt;=$J73)*('Weekly Log'!$A$5:$A$5000&lt;$J73+7)*('Weekly Log'!$M$5:$M$5000&lt;&gt;"")),'Weekly Log'!$M$5:$M$5000),0))</f>
        <v>5</v>
      </c>
      <c r="H73" s="12"/>
      <c r="J73">
        <f>IF(COUNT('Weekly Log'!$A$5:$A$5000)=0,"",IF(MIN('Weekly Log'!$A$5:$A$5000)+7*(ROW()-10)&gt;MAX('Weekly Log'!$A$5:$A$5000),"",MIN('Weekly Log'!$A$5:$A$5000)+7*(ROW()-10)))</f>
        <v>46055</v>
      </c>
    </row>
    <row r="74" spans="1:10" x14ac:dyDescent="0.25">
      <c r="A74" s="12" t="str">
        <f t="shared" ref="A74:A137" si="1">IF($J74="","",YEAR($J74-WEEKDAY($J74,2)+4)&amp;"-W"&amp;TEXT(WEEKNUM($J74,21),"00"))</f>
        <v>2026-W07</v>
      </c>
      <c r="B74" s="13">
        <f>IF($J74="","",SUMIFS('Weekly Log'!$C:$C,'Weekly Log'!$A:$A,"&gt;="&amp;$J74,'Weekly Log'!$A:$A,"&lt;"&amp;$J74+7))</f>
        <v>41</v>
      </c>
      <c r="C74" s="14">
        <f>IF($J74="","",IFERROR(COUNTIFS('Weekly Log'!$G:$G,"Y",'Weekly Log'!$A:$A,"&gt;="&amp;$J74,'Weekly Log'!$A:$A,"&lt;"&amp;$J74+7)/COUNTIFS('Weekly Log'!$G:$G,"&lt;&gt;",'Weekly Log'!$A:$A,"&gt;="&amp;$J74,'Weekly Log'!$A:$A,"&lt;"&amp;$J74+7),0))</f>
        <v>0.90243902439024393</v>
      </c>
      <c r="D74" s="14">
        <f>IF($J74="","",IFERROR(COUNTIFS('Weekly Log'!$H:$H,"Y",'Weekly Log'!$A:$A,"&gt;="&amp;$J74,'Weekly Log'!$A:$A,"&lt;"&amp;$J74+7)/COUNTIFS('Weekly Log'!$H:$H,"&lt;&gt;",'Weekly Log'!$A:$A,"&gt;="&amp;$J74,'Weekly Log'!$A:$A,"&lt;"&amp;$J74+7),0))</f>
        <v>4.878048780487805E-2</v>
      </c>
      <c r="E74" s="15">
        <f>IF($J74="","",IFERROR(AVERAGEIFS('Weekly Log'!$F:$F,'Weekly Log'!$A:$A,"&gt;="&amp;$J74,'Weekly Log'!$A:$A,"&lt;"&amp;$J74+7),0))</f>
        <v>2.1999999999999997</v>
      </c>
      <c r="F74" s="14">
        <f>IF($J74="","",IFERROR(SUMIFS('Weekly Log'!$F:$F,'Weekly Log'!$A:$A,"&gt;="&amp;$J74,'Weekly Log'!$A:$A,"&lt;"&amp;$J74+7)/SUMIFS('Weekly Log'!$E:$E,'Weekly Log'!$A:$A,"&gt;="&amp;$J74,'Weekly Log'!$A:$A,"&lt;"&amp;$J74+7),0))</f>
        <v>0.76700680272108823</v>
      </c>
      <c r="G74" s="13">
        <f>IF($J74="","",IFERROR(LOOKUP(2,1/(('Weekly Log'!$A$5:$A$5000&gt;=$J74)*('Weekly Log'!$A$5:$A$5000&lt;$J74+7)*('Weekly Log'!$M$5:$M$5000&lt;&gt;"")),'Weekly Log'!$M$5:$M$5000),0))</f>
        <v>11</v>
      </c>
      <c r="H74" s="12"/>
      <c r="J74">
        <f>IF(COUNT('Weekly Log'!$A$5:$A$5000)=0,"",IF(MIN('Weekly Log'!$A$5:$A$5000)+7*(ROW()-10)&gt;MAX('Weekly Log'!$A$5:$A$5000),"",MIN('Weekly Log'!$A$5:$A$5000)+7*(ROW()-10)))</f>
        <v>46062</v>
      </c>
    </row>
    <row r="75" spans="1:10" x14ac:dyDescent="0.25">
      <c r="A75" s="12" t="str">
        <f t="shared" si="1"/>
        <v>2026-W08</v>
      </c>
      <c r="B75" s="13">
        <f>IF($J75="","",SUMIFS('Weekly Log'!$C:$C,'Weekly Log'!$A:$A,"&gt;="&amp;$J75,'Weekly Log'!$A:$A,"&lt;"&amp;$J75+7))</f>
        <v>44</v>
      </c>
      <c r="C75" s="14">
        <f>IF($J75="","",IFERROR(COUNTIFS('Weekly Log'!$G:$G,"Y",'Weekly Log'!$A:$A,"&gt;="&amp;$J75,'Weekly Log'!$A:$A,"&lt;"&amp;$J75+7)/COUNTIFS('Weekly Log'!$G:$G,"&lt;&gt;",'Weekly Log'!$A:$A,"&gt;="&amp;$J75,'Weekly Log'!$A:$A,"&lt;"&amp;$J75+7),0))</f>
        <v>0.88636363636363635</v>
      </c>
      <c r="D75" s="14">
        <f>IF($J75="","",IFERROR(COUNTIFS('Weekly Log'!$H:$H,"Y",'Weekly Log'!$A:$A,"&gt;="&amp;$J75,'Weekly Log'!$A:$A,"&lt;"&amp;$J75+7)/COUNTIFS('Weekly Log'!$H:$H,"&lt;&gt;",'Weekly Log'!$A:$A,"&gt;="&amp;$J75,'Weekly Log'!$A:$A,"&lt;"&amp;$J75+7),0))</f>
        <v>4.5454545454545456E-2</v>
      </c>
      <c r="E75" s="15">
        <f>IF($J75="","",IFERROR(AVERAGEIFS('Weekly Log'!$F:$F,'Weekly Log'!$A:$A,"&gt;="&amp;$J75,'Weekly Log'!$A:$A,"&lt;"&amp;$J75+7),0))</f>
        <v>2</v>
      </c>
      <c r="F75" s="14">
        <f>IF($J75="","",IFERROR(SUMIFS('Weekly Log'!$F:$F,'Weekly Log'!$A:$A,"&gt;="&amp;$J75,'Weekly Log'!$A:$A,"&lt;"&amp;$J75+7)/SUMIFS('Weekly Log'!$E:$E,'Weekly Log'!$A:$A,"&gt;="&amp;$J75,'Weekly Log'!$A:$A,"&lt;"&amp;$J75+7),0))</f>
        <v>0.75993091537132995</v>
      </c>
      <c r="G75" s="13">
        <f>IF($J75="","",IFERROR(LOOKUP(2,1/(('Weekly Log'!$A$5:$A$5000&gt;=$J75)*('Weekly Log'!$A$5:$A$5000&lt;$J75+7)*('Weekly Log'!$M$5:$M$5000&lt;&gt;"")),'Weekly Log'!$M$5:$M$5000),0))</f>
        <v>10</v>
      </c>
      <c r="H75" s="12"/>
      <c r="J75">
        <f>IF(COUNT('Weekly Log'!$A$5:$A$5000)=0,"",IF(MIN('Weekly Log'!$A$5:$A$5000)+7*(ROW()-10)&gt;MAX('Weekly Log'!$A$5:$A$5000),"",MIN('Weekly Log'!$A$5:$A$5000)+7*(ROW()-10)))</f>
        <v>46069</v>
      </c>
    </row>
    <row r="76" spans="1:10" x14ac:dyDescent="0.25">
      <c r="A76" s="12" t="str">
        <f t="shared" si="1"/>
        <v>2026-W09</v>
      </c>
      <c r="B76" s="13">
        <f>IF($J76="","",SUMIFS('Weekly Log'!$C:$C,'Weekly Log'!$A:$A,"&gt;="&amp;$J76,'Weekly Log'!$A:$A,"&lt;"&amp;$J76+7))</f>
        <v>42</v>
      </c>
      <c r="C76" s="14">
        <f>IF($J76="","",IFERROR(COUNTIFS('Weekly Log'!$G:$G,"Y",'Weekly Log'!$A:$A,"&gt;="&amp;$J76,'Weekly Log'!$A:$A,"&lt;"&amp;$J76+7)/COUNTIFS('Weekly Log'!$G:$G,"&lt;&gt;",'Weekly Log'!$A:$A,"&gt;="&amp;$J76,'Weekly Log'!$A:$A,"&lt;"&amp;$J76+7),0))</f>
        <v>0.88095238095238093</v>
      </c>
      <c r="D76" s="14">
        <f>IF($J76="","",IFERROR(COUNTIFS('Weekly Log'!$H:$H,"Y",'Weekly Log'!$A:$A,"&gt;="&amp;$J76,'Weekly Log'!$A:$A,"&lt;"&amp;$J76+7)/COUNTIFS('Weekly Log'!$H:$H,"&lt;&gt;",'Weekly Log'!$A:$A,"&gt;="&amp;$J76,'Weekly Log'!$A:$A,"&lt;"&amp;$J76+7),0))</f>
        <v>4.7619047619047616E-2</v>
      </c>
      <c r="E76" s="15">
        <f>IF($J76="","",IFERROR(AVERAGEIFS('Weekly Log'!$F:$F,'Weekly Log'!$A:$A,"&gt;="&amp;$J76,'Weekly Log'!$A:$A,"&lt;"&amp;$J76+7),0))</f>
        <v>2.1</v>
      </c>
      <c r="F76" s="14">
        <f>IF($J76="","",IFERROR(SUMIFS('Weekly Log'!$F:$F,'Weekly Log'!$A:$A,"&gt;="&amp;$J76,'Weekly Log'!$A:$A,"&lt;"&amp;$J76+7)/SUMIFS('Weekly Log'!$E:$E,'Weekly Log'!$A:$A,"&gt;="&amp;$J76,'Weekly Log'!$A:$A,"&lt;"&amp;$J76+7),0))</f>
        <v>0.7443037974683544</v>
      </c>
      <c r="G76" s="13">
        <f>IF($J76="","",IFERROR(LOOKUP(2,1/(('Weekly Log'!$A$5:$A$5000&gt;=$J76)*('Weekly Log'!$A$5:$A$5000&lt;$J76+7)*('Weekly Log'!$M$5:$M$5000&lt;&gt;"")),'Weekly Log'!$M$5:$M$5000),0))</f>
        <v>10</v>
      </c>
      <c r="H76" s="12"/>
      <c r="J76">
        <f>IF(COUNT('Weekly Log'!$A$5:$A$5000)=0,"",IF(MIN('Weekly Log'!$A$5:$A$5000)+7*(ROW()-10)&gt;MAX('Weekly Log'!$A$5:$A$5000),"",MIN('Weekly Log'!$A$5:$A$5000)+7*(ROW()-10)))</f>
        <v>46076</v>
      </c>
    </row>
    <row r="77" spans="1:10" x14ac:dyDescent="0.25">
      <c r="A77" s="12" t="str">
        <f t="shared" si="1"/>
        <v>2026-W10</v>
      </c>
      <c r="B77" s="13">
        <f>IF($J77="","",SUMIFS('Weekly Log'!$C:$C,'Weekly Log'!$A:$A,"&gt;="&amp;$J77,'Weekly Log'!$A:$A,"&lt;"&amp;$J77+7))</f>
        <v>43</v>
      </c>
      <c r="C77" s="14">
        <f>IF($J77="","",IFERROR(COUNTIFS('Weekly Log'!$G:$G,"Y",'Weekly Log'!$A:$A,"&gt;="&amp;$J77,'Weekly Log'!$A:$A,"&lt;"&amp;$J77+7)/COUNTIFS('Weekly Log'!$G:$G,"&lt;&gt;",'Weekly Log'!$A:$A,"&gt;="&amp;$J77,'Weekly Log'!$A:$A,"&lt;"&amp;$J77+7),0))</f>
        <v>0.88372093023255816</v>
      </c>
      <c r="D77" s="14">
        <f>IF($J77="","",IFERROR(COUNTIFS('Weekly Log'!$H:$H,"Y",'Weekly Log'!$A:$A,"&gt;="&amp;$J77,'Weekly Log'!$A:$A,"&lt;"&amp;$J77+7)/COUNTIFS('Weekly Log'!$H:$H,"&lt;&gt;",'Weekly Log'!$A:$A,"&gt;="&amp;$J77,'Weekly Log'!$A:$A,"&lt;"&amp;$J77+7),0))</f>
        <v>4.6511627906976744E-2</v>
      </c>
      <c r="E77" s="15">
        <f>IF($J77="","",IFERROR(AVERAGEIFS('Weekly Log'!$F:$F,'Weekly Log'!$A:$A,"&gt;="&amp;$J77,'Weekly Log'!$A:$A,"&lt;"&amp;$J77+7),0))</f>
        <v>2.1000000000000005</v>
      </c>
      <c r="F77" s="14">
        <f>IF($J77="","",IFERROR(SUMIFS('Weekly Log'!$F:$F,'Weekly Log'!$A:$A,"&gt;="&amp;$J77,'Weekly Log'!$A:$A,"&lt;"&amp;$J77+7)/SUMIFS('Weekly Log'!$E:$E,'Weekly Log'!$A:$A,"&gt;="&amp;$J77,'Weekly Log'!$A:$A,"&lt;"&amp;$J77+7),0))</f>
        <v>0.75187343880099933</v>
      </c>
      <c r="G77" s="13">
        <f>IF($J77="","",IFERROR(LOOKUP(2,1/(('Weekly Log'!$A$5:$A$5000&gt;=$J77)*('Weekly Log'!$A$5:$A$5000&lt;$J77+7)*('Weekly Log'!$M$5:$M$5000&lt;&gt;"")),'Weekly Log'!$M$5:$M$5000),0))</f>
        <v>4</v>
      </c>
      <c r="H77" s="12"/>
      <c r="J77">
        <f>IF(COUNT('Weekly Log'!$A$5:$A$5000)=0,"",IF(MIN('Weekly Log'!$A$5:$A$5000)+7*(ROW()-10)&gt;MAX('Weekly Log'!$A$5:$A$5000),"",MIN('Weekly Log'!$A$5:$A$5000)+7*(ROW()-10)))</f>
        <v>46083</v>
      </c>
    </row>
    <row r="78" spans="1:10" x14ac:dyDescent="0.25">
      <c r="A78" s="12" t="str">
        <f t="shared" si="1"/>
        <v>2026-W11</v>
      </c>
      <c r="B78" s="13">
        <f>IF($J78="","",SUMIFS('Weekly Log'!$C:$C,'Weekly Log'!$A:$A,"&gt;="&amp;$J78,'Weekly Log'!$A:$A,"&lt;"&amp;$J78+7))</f>
        <v>42</v>
      </c>
      <c r="C78" s="14">
        <f>IF($J78="","",IFERROR(COUNTIFS('Weekly Log'!$G:$G,"Y",'Weekly Log'!$A:$A,"&gt;="&amp;$J78,'Weekly Log'!$A:$A,"&lt;"&amp;$J78+7)/COUNTIFS('Weekly Log'!$G:$G,"&lt;&gt;",'Weekly Log'!$A:$A,"&gt;="&amp;$J78,'Weekly Log'!$A:$A,"&lt;"&amp;$J78+7),0))</f>
        <v>0.88095238095238093</v>
      </c>
      <c r="D78" s="14">
        <f>IF($J78="","",IFERROR(COUNTIFS('Weekly Log'!$H:$H,"Y",'Weekly Log'!$A:$A,"&gt;="&amp;$J78,'Weekly Log'!$A:$A,"&lt;"&amp;$J78+7)/COUNTIFS('Weekly Log'!$H:$H,"&lt;&gt;",'Weekly Log'!$A:$A,"&gt;="&amp;$J78,'Weekly Log'!$A:$A,"&lt;"&amp;$J78+7),0))</f>
        <v>4.7619047619047616E-2</v>
      </c>
      <c r="E78" s="15">
        <f>IF($J78="","",IFERROR(AVERAGEIFS('Weekly Log'!$F:$F,'Weekly Log'!$A:$A,"&gt;="&amp;$J78,'Weekly Log'!$A:$A,"&lt;"&amp;$J78+7),0))</f>
        <v>2.2999999999999998</v>
      </c>
      <c r="F78" s="14">
        <f>IF($J78="","",IFERROR(SUMIFS('Weekly Log'!$F:$F,'Weekly Log'!$A:$A,"&gt;="&amp;$J78,'Weekly Log'!$A:$A,"&lt;"&amp;$J78+7)/SUMIFS('Weekly Log'!$E:$E,'Weekly Log'!$A:$A,"&gt;="&amp;$J78,'Weekly Log'!$A:$A,"&lt;"&amp;$J78+7),0))</f>
        <v>0.75883739198743128</v>
      </c>
      <c r="G78" s="13">
        <f>IF($J78="","",IFERROR(LOOKUP(2,1/(('Weekly Log'!$A$5:$A$5000&gt;=$J78)*('Weekly Log'!$A$5:$A$5000&lt;$J78+7)*('Weekly Log'!$M$5:$M$5000&lt;&gt;"")),'Weekly Log'!$M$5:$M$5000),0))</f>
        <v>10</v>
      </c>
      <c r="H78" s="12" t="s">
        <v>25</v>
      </c>
      <c r="J78">
        <f>IF(COUNT('Weekly Log'!$A$5:$A$5000)=0,"",IF(MIN('Weekly Log'!$A$5:$A$5000)+7*(ROW()-10)&gt;MAX('Weekly Log'!$A$5:$A$5000),"",MIN('Weekly Log'!$A$5:$A$5000)+7*(ROW()-10)))</f>
        <v>46090</v>
      </c>
    </row>
    <row r="79" spans="1:10" x14ac:dyDescent="0.25">
      <c r="A79" s="12" t="str">
        <f t="shared" si="1"/>
        <v>2026-W12</v>
      </c>
      <c r="B79" s="13">
        <f>IF($J79="","",SUMIFS('Weekly Log'!$C:$C,'Weekly Log'!$A:$A,"&gt;="&amp;$J79,'Weekly Log'!$A:$A,"&lt;"&amp;$J79+7))</f>
        <v>43</v>
      </c>
      <c r="C79" s="14">
        <f>IF($J79="","",IFERROR(COUNTIFS('Weekly Log'!$G:$G,"Y",'Weekly Log'!$A:$A,"&gt;="&amp;$J79,'Weekly Log'!$A:$A,"&lt;"&amp;$J79+7)/COUNTIFS('Weekly Log'!$G:$G,"&lt;&gt;",'Weekly Log'!$A:$A,"&gt;="&amp;$J79,'Weekly Log'!$A:$A,"&lt;"&amp;$J79+7),0))</f>
        <v>0.86046511627906974</v>
      </c>
      <c r="D79" s="14">
        <f>IF($J79="","",IFERROR(COUNTIFS('Weekly Log'!$H:$H,"Y",'Weekly Log'!$A:$A,"&gt;="&amp;$J79,'Weekly Log'!$A:$A,"&lt;"&amp;$J79+7)/COUNTIFS('Weekly Log'!$H:$H,"&lt;&gt;",'Weekly Log'!$A:$A,"&gt;="&amp;$J79,'Weekly Log'!$A:$A,"&lt;"&amp;$J79+7),0))</f>
        <v>4.6511627906976744E-2</v>
      </c>
      <c r="E79" s="15">
        <f>IF($J79="","",IFERROR(AVERAGEIFS('Weekly Log'!$F:$F,'Weekly Log'!$A:$A,"&gt;="&amp;$J79,'Weekly Log'!$A:$A,"&lt;"&amp;$J79+7),0))</f>
        <v>2.1</v>
      </c>
      <c r="F79" s="14">
        <f>IF($J79="","",IFERROR(SUMIFS('Weekly Log'!$F:$F,'Weekly Log'!$A:$A,"&gt;="&amp;$J79,'Weekly Log'!$A:$A,"&lt;"&amp;$J79+7)/SUMIFS('Weekly Log'!$E:$E,'Weekly Log'!$A:$A,"&gt;="&amp;$J79,'Weekly Log'!$A:$A,"&lt;"&amp;$J79+7),0))</f>
        <v>0.76916524701873923</v>
      </c>
      <c r="G79" s="13">
        <f>IF($J79="","",IFERROR(LOOKUP(2,1/(('Weekly Log'!$A$5:$A$5000&gt;=$J79)*('Weekly Log'!$A$5:$A$5000&lt;$J79+7)*('Weekly Log'!$M$5:$M$5000&lt;&gt;"")),'Weekly Log'!$M$5:$M$5000),0))</f>
        <v>10</v>
      </c>
      <c r="H79" s="12"/>
      <c r="J79">
        <f>IF(COUNT('Weekly Log'!$A$5:$A$5000)=0,"",IF(MIN('Weekly Log'!$A$5:$A$5000)+7*(ROW()-10)&gt;MAX('Weekly Log'!$A$5:$A$5000),"",MIN('Weekly Log'!$A$5:$A$5000)+7*(ROW()-10)))</f>
        <v>46097</v>
      </c>
    </row>
    <row r="80" spans="1:10" x14ac:dyDescent="0.25">
      <c r="A80" s="12" t="str">
        <f t="shared" si="1"/>
        <v>2026-W13</v>
      </c>
      <c r="B80" s="13">
        <f>IF($J80="","",SUMIFS('Weekly Log'!$C:$C,'Weekly Log'!$A:$A,"&gt;="&amp;$J80,'Weekly Log'!$A:$A,"&lt;"&amp;$J80+7))</f>
        <v>45</v>
      </c>
      <c r="C80" s="14">
        <f>IF($J80="","",IFERROR(COUNTIFS('Weekly Log'!$G:$G,"Y",'Weekly Log'!$A:$A,"&gt;="&amp;$J80,'Weekly Log'!$A:$A,"&lt;"&amp;$J80+7)/COUNTIFS('Weekly Log'!$G:$G,"&lt;&gt;",'Weekly Log'!$A:$A,"&gt;="&amp;$J80,'Weekly Log'!$A:$A,"&lt;"&amp;$J80+7),0))</f>
        <v>0.8666666666666667</v>
      </c>
      <c r="D80" s="14">
        <f>IF($J80="","",IFERROR(COUNTIFS('Weekly Log'!$H:$H,"Y",'Weekly Log'!$A:$A,"&gt;="&amp;$J80,'Weekly Log'!$A:$A,"&lt;"&amp;$J80+7)/COUNTIFS('Weekly Log'!$H:$H,"&lt;&gt;",'Weekly Log'!$A:$A,"&gt;="&amp;$J80,'Weekly Log'!$A:$A,"&lt;"&amp;$J80+7),0))</f>
        <v>4.4444444444444446E-2</v>
      </c>
      <c r="E80" s="15">
        <f>IF($J80="","",IFERROR(AVERAGEIFS('Weekly Log'!$F:$F,'Weekly Log'!$A:$A,"&gt;="&amp;$J80,'Weekly Log'!$A:$A,"&lt;"&amp;$J80+7),0))</f>
        <v>2.2999999999999998</v>
      </c>
      <c r="F80" s="14">
        <f>IF($J80="","",IFERROR(SUMIFS('Weekly Log'!$F:$F,'Weekly Log'!$A:$A,"&gt;="&amp;$J80,'Weekly Log'!$A:$A,"&lt;"&amp;$J80+7)/SUMIFS('Weekly Log'!$E:$E,'Weekly Log'!$A:$A,"&gt;="&amp;$J80,'Weekly Log'!$A:$A,"&lt;"&amp;$J80+7),0))</f>
        <v>0.76383763837638352</v>
      </c>
      <c r="G80" s="13">
        <f>IF($J80="","",IFERROR(LOOKUP(2,1/(('Weekly Log'!$A$5:$A$5000&gt;=$J80)*('Weekly Log'!$A$5:$A$5000&lt;$J80+7)*('Weekly Log'!$M$5:$M$5000&lt;&gt;"")),'Weekly Log'!$M$5:$M$5000),0))</f>
        <v>14</v>
      </c>
      <c r="H80" s="12"/>
      <c r="J80">
        <f>IF(COUNT('Weekly Log'!$A$5:$A$5000)=0,"",IF(MIN('Weekly Log'!$A$5:$A$5000)+7*(ROW()-10)&gt;MAX('Weekly Log'!$A$5:$A$5000),"",MIN('Weekly Log'!$A$5:$A$5000)+7*(ROW()-10)))</f>
        <v>46104</v>
      </c>
    </row>
    <row r="81" spans="1:10" x14ac:dyDescent="0.25">
      <c r="A81" s="12" t="str">
        <f t="shared" si="1"/>
        <v>2026-W14</v>
      </c>
      <c r="B81" s="13">
        <f>IF($J81="","",SUMIFS('Weekly Log'!$C:$C,'Weekly Log'!$A:$A,"&gt;="&amp;$J81,'Weekly Log'!$A:$A,"&lt;"&amp;$J81+7))</f>
        <v>45</v>
      </c>
      <c r="C81" s="14">
        <f>IF($J81="","",IFERROR(COUNTIFS('Weekly Log'!$G:$G,"Y",'Weekly Log'!$A:$A,"&gt;="&amp;$J81,'Weekly Log'!$A:$A,"&lt;"&amp;$J81+7)/COUNTIFS('Weekly Log'!$G:$G,"&lt;&gt;",'Weekly Log'!$A:$A,"&gt;="&amp;$J81,'Weekly Log'!$A:$A,"&lt;"&amp;$J81+7),0))</f>
        <v>0.91111111111111109</v>
      </c>
      <c r="D81" s="14">
        <f>IF($J81="","",IFERROR(COUNTIFS('Weekly Log'!$H:$H,"Y",'Weekly Log'!$A:$A,"&gt;="&amp;$J81,'Weekly Log'!$A:$A,"&lt;"&amp;$J81+7)/COUNTIFS('Weekly Log'!$H:$H,"&lt;&gt;",'Weekly Log'!$A:$A,"&gt;="&amp;$J81,'Weekly Log'!$A:$A,"&lt;"&amp;$J81+7),0))</f>
        <v>4.4444444444444446E-2</v>
      </c>
      <c r="E81" s="15">
        <f>IF($J81="","",IFERROR(AVERAGEIFS('Weekly Log'!$F:$F,'Weekly Log'!$A:$A,"&gt;="&amp;$J81,'Weekly Log'!$A:$A,"&lt;"&amp;$J81+7),0))</f>
        <v>2.3999999999999995</v>
      </c>
      <c r="F81" s="14">
        <f>IF($J81="","",IFERROR(SUMIFS('Weekly Log'!$F:$F,'Weekly Log'!$A:$A,"&gt;="&amp;$J81,'Weekly Log'!$A:$A,"&lt;"&amp;$J81+7)/SUMIFS('Weekly Log'!$E:$E,'Weekly Log'!$A:$A,"&gt;="&amp;$J81,'Weekly Log'!$A:$A,"&lt;"&amp;$J81+7),0))</f>
        <v>0.78091106290672452</v>
      </c>
      <c r="G81" s="13">
        <f>IF($J81="","",IFERROR(LOOKUP(2,1/(('Weekly Log'!$A$5:$A$5000&gt;=$J81)*('Weekly Log'!$A$5:$A$5000&lt;$J81+7)*('Weekly Log'!$M$5:$M$5000&lt;&gt;"")),'Weekly Log'!$M$5:$M$5000),0))</f>
        <v>11</v>
      </c>
      <c r="H81" s="12"/>
      <c r="J81">
        <f>IF(COUNT('Weekly Log'!$A$5:$A$5000)=0,"",IF(MIN('Weekly Log'!$A$5:$A$5000)+7*(ROW()-10)&gt;MAX('Weekly Log'!$A$5:$A$5000),"",MIN('Weekly Log'!$A$5:$A$5000)+7*(ROW()-10)))</f>
        <v>46111</v>
      </c>
    </row>
    <row r="82" spans="1:10" x14ac:dyDescent="0.25">
      <c r="A82" s="12" t="str">
        <f t="shared" si="1"/>
        <v>2026-W15</v>
      </c>
      <c r="B82" s="13">
        <f>IF($J82="","",SUMIFS('Weekly Log'!$C:$C,'Weekly Log'!$A:$A,"&gt;="&amp;$J82,'Weekly Log'!$A:$A,"&lt;"&amp;$J82+7))</f>
        <v>39</v>
      </c>
      <c r="C82" s="14">
        <f>IF($J82="","",IFERROR(COUNTIFS('Weekly Log'!$G:$G,"Y",'Weekly Log'!$A:$A,"&gt;="&amp;$J82,'Weekly Log'!$A:$A,"&lt;"&amp;$J82+7)/COUNTIFS('Weekly Log'!$G:$G,"&lt;&gt;",'Weekly Log'!$A:$A,"&gt;="&amp;$J82,'Weekly Log'!$A:$A,"&lt;"&amp;$J82+7),0))</f>
        <v>0.87179487179487181</v>
      </c>
      <c r="D82" s="14">
        <f>IF($J82="","",IFERROR(COUNTIFS('Weekly Log'!$H:$H,"Y",'Weekly Log'!$A:$A,"&gt;="&amp;$J82,'Weekly Log'!$A:$A,"&lt;"&amp;$J82+7)/COUNTIFS('Weekly Log'!$H:$H,"&lt;&gt;",'Weekly Log'!$A:$A,"&gt;="&amp;$J82,'Weekly Log'!$A:$A,"&lt;"&amp;$J82+7),0))</f>
        <v>5.128205128205128E-2</v>
      </c>
      <c r="E82" s="15">
        <f>IF($J82="","",IFERROR(AVERAGEIFS('Weekly Log'!$F:$F,'Weekly Log'!$A:$A,"&gt;="&amp;$J82,'Weekly Log'!$A:$A,"&lt;"&amp;$J82+7),0))</f>
        <v>2.5</v>
      </c>
      <c r="F82" s="14">
        <f>IF($J82="","",IFERROR(SUMIFS('Weekly Log'!$F:$F,'Weekly Log'!$A:$A,"&gt;="&amp;$J82,'Weekly Log'!$A:$A,"&lt;"&amp;$J82+7)/SUMIFS('Weekly Log'!$E:$E,'Weekly Log'!$A:$A,"&gt;="&amp;$J82,'Weekly Log'!$A:$A,"&lt;"&amp;$J82+7),0))</f>
        <v>0.77380952380952361</v>
      </c>
      <c r="G82" s="13">
        <f>IF($J82="","",IFERROR(LOOKUP(2,1/(('Weekly Log'!$A$5:$A$5000&gt;=$J82)*('Weekly Log'!$A$5:$A$5000&lt;$J82+7)*('Weekly Log'!$M$5:$M$5000&lt;&gt;"")),'Weekly Log'!$M$5:$M$5000),0))</f>
        <v>12</v>
      </c>
      <c r="H82" s="12"/>
      <c r="J82">
        <f>IF(COUNT('Weekly Log'!$A$5:$A$5000)=0,"",IF(MIN('Weekly Log'!$A$5:$A$5000)+7*(ROW()-10)&gt;MAX('Weekly Log'!$A$5:$A$5000),"",MIN('Weekly Log'!$A$5:$A$5000)+7*(ROW()-10)))</f>
        <v>46118</v>
      </c>
    </row>
    <row r="83" spans="1:10" x14ac:dyDescent="0.25">
      <c r="A83" s="12" t="str">
        <f t="shared" si="1"/>
        <v>2026-W16</v>
      </c>
      <c r="B83" s="13">
        <f>IF($J83="","",SUMIFS('Weekly Log'!$C:$C,'Weekly Log'!$A:$A,"&gt;="&amp;$J83,'Weekly Log'!$A:$A,"&lt;"&amp;$J83+7))</f>
        <v>44</v>
      </c>
      <c r="C83" s="14">
        <f>IF($J83="","",IFERROR(COUNTIFS('Weekly Log'!$G:$G,"Y",'Weekly Log'!$A:$A,"&gt;="&amp;$J83,'Weekly Log'!$A:$A,"&lt;"&amp;$J83+7)/COUNTIFS('Weekly Log'!$G:$G,"&lt;&gt;",'Weekly Log'!$A:$A,"&gt;="&amp;$J83,'Weekly Log'!$A:$A,"&lt;"&amp;$J83+7),0))</f>
        <v>0.88636363636363635</v>
      </c>
      <c r="D83" s="14">
        <f>IF($J83="","",IFERROR(COUNTIFS('Weekly Log'!$H:$H,"Y",'Weekly Log'!$A:$A,"&gt;="&amp;$J83,'Weekly Log'!$A:$A,"&lt;"&amp;$J83+7)/COUNTIFS('Weekly Log'!$H:$H,"&lt;&gt;",'Weekly Log'!$A:$A,"&gt;="&amp;$J83,'Weekly Log'!$A:$A,"&lt;"&amp;$J83+7),0))</f>
        <v>4.5454545454545456E-2</v>
      </c>
      <c r="E83" s="15">
        <f>IF($J83="","",IFERROR(AVERAGEIFS('Weekly Log'!$F:$F,'Weekly Log'!$A:$A,"&gt;="&amp;$J83,'Weekly Log'!$A:$A,"&lt;"&amp;$J83+7),0))</f>
        <v>2.1</v>
      </c>
      <c r="F83" s="14">
        <f>IF($J83="","",IFERROR(SUMIFS('Weekly Log'!$F:$F,'Weekly Log'!$A:$A,"&gt;="&amp;$J83,'Weekly Log'!$A:$A,"&lt;"&amp;$J83+7)/SUMIFS('Weekly Log'!$E:$E,'Weekly Log'!$A:$A,"&gt;="&amp;$J83,'Weekly Log'!$A:$A,"&lt;"&amp;$J83+7),0))</f>
        <v>0.77322175732217568</v>
      </c>
      <c r="G83" s="13">
        <f>IF($J83="","",IFERROR(LOOKUP(2,1/(('Weekly Log'!$A$5:$A$5000&gt;=$J83)*('Weekly Log'!$A$5:$A$5000&lt;$J83+7)*('Weekly Log'!$M$5:$M$5000&lt;&gt;"")),'Weekly Log'!$M$5:$M$5000),0))</f>
        <v>8</v>
      </c>
      <c r="H83" s="12"/>
      <c r="J83">
        <f>IF(COUNT('Weekly Log'!$A$5:$A$5000)=0,"",IF(MIN('Weekly Log'!$A$5:$A$5000)+7*(ROW()-10)&gt;MAX('Weekly Log'!$A$5:$A$5000),"",MIN('Weekly Log'!$A$5:$A$5000)+7*(ROW()-10)))</f>
        <v>46125</v>
      </c>
    </row>
    <row r="84" spans="1:10" x14ac:dyDescent="0.25">
      <c r="A84" s="12" t="str">
        <f t="shared" si="1"/>
        <v>2026-W17</v>
      </c>
      <c r="B84" s="13">
        <f>IF($J84="","",SUMIFS('Weekly Log'!$C:$C,'Weekly Log'!$A:$A,"&gt;="&amp;$J84,'Weekly Log'!$A:$A,"&lt;"&amp;$J84+7))</f>
        <v>44</v>
      </c>
      <c r="C84" s="14">
        <f>IF($J84="","",IFERROR(COUNTIFS('Weekly Log'!$G:$G,"Y",'Weekly Log'!$A:$A,"&gt;="&amp;$J84,'Weekly Log'!$A:$A,"&lt;"&amp;$J84+7)/COUNTIFS('Weekly Log'!$G:$G,"&lt;&gt;",'Weekly Log'!$A:$A,"&gt;="&amp;$J84,'Weekly Log'!$A:$A,"&lt;"&amp;$J84+7),0))</f>
        <v>0.88636363636363635</v>
      </c>
      <c r="D84" s="14">
        <f>IF($J84="","",IFERROR(COUNTIFS('Weekly Log'!$H:$H,"Y",'Weekly Log'!$A:$A,"&gt;="&amp;$J84,'Weekly Log'!$A:$A,"&lt;"&amp;$J84+7)/COUNTIFS('Weekly Log'!$H:$H,"&lt;&gt;",'Weekly Log'!$A:$A,"&gt;="&amp;$J84,'Weekly Log'!$A:$A,"&lt;"&amp;$J84+7),0))</f>
        <v>4.5454545454545456E-2</v>
      </c>
      <c r="E84" s="15">
        <f>IF($J84="","",IFERROR(AVERAGEIFS('Weekly Log'!$F:$F,'Weekly Log'!$A:$A,"&gt;="&amp;$J84,'Weekly Log'!$A:$A,"&lt;"&amp;$J84+7),0))</f>
        <v>2.0000000000000004</v>
      </c>
      <c r="F84" s="14">
        <f>IF($J84="","",IFERROR(SUMIFS('Weekly Log'!$F:$F,'Weekly Log'!$A:$A,"&gt;="&amp;$J84,'Weekly Log'!$A:$A,"&lt;"&amp;$J84+7)/SUMIFS('Weekly Log'!$E:$E,'Weekly Log'!$A:$A,"&gt;="&amp;$J84,'Weekly Log'!$A:$A,"&lt;"&amp;$J84+7),0))</f>
        <v>0.7829181494661922</v>
      </c>
      <c r="G84" s="13">
        <f>IF($J84="","",IFERROR(LOOKUP(2,1/(('Weekly Log'!$A$5:$A$5000&gt;=$J84)*('Weekly Log'!$A$5:$A$5000&lt;$J84+7)*('Weekly Log'!$M$5:$M$5000&lt;&gt;"")),'Weekly Log'!$M$5:$M$5000),0))</f>
        <v>11</v>
      </c>
      <c r="H84" s="12" t="s">
        <v>24</v>
      </c>
      <c r="J84">
        <f>IF(COUNT('Weekly Log'!$A$5:$A$5000)=0,"",IF(MIN('Weekly Log'!$A$5:$A$5000)+7*(ROW()-10)&gt;MAX('Weekly Log'!$A$5:$A$5000),"",MIN('Weekly Log'!$A$5:$A$5000)+7*(ROW()-10)))</f>
        <v>46132</v>
      </c>
    </row>
    <row r="85" spans="1:10" x14ac:dyDescent="0.25">
      <c r="A85" s="12" t="str">
        <f t="shared" si="1"/>
        <v>2026-W18</v>
      </c>
      <c r="B85" s="13">
        <f>IF($J85="","",SUMIFS('Weekly Log'!$C:$C,'Weekly Log'!$A:$A,"&gt;="&amp;$J85,'Weekly Log'!$A:$A,"&lt;"&amp;$J85+7))</f>
        <v>48</v>
      </c>
      <c r="C85" s="14">
        <f>IF($J85="","",IFERROR(COUNTIFS('Weekly Log'!$G:$G,"Y",'Weekly Log'!$A:$A,"&gt;="&amp;$J85,'Weekly Log'!$A:$A,"&lt;"&amp;$J85+7)/COUNTIFS('Weekly Log'!$G:$G,"&lt;&gt;",'Weekly Log'!$A:$A,"&gt;="&amp;$J85,'Weekly Log'!$A:$A,"&lt;"&amp;$J85+7),0))</f>
        <v>0.89583333333333337</v>
      </c>
      <c r="D85" s="14">
        <f>IF($J85="","",IFERROR(COUNTIFS('Weekly Log'!$H:$H,"Y",'Weekly Log'!$A:$A,"&gt;="&amp;$J85,'Weekly Log'!$A:$A,"&lt;"&amp;$J85+7)/COUNTIFS('Weekly Log'!$H:$H,"&lt;&gt;",'Weekly Log'!$A:$A,"&gt;="&amp;$J85,'Weekly Log'!$A:$A,"&lt;"&amp;$J85+7),0))</f>
        <v>4.1666666666666664E-2</v>
      </c>
      <c r="E85" s="15">
        <f>IF($J85="","",IFERROR(AVERAGEIFS('Weekly Log'!$F:$F,'Weekly Log'!$A:$A,"&gt;="&amp;$J85,'Weekly Log'!$A:$A,"&lt;"&amp;$J85+7),0))</f>
        <v>2.1</v>
      </c>
      <c r="F85" s="14">
        <f>IF($J85="","",IFERROR(SUMIFS('Weekly Log'!$F:$F,'Weekly Log'!$A:$A,"&gt;="&amp;$J85,'Weekly Log'!$A:$A,"&lt;"&amp;$J85+7)/SUMIFS('Weekly Log'!$E:$E,'Weekly Log'!$A:$A,"&gt;="&amp;$J85,'Weekly Log'!$A:$A,"&lt;"&amp;$J85+7),0))</f>
        <v>0.7912087912087914</v>
      </c>
      <c r="G85" s="13">
        <f>IF($J85="","",IFERROR(LOOKUP(2,1/(('Weekly Log'!$A$5:$A$5000&gt;=$J85)*('Weekly Log'!$A$5:$A$5000&lt;$J85+7)*('Weekly Log'!$M$5:$M$5000&lt;&gt;"")),'Weekly Log'!$M$5:$M$5000),0))</f>
        <v>9</v>
      </c>
      <c r="H85" s="12"/>
      <c r="J85">
        <f>IF(COUNT('Weekly Log'!$A$5:$A$5000)=0,"",IF(MIN('Weekly Log'!$A$5:$A$5000)+7*(ROW()-10)&gt;MAX('Weekly Log'!$A$5:$A$5000),"",MIN('Weekly Log'!$A$5:$A$5000)+7*(ROW()-10)))</f>
        <v>46139</v>
      </c>
    </row>
    <row r="86" spans="1:10" x14ac:dyDescent="0.25">
      <c r="A86" s="12" t="str">
        <f t="shared" si="1"/>
        <v>2026-W19</v>
      </c>
      <c r="B86" s="13">
        <f>IF($J86="","",SUMIFS('Weekly Log'!$C:$C,'Weekly Log'!$A:$A,"&gt;="&amp;$J86,'Weekly Log'!$A:$A,"&lt;"&amp;$J86+7))</f>
        <v>41</v>
      </c>
      <c r="C86" s="14">
        <f>IF($J86="","",IFERROR(COUNTIFS('Weekly Log'!$G:$G,"Y",'Weekly Log'!$A:$A,"&gt;="&amp;$J86,'Weekly Log'!$A:$A,"&lt;"&amp;$J86+7)/COUNTIFS('Weekly Log'!$G:$G,"&lt;&gt;",'Weekly Log'!$A:$A,"&gt;="&amp;$J86,'Weekly Log'!$A:$A,"&lt;"&amp;$J86+7),0))</f>
        <v>0.87804878048780488</v>
      </c>
      <c r="D86" s="14">
        <f>IF($J86="","",IFERROR(COUNTIFS('Weekly Log'!$H:$H,"Y",'Weekly Log'!$A:$A,"&gt;="&amp;$J86,'Weekly Log'!$A:$A,"&lt;"&amp;$J86+7)/COUNTIFS('Weekly Log'!$H:$H,"&lt;&gt;",'Weekly Log'!$A:$A,"&gt;="&amp;$J86,'Weekly Log'!$A:$A,"&lt;"&amp;$J86+7),0))</f>
        <v>4.878048780487805E-2</v>
      </c>
      <c r="E86" s="15">
        <f>IF($J86="","",IFERROR(AVERAGEIFS('Weekly Log'!$F:$F,'Weekly Log'!$A:$A,"&gt;="&amp;$J86,'Weekly Log'!$A:$A,"&lt;"&amp;$J86+7),0))</f>
        <v>2.3000000000000007</v>
      </c>
      <c r="F86" s="14">
        <f>IF($J86="","",IFERROR(SUMIFS('Weekly Log'!$F:$F,'Weekly Log'!$A:$A,"&gt;="&amp;$J86,'Weekly Log'!$A:$A,"&lt;"&amp;$J86+7)/SUMIFS('Weekly Log'!$E:$E,'Weekly Log'!$A:$A,"&gt;="&amp;$J86,'Weekly Log'!$A:$A,"&lt;"&amp;$J86+7),0))</f>
        <v>0.74781919111816031</v>
      </c>
      <c r="G86" s="13">
        <f>IF($J86="","",IFERROR(LOOKUP(2,1/(('Weekly Log'!$A$5:$A$5000&gt;=$J86)*('Weekly Log'!$A$5:$A$5000&lt;$J86+7)*('Weekly Log'!$M$5:$M$5000&lt;&gt;"")),'Weekly Log'!$M$5:$M$5000),0))</f>
        <v>13</v>
      </c>
      <c r="H86" s="12"/>
      <c r="J86">
        <f>IF(COUNT('Weekly Log'!$A$5:$A$5000)=0,"",IF(MIN('Weekly Log'!$A$5:$A$5000)+7*(ROW()-10)&gt;MAX('Weekly Log'!$A$5:$A$5000),"",MIN('Weekly Log'!$A$5:$A$5000)+7*(ROW()-10)))</f>
        <v>46146</v>
      </c>
    </row>
    <row r="87" spans="1:10" x14ac:dyDescent="0.25">
      <c r="A87" s="12" t="str">
        <f t="shared" si="1"/>
        <v>2026-W20</v>
      </c>
      <c r="B87" s="13">
        <f>IF($J87="","",SUMIFS('Weekly Log'!$C:$C,'Weekly Log'!$A:$A,"&gt;="&amp;$J87,'Weekly Log'!$A:$A,"&lt;"&amp;$J87+7))</f>
        <v>40</v>
      </c>
      <c r="C87" s="14">
        <f>IF($J87="","",IFERROR(COUNTIFS('Weekly Log'!$G:$G,"Y",'Weekly Log'!$A:$A,"&gt;="&amp;$J87,'Weekly Log'!$A:$A,"&lt;"&amp;$J87+7)/COUNTIFS('Weekly Log'!$G:$G,"&lt;&gt;",'Weekly Log'!$A:$A,"&gt;="&amp;$J87,'Weekly Log'!$A:$A,"&lt;"&amp;$J87+7),0))</f>
        <v>0.875</v>
      </c>
      <c r="D87" s="14">
        <f>IF($J87="","",IFERROR(COUNTIFS('Weekly Log'!$H:$H,"Y",'Weekly Log'!$A:$A,"&gt;="&amp;$J87,'Weekly Log'!$A:$A,"&lt;"&amp;$J87+7)/COUNTIFS('Weekly Log'!$H:$H,"&lt;&gt;",'Weekly Log'!$A:$A,"&gt;="&amp;$J87,'Weekly Log'!$A:$A,"&lt;"&amp;$J87+7),0))</f>
        <v>0.05</v>
      </c>
      <c r="E87" s="15">
        <f>IF($J87="","",IFERROR(AVERAGEIFS('Weekly Log'!$F:$F,'Weekly Log'!$A:$A,"&gt;="&amp;$J87,'Weekly Log'!$A:$A,"&lt;"&amp;$J87+7),0))</f>
        <v>2.0999999999999996</v>
      </c>
      <c r="F87" s="14">
        <f>IF($J87="","",IFERROR(SUMIFS('Weekly Log'!$F:$F,'Weekly Log'!$A:$A,"&gt;="&amp;$J87,'Weekly Log'!$A:$A,"&lt;"&amp;$J87+7)/SUMIFS('Weekly Log'!$E:$E,'Weekly Log'!$A:$A,"&gt;="&amp;$J87,'Weekly Log'!$A:$A,"&lt;"&amp;$J87+7),0))</f>
        <v>0.77994428969359331</v>
      </c>
      <c r="G87" s="13">
        <f>IF($J87="","",IFERROR(LOOKUP(2,1/(('Weekly Log'!$A$5:$A$5000&gt;=$J87)*('Weekly Log'!$A$5:$A$5000&lt;$J87+7)*('Weekly Log'!$M$5:$M$5000&lt;&gt;"")),'Weekly Log'!$M$5:$M$5000),0))</f>
        <v>10</v>
      </c>
      <c r="H87" s="12"/>
      <c r="J87">
        <f>IF(COUNT('Weekly Log'!$A$5:$A$5000)=0,"",IF(MIN('Weekly Log'!$A$5:$A$5000)+7*(ROW()-10)&gt;MAX('Weekly Log'!$A$5:$A$5000),"",MIN('Weekly Log'!$A$5:$A$5000)+7*(ROW()-10)))</f>
        <v>46153</v>
      </c>
    </row>
    <row r="88" spans="1:10" x14ac:dyDescent="0.25">
      <c r="A88" s="12" t="str">
        <f t="shared" si="1"/>
        <v>2026-W21</v>
      </c>
      <c r="B88" s="13">
        <f>IF($J88="","",SUMIFS('Weekly Log'!$C:$C,'Weekly Log'!$A:$A,"&gt;="&amp;$J88,'Weekly Log'!$A:$A,"&lt;"&amp;$J88+7))</f>
        <v>42</v>
      </c>
      <c r="C88" s="14">
        <f>IF($J88="","",IFERROR(COUNTIFS('Weekly Log'!$G:$G,"Y",'Weekly Log'!$A:$A,"&gt;="&amp;$J88,'Weekly Log'!$A:$A,"&lt;"&amp;$J88+7)/COUNTIFS('Weekly Log'!$G:$G,"&lt;&gt;",'Weekly Log'!$A:$A,"&gt;="&amp;$J88,'Weekly Log'!$A:$A,"&lt;"&amp;$J88+7),0))</f>
        <v>0.88095238095238093</v>
      </c>
      <c r="D88" s="14">
        <f>IF($J88="","",IFERROR(COUNTIFS('Weekly Log'!$H:$H,"Y",'Weekly Log'!$A:$A,"&gt;="&amp;$J88,'Weekly Log'!$A:$A,"&lt;"&amp;$J88+7)/COUNTIFS('Weekly Log'!$H:$H,"&lt;&gt;",'Weekly Log'!$A:$A,"&gt;="&amp;$J88,'Weekly Log'!$A:$A,"&lt;"&amp;$J88+7),0))</f>
        <v>4.7619047619047616E-2</v>
      </c>
      <c r="E88" s="15">
        <f>IF($J88="","",IFERROR(AVERAGEIFS('Weekly Log'!$F:$F,'Weekly Log'!$A:$A,"&gt;="&amp;$J88,'Weekly Log'!$A:$A,"&lt;"&amp;$J88+7),0))</f>
        <v>2</v>
      </c>
      <c r="F88" s="14">
        <f>IF($J88="","",IFERROR(SUMIFS('Weekly Log'!$F:$F,'Weekly Log'!$A:$A,"&gt;="&amp;$J88,'Weekly Log'!$A:$A,"&lt;"&amp;$J88+7)/SUMIFS('Weekly Log'!$E:$E,'Weekly Log'!$A:$A,"&gt;="&amp;$J88,'Weekly Log'!$A:$A,"&lt;"&amp;$J88+7),0))</f>
        <v>0.74402125775022154</v>
      </c>
      <c r="G88" s="13">
        <f>IF($J88="","",IFERROR(LOOKUP(2,1/(('Weekly Log'!$A$5:$A$5000&gt;=$J88)*('Weekly Log'!$A$5:$A$5000&lt;$J88+7)*('Weekly Log'!$M$5:$M$5000&lt;&gt;"")),'Weekly Log'!$M$5:$M$5000),0))</f>
        <v>14</v>
      </c>
      <c r="H88" s="12"/>
      <c r="J88">
        <f>IF(COUNT('Weekly Log'!$A$5:$A$5000)=0,"",IF(MIN('Weekly Log'!$A$5:$A$5000)+7*(ROW()-10)&gt;MAX('Weekly Log'!$A$5:$A$5000),"",MIN('Weekly Log'!$A$5:$A$5000)+7*(ROW()-10)))</f>
        <v>46160</v>
      </c>
    </row>
    <row r="89" spans="1:10" x14ac:dyDescent="0.25">
      <c r="A89" s="12" t="str">
        <f t="shared" si="1"/>
        <v>2026-W22</v>
      </c>
      <c r="B89" s="13">
        <f>IF($J89="","",SUMIFS('Weekly Log'!$C:$C,'Weekly Log'!$A:$A,"&gt;="&amp;$J89,'Weekly Log'!$A:$A,"&lt;"&amp;$J89+7))</f>
        <v>47</v>
      </c>
      <c r="C89" s="14">
        <f>IF($J89="","",IFERROR(COUNTIFS('Weekly Log'!$G:$G,"Y",'Weekly Log'!$A:$A,"&gt;="&amp;$J89,'Weekly Log'!$A:$A,"&lt;"&amp;$J89+7)/COUNTIFS('Weekly Log'!$G:$G,"&lt;&gt;",'Weekly Log'!$A:$A,"&gt;="&amp;$J89,'Weekly Log'!$A:$A,"&lt;"&amp;$J89+7),0))</f>
        <v>0.8936170212765957</v>
      </c>
      <c r="D89" s="14">
        <f>IF($J89="","",IFERROR(COUNTIFS('Weekly Log'!$H:$H,"Y",'Weekly Log'!$A:$A,"&gt;="&amp;$J89,'Weekly Log'!$A:$A,"&lt;"&amp;$J89+7)/COUNTIFS('Weekly Log'!$H:$H,"&lt;&gt;",'Weekly Log'!$A:$A,"&gt;="&amp;$J89,'Weekly Log'!$A:$A,"&lt;"&amp;$J89+7),0))</f>
        <v>4.2553191489361701E-2</v>
      </c>
      <c r="E89" s="15">
        <f>IF($J89="","",IFERROR(AVERAGEIFS('Weekly Log'!$F:$F,'Weekly Log'!$A:$A,"&gt;="&amp;$J89,'Weekly Log'!$A:$A,"&lt;"&amp;$J89+7),0))</f>
        <v>2.2000000000000006</v>
      </c>
      <c r="F89" s="14">
        <f>IF($J89="","",IFERROR(SUMIFS('Weekly Log'!$F:$F,'Weekly Log'!$A:$A,"&gt;="&amp;$J89,'Weekly Log'!$A:$A,"&lt;"&amp;$J89+7)/SUMIFS('Weekly Log'!$E:$E,'Weekly Log'!$A:$A,"&gt;="&amp;$J89,'Weekly Log'!$A:$A,"&lt;"&amp;$J89+7),0))</f>
        <v>0.75806451612903281</v>
      </c>
      <c r="G89" s="13">
        <f>IF($J89="","",IFERROR(LOOKUP(2,1/(('Weekly Log'!$A$5:$A$5000&gt;=$J89)*('Weekly Log'!$A$5:$A$5000&lt;$J89+7)*('Weekly Log'!$M$5:$M$5000&lt;&gt;"")),'Weekly Log'!$M$5:$M$5000),0))</f>
        <v>9</v>
      </c>
      <c r="H89" s="12"/>
      <c r="J89">
        <f>IF(COUNT('Weekly Log'!$A$5:$A$5000)=0,"",IF(MIN('Weekly Log'!$A$5:$A$5000)+7*(ROW()-10)&gt;MAX('Weekly Log'!$A$5:$A$5000),"",MIN('Weekly Log'!$A$5:$A$5000)+7*(ROW()-10)))</f>
        <v>46167</v>
      </c>
    </row>
    <row r="90" spans="1:10" x14ac:dyDescent="0.25">
      <c r="A90" s="12" t="str">
        <f t="shared" si="1"/>
        <v>2026-W23</v>
      </c>
      <c r="B90" s="13">
        <f>IF($J90="","",SUMIFS('Weekly Log'!$C:$C,'Weekly Log'!$A:$A,"&gt;="&amp;$J90,'Weekly Log'!$A:$A,"&lt;"&amp;$J90+7))</f>
        <v>38</v>
      </c>
      <c r="C90" s="14">
        <f>IF($J90="","",IFERROR(COUNTIFS('Weekly Log'!$G:$G,"Y",'Weekly Log'!$A:$A,"&gt;="&amp;$J90,'Weekly Log'!$A:$A,"&lt;"&amp;$J90+7)/COUNTIFS('Weekly Log'!$G:$G,"&lt;&gt;",'Weekly Log'!$A:$A,"&gt;="&amp;$J90,'Weekly Log'!$A:$A,"&lt;"&amp;$J90+7),0))</f>
        <v>0.86842105263157898</v>
      </c>
      <c r="D90" s="14">
        <f>IF($J90="","",IFERROR(COUNTIFS('Weekly Log'!$H:$H,"Y",'Weekly Log'!$A:$A,"&gt;="&amp;$J90,'Weekly Log'!$A:$A,"&lt;"&amp;$J90+7)/COUNTIFS('Weekly Log'!$H:$H,"&lt;&gt;",'Weekly Log'!$A:$A,"&gt;="&amp;$J90,'Weekly Log'!$A:$A,"&lt;"&amp;$J90+7),0))</f>
        <v>5.2631578947368418E-2</v>
      </c>
      <c r="E90" s="15">
        <f>IF($J90="","",IFERROR(AVERAGEIFS('Weekly Log'!$F:$F,'Weekly Log'!$A:$A,"&gt;="&amp;$J90,'Weekly Log'!$A:$A,"&lt;"&amp;$J90+7),0))</f>
        <v>2.2999999999999998</v>
      </c>
      <c r="F90" s="14">
        <f>IF($J90="","",IFERROR(SUMIFS('Weekly Log'!$F:$F,'Weekly Log'!$A:$A,"&gt;="&amp;$J90,'Weekly Log'!$A:$A,"&lt;"&amp;$J90+7)/SUMIFS('Weekly Log'!$E:$E,'Weekly Log'!$A:$A,"&gt;="&amp;$J90,'Weekly Log'!$A:$A,"&lt;"&amp;$J90+7),0))</f>
        <v>0.73507148864592098</v>
      </c>
      <c r="G90" s="13">
        <f>IF($J90="","",IFERROR(LOOKUP(2,1/(('Weekly Log'!$A$5:$A$5000&gt;=$J90)*('Weekly Log'!$A$5:$A$5000&lt;$J90+7)*('Weekly Log'!$M$5:$M$5000&lt;&gt;"")),'Weekly Log'!$M$5:$M$5000),0))</f>
        <v>10</v>
      </c>
      <c r="H90" s="12" t="s">
        <v>25</v>
      </c>
      <c r="J90">
        <f>IF(COUNT('Weekly Log'!$A$5:$A$5000)=0,"",IF(MIN('Weekly Log'!$A$5:$A$5000)+7*(ROW()-10)&gt;MAX('Weekly Log'!$A$5:$A$5000),"",MIN('Weekly Log'!$A$5:$A$5000)+7*(ROW()-10)))</f>
        <v>46174</v>
      </c>
    </row>
    <row r="91" spans="1:10" x14ac:dyDescent="0.25">
      <c r="A91" s="12" t="str">
        <f t="shared" si="1"/>
        <v>2026-W24</v>
      </c>
      <c r="B91" s="13">
        <f>IF($J91="","",SUMIFS('Weekly Log'!$C:$C,'Weekly Log'!$A:$A,"&gt;="&amp;$J91,'Weekly Log'!$A:$A,"&lt;"&amp;$J91+7))</f>
        <v>42</v>
      </c>
      <c r="C91" s="14">
        <f>IF($J91="","",IFERROR(COUNTIFS('Weekly Log'!$G:$G,"Y",'Weekly Log'!$A:$A,"&gt;="&amp;$J91,'Weekly Log'!$A:$A,"&lt;"&amp;$J91+7)/COUNTIFS('Weekly Log'!$G:$G,"&lt;&gt;",'Weekly Log'!$A:$A,"&gt;="&amp;$J91,'Weekly Log'!$A:$A,"&lt;"&amp;$J91+7),0))</f>
        <v>0.8571428571428571</v>
      </c>
      <c r="D91" s="14">
        <f>IF($J91="","",IFERROR(COUNTIFS('Weekly Log'!$H:$H,"Y",'Weekly Log'!$A:$A,"&gt;="&amp;$J91,'Weekly Log'!$A:$A,"&lt;"&amp;$J91+7)/COUNTIFS('Weekly Log'!$H:$H,"&lt;&gt;",'Weekly Log'!$A:$A,"&gt;="&amp;$J91,'Weekly Log'!$A:$A,"&lt;"&amp;$J91+7),0))</f>
        <v>4.7619047619047616E-2</v>
      </c>
      <c r="E91" s="15">
        <f>IF($J91="","",IFERROR(AVERAGEIFS('Weekly Log'!$F:$F,'Weekly Log'!$A:$A,"&gt;="&amp;$J91,'Weekly Log'!$A:$A,"&lt;"&amp;$J91+7),0))</f>
        <v>2.5000000000000004</v>
      </c>
      <c r="F91" s="14">
        <f>IF($J91="","",IFERROR(SUMIFS('Weekly Log'!$F:$F,'Weekly Log'!$A:$A,"&gt;="&amp;$J91,'Weekly Log'!$A:$A,"&lt;"&amp;$J91+7)/SUMIFS('Weekly Log'!$E:$E,'Weekly Log'!$A:$A,"&gt;="&amp;$J91,'Weekly Log'!$A:$A,"&lt;"&amp;$J91+7),0))</f>
        <v>0.74679943100995749</v>
      </c>
      <c r="G91" s="13">
        <f>IF($J91="","",IFERROR(LOOKUP(2,1/(('Weekly Log'!$A$5:$A$5000&gt;=$J91)*('Weekly Log'!$A$5:$A$5000&lt;$J91+7)*('Weekly Log'!$M$5:$M$5000&lt;&gt;"")),'Weekly Log'!$M$5:$M$5000),0))</f>
        <v>6</v>
      </c>
      <c r="H91" s="12"/>
      <c r="J91">
        <f>IF(COUNT('Weekly Log'!$A$5:$A$5000)=0,"",IF(MIN('Weekly Log'!$A$5:$A$5000)+7*(ROW()-10)&gt;MAX('Weekly Log'!$A$5:$A$5000),"",MIN('Weekly Log'!$A$5:$A$5000)+7*(ROW()-10)))</f>
        <v>46181</v>
      </c>
    </row>
    <row r="92" spans="1:10" x14ac:dyDescent="0.25">
      <c r="A92" s="12" t="str">
        <f t="shared" si="1"/>
        <v>2026-W25</v>
      </c>
      <c r="B92" s="13">
        <f>IF($J92="","",SUMIFS('Weekly Log'!$C:$C,'Weekly Log'!$A:$A,"&gt;="&amp;$J92,'Weekly Log'!$A:$A,"&lt;"&amp;$J92+7))</f>
        <v>39</v>
      </c>
      <c r="C92" s="14">
        <f>IF($J92="","",IFERROR(COUNTIFS('Weekly Log'!$G:$G,"Y",'Weekly Log'!$A:$A,"&gt;="&amp;$J92,'Weekly Log'!$A:$A,"&lt;"&amp;$J92+7)/COUNTIFS('Weekly Log'!$G:$G,"&lt;&gt;",'Weekly Log'!$A:$A,"&gt;="&amp;$J92,'Weekly Log'!$A:$A,"&lt;"&amp;$J92+7),0))</f>
        <v>0.87179487179487181</v>
      </c>
      <c r="D92" s="14">
        <f>IF($J92="","",IFERROR(COUNTIFS('Weekly Log'!$H:$H,"Y",'Weekly Log'!$A:$A,"&gt;="&amp;$J92,'Weekly Log'!$A:$A,"&lt;"&amp;$J92+7)/COUNTIFS('Weekly Log'!$H:$H,"&lt;&gt;",'Weekly Log'!$A:$A,"&gt;="&amp;$J92,'Weekly Log'!$A:$A,"&lt;"&amp;$J92+7),0))</f>
        <v>5.128205128205128E-2</v>
      </c>
      <c r="E92" s="15">
        <f>IF($J92="","",IFERROR(AVERAGEIFS('Weekly Log'!$F:$F,'Weekly Log'!$A:$A,"&gt;="&amp;$J92,'Weekly Log'!$A:$A,"&lt;"&amp;$J92+7),0))</f>
        <v>2.3000000000000003</v>
      </c>
      <c r="F92" s="14">
        <f>IF($J92="","",IFERROR(SUMIFS('Weekly Log'!$F:$F,'Weekly Log'!$A:$A,"&gt;="&amp;$J92,'Weekly Log'!$A:$A,"&lt;"&amp;$J92+7)/SUMIFS('Weekly Log'!$E:$E,'Weekly Log'!$A:$A,"&gt;="&amp;$J92,'Weekly Log'!$A:$A,"&lt;"&amp;$J92+7),0))</f>
        <v>0.77932232841007842</v>
      </c>
      <c r="G92" s="13">
        <f>IF($J92="","",IFERROR(LOOKUP(2,1/(('Weekly Log'!$A$5:$A$5000&gt;=$J92)*('Weekly Log'!$A$5:$A$5000&lt;$J92+7)*('Weekly Log'!$M$5:$M$5000&lt;&gt;"")),'Weekly Log'!$M$5:$M$5000),0))</f>
        <v>11</v>
      </c>
      <c r="H92" s="12"/>
      <c r="J92">
        <f>IF(COUNT('Weekly Log'!$A$5:$A$5000)=0,"",IF(MIN('Weekly Log'!$A$5:$A$5000)+7*(ROW()-10)&gt;MAX('Weekly Log'!$A$5:$A$5000),"",MIN('Weekly Log'!$A$5:$A$5000)+7*(ROW()-10)))</f>
        <v>46188</v>
      </c>
    </row>
    <row r="93" spans="1:10" x14ac:dyDescent="0.25">
      <c r="A93" s="12" t="str">
        <f t="shared" si="1"/>
        <v>2026-W26</v>
      </c>
      <c r="B93" s="13">
        <f>IF($J93="","",SUMIFS('Weekly Log'!$C:$C,'Weekly Log'!$A:$A,"&gt;="&amp;$J93,'Weekly Log'!$A:$A,"&lt;"&amp;$J93+7))</f>
        <v>44</v>
      </c>
      <c r="C93" s="14">
        <f>IF($J93="","",IFERROR(COUNTIFS('Weekly Log'!$G:$G,"Y",'Weekly Log'!$A:$A,"&gt;="&amp;$J93,'Weekly Log'!$A:$A,"&lt;"&amp;$J93+7)/COUNTIFS('Weekly Log'!$G:$G,"&lt;&gt;",'Weekly Log'!$A:$A,"&gt;="&amp;$J93,'Weekly Log'!$A:$A,"&lt;"&amp;$J93+7),0))</f>
        <v>0.88636363636363635</v>
      </c>
      <c r="D93" s="14">
        <f>IF($J93="","",IFERROR(COUNTIFS('Weekly Log'!$H:$H,"Y",'Weekly Log'!$A:$A,"&gt;="&amp;$J93,'Weekly Log'!$A:$A,"&lt;"&amp;$J93+7)/COUNTIFS('Weekly Log'!$H:$H,"&lt;&gt;",'Weekly Log'!$A:$A,"&gt;="&amp;$J93,'Weekly Log'!$A:$A,"&lt;"&amp;$J93+7),0))</f>
        <v>4.5454545454545456E-2</v>
      </c>
      <c r="E93" s="15">
        <f>IF($J93="","",IFERROR(AVERAGEIFS('Weekly Log'!$F:$F,'Weekly Log'!$A:$A,"&gt;="&amp;$J93,'Weekly Log'!$A:$A,"&lt;"&amp;$J93+7),0))</f>
        <v>2.5000000000000004</v>
      </c>
      <c r="F93" s="14">
        <f>IF($J93="","",IFERROR(SUMIFS('Weekly Log'!$F:$F,'Weekly Log'!$A:$A,"&gt;="&amp;$J93,'Weekly Log'!$A:$A,"&lt;"&amp;$J93+7)/SUMIFS('Weekly Log'!$E:$E,'Weekly Log'!$A:$A,"&gt;="&amp;$J93,'Weekly Log'!$A:$A,"&lt;"&amp;$J93+7),0))</f>
        <v>0.7692307692307695</v>
      </c>
      <c r="G93" s="13">
        <f>IF($J93="","",IFERROR(LOOKUP(2,1/(('Weekly Log'!$A$5:$A$5000&gt;=$J93)*('Weekly Log'!$A$5:$A$5000&lt;$J93+7)*('Weekly Log'!$M$5:$M$5000&lt;&gt;"")),'Weekly Log'!$M$5:$M$5000),0))</f>
        <v>6</v>
      </c>
      <c r="H93" s="12"/>
      <c r="J93">
        <f>IF(COUNT('Weekly Log'!$A$5:$A$5000)=0,"",IF(MIN('Weekly Log'!$A$5:$A$5000)+7*(ROW()-10)&gt;MAX('Weekly Log'!$A$5:$A$5000),"",MIN('Weekly Log'!$A$5:$A$5000)+7*(ROW()-10)))</f>
        <v>46195</v>
      </c>
    </row>
    <row r="94" spans="1:10" x14ac:dyDescent="0.25">
      <c r="A94" s="12" t="str">
        <f t="shared" si="1"/>
        <v>2026-W27</v>
      </c>
      <c r="B94" s="13">
        <f>IF($J94="","",SUMIFS('Weekly Log'!$C:$C,'Weekly Log'!$A:$A,"&gt;="&amp;$J94,'Weekly Log'!$A:$A,"&lt;"&amp;$J94+7))</f>
        <v>43</v>
      </c>
      <c r="C94" s="14">
        <f>IF($J94="","",IFERROR(COUNTIFS('Weekly Log'!$G:$G,"Y",'Weekly Log'!$A:$A,"&gt;="&amp;$J94,'Weekly Log'!$A:$A,"&lt;"&amp;$J94+7)/COUNTIFS('Weekly Log'!$G:$G,"&lt;&gt;",'Weekly Log'!$A:$A,"&gt;="&amp;$J94,'Weekly Log'!$A:$A,"&lt;"&amp;$J94+7),0))</f>
        <v>0.88372093023255816</v>
      </c>
      <c r="D94" s="14">
        <f>IF($J94="","",IFERROR(COUNTIFS('Weekly Log'!$H:$H,"Y",'Weekly Log'!$A:$A,"&gt;="&amp;$J94,'Weekly Log'!$A:$A,"&lt;"&amp;$J94+7)/COUNTIFS('Weekly Log'!$H:$H,"&lt;&gt;",'Weekly Log'!$A:$A,"&gt;="&amp;$J94,'Weekly Log'!$A:$A,"&lt;"&amp;$J94+7),0))</f>
        <v>4.6511627906976744E-2</v>
      </c>
      <c r="E94" s="15">
        <f>IF($J94="","",IFERROR(AVERAGEIFS('Weekly Log'!$F:$F,'Weekly Log'!$A:$A,"&gt;="&amp;$J94,'Weekly Log'!$A:$A,"&lt;"&amp;$J94+7),0))</f>
        <v>2.4</v>
      </c>
      <c r="F94" s="14">
        <f>IF($J94="","",IFERROR(SUMIFS('Weekly Log'!$F:$F,'Weekly Log'!$A:$A,"&gt;="&amp;$J94,'Weekly Log'!$A:$A,"&lt;"&amp;$J94+7)/SUMIFS('Weekly Log'!$E:$E,'Weekly Log'!$A:$A,"&gt;="&amp;$J94,'Weekly Log'!$A:$A,"&lt;"&amp;$J94+7),0))</f>
        <v>0.75715333822450492</v>
      </c>
      <c r="G94" s="13">
        <f>IF($J94="","",IFERROR(LOOKUP(2,1/(('Weekly Log'!$A$5:$A$5000&gt;=$J94)*('Weekly Log'!$A$5:$A$5000&lt;$J94+7)*('Weekly Log'!$M$5:$M$5000&lt;&gt;"")),'Weekly Log'!$M$5:$M$5000),0))</f>
        <v>14</v>
      </c>
      <c r="H94" s="12"/>
      <c r="J94">
        <f>IF(COUNT('Weekly Log'!$A$5:$A$5000)=0,"",IF(MIN('Weekly Log'!$A$5:$A$5000)+7*(ROW()-10)&gt;MAX('Weekly Log'!$A$5:$A$5000),"",MIN('Weekly Log'!$A$5:$A$5000)+7*(ROW()-10)))</f>
        <v>46202</v>
      </c>
    </row>
    <row r="95" spans="1:10" x14ac:dyDescent="0.25">
      <c r="A95" t="str">
        <f t="shared" si="1"/>
        <v/>
      </c>
      <c r="B95" t="str">
        <f>IF($J95="","",SUMIFS('Weekly Log'!$C:$C,'Weekly Log'!$A:$A,"&gt;="&amp;$J95,'Weekly Log'!$A:$A,"&lt;"&amp;$J95+7))</f>
        <v/>
      </c>
      <c r="C95" t="str">
        <f>IF($J95="","",IFERROR(COUNTIFS('Weekly Log'!$G:$G,"Y",'Weekly Log'!$A:$A,"&gt;="&amp;$J95,'Weekly Log'!$A:$A,"&lt;"&amp;$J95+7)/COUNTIFS('Weekly Log'!$G:$G,"&lt;&gt;",'Weekly Log'!$A:$A,"&gt;="&amp;$J95,'Weekly Log'!$A:$A,"&lt;"&amp;$J95+7),0))</f>
        <v/>
      </c>
      <c r="D95" t="str">
        <f>IF($J95="","",IFERROR(COUNTIFS('Weekly Log'!$H:$H,"Y",'Weekly Log'!$A:$A,"&gt;="&amp;$J95,'Weekly Log'!$A:$A,"&lt;"&amp;$J95+7)/COUNTIFS('Weekly Log'!$H:$H,"&lt;&gt;",'Weekly Log'!$A:$A,"&gt;="&amp;$J95,'Weekly Log'!$A:$A,"&lt;"&amp;$J95+7),0))</f>
        <v/>
      </c>
      <c r="E95" t="str">
        <f>IF($J95="","",IFERROR(AVERAGEIFS('Weekly Log'!$F:$F,'Weekly Log'!$A:$A,"&gt;="&amp;$J95,'Weekly Log'!$A:$A,"&lt;"&amp;$J95+7),0))</f>
        <v/>
      </c>
      <c r="F95" t="str">
        <f>IF($J95="","",IFERROR(SUMIFS('Weekly Log'!$F:$F,'Weekly Log'!$A:$A,"&gt;="&amp;$J95,'Weekly Log'!$A:$A,"&lt;"&amp;$J95+7)/SUMIFS('Weekly Log'!$E:$E,'Weekly Log'!$A:$A,"&gt;="&amp;$J95,'Weekly Log'!$A:$A,"&lt;"&amp;$J95+7),0))</f>
        <v/>
      </c>
      <c r="G95" t="str">
        <f>IF($J95="","",IFERROR(LOOKUP(2,1/(('Weekly Log'!$A$5:$A$5000&gt;=$J95)*('Weekly Log'!$A$5:$A$5000&lt;$J95+7)*('Weekly Log'!$M$5:$M$5000&lt;&gt;"")),'Weekly Log'!$M$5:$M$5000),0))</f>
        <v/>
      </c>
      <c r="J95" t="str">
        <f>IF(COUNT('Weekly Log'!$A$5:$A$5000)=0,"",IF(MIN('Weekly Log'!$A$5:$A$5000)+7*(ROW()-10)&gt;MAX('Weekly Log'!$A$5:$A$5000),"",MIN('Weekly Log'!$A$5:$A$5000)+7*(ROW()-10)))</f>
        <v/>
      </c>
    </row>
    <row r="96" spans="1:10" x14ac:dyDescent="0.25">
      <c r="A96" t="str">
        <f t="shared" si="1"/>
        <v/>
      </c>
      <c r="B96" t="str">
        <f>IF($J96="","",SUMIFS('Weekly Log'!$C:$C,'Weekly Log'!$A:$A,"&gt;="&amp;$J96,'Weekly Log'!$A:$A,"&lt;"&amp;$J96+7))</f>
        <v/>
      </c>
      <c r="C96" t="str">
        <f>IF($J96="","",IFERROR(COUNTIFS('Weekly Log'!$G:$G,"Y",'Weekly Log'!$A:$A,"&gt;="&amp;$J96,'Weekly Log'!$A:$A,"&lt;"&amp;$J96+7)/COUNTIFS('Weekly Log'!$G:$G,"&lt;&gt;",'Weekly Log'!$A:$A,"&gt;="&amp;$J96,'Weekly Log'!$A:$A,"&lt;"&amp;$J96+7),0))</f>
        <v/>
      </c>
      <c r="D96" t="str">
        <f>IF($J96="","",IFERROR(COUNTIFS('Weekly Log'!$H:$H,"Y",'Weekly Log'!$A:$A,"&gt;="&amp;$J96,'Weekly Log'!$A:$A,"&lt;"&amp;$J96+7)/COUNTIFS('Weekly Log'!$H:$H,"&lt;&gt;",'Weekly Log'!$A:$A,"&gt;="&amp;$J96,'Weekly Log'!$A:$A,"&lt;"&amp;$J96+7),0))</f>
        <v/>
      </c>
      <c r="E96" t="str">
        <f>IF($J96="","",IFERROR(AVERAGEIFS('Weekly Log'!$F:$F,'Weekly Log'!$A:$A,"&gt;="&amp;$J96,'Weekly Log'!$A:$A,"&lt;"&amp;$J96+7),0))</f>
        <v/>
      </c>
      <c r="F96" t="str">
        <f>IF($J96="","",IFERROR(SUMIFS('Weekly Log'!$F:$F,'Weekly Log'!$A:$A,"&gt;="&amp;$J96,'Weekly Log'!$A:$A,"&lt;"&amp;$J96+7)/SUMIFS('Weekly Log'!$E:$E,'Weekly Log'!$A:$A,"&gt;="&amp;$J96,'Weekly Log'!$A:$A,"&lt;"&amp;$J96+7),0))</f>
        <v/>
      </c>
      <c r="G96" t="str">
        <f>IF($J96="","",IFERROR(LOOKUP(2,1/(('Weekly Log'!$A$5:$A$5000&gt;=$J96)*('Weekly Log'!$A$5:$A$5000&lt;$J96+7)*('Weekly Log'!$M$5:$M$5000&lt;&gt;"")),'Weekly Log'!$M$5:$M$5000),0))</f>
        <v/>
      </c>
      <c r="J96" t="str">
        <f>IF(COUNT('Weekly Log'!$A$5:$A$5000)=0,"",IF(MIN('Weekly Log'!$A$5:$A$5000)+7*(ROW()-10)&gt;MAX('Weekly Log'!$A$5:$A$5000),"",MIN('Weekly Log'!$A$5:$A$5000)+7*(ROW()-10)))</f>
        <v/>
      </c>
    </row>
    <row r="97" spans="1:10" x14ac:dyDescent="0.25">
      <c r="A97" t="str">
        <f t="shared" si="1"/>
        <v/>
      </c>
      <c r="B97" t="str">
        <f>IF($J97="","",SUMIFS('Weekly Log'!$C:$C,'Weekly Log'!$A:$A,"&gt;="&amp;$J97,'Weekly Log'!$A:$A,"&lt;"&amp;$J97+7))</f>
        <v/>
      </c>
      <c r="C97" t="str">
        <f>IF($J97="","",IFERROR(COUNTIFS('Weekly Log'!$G:$G,"Y",'Weekly Log'!$A:$A,"&gt;="&amp;$J97,'Weekly Log'!$A:$A,"&lt;"&amp;$J97+7)/COUNTIFS('Weekly Log'!$G:$G,"&lt;&gt;",'Weekly Log'!$A:$A,"&gt;="&amp;$J97,'Weekly Log'!$A:$A,"&lt;"&amp;$J97+7),0))</f>
        <v/>
      </c>
      <c r="D97" t="str">
        <f>IF($J97="","",IFERROR(COUNTIFS('Weekly Log'!$H:$H,"Y",'Weekly Log'!$A:$A,"&gt;="&amp;$J97,'Weekly Log'!$A:$A,"&lt;"&amp;$J97+7)/COUNTIFS('Weekly Log'!$H:$H,"&lt;&gt;",'Weekly Log'!$A:$A,"&gt;="&amp;$J97,'Weekly Log'!$A:$A,"&lt;"&amp;$J97+7),0))</f>
        <v/>
      </c>
      <c r="E97" t="str">
        <f>IF($J97="","",IFERROR(AVERAGEIFS('Weekly Log'!$F:$F,'Weekly Log'!$A:$A,"&gt;="&amp;$J97,'Weekly Log'!$A:$A,"&lt;"&amp;$J97+7),0))</f>
        <v/>
      </c>
      <c r="F97" t="str">
        <f>IF($J97="","",IFERROR(SUMIFS('Weekly Log'!$F:$F,'Weekly Log'!$A:$A,"&gt;="&amp;$J97,'Weekly Log'!$A:$A,"&lt;"&amp;$J97+7)/SUMIFS('Weekly Log'!$E:$E,'Weekly Log'!$A:$A,"&gt;="&amp;$J97,'Weekly Log'!$A:$A,"&lt;"&amp;$J97+7),0))</f>
        <v/>
      </c>
      <c r="G97" t="str">
        <f>IF($J97="","",IFERROR(LOOKUP(2,1/(('Weekly Log'!$A$5:$A$5000&gt;=$J97)*('Weekly Log'!$A$5:$A$5000&lt;$J97+7)*('Weekly Log'!$M$5:$M$5000&lt;&gt;"")),'Weekly Log'!$M$5:$M$5000),0))</f>
        <v/>
      </c>
      <c r="J97" t="str">
        <f>IF(COUNT('Weekly Log'!$A$5:$A$5000)=0,"",IF(MIN('Weekly Log'!$A$5:$A$5000)+7*(ROW()-10)&gt;MAX('Weekly Log'!$A$5:$A$5000),"",MIN('Weekly Log'!$A$5:$A$5000)+7*(ROW()-10)))</f>
        <v/>
      </c>
    </row>
    <row r="98" spans="1:10" x14ac:dyDescent="0.25">
      <c r="A98" t="str">
        <f t="shared" si="1"/>
        <v/>
      </c>
      <c r="B98" t="str">
        <f>IF($J98="","",SUMIFS('Weekly Log'!$C:$C,'Weekly Log'!$A:$A,"&gt;="&amp;$J98,'Weekly Log'!$A:$A,"&lt;"&amp;$J98+7))</f>
        <v/>
      </c>
      <c r="C98" t="str">
        <f>IF($J98="","",IFERROR(COUNTIFS('Weekly Log'!$G:$G,"Y",'Weekly Log'!$A:$A,"&gt;="&amp;$J98,'Weekly Log'!$A:$A,"&lt;"&amp;$J98+7)/COUNTIFS('Weekly Log'!$G:$G,"&lt;&gt;",'Weekly Log'!$A:$A,"&gt;="&amp;$J98,'Weekly Log'!$A:$A,"&lt;"&amp;$J98+7),0))</f>
        <v/>
      </c>
      <c r="D98" t="str">
        <f>IF($J98="","",IFERROR(COUNTIFS('Weekly Log'!$H:$H,"Y",'Weekly Log'!$A:$A,"&gt;="&amp;$J98,'Weekly Log'!$A:$A,"&lt;"&amp;$J98+7)/COUNTIFS('Weekly Log'!$H:$H,"&lt;&gt;",'Weekly Log'!$A:$A,"&gt;="&amp;$J98,'Weekly Log'!$A:$A,"&lt;"&amp;$J98+7),0))</f>
        <v/>
      </c>
      <c r="E98" t="str">
        <f>IF($J98="","",IFERROR(AVERAGEIFS('Weekly Log'!$F:$F,'Weekly Log'!$A:$A,"&gt;="&amp;$J98,'Weekly Log'!$A:$A,"&lt;"&amp;$J98+7),0))</f>
        <v/>
      </c>
      <c r="F98" t="str">
        <f>IF($J98="","",IFERROR(SUMIFS('Weekly Log'!$F:$F,'Weekly Log'!$A:$A,"&gt;="&amp;$J98,'Weekly Log'!$A:$A,"&lt;"&amp;$J98+7)/SUMIFS('Weekly Log'!$E:$E,'Weekly Log'!$A:$A,"&gt;="&amp;$J98,'Weekly Log'!$A:$A,"&lt;"&amp;$J98+7),0))</f>
        <v/>
      </c>
      <c r="G98" t="str">
        <f>IF($J98="","",IFERROR(LOOKUP(2,1/(('Weekly Log'!$A$5:$A$5000&gt;=$J98)*('Weekly Log'!$A$5:$A$5000&lt;$J98+7)*('Weekly Log'!$M$5:$M$5000&lt;&gt;"")),'Weekly Log'!$M$5:$M$5000),0))</f>
        <v/>
      </c>
      <c r="J98" t="str">
        <f>IF(COUNT('Weekly Log'!$A$5:$A$5000)=0,"",IF(MIN('Weekly Log'!$A$5:$A$5000)+7*(ROW()-10)&gt;MAX('Weekly Log'!$A$5:$A$5000),"",MIN('Weekly Log'!$A$5:$A$5000)+7*(ROW()-10)))</f>
        <v/>
      </c>
    </row>
    <row r="99" spans="1:10" x14ac:dyDescent="0.25">
      <c r="A99" t="str">
        <f t="shared" si="1"/>
        <v/>
      </c>
      <c r="B99" t="str">
        <f>IF($J99="","",SUMIFS('Weekly Log'!$C:$C,'Weekly Log'!$A:$A,"&gt;="&amp;$J99,'Weekly Log'!$A:$A,"&lt;"&amp;$J99+7))</f>
        <v/>
      </c>
      <c r="C99" t="str">
        <f>IF($J99="","",IFERROR(COUNTIFS('Weekly Log'!$G:$G,"Y",'Weekly Log'!$A:$A,"&gt;="&amp;$J99,'Weekly Log'!$A:$A,"&lt;"&amp;$J99+7)/COUNTIFS('Weekly Log'!$G:$G,"&lt;&gt;",'Weekly Log'!$A:$A,"&gt;="&amp;$J99,'Weekly Log'!$A:$A,"&lt;"&amp;$J99+7),0))</f>
        <v/>
      </c>
      <c r="D99" t="str">
        <f>IF($J99="","",IFERROR(COUNTIFS('Weekly Log'!$H:$H,"Y",'Weekly Log'!$A:$A,"&gt;="&amp;$J99,'Weekly Log'!$A:$A,"&lt;"&amp;$J99+7)/COUNTIFS('Weekly Log'!$H:$H,"&lt;&gt;",'Weekly Log'!$A:$A,"&gt;="&amp;$J99,'Weekly Log'!$A:$A,"&lt;"&amp;$J99+7),0))</f>
        <v/>
      </c>
      <c r="E99" t="str">
        <f>IF($J99="","",IFERROR(AVERAGEIFS('Weekly Log'!$F:$F,'Weekly Log'!$A:$A,"&gt;="&amp;$J99,'Weekly Log'!$A:$A,"&lt;"&amp;$J99+7),0))</f>
        <v/>
      </c>
      <c r="F99" t="str">
        <f>IF($J99="","",IFERROR(SUMIFS('Weekly Log'!$F:$F,'Weekly Log'!$A:$A,"&gt;="&amp;$J99,'Weekly Log'!$A:$A,"&lt;"&amp;$J99+7)/SUMIFS('Weekly Log'!$E:$E,'Weekly Log'!$A:$A,"&gt;="&amp;$J99,'Weekly Log'!$A:$A,"&lt;"&amp;$J99+7),0))</f>
        <v/>
      </c>
      <c r="G99" t="str">
        <f>IF($J99="","",IFERROR(LOOKUP(2,1/(('Weekly Log'!$A$5:$A$5000&gt;=$J99)*('Weekly Log'!$A$5:$A$5000&lt;$J99+7)*('Weekly Log'!$M$5:$M$5000&lt;&gt;"")),'Weekly Log'!$M$5:$M$5000),0))</f>
        <v/>
      </c>
      <c r="J99" t="str">
        <f>IF(COUNT('Weekly Log'!$A$5:$A$5000)=0,"",IF(MIN('Weekly Log'!$A$5:$A$5000)+7*(ROW()-10)&gt;MAX('Weekly Log'!$A$5:$A$5000),"",MIN('Weekly Log'!$A$5:$A$5000)+7*(ROW()-10)))</f>
        <v/>
      </c>
    </row>
    <row r="100" spans="1:10" x14ac:dyDescent="0.25">
      <c r="A100" t="str">
        <f t="shared" si="1"/>
        <v/>
      </c>
      <c r="B100" t="str">
        <f>IF($J100="","",SUMIFS('Weekly Log'!$C:$C,'Weekly Log'!$A:$A,"&gt;="&amp;$J100,'Weekly Log'!$A:$A,"&lt;"&amp;$J100+7))</f>
        <v/>
      </c>
      <c r="C100" t="str">
        <f>IF($J100="","",IFERROR(COUNTIFS('Weekly Log'!$G:$G,"Y",'Weekly Log'!$A:$A,"&gt;="&amp;$J100,'Weekly Log'!$A:$A,"&lt;"&amp;$J100+7)/COUNTIFS('Weekly Log'!$G:$G,"&lt;&gt;",'Weekly Log'!$A:$A,"&gt;="&amp;$J100,'Weekly Log'!$A:$A,"&lt;"&amp;$J100+7),0))</f>
        <v/>
      </c>
      <c r="D100" t="str">
        <f>IF($J100="","",IFERROR(COUNTIFS('Weekly Log'!$H:$H,"Y",'Weekly Log'!$A:$A,"&gt;="&amp;$J100,'Weekly Log'!$A:$A,"&lt;"&amp;$J100+7)/COUNTIFS('Weekly Log'!$H:$H,"&lt;&gt;",'Weekly Log'!$A:$A,"&gt;="&amp;$J100,'Weekly Log'!$A:$A,"&lt;"&amp;$J100+7),0))</f>
        <v/>
      </c>
      <c r="E100" t="str">
        <f>IF($J100="","",IFERROR(AVERAGEIFS('Weekly Log'!$F:$F,'Weekly Log'!$A:$A,"&gt;="&amp;$J100,'Weekly Log'!$A:$A,"&lt;"&amp;$J100+7),0))</f>
        <v/>
      </c>
      <c r="F100" t="str">
        <f>IF($J100="","",IFERROR(SUMIFS('Weekly Log'!$F:$F,'Weekly Log'!$A:$A,"&gt;="&amp;$J100,'Weekly Log'!$A:$A,"&lt;"&amp;$J100+7)/SUMIFS('Weekly Log'!$E:$E,'Weekly Log'!$A:$A,"&gt;="&amp;$J100,'Weekly Log'!$A:$A,"&lt;"&amp;$J100+7),0))</f>
        <v/>
      </c>
      <c r="G100" t="str">
        <f>IF($J100="","",IFERROR(LOOKUP(2,1/(('Weekly Log'!$A$5:$A$5000&gt;=$J100)*('Weekly Log'!$A$5:$A$5000&lt;$J100+7)*('Weekly Log'!$M$5:$M$5000&lt;&gt;"")),'Weekly Log'!$M$5:$M$5000),0))</f>
        <v/>
      </c>
      <c r="J100" t="str">
        <f>IF(COUNT('Weekly Log'!$A$5:$A$5000)=0,"",IF(MIN('Weekly Log'!$A$5:$A$5000)+7*(ROW()-10)&gt;MAX('Weekly Log'!$A$5:$A$5000),"",MIN('Weekly Log'!$A$5:$A$5000)+7*(ROW()-10)))</f>
        <v/>
      </c>
    </row>
    <row r="101" spans="1:10" x14ac:dyDescent="0.25">
      <c r="A101" t="str">
        <f t="shared" si="1"/>
        <v/>
      </c>
      <c r="B101" t="str">
        <f>IF($J101="","",SUMIFS('Weekly Log'!$C:$C,'Weekly Log'!$A:$A,"&gt;="&amp;$J101,'Weekly Log'!$A:$A,"&lt;"&amp;$J101+7))</f>
        <v/>
      </c>
      <c r="C101" t="str">
        <f>IF($J101="","",IFERROR(COUNTIFS('Weekly Log'!$G:$G,"Y",'Weekly Log'!$A:$A,"&gt;="&amp;$J101,'Weekly Log'!$A:$A,"&lt;"&amp;$J101+7)/COUNTIFS('Weekly Log'!$G:$G,"&lt;&gt;",'Weekly Log'!$A:$A,"&gt;="&amp;$J101,'Weekly Log'!$A:$A,"&lt;"&amp;$J101+7),0))</f>
        <v/>
      </c>
      <c r="D101" t="str">
        <f>IF($J101="","",IFERROR(COUNTIFS('Weekly Log'!$H:$H,"Y",'Weekly Log'!$A:$A,"&gt;="&amp;$J101,'Weekly Log'!$A:$A,"&lt;"&amp;$J101+7)/COUNTIFS('Weekly Log'!$H:$H,"&lt;&gt;",'Weekly Log'!$A:$A,"&gt;="&amp;$J101,'Weekly Log'!$A:$A,"&lt;"&amp;$J101+7),0))</f>
        <v/>
      </c>
      <c r="E101" t="str">
        <f>IF($J101="","",IFERROR(AVERAGEIFS('Weekly Log'!$F:$F,'Weekly Log'!$A:$A,"&gt;="&amp;$J101,'Weekly Log'!$A:$A,"&lt;"&amp;$J101+7),0))</f>
        <v/>
      </c>
      <c r="F101" t="str">
        <f>IF($J101="","",IFERROR(SUMIFS('Weekly Log'!$F:$F,'Weekly Log'!$A:$A,"&gt;="&amp;$J101,'Weekly Log'!$A:$A,"&lt;"&amp;$J101+7)/SUMIFS('Weekly Log'!$E:$E,'Weekly Log'!$A:$A,"&gt;="&amp;$J101,'Weekly Log'!$A:$A,"&lt;"&amp;$J101+7),0))</f>
        <v/>
      </c>
      <c r="G101" t="str">
        <f>IF($J101="","",IFERROR(LOOKUP(2,1/(('Weekly Log'!$A$5:$A$5000&gt;=$J101)*('Weekly Log'!$A$5:$A$5000&lt;$J101+7)*('Weekly Log'!$M$5:$M$5000&lt;&gt;"")),'Weekly Log'!$M$5:$M$5000),0))</f>
        <v/>
      </c>
      <c r="J101" t="str">
        <f>IF(COUNT('Weekly Log'!$A$5:$A$5000)=0,"",IF(MIN('Weekly Log'!$A$5:$A$5000)+7*(ROW()-10)&gt;MAX('Weekly Log'!$A$5:$A$5000),"",MIN('Weekly Log'!$A$5:$A$5000)+7*(ROW()-10)))</f>
        <v/>
      </c>
    </row>
    <row r="102" spans="1:10" x14ac:dyDescent="0.25">
      <c r="A102" t="str">
        <f t="shared" si="1"/>
        <v/>
      </c>
      <c r="B102" t="str">
        <f>IF($J102="","",SUMIFS('Weekly Log'!$C:$C,'Weekly Log'!$A:$A,"&gt;="&amp;$J102,'Weekly Log'!$A:$A,"&lt;"&amp;$J102+7))</f>
        <v/>
      </c>
      <c r="C102" t="str">
        <f>IF($J102="","",IFERROR(COUNTIFS('Weekly Log'!$G:$G,"Y",'Weekly Log'!$A:$A,"&gt;="&amp;$J102,'Weekly Log'!$A:$A,"&lt;"&amp;$J102+7)/COUNTIFS('Weekly Log'!$G:$G,"&lt;&gt;",'Weekly Log'!$A:$A,"&gt;="&amp;$J102,'Weekly Log'!$A:$A,"&lt;"&amp;$J102+7),0))</f>
        <v/>
      </c>
      <c r="D102" t="str">
        <f>IF($J102="","",IFERROR(COUNTIFS('Weekly Log'!$H:$H,"Y",'Weekly Log'!$A:$A,"&gt;="&amp;$J102,'Weekly Log'!$A:$A,"&lt;"&amp;$J102+7)/COUNTIFS('Weekly Log'!$H:$H,"&lt;&gt;",'Weekly Log'!$A:$A,"&gt;="&amp;$J102,'Weekly Log'!$A:$A,"&lt;"&amp;$J102+7),0))</f>
        <v/>
      </c>
      <c r="E102" t="str">
        <f>IF($J102="","",IFERROR(AVERAGEIFS('Weekly Log'!$F:$F,'Weekly Log'!$A:$A,"&gt;="&amp;$J102,'Weekly Log'!$A:$A,"&lt;"&amp;$J102+7),0))</f>
        <v/>
      </c>
      <c r="F102" t="str">
        <f>IF($J102="","",IFERROR(SUMIFS('Weekly Log'!$F:$F,'Weekly Log'!$A:$A,"&gt;="&amp;$J102,'Weekly Log'!$A:$A,"&lt;"&amp;$J102+7)/SUMIFS('Weekly Log'!$E:$E,'Weekly Log'!$A:$A,"&gt;="&amp;$J102,'Weekly Log'!$A:$A,"&lt;"&amp;$J102+7),0))</f>
        <v/>
      </c>
      <c r="G102" t="str">
        <f>IF($J102="","",IFERROR(LOOKUP(2,1/(('Weekly Log'!$A$5:$A$5000&gt;=$J102)*('Weekly Log'!$A$5:$A$5000&lt;$J102+7)*('Weekly Log'!$M$5:$M$5000&lt;&gt;"")),'Weekly Log'!$M$5:$M$5000),0))</f>
        <v/>
      </c>
      <c r="J102" t="str">
        <f>IF(COUNT('Weekly Log'!$A$5:$A$5000)=0,"",IF(MIN('Weekly Log'!$A$5:$A$5000)+7*(ROW()-10)&gt;MAX('Weekly Log'!$A$5:$A$5000),"",MIN('Weekly Log'!$A$5:$A$5000)+7*(ROW()-10)))</f>
        <v/>
      </c>
    </row>
    <row r="103" spans="1:10" x14ac:dyDescent="0.25">
      <c r="A103" t="str">
        <f t="shared" si="1"/>
        <v/>
      </c>
      <c r="B103" t="str">
        <f>IF($J103="","",SUMIFS('Weekly Log'!$C:$C,'Weekly Log'!$A:$A,"&gt;="&amp;$J103,'Weekly Log'!$A:$A,"&lt;"&amp;$J103+7))</f>
        <v/>
      </c>
      <c r="C103" t="str">
        <f>IF($J103="","",IFERROR(COUNTIFS('Weekly Log'!$G:$G,"Y",'Weekly Log'!$A:$A,"&gt;="&amp;$J103,'Weekly Log'!$A:$A,"&lt;"&amp;$J103+7)/COUNTIFS('Weekly Log'!$G:$G,"&lt;&gt;",'Weekly Log'!$A:$A,"&gt;="&amp;$J103,'Weekly Log'!$A:$A,"&lt;"&amp;$J103+7),0))</f>
        <v/>
      </c>
      <c r="D103" t="str">
        <f>IF($J103="","",IFERROR(COUNTIFS('Weekly Log'!$H:$H,"Y",'Weekly Log'!$A:$A,"&gt;="&amp;$J103,'Weekly Log'!$A:$A,"&lt;"&amp;$J103+7)/COUNTIFS('Weekly Log'!$H:$H,"&lt;&gt;",'Weekly Log'!$A:$A,"&gt;="&amp;$J103,'Weekly Log'!$A:$A,"&lt;"&amp;$J103+7),0))</f>
        <v/>
      </c>
      <c r="E103" t="str">
        <f>IF($J103="","",IFERROR(AVERAGEIFS('Weekly Log'!$F:$F,'Weekly Log'!$A:$A,"&gt;="&amp;$J103,'Weekly Log'!$A:$A,"&lt;"&amp;$J103+7),0))</f>
        <v/>
      </c>
      <c r="F103" t="str">
        <f>IF($J103="","",IFERROR(SUMIFS('Weekly Log'!$F:$F,'Weekly Log'!$A:$A,"&gt;="&amp;$J103,'Weekly Log'!$A:$A,"&lt;"&amp;$J103+7)/SUMIFS('Weekly Log'!$E:$E,'Weekly Log'!$A:$A,"&gt;="&amp;$J103,'Weekly Log'!$A:$A,"&lt;"&amp;$J103+7),0))</f>
        <v/>
      </c>
      <c r="G103" t="str">
        <f>IF($J103="","",IFERROR(LOOKUP(2,1/(('Weekly Log'!$A$5:$A$5000&gt;=$J103)*('Weekly Log'!$A$5:$A$5000&lt;$J103+7)*('Weekly Log'!$M$5:$M$5000&lt;&gt;"")),'Weekly Log'!$M$5:$M$5000),0))</f>
        <v/>
      </c>
      <c r="J103" t="str">
        <f>IF(COUNT('Weekly Log'!$A$5:$A$5000)=0,"",IF(MIN('Weekly Log'!$A$5:$A$5000)+7*(ROW()-10)&gt;MAX('Weekly Log'!$A$5:$A$5000),"",MIN('Weekly Log'!$A$5:$A$5000)+7*(ROW()-10)))</f>
        <v/>
      </c>
    </row>
    <row r="104" spans="1:10" x14ac:dyDescent="0.25">
      <c r="A104" t="str">
        <f t="shared" si="1"/>
        <v/>
      </c>
      <c r="B104" t="str">
        <f>IF($J104="","",SUMIFS('Weekly Log'!$C:$C,'Weekly Log'!$A:$A,"&gt;="&amp;$J104,'Weekly Log'!$A:$A,"&lt;"&amp;$J104+7))</f>
        <v/>
      </c>
      <c r="C104" t="str">
        <f>IF($J104="","",IFERROR(COUNTIFS('Weekly Log'!$G:$G,"Y",'Weekly Log'!$A:$A,"&gt;="&amp;$J104,'Weekly Log'!$A:$A,"&lt;"&amp;$J104+7)/COUNTIFS('Weekly Log'!$G:$G,"&lt;&gt;",'Weekly Log'!$A:$A,"&gt;="&amp;$J104,'Weekly Log'!$A:$A,"&lt;"&amp;$J104+7),0))</f>
        <v/>
      </c>
      <c r="D104" t="str">
        <f>IF($J104="","",IFERROR(COUNTIFS('Weekly Log'!$H:$H,"Y",'Weekly Log'!$A:$A,"&gt;="&amp;$J104,'Weekly Log'!$A:$A,"&lt;"&amp;$J104+7)/COUNTIFS('Weekly Log'!$H:$H,"&lt;&gt;",'Weekly Log'!$A:$A,"&gt;="&amp;$J104,'Weekly Log'!$A:$A,"&lt;"&amp;$J104+7),0))</f>
        <v/>
      </c>
      <c r="E104" t="str">
        <f>IF($J104="","",IFERROR(AVERAGEIFS('Weekly Log'!$F:$F,'Weekly Log'!$A:$A,"&gt;="&amp;$J104,'Weekly Log'!$A:$A,"&lt;"&amp;$J104+7),0))</f>
        <v/>
      </c>
      <c r="F104" t="str">
        <f>IF($J104="","",IFERROR(SUMIFS('Weekly Log'!$F:$F,'Weekly Log'!$A:$A,"&gt;="&amp;$J104,'Weekly Log'!$A:$A,"&lt;"&amp;$J104+7)/SUMIFS('Weekly Log'!$E:$E,'Weekly Log'!$A:$A,"&gt;="&amp;$J104,'Weekly Log'!$A:$A,"&lt;"&amp;$J104+7),0))</f>
        <v/>
      </c>
      <c r="G104" t="str">
        <f>IF($J104="","",IFERROR(LOOKUP(2,1/(('Weekly Log'!$A$5:$A$5000&gt;=$J104)*('Weekly Log'!$A$5:$A$5000&lt;$J104+7)*('Weekly Log'!$M$5:$M$5000&lt;&gt;"")),'Weekly Log'!$M$5:$M$5000),0))</f>
        <v/>
      </c>
      <c r="J104" t="str">
        <f>IF(COUNT('Weekly Log'!$A$5:$A$5000)=0,"",IF(MIN('Weekly Log'!$A$5:$A$5000)+7*(ROW()-10)&gt;MAX('Weekly Log'!$A$5:$A$5000),"",MIN('Weekly Log'!$A$5:$A$5000)+7*(ROW()-10)))</f>
        <v/>
      </c>
    </row>
    <row r="105" spans="1:10" x14ac:dyDescent="0.25">
      <c r="A105" t="str">
        <f t="shared" si="1"/>
        <v/>
      </c>
      <c r="B105" t="str">
        <f>IF($J105="","",SUMIFS('Weekly Log'!$C:$C,'Weekly Log'!$A:$A,"&gt;="&amp;$J105,'Weekly Log'!$A:$A,"&lt;"&amp;$J105+7))</f>
        <v/>
      </c>
      <c r="C105" t="str">
        <f>IF($J105="","",IFERROR(COUNTIFS('Weekly Log'!$G:$G,"Y",'Weekly Log'!$A:$A,"&gt;="&amp;$J105,'Weekly Log'!$A:$A,"&lt;"&amp;$J105+7)/COUNTIFS('Weekly Log'!$G:$G,"&lt;&gt;",'Weekly Log'!$A:$A,"&gt;="&amp;$J105,'Weekly Log'!$A:$A,"&lt;"&amp;$J105+7),0))</f>
        <v/>
      </c>
      <c r="D105" t="str">
        <f>IF($J105="","",IFERROR(COUNTIFS('Weekly Log'!$H:$H,"Y",'Weekly Log'!$A:$A,"&gt;="&amp;$J105,'Weekly Log'!$A:$A,"&lt;"&amp;$J105+7)/COUNTIFS('Weekly Log'!$H:$H,"&lt;&gt;",'Weekly Log'!$A:$A,"&gt;="&amp;$J105,'Weekly Log'!$A:$A,"&lt;"&amp;$J105+7),0))</f>
        <v/>
      </c>
      <c r="E105" t="str">
        <f>IF($J105="","",IFERROR(AVERAGEIFS('Weekly Log'!$F:$F,'Weekly Log'!$A:$A,"&gt;="&amp;$J105,'Weekly Log'!$A:$A,"&lt;"&amp;$J105+7),0))</f>
        <v/>
      </c>
      <c r="F105" t="str">
        <f>IF($J105="","",IFERROR(SUMIFS('Weekly Log'!$F:$F,'Weekly Log'!$A:$A,"&gt;="&amp;$J105,'Weekly Log'!$A:$A,"&lt;"&amp;$J105+7)/SUMIFS('Weekly Log'!$E:$E,'Weekly Log'!$A:$A,"&gt;="&amp;$J105,'Weekly Log'!$A:$A,"&lt;"&amp;$J105+7),0))</f>
        <v/>
      </c>
      <c r="G105" t="str">
        <f>IF($J105="","",IFERROR(LOOKUP(2,1/(('Weekly Log'!$A$5:$A$5000&gt;=$J105)*('Weekly Log'!$A$5:$A$5000&lt;$J105+7)*('Weekly Log'!$M$5:$M$5000&lt;&gt;"")),'Weekly Log'!$M$5:$M$5000),0))</f>
        <v/>
      </c>
      <c r="J105" t="str">
        <f>IF(COUNT('Weekly Log'!$A$5:$A$5000)=0,"",IF(MIN('Weekly Log'!$A$5:$A$5000)+7*(ROW()-10)&gt;MAX('Weekly Log'!$A$5:$A$5000),"",MIN('Weekly Log'!$A$5:$A$5000)+7*(ROW()-10)))</f>
        <v/>
      </c>
    </row>
    <row r="106" spans="1:10" x14ac:dyDescent="0.25">
      <c r="A106" t="str">
        <f t="shared" si="1"/>
        <v/>
      </c>
      <c r="B106" t="str">
        <f>IF($J106="","",SUMIFS('Weekly Log'!$C:$C,'Weekly Log'!$A:$A,"&gt;="&amp;$J106,'Weekly Log'!$A:$A,"&lt;"&amp;$J106+7))</f>
        <v/>
      </c>
      <c r="C106" t="str">
        <f>IF($J106="","",IFERROR(COUNTIFS('Weekly Log'!$G:$G,"Y",'Weekly Log'!$A:$A,"&gt;="&amp;$J106,'Weekly Log'!$A:$A,"&lt;"&amp;$J106+7)/COUNTIFS('Weekly Log'!$G:$G,"&lt;&gt;",'Weekly Log'!$A:$A,"&gt;="&amp;$J106,'Weekly Log'!$A:$A,"&lt;"&amp;$J106+7),0))</f>
        <v/>
      </c>
      <c r="D106" t="str">
        <f>IF($J106="","",IFERROR(COUNTIFS('Weekly Log'!$H:$H,"Y",'Weekly Log'!$A:$A,"&gt;="&amp;$J106,'Weekly Log'!$A:$A,"&lt;"&amp;$J106+7)/COUNTIFS('Weekly Log'!$H:$H,"&lt;&gt;",'Weekly Log'!$A:$A,"&gt;="&amp;$J106,'Weekly Log'!$A:$A,"&lt;"&amp;$J106+7),0))</f>
        <v/>
      </c>
      <c r="E106" t="str">
        <f>IF($J106="","",IFERROR(AVERAGEIFS('Weekly Log'!$F:$F,'Weekly Log'!$A:$A,"&gt;="&amp;$J106,'Weekly Log'!$A:$A,"&lt;"&amp;$J106+7),0))</f>
        <v/>
      </c>
      <c r="F106" t="str">
        <f>IF($J106="","",IFERROR(SUMIFS('Weekly Log'!$F:$F,'Weekly Log'!$A:$A,"&gt;="&amp;$J106,'Weekly Log'!$A:$A,"&lt;"&amp;$J106+7)/SUMIFS('Weekly Log'!$E:$E,'Weekly Log'!$A:$A,"&gt;="&amp;$J106,'Weekly Log'!$A:$A,"&lt;"&amp;$J106+7),0))</f>
        <v/>
      </c>
      <c r="G106" t="str">
        <f>IF($J106="","",IFERROR(LOOKUP(2,1/(('Weekly Log'!$A$5:$A$5000&gt;=$J106)*('Weekly Log'!$A$5:$A$5000&lt;$J106+7)*('Weekly Log'!$M$5:$M$5000&lt;&gt;"")),'Weekly Log'!$M$5:$M$5000),0))</f>
        <v/>
      </c>
      <c r="J106" t="str">
        <f>IF(COUNT('Weekly Log'!$A$5:$A$5000)=0,"",IF(MIN('Weekly Log'!$A$5:$A$5000)+7*(ROW()-10)&gt;MAX('Weekly Log'!$A$5:$A$5000),"",MIN('Weekly Log'!$A$5:$A$5000)+7*(ROW()-10)))</f>
        <v/>
      </c>
    </row>
    <row r="107" spans="1:10" x14ac:dyDescent="0.25">
      <c r="A107" t="str">
        <f t="shared" si="1"/>
        <v/>
      </c>
      <c r="B107" t="str">
        <f>IF($J107="","",SUMIFS('Weekly Log'!$C:$C,'Weekly Log'!$A:$A,"&gt;="&amp;$J107,'Weekly Log'!$A:$A,"&lt;"&amp;$J107+7))</f>
        <v/>
      </c>
      <c r="C107" t="str">
        <f>IF($J107="","",IFERROR(COUNTIFS('Weekly Log'!$G:$G,"Y",'Weekly Log'!$A:$A,"&gt;="&amp;$J107,'Weekly Log'!$A:$A,"&lt;"&amp;$J107+7)/COUNTIFS('Weekly Log'!$G:$G,"&lt;&gt;",'Weekly Log'!$A:$A,"&gt;="&amp;$J107,'Weekly Log'!$A:$A,"&lt;"&amp;$J107+7),0))</f>
        <v/>
      </c>
      <c r="D107" t="str">
        <f>IF($J107="","",IFERROR(COUNTIFS('Weekly Log'!$H:$H,"Y",'Weekly Log'!$A:$A,"&gt;="&amp;$J107,'Weekly Log'!$A:$A,"&lt;"&amp;$J107+7)/COUNTIFS('Weekly Log'!$H:$H,"&lt;&gt;",'Weekly Log'!$A:$A,"&gt;="&amp;$J107,'Weekly Log'!$A:$A,"&lt;"&amp;$J107+7),0))</f>
        <v/>
      </c>
      <c r="E107" t="str">
        <f>IF($J107="","",IFERROR(AVERAGEIFS('Weekly Log'!$F:$F,'Weekly Log'!$A:$A,"&gt;="&amp;$J107,'Weekly Log'!$A:$A,"&lt;"&amp;$J107+7),0))</f>
        <v/>
      </c>
      <c r="F107" t="str">
        <f>IF($J107="","",IFERROR(SUMIFS('Weekly Log'!$F:$F,'Weekly Log'!$A:$A,"&gt;="&amp;$J107,'Weekly Log'!$A:$A,"&lt;"&amp;$J107+7)/SUMIFS('Weekly Log'!$E:$E,'Weekly Log'!$A:$A,"&gt;="&amp;$J107,'Weekly Log'!$A:$A,"&lt;"&amp;$J107+7),0))</f>
        <v/>
      </c>
      <c r="G107" t="str">
        <f>IF($J107="","",IFERROR(LOOKUP(2,1/(('Weekly Log'!$A$5:$A$5000&gt;=$J107)*('Weekly Log'!$A$5:$A$5000&lt;$J107+7)*('Weekly Log'!$M$5:$M$5000&lt;&gt;"")),'Weekly Log'!$M$5:$M$5000),0))</f>
        <v/>
      </c>
      <c r="J107" t="str">
        <f>IF(COUNT('Weekly Log'!$A$5:$A$5000)=0,"",IF(MIN('Weekly Log'!$A$5:$A$5000)+7*(ROW()-10)&gt;MAX('Weekly Log'!$A$5:$A$5000),"",MIN('Weekly Log'!$A$5:$A$5000)+7*(ROW()-10)))</f>
        <v/>
      </c>
    </row>
    <row r="108" spans="1:10" x14ac:dyDescent="0.25">
      <c r="A108" t="str">
        <f t="shared" si="1"/>
        <v/>
      </c>
      <c r="B108" t="str">
        <f>IF($J108="","",SUMIFS('Weekly Log'!$C:$C,'Weekly Log'!$A:$A,"&gt;="&amp;$J108,'Weekly Log'!$A:$A,"&lt;"&amp;$J108+7))</f>
        <v/>
      </c>
      <c r="C108" t="str">
        <f>IF($J108="","",IFERROR(COUNTIFS('Weekly Log'!$G:$G,"Y",'Weekly Log'!$A:$A,"&gt;="&amp;$J108,'Weekly Log'!$A:$A,"&lt;"&amp;$J108+7)/COUNTIFS('Weekly Log'!$G:$G,"&lt;&gt;",'Weekly Log'!$A:$A,"&gt;="&amp;$J108,'Weekly Log'!$A:$A,"&lt;"&amp;$J108+7),0))</f>
        <v/>
      </c>
      <c r="D108" t="str">
        <f>IF($J108="","",IFERROR(COUNTIFS('Weekly Log'!$H:$H,"Y",'Weekly Log'!$A:$A,"&gt;="&amp;$J108,'Weekly Log'!$A:$A,"&lt;"&amp;$J108+7)/COUNTIFS('Weekly Log'!$H:$H,"&lt;&gt;",'Weekly Log'!$A:$A,"&gt;="&amp;$J108,'Weekly Log'!$A:$A,"&lt;"&amp;$J108+7),0))</f>
        <v/>
      </c>
      <c r="E108" t="str">
        <f>IF($J108="","",IFERROR(AVERAGEIFS('Weekly Log'!$F:$F,'Weekly Log'!$A:$A,"&gt;="&amp;$J108,'Weekly Log'!$A:$A,"&lt;"&amp;$J108+7),0))</f>
        <v/>
      </c>
      <c r="F108" t="str">
        <f>IF($J108="","",IFERROR(SUMIFS('Weekly Log'!$F:$F,'Weekly Log'!$A:$A,"&gt;="&amp;$J108,'Weekly Log'!$A:$A,"&lt;"&amp;$J108+7)/SUMIFS('Weekly Log'!$E:$E,'Weekly Log'!$A:$A,"&gt;="&amp;$J108,'Weekly Log'!$A:$A,"&lt;"&amp;$J108+7),0))</f>
        <v/>
      </c>
      <c r="G108" t="str">
        <f>IF($J108="","",IFERROR(LOOKUP(2,1/(('Weekly Log'!$A$5:$A$5000&gt;=$J108)*('Weekly Log'!$A$5:$A$5000&lt;$J108+7)*('Weekly Log'!$M$5:$M$5000&lt;&gt;"")),'Weekly Log'!$M$5:$M$5000),0))</f>
        <v/>
      </c>
      <c r="J108" t="str">
        <f>IF(COUNT('Weekly Log'!$A$5:$A$5000)=0,"",IF(MIN('Weekly Log'!$A$5:$A$5000)+7*(ROW()-10)&gt;MAX('Weekly Log'!$A$5:$A$5000),"",MIN('Weekly Log'!$A$5:$A$5000)+7*(ROW()-10)))</f>
        <v/>
      </c>
    </row>
    <row r="109" spans="1:10" x14ac:dyDescent="0.25">
      <c r="A109" t="str">
        <f t="shared" si="1"/>
        <v/>
      </c>
      <c r="B109" t="str">
        <f>IF($J109="","",SUMIFS('Weekly Log'!$C:$C,'Weekly Log'!$A:$A,"&gt;="&amp;$J109,'Weekly Log'!$A:$A,"&lt;"&amp;$J109+7))</f>
        <v/>
      </c>
      <c r="C109" t="str">
        <f>IF($J109="","",IFERROR(COUNTIFS('Weekly Log'!$G:$G,"Y",'Weekly Log'!$A:$A,"&gt;="&amp;$J109,'Weekly Log'!$A:$A,"&lt;"&amp;$J109+7)/COUNTIFS('Weekly Log'!$G:$G,"&lt;&gt;",'Weekly Log'!$A:$A,"&gt;="&amp;$J109,'Weekly Log'!$A:$A,"&lt;"&amp;$J109+7),0))</f>
        <v/>
      </c>
      <c r="D109" t="str">
        <f>IF($J109="","",IFERROR(COUNTIFS('Weekly Log'!$H:$H,"Y",'Weekly Log'!$A:$A,"&gt;="&amp;$J109,'Weekly Log'!$A:$A,"&lt;"&amp;$J109+7)/COUNTIFS('Weekly Log'!$H:$H,"&lt;&gt;",'Weekly Log'!$A:$A,"&gt;="&amp;$J109,'Weekly Log'!$A:$A,"&lt;"&amp;$J109+7),0))</f>
        <v/>
      </c>
      <c r="E109" t="str">
        <f>IF($J109="","",IFERROR(AVERAGEIFS('Weekly Log'!$F:$F,'Weekly Log'!$A:$A,"&gt;="&amp;$J109,'Weekly Log'!$A:$A,"&lt;"&amp;$J109+7),0))</f>
        <v/>
      </c>
      <c r="F109" t="str">
        <f>IF($J109="","",IFERROR(SUMIFS('Weekly Log'!$F:$F,'Weekly Log'!$A:$A,"&gt;="&amp;$J109,'Weekly Log'!$A:$A,"&lt;"&amp;$J109+7)/SUMIFS('Weekly Log'!$E:$E,'Weekly Log'!$A:$A,"&gt;="&amp;$J109,'Weekly Log'!$A:$A,"&lt;"&amp;$J109+7),0))</f>
        <v/>
      </c>
      <c r="G109" t="str">
        <f>IF($J109="","",IFERROR(LOOKUP(2,1/(('Weekly Log'!$A$5:$A$5000&gt;=$J109)*('Weekly Log'!$A$5:$A$5000&lt;$J109+7)*('Weekly Log'!$M$5:$M$5000&lt;&gt;"")),'Weekly Log'!$M$5:$M$5000),0))</f>
        <v/>
      </c>
      <c r="J109" t="str">
        <f>IF(COUNT('Weekly Log'!$A$5:$A$5000)=0,"",IF(MIN('Weekly Log'!$A$5:$A$5000)+7*(ROW()-10)&gt;MAX('Weekly Log'!$A$5:$A$5000),"",MIN('Weekly Log'!$A$5:$A$5000)+7*(ROW()-10)))</f>
        <v/>
      </c>
    </row>
    <row r="110" spans="1:10" x14ac:dyDescent="0.25">
      <c r="A110" t="str">
        <f t="shared" si="1"/>
        <v/>
      </c>
      <c r="B110" t="str">
        <f>IF($J110="","",SUMIFS('Weekly Log'!$C:$C,'Weekly Log'!$A:$A,"&gt;="&amp;$J110,'Weekly Log'!$A:$A,"&lt;"&amp;$J110+7))</f>
        <v/>
      </c>
      <c r="C110" t="str">
        <f>IF($J110="","",IFERROR(COUNTIFS('Weekly Log'!$G:$G,"Y",'Weekly Log'!$A:$A,"&gt;="&amp;$J110,'Weekly Log'!$A:$A,"&lt;"&amp;$J110+7)/COUNTIFS('Weekly Log'!$G:$G,"&lt;&gt;",'Weekly Log'!$A:$A,"&gt;="&amp;$J110,'Weekly Log'!$A:$A,"&lt;"&amp;$J110+7),0))</f>
        <v/>
      </c>
      <c r="D110" t="str">
        <f>IF($J110="","",IFERROR(COUNTIFS('Weekly Log'!$H:$H,"Y",'Weekly Log'!$A:$A,"&gt;="&amp;$J110,'Weekly Log'!$A:$A,"&lt;"&amp;$J110+7)/COUNTIFS('Weekly Log'!$H:$H,"&lt;&gt;",'Weekly Log'!$A:$A,"&gt;="&amp;$J110,'Weekly Log'!$A:$A,"&lt;"&amp;$J110+7),0))</f>
        <v/>
      </c>
      <c r="E110" t="str">
        <f>IF($J110="","",IFERROR(AVERAGEIFS('Weekly Log'!$F:$F,'Weekly Log'!$A:$A,"&gt;="&amp;$J110,'Weekly Log'!$A:$A,"&lt;"&amp;$J110+7),0))</f>
        <v/>
      </c>
      <c r="F110" t="str">
        <f>IF($J110="","",IFERROR(SUMIFS('Weekly Log'!$F:$F,'Weekly Log'!$A:$A,"&gt;="&amp;$J110,'Weekly Log'!$A:$A,"&lt;"&amp;$J110+7)/SUMIFS('Weekly Log'!$E:$E,'Weekly Log'!$A:$A,"&gt;="&amp;$J110,'Weekly Log'!$A:$A,"&lt;"&amp;$J110+7),0))</f>
        <v/>
      </c>
      <c r="G110" t="str">
        <f>IF($J110="","",IFERROR(LOOKUP(2,1/(('Weekly Log'!$A$5:$A$5000&gt;=$J110)*('Weekly Log'!$A$5:$A$5000&lt;$J110+7)*('Weekly Log'!$M$5:$M$5000&lt;&gt;"")),'Weekly Log'!$M$5:$M$5000),0))</f>
        <v/>
      </c>
      <c r="J110" t="str">
        <f>IF(COUNT('Weekly Log'!$A$5:$A$5000)=0,"",IF(MIN('Weekly Log'!$A$5:$A$5000)+7*(ROW()-10)&gt;MAX('Weekly Log'!$A$5:$A$5000),"",MIN('Weekly Log'!$A$5:$A$5000)+7*(ROW()-10)))</f>
        <v/>
      </c>
    </row>
    <row r="111" spans="1:10" x14ac:dyDescent="0.25">
      <c r="A111" t="str">
        <f t="shared" si="1"/>
        <v/>
      </c>
      <c r="B111" t="str">
        <f>IF($J111="","",SUMIFS('Weekly Log'!$C:$C,'Weekly Log'!$A:$A,"&gt;="&amp;$J111,'Weekly Log'!$A:$A,"&lt;"&amp;$J111+7))</f>
        <v/>
      </c>
      <c r="C111" t="str">
        <f>IF($J111="","",IFERROR(COUNTIFS('Weekly Log'!$G:$G,"Y",'Weekly Log'!$A:$A,"&gt;="&amp;$J111,'Weekly Log'!$A:$A,"&lt;"&amp;$J111+7)/COUNTIFS('Weekly Log'!$G:$G,"&lt;&gt;",'Weekly Log'!$A:$A,"&gt;="&amp;$J111,'Weekly Log'!$A:$A,"&lt;"&amp;$J111+7),0))</f>
        <v/>
      </c>
      <c r="D111" t="str">
        <f>IF($J111="","",IFERROR(COUNTIFS('Weekly Log'!$H:$H,"Y",'Weekly Log'!$A:$A,"&gt;="&amp;$J111,'Weekly Log'!$A:$A,"&lt;"&amp;$J111+7)/COUNTIFS('Weekly Log'!$H:$H,"&lt;&gt;",'Weekly Log'!$A:$A,"&gt;="&amp;$J111,'Weekly Log'!$A:$A,"&lt;"&amp;$J111+7),0))</f>
        <v/>
      </c>
      <c r="E111" t="str">
        <f>IF($J111="","",IFERROR(AVERAGEIFS('Weekly Log'!$F:$F,'Weekly Log'!$A:$A,"&gt;="&amp;$J111,'Weekly Log'!$A:$A,"&lt;"&amp;$J111+7),0))</f>
        <v/>
      </c>
      <c r="F111" t="str">
        <f>IF($J111="","",IFERROR(SUMIFS('Weekly Log'!$F:$F,'Weekly Log'!$A:$A,"&gt;="&amp;$J111,'Weekly Log'!$A:$A,"&lt;"&amp;$J111+7)/SUMIFS('Weekly Log'!$E:$E,'Weekly Log'!$A:$A,"&gt;="&amp;$J111,'Weekly Log'!$A:$A,"&lt;"&amp;$J111+7),0))</f>
        <v/>
      </c>
      <c r="G111" t="str">
        <f>IF($J111="","",IFERROR(LOOKUP(2,1/(('Weekly Log'!$A$5:$A$5000&gt;=$J111)*('Weekly Log'!$A$5:$A$5000&lt;$J111+7)*('Weekly Log'!$M$5:$M$5000&lt;&gt;"")),'Weekly Log'!$M$5:$M$5000),0))</f>
        <v/>
      </c>
      <c r="J111" t="str">
        <f>IF(COUNT('Weekly Log'!$A$5:$A$5000)=0,"",IF(MIN('Weekly Log'!$A$5:$A$5000)+7*(ROW()-10)&gt;MAX('Weekly Log'!$A$5:$A$5000),"",MIN('Weekly Log'!$A$5:$A$5000)+7*(ROW()-10)))</f>
        <v/>
      </c>
    </row>
    <row r="112" spans="1:10" x14ac:dyDescent="0.25">
      <c r="A112" t="str">
        <f t="shared" si="1"/>
        <v/>
      </c>
      <c r="B112" t="str">
        <f>IF($J112="","",SUMIFS('Weekly Log'!$C:$C,'Weekly Log'!$A:$A,"&gt;="&amp;$J112,'Weekly Log'!$A:$A,"&lt;"&amp;$J112+7))</f>
        <v/>
      </c>
      <c r="C112" t="str">
        <f>IF($J112="","",IFERROR(COUNTIFS('Weekly Log'!$G:$G,"Y",'Weekly Log'!$A:$A,"&gt;="&amp;$J112,'Weekly Log'!$A:$A,"&lt;"&amp;$J112+7)/COUNTIFS('Weekly Log'!$G:$G,"&lt;&gt;",'Weekly Log'!$A:$A,"&gt;="&amp;$J112,'Weekly Log'!$A:$A,"&lt;"&amp;$J112+7),0))</f>
        <v/>
      </c>
      <c r="D112" t="str">
        <f>IF($J112="","",IFERROR(COUNTIFS('Weekly Log'!$H:$H,"Y",'Weekly Log'!$A:$A,"&gt;="&amp;$J112,'Weekly Log'!$A:$A,"&lt;"&amp;$J112+7)/COUNTIFS('Weekly Log'!$H:$H,"&lt;&gt;",'Weekly Log'!$A:$A,"&gt;="&amp;$J112,'Weekly Log'!$A:$A,"&lt;"&amp;$J112+7),0))</f>
        <v/>
      </c>
      <c r="E112" t="str">
        <f>IF($J112="","",IFERROR(AVERAGEIFS('Weekly Log'!$F:$F,'Weekly Log'!$A:$A,"&gt;="&amp;$J112,'Weekly Log'!$A:$A,"&lt;"&amp;$J112+7),0))</f>
        <v/>
      </c>
      <c r="F112" t="str">
        <f>IF($J112="","",IFERROR(SUMIFS('Weekly Log'!$F:$F,'Weekly Log'!$A:$A,"&gt;="&amp;$J112,'Weekly Log'!$A:$A,"&lt;"&amp;$J112+7)/SUMIFS('Weekly Log'!$E:$E,'Weekly Log'!$A:$A,"&gt;="&amp;$J112,'Weekly Log'!$A:$A,"&lt;"&amp;$J112+7),0))</f>
        <v/>
      </c>
      <c r="G112" t="str">
        <f>IF($J112="","",IFERROR(LOOKUP(2,1/(('Weekly Log'!$A$5:$A$5000&gt;=$J112)*('Weekly Log'!$A$5:$A$5000&lt;$J112+7)*('Weekly Log'!$M$5:$M$5000&lt;&gt;"")),'Weekly Log'!$M$5:$M$5000),0))</f>
        <v/>
      </c>
      <c r="J112" t="str">
        <f>IF(COUNT('Weekly Log'!$A$5:$A$5000)=0,"",IF(MIN('Weekly Log'!$A$5:$A$5000)+7*(ROW()-10)&gt;MAX('Weekly Log'!$A$5:$A$5000),"",MIN('Weekly Log'!$A$5:$A$5000)+7*(ROW()-10)))</f>
        <v/>
      </c>
    </row>
    <row r="113" spans="1:10" x14ac:dyDescent="0.25">
      <c r="A113" t="str">
        <f t="shared" si="1"/>
        <v/>
      </c>
      <c r="B113" t="str">
        <f>IF($J113="","",SUMIFS('Weekly Log'!$C:$C,'Weekly Log'!$A:$A,"&gt;="&amp;$J113,'Weekly Log'!$A:$A,"&lt;"&amp;$J113+7))</f>
        <v/>
      </c>
      <c r="C113" t="str">
        <f>IF($J113="","",IFERROR(COUNTIFS('Weekly Log'!$G:$G,"Y",'Weekly Log'!$A:$A,"&gt;="&amp;$J113,'Weekly Log'!$A:$A,"&lt;"&amp;$J113+7)/COUNTIFS('Weekly Log'!$G:$G,"&lt;&gt;",'Weekly Log'!$A:$A,"&gt;="&amp;$J113,'Weekly Log'!$A:$A,"&lt;"&amp;$J113+7),0))</f>
        <v/>
      </c>
      <c r="D113" t="str">
        <f>IF($J113="","",IFERROR(COUNTIFS('Weekly Log'!$H:$H,"Y",'Weekly Log'!$A:$A,"&gt;="&amp;$J113,'Weekly Log'!$A:$A,"&lt;"&amp;$J113+7)/COUNTIFS('Weekly Log'!$H:$H,"&lt;&gt;",'Weekly Log'!$A:$A,"&gt;="&amp;$J113,'Weekly Log'!$A:$A,"&lt;"&amp;$J113+7),0))</f>
        <v/>
      </c>
      <c r="E113" t="str">
        <f>IF($J113="","",IFERROR(AVERAGEIFS('Weekly Log'!$F:$F,'Weekly Log'!$A:$A,"&gt;="&amp;$J113,'Weekly Log'!$A:$A,"&lt;"&amp;$J113+7),0))</f>
        <v/>
      </c>
      <c r="F113" t="str">
        <f>IF($J113="","",IFERROR(SUMIFS('Weekly Log'!$F:$F,'Weekly Log'!$A:$A,"&gt;="&amp;$J113,'Weekly Log'!$A:$A,"&lt;"&amp;$J113+7)/SUMIFS('Weekly Log'!$E:$E,'Weekly Log'!$A:$A,"&gt;="&amp;$J113,'Weekly Log'!$A:$A,"&lt;"&amp;$J113+7),0))</f>
        <v/>
      </c>
      <c r="G113" t="str">
        <f>IF($J113="","",IFERROR(LOOKUP(2,1/(('Weekly Log'!$A$5:$A$5000&gt;=$J113)*('Weekly Log'!$A$5:$A$5000&lt;$J113+7)*('Weekly Log'!$M$5:$M$5000&lt;&gt;"")),'Weekly Log'!$M$5:$M$5000),0))</f>
        <v/>
      </c>
      <c r="J113" t="str">
        <f>IF(COUNT('Weekly Log'!$A$5:$A$5000)=0,"",IF(MIN('Weekly Log'!$A$5:$A$5000)+7*(ROW()-10)&gt;MAX('Weekly Log'!$A$5:$A$5000),"",MIN('Weekly Log'!$A$5:$A$5000)+7*(ROW()-10)))</f>
        <v/>
      </c>
    </row>
    <row r="114" spans="1:10" x14ac:dyDescent="0.25">
      <c r="A114" t="str">
        <f t="shared" si="1"/>
        <v/>
      </c>
      <c r="B114" t="str">
        <f>IF($J114="","",SUMIFS('Weekly Log'!$C:$C,'Weekly Log'!$A:$A,"&gt;="&amp;$J114,'Weekly Log'!$A:$A,"&lt;"&amp;$J114+7))</f>
        <v/>
      </c>
      <c r="C114" t="str">
        <f>IF($J114="","",IFERROR(COUNTIFS('Weekly Log'!$G:$G,"Y",'Weekly Log'!$A:$A,"&gt;="&amp;$J114,'Weekly Log'!$A:$A,"&lt;"&amp;$J114+7)/COUNTIFS('Weekly Log'!$G:$G,"&lt;&gt;",'Weekly Log'!$A:$A,"&gt;="&amp;$J114,'Weekly Log'!$A:$A,"&lt;"&amp;$J114+7),0))</f>
        <v/>
      </c>
      <c r="D114" t="str">
        <f>IF($J114="","",IFERROR(COUNTIFS('Weekly Log'!$H:$H,"Y",'Weekly Log'!$A:$A,"&gt;="&amp;$J114,'Weekly Log'!$A:$A,"&lt;"&amp;$J114+7)/COUNTIFS('Weekly Log'!$H:$H,"&lt;&gt;",'Weekly Log'!$A:$A,"&gt;="&amp;$J114,'Weekly Log'!$A:$A,"&lt;"&amp;$J114+7),0))</f>
        <v/>
      </c>
      <c r="E114" t="str">
        <f>IF($J114="","",IFERROR(AVERAGEIFS('Weekly Log'!$F:$F,'Weekly Log'!$A:$A,"&gt;="&amp;$J114,'Weekly Log'!$A:$A,"&lt;"&amp;$J114+7),0))</f>
        <v/>
      </c>
      <c r="F114" t="str">
        <f>IF($J114="","",IFERROR(SUMIFS('Weekly Log'!$F:$F,'Weekly Log'!$A:$A,"&gt;="&amp;$J114,'Weekly Log'!$A:$A,"&lt;"&amp;$J114+7)/SUMIFS('Weekly Log'!$E:$E,'Weekly Log'!$A:$A,"&gt;="&amp;$J114,'Weekly Log'!$A:$A,"&lt;"&amp;$J114+7),0))</f>
        <v/>
      </c>
      <c r="G114" t="str">
        <f>IF($J114="","",IFERROR(LOOKUP(2,1/(('Weekly Log'!$A$5:$A$5000&gt;=$J114)*('Weekly Log'!$A$5:$A$5000&lt;$J114+7)*('Weekly Log'!$M$5:$M$5000&lt;&gt;"")),'Weekly Log'!$M$5:$M$5000),0))</f>
        <v/>
      </c>
      <c r="J114" t="str">
        <f>IF(COUNT('Weekly Log'!$A$5:$A$5000)=0,"",IF(MIN('Weekly Log'!$A$5:$A$5000)+7*(ROW()-10)&gt;MAX('Weekly Log'!$A$5:$A$5000),"",MIN('Weekly Log'!$A$5:$A$5000)+7*(ROW()-10)))</f>
        <v/>
      </c>
    </row>
    <row r="115" spans="1:10" x14ac:dyDescent="0.25">
      <c r="A115" t="str">
        <f t="shared" si="1"/>
        <v/>
      </c>
      <c r="B115" t="str">
        <f>IF($J115="","",SUMIFS('Weekly Log'!$C:$C,'Weekly Log'!$A:$A,"&gt;="&amp;$J115,'Weekly Log'!$A:$A,"&lt;"&amp;$J115+7))</f>
        <v/>
      </c>
      <c r="C115" t="str">
        <f>IF($J115="","",IFERROR(COUNTIFS('Weekly Log'!$G:$G,"Y",'Weekly Log'!$A:$A,"&gt;="&amp;$J115,'Weekly Log'!$A:$A,"&lt;"&amp;$J115+7)/COUNTIFS('Weekly Log'!$G:$G,"&lt;&gt;",'Weekly Log'!$A:$A,"&gt;="&amp;$J115,'Weekly Log'!$A:$A,"&lt;"&amp;$J115+7),0))</f>
        <v/>
      </c>
      <c r="D115" t="str">
        <f>IF($J115="","",IFERROR(COUNTIFS('Weekly Log'!$H:$H,"Y",'Weekly Log'!$A:$A,"&gt;="&amp;$J115,'Weekly Log'!$A:$A,"&lt;"&amp;$J115+7)/COUNTIFS('Weekly Log'!$H:$H,"&lt;&gt;",'Weekly Log'!$A:$A,"&gt;="&amp;$J115,'Weekly Log'!$A:$A,"&lt;"&amp;$J115+7),0))</f>
        <v/>
      </c>
      <c r="E115" t="str">
        <f>IF($J115="","",IFERROR(AVERAGEIFS('Weekly Log'!$F:$F,'Weekly Log'!$A:$A,"&gt;="&amp;$J115,'Weekly Log'!$A:$A,"&lt;"&amp;$J115+7),0))</f>
        <v/>
      </c>
      <c r="F115" t="str">
        <f>IF($J115="","",IFERROR(SUMIFS('Weekly Log'!$F:$F,'Weekly Log'!$A:$A,"&gt;="&amp;$J115,'Weekly Log'!$A:$A,"&lt;"&amp;$J115+7)/SUMIFS('Weekly Log'!$E:$E,'Weekly Log'!$A:$A,"&gt;="&amp;$J115,'Weekly Log'!$A:$A,"&lt;"&amp;$J115+7),0))</f>
        <v/>
      </c>
      <c r="G115" t="str">
        <f>IF($J115="","",IFERROR(LOOKUP(2,1/(('Weekly Log'!$A$5:$A$5000&gt;=$J115)*('Weekly Log'!$A$5:$A$5000&lt;$J115+7)*('Weekly Log'!$M$5:$M$5000&lt;&gt;"")),'Weekly Log'!$M$5:$M$5000),0))</f>
        <v/>
      </c>
      <c r="J115" t="str">
        <f>IF(COUNT('Weekly Log'!$A$5:$A$5000)=0,"",IF(MIN('Weekly Log'!$A$5:$A$5000)+7*(ROW()-10)&gt;MAX('Weekly Log'!$A$5:$A$5000),"",MIN('Weekly Log'!$A$5:$A$5000)+7*(ROW()-10)))</f>
        <v/>
      </c>
    </row>
    <row r="116" spans="1:10" x14ac:dyDescent="0.25">
      <c r="A116" t="str">
        <f t="shared" si="1"/>
        <v/>
      </c>
      <c r="B116" t="str">
        <f>IF($J116="","",SUMIFS('Weekly Log'!$C:$C,'Weekly Log'!$A:$A,"&gt;="&amp;$J116,'Weekly Log'!$A:$A,"&lt;"&amp;$J116+7))</f>
        <v/>
      </c>
      <c r="C116" t="str">
        <f>IF($J116="","",IFERROR(COUNTIFS('Weekly Log'!$G:$G,"Y",'Weekly Log'!$A:$A,"&gt;="&amp;$J116,'Weekly Log'!$A:$A,"&lt;"&amp;$J116+7)/COUNTIFS('Weekly Log'!$G:$G,"&lt;&gt;",'Weekly Log'!$A:$A,"&gt;="&amp;$J116,'Weekly Log'!$A:$A,"&lt;"&amp;$J116+7),0))</f>
        <v/>
      </c>
      <c r="D116" t="str">
        <f>IF($J116="","",IFERROR(COUNTIFS('Weekly Log'!$H:$H,"Y",'Weekly Log'!$A:$A,"&gt;="&amp;$J116,'Weekly Log'!$A:$A,"&lt;"&amp;$J116+7)/COUNTIFS('Weekly Log'!$H:$H,"&lt;&gt;",'Weekly Log'!$A:$A,"&gt;="&amp;$J116,'Weekly Log'!$A:$A,"&lt;"&amp;$J116+7),0))</f>
        <v/>
      </c>
      <c r="E116" t="str">
        <f>IF($J116="","",IFERROR(AVERAGEIFS('Weekly Log'!$F:$F,'Weekly Log'!$A:$A,"&gt;="&amp;$J116,'Weekly Log'!$A:$A,"&lt;"&amp;$J116+7),0))</f>
        <v/>
      </c>
      <c r="F116" t="str">
        <f>IF($J116="","",IFERROR(SUMIFS('Weekly Log'!$F:$F,'Weekly Log'!$A:$A,"&gt;="&amp;$J116,'Weekly Log'!$A:$A,"&lt;"&amp;$J116+7)/SUMIFS('Weekly Log'!$E:$E,'Weekly Log'!$A:$A,"&gt;="&amp;$J116,'Weekly Log'!$A:$A,"&lt;"&amp;$J116+7),0))</f>
        <v/>
      </c>
      <c r="G116" t="str">
        <f>IF($J116="","",IFERROR(LOOKUP(2,1/(('Weekly Log'!$A$5:$A$5000&gt;=$J116)*('Weekly Log'!$A$5:$A$5000&lt;$J116+7)*('Weekly Log'!$M$5:$M$5000&lt;&gt;"")),'Weekly Log'!$M$5:$M$5000),0))</f>
        <v/>
      </c>
      <c r="J116" t="str">
        <f>IF(COUNT('Weekly Log'!$A$5:$A$5000)=0,"",IF(MIN('Weekly Log'!$A$5:$A$5000)+7*(ROW()-10)&gt;MAX('Weekly Log'!$A$5:$A$5000),"",MIN('Weekly Log'!$A$5:$A$5000)+7*(ROW()-10)))</f>
        <v/>
      </c>
    </row>
    <row r="117" spans="1:10" x14ac:dyDescent="0.25">
      <c r="A117" t="str">
        <f t="shared" si="1"/>
        <v/>
      </c>
      <c r="B117" t="str">
        <f>IF($J117="","",SUMIFS('Weekly Log'!$C:$C,'Weekly Log'!$A:$A,"&gt;="&amp;$J117,'Weekly Log'!$A:$A,"&lt;"&amp;$J117+7))</f>
        <v/>
      </c>
      <c r="C117" t="str">
        <f>IF($J117="","",IFERROR(COUNTIFS('Weekly Log'!$G:$G,"Y",'Weekly Log'!$A:$A,"&gt;="&amp;$J117,'Weekly Log'!$A:$A,"&lt;"&amp;$J117+7)/COUNTIFS('Weekly Log'!$G:$G,"&lt;&gt;",'Weekly Log'!$A:$A,"&gt;="&amp;$J117,'Weekly Log'!$A:$A,"&lt;"&amp;$J117+7),0))</f>
        <v/>
      </c>
      <c r="D117" t="str">
        <f>IF($J117="","",IFERROR(COUNTIFS('Weekly Log'!$H:$H,"Y",'Weekly Log'!$A:$A,"&gt;="&amp;$J117,'Weekly Log'!$A:$A,"&lt;"&amp;$J117+7)/COUNTIFS('Weekly Log'!$H:$H,"&lt;&gt;",'Weekly Log'!$A:$A,"&gt;="&amp;$J117,'Weekly Log'!$A:$A,"&lt;"&amp;$J117+7),0))</f>
        <v/>
      </c>
      <c r="E117" t="str">
        <f>IF($J117="","",IFERROR(AVERAGEIFS('Weekly Log'!$F:$F,'Weekly Log'!$A:$A,"&gt;="&amp;$J117,'Weekly Log'!$A:$A,"&lt;"&amp;$J117+7),0))</f>
        <v/>
      </c>
      <c r="F117" t="str">
        <f>IF($J117="","",IFERROR(SUMIFS('Weekly Log'!$F:$F,'Weekly Log'!$A:$A,"&gt;="&amp;$J117,'Weekly Log'!$A:$A,"&lt;"&amp;$J117+7)/SUMIFS('Weekly Log'!$E:$E,'Weekly Log'!$A:$A,"&gt;="&amp;$J117,'Weekly Log'!$A:$A,"&lt;"&amp;$J117+7),0))</f>
        <v/>
      </c>
      <c r="G117" t="str">
        <f>IF($J117="","",IFERROR(LOOKUP(2,1/(('Weekly Log'!$A$5:$A$5000&gt;=$J117)*('Weekly Log'!$A$5:$A$5000&lt;$J117+7)*('Weekly Log'!$M$5:$M$5000&lt;&gt;"")),'Weekly Log'!$M$5:$M$5000),0))</f>
        <v/>
      </c>
      <c r="J117" t="str">
        <f>IF(COUNT('Weekly Log'!$A$5:$A$5000)=0,"",IF(MIN('Weekly Log'!$A$5:$A$5000)+7*(ROW()-10)&gt;MAX('Weekly Log'!$A$5:$A$5000),"",MIN('Weekly Log'!$A$5:$A$5000)+7*(ROW()-10)))</f>
        <v/>
      </c>
    </row>
    <row r="118" spans="1:10" x14ac:dyDescent="0.25">
      <c r="A118" t="str">
        <f t="shared" si="1"/>
        <v/>
      </c>
      <c r="B118" t="str">
        <f>IF($J118="","",SUMIFS('Weekly Log'!$C:$C,'Weekly Log'!$A:$A,"&gt;="&amp;$J118,'Weekly Log'!$A:$A,"&lt;"&amp;$J118+7))</f>
        <v/>
      </c>
      <c r="C118" t="str">
        <f>IF($J118="","",IFERROR(COUNTIFS('Weekly Log'!$G:$G,"Y",'Weekly Log'!$A:$A,"&gt;="&amp;$J118,'Weekly Log'!$A:$A,"&lt;"&amp;$J118+7)/COUNTIFS('Weekly Log'!$G:$G,"&lt;&gt;",'Weekly Log'!$A:$A,"&gt;="&amp;$J118,'Weekly Log'!$A:$A,"&lt;"&amp;$J118+7),0))</f>
        <v/>
      </c>
      <c r="D118" t="str">
        <f>IF($J118="","",IFERROR(COUNTIFS('Weekly Log'!$H:$H,"Y",'Weekly Log'!$A:$A,"&gt;="&amp;$J118,'Weekly Log'!$A:$A,"&lt;"&amp;$J118+7)/COUNTIFS('Weekly Log'!$H:$H,"&lt;&gt;",'Weekly Log'!$A:$A,"&gt;="&amp;$J118,'Weekly Log'!$A:$A,"&lt;"&amp;$J118+7),0))</f>
        <v/>
      </c>
      <c r="E118" t="str">
        <f>IF($J118="","",IFERROR(AVERAGEIFS('Weekly Log'!$F:$F,'Weekly Log'!$A:$A,"&gt;="&amp;$J118,'Weekly Log'!$A:$A,"&lt;"&amp;$J118+7),0))</f>
        <v/>
      </c>
      <c r="F118" t="str">
        <f>IF($J118="","",IFERROR(SUMIFS('Weekly Log'!$F:$F,'Weekly Log'!$A:$A,"&gt;="&amp;$J118,'Weekly Log'!$A:$A,"&lt;"&amp;$J118+7)/SUMIFS('Weekly Log'!$E:$E,'Weekly Log'!$A:$A,"&gt;="&amp;$J118,'Weekly Log'!$A:$A,"&lt;"&amp;$J118+7),0))</f>
        <v/>
      </c>
      <c r="G118" t="str">
        <f>IF($J118="","",IFERROR(LOOKUP(2,1/(('Weekly Log'!$A$5:$A$5000&gt;=$J118)*('Weekly Log'!$A$5:$A$5000&lt;$J118+7)*('Weekly Log'!$M$5:$M$5000&lt;&gt;"")),'Weekly Log'!$M$5:$M$5000),0))</f>
        <v/>
      </c>
      <c r="J118" t="str">
        <f>IF(COUNT('Weekly Log'!$A$5:$A$5000)=0,"",IF(MIN('Weekly Log'!$A$5:$A$5000)+7*(ROW()-10)&gt;MAX('Weekly Log'!$A$5:$A$5000),"",MIN('Weekly Log'!$A$5:$A$5000)+7*(ROW()-10)))</f>
        <v/>
      </c>
    </row>
    <row r="119" spans="1:10" x14ac:dyDescent="0.25">
      <c r="A119" t="str">
        <f t="shared" si="1"/>
        <v/>
      </c>
      <c r="B119" t="str">
        <f>IF($J119="","",SUMIFS('Weekly Log'!$C:$C,'Weekly Log'!$A:$A,"&gt;="&amp;$J119,'Weekly Log'!$A:$A,"&lt;"&amp;$J119+7))</f>
        <v/>
      </c>
      <c r="C119" t="str">
        <f>IF($J119="","",IFERROR(COUNTIFS('Weekly Log'!$G:$G,"Y",'Weekly Log'!$A:$A,"&gt;="&amp;$J119,'Weekly Log'!$A:$A,"&lt;"&amp;$J119+7)/COUNTIFS('Weekly Log'!$G:$G,"&lt;&gt;",'Weekly Log'!$A:$A,"&gt;="&amp;$J119,'Weekly Log'!$A:$A,"&lt;"&amp;$J119+7),0))</f>
        <v/>
      </c>
      <c r="D119" t="str">
        <f>IF($J119="","",IFERROR(COUNTIFS('Weekly Log'!$H:$H,"Y",'Weekly Log'!$A:$A,"&gt;="&amp;$J119,'Weekly Log'!$A:$A,"&lt;"&amp;$J119+7)/COUNTIFS('Weekly Log'!$H:$H,"&lt;&gt;",'Weekly Log'!$A:$A,"&gt;="&amp;$J119,'Weekly Log'!$A:$A,"&lt;"&amp;$J119+7),0))</f>
        <v/>
      </c>
      <c r="E119" t="str">
        <f>IF($J119="","",IFERROR(AVERAGEIFS('Weekly Log'!$F:$F,'Weekly Log'!$A:$A,"&gt;="&amp;$J119,'Weekly Log'!$A:$A,"&lt;"&amp;$J119+7),0))</f>
        <v/>
      </c>
      <c r="F119" t="str">
        <f>IF($J119="","",IFERROR(SUMIFS('Weekly Log'!$F:$F,'Weekly Log'!$A:$A,"&gt;="&amp;$J119,'Weekly Log'!$A:$A,"&lt;"&amp;$J119+7)/SUMIFS('Weekly Log'!$E:$E,'Weekly Log'!$A:$A,"&gt;="&amp;$J119,'Weekly Log'!$A:$A,"&lt;"&amp;$J119+7),0))</f>
        <v/>
      </c>
      <c r="G119" t="str">
        <f>IF($J119="","",IFERROR(LOOKUP(2,1/(('Weekly Log'!$A$5:$A$5000&gt;=$J119)*('Weekly Log'!$A$5:$A$5000&lt;$J119+7)*('Weekly Log'!$M$5:$M$5000&lt;&gt;"")),'Weekly Log'!$M$5:$M$5000),0))</f>
        <v/>
      </c>
      <c r="J119" t="str">
        <f>IF(COUNT('Weekly Log'!$A$5:$A$5000)=0,"",IF(MIN('Weekly Log'!$A$5:$A$5000)+7*(ROW()-10)&gt;MAX('Weekly Log'!$A$5:$A$5000),"",MIN('Weekly Log'!$A$5:$A$5000)+7*(ROW()-10)))</f>
        <v/>
      </c>
    </row>
    <row r="120" spans="1:10" x14ac:dyDescent="0.25">
      <c r="A120" t="str">
        <f t="shared" si="1"/>
        <v/>
      </c>
      <c r="B120" t="str">
        <f>IF($J120="","",SUMIFS('Weekly Log'!$C:$C,'Weekly Log'!$A:$A,"&gt;="&amp;$J120,'Weekly Log'!$A:$A,"&lt;"&amp;$J120+7))</f>
        <v/>
      </c>
      <c r="C120" t="str">
        <f>IF($J120="","",IFERROR(COUNTIFS('Weekly Log'!$G:$G,"Y",'Weekly Log'!$A:$A,"&gt;="&amp;$J120,'Weekly Log'!$A:$A,"&lt;"&amp;$J120+7)/COUNTIFS('Weekly Log'!$G:$G,"&lt;&gt;",'Weekly Log'!$A:$A,"&gt;="&amp;$J120,'Weekly Log'!$A:$A,"&lt;"&amp;$J120+7),0))</f>
        <v/>
      </c>
      <c r="D120" t="str">
        <f>IF($J120="","",IFERROR(COUNTIFS('Weekly Log'!$H:$H,"Y",'Weekly Log'!$A:$A,"&gt;="&amp;$J120,'Weekly Log'!$A:$A,"&lt;"&amp;$J120+7)/COUNTIFS('Weekly Log'!$H:$H,"&lt;&gt;",'Weekly Log'!$A:$A,"&gt;="&amp;$J120,'Weekly Log'!$A:$A,"&lt;"&amp;$J120+7),0))</f>
        <v/>
      </c>
      <c r="E120" t="str">
        <f>IF($J120="","",IFERROR(AVERAGEIFS('Weekly Log'!$F:$F,'Weekly Log'!$A:$A,"&gt;="&amp;$J120,'Weekly Log'!$A:$A,"&lt;"&amp;$J120+7),0))</f>
        <v/>
      </c>
      <c r="F120" t="str">
        <f>IF($J120="","",IFERROR(SUMIFS('Weekly Log'!$F:$F,'Weekly Log'!$A:$A,"&gt;="&amp;$J120,'Weekly Log'!$A:$A,"&lt;"&amp;$J120+7)/SUMIFS('Weekly Log'!$E:$E,'Weekly Log'!$A:$A,"&gt;="&amp;$J120,'Weekly Log'!$A:$A,"&lt;"&amp;$J120+7),0))</f>
        <v/>
      </c>
      <c r="G120" t="str">
        <f>IF($J120="","",IFERROR(LOOKUP(2,1/(('Weekly Log'!$A$5:$A$5000&gt;=$J120)*('Weekly Log'!$A$5:$A$5000&lt;$J120+7)*('Weekly Log'!$M$5:$M$5000&lt;&gt;"")),'Weekly Log'!$M$5:$M$5000),0))</f>
        <v/>
      </c>
      <c r="J120" t="str">
        <f>IF(COUNT('Weekly Log'!$A$5:$A$5000)=0,"",IF(MIN('Weekly Log'!$A$5:$A$5000)+7*(ROW()-10)&gt;MAX('Weekly Log'!$A$5:$A$5000),"",MIN('Weekly Log'!$A$5:$A$5000)+7*(ROW()-10)))</f>
        <v/>
      </c>
    </row>
    <row r="121" spans="1:10" x14ac:dyDescent="0.25">
      <c r="A121" t="str">
        <f t="shared" si="1"/>
        <v/>
      </c>
      <c r="B121" t="str">
        <f>IF($J121="","",SUMIFS('Weekly Log'!$C:$C,'Weekly Log'!$A:$A,"&gt;="&amp;$J121,'Weekly Log'!$A:$A,"&lt;"&amp;$J121+7))</f>
        <v/>
      </c>
      <c r="C121" t="str">
        <f>IF($J121="","",IFERROR(COUNTIFS('Weekly Log'!$G:$G,"Y",'Weekly Log'!$A:$A,"&gt;="&amp;$J121,'Weekly Log'!$A:$A,"&lt;"&amp;$J121+7)/COUNTIFS('Weekly Log'!$G:$G,"&lt;&gt;",'Weekly Log'!$A:$A,"&gt;="&amp;$J121,'Weekly Log'!$A:$A,"&lt;"&amp;$J121+7),0))</f>
        <v/>
      </c>
      <c r="D121" t="str">
        <f>IF($J121="","",IFERROR(COUNTIFS('Weekly Log'!$H:$H,"Y",'Weekly Log'!$A:$A,"&gt;="&amp;$J121,'Weekly Log'!$A:$A,"&lt;"&amp;$J121+7)/COUNTIFS('Weekly Log'!$H:$H,"&lt;&gt;",'Weekly Log'!$A:$A,"&gt;="&amp;$J121,'Weekly Log'!$A:$A,"&lt;"&amp;$J121+7),0))</f>
        <v/>
      </c>
      <c r="E121" t="str">
        <f>IF($J121="","",IFERROR(AVERAGEIFS('Weekly Log'!$F:$F,'Weekly Log'!$A:$A,"&gt;="&amp;$J121,'Weekly Log'!$A:$A,"&lt;"&amp;$J121+7),0))</f>
        <v/>
      </c>
      <c r="F121" t="str">
        <f>IF($J121="","",IFERROR(SUMIFS('Weekly Log'!$F:$F,'Weekly Log'!$A:$A,"&gt;="&amp;$J121,'Weekly Log'!$A:$A,"&lt;"&amp;$J121+7)/SUMIFS('Weekly Log'!$E:$E,'Weekly Log'!$A:$A,"&gt;="&amp;$J121,'Weekly Log'!$A:$A,"&lt;"&amp;$J121+7),0))</f>
        <v/>
      </c>
      <c r="G121" t="str">
        <f>IF($J121="","",IFERROR(LOOKUP(2,1/(('Weekly Log'!$A$5:$A$5000&gt;=$J121)*('Weekly Log'!$A$5:$A$5000&lt;$J121+7)*('Weekly Log'!$M$5:$M$5000&lt;&gt;"")),'Weekly Log'!$M$5:$M$5000),0))</f>
        <v/>
      </c>
      <c r="J121" t="str">
        <f>IF(COUNT('Weekly Log'!$A$5:$A$5000)=0,"",IF(MIN('Weekly Log'!$A$5:$A$5000)+7*(ROW()-10)&gt;MAX('Weekly Log'!$A$5:$A$5000),"",MIN('Weekly Log'!$A$5:$A$5000)+7*(ROW()-10)))</f>
        <v/>
      </c>
    </row>
    <row r="122" spans="1:10" x14ac:dyDescent="0.25">
      <c r="A122" t="str">
        <f t="shared" si="1"/>
        <v/>
      </c>
      <c r="B122" t="str">
        <f>IF($J122="","",SUMIFS('Weekly Log'!$C:$C,'Weekly Log'!$A:$A,"&gt;="&amp;$J122,'Weekly Log'!$A:$A,"&lt;"&amp;$J122+7))</f>
        <v/>
      </c>
      <c r="C122" t="str">
        <f>IF($J122="","",IFERROR(COUNTIFS('Weekly Log'!$G:$G,"Y",'Weekly Log'!$A:$A,"&gt;="&amp;$J122,'Weekly Log'!$A:$A,"&lt;"&amp;$J122+7)/COUNTIFS('Weekly Log'!$G:$G,"&lt;&gt;",'Weekly Log'!$A:$A,"&gt;="&amp;$J122,'Weekly Log'!$A:$A,"&lt;"&amp;$J122+7),0))</f>
        <v/>
      </c>
      <c r="D122" t="str">
        <f>IF($J122="","",IFERROR(COUNTIFS('Weekly Log'!$H:$H,"Y",'Weekly Log'!$A:$A,"&gt;="&amp;$J122,'Weekly Log'!$A:$A,"&lt;"&amp;$J122+7)/COUNTIFS('Weekly Log'!$H:$H,"&lt;&gt;",'Weekly Log'!$A:$A,"&gt;="&amp;$J122,'Weekly Log'!$A:$A,"&lt;"&amp;$J122+7),0))</f>
        <v/>
      </c>
      <c r="E122" t="str">
        <f>IF($J122="","",IFERROR(AVERAGEIFS('Weekly Log'!$F:$F,'Weekly Log'!$A:$A,"&gt;="&amp;$J122,'Weekly Log'!$A:$A,"&lt;"&amp;$J122+7),0))</f>
        <v/>
      </c>
      <c r="F122" t="str">
        <f>IF($J122="","",IFERROR(SUMIFS('Weekly Log'!$F:$F,'Weekly Log'!$A:$A,"&gt;="&amp;$J122,'Weekly Log'!$A:$A,"&lt;"&amp;$J122+7)/SUMIFS('Weekly Log'!$E:$E,'Weekly Log'!$A:$A,"&gt;="&amp;$J122,'Weekly Log'!$A:$A,"&lt;"&amp;$J122+7),0))</f>
        <v/>
      </c>
      <c r="G122" t="str">
        <f>IF($J122="","",IFERROR(LOOKUP(2,1/(('Weekly Log'!$A$5:$A$5000&gt;=$J122)*('Weekly Log'!$A$5:$A$5000&lt;$J122+7)*('Weekly Log'!$M$5:$M$5000&lt;&gt;"")),'Weekly Log'!$M$5:$M$5000),0))</f>
        <v/>
      </c>
      <c r="J122" t="str">
        <f>IF(COUNT('Weekly Log'!$A$5:$A$5000)=0,"",IF(MIN('Weekly Log'!$A$5:$A$5000)+7*(ROW()-10)&gt;MAX('Weekly Log'!$A$5:$A$5000),"",MIN('Weekly Log'!$A$5:$A$5000)+7*(ROW()-10)))</f>
        <v/>
      </c>
    </row>
    <row r="123" spans="1:10" x14ac:dyDescent="0.25">
      <c r="A123" t="str">
        <f t="shared" si="1"/>
        <v/>
      </c>
      <c r="B123" t="str">
        <f>IF($J123="","",SUMIFS('Weekly Log'!$C:$C,'Weekly Log'!$A:$A,"&gt;="&amp;$J123,'Weekly Log'!$A:$A,"&lt;"&amp;$J123+7))</f>
        <v/>
      </c>
      <c r="C123" t="str">
        <f>IF($J123="","",IFERROR(COUNTIFS('Weekly Log'!$G:$G,"Y",'Weekly Log'!$A:$A,"&gt;="&amp;$J123,'Weekly Log'!$A:$A,"&lt;"&amp;$J123+7)/COUNTIFS('Weekly Log'!$G:$G,"&lt;&gt;",'Weekly Log'!$A:$A,"&gt;="&amp;$J123,'Weekly Log'!$A:$A,"&lt;"&amp;$J123+7),0))</f>
        <v/>
      </c>
      <c r="D123" t="str">
        <f>IF($J123="","",IFERROR(COUNTIFS('Weekly Log'!$H:$H,"Y",'Weekly Log'!$A:$A,"&gt;="&amp;$J123,'Weekly Log'!$A:$A,"&lt;"&amp;$J123+7)/COUNTIFS('Weekly Log'!$H:$H,"&lt;&gt;",'Weekly Log'!$A:$A,"&gt;="&amp;$J123,'Weekly Log'!$A:$A,"&lt;"&amp;$J123+7),0))</f>
        <v/>
      </c>
      <c r="E123" t="str">
        <f>IF($J123="","",IFERROR(AVERAGEIFS('Weekly Log'!$F:$F,'Weekly Log'!$A:$A,"&gt;="&amp;$J123,'Weekly Log'!$A:$A,"&lt;"&amp;$J123+7),0))</f>
        <v/>
      </c>
      <c r="F123" t="str">
        <f>IF($J123="","",IFERROR(SUMIFS('Weekly Log'!$F:$F,'Weekly Log'!$A:$A,"&gt;="&amp;$J123,'Weekly Log'!$A:$A,"&lt;"&amp;$J123+7)/SUMIFS('Weekly Log'!$E:$E,'Weekly Log'!$A:$A,"&gt;="&amp;$J123,'Weekly Log'!$A:$A,"&lt;"&amp;$J123+7),0))</f>
        <v/>
      </c>
      <c r="G123" t="str">
        <f>IF($J123="","",IFERROR(LOOKUP(2,1/(('Weekly Log'!$A$5:$A$5000&gt;=$J123)*('Weekly Log'!$A$5:$A$5000&lt;$J123+7)*('Weekly Log'!$M$5:$M$5000&lt;&gt;"")),'Weekly Log'!$M$5:$M$5000),0))</f>
        <v/>
      </c>
      <c r="J123" t="str">
        <f>IF(COUNT('Weekly Log'!$A$5:$A$5000)=0,"",IF(MIN('Weekly Log'!$A$5:$A$5000)+7*(ROW()-10)&gt;MAX('Weekly Log'!$A$5:$A$5000),"",MIN('Weekly Log'!$A$5:$A$5000)+7*(ROW()-10)))</f>
        <v/>
      </c>
    </row>
    <row r="124" spans="1:10" x14ac:dyDescent="0.25">
      <c r="A124" t="str">
        <f t="shared" si="1"/>
        <v/>
      </c>
      <c r="B124" t="str">
        <f>IF($J124="","",SUMIFS('Weekly Log'!$C:$C,'Weekly Log'!$A:$A,"&gt;="&amp;$J124,'Weekly Log'!$A:$A,"&lt;"&amp;$J124+7))</f>
        <v/>
      </c>
      <c r="C124" t="str">
        <f>IF($J124="","",IFERROR(COUNTIFS('Weekly Log'!$G:$G,"Y",'Weekly Log'!$A:$A,"&gt;="&amp;$J124,'Weekly Log'!$A:$A,"&lt;"&amp;$J124+7)/COUNTIFS('Weekly Log'!$G:$G,"&lt;&gt;",'Weekly Log'!$A:$A,"&gt;="&amp;$J124,'Weekly Log'!$A:$A,"&lt;"&amp;$J124+7),0))</f>
        <v/>
      </c>
      <c r="D124" t="str">
        <f>IF($J124="","",IFERROR(COUNTIFS('Weekly Log'!$H:$H,"Y",'Weekly Log'!$A:$A,"&gt;="&amp;$J124,'Weekly Log'!$A:$A,"&lt;"&amp;$J124+7)/COUNTIFS('Weekly Log'!$H:$H,"&lt;&gt;",'Weekly Log'!$A:$A,"&gt;="&amp;$J124,'Weekly Log'!$A:$A,"&lt;"&amp;$J124+7),0))</f>
        <v/>
      </c>
      <c r="E124" t="str">
        <f>IF($J124="","",IFERROR(AVERAGEIFS('Weekly Log'!$F:$F,'Weekly Log'!$A:$A,"&gt;="&amp;$J124,'Weekly Log'!$A:$A,"&lt;"&amp;$J124+7),0))</f>
        <v/>
      </c>
      <c r="F124" t="str">
        <f>IF($J124="","",IFERROR(SUMIFS('Weekly Log'!$F:$F,'Weekly Log'!$A:$A,"&gt;="&amp;$J124,'Weekly Log'!$A:$A,"&lt;"&amp;$J124+7)/SUMIFS('Weekly Log'!$E:$E,'Weekly Log'!$A:$A,"&gt;="&amp;$J124,'Weekly Log'!$A:$A,"&lt;"&amp;$J124+7),0))</f>
        <v/>
      </c>
      <c r="G124" t="str">
        <f>IF($J124="","",IFERROR(LOOKUP(2,1/(('Weekly Log'!$A$5:$A$5000&gt;=$J124)*('Weekly Log'!$A$5:$A$5000&lt;$J124+7)*('Weekly Log'!$M$5:$M$5000&lt;&gt;"")),'Weekly Log'!$M$5:$M$5000),0))</f>
        <v/>
      </c>
      <c r="J124" t="str">
        <f>IF(COUNT('Weekly Log'!$A$5:$A$5000)=0,"",IF(MIN('Weekly Log'!$A$5:$A$5000)+7*(ROW()-10)&gt;MAX('Weekly Log'!$A$5:$A$5000),"",MIN('Weekly Log'!$A$5:$A$5000)+7*(ROW()-10)))</f>
        <v/>
      </c>
    </row>
    <row r="125" spans="1:10" x14ac:dyDescent="0.25">
      <c r="A125" t="str">
        <f t="shared" si="1"/>
        <v/>
      </c>
      <c r="B125" t="str">
        <f>IF($J125="","",SUMIFS('Weekly Log'!$C:$C,'Weekly Log'!$A:$A,"&gt;="&amp;$J125,'Weekly Log'!$A:$A,"&lt;"&amp;$J125+7))</f>
        <v/>
      </c>
      <c r="C125" t="str">
        <f>IF($J125="","",IFERROR(COUNTIFS('Weekly Log'!$G:$G,"Y",'Weekly Log'!$A:$A,"&gt;="&amp;$J125,'Weekly Log'!$A:$A,"&lt;"&amp;$J125+7)/COUNTIFS('Weekly Log'!$G:$G,"&lt;&gt;",'Weekly Log'!$A:$A,"&gt;="&amp;$J125,'Weekly Log'!$A:$A,"&lt;"&amp;$J125+7),0))</f>
        <v/>
      </c>
      <c r="D125" t="str">
        <f>IF($J125="","",IFERROR(COUNTIFS('Weekly Log'!$H:$H,"Y",'Weekly Log'!$A:$A,"&gt;="&amp;$J125,'Weekly Log'!$A:$A,"&lt;"&amp;$J125+7)/COUNTIFS('Weekly Log'!$H:$H,"&lt;&gt;",'Weekly Log'!$A:$A,"&gt;="&amp;$J125,'Weekly Log'!$A:$A,"&lt;"&amp;$J125+7),0))</f>
        <v/>
      </c>
      <c r="E125" t="str">
        <f>IF($J125="","",IFERROR(AVERAGEIFS('Weekly Log'!$F:$F,'Weekly Log'!$A:$A,"&gt;="&amp;$J125,'Weekly Log'!$A:$A,"&lt;"&amp;$J125+7),0))</f>
        <v/>
      </c>
      <c r="F125" t="str">
        <f>IF($J125="","",IFERROR(SUMIFS('Weekly Log'!$F:$F,'Weekly Log'!$A:$A,"&gt;="&amp;$J125,'Weekly Log'!$A:$A,"&lt;"&amp;$J125+7)/SUMIFS('Weekly Log'!$E:$E,'Weekly Log'!$A:$A,"&gt;="&amp;$J125,'Weekly Log'!$A:$A,"&lt;"&amp;$J125+7),0))</f>
        <v/>
      </c>
      <c r="G125" t="str">
        <f>IF($J125="","",IFERROR(LOOKUP(2,1/(('Weekly Log'!$A$5:$A$5000&gt;=$J125)*('Weekly Log'!$A$5:$A$5000&lt;$J125+7)*('Weekly Log'!$M$5:$M$5000&lt;&gt;"")),'Weekly Log'!$M$5:$M$5000),0))</f>
        <v/>
      </c>
      <c r="J125" t="str">
        <f>IF(COUNT('Weekly Log'!$A$5:$A$5000)=0,"",IF(MIN('Weekly Log'!$A$5:$A$5000)+7*(ROW()-10)&gt;MAX('Weekly Log'!$A$5:$A$5000),"",MIN('Weekly Log'!$A$5:$A$5000)+7*(ROW()-10)))</f>
        <v/>
      </c>
    </row>
    <row r="126" spans="1:10" x14ac:dyDescent="0.25">
      <c r="A126" t="str">
        <f t="shared" si="1"/>
        <v/>
      </c>
      <c r="B126" t="str">
        <f>IF($J126="","",SUMIFS('Weekly Log'!$C:$C,'Weekly Log'!$A:$A,"&gt;="&amp;$J126,'Weekly Log'!$A:$A,"&lt;"&amp;$J126+7))</f>
        <v/>
      </c>
      <c r="C126" t="str">
        <f>IF($J126="","",IFERROR(COUNTIFS('Weekly Log'!$G:$G,"Y",'Weekly Log'!$A:$A,"&gt;="&amp;$J126,'Weekly Log'!$A:$A,"&lt;"&amp;$J126+7)/COUNTIFS('Weekly Log'!$G:$G,"&lt;&gt;",'Weekly Log'!$A:$A,"&gt;="&amp;$J126,'Weekly Log'!$A:$A,"&lt;"&amp;$J126+7),0))</f>
        <v/>
      </c>
      <c r="D126" t="str">
        <f>IF($J126="","",IFERROR(COUNTIFS('Weekly Log'!$H:$H,"Y",'Weekly Log'!$A:$A,"&gt;="&amp;$J126,'Weekly Log'!$A:$A,"&lt;"&amp;$J126+7)/COUNTIFS('Weekly Log'!$H:$H,"&lt;&gt;",'Weekly Log'!$A:$A,"&gt;="&amp;$J126,'Weekly Log'!$A:$A,"&lt;"&amp;$J126+7),0))</f>
        <v/>
      </c>
      <c r="E126" t="str">
        <f>IF($J126="","",IFERROR(AVERAGEIFS('Weekly Log'!$F:$F,'Weekly Log'!$A:$A,"&gt;="&amp;$J126,'Weekly Log'!$A:$A,"&lt;"&amp;$J126+7),0))</f>
        <v/>
      </c>
      <c r="F126" t="str">
        <f>IF($J126="","",IFERROR(SUMIFS('Weekly Log'!$F:$F,'Weekly Log'!$A:$A,"&gt;="&amp;$J126,'Weekly Log'!$A:$A,"&lt;"&amp;$J126+7)/SUMIFS('Weekly Log'!$E:$E,'Weekly Log'!$A:$A,"&gt;="&amp;$J126,'Weekly Log'!$A:$A,"&lt;"&amp;$J126+7),0))</f>
        <v/>
      </c>
      <c r="G126" t="str">
        <f>IF($J126="","",IFERROR(LOOKUP(2,1/(('Weekly Log'!$A$5:$A$5000&gt;=$J126)*('Weekly Log'!$A$5:$A$5000&lt;$J126+7)*('Weekly Log'!$M$5:$M$5000&lt;&gt;"")),'Weekly Log'!$M$5:$M$5000),0))</f>
        <v/>
      </c>
      <c r="J126" t="str">
        <f>IF(COUNT('Weekly Log'!$A$5:$A$5000)=0,"",IF(MIN('Weekly Log'!$A$5:$A$5000)+7*(ROW()-10)&gt;MAX('Weekly Log'!$A$5:$A$5000),"",MIN('Weekly Log'!$A$5:$A$5000)+7*(ROW()-10)))</f>
        <v/>
      </c>
    </row>
    <row r="127" spans="1:10" x14ac:dyDescent="0.25">
      <c r="A127" t="str">
        <f t="shared" si="1"/>
        <v/>
      </c>
      <c r="B127" t="str">
        <f>IF($J127="","",SUMIFS('Weekly Log'!$C:$C,'Weekly Log'!$A:$A,"&gt;="&amp;$J127,'Weekly Log'!$A:$A,"&lt;"&amp;$J127+7))</f>
        <v/>
      </c>
      <c r="C127" t="str">
        <f>IF($J127="","",IFERROR(COUNTIFS('Weekly Log'!$G:$G,"Y",'Weekly Log'!$A:$A,"&gt;="&amp;$J127,'Weekly Log'!$A:$A,"&lt;"&amp;$J127+7)/COUNTIFS('Weekly Log'!$G:$G,"&lt;&gt;",'Weekly Log'!$A:$A,"&gt;="&amp;$J127,'Weekly Log'!$A:$A,"&lt;"&amp;$J127+7),0))</f>
        <v/>
      </c>
      <c r="D127" t="str">
        <f>IF($J127="","",IFERROR(COUNTIFS('Weekly Log'!$H:$H,"Y",'Weekly Log'!$A:$A,"&gt;="&amp;$J127,'Weekly Log'!$A:$A,"&lt;"&amp;$J127+7)/COUNTIFS('Weekly Log'!$H:$H,"&lt;&gt;",'Weekly Log'!$A:$A,"&gt;="&amp;$J127,'Weekly Log'!$A:$A,"&lt;"&amp;$J127+7),0))</f>
        <v/>
      </c>
      <c r="E127" t="str">
        <f>IF($J127="","",IFERROR(AVERAGEIFS('Weekly Log'!$F:$F,'Weekly Log'!$A:$A,"&gt;="&amp;$J127,'Weekly Log'!$A:$A,"&lt;"&amp;$J127+7),0))</f>
        <v/>
      </c>
      <c r="F127" t="str">
        <f>IF($J127="","",IFERROR(SUMIFS('Weekly Log'!$F:$F,'Weekly Log'!$A:$A,"&gt;="&amp;$J127,'Weekly Log'!$A:$A,"&lt;"&amp;$J127+7)/SUMIFS('Weekly Log'!$E:$E,'Weekly Log'!$A:$A,"&gt;="&amp;$J127,'Weekly Log'!$A:$A,"&lt;"&amp;$J127+7),0))</f>
        <v/>
      </c>
      <c r="G127" t="str">
        <f>IF($J127="","",IFERROR(LOOKUP(2,1/(('Weekly Log'!$A$5:$A$5000&gt;=$J127)*('Weekly Log'!$A$5:$A$5000&lt;$J127+7)*('Weekly Log'!$M$5:$M$5000&lt;&gt;"")),'Weekly Log'!$M$5:$M$5000),0))</f>
        <v/>
      </c>
      <c r="J127" t="str">
        <f>IF(COUNT('Weekly Log'!$A$5:$A$5000)=0,"",IF(MIN('Weekly Log'!$A$5:$A$5000)+7*(ROW()-10)&gt;MAX('Weekly Log'!$A$5:$A$5000),"",MIN('Weekly Log'!$A$5:$A$5000)+7*(ROW()-10)))</f>
        <v/>
      </c>
    </row>
    <row r="128" spans="1:10" x14ac:dyDescent="0.25">
      <c r="A128" t="str">
        <f t="shared" si="1"/>
        <v/>
      </c>
      <c r="B128" t="str">
        <f>IF($J128="","",SUMIFS('Weekly Log'!$C:$C,'Weekly Log'!$A:$A,"&gt;="&amp;$J128,'Weekly Log'!$A:$A,"&lt;"&amp;$J128+7))</f>
        <v/>
      </c>
      <c r="C128" t="str">
        <f>IF($J128="","",IFERROR(COUNTIFS('Weekly Log'!$G:$G,"Y",'Weekly Log'!$A:$A,"&gt;="&amp;$J128,'Weekly Log'!$A:$A,"&lt;"&amp;$J128+7)/COUNTIFS('Weekly Log'!$G:$G,"&lt;&gt;",'Weekly Log'!$A:$A,"&gt;="&amp;$J128,'Weekly Log'!$A:$A,"&lt;"&amp;$J128+7),0))</f>
        <v/>
      </c>
      <c r="D128" t="str">
        <f>IF($J128="","",IFERROR(COUNTIFS('Weekly Log'!$H:$H,"Y",'Weekly Log'!$A:$A,"&gt;="&amp;$J128,'Weekly Log'!$A:$A,"&lt;"&amp;$J128+7)/COUNTIFS('Weekly Log'!$H:$H,"&lt;&gt;",'Weekly Log'!$A:$A,"&gt;="&amp;$J128,'Weekly Log'!$A:$A,"&lt;"&amp;$J128+7),0))</f>
        <v/>
      </c>
      <c r="E128" t="str">
        <f>IF($J128="","",IFERROR(AVERAGEIFS('Weekly Log'!$F:$F,'Weekly Log'!$A:$A,"&gt;="&amp;$J128,'Weekly Log'!$A:$A,"&lt;"&amp;$J128+7),0))</f>
        <v/>
      </c>
      <c r="F128" t="str">
        <f>IF($J128="","",IFERROR(SUMIFS('Weekly Log'!$F:$F,'Weekly Log'!$A:$A,"&gt;="&amp;$J128,'Weekly Log'!$A:$A,"&lt;"&amp;$J128+7)/SUMIFS('Weekly Log'!$E:$E,'Weekly Log'!$A:$A,"&gt;="&amp;$J128,'Weekly Log'!$A:$A,"&lt;"&amp;$J128+7),0))</f>
        <v/>
      </c>
      <c r="G128" t="str">
        <f>IF($J128="","",IFERROR(LOOKUP(2,1/(('Weekly Log'!$A$5:$A$5000&gt;=$J128)*('Weekly Log'!$A$5:$A$5000&lt;$J128+7)*('Weekly Log'!$M$5:$M$5000&lt;&gt;"")),'Weekly Log'!$M$5:$M$5000),0))</f>
        <v/>
      </c>
      <c r="J128" t="str">
        <f>IF(COUNT('Weekly Log'!$A$5:$A$5000)=0,"",IF(MIN('Weekly Log'!$A$5:$A$5000)+7*(ROW()-10)&gt;MAX('Weekly Log'!$A$5:$A$5000),"",MIN('Weekly Log'!$A$5:$A$5000)+7*(ROW()-10)))</f>
        <v/>
      </c>
    </row>
    <row r="129" spans="1:10" x14ac:dyDescent="0.25">
      <c r="A129" t="str">
        <f t="shared" si="1"/>
        <v/>
      </c>
      <c r="B129" t="str">
        <f>IF($J129="","",SUMIFS('Weekly Log'!$C:$C,'Weekly Log'!$A:$A,"&gt;="&amp;$J129,'Weekly Log'!$A:$A,"&lt;"&amp;$J129+7))</f>
        <v/>
      </c>
      <c r="C129" t="str">
        <f>IF($J129="","",IFERROR(COUNTIFS('Weekly Log'!$G:$G,"Y",'Weekly Log'!$A:$A,"&gt;="&amp;$J129,'Weekly Log'!$A:$A,"&lt;"&amp;$J129+7)/COUNTIFS('Weekly Log'!$G:$G,"&lt;&gt;",'Weekly Log'!$A:$A,"&gt;="&amp;$J129,'Weekly Log'!$A:$A,"&lt;"&amp;$J129+7),0))</f>
        <v/>
      </c>
      <c r="D129" t="str">
        <f>IF($J129="","",IFERROR(COUNTIFS('Weekly Log'!$H:$H,"Y",'Weekly Log'!$A:$A,"&gt;="&amp;$J129,'Weekly Log'!$A:$A,"&lt;"&amp;$J129+7)/COUNTIFS('Weekly Log'!$H:$H,"&lt;&gt;",'Weekly Log'!$A:$A,"&gt;="&amp;$J129,'Weekly Log'!$A:$A,"&lt;"&amp;$J129+7),0))</f>
        <v/>
      </c>
      <c r="E129" t="str">
        <f>IF($J129="","",IFERROR(AVERAGEIFS('Weekly Log'!$F:$F,'Weekly Log'!$A:$A,"&gt;="&amp;$J129,'Weekly Log'!$A:$A,"&lt;"&amp;$J129+7),0))</f>
        <v/>
      </c>
      <c r="F129" t="str">
        <f>IF($J129="","",IFERROR(SUMIFS('Weekly Log'!$F:$F,'Weekly Log'!$A:$A,"&gt;="&amp;$J129,'Weekly Log'!$A:$A,"&lt;"&amp;$J129+7)/SUMIFS('Weekly Log'!$E:$E,'Weekly Log'!$A:$A,"&gt;="&amp;$J129,'Weekly Log'!$A:$A,"&lt;"&amp;$J129+7),0))</f>
        <v/>
      </c>
      <c r="G129" t="str">
        <f>IF($J129="","",IFERROR(LOOKUP(2,1/(('Weekly Log'!$A$5:$A$5000&gt;=$J129)*('Weekly Log'!$A$5:$A$5000&lt;$J129+7)*('Weekly Log'!$M$5:$M$5000&lt;&gt;"")),'Weekly Log'!$M$5:$M$5000),0))</f>
        <v/>
      </c>
      <c r="J129" t="str">
        <f>IF(COUNT('Weekly Log'!$A$5:$A$5000)=0,"",IF(MIN('Weekly Log'!$A$5:$A$5000)+7*(ROW()-10)&gt;MAX('Weekly Log'!$A$5:$A$5000),"",MIN('Weekly Log'!$A$5:$A$5000)+7*(ROW()-10)))</f>
        <v/>
      </c>
    </row>
    <row r="130" spans="1:10" x14ac:dyDescent="0.25">
      <c r="A130" t="str">
        <f t="shared" si="1"/>
        <v/>
      </c>
      <c r="B130" t="str">
        <f>IF($J130="","",SUMIFS('Weekly Log'!$C:$C,'Weekly Log'!$A:$A,"&gt;="&amp;$J130,'Weekly Log'!$A:$A,"&lt;"&amp;$J130+7))</f>
        <v/>
      </c>
      <c r="C130" t="str">
        <f>IF($J130="","",IFERROR(COUNTIFS('Weekly Log'!$G:$G,"Y",'Weekly Log'!$A:$A,"&gt;="&amp;$J130,'Weekly Log'!$A:$A,"&lt;"&amp;$J130+7)/COUNTIFS('Weekly Log'!$G:$G,"&lt;&gt;",'Weekly Log'!$A:$A,"&gt;="&amp;$J130,'Weekly Log'!$A:$A,"&lt;"&amp;$J130+7),0))</f>
        <v/>
      </c>
      <c r="D130" t="str">
        <f>IF($J130="","",IFERROR(COUNTIFS('Weekly Log'!$H:$H,"Y",'Weekly Log'!$A:$A,"&gt;="&amp;$J130,'Weekly Log'!$A:$A,"&lt;"&amp;$J130+7)/COUNTIFS('Weekly Log'!$H:$H,"&lt;&gt;",'Weekly Log'!$A:$A,"&gt;="&amp;$J130,'Weekly Log'!$A:$A,"&lt;"&amp;$J130+7),0))</f>
        <v/>
      </c>
      <c r="E130" t="str">
        <f>IF($J130="","",IFERROR(AVERAGEIFS('Weekly Log'!$F:$F,'Weekly Log'!$A:$A,"&gt;="&amp;$J130,'Weekly Log'!$A:$A,"&lt;"&amp;$J130+7),0))</f>
        <v/>
      </c>
      <c r="F130" t="str">
        <f>IF($J130="","",IFERROR(SUMIFS('Weekly Log'!$F:$F,'Weekly Log'!$A:$A,"&gt;="&amp;$J130,'Weekly Log'!$A:$A,"&lt;"&amp;$J130+7)/SUMIFS('Weekly Log'!$E:$E,'Weekly Log'!$A:$A,"&gt;="&amp;$J130,'Weekly Log'!$A:$A,"&lt;"&amp;$J130+7),0))</f>
        <v/>
      </c>
      <c r="G130" t="str">
        <f>IF($J130="","",IFERROR(LOOKUP(2,1/(('Weekly Log'!$A$5:$A$5000&gt;=$J130)*('Weekly Log'!$A$5:$A$5000&lt;$J130+7)*('Weekly Log'!$M$5:$M$5000&lt;&gt;"")),'Weekly Log'!$M$5:$M$5000),0))</f>
        <v/>
      </c>
      <c r="J130" t="str">
        <f>IF(COUNT('Weekly Log'!$A$5:$A$5000)=0,"",IF(MIN('Weekly Log'!$A$5:$A$5000)+7*(ROW()-10)&gt;MAX('Weekly Log'!$A$5:$A$5000),"",MIN('Weekly Log'!$A$5:$A$5000)+7*(ROW()-10)))</f>
        <v/>
      </c>
    </row>
    <row r="131" spans="1:10" x14ac:dyDescent="0.25">
      <c r="A131" t="str">
        <f t="shared" si="1"/>
        <v/>
      </c>
      <c r="B131" t="str">
        <f>IF($J131="","",SUMIFS('Weekly Log'!$C:$C,'Weekly Log'!$A:$A,"&gt;="&amp;$J131,'Weekly Log'!$A:$A,"&lt;"&amp;$J131+7))</f>
        <v/>
      </c>
      <c r="C131" t="str">
        <f>IF($J131="","",IFERROR(COUNTIFS('Weekly Log'!$G:$G,"Y",'Weekly Log'!$A:$A,"&gt;="&amp;$J131,'Weekly Log'!$A:$A,"&lt;"&amp;$J131+7)/COUNTIFS('Weekly Log'!$G:$G,"&lt;&gt;",'Weekly Log'!$A:$A,"&gt;="&amp;$J131,'Weekly Log'!$A:$A,"&lt;"&amp;$J131+7),0))</f>
        <v/>
      </c>
      <c r="D131" t="str">
        <f>IF($J131="","",IFERROR(COUNTIFS('Weekly Log'!$H:$H,"Y",'Weekly Log'!$A:$A,"&gt;="&amp;$J131,'Weekly Log'!$A:$A,"&lt;"&amp;$J131+7)/COUNTIFS('Weekly Log'!$H:$H,"&lt;&gt;",'Weekly Log'!$A:$A,"&gt;="&amp;$J131,'Weekly Log'!$A:$A,"&lt;"&amp;$J131+7),0))</f>
        <v/>
      </c>
      <c r="E131" t="str">
        <f>IF($J131="","",IFERROR(AVERAGEIFS('Weekly Log'!$F:$F,'Weekly Log'!$A:$A,"&gt;="&amp;$J131,'Weekly Log'!$A:$A,"&lt;"&amp;$J131+7),0))</f>
        <v/>
      </c>
      <c r="F131" t="str">
        <f>IF($J131="","",IFERROR(SUMIFS('Weekly Log'!$F:$F,'Weekly Log'!$A:$A,"&gt;="&amp;$J131,'Weekly Log'!$A:$A,"&lt;"&amp;$J131+7)/SUMIFS('Weekly Log'!$E:$E,'Weekly Log'!$A:$A,"&gt;="&amp;$J131,'Weekly Log'!$A:$A,"&lt;"&amp;$J131+7),0))</f>
        <v/>
      </c>
      <c r="G131" t="str">
        <f>IF($J131="","",IFERROR(LOOKUP(2,1/(('Weekly Log'!$A$5:$A$5000&gt;=$J131)*('Weekly Log'!$A$5:$A$5000&lt;$J131+7)*('Weekly Log'!$M$5:$M$5000&lt;&gt;"")),'Weekly Log'!$M$5:$M$5000),0))</f>
        <v/>
      </c>
      <c r="J131" t="str">
        <f>IF(COUNT('Weekly Log'!$A$5:$A$5000)=0,"",IF(MIN('Weekly Log'!$A$5:$A$5000)+7*(ROW()-10)&gt;MAX('Weekly Log'!$A$5:$A$5000),"",MIN('Weekly Log'!$A$5:$A$5000)+7*(ROW()-10)))</f>
        <v/>
      </c>
    </row>
    <row r="132" spans="1:10" x14ac:dyDescent="0.25">
      <c r="A132" t="str">
        <f t="shared" si="1"/>
        <v/>
      </c>
      <c r="B132" t="str">
        <f>IF($J132="","",SUMIFS('Weekly Log'!$C:$C,'Weekly Log'!$A:$A,"&gt;="&amp;$J132,'Weekly Log'!$A:$A,"&lt;"&amp;$J132+7))</f>
        <v/>
      </c>
      <c r="C132" t="str">
        <f>IF($J132="","",IFERROR(COUNTIFS('Weekly Log'!$G:$G,"Y",'Weekly Log'!$A:$A,"&gt;="&amp;$J132,'Weekly Log'!$A:$A,"&lt;"&amp;$J132+7)/COUNTIFS('Weekly Log'!$G:$G,"&lt;&gt;",'Weekly Log'!$A:$A,"&gt;="&amp;$J132,'Weekly Log'!$A:$A,"&lt;"&amp;$J132+7),0))</f>
        <v/>
      </c>
      <c r="D132" t="str">
        <f>IF($J132="","",IFERROR(COUNTIFS('Weekly Log'!$H:$H,"Y",'Weekly Log'!$A:$A,"&gt;="&amp;$J132,'Weekly Log'!$A:$A,"&lt;"&amp;$J132+7)/COUNTIFS('Weekly Log'!$H:$H,"&lt;&gt;",'Weekly Log'!$A:$A,"&gt;="&amp;$J132,'Weekly Log'!$A:$A,"&lt;"&amp;$J132+7),0))</f>
        <v/>
      </c>
      <c r="E132" t="str">
        <f>IF($J132="","",IFERROR(AVERAGEIFS('Weekly Log'!$F:$F,'Weekly Log'!$A:$A,"&gt;="&amp;$J132,'Weekly Log'!$A:$A,"&lt;"&amp;$J132+7),0))</f>
        <v/>
      </c>
      <c r="F132" t="str">
        <f>IF($J132="","",IFERROR(SUMIFS('Weekly Log'!$F:$F,'Weekly Log'!$A:$A,"&gt;="&amp;$J132,'Weekly Log'!$A:$A,"&lt;"&amp;$J132+7)/SUMIFS('Weekly Log'!$E:$E,'Weekly Log'!$A:$A,"&gt;="&amp;$J132,'Weekly Log'!$A:$A,"&lt;"&amp;$J132+7),0))</f>
        <v/>
      </c>
      <c r="G132" t="str">
        <f>IF($J132="","",IFERROR(LOOKUP(2,1/(('Weekly Log'!$A$5:$A$5000&gt;=$J132)*('Weekly Log'!$A$5:$A$5000&lt;$J132+7)*('Weekly Log'!$M$5:$M$5000&lt;&gt;"")),'Weekly Log'!$M$5:$M$5000),0))</f>
        <v/>
      </c>
      <c r="J132" t="str">
        <f>IF(COUNT('Weekly Log'!$A$5:$A$5000)=0,"",IF(MIN('Weekly Log'!$A$5:$A$5000)+7*(ROW()-10)&gt;MAX('Weekly Log'!$A$5:$A$5000),"",MIN('Weekly Log'!$A$5:$A$5000)+7*(ROW()-10)))</f>
        <v/>
      </c>
    </row>
    <row r="133" spans="1:10" x14ac:dyDescent="0.25">
      <c r="A133" t="str">
        <f t="shared" si="1"/>
        <v/>
      </c>
      <c r="B133" t="str">
        <f>IF($J133="","",SUMIFS('Weekly Log'!$C:$C,'Weekly Log'!$A:$A,"&gt;="&amp;$J133,'Weekly Log'!$A:$A,"&lt;"&amp;$J133+7))</f>
        <v/>
      </c>
      <c r="C133" t="str">
        <f>IF($J133="","",IFERROR(COUNTIFS('Weekly Log'!$G:$G,"Y",'Weekly Log'!$A:$A,"&gt;="&amp;$J133,'Weekly Log'!$A:$A,"&lt;"&amp;$J133+7)/COUNTIFS('Weekly Log'!$G:$G,"&lt;&gt;",'Weekly Log'!$A:$A,"&gt;="&amp;$J133,'Weekly Log'!$A:$A,"&lt;"&amp;$J133+7),0))</f>
        <v/>
      </c>
      <c r="D133" t="str">
        <f>IF($J133="","",IFERROR(COUNTIFS('Weekly Log'!$H:$H,"Y",'Weekly Log'!$A:$A,"&gt;="&amp;$J133,'Weekly Log'!$A:$A,"&lt;"&amp;$J133+7)/COUNTIFS('Weekly Log'!$H:$H,"&lt;&gt;",'Weekly Log'!$A:$A,"&gt;="&amp;$J133,'Weekly Log'!$A:$A,"&lt;"&amp;$J133+7),0))</f>
        <v/>
      </c>
      <c r="E133" t="str">
        <f>IF($J133="","",IFERROR(AVERAGEIFS('Weekly Log'!$F:$F,'Weekly Log'!$A:$A,"&gt;="&amp;$J133,'Weekly Log'!$A:$A,"&lt;"&amp;$J133+7),0))</f>
        <v/>
      </c>
      <c r="F133" t="str">
        <f>IF($J133="","",IFERROR(SUMIFS('Weekly Log'!$F:$F,'Weekly Log'!$A:$A,"&gt;="&amp;$J133,'Weekly Log'!$A:$A,"&lt;"&amp;$J133+7)/SUMIFS('Weekly Log'!$E:$E,'Weekly Log'!$A:$A,"&gt;="&amp;$J133,'Weekly Log'!$A:$A,"&lt;"&amp;$J133+7),0))</f>
        <v/>
      </c>
      <c r="G133" t="str">
        <f>IF($J133="","",IFERROR(LOOKUP(2,1/(('Weekly Log'!$A$5:$A$5000&gt;=$J133)*('Weekly Log'!$A$5:$A$5000&lt;$J133+7)*('Weekly Log'!$M$5:$M$5000&lt;&gt;"")),'Weekly Log'!$M$5:$M$5000),0))</f>
        <v/>
      </c>
      <c r="J133" t="str">
        <f>IF(COUNT('Weekly Log'!$A$5:$A$5000)=0,"",IF(MIN('Weekly Log'!$A$5:$A$5000)+7*(ROW()-10)&gt;MAX('Weekly Log'!$A$5:$A$5000),"",MIN('Weekly Log'!$A$5:$A$5000)+7*(ROW()-10)))</f>
        <v/>
      </c>
    </row>
    <row r="134" spans="1:10" x14ac:dyDescent="0.25">
      <c r="A134" t="str">
        <f t="shared" si="1"/>
        <v/>
      </c>
      <c r="B134" t="str">
        <f>IF($J134="","",SUMIFS('Weekly Log'!$C:$C,'Weekly Log'!$A:$A,"&gt;="&amp;$J134,'Weekly Log'!$A:$A,"&lt;"&amp;$J134+7))</f>
        <v/>
      </c>
      <c r="C134" t="str">
        <f>IF($J134="","",IFERROR(COUNTIFS('Weekly Log'!$G:$G,"Y",'Weekly Log'!$A:$A,"&gt;="&amp;$J134,'Weekly Log'!$A:$A,"&lt;"&amp;$J134+7)/COUNTIFS('Weekly Log'!$G:$G,"&lt;&gt;",'Weekly Log'!$A:$A,"&gt;="&amp;$J134,'Weekly Log'!$A:$A,"&lt;"&amp;$J134+7),0))</f>
        <v/>
      </c>
      <c r="D134" t="str">
        <f>IF($J134="","",IFERROR(COUNTIFS('Weekly Log'!$H:$H,"Y",'Weekly Log'!$A:$A,"&gt;="&amp;$J134,'Weekly Log'!$A:$A,"&lt;"&amp;$J134+7)/COUNTIFS('Weekly Log'!$H:$H,"&lt;&gt;",'Weekly Log'!$A:$A,"&gt;="&amp;$J134,'Weekly Log'!$A:$A,"&lt;"&amp;$J134+7),0))</f>
        <v/>
      </c>
      <c r="E134" t="str">
        <f>IF($J134="","",IFERROR(AVERAGEIFS('Weekly Log'!$F:$F,'Weekly Log'!$A:$A,"&gt;="&amp;$J134,'Weekly Log'!$A:$A,"&lt;"&amp;$J134+7),0))</f>
        <v/>
      </c>
      <c r="F134" t="str">
        <f>IF($J134="","",IFERROR(SUMIFS('Weekly Log'!$F:$F,'Weekly Log'!$A:$A,"&gt;="&amp;$J134,'Weekly Log'!$A:$A,"&lt;"&amp;$J134+7)/SUMIFS('Weekly Log'!$E:$E,'Weekly Log'!$A:$A,"&gt;="&amp;$J134,'Weekly Log'!$A:$A,"&lt;"&amp;$J134+7),0))</f>
        <v/>
      </c>
      <c r="G134" t="str">
        <f>IF($J134="","",IFERROR(LOOKUP(2,1/(('Weekly Log'!$A$5:$A$5000&gt;=$J134)*('Weekly Log'!$A$5:$A$5000&lt;$J134+7)*('Weekly Log'!$M$5:$M$5000&lt;&gt;"")),'Weekly Log'!$M$5:$M$5000),0))</f>
        <v/>
      </c>
      <c r="J134" t="str">
        <f>IF(COUNT('Weekly Log'!$A$5:$A$5000)=0,"",IF(MIN('Weekly Log'!$A$5:$A$5000)+7*(ROW()-10)&gt;MAX('Weekly Log'!$A$5:$A$5000),"",MIN('Weekly Log'!$A$5:$A$5000)+7*(ROW()-10)))</f>
        <v/>
      </c>
    </row>
    <row r="135" spans="1:10" x14ac:dyDescent="0.25">
      <c r="A135" t="str">
        <f t="shared" si="1"/>
        <v/>
      </c>
      <c r="B135" t="str">
        <f>IF($J135="","",SUMIFS('Weekly Log'!$C:$C,'Weekly Log'!$A:$A,"&gt;="&amp;$J135,'Weekly Log'!$A:$A,"&lt;"&amp;$J135+7))</f>
        <v/>
      </c>
      <c r="C135" t="str">
        <f>IF($J135="","",IFERROR(COUNTIFS('Weekly Log'!$G:$G,"Y",'Weekly Log'!$A:$A,"&gt;="&amp;$J135,'Weekly Log'!$A:$A,"&lt;"&amp;$J135+7)/COUNTIFS('Weekly Log'!$G:$G,"&lt;&gt;",'Weekly Log'!$A:$A,"&gt;="&amp;$J135,'Weekly Log'!$A:$A,"&lt;"&amp;$J135+7),0))</f>
        <v/>
      </c>
      <c r="D135" t="str">
        <f>IF($J135="","",IFERROR(COUNTIFS('Weekly Log'!$H:$H,"Y",'Weekly Log'!$A:$A,"&gt;="&amp;$J135,'Weekly Log'!$A:$A,"&lt;"&amp;$J135+7)/COUNTIFS('Weekly Log'!$H:$H,"&lt;&gt;",'Weekly Log'!$A:$A,"&gt;="&amp;$J135,'Weekly Log'!$A:$A,"&lt;"&amp;$J135+7),0))</f>
        <v/>
      </c>
      <c r="E135" t="str">
        <f>IF($J135="","",IFERROR(AVERAGEIFS('Weekly Log'!$F:$F,'Weekly Log'!$A:$A,"&gt;="&amp;$J135,'Weekly Log'!$A:$A,"&lt;"&amp;$J135+7),0))</f>
        <v/>
      </c>
      <c r="F135" t="str">
        <f>IF($J135="","",IFERROR(SUMIFS('Weekly Log'!$F:$F,'Weekly Log'!$A:$A,"&gt;="&amp;$J135,'Weekly Log'!$A:$A,"&lt;"&amp;$J135+7)/SUMIFS('Weekly Log'!$E:$E,'Weekly Log'!$A:$A,"&gt;="&amp;$J135,'Weekly Log'!$A:$A,"&lt;"&amp;$J135+7),0))</f>
        <v/>
      </c>
      <c r="G135" t="str">
        <f>IF($J135="","",IFERROR(LOOKUP(2,1/(('Weekly Log'!$A$5:$A$5000&gt;=$J135)*('Weekly Log'!$A$5:$A$5000&lt;$J135+7)*('Weekly Log'!$M$5:$M$5000&lt;&gt;"")),'Weekly Log'!$M$5:$M$5000),0))</f>
        <v/>
      </c>
      <c r="J135" t="str">
        <f>IF(COUNT('Weekly Log'!$A$5:$A$5000)=0,"",IF(MIN('Weekly Log'!$A$5:$A$5000)+7*(ROW()-10)&gt;MAX('Weekly Log'!$A$5:$A$5000),"",MIN('Weekly Log'!$A$5:$A$5000)+7*(ROW()-10)))</f>
        <v/>
      </c>
    </row>
    <row r="136" spans="1:10" x14ac:dyDescent="0.25">
      <c r="A136" t="str">
        <f t="shared" si="1"/>
        <v/>
      </c>
      <c r="B136" t="str">
        <f>IF($J136="","",SUMIFS('Weekly Log'!$C:$C,'Weekly Log'!$A:$A,"&gt;="&amp;$J136,'Weekly Log'!$A:$A,"&lt;"&amp;$J136+7))</f>
        <v/>
      </c>
      <c r="C136" t="str">
        <f>IF($J136="","",IFERROR(COUNTIFS('Weekly Log'!$G:$G,"Y",'Weekly Log'!$A:$A,"&gt;="&amp;$J136,'Weekly Log'!$A:$A,"&lt;"&amp;$J136+7)/COUNTIFS('Weekly Log'!$G:$G,"&lt;&gt;",'Weekly Log'!$A:$A,"&gt;="&amp;$J136,'Weekly Log'!$A:$A,"&lt;"&amp;$J136+7),0))</f>
        <v/>
      </c>
      <c r="D136" t="str">
        <f>IF($J136="","",IFERROR(COUNTIFS('Weekly Log'!$H:$H,"Y",'Weekly Log'!$A:$A,"&gt;="&amp;$J136,'Weekly Log'!$A:$A,"&lt;"&amp;$J136+7)/COUNTIFS('Weekly Log'!$H:$H,"&lt;&gt;",'Weekly Log'!$A:$A,"&gt;="&amp;$J136,'Weekly Log'!$A:$A,"&lt;"&amp;$J136+7),0))</f>
        <v/>
      </c>
      <c r="E136" t="str">
        <f>IF($J136="","",IFERROR(AVERAGEIFS('Weekly Log'!$F:$F,'Weekly Log'!$A:$A,"&gt;="&amp;$J136,'Weekly Log'!$A:$A,"&lt;"&amp;$J136+7),0))</f>
        <v/>
      </c>
      <c r="F136" t="str">
        <f>IF($J136="","",IFERROR(SUMIFS('Weekly Log'!$F:$F,'Weekly Log'!$A:$A,"&gt;="&amp;$J136,'Weekly Log'!$A:$A,"&lt;"&amp;$J136+7)/SUMIFS('Weekly Log'!$E:$E,'Weekly Log'!$A:$A,"&gt;="&amp;$J136,'Weekly Log'!$A:$A,"&lt;"&amp;$J136+7),0))</f>
        <v/>
      </c>
      <c r="G136" t="str">
        <f>IF($J136="","",IFERROR(LOOKUP(2,1/(('Weekly Log'!$A$5:$A$5000&gt;=$J136)*('Weekly Log'!$A$5:$A$5000&lt;$J136+7)*('Weekly Log'!$M$5:$M$5000&lt;&gt;"")),'Weekly Log'!$M$5:$M$5000),0))</f>
        <v/>
      </c>
      <c r="J136" t="str">
        <f>IF(COUNT('Weekly Log'!$A$5:$A$5000)=0,"",IF(MIN('Weekly Log'!$A$5:$A$5000)+7*(ROW()-10)&gt;MAX('Weekly Log'!$A$5:$A$5000),"",MIN('Weekly Log'!$A$5:$A$5000)+7*(ROW()-10)))</f>
        <v/>
      </c>
    </row>
    <row r="137" spans="1:10" x14ac:dyDescent="0.25">
      <c r="A137" t="str">
        <f t="shared" si="1"/>
        <v/>
      </c>
      <c r="B137" t="str">
        <f>IF($J137="","",SUMIFS('Weekly Log'!$C:$C,'Weekly Log'!$A:$A,"&gt;="&amp;$J137,'Weekly Log'!$A:$A,"&lt;"&amp;$J137+7))</f>
        <v/>
      </c>
      <c r="C137" t="str">
        <f>IF($J137="","",IFERROR(COUNTIFS('Weekly Log'!$G:$G,"Y",'Weekly Log'!$A:$A,"&gt;="&amp;$J137,'Weekly Log'!$A:$A,"&lt;"&amp;$J137+7)/COUNTIFS('Weekly Log'!$G:$G,"&lt;&gt;",'Weekly Log'!$A:$A,"&gt;="&amp;$J137,'Weekly Log'!$A:$A,"&lt;"&amp;$J137+7),0))</f>
        <v/>
      </c>
      <c r="D137" t="str">
        <f>IF($J137="","",IFERROR(COUNTIFS('Weekly Log'!$H:$H,"Y",'Weekly Log'!$A:$A,"&gt;="&amp;$J137,'Weekly Log'!$A:$A,"&lt;"&amp;$J137+7)/COUNTIFS('Weekly Log'!$H:$H,"&lt;&gt;",'Weekly Log'!$A:$A,"&gt;="&amp;$J137,'Weekly Log'!$A:$A,"&lt;"&amp;$J137+7),0))</f>
        <v/>
      </c>
      <c r="E137" t="str">
        <f>IF($J137="","",IFERROR(AVERAGEIFS('Weekly Log'!$F:$F,'Weekly Log'!$A:$A,"&gt;="&amp;$J137,'Weekly Log'!$A:$A,"&lt;"&amp;$J137+7),0))</f>
        <v/>
      </c>
      <c r="F137" t="str">
        <f>IF($J137="","",IFERROR(SUMIFS('Weekly Log'!$F:$F,'Weekly Log'!$A:$A,"&gt;="&amp;$J137,'Weekly Log'!$A:$A,"&lt;"&amp;$J137+7)/SUMIFS('Weekly Log'!$E:$E,'Weekly Log'!$A:$A,"&gt;="&amp;$J137,'Weekly Log'!$A:$A,"&lt;"&amp;$J137+7),0))</f>
        <v/>
      </c>
      <c r="G137" t="str">
        <f>IF($J137="","",IFERROR(LOOKUP(2,1/(('Weekly Log'!$A$5:$A$5000&gt;=$J137)*('Weekly Log'!$A$5:$A$5000&lt;$J137+7)*('Weekly Log'!$M$5:$M$5000&lt;&gt;"")),'Weekly Log'!$M$5:$M$5000),0))</f>
        <v/>
      </c>
      <c r="J137" t="str">
        <f>IF(COUNT('Weekly Log'!$A$5:$A$5000)=0,"",IF(MIN('Weekly Log'!$A$5:$A$5000)+7*(ROW()-10)&gt;MAX('Weekly Log'!$A$5:$A$5000),"",MIN('Weekly Log'!$A$5:$A$5000)+7*(ROW()-10)))</f>
        <v/>
      </c>
    </row>
    <row r="138" spans="1:10" x14ac:dyDescent="0.25">
      <c r="A138" t="str">
        <f t="shared" ref="A138:A201" si="2">IF($J138="","",YEAR($J138-WEEKDAY($J138,2)+4)&amp;"-W"&amp;TEXT(WEEKNUM($J138,21),"00"))</f>
        <v/>
      </c>
      <c r="B138" t="str">
        <f>IF($J138="","",SUMIFS('Weekly Log'!$C:$C,'Weekly Log'!$A:$A,"&gt;="&amp;$J138,'Weekly Log'!$A:$A,"&lt;"&amp;$J138+7))</f>
        <v/>
      </c>
      <c r="C138" t="str">
        <f>IF($J138="","",IFERROR(COUNTIFS('Weekly Log'!$G:$G,"Y",'Weekly Log'!$A:$A,"&gt;="&amp;$J138,'Weekly Log'!$A:$A,"&lt;"&amp;$J138+7)/COUNTIFS('Weekly Log'!$G:$G,"&lt;&gt;",'Weekly Log'!$A:$A,"&gt;="&amp;$J138,'Weekly Log'!$A:$A,"&lt;"&amp;$J138+7),0))</f>
        <v/>
      </c>
      <c r="D138" t="str">
        <f>IF($J138="","",IFERROR(COUNTIFS('Weekly Log'!$H:$H,"Y",'Weekly Log'!$A:$A,"&gt;="&amp;$J138,'Weekly Log'!$A:$A,"&lt;"&amp;$J138+7)/COUNTIFS('Weekly Log'!$H:$H,"&lt;&gt;",'Weekly Log'!$A:$A,"&gt;="&amp;$J138,'Weekly Log'!$A:$A,"&lt;"&amp;$J138+7),0))</f>
        <v/>
      </c>
      <c r="E138" t="str">
        <f>IF($J138="","",IFERROR(AVERAGEIFS('Weekly Log'!$F:$F,'Weekly Log'!$A:$A,"&gt;="&amp;$J138,'Weekly Log'!$A:$A,"&lt;"&amp;$J138+7),0))</f>
        <v/>
      </c>
      <c r="F138" t="str">
        <f>IF($J138="","",IFERROR(SUMIFS('Weekly Log'!$F:$F,'Weekly Log'!$A:$A,"&gt;="&amp;$J138,'Weekly Log'!$A:$A,"&lt;"&amp;$J138+7)/SUMIFS('Weekly Log'!$E:$E,'Weekly Log'!$A:$A,"&gt;="&amp;$J138,'Weekly Log'!$A:$A,"&lt;"&amp;$J138+7),0))</f>
        <v/>
      </c>
      <c r="G138" t="str">
        <f>IF($J138="","",IFERROR(LOOKUP(2,1/(('Weekly Log'!$A$5:$A$5000&gt;=$J138)*('Weekly Log'!$A$5:$A$5000&lt;$J138+7)*('Weekly Log'!$M$5:$M$5000&lt;&gt;"")),'Weekly Log'!$M$5:$M$5000),0))</f>
        <v/>
      </c>
      <c r="J138" t="str">
        <f>IF(COUNT('Weekly Log'!$A$5:$A$5000)=0,"",IF(MIN('Weekly Log'!$A$5:$A$5000)+7*(ROW()-10)&gt;MAX('Weekly Log'!$A$5:$A$5000),"",MIN('Weekly Log'!$A$5:$A$5000)+7*(ROW()-10)))</f>
        <v/>
      </c>
    </row>
    <row r="139" spans="1:10" x14ac:dyDescent="0.25">
      <c r="A139" t="str">
        <f t="shared" si="2"/>
        <v/>
      </c>
      <c r="B139" t="str">
        <f>IF($J139="","",SUMIFS('Weekly Log'!$C:$C,'Weekly Log'!$A:$A,"&gt;="&amp;$J139,'Weekly Log'!$A:$A,"&lt;"&amp;$J139+7))</f>
        <v/>
      </c>
      <c r="C139" t="str">
        <f>IF($J139="","",IFERROR(COUNTIFS('Weekly Log'!$G:$G,"Y",'Weekly Log'!$A:$A,"&gt;="&amp;$J139,'Weekly Log'!$A:$A,"&lt;"&amp;$J139+7)/COUNTIFS('Weekly Log'!$G:$G,"&lt;&gt;",'Weekly Log'!$A:$A,"&gt;="&amp;$J139,'Weekly Log'!$A:$A,"&lt;"&amp;$J139+7),0))</f>
        <v/>
      </c>
      <c r="D139" t="str">
        <f>IF($J139="","",IFERROR(COUNTIFS('Weekly Log'!$H:$H,"Y",'Weekly Log'!$A:$A,"&gt;="&amp;$J139,'Weekly Log'!$A:$A,"&lt;"&amp;$J139+7)/COUNTIFS('Weekly Log'!$H:$H,"&lt;&gt;",'Weekly Log'!$A:$A,"&gt;="&amp;$J139,'Weekly Log'!$A:$A,"&lt;"&amp;$J139+7),0))</f>
        <v/>
      </c>
      <c r="E139" t="str">
        <f>IF($J139="","",IFERROR(AVERAGEIFS('Weekly Log'!$F:$F,'Weekly Log'!$A:$A,"&gt;="&amp;$J139,'Weekly Log'!$A:$A,"&lt;"&amp;$J139+7),0))</f>
        <v/>
      </c>
      <c r="F139" t="str">
        <f>IF($J139="","",IFERROR(SUMIFS('Weekly Log'!$F:$F,'Weekly Log'!$A:$A,"&gt;="&amp;$J139,'Weekly Log'!$A:$A,"&lt;"&amp;$J139+7)/SUMIFS('Weekly Log'!$E:$E,'Weekly Log'!$A:$A,"&gt;="&amp;$J139,'Weekly Log'!$A:$A,"&lt;"&amp;$J139+7),0))</f>
        <v/>
      </c>
      <c r="G139" t="str">
        <f>IF($J139="","",IFERROR(LOOKUP(2,1/(('Weekly Log'!$A$5:$A$5000&gt;=$J139)*('Weekly Log'!$A$5:$A$5000&lt;$J139+7)*('Weekly Log'!$M$5:$M$5000&lt;&gt;"")),'Weekly Log'!$M$5:$M$5000),0))</f>
        <v/>
      </c>
      <c r="J139" t="str">
        <f>IF(COUNT('Weekly Log'!$A$5:$A$5000)=0,"",IF(MIN('Weekly Log'!$A$5:$A$5000)+7*(ROW()-10)&gt;MAX('Weekly Log'!$A$5:$A$5000),"",MIN('Weekly Log'!$A$5:$A$5000)+7*(ROW()-10)))</f>
        <v/>
      </c>
    </row>
    <row r="140" spans="1:10" x14ac:dyDescent="0.25">
      <c r="A140" t="str">
        <f t="shared" si="2"/>
        <v/>
      </c>
      <c r="B140" t="str">
        <f>IF($J140="","",SUMIFS('Weekly Log'!$C:$C,'Weekly Log'!$A:$A,"&gt;="&amp;$J140,'Weekly Log'!$A:$A,"&lt;"&amp;$J140+7))</f>
        <v/>
      </c>
      <c r="C140" t="str">
        <f>IF($J140="","",IFERROR(COUNTIFS('Weekly Log'!$G:$G,"Y",'Weekly Log'!$A:$A,"&gt;="&amp;$J140,'Weekly Log'!$A:$A,"&lt;"&amp;$J140+7)/COUNTIFS('Weekly Log'!$G:$G,"&lt;&gt;",'Weekly Log'!$A:$A,"&gt;="&amp;$J140,'Weekly Log'!$A:$A,"&lt;"&amp;$J140+7),0))</f>
        <v/>
      </c>
      <c r="D140" t="str">
        <f>IF($J140="","",IFERROR(COUNTIFS('Weekly Log'!$H:$H,"Y",'Weekly Log'!$A:$A,"&gt;="&amp;$J140,'Weekly Log'!$A:$A,"&lt;"&amp;$J140+7)/COUNTIFS('Weekly Log'!$H:$H,"&lt;&gt;",'Weekly Log'!$A:$A,"&gt;="&amp;$J140,'Weekly Log'!$A:$A,"&lt;"&amp;$J140+7),0))</f>
        <v/>
      </c>
      <c r="E140" t="str">
        <f>IF($J140="","",IFERROR(AVERAGEIFS('Weekly Log'!$F:$F,'Weekly Log'!$A:$A,"&gt;="&amp;$J140,'Weekly Log'!$A:$A,"&lt;"&amp;$J140+7),0))</f>
        <v/>
      </c>
      <c r="F140" t="str">
        <f>IF($J140="","",IFERROR(SUMIFS('Weekly Log'!$F:$F,'Weekly Log'!$A:$A,"&gt;="&amp;$J140,'Weekly Log'!$A:$A,"&lt;"&amp;$J140+7)/SUMIFS('Weekly Log'!$E:$E,'Weekly Log'!$A:$A,"&gt;="&amp;$J140,'Weekly Log'!$A:$A,"&lt;"&amp;$J140+7),0))</f>
        <v/>
      </c>
      <c r="G140" t="str">
        <f>IF($J140="","",IFERROR(LOOKUP(2,1/(('Weekly Log'!$A$5:$A$5000&gt;=$J140)*('Weekly Log'!$A$5:$A$5000&lt;$J140+7)*('Weekly Log'!$M$5:$M$5000&lt;&gt;"")),'Weekly Log'!$M$5:$M$5000),0))</f>
        <v/>
      </c>
      <c r="J140" t="str">
        <f>IF(COUNT('Weekly Log'!$A$5:$A$5000)=0,"",IF(MIN('Weekly Log'!$A$5:$A$5000)+7*(ROW()-10)&gt;MAX('Weekly Log'!$A$5:$A$5000),"",MIN('Weekly Log'!$A$5:$A$5000)+7*(ROW()-10)))</f>
        <v/>
      </c>
    </row>
    <row r="141" spans="1:10" x14ac:dyDescent="0.25">
      <c r="A141" t="str">
        <f t="shared" si="2"/>
        <v/>
      </c>
      <c r="B141" t="str">
        <f>IF($J141="","",SUMIFS('Weekly Log'!$C:$C,'Weekly Log'!$A:$A,"&gt;="&amp;$J141,'Weekly Log'!$A:$A,"&lt;"&amp;$J141+7))</f>
        <v/>
      </c>
      <c r="C141" t="str">
        <f>IF($J141="","",IFERROR(COUNTIFS('Weekly Log'!$G:$G,"Y",'Weekly Log'!$A:$A,"&gt;="&amp;$J141,'Weekly Log'!$A:$A,"&lt;"&amp;$J141+7)/COUNTIFS('Weekly Log'!$G:$G,"&lt;&gt;",'Weekly Log'!$A:$A,"&gt;="&amp;$J141,'Weekly Log'!$A:$A,"&lt;"&amp;$J141+7),0))</f>
        <v/>
      </c>
      <c r="D141" t="str">
        <f>IF($J141="","",IFERROR(COUNTIFS('Weekly Log'!$H:$H,"Y",'Weekly Log'!$A:$A,"&gt;="&amp;$J141,'Weekly Log'!$A:$A,"&lt;"&amp;$J141+7)/COUNTIFS('Weekly Log'!$H:$H,"&lt;&gt;",'Weekly Log'!$A:$A,"&gt;="&amp;$J141,'Weekly Log'!$A:$A,"&lt;"&amp;$J141+7),0))</f>
        <v/>
      </c>
      <c r="E141" t="str">
        <f>IF($J141="","",IFERROR(AVERAGEIFS('Weekly Log'!$F:$F,'Weekly Log'!$A:$A,"&gt;="&amp;$J141,'Weekly Log'!$A:$A,"&lt;"&amp;$J141+7),0))</f>
        <v/>
      </c>
      <c r="F141" t="str">
        <f>IF($J141="","",IFERROR(SUMIFS('Weekly Log'!$F:$F,'Weekly Log'!$A:$A,"&gt;="&amp;$J141,'Weekly Log'!$A:$A,"&lt;"&amp;$J141+7)/SUMIFS('Weekly Log'!$E:$E,'Weekly Log'!$A:$A,"&gt;="&amp;$J141,'Weekly Log'!$A:$A,"&lt;"&amp;$J141+7),0))</f>
        <v/>
      </c>
      <c r="G141" t="str">
        <f>IF($J141="","",IFERROR(LOOKUP(2,1/(('Weekly Log'!$A$5:$A$5000&gt;=$J141)*('Weekly Log'!$A$5:$A$5000&lt;$J141+7)*('Weekly Log'!$M$5:$M$5000&lt;&gt;"")),'Weekly Log'!$M$5:$M$5000),0))</f>
        <v/>
      </c>
      <c r="J141" t="str">
        <f>IF(COUNT('Weekly Log'!$A$5:$A$5000)=0,"",IF(MIN('Weekly Log'!$A$5:$A$5000)+7*(ROW()-10)&gt;MAX('Weekly Log'!$A$5:$A$5000),"",MIN('Weekly Log'!$A$5:$A$5000)+7*(ROW()-10)))</f>
        <v/>
      </c>
    </row>
    <row r="142" spans="1:10" x14ac:dyDescent="0.25">
      <c r="A142" t="str">
        <f t="shared" si="2"/>
        <v/>
      </c>
      <c r="B142" t="str">
        <f>IF($J142="","",SUMIFS('Weekly Log'!$C:$C,'Weekly Log'!$A:$A,"&gt;="&amp;$J142,'Weekly Log'!$A:$A,"&lt;"&amp;$J142+7))</f>
        <v/>
      </c>
      <c r="C142" t="str">
        <f>IF($J142="","",IFERROR(COUNTIFS('Weekly Log'!$G:$G,"Y",'Weekly Log'!$A:$A,"&gt;="&amp;$J142,'Weekly Log'!$A:$A,"&lt;"&amp;$J142+7)/COUNTIFS('Weekly Log'!$G:$G,"&lt;&gt;",'Weekly Log'!$A:$A,"&gt;="&amp;$J142,'Weekly Log'!$A:$A,"&lt;"&amp;$J142+7),0))</f>
        <v/>
      </c>
      <c r="D142" t="str">
        <f>IF($J142="","",IFERROR(COUNTIFS('Weekly Log'!$H:$H,"Y",'Weekly Log'!$A:$A,"&gt;="&amp;$J142,'Weekly Log'!$A:$A,"&lt;"&amp;$J142+7)/COUNTIFS('Weekly Log'!$H:$H,"&lt;&gt;",'Weekly Log'!$A:$A,"&gt;="&amp;$J142,'Weekly Log'!$A:$A,"&lt;"&amp;$J142+7),0))</f>
        <v/>
      </c>
      <c r="E142" t="str">
        <f>IF($J142="","",IFERROR(AVERAGEIFS('Weekly Log'!$F:$F,'Weekly Log'!$A:$A,"&gt;="&amp;$J142,'Weekly Log'!$A:$A,"&lt;"&amp;$J142+7),0))</f>
        <v/>
      </c>
      <c r="F142" t="str">
        <f>IF($J142="","",IFERROR(SUMIFS('Weekly Log'!$F:$F,'Weekly Log'!$A:$A,"&gt;="&amp;$J142,'Weekly Log'!$A:$A,"&lt;"&amp;$J142+7)/SUMIFS('Weekly Log'!$E:$E,'Weekly Log'!$A:$A,"&gt;="&amp;$J142,'Weekly Log'!$A:$A,"&lt;"&amp;$J142+7),0))</f>
        <v/>
      </c>
      <c r="G142" t="str">
        <f>IF($J142="","",IFERROR(LOOKUP(2,1/(('Weekly Log'!$A$5:$A$5000&gt;=$J142)*('Weekly Log'!$A$5:$A$5000&lt;$J142+7)*('Weekly Log'!$M$5:$M$5000&lt;&gt;"")),'Weekly Log'!$M$5:$M$5000),0))</f>
        <v/>
      </c>
      <c r="J142" t="str">
        <f>IF(COUNT('Weekly Log'!$A$5:$A$5000)=0,"",IF(MIN('Weekly Log'!$A$5:$A$5000)+7*(ROW()-10)&gt;MAX('Weekly Log'!$A$5:$A$5000),"",MIN('Weekly Log'!$A$5:$A$5000)+7*(ROW()-10)))</f>
        <v/>
      </c>
    </row>
    <row r="143" spans="1:10" x14ac:dyDescent="0.25">
      <c r="A143" t="str">
        <f t="shared" si="2"/>
        <v/>
      </c>
      <c r="B143" t="str">
        <f>IF($J143="","",SUMIFS('Weekly Log'!$C:$C,'Weekly Log'!$A:$A,"&gt;="&amp;$J143,'Weekly Log'!$A:$A,"&lt;"&amp;$J143+7))</f>
        <v/>
      </c>
      <c r="C143" t="str">
        <f>IF($J143="","",IFERROR(COUNTIFS('Weekly Log'!$G:$G,"Y",'Weekly Log'!$A:$A,"&gt;="&amp;$J143,'Weekly Log'!$A:$A,"&lt;"&amp;$J143+7)/COUNTIFS('Weekly Log'!$G:$G,"&lt;&gt;",'Weekly Log'!$A:$A,"&gt;="&amp;$J143,'Weekly Log'!$A:$A,"&lt;"&amp;$J143+7),0))</f>
        <v/>
      </c>
      <c r="D143" t="str">
        <f>IF($J143="","",IFERROR(COUNTIFS('Weekly Log'!$H:$H,"Y",'Weekly Log'!$A:$A,"&gt;="&amp;$J143,'Weekly Log'!$A:$A,"&lt;"&amp;$J143+7)/COUNTIFS('Weekly Log'!$H:$H,"&lt;&gt;",'Weekly Log'!$A:$A,"&gt;="&amp;$J143,'Weekly Log'!$A:$A,"&lt;"&amp;$J143+7),0))</f>
        <v/>
      </c>
      <c r="E143" t="str">
        <f>IF($J143="","",IFERROR(AVERAGEIFS('Weekly Log'!$F:$F,'Weekly Log'!$A:$A,"&gt;="&amp;$J143,'Weekly Log'!$A:$A,"&lt;"&amp;$J143+7),0))</f>
        <v/>
      </c>
      <c r="F143" t="str">
        <f>IF($J143="","",IFERROR(SUMIFS('Weekly Log'!$F:$F,'Weekly Log'!$A:$A,"&gt;="&amp;$J143,'Weekly Log'!$A:$A,"&lt;"&amp;$J143+7)/SUMIFS('Weekly Log'!$E:$E,'Weekly Log'!$A:$A,"&gt;="&amp;$J143,'Weekly Log'!$A:$A,"&lt;"&amp;$J143+7),0))</f>
        <v/>
      </c>
      <c r="G143" t="str">
        <f>IF($J143="","",IFERROR(LOOKUP(2,1/(('Weekly Log'!$A$5:$A$5000&gt;=$J143)*('Weekly Log'!$A$5:$A$5000&lt;$J143+7)*('Weekly Log'!$M$5:$M$5000&lt;&gt;"")),'Weekly Log'!$M$5:$M$5000),0))</f>
        <v/>
      </c>
      <c r="J143" t="str">
        <f>IF(COUNT('Weekly Log'!$A$5:$A$5000)=0,"",IF(MIN('Weekly Log'!$A$5:$A$5000)+7*(ROW()-10)&gt;MAX('Weekly Log'!$A$5:$A$5000),"",MIN('Weekly Log'!$A$5:$A$5000)+7*(ROW()-10)))</f>
        <v/>
      </c>
    </row>
    <row r="144" spans="1:10" x14ac:dyDescent="0.25">
      <c r="A144" t="str">
        <f t="shared" si="2"/>
        <v/>
      </c>
      <c r="B144" t="str">
        <f>IF($J144="","",SUMIFS('Weekly Log'!$C:$C,'Weekly Log'!$A:$A,"&gt;="&amp;$J144,'Weekly Log'!$A:$A,"&lt;"&amp;$J144+7))</f>
        <v/>
      </c>
      <c r="C144" t="str">
        <f>IF($J144="","",IFERROR(COUNTIFS('Weekly Log'!$G:$G,"Y",'Weekly Log'!$A:$A,"&gt;="&amp;$J144,'Weekly Log'!$A:$A,"&lt;"&amp;$J144+7)/COUNTIFS('Weekly Log'!$G:$G,"&lt;&gt;",'Weekly Log'!$A:$A,"&gt;="&amp;$J144,'Weekly Log'!$A:$A,"&lt;"&amp;$J144+7),0))</f>
        <v/>
      </c>
      <c r="D144" t="str">
        <f>IF($J144="","",IFERROR(COUNTIFS('Weekly Log'!$H:$H,"Y",'Weekly Log'!$A:$A,"&gt;="&amp;$J144,'Weekly Log'!$A:$A,"&lt;"&amp;$J144+7)/COUNTIFS('Weekly Log'!$H:$H,"&lt;&gt;",'Weekly Log'!$A:$A,"&gt;="&amp;$J144,'Weekly Log'!$A:$A,"&lt;"&amp;$J144+7),0))</f>
        <v/>
      </c>
      <c r="E144" t="str">
        <f>IF($J144="","",IFERROR(AVERAGEIFS('Weekly Log'!$F:$F,'Weekly Log'!$A:$A,"&gt;="&amp;$J144,'Weekly Log'!$A:$A,"&lt;"&amp;$J144+7),0))</f>
        <v/>
      </c>
      <c r="F144" t="str">
        <f>IF($J144="","",IFERROR(SUMIFS('Weekly Log'!$F:$F,'Weekly Log'!$A:$A,"&gt;="&amp;$J144,'Weekly Log'!$A:$A,"&lt;"&amp;$J144+7)/SUMIFS('Weekly Log'!$E:$E,'Weekly Log'!$A:$A,"&gt;="&amp;$J144,'Weekly Log'!$A:$A,"&lt;"&amp;$J144+7),0))</f>
        <v/>
      </c>
      <c r="G144" t="str">
        <f>IF($J144="","",IFERROR(LOOKUP(2,1/(('Weekly Log'!$A$5:$A$5000&gt;=$J144)*('Weekly Log'!$A$5:$A$5000&lt;$J144+7)*('Weekly Log'!$M$5:$M$5000&lt;&gt;"")),'Weekly Log'!$M$5:$M$5000),0))</f>
        <v/>
      </c>
      <c r="J144" t="str">
        <f>IF(COUNT('Weekly Log'!$A$5:$A$5000)=0,"",IF(MIN('Weekly Log'!$A$5:$A$5000)+7*(ROW()-10)&gt;MAX('Weekly Log'!$A$5:$A$5000),"",MIN('Weekly Log'!$A$5:$A$5000)+7*(ROW()-10)))</f>
        <v/>
      </c>
    </row>
    <row r="145" spans="1:10" x14ac:dyDescent="0.25">
      <c r="A145" t="str">
        <f t="shared" si="2"/>
        <v/>
      </c>
      <c r="B145" t="str">
        <f>IF($J145="","",SUMIFS('Weekly Log'!$C:$C,'Weekly Log'!$A:$A,"&gt;="&amp;$J145,'Weekly Log'!$A:$A,"&lt;"&amp;$J145+7))</f>
        <v/>
      </c>
      <c r="C145" t="str">
        <f>IF($J145="","",IFERROR(COUNTIFS('Weekly Log'!$G:$G,"Y",'Weekly Log'!$A:$A,"&gt;="&amp;$J145,'Weekly Log'!$A:$A,"&lt;"&amp;$J145+7)/COUNTIFS('Weekly Log'!$G:$G,"&lt;&gt;",'Weekly Log'!$A:$A,"&gt;="&amp;$J145,'Weekly Log'!$A:$A,"&lt;"&amp;$J145+7),0))</f>
        <v/>
      </c>
      <c r="D145" t="str">
        <f>IF($J145="","",IFERROR(COUNTIFS('Weekly Log'!$H:$H,"Y",'Weekly Log'!$A:$A,"&gt;="&amp;$J145,'Weekly Log'!$A:$A,"&lt;"&amp;$J145+7)/COUNTIFS('Weekly Log'!$H:$H,"&lt;&gt;",'Weekly Log'!$A:$A,"&gt;="&amp;$J145,'Weekly Log'!$A:$A,"&lt;"&amp;$J145+7),0))</f>
        <v/>
      </c>
      <c r="E145" t="str">
        <f>IF($J145="","",IFERROR(AVERAGEIFS('Weekly Log'!$F:$F,'Weekly Log'!$A:$A,"&gt;="&amp;$J145,'Weekly Log'!$A:$A,"&lt;"&amp;$J145+7),0))</f>
        <v/>
      </c>
      <c r="F145" t="str">
        <f>IF($J145="","",IFERROR(SUMIFS('Weekly Log'!$F:$F,'Weekly Log'!$A:$A,"&gt;="&amp;$J145,'Weekly Log'!$A:$A,"&lt;"&amp;$J145+7)/SUMIFS('Weekly Log'!$E:$E,'Weekly Log'!$A:$A,"&gt;="&amp;$J145,'Weekly Log'!$A:$A,"&lt;"&amp;$J145+7),0))</f>
        <v/>
      </c>
      <c r="G145" t="str">
        <f>IF($J145="","",IFERROR(LOOKUP(2,1/(('Weekly Log'!$A$5:$A$5000&gt;=$J145)*('Weekly Log'!$A$5:$A$5000&lt;$J145+7)*('Weekly Log'!$M$5:$M$5000&lt;&gt;"")),'Weekly Log'!$M$5:$M$5000),0))</f>
        <v/>
      </c>
      <c r="J145" t="str">
        <f>IF(COUNT('Weekly Log'!$A$5:$A$5000)=0,"",IF(MIN('Weekly Log'!$A$5:$A$5000)+7*(ROW()-10)&gt;MAX('Weekly Log'!$A$5:$A$5000),"",MIN('Weekly Log'!$A$5:$A$5000)+7*(ROW()-10)))</f>
        <v/>
      </c>
    </row>
    <row r="146" spans="1:10" x14ac:dyDescent="0.25">
      <c r="A146" t="str">
        <f t="shared" si="2"/>
        <v/>
      </c>
      <c r="B146" t="str">
        <f>IF($J146="","",SUMIFS('Weekly Log'!$C:$C,'Weekly Log'!$A:$A,"&gt;="&amp;$J146,'Weekly Log'!$A:$A,"&lt;"&amp;$J146+7))</f>
        <v/>
      </c>
      <c r="C146" t="str">
        <f>IF($J146="","",IFERROR(COUNTIFS('Weekly Log'!$G:$G,"Y",'Weekly Log'!$A:$A,"&gt;="&amp;$J146,'Weekly Log'!$A:$A,"&lt;"&amp;$J146+7)/COUNTIFS('Weekly Log'!$G:$G,"&lt;&gt;",'Weekly Log'!$A:$A,"&gt;="&amp;$J146,'Weekly Log'!$A:$A,"&lt;"&amp;$J146+7),0))</f>
        <v/>
      </c>
      <c r="D146" t="str">
        <f>IF($J146="","",IFERROR(COUNTIFS('Weekly Log'!$H:$H,"Y",'Weekly Log'!$A:$A,"&gt;="&amp;$J146,'Weekly Log'!$A:$A,"&lt;"&amp;$J146+7)/COUNTIFS('Weekly Log'!$H:$H,"&lt;&gt;",'Weekly Log'!$A:$A,"&gt;="&amp;$J146,'Weekly Log'!$A:$A,"&lt;"&amp;$J146+7),0))</f>
        <v/>
      </c>
      <c r="E146" t="str">
        <f>IF($J146="","",IFERROR(AVERAGEIFS('Weekly Log'!$F:$F,'Weekly Log'!$A:$A,"&gt;="&amp;$J146,'Weekly Log'!$A:$A,"&lt;"&amp;$J146+7),0))</f>
        <v/>
      </c>
      <c r="F146" t="str">
        <f>IF($J146="","",IFERROR(SUMIFS('Weekly Log'!$F:$F,'Weekly Log'!$A:$A,"&gt;="&amp;$J146,'Weekly Log'!$A:$A,"&lt;"&amp;$J146+7)/SUMIFS('Weekly Log'!$E:$E,'Weekly Log'!$A:$A,"&gt;="&amp;$J146,'Weekly Log'!$A:$A,"&lt;"&amp;$J146+7),0))</f>
        <v/>
      </c>
      <c r="G146" t="str">
        <f>IF($J146="","",IFERROR(LOOKUP(2,1/(('Weekly Log'!$A$5:$A$5000&gt;=$J146)*('Weekly Log'!$A$5:$A$5000&lt;$J146+7)*('Weekly Log'!$M$5:$M$5000&lt;&gt;"")),'Weekly Log'!$M$5:$M$5000),0))</f>
        <v/>
      </c>
      <c r="J146" t="str">
        <f>IF(COUNT('Weekly Log'!$A$5:$A$5000)=0,"",IF(MIN('Weekly Log'!$A$5:$A$5000)+7*(ROW()-10)&gt;MAX('Weekly Log'!$A$5:$A$5000),"",MIN('Weekly Log'!$A$5:$A$5000)+7*(ROW()-10)))</f>
        <v/>
      </c>
    </row>
    <row r="147" spans="1:10" x14ac:dyDescent="0.25">
      <c r="A147" t="str">
        <f t="shared" si="2"/>
        <v/>
      </c>
      <c r="B147" t="str">
        <f>IF($J147="","",SUMIFS('Weekly Log'!$C:$C,'Weekly Log'!$A:$A,"&gt;="&amp;$J147,'Weekly Log'!$A:$A,"&lt;"&amp;$J147+7))</f>
        <v/>
      </c>
      <c r="C147" t="str">
        <f>IF($J147="","",IFERROR(COUNTIFS('Weekly Log'!$G:$G,"Y",'Weekly Log'!$A:$A,"&gt;="&amp;$J147,'Weekly Log'!$A:$A,"&lt;"&amp;$J147+7)/COUNTIFS('Weekly Log'!$G:$G,"&lt;&gt;",'Weekly Log'!$A:$A,"&gt;="&amp;$J147,'Weekly Log'!$A:$A,"&lt;"&amp;$J147+7),0))</f>
        <v/>
      </c>
      <c r="D147" t="str">
        <f>IF($J147="","",IFERROR(COUNTIFS('Weekly Log'!$H:$H,"Y",'Weekly Log'!$A:$A,"&gt;="&amp;$J147,'Weekly Log'!$A:$A,"&lt;"&amp;$J147+7)/COUNTIFS('Weekly Log'!$H:$H,"&lt;&gt;",'Weekly Log'!$A:$A,"&gt;="&amp;$J147,'Weekly Log'!$A:$A,"&lt;"&amp;$J147+7),0))</f>
        <v/>
      </c>
      <c r="E147" t="str">
        <f>IF($J147="","",IFERROR(AVERAGEIFS('Weekly Log'!$F:$F,'Weekly Log'!$A:$A,"&gt;="&amp;$J147,'Weekly Log'!$A:$A,"&lt;"&amp;$J147+7),0))</f>
        <v/>
      </c>
      <c r="F147" t="str">
        <f>IF($J147="","",IFERROR(SUMIFS('Weekly Log'!$F:$F,'Weekly Log'!$A:$A,"&gt;="&amp;$J147,'Weekly Log'!$A:$A,"&lt;"&amp;$J147+7)/SUMIFS('Weekly Log'!$E:$E,'Weekly Log'!$A:$A,"&gt;="&amp;$J147,'Weekly Log'!$A:$A,"&lt;"&amp;$J147+7),0))</f>
        <v/>
      </c>
      <c r="G147" t="str">
        <f>IF($J147="","",IFERROR(LOOKUP(2,1/(('Weekly Log'!$A$5:$A$5000&gt;=$J147)*('Weekly Log'!$A$5:$A$5000&lt;$J147+7)*('Weekly Log'!$M$5:$M$5000&lt;&gt;"")),'Weekly Log'!$M$5:$M$5000),0))</f>
        <v/>
      </c>
      <c r="J147" t="str">
        <f>IF(COUNT('Weekly Log'!$A$5:$A$5000)=0,"",IF(MIN('Weekly Log'!$A$5:$A$5000)+7*(ROW()-10)&gt;MAX('Weekly Log'!$A$5:$A$5000),"",MIN('Weekly Log'!$A$5:$A$5000)+7*(ROW()-10)))</f>
        <v/>
      </c>
    </row>
    <row r="148" spans="1:10" x14ac:dyDescent="0.25">
      <c r="A148" t="str">
        <f t="shared" si="2"/>
        <v/>
      </c>
      <c r="B148" t="str">
        <f>IF($J148="","",SUMIFS('Weekly Log'!$C:$C,'Weekly Log'!$A:$A,"&gt;="&amp;$J148,'Weekly Log'!$A:$A,"&lt;"&amp;$J148+7))</f>
        <v/>
      </c>
      <c r="C148" t="str">
        <f>IF($J148="","",IFERROR(COUNTIFS('Weekly Log'!$G:$G,"Y",'Weekly Log'!$A:$A,"&gt;="&amp;$J148,'Weekly Log'!$A:$A,"&lt;"&amp;$J148+7)/COUNTIFS('Weekly Log'!$G:$G,"&lt;&gt;",'Weekly Log'!$A:$A,"&gt;="&amp;$J148,'Weekly Log'!$A:$A,"&lt;"&amp;$J148+7),0))</f>
        <v/>
      </c>
      <c r="D148" t="str">
        <f>IF($J148="","",IFERROR(COUNTIFS('Weekly Log'!$H:$H,"Y",'Weekly Log'!$A:$A,"&gt;="&amp;$J148,'Weekly Log'!$A:$A,"&lt;"&amp;$J148+7)/COUNTIFS('Weekly Log'!$H:$H,"&lt;&gt;",'Weekly Log'!$A:$A,"&gt;="&amp;$J148,'Weekly Log'!$A:$A,"&lt;"&amp;$J148+7),0))</f>
        <v/>
      </c>
      <c r="E148" t="str">
        <f>IF($J148="","",IFERROR(AVERAGEIFS('Weekly Log'!$F:$F,'Weekly Log'!$A:$A,"&gt;="&amp;$J148,'Weekly Log'!$A:$A,"&lt;"&amp;$J148+7),0))</f>
        <v/>
      </c>
      <c r="F148" t="str">
        <f>IF($J148="","",IFERROR(SUMIFS('Weekly Log'!$F:$F,'Weekly Log'!$A:$A,"&gt;="&amp;$J148,'Weekly Log'!$A:$A,"&lt;"&amp;$J148+7)/SUMIFS('Weekly Log'!$E:$E,'Weekly Log'!$A:$A,"&gt;="&amp;$J148,'Weekly Log'!$A:$A,"&lt;"&amp;$J148+7),0))</f>
        <v/>
      </c>
      <c r="G148" t="str">
        <f>IF($J148="","",IFERROR(LOOKUP(2,1/(('Weekly Log'!$A$5:$A$5000&gt;=$J148)*('Weekly Log'!$A$5:$A$5000&lt;$J148+7)*('Weekly Log'!$M$5:$M$5000&lt;&gt;"")),'Weekly Log'!$M$5:$M$5000),0))</f>
        <v/>
      </c>
      <c r="J148" t="str">
        <f>IF(COUNT('Weekly Log'!$A$5:$A$5000)=0,"",IF(MIN('Weekly Log'!$A$5:$A$5000)+7*(ROW()-10)&gt;MAX('Weekly Log'!$A$5:$A$5000),"",MIN('Weekly Log'!$A$5:$A$5000)+7*(ROW()-10)))</f>
        <v/>
      </c>
    </row>
    <row r="149" spans="1:10" x14ac:dyDescent="0.25">
      <c r="A149" t="str">
        <f t="shared" si="2"/>
        <v/>
      </c>
      <c r="B149" t="str">
        <f>IF($J149="","",SUMIFS('Weekly Log'!$C:$C,'Weekly Log'!$A:$A,"&gt;="&amp;$J149,'Weekly Log'!$A:$A,"&lt;"&amp;$J149+7))</f>
        <v/>
      </c>
      <c r="C149" t="str">
        <f>IF($J149="","",IFERROR(COUNTIFS('Weekly Log'!$G:$G,"Y",'Weekly Log'!$A:$A,"&gt;="&amp;$J149,'Weekly Log'!$A:$A,"&lt;"&amp;$J149+7)/COUNTIFS('Weekly Log'!$G:$G,"&lt;&gt;",'Weekly Log'!$A:$A,"&gt;="&amp;$J149,'Weekly Log'!$A:$A,"&lt;"&amp;$J149+7),0))</f>
        <v/>
      </c>
      <c r="D149" t="str">
        <f>IF($J149="","",IFERROR(COUNTIFS('Weekly Log'!$H:$H,"Y",'Weekly Log'!$A:$A,"&gt;="&amp;$J149,'Weekly Log'!$A:$A,"&lt;"&amp;$J149+7)/COUNTIFS('Weekly Log'!$H:$H,"&lt;&gt;",'Weekly Log'!$A:$A,"&gt;="&amp;$J149,'Weekly Log'!$A:$A,"&lt;"&amp;$J149+7),0))</f>
        <v/>
      </c>
      <c r="E149" t="str">
        <f>IF($J149="","",IFERROR(AVERAGEIFS('Weekly Log'!$F:$F,'Weekly Log'!$A:$A,"&gt;="&amp;$J149,'Weekly Log'!$A:$A,"&lt;"&amp;$J149+7),0))</f>
        <v/>
      </c>
      <c r="F149" t="str">
        <f>IF($J149="","",IFERROR(SUMIFS('Weekly Log'!$F:$F,'Weekly Log'!$A:$A,"&gt;="&amp;$J149,'Weekly Log'!$A:$A,"&lt;"&amp;$J149+7)/SUMIFS('Weekly Log'!$E:$E,'Weekly Log'!$A:$A,"&gt;="&amp;$J149,'Weekly Log'!$A:$A,"&lt;"&amp;$J149+7),0))</f>
        <v/>
      </c>
      <c r="G149" t="str">
        <f>IF($J149="","",IFERROR(LOOKUP(2,1/(('Weekly Log'!$A$5:$A$5000&gt;=$J149)*('Weekly Log'!$A$5:$A$5000&lt;$J149+7)*('Weekly Log'!$M$5:$M$5000&lt;&gt;"")),'Weekly Log'!$M$5:$M$5000),0))</f>
        <v/>
      </c>
      <c r="J149" t="str">
        <f>IF(COUNT('Weekly Log'!$A$5:$A$5000)=0,"",IF(MIN('Weekly Log'!$A$5:$A$5000)+7*(ROW()-10)&gt;MAX('Weekly Log'!$A$5:$A$5000),"",MIN('Weekly Log'!$A$5:$A$5000)+7*(ROW()-10)))</f>
        <v/>
      </c>
    </row>
    <row r="150" spans="1:10" x14ac:dyDescent="0.25">
      <c r="A150" t="str">
        <f t="shared" si="2"/>
        <v/>
      </c>
      <c r="B150" t="str">
        <f>IF($J150="","",SUMIFS('Weekly Log'!$C:$C,'Weekly Log'!$A:$A,"&gt;="&amp;$J150,'Weekly Log'!$A:$A,"&lt;"&amp;$J150+7))</f>
        <v/>
      </c>
      <c r="C150" t="str">
        <f>IF($J150="","",IFERROR(COUNTIFS('Weekly Log'!$G:$G,"Y",'Weekly Log'!$A:$A,"&gt;="&amp;$J150,'Weekly Log'!$A:$A,"&lt;"&amp;$J150+7)/COUNTIFS('Weekly Log'!$G:$G,"&lt;&gt;",'Weekly Log'!$A:$A,"&gt;="&amp;$J150,'Weekly Log'!$A:$A,"&lt;"&amp;$J150+7),0))</f>
        <v/>
      </c>
      <c r="D150" t="str">
        <f>IF($J150="","",IFERROR(COUNTIFS('Weekly Log'!$H:$H,"Y",'Weekly Log'!$A:$A,"&gt;="&amp;$J150,'Weekly Log'!$A:$A,"&lt;"&amp;$J150+7)/COUNTIFS('Weekly Log'!$H:$H,"&lt;&gt;",'Weekly Log'!$A:$A,"&gt;="&amp;$J150,'Weekly Log'!$A:$A,"&lt;"&amp;$J150+7),0))</f>
        <v/>
      </c>
      <c r="E150" t="str">
        <f>IF($J150="","",IFERROR(AVERAGEIFS('Weekly Log'!$F:$F,'Weekly Log'!$A:$A,"&gt;="&amp;$J150,'Weekly Log'!$A:$A,"&lt;"&amp;$J150+7),0))</f>
        <v/>
      </c>
      <c r="F150" t="str">
        <f>IF($J150="","",IFERROR(SUMIFS('Weekly Log'!$F:$F,'Weekly Log'!$A:$A,"&gt;="&amp;$J150,'Weekly Log'!$A:$A,"&lt;"&amp;$J150+7)/SUMIFS('Weekly Log'!$E:$E,'Weekly Log'!$A:$A,"&gt;="&amp;$J150,'Weekly Log'!$A:$A,"&lt;"&amp;$J150+7),0))</f>
        <v/>
      </c>
      <c r="G150" t="str">
        <f>IF($J150="","",IFERROR(LOOKUP(2,1/(('Weekly Log'!$A$5:$A$5000&gt;=$J150)*('Weekly Log'!$A$5:$A$5000&lt;$J150+7)*('Weekly Log'!$M$5:$M$5000&lt;&gt;"")),'Weekly Log'!$M$5:$M$5000),0))</f>
        <v/>
      </c>
      <c r="J150" t="str">
        <f>IF(COUNT('Weekly Log'!$A$5:$A$5000)=0,"",IF(MIN('Weekly Log'!$A$5:$A$5000)+7*(ROW()-10)&gt;MAX('Weekly Log'!$A$5:$A$5000),"",MIN('Weekly Log'!$A$5:$A$5000)+7*(ROW()-10)))</f>
        <v/>
      </c>
    </row>
    <row r="151" spans="1:10" x14ac:dyDescent="0.25">
      <c r="A151" t="str">
        <f t="shared" si="2"/>
        <v/>
      </c>
      <c r="B151" t="str">
        <f>IF($J151="","",SUMIFS('Weekly Log'!$C:$C,'Weekly Log'!$A:$A,"&gt;="&amp;$J151,'Weekly Log'!$A:$A,"&lt;"&amp;$J151+7))</f>
        <v/>
      </c>
      <c r="C151" t="str">
        <f>IF($J151="","",IFERROR(COUNTIFS('Weekly Log'!$G:$G,"Y",'Weekly Log'!$A:$A,"&gt;="&amp;$J151,'Weekly Log'!$A:$A,"&lt;"&amp;$J151+7)/COUNTIFS('Weekly Log'!$G:$G,"&lt;&gt;",'Weekly Log'!$A:$A,"&gt;="&amp;$J151,'Weekly Log'!$A:$A,"&lt;"&amp;$J151+7),0))</f>
        <v/>
      </c>
      <c r="D151" t="str">
        <f>IF($J151="","",IFERROR(COUNTIFS('Weekly Log'!$H:$H,"Y",'Weekly Log'!$A:$A,"&gt;="&amp;$J151,'Weekly Log'!$A:$A,"&lt;"&amp;$J151+7)/COUNTIFS('Weekly Log'!$H:$H,"&lt;&gt;",'Weekly Log'!$A:$A,"&gt;="&amp;$J151,'Weekly Log'!$A:$A,"&lt;"&amp;$J151+7),0))</f>
        <v/>
      </c>
      <c r="E151" t="str">
        <f>IF($J151="","",IFERROR(AVERAGEIFS('Weekly Log'!$F:$F,'Weekly Log'!$A:$A,"&gt;="&amp;$J151,'Weekly Log'!$A:$A,"&lt;"&amp;$J151+7),0))</f>
        <v/>
      </c>
      <c r="F151" t="str">
        <f>IF($J151="","",IFERROR(SUMIFS('Weekly Log'!$F:$F,'Weekly Log'!$A:$A,"&gt;="&amp;$J151,'Weekly Log'!$A:$A,"&lt;"&amp;$J151+7)/SUMIFS('Weekly Log'!$E:$E,'Weekly Log'!$A:$A,"&gt;="&amp;$J151,'Weekly Log'!$A:$A,"&lt;"&amp;$J151+7),0))</f>
        <v/>
      </c>
      <c r="G151" t="str">
        <f>IF($J151="","",IFERROR(LOOKUP(2,1/(('Weekly Log'!$A$5:$A$5000&gt;=$J151)*('Weekly Log'!$A$5:$A$5000&lt;$J151+7)*('Weekly Log'!$M$5:$M$5000&lt;&gt;"")),'Weekly Log'!$M$5:$M$5000),0))</f>
        <v/>
      </c>
      <c r="J151" t="str">
        <f>IF(COUNT('Weekly Log'!$A$5:$A$5000)=0,"",IF(MIN('Weekly Log'!$A$5:$A$5000)+7*(ROW()-10)&gt;MAX('Weekly Log'!$A$5:$A$5000),"",MIN('Weekly Log'!$A$5:$A$5000)+7*(ROW()-10)))</f>
        <v/>
      </c>
    </row>
    <row r="152" spans="1:10" x14ac:dyDescent="0.25">
      <c r="A152" t="str">
        <f t="shared" si="2"/>
        <v/>
      </c>
      <c r="B152" t="str">
        <f>IF($J152="","",SUMIFS('Weekly Log'!$C:$C,'Weekly Log'!$A:$A,"&gt;="&amp;$J152,'Weekly Log'!$A:$A,"&lt;"&amp;$J152+7))</f>
        <v/>
      </c>
      <c r="C152" t="str">
        <f>IF($J152="","",IFERROR(COUNTIFS('Weekly Log'!$G:$G,"Y",'Weekly Log'!$A:$A,"&gt;="&amp;$J152,'Weekly Log'!$A:$A,"&lt;"&amp;$J152+7)/COUNTIFS('Weekly Log'!$G:$G,"&lt;&gt;",'Weekly Log'!$A:$A,"&gt;="&amp;$J152,'Weekly Log'!$A:$A,"&lt;"&amp;$J152+7),0))</f>
        <v/>
      </c>
      <c r="D152" t="str">
        <f>IF($J152="","",IFERROR(COUNTIFS('Weekly Log'!$H:$H,"Y",'Weekly Log'!$A:$A,"&gt;="&amp;$J152,'Weekly Log'!$A:$A,"&lt;"&amp;$J152+7)/COUNTIFS('Weekly Log'!$H:$H,"&lt;&gt;",'Weekly Log'!$A:$A,"&gt;="&amp;$J152,'Weekly Log'!$A:$A,"&lt;"&amp;$J152+7),0))</f>
        <v/>
      </c>
      <c r="E152" t="str">
        <f>IF($J152="","",IFERROR(AVERAGEIFS('Weekly Log'!$F:$F,'Weekly Log'!$A:$A,"&gt;="&amp;$J152,'Weekly Log'!$A:$A,"&lt;"&amp;$J152+7),0))</f>
        <v/>
      </c>
      <c r="F152" t="str">
        <f>IF($J152="","",IFERROR(SUMIFS('Weekly Log'!$F:$F,'Weekly Log'!$A:$A,"&gt;="&amp;$J152,'Weekly Log'!$A:$A,"&lt;"&amp;$J152+7)/SUMIFS('Weekly Log'!$E:$E,'Weekly Log'!$A:$A,"&gt;="&amp;$J152,'Weekly Log'!$A:$A,"&lt;"&amp;$J152+7),0))</f>
        <v/>
      </c>
      <c r="G152" t="str">
        <f>IF($J152="","",IFERROR(LOOKUP(2,1/(('Weekly Log'!$A$5:$A$5000&gt;=$J152)*('Weekly Log'!$A$5:$A$5000&lt;$J152+7)*('Weekly Log'!$M$5:$M$5000&lt;&gt;"")),'Weekly Log'!$M$5:$M$5000),0))</f>
        <v/>
      </c>
      <c r="J152" t="str">
        <f>IF(COUNT('Weekly Log'!$A$5:$A$5000)=0,"",IF(MIN('Weekly Log'!$A$5:$A$5000)+7*(ROW()-10)&gt;MAX('Weekly Log'!$A$5:$A$5000),"",MIN('Weekly Log'!$A$5:$A$5000)+7*(ROW()-10)))</f>
        <v/>
      </c>
    </row>
    <row r="153" spans="1:10" x14ac:dyDescent="0.25">
      <c r="A153" t="str">
        <f t="shared" si="2"/>
        <v/>
      </c>
      <c r="B153" t="str">
        <f>IF($J153="","",SUMIFS('Weekly Log'!$C:$C,'Weekly Log'!$A:$A,"&gt;="&amp;$J153,'Weekly Log'!$A:$A,"&lt;"&amp;$J153+7))</f>
        <v/>
      </c>
      <c r="C153" t="str">
        <f>IF($J153="","",IFERROR(COUNTIFS('Weekly Log'!$G:$G,"Y",'Weekly Log'!$A:$A,"&gt;="&amp;$J153,'Weekly Log'!$A:$A,"&lt;"&amp;$J153+7)/COUNTIFS('Weekly Log'!$G:$G,"&lt;&gt;",'Weekly Log'!$A:$A,"&gt;="&amp;$J153,'Weekly Log'!$A:$A,"&lt;"&amp;$J153+7),0))</f>
        <v/>
      </c>
      <c r="D153" t="str">
        <f>IF($J153="","",IFERROR(COUNTIFS('Weekly Log'!$H:$H,"Y",'Weekly Log'!$A:$A,"&gt;="&amp;$J153,'Weekly Log'!$A:$A,"&lt;"&amp;$J153+7)/COUNTIFS('Weekly Log'!$H:$H,"&lt;&gt;",'Weekly Log'!$A:$A,"&gt;="&amp;$J153,'Weekly Log'!$A:$A,"&lt;"&amp;$J153+7),0))</f>
        <v/>
      </c>
      <c r="E153" t="str">
        <f>IF($J153="","",IFERROR(AVERAGEIFS('Weekly Log'!$F:$F,'Weekly Log'!$A:$A,"&gt;="&amp;$J153,'Weekly Log'!$A:$A,"&lt;"&amp;$J153+7),0))</f>
        <v/>
      </c>
      <c r="F153" t="str">
        <f>IF($J153="","",IFERROR(SUMIFS('Weekly Log'!$F:$F,'Weekly Log'!$A:$A,"&gt;="&amp;$J153,'Weekly Log'!$A:$A,"&lt;"&amp;$J153+7)/SUMIFS('Weekly Log'!$E:$E,'Weekly Log'!$A:$A,"&gt;="&amp;$J153,'Weekly Log'!$A:$A,"&lt;"&amp;$J153+7),0))</f>
        <v/>
      </c>
      <c r="G153" t="str">
        <f>IF($J153="","",IFERROR(LOOKUP(2,1/(('Weekly Log'!$A$5:$A$5000&gt;=$J153)*('Weekly Log'!$A$5:$A$5000&lt;$J153+7)*('Weekly Log'!$M$5:$M$5000&lt;&gt;"")),'Weekly Log'!$M$5:$M$5000),0))</f>
        <v/>
      </c>
      <c r="J153" t="str">
        <f>IF(COUNT('Weekly Log'!$A$5:$A$5000)=0,"",IF(MIN('Weekly Log'!$A$5:$A$5000)+7*(ROW()-10)&gt;MAX('Weekly Log'!$A$5:$A$5000),"",MIN('Weekly Log'!$A$5:$A$5000)+7*(ROW()-10)))</f>
        <v/>
      </c>
    </row>
    <row r="154" spans="1:10" x14ac:dyDescent="0.25">
      <c r="A154" t="str">
        <f t="shared" si="2"/>
        <v/>
      </c>
      <c r="B154" t="str">
        <f>IF($J154="","",SUMIFS('Weekly Log'!$C:$C,'Weekly Log'!$A:$A,"&gt;="&amp;$J154,'Weekly Log'!$A:$A,"&lt;"&amp;$J154+7))</f>
        <v/>
      </c>
      <c r="C154" t="str">
        <f>IF($J154="","",IFERROR(COUNTIFS('Weekly Log'!$G:$G,"Y",'Weekly Log'!$A:$A,"&gt;="&amp;$J154,'Weekly Log'!$A:$A,"&lt;"&amp;$J154+7)/COUNTIFS('Weekly Log'!$G:$G,"&lt;&gt;",'Weekly Log'!$A:$A,"&gt;="&amp;$J154,'Weekly Log'!$A:$A,"&lt;"&amp;$J154+7),0))</f>
        <v/>
      </c>
      <c r="D154" t="str">
        <f>IF($J154="","",IFERROR(COUNTIFS('Weekly Log'!$H:$H,"Y",'Weekly Log'!$A:$A,"&gt;="&amp;$J154,'Weekly Log'!$A:$A,"&lt;"&amp;$J154+7)/COUNTIFS('Weekly Log'!$H:$H,"&lt;&gt;",'Weekly Log'!$A:$A,"&gt;="&amp;$J154,'Weekly Log'!$A:$A,"&lt;"&amp;$J154+7),0))</f>
        <v/>
      </c>
      <c r="E154" t="str">
        <f>IF($J154="","",IFERROR(AVERAGEIFS('Weekly Log'!$F:$F,'Weekly Log'!$A:$A,"&gt;="&amp;$J154,'Weekly Log'!$A:$A,"&lt;"&amp;$J154+7),0))</f>
        <v/>
      </c>
      <c r="F154" t="str">
        <f>IF($J154="","",IFERROR(SUMIFS('Weekly Log'!$F:$F,'Weekly Log'!$A:$A,"&gt;="&amp;$J154,'Weekly Log'!$A:$A,"&lt;"&amp;$J154+7)/SUMIFS('Weekly Log'!$E:$E,'Weekly Log'!$A:$A,"&gt;="&amp;$J154,'Weekly Log'!$A:$A,"&lt;"&amp;$J154+7),0))</f>
        <v/>
      </c>
      <c r="G154" t="str">
        <f>IF($J154="","",IFERROR(LOOKUP(2,1/(('Weekly Log'!$A$5:$A$5000&gt;=$J154)*('Weekly Log'!$A$5:$A$5000&lt;$J154+7)*('Weekly Log'!$M$5:$M$5000&lt;&gt;"")),'Weekly Log'!$M$5:$M$5000),0))</f>
        <v/>
      </c>
      <c r="J154" t="str">
        <f>IF(COUNT('Weekly Log'!$A$5:$A$5000)=0,"",IF(MIN('Weekly Log'!$A$5:$A$5000)+7*(ROW()-10)&gt;MAX('Weekly Log'!$A$5:$A$5000),"",MIN('Weekly Log'!$A$5:$A$5000)+7*(ROW()-10)))</f>
        <v/>
      </c>
    </row>
    <row r="155" spans="1:10" x14ac:dyDescent="0.25">
      <c r="A155" t="str">
        <f t="shared" si="2"/>
        <v/>
      </c>
      <c r="B155" t="str">
        <f>IF($J155="","",SUMIFS('Weekly Log'!$C:$C,'Weekly Log'!$A:$A,"&gt;="&amp;$J155,'Weekly Log'!$A:$A,"&lt;"&amp;$J155+7))</f>
        <v/>
      </c>
      <c r="C155" t="str">
        <f>IF($J155="","",IFERROR(COUNTIFS('Weekly Log'!$G:$G,"Y",'Weekly Log'!$A:$A,"&gt;="&amp;$J155,'Weekly Log'!$A:$A,"&lt;"&amp;$J155+7)/COUNTIFS('Weekly Log'!$G:$G,"&lt;&gt;",'Weekly Log'!$A:$A,"&gt;="&amp;$J155,'Weekly Log'!$A:$A,"&lt;"&amp;$J155+7),0))</f>
        <v/>
      </c>
      <c r="D155" t="str">
        <f>IF($J155="","",IFERROR(COUNTIFS('Weekly Log'!$H:$H,"Y",'Weekly Log'!$A:$A,"&gt;="&amp;$J155,'Weekly Log'!$A:$A,"&lt;"&amp;$J155+7)/COUNTIFS('Weekly Log'!$H:$H,"&lt;&gt;",'Weekly Log'!$A:$A,"&gt;="&amp;$J155,'Weekly Log'!$A:$A,"&lt;"&amp;$J155+7),0))</f>
        <v/>
      </c>
      <c r="E155" t="str">
        <f>IF($J155="","",IFERROR(AVERAGEIFS('Weekly Log'!$F:$F,'Weekly Log'!$A:$A,"&gt;="&amp;$J155,'Weekly Log'!$A:$A,"&lt;"&amp;$J155+7),0))</f>
        <v/>
      </c>
      <c r="F155" t="str">
        <f>IF($J155="","",IFERROR(SUMIFS('Weekly Log'!$F:$F,'Weekly Log'!$A:$A,"&gt;="&amp;$J155,'Weekly Log'!$A:$A,"&lt;"&amp;$J155+7)/SUMIFS('Weekly Log'!$E:$E,'Weekly Log'!$A:$A,"&gt;="&amp;$J155,'Weekly Log'!$A:$A,"&lt;"&amp;$J155+7),0))</f>
        <v/>
      </c>
      <c r="G155" t="str">
        <f>IF($J155="","",IFERROR(LOOKUP(2,1/(('Weekly Log'!$A$5:$A$5000&gt;=$J155)*('Weekly Log'!$A$5:$A$5000&lt;$J155+7)*('Weekly Log'!$M$5:$M$5000&lt;&gt;"")),'Weekly Log'!$M$5:$M$5000),0))</f>
        <v/>
      </c>
      <c r="J155" t="str">
        <f>IF(COUNT('Weekly Log'!$A$5:$A$5000)=0,"",IF(MIN('Weekly Log'!$A$5:$A$5000)+7*(ROW()-10)&gt;MAX('Weekly Log'!$A$5:$A$5000),"",MIN('Weekly Log'!$A$5:$A$5000)+7*(ROW()-10)))</f>
        <v/>
      </c>
    </row>
    <row r="156" spans="1:10" x14ac:dyDescent="0.25">
      <c r="A156" t="str">
        <f t="shared" si="2"/>
        <v/>
      </c>
      <c r="B156" t="str">
        <f>IF($J156="","",SUMIFS('Weekly Log'!$C:$C,'Weekly Log'!$A:$A,"&gt;="&amp;$J156,'Weekly Log'!$A:$A,"&lt;"&amp;$J156+7))</f>
        <v/>
      </c>
      <c r="C156" t="str">
        <f>IF($J156="","",IFERROR(COUNTIFS('Weekly Log'!$G:$G,"Y",'Weekly Log'!$A:$A,"&gt;="&amp;$J156,'Weekly Log'!$A:$A,"&lt;"&amp;$J156+7)/COUNTIFS('Weekly Log'!$G:$G,"&lt;&gt;",'Weekly Log'!$A:$A,"&gt;="&amp;$J156,'Weekly Log'!$A:$A,"&lt;"&amp;$J156+7),0))</f>
        <v/>
      </c>
      <c r="D156" t="str">
        <f>IF($J156="","",IFERROR(COUNTIFS('Weekly Log'!$H:$H,"Y",'Weekly Log'!$A:$A,"&gt;="&amp;$J156,'Weekly Log'!$A:$A,"&lt;"&amp;$J156+7)/COUNTIFS('Weekly Log'!$H:$H,"&lt;&gt;",'Weekly Log'!$A:$A,"&gt;="&amp;$J156,'Weekly Log'!$A:$A,"&lt;"&amp;$J156+7),0))</f>
        <v/>
      </c>
      <c r="E156" t="str">
        <f>IF($J156="","",IFERROR(AVERAGEIFS('Weekly Log'!$F:$F,'Weekly Log'!$A:$A,"&gt;="&amp;$J156,'Weekly Log'!$A:$A,"&lt;"&amp;$J156+7),0))</f>
        <v/>
      </c>
      <c r="F156" t="str">
        <f>IF($J156="","",IFERROR(SUMIFS('Weekly Log'!$F:$F,'Weekly Log'!$A:$A,"&gt;="&amp;$J156,'Weekly Log'!$A:$A,"&lt;"&amp;$J156+7)/SUMIFS('Weekly Log'!$E:$E,'Weekly Log'!$A:$A,"&gt;="&amp;$J156,'Weekly Log'!$A:$A,"&lt;"&amp;$J156+7),0))</f>
        <v/>
      </c>
      <c r="G156" t="str">
        <f>IF($J156="","",IFERROR(LOOKUP(2,1/(('Weekly Log'!$A$5:$A$5000&gt;=$J156)*('Weekly Log'!$A$5:$A$5000&lt;$J156+7)*('Weekly Log'!$M$5:$M$5000&lt;&gt;"")),'Weekly Log'!$M$5:$M$5000),0))</f>
        <v/>
      </c>
      <c r="J156" t="str">
        <f>IF(COUNT('Weekly Log'!$A$5:$A$5000)=0,"",IF(MIN('Weekly Log'!$A$5:$A$5000)+7*(ROW()-10)&gt;MAX('Weekly Log'!$A$5:$A$5000),"",MIN('Weekly Log'!$A$5:$A$5000)+7*(ROW()-10)))</f>
        <v/>
      </c>
    </row>
    <row r="157" spans="1:10" x14ac:dyDescent="0.25">
      <c r="A157" t="str">
        <f t="shared" si="2"/>
        <v/>
      </c>
      <c r="B157" t="str">
        <f>IF($J157="","",SUMIFS('Weekly Log'!$C:$C,'Weekly Log'!$A:$A,"&gt;="&amp;$J157,'Weekly Log'!$A:$A,"&lt;"&amp;$J157+7))</f>
        <v/>
      </c>
      <c r="C157" t="str">
        <f>IF($J157="","",IFERROR(COUNTIFS('Weekly Log'!$G:$G,"Y",'Weekly Log'!$A:$A,"&gt;="&amp;$J157,'Weekly Log'!$A:$A,"&lt;"&amp;$J157+7)/COUNTIFS('Weekly Log'!$G:$G,"&lt;&gt;",'Weekly Log'!$A:$A,"&gt;="&amp;$J157,'Weekly Log'!$A:$A,"&lt;"&amp;$J157+7),0))</f>
        <v/>
      </c>
      <c r="D157" t="str">
        <f>IF($J157="","",IFERROR(COUNTIFS('Weekly Log'!$H:$H,"Y",'Weekly Log'!$A:$A,"&gt;="&amp;$J157,'Weekly Log'!$A:$A,"&lt;"&amp;$J157+7)/COUNTIFS('Weekly Log'!$H:$H,"&lt;&gt;",'Weekly Log'!$A:$A,"&gt;="&amp;$J157,'Weekly Log'!$A:$A,"&lt;"&amp;$J157+7),0))</f>
        <v/>
      </c>
      <c r="E157" t="str">
        <f>IF($J157="","",IFERROR(AVERAGEIFS('Weekly Log'!$F:$F,'Weekly Log'!$A:$A,"&gt;="&amp;$J157,'Weekly Log'!$A:$A,"&lt;"&amp;$J157+7),0))</f>
        <v/>
      </c>
      <c r="F157" t="str">
        <f>IF($J157="","",IFERROR(SUMIFS('Weekly Log'!$F:$F,'Weekly Log'!$A:$A,"&gt;="&amp;$J157,'Weekly Log'!$A:$A,"&lt;"&amp;$J157+7)/SUMIFS('Weekly Log'!$E:$E,'Weekly Log'!$A:$A,"&gt;="&amp;$J157,'Weekly Log'!$A:$A,"&lt;"&amp;$J157+7),0))</f>
        <v/>
      </c>
      <c r="G157" t="str">
        <f>IF($J157="","",IFERROR(LOOKUP(2,1/(('Weekly Log'!$A$5:$A$5000&gt;=$J157)*('Weekly Log'!$A$5:$A$5000&lt;$J157+7)*('Weekly Log'!$M$5:$M$5000&lt;&gt;"")),'Weekly Log'!$M$5:$M$5000),0))</f>
        <v/>
      </c>
      <c r="J157" t="str">
        <f>IF(COUNT('Weekly Log'!$A$5:$A$5000)=0,"",IF(MIN('Weekly Log'!$A$5:$A$5000)+7*(ROW()-10)&gt;MAX('Weekly Log'!$A$5:$A$5000),"",MIN('Weekly Log'!$A$5:$A$5000)+7*(ROW()-10)))</f>
        <v/>
      </c>
    </row>
    <row r="158" spans="1:10" x14ac:dyDescent="0.25">
      <c r="A158" t="str">
        <f t="shared" si="2"/>
        <v/>
      </c>
      <c r="B158" t="str">
        <f>IF($J158="","",SUMIFS('Weekly Log'!$C:$C,'Weekly Log'!$A:$A,"&gt;="&amp;$J158,'Weekly Log'!$A:$A,"&lt;"&amp;$J158+7))</f>
        <v/>
      </c>
      <c r="C158" t="str">
        <f>IF($J158="","",IFERROR(COUNTIFS('Weekly Log'!$G:$G,"Y",'Weekly Log'!$A:$A,"&gt;="&amp;$J158,'Weekly Log'!$A:$A,"&lt;"&amp;$J158+7)/COUNTIFS('Weekly Log'!$G:$G,"&lt;&gt;",'Weekly Log'!$A:$A,"&gt;="&amp;$J158,'Weekly Log'!$A:$A,"&lt;"&amp;$J158+7),0))</f>
        <v/>
      </c>
      <c r="D158" t="str">
        <f>IF($J158="","",IFERROR(COUNTIFS('Weekly Log'!$H:$H,"Y",'Weekly Log'!$A:$A,"&gt;="&amp;$J158,'Weekly Log'!$A:$A,"&lt;"&amp;$J158+7)/COUNTIFS('Weekly Log'!$H:$H,"&lt;&gt;",'Weekly Log'!$A:$A,"&gt;="&amp;$J158,'Weekly Log'!$A:$A,"&lt;"&amp;$J158+7),0))</f>
        <v/>
      </c>
      <c r="E158" t="str">
        <f>IF($J158="","",IFERROR(AVERAGEIFS('Weekly Log'!$F:$F,'Weekly Log'!$A:$A,"&gt;="&amp;$J158,'Weekly Log'!$A:$A,"&lt;"&amp;$J158+7),0))</f>
        <v/>
      </c>
      <c r="F158" t="str">
        <f>IF($J158="","",IFERROR(SUMIFS('Weekly Log'!$F:$F,'Weekly Log'!$A:$A,"&gt;="&amp;$J158,'Weekly Log'!$A:$A,"&lt;"&amp;$J158+7)/SUMIFS('Weekly Log'!$E:$E,'Weekly Log'!$A:$A,"&gt;="&amp;$J158,'Weekly Log'!$A:$A,"&lt;"&amp;$J158+7),0))</f>
        <v/>
      </c>
      <c r="G158" t="str">
        <f>IF($J158="","",IFERROR(LOOKUP(2,1/(('Weekly Log'!$A$5:$A$5000&gt;=$J158)*('Weekly Log'!$A$5:$A$5000&lt;$J158+7)*('Weekly Log'!$M$5:$M$5000&lt;&gt;"")),'Weekly Log'!$M$5:$M$5000),0))</f>
        <v/>
      </c>
      <c r="J158" t="str">
        <f>IF(COUNT('Weekly Log'!$A$5:$A$5000)=0,"",IF(MIN('Weekly Log'!$A$5:$A$5000)+7*(ROW()-10)&gt;MAX('Weekly Log'!$A$5:$A$5000),"",MIN('Weekly Log'!$A$5:$A$5000)+7*(ROW()-10)))</f>
        <v/>
      </c>
    </row>
    <row r="159" spans="1:10" x14ac:dyDescent="0.25">
      <c r="A159" t="str">
        <f t="shared" si="2"/>
        <v/>
      </c>
      <c r="B159" t="str">
        <f>IF($J159="","",SUMIFS('Weekly Log'!$C:$C,'Weekly Log'!$A:$A,"&gt;="&amp;$J159,'Weekly Log'!$A:$A,"&lt;"&amp;$J159+7))</f>
        <v/>
      </c>
      <c r="C159" t="str">
        <f>IF($J159="","",IFERROR(COUNTIFS('Weekly Log'!$G:$G,"Y",'Weekly Log'!$A:$A,"&gt;="&amp;$J159,'Weekly Log'!$A:$A,"&lt;"&amp;$J159+7)/COUNTIFS('Weekly Log'!$G:$G,"&lt;&gt;",'Weekly Log'!$A:$A,"&gt;="&amp;$J159,'Weekly Log'!$A:$A,"&lt;"&amp;$J159+7),0))</f>
        <v/>
      </c>
      <c r="D159" t="str">
        <f>IF($J159="","",IFERROR(COUNTIFS('Weekly Log'!$H:$H,"Y",'Weekly Log'!$A:$A,"&gt;="&amp;$J159,'Weekly Log'!$A:$A,"&lt;"&amp;$J159+7)/COUNTIFS('Weekly Log'!$H:$H,"&lt;&gt;",'Weekly Log'!$A:$A,"&gt;="&amp;$J159,'Weekly Log'!$A:$A,"&lt;"&amp;$J159+7),0))</f>
        <v/>
      </c>
      <c r="E159" t="str">
        <f>IF($J159="","",IFERROR(AVERAGEIFS('Weekly Log'!$F:$F,'Weekly Log'!$A:$A,"&gt;="&amp;$J159,'Weekly Log'!$A:$A,"&lt;"&amp;$J159+7),0))</f>
        <v/>
      </c>
      <c r="F159" t="str">
        <f>IF($J159="","",IFERROR(SUMIFS('Weekly Log'!$F:$F,'Weekly Log'!$A:$A,"&gt;="&amp;$J159,'Weekly Log'!$A:$A,"&lt;"&amp;$J159+7)/SUMIFS('Weekly Log'!$E:$E,'Weekly Log'!$A:$A,"&gt;="&amp;$J159,'Weekly Log'!$A:$A,"&lt;"&amp;$J159+7),0))</f>
        <v/>
      </c>
      <c r="G159" t="str">
        <f>IF($J159="","",IFERROR(LOOKUP(2,1/(('Weekly Log'!$A$5:$A$5000&gt;=$J159)*('Weekly Log'!$A$5:$A$5000&lt;$J159+7)*('Weekly Log'!$M$5:$M$5000&lt;&gt;"")),'Weekly Log'!$M$5:$M$5000),0))</f>
        <v/>
      </c>
      <c r="J159" t="str">
        <f>IF(COUNT('Weekly Log'!$A$5:$A$5000)=0,"",IF(MIN('Weekly Log'!$A$5:$A$5000)+7*(ROW()-10)&gt;MAX('Weekly Log'!$A$5:$A$5000),"",MIN('Weekly Log'!$A$5:$A$5000)+7*(ROW()-10)))</f>
        <v/>
      </c>
    </row>
    <row r="160" spans="1:10" x14ac:dyDescent="0.25">
      <c r="A160" t="str">
        <f t="shared" si="2"/>
        <v/>
      </c>
      <c r="B160" t="str">
        <f>IF($J160="","",SUMIFS('Weekly Log'!$C:$C,'Weekly Log'!$A:$A,"&gt;="&amp;$J160,'Weekly Log'!$A:$A,"&lt;"&amp;$J160+7))</f>
        <v/>
      </c>
      <c r="C160" t="str">
        <f>IF($J160="","",IFERROR(COUNTIFS('Weekly Log'!$G:$G,"Y",'Weekly Log'!$A:$A,"&gt;="&amp;$J160,'Weekly Log'!$A:$A,"&lt;"&amp;$J160+7)/COUNTIFS('Weekly Log'!$G:$G,"&lt;&gt;",'Weekly Log'!$A:$A,"&gt;="&amp;$J160,'Weekly Log'!$A:$A,"&lt;"&amp;$J160+7),0))</f>
        <v/>
      </c>
      <c r="D160" t="str">
        <f>IF($J160="","",IFERROR(COUNTIFS('Weekly Log'!$H:$H,"Y",'Weekly Log'!$A:$A,"&gt;="&amp;$J160,'Weekly Log'!$A:$A,"&lt;"&amp;$J160+7)/COUNTIFS('Weekly Log'!$H:$H,"&lt;&gt;",'Weekly Log'!$A:$A,"&gt;="&amp;$J160,'Weekly Log'!$A:$A,"&lt;"&amp;$J160+7),0))</f>
        <v/>
      </c>
      <c r="E160" t="str">
        <f>IF($J160="","",IFERROR(AVERAGEIFS('Weekly Log'!$F:$F,'Weekly Log'!$A:$A,"&gt;="&amp;$J160,'Weekly Log'!$A:$A,"&lt;"&amp;$J160+7),0))</f>
        <v/>
      </c>
      <c r="F160" t="str">
        <f>IF($J160="","",IFERROR(SUMIFS('Weekly Log'!$F:$F,'Weekly Log'!$A:$A,"&gt;="&amp;$J160,'Weekly Log'!$A:$A,"&lt;"&amp;$J160+7)/SUMIFS('Weekly Log'!$E:$E,'Weekly Log'!$A:$A,"&gt;="&amp;$J160,'Weekly Log'!$A:$A,"&lt;"&amp;$J160+7),0))</f>
        <v/>
      </c>
      <c r="G160" t="str">
        <f>IF($J160="","",IFERROR(LOOKUP(2,1/(('Weekly Log'!$A$5:$A$5000&gt;=$J160)*('Weekly Log'!$A$5:$A$5000&lt;$J160+7)*('Weekly Log'!$M$5:$M$5000&lt;&gt;"")),'Weekly Log'!$M$5:$M$5000),0))</f>
        <v/>
      </c>
      <c r="J160" t="str">
        <f>IF(COUNT('Weekly Log'!$A$5:$A$5000)=0,"",IF(MIN('Weekly Log'!$A$5:$A$5000)+7*(ROW()-10)&gt;MAX('Weekly Log'!$A$5:$A$5000),"",MIN('Weekly Log'!$A$5:$A$5000)+7*(ROW()-10)))</f>
        <v/>
      </c>
    </row>
    <row r="161" spans="1:10" x14ac:dyDescent="0.25">
      <c r="A161" t="str">
        <f t="shared" si="2"/>
        <v/>
      </c>
      <c r="B161" t="str">
        <f>IF($J161="","",SUMIFS('Weekly Log'!$C:$C,'Weekly Log'!$A:$A,"&gt;="&amp;$J161,'Weekly Log'!$A:$A,"&lt;"&amp;$J161+7))</f>
        <v/>
      </c>
      <c r="C161" t="str">
        <f>IF($J161="","",IFERROR(COUNTIFS('Weekly Log'!$G:$G,"Y",'Weekly Log'!$A:$A,"&gt;="&amp;$J161,'Weekly Log'!$A:$A,"&lt;"&amp;$J161+7)/COUNTIFS('Weekly Log'!$G:$G,"&lt;&gt;",'Weekly Log'!$A:$A,"&gt;="&amp;$J161,'Weekly Log'!$A:$A,"&lt;"&amp;$J161+7),0))</f>
        <v/>
      </c>
      <c r="D161" t="str">
        <f>IF($J161="","",IFERROR(COUNTIFS('Weekly Log'!$H:$H,"Y",'Weekly Log'!$A:$A,"&gt;="&amp;$J161,'Weekly Log'!$A:$A,"&lt;"&amp;$J161+7)/COUNTIFS('Weekly Log'!$H:$H,"&lt;&gt;",'Weekly Log'!$A:$A,"&gt;="&amp;$J161,'Weekly Log'!$A:$A,"&lt;"&amp;$J161+7),0))</f>
        <v/>
      </c>
      <c r="E161" t="str">
        <f>IF($J161="","",IFERROR(AVERAGEIFS('Weekly Log'!$F:$F,'Weekly Log'!$A:$A,"&gt;="&amp;$J161,'Weekly Log'!$A:$A,"&lt;"&amp;$J161+7),0))</f>
        <v/>
      </c>
      <c r="F161" t="str">
        <f>IF($J161="","",IFERROR(SUMIFS('Weekly Log'!$F:$F,'Weekly Log'!$A:$A,"&gt;="&amp;$J161,'Weekly Log'!$A:$A,"&lt;"&amp;$J161+7)/SUMIFS('Weekly Log'!$E:$E,'Weekly Log'!$A:$A,"&gt;="&amp;$J161,'Weekly Log'!$A:$A,"&lt;"&amp;$J161+7),0))</f>
        <v/>
      </c>
      <c r="G161" t="str">
        <f>IF($J161="","",IFERROR(LOOKUP(2,1/(('Weekly Log'!$A$5:$A$5000&gt;=$J161)*('Weekly Log'!$A$5:$A$5000&lt;$J161+7)*('Weekly Log'!$M$5:$M$5000&lt;&gt;"")),'Weekly Log'!$M$5:$M$5000),0))</f>
        <v/>
      </c>
      <c r="J161" t="str">
        <f>IF(COUNT('Weekly Log'!$A$5:$A$5000)=0,"",IF(MIN('Weekly Log'!$A$5:$A$5000)+7*(ROW()-10)&gt;MAX('Weekly Log'!$A$5:$A$5000),"",MIN('Weekly Log'!$A$5:$A$5000)+7*(ROW()-10)))</f>
        <v/>
      </c>
    </row>
    <row r="162" spans="1:10" x14ac:dyDescent="0.25">
      <c r="A162" t="str">
        <f t="shared" si="2"/>
        <v/>
      </c>
      <c r="B162" t="str">
        <f>IF($J162="","",SUMIFS('Weekly Log'!$C:$C,'Weekly Log'!$A:$A,"&gt;="&amp;$J162,'Weekly Log'!$A:$A,"&lt;"&amp;$J162+7))</f>
        <v/>
      </c>
      <c r="C162" t="str">
        <f>IF($J162="","",IFERROR(COUNTIFS('Weekly Log'!$G:$G,"Y",'Weekly Log'!$A:$A,"&gt;="&amp;$J162,'Weekly Log'!$A:$A,"&lt;"&amp;$J162+7)/COUNTIFS('Weekly Log'!$G:$G,"&lt;&gt;",'Weekly Log'!$A:$A,"&gt;="&amp;$J162,'Weekly Log'!$A:$A,"&lt;"&amp;$J162+7),0))</f>
        <v/>
      </c>
      <c r="D162" t="str">
        <f>IF($J162="","",IFERROR(COUNTIFS('Weekly Log'!$H:$H,"Y",'Weekly Log'!$A:$A,"&gt;="&amp;$J162,'Weekly Log'!$A:$A,"&lt;"&amp;$J162+7)/COUNTIFS('Weekly Log'!$H:$H,"&lt;&gt;",'Weekly Log'!$A:$A,"&gt;="&amp;$J162,'Weekly Log'!$A:$A,"&lt;"&amp;$J162+7),0))</f>
        <v/>
      </c>
      <c r="E162" t="str">
        <f>IF($J162="","",IFERROR(AVERAGEIFS('Weekly Log'!$F:$F,'Weekly Log'!$A:$A,"&gt;="&amp;$J162,'Weekly Log'!$A:$A,"&lt;"&amp;$J162+7),0))</f>
        <v/>
      </c>
      <c r="F162" t="str">
        <f>IF($J162="","",IFERROR(SUMIFS('Weekly Log'!$F:$F,'Weekly Log'!$A:$A,"&gt;="&amp;$J162,'Weekly Log'!$A:$A,"&lt;"&amp;$J162+7)/SUMIFS('Weekly Log'!$E:$E,'Weekly Log'!$A:$A,"&gt;="&amp;$J162,'Weekly Log'!$A:$A,"&lt;"&amp;$J162+7),0))</f>
        <v/>
      </c>
      <c r="G162" t="str">
        <f>IF($J162="","",IFERROR(LOOKUP(2,1/(('Weekly Log'!$A$5:$A$5000&gt;=$J162)*('Weekly Log'!$A$5:$A$5000&lt;$J162+7)*('Weekly Log'!$M$5:$M$5000&lt;&gt;"")),'Weekly Log'!$M$5:$M$5000),0))</f>
        <v/>
      </c>
      <c r="J162" t="str">
        <f>IF(COUNT('Weekly Log'!$A$5:$A$5000)=0,"",IF(MIN('Weekly Log'!$A$5:$A$5000)+7*(ROW()-10)&gt;MAX('Weekly Log'!$A$5:$A$5000),"",MIN('Weekly Log'!$A$5:$A$5000)+7*(ROW()-10)))</f>
        <v/>
      </c>
    </row>
    <row r="163" spans="1:10" x14ac:dyDescent="0.25">
      <c r="A163" t="str">
        <f t="shared" si="2"/>
        <v/>
      </c>
      <c r="B163" t="str">
        <f>IF($J163="","",SUMIFS('Weekly Log'!$C:$C,'Weekly Log'!$A:$A,"&gt;="&amp;$J163,'Weekly Log'!$A:$A,"&lt;"&amp;$J163+7))</f>
        <v/>
      </c>
      <c r="C163" t="str">
        <f>IF($J163="","",IFERROR(COUNTIFS('Weekly Log'!$G:$G,"Y",'Weekly Log'!$A:$A,"&gt;="&amp;$J163,'Weekly Log'!$A:$A,"&lt;"&amp;$J163+7)/COUNTIFS('Weekly Log'!$G:$G,"&lt;&gt;",'Weekly Log'!$A:$A,"&gt;="&amp;$J163,'Weekly Log'!$A:$A,"&lt;"&amp;$J163+7),0))</f>
        <v/>
      </c>
      <c r="D163" t="str">
        <f>IF($J163="","",IFERROR(COUNTIFS('Weekly Log'!$H:$H,"Y",'Weekly Log'!$A:$A,"&gt;="&amp;$J163,'Weekly Log'!$A:$A,"&lt;"&amp;$J163+7)/COUNTIFS('Weekly Log'!$H:$H,"&lt;&gt;",'Weekly Log'!$A:$A,"&gt;="&amp;$J163,'Weekly Log'!$A:$A,"&lt;"&amp;$J163+7),0))</f>
        <v/>
      </c>
      <c r="E163" t="str">
        <f>IF($J163="","",IFERROR(AVERAGEIFS('Weekly Log'!$F:$F,'Weekly Log'!$A:$A,"&gt;="&amp;$J163,'Weekly Log'!$A:$A,"&lt;"&amp;$J163+7),0))</f>
        <v/>
      </c>
      <c r="F163" t="str">
        <f>IF($J163="","",IFERROR(SUMIFS('Weekly Log'!$F:$F,'Weekly Log'!$A:$A,"&gt;="&amp;$J163,'Weekly Log'!$A:$A,"&lt;"&amp;$J163+7)/SUMIFS('Weekly Log'!$E:$E,'Weekly Log'!$A:$A,"&gt;="&amp;$J163,'Weekly Log'!$A:$A,"&lt;"&amp;$J163+7),0))</f>
        <v/>
      </c>
      <c r="G163" t="str">
        <f>IF($J163="","",IFERROR(LOOKUP(2,1/(('Weekly Log'!$A$5:$A$5000&gt;=$J163)*('Weekly Log'!$A$5:$A$5000&lt;$J163+7)*('Weekly Log'!$M$5:$M$5000&lt;&gt;"")),'Weekly Log'!$M$5:$M$5000),0))</f>
        <v/>
      </c>
      <c r="J163" t="str">
        <f>IF(COUNT('Weekly Log'!$A$5:$A$5000)=0,"",IF(MIN('Weekly Log'!$A$5:$A$5000)+7*(ROW()-10)&gt;MAX('Weekly Log'!$A$5:$A$5000),"",MIN('Weekly Log'!$A$5:$A$5000)+7*(ROW()-10)))</f>
        <v/>
      </c>
    </row>
    <row r="164" spans="1:10" x14ac:dyDescent="0.25">
      <c r="A164" t="str">
        <f t="shared" si="2"/>
        <v/>
      </c>
      <c r="B164" t="str">
        <f>IF($J164="","",SUMIFS('Weekly Log'!$C:$C,'Weekly Log'!$A:$A,"&gt;="&amp;$J164,'Weekly Log'!$A:$A,"&lt;"&amp;$J164+7))</f>
        <v/>
      </c>
      <c r="C164" t="str">
        <f>IF($J164="","",IFERROR(COUNTIFS('Weekly Log'!$G:$G,"Y",'Weekly Log'!$A:$A,"&gt;="&amp;$J164,'Weekly Log'!$A:$A,"&lt;"&amp;$J164+7)/COUNTIFS('Weekly Log'!$G:$G,"&lt;&gt;",'Weekly Log'!$A:$A,"&gt;="&amp;$J164,'Weekly Log'!$A:$A,"&lt;"&amp;$J164+7),0))</f>
        <v/>
      </c>
      <c r="D164" t="str">
        <f>IF($J164="","",IFERROR(COUNTIFS('Weekly Log'!$H:$H,"Y",'Weekly Log'!$A:$A,"&gt;="&amp;$J164,'Weekly Log'!$A:$A,"&lt;"&amp;$J164+7)/COUNTIFS('Weekly Log'!$H:$H,"&lt;&gt;",'Weekly Log'!$A:$A,"&gt;="&amp;$J164,'Weekly Log'!$A:$A,"&lt;"&amp;$J164+7),0))</f>
        <v/>
      </c>
      <c r="E164" t="str">
        <f>IF($J164="","",IFERROR(AVERAGEIFS('Weekly Log'!$F:$F,'Weekly Log'!$A:$A,"&gt;="&amp;$J164,'Weekly Log'!$A:$A,"&lt;"&amp;$J164+7),0))</f>
        <v/>
      </c>
      <c r="F164" t="str">
        <f>IF($J164="","",IFERROR(SUMIFS('Weekly Log'!$F:$F,'Weekly Log'!$A:$A,"&gt;="&amp;$J164,'Weekly Log'!$A:$A,"&lt;"&amp;$J164+7)/SUMIFS('Weekly Log'!$E:$E,'Weekly Log'!$A:$A,"&gt;="&amp;$J164,'Weekly Log'!$A:$A,"&lt;"&amp;$J164+7),0))</f>
        <v/>
      </c>
      <c r="G164" t="str">
        <f>IF($J164="","",IFERROR(LOOKUP(2,1/(('Weekly Log'!$A$5:$A$5000&gt;=$J164)*('Weekly Log'!$A$5:$A$5000&lt;$J164+7)*('Weekly Log'!$M$5:$M$5000&lt;&gt;"")),'Weekly Log'!$M$5:$M$5000),0))</f>
        <v/>
      </c>
      <c r="J164" t="str">
        <f>IF(COUNT('Weekly Log'!$A$5:$A$5000)=0,"",IF(MIN('Weekly Log'!$A$5:$A$5000)+7*(ROW()-10)&gt;MAX('Weekly Log'!$A$5:$A$5000),"",MIN('Weekly Log'!$A$5:$A$5000)+7*(ROW()-10)))</f>
        <v/>
      </c>
    </row>
    <row r="165" spans="1:10" x14ac:dyDescent="0.25">
      <c r="A165" t="str">
        <f t="shared" si="2"/>
        <v/>
      </c>
      <c r="B165" t="str">
        <f>IF($J165="","",SUMIFS('Weekly Log'!$C:$C,'Weekly Log'!$A:$A,"&gt;="&amp;$J165,'Weekly Log'!$A:$A,"&lt;"&amp;$J165+7))</f>
        <v/>
      </c>
      <c r="C165" t="str">
        <f>IF($J165="","",IFERROR(COUNTIFS('Weekly Log'!$G:$G,"Y",'Weekly Log'!$A:$A,"&gt;="&amp;$J165,'Weekly Log'!$A:$A,"&lt;"&amp;$J165+7)/COUNTIFS('Weekly Log'!$G:$G,"&lt;&gt;",'Weekly Log'!$A:$A,"&gt;="&amp;$J165,'Weekly Log'!$A:$A,"&lt;"&amp;$J165+7),0))</f>
        <v/>
      </c>
      <c r="D165" t="str">
        <f>IF($J165="","",IFERROR(COUNTIFS('Weekly Log'!$H:$H,"Y",'Weekly Log'!$A:$A,"&gt;="&amp;$J165,'Weekly Log'!$A:$A,"&lt;"&amp;$J165+7)/COUNTIFS('Weekly Log'!$H:$H,"&lt;&gt;",'Weekly Log'!$A:$A,"&gt;="&amp;$J165,'Weekly Log'!$A:$A,"&lt;"&amp;$J165+7),0))</f>
        <v/>
      </c>
      <c r="E165" t="str">
        <f>IF($J165="","",IFERROR(AVERAGEIFS('Weekly Log'!$F:$F,'Weekly Log'!$A:$A,"&gt;="&amp;$J165,'Weekly Log'!$A:$A,"&lt;"&amp;$J165+7),0))</f>
        <v/>
      </c>
      <c r="F165" t="str">
        <f>IF($J165="","",IFERROR(SUMIFS('Weekly Log'!$F:$F,'Weekly Log'!$A:$A,"&gt;="&amp;$J165,'Weekly Log'!$A:$A,"&lt;"&amp;$J165+7)/SUMIFS('Weekly Log'!$E:$E,'Weekly Log'!$A:$A,"&gt;="&amp;$J165,'Weekly Log'!$A:$A,"&lt;"&amp;$J165+7),0))</f>
        <v/>
      </c>
      <c r="G165" t="str">
        <f>IF($J165="","",IFERROR(LOOKUP(2,1/(('Weekly Log'!$A$5:$A$5000&gt;=$J165)*('Weekly Log'!$A$5:$A$5000&lt;$J165+7)*('Weekly Log'!$M$5:$M$5000&lt;&gt;"")),'Weekly Log'!$M$5:$M$5000),0))</f>
        <v/>
      </c>
      <c r="J165" t="str">
        <f>IF(COUNT('Weekly Log'!$A$5:$A$5000)=0,"",IF(MIN('Weekly Log'!$A$5:$A$5000)+7*(ROW()-10)&gt;MAX('Weekly Log'!$A$5:$A$5000),"",MIN('Weekly Log'!$A$5:$A$5000)+7*(ROW()-10)))</f>
        <v/>
      </c>
    </row>
    <row r="166" spans="1:10" x14ac:dyDescent="0.25">
      <c r="A166" t="str">
        <f t="shared" si="2"/>
        <v/>
      </c>
      <c r="B166" t="str">
        <f>IF($J166="","",SUMIFS('Weekly Log'!$C:$C,'Weekly Log'!$A:$A,"&gt;="&amp;$J166,'Weekly Log'!$A:$A,"&lt;"&amp;$J166+7))</f>
        <v/>
      </c>
      <c r="C166" t="str">
        <f>IF($J166="","",IFERROR(COUNTIFS('Weekly Log'!$G:$G,"Y",'Weekly Log'!$A:$A,"&gt;="&amp;$J166,'Weekly Log'!$A:$A,"&lt;"&amp;$J166+7)/COUNTIFS('Weekly Log'!$G:$G,"&lt;&gt;",'Weekly Log'!$A:$A,"&gt;="&amp;$J166,'Weekly Log'!$A:$A,"&lt;"&amp;$J166+7),0))</f>
        <v/>
      </c>
      <c r="D166" t="str">
        <f>IF($J166="","",IFERROR(COUNTIFS('Weekly Log'!$H:$H,"Y",'Weekly Log'!$A:$A,"&gt;="&amp;$J166,'Weekly Log'!$A:$A,"&lt;"&amp;$J166+7)/COUNTIFS('Weekly Log'!$H:$H,"&lt;&gt;",'Weekly Log'!$A:$A,"&gt;="&amp;$J166,'Weekly Log'!$A:$A,"&lt;"&amp;$J166+7),0))</f>
        <v/>
      </c>
      <c r="E166" t="str">
        <f>IF($J166="","",IFERROR(AVERAGEIFS('Weekly Log'!$F:$F,'Weekly Log'!$A:$A,"&gt;="&amp;$J166,'Weekly Log'!$A:$A,"&lt;"&amp;$J166+7),0))</f>
        <v/>
      </c>
      <c r="F166" t="str">
        <f>IF($J166="","",IFERROR(SUMIFS('Weekly Log'!$F:$F,'Weekly Log'!$A:$A,"&gt;="&amp;$J166,'Weekly Log'!$A:$A,"&lt;"&amp;$J166+7)/SUMIFS('Weekly Log'!$E:$E,'Weekly Log'!$A:$A,"&gt;="&amp;$J166,'Weekly Log'!$A:$A,"&lt;"&amp;$J166+7),0))</f>
        <v/>
      </c>
      <c r="G166" t="str">
        <f>IF($J166="","",IFERROR(LOOKUP(2,1/(('Weekly Log'!$A$5:$A$5000&gt;=$J166)*('Weekly Log'!$A$5:$A$5000&lt;$J166+7)*('Weekly Log'!$M$5:$M$5000&lt;&gt;"")),'Weekly Log'!$M$5:$M$5000),0))</f>
        <v/>
      </c>
      <c r="J166" t="str">
        <f>IF(COUNT('Weekly Log'!$A$5:$A$5000)=0,"",IF(MIN('Weekly Log'!$A$5:$A$5000)+7*(ROW()-10)&gt;MAX('Weekly Log'!$A$5:$A$5000),"",MIN('Weekly Log'!$A$5:$A$5000)+7*(ROW()-10)))</f>
        <v/>
      </c>
    </row>
    <row r="167" spans="1:10" x14ac:dyDescent="0.25">
      <c r="A167" t="str">
        <f t="shared" si="2"/>
        <v/>
      </c>
      <c r="B167" t="str">
        <f>IF($J167="","",SUMIFS('Weekly Log'!$C:$C,'Weekly Log'!$A:$A,"&gt;="&amp;$J167,'Weekly Log'!$A:$A,"&lt;"&amp;$J167+7))</f>
        <v/>
      </c>
      <c r="C167" t="str">
        <f>IF($J167="","",IFERROR(COUNTIFS('Weekly Log'!$G:$G,"Y",'Weekly Log'!$A:$A,"&gt;="&amp;$J167,'Weekly Log'!$A:$A,"&lt;"&amp;$J167+7)/COUNTIFS('Weekly Log'!$G:$G,"&lt;&gt;",'Weekly Log'!$A:$A,"&gt;="&amp;$J167,'Weekly Log'!$A:$A,"&lt;"&amp;$J167+7),0))</f>
        <v/>
      </c>
      <c r="D167" t="str">
        <f>IF($J167="","",IFERROR(COUNTIFS('Weekly Log'!$H:$H,"Y",'Weekly Log'!$A:$A,"&gt;="&amp;$J167,'Weekly Log'!$A:$A,"&lt;"&amp;$J167+7)/COUNTIFS('Weekly Log'!$H:$H,"&lt;&gt;",'Weekly Log'!$A:$A,"&gt;="&amp;$J167,'Weekly Log'!$A:$A,"&lt;"&amp;$J167+7),0))</f>
        <v/>
      </c>
      <c r="E167" t="str">
        <f>IF($J167="","",IFERROR(AVERAGEIFS('Weekly Log'!$F:$F,'Weekly Log'!$A:$A,"&gt;="&amp;$J167,'Weekly Log'!$A:$A,"&lt;"&amp;$J167+7),0))</f>
        <v/>
      </c>
      <c r="F167" t="str">
        <f>IF($J167="","",IFERROR(SUMIFS('Weekly Log'!$F:$F,'Weekly Log'!$A:$A,"&gt;="&amp;$J167,'Weekly Log'!$A:$A,"&lt;"&amp;$J167+7)/SUMIFS('Weekly Log'!$E:$E,'Weekly Log'!$A:$A,"&gt;="&amp;$J167,'Weekly Log'!$A:$A,"&lt;"&amp;$J167+7),0))</f>
        <v/>
      </c>
      <c r="G167" t="str">
        <f>IF($J167="","",IFERROR(LOOKUP(2,1/(('Weekly Log'!$A$5:$A$5000&gt;=$J167)*('Weekly Log'!$A$5:$A$5000&lt;$J167+7)*('Weekly Log'!$M$5:$M$5000&lt;&gt;"")),'Weekly Log'!$M$5:$M$5000),0))</f>
        <v/>
      </c>
      <c r="J167" t="str">
        <f>IF(COUNT('Weekly Log'!$A$5:$A$5000)=0,"",IF(MIN('Weekly Log'!$A$5:$A$5000)+7*(ROW()-10)&gt;MAX('Weekly Log'!$A$5:$A$5000),"",MIN('Weekly Log'!$A$5:$A$5000)+7*(ROW()-10)))</f>
        <v/>
      </c>
    </row>
    <row r="168" spans="1:10" x14ac:dyDescent="0.25">
      <c r="A168" t="str">
        <f t="shared" si="2"/>
        <v/>
      </c>
      <c r="B168" t="str">
        <f>IF($J168="","",SUMIFS('Weekly Log'!$C:$C,'Weekly Log'!$A:$A,"&gt;="&amp;$J168,'Weekly Log'!$A:$A,"&lt;"&amp;$J168+7))</f>
        <v/>
      </c>
      <c r="C168" t="str">
        <f>IF($J168="","",IFERROR(COUNTIFS('Weekly Log'!$G:$G,"Y",'Weekly Log'!$A:$A,"&gt;="&amp;$J168,'Weekly Log'!$A:$A,"&lt;"&amp;$J168+7)/COUNTIFS('Weekly Log'!$G:$G,"&lt;&gt;",'Weekly Log'!$A:$A,"&gt;="&amp;$J168,'Weekly Log'!$A:$A,"&lt;"&amp;$J168+7),0))</f>
        <v/>
      </c>
      <c r="D168" t="str">
        <f>IF($J168="","",IFERROR(COUNTIFS('Weekly Log'!$H:$H,"Y",'Weekly Log'!$A:$A,"&gt;="&amp;$J168,'Weekly Log'!$A:$A,"&lt;"&amp;$J168+7)/COUNTIFS('Weekly Log'!$H:$H,"&lt;&gt;",'Weekly Log'!$A:$A,"&gt;="&amp;$J168,'Weekly Log'!$A:$A,"&lt;"&amp;$J168+7),0))</f>
        <v/>
      </c>
      <c r="E168" t="str">
        <f>IF($J168="","",IFERROR(AVERAGEIFS('Weekly Log'!$F:$F,'Weekly Log'!$A:$A,"&gt;="&amp;$J168,'Weekly Log'!$A:$A,"&lt;"&amp;$J168+7),0))</f>
        <v/>
      </c>
      <c r="F168" t="str">
        <f>IF($J168="","",IFERROR(SUMIFS('Weekly Log'!$F:$F,'Weekly Log'!$A:$A,"&gt;="&amp;$J168,'Weekly Log'!$A:$A,"&lt;"&amp;$J168+7)/SUMIFS('Weekly Log'!$E:$E,'Weekly Log'!$A:$A,"&gt;="&amp;$J168,'Weekly Log'!$A:$A,"&lt;"&amp;$J168+7),0))</f>
        <v/>
      </c>
      <c r="G168" t="str">
        <f>IF($J168="","",IFERROR(LOOKUP(2,1/(('Weekly Log'!$A$5:$A$5000&gt;=$J168)*('Weekly Log'!$A$5:$A$5000&lt;$J168+7)*('Weekly Log'!$M$5:$M$5000&lt;&gt;"")),'Weekly Log'!$M$5:$M$5000),0))</f>
        <v/>
      </c>
      <c r="J168" t="str">
        <f>IF(COUNT('Weekly Log'!$A$5:$A$5000)=0,"",IF(MIN('Weekly Log'!$A$5:$A$5000)+7*(ROW()-10)&gt;MAX('Weekly Log'!$A$5:$A$5000),"",MIN('Weekly Log'!$A$5:$A$5000)+7*(ROW()-10)))</f>
        <v/>
      </c>
    </row>
    <row r="169" spans="1:10" x14ac:dyDescent="0.25">
      <c r="A169" t="str">
        <f t="shared" si="2"/>
        <v/>
      </c>
      <c r="B169" t="str">
        <f>IF($J169="","",SUMIFS('Weekly Log'!$C:$C,'Weekly Log'!$A:$A,"&gt;="&amp;$J169,'Weekly Log'!$A:$A,"&lt;"&amp;$J169+7))</f>
        <v/>
      </c>
      <c r="C169" t="str">
        <f>IF($J169="","",IFERROR(COUNTIFS('Weekly Log'!$G:$G,"Y",'Weekly Log'!$A:$A,"&gt;="&amp;$J169,'Weekly Log'!$A:$A,"&lt;"&amp;$J169+7)/COUNTIFS('Weekly Log'!$G:$G,"&lt;&gt;",'Weekly Log'!$A:$A,"&gt;="&amp;$J169,'Weekly Log'!$A:$A,"&lt;"&amp;$J169+7),0))</f>
        <v/>
      </c>
      <c r="D169" t="str">
        <f>IF($J169="","",IFERROR(COUNTIFS('Weekly Log'!$H:$H,"Y",'Weekly Log'!$A:$A,"&gt;="&amp;$J169,'Weekly Log'!$A:$A,"&lt;"&amp;$J169+7)/COUNTIFS('Weekly Log'!$H:$H,"&lt;&gt;",'Weekly Log'!$A:$A,"&gt;="&amp;$J169,'Weekly Log'!$A:$A,"&lt;"&amp;$J169+7),0))</f>
        <v/>
      </c>
      <c r="E169" t="str">
        <f>IF($J169="","",IFERROR(AVERAGEIFS('Weekly Log'!$F:$F,'Weekly Log'!$A:$A,"&gt;="&amp;$J169,'Weekly Log'!$A:$A,"&lt;"&amp;$J169+7),0))</f>
        <v/>
      </c>
      <c r="F169" t="str">
        <f>IF($J169="","",IFERROR(SUMIFS('Weekly Log'!$F:$F,'Weekly Log'!$A:$A,"&gt;="&amp;$J169,'Weekly Log'!$A:$A,"&lt;"&amp;$J169+7)/SUMIFS('Weekly Log'!$E:$E,'Weekly Log'!$A:$A,"&gt;="&amp;$J169,'Weekly Log'!$A:$A,"&lt;"&amp;$J169+7),0))</f>
        <v/>
      </c>
      <c r="G169" t="str">
        <f>IF($J169="","",IFERROR(LOOKUP(2,1/(('Weekly Log'!$A$5:$A$5000&gt;=$J169)*('Weekly Log'!$A$5:$A$5000&lt;$J169+7)*('Weekly Log'!$M$5:$M$5000&lt;&gt;"")),'Weekly Log'!$M$5:$M$5000),0))</f>
        <v/>
      </c>
      <c r="J169" t="str">
        <f>IF(COUNT('Weekly Log'!$A$5:$A$5000)=0,"",IF(MIN('Weekly Log'!$A$5:$A$5000)+7*(ROW()-10)&gt;MAX('Weekly Log'!$A$5:$A$5000),"",MIN('Weekly Log'!$A$5:$A$5000)+7*(ROW()-10)))</f>
        <v/>
      </c>
    </row>
    <row r="170" spans="1:10" x14ac:dyDescent="0.25">
      <c r="A170" t="str">
        <f t="shared" si="2"/>
        <v/>
      </c>
      <c r="B170" t="str">
        <f>IF($J170="","",SUMIFS('Weekly Log'!$C:$C,'Weekly Log'!$A:$A,"&gt;="&amp;$J170,'Weekly Log'!$A:$A,"&lt;"&amp;$J170+7))</f>
        <v/>
      </c>
      <c r="C170" t="str">
        <f>IF($J170="","",IFERROR(COUNTIFS('Weekly Log'!$G:$G,"Y",'Weekly Log'!$A:$A,"&gt;="&amp;$J170,'Weekly Log'!$A:$A,"&lt;"&amp;$J170+7)/COUNTIFS('Weekly Log'!$G:$G,"&lt;&gt;",'Weekly Log'!$A:$A,"&gt;="&amp;$J170,'Weekly Log'!$A:$A,"&lt;"&amp;$J170+7),0))</f>
        <v/>
      </c>
      <c r="D170" t="str">
        <f>IF($J170="","",IFERROR(COUNTIFS('Weekly Log'!$H:$H,"Y",'Weekly Log'!$A:$A,"&gt;="&amp;$J170,'Weekly Log'!$A:$A,"&lt;"&amp;$J170+7)/COUNTIFS('Weekly Log'!$H:$H,"&lt;&gt;",'Weekly Log'!$A:$A,"&gt;="&amp;$J170,'Weekly Log'!$A:$A,"&lt;"&amp;$J170+7),0))</f>
        <v/>
      </c>
      <c r="E170" t="str">
        <f>IF($J170="","",IFERROR(AVERAGEIFS('Weekly Log'!$F:$F,'Weekly Log'!$A:$A,"&gt;="&amp;$J170,'Weekly Log'!$A:$A,"&lt;"&amp;$J170+7),0))</f>
        <v/>
      </c>
      <c r="F170" t="str">
        <f>IF($J170="","",IFERROR(SUMIFS('Weekly Log'!$F:$F,'Weekly Log'!$A:$A,"&gt;="&amp;$J170,'Weekly Log'!$A:$A,"&lt;"&amp;$J170+7)/SUMIFS('Weekly Log'!$E:$E,'Weekly Log'!$A:$A,"&gt;="&amp;$J170,'Weekly Log'!$A:$A,"&lt;"&amp;$J170+7),0))</f>
        <v/>
      </c>
      <c r="G170" t="str">
        <f>IF($J170="","",IFERROR(LOOKUP(2,1/(('Weekly Log'!$A$5:$A$5000&gt;=$J170)*('Weekly Log'!$A$5:$A$5000&lt;$J170+7)*('Weekly Log'!$M$5:$M$5000&lt;&gt;"")),'Weekly Log'!$M$5:$M$5000),0))</f>
        <v/>
      </c>
      <c r="J170" t="str">
        <f>IF(COUNT('Weekly Log'!$A$5:$A$5000)=0,"",IF(MIN('Weekly Log'!$A$5:$A$5000)+7*(ROW()-10)&gt;MAX('Weekly Log'!$A$5:$A$5000),"",MIN('Weekly Log'!$A$5:$A$5000)+7*(ROW()-10)))</f>
        <v/>
      </c>
    </row>
    <row r="171" spans="1:10" x14ac:dyDescent="0.25">
      <c r="A171" t="str">
        <f t="shared" si="2"/>
        <v/>
      </c>
      <c r="B171" t="str">
        <f>IF($J171="","",SUMIFS('Weekly Log'!$C:$C,'Weekly Log'!$A:$A,"&gt;="&amp;$J171,'Weekly Log'!$A:$A,"&lt;"&amp;$J171+7))</f>
        <v/>
      </c>
      <c r="C171" t="str">
        <f>IF($J171="","",IFERROR(COUNTIFS('Weekly Log'!$G:$G,"Y",'Weekly Log'!$A:$A,"&gt;="&amp;$J171,'Weekly Log'!$A:$A,"&lt;"&amp;$J171+7)/COUNTIFS('Weekly Log'!$G:$G,"&lt;&gt;",'Weekly Log'!$A:$A,"&gt;="&amp;$J171,'Weekly Log'!$A:$A,"&lt;"&amp;$J171+7),0))</f>
        <v/>
      </c>
      <c r="D171" t="str">
        <f>IF($J171="","",IFERROR(COUNTIFS('Weekly Log'!$H:$H,"Y",'Weekly Log'!$A:$A,"&gt;="&amp;$J171,'Weekly Log'!$A:$A,"&lt;"&amp;$J171+7)/COUNTIFS('Weekly Log'!$H:$H,"&lt;&gt;",'Weekly Log'!$A:$A,"&gt;="&amp;$J171,'Weekly Log'!$A:$A,"&lt;"&amp;$J171+7),0))</f>
        <v/>
      </c>
      <c r="E171" t="str">
        <f>IF($J171="","",IFERROR(AVERAGEIFS('Weekly Log'!$F:$F,'Weekly Log'!$A:$A,"&gt;="&amp;$J171,'Weekly Log'!$A:$A,"&lt;"&amp;$J171+7),0))</f>
        <v/>
      </c>
      <c r="F171" t="str">
        <f>IF($J171="","",IFERROR(SUMIFS('Weekly Log'!$F:$F,'Weekly Log'!$A:$A,"&gt;="&amp;$J171,'Weekly Log'!$A:$A,"&lt;"&amp;$J171+7)/SUMIFS('Weekly Log'!$E:$E,'Weekly Log'!$A:$A,"&gt;="&amp;$J171,'Weekly Log'!$A:$A,"&lt;"&amp;$J171+7),0))</f>
        <v/>
      </c>
      <c r="G171" t="str">
        <f>IF($J171="","",IFERROR(LOOKUP(2,1/(('Weekly Log'!$A$5:$A$5000&gt;=$J171)*('Weekly Log'!$A$5:$A$5000&lt;$J171+7)*('Weekly Log'!$M$5:$M$5000&lt;&gt;"")),'Weekly Log'!$M$5:$M$5000),0))</f>
        <v/>
      </c>
      <c r="J171" t="str">
        <f>IF(COUNT('Weekly Log'!$A$5:$A$5000)=0,"",IF(MIN('Weekly Log'!$A$5:$A$5000)+7*(ROW()-10)&gt;MAX('Weekly Log'!$A$5:$A$5000),"",MIN('Weekly Log'!$A$5:$A$5000)+7*(ROW()-10)))</f>
        <v/>
      </c>
    </row>
    <row r="172" spans="1:10" x14ac:dyDescent="0.25">
      <c r="A172" t="str">
        <f t="shared" si="2"/>
        <v/>
      </c>
      <c r="B172" t="str">
        <f>IF($J172="","",SUMIFS('Weekly Log'!$C:$C,'Weekly Log'!$A:$A,"&gt;="&amp;$J172,'Weekly Log'!$A:$A,"&lt;"&amp;$J172+7))</f>
        <v/>
      </c>
      <c r="C172" t="str">
        <f>IF($J172="","",IFERROR(COUNTIFS('Weekly Log'!$G:$G,"Y",'Weekly Log'!$A:$A,"&gt;="&amp;$J172,'Weekly Log'!$A:$A,"&lt;"&amp;$J172+7)/COUNTIFS('Weekly Log'!$G:$G,"&lt;&gt;",'Weekly Log'!$A:$A,"&gt;="&amp;$J172,'Weekly Log'!$A:$A,"&lt;"&amp;$J172+7),0))</f>
        <v/>
      </c>
      <c r="D172" t="str">
        <f>IF($J172="","",IFERROR(COUNTIFS('Weekly Log'!$H:$H,"Y",'Weekly Log'!$A:$A,"&gt;="&amp;$J172,'Weekly Log'!$A:$A,"&lt;"&amp;$J172+7)/COUNTIFS('Weekly Log'!$H:$H,"&lt;&gt;",'Weekly Log'!$A:$A,"&gt;="&amp;$J172,'Weekly Log'!$A:$A,"&lt;"&amp;$J172+7),0))</f>
        <v/>
      </c>
      <c r="E172" t="str">
        <f>IF($J172="","",IFERROR(AVERAGEIFS('Weekly Log'!$F:$F,'Weekly Log'!$A:$A,"&gt;="&amp;$J172,'Weekly Log'!$A:$A,"&lt;"&amp;$J172+7),0))</f>
        <v/>
      </c>
      <c r="F172" t="str">
        <f>IF($J172="","",IFERROR(SUMIFS('Weekly Log'!$F:$F,'Weekly Log'!$A:$A,"&gt;="&amp;$J172,'Weekly Log'!$A:$A,"&lt;"&amp;$J172+7)/SUMIFS('Weekly Log'!$E:$E,'Weekly Log'!$A:$A,"&gt;="&amp;$J172,'Weekly Log'!$A:$A,"&lt;"&amp;$J172+7),0))</f>
        <v/>
      </c>
      <c r="G172" t="str">
        <f>IF($J172="","",IFERROR(LOOKUP(2,1/(('Weekly Log'!$A$5:$A$5000&gt;=$J172)*('Weekly Log'!$A$5:$A$5000&lt;$J172+7)*('Weekly Log'!$M$5:$M$5000&lt;&gt;"")),'Weekly Log'!$M$5:$M$5000),0))</f>
        <v/>
      </c>
      <c r="J172" t="str">
        <f>IF(COUNT('Weekly Log'!$A$5:$A$5000)=0,"",IF(MIN('Weekly Log'!$A$5:$A$5000)+7*(ROW()-10)&gt;MAX('Weekly Log'!$A$5:$A$5000),"",MIN('Weekly Log'!$A$5:$A$5000)+7*(ROW()-10)))</f>
        <v/>
      </c>
    </row>
    <row r="173" spans="1:10" x14ac:dyDescent="0.25">
      <c r="A173" t="str">
        <f t="shared" si="2"/>
        <v/>
      </c>
      <c r="B173" t="str">
        <f>IF($J173="","",SUMIFS('Weekly Log'!$C:$C,'Weekly Log'!$A:$A,"&gt;="&amp;$J173,'Weekly Log'!$A:$A,"&lt;"&amp;$J173+7))</f>
        <v/>
      </c>
      <c r="C173" t="str">
        <f>IF($J173="","",IFERROR(COUNTIFS('Weekly Log'!$G:$G,"Y",'Weekly Log'!$A:$A,"&gt;="&amp;$J173,'Weekly Log'!$A:$A,"&lt;"&amp;$J173+7)/COUNTIFS('Weekly Log'!$G:$G,"&lt;&gt;",'Weekly Log'!$A:$A,"&gt;="&amp;$J173,'Weekly Log'!$A:$A,"&lt;"&amp;$J173+7),0))</f>
        <v/>
      </c>
      <c r="D173" t="str">
        <f>IF($J173="","",IFERROR(COUNTIFS('Weekly Log'!$H:$H,"Y",'Weekly Log'!$A:$A,"&gt;="&amp;$J173,'Weekly Log'!$A:$A,"&lt;"&amp;$J173+7)/COUNTIFS('Weekly Log'!$H:$H,"&lt;&gt;",'Weekly Log'!$A:$A,"&gt;="&amp;$J173,'Weekly Log'!$A:$A,"&lt;"&amp;$J173+7),0))</f>
        <v/>
      </c>
      <c r="E173" t="str">
        <f>IF($J173="","",IFERROR(AVERAGEIFS('Weekly Log'!$F:$F,'Weekly Log'!$A:$A,"&gt;="&amp;$J173,'Weekly Log'!$A:$A,"&lt;"&amp;$J173+7),0))</f>
        <v/>
      </c>
      <c r="F173" t="str">
        <f>IF($J173="","",IFERROR(SUMIFS('Weekly Log'!$F:$F,'Weekly Log'!$A:$A,"&gt;="&amp;$J173,'Weekly Log'!$A:$A,"&lt;"&amp;$J173+7)/SUMIFS('Weekly Log'!$E:$E,'Weekly Log'!$A:$A,"&gt;="&amp;$J173,'Weekly Log'!$A:$A,"&lt;"&amp;$J173+7),0))</f>
        <v/>
      </c>
      <c r="G173" t="str">
        <f>IF($J173="","",IFERROR(LOOKUP(2,1/(('Weekly Log'!$A$5:$A$5000&gt;=$J173)*('Weekly Log'!$A$5:$A$5000&lt;$J173+7)*('Weekly Log'!$M$5:$M$5000&lt;&gt;"")),'Weekly Log'!$M$5:$M$5000),0))</f>
        <v/>
      </c>
      <c r="J173" t="str">
        <f>IF(COUNT('Weekly Log'!$A$5:$A$5000)=0,"",IF(MIN('Weekly Log'!$A$5:$A$5000)+7*(ROW()-10)&gt;MAX('Weekly Log'!$A$5:$A$5000),"",MIN('Weekly Log'!$A$5:$A$5000)+7*(ROW()-10)))</f>
        <v/>
      </c>
    </row>
    <row r="174" spans="1:10" x14ac:dyDescent="0.25">
      <c r="A174" t="str">
        <f t="shared" si="2"/>
        <v/>
      </c>
      <c r="B174" t="str">
        <f>IF($J174="","",SUMIFS('Weekly Log'!$C:$C,'Weekly Log'!$A:$A,"&gt;="&amp;$J174,'Weekly Log'!$A:$A,"&lt;"&amp;$J174+7))</f>
        <v/>
      </c>
      <c r="C174" t="str">
        <f>IF($J174="","",IFERROR(COUNTIFS('Weekly Log'!$G:$G,"Y",'Weekly Log'!$A:$A,"&gt;="&amp;$J174,'Weekly Log'!$A:$A,"&lt;"&amp;$J174+7)/COUNTIFS('Weekly Log'!$G:$G,"&lt;&gt;",'Weekly Log'!$A:$A,"&gt;="&amp;$J174,'Weekly Log'!$A:$A,"&lt;"&amp;$J174+7),0))</f>
        <v/>
      </c>
      <c r="D174" t="str">
        <f>IF($J174="","",IFERROR(COUNTIFS('Weekly Log'!$H:$H,"Y",'Weekly Log'!$A:$A,"&gt;="&amp;$J174,'Weekly Log'!$A:$A,"&lt;"&amp;$J174+7)/COUNTIFS('Weekly Log'!$H:$H,"&lt;&gt;",'Weekly Log'!$A:$A,"&gt;="&amp;$J174,'Weekly Log'!$A:$A,"&lt;"&amp;$J174+7),0))</f>
        <v/>
      </c>
      <c r="E174" t="str">
        <f>IF($J174="","",IFERROR(AVERAGEIFS('Weekly Log'!$F:$F,'Weekly Log'!$A:$A,"&gt;="&amp;$J174,'Weekly Log'!$A:$A,"&lt;"&amp;$J174+7),0))</f>
        <v/>
      </c>
      <c r="F174" t="str">
        <f>IF($J174="","",IFERROR(SUMIFS('Weekly Log'!$F:$F,'Weekly Log'!$A:$A,"&gt;="&amp;$J174,'Weekly Log'!$A:$A,"&lt;"&amp;$J174+7)/SUMIFS('Weekly Log'!$E:$E,'Weekly Log'!$A:$A,"&gt;="&amp;$J174,'Weekly Log'!$A:$A,"&lt;"&amp;$J174+7),0))</f>
        <v/>
      </c>
      <c r="G174" t="str">
        <f>IF($J174="","",IFERROR(LOOKUP(2,1/(('Weekly Log'!$A$5:$A$5000&gt;=$J174)*('Weekly Log'!$A$5:$A$5000&lt;$J174+7)*('Weekly Log'!$M$5:$M$5000&lt;&gt;"")),'Weekly Log'!$M$5:$M$5000),0))</f>
        <v/>
      </c>
      <c r="J174" t="str">
        <f>IF(COUNT('Weekly Log'!$A$5:$A$5000)=0,"",IF(MIN('Weekly Log'!$A$5:$A$5000)+7*(ROW()-10)&gt;MAX('Weekly Log'!$A$5:$A$5000),"",MIN('Weekly Log'!$A$5:$A$5000)+7*(ROW()-10)))</f>
        <v/>
      </c>
    </row>
    <row r="175" spans="1:10" x14ac:dyDescent="0.25">
      <c r="A175" t="str">
        <f t="shared" si="2"/>
        <v/>
      </c>
      <c r="B175" t="str">
        <f>IF($J175="","",SUMIFS('Weekly Log'!$C:$C,'Weekly Log'!$A:$A,"&gt;="&amp;$J175,'Weekly Log'!$A:$A,"&lt;"&amp;$J175+7))</f>
        <v/>
      </c>
      <c r="C175" t="str">
        <f>IF($J175="","",IFERROR(COUNTIFS('Weekly Log'!$G:$G,"Y",'Weekly Log'!$A:$A,"&gt;="&amp;$J175,'Weekly Log'!$A:$A,"&lt;"&amp;$J175+7)/COUNTIFS('Weekly Log'!$G:$G,"&lt;&gt;",'Weekly Log'!$A:$A,"&gt;="&amp;$J175,'Weekly Log'!$A:$A,"&lt;"&amp;$J175+7),0))</f>
        <v/>
      </c>
      <c r="D175" t="str">
        <f>IF($J175="","",IFERROR(COUNTIFS('Weekly Log'!$H:$H,"Y",'Weekly Log'!$A:$A,"&gt;="&amp;$J175,'Weekly Log'!$A:$A,"&lt;"&amp;$J175+7)/COUNTIFS('Weekly Log'!$H:$H,"&lt;&gt;",'Weekly Log'!$A:$A,"&gt;="&amp;$J175,'Weekly Log'!$A:$A,"&lt;"&amp;$J175+7),0))</f>
        <v/>
      </c>
      <c r="E175" t="str">
        <f>IF($J175="","",IFERROR(AVERAGEIFS('Weekly Log'!$F:$F,'Weekly Log'!$A:$A,"&gt;="&amp;$J175,'Weekly Log'!$A:$A,"&lt;"&amp;$J175+7),0))</f>
        <v/>
      </c>
      <c r="F175" t="str">
        <f>IF($J175="","",IFERROR(SUMIFS('Weekly Log'!$F:$F,'Weekly Log'!$A:$A,"&gt;="&amp;$J175,'Weekly Log'!$A:$A,"&lt;"&amp;$J175+7)/SUMIFS('Weekly Log'!$E:$E,'Weekly Log'!$A:$A,"&gt;="&amp;$J175,'Weekly Log'!$A:$A,"&lt;"&amp;$J175+7),0))</f>
        <v/>
      </c>
      <c r="G175" t="str">
        <f>IF($J175="","",IFERROR(LOOKUP(2,1/(('Weekly Log'!$A$5:$A$5000&gt;=$J175)*('Weekly Log'!$A$5:$A$5000&lt;$J175+7)*('Weekly Log'!$M$5:$M$5000&lt;&gt;"")),'Weekly Log'!$M$5:$M$5000),0))</f>
        <v/>
      </c>
      <c r="J175" t="str">
        <f>IF(COUNT('Weekly Log'!$A$5:$A$5000)=0,"",IF(MIN('Weekly Log'!$A$5:$A$5000)+7*(ROW()-10)&gt;MAX('Weekly Log'!$A$5:$A$5000),"",MIN('Weekly Log'!$A$5:$A$5000)+7*(ROW()-10)))</f>
        <v/>
      </c>
    </row>
    <row r="176" spans="1:10" x14ac:dyDescent="0.25">
      <c r="A176" t="str">
        <f t="shared" si="2"/>
        <v/>
      </c>
      <c r="B176" t="str">
        <f>IF($J176="","",SUMIFS('Weekly Log'!$C:$C,'Weekly Log'!$A:$A,"&gt;="&amp;$J176,'Weekly Log'!$A:$A,"&lt;"&amp;$J176+7))</f>
        <v/>
      </c>
      <c r="C176" t="str">
        <f>IF($J176="","",IFERROR(COUNTIFS('Weekly Log'!$G:$G,"Y",'Weekly Log'!$A:$A,"&gt;="&amp;$J176,'Weekly Log'!$A:$A,"&lt;"&amp;$J176+7)/COUNTIFS('Weekly Log'!$G:$G,"&lt;&gt;",'Weekly Log'!$A:$A,"&gt;="&amp;$J176,'Weekly Log'!$A:$A,"&lt;"&amp;$J176+7),0))</f>
        <v/>
      </c>
      <c r="D176" t="str">
        <f>IF($J176="","",IFERROR(COUNTIFS('Weekly Log'!$H:$H,"Y",'Weekly Log'!$A:$A,"&gt;="&amp;$J176,'Weekly Log'!$A:$A,"&lt;"&amp;$J176+7)/COUNTIFS('Weekly Log'!$H:$H,"&lt;&gt;",'Weekly Log'!$A:$A,"&gt;="&amp;$J176,'Weekly Log'!$A:$A,"&lt;"&amp;$J176+7),0))</f>
        <v/>
      </c>
      <c r="E176" t="str">
        <f>IF($J176="","",IFERROR(AVERAGEIFS('Weekly Log'!$F:$F,'Weekly Log'!$A:$A,"&gt;="&amp;$J176,'Weekly Log'!$A:$A,"&lt;"&amp;$J176+7),0))</f>
        <v/>
      </c>
      <c r="F176" t="str">
        <f>IF($J176="","",IFERROR(SUMIFS('Weekly Log'!$F:$F,'Weekly Log'!$A:$A,"&gt;="&amp;$J176,'Weekly Log'!$A:$A,"&lt;"&amp;$J176+7)/SUMIFS('Weekly Log'!$E:$E,'Weekly Log'!$A:$A,"&gt;="&amp;$J176,'Weekly Log'!$A:$A,"&lt;"&amp;$J176+7),0))</f>
        <v/>
      </c>
      <c r="G176" t="str">
        <f>IF($J176="","",IFERROR(LOOKUP(2,1/(('Weekly Log'!$A$5:$A$5000&gt;=$J176)*('Weekly Log'!$A$5:$A$5000&lt;$J176+7)*('Weekly Log'!$M$5:$M$5000&lt;&gt;"")),'Weekly Log'!$M$5:$M$5000),0))</f>
        <v/>
      </c>
      <c r="J176" t="str">
        <f>IF(COUNT('Weekly Log'!$A$5:$A$5000)=0,"",IF(MIN('Weekly Log'!$A$5:$A$5000)+7*(ROW()-10)&gt;MAX('Weekly Log'!$A$5:$A$5000),"",MIN('Weekly Log'!$A$5:$A$5000)+7*(ROW()-10)))</f>
        <v/>
      </c>
    </row>
    <row r="177" spans="1:10" x14ac:dyDescent="0.25">
      <c r="A177" t="str">
        <f t="shared" si="2"/>
        <v/>
      </c>
      <c r="B177" t="str">
        <f>IF($J177="","",SUMIFS('Weekly Log'!$C:$C,'Weekly Log'!$A:$A,"&gt;="&amp;$J177,'Weekly Log'!$A:$A,"&lt;"&amp;$J177+7))</f>
        <v/>
      </c>
      <c r="C177" t="str">
        <f>IF($J177="","",IFERROR(COUNTIFS('Weekly Log'!$G:$G,"Y",'Weekly Log'!$A:$A,"&gt;="&amp;$J177,'Weekly Log'!$A:$A,"&lt;"&amp;$J177+7)/COUNTIFS('Weekly Log'!$G:$G,"&lt;&gt;",'Weekly Log'!$A:$A,"&gt;="&amp;$J177,'Weekly Log'!$A:$A,"&lt;"&amp;$J177+7),0))</f>
        <v/>
      </c>
      <c r="D177" t="str">
        <f>IF($J177="","",IFERROR(COUNTIFS('Weekly Log'!$H:$H,"Y",'Weekly Log'!$A:$A,"&gt;="&amp;$J177,'Weekly Log'!$A:$A,"&lt;"&amp;$J177+7)/COUNTIFS('Weekly Log'!$H:$H,"&lt;&gt;",'Weekly Log'!$A:$A,"&gt;="&amp;$J177,'Weekly Log'!$A:$A,"&lt;"&amp;$J177+7),0))</f>
        <v/>
      </c>
      <c r="E177" t="str">
        <f>IF($J177="","",IFERROR(AVERAGEIFS('Weekly Log'!$F:$F,'Weekly Log'!$A:$A,"&gt;="&amp;$J177,'Weekly Log'!$A:$A,"&lt;"&amp;$J177+7),0))</f>
        <v/>
      </c>
      <c r="F177" t="str">
        <f>IF($J177="","",IFERROR(SUMIFS('Weekly Log'!$F:$F,'Weekly Log'!$A:$A,"&gt;="&amp;$J177,'Weekly Log'!$A:$A,"&lt;"&amp;$J177+7)/SUMIFS('Weekly Log'!$E:$E,'Weekly Log'!$A:$A,"&gt;="&amp;$J177,'Weekly Log'!$A:$A,"&lt;"&amp;$J177+7),0))</f>
        <v/>
      </c>
      <c r="G177" t="str">
        <f>IF($J177="","",IFERROR(LOOKUP(2,1/(('Weekly Log'!$A$5:$A$5000&gt;=$J177)*('Weekly Log'!$A$5:$A$5000&lt;$J177+7)*('Weekly Log'!$M$5:$M$5000&lt;&gt;"")),'Weekly Log'!$M$5:$M$5000),0))</f>
        <v/>
      </c>
      <c r="J177" t="str">
        <f>IF(COUNT('Weekly Log'!$A$5:$A$5000)=0,"",IF(MIN('Weekly Log'!$A$5:$A$5000)+7*(ROW()-10)&gt;MAX('Weekly Log'!$A$5:$A$5000),"",MIN('Weekly Log'!$A$5:$A$5000)+7*(ROW()-10)))</f>
        <v/>
      </c>
    </row>
    <row r="178" spans="1:10" x14ac:dyDescent="0.25">
      <c r="A178" t="str">
        <f t="shared" si="2"/>
        <v/>
      </c>
      <c r="B178" t="str">
        <f>IF($J178="","",SUMIFS('Weekly Log'!$C:$C,'Weekly Log'!$A:$A,"&gt;="&amp;$J178,'Weekly Log'!$A:$A,"&lt;"&amp;$J178+7))</f>
        <v/>
      </c>
      <c r="C178" t="str">
        <f>IF($J178="","",IFERROR(COUNTIFS('Weekly Log'!$G:$G,"Y",'Weekly Log'!$A:$A,"&gt;="&amp;$J178,'Weekly Log'!$A:$A,"&lt;"&amp;$J178+7)/COUNTIFS('Weekly Log'!$G:$G,"&lt;&gt;",'Weekly Log'!$A:$A,"&gt;="&amp;$J178,'Weekly Log'!$A:$A,"&lt;"&amp;$J178+7),0))</f>
        <v/>
      </c>
      <c r="D178" t="str">
        <f>IF($J178="","",IFERROR(COUNTIFS('Weekly Log'!$H:$H,"Y",'Weekly Log'!$A:$A,"&gt;="&amp;$J178,'Weekly Log'!$A:$A,"&lt;"&amp;$J178+7)/COUNTIFS('Weekly Log'!$H:$H,"&lt;&gt;",'Weekly Log'!$A:$A,"&gt;="&amp;$J178,'Weekly Log'!$A:$A,"&lt;"&amp;$J178+7),0))</f>
        <v/>
      </c>
      <c r="E178" t="str">
        <f>IF($J178="","",IFERROR(AVERAGEIFS('Weekly Log'!$F:$F,'Weekly Log'!$A:$A,"&gt;="&amp;$J178,'Weekly Log'!$A:$A,"&lt;"&amp;$J178+7),0))</f>
        <v/>
      </c>
      <c r="F178" t="str">
        <f>IF($J178="","",IFERROR(SUMIFS('Weekly Log'!$F:$F,'Weekly Log'!$A:$A,"&gt;="&amp;$J178,'Weekly Log'!$A:$A,"&lt;"&amp;$J178+7)/SUMIFS('Weekly Log'!$E:$E,'Weekly Log'!$A:$A,"&gt;="&amp;$J178,'Weekly Log'!$A:$A,"&lt;"&amp;$J178+7),0))</f>
        <v/>
      </c>
      <c r="G178" t="str">
        <f>IF($J178="","",IFERROR(LOOKUP(2,1/(('Weekly Log'!$A$5:$A$5000&gt;=$J178)*('Weekly Log'!$A$5:$A$5000&lt;$J178+7)*('Weekly Log'!$M$5:$M$5000&lt;&gt;"")),'Weekly Log'!$M$5:$M$5000),0))</f>
        <v/>
      </c>
      <c r="J178" t="str">
        <f>IF(COUNT('Weekly Log'!$A$5:$A$5000)=0,"",IF(MIN('Weekly Log'!$A$5:$A$5000)+7*(ROW()-10)&gt;MAX('Weekly Log'!$A$5:$A$5000),"",MIN('Weekly Log'!$A$5:$A$5000)+7*(ROW()-10)))</f>
        <v/>
      </c>
    </row>
    <row r="179" spans="1:10" x14ac:dyDescent="0.25">
      <c r="A179" t="str">
        <f t="shared" si="2"/>
        <v/>
      </c>
      <c r="B179" t="str">
        <f>IF($J179="","",SUMIFS('Weekly Log'!$C:$C,'Weekly Log'!$A:$A,"&gt;="&amp;$J179,'Weekly Log'!$A:$A,"&lt;"&amp;$J179+7))</f>
        <v/>
      </c>
      <c r="C179" t="str">
        <f>IF($J179="","",IFERROR(COUNTIFS('Weekly Log'!$G:$G,"Y",'Weekly Log'!$A:$A,"&gt;="&amp;$J179,'Weekly Log'!$A:$A,"&lt;"&amp;$J179+7)/COUNTIFS('Weekly Log'!$G:$G,"&lt;&gt;",'Weekly Log'!$A:$A,"&gt;="&amp;$J179,'Weekly Log'!$A:$A,"&lt;"&amp;$J179+7),0))</f>
        <v/>
      </c>
      <c r="D179" t="str">
        <f>IF($J179="","",IFERROR(COUNTIFS('Weekly Log'!$H:$H,"Y",'Weekly Log'!$A:$A,"&gt;="&amp;$J179,'Weekly Log'!$A:$A,"&lt;"&amp;$J179+7)/COUNTIFS('Weekly Log'!$H:$H,"&lt;&gt;",'Weekly Log'!$A:$A,"&gt;="&amp;$J179,'Weekly Log'!$A:$A,"&lt;"&amp;$J179+7),0))</f>
        <v/>
      </c>
      <c r="E179" t="str">
        <f>IF($J179="","",IFERROR(AVERAGEIFS('Weekly Log'!$F:$F,'Weekly Log'!$A:$A,"&gt;="&amp;$J179,'Weekly Log'!$A:$A,"&lt;"&amp;$J179+7),0))</f>
        <v/>
      </c>
      <c r="F179" t="str">
        <f>IF($J179="","",IFERROR(SUMIFS('Weekly Log'!$F:$F,'Weekly Log'!$A:$A,"&gt;="&amp;$J179,'Weekly Log'!$A:$A,"&lt;"&amp;$J179+7)/SUMIFS('Weekly Log'!$E:$E,'Weekly Log'!$A:$A,"&gt;="&amp;$J179,'Weekly Log'!$A:$A,"&lt;"&amp;$J179+7),0))</f>
        <v/>
      </c>
      <c r="G179" t="str">
        <f>IF($J179="","",IFERROR(LOOKUP(2,1/(('Weekly Log'!$A$5:$A$5000&gt;=$J179)*('Weekly Log'!$A$5:$A$5000&lt;$J179+7)*('Weekly Log'!$M$5:$M$5000&lt;&gt;"")),'Weekly Log'!$M$5:$M$5000),0))</f>
        <v/>
      </c>
      <c r="J179" t="str">
        <f>IF(COUNT('Weekly Log'!$A$5:$A$5000)=0,"",IF(MIN('Weekly Log'!$A$5:$A$5000)+7*(ROW()-10)&gt;MAX('Weekly Log'!$A$5:$A$5000),"",MIN('Weekly Log'!$A$5:$A$5000)+7*(ROW()-10)))</f>
        <v/>
      </c>
    </row>
    <row r="180" spans="1:10" x14ac:dyDescent="0.25">
      <c r="A180" t="str">
        <f t="shared" si="2"/>
        <v/>
      </c>
      <c r="B180" t="str">
        <f>IF($J180="","",SUMIFS('Weekly Log'!$C:$C,'Weekly Log'!$A:$A,"&gt;="&amp;$J180,'Weekly Log'!$A:$A,"&lt;"&amp;$J180+7))</f>
        <v/>
      </c>
      <c r="C180" t="str">
        <f>IF($J180="","",IFERROR(COUNTIFS('Weekly Log'!$G:$G,"Y",'Weekly Log'!$A:$A,"&gt;="&amp;$J180,'Weekly Log'!$A:$A,"&lt;"&amp;$J180+7)/COUNTIFS('Weekly Log'!$G:$G,"&lt;&gt;",'Weekly Log'!$A:$A,"&gt;="&amp;$J180,'Weekly Log'!$A:$A,"&lt;"&amp;$J180+7),0))</f>
        <v/>
      </c>
      <c r="D180" t="str">
        <f>IF($J180="","",IFERROR(COUNTIFS('Weekly Log'!$H:$H,"Y",'Weekly Log'!$A:$A,"&gt;="&amp;$J180,'Weekly Log'!$A:$A,"&lt;"&amp;$J180+7)/COUNTIFS('Weekly Log'!$H:$H,"&lt;&gt;",'Weekly Log'!$A:$A,"&gt;="&amp;$J180,'Weekly Log'!$A:$A,"&lt;"&amp;$J180+7),0))</f>
        <v/>
      </c>
      <c r="E180" t="str">
        <f>IF($J180="","",IFERROR(AVERAGEIFS('Weekly Log'!$F:$F,'Weekly Log'!$A:$A,"&gt;="&amp;$J180,'Weekly Log'!$A:$A,"&lt;"&amp;$J180+7),0))</f>
        <v/>
      </c>
      <c r="F180" t="str">
        <f>IF($J180="","",IFERROR(SUMIFS('Weekly Log'!$F:$F,'Weekly Log'!$A:$A,"&gt;="&amp;$J180,'Weekly Log'!$A:$A,"&lt;"&amp;$J180+7)/SUMIFS('Weekly Log'!$E:$E,'Weekly Log'!$A:$A,"&gt;="&amp;$J180,'Weekly Log'!$A:$A,"&lt;"&amp;$J180+7),0))</f>
        <v/>
      </c>
      <c r="G180" t="str">
        <f>IF($J180="","",IFERROR(LOOKUP(2,1/(('Weekly Log'!$A$5:$A$5000&gt;=$J180)*('Weekly Log'!$A$5:$A$5000&lt;$J180+7)*('Weekly Log'!$M$5:$M$5000&lt;&gt;"")),'Weekly Log'!$M$5:$M$5000),0))</f>
        <v/>
      </c>
      <c r="J180" t="str">
        <f>IF(COUNT('Weekly Log'!$A$5:$A$5000)=0,"",IF(MIN('Weekly Log'!$A$5:$A$5000)+7*(ROW()-10)&gt;MAX('Weekly Log'!$A$5:$A$5000),"",MIN('Weekly Log'!$A$5:$A$5000)+7*(ROW()-10)))</f>
        <v/>
      </c>
    </row>
    <row r="181" spans="1:10" x14ac:dyDescent="0.25">
      <c r="A181" t="str">
        <f t="shared" si="2"/>
        <v/>
      </c>
      <c r="B181" t="str">
        <f>IF($J181="","",SUMIFS('Weekly Log'!$C:$C,'Weekly Log'!$A:$A,"&gt;="&amp;$J181,'Weekly Log'!$A:$A,"&lt;"&amp;$J181+7))</f>
        <v/>
      </c>
      <c r="C181" t="str">
        <f>IF($J181="","",IFERROR(COUNTIFS('Weekly Log'!$G:$G,"Y",'Weekly Log'!$A:$A,"&gt;="&amp;$J181,'Weekly Log'!$A:$A,"&lt;"&amp;$J181+7)/COUNTIFS('Weekly Log'!$G:$G,"&lt;&gt;",'Weekly Log'!$A:$A,"&gt;="&amp;$J181,'Weekly Log'!$A:$A,"&lt;"&amp;$J181+7),0))</f>
        <v/>
      </c>
      <c r="D181" t="str">
        <f>IF($J181="","",IFERROR(COUNTIFS('Weekly Log'!$H:$H,"Y",'Weekly Log'!$A:$A,"&gt;="&amp;$J181,'Weekly Log'!$A:$A,"&lt;"&amp;$J181+7)/COUNTIFS('Weekly Log'!$H:$H,"&lt;&gt;",'Weekly Log'!$A:$A,"&gt;="&amp;$J181,'Weekly Log'!$A:$A,"&lt;"&amp;$J181+7),0))</f>
        <v/>
      </c>
      <c r="E181" t="str">
        <f>IF($J181="","",IFERROR(AVERAGEIFS('Weekly Log'!$F:$F,'Weekly Log'!$A:$A,"&gt;="&amp;$J181,'Weekly Log'!$A:$A,"&lt;"&amp;$J181+7),0))</f>
        <v/>
      </c>
      <c r="F181" t="str">
        <f>IF($J181="","",IFERROR(SUMIFS('Weekly Log'!$F:$F,'Weekly Log'!$A:$A,"&gt;="&amp;$J181,'Weekly Log'!$A:$A,"&lt;"&amp;$J181+7)/SUMIFS('Weekly Log'!$E:$E,'Weekly Log'!$A:$A,"&gt;="&amp;$J181,'Weekly Log'!$A:$A,"&lt;"&amp;$J181+7),0))</f>
        <v/>
      </c>
      <c r="G181" t="str">
        <f>IF($J181="","",IFERROR(LOOKUP(2,1/(('Weekly Log'!$A$5:$A$5000&gt;=$J181)*('Weekly Log'!$A$5:$A$5000&lt;$J181+7)*('Weekly Log'!$M$5:$M$5000&lt;&gt;"")),'Weekly Log'!$M$5:$M$5000),0))</f>
        <v/>
      </c>
      <c r="J181" t="str">
        <f>IF(COUNT('Weekly Log'!$A$5:$A$5000)=0,"",IF(MIN('Weekly Log'!$A$5:$A$5000)+7*(ROW()-10)&gt;MAX('Weekly Log'!$A$5:$A$5000),"",MIN('Weekly Log'!$A$5:$A$5000)+7*(ROW()-10)))</f>
        <v/>
      </c>
    </row>
    <row r="182" spans="1:10" x14ac:dyDescent="0.25">
      <c r="A182" t="str">
        <f t="shared" si="2"/>
        <v/>
      </c>
      <c r="B182" t="str">
        <f>IF($J182="","",SUMIFS('Weekly Log'!$C:$C,'Weekly Log'!$A:$A,"&gt;="&amp;$J182,'Weekly Log'!$A:$A,"&lt;"&amp;$J182+7))</f>
        <v/>
      </c>
      <c r="C182" t="str">
        <f>IF($J182="","",IFERROR(COUNTIFS('Weekly Log'!$G:$G,"Y",'Weekly Log'!$A:$A,"&gt;="&amp;$J182,'Weekly Log'!$A:$A,"&lt;"&amp;$J182+7)/COUNTIFS('Weekly Log'!$G:$G,"&lt;&gt;",'Weekly Log'!$A:$A,"&gt;="&amp;$J182,'Weekly Log'!$A:$A,"&lt;"&amp;$J182+7),0))</f>
        <v/>
      </c>
      <c r="D182" t="str">
        <f>IF($J182="","",IFERROR(COUNTIFS('Weekly Log'!$H:$H,"Y",'Weekly Log'!$A:$A,"&gt;="&amp;$J182,'Weekly Log'!$A:$A,"&lt;"&amp;$J182+7)/COUNTIFS('Weekly Log'!$H:$H,"&lt;&gt;",'Weekly Log'!$A:$A,"&gt;="&amp;$J182,'Weekly Log'!$A:$A,"&lt;"&amp;$J182+7),0))</f>
        <v/>
      </c>
      <c r="E182" t="str">
        <f>IF($J182="","",IFERROR(AVERAGEIFS('Weekly Log'!$F:$F,'Weekly Log'!$A:$A,"&gt;="&amp;$J182,'Weekly Log'!$A:$A,"&lt;"&amp;$J182+7),0))</f>
        <v/>
      </c>
      <c r="F182" t="str">
        <f>IF($J182="","",IFERROR(SUMIFS('Weekly Log'!$F:$F,'Weekly Log'!$A:$A,"&gt;="&amp;$J182,'Weekly Log'!$A:$A,"&lt;"&amp;$J182+7)/SUMIFS('Weekly Log'!$E:$E,'Weekly Log'!$A:$A,"&gt;="&amp;$J182,'Weekly Log'!$A:$A,"&lt;"&amp;$J182+7),0))</f>
        <v/>
      </c>
      <c r="G182" t="str">
        <f>IF($J182="","",IFERROR(LOOKUP(2,1/(('Weekly Log'!$A$5:$A$5000&gt;=$J182)*('Weekly Log'!$A$5:$A$5000&lt;$J182+7)*('Weekly Log'!$M$5:$M$5000&lt;&gt;"")),'Weekly Log'!$M$5:$M$5000),0))</f>
        <v/>
      </c>
      <c r="J182" t="str">
        <f>IF(COUNT('Weekly Log'!$A$5:$A$5000)=0,"",IF(MIN('Weekly Log'!$A$5:$A$5000)+7*(ROW()-10)&gt;MAX('Weekly Log'!$A$5:$A$5000),"",MIN('Weekly Log'!$A$5:$A$5000)+7*(ROW()-10)))</f>
        <v/>
      </c>
    </row>
    <row r="183" spans="1:10" x14ac:dyDescent="0.25">
      <c r="A183" t="str">
        <f t="shared" si="2"/>
        <v/>
      </c>
      <c r="B183" t="str">
        <f>IF($J183="","",SUMIFS('Weekly Log'!$C:$C,'Weekly Log'!$A:$A,"&gt;="&amp;$J183,'Weekly Log'!$A:$A,"&lt;"&amp;$J183+7))</f>
        <v/>
      </c>
      <c r="C183" t="str">
        <f>IF($J183="","",IFERROR(COUNTIFS('Weekly Log'!$G:$G,"Y",'Weekly Log'!$A:$A,"&gt;="&amp;$J183,'Weekly Log'!$A:$A,"&lt;"&amp;$J183+7)/COUNTIFS('Weekly Log'!$G:$G,"&lt;&gt;",'Weekly Log'!$A:$A,"&gt;="&amp;$J183,'Weekly Log'!$A:$A,"&lt;"&amp;$J183+7),0))</f>
        <v/>
      </c>
      <c r="D183" t="str">
        <f>IF($J183="","",IFERROR(COUNTIFS('Weekly Log'!$H:$H,"Y",'Weekly Log'!$A:$A,"&gt;="&amp;$J183,'Weekly Log'!$A:$A,"&lt;"&amp;$J183+7)/COUNTIFS('Weekly Log'!$H:$H,"&lt;&gt;",'Weekly Log'!$A:$A,"&gt;="&amp;$J183,'Weekly Log'!$A:$A,"&lt;"&amp;$J183+7),0))</f>
        <v/>
      </c>
      <c r="E183" t="str">
        <f>IF($J183="","",IFERROR(AVERAGEIFS('Weekly Log'!$F:$F,'Weekly Log'!$A:$A,"&gt;="&amp;$J183,'Weekly Log'!$A:$A,"&lt;"&amp;$J183+7),0))</f>
        <v/>
      </c>
      <c r="F183" t="str">
        <f>IF($J183="","",IFERROR(SUMIFS('Weekly Log'!$F:$F,'Weekly Log'!$A:$A,"&gt;="&amp;$J183,'Weekly Log'!$A:$A,"&lt;"&amp;$J183+7)/SUMIFS('Weekly Log'!$E:$E,'Weekly Log'!$A:$A,"&gt;="&amp;$J183,'Weekly Log'!$A:$A,"&lt;"&amp;$J183+7),0))</f>
        <v/>
      </c>
      <c r="G183" t="str">
        <f>IF($J183="","",IFERROR(LOOKUP(2,1/(('Weekly Log'!$A$5:$A$5000&gt;=$J183)*('Weekly Log'!$A$5:$A$5000&lt;$J183+7)*('Weekly Log'!$M$5:$M$5000&lt;&gt;"")),'Weekly Log'!$M$5:$M$5000),0))</f>
        <v/>
      </c>
      <c r="J183" t="str">
        <f>IF(COUNT('Weekly Log'!$A$5:$A$5000)=0,"",IF(MIN('Weekly Log'!$A$5:$A$5000)+7*(ROW()-10)&gt;MAX('Weekly Log'!$A$5:$A$5000),"",MIN('Weekly Log'!$A$5:$A$5000)+7*(ROW()-10)))</f>
        <v/>
      </c>
    </row>
    <row r="184" spans="1:10" x14ac:dyDescent="0.25">
      <c r="A184" t="str">
        <f t="shared" si="2"/>
        <v/>
      </c>
      <c r="B184" t="str">
        <f>IF($J184="","",SUMIFS('Weekly Log'!$C:$C,'Weekly Log'!$A:$A,"&gt;="&amp;$J184,'Weekly Log'!$A:$A,"&lt;"&amp;$J184+7))</f>
        <v/>
      </c>
      <c r="C184" t="str">
        <f>IF($J184="","",IFERROR(COUNTIFS('Weekly Log'!$G:$G,"Y",'Weekly Log'!$A:$A,"&gt;="&amp;$J184,'Weekly Log'!$A:$A,"&lt;"&amp;$J184+7)/COUNTIFS('Weekly Log'!$G:$G,"&lt;&gt;",'Weekly Log'!$A:$A,"&gt;="&amp;$J184,'Weekly Log'!$A:$A,"&lt;"&amp;$J184+7),0))</f>
        <v/>
      </c>
      <c r="D184" t="str">
        <f>IF($J184="","",IFERROR(COUNTIFS('Weekly Log'!$H:$H,"Y",'Weekly Log'!$A:$A,"&gt;="&amp;$J184,'Weekly Log'!$A:$A,"&lt;"&amp;$J184+7)/COUNTIFS('Weekly Log'!$H:$H,"&lt;&gt;",'Weekly Log'!$A:$A,"&gt;="&amp;$J184,'Weekly Log'!$A:$A,"&lt;"&amp;$J184+7),0))</f>
        <v/>
      </c>
      <c r="E184" t="str">
        <f>IF($J184="","",IFERROR(AVERAGEIFS('Weekly Log'!$F:$F,'Weekly Log'!$A:$A,"&gt;="&amp;$J184,'Weekly Log'!$A:$A,"&lt;"&amp;$J184+7),0))</f>
        <v/>
      </c>
      <c r="F184" t="str">
        <f>IF($J184="","",IFERROR(SUMIFS('Weekly Log'!$F:$F,'Weekly Log'!$A:$A,"&gt;="&amp;$J184,'Weekly Log'!$A:$A,"&lt;"&amp;$J184+7)/SUMIFS('Weekly Log'!$E:$E,'Weekly Log'!$A:$A,"&gt;="&amp;$J184,'Weekly Log'!$A:$A,"&lt;"&amp;$J184+7),0))</f>
        <v/>
      </c>
      <c r="G184" t="str">
        <f>IF($J184="","",IFERROR(LOOKUP(2,1/(('Weekly Log'!$A$5:$A$5000&gt;=$J184)*('Weekly Log'!$A$5:$A$5000&lt;$J184+7)*('Weekly Log'!$M$5:$M$5000&lt;&gt;"")),'Weekly Log'!$M$5:$M$5000),0))</f>
        <v/>
      </c>
      <c r="J184" t="str">
        <f>IF(COUNT('Weekly Log'!$A$5:$A$5000)=0,"",IF(MIN('Weekly Log'!$A$5:$A$5000)+7*(ROW()-10)&gt;MAX('Weekly Log'!$A$5:$A$5000),"",MIN('Weekly Log'!$A$5:$A$5000)+7*(ROW()-10)))</f>
        <v/>
      </c>
    </row>
    <row r="185" spans="1:10" x14ac:dyDescent="0.25">
      <c r="A185" t="str">
        <f t="shared" si="2"/>
        <v/>
      </c>
      <c r="B185" t="str">
        <f>IF($J185="","",SUMIFS('Weekly Log'!$C:$C,'Weekly Log'!$A:$A,"&gt;="&amp;$J185,'Weekly Log'!$A:$A,"&lt;"&amp;$J185+7))</f>
        <v/>
      </c>
      <c r="C185" t="str">
        <f>IF($J185="","",IFERROR(COUNTIFS('Weekly Log'!$G:$G,"Y",'Weekly Log'!$A:$A,"&gt;="&amp;$J185,'Weekly Log'!$A:$A,"&lt;"&amp;$J185+7)/COUNTIFS('Weekly Log'!$G:$G,"&lt;&gt;",'Weekly Log'!$A:$A,"&gt;="&amp;$J185,'Weekly Log'!$A:$A,"&lt;"&amp;$J185+7),0))</f>
        <v/>
      </c>
      <c r="D185" t="str">
        <f>IF($J185="","",IFERROR(COUNTIFS('Weekly Log'!$H:$H,"Y",'Weekly Log'!$A:$A,"&gt;="&amp;$J185,'Weekly Log'!$A:$A,"&lt;"&amp;$J185+7)/COUNTIFS('Weekly Log'!$H:$H,"&lt;&gt;",'Weekly Log'!$A:$A,"&gt;="&amp;$J185,'Weekly Log'!$A:$A,"&lt;"&amp;$J185+7),0))</f>
        <v/>
      </c>
      <c r="E185" t="str">
        <f>IF($J185="","",IFERROR(AVERAGEIFS('Weekly Log'!$F:$F,'Weekly Log'!$A:$A,"&gt;="&amp;$J185,'Weekly Log'!$A:$A,"&lt;"&amp;$J185+7),0))</f>
        <v/>
      </c>
      <c r="F185" t="str">
        <f>IF($J185="","",IFERROR(SUMIFS('Weekly Log'!$F:$F,'Weekly Log'!$A:$A,"&gt;="&amp;$J185,'Weekly Log'!$A:$A,"&lt;"&amp;$J185+7)/SUMIFS('Weekly Log'!$E:$E,'Weekly Log'!$A:$A,"&gt;="&amp;$J185,'Weekly Log'!$A:$A,"&lt;"&amp;$J185+7),0))</f>
        <v/>
      </c>
      <c r="G185" t="str">
        <f>IF($J185="","",IFERROR(LOOKUP(2,1/(('Weekly Log'!$A$5:$A$5000&gt;=$J185)*('Weekly Log'!$A$5:$A$5000&lt;$J185+7)*('Weekly Log'!$M$5:$M$5000&lt;&gt;"")),'Weekly Log'!$M$5:$M$5000),0))</f>
        <v/>
      </c>
      <c r="J185" t="str">
        <f>IF(COUNT('Weekly Log'!$A$5:$A$5000)=0,"",IF(MIN('Weekly Log'!$A$5:$A$5000)+7*(ROW()-10)&gt;MAX('Weekly Log'!$A$5:$A$5000),"",MIN('Weekly Log'!$A$5:$A$5000)+7*(ROW()-10)))</f>
        <v/>
      </c>
    </row>
    <row r="186" spans="1:10" x14ac:dyDescent="0.25">
      <c r="A186" t="str">
        <f t="shared" si="2"/>
        <v/>
      </c>
      <c r="B186" t="str">
        <f>IF($J186="","",SUMIFS('Weekly Log'!$C:$C,'Weekly Log'!$A:$A,"&gt;="&amp;$J186,'Weekly Log'!$A:$A,"&lt;"&amp;$J186+7))</f>
        <v/>
      </c>
      <c r="C186" t="str">
        <f>IF($J186="","",IFERROR(COUNTIFS('Weekly Log'!$G:$G,"Y",'Weekly Log'!$A:$A,"&gt;="&amp;$J186,'Weekly Log'!$A:$A,"&lt;"&amp;$J186+7)/COUNTIFS('Weekly Log'!$G:$G,"&lt;&gt;",'Weekly Log'!$A:$A,"&gt;="&amp;$J186,'Weekly Log'!$A:$A,"&lt;"&amp;$J186+7),0))</f>
        <v/>
      </c>
      <c r="D186" t="str">
        <f>IF($J186="","",IFERROR(COUNTIFS('Weekly Log'!$H:$H,"Y",'Weekly Log'!$A:$A,"&gt;="&amp;$J186,'Weekly Log'!$A:$A,"&lt;"&amp;$J186+7)/COUNTIFS('Weekly Log'!$H:$H,"&lt;&gt;",'Weekly Log'!$A:$A,"&gt;="&amp;$J186,'Weekly Log'!$A:$A,"&lt;"&amp;$J186+7),0))</f>
        <v/>
      </c>
      <c r="E186" t="str">
        <f>IF($J186="","",IFERROR(AVERAGEIFS('Weekly Log'!$F:$F,'Weekly Log'!$A:$A,"&gt;="&amp;$J186,'Weekly Log'!$A:$A,"&lt;"&amp;$J186+7),0))</f>
        <v/>
      </c>
      <c r="F186" t="str">
        <f>IF($J186="","",IFERROR(SUMIFS('Weekly Log'!$F:$F,'Weekly Log'!$A:$A,"&gt;="&amp;$J186,'Weekly Log'!$A:$A,"&lt;"&amp;$J186+7)/SUMIFS('Weekly Log'!$E:$E,'Weekly Log'!$A:$A,"&gt;="&amp;$J186,'Weekly Log'!$A:$A,"&lt;"&amp;$J186+7),0))</f>
        <v/>
      </c>
      <c r="G186" t="str">
        <f>IF($J186="","",IFERROR(LOOKUP(2,1/(('Weekly Log'!$A$5:$A$5000&gt;=$J186)*('Weekly Log'!$A$5:$A$5000&lt;$J186+7)*('Weekly Log'!$M$5:$M$5000&lt;&gt;"")),'Weekly Log'!$M$5:$M$5000),0))</f>
        <v/>
      </c>
      <c r="J186" t="str">
        <f>IF(COUNT('Weekly Log'!$A$5:$A$5000)=0,"",IF(MIN('Weekly Log'!$A$5:$A$5000)+7*(ROW()-10)&gt;MAX('Weekly Log'!$A$5:$A$5000),"",MIN('Weekly Log'!$A$5:$A$5000)+7*(ROW()-10)))</f>
        <v/>
      </c>
    </row>
    <row r="187" spans="1:10" x14ac:dyDescent="0.25">
      <c r="A187" t="str">
        <f t="shared" si="2"/>
        <v/>
      </c>
      <c r="B187" t="str">
        <f>IF($J187="","",SUMIFS('Weekly Log'!$C:$C,'Weekly Log'!$A:$A,"&gt;="&amp;$J187,'Weekly Log'!$A:$A,"&lt;"&amp;$J187+7))</f>
        <v/>
      </c>
      <c r="C187" t="str">
        <f>IF($J187="","",IFERROR(COUNTIFS('Weekly Log'!$G:$G,"Y",'Weekly Log'!$A:$A,"&gt;="&amp;$J187,'Weekly Log'!$A:$A,"&lt;"&amp;$J187+7)/COUNTIFS('Weekly Log'!$G:$G,"&lt;&gt;",'Weekly Log'!$A:$A,"&gt;="&amp;$J187,'Weekly Log'!$A:$A,"&lt;"&amp;$J187+7),0))</f>
        <v/>
      </c>
      <c r="D187" t="str">
        <f>IF($J187="","",IFERROR(COUNTIFS('Weekly Log'!$H:$H,"Y",'Weekly Log'!$A:$A,"&gt;="&amp;$J187,'Weekly Log'!$A:$A,"&lt;"&amp;$J187+7)/COUNTIFS('Weekly Log'!$H:$H,"&lt;&gt;",'Weekly Log'!$A:$A,"&gt;="&amp;$J187,'Weekly Log'!$A:$A,"&lt;"&amp;$J187+7),0))</f>
        <v/>
      </c>
      <c r="E187" t="str">
        <f>IF($J187="","",IFERROR(AVERAGEIFS('Weekly Log'!$F:$F,'Weekly Log'!$A:$A,"&gt;="&amp;$J187,'Weekly Log'!$A:$A,"&lt;"&amp;$J187+7),0))</f>
        <v/>
      </c>
      <c r="F187" t="str">
        <f>IF($J187="","",IFERROR(SUMIFS('Weekly Log'!$F:$F,'Weekly Log'!$A:$A,"&gt;="&amp;$J187,'Weekly Log'!$A:$A,"&lt;"&amp;$J187+7)/SUMIFS('Weekly Log'!$E:$E,'Weekly Log'!$A:$A,"&gt;="&amp;$J187,'Weekly Log'!$A:$A,"&lt;"&amp;$J187+7),0))</f>
        <v/>
      </c>
      <c r="G187" t="str">
        <f>IF($J187="","",IFERROR(LOOKUP(2,1/(('Weekly Log'!$A$5:$A$5000&gt;=$J187)*('Weekly Log'!$A$5:$A$5000&lt;$J187+7)*('Weekly Log'!$M$5:$M$5000&lt;&gt;"")),'Weekly Log'!$M$5:$M$5000),0))</f>
        <v/>
      </c>
      <c r="J187" t="str">
        <f>IF(COUNT('Weekly Log'!$A$5:$A$5000)=0,"",IF(MIN('Weekly Log'!$A$5:$A$5000)+7*(ROW()-10)&gt;MAX('Weekly Log'!$A$5:$A$5000),"",MIN('Weekly Log'!$A$5:$A$5000)+7*(ROW()-10)))</f>
        <v/>
      </c>
    </row>
    <row r="188" spans="1:10" x14ac:dyDescent="0.25">
      <c r="A188" t="str">
        <f t="shared" si="2"/>
        <v/>
      </c>
      <c r="B188" t="str">
        <f>IF($J188="","",SUMIFS('Weekly Log'!$C:$C,'Weekly Log'!$A:$A,"&gt;="&amp;$J188,'Weekly Log'!$A:$A,"&lt;"&amp;$J188+7))</f>
        <v/>
      </c>
      <c r="C188" t="str">
        <f>IF($J188="","",IFERROR(COUNTIFS('Weekly Log'!$G:$G,"Y",'Weekly Log'!$A:$A,"&gt;="&amp;$J188,'Weekly Log'!$A:$A,"&lt;"&amp;$J188+7)/COUNTIFS('Weekly Log'!$G:$G,"&lt;&gt;",'Weekly Log'!$A:$A,"&gt;="&amp;$J188,'Weekly Log'!$A:$A,"&lt;"&amp;$J188+7),0))</f>
        <v/>
      </c>
      <c r="D188" t="str">
        <f>IF($J188="","",IFERROR(COUNTIFS('Weekly Log'!$H:$H,"Y",'Weekly Log'!$A:$A,"&gt;="&amp;$J188,'Weekly Log'!$A:$A,"&lt;"&amp;$J188+7)/COUNTIFS('Weekly Log'!$H:$H,"&lt;&gt;",'Weekly Log'!$A:$A,"&gt;="&amp;$J188,'Weekly Log'!$A:$A,"&lt;"&amp;$J188+7),0))</f>
        <v/>
      </c>
      <c r="E188" t="str">
        <f>IF($J188="","",IFERROR(AVERAGEIFS('Weekly Log'!$F:$F,'Weekly Log'!$A:$A,"&gt;="&amp;$J188,'Weekly Log'!$A:$A,"&lt;"&amp;$J188+7),0))</f>
        <v/>
      </c>
      <c r="F188" t="str">
        <f>IF($J188="","",IFERROR(SUMIFS('Weekly Log'!$F:$F,'Weekly Log'!$A:$A,"&gt;="&amp;$J188,'Weekly Log'!$A:$A,"&lt;"&amp;$J188+7)/SUMIFS('Weekly Log'!$E:$E,'Weekly Log'!$A:$A,"&gt;="&amp;$J188,'Weekly Log'!$A:$A,"&lt;"&amp;$J188+7),0))</f>
        <v/>
      </c>
      <c r="G188" t="str">
        <f>IF($J188="","",IFERROR(LOOKUP(2,1/(('Weekly Log'!$A$5:$A$5000&gt;=$J188)*('Weekly Log'!$A$5:$A$5000&lt;$J188+7)*('Weekly Log'!$M$5:$M$5000&lt;&gt;"")),'Weekly Log'!$M$5:$M$5000),0))</f>
        <v/>
      </c>
      <c r="J188" t="str">
        <f>IF(COUNT('Weekly Log'!$A$5:$A$5000)=0,"",IF(MIN('Weekly Log'!$A$5:$A$5000)+7*(ROW()-10)&gt;MAX('Weekly Log'!$A$5:$A$5000),"",MIN('Weekly Log'!$A$5:$A$5000)+7*(ROW()-10)))</f>
        <v/>
      </c>
    </row>
    <row r="189" spans="1:10" x14ac:dyDescent="0.25">
      <c r="A189" t="str">
        <f t="shared" si="2"/>
        <v/>
      </c>
      <c r="B189" t="str">
        <f>IF($J189="","",SUMIFS('Weekly Log'!$C:$C,'Weekly Log'!$A:$A,"&gt;="&amp;$J189,'Weekly Log'!$A:$A,"&lt;"&amp;$J189+7))</f>
        <v/>
      </c>
      <c r="C189" t="str">
        <f>IF($J189="","",IFERROR(COUNTIFS('Weekly Log'!$G:$G,"Y",'Weekly Log'!$A:$A,"&gt;="&amp;$J189,'Weekly Log'!$A:$A,"&lt;"&amp;$J189+7)/COUNTIFS('Weekly Log'!$G:$G,"&lt;&gt;",'Weekly Log'!$A:$A,"&gt;="&amp;$J189,'Weekly Log'!$A:$A,"&lt;"&amp;$J189+7),0))</f>
        <v/>
      </c>
      <c r="D189" t="str">
        <f>IF($J189="","",IFERROR(COUNTIFS('Weekly Log'!$H:$H,"Y",'Weekly Log'!$A:$A,"&gt;="&amp;$J189,'Weekly Log'!$A:$A,"&lt;"&amp;$J189+7)/COUNTIFS('Weekly Log'!$H:$H,"&lt;&gt;",'Weekly Log'!$A:$A,"&gt;="&amp;$J189,'Weekly Log'!$A:$A,"&lt;"&amp;$J189+7),0))</f>
        <v/>
      </c>
      <c r="E189" t="str">
        <f>IF($J189="","",IFERROR(AVERAGEIFS('Weekly Log'!$F:$F,'Weekly Log'!$A:$A,"&gt;="&amp;$J189,'Weekly Log'!$A:$A,"&lt;"&amp;$J189+7),0))</f>
        <v/>
      </c>
      <c r="F189" t="str">
        <f>IF($J189="","",IFERROR(SUMIFS('Weekly Log'!$F:$F,'Weekly Log'!$A:$A,"&gt;="&amp;$J189,'Weekly Log'!$A:$A,"&lt;"&amp;$J189+7)/SUMIFS('Weekly Log'!$E:$E,'Weekly Log'!$A:$A,"&gt;="&amp;$J189,'Weekly Log'!$A:$A,"&lt;"&amp;$J189+7),0))</f>
        <v/>
      </c>
      <c r="G189" t="str">
        <f>IF($J189="","",IFERROR(LOOKUP(2,1/(('Weekly Log'!$A$5:$A$5000&gt;=$J189)*('Weekly Log'!$A$5:$A$5000&lt;$J189+7)*('Weekly Log'!$M$5:$M$5000&lt;&gt;"")),'Weekly Log'!$M$5:$M$5000),0))</f>
        <v/>
      </c>
      <c r="J189" t="str">
        <f>IF(COUNT('Weekly Log'!$A$5:$A$5000)=0,"",IF(MIN('Weekly Log'!$A$5:$A$5000)+7*(ROW()-10)&gt;MAX('Weekly Log'!$A$5:$A$5000),"",MIN('Weekly Log'!$A$5:$A$5000)+7*(ROW()-10)))</f>
        <v/>
      </c>
    </row>
    <row r="190" spans="1:10" x14ac:dyDescent="0.25">
      <c r="A190" t="str">
        <f t="shared" si="2"/>
        <v/>
      </c>
      <c r="B190" t="str">
        <f>IF($J190="","",SUMIFS('Weekly Log'!$C:$C,'Weekly Log'!$A:$A,"&gt;="&amp;$J190,'Weekly Log'!$A:$A,"&lt;"&amp;$J190+7))</f>
        <v/>
      </c>
      <c r="C190" t="str">
        <f>IF($J190="","",IFERROR(COUNTIFS('Weekly Log'!$G:$G,"Y",'Weekly Log'!$A:$A,"&gt;="&amp;$J190,'Weekly Log'!$A:$A,"&lt;"&amp;$J190+7)/COUNTIFS('Weekly Log'!$G:$G,"&lt;&gt;",'Weekly Log'!$A:$A,"&gt;="&amp;$J190,'Weekly Log'!$A:$A,"&lt;"&amp;$J190+7),0))</f>
        <v/>
      </c>
      <c r="D190" t="str">
        <f>IF($J190="","",IFERROR(COUNTIFS('Weekly Log'!$H:$H,"Y",'Weekly Log'!$A:$A,"&gt;="&amp;$J190,'Weekly Log'!$A:$A,"&lt;"&amp;$J190+7)/COUNTIFS('Weekly Log'!$H:$H,"&lt;&gt;",'Weekly Log'!$A:$A,"&gt;="&amp;$J190,'Weekly Log'!$A:$A,"&lt;"&amp;$J190+7),0))</f>
        <v/>
      </c>
      <c r="E190" t="str">
        <f>IF($J190="","",IFERROR(AVERAGEIFS('Weekly Log'!$F:$F,'Weekly Log'!$A:$A,"&gt;="&amp;$J190,'Weekly Log'!$A:$A,"&lt;"&amp;$J190+7),0))</f>
        <v/>
      </c>
      <c r="F190" t="str">
        <f>IF($J190="","",IFERROR(SUMIFS('Weekly Log'!$F:$F,'Weekly Log'!$A:$A,"&gt;="&amp;$J190,'Weekly Log'!$A:$A,"&lt;"&amp;$J190+7)/SUMIFS('Weekly Log'!$E:$E,'Weekly Log'!$A:$A,"&gt;="&amp;$J190,'Weekly Log'!$A:$A,"&lt;"&amp;$J190+7),0))</f>
        <v/>
      </c>
      <c r="G190" t="str">
        <f>IF($J190="","",IFERROR(LOOKUP(2,1/(('Weekly Log'!$A$5:$A$5000&gt;=$J190)*('Weekly Log'!$A$5:$A$5000&lt;$J190+7)*('Weekly Log'!$M$5:$M$5000&lt;&gt;"")),'Weekly Log'!$M$5:$M$5000),0))</f>
        <v/>
      </c>
      <c r="J190" t="str">
        <f>IF(COUNT('Weekly Log'!$A$5:$A$5000)=0,"",IF(MIN('Weekly Log'!$A$5:$A$5000)+7*(ROW()-10)&gt;MAX('Weekly Log'!$A$5:$A$5000),"",MIN('Weekly Log'!$A$5:$A$5000)+7*(ROW()-10)))</f>
        <v/>
      </c>
    </row>
    <row r="191" spans="1:10" x14ac:dyDescent="0.25">
      <c r="A191" t="str">
        <f t="shared" si="2"/>
        <v/>
      </c>
      <c r="B191" t="str">
        <f>IF($J191="","",SUMIFS('Weekly Log'!$C:$C,'Weekly Log'!$A:$A,"&gt;="&amp;$J191,'Weekly Log'!$A:$A,"&lt;"&amp;$J191+7))</f>
        <v/>
      </c>
      <c r="C191" t="str">
        <f>IF($J191="","",IFERROR(COUNTIFS('Weekly Log'!$G:$G,"Y",'Weekly Log'!$A:$A,"&gt;="&amp;$J191,'Weekly Log'!$A:$A,"&lt;"&amp;$J191+7)/COUNTIFS('Weekly Log'!$G:$G,"&lt;&gt;",'Weekly Log'!$A:$A,"&gt;="&amp;$J191,'Weekly Log'!$A:$A,"&lt;"&amp;$J191+7),0))</f>
        <v/>
      </c>
      <c r="D191" t="str">
        <f>IF($J191="","",IFERROR(COUNTIFS('Weekly Log'!$H:$H,"Y",'Weekly Log'!$A:$A,"&gt;="&amp;$J191,'Weekly Log'!$A:$A,"&lt;"&amp;$J191+7)/COUNTIFS('Weekly Log'!$H:$H,"&lt;&gt;",'Weekly Log'!$A:$A,"&gt;="&amp;$J191,'Weekly Log'!$A:$A,"&lt;"&amp;$J191+7),0))</f>
        <v/>
      </c>
      <c r="E191" t="str">
        <f>IF($J191="","",IFERROR(AVERAGEIFS('Weekly Log'!$F:$F,'Weekly Log'!$A:$A,"&gt;="&amp;$J191,'Weekly Log'!$A:$A,"&lt;"&amp;$J191+7),0))</f>
        <v/>
      </c>
      <c r="F191" t="str">
        <f>IF($J191="","",IFERROR(SUMIFS('Weekly Log'!$F:$F,'Weekly Log'!$A:$A,"&gt;="&amp;$J191,'Weekly Log'!$A:$A,"&lt;"&amp;$J191+7)/SUMIFS('Weekly Log'!$E:$E,'Weekly Log'!$A:$A,"&gt;="&amp;$J191,'Weekly Log'!$A:$A,"&lt;"&amp;$J191+7),0))</f>
        <v/>
      </c>
      <c r="G191" t="str">
        <f>IF($J191="","",IFERROR(LOOKUP(2,1/(('Weekly Log'!$A$5:$A$5000&gt;=$J191)*('Weekly Log'!$A$5:$A$5000&lt;$J191+7)*('Weekly Log'!$M$5:$M$5000&lt;&gt;"")),'Weekly Log'!$M$5:$M$5000),0))</f>
        <v/>
      </c>
      <c r="J191" t="str">
        <f>IF(COUNT('Weekly Log'!$A$5:$A$5000)=0,"",IF(MIN('Weekly Log'!$A$5:$A$5000)+7*(ROW()-10)&gt;MAX('Weekly Log'!$A$5:$A$5000),"",MIN('Weekly Log'!$A$5:$A$5000)+7*(ROW()-10)))</f>
        <v/>
      </c>
    </row>
    <row r="192" spans="1:10" x14ac:dyDescent="0.25">
      <c r="A192" t="str">
        <f t="shared" si="2"/>
        <v/>
      </c>
      <c r="B192" t="str">
        <f>IF($J192="","",SUMIFS('Weekly Log'!$C:$C,'Weekly Log'!$A:$A,"&gt;="&amp;$J192,'Weekly Log'!$A:$A,"&lt;"&amp;$J192+7))</f>
        <v/>
      </c>
      <c r="C192" t="str">
        <f>IF($J192="","",IFERROR(COUNTIFS('Weekly Log'!$G:$G,"Y",'Weekly Log'!$A:$A,"&gt;="&amp;$J192,'Weekly Log'!$A:$A,"&lt;"&amp;$J192+7)/COUNTIFS('Weekly Log'!$G:$G,"&lt;&gt;",'Weekly Log'!$A:$A,"&gt;="&amp;$J192,'Weekly Log'!$A:$A,"&lt;"&amp;$J192+7),0))</f>
        <v/>
      </c>
      <c r="D192" t="str">
        <f>IF($J192="","",IFERROR(COUNTIFS('Weekly Log'!$H:$H,"Y",'Weekly Log'!$A:$A,"&gt;="&amp;$J192,'Weekly Log'!$A:$A,"&lt;"&amp;$J192+7)/COUNTIFS('Weekly Log'!$H:$H,"&lt;&gt;",'Weekly Log'!$A:$A,"&gt;="&amp;$J192,'Weekly Log'!$A:$A,"&lt;"&amp;$J192+7),0))</f>
        <v/>
      </c>
      <c r="E192" t="str">
        <f>IF($J192="","",IFERROR(AVERAGEIFS('Weekly Log'!$F:$F,'Weekly Log'!$A:$A,"&gt;="&amp;$J192,'Weekly Log'!$A:$A,"&lt;"&amp;$J192+7),0))</f>
        <v/>
      </c>
      <c r="F192" t="str">
        <f>IF($J192="","",IFERROR(SUMIFS('Weekly Log'!$F:$F,'Weekly Log'!$A:$A,"&gt;="&amp;$J192,'Weekly Log'!$A:$A,"&lt;"&amp;$J192+7)/SUMIFS('Weekly Log'!$E:$E,'Weekly Log'!$A:$A,"&gt;="&amp;$J192,'Weekly Log'!$A:$A,"&lt;"&amp;$J192+7),0))</f>
        <v/>
      </c>
      <c r="G192" t="str">
        <f>IF($J192="","",IFERROR(LOOKUP(2,1/(('Weekly Log'!$A$5:$A$5000&gt;=$J192)*('Weekly Log'!$A$5:$A$5000&lt;$J192+7)*('Weekly Log'!$M$5:$M$5000&lt;&gt;"")),'Weekly Log'!$M$5:$M$5000),0))</f>
        <v/>
      </c>
      <c r="J192" t="str">
        <f>IF(COUNT('Weekly Log'!$A$5:$A$5000)=0,"",IF(MIN('Weekly Log'!$A$5:$A$5000)+7*(ROW()-10)&gt;MAX('Weekly Log'!$A$5:$A$5000),"",MIN('Weekly Log'!$A$5:$A$5000)+7*(ROW()-10)))</f>
        <v/>
      </c>
    </row>
    <row r="193" spans="1:10" x14ac:dyDescent="0.25">
      <c r="A193" t="str">
        <f t="shared" si="2"/>
        <v/>
      </c>
      <c r="B193" t="str">
        <f>IF($J193="","",SUMIFS('Weekly Log'!$C:$C,'Weekly Log'!$A:$A,"&gt;="&amp;$J193,'Weekly Log'!$A:$A,"&lt;"&amp;$J193+7))</f>
        <v/>
      </c>
      <c r="C193" t="str">
        <f>IF($J193="","",IFERROR(COUNTIFS('Weekly Log'!$G:$G,"Y",'Weekly Log'!$A:$A,"&gt;="&amp;$J193,'Weekly Log'!$A:$A,"&lt;"&amp;$J193+7)/COUNTIFS('Weekly Log'!$G:$G,"&lt;&gt;",'Weekly Log'!$A:$A,"&gt;="&amp;$J193,'Weekly Log'!$A:$A,"&lt;"&amp;$J193+7),0))</f>
        <v/>
      </c>
      <c r="D193" t="str">
        <f>IF($J193="","",IFERROR(COUNTIFS('Weekly Log'!$H:$H,"Y",'Weekly Log'!$A:$A,"&gt;="&amp;$J193,'Weekly Log'!$A:$A,"&lt;"&amp;$J193+7)/COUNTIFS('Weekly Log'!$H:$H,"&lt;&gt;",'Weekly Log'!$A:$A,"&gt;="&amp;$J193,'Weekly Log'!$A:$A,"&lt;"&amp;$J193+7),0))</f>
        <v/>
      </c>
      <c r="E193" t="str">
        <f>IF($J193="","",IFERROR(AVERAGEIFS('Weekly Log'!$F:$F,'Weekly Log'!$A:$A,"&gt;="&amp;$J193,'Weekly Log'!$A:$A,"&lt;"&amp;$J193+7),0))</f>
        <v/>
      </c>
      <c r="F193" t="str">
        <f>IF($J193="","",IFERROR(SUMIFS('Weekly Log'!$F:$F,'Weekly Log'!$A:$A,"&gt;="&amp;$J193,'Weekly Log'!$A:$A,"&lt;"&amp;$J193+7)/SUMIFS('Weekly Log'!$E:$E,'Weekly Log'!$A:$A,"&gt;="&amp;$J193,'Weekly Log'!$A:$A,"&lt;"&amp;$J193+7),0))</f>
        <v/>
      </c>
      <c r="G193" t="str">
        <f>IF($J193="","",IFERROR(LOOKUP(2,1/(('Weekly Log'!$A$5:$A$5000&gt;=$J193)*('Weekly Log'!$A$5:$A$5000&lt;$J193+7)*('Weekly Log'!$M$5:$M$5000&lt;&gt;"")),'Weekly Log'!$M$5:$M$5000),0))</f>
        <v/>
      </c>
      <c r="J193" t="str">
        <f>IF(COUNT('Weekly Log'!$A$5:$A$5000)=0,"",IF(MIN('Weekly Log'!$A$5:$A$5000)+7*(ROW()-10)&gt;MAX('Weekly Log'!$A$5:$A$5000),"",MIN('Weekly Log'!$A$5:$A$5000)+7*(ROW()-10)))</f>
        <v/>
      </c>
    </row>
    <row r="194" spans="1:10" x14ac:dyDescent="0.25">
      <c r="A194" t="str">
        <f t="shared" si="2"/>
        <v/>
      </c>
      <c r="B194" t="str">
        <f>IF($J194="","",SUMIFS('Weekly Log'!$C:$C,'Weekly Log'!$A:$A,"&gt;="&amp;$J194,'Weekly Log'!$A:$A,"&lt;"&amp;$J194+7))</f>
        <v/>
      </c>
      <c r="C194" t="str">
        <f>IF($J194="","",IFERROR(COUNTIFS('Weekly Log'!$G:$G,"Y",'Weekly Log'!$A:$A,"&gt;="&amp;$J194,'Weekly Log'!$A:$A,"&lt;"&amp;$J194+7)/COUNTIFS('Weekly Log'!$G:$G,"&lt;&gt;",'Weekly Log'!$A:$A,"&gt;="&amp;$J194,'Weekly Log'!$A:$A,"&lt;"&amp;$J194+7),0))</f>
        <v/>
      </c>
      <c r="D194" t="str">
        <f>IF($J194="","",IFERROR(COUNTIFS('Weekly Log'!$H:$H,"Y",'Weekly Log'!$A:$A,"&gt;="&amp;$J194,'Weekly Log'!$A:$A,"&lt;"&amp;$J194+7)/COUNTIFS('Weekly Log'!$H:$H,"&lt;&gt;",'Weekly Log'!$A:$A,"&gt;="&amp;$J194,'Weekly Log'!$A:$A,"&lt;"&amp;$J194+7),0))</f>
        <v/>
      </c>
      <c r="E194" t="str">
        <f>IF($J194="","",IFERROR(AVERAGEIFS('Weekly Log'!$F:$F,'Weekly Log'!$A:$A,"&gt;="&amp;$J194,'Weekly Log'!$A:$A,"&lt;"&amp;$J194+7),0))</f>
        <v/>
      </c>
      <c r="F194" t="str">
        <f>IF($J194="","",IFERROR(SUMIFS('Weekly Log'!$F:$F,'Weekly Log'!$A:$A,"&gt;="&amp;$J194,'Weekly Log'!$A:$A,"&lt;"&amp;$J194+7)/SUMIFS('Weekly Log'!$E:$E,'Weekly Log'!$A:$A,"&gt;="&amp;$J194,'Weekly Log'!$A:$A,"&lt;"&amp;$J194+7),0))</f>
        <v/>
      </c>
      <c r="G194" t="str">
        <f>IF($J194="","",IFERROR(LOOKUP(2,1/(('Weekly Log'!$A$5:$A$5000&gt;=$J194)*('Weekly Log'!$A$5:$A$5000&lt;$J194+7)*('Weekly Log'!$M$5:$M$5000&lt;&gt;"")),'Weekly Log'!$M$5:$M$5000),0))</f>
        <v/>
      </c>
      <c r="J194" t="str">
        <f>IF(COUNT('Weekly Log'!$A$5:$A$5000)=0,"",IF(MIN('Weekly Log'!$A$5:$A$5000)+7*(ROW()-10)&gt;MAX('Weekly Log'!$A$5:$A$5000),"",MIN('Weekly Log'!$A$5:$A$5000)+7*(ROW()-10)))</f>
        <v/>
      </c>
    </row>
    <row r="195" spans="1:10" x14ac:dyDescent="0.25">
      <c r="A195" t="str">
        <f t="shared" si="2"/>
        <v/>
      </c>
      <c r="B195" t="str">
        <f>IF($J195="","",SUMIFS('Weekly Log'!$C:$C,'Weekly Log'!$A:$A,"&gt;="&amp;$J195,'Weekly Log'!$A:$A,"&lt;"&amp;$J195+7))</f>
        <v/>
      </c>
      <c r="C195" t="str">
        <f>IF($J195="","",IFERROR(COUNTIFS('Weekly Log'!$G:$G,"Y",'Weekly Log'!$A:$A,"&gt;="&amp;$J195,'Weekly Log'!$A:$A,"&lt;"&amp;$J195+7)/COUNTIFS('Weekly Log'!$G:$G,"&lt;&gt;",'Weekly Log'!$A:$A,"&gt;="&amp;$J195,'Weekly Log'!$A:$A,"&lt;"&amp;$J195+7),0))</f>
        <v/>
      </c>
      <c r="D195" t="str">
        <f>IF($J195="","",IFERROR(COUNTIFS('Weekly Log'!$H:$H,"Y",'Weekly Log'!$A:$A,"&gt;="&amp;$J195,'Weekly Log'!$A:$A,"&lt;"&amp;$J195+7)/COUNTIFS('Weekly Log'!$H:$H,"&lt;&gt;",'Weekly Log'!$A:$A,"&gt;="&amp;$J195,'Weekly Log'!$A:$A,"&lt;"&amp;$J195+7),0))</f>
        <v/>
      </c>
      <c r="E195" t="str">
        <f>IF($J195="","",IFERROR(AVERAGEIFS('Weekly Log'!$F:$F,'Weekly Log'!$A:$A,"&gt;="&amp;$J195,'Weekly Log'!$A:$A,"&lt;"&amp;$J195+7),0))</f>
        <v/>
      </c>
      <c r="F195" t="str">
        <f>IF($J195="","",IFERROR(SUMIFS('Weekly Log'!$F:$F,'Weekly Log'!$A:$A,"&gt;="&amp;$J195,'Weekly Log'!$A:$A,"&lt;"&amp;$J195+7)/SUMIFS('Weekly Log'!$E:$E,'Weekly Log'!$A:$A,"&gt;="&amp;$J195,'Weekly Log'!$A:$A,"&lt;"&amp;$J195+7),0))</f>
        <v/>
      </c>
      <c r="G195" t="str">
        <f>IF($J195="","",IFERROR(LOOKUP(2,1/(('Weekly Log'!$A$5:$A$5000&gt;=$J195)*('Weekly Log'!$A$5:$A$5000&lt;$J195+7)*('Weekly Log'!$M$5:$M$5000&lt;&gt;"")),'Weekly Log'!$M$5:$M$5000),0))</f>
        <v/>
      </c>
      <c r="J195" t="str">
        <f>IF(COUNT('Weekly Log'!$A$5:$A$5000)=0,"",IF(MIN('Weekly Log'!$A$5:$A$5000)+7*(ROW()-10)&gt;MAX('Weekly Log'!$A$5:$A$5000),"",MIN('Weekly Log'!$A$5:$A$5000)+7*(ROW()-10)))</f>
        <v/>
      </c>
    </row>
    <row r="196" spans="1:10" x14ac:dyDescent="0.25">
      <c r="A196" t="str">
        <f t="shared" si="2"/>
        <v/>
      </c>
      <c r="B196" t="str">
        <f>IF($J196="","",SUMIFS('Weekly Log'!$C:$C,'Weekly Log'!$A:$A,"&gt;="&amp;$J196,'Weekly Log'!$A:$A,"&lt;"&amp;$J196+7))</f>
        <v/>
      </c>
      <c r="C196" t="str">
        <f>IF($J196="","",IFERROR(COUNTIFS('Weekly Log'!$G:$G,"Y",'Weekly Log'!$A:$A,"&gt;="&amp;$J196,'Weekly Log'!$A:$A,"&lt;"&amp;$J196+7)/COUNTIFS('Weekly Log'!$G:$G,"&lt;&gt;",'Weekly Log'!$A:$A,"&gt;="&amp;$J196,'Weekly Log'!$A:$A,"&lt;"&amp;$J196+7),0))</f>
        <v/>
      </c>
      <c r="D196" t="str">
        <f>IF($J196="","",IFERROR(COUNTIFS('Weekly Log'!$H:$H,"Y",'Weekly Log'!$A:$A,"&gt;="&amp;$J196,'Weekly Log'!$A:$A,"&lt;"&amp;$J196+7)/COUNTIFS('Weekly Log'!$H:$H,"&lt;&gt;",'Weekly Log'!$A:$A,"&gt;="&amp;$J196,'Weekly Log'!$A:$A,"&lt;"&amp;$J196+7),0))</f>
        <v/>
      </c>
      <c r="E196" t="str">
        <f>IF($J196="","",IFERROR(AVERAGEIFS('Weekly Log'!$F:$F,'Weekly Log'!$A:$A,"&gt;="&amp;$J196,'Weekly Log'!$A:$A,"&lt;"&amp;$J196+7),0))</f>
        <v/>
      </c>
      <c r="F196" t="str">
        <f>IF($J196="","",IFERROR(SUMIFS('Weekly Log'!$F:$F,'Weekly Log'!$A:$A,"&gt;="&amp;$J196,'Weekly Log'!$A:$A,"&lt;"&amp;$J196+7)/SUMIFS('Weekly Log'!$E:$E,'Weekly Log'!$A:$A,"&gt;="&amp;$J196,'Weekly Log'!$A:$A,"&lt;"&amp;$J196+7),0))</f>
        <v/>
      </c>
      <c r="G196" t="str">
        <f>IF($J196="","",IFERROR(LOOKUP(2,1/(('Weekly Log'!$A$5:$A$5000&gt;=$J196)*('Weekly Log'!$A$5:$A$5000&lt;$J196+7)*('Weekly Log'!$M$5:$M$5000&lt;&gt;"")),'Weekly Log'!$M$5:$M$5000),0))</f>
        <v/>
      </c>
      <c r="J196" t="str">
        <f>IF(COUNT('Weekly Log'!$A$5:$A$5000)=0,"",IF(MIN('Weekly Log'!$A$5:$A$5000)+7*(ROW()-10)&gt;MAX('Weekly Log'!$A$5:$A$5000),"",MIN('Weekly Log'!$A$5:$A$5000)+7*(ROW()-10)))</f>
        <v/>
      </c>
    </row>
    <row r="197" spans="1:10" x14ac:dyDescent="0.25">
      <c r="A197" t="str">
        <f t="shared" si="2"/>
        <v/>
      </c>
      <c r="B197" t="str">
        <f>IF($J197="","",SUMIFS('Weekly Log'!$C:$C,'Weekly Log'!$A:$A,"&gt;="&amp;$J197,'Weekly Log'!$A:$A,"&lt;"&amp;$J197+7))</f>
        <v/>
      </c>
      <c r="C197" t="str">
        <f>IF($J197="","",IFERROR(COUNTIFS('Weekly Log'!$G:$G,"Y",'Weekly Log'!$A:$A,"&gt;="&amp;$J197,'Weekly Log'!$A:$A,"&lt;"&amp;$J197+7)/COUNTIFS('Weekly Log'!$G:$G,"&lt;&gt;",'Weekly Log'!$A:$A,"&gt;="&amp;$J197,'Weekly Log'!$A:$A,"&lt;"&amp;$J197+7),0))</f>
        <v/>
      </c>
      <c r="D197" t="str">
        <f>IF($J197="","",IFERROR(COUNTIFS('Weekly Log'!$H:$H,"Y",'Weekly Log'!$A:$A,"&gt;="&amp;$J197,'Weekly Log'!$A:$A,"&lt;"&amp;$J197+7)/COUNTIFS('Weekly Log'!$H:$H,"&lt;&gt;",'Weekly Log'!$A:$A,"&gt;="&amp;$J197,'Weekly Log'!$A:$A,"&lt;"&amp;$J197+7),0))</f>
        <v/>
      </c>
      <c r="E197" t="str">
        <f>IF($J197="","",IFERROR(AVERAGEIFS('Weekly Log'!$F:$F,'Weekly Log'!$A:$A,"&gt;="&amp;$J197,'Weekly Log'!$A:$A,"&lt;"&amp;$J197+7),0))</f>
        <v/>
      </c>
      <c r="F197" t="str">
        <f>IF($J197="","",IFERROR(SUMIFS('Weekly Log'!$F:$F,'Weekly Log'!$A:$A,"&gt;="&amp;$J197,'Weekly Log'!$A:$A,"&lt;"&amp;$J197+7)/SUMIFS('Weekly Log'!$E:$E,'Weekly Log'!$A:$A,"&gt;="&amp;$J197,'Weekly Log'!$A:$A,"&lt;"&amp;$J197+7),0))</f>
        <v/>
      </c>
      <c r="G197" t="str">
        <f>IF($J197="","",IFERROR(LOOKUP(2,1/(('Weekly Log'!$A$5:$A$5000&gt;=$J197)*('Weekly Log'!$A$5:$A$5000&lt;$J197+7)*('Weekly Log'!$M$5:$M$5000&lt;&gt;"")),'Weekly Log'!$M$5:$M$5000),0))</f>
        <v/>
      </c>
      <c r="J197" t="str">
        <f>IF(COUNT('Weekly Log'!$A$5:$A$5000)=0,"",IF(MIN('Weekly Log'!$A$5:$A$5000)+7*(ROW()-10)&gt;MAX('Weekly Log'!$A$5:$A$5000),"",MIN('Weekly Log'!$A$5:$A$5000)+7*(ROW()-10)))</f>
        <v/>
      </c>
    </row>
    <row r="198" spans="1:10" x14ac:dyDescent="0.25">
      <c r="A198" t="str">
        <f t="shared" si="2"/>
        <v/>
      </c>
      <c r="B198" t="str">
        <f>IF($J198="","",SUMIFS('Weekly Log'!$C:$C,'Weekly Log'!$A:$A,"&gt;="&amp;$J198,'Weekly Log'!$A:$A,"&lt;"&amp;$J198+7))</f>
        <v/>
      </c>
      <c r="C198" t="str">
        <f>IF($J198="","",IFERROR(COUNTIFS('Weekly Log'!$G:$G,"Y",'Weekly Log'!$A:$A,"&gt;="&amp;$J198,'Weekly Log'!$A:$A,"&lt;"&amp;$J198+7)/COUNTIFS('Weekly Log'!$G:$G,"&lt;&gt;",'Weekly Log'!$A:$A,"&gt;="&amp;$J198,'Weekly Log'!$A:$A,"&lt;"&amp;$J198+7),0))</f>
        <v/>
      </c>
      <c r="D198" t="str">
        <f>IF($J198="","",IFERROR(COUNTIFS('Weekly Log'!$H:$H,"Y",'Weekly Log'!$A:$A,"&gt;="&amp;$J198,'Weekly Log'!$A:$A,"&lt;"&amp;$J198+7)/COUNTIFS('Weekly Log'!$H:$H,"&lt;&gt;",'Weekly Log'!$A:$A,"&gt;="&amp;$J198,'Weekly Log'!$A:$A,"&lt;"&amp;$J198+7),0))</f>
        <v/>
      </c>
      <c r="E198" t="str">
        <f>IF($J198="","",IFERROR(AVERAGEIFS('Weekly Log'!$F:$F,'Weekly Log'!$A:$A,"&gt;="&amp;$J198,'Weekly Log'!$A:$A,"&lt;"&amp;$J198+7),0))</f>
        <v/>
      </c>
      <c r="F198" t="str">
        <f>IF($J198="","",IFERROR(SUMIFS('Weekly Log'!$F:$F,'Weekly Log'!$A:$A,"&gt;="&amp;$J198,'Weekly Log'!$A:$A,"&lt;"&amp;$J198+7)/SUMIFS('Weekly Log'!$E:$E,'Weekly Log'!$A:$A,"&gt;="&amp;$J198,'Weekly Log'!$A:$A,"&lt;"&amp;$J198+7),0))</f>
        <v/>
      </c>
      <c r="G198" t="str">
        <f>IF($J198="","",IFERROR(LOOKUP(2,1/(('Weekly Log'!$A$5:$A$5000&gt;=$J198)*('Weekly Log'!$A$5:$A$5000&lt;$J198+7)*('Weekly Log'!$M$5:$M$5000&lt;&gt;"")),'Weekly Log'!$M$5:$M$5000),0))</f>
        <v/>
      </c>
      <c r="J198" t="str">
        <f>IF(COUNT('Weekly Log'!$A$5:$A$5000)=0,"",IF(MIN('Weekly Log'!$A$5:$A$5000)+7*(ROW()-10)&gt;MAX('Weekly Log'!$A$5:$A$5000),"",MIN('Weekly Log'!$A$5:$A$5000)+7*(ROW()-10)))</f>
        <v/>
      </c>
    </row>
    <row r="199" spans="1:10" x14ac:dyDescent="0.25">
      <c r="A199" t="str">
        <f t="shared" si="2"/>
        <v/>
      </c>
      <c r="B199" t="str">
        <f>IF($J199="","",SUMIFS('Weekly Log'!$C:$C,'Weekly Log'!$A:$A,"&gt;="&amp;$J199,'Weekly Log'!$A:$A,"&lt;"&amp;$J199+7))</f>
        <v/>
      </c>
      <c r="C199" t="str">
        <f>IF($J199="","",IFERROR(COUNTIFS('Weekly Log'!$G:$G,"Y",'Weekly Log'!$A:$A,"&gt;="&amp;$J199,'Weekly Log'!$A:$A,"&lt;"&amp;$J199+7)/COUNTIFS('Weekly Log'!$G:$G,"&lt;&gt;",'Weekly Log'!$A:$A,"&gt;="&amp;$J199,'Weekly Log'!$A:$A,"&lt;"&amp;$J199+7),0))</f>
        <v/>
      </c>
      <c r="D199" t="str">
        <f>IF($J199="","",IFERROR(COUNTIFS('Weekly Log'!$H:$H,"Y",'Weekly Log'!$A:$A,"&gt;="&amp;$J199,'Weekly Log'!$A:$A,"&lt;"&amp;$J199+7)/COUNTIFS('Weekly Log'!$H:$H,"&lt;&gt;",'Weekly Log'!$A:$A,"&gt;="&amp;$J199,'Weekly Log'!$A:$A,"&lt;"&amp;$J199+7),0))</f>
        <v/>
      </c>
      <c r="E199" t="str">
        <f>IF($J199="","",IFERROR(AVERAGEIFS('Weekly Log'!$F:$F,'Weekly Log'!$A:$A,"&gt;="&amp;$J199,'Weekly Log'!$A:$A,"&lt;"&amp;$J199+7),0))</f>
        <v/>
      </c>
      <c r="F199" t="str">
        <f>IF($J199="","",IFERROR(SUMIFS('Weekly Log'!$F:$F,'Weekly Log'!$A:$A,"&gt;="&amp;$J199,'Weekly Log'!$A:$A,"&lt;"&amp;$J199+7)/SUMIFS('Weekly Log'!$E:$E,'Weekly Log'!$A:$A,"&gt;="&amp;$J199,'Weekly Log'!$A:$A,"&lt;"&amp;$J199+7),0))</f>
        <v/>
      </c>
      <c r="G199" t="str">
        <f>IF($J199="","",IFERROR(LOOKUP(2,1/(('Weekly Log'!$A$5:$A$5000&gt;=$J199)*('Weekly Log'!$A$5:$A$5000&lt;$J199+7)*('Weekly Log'!$M$5:$M$5000&lt;&gt;"")),'Weekly Log'!$M$5:$M$5000),0))</f>
        <v/>
      </c>
      <c r="J199" t="str">
        <f>IF(COUNT('Weekly Log'!$A$5:$A$5000)=0,"",IF(MIN('Weekly Log'!$A$5:$A$5000)+7*(ROW()-10)&gt;MAX('Weekly Log'!$A$5:$A$5000),"",MIN('Weekly Log'!$A$5:$A$5000)+7*(ROW()-10)))</f>
        <v/>
      </c>
    </row>
    <row r="200" spans="1:10" x14ac:dyDescent="0.25">
      <c r="A200" t="str">
        <f t="shared" si="2"/>
        <v/>
      </c>
      <c r="B200" t="str">
        <f>IF($J200="","",SUMIFS('Weekly Log'!$C:$C,'Weekly Log'!$A:$A,"&gt;="&amp;$J200,'Weekly Log'!$A:$A,"&lt;"&amp;$J200+7))</f>
        <v/>
      </c>
      <c r="C200" t="str">
        <f>IF($J200="","",IFERROR(COUNTIFS('Weekly Log'!$G:$G,"Y",'Weekly Log'!$A:$A,"&gt;="&amp;$J200,'Weekly Log'!$A:$A,"&lt;"&amp;$J200+7)/COUNTIFS('Weekly Log'!$G:$G,"&lt;&gt;",'Weekly Log'!$A:$A,"&gt;="&amp;$J200,'Weekly Log'!$A:$A,"&lt;"&amp;$J200+7),0))</f>
        <v/>
      </c>
      <c r="D200" t="str">
        <f>IF($J200="","",IFERROR(COUNTIFS('Weekly Log'!$H:$H,"Y",'Weekly Log'!$A:$A,"&gt;="&amp;$J200,'Weekly Log'!$A:$A,"&lt;"&amp;$J200+7)/COUNTIFS('Weekly Log'!$H:$H,"&lt;&gt;",'Weekly Log'!$A:$A,"&gt;="&amp;$J200,'Weekly Log'!$A:$A,"&lt;"&amp;$J200+7),0))</f>
        <v/>
      </c>
      <c r="E200" t="str">
        <f>IF($J200="","",IFERROR(AVERAGEIFS('Weekly Log'!$F:$F,'Weekly Log'!$A:$A,"&gt;="&amp;$J200,'Weekly Log'!$A:$A,"&lt;"&amp;$J200+7),0))</f>
        <v/>
      </c>
      <c r="F200" t="str">
        <f>IF($J200="","",IFERROR(SUMIFS('Weekly Log'!$F:$F,'Weekly Log'!$A:$A,"&gt;="&amp;$J200,'Weekly Log'!$A:$A,"&lt;"&amp;$J200+7)/SUMIFS('Weekly Log'!$E:$E,'Weekly Log'!$A:$A,"&gt;="&amp;$J200,'Weekly Log'!$A:$A,"&lt;"&amp;$J200+7),0))</f>
        <v/>
      </c>
      <c r="G200" t="str">
        <f>IF($J200="","",IFERROR(LOOKUP(2,1/(('Weekly Log'!$A$5:$A$5000&gt;=$J200)*('Weekly Log'!$A$5:$A$5000&lt;$J200+7)*('Weekly Log'!$M$5:$M$5000&lt;&gt;"")),'Weekly Log'!$M$5:$M$5000),0))</f>
        <v/>
      </c>
      <c r="J200" t="str">
        <f>IF(COUNT('Weekly Log'!$A$5:$A$5000)=0,"",IF(MIN('Weekly Log'!$A$5:$A$5000)+7*(ROW()-10)&gt;MAX('Weekly Log'!$A$5:$A$5000),"",MIN('Weekly Log'!$A$5:$A$5000)+7*(ROW()-10)))</f>
        <v/>
      </c>
    </row>
    <row r="201" spans="1:10" x14ac:dyDescent="0.25">
      <c r="A201" t="str">
        <f t="shared" si="2"/>
        <v/>
      </c>
      <c r="B201" t="str">
        <f>IF($J201="","",SUMIFS('Weekly Log'!$C:$C,'Weekly Log'!$A:$A,"&gt;="&amp;$J201,'Weekly Log'!$A:$A,"&lt;"&amp;$J201+7))</f>
        <v/>
      </c>
      <c r="C201" t="str">
        <f>IF($J201="","",IFERROR(COUNTIFS('Weekly Log'!$G:$G,"Y",'Weekly Log'!$A:$A,"&gt;="&amp;$J201,'Weekly Log'!$A:$A,"&lt;"&amp;$J201+7)/COUNTIFS('Weekly Log'!$G:$G,"&lt;&gt;",'Weekly Log'!$A:$A,"&gt;="&amp;$J201,'Weekly Log'!$A:$A,"&lt;"&amp;$J201+7),0))</f>
        <v/>
      </c>
      <c r="D201" t="str">
        <f>IF($J201="","",IFERROR(COUNTIFS('Weekly Log'!$H:$H,"Y",'Weekly Log'!$A:$A,"&gt;="&amp;$J201,'Weekly Log'!$A:$A,"&lt;"&amp;$J201+7)/COUNTIFS('Weekly Log'!$H:$H,"&lt;&gt;",'Weekly Log'!$A:$A,"&gt;="&amp;$J201,'Weekly Log'!$A:$A,"&lt;"&amp;$J201+7),0))</f>
        <v/>
      </c>
      <c r="E201" t="str">
        <f>IF($J201="","",IFERROR(AVERAGEIFS('Weekly Log'!$F:$F,'Weekly Log'!$A:$A,"&gt;="&amp;$J201,'Weekly Log'!$A:$A,"&lt;"&amp;$J201+7),0))</f>
        <v/>
      </c>
      <c r="F201" t="str">
        <f>IF($J201="","",IFERROR(SUMIFS('Weekly Log'!$F:$F,'Weekly Log'!$A:$A,"&gt;="&amp;$J201,'Weekly Log'!$A:$A,"&lt;"&amp;$J201+7)/SUMIFS('Weekly Log'!$E:$E,'Weekly Log'!$A:$A,"&gt;="&amp;$J201,'Weekly Log'!$A:$A,"&lt;"&amp;$J201+7),0))</f>
        <v/>
      </c>
      <c r="G201" t="str">
        <f>IF($J201="","",IFERROR(LOOKUP(2,1/(('Weekly Log'!$A$5:$A$5000&gt;=$J201)*('Weekly Log'!$A$5:$A$5000&lt;$J201+7)*('Weekly Log'!$M$5:$M$5000&lt;&gt;"")),'Weekly Log'!$M$5:$M$5000),0))</f>
        <v/>
      </c>
      <c r="J201" t="str">
        <f>IF(COUNT('Weekly Log'!$A$5:$A$5000)=0,"",IF(MIN('Weekly Log'!$A$5:$A$5000)+7*(ROW()-10)&gt;MAX('Weekly Log'!$A$5:$A$5000),"",MIN('Weekly Log'!$A$5:$A$5000)+7*(ROW()-10)))</f>
        <v/>
      </c>
    </row>
    <row r="202" spans="1:10" x14ac:dyDescent="0.25">
      <c r="A202" t="str">
        <f t="shared" ref="A202:A265" si="3">IF($J202="","",YEAR($J202-WEEKDAY($J202,2)+4)&amp;"-W"&amp;TEXT(WEEKNUM($J202,21),"00"))</f>
        <v/>
      </c>
      <c r="B202" t="str">
        <f>IF($J202="","",SUMIFS('Weekly Log'!$C:$C,'Weekly Log'!$A:$A,"&gt;="&amp;$J202,'Weekly Log'!$A:$A,"&lt;"&amp;$J202+7))</f>
        <v/>
      </c>
      <c r="C202" t="str">
        <f>IF($J202="","",IFERROR(COUNTIFS('Weekly Log'!$G:$G,"Y",'Weekly Log'!$A:$A,"&gt;="&amp;$J202,'Weekly Log'!$A:$A,"&lt;"&amp;$J202+7)/COUNTIFS('Weekly Log'!$G:$G,"&lt;&gt;",'Weekly Log'!$A:$A,"&gt;="&amp;$J202,'Weekly Log'!$A:$A,"&lt;"&amp;$J202+7),0))</f>
        <v/>
      </c>
      <c r="D202" t="str">
        <f>IF($J202="","",IFERROR(COUNTIFS('Weekly Log'!$H:$H,"Y",'Weekly Log'!$A:$A,"&gt;="&amp;$J202,'Weekly Log'!$A:$A,"&lt;"&amp;$J202+7)/COUNTIFS('Weekly Log'!$H:$H,"&lt;&gt;",'Weekly Log'!$A:$A,"&gt;="&amp;$J202,'Weekly Log'!$A:$A,"&lt;"&amp;$J202+7),0))</f>
        <v/>
      </c>
      <c r="E202" t="str">
        <f>IF($J202="","",IFERROR(AVERAGEIFS('Weekly Log'!$F:$F,'Weekly Log'!$A:$A,"&gt;="&amp;$J202,'Weekly Log'!$A:$A,"&lt;"&amp;$J202+7),0))</f>
        <v/>
      </c>
      <c r="F202" t="str">
        <f>IF($J202="","",IFERROR(SUMIFS('Weekly Log'!$F:$F,'Weekly Log'!$A:$A,"&gt;="&amp;$J202,'Weekly Log'!$A:$A,"&lt;"&amp;$J202+7)/SUMIFS('Weekly Log'!$E:$E,'Weekly Log'!$A:$A,"&gt;="&amp;$J202,'Weekly Log'!$A:$A,"&lt;"&amp;$J202+7),0))</f>
        <v/>
      </c>
      <c r="G202" t="str">
        <f>IF($J202="","",IFERROR(LOOKUP(2,1/(('Weekly Log'!$A$5:$A$5000&gt;=$J202)*('Weekly Log'!$A$5:$A$5000&lt;$J202+7)*('Weekly Log'!$M$5:$M$5000&lt;&gt;"")),'Weekly Log'!$M$5:$M$5000),0))</f>
        <v/>
      </c>
      <c r="J202" t="str">
        <f>IF(COUNT('Weekly Log'!$A$5:$A$5000)=0,"",IF(MIN('Weekly Log'!$A$5:$A$5000)+7*(ROW()-10)&gt;MAX('Weekly Log'!$A$5:$A$5000),"",MIN('Weekly Log'!$A$5:$A$5000)+7*(ROW()-10)))</f>
        <v/>
      </c>
    </row>
    <row r="203" spans="1:10" x14ac:dyDescent="0.25">
      <c r="A203" t="str">
        <f t="shared" si="3"/>
        <v/>
      </c>
      <c r="B203" t="str">
        <f>IF($J203="","",SUMIFS('Weekly Log'!$C:$C,'Weekly Log'!$A:$A,"&gt;="&amp;$J203,'Weekly Log'!$A:$A,"&lt;"&amp;$J203+7))</f>
        <v/>
      </c>
      <c r="C203" t="str">
        <f>IF($J203="","",IFERROR(COUNTIFS('Weekly Log'!$G:$G,"Y",'Weekly Log'!$A:$A,"&gt;="&amp;$J203,'Weekly Log'!$A:$A,"&lt;"&amp;$J203+7)/COUNTIFS('Weekly Log'!$G:$G,"&lt;&gt;",'Weekly Log'!$A:$A,"&gt;="&amp;$J203,'Weekly Log'!$A:$A,"&lt;"&amp;$J203+7),0))</f>
        <v/>
      </c>
      <c r="D203" t="str">
        <f>IF($J203="","",IFERROR(COUNTIFS('Weekly Log'!$H:$H,"Y",'Weekly Log'!$A:$A,"&gt;="&amp;$J203,'Weekly Log'!$A:$A,"&lt;"&amp;$J203+7)/COUNTIFS('Weekly Log'!$H:$H,"&lt;&gt;",'Weekly Log'!$A:$A,"&gt;="&amp;$J203,'Weekly Log'!$A:$A,"&lt;"&amp;$J203+7),0))</f>
        <v/>
      </c>
      <c r="E203" t="str">
        <f>IF($J203="","",IFERROR(AVERAGEIFS('Weekly Log'!$F:$F,'Weekly Log'!$A:$A,"&gt;="&amp;$J203,'Weekly Log'!$A:$A,"&lt;"&amp;$J203+7),0))</f>
        <v/>
      </c>
      <c r="F203" t="str">
        <f>IF($J203="","",IFERROR(SUMIFS('Weekly Log'!$F:$F,'Weekly Log'!$A:$A,"&gt;="&amp;$J203,'Weekly Log'!$A:$A,"&lt;"&amp;$J203+7)/SUMIFS('Weekly Log'!$E:$E,'Weekly Log'!$A:$A,"&gt;="&amp;$J203,'Weekly Log'!$A:$A,"&lt;"&amp;$J203+7),0))</f>
        <v/>
      </c>
      <c r="G203" t="str">
        <f>IF($J203="","",IFERROR(LOOKUP(2,1/(('Weekly Log'!$A$5:$A$5000&gt;=$J203)*('Weekly Log'!$A$5:$A$5000&lt;$J203+7)*('Weekly Log'!$M$5:$M$5000&lt;&gt;"")),'Weekly Log'!$M$5:$M$5000),0))</f>
        <v/>
      </c>
      <c r="J203" t="str">
        <f>IF(COUNT('Weekly Log'!$A$5:$A$5000)=0,"",IF(MIN('Weekly Log'!$A$5:$A$5000)+7*(ROW()-10)&gt;MAX('Weekly Log'!$A$5:$A$5000),"",MIN('Weekly Log'!$A$5:$A$5000)+7*(ROW()-10)))</f>
        <v/>
      </c>
    </row>
    <row r="204" spans="1:10" x14ac:dyDescent="0.25">
      <c r="A204" t="str">
        <f t="shared" si="3"/>
        <v/>
      </c>
      <c r="B204" t="str">
        <f>IF($J204="","",SUMIFS('Weekly Log'!$C:$C,'Weekly Log'!$A:$A,"&gt;="&amp;$J204,'Weekly Log'!$A:$A,"&lt;"&amp;$J204+7))</f>
        <v/>
      </c>
      <c r="C204" t="str">
        <f>IF($J204="","",IFERROR(COUNTIFS('Weekly Log'!$G:$G,"Y",'Weekly Log'!$A:$A,"&gt;="&amp;$J204,'Weekly Log'!$A:$A,"&lt;"&amp;$J204+7)/COUNTIFS('Weekly Log'!$G:$G,"&lt;&gt;",'Weekly Log'!$A:$A,"&gt;="&amp;$J204,'Weekly Log'!$A:$A,"&lt;"&amp;$J204+7),0))</f>
        <v/>
      </c>
      <c r="D204" t="str">
        <f>IF($J204="","",IFERROR(COUNTIFS('Weekly Log'!$H:$H,"Y",'Weekly Log'!$A:$A,"&gt;="&amp;$J204,'Weekly Log'!$A:$A,"&lt;"&amp;$J204+7)/COUNTIFS('Weekly Log'!$H:$H,"&lt;&gt;",'Weekly Log'!$A:$A,"&gt;="&amp;$J204,'Weekly Log'!$A:$A,"&lt;"&amp;$J204+7),0))</f>
        <v/>
      </c>
      <c r="E204" t="str">
        <f>IF($J204="","",IFERROR(AVERAGEIFS('Weekly Log'!$F:$F,'Weekly Log'!$A:$A,"&gt;="&amp;$J204,'Weekly Log'!$A:$A,"&lt;"&amp;$J204+7),0))</f>
        <v/>
      </c>
      <c r="F204" t="str">
        <f>IF($J204="","",IFERROR(SUMIFS('Weekly Log'!$F:$F,'Weekly Log'!$A:$A,"&gt;="&amp;$J204,'Weekly Log'!$A:$A,"&lt;"&amp;$J204+7)/SUMIFS('Weekly Log'!$E:$E,'Weekly Log'!$A:$A,"&gt;="&amp;$J204,'Weekly Log'!$A:$A,"&lt;"&amp;$J204+7),0))</f>
        <v/>
      </c>
      <c r="G204" t="str">
        <f>IF($J204="","",IFERROR(LOOKUP(2,1/(('Weekly Log'!$A$5:$A$5000&gt;=$J204)*('Weekly Log'!$A$5:$A$5000&lt;$J204+7)*('Weekly Log'!$M$5:$M$5000&lt;&gt;"")),'Weekly Log'!$M$5:$M$5000),0))</f>
        <v/>
      </c>
      <c r="J204" t="str">
        <f>IF(COUNT('Weekly Log'!$A$5:$A$5000)=0,"",IF(MIN('Weekly Log'!$A$5:$A$5000)+7*(ROW()-10)&gt;MAX('Weekly Log'!$A$5:$A$5000),"",MIN('Weekly Log'!$A$5:$A$5000)+7*(ROW()-10)))</f>
        <v/>
      </c>
    </row>
    <row r="205" spans="1:10" x14ac:dyDescent="0.25">
      <c r="A205" t="str">
        <f t="shared" si="3"/>
        <v/>
      </c>
      <c r="B205" t="str">
        <f>IF($J205="","",SUMIFS('Weekly Log'!$C:$C,'Weekly Log'!$A:$A,"&gt;="&amp;$J205,'Weekly Log'!$A:$A,"&lt;"&amp;$J205+7))</f>
        <v/>
      </c>
      <c r="C205" t="str">
        <f>IF($J205="","",IFERROR(COUNTIFS('Weekly Log'!$G:$G,"Y",'Weekly Log'!$A:$A,"&gt;="&amp;$J205,'Weekly Log'!$A:$A,"&lt;"&amp;$J205+7)/COUNTIFS('Weekly Log'!$G:$G,"&lt;&gt;",'Weekly Log'!$A:$A,"&gt;="&amp;$J205,'Weekly Log'!$A:$A,"&lt;"&amp;$J205+7),0))</f>
        <v/>
      </c>
      <c r="D205" t="str">
        <f>IF($J205="","",IFERROR(COUNTIFS('Weekly Log'!$H:$H,"Y",'Weekly Log'!$A:$A,"&gt;="&amp;$J205,'Weekly Log'!$A:$A,"&lt;"&amp;$J205+7)/COUNTIFS('Weekly Log'!$H:$H,"&lt;&gt;",'Weekly Log'!$A:$A,"&gt;="&amp;$J205,'Weekly Log'!$A:$A,"&lt;"&amp;$J205+7),0))</f>
        <v/>
      </c>
      <c r="E205" t="str">
        <f>IF($J205="","",IFERROR(AVERAGEIFS('Weekly Log'!$F:$F,'Weekly Log'!$A:$A,"&gt;="&amp;$J205,'Weekly Log'!$A:$A,"&lt;"&amp;$J205+7),0))</f>
        <v/>
      </c>
      <c r="F205" t="str">
        <f>IF($J205="","",IFERROR(SUMIFS('Weekly Log'!$F:$F,'Weekly Log'!$A:$A,"&gt;="&amp;$J205,'Weekly Log'!$A:$A,"&lt;"&amp;$J205+7)/SUMIFS('Weekly Log'!$E:$E,'Weekly Log'!$A:$A,"&gt;="&amp;$J205,'Weekly Log'!$A:$A,"&lt;"&amp;$J205+7),0))</f>
        <v/>
      </c>
      <c r="G205" t="str">
        <f>IF($J205="","",IFERROR(LOOKUP(2,1/(('Weekly Log'!$A$5:$A$5000&gt;=$J205)*('Weekly Log'!$A$5:$A$5000&lt;$J205+7)*('Weekly Log'!$M$5:$M$5000&lt;&gt;"")),'Weekly Log'!$M$5:$M$5000),0))</f>
        <v/>
      </c>
      <c r="J205" t="str">
        <f>IF(COUNT('Weekly Log'!$A$5:$A$5000)=0,"",IF(MIN('Weekly Log'!$A$5:$A$5000)+7*(ROW()-10)&gt;MAX('Weekly Log'!$A$5:$A$5000),"",MIN('Weekly Log'!$A$5:$A$5000)+7*(ROW()-10)))</f>
        <v/>
      </c>
    </row>
    <row r="206" spans="1:10" x14ac:dyDescent="0.25">
      <c r="A206" t="str">
        <f t="shared" si="3"/>
        <v/>
      </c>
      <c r="B206" t="str">
        <f>IF($J206="","",SUMIFS('Weekly Log'!$C:$C,'Weekly Log'!$A:$A,"&gt;="&amp;$J206,'Weekly Log'!$A:$A,"&lt;"&amp;$J206+7))</f>
        <v/>
      </c>
      <c r="C206" t="str">
        <f>IF($J206="","",IFERROR(COUNTIFS('Weekly Log'!$G:$G,"Y",'Weekly Log'!$A:$A,"&gt;="&amp;$J206,'Weekly Log'!$A:$A,"&lt;"&amp;$J206+7)/COUNTIFS('Weekly Log'!$G:$G,"&lt;&gt;",'Weekly Log'!$A:$A,"&gt;="&amp;$J206,'Weekly Log'!$A:$A,"&lt;"&amp;$J206+7),0))</f>
        <v/>
      </c>
      <c r="D206" t="str">
        <f>IF($J206="","",IFERROR(COUNTIFS('Weekly Log'!$H:$H,"Y",'Weekly Log'!$A:$A,"&gt;="&amp;$J206,'Weekly Log'!$A:$A,"&lt;"&amp;$J206+7)/COUNTIFS('Weekly Log'!$H:$H,"&lt;&gt;",'Weekly Log'!$A:$A,"&gt;="&amp;$J206,'Weekly Log'!$A:$A,"&lt;"&amp;$J206+7),0))</f>
        <v/>
      </c>
      <c r="E206" t="str">
        <f>IF($J206="","",IFERROR(AVERAGEIFS('Weekly Log'!$F:$F,'Weekly Log'!$A:$A,"&gt;="&amp;$J206,'Weekly Log'!$A:$A,"&lt;"&amp;$J206+7),0))</f>
        <v/>
      </c>
      <c r="F206" t="str">
        <f>IF($J206="","",IFERROR(SUMIFS('Weekly Log'!$F:$F,'Weekly Log'!$A:$A,"&gt;="&amp;$J206,'Weekly Log'!$A:$A,"&lt;"&amp;$J206+7)/SUMIFS('Weekly Log'!$E:$E,'Weekly Log'!$A:$A,"&gt;="&amp;$J206,'Weekly Log'!$A:$A,"&lt;"&amp;$J206+7),0))</f>
        <v/>
      </c>
      <c r="G206" t="str">
        <f>IF($J206="","",IFERROR(LOOKUP(2,1/(('Weekly Log'!$A$5:$A$5000&gt;=$J206)*('Weekly Log'!$A$5:$A$5000&lt;$J206+7)*('Weekly Log'!$M$5:$M$5000&lt;&gt;"")),'Weekly Log'!$M$5:$M$5000),0))</f>
        <v/>
      </c>
      <c r="J206" t="str">
        <f>IF(COUNT('Weekly Log'!$A$5:$A$5000)=0,"",IF(MIN('Weekly Log'!$A$5:$A$5000)+7*(ROW()-10)&gt;MAX('Weekly Log'!$A$5:$A$5000),"",MIN('Weekly Log'!$A$5:$A$5000)+7*(ROW()-10)))</f>
        <v/>
      </c>
    </row>
    <row r="207" spans="1:10" x14ac:dyDescent="0.25">
      <c r="A207" t="str">
        <f t="shared" si="3"/>
        <v/>
      </c>
      <c r="B207" t="str">
        <f>IF($J207="","",SUMIFS('Weekly Log'!$C:$C,'Weekly Log'!$A:$A,"&gt;="&amp;$J207,'Weekly Log'!$A:$A,"&lt;"&amp;$J207+7))</f>
        <v/>
      </c>
      <c r="C207" t="str">
        <f>IF($J207="","",IFERROR(COUNTIFS('Weekly Log'!$G:$G,"Y",'Weekly Log'!$A:$A,"&gt;="&amp;$J207,'Weekly Log'!$A:$A,"&lt;"&amp;$J207+7)/COUNTIFS('Weekly Log'!$G:$G,"&lt;&gt;",'Weekly Log'!$A:$A,"&gt;="&amp;$J207,'Weekly Log'!$A:$A,"&lt;"&amp;$J207+7),0))</f>
        <v/>
      </c>
      <c r="D207" t="str">
        <f>IF($J207="","",IFERROR(COUNTIFS('Weekly Log'!$H:$H,"Y",'Weekly Log'!$A:$A,"&gt;="&amp;$J207,'Weekly Log'!$A:$A,"&lt;"&amp;$J207+7)/COUNTIFS('Weekly Log'!$H:$H,"&lt;&gt;",'Weekly Log'!$A:$A,"&gt;="&amp;$J207,'Weekly Log'!$A:$A,"&lt;"&amp;$J207+7),0))</f>
        <v/>
      </c>
      <c r="E207" t="str">
        <f>IF($J207="","",IFERROR(AVERAGEIFS('Weekly Log'!$F:$F,'Weekly Log'!$A:$A,"&gt;="&amp;$J207,'Weekly Log'!$A:$A,"&lt;"&amp;$J207+7),0))</f>
        <v/>
      </c>
      <c r="F207" t="str">
        <f>IF($J207="","",IFERROR(SUMIFS('Weekly Log'!$F:$F,'Weekly Log'!$A:$A,"&gt;="&amp;$J207,'Weekly Log'!$A:$A,"&lt;"&amp;$J207+7)/SUMIFS('Weekly Log'!$E:$E,'Weekly Log'!$A:$A,"&gt;="&amp;$J207,'Weekly Log'!$A:$A,"&lt;"&amp;$J207+7),0))</f>
        <v/>
      </c>
      <c r="G207" t="str">
        <f>IF($J207="","",IFERROR(LOOKUP(2,1/(('Weekly Log'!$A$5:$A$5000&gt;=$J207)*('Weekly Log'!$A$5:$A$5000&lt;$J207+7)*('Weekly Log'!$M$5:$M$5000&lt;&gt;"")),'Weekly Log'!$M$5:$M$5000),0))</f>
        <v/>
      </c>
      <c r="J207" t="str">
        <f>IF(COUNT('Weekly Log'!$A$5:$A$5000)=0,"",IF(MIN('Weekly Log'!$A$5:$A$5000)+7*(ROW()-10)&gt;MAX('Weekly Log'!$A$5:$A$5000),"",MIN('Weekly Log'!$A$5:$A$5000)+7*(ROW()-10)))</f>
        <v/>
      </c>
    </row>
    <row r="208" spans="1:10" x14ac:dyDescent="0.25">
      <c r="A208" t="str">
        <f t="shared" si="3"/>
        <v/>
      </c>
      <c r="B208" t="str">
        <f>IF($J208="","",SUMIFS('Weekly Log'!$C:$C,'Weekly Log'!$A:$A,"&gt;="&amp;$J208,'Weekly Log'!$A:$A,"&lt;"&amp;$J208+7))</f>
        <v/>
      </c>
      <c r="C208" t="str">
        <f>IF($J208="","",IFERROR(COUNTIFS('Weekly Log'!$G:$G,"Y",'Weekly Log'!$A:$A,"&gt;="&amp;$J208,'Weekly Log'!$A:$A,"&lt;"&amp;$J208+7)/COUNTIFS('Weekly Log'!$G:$G,"&lt;&gt;",'Weekly Log'!$A:$A,"&gt;="&amp;$J208,'Weekly Log'!$A:$A,"&lt;"&amp;$J208+7),0))</f>
        <v/>
      </c>
      <c r="D208" t="str">
        <f>IF($J208="","",IFERROR(COUNTIFS('Weekly Log'!$H:$H,"Y",'Weekly Log'!$A:$A,"&gt;="&amp;$J208,'Weekly Log'!$A:$A,"&lt;"&amp;$J208+7)/COUNTIFS('Weekly Log'!$H:$H,"&lt;&gt;",'Weekly Log'!$A:$A,"&gt;="&amp;$J208,'Weekly Log'!$A:$A,"&lt;"&amp;$J208+7),0))</f>
        <v/>
      </c>
      <c r="E208" t="str">
        <f>IF($J208="","",IFERROR(AVERAGEIFS('Weekly Log'!$F:$F,'Weekly Log'!$A:$A,"&gt;="&amp;$J208,'Weekly Log'!$A:$A,"&lt;"&amp;$J208+7),0))</f>
        <v/>
      </c>
      <c r="F208" t="str">
        <f>IF($J208="","",IFERROR(SUMIFS('Weekly Log'!$F:$F,'Weekly Log'!$A:$A,"&gt;="&amp;$J208,'Weekly Log'!$A:$A,"&lt;"&amp;$J208+7)/SUMIFS('Weekly Log'!$E:$E,'Weekly Log'!$A:$A,"&gt;="&amp;$J208,'Weekly Log'!$A:$A,"&lt;"&amp;$J208+7),0))</f>
        <v/>
      </c>
      <c r="G208" t="str">
        <f>IF($J208="","",IFERROR(LOOKUP(2,1/(('Weekly Log'!$A$5:$A$5000&gt;=$J208)*('Weekly Log'!$A$5:$A$5000&lt;$J208+7)*('Weekly Log'!$M$5:$M$5000&lt;&gt;"")),'Weekly Log'!$M$5:$M$5000),0))</f>
        <v/>
      </c>
      <c r="J208" t="str">
        <f>IF(COUNT('Weekly Log'!$A$5:$A$5000)=0,"",IF(MIN('Weekly Log'!$A$5:$A$5000)+7*(ROW()-10)&gt;MAX('Weekly Log'!$A$5:$A$5000),"",MIN('Weekly Log'!$A$5:$A$5000)+7*(ROW()-10)))</f>
        <v/>
      </c>
    </row>
    <row r="209" spans="1:10" x14ac:dyDescent="0.25">
      <c r="A209" t="str">
        <f t="shared" si="3"/>
        <v/>
      </c>
      <c r="B209" t="str">
        <f>IF($J209="","",SUMIFS('Weekly Log'!$C:$C,'Weekly Log'!$A:$A,"&gt;="&amp;$J209,'Weekly Log'!$A:$A,"&lt;"&amp;$J209+7))</f>
        <v/>
      </c>
      <c r="C209" t="str">
        <f>IF($J209="","",IFERROR(COUNTIFS('Weekly Log'!$G:$G,"Y",'Weekly Log'!$A:$A,"&gt;="&amp;$J209,'Weekly Log'!$A:$A,"&lt;"&amp;$J209+7)/COUNTIFS('Weekly Log'!$G:$G,"&lt;&gt;",'Weekly Log'!$A:$A,"&gt;="&amp;$J209,'Weekly Log'!$A:$A,"&lt;"&amp;$J209+7),0))</f>
        <v/>
      </c>
      <c r="D209" t="str">
        <f>IF($J209="","",IFERROR(COUNTIFS('Weekly Log'!$H:$H,"Y",'Weekly Log'!$A:$A,"&gt;="&amp;$J209,'Weekly Log'!$A:$A,"&lt;"&amp;$J209+7)/COUNTIFS('Weekly Log'!$H:$H,"&lt;&gt;",'Weekly Log'!$A:$A,"&gt;="&amp;$J209,'Weekly Log'!$A:$A,"&lt;"&amp;$J209+7),0))</f>
        <v/>
      </c>
      <c r="E209" t="str">
        <f>IF($J209="","",IFERROR(AVERAGEIFS('Weekly Log'!$F:$F,'Weekly Log'!$A:$A,"&gt;="&amp;$J209,'Weekly Log'!$A:$A,"&lt;"&amp;$J209+7),0))</f>
        <v/>
      </c>
      <c r="F209" t="str">
        <f>IF($J209="","",IFERROR(SUMIFS('Weekly Log'!$F:$F,'Weekly Log'!$A:$A,"&gt;="&amp;$J209,'Weekly Log'!$A:$A,"&lt;"&amp;$J209+7)/SUMIFS('Weekly Log'!$E:$E,'Weekly Log'!$A:$A,"&gt;="&amp;$J209,'Weekly Log'!$A:$A,"&lt;"&amp;$J209+7),0))</f>
        <v/>
      </c>
      <c r="G209" t="str">
        <f>IF($J209="","",IFERROR(LOOKUP(2,1/(('Weekly Log'!$A$5:$A$5000&gt;=$J209)*('Weekly Log'!$A$5:$A$5000&lt;$J209+7)*('Weekly Log'!$M$5:$M$5000&lt;&gt;"")),'Weekly Log'!$M$5:$M$5000),0))</f>
        <v/>
      </c>
      <c r="J209" t="str">
        <f>IF(COUNT('Weekly Log'!$A$5:$A$5000)=0,"",IF(MIN('Weekly Log'!$A$5:$A$5000)+7*(ROW()-10)&gt;MAX('Weekly Log'!$A$5:$A$5000),"",MIN('Weekly Log'!$A$5:$A$5000)+7*(ROW()-10)))</f>
        <v/>
      </c>
    </row>
    <row r="210" spans="1:10" x14ac:dyDescent="0.25">
      <c r="A210" t="str">
        <f t="shared" si="3"/>
        <v/>
      </c>
      <c r="B210" t="str">
        <f>IF($J210="","",SUMIFS('Weekly Log'!$C:$C,'Weekly Log'!$A:$A,"&gt;="&amp;$J210,'Weekly Log'!$A:$A,"&lt;"&amp;$J210+7))</f>
        <v/>
      </c>
      <c r="C210" t="str">
        <f>IF($J210="","",IFERROR(COUNTIFS('Weekly Log'!$G:$G,"Y",'Weekly Log'!$A:$A,"&gt;="&amp;$J210,'Weekly Log'!$A:$A,"&lt;"&amp;$J210+7)/COUNTIFS('Weekly Log'!$G:$G,"&lt;&gt;",'Weekly Log'!$A:$A,"&gt;="&amp;$J210,'Weekly Log'!$A:$A,"&lt;"&amp;$J210+7),0))</f>
        <v/>
      </c>
      <c r="D210" t="str">
        <f>IF($J210="","",IFERROR(COUNTIFS('Weekly Log'!$H:$H,"Y",'Weekly Log'!$A:$A,"&gt;="&amp;$J210,'Weekly Log'!$A:$A,"&lt;"&amp;$J210+7)/COUNTIFS('Weekly Log'!$H:$H,"&lt;&gt;",'Weekly Log'!$A:$A,"&gt;="&amp;$J210,'Weekly Log'!$A:$A,"&lt;"&amp;$J210+7),0))</f>
        <v/>
      </c>
      <c r="E210" t="str">
        <f>IF($J210="","",IFERROR(AVERAGEIFS('Weekly Log'!$F:$F,'Weekly Log'!$A:$A,"&gt;="&amp;$J210,'Weekly Log'!$A:$A,"&lt;"&amp;$J210+7),0))</f>
        <v/>
      </c>
      <c r="F210" t="str">
        <f>IF($J210="","",IFERROR(SUMIFS('Weekly Log'!$F:$F,'Weekly Log'!$A:$A,"&gt;="&amp;$J210,'Weekly Log'!$A:$A,"&lt;"&amp;$J210+7)/SUMIFS('Weekly Log'!$E:$E,'Weekly Log'!$A:$A,"&gt;="&amp;$J210,'Weekly Log'!$A:$A,"&lt;"&amp;$J210+7),0))</f>
        <v/>
      </c>
      <c r="G210" t="str">
        <f>IF($J210="","",IFERROR(LOOKUP(2,1/(('Weekly Log'!$A$5:$A$5000&gt;=$J210)*('Weekly Log'!$A$5:$A$5000&lt;$J210+7)*('Weekly Log'!$M$5:$M$5000&lt;&gt;"")),'Weekly Log'!$M$5:$M$5000),0))</f>
        <v/>
      </c>
      <c r="J210" t="str">
        <f>IF(COUNT('Weekly Log'!$A$5:$A$5000)=0,"",IF(MIN('Weekly Log'!$A$5:$A$5000)+7*(ROW()-10)&gt;MAX('Weekly Log'!$A$5:$A$5000),"",MIN('Weekly Log'!$A$5:$A$5000)+7*(ROW()-10)))</f>
        <v/>
      </c>
    </row>
    <row r="211" spans="1:10" x14ac:dyDescent="0.25">
      <c r="A211" t="str">
        <f t="shared" si="3"/>
        <v/>
      </c>
      <c r="B211" t="str">
        <f>IF($J211="","",SUMIFS('Weekly Log'!$C:$C,'Weekly Log'!$A:$A,"&gt;="&amp;$J211,'Weekly Log'!$A:$A,"&lt;"&amp;$J211+7))</f>
        <v/>
      </c>
      <c r="C211" t="str">
        <f>IF($J211="","",IFERROR(COUNTIFS('Weekly Log'!$G:$G,"Y",'Weekly Log'!$A:$A,"&gt;="&amp;$J211,'Weekly Log'!$A:$A,"&lt;"&amp;$J211+7)/COUNTIFS('Weekly Log'!$G:$G,"&lt;&gt;",'Weekly Log'!$A:$A,"&gt;="&amp;$J211,'Weekly Log'!$A:$A,"&lt;"&amp;$J211+7),0))</f>
        <v/>
      </c>
      <c r="D211" t="str">
        <f>IF($J211="","",IFERROR(COUNTIFS('Weekly Log'!$H:$H,"Y",'Weekly Log'!$A:$A,"&gt;="&amp;$J211,'Weekly Log'!$A:$A,"&lt;"&amp;$J211+7)/COUNTIFS('Weekly Log'!$H:$H,"&lt;&gt;",'Weekly Log'!$A:$A,"&gt;="&amp;$J211,'Weekly Log'!$A:$A,"&lt;"&amp;$J211+7),0))</f>
        <v/>
      </c>
      <c r="E211" t="str">
        <f>IF($J211="","",IFERROR(AVERAGEIFS('Weekly Log'!$F:$F,'Weekly Log'!$A:$A,"&gt;="&amp;$J211,'Weekly Log'!$A:$A,"&lt;"&amp;$J211+7),0))</f>
        <v/>
      </c>
      <c r="F211" t="str">
        <f>IF($J211="","",IFERROR(SUMIFS('Weekly Log'!$F:$F,'Weekly Log'!$A:$A,"&gt;="&amp;$J211,'Weekly Log'!$A:$A,"&lt;"&amp;$J211+7)/SUMIFS('Weekly Log'!$E:$E,'Weekly Log'!$A:$A,"&gt;="&amp;$J211,'Weekly Log'!$A:$A,"&lt;"&amp;$J211+7),0))</f>
        <v/>
      </c>
      <c r="G211" t="str">
        <f>IF($J211="","",IFERROR(LOOKUP(2,1/(('Weekly Log'!$A$5:$A$5000&gt;=$J211)*('Weekly Log'!$A$5:$A$5000&lt;$J211+7)*('Weekly Log'!$M$5:$M$5000&lt;&gt;"")),'Weekly Log'!$M$5:$M$5000),0))</f>
        <v/>
      </c>
      <c r="J211" t="str">
        <f>IF(COUNT('Weekly Log'!$A$5:$A$5000)=0,"",IF(MIN('Weekly Log'!$A$5:$A$5000)+7*(ROW()-10)&gt;MAX('Weekly Log'!$A$5:$A$5000),"",MIN('Weekly Log'!$A$5:$A$5000)+7*(ROW()-10)))</f>
        <v/>
      </c>
    </row>
    <row r="212" spans="1:10" x14ac:dyDescent="0.25">
      <c r="A212" t="str">
        <f t="shared" si="3"/>
        <v/>
      </c>
      <c r="B212" t="str">
        <f>IF($J212="","",SUMIFS('Weekly Log'!$C:$C,'Weekly Log'!$A:$A,"&gt;="&amp;$J212,'Weekly Log'!$A:$A,"&lt;"&amp;$J212+7))</f>
        <v/>
      </c>
      <c r="C212" t="str">
        <f>IF($J212="","",IFERROR(COUNTIFS('Weekly Log'!$G:$G,"Y",'Weekly Log'!$A:$A,"&gt;="&amp;$J212,'Weekly Log'!$A:$A,"&lt;"&amp;$J212+7)/COUNTIFS('Weekly Log'!$G:$G,"&lt;&gt;",'Weekly Log'!$A:$A,"&gt;="&amp;$J212,'Weekly Log'!$A:$A,"&lt;"&amp;$J212+7),0))</f>
        <v/>
      </c>
      <c r="D212" t="str">
        <f>IF($J212="","",IFERROR(COUNTIFS('Weekly Log'!$H:$H,"Y",'Weekly Log'!$A:$A,"&gt;="&amp;$J212,'Weekly Log'!$A:$A,"&lt;"&amp;$J212+7)/COUNTIFS('Weekly Log'!$H:$H,"&lt;&gt;",'Weekly Log'!$A:$A,"&gt;="&amp;$J212,'Weekly Log'!$A:$A,"&lt;"&amp;$J212+7),0))</f>
        <v/>
      </c>
      <c r="E212" t="str">
        <f>IF($J212="","",IFERROR(AVERAGEIFS('Weekly Log'!$F:$F,'Weekly Log'!$A:$A,"&gt;="&amp;$J212,'Weekly Log'!$A:$A,"&lt;"&amp;$J212+7),0))</f>
        <v/>
      </c>
      <c r="F212" t="str">
        <f>IF($J212="","",IFERROR(SUMIFS('Weekly Log'!$F:$F,'Weekly Log'!$A:$A,"&gt;="&amp;$J212,'Weekly Log'!$A:$A,"&lt;"&amp;$J212+7)/SUMIFS('Weekly Log'!$E:$E,'Weekly Log'!$A:$A,"&gt;="&amp;$J212,'Weekly Log'!$A:$A,"&lt;"&amp;$J212+7),0))</f>
        <v/>
      </c>
      <c r="G212" t="str">
        <f>IF($J212="","",IFERROR(LOOKUP(2,1/(('Weekly Log'!$A$5:$A$5000&gt;=$J212)*('Weekly Log'!$A$5:$A$5000&lt;$J212+7)*('Weekly Log'!$M$5:$M$5000&lt;&gt;"")),'Weekly Log'!$M$5:$M$5000),0))</f>
        <v/>
      </c>
      <c r="J212" t="str">
        <f>IF(COUNT('Weekly Log'!$A$5:$A$5000)=0,"",IF(MIN('Weekly Log'!$A$5:$A$5000)+7*(ROW()-10)&gt;MAX('Weekly Log'!$A$5:$A$5000),"",MIN('Weekly Log'!$A$5:$A$5000)+7*(ROW()-10)))</f>
        <v/>
      </c>
    </row>
    <row r="213" spans="1:10" x14ac:dyDescent="0.25">
      <c r="A213" t="str">
        <f t="shared" si="3"/>
        <v/>
      </c>
      <c r="B213" t="str">
        <f>IF($J213="","",SUMIFS('Weekly Log'!$C:$C,'Weekly Log'!$A:$A,"&gt;="&amp;$J213,'Weekly Log'!$A:$A,"&lt;"&amp;$J213+7))</f>
        <v/>
      </c>
      <c r="C213" t="str">
        <f>IF($J213="","",IFERROR(COUNTIFS('Weekly Log'!$G:$G,"Y",'Weekly Log'!$A:$A,"&gt;="&amp;$J213,'Weekly Log'!$A:$A,"&lt;"&amp;$J213+7)/COUNTIFS('Weekly Log'!$G:$G,"&lt;&gt;",'Weekly Log'!$A:$A,"&gt;="&amp;$J213,'Weekly Log'!$A:$A,"&lt;"&amp;$J213+7),0))</f>
        <v/>
      </c>
      <c r="D213" t="str">
        <f>IF($J213="","",IFERROR(COUNTIFS('Weekly Log'!$H:$H,"Y",'Weekly Log'!$A:$A,"&gt;="&amp;$J213,'Weekly Log'!$A:$A,"&lt;"&amp;$J213+7)/COUNTIFS('Weekly Log'!$H:$H,"&lt;&gt;",'Weekly Log'!$A:$A,"&gt;="&amp;$J213,'Weekly Log'!$A:$A,"&lt;"&amp;$J213+7),0))</f>
        <v/>
      </c>
      <c r="E213" t="str">
        <f>IF($J213="","",IFERROR(AVERAGEIFS('Weekly Log'!$F:$F,'Weekly Log'!$A:$A,"&gt;="&amp;$J213,'Weekly Log'!$A:$A,"&lt;"&amp;$J213+7),0))</f>
        <v/>
      </c>
      <c r="F213" t="str">
        <f>IF($J213="","",IFERROR(SUMIFS('Weekly Log'!$F:$F,'Weekly Log'!$A:$A,"&gt;="&amp;$J213,'Weekly Log'!$A:$A,"&lt;"&amp;$J213+7)/SUMIFS('Weekly Log'!$E:$E,'Weekly Log'!$A:$A,"&gt;="&amp;$J213,'Weekly Log'!$A:$A,"&lt;"&amp;$J213+7),0))</f>
        <v/>
      </c>
      <c r="G213" t="str">
        <f>IF($J213="","",IFERROR(LOOKUP(2,1/(('Weekly Log'!$A$5:$A$5000&gt;=$J213)*('Weekly Log'!$A$5:$A$5000&lt;$J213+7)*('Weekly Log'!$M$5:$M$5000&lt;&gt;"")),'Weekly Log'!$M$5:$M$5000),0))</f>
        <v/>
      </c>
      <c r="J213" t="str">
        <f>IF(COUNT('Weekly Log'!$A$5:$A$5000)=0,"",IF(MIN('Weekly Log'!$A$5:$A$5000)+7*(ROW()-10)&gt;MAX('Weekly Log'!$A$5:$A$5000),"",MIN('Weekly Log'!$A$5:$A$5000)+7*(ROW()-10)))</f>
        <v/>
      </c>
    </row>
    <row r="214" spans="1:10" x14ac:dyDescent="0.25">
      <c r="A214" t="str">
        <f t="shared" si="3"/>
        <v/>
      </c>
      <c r="B214" t="str">
        <f>IF($J214="","",SUMIFS('Weekly Log'!$C:$C,'Weekly Log'!$A:$A,"&gt;="&amp;$J214,'Weekly Log'!$A:$A,"&lt;"&amp;$J214+7))</f>
        <v/>
      </c>
      <c r="C214" t="str">
        <f>IF($J214="","",IFERROR(COUNTIFS('Weekly Log'!$G:$G,"Y",'Weekly Log'!$A:$A,"&gt;="&amp;$J214,'Weekly Log'!$A:$A,"&lt;"&amp;$J214+7)/COUNTIFS('Weekly Log'!$G:$G,"&lt;&gt;",'Weekly Log'!$A:$A,"&gt;="&amp;$J214,'Weekly Log'!$A:$A,"&lt;"&amp;$J214+7),0))</f>
        <v/>
      </c>
      <c r="D214" t="str">
        <f>IF($J214="","",IFERROR(COUNTIFS('Weekly Log'!$H:$H,"Y",'Weekly Log'!$A:$A,"&gt;="&amp;$J214,'Weekly Log'!$A:$A,"&lt;"&amp;$J214+7)/COUNTIFS('Weekly Log'!$H:$H,"&lt;&gt;",'Weekly Log'!$A:$A,"&gt;="&amp;$J214,'Weekly Log'!$A:$A,"&lt;"&amp;$J214+7),0))</f>
        <v/>
      </c>
      <c r="E214" t="str">
        <f>IF($J214="","",IFERROR(AVERAGEIFS('Weekly Log'!$F:$F,'Weekly Log'!$A:$A,"&gt;="&amp;$J214,'Weekly Log'!$A:$A,"&lt;"&amp;$J214+7),0))</f>
        <v/>
      </c>
      <c r="F214" t="str">
        <f>IF($J214="","",IFERROR(SUMIFS('Weekly Log'!$F:$F,'Weekly Log'!$A:$A,"&gt;="&amp;$J214,'Weekly Log'!$A:$A,"&lt;"&amp;$J214+7)/SUMIFS('Weekly Log'!$E:$E,'Weekly Log'!$A:$A,"&gt;="&amp;$J214,'Weekly Log'!$A:$A,"&lt;"&amp;$J214+7),0))</f>
        <v/>
      </c>
      <c r="G214" t="str">
        <f>IF($J214="","",IFERROR(LOOKUP(2,1/(('Weekly Log'!$A$5:$A$5000&gt;=$J214)*('Weekly Log'!$A$5:$A$5000&lt;$J214+7)*('Weekly Log'!$M$5:$M$5000&lt;&gt;"")),'Weekly Log'!$M$5:$M$5000),0))</f>
        <v/>
      </c>
      <c r="J214" t="str">
        <f>IF(COUNT('Weekly Log'!$A$5:$A$5000)=0,"",IF(MIN('Weekly Log'!$A$5:$A$5000)+7*(ROW()-10)&gt;MAX('Weekly Log'!$A$5:$A$5000),"",MIN('Weekly Log'!$A$5:$A$5000)+7*(ROW()-10)))</f>
        <v/>
      </c>
    </row>
    <row r="215" spans="1:10" x14ac:dyDescent="0.25">
      <c r="A215" t="str">
        <f t="shared" si="3"/>
        <v/>
      </c>
      <c r="B215" t="str">
        <f>IF($J215="","",SUMIFS('Weekly Log'!$C:$C,'Weekly Log'!$A:$A,"&gt;="&amp;$J215,'Weekly Log'!$A:$A,"&lt;"&amp;$J215+7))</f>
        <v/>
      </c>
      <c r="C215" t="str">
        <f>IF($J215="","",IFERROR(COUNTIFS('Weekly Log'!$G:$G,"Y",'Weekly Log'!$A:$A,"&gt;="&amp;$J215,'Weekly Log'!$A:$A,"&lt;"&amp;$J215+7)/COUNTIFS('Weekly Log'!$G:$G,"&lt;&gt;",'Weekly Log'!$A:$A,"&gt;="&amp;$J215,'Weekly Log'!$A:$A,"&lt;"&amp;$J215+7),0))</f>
        <v/>
      </c>
      <c r="D215" t="str">
        <f>IF($J215="","",IFERROR(COUNTIFS('Weekly Log'!$H:$H,"Y",'Weekly Log'!$A:$A,"&gt;="&amp;$J215,'Weekly Log'!$A:$A,"&lt;"&amp;$J215+7)/COUNTIFS('Weekly Log'!$H:$H,"&lt;&gt;",'Weekly Log'!$A:$A,"&gt;="&amp;$J215,'Weekly Log'!$A:$A,"&lt;"&amp;$J215+7),0))</f>
        <v/>
      </c>
      <c r="E215" t="str">
        <f>IF($J215="","",IFERROR(AVERAGEIFS('Weekly Log'!$F:$F,'Weekly Log'!$A:$A,"&gt;="&amp;$J215,'Weekly Log'!$A:$A,"&lt;"&amp;$J215+7),0))</f>
        <v/>
      </c>
      <c r="F215" t="str">
        <f>IF($J215="","",IFERROR(SUMIFS('Weekly Log'!$F:$F,'Weekly Log'!$A:$A,"&gt;="&amp;$J215,'Weekly Log'!$A:$A,"&lt;"&amp;$J215+7)/SUMIFS('Weekly Log'!$E:$E,'Weekly Log'!$A:$A,"&gt;="&amp;$J215,'Weekly Log'!$A:$A,"&lt;"&amp;$J215+7),0))</f>
        <v/>
      </c>
      <c r="G215" t="str">
        <f>IF($J215="","",IFERROR(LOOKUP(2,1/(('Weekly Log'!$A$5:$A$5000&gt;=$J215)*('Weekly Log'!$A$5:$A$5000&lt;$J215+7)*('Weekly Log'!$M$5:$M$5000&lt;&gt;"")),'Weekly Log'!$M$5:$M$5000),0))</f>
        <v/>
      </c>
      <c r="J215" t="str">
        <f>IF(COUNT('Weekly Log'!$A$5:$A$5000)=0,"",IF(MIN('Weekly Log'!$A$5:$A$5000)+7*(ROW()-10)&gt;MAX('Weekly Log'!$A$5:$A$5000),"",MIN('Weekly Log'!$A$5:$A$5000)+7*(ROW()-10)))</f>
        <v/>
      </c>
    </row>
    <row r="216" spans="1:10" x14ac:dyDescent="0.25">
      <c r="A216" t="str">
        <f t="shared" si="3"/>
        <v/>
      </c>
      <c r="B216" t="str">
        <f>IF($J216="","",SUMIFS('Weekly Log'!$C:$C,'Weekly Log'!$A:$A,"&gt;="&amp;$J216,'Weekly Log'!$A:$A,"&lt;"&amp;$J216+7))</f>
        <v/>
      </c>
      <c r="C216" t="str">
        <f>IF($J216="","",IFERROR(COUNTIFS('Weekly Log'!$G:$G,"Y",'Weekly Log'!$A:$A,"&gt;="&amp;$J216,'Weekly Log'!$A:$A,"&lt;"&amp;$J216+7)/COUNTIFS('Weekly Log'!$G:$G,"&lt;&gt;",'Weekly Log'!$A:$A,"&gt;="&amp;$J216,'Weekly Log'!$A:$A,"&lt;"&amp;$J216+7),0))</f>
        <v/>
      </c>
      <c r="D216" t="str">
        <f>IF($J216="","",IFERROR(COUNTIFS('Weekly Log'!$H:$H,"Y",'Weekly Log'!$A:$A,"&gt;="&amp;$J216,'Weekly Log'!$A:$A,"&lt;"&amp;$J216+7)/COUNTIFS('Weekly Log'!$H:$H,"&lt;&gt;",'Weekly Log'!$A:$A,"&gt;="&amp;$J216,'Weekly Log'!$A:$A,"&lt;"&amp;$J216+7),0))</f>
        <v/>
      </c>
      <c r="E216" t="str">
        <f>IF($J216="","",IFERROR(AVERAGEIFS('Weekly Log'!$F:$F,'Weekly Log'!$A:$A,"&gt;="&amp;$J216,'Weekly Log'!$A:$A,"&lt;"&amp;$J216+7),0))</f>
        <v/>
      </c>
      <c r="F216" t="str">
        <f>IF($J216="","",IFERROR(SUMIFS('Weekly Log'!$F:$F,'Weekly Log'!$A:$A,"&gt;="&amp;$J216,'Weekly Log'!$A:$A,"&lt;"&amp;$J216+7)/SUMIFS('Weekly Log'!$E:$E,'Weekly Log'!$A:$A,"&gt;="&amp;$J216,'Weekly Log'!$A:$A,"&lt;"&amp;$J216+7),0))</f>
        <v/>
      </c>
      <c r="G216" t="str">
        <f>IF($J216="","",IFERROR(LOOKUP(2,1/(('Weekly Log'!$A$5:$A$5000&gt;=$J216)*('Weekly Log'!$A$5:$A$5000&lt;$J216+7)*('Weekly Log'!$M$5:$M$5000&lt;&gt;"")),'Weekly Log'!$M$5:$M$5000),0))</f>
        <v/>
      </c>
      <c r="J216" t="str">
        <f>IF(COUNT('Weekly Log'!$A$5:$A$5000)=0,"",IF(MIN('Weekly Log'!$A$5:$A$5000)+7*(ROW()-10)&gt;MAX('Weekly Log'!$A$5:$A$5000),"",MIN('Weekly Log'!$A$5:$A$5000)+7*(ROW()-10)))</f>
        <v/>
      </c>
    </row>
    <row r="217" spans="1:10" x14ac:dyDescent="0.25">
      <c r="A217" t="str">
        <f t="shared" si="3"/>
        <v/>
      </c>
      <c r="B217" t="str">
        <f>IF($J217="","",SUMIFS('Weekly Log'!$C:$C,'Weekly Log'!$A:$A,"&gt;="&amp;$J217,'Weekly Log'!$A:$A,"&lt;"&amp;$J217+7))</f>
        <v/>
      </c>
      <c r="C217" t="str">
        <f>IF($J217="","",IFERROR(COUNTIFS('Weekly Log'!$G:$G,"Y",'Weekly Log'!$A:$A,"&gt;="&amp;$J217,'Weekly Log'!$A:$A,"&lt;"&amp;$J217+7)/COUNTIFS('Weekly Log'!$G:$G,"&lt;&gt;",'Weekly Log'!$A:$A,"&gt;="&amp;$J217,'Weekly Log'!$A:$A,"&lt;"&amp;$J217+7),0))</f>
        <v/>
      </c>
      <c r="D217" t="str">
        <f>IF($J217="","",IFERROR(COUNTIFS('Weekly Log'!$H:$H,"Y",'Weekly Log'!$A:$A,"&gt;="&amp;$J217,'Weekly Log'!$A:$A,"&lt;"&amp;$J217+7)/COUNTIFS('Weekly Log'!$H:$H,"&lt;&gt;",'Weekly Log'!$A:$A,"&gt;="&amp;$J217,'Weekly Log'!$A:$A,"&lt;"&amp;$J217+7),0))</f>
        <v/>
      </c>
      <c r="E217" t="str">
        <f>IF($J217="","",IFERROR(AVERAGEIFS('Weekly Log'!$F:$F,'Weekly Log'!$A:$A,"&gt;="&amp;$J217,'Weekly Log'!$A:$A,"&lt;"&amp;$J217+7),0))</f>
        <v/>
      </c>
      <c r="F217" t="str">
        <f>IF($J217="","",IFERROR(SUMIFS('Weekly Log'!$F:$F,'Weekly Log'!$A:$A,"&gt;="&amp;$J217,'Weekly Log'!$A:$A,"&lt;"&amp;$J217+7)/SUMIFS('Weekly Log'!$E:$E,'Weekly Log'!$A:$A,"&gt;="&amp;$J217,'Weekly Log'!$A:$A,"&lt;"&amp;$J217+7),0))</f>
        <v/>
      </c>
      <c r="G217" t="str">
        <f>IF($J217="","",IFERROR(LOOKUP(2,1/(('Weekly Log'!$A$5:$A$5000&gt;=$J217)*('Weekly Log'!$A$5:$A$5000&lt;$J217+7)*('Weekly Log'!$M$5:$M$5000&lt;&gt;"")),'Weekly Log'!$M$5:$M$5000),0))</f>
        <v/>
      </c>
      <c r="J217" t="str">
        <f>IF(COUNT('Weekly Log'!$A$5:$A$5000)=0,"",IF(MIN('Weekly Log'!$A$5:$A$5000)+7*(ROW()-10)&gt;MAX('Weekly Log'!$A$5:$A$5000),"",MIN('Weekly Log'!$A$5:$A$5000)+7*(ROW()-10)))</f>
        <v/>
      </c>
    </row>
    <row r="218" spans="1:10" x14ac:dyDescent="0.25">
      <c r="A218" t="str">
        <f t="shared" si="3"/>
        <v/>
      </c>
      <c r="B218" t="str">
        <f>IF($J218="","",SUMIFS('Weekly Log'!$C:$C,'Weekly Log'!$A:$A,"&gt;="&amp;$J218,'Weekly Log'!$A:$A,"&lt;"&amp;$J218+7))</f>
        <v/>
      </c>
      <c r="C218" t="str">
        <f>IF($J218="","",IFERROR(COUNTIFS('Weekly Log'!$G:$G,"Y",'Weekly Log'!$A:$A,"&gt;="&amp;$J218,'Weekly Log'!$A:$A,"&lt;"&amp;$J218+7)/COUNTIFS('Weekly Log'!$G:$G,"&lt;&gt;",'Weekly Log'!$A:$A,"&gt;="&amp;$J218,'Weekly Log'!$A:$A,"&lt;"&amp;$J218+7),0))</f>
        <v/>
      </c>
      <c r="D218" t="str">
        <f>IF($J218="","",IFERROR(COUNTIFS('Weekly Log'!$H:$H,"Y",'Weekly Log'!$A:$A,"&gt;="&amp;$J218,'Weekly Log'!$A:$A,"&lt;"&amp;$J218+7)/COUNTIFS('Weekly Log'!$H:$H,"&lt;&gt;",'Weekly Log'!$A:$A,"&gt;="&amp;$J218,'Weekly Log'!$A:$A,"&lt;"&amp;$J218+7),0))</f>
        <v/>
      </c>
      <c r="E218" t="str">
        <f>IF($J218="","",IFERROR(AVERAGEIFS('Weekly Log'!$F:$F,'Weekly Log'!$A:$A,"&gt;="&amp;$J218,'Weekly Log'!$A:$A,"&lt;"&amp;$J218+7),0))</f>
        <v/>
      </c>
      <c r="F218" t="str">
        <f>IF($J218="","",IFERROR(SUMIFS('Weekly Log'!$F:$F,'Weekly Log'!$A:$A,"&gt;="&amp;$J218,'Weekly Log'!$A:$A,"&lt;"&amp;$J218+7)/SUMIFS('Weekly Log'!$E:$E,'Weekly Log'!$A:$A,"&gt;="&amp;$J218,'Weekly Log'!$A:$A,"&lt;"&amp;$J218+7),0))</f>
        <v/>
      </c>
      <c r="G218" t="str">
        <f>IF($J218="","",IFERROR(LOOKUP(2,1/(('Weekly Log'!$A$5:$A$5000&gt;=$J218)*('Weekly Log'!$A$5:$A$5000&lt;$J218+7)*('Weekly Log'!$M$5:$M$5000&lt;&gt;"")),'Weekly Log'!$M$5:$M$5000),0))</f>
        <v/>
      </c>
      <c r="J218" t="str">
        <f>IF(COUNT('Weekly Log'!$A$5:$A$5000)=0,"",IF(MIN('Weekly Log'!$A$5:$A$5000)+7*(ROW()-10)&gt;MAX('Weekly Log'!$A$5:$A$5000),"",MIN('Weekly Log'!$A$5:$A$5000)+7*(ROW()-10)))</f>
        <v/>
      </c>
    </row>
    <row r="219" spans="1:10" x14ac:dyDescent="0.25">
      <c r="A219" t="str">
        <f t="shared" si="3"/>
        <v/>
      </c>
      <c r="B219" t="str">
        <f>IF($J219="","",SUMIFS('Weekly Log'!$C:$C,'Weekly Log'!$A:$A,"&gt;="&amp;$J219,'Weekly Log'!$A:$A,"&lt;"&amp;$J219+7))</f>
        <v/>
      </c>
      <c r="C219" t="str">
        <f>IF($J219="","",IFERROR(COUNTIFS('Weekly Log'!$G:$G,"Y",'Weekly Log'!$A:$A,"&gt;="&amp;$J219,'Weekly Log'!$A:$A,"&lt;"&amp;$J219+7)/COUNTIFS('Weekly Log'!$G:$G,"&lt;&gt;",'Weekly Log'!$A:$A,"&gt;="&amp;$J219,'Weekly Log'!$A:$A,"&lt;"&amp;$J219+7),0))</f>
        <v/>
      </c>
      <c r="D219" t="str">
        <f>IF($J219="","",IFERROR(COUNTIFS('Weekly Log'!$H:$H,"Y",'Weekly Log'!$A:$A,"&gt;="&amp;$J219,'Weekly Log'!$A:$A,"&lt;"&amp;$J219+7)/COUNTIFS('Weekly Log'!$H:$H,"&lt;&gt;",'Weekly Log'!$A:$A,"&gt;="&amp;$J219,'Weekly Log'!$A:$A,"&lt;"&amp;$J219+7),0))</f>
        <v/>
      </c>
      <c r="E219" t="str">
        <f>IF($J219="","",IFERROR(AVERAGEIFS('Weekly Log'!$F:$F,'Weekly Log'!$A:$A,"&gt;="&amp;$J219,'Weekly Log'!$A:$A,"&lt;"&amp;$J219+7),0))</f>
        <v/>
      </c>
      <c r="F219" t="str">
        <f>IF($J219="","",IFERROR(SUMIFS('Weekly Log'!$F:$F,'Weekly Log'!$A:$A,"&gt;="&amp;$J219,'Weekly Log'!$A:$A,"&lt;"&amp;$J219+7)/SUMIFS('Weekly Log'!$E:$E,'Weekly Log'!$A:$A,"&gt;="&amp;$J219,'Weekly Log'!$A:$A,"&lt;"&amp;$J219+7),0))</f>
        <v/>
      </c>
      <c r="G219" t="str">
        <f>IF($J219="","",IFERROR(LOOKUP(2,1/(('Weekly Log'!$A$5:$A$5000&gt;=$J219)*('Weekly Log'!$A$5:$A$5000&lt;$J219+7)*('Weekly Log'!$M$5:$M$5000&lt;&gt;"")),'Weekly Log'!$M$5:$M$5000),0))</f>
        <v/>
      </c>
      <c r="J219" t="str">
        <f>IF(COUNT('Weekly Log'!$A$5:$A$5000)=0,"",IF(MIN('Weekly Log'!$A$5:$A$5000)+7*(ROW()-10)&gt;MAX('Weekly Log'!$A$5:$A$5000),"",MIN('Weekly Log'!$A$5:$A$5000)+7*(ROW()-10)))</f>
        <v/>
      </c>
    </row>
    <row r="220" spans="1:10" x14ac:dyDescent="0.25">
      <c r="A220" t="str">
        <f t="shared" si="3"/>
        <v/>
      </c>
      <c r="B220" t="str">
        <f>IF($J220="","",SUMIFS('Weekly Log'!$C:$C,'Weekly Log'!$A:$A,"&gt;="&amp;$J220,'Weekly Log'!$A:$A,"&lt;"&amp;$J220+7))</f>
        <v/>
      </c>
      <c r="C220" t="str">
        <f>IF($J220="","",IFERROR(COUNTIFS('Weekly Log'!$G:$G,"Y",'Weekly Log'!$A:$A,"&gt;="&amp;$J220,'Weekly Log'!$A:$A,"&lt;"&amp;$J220+7)/COUNTIFS('Weekly Log'!$G:$G,"&lt;&gt;",'Weekly Log'!$A:$A,"&gt;="&amp;$J220,'Weekly Log'!$A:$A,"&lt;"&amp;$J220+7),0))</f>
        <v/>
      </c>
      <c r="D220" t="str">
        <f>IF($J220="","",IFERROR(COUNTIFS('Weekly Log'!$H:$H,"Y",'Weekly Log'!$A:$A,"&gt;="&amp;$J220,'Weekly Log'!$A:$A,"&lt;"&amp;$J220+7)/COUNTIFS('Weekly Log'!$H:$H,"&lt;&gt;",'Weekly Log'!$A:$A,"&gt;="&amp;$J220,'Weekly Log'!$A:$A,"&lt;"&amp;$J220+7),0))</f>
        <v/>
      </c>
      <c r="E220" t="str">
        <f>IF($J220="","",IFERROR(AVERAGEIFS('Weekly Log'!$F:$F,'Weekly Log'!$A:$A,"&gt;="&amp;$J220,'Weekly Log'!$A:$A,"&lt;"&amp;$J220+7),0))</f>
        <v/>
      </c>
      <c r="F220" t="str">
        <f>IF($J220="","",IFERROR(SUMIFS('Weekly Log'!$F:$F,'Weekly Log'!$A:$A,"&gt;="&amp;$J220,'Weekly Log'!$A:$A,"&lt;"&amp;$J220+7)/SUMIFS('Weekly Log'!$E:$E,'Weekly Log'!$A:$A,"&gt;="&amp;$J220,'Weekly Log'!$A:$A,"&lt;"&amp;$J220+7),0))</f>
        <v/>
      </c>
      <c r="G220" t="str">
        <f>IF($J220="","",IFERROR(LOOKUP(2,1/(('Weekly Log'!$A$5:$A$5000&gt;=$J220)*('Weekly Log'!$A$5:$A$5000&lt;$J220+7)*('Weekly Log'!$M$5:$M$5000&lt;&gt;"")),'Weekly Log'!$M$5:$M$5000),0))</f>
        <v/>
      </c>
      <c r="J220" t="str">
        <f>IF(COUNT('Weekly Log'!$A$5:$A$5000)=0,"",IF(MIN('Weekly Log'!$A$5:$A$5000)+7*(ROW()-10)&gt;MAX('Weekly Log'!$A$5:$A$5000),"",MIN('Weekly Log'!$A$5:$A$5000)+7*(ROW()-10)))</f>
        <v/>
      </c>
    </row>
    <row r="221" spans="1:10" x14ac:dyDescent="0.25">
      <c r="A221" t="str">
        <f t="shared" si="3"/>
        <v/>
      </c>
      <c r="B221" t="str">
        <f>IF($J221="","",SUMIFS('Weekly Log'!$C:$C,'Weekly Log'!$A:$A,"&gt;="&amp;$J221,'Weekly Log'!$A:$A,"&lt;"&amp;$J221+7))</f>
        <v/>
      </c>
      <c r="C221" t="str">
        <f>IF($J221="","",IFERROR(COUNTIFS('Weekly Log'!$G:$G,"Y",'Weekly Log'!$A:$A,"&gt;="&amp;$J221,'Weekly Log'!$A:$A,"&lt;"&amp;$J221+7)/COUNTIFS('Weekly Log'!$G:$G,"&lt;&gt;",'Weekly Log'!$A:$A,"&gt;="&amp;$J221,'Weekly Log'!$A:$A,"&lt;"&amp;$J221+7),0))</f>
        <v/>
      </c>
      <c r="D221" t="str">
        <f>IF($J221="","",IFERROR(COUNTIFS('Weekly Log'!$H:$H,"Y",'Weekly Log'!$A:$A,"&gt;="&amp;$J221,'Weekly Log'!$A:$A,"&lt;"&amp;$J221+7)/COUNTIFS('Weekly Log'!$H:$H,"&lt;&gt;",'Weekly Log'!$A:$A,"&gt;="&amp;$J221,'Weekly Log'!$A:$A,"&lt;"&amp;$J221+7),0))</f>
        <v/>
      </c>
      <c r="E221" t="str">
        <f>IF($J221="","",IFERROR(AVERAGEIFS('Weekly Log'!$F:$F,'Weekly Log'!$A:$A,"&gt;="&amp;$J221,'Weekly Log'!$A:$A,"&lt;"&amp;$J221+7),0))</f>
        <v/>
      </c>
      <c r="F221" t="str">
        <f>IF($J221="","",IFERROR(SUMIFS('Weekly Log'!$F:$F,'Weekly Log'!$A:$A,"&gt;="&amp;$J221,'Weekly Log'!$A:$A,"&lt;"&amp;$J221+7)/SUMIFS('Weekly Log'!$E:$E,'Weekly Log'!$A:$A,"&gt;="&amp;$J221,'Weekly Log'!$A:$A,"&lt;"&amp;$J221+7),0))</f>
        <v/>
      </c>
      <c r="G221" t="str">
        <f>IF($J221="","",IFERROR(LOOKUP(2,1/(('Weekly Log'!$A$5:$A$5000&gt;=$J221)*('Weekly Log'!$A$5:$A$5000&lt;$J221+7)*('Weekly Log'!$M$5:$M$5000&lt;&gt;"")),'Weekly Log'!$M$5:$M$5000),0))</f>
        <v/>
      </c>
      <c r="J221" t="str">
        <f>IF(COUNT('Weekly Log'!$A$5:$A$5000)=0,"",IF(MIN('Weekly Log'!$A$5:$A$5000)+7*(ROW()-10)&gt;MAX('Weekly Log'!$A$5:$A$5000),"",MIN('Weekly Log'!$A$5:$A$5000)+7*(ROW()-10)))</f>
        <v/>
      </c>
    </row>
    <row r="222" spans="1:10" x14ac:dyDescent="0.25">
      <c r="A222" t="str">
        <f t="shared" si="3"/>
        <v/>
      </c>
      <c r="B222" t="str">
        <f>IF($J222="","",SUMIFS('Weekly Log'!$C:$C,'Weekly Log'!$A:$A,"&gt;="&amp;$J222,'Weekly Log'!$A:$A,"&lt;"&amp;$J222+7))</f>
        <v/>
      </c>
      <c r="C222" t="str">
        <f>IF($J222="","",IFERROR(COUNTIFS('Weekly Log'!$G:$G,"Y",'Weekly Log'!$A:$A,"&gt;="&amp;$J222,'Weekly Log'!$A:$A,"&lt;"&amp;$J222+7)/COUNTIFS('Weekly Log'!$G:$G,"&lt;&gt;",'Weekly Log'!$A:$A,"&gt;="&amp;$J222,'Weekly Log'!$A:$A,"&lt;"&amp;$J222+7),0))</f>
        <v/>
      </c>
      <c r="D222" t="str">
        <f>IF($J222="","",IFERROR(COUNTIFS('Weekly Log'!$H:$H,"Y",'Weekly Log'!$A:$A,"&gt;="&amp;$J222,'Weekly Log'!$A:$A,"&lt;"&amp;$J222+7)/COUNTIFS('Weekly Log'!$H:$H,"&lt;&gt;",'Weekly Log'!$A:$A,"&gt;="&amp;$J222,'Weekly Log'!$A:$A,"&lt;"&amp;$J222+7),0))</f>
        <v/>
      </c>
      <c r="E222" t="str">
        <f>IF($J222="","",IFERROR(AVERAGEIFS('Weekly Log'!$F:$F,'Weekly Log'!$A:$A,"&gt;="&amp;$J222,'Weekly Log'!$A:$A,"&lt;"&amp;$J222+7),0))</f>
        <v/>
      </c>
      <c r="F222" t="str">
        <f>IF($J222="","",IFERROR(SUMIFS('Weekly Log'!$F:$F,'Weekly Log'!$A:$A,"&gt;="&amp;$J222,'Weekly Log'!$A:$A,"&lt;"&amp;$J222+7)/SUMIFS('Weekly Log'!$E:$E,'Weekly Log'!$A:$A,"&gt;="&amp;$J222,'Weekly Log'!$A:$A,"&lt;"&amp;$J222+7),0))</f>
        <v/>
      </c>
      <c r="G222" t="str">
        <f>IF($J222="","",IFERROR(LOOKUP(2,1/(('Weekly Log'!$A$5:$A$5000&gt;=$J222)*('Weekly Log'!$A$5:$A$5000&lt;$J222+7)*('Weekly Log'!$M$5:$M$5000&lt;&gt;"")),'Weekly Log'!$M$5:$M$5000),0))</f>
        <v/>
      </c>
      <c r="J222" t="str">
        <f>IF(COUNT('Weekly Log'!$A$5:$A$5000)=0,"",IF(MIN('Weekly Log'!$A$5:$A$5000)+7*(ROW()-10)&gt;MAX('Weekly Log'!$A$5:$A$5000),"",MIN('Weekly Log'!$A$5:$A$5000)+7*(ROW()-10)))</f>
        <v/>
      </c>
    </row>
    <row r="223" spans="1:10" x14ac:dyDescent="0.25">
      <c r="A223" t="str">
        <f t="shared" si="3"/>
        <v/>
      </c>
      <c r="B223" t="str">
        <f>IF($J223="","",SUMIFS('Weekly Log'!$C:$C,'Weekly Log'!$A:$A,"&gt;="&amp;$J223,'Weekly Log'!$A:$A,"&lt;"&amp;$J223+7))</f>
        <v/>
      </c>
      <c r="C223" t="str">
        <f>IF($J223="","",IFERROR(COUNTIFS('Weekly Log'!$G:$G,"Y",'Weekly Log'!$A:$A,"&gt;="&amp;$J223,'Weekly Log'!$A:$A,"&lt;"&amp;$J223+7)/COUNTIFS('Weekly Log'!$G:$G,"&lt;&gt;",'Weekly Log'!$A:$A,"&gt;="&amp;$J223,'Weekly Log'!$A:$A,"&lt;"&amp;$J223+7),0))</f>
        <v/>
      </c>
      <c r="D223" t="str">
        <f>IF($J223="","",IFERROR(COUNTIFS('Weekly Log'!$H:$H,"Y",'Weekly Log'!$A:$A,"&gt;="&amp;$J223,'Weekly Log'!$A:$A,"&lt;"&amp;$J223+7)/COUNTIFS('Weekly Log'!$H:$H,"&lt;&gt;",'Weekly Log'!$A:$A,"&gt;="&amp;$J223,'Weekly Log'!$A:$A,"&lt;"&amp;$J223+7),0))</f>
        <v/>
      </c>
      <c r="E223" t="str">
        <f>IF($J223="","",IFERROR(AVERAGEIFS('Weekly Log'!$F:$F,'Weekly Log'!$A:$A,"&gt;="&amp;$J223,'Weekly Log'!$A:$A,"&lt;"&amp;$J223+7),0))</f>
        <v/>
      </c>
      <c r="F223" t="str">
        <f>IF($J223="","",IFERROR(SUMIFS('Weekly Log'!$F:$F,'Weekly Log'!$A:$A,"&gt;="&amp;$J223,'Weekly Log'!$A:$A,"&lt;"&amp;$J223+7)/SUMIFS('Weekly Log'!$E:$E,'Weekly Log'!$A:$A,"&gt;="&amp;$J223,'Weekly Log'!$A:$A,"&lt;"&amp;$J223+7),0))</f>
        <v/>
      </c>
      <c r="G223" t="str">
        <f>IF($J223="","",IFERROR(LOOKUP(2,1/(('Weekly Log'!$A$5:$A$5000&gt;=$J223)*('Weekly Log'!$A$5:$A$5000&lt;$J223+7)*('Weekly Log'!$M$5:$M$5000&lt;&gt;"")),'Weekly Log'!$M$5:$M$5000),0))</f>
        <v/>
      </c>
      <c r="J223" t="str">
        <f>IF(COUNT('Weekly Log'!$A$5:$A$5000)=0,"",IF(MIN('Weekly Log'!$A$5:$A$5000)+7*(ROW()-10)&gt;MAX('Weekly Log'!$A$5:$A$5000),"",MIN('Weekly Log'!$A$5:$A$5000)+7*(ROW()-10)))</f>
        <v/>
      </c>
    </row>
    <row r="224" spans="1:10" x14ac:dyDescent="0.25">
      <c r="A224" t="str">
        <f t="shared" si="3"/>
        <v/>
      </c>
      <c r="B224" t="str">
        <f>IF($J224="","",SUMIFS('Weekly Log'!$C:$C,'Weekly Log'!$A:$A,"&gt;="&amp;$J224,'Weekly Log'!$A:$A,"&lt;"&amp;$J224+7))</f>
        <v/>
      </c>
      <c r="C224" t="str">
        <f>IF($J224="","",IFERROR(COUNTIFS('Weekly Log'!$G:$G,"Y",'Weekly Log'!$A:$A,"&gt;="&amp;$J224,'Weekly Log'!$A:$A,"&lt;"&amp;$J224+7)/COUNTIFS('Weekly Log'!$G:$G,"&lt;&gt;",'Weekly Log'!$A:$A,"&gt;="&amp;$J224,'Weekly Log'!$A:$A,"&lt;"&amp;$J224+7),0))</f>
        <v/>
      </c>
      <c r="D224" t="str">
        <f>IF($J224="","",IFERROR(COUNTIFS('Weekly Log'!$H:$H,"Y",'Weekly Log'!$A:$A,"&gt;="&amp;$J224,'Weekly Log'!$A:$A,"&lt;"&amp;$J224+7)/COUNTIFS('Weekly Log'!$H:$H,"&lt;&gt;",'Weekly Log'!$A:$A,"&gt;="&amp;$J224,'Weekly Log'!$A:$A,"&lt;"&amp;$J224+7),0))</f>
        <v/>
      </c>
      <c r="E224" t="str">
        <f>IF($J224="","",IFERROR(AVERAGEIFS('Weekly Log'!$F:$F,'Weekly Log'!$A:$A,"&gt;="&amp;$J224,'Weekly Log'!$A:$A,"&lt;"&amp;$J224+7),0))</f>
        <v/>
      </c>
      <c r="F224" t="str">
        <f>IF($J224="","",IFERROR(SUMIFS('Weekly Log'!$F:$F,'Weekly Log'!$A:$A,"&gt;="&amp;$J224,'Weekly Log'!$A:$A,"&lt;"&amp;$J224+7)/SUMIFS('Weekly Log'!$E:$E,'Weekly Log'!$A:$A,"&gt;="&amp;$J224,'Weekly Log'!$A:$A,"&lt;"&amp;$J224+7),0))</f>
        <v/>
      </c>
      <c r="G224" t="str">
        <f>IF($J224="","",IFERROR(LOOKUP(2,1/(('Weekly Log'!$A$5:$A$5000&gt;=$J224)*('Weekly Log'!$A$5:$A$5000&lt;$J224+7)*('Weekly Log'!$M$5:$M$5000&lt;&gt;"")),'Weekly Log'!$M$5:$M$5000),0))</f>
        <v/>
      </c>
      <c r="J224" t="str">
        <f>IF(COUNT('Weekly Log'!$A$5:$A$5000)=0,"",IF(MIN('Weekly Log'!$A$5:$A$5000)+7*(ROW()-10)&gt;MAX('Weekly Log'!$A$5:$A$5000),"",MIN('Weekly Log'!$A$5:$A$5000)+7*(ROW()-10)))</f>
        <v/>
      </c>
    </row>
    <row r="225" spans="1:10" x14ac:dyDescent="0.25">
      <c r="A225" t="str">
        <f t="shared" si="3"/>
        <v/>
      </c>
      <c r="B225" t="str">
        <f>IF($J225="","",SUMIFS('Weekly Log'!$C:$C,'Weekly Log'!$A:$A,"&gt;="&amp;$J225,'Weekly Log'!$A:$A,"&lt;"&amp;$J225+7))</f>
        <v/>
      </c>
      <c r="C225" t="str">
        <f>IF($J225="","",IFERROR(COUNTIFS('Weekly Log'!$G:$G,"Y",'Weekly Log'!$A:$A,"&gt;="&amp;$J225,'Weekly Log'!$A:$A,"&lt;"&amp;$J225+7)/COUNTIFS('Weekly Log'!$G:$G,"&lt;&gt;",'Weekly Log'!$A:$A,"&gt;="&amp;$J225,'Weekly Log'!$A:$A,"&lt;"&amp;$J225+7),0))</f>
        <v/>
      </c>
      <c r="D225" t="str">
        <f>IF($J225="","",IFERROR(COUNTIFS('Weekly Log'!$H:$H,"Y",'Weekly Log'!$A:$A,"&gt;="&amp;$J225,'Weekly Log'!$A:$A,"&lt;"&amp;$J225+7)/COUNTIFS('Weekly Log'!$H:$H,"&lt;&gt;",'Weekly Log'!$A:$A,"&gt;="&amp;$J225,'Weekly Log'!$A:$A,"&lt;"&amp;$J225+7),0))</f>
        <v/>
      </c>
      <c r="E225" t="str">
        <f>IF($J225="","",IFERROR(AVERAGEIFS('Weekly Log'!$F:$F,'Weekly Log'!$A:$A,"&gt;="&amp;$J225,'Weekly Log'!$A:$A,"&lt;"&amp;$J225+7),0))</f>
        <v/>
      </c>
      <c r="F225" t="str">
        <f>IF($J225="","",IFERROR(SUMIFS('Weekly Log'!$F:$F,'Weekly Log'!$A:$A,"&gt;="&amp;$J225,'Weekly Log'!$A:$A,"&lt;"&amp;$J225+7)/SUMIFS('Weekly Log'!$E:$E,'Weekly Log'!$A:$A,"&gt;="&amp;$J225,'Weekly Log'!$A:$A,"&lt;"&amp;$J225+7),0))</f>
        <v/>
      </c>
      <c r="G225" t="str">
        <f>IF($J225="","",IFERROR(LOOKUP(2,1/(('Weekly Log'!$A$5:$A$5000&gt;=$J225)*('Weekly Log'!$A$5:$A$5000&lt;$J225+7)*('Weekly Log'!$M$5:$M$5000&lt;&gt;"")),'Weekly Log'!$M$5:$M$5000),0))</f>
        <v/>
      </c>
      <c r="J225" t="str">
        <f>IF(COUNT('Weekly Log'!$A$5:$A$5000)=0,"",IF(MIN('Weekly Log'!$A$5:$A$5000)+7*(ROW()-10)&gt;MAX('Weekly Log'!$A$5:$A$5000),"",MIN('Weekly Log'!$A$5:$A$5000)+7*(ROW()-10)))</f>
        <v/>
      </c>
    </row>
    <row r="226" spans="1:10" x14ac:dyDescent="0.25">
      <c r="A226" t="str">
        <f t="shared" si="3"/>
        <v/>
      </c>
      <c r="B226" t="str">
        <f>IF($J226="","",SUMIFS('Weekly Log'!$C:$C,'Weekly Log'!$A:$A,"&gt;="&amp;$J226,'Weekly Log'!$A:$A,"&lt;"&amp;$J226+7))</f>
        <v/>
      </c>
      <c r="C226" t="str">
        <f>IF($J226="","",IFERROR(COUNTIFS('Weekly Log'!$G:$G,"Y",'Weekly Log'!$A:$A,"&gt;="&amp;$J226,'Weekly Log'!$A:$A,"&lt;"&amp;$J226+7)/COUNTIFS('Weekly Log'!$G:$G,"&lt;&gt;",'Weekly Log'!$A:$A,"&gt;="&amp;$J226,'Weekly Log'!$A:$A,"&lt;"&amp;$J226+7),0))</f>
        <v/>
      </c>
      <c r="D226" t="str">
        <f>IF($J226="","",IFERROR(COUNTIFS('Weekly Log'!$H:$H,"Y",'Weekly Log'!$A:$A,"&gt;="&amp;$J226,'Weekly Log'!$A:$A,"&lt;"&amp;$J226+7)/COUNTIFS('Weekly Log'!$H:$H,"&lt;&gt;",'Weekly Log'!$A:$A,"&gt;="&amp;$J226,'Weekly Log'!$A:$A,"&lt;"&amp;$J226+7),0))</f>
        <v/>
      </c>
      <c r="E226" t="str">
        <f>IF($J226="","",IFERROR(AVERAGEIFS('Weekly Log'!$F:$F,'Weekly Log'!$A:$A,"&gt;="&amp;$J226,'Weekly Log'!$A:$A,"&lt;"&amp;$J226+7),0))</f>
        <v/>
      </c>
      <c r="F226" t="str">
        <f>IF($J226="","",IFERROR(SUMIFS('Weekly Log'!$F:$F,'Weekly Log'!$A:$A,"&gt;="&amp;$J226,'Weekly Log'!$A:$A,"&lt;"&amp;$J226+7)/SUMIFS('Weekly Log'!$E:$E,'Weekly Log'!$A:$A,"&gt;="&amp;$J226,'Weekly Log'!$A:$A,"&lt;"&amp;$J226+7),0))</f>
        <v/>
      </c>
      <c r="G226" t="str">
        <f>IF($J226="","",IFERROR(LOOKUP(2,1/(('Weekly Log'!$A$5:$A$5000&gt;=$J226)*('Weekly Log'!$A$5:$A$5000&lt;$J226+7)*('Weekly Log'!$M$5:$M$5000&lt;&gt;"")),'Weekly Log'!$M$5:$M$5000),0))</f>
        <v/>
      </c>
      <c r="J226" t="str">
        <f>IF(COUNT('Weekly Log'!$A$5:$A$5000)=0,"",IF(MIN('Weekly Log'!$A$5:$A$5000)+7*(ROW()-10)&gt;MAX('Weekly Log'!$A$5:$A$5000),"",MIN('Weekly Log'!$A$5:$A$5000)+7*(ROW()-10)))</f>
        <v/>
      </c>
    </row>
    <row r="227" spans="1:10" x14ac:dyDescent="0.25">
      <c r="A227" t="str">
        <f t="shared" si="3"/>
        <v/>
      </c>
      <c r="B227" t="str">
        <f>IF($J227="","",SUMIFS('Weekly Log'!$C:$C,'Weekly Log'!$A:$A,"&gt;="&amp;$J227,'Weekly Log'!$A:$A,"&lt;"&amp;$J227+7))</f>
        <v/>
      </c>
      <c r="C227" t="str">
        <f>IF($J227="","",IFERROR(COUNTIFS('Weekly Log'!$G:$G,"Y",'Weekly Log'!$A:$A,"&gt;="&amp;$J227,'Weekly Log'!$A:$A,"&lt;"&amp;$J227+7)/COUNTIFS('Weekly Log'!$G:$G,"&lt;&gt;",'Weekly Log'!$A:$A,"&gt;="&amp;$J227,'Weekly Log'!$A:$A,"&lt;"&amp;$J227+7),0))</f>
        <v/>
      </c>
      <c r="D227" t="str">
        <f>IF($J227="","",IFERROR(COUNTIFS('Weekly Log'!$H:$H,"Y",'Weekly Log'!$A:$A,"&gt;="&amp;$J227,'Weekly Log'!$A:$A,"&lt;"&amp;$J227+7)/COUNTIFS('Weekly Log'!$H:$H,"&lt;&gt;",'Weekly Log'!$A:$A,"&gt;="&amp;$J227,'Weekly Log'!$A:$A,"&lt;"&amp;$J227+7),0))</f>
        <v/>
      </c>
      <c r="E227" t="str">
        <f>IF($J227="","",IFERROR(AVERAGEIFS('Weekly Log'!$F:$F,'Weekly Log'!$A:$A,"&gt;="&amp;$J227,'Weekly Log'!$A:$A,"&lt;"&amp;$J227+7),0))</f>
        <v/>
      </c>
      <c r="F227" t="str">
        <f>IF($J227="","",IFERROR(SUMIFS('Weekly Log'!$F:$F,'Weekly Log'!$A:$A,"&gt;="&amp;$J227,'Weekly Log'!$A:$A,"&lt;"&amp;$J227+7)/SUMIFS('Weekly Log'!$E:$E,'Weekly Log'!$A:$A,"&gt;="&amp;$J227,'Weekly Log'!$A:$A,"&lt;"&amp;$J227+7),0))</f>
        <v/>
      </c>
      <c r="G227" t="str">
        <f>IF($J227="","",IFERROR(LOOKUP(2,1/(('Weekly Log'!$A$5:$A$5000&gt;=$J227)*('Weekly Log'!$A$5:$A$5000&lt;$J227+7)*('Weekly Log'!$M$5:$M$5000&lt;&gt;"")),'Weekly Log'!$M$5:$M$5000),0))</f>
        <v/>
      </c>
      <c r="J227" t="str">
        <f>IF(COUNT('Weekly Log'!$A$5:$A$5000)=0,"",IF(MIN('Weekly Log'!$A$5:$A$5000)+7*(ROW()-10)&gt;MAX('Weekly Log'!$A$5:$A$5000),"",MIN('Weekly Log'!$A$5:$A$5000)+7*(ROW()-10)))</f>
        <v/>
      </c>
    </row>
    <row r="228" spans="1:10" x14ac:dyDescent="0.25">
      <c r="A228" t="str">
        <f t="shared" si="3"/>
        <v/>
      </c>
      <c r="B228" t="str">
        <f>IF($J228="","",SUMIFS('Weekly Log'!$C:$C,'Weekly Log'!$A:$A,"&gt;="&amp;$J228,'Weekly Log'!$A:$A,"&lt;"&amp;$J228+7))</f>
        <v/>
      </c>
      <c r="C228" t="str">
        <f>IF($J228="","",IFERROR(COUNTIFS('Weekly Log'!$G:$G,"Y",'Weekly Log'!$A:$A,"&gt;="&amp;$J228,'Weekly Log'!$A:$A,"&lt;"&amp;$J228+7)/COUNTIFS('Weekly Log'!$G:$G,"&lt;&gt;",'Weekly Log'!$A:$A,"&gt;="&amp;$J228,'Weekly Log'!$A:$A,"&lt;"&amp;$J228+7),0))</f>
        <v/>
      </c>
      <c r="D228" t="str">
        <f>IF($J228="","",IFERROR(COUNTIFS('Weekly Log'!$H:$H,"Y",'Weekly Log'!$A:$A,"&gt;="&amp;$J228,'Weekly Log'!$A:$A,"&lt;"&amp;$J228+7)/COUNTIFS('Weekly Log'!$H:$H,"&lt;&gt;",'Weekly Log'!$A:$A,"&gt;="&amp;$J228,'Weekly Log'!$A:$A,"&lt;"&amp;$J228+7),0))</f>
        <v/>
      </c>
      <c r="E228" t="str">
        <f>IF($J228="","",IFERROR(AVERAGEIFS('Weekly Log'!$F:$F,'Weekly Log'!$A:$A,"&gt;="&amp;$J228,'Weekly Log'!$A:$A,"&lt;"&amp;$J228+7),0))</f>
        <v/>
      </c>
      <c r="F228" t="str">
        <f>IF($J228="","",IFERROR(SUMIFS('Weekly Log'!$F:$F,'Weekly Log'!$A:$A,"&gt;="&amp;$J228,'Weekly Log'!$A:$A,"&lt;"&amp;$J228+7)/SUMIFS('Weekly Log'!$E:$E,'Weekly Log'!$A:$A,"&gt;="&amp;$J228,'Weekly Log'!$A:$A,"&lt;"&amp;$J228+7),0))</f>
        <v/>
      </c>
      <c r="G228" t="str">
        <f>IF($J228="","",IFERROR(LOOKUP(2,1/(('Weekly Log'!$A$5:$A$5000&gt;=$J228)*('Weekly Log'!$A$5:$A$5000&lt;$J228+7)*('Weekly Log'!$M$5:$M$5000&lt;&gt;"")),'Weekly Log'!$M$5:$M$5000),0))</f>
        <v/>
      </c>
      <c r="J228" t="str">
        <f>IF(COUNT('Weekly Log'!$A$5:$A$5000)=0,"",IF(MIN('Weekly Log'!$A$5:$A$5000)+7*(ROW()-10)&gt;MAX('Weekly Log'!$A$5:$A$5000),"",MIN('Weekly Log'!$A$5:$A$5000)+7*(ROW()-10)))</f>
        <v/>
      </c>
    </row>
    <row r="229" spans="1:10" x14ac:dyDescent="0.25">
      <c r="A229" t="str">
        <f t="shared" si="3"/>
        <v/>
      </c>
      <c r="B229" t="str">
        <f>IF($J229="","",SUMIFS('Weekly Log'!$C:$C,'Weekly Log'!$A:$A,"&gt;="&amp;$J229,'Weekly Log'!$A:$A,"&lt;"&amp;$J229+7))</f>
        <v/>
      </c>
      <c r="C229" t="str">
        <f>IF($J229="","",IFERROR(COUNTIFS('Weekly Log'!$G:$G,"Y",'Weekly Log'!$A:$A,"&gt;="&amp;$J229,'Weekly Log'!$A:$A,"&lt;"&amp;$J229+7)/COUNTIFS('Weekly Log'!$G:$G,"&lt;&gt;",'Weekly Log'!$A:$A,"&gt;="&amp;$J229,'Weekly Log'!$A:$A,"&lt;"&amp;$J229+7),0))</f>
        <v/>
      </c>
      <c r="D229" t="str">
        <f>IF($J229="","",IFERROR(COUNTIFS('Weekly Log'!$H:$H,"Y",'Weekly Log'!$A:$A,"&gt;="&amp;$J229,'Weekly Log'!$A:$A,"&lt;"&amp;$J229+7)/COUNTIFS('Weekly Log'!$H:$H,"&lt;&gt;",'Weekly Log'!$A:$A,"&gt;="&amp;$J229,'Weekly Log'!$A:$A,"&lt;"&amp;$J229+7),0))</f>
        <v/>
      </c>
      <c r="E229" t="str">
        <f>IF($J229="","",IFERROR(AVERAGEIFS('Weekly Log'!$F:$F,'Weekly Log'!$A:$A,"&gt;="&amp;$J229,'Weekly Log'!$A:$A,"&lt;"&amp;$J229+7),0))</f>
        <v/>
      </c>
      <c r="F229" t="str">
        <f>IF($J229="","",IFERROR(SUMIFS('Weekly Log'!$F:$F,'Weekly Log'!$A:$A,"&gt;="&amp;$J229,'Weekly Log'!$A:$A,"&lt;"&amp;$J229+7)/SUMIFS('Weekly Log'!$E:$E,'Weekly Log'!$A:$A,"&gt;="&amp;$J229,'Weekly Log'!$A:$A,"&lt;"&amp;$J229+7),0))</f>
        <v/>
      </c>
      <c r="G229" t="str">
        <f>IF($J229="","",IFERROR(LOOKUP(2,1/(('Weekly Log'!$A$5:$A$5000&gt;=$J229)*('Weekly Log'!$A$5:$A$5000&lt;$J229+7)*('Weekly Log'!$M$5:$M$5000&lt;&gt;"")),'Weekly Log'!$M$5:$M$5000),0))</f>
        <v/>
      </c>
      <c r="J229" t="str">
        <f>IF(COUNT('Weekly Log'!$A$5:$A$5000)=0,"",IF(MIN('Weekly Log'!$A$5:$A$5000)+7*(ROW()-10)&gt;MAX('Weekly Log'!$A$5:$A$5000),"",MIN('Weekly Log'!$A$5:$A$5000)+7*(ROW()-10)))</f>
        <v/>
      </c>
    </row>
    <row r="230" spans="1:10" x14ac:dyDescent="0.25">
      <c r="A230" t="str">
        <f t="shared" si="3"/>
        <v/>
      </c>
      <c r="B230" t="str">
        <f>IF($J230="","",SUMIFS('Weekly Log'!$C:$C,'Weekly Log'!$A:$A,"&gt;="&amp;$J230,'Weekly Log'!$A:$A,"&lt;"&amp;$J230+7))</f>
        <v/>
      </c>
      <c r="C230" t="str">
        <f>IF($J230="","",IFERROR(COUNTIFS('Weekly Log'!$G:$G,"Y",'Weekly Log'!$A:$A,"&gt;="&amp;$J230,'Weekly Log'!$A:$A,"&lt;"&amp;$J230+7)/COUNTIFS('Weekly Log'!$G:$G,"&lt;&gt;",'Weekly Log'!$A:$A,"&gt;="&amp;$J230,'Weekly Log'!$A:$A,"&lt;"&amp;$J230+7),0))</f>
        <v/>
      </c>
      <c r="D230" t="str">
        <f>IF($J230="","",IFERROR(COUNTIFS('Weekly Log'!$H:$H,"Y",'Weekly Log'!$A:$A,"&gt;="&amp;$J230,'Weekly Log'!$A:$A,"&lt;"&amp;$J230+7)/COUNTIFS('Weekly Log'!$H:$H,"&lt;&gt;",'Weekly Log'!$A:$A,"&gt;="&amp;$J230,'Weekly Log'!$A:$A,"&lt;"&amp;$J230+7),0))</f>
        <v/>
      </c>
      <c r="E230" t="str">
        <f>IF($J230="","",IFERROR(AVERAGEIFS('Weekly Log'!$F:$F,'Weekly Log'!$A:$A,"&gt;="&amp;$J230,'Weekly Log'!$A:$A,"&lt;"&amp;$J230+7),0))</f>
        <v/>
      </c>
      <c r="F230" t="str">
        <f>IF($J230="","",IFERROR(SUMIFS('Weekly Log'!$F:$F,'Weekly Log'!$A:$A,"&gt;="&amp;$J230,'Weekly Log'!$A:$A,"&lt;"&amp;$J230+7)/SUMIFS('Weekly Log'!$E:$E,'Weekly Log'!$A:$A,"&gt;="&amp;$J230,'Weekly Log'!$A:$A,"&lt;"&amp;$J230+7),0))</f>
        <v/>
      </c>
      <c r="G230" t="str">
        <f>IF($J230="","",IFERROR(LOOKUP(2,1/(('Weekly Log'!$A$5:$A$5000&gt;=$J230)*('Weekly Log'!$A$5:$A$5000&lt;$J230+7)*('Weekly Log'!$M$5:$M$5000&lt;&gt;"")),'Weekly Log'!$M$5:$M$5000),0))</f>
        <v/>
      </c>
      <c r="J230" t="str">
        <f>IF(COUNT('Weekly Log'!$A$5:$A$5000)=0,"",IF(MIN('Weekly Log'!$A$5:$A$5000)+7*(ROW()-10)&gt;MAX('Weekly Log'!$A$5:$A$5000),"",MIN('Weekly Log'!$A$5:$A$5000)+7*(ROW()-10)))</f>
        <v/>
      </c>
    </row>
    <row r="231" spans="1:10" x14ac:dyDescent="0.25">
      <c r="A231" t="str">
        <f t="shared" si="3"/>
        <v/>
      </c>
      <c r="B231" t="str">
        <f>IF($J231="","",SUMIFS('Weekly Log'!$C:$C,'Weekly Log'!$A:$A,"&gt;="&amp;$J231,'Weekly Log'!$A:$A,"&lt;"&amp;$J231+7))</f>
        <v/>
      </c>
      <c r="C231" t="str">
        <f>IF($J231="","",IFERROR(COUNTIFS('Weekly Log'!$G:$G,"Y",'Weekly Log'!$A:$A,"&gt;="&amp;$J231,'Weekly Log'!$A:$A,"&lt;"&amp;$J231+7)/COUNTIFS('Weekly Log'!$G:$G,"&lt;&gt;",'Weekly Log'!$A:$A,"&gt;="&amp;$J231,'Weekly Log'!$A:$A,"&lt;"&amp;$J231+7),0))</f>
        <v/>
      </c>
      <c r="D231" t="str">
        <f>IF($J231="","",IFERROR(COUNTIFS('Weekly Log'!$H:$H,"Y",'Weekly Log'!$A:$A,"&gt;="&amp;$J231,'Weekly Log'!$A:$A,"&lt;"&amp;$J231+7)/COUNTIFS('Weekly Log'!$H:$H,"&lt;&gt;",'Weekly Log'!$A:$A,"&gt;="&amp;$J231,'Weekly Log'!$A:$A,"&lt;"&amp;$J231+7),0))</f>
        <v/>
      </c>
      <c r="E231" t="str">
        <f>IF($J231="","",IFERROR(AVERAGEIFS('Weekly Log'!$F:$F,'Weekly Log'!$A:$A,"&gt;="&amp;$J231,'Weekly Log'!$A:$A,"&lt;"&amp;$J231+7),0))</f>
        <v/>
      </c>
      <c r="F231" t="str">
        <f>IF($J231="","",IFERROR(SUMIFS('Weekly Log'!$F:$F,'Weekly Log'!$A:$A,"&gt;="&amp;$J231,'Weekly Log'!$A:$A,"&lt;"&amp;$J231+7)/SUMIFS('Weekly Log'!$E:$E,'Weekly Log'!$A:$A,"&gt;="&amp;$J231,'Weekly Log'!$A:$A,"&lt;"&amp;$J231+7),0))</f>
        <v/>
      </c>
      <c r="G231" t="str">
        <f>IF($J231="","",IFERROR(LOOKUP(2,1/(('Weekly Log'!$A$5:$A$5000&gt;=$J231)*('Weekly Log'!$A$5:$A$5000&lt;$J231+7)*('Weekly Log'!$M$5:$M$5000&lt;&gt;"")),'Weekly Log'!$M$5:$M$5000),0))</f>
        <v/>
      </c>
      <c r="J231" t="str">
        <f>IF(COUNT('Weekly Log'!$A$5:$A$5000)=0,"",IF(MIN('Weekly Log'!$A$5:$A$5000)+7*(ROW()-10)&gt;MAX('Weekly Log'!$A$5:$A$5000),"",MIN('Weekly Log'!$A$5:$A$5000)+7*(ROW()-10)))</f>
        <v/>
      </c>
    </row>
    <row r="232" spans="1:10" x14ac:dyDescent="0.25">
      <c r="A232" t="str">
        <f t="shared" si="3"/>
        <v/>
      </c>
      <c r="B232" t="str">
        <f>IF($J232="","",SUMIFS('Weekly Log'!$C:$C,'Weekly Log'!$A:$A,"&gt;="&amp;$J232,'Weekly Log'!$A:$A,"&lt;"&amp;$J232+7))</f>
        <v/>
      </c>
      <c r="C232" t="str">
        <f>IF($J232="","",IFERROR(COUNTIFS('Weekly Log'!$G:$G,"Y",'Weekly Log'!$A:$A,"&gt;="&amp;$J232,'Weekly Log'!$A:$A,"&lt;"&amp;$J232+7)/COUNTIFS('Weekly Log'!$G:$G,"&lt;&gt;",'Weekly Log'!$A:$A,"&gt;="&amp;$J232,'Weekly Log'!$A:$A,"&lt;"&amp;$J232+7),0))</f>
        <v/>
      </c>
      <c r="D232" t="str">
        <f>IF($J232="","",IFERROR(COUNTIFS('Weekly Log'!$H:$H,"Y",'Weekly Log'!$A:$A,"&gt;="&amp;$J232,'Weekly Log'!$A:$A,"&lt;"&amp;$J232+7)/COUNTIFS('Weekly Log'!$H:$H,"&lt;&gt;",'Weekly Log'!$A:$A,"&gt;="&amp;$J232,'Weekly Log'!$A:$A,"&lt;"&amp;$J232+7),0))</f>
        <v/>
      </c>
      <c r="E232" t="str">
        <f>IF($J232="","",IFERROR(AVERAGEIFS('Weekly Log'!$F:$F,'Weekly Log'!$A:$A,"&gt;="&amp;$J232,'Weekly Log'!$A:$A,"&lt;"&amp;$J232+7),0))</f>
        <v/>
      </c>
      <c r="F232" t="str">
        <f>IF($J232="","",IFERROR(SUMIFS('Weekly Log'!$F:$F,'Weekly Log'!$A:$A,"&gt;="&amp;$J232,'Weekly Log'!$A:$A,"&lt;"&amp;$J232+7)/SUMIFS('Weekly Log'!$E:$E,'Weekly Log'!$A:$A,"&gt;="&amp;$J232,'Weekly Log'!$A:$A,"&lt;"&amp;$J232+7),0))</f>
        <v/>
      </c>
      <c r="G232" t="str">
        <f>IF($J232="","",IFERROR(LOOKUP(2,1/(('Weekly Log'!$A$5:$A$5000&gt;=$J232)*('Weekly Log'!$A$5:$A$5000&lt;$J232+7)*('Weekly Log'!$M$5:$M$5000&lt;&gt;"")),'Weekly Log'!$M$5:$M$5000),0))</f>
        <v/>
      </c>
      <c r="J232" t="str">
        <f>IF(COUNT('Weekly Log'!$A$5:$A$5000)=0,"",IF(MIN('Weekly Log'!$A$5:$A$5000)+7*(ROW()-10)&gt;MAX('Weekly Log'!$A$5:$A$5000),"",MIN('Weekly Log'!$A$5:$A$5000)+7*(ROW()-10)))</f>
        <v/>
      </c>
    </row>
    <row r="233" spans="1:10" x14ac:dyDescent="0.25">
      <c r="A233" t="str">
        <f t="shared" si="3"/>
        <v/>
      </c>
      <c r="B233" t="str">
        <f>IF($J233="","",SUMIFS('Weekly Log'!$C:$C,'Weekly Log'!$A:$A,"&gt;="&amp;$J233,'Weekly Log'!$A:$A,"&lt;"&amp;$J233+7))</f>
        <v/>
      </c>
      <c r="C233" t="str">
        <f>IF($J233="","",IFERROR(COUNTIFS('Weekly Log'!$G:$G,"Y",'Weekly Log'!$A:$A,"&gt;="&amp;$J233,'Weekly Log'!$A:$A,"&lt;"&amp;$J233+7)/COUNTIFS('Weekly Log'!$G:$G,"&lt;&gt;",'Weekly Log'!$A:$A,"&gt;="&amp;$J233,'Weekly Log'!$A:$A,"&lt;"&amp;$J233+7),0))</f>
        <v/>
      </c>
      <c r="D233" t="str">
        <f>IF($J233="","",IFERROR(COUNTIFS('Weekly Log'!$H:$H,"Y",'Weekly Log'!$A:$A,"&gt;="&amp;$J233,'Weekly Log'!$A:$A,"&lt;"&amp;$J233+7)/COUNTIFS('Weekly Log'!$H:$H,"&lt;&gt;",'Weekly Log'!$A:$A,"&gt;="&amp;$J233,'Weekly Log'!$A:$A,"&lt;"&amp;$J233+7),0))</f>
        <v/>
      </c>
      <c r="E233" t="str">
        <f>IF($J233="","",IFERROR(AVERAGEIFS('Weekly Log'!$F:$F,'Weekly Log'!$A:$A,"&gt;="&amp;$J233,'Weekly Log'!$A:$A,"&lt;"&amp;$J233+7),0))</f>
        <v/>
      </c>
      <c r="F233" t="str">
        <f>IF($J233="","",IFERROR(SUMIFS('Weekly Log'!$F:$F,'Weekly Log'!$A:$A,"&gt;="&amp;$J233,'Weekly Log'!$A:$A,"&lt;"&amp;$J233+7)/SUMIFS('Weekly Log'!$E:$E,'Weekly Log'!$A:$A,"&gt;="&amp;$J233,'Weekly Log'!$A:$A,"&lt;"&amp;$J233+7),0))</f>
        <v/>
      </c>
      <c r="G233" t="str">
        <f>IF($J233="","",IFERROR(LOOKUP(2,1/(('Weekly Log'!$A$5:$A$5000&gt;=$J233)*('Weekly Log'!$A$5:$A$5000&lt;$J233+7)*('Weekly Log'!$M$5:$M$5000&lt;&gt;"")),'Weekly Log'!$M$5:$M$5000),0))</f>
        <v/>
      </c>
      <c r="J233" t="str">
        <f>IF(COUNT('Weekly Log'!$A$5:$A$5000)=0,"",IF(MIN('Weekly Log'!$A$5:$A$5000)+7*(ROW()-10)&gt;MAX('Weekly Log'!$A$5:$A$5000),"",MIN('Weekly Log'!$A$5:$A$5000)+7*(ROW()-10)))</f>
        <v/>
      </c>
    </row>
    <row r="234" spans="1:10" x14ac:dyDescent="0.25">
      <c r="A234" t="str">
        <f t="shared" si="3"/>
        <v/>
      </c>
      <c r="B234" t="str">
        <f>IF($J234="","",SUMIFS('Weekly Log'!$C:$C,'Weekly Log'!$A:$A,"&gt;="&amp;$J234,'Weekly Log'!$A:$A,"&lt;"&amp;$J234+7))</f>
        <v/>
      </c>
      <c r="C234" t="str">
        <f>IF($J234="","",IFERROR(COUNTIFS('Weekly Log'!$G:$G,"Y",'Weekly Log'!$A:$A,"&gt;="&amp;$J234,'Weekly Log'!$A:$A,"&lt;"&amp;$J234+7)/COUNTIFS('Weekly Log'!$G:$G,"&lt;&gt;",'Weekly Log'!$A:$A,"&gt;="&amp;$J234,'Weekly Log'!$A:$A,"&lt;"&amp;$J234+7),0))</f>
        <v/>
      </c>
      <c r="D234" t="str">
        <f>IF($J234="","",IFERROR(COUNTIFS('Weekly Log'!$H:$H,"Y",'Weekly Log'!$A:$A,"&gt;="&amp;$J234,'Weekly Log'!$A:$A,"&lt;"&amp;$J234+7)/COUNTIFS('Weekly Log'!$H:$H,"&lt;&gt;",'Weekly Log'!$A:$A,"&gt;="&amp;$J234,'Weekly Log'!$A:$A,"&lt;"&amp;$J234+7),0))</f>
        <v/>
      </c>
      <c r="E234" t="str">
        <f>IF($J234="","",IFERROR(AVERAGEIFS('Weekly Log'!$F:$F,'Weekly Log'!$A:$A,"&gt;="&amp;$J234,'Weekly Log'!$A:$A,"&lt;"&amp;$J234+7),0))</f>
        <v/>
      </c>
      <c r="F234" t="str">
        <f>IF($J234="","",IFERROR(SUMIFS('Weekly Log'!$F:$F,'Weekly Log'!$A:$A,"&gt;="&amp;$J234,'Weekly Log'!$A:$A,"&lt;"&amp;$J234+7)/SUMIFS('Weekly Log'!$E:$E,'Weekly Log'!$A:$A,"&gt;="&amp;$J234,'Weekly Log'!$A:$A,"&lt;"&amp;$J234+7),0))</f>
        <v/>
      </c>
      <c r="G234" t="str">
        <f>IF($J234="","",IFERROR(LOOKUP(2,1/(('Weekly Log'!$A$5:$A$5000&gt;=$J234)*('Weekly Log'!$A$5:$A$5000&lt;$J234+7)*('Weekly Log'!$M$5:$M$5000&lt;&gt;"")),'Weekly Log'!$M$5:$M$5000),0))</f>
        <v/>
      </c>
      <c r="J234" t="str">
        <f>IF(COUNT('Weekly Log'!$A$5:$A$5000)=0,"",IF(MIN('Weekly Log'!$A$5:$A$5000)+7*(ROW()-10)&gt;MAX('Weekly Log'!$A$5:$A$5000),"",MIN('Weekly Log'!$A$5:$A$5000)+7*(ROW()-10)))</f>
        <v/>
      </c>
    </row>
    <row r="235" spans="1:10" x14ac:dyDescent="0.25">
      <c r="A235" t="str">
        <f t="shared" si="3"/>
        <v/>
      </c>
      <c r="B235" t="str">
        <f>IF($J235="","",SUMIFS('Weekly Log'!$C:$C,'Weekly Log'!$A:$A,"&gt;="&amp;$J235,'Weekly Log'!$A:$A,"&lt;"&amp;$J235+7))</f>
        <v/>
      </c>
      <c r="C235" t="str">
        <f>IF($J235="","",IFERROR(COUNTIFS('Weekly Log'!$G:$G,"Y",'Weekly Log'!$A:$A,"&gt;="&amp;$J235,'Weekly Log'!$A:$A,"&lt;"&amp;$J235+7)/COUNTIFS('Weekly Log'!$G:$G,"&lt;&gt;",'Weekly Log'!$A:$A,"&gt;="&amp;$J235,'Weekly Log'!$A:$A,"&lt;"&amp;$J235+7),0))</f>
        <v/>
      </c>
      <c r="D235" t="str">
        <f>IF($J235="","",IFERROR(COUNTIFS('Weekly Log'!$H:$H,"Y",'Weekly Log'!$A:$A,"&gt;="&amp;$J235,'Weekly Log'!$A:$A,"&lt;"&amp;$J235+7)/COUNTIFS('Weekly Log'!$H:$H,"&lt;&gt;",'Weekly Log'!$A:$A,"&gt;="&amp;$J235,'Weekly Log'!$A:$A,"&lt;"&amp;$J235+7),0))</f>
        <v/>
      </c>
      <c r="E235" t="str">
        <f>IF($J235="","",IFERROR(AVERAGEIFS('Weekly Log'!$F:$F,'Weekly Log'!$A:$A,"&gt;="&amp;$J235,'Weekly Log'!$A:$A,"&lt;"&amp;$J235+7),0))</f>
        <v/>
      </c>
      <c r="F235" t="str">
        <f>IF($J235="","",IFERROR(SUMIFS('Weekly Log'!$F:$F,'Weekly Log'!$A:$A,"&gt;="&amp;$J235,'Weekly Log'!$A:$A,"&lt;"&amp;$J235+7)/SUMIFS('Weekly Log'!$E:$E,'Weekly Log'!$A:$A,"&gt;="&amp;$J235,'Weekly Log'!$A:$A,"&lt;"&amp;$J235+7),0))</f>
        <v/>
      </c>
      <c r="G235" t="str">
        <f>IF($J235="","",IFERROR(LOOKUP(2,1/(('Weekly Log'!$A$5:$A$5000&gt;=$J235)*('Weekly Log'!$A$5:$A$5000&lt;$J235+7)*('Weekly Log'!$M$5:$M$5000&lt;&gt;"")),'Weekly Log'!$M$5:$M$5000),0))</f>
        <v/>
      </c>
      <c r="J235" t="str">
        <f>IF(COUNT('Weekly Log'!$A$5:$A$5000)=0,"",IF(MIN('Weekly Log'!$A$5:$A$5000)+7*(ROW()-10)&gt;MAX('Weekly Log'!$A$5:$A$5000),"",MIN('Weekly Log'!$A$5:$A$5000)+7*(ROW()-10)))</f>
        <v/>
      </c>
    </row>
    <row r="236" spans="1:10" x14ac:dyDescent="0.25">
      <c r="A236" t="str">
        <f t="shared" si="3"/>
        <v/>
      </c>
      <c r="B236" t="str">
        <f>IF($J236="","",SUMIFS('Weekly Log'!$C:$C,'Weekly Log'!$A:$A,"&gt;="&amp;$J236,'Weekly Log'!$A:$A,"&lt;"&amp;$J236+7))</f>
        <v/>
      </c>
      <c r="C236" t="str">
        <f>IF($J236="","",IFERROR(COUNTIFS('Weekly Log'!$G:$G,"Y",'Weekly Log'!$A:$A,"&gt;="&amp;$J236,'Weekly Log'!$A:$A,"&lt;"&amp;$J236+7)/COUNTIFS('Weekly Log'!$G:$G,"&lt;&gt;",'Weekly Log'!$A:$A,"&gt;="&amp;$J236,'Weekly Log'!$A:$A,"&lt;"&amp;$J236+7),0))</f>
        <v/>
      </c>
      <c r="D236" t="str">
        <f>IF($J236="","",IFERROR(COUNTIFS('Weekly Log'!$H:$H,"Y",'Weekly Log'!$A:$A,"&gt;="&amp;$J236,'Weekly Log'!$A:$A,"&lt;"&amp;$J236+7)/COUNTIFS('Weekly Log'!$H:$H,"&lt;&gt;",'Weekly Log'!$A:$A,"&gt;="&amp;$J236,'Weekly Log'!$A:$A,"&lt;"&amp;$J236+7),0))</f>
        <v/>
      </c>
      <c r="E236" t="str">
        <f>IF($J236="","",IFERROR(AVERAGEIFS('Weekly Log'!$F:$F,'Weekly Log'!$A:$A,"&gt;="&amp;$J236,'Weekly Log'!$A:$A,"&lt;"&amp;$J236+7),0))</f>
        <v/>
      </c>
      <c r="F236" t="str">
        <f>IF($J236="","",IFERROR(SUMIFS('Weekly Log'!$F:$F,'Weekly Log'!$A:$A,"&gt;="&amp;$J236,'Weekly Log'!$A:$A,"&lt;"&amp;$J236+7)/SUMIFS('Weekly Log'!$E:$E,'Weekly Log'!$A:$A,"&gt;="&amp;$J236,'Weekly Log'!$A:$A,"&lt;"&amp;$J236+7),0))</f>
        <v/>
      </c>
      <c r="G236" t="str">
        <f>IF($J236="","",IFERROR(LOOKUP(2,1/(('Weekly Log'!$A$5:$A$5000&gt;=$J236)*('Weekly Log'!$A$5:$A$5000&lt;$J236+7)*('Weekly Log'!$M$5:$M$5000&lt;&gt;"")),'Weekly Log'!$M$5:$M$5000),0))</f>
        <v/>
      </c>
      <c r="J236" t="str">
        <f>IF(COUNT('Weekly Log'!$A$5:$A$5000)=0,"",IF(MIN('Weekly Log'!$A$5:$A$5000)+7*(ROW()-10)&gt;MAX('Weekly Log'!$A$5:$A$5000),"",MIN('Weekly Log'!$A$5:$A$5000)+7*(ROW()-10)))</f>
        <v/>
      </c>
    </row>
    <row r="237" spans="1:10" x14ac:dyDescent="0.25">
      <c r="A237" t="str">
        <f t="shared" si="3"/>
        <v/>
      </c>
      <c r="B237" t="str">
        <f>IF($J237="","",SUMIFS('Weekly Log'!$C:$C,'Weekly Log'!$A:$A,"&gt;="&amp;$J237,'Weekly Log'!$A:$A,"&lt;"&amp;$J237+7))</f>
        <v/>
      </c>
      <c r="C237" t="str">
        <f>IF($J237="","",IFERROR(COUNTIFS('Weekly Log'!$G:$G,"Y",'Weekly Log'!$A:$A,"&gt;="&amp;$J237,'Weekly Log'!$A:$A,"&lt;"&amp;$J237+7)/COUNTIFS('Weekly Log'!$G:$G,"&lt;&gt;",'Weekly Log'!$A:$A,"&gt;="&amp;$J237,'Weekly Log'!$A:$A,"&lt;"&amp;$J237+7),0))</f>
        <v/>
      </c>
      <c r="D237" t="str">
        <f>IF($J237="","",IFERROR(COUNTIFS('Weekly Log'!$H:$H,"Y",'Weekly Log'!$A:$A,"&gt;="&amp;$J237,'Weekly Log'!$A:$A,"&lt;"&amp;$J237+7)/COUNTIFS('Weekly Log'!$H:$H,"&lt;&gt;",'Weekly Log'!$A:$A,"&gt;="&amp;$J237,'Weekly Log'!$A:$A,"&lt;"&amp;$J237+7),0))</f>
        <v/>
      </c>
      <c r="E237" t="str">
        <f>IF($J237="","",IFERROR(AVERAGEIFS('Weekly Log'!$F:$F,'Weekly Log'!$A:$A,"&gt;="&amp;$J237,'Weekly Log'!$A:$A,"&lt;"&amp;$J237+7),0))</f>
        <v/>
      </c>
      <c r="F237" t="str">
        <f>IF($J237="","",IFERROR(SUMIFS('Weekly Log'!$F:$F,'Weekly Log'!$A:$A,"&gt;="&amp;$J237,'Weekly Log'!$A:$A,"&lt;"&amp;$J237+7)/SUMIFS('Weekly Log'!$E:$E,'Weekly Log'!$A:$A,"&gt;="&amp;$J237,'Weekly Log'!$A:$A,"&lt;"&amp;$J237+7),0))</f>
        <v/>
      </c>
      <c r="G237" t="str">
        <f>IF($J237="","",IFERROR(LOOKUP(2,1/(('Weekly Log'!$A$5:$A$5000&gt;=$J237)*('Weekly Log'!$A$5:$A$5000&lt;$J237+7)*('Weekly Log'!$M$5:$M$5000&lt;&gt;"")),'Weekly Log'!$M$5:$M$5000),0))</f>
        <v/>
      </c>
      <c r="J237" t="str">
        <f>IF(COUNT('Weekly Log'!$A$5:$A$5000)=0,"",IF(MIN('Weekly Log'!$A$5:$A$5000)+7*(ROW()-10)&gt;MAX('Weekly Log'!$A$5:$A$5000),"",MIN('Weekly Log'!$A$5:$A$5000)+7*(ROW()-10)))</f>
        <v/>
      </c>
    </row>
    <row r="238" spans="1:10" x14ac:dyDescent="0.25">
      <c r="A238" t="str">
        <f t="shared" si="3"/>
        <v/>
      </c>
      <c r="B238" t="str">
        <f>IF($J238="","",SUMIFS('Weekly Log'!$C:$C,'Weekly Log'!$A:$A,"&gt;="&amp;$J238,'Weekly Log'!$A:$A,"&lt;"&amp;$J238+7))</f>
        <v/>
      </c>
      <c r="C238" t="str">
        <f>IF($J238="","",IFERROR(COUNTIFS('Weekly Log'!$G:$G,"Y",'Weekly Log'!$A:$A,"&gt;="&amp;$J238,'Weekly Log'!$A:$A,"&lt;"&amp;$J238+7)/COUNTIFS('Weekly Log'!$G:$G,"&lt;&gt;",'Weekly Log'!$A:$A,"&gt;="&amp;$J238,'Weekly Log'!$A:$A,"&lt;"&amp;$J238+7),0))</f>
        <v/>
      </c>
      <c r="D238" t="str">
        <f>IF($J238="","",IFERROR(COUNTIFS('Weekly Log'!$H:$H,"Y",'Weekly Log'!$A:$A,"&gt;="&amp;$J238,'Weekly Log'!$A:$A,"&lt;"&amp;$J238+7)/COUNTIFS('Weekly Log'!$H:$H,"&lt;&gt;",'Weekly Log'!$A:$A,"&gt;="&amp;$J238,'Weekly Log'!$A:$A,"&lt;"&amp;$J238+7),0))</f>
        <v/>
      </c>
      <c r="E238" t="str">
        <f>IF($J238="","",IFERROR(AVERAGEIFS('Weekly Log'!$F:$F,'Weekly Log'!$A:$A,"&gt;="&amp;$J238,'Weekly Log'!$A:$A,"&lt;"&amp;$J238+7),0))</f>
        <v/>
      </c>
      <c r="F238" t="str">
        <f>IF($J238="","",IFERROR(SUMIFS('Weekly Log'!$F:$F,'Weekly Log'!$A:$A,"&gt;="&amp;$J238,'Weekly Log'!$A:$A,"&lt;"&amp;$J238+7)/SUMIFS('Weekly Log'!$E:$E,'Weekly Log'!$A:$A,"&gt;="&amp;$J238,'Weekly Log'!$A:$A,"&lt;"&amp;$J238+7),0))</f>
        <v/>
      </c>
      <c r="G238" t="str">
        <f>IF($J238="","",IFERROR(LOOKUP(2,1/(('Weekly Log'!$A$5:$A$5000&gt;=$J238)*('Weekly Log'!$A$5:$A$5000&lt;$J238+7)*('Weekly Log'!$M$5:$M$5000&lt;&gt;"")),'Weekly Log'!$M$5:$M$5000),0))</f>
        <v/>
      </c>
      <c r="J238" t="str">
        <f>IF(COUNT('Weekly Log'!$A$5:$A$5000)=0,"",IF(MIN('Weekly Log'!$A$5:$A$5000)+7*(ROW()-10)&gt;MAX('Weekly Log'!$A$5:$A$5000),"",MIN('Weekly Log'!$A$5:$A$5000)+7*(ROW()-10)))</f>
        <v/>
      </c>
    </row>
    <row r="239" spans="1:10" x14ac:dyDescent="0.25">
      <c r="A239" t="str">
        <f t="shared" si="3"/>
        <v/>
      </c>
      <c r="B239" t="str">
        <f>IF($J239="","",SUMIFS('Weekly Log'!$C:$C,'Weekly Log'!$A:$A,"&gt;="&amp;$J239,'Weekly Log'!$A:$A,"&lt;"&amp;$J239+7))</f>
        <v/>
      </c>
      <c r="C239" t="str">
        <f>IF($J239="","",IFERROR(COUNTIFS('Weekly Log'!$G:$G,"Y",'Weekly Log'!$A:$A,"&gt;="&amp;$J239,'Weekly Log'!$A:$A,"&lt;"&amp;$J239+7)/COUNTIFS('Weekly Log'!$G:$G,"&lt;&gt;",'Weekly Log'!$A:$A,"&gt;="&amp;$J239,'Weekly Log'!$A:$A,"&lt;"&amp;$J239+7),0))</f>
        <v/>
      </c>
      <c r="D239" t="str">
        <f>IF($J239="","",IFERROR(COUNTIFS('Weekly Log'!$H:$H,"Y",'Weekly Log'!$A:$A,"&gt;="&amp;$J239,'Weekly Log'!$A:$A,"&lt;"&amp;$J239+7)/COUNTIFS('Weekly Log'!$H:$H,"&lt;&gt;",'Weekly Log'!$A:$A,"&gt;="&amp;$J239,'Weekly Log'!$A:$A,"&lt;"&amp;$J239+7),0))</f>
        <v/>
      </c>
      <c r="E239" t="str">
        <f>IF($J239="","",IFERROR(AVERAGEIFS('Weekly Log'!$F:$F,'Weekly Log'!$A:$A,"&gt;="&amp;$J239,'Weekly Log'!$A:$A,"&lt;"&amp;$J239+7),0))</f>
        <v/>
      </c>
      <c r="F239" t="str">
        <f>IF($J239="","",IFERROR(SUMIFS('Weekly Log'!$F:$F,'Weekly Log'!$A:$A,"&gt;="&amp;$J239,'Weekly Log'!$A:$A,"&lt;"&amp;$J239+7)/SUMIFS('Weekly Log'!$E:$E,'Weekly Log'!$A:$A,"&gt;="&amp;$J239,'Weekly Log'!$A:$A,"&lt;"&amp;$J239+7),0))</f>
        <v/>
      </c>
      <c r="G239" t="str">
        <f>IF($J239="","",IFERROR(LOOKUP(2,1/(('Weekly Log'!$A$5:$A$5000&gt;=$J239)*('Weekly Log'!$A$5:$A$5000&lt;$J239+7)*('Weekly Log'!$M$5:$M$5000&lt;&gt;"")),'Weekly Log'!$M$5:$M$5000),0))</f>
        <v/>
      </c>
      <c r="J239" t="str">
        <f>IF(COUNT('Weekly Log'!$A$5:$A$5000)=0,"",IF(MIN('Weekly Log'!$A$5:$A$5000)+7*(ROW()-10)&gt;MAX('Weekly Log'!$A$5:$A$5000),"",MIN('Weekly Log'!$A$5:$A$5000)+7*(ROW()-10)))</f>
        <v/>
      </c>
    </row>
    <row r="240" spans="1:10" x14ac:dyDescent="0.25">
      <c r="A240" t="str">
        <f t="shared" si="3"/>
        <v/>
      </c>
      <c r="B240" t="str">
        <f>IF($J240="","",SUMIFS('Weekly Log'!$C:$C,'Weekly Log'!$A:$A,"&gt;="&amp;$J240,'Weekly Log'!$A:$A,"&lt;"&amp;$J240+7))</f>
        <v/>
      </c>
      <c r="C240" t="str">
        <f>IF($J240="","",IFERROR(COUNTIFS('Weekly Log'!$G:$G,"Y",'Weekly Log'!$A:$A,"&gt;="&amp;$J240,'Weekly Log'!$A:$A,"&lt;"&amp;$J240+7)/COUNTIFS('Weekly Log'!$G:$G,"&lt;&gt;",'Weekly Log'!$A:$A,"&gt;="&amp;$J240,'Weekly Log'!$A:$A,"&lt;"&amp;$J240+7),0))</f>
        <v/>
      </c>
      <c r="D240" t="str">
        <f>IF($J240="","",IFERROR(COUNTIFS('Weekly Log'!$H:$H,"Y",'Weekly Log'!$A:$A,"&gt;="&amp;$J240,'Weekly Log'!$A:$A,"&lt;"&amp;$J240+7)/COUNTIFS('Weekly Log'!$H:$H,"&lt;&gt;",'Weekly Log'!$A:$A,"&gt;="&amp;$J240,'Weekly Log'!$A:$A,"&lt;"&amp;$J240+7),0))</f>
        <v/>
      </c>
      <c r="E240" t="str">
        <f>IF($J240="","",IFERROR(AVERAGEIFS('Weekly Log'!$F:$F,'Weekly Log'!$A:$A,"&gt;="&amp;$J240,'Weekly Log'!$A:$A,"&lt;"&amp;$J240+7),0))</f>
        <v/>
      </c>
      <c r="F240" t="str">
        <f>IF($J240="","",IFERROR(SUMIFS('Weekly Log'!$F:$F,'Weekly Log'!$A:$A,"&gt;="&amp;$J240,'Weekly Log'!$A:$A,"&lt;"&amp;$J240+7)/SUMIFS('Weekly Log'!$E:$E,'Weekly Log'!$A:$A,"&gt;="&amp;$J240,'Weekly Log'!$A:$A,"&lt;"&amp;$J240+7),0))</f>
        <v/>
      </c>
      <c r="G240" t="str">
        <f>IF($J240="","",IFERROR(LOOKUP(2,1/(('Weekly Log'!$A$5:$A$5000&gt;=$J240)*('Weekly Log'!$A$5:$A$5000&lt;$J240+7)*('Weekly Log'!$M$5:$M$5000&lt;&gt;"")),'Weekly Log'!$M$5:$M$5000),0))</f>
        <v/>
      </c>
      <c r="J240" t="str">
        <f>IF(COUNT('Weekly Log'!$A$5:$A$5000)=0,"",IF(MIN('Weekly Log'!$A$5:$A$5000)+7*(ROW()-10)&gt;MAX('Weekly Log'!$A$5:$A$5000),"",MIN('Weekly Log'!$A$5:$A$5000)+7*(ROW()-10)))</f>
        <v/>
      </c>
    </row>
    <row r="241" spans="1:10" x14ac:dyDescent="0.25">
      <c r="A241" t="str">
        <f t="shared" si="3"/>
        <v/>
      </c>
      <c r="B241" t="str">
        <f>IF($J241="","",SUMIFS('Weekly Log'!$C:$C,'Weekly Log'!$A:$A,"&gt;="&amp;$J241,'Weekly Log'!$A:$A,"&lt;"&amp;$J241+7))</f>
        <v/>
      </c>
      <c r="C241" t="str">
        <f>IF($J241="","",IFERROR(COUNTIFS('Weekly Log'!$G:$G,"Y",'Weekly Log'!$A:$A,"&gt;="&amp;$J241,'Weekly Log'!$A:$A,"&lt;"&amp;$J241+7)/COUNTIFS('Weekly Log'!$G:$G,"&lt;&gt;",'Weekly Log'!$A:$A,"&gt;="&amp;$J241,'Weekly Log'!$A:$A,"&lt;"&amp;$J241+7),0))</f>
        <v/>
      </c>
      <c r="D241" t="str">
        <f>IF($J241="","",IFERROR(COUNTIFS('Weekly Log'!$H:$H,"Y",'Weekly Log'!$A:$A,"&gt;="&amp;$J241,'Weekly Log'!$A:$A,"&lt;"&amp;$J241+7)/COUNTIFS('Weekly Log'!$H:$H,"&lt;&gt;",'Weekly Log'!$A:$A,"&gt;="&amp;$J241,'Weekly Log'!$A:$A,"&lt;"&amp;$J241+7),0))</f>
        <v/>
      </c>
      <c r="E241" t="str">
        <f>IF($J241="","",IFERROR(AVERAGEIFS('Weekly Log'!$F:$F,'Weekly Log'!$A:$A,"&gt;="&amp;$J241,'Weekly Log'!$A:$A,"&lt;"&amp;$J241+7),0))</f>
        <v/>
      </c>
      <c r="F241" t="str">
        <f>IF($J241="","",IFERROR(SUMIFS('Weekly Log'!$F:$F,'Weekly Log'!$A:$A,"&gt;="&amp;$J241,'Weekly Log'!$A:$A,"&lt;"&amp;$J241+7)/SUMIFS('Weekly Log'!$E:$E,'Weekly Log'!$A:$A,"&gt;="&amp;$J241,'Weekly Log'!$A:$A,"&lt;"&amp;$J241+7),0))</f>
        <v/>
      </c>
      <c r="G241" t="str">
        <f>IF($J241="","",IFERROR(LOOKUP(2,1/(('Weekly Log'!$A$5:$A$5000&gt;=$J241)*('Weekly Log'!$A$5:$A$5000&lt;$J241+7)*('Weekly Log'!$M$5:$M$5000&lt;&gt;"")),'Weekly Log'!$M$5:$M$5000),0))</f>
        <v/>
      </c>
      <c r="J241" t="str">
        <f>IF(COUNT('Weekly Log'!$A$5:$A$5000)=0,"",IF(MIN('Weekly Log'!$A$5:$A$5000)+7*(ROW()-10)&gt;MAX('Weekly Log'!$A$5:$A$5000),"",MIN('Weekly Log'!$A$5:$A$5000)+7*(ROW()-10)))</f>
        <v/>
      </c>
    </row>
    <row r="242" spans="1:10" x14ac:dyDescent="0.25">
      <c r="A242" t="str">
        <f t="shared" si="3"/>
        <v/>
      </c>
      <c r="B242" t="str">
        <f>IF($J242="","",SUMIFS('Weekly Log'!$C:$C,'Weekly Log'!$A:$A,"&gt;="&amp;$J242,'Weekly Log'!$A:$A,"&lt;"&amp;$J242+7))</f>
        <v/>
      </c>
      <c r="C242" t="str">
        <f>IF($J242="","",IFERROR(COUNTIFS('Weekly Log'!$G:$G,"Y",'Weekly Log'!$A:$A,"&gt;="&amp;$J242,'Weekly Log'!$A:$A,"&lt;"&amp;$J242+7)/COUNTIFS('Weekly Log'!$G:$G,"&lt;&gt;",'Weekly Log'!$A:$A,"&gt;="&amp;$J242,'Weekly Log'!$A:$A,"&lt;"&amp;$J242+7),0))</f>
        <v/>
      </c>
      <c r="D242" t="str">
        <f>IF($J242="","",IFERROR(COUNTIFS('Weekly Log'!$H:$H,"Y",'Weekly Log'!$A:$A,"&gt;="&amp;$J242,'Weekly Log'!$A:$A,"&lt;"&amp;$J242+7)/COUNTIFS('Weekly Log'!$H:$H,"&lt;&gt;",'Weekly Log'!$A:$A,"&gt;="&amp;$J242,'Weekly Log'!$A:$A,"&lt;"&amp;$J242+7),0))</f>
        <v/>
      </c>
      <c r="E242" t="str">
        <f>IF($J242="","",IFERROR(AVERAGEIFS('Weekly Log'!$F:$F,'Weekly Log'!$A:$A,"&gt;="&amp;$J242,'Weekly Log'!$A:$A,"&lt;"&amp;$J242+7),0))</f>
        <v/>
      </c>
      <c r="F242" t="str">
        <f>IF($J242="","",IFERROR(SUMIFS('Weekly Log'!$F:$F,'Weekly Log'!$A:$A,"&gt;="&amp;$J242,'Weekly Log'!$A:$A,"&lt;"&amp;$J242+7)/SUMIFS('Weekly Log'!$E:$E,'Weekly Log'!$A:$A,"&gt;="&amp;$J242,'Weekly Log'!$A:$A,"&lt;"&amp;$J242+7),0))</f>
        <v/>
      </c>
      <c r="G242" t="str">
        <f>IF($J242="","",IFERROR(LOOKUP(2,1/(('Weekly Log'!$A$5:$A$5000&gt;=$J242)*('Weekly Log'!$A$5:$A$5000&lt;$J242+7)*('Weekly Log'!$M$5:$M$5000&lt;&gt;"")),'Weekly Log'!$M$5:$M$5000),0))</f>
        <v/>
      </c>
      <c r="J242" t="str">
        <f>IF(COUNT('Weekly Log'!$A$5:$A$5000)=0,"",IF(MIN('Weekly Log'!$A$5:$A$5000)+7*(ROW()-10)&gt;MAX('Weekly Log'!$A$5:$A$5000),"",MIN('Weekly Log'!$A$5:$A$5000)+7*(ROW()-10)))</f>
        <v/>
      </c>
    </row>
    <row r="243" spans="1:10" x14ac:dyDescent="0.25">
      <c r="A243" t="str">
        <f t="shared" si="3"/>
        <v/>
      </c>
      <c r="B243" t="str">
        <f>IF($J243="","",SUMIFS('Weekly Log'!$C:$C,'Weekly Log'!$A:$A,"&gt;="&amp;$J243,'Weekly Log'!$A:$A,"&lt;"&amp;$J243+7))</f>
        <v/>
      </c>
      <c r="C243" t="str">
        <f>IF($J243="","",IFERROR(COUNTIFS('Weekly Log'!$G:$G,"Y",'Weekly Log'!$A:$A,"&gt;="&amp;$J243,'Weekly Log'!$A:$A,"&lt;"&amp;$J243+7)/COUNTIFS('Weekly Log'!$G:$G,"&lt;&gt;",'Weekly Log'!$A:$A,"&gt;="&amp;$J243,'Weekly Log'!$A:$A,"&lt;"&amp;$J243+7),0))</f>
        <v/>
      </c>
      <c r="D243" t="str">
        <f>IF($J243="","",IFERROR(COUNTIFS('Weekly Log'!$H:$H,"Y",'Weekly Log'!$A:$A,"&gt;="&amp;$J243,'Weekly Log'!$A:$A,"&lt;"&amp;$J243+7)/COUNTIFS('Weekly Log'!$H:$H,"&lt;&gt;",'Weekly Log'!$A:$A,"&gt;="&amp;$J243,'Weekly Log'!$A:$A,"&lt;"&amp;$J243+7),0))</f>
        <v/>
      </c>
      <c r="E243" t="str">
        <f>IF($J243="","",IFERROR(AVERAGEIFS('Weekly Log'!$F:$F,'Weekly Log'!$A:$A,"&gt;="&amp;$J243,'Weekly Log'!$A:$A,"&lt;"&amp;$J243+7),0))</f>
        <v/>
      </c>
      <c r="F243" t="str">
        <f>IF($J243="","",IFERROR(SUMIFS('Weekly Log'!$F:$F,'Weekly Log'!$A:$A,"&gt;="&amp;$J243,'Weekly Log'!$A:$A,"&lt;"&amp;$J243+7)/SUMIFS('Weekly Log'!$E:$E,'Weekly Log'!$A:$A,"&gt;="&amp;$J243,'Weekly Log'!$A:$A,"&lt;"&amp;$J243+7),0))</f>
        <v/>
      </c>
      <c r="G243" t="str">
        <f>IF($J243="","",IFERROR(LOOKUP(2,1/(('Weekly Log'!$A$5:$A$5000&gt;=$J243)*('Weekly Log'!$A$5:$A$5000&lt;$J243+7)*('Weekly Log'!$M$5:$M$5000&lt;&gt;"")),'Weekly Log'!$M$5:$M$5000),0))</f>
        <v/>
      </c>
      <c r="J243" t="str">
        <f>IF(COUNT('Weekly Log'!$A$5:$A$5000)=0,"",IF(MIN('Weekly Log'!$A$5:$A$5000)+7*(ROW()-10)&gt;MAX('Weekly Log'!$A$5:$A$5000),"",MIN('Weekly Log'!$A$5:$A$5000)+7*(ROW()-10)))</f>
        <v/>
      </c>
    </row>
    <row r="244" spans="1:10" x14ac:dyDescent="0.25">
      <c r="A244" t="str">
        <f t="shared" si="3"/>
        <v/>
      </c>
      <c r="B244" t="str">
        <f>IF($J244="","",SUMIFS('Weekly Log'!$C:$C,'Weekly Log'!$A:$A,"&gt;="&amp;$J244,'Weekly Log'!$A:$A,"&lt;"&amp;$J244+7))</f>
        <v/>
      </c>
      <c r="C244" t="str">
        <f>IF($J244="","",IFERROR(COUNTIFS('Weekly Log'!$G:$G,"Y",'Weekly Log'!$A:$A,"&gt;="&amp;$J244,'Weekly Log'!$A:$A,"&lt;"&amp;$J244+7)/COUNTIFS('Weekly Log'!$G:$G,"&lt;&gt;",'Weekly Log'!$A:$A,"&gt;="&amp;$J244,'Weekly Log'!$A:$A,"&lt;"&amp;$J244+7),0))</f>
        <v/>
      </c>
      <c r="D244" t="str">
        <f>IF($J244="","",IFERROR(COUNTIFS('Weekly Log'!$H:$H,"Y",'Weekly Log'!$A:$A,"&gt;="&amp;$J244,'Weekly Log'!$A:$A,"&lt;"&amp;$J244+7)/COUNTIFS('Weekly Log'!$H:$H,"&lt;&gt;",'Weekly Log'!$A:$A,"&gt;="&amp;$J244,'Weekly Log'!$A:$A,"&lt;"&amp;$J244+7),0))</f>
        <v/>
      </c>
      <c r="E244" t="str">
        <f>IF($J244="","",IFERROR(AVERAGEIFS('Weekly Log'!$F:$F,'Weekly Log'!$A:$A,"&gt;="&amp;$J244,'Weekly Log'!$A:$A,"&lt;"&amp;$J244+7),0))</f>
        <v/>
      </c>
      <c r="F244" t="str">
        <f>IF($J244="","",IFERROR(SUMIFS('Weekly Log'!$F:$F,'Weekly Log'!$A:$A,"&gt;="&amp;$J244,'Weekly Log'!$A:$A,"&lt;"&amp;$J244+7)/SUMIFS('Weekly Log'!$E:$E,'Weekly Log'!$A:$A,"&gt;="&amp;$J244,'Weekly Log'!$A:$A,"&lt;"&amp;$J244+7),0))</f>
        <v/>
      </c>
      <c r="G244" t="str">
        <f>IF($J244="","",IFERROR(LOOKUP(2,1/(('Weekly Log'!$A$5:$A$5000&gt;=$J244)*('Weekly Log'!$A$5:$A$5000&lt;$J244+7)*('Weekly Log'!$M$5:$M$5000&lt;&gt;"")),'Weekly Log'!$M$5:$M$5000),0))</f>
        <v/>
      </c>
      <c r="J244" t="str">
        <f>IF(COUNT('Weekly Log'!$A$5:$A$5000)=0,"",IF(MIN('Weekly Log'!$A$5:$A$5000)+7*(ROW()-10)&gt;MAX('Weekly Log'!$A$5:$A$5000),"",MIN('Weekly Log'!$A$5:$A$5000)+7*(ROW()-10)))</f>
        <v/>
      </c>
    </row>
    <row r="245" spans="1:10" x14ac:dyDescent="0.25">
      <c r="A245" t="str">
        <f t="shared" si="3"/>
        <v/>
      </c>
      <c r="B245" t="str">
        <f>IF($J245="","",SUMIFS('Weekly Log'!$C:$C,'Weekly Log'!$A:$A,"&gt;="&amp;$J245,'Weekly Log'!$A:$A,"&lt;"&amp;$J245+7))</f>
        <v/>
      </c>
      <c r="C245" t="str">
        <f>IF($J245="","",IFERROR(COUNTIFS('Weekly Log'!$G:$G,"Y",'Weekly Log'!$A:$A,"&gt;="&amp;$J245,'Weekly Log'!$A:$A,"&lt;"&amp;$J245+7)/COUNTIFS('Weekly Log'!$G:$G,"&lt;&gt;",'Weekly Log'!$A:$A,"&gt;="&amp;$J245,'Weekly Log'!$A:$A,"&lt;"&amp;$J245+7),0))</f>
        <v/>
      </c>
      <c r="D245" t="str">
        <f>IF($J245="","",IFERROR(COUNTIFS('Weekly Log'!$H:$H,"Y",'Weekly Log'!$A:$A,"&gt;="&amp;$J245,'Weekly Log'!$A:$A,"&lt;"&amp;$J245+7)/COUNTIFS('Weekly Log'!$H:$H,"&lt;&gt;",'Weekly Log'!$A:$A,"&gt;="&amp;$J245,'Weekly Log'!$A:$A,"&lt;"&amp;$J245+7),0))</f>
        <v/>
      </c>
      <c r="E245" t="str">
        <f>IF($J245="","",IFERROR(AVERAGEIFS('Weekly Log'!$F:$F,'Weekly Log'!$A:$A,"&gt;="&amp;$J245,'Weekly Log'!$A:$A,"&lt;"&amp;$J245+7),0))</f>
        <v/>
      </c>
      <c r="F245" t="str">
        <f>IF($J245="","",IFERROR(SUMIFS('Weekly Log'!$F:$F,'Weekly Log'!$A:$A,"&gt;="&amp;$J245,'Weekly Log'!$A:$A,"&lt;"&amp;$J245+7)/SUMIFS('Weekly Log'!$E:$E,'Weekly Log'!$A:$A,"&gt;="&amp;$J245,'Weekly Log'!$A:$A,"&lt;"&amp;$J245+7),0))</f>
        <v/>
      </c>
      <c r="G245" t="str">
        <f>IF($J245="","",IFERROR(LOOKUP(2,1/(('Weekly Log'!$A$5:$A$5000&gt;=$J245)*('Weekly Log'!$A$5:$A$5000&lt;$J245+7)*('Weekly Log'!$M$5:$M$5000&lt;&gt;"")),'Weekly Log'!$M$5:$M$5000),0))</f>
        <v/>
      </c>
      <c r="J245" t="str">
        <f>IF(COUNT('Weekly Log'!$A$5:$A$5000)=0,"",IF(MIN('Weekly Log'!$A$5:$A$5000)+7*(ROW()-10)&gt;MAX('Weekly Log'!$A$5:$A$5000),"",MIN('Weekly Log'!$A$5:$A$5000)+7*(ROW()-10)))</f>
        <v/>
      </c>
    </row>
    <row r="246" spans="1:10" x14ac:dyDescent="0.25">
      <c r="A246" t="str">
        <f t="shared" si="3"/>
        <v/>
      </c>
      <c r="B246" t="str">
        <f>IF($J246="","",SUMIFS('Weekly Log'!$C:$C,'Weekly Log'!$A:$A,"&gt;="&amp;$J246,'Weekly Log'!$A:$A,"&lt;"&amp;$J246+7))</f>
        <v/>
      </c>
      <c r="C246" t="str">
        <f>IF($J246="","",IFERROR(COUNTIFS('Weekly Log'!$G:$G,"Y",'Weekly Log'!$A:$A,"&gt;="&amp;$J246,'Weekly Log'!$A:$A,"&lt;"&amp;$J246+7)/COUNTIFS('Weekly Log'!$G:$G,"&lt;&gt;",'Weekly Log'!$A:$A,"&gt;="&amp;$J246,'Weekly Log'!$A:$A,"&lt;"&amp;$J246+7),0))</f>
        <v/>
      </c>
      <c r="D246" t="str">
        <f>IF($J246="","",IFERROR(COUNTIFS('Weekly Log'!$H:$H,"Y",'Weekly Log'!$A:$A,"&gt;="&amp;$J246,'Weekly Log'!$A:$A,"&lt;"&amp;$J246+7)/COUNTIFS('Weekly Log'!$H:$H,"&lt;&gt;",'Weekly Log'!$A:$A,"&gt;="&amp;$J246,'Weekly Log'!$A:$A,"&lt;"&amp;$J246+7),0))</f>
        <v/>
      </c>
      <c r="E246" t="str">
        <f>IF($J246="","",IFERROR(AVERAGEIFS('Weekly Log'!$F:$F,'Weekly Log'!$A:$A,"&gt;="&amp;$J246,'Weekly Log'!$A:$A,"&lt;"&amp;$J246+7),0))</f>
        <v/>
      </c>
      <c r="F246" t="str">
        <f>IF($J246="","",IFERROR(SUMIFS('Weekly Log'!$F:$F,'Weekly Log'!$A:$A,"&gt;="&amp;$J246,'Weekly Log'!$A:$A,"&lt;"&amp;$J246+7)/SUMIFS('Weekly Log'!$E:$E,'Weekly Log'!$A:$A,"&gt;="&amp;$J246,'Weekly Log'!$A:$A,"&lt;"&amp;$J246+7),0))</f>
        <v/>
      </c>
      <c r="G246" t="str">
        <f>IF($J246="","",IFERROR(LOOKUP(2,1/(('Weekly Log'!$A$5:$A$5000&gt;=$J246)*('Weekly Log'!$A$5:$A$5000&lt;$J246+7)*('Weekly Log'!$M$5:$M$5000&lt;&gt;"")),'Weekly Log'!$M$5:$M$5000),0))</f>
        <v/>
      </c>
      <c r="J246" t="str">
        <f>IF(COUNT('Weekly Log'!$A$5:$A$5000)=0,"",IF(MIN('Weekly Log'!$A$5:$A$5000)+7*(ROW()-10)&gt;MAX('Weekly Log'!$A$5:$A$5000),"",MIN('Weekly Log'!$A$5:$A$5000)+7*(ROW()-10)))</f>
        <v/>
      </c>
    </row>
    <row r="247" spans="1:10" x14ac:dyDescent="0.25">
      <c r="A247" t="str">
        <f t="shared" si="3"/>
        <v/>
      </c>
      <c r="B247" t="str">
        <f>IF($J247="","",SUMIFS('Weekly Log'!$C:$C,'Weekly Log'!$A:$A,"&gt;="&amp;$J247,'Weekly Log'!$A:$A,"&lt;"&amp;$J247+7))</f>
        <v/>
      </c>
      <c r="C247" t="str">
        <f>IF($J247="","",IFERROR(COUNTIFS('Weekly Log'!$G:$G,"Y",'Weekly Log'!$A:$A,"&gt;="&amp;$J247,'Weekly Log'!$A:$A,"&lt;"&amp;$J247+7)/COUNTIFS('Weekly Log'!$G:$G,"&lt;&gt;",'Weekly Log'!$A:$A,"&gt;="&amp;$J247,'Weekly Log'!$A:$A,"&lt;"&amp;$J247+7),0))</f>
        <v/>
      </c>
      <c r="D247" t="str">
        <f>IF($J247="","",IFERROR(COUNTIFS('Weekly Log'!$H:$H,"Y",'Weekly Log'!$A:$A,"&gt;="&amp;$J247,'Weekly Log'!$A:$A,"&lt;"&amp;$J247+7)/COUNTIFS('Weekly Log'!$H:$H,"&lt;&gt;",'Weekly Log'!$A:$A,"&gt;="&amp;$J247,'Weekly Log'!$A:$A,"&lt;"&amp;$J247+7),0))</f>
        <v/>
      </c>
      <c r="E247" t="str">
        <f>IF($J247="","",IFERROR(AVERAGEIFS('Weekly Log'!$F:$F,'Weekly Log'!$A:$A,"&gt;="&amp;$J247,'Weekly Log'!$A:$A,"&lt;"&amp;$J247+7),0))</f>
        <v/>
      </c>
      <c r="F247" t="str">
        <f>IF($J247="","",IFERROR(SUMIFS('Weekly Log'!$F:$F,'Weekly Log'!$A:$A,"&gt;="&amp;$J247,'Weekly Log'!$A:$A,"&lt;"&amp;$J247+7)/SUMIFS('Weekly Log'!$E:$E,'Weekly Log'!$A:$A,"&gt;="&amp;$J247,'Weekly Log'!$A:$A,"&lt;"&amp;$J247+7),0))</f>
        <v/>
      </c>
      <c r="G247" t="str">
        <f>IF($J247="","",IFERROR(LOOKUP(2,1/(('Weekly Log'!$A$5:$A$5000&gt;=$J247)*('Weekly Log'!$A$5:$A$5000&lt;$J247+7)*('Weekly Log'!$M$5:$M$5000&lt;&gt;"")),'Weekly Log'!$M$5:$M$5000),0))</f>
        <v/>
      </c>
      <c r="J247" t="str">
        <f>IF(COUNT('Weekly Log'!$A$5:$A$5000)=0,"",IF(MIN('Weekly Log'!$A$5:$A$5000)+7*(ROW()-10)&gt;MAX('Weekly Log'!$A$5:$A$5000),"",MIN('Weekly Log'!$A$5:$A$5000)+7*(ROW()-10)))</f>
        <v/>
      </c>
    </row>
    <row r="248" spans="1:10" x14ac:dyDescent="0.25">
      <c r="A248" t="str">
        <f t="shared" si="3"/>
        <v/>
      </c>
      <c r="B248" t="str">
        <f>IF($J248="","",SUMIFS('Weekly Log'!$C:$C,'Weekly Log'!$A:$A,"&gt;="&amp;$J248,'Weekly Log'!$A:$A,"&lt;"&amp;$J248+7))</f>
        <v/>
      </c>
      <c r="C248" t="str">
        <f>IF($J248="","",IFERROR(COUNTIFS('Weekly Log'!$G:$G,"Y",'Weekly Log'!$A:$A,"&gt;="&amp;$J248,'Weekly Log'!$A:$A,"&lt;"&amp;$J248+7)/COUNTIFS('Weekly Log'!$G:$G,"&lt;&gt;",'Weekly Log'!$A:$A,"&gt;="&amp;$J248,'Weekly Log'!$A:$A,"&lt;"&amp;$J248+7),0))</f>
        <v/>
      </c>
      <c r="D248" t="str">
        <f>IF($J248="","",IFERROR(COUNTIFS('Weekly Log'!$H:$H,"Y",'Weekly Log'!$A:$A,"&gt;="&amp;$J248,'Weekly Log'!$A:$A,"&lt;"&amp;$J248+7)/COUNTIFS('Weekly Log'!$H:$H,"&lt;&gt;",'Weekly Log'!$A:$A,"&gt;="&amp;$J248,'Weekly Log'!$A:$A,"&lt;"&amp;$J248+7),0))</f>
        <v/>
      </c>
      <c r="E248" t="str">
        <f>IF($J248="","",IFERROR(AVERAGEIFS('Weekly Log'!$F:$F,'Weekly Log'!$A:$A,"&gt;="&amp;$J248,'Weekly Log'!$A:$A,"&lt;"&amp;$J248+7),0))</f>
        <v/>
      </c>
      <c r="F248" t="str">
        <f>IF($J248="","",IFERROR(SUMIFS('Weekly Log'!$F:$F,'Weekly Log'!$A:$A,"&gt;="&amp;$J248,'Weekly Log'!$A:$A,"&lt;"&amp;$J248+7)/SUMIFS('Weekly Log'!$E:$E,'Weekly Log'!$A:$A,"&gt;="&amp;$J248,'Weekly Log'!$A:$A,"&lt;"&amp;$J248+7),0))</f>
        <v/>
      </c>
      <c r="G248" t="str">
        <f>IF($J248="","",IFERROR(LOOKUP(2,1/(('Weekly Log'!$A$5:$A$5000&gt;=$J248)*('Weekly Log'!$A$5:$A$5000&lt;$J248+7)*('Weekly Log'!$M$5:$M$5000&lt;&gt;"")),'Weekly Log'!$M$5:$M$5000),0))</f>
        <v/>
      </c>
      <c r="J248" t="str">
        <f>IF(COUNT('Weekly Log'!$A$5:$A$5000)=0,"",IF(MIN('Weekly Log'!$A$5:$A$5000)+7*(ROW()-10)&gt;MAX('Weekly Log'!$A$5:$A$5000),"",MIN('Weekly Log'!$A$5:$A$5000)+7*(ROW()-10)))</f>
        <v/>
      </c>
    </row>
    <row r="249" spans="1:10" x14ac:dyDescent="0.25">
      <c r="A249" t="str">
        <f t="shared" si="3"/>
        <v/>
      </c>
      <c r="B249" t="str">
        <f>IF($J249="","",SUMIFS('Weekly Log'!$C:$C,'Weekly Log'!$A:$A,"&gt;="&amp;$J249,'Weekly Log'!$A:$A,"&lt;"&amp;$J249+7))</f>
        <v/>
      </c>
      <c r="C249" t="str">
        <f>IF($J249="","",IFERROR(COUNTIFS('Weekly Log'!$G:$G,"Y",'Weekly Log'!$A:$A,"&gt;="&amp;$J249,'Weekly Log'!$A:$A,"&lt;"&amp;$J249+7)/COUNTIFS('Weekly Log'!$G:$G,"&lt;&gt;",'Weekly Log'!$A:$A,"&gt;="&amp;$J249,'Weekly Log'!$A:$A,"&lt;"&amp;$J249+7),0))</f>
        <v/>
      </c>
      <c r="D249" t="str">
        <f>IF($J249="","",IFERROR(COUNTIFS('Weekly Log'!$H:$H,"Y",'Weekly Log'!$A:$A,"&gt;="&amp;$J249,'Weekly Log'!$A:$A,"&lt;"&amp;$J249+7)/COUNTIFS('Weekly Log'!$H:$H,"&lt;&gt;",'Weekly Log'!$A:$A,"&gt;="&amp;$J249,'Weekly Log'!$A:$A,"&lt;"&amp;$J249+7),0))</f>
        <v/>
      </c>
      <c r="E249" t="str">
        <f>IF($J249="","",IFERROR(AVERAGEIFS('Weekly Log'!$F:$F,'Weekly Log'!$A:$A,"&gt;="&amp;$J249,'Weekly Log'!$A:$A,"&lt;"&amp;$J249+7),0))</f>
        <v/>
      </c>
      <c r="F249" t="str">
        <f>IF($J249="","",IFERROR(SUMIFS('Weekly Log'!$F:$F,'Weekly Log'!$A:$A,"&gt;="&amp;$J249,'Weekly Log'!$A:$A,"&lt;"&amp;$J249+7)/SUMIFS('Weekly Log'!$E:$E,'Weekly Log'!$A:$A,"&gt;="&amp;$J249,'Weekly Log'!$A:$A,"&lt;"&amp;$J249+7),0))</f>
        <v/>
      </c>
      <c r="G249" t="str">
        <f>IF($J249="","",IFERROR(LOOKUP(2,1/(('Weekly Log'!$A$5:$A$5000&gt;=$J249)*('Weekly Log'!$A$5:$A$5000&lt;$J249+7)*('Weekly Log'!$M$5:$M$5000&lt;&gt;"")),'Weekly Log'!$M$5:$M$5000),0))</f>
        <v/>
      </c>
      <c r="J249" t="str">
        <f>IF(COUNT('Weekly Log'!$A$5:$A$5000)=0,"",IF(MIN('Weekly Log'!$A$5:$A$5000)+7*(ROW()-10)&gt;MAX('Weekly Log'!$A$5:$A$5000),"",MIN('Weekly Log'!$A$5:$A$5000)+7*(ROW()-10)))</f>
        <v/>
      </c>
    </row>
    <row r="250" spans="1:10" x14ac:dyDescent="0.25">
      <c r="A250" t="str">
        <f t="shared" si="3"/>
        <v/>
      </c>
      <c r="B250" t="str">
        <f>IF($J250="","",SUMIFS('Weekly Log'!$C:$C,'Weekly Log'!$A:$A,"&gt;="&amp;$J250,'Weekly Log'!$A:$A,"&lt;"&amp;$J250+7))</f>
        <v/>
      </c>
      <c r="C250" t="str">
        <f>IF($J250="","",IFERROR(COUNTIFS('Weekly Log'!$G:$G,"Y",'Weekly Log'!$A:$A,"&gt;="&amp;$J250,'Weekly Log'!$A:$A,"&lt;"&amp;$J250+7)/COUNTIFS('Weekly Log'!$G:$G,"&lt;&gt;",'Weekly Log'!$A:$A,"&gt;="&amp;$J250,'Weekly Log'!$A:$A,"&lt;"&amp;$J250+7),0))</f>
        <v/>
      </c>
      <c r="D250" t="str">
        <f>IF($J250="","",IFERROR(COUNTIFS('Weekly Log'!$H:$H,"Y",'Weekly Log'!$A:$A,"&gt;="&amp;$J250,'Weekly Log'!$A:$A,"&lt;"&amp;$J250+7)/COUNTIFS('Weekly Log'!$H:$H,"&lt;&gt;",'Weekly Log'!$A:$A,"&gt;="&amp;$J250,'Weekly Log'!$A:$A,"&lt;"&amp;$J250+7),0))</f>
        <v/>
      </c>
      <c r="E250" t="str">
        <f>IF($J250="","",IFERROR(AVERAGEIFS('Weekly Log'!$F:$F,'Weekly Log'!$A:$A,"&gt;="&amp;$J250,'Weekly Log'!$A:$A,"&lt;"&amp;$J250+7),0))</f>
        <v/>
      </c>
      <c r="F250" t="str">
        <f>IF($J250="","",IFERROR(SUMIFS('Weekly Log'!$F:$F,'Weekly Log'!$A:$A,"&gt;="&amp;$J250,'Weekly Log'!$A:$A,"&lt;"&amp;$J250+7)/SUMIFS('Weekly Log'!$E:$E,'Weekly Log'!$A:$A,"&gt;="&amp;$J250,'Weekly Log'!$A:$A,"&lt;"&amp;$J250+7),0))</f>
        <v/>
      </c>
      <c r="G250" t="str">
        <f>IF($J250="","",IFERROR(LOOKUP(2,1/(('Weekly Log'!$A$5:$A$5000&gt;=$J250)*('Weekly Log'!$A$5:$A$5000&lt;$J250+7)*('Weekly Log'!$M$5:$M$5000&lt;&gt;"")),'Weekly Log'!$M$5:$M$5000),0))</f>
        <v/>
      </c>
      <c r="J250" t="str">
        <f>IF(COUNT('Weekly Log'!$A$5:$A$5000)=0,"",IF(MIN('Weekly Log'!$A$5:$A$5000)+7*(ROW()-10)&gt;MAX('Weekly Log'!$A$5:$A$5000),"",MIN('Weekly Log'!$A$5:$A$5000)+7*(ROW()-10)))</f>
        <v/>
      </c>
    </row>
    <row r="251" spans="1:10" x14ac:dyDescent="0.25">
      <c r="A251" t="str">
        <f t="shared" si="3"/>
        <v/>
      </c>
      <c r="B251" t="str">
        <f>IF($J251="","",SUMIFS('Weekly Log'!$C:$C,'Weekly Log'!$A:$A,"&gt;="&amp;$J251,'Weekly Log'!$A:$A,"&lt;"&amp;$J251+7))</f>
        <v/>
      </c>
      <c r="C251" t="str">
        <f>IF($J251="","",IFERROR(COUNTIFS('Weekly Log'!$G:$G,"Y",'Weekly Log'!$A:$A,"&gt;="&amp;$J251,'Weekly Log'!$A:$A,"&lt;"&amp;$J251+7)/COUNTIFS('Weekly Log'!$G:$G,"&lt;&gt;",'Weekly Log'!$A:$A,"&gt;="&amp;$J251,'Weekly Log'!$A:$A,"&lt;"&amp;$J251+7),0))</f>
        <v/>
      </c>
      <c r="D251" t="str">
        <f>IF($J251="","",IFERROR(COUNTIFS('Weekly Log'!$H:$H,"Y",'Weekly Log'!$A:$A,"&gt;="&amp;$J251,'Weekly Log'!$A:$A,"&lt;"&amp;$J251+7)/COUNTIFS('Weekly Log'!$H:$H,"&lt;&gt;",'Weekly Log'!$A:$A,"&gt;="&amp;$J251,'Weekly Log'!$A:$A,"&lt;"&amp;$J251+7),0))</f>
        <v/>
      </c>
      <c r="E251" t="str">
        <f>IF($J251="","",IFERROR(AVERAGEIFS('Weekly Log'!$F:$F,'Weekly Log'!$A:$A,"&gt;="&amp;$J251,'Weekly Log'!$A:$A,"&lt;"&amp;$J251+7),0))</f>
        <v/>
      </c>
      <c r="F251" t="str">
        <f>IF($J251="","",IFERROR(SUMIFS('Weekly Log'!$F:$F,'Weekly Log'!$A:$A,"&gt;="&amp;$J251,'Weekly Log'!$A:$A,"&lt;"&amp;$J251+7)/SUMIFS('Weekly Log'!$E:$E,'Weekly Log'!$A:$A,"&gt;="&amp;$J251,'Weekly Log'!$A:$A,"&lt;"&amp;$J251+7),0))</f>
        <v/>
      </c>
      <c r="G251" t="str">
        <f>IF($J251="","",IFERROR(LOOKUP(2,1/(('Weekly Log'!$A$5:$A$5000&gt;=$J251)*('Weekly Log'!$A$5:$A$5000&lt;$J251+7)*('Weekly Log'!$M$5:$M$5000&lt;&gt;"")),'Weekly Log'!$M$5:$M$5000),0))</f>
        <v/>
      </c>
      <c r="J251" t="str">
        <f>IF(COUNT('Weekly Log'!$A$5:$A$5000)=0,"",IF(MIN('Weekly Log'!$A$5:$A$5000)+7*(ROW()-10)&gt;MAX('Weekly Log'!$A$5:$A$5000),"",MIN('Weekly Log'!$A$5:$A$5000)+7*(ROW()-10)))</f>
        <v/>
      </c>
    </row>
    <row r="252" spans="1:10" x14ac:dyDescent="0.25">
      <c r="A252" t="str">
        <f t="shared" si="3"/>
        <v/>
      </c>
      <c r="B252" t="str">
        <f>IF($J252="","",SUMIFS('Weekly Log'!$C:$C,'Weekly Log'!$A:$A,"&gt;="&amp;$J252,'Weekly Log'!$A:$A,"&lt;"&amp;$J252+7))</f>
        <v/>
      </c>
      <c r="C252" t="str">
        <f>IF($J252="","",IFERROR(COUNTIFS('Weekly Log'!$G:$G,"Y",'Weekly Log'!$A:$A,"&gt;="&amp;$J252,'Weekly Log'!$A:$A,"&lt;"&amp;$J252+7)/COUNTIFS('Weekly Log'!$G:$G,"&lt;&gt;",'Weekly Log'!$A:$A,"&gt;="&amp;$J252,'Weekly Log'!$A:$A,"&lt;"&amp;$J252+7),0))</f>
        <v/>
      </c>
      <c r="D252" t="str">
        <f>IF($J252="","",IFERROR(COUNTIFS('Weekly Log'!$H:$H,"Y",'Weekly Log'!$A:$A,"&gt;="&amp;$J252,'Weekly Log'!$A:$A,"&lt;"&amp;$J252+7)/COUNTIFS('Weekly Log'!$H:$H,"&lt;&gt;",'Weekly Log'!$A:$A,"&gt;="&amp;$J252,'Weekly Log'!$A:$A,"&lt;"&amp;$J252+7),0))</f>
        <v/>
      </c>
      <c r="E252" t="str">
        <f>IF($J252="","",IFERROR(AVERAGEIFS('Weekly Log'!$F:$F,'Weekly Log'!$A:$A,"&gt;="&amp;$J252,'Weekly Log'!$A:$A,"&lt;"&amp;$J252+7),0))</f>
        <v/>
      </c>
      <c r="F252" t="str">
        <f>IF($J252="","",IFERROR(SUMIFS('Weekly Log'!$F:$F,'Weekly Log'!$A:$A,"&gt;="&amp;$J252,'Weekly Log'!$A:$A,"&lt;"&amp;$J252+7)/SUMIFS('Weekly Log'!$E:$E,'Weekly Log'!$A:$A,"&gt;="&amp;$J252,'Weekly Log'!$A:$A,"&lt;"&amp;$J252+7),0))</f>
        <v/>
      </c>
      <c r="G252" t="str">
        <f>IF($J252="","",IFERROR(LOOKUP(2,1/(('Weekly Log'!$A$5:$A$5000&gt;=$J252)*('Weekly Log'!$A$5:$A$5000&lt;$J252+7)*('Weekly Log'!$M$5:$M$5000&lt;&gt;"")),'Weekly Log'!$M$5:$M$5000),0))</f>
        <v/>
      </c>
      <c r="J252" t="str">
        <f>IF(COUNT('Weekly Log'!$A$5:$A$5000)=0,"",IF(MIN('Weekly Log'!$A$5:$A$5000)+7*(ROW()-10)&gt;MAX('Weekly Log'!$A$5:$A$5000),"",MIN('Weekly Log'!$A$5:$A$5000)+7*(ROW()-10)))</f>
        <v/>
      </c>
    </row>
    <row r="253" spans="1:10" x14ac:dyDescent="0.25">
      <c r="A253" t="str">
        <f t="shared" si="3"/>
        <v/>
      </c>
      <c r="B253" t="str">
        <f>IF($J253="","",SUMIFS('Weekly Log'!$C:$C,'Weekly Log'!$A:$A,"&gt;="&amp;$J253,'Weekly Log'!$A:$A,"&lt;"&amp;$J253+7))</f>
        <v/>
      </c>
      <c r="C253" t="str">
        <f>IF($J253="","",IFERROR(COUNTIFS('Weekly Log'!$G:$G,"Y",'Weekly Log'!$A:$A,"&gt;="&amp;$J253,'Weekly Log'!$A:$A,"&lt;"&amp;$J253+7)/COUNTIFS('Weekly Log'!$G:$G,"&lt;&gt;",'Weekly Log'!$A:$A,"&gt;="&amp;$J253,'Weekly Log'!$A:$A,"&lt;"&amp;$J253+7),0))</f>
        <v/>
      </c>
      <c r="D253" t="str">
        <f>IF($J253="","",IFERROR(COUNTIFS('Weekly Log'!$H:$H,"Y",'Weekly Log'!$A:$A,"&gt;="&amp;$J253,'Weekly Log'!$A:$A,"&lt;"&amp;$J253+7)/COUNTIFS('Weekly Log'!$H:$H,"&lt;&gt;",'Weekly Log'!$A:$A,"&gt;="&amp;$J253,'Weekly Log'!$A:$A,"&lt;"&amp;$J253+7),0))</f>
        <v/>
      </c>
      <c r="E253" t="str">
        <f>IF($J253="","",IFERROR(AVERAGEIFS('Weekly Log'!$F:$F,'Weekly Log'!$A:$A,"&gt;="&amp;$J253,'Weekly Log'!$A:$A,"&lt;"&amp;$J253+7),0))</f>
        <v/>
      </c>
      <c r="F253" t="str">
        <f>IF($J253="","",IFERROR(SUMIFS('Weekly Log'!$F:$F,'Weekly Log'!$A:$A,"&gt;="&amp;$J253,'Weekly Log'!$A:$A,"&lt;"&amp;$J253+7)/SUMIFS('Weekly Log'!$E:$E,'Weekly Log'!$A:$A,"&gt;="&amp;$J253,'Weekly Log'!$A:$A,"&lt;"&amp;$J253+7),0))</f>
        <v/>
      </c>
      <c r="G253" t="str">
        <f>IF($J253="","",IFERROR(LOOKUP(2,1/(('Weekly Log'!$A$5:$A$5000&gt;=$J253)*('Weekly Log'!$A$5:$A$5000&lt;$J253+7)*('Weekly Log'!$M$5:$M$5000&lt;&gt;"")),'Weekly Log'!$M$5:$M$5000),0))</f>
        <v/>
      </c>
      <c r="J253" t="str">
        <f>IF(COUNT('Weekly Log'!$A$5:$A$5000)=0,"",IF(MIN('Weekly Log'!$A$5:$A$5000)+7*(ROW()-10)&gt;MAX('Weekly Log'!$A$5:$A$5000),"",MIN('Weekly Log'!$A$5:$A$5000)+7*(ROW()-10)))</f>
        <v/>
      </c>
    </row>
    <row r="254" spans="1:10" x14ac:dyDescent="0.25">
      <c r="A254" t="str">
        <f t="shared" si="3"/>
        <v/>
      </c>
      <c r="B254" t="str">
        <f>IF($J254="","",SUMIFS('Weekly Log'!$C:$C,'Weekly Log'!$A:$A,"&gt;="&amp;$J254,'Weekly Log'!$A:$A,"&lt;"&amp;$J254+7))</f>
        <v/>
      </c>
      <c r="C254" t="str">
        <f>IF($J254="","",IFERROR(COUNTIFS('Weekly Log'!$G:$G,"Y",'Weekly Log'!$A:$A,"&gt;="&amp;$J254,'Weekly Log'!$A:$A,"&lt;"&amp;$J254+7)/COUNTIFS('Weekly Log'!$G:$G,"&lt;&gt;",'Weekly Log'!$A:$A,"&gt;="&amp;$J254,'Weekly Log'!$A:$A,"&lt;"&amp;$J254+7),0))</f>
        <v/>
      </c>
      <c r="D254" t="str">
        <f>IF($J254="","",IFERROR(COUNTIFS('Weekly Log'!$H:$H,"Y",'Weekly Log'!$A:$A,"&gt;="&amp;$J254,'Weekly Log'!$A:$A,"&lt;"&amp;$J254+7)/COUNTIFS('Weekly Log'!$H:$H,"&lt;&gt;",'Weekly Log'!$A:$A,"&gt;="&amp;$J254,'Weekly Log'!$A:$A,"&lt;"&amp;$J254+7),0))</f>
        <v/>
      </c>
      <c r="E254" t="str">
        <f>IF($J254="","",IFERROR(AVERAGEIFS('Weekly Log'!$F:$F,'Weekly Log'!$A:$A,"&gt;="&amp;$J254,'Weekly Log'!$A:$A,"&lt;"&amp;$J254+7),0))</f>
        <v/>
      </c>
      <c r="F254" t="str">
        <f>IF($J254="","",IFERROR(SUMIFS('Weekly Log'!$F:$F,'Weekly Log'!$A:$A,"&gt;="&amp;$J254,'Weekly Log'!$A:$A,"&lt;"&amp;$J254+7)/SUMIFS('Weekly Log'!$E:$E,'Weekly Log'!$A:$A,"&gt;="&amp;$J254,'Weekly Log'!$A:$A,"&lt;"&amp;$J254+7),0))</f>
        <v/>
      </c>
      <c r="G254" t="str">
        <f>IF($J254="","",IFERROR(LOOKUP(2,1/(('Weekly Log'!$A$5:$A$5000&gt;=$J254)*('Weekly Log'!$A$5:$A$5000&lt;$J254+7)*('Weekly Log'!$M$5:$M$5000&lt;&gt;"")),'Weekly Log'!$M$5:$M$5000),0))</f>
        <v/>
      </c>
      <c r="J254" t="str">
        <f>IF(COUNT('Weekly Log'!$A$5:$A$5000)=0,"",IF(MIN('Weekly Log'!$A$5:$A$5000)+7*(ROW()-10)&gt;MAX('Weekly Log'!$A$5:$A$5000),"",MIN('Weekly Log'!$A$5:$A$5000)+7*(ROW()-10)))</f>
        <v/>
      </c>
    </row>
    <row r="255" spans="1:10" x14ac:dyDescent="0.25">
      <c r="A255" t="str">
        <f t="shared" si="3"/>
        <v/>
      </c>
      <c r="B255" t="str">
        <f>IF($J255="","",SUMIFS('Weekly Log'!$C:$C,'Weekly Log'!$A:$A,"&gt;="&amp;$J255,'Weekly Log'!$A:$A,"&lt;"&amp;$J255+7))</f>
        <v/>
      </c>
      <c r="C255" t="str">
        <f>IF($J255="","",IFERROR(COUNTIFS('Weekly Log'!$G:$G,"Y",'Weekly Log'!$A:$A,"&gt;="&amp;$J255,'Weekly Log'!$A:$A,"&lt;"&amp;$J255+7)/COUNTIFS('Weekly Log'!$G:$G,"&lt;&gt;",'Weekly Log'!$A:$A,"&gt;="&amp;$J255,'Weekly Log'!$A:$A,"&lt;"&amp;$J255+7),0))</f>
        <v/>
      </c>
      <c r="D255" t="str">
        <f>IF($J255="","",IFERROR(COUNTIFS('Weekly Log'!$H:$H,"Y",'Weekly Log'!$A:$A,"&gt;="&amp;$J255,'Weekly Log'!$A:$A,"&lt;"&amp;$J255+7)/COUNTIFS('Weekly Log'!$H:$H,"&lt;&gt;",'Weekly Log'!$A:$A,"&gt;="&amp;$J255,'Weekly Log'!$A:$A,"&lt;"&amp;$J255+7),0))</f>
        <v/>
      </c>
      <c r="E255" t="str">
        <f>IF($J255="","",IFERROR(AVERAGEIFS('Weekly Log'!$F:$F,'Weekly Log'!$A:$A,"&gt;="&amp;$J255,'Weekly Log'!$A:$A,"&lt;"&amp;$J255+7),0))</f>
        <v/>
      </c>
      <c r="F255" t="str">
        <f>IF($J255="","",IFERROR(SUMIFS('Weekly Log'!$F:$F,'Weekly Log'!$A:$A,"&gt;="&amp;$J255,'Weekly Log'!$A:$A,"&lt;"&amp;$J255+7)/SUMIFS('Weekly Log'!$E:$E,'Weekly Log'!$A:$A,"&gt;="&amp;$J255,'Weekly Log'!$A:$A,"&lt;"&amp;$J255+7),0))</f>
        <v/>
      </c>
      <c r="G255" t="str">
        <f>IF($J255="","",IFERROR(LOOKUP(2,1/(('Weekly Log'!$A$5:$A$5000&gt;=$J255)*('Weekly Log'!$A$5:$A$5000&lt;$J255+7)*('Weekly Log'!$M$5:$M$5000&lt;&gt;"")),'Weekly Log'!$M$5:$M$5000),0))</f>
        <v/>
      </c>
      <c r="J255" t="str">
        <f>IF(COUNT('Weekly Log'!$A$5:$A$5000)=0,"",IF(MIN('Weekly Log'!$A$5:$A$5000)+7*(ROW()-10)&gt;MAX('Weekly Log'!$A$5:$A$5000),"",MIN('Weekly Log'!$A$5:$A$5000)+7*(ROW()-10)))</f>
        <v/>
      </c>
    </row>
    <row r="256" spans="1:10" x14ac:dyDescent="0.25">
      <c r="A256" t="str">
        <f t="shared" si="3"/>
        <v/>
      </c>
      <c r="B256" t="str">
        <f>IF($J256="","",SUMIFS('Weekly Log'!$C:$C,'Weekly Log'!$A:$A,"&gt;="&amp;$J256,'Weekly Log'!$A:$A,"&lt;"&amp;$J256+7))</f>
        <v/>
      </c>
      <c r="C256" t="str">
        <f>IF($J256="","",IFERROR(COUNTIFS('Weekly Log'!$G:$G,"Y",'Weekly Log'!$A:$A,"&gt;="&amp;$J256,'Weekly Log'!$A:$A,"&lt;"&amp;$J256+7)/COUNTIFS('Weekly Log'!$G:$G,"&lt;&gt;",'Weekly Log'!$A:$A,"&gt;="&amp;$J256,'Weekly Log'!$A:$A,"&lt;"&amp;$J256+7),0))</f>
        <v/>
      </c>
      <c r="D256" t="str">
        <f>IF($J256="","",IFERROR(COUNTIFS('Weekly Log'!$H:$H,"Y",'Weekly Log'!$A:$A,"&gt;="&amp;$J256,'Weekly Log'!$A:$A,"&lt;"&amp;$J256+7)/COUNTIFS('Weekly Log'!$H:$H,"&lt;&gt;",'Weekly Log'!$A:$A,"&gt;="&amp;$J256,'Weekly Log'!$A:$A,"&lt;"&amp;$J256+7),0))</f>
        <v/>
      </c>
      <c r="E256" t="str">
        <f>IF($J256="","",IFERROR(AVERAGEIFS('Weekly Log'!$F:$F,'Weekly Log'!$A:$A,"&gt;="&amp;$J256,'Weekly Log'!$A:$A,"&lt;"&amp;$J256+7),0))</f>
        <v/>
      </c>
      <c r="F256" t="str">
        <f>IF($J256="","",IFERROR(SUMIFS('Weekly Log'!$F:$F,'Weekly Log'!$A:$A,"&gt;="&amp;$J256,'Weekly Log'!$A:$A,"&lt;"&amp;$J256+7)/SUMIFS('Weekly Log'!$E:$E,'Weekly Log'!$A:$A,"&gt;="&amp;$J256,'Weekly Log'!$A:$A,"&lt;"&amp;$J256+7),0))</f>
        <v/>
      </c>
      <c r="G256" t="str">
        <f>IF($J256="","",IFERROR(LOOKUP(2,1/(('Weekly Log'!$A$5:$A$5000&gt;=$J256)*('Weekly Log'!$A$5:$A$5000&lt;$J256+7)*('Weekly Log'!$M$5:$M$5000&lt;&gt;"")),'Weekly Log'!$M$5:$M$5000),0))</f>
        <v/>
      </c>
      <c r="J256" t="str">
        <f>IF(COUNT('Weekly Log'!$A$5:$A$5000)=0,"",IF(MIN('Weekly Log'!$A$5:$A$5000)+7*(ROW()-10)&gt;MAX('Weekly Log'!$A$5:$A$5000),"",MIN('Weekly Log'!$A$5:$A$5000)+7*(ROW()-10)))</f>
        <v/>
      </c>
    </row>
    <row r="257" spans="1:10" x14ac:dyDescent="0.25">
      <c r="A257" t="str">
        <f t="shared" si="3"/>
        <v/>
      </c>
      <c r="B257" t="str">
        <f>IF($J257="","",SUMIFS('Weekly Log'!$C:$C,'Weekly Log'!$A:$A,"&gt;="&amp;$J257,'Weekly Log'!$A:$A,"&lt;"&amp;$J257+7))</f>
        <v/>
      </c>
      <c r="C257" t="str">
        <f>IF($J257="","",IFERROR(COUNTIFS('Weekly Log'!$G:$G,"Y",'Weekly Log'!$A:$A,"&gt;="&amp;$J257,'Weekly Log'!$A:$A,"&lt;"&amp;$J257+7)/COUNTIFS('Weekly Log'!$G:$G,"&lt;&gt;",'Weekly Log'!$A:$A,"&gt;="&amp;$J257,'Weekly Log'!$A:$A,"&lt;"&amp;$J257+7),0))</f>
        <v/>
      </c>
      <c r="D257" t="str">
        <f>IF($J257="","",IFERROR(COUNTIFS('Weekly Log'!$H:$H,"Y",'Weekly Log'!$A:$A,"&gt;="&amp;$J257,'Weekly Log'!$A:$A,"&lt;"&amp;$J257+7)/COUNTIFS('Weekly Log'!$H:$H,"&lt;&gt;",'Weekly Log'!$A:$A,"&gt;="&amp;$J257,'Weekly Log'!$A:$A,"&lt;"&amp;$J257+7),0))</f>
        <v/>
      </c>
      <c r="E257" t="str">
        <f>IF($J257="","",IFERROR(AVERAGEIFS('Weekly Log'!$F:$F,'Weekly Log'!$A:$A,"&gt;="&amp;$J257,'Weekly Log'!$A:$A,"&lt;"&amp;$J257+7),0))</f>
        <v/>
      </c>
      <c r="F257" t="str">
        <f>IF($J257="","",IFERROR(SUMIFS('Weekly Log'!$F:$F,'Weekly Log'!$A:$A,"&gt;="&amp;$J257,'Weekly Log'!$A:$A,"&lt;"&amp;$J257+7)/SUMIFS('Weekly Log'!$E:$E,'Weekly Log'!$A:$A,"&gt;="&amp;$J257,'Weekly Log'!$A:$A,"&lt;"&amp;$J257+7),0))</f>
        <v/>
      </c>
      <c r="G257" t="str">
        <f>IF($J257="","",IFERROR(LOOKUP(2,1/(('Weekly Log'!$A$5:$A$5000&gt;=$J257)*('Weekly Log'!$A$5:$A$5000&lt;$J257+7)*('Weekly Log'!$M$5:$M$5000&lt;&gt;"")),'Weekly Log'!$M$5:$M$5000),0))</f>
        <v/>
      </c>
      <c r="J257" t="str">
        <f>IF(COUNT('Weekly Log'!$A$5:$A$5000)=0,"",IF(MIN('Weekly Log'!$A$5:$A$5000)+7*(ROW()-10)&gt;MAX('Weekly Log'!$A$5:$A$5000),"",MIN('Weekly Log'!$A$5:$A$5000)+7*(ROW()-10)))</f>
        <v/>
      </c>
    </row>
    <row r="258" spans="1:10" x14ac:dyDescent="0.25">
      <c r="A258" t="str">
        <f t="shared" si="3"/>
        <v/>
      </c>
      <c r="B258" t="str">
        <f>IF($J258="","",SUMIFS('Weekly Log'!$C:$C,'Weekly Log'!$A:$A,"&gt;="&amp;$J258,'Weekly Log'!$A:$A,"&lt;"&amp;$J258+7))</f>
        <v/>
      </c>
      <c r="C258" t="str">
        <f>IF($J258="","",IFERROR(COUNTIFS('Weekly Log'!$G:$G,"Y",'Weekly Log'!$A:$A,"&gt;="&amp;$J258,'Weekly Log'!$A:$A,"&lt;"&amp;$J258+7)/COUNTIFS('Weekly Log'!$G:$G,"&lt;&gt;",'Weekly Log'!$A:$A,"&gt;="&amp;$J258,'Weekly Log'!$A:$A,"&lt;"&amp;$J258+7),0))</f>
        <v/>
      </c>
      <c r="D258" t="str">
        <f>IF($J258="","",IFERROR(COUNTIFS('Weekly Log'!$H:$H,"Y",'Weekly Log'!$A:$A,"&gt;="&amp;$J258,'Weekly Log'!$A:$A,"&lt;"&amp;$J258+7)/COUNTIFS('Weekly Log'!$H:$H,"&lt;&gt;",'Weekly Log'!$A:$A,"&gt;="&amp;$J258,'Weekly Log'!$A:$A,"&lt;"&amp;$J258+7),0))</f>
        <v/>
      </c>
      <c r="E258" t="str">
        <f>IF($J258="","",IFERROR(AVERAGEIFS('Weekly Log'!$F:$F,'Weekly Log'!$A:$A,"&gt;="&amp;$J258,'Weekly Log'!$A:$A,"&lt;"&amp;$J258+7),0))</f>
        <v/>
      </c>
      <c r="F258" t="str">
        <f>IF($J258="","",IFERROR(SUMIFS('Weekly Log'!$F:$F,'Weekly Log'!$A:$A,"&gt;="&amp;$J258,'Weekly Log'!$A:$A,"&lt;"&amp;$J258+7)/SUMIFS('Weekly Log'!$E:$E,'Weekly Log'!$A:$A,"&gt;="&amp;$J258,'Weekly Log'!$A:$A,"&lt;"&amp;$J258+7),0))</f>
        <v/>
      </c>
      <c r="G258" t="str">
        <f>IF($J258="","",IFERROR(LOOKUP(2,1/(('Weekly Log'!$A$5:$A$5000&gt;=$J258)*('Weekly Log'!$A$5:$A$5000&lt;$J258+7)*('Weekly Log'!$M$5:$M$5000&lt;&gt;"")),'Weekly Log'!$M$5:$M$5000),0))</f>
        <v/>
      </c>
      <c r="J258" t="str">
        <f>IF(COUNT('Weekly Log'!$A$5:$A$5000)=0,"",IF(MIN('Weekly Log'!$A$5:$A$5000)+7*(ROW()-10)&gt;MAX('Weekly Log'!$A$5:$A$5000),"",MIN('Weekly Log'!$A$5:$A$5000)+7*(ROW()-10)))</f>
        <v/>
      </c>
    </row>
    <row r="259" spans="1:10" x14ac:dyDescent="0.25">
      <c r="A259" t="str">
        <f t="shared" si="3"/>
        <v/>
      </c>
      <c r="B259" t="str">
        <f>IF($J259="","",SUMIFS('Weekly Log'!$C:$C,'Weekly Log'!$A:$A,"&gt;="&amp;$J259,'Weekly Log'!$A:$A,"&lt;"&amp;$J259+7))</f>
        <v/>
      </c>
      <c r="C259" t="str">
        <f>IF($J259="","",IFERROR(COUNTIFS('Weekly Log'!$G:$G,"Y",'Weekly Log'!$A:$A,"&gt;="&amp;$J259,'Weekly Log'!$A:$A,"&lt;"&amp;$J259+7)/COUNTIFS('Weekly Log'!$G:$G,"&lt;&gt;",'Weekly Log'!$A:$A,"&gt;="&amp;$J259,'Weekly Log'!$A:$A,"&lt;"&amp;$J259+7),0))</f>
        <v/>
      </c>
      <c r="D259" t="str">
        <f>IF($J259="","",IFERROR(COUNTIFS('Weekly Log'!$H:$H,"Y",'Weekly Log'!$A:$A,"&gt;="&amp;$J259,'Weekly Log'!$A:$A,"&lt;"&amp;$J259+7)/COUNTIFS('Weekly Log'!$H:$H,"&lt;&gt;",'Weekly Log'!$A:$A,"&gt;="&amp;$J259,'Weekly Log'!$A:$A,"&lt;"&amp;$J259+7),0))</f>
        <v/>
      </c>
      <c r="E259" t="str">
        <f>IF($J259="","",IFERROR(AVERAGEIFS('Weekly Log'!$F:$F,'Weekly Log'!$A:$A,"&gt;="&amp;$J259,'Weekly Log'!$A:$A,"&lt;"&amp;$J259+7),0))</f>
        <v/>
      </c>
      <c r="F259" t="str">
        <f>IF($J259="","",IFERROR(SUMIFS('Weekly Log'!$F:$F,'Weekly Log'!$A:$A,"&gt;="&amp;$J259,'Weekly Log'!$A:$A,"&lt;"&amp;$J259+7)/SUMIFS('Weekly Log'!$E:$E,'Weekly Log'!$A:$A,"&gt;="&amp;$J259,'Weekly Log'!$A:$A,"&lt;"&amp;$J259+7),0))</f>
        <v/>
      </c>
      <c r="G259" t="str">
        <f>IF($J259="","",IFERROR(LOOKUP(2,1/(('Weekly Log'!$A$5:$A$5000&gt;=$J259)*('Weekly Log'!$A$5:$A$5000&lt;$J259+7)*('Weekly Log'!$M$5:$M$5000&lt;&gt;"")),'Weekly Log'!$M$5:$M$5000),0))</f>
        <v/>
      </c>
      <c r="J259" t="str">
        <f>IF(COUNT('Weekly Log'!$A$5:$A$5000)=0,"",IF(MIN('Weekly Log'!$A$5:$A$5000)+7*(ROW()-10)&gt;MAX('Weekly Log'!$A$5:$A$5000),"",MIN('Weekly Log'!$A$5:$A$5000)+7*(ROW()-10)))</f>
        <v/>
      </c>
    </row>
    <row r="260" spans="1:10" x14ac:dyDescent="0.25">
      <c r="A260" t="str">
        <f t="shared" si="3"/>
        <v/>
      </c>
      <c r="B260" t="str">
        <f>IF($J260="","",SUMIFS('Weekly Log'!$C:$C,'Weekly Log'!$A:$A,"&gt;="&amp;$J260,'Weekly Log'!$A:$A,"&lt;"&amp;$J260+7))</f>
        <v/>
      </c>
      <c r="C260" t="str">
        <f>IF($J260="","",IFERROR(COUNTIFS('Weekly Log'!$G:$G,"Y",'Weekly Log'!$A:$A,"&gt;="&amp;$J260,'Weekly Log'!$A:$A,"&lt;"&amp;$J260+7)/COUNTIFS('Weekly Log'!$G:$G,"&lt;&gt;",'Weekly Log'!$A:$A,"&gt;="&amp;$J260,'Weekly Log'!$A:$A,"&lt;"&amp;$J260+7),0))</f>
        <v/>
      </c>
      <c r="D260" t="str">
        <f>IF($J260="","",IFERROR(COUNTIFS('Weekly Log'!$H:$H,"Y",'Weekly Log'!$A:$A,"&gt;="&amp;$J260,'Weekly Log'!$A:$A,"&lt;"&amp;$J260+7)/COUNTIFS('Weekly Log'!$H:$H,"&lt;&gt;",'Weekly Log'!$A:$A,"&gt;="&amp;$J260,'Weekly Log'!$A:$A,"&lt;"&amp;$J260+7),0))</f>
        <v/>
      </c>
      <c r="E260" t="str">
        <f>IF($J260="","",IFERROR(AVERAGEIFS('Weekly Log'!$F:$F,'Weekly Log'!$A:$A,"&gt;="&amp;$J260,'Weekly Log'!$A:$A,"&lt;"&amp;$J260+7),0))</f>
        <v/>
      </c>
      <c r="F260" t="str">
        <f>IF($J260="","",IFERROR(SUMIFS('Weekly Log'!$F:$F,'Weekly Log'!$A:$A,"&gt;="&amp;$J260,'Weekly Log'!$A:$A,"&lt;"&amp;$J260+7)/SUMIFS('Weekly Log'!$E:$E,'Weekly Log'!$A:$A,"&gt;="&amp;$J260,'Weekly Log'!$A:$A,"&lt;"&amp;$J260+7),0))</f>
        <v/>
      </c>
      <c r="G260" t="str">
        <f>IF($J260="","",IFERROR(LOOKUP(2,1/(('Weekly Log'!$A$5:$A$5000&gt;=$J260)*('Weekly Log'!$A$5:$A$5000&lt;$J260+7)*('Weekly Log'!$M$5:$M$5000&lt;&gt;"")),'Weekly Log'!$M$5:$M$5000),0))</f>
        <v/>
      </c>
      <c r="J260" t="str">
        <f>IF(COUNT('Weekly Log'!$A$5:$A$5000)=0,"",IF(MIN('Weekly Log'!$A$5:$A$5000)+7*(ROW()-10)&gt;MAX('Weekly Log'!$A$5:$A$5000),"",MIN('Weekly Log'!$A$5:$A$5000)+7*(ROW()-10)))</f>
        <v/>
      </c>
    </row>
    <row r="261" spans="1:10" x14ac:dyDescent="0.25">
      <c r="A261" t="str">
        <f t="shared" si="3"/>
        <v/>
      </c>
      <c r="B261" t="str">
        <f>IF($J261="","",SUMIFS('Weekly Log'!$C:$C,'Weekly Log'!$A:$A,"&gt;="&amp;$J261,'Weekly Log'!$A:$A,"&lt;"&amp;$J261+7))</f>
        <v/>
      </c>
      <c r="C261" t="str">
        <f>IF($J261="","",IFERROR(COUNTIFS('Weekly Log'!$G:$G,"Y",'Weekly Log'!$A:$A,"&gt;="&amp;$J261,'Weekly Log'!$A:$A,"&lt;"&amp;$J261+7)/COUNTIFS('Weekly Log'!$G:$G,"&lt;&gt;",'Weekly Log'!$A:$A,"&gt;="&amp;$J261,'Weekly Log'!$A:$A,"&lt;"&amp;$J261+7),0))</f>
        <v/>
      </c>
      <c r="D261" t="str">
        <f>IF($J261="","",IFERROR(COUNTIFS('Weekly Log'!$H:$H,"Y",'Weekly Log'!$A:$A,"&gt;="&amp;$J261,'Weekly Log'!$A:$A,"&lt;"&amp;$J261+7)/COUNTIFS('Weekly Log'!$H:$H,"&lt;&gt;",'Weekly Log'!$A:$A,"&gt;="&amp;$J261,'Weekly Log'!$A:$A,"&lt;"&amp;$J261+7),0))</f>
        <v/>
      </c>
      <c r="E261" t="str">
        <f>IF($J261="","",IFERROR(AVERAGEIFS('Weekly Log'!$F:$F,'Weekly Log'!$A:$A,"&gt;="&amp;$J261,'Weekly Log'!$A:$A,"&lt;"&amp;$J261+7),0))</f>
        <v/>
      </c>
      <c r="F261" t="str">
        <f>IF($J261="","",IFERROR(SUMIFS('Weekly Log'!$F:$F,'Weekly Log'!$A:$A,"&gt;="&amp;$J261,'Weekly Log'!$A:$A,"&lt;"&amp;$J261+7)/SUMIFS('Weekly Log'!$E:$E,'Weekly Log'!$A:$A,"&gt;="&amp;$J261,'Weekly Log'!$A:$A,"&lt;"&amp;$J261+7),0))</f>
        <v/>
      </c>
      <c r="G261" t="str">
        <f>IF($J261="","",IFERROR(LOOKUP(2,1/(('Weekly Log'!$A$5:$A$5000&gt;=$J261)*('Weekly Log'!$A$5:$A$5000&lt;$J261+7)*('Weekly Log'!$M$5:$M$5000&lt;&gt;"")),'Weekly Log'!$M$5:$M$5000),0))</f>
        <v/>
      </c>
      <c r="J261" t="str">
        <f>IF(COUNT('Weekly Log'!$A$5:$A$5000)=0,"",IF(MIN('Weekly Log'!$A$5:$A$5000)+7*(ROW()-10)&gt;MAX('Weekly Log'!$A$5:$A$5000),"",MIN('Weekly Log'!$A$5:$A$5000)+7*(ROW()-10)))</f>
        <v/>
      </c>
    </row>
    <row r="262" spans="1:10" x14ac:dyDescent="0.25">
      <c r="A262" t="str">
        <f t="shared" si="3"/>
        <v/>
      </c>
      <c r="B262" t="str">
        <f>IF($J262="","",SUMIFS('Weekly Log'!$C:$C,'Weekly Log'!$A:$A,"&gt;="&amp;$J262,'Weekly Log'!$A:$A,"&lt;"&amp;$J262+7))</f>
        <v/>
      </c>
      <c r="C262" t="str">
        <f>IF($J262="","",IFERROR(COUNTIFS('Weekly Log'!$G:$G,"Y",'Weekly Log'!$A:$A,"&gt;="&amp;$J262,'Weekly Log'!$A:$A,"&lt;"&amp;$J262+7)/COUNTIFS('Weekly Log'!$G:$G,"&lt;&gt;",'Weekly Log'!$A:$A,"&gt;="&amp;$J262,'Weekly Log'!$A:$A,"&lt;"&amp;$J262+7),0))</f>
        <v/>
      </c>
      <c r="D262" t="str">
        <f>IF($J262="","",IFERROR(COUNTIFS('Weekly Log'!$H:$H,"Y",'Weekly Log'!$A:$A,"&gt;="&amp;$J262,'Weekly Log'!$A:$A,"&lt;"&amp;$J262+7)/COUNTIFS('Weekly Log'!$H:$H,"&lt;&gt;",'Weekly Log'!$A:$A,"&gt;="&amp;$J262,'Weekly Log'!$A:$A,"&lt;"&amp;$J262+7),0))</f>
        <v/>
      </c>
      <c r="E262" t="str">
        <f>IF($J262="","",IFERROR(AVERAGEIFS('Weekly Log'!$F:$F,'Weekly Log'!$A:$A,"&gt;="&amp;$J262,'Weekly Log'!$A:$A,"&lt;"&amp;$J262+7),0))</f>
        <v/>
      </c>
      <c r="F262" t="str">
        <f>IF($J262="","",IFERROR(SUMIFS('Weekly Log'!$F:$F,'Weekly Log'!$A:$A,"&gt;="&amp;$J262,'Weekly Log'!$A:$A,"&lt;"&amp;$J262+7)/SUMIFS('Weekly Log'!$E:$E,'Weekly Log'!$A:$A,"&gt;="&amp;$J262,'Weekly Log'!$A:$A,"&lt;"&amp;$J262+7),0))</f>
        <v/>
      </c>
      <c r="G262" t="str">
        <f>IF($J262="","",IFERROR(LOOKUP(2,1/(('Weekly Log'!$A$5:$A$5000&gt;=$J262)*('Weekly Log'!$A$5:$A$5000&lt;$J262+7)*('Weekly Log'!$M$5:$M$5000&lt;&gt;"")),'Weekly Log'!$M$5:$M$5000),0))</f>
        <v/>
      </c>
      <c r="J262" t="str">
        <f>IF(COUNT('Weekly Log'!$A$5:$A$5000)=0,"",IF(MIN('Weekly Log'!$A$5:$A$5000)+7*(ROW()-10)&gt;MAX('Weekly Log'!$A$5:$A$5000),"",MIN('Weekly Log'!$A$5:$A$5000)+7*(ROW()-10)))</f>
        <v/>
      </c>
    </row>
    <row r="263" spans="1:10" x14ac:dyDescent="0.25">
      <c r="A263" t="str">
        <f t="shared" si="3"/>
        <v/>
      </c>
      <c r="B263" t="str">
        <f>IF($J263="","",SUMIFS('Weekly Log'!$C:$C,'Weekly Log'!$A:$A,"&gt;="&amp;$J263,'Weekly Log'!$A:$A,"&lt;"&amp;$J263+7))</f>
        <v/>
      </c>
      <c r="C263" t="str">
        <f>IF($J263="","",IFERROR(COUNTIFS('Weekly Log'!$G:$G,"Y",'Weekly Log'!$A:$A,"&gt;="&amp;$J263,'Weekly Log'!$A:$A,"&lt;"&amp;$J263+7)/COUNTIFS('Weekly Log'!$G:$G,"&lt;&gt;",'Weekly Log'!$A:$A,"&gt;="&amp;$J263,'Weekly Log'!$A:$A,"&lt;"&amp;$J263+7),0))</f>
        <v/>
      </c>
      <c r="D263" t="str">
        <f>IF($J263="","",IFERROR(COUNTIFS('Weekly Log'!$H:$H,"Y",'Weekly Log'!$A:$A,"&gt;="&amp;$J263,'Weekly Log'!$A:$A,"&lt;"&amp;$J263+7)/COUNTIFS('Weekly Log'!$H:$H,"&lt;&gt;",'Weekly Log'!$A:$A,"&gt;="&amp;$J263,'Weekly Log'!$A:$A,"&lt;"&amp;$J263+7),0))</f>
        <v/>
      </c>
      <c r="E263" t="str">
        <f>IF($J263="","",IFERROR(AVERAGEIFS('Weekly Log'!$F:$F,'Weekly Log'!$A:$A,"&gt;="&amp;$J263,'Weekly Log'!$A:$A,"&lt;"&amp;$J263+7),0))</f>
        <v/>
      </c>
      <c r="F263" t="str">
        <f>IF($J263="","",IFERROR(SUMIFS('Weekly Log'!$F:$F,'Weekly Log'!$A:$A,"&gt;="&amp;$J263,'Weekly Log'!$A:$A,"&lt;"&amp;$J263+7)/SUMIFS('Weekly Log'!$E:$E,'Weekly Log'!$A:$A,"&gt;="&amp;$J263,'Weekly Log'!$A:$A,"&lt;"&amp;$J263+7),0))</f>
        <v/>
      </c>
      <c r="G263" t="str">
        <f>IF($J263="","",IFERROR(LOOKUP(2,1/(('Weekly Log'!$A$5:$A$5000&gt;=$J263)*('Weekly Log'!$A$5:$A$5000&lt;$J263+7)*('Weekly Log'!$M$5:$M$5000&lt;&gt;"")),'Weekly Log'!$M$5:$M$5000),0))</f>
        <v/>
      </c>
      <c r="J263" t="str">
        <f>IF(COUNT('Weekly Log'!$A$5:$A$5000)=0,"",IF(MIN('Weekly Log'!$A$5:$A$5000)+7*(ROW()-10)&gt;MAX('Weekly Log'!$A$5:$A$5000),"",MIN('Weekly Log'!$A$5:$A$5000)+7*(ROW()-10)))</f>
        <v/>
      </c>
    </row>
    <row r="264" spans="1:10" x14ac:dyDescent="0.25">
      <c r="A264" t="str">
        <f t="shared" si="3"/>
        <v/>
      </c>
      <c r="B264" t="str">
        <f>IF($J264="","",SUMIFS('Weekly Log'!$C:$C,'Weekly Log'!$A:$A,"&gt;="&amp;$J264,'Weekly Log'!$A:$A,"&lt;"&amp;$J264+7))</f>
        <v/>
      </c>
      <c r="C264" t="str">
        <f>IF($J264="","",IFERROR(COUNTIFS('Weekly Log'!$G:$G,"Y",'Weekly Log'!$A:$A,"&gt;="&amp;$J264,'Weekly Log'!$A:$A,"&lt;"&amp;$J264+7)/COUNTIFS('Weekly Log'!$G:$G,"&lt;&gt;",'Weekly Log'!$A:$A,"&gt;="&amp;$J264,'Weekly Log'!$A:$A,"&lt;"&amp;$J264+7),0))</f>
        <v/>
      </c>
      <c r="D264" t="str">
        <f>IF($J264="","",IFERROR(COUNTIFS('Weekly Log'!$H:$H,"Y",'Weekly Log'!$A:$A,"&gt;="&amp;$J264,'Weekly Log'!$A:$A,"&lt;"&amp;$J264+7)/COUNTIFS('Weekly Log'!$H:$H,"&lt;&gt;",'Weekly Log'!$A:$A,"&gt;="&amp;$J264,'Weekly Log'!$A:$A,"&lt;"&amp;$J264+7),0))</f>
        <v/>
      </c>
      <c r="E264" t="str">
        <f>IF($J264="","",IFERROR(AVERAGEIFS('Weekly Log'!$F:$F,'Weekly Log'!$A:$A,"&gt;="&amp;$J264,'Weekly Log'!$A:$A,"&lt;"&amp;$J264+7),0))</f>
        <v/>
      </c>
      <c r="F264" t="str">
        <f>IF($J264="","",IFERROR(SUMIFS('Weekly Log'!$F:$F,'Weekly Log'!$A:$A,"&gt;="&amp;$J264,'Weekly Log'!$A:$A,"&lt;"&amp;$J264+7)/SUMIFS('Weekly Log'!$E:$E,'Weekly Log'!$A:$A,"&gt;="&amp;$J264,'Weekly Log'!$A:$A,"&lt;"&amp;$J264+7),0))</f>
        <v/>
      </c>
      <c r="G264" t="str">
        <f>IF($J264="","",IFERROR(LOOKUP(2,1/(('Weekly Log'!$A$5:$A$5000&gt;=$J264)*('Weekly Log'!$A$5:$A$5000&lt;$J264+7)*('Weekly Log'!$M$5:$M$5000&lt;&gt;"")),'Weekly Log'!$M$5:$M$5000),0))</f>
        <v/>
      </c>
      <c r="J264" t="str">
        <f>IF(COUNT('Weekly Log'!$A$5:$A$5000)=0,"",IF(MIN('Weekly Log'!$A$5:$A$5000)+7*(ROW()-10)&gt;MAX('Weekly Log'!$A$5:$A$5000),"",MIN('Weekly Log'!$A$5:$A$5000)+7*(ROW()-10)))</f>
        <v/>
      </c>
    </row>
    <row r="265" spans="1:10" x14ac:dyDescent="0.25">
      <c r="A265" t="str">
        <f t="shared" si="3"/>
        <v/>
      </c>
      <c r="B265" t="str">
        <f>IF($J265="","",SUMIFS('Weekly Log'!$C:$C,'Weekly Log'!$A:$A,"&gt;="&amp;$J265,'Weekly Log'!$A:$A,"&lt;"&amp;$J265+7))</f>
        <v/>
      </c>
      <c r="C265" t="str">
        <f>IF($J265="","",IFERROR(COUNTIFS('Weekly Log'!$G:$G,"Y",'Weekly Log'!$A:$A,"&gt;="&amp;$J265,'Weekly Log'!$A:$A,"&lt;"&amp;$J265+7)/COUNTIFS('Weekly Log'!$G:$G,"&lt;&gt;",'Weekly Log'!$A:$A,"&gt;="&amp;$J265,'Weekly Log'!$A:$A,"&lt;"&amp;$J265+7),0))</f>
        <v/>
      </c>
      <c r="D265" t="str">
        <f>IF($J265="","",IFERROR(COUNTIFS('Weekly Log'!$H:$H,"Y",'Weekly Log'!$A:$A,"&gt;="&amp;$J265,'Weekly Log'!$A:$A,"&lt;"&amp;$J265+7)/COUNTIFS('Weekly Log'!$H:$H,"&lt;&gt;",'Weekly Log'!$A:$A,"&gt;="&amp;$J265,'Weekly Log'!$A:$A,"&lt;"&amp;$J265+7),0))</f>
        <v/>
      </c>
      <c r="E265" t="str">
        <f>IF($J265="","",IFERROR(AVERAGEIFS('Weekly Log'!$F:$F,'Weekly Log'!$A:$A,"&gt;="&amp;$J265,'Weekly Log'!$A:$A,"&lt;"&amp;$J265+7),0))</f>
        <v/>
      </c>
      <c r="F265" t="str">
        <f>IF($J265="","",IFERROR(SUMIFS('Weekly Log'!$F:$F,'Weekly Log'!$A:$A,"&gt;="&amp;$J265,'Weekly Log'!$A:$A,"&lt;"&amp;$J265+7)/SUMIFS('Weekly Log'!$E:$E,'Weekly Log'!$A:$A,"&gt;="&amp;$J265,'Weekly Log'!$A:$A,"&lt;"&amp;$J265+7),0))</f>
        <v/>
      </c>
      <c r="G265" t="str">
        <f>IF($J265="","",IFERROR(LOOKUP(2,1/(('Weekly Log'!$A$5:$A$5000&gt;=$J265)*('Weekly Log'!$A$5:$A$5000&lt;$J265+7)*('Weekly Log'!$M$5:$M$5000&lt;&gt;"")),'Weekly Log'!$M$5:$M$5000),0))</f>
        <v/>
      </c>
      <c r="J265" t="str">
        <f>IF(COUNT('Weekly Log'!$A$5:$A$5000)=0,"",IF(MIN('Weekly Log'!$A$5:$A$5000)+7*(ROW()-10)&gt;MAX('Weekly Log'!$A$5:$A$5000),"",MIN('Weekly Log'!$A$5:$A$5000)+7*(ROW()-10)))</f>
        <v/>
      </c>
    </row>
    <row r="266" spans="1:10" x14ac:dyDescent="0.25">
      <c r="A266" t="str">
        <f t="shared" ref="A266:A329" si="4">IF($J266="","",YEAR($J266-WEEKDAY($J266,2)+4)&amp;"-W"&amp;TEXT(WEEKNUM($J266,21),"00"))</f>
        <v/>
      </c>
      <c r="B266" t="str">
        <f>IF($J266="","",SUMIFS('Weekly Log'!$C:$C,'Weekly Log'!$A:$A,"&gt;="&amp;$J266,'Weekly Log'!$A:$A,"&lt;"&amp;$J266+7))</f>
        <v/>
      </c>
      <c r="C266" t="str">
        <f>IF($J266="","",IFERROR(COUNTIFS('Weekly Log'!$G:$G,"Y",'Weekly Log'!$A:$A,"&gt;="&amp;$J266,'Weekly Log'!$A:$A,"&lt;"&amp;$J266+7)/COUNTIFS('Weekly Log'!$G:$G,"&lt;&gt;",'Weekly Log'!$A:$A,"&gt;="&amp;$J266,'Weekly Log'!$A:$A,"&lt;"&amp;$J266+7),0))</f>
        <v/>
      </c>
      <c r="D266" t="str">
        <f>IF($J266="","",IFERROR(COUNTIFS('Weekly Log'!$H:$H,"Y",'Weekly Log'!$A:$A,"&gt;="&amp;$J266,'Weekly Log'!$A:$A,"&lt;"&amp;$J266+7)/COUNTIFS('Weekly Log'!$H:$H,"&lt;&gt;",'Weekly Log'!$A:$A,"&gt;="&amp;$J266,'Weekly Log'!$A:$A,"&lt;"&amp;$J266+7),0))</f>
        <v/>
      </c>
      <c r="E266" t="str">
        <f>IF($J266="","",IFERROR(AVERAGEIFS('Weekly Log'!$F:$F,'Weekly Log'!$A:$A,"&gt;="&amp;$J266,'Weekly Log'!$A:$A,"&lt;"&amp;$J266+7),0))</f>
        <v/>
      </c>
      <c r="F266" t="str">
        <f>IF($J266="","",IFERROR(SUMIFS('Weekly Log'!$F:$F,'Weekly Log'!$A:$A,"&gt;="&amp;$J266,'Weekly Log'!$A:$A,"&lt;"&amp;$J266+7)/SUMIFS('Weekly Log'!$E:$E,'Weekly Log'!$A:$A,"&gt;="&amp;$J266,'Weekly Log'!$A:$A,"&lt;"&amp;$J266+7),0))</f>
        <v/>
      </c>
      <c r="G266" t="str">
        <f>IF($J266="","",IFERROR(LOOKUP(2,1/(('Weekly Log'!$A$5:$A$5000&gt;=$J266)*('Weekly Log'!$A$5:$A$5000&lt;$J266+7)*('Weekly Log'!$M$5:$M$5000&lt;&gt;"")),'Weekly Log'!$M$5:$M$5000),0))</f>
        <v/>
      </c>
      <c r="J266" t="str">
        <f>IF(COUNT('Weekly Log'!$A$5:$A$5000)=0,"",IF(MIN('Weekly Log'!$A$5:$A$5000)+7*(ROW()-10)&gt;MAX('Weekly Log'!$A$5:$A$5000),"",MIN('Weekly Log'!$A$5:$A$5000)+7*(ROW()-10)))</f>
        <v/>
      </c>
    </row>
    <row r="267" spans="1:10" x14ac:dyDescent="0.25">
      <c r="A267" t="str">
        <f t="shared" si="4"/>
        <v/>
      </c>
      <c r="B267" t="str">
        <f>IF($J267="","",SUMIFS('Weekly Log'!$C:$C,'Weekly Log'!$A:$A,"&gt;="&amp;$J267,'Weekly Log'!$A:$A,"&lt;"&amp;$J267+7))</f>
        <v/>
      </c>
      <c r="C267" t="str">
        <f>IF($J267="","",IFERROR(COUNTIFS('Weekly Log'!$G:$G,"Y",'Weekly Log'!$A:$A,"&gt;="&amp;$J267,'Weekly Log'!$A:$A,"&lt;"&amp;$J267+7)/COUNTIFS('Weekly Log'!$G:$G,"&lt;&gt;",'Weekly Log'!$A:$A,"&gt;="&amp;$J267,'Weekly Log'!$A:$A,"&lt;"&amp;$J267+7),0))</f>
        <v/>
      </c>
      <c r="D267" t="str">
        <f>IF($J267="","",IFERROR(COUNTIFS('Weekly Log'!$H:$H,"Y",'Weekly Log'!$A:$A,"&gt;="&amp;$J267,'Weekly Log'!$A:$A,"&lt;"&amp;$J267+7)/COUNTIFS('Weekly Log'!$H:$H,"&lt;&gt;",'Weekly Log'!$A:$A,"&gt;="&amp;$J267,'Weekly Log'!$A:$A,"&lt;"&amp;$J267+7),0))</f>
        <v/>
      </c>
      <c r="E267" t="str">
        <f>IF($J267="","",IFERROR(AVERAGEIFS('Weekly Log'!$F:$F,'Weekly Log'!$A:$A,"&gt;="&amp;$J267,'Weekly Log'!$A:$A,"&lt;"&amp;$J267+7),0))</f>
        <v/>
      </c>
      <c r="F267" t="str">
        <f>IF($J267="","",IFERROR(SUMIFS('Weekly Log'!$F:$F,'Weekly Log'!$A:$A,"&gt;="&amp;$J267,'Weekly Log'!$A:$A,"&lt;"&amp;$J267+7)/SUMIFS('Weekly Log'!$E:$E,'Weekly Log'!$A:$A,"&gt;="&amp;$J267,'Weekly Log'!$A:$A,"&lt;"&amp;$J267+7),0))</f>
        <v/>
      </c>
      <c r="G267" t="str">
        <f>IF($J267="","",IFERROR(LOOKUP(2,1/(('Weekly Log'!$A$5:$A$5000&gt;=$J267)*('Weekly Log'!$A$5:$A$5000&lt;$J267+7)*('Weekly Log'!$M$5:$M$5000&lt;&gt;"")),'Weekly Log'!$M$5:$M$5000),0))</f>
        <v/>
      </c>
      <c r="J267" t="str">
        <f>IF(COUNT('Weekly Log'!$A$5:$A$5000)=0,"",IF(MIN('Weekly Log'!$A$5:$A$5000)+7*(ROW()-10)&gt;MAX('Weekly Log'!$A$5:$A$5000),"",MIN('Weekly Log'!$A$5:$A$5000)+7*(ROW()-10)))</f>
        <v/>
      </c>
    </row>
    <row r="268" spans="1:10" x14ac:dyDescent="0.25">
      <c r="A268" t="str">
        <f t="shared" si="4"/>
        <v/>
      </c>
      <c r="B268" t="str">
        <f>IF($J268="","",SUMIFS('Weekly Log'!$C:$C,'Weekly Log'!$A:$A,"&gt;="&amp;$J268,'Weekly Log'!$A:$A,"&lt;"&amp;$J268+7))</f>
        <v/>
      </c>
      <c r="C268" t="str">
        <f>IF($J268="","",IFERROR(COUNTIFS('Weekly Log'!$G:$G,"Y",'Weekly Log'!$A:$A,"&gt;="&amp;$J268,'Weekly Log'!$A:$A,"&lt;"&amp;$J268+7)/COUNTIFS('Weekly Log'!$G:$G,"&lt;&gt;",'Weekly Log'!$A:$A,"&gt;="&amp;$J268,'Weekly Log'!$A:$A,"&lt;"&amp;$J268+7),0))</f>
        <v/>
      </c>
      <c r="D268" t="str">
        <f>IF($J268="","",IFERROR(COUNTIFS('Weekly Log'!$H:$H,"Y",'Weekly Log'!$A:$A,"&gt;="&amp;$J268,'Weekly Log'!$A:$A,"&lt;"&amp;$J268+7)/COUNTIFS('Weekly Log'!$H:$H,"&lt;&gt;",'Weekly Log'!$A:$A,"&gt;="&amp;$J268,'Weekly Log'!$A:$A,"&lt;"&amp;$J268+7),0))</f>
        <v/>
      </c>
      <c r="E268" t="str">
        <f>IF($J268="","",IFERROR(AVERAGEIFS('Weekly Log'!$F:$F,'Weekly Log'!$A:$A,"&gt;="&amp;$J268,'Weekly Log'!$A:$A,"&lt;"&amp;$J268+7),0))</f>
        <v/>
      </c>
      <c r="F268" t="str">
        <f>IF($J268="","",IFERROR(SUMIFS('Weekly Log'!$F:$F,'Weekly Log'!$A:$A,"&gt;="&amp;$J268,'Weekly Log'!$A:$A,"&lt;"&amp;$J268+7)/SUMIFS('Weekly Log'!$E:$E,'Weekly Log'!$A:$A,"&gt;="&amp;$J268,'Weekly Log'!$A:$A,"&lt;"&amp;$J268+7),0))</f>
        <v/>
      </c>
      <c r="G268" t="str">
        <f>IF($J268="","",IFERROR(LOOKUP(2,1/(('Weekly Log'!$A$5:$A$5000&gt;=$J268)*('Weekly Log'!$A$5:$A$5000&lt;$J268+7)*('Weekly Log'!$M$5:$M$5000&lt;&gt;"")),'Weekly Log'!$M$5:$M$5000),0))</f>
        <v/>
      </c>
      <c r="J268" t="str">
        <f>IF(COUNT('Weekly Log'!$A$5:$A$5000)=0,"",IF(MIN('Weekly Log'!$A$5:$A$5000)+7*(ROW()-10)&gt;MAX('Weekly Log'!$A$5:$A$5000),"",MIN('Weekly Log'!$A$5:$A$5000)+7*(ROW()-10)))</f>
        <v/>
      </c>
    </row>
    <row r="269" spans="1:10" x14ac:dyDescent="0.25">
      <c r="A269" t="str">
        <f t="shared" si="4"/>
        <v/>
      </c>
      <c r="B269" t="str">
        <f>IF($J269="","",SUMIFS('Weekly Log'!$C:$C,'Weekly Log'!$A:$A,"&gt;="&amp;$J269,'Weekly Log'!$A:$A,"&lt;"&amp;$J269+7))</f>
        <v/>
      </c>
      <c r="C269" t="str">
        <f>IF($J269="","",IFERROR(COUNTIFS('Weekly Log'!$G:$G,"Y",'Weekly Log'!$A:$A,"&gt;="&amp;$J269,'Weekly Log'!$A:$A,"&lt;"&amp;$J269+7)/COUNTIFS('Weekly Log'!$G:$G,"&lt;&gt;",'Weekly Log'!$A:$A,"&gt;="&amp;$J269,'Weekly Log'!$A:$A,"&lt;"&amp;$J269+7),0))</f>
        <v/>
      </c>
      <c r="D269" t="str">
        <f>IF($J269="","",IFERROR(COUNTIFS('Weekly Log'!$H:$H,"Y",'Weekly Log'!$A:$A,"&gt;="&amp;$J269,'Weekly Log'!$A:$A,"&lt;"&amp;$J269+7)/COUNTIFS('Weekly Log'!$H:$H,"&lt;&gt;",'Weekly Log'!$A:$A,"&gt;="&amp;$J269,'Weekly Log'!$A:$A,"&lt;"&amp;$J269+7),0))</f>
        <v/>
      </c>
      <c r="E269" t="str">
        <f>IF($J269="","",IFERROR(AVERAGEIFS('Weekly Log'!$F:$F,'Weekly Log'!$A:$A,"&gt;="&amp;$J269,'Weekly Log'!$A:$A,"&lt;"&amp;$J269+7),0))</f>
        <v/>
      </c>
      <c r="F269" t="str">
        <f>IF($J269="","",IFERROR(SUMIFS('Weekly Log'!$F:$F,'Weekly Log'!$A:$A,"&gt;="&amp;$J269,'Weekly Log'!$A:$A,"&lt;"&amp;$J269+7)/SUMIFS('Weekly Log'!$E:$E,'Weekly Log'!$A:$A,"&gt;="&amp;$J269,'Weekly Log'!$A:$A,"&lt;"&amp;$J269+7),0))</f>
        <v/>
      </c>
      <c r="G269" t="str">
        <f>IF($J269="","",IFERROR(LOOKUP(2,1/(('Weekly Log'!$A$5:$A$5000&gt;=$J269)*('Weekly Log'!$A$5:$A$5000&lt;$J269+7)*('Weekly Log'!$M$5:$M$5000&lt;&gt;"")),'Weekly Log'!$M$5:$M$5000),0))</f>
        <v/>
      </c>
      <c r="J269" t="str">
        <f>IF(COUNT('Weekly Log'!$A$5:$A$5000)=0,"",IF(MIN('Weekly Log'!$A$5:$A$5000)+7*(ROW()-10)&gt;MAX('Weekly Log'!$A$5:$A$5000),"",MIN('Weekly Log'!$A$5:$A$5000)+7*(ROW()-10)))</f>
        <v/>
      </c>
    </row>
    <row r="270" spans="1:10" x14ac:dyDescent="0.25">
      <c r="A270" t="str">
        <f t="shared" si="4"/>
        <v/>
      </c>
      <c r="B270" t="str">
        <f>IF($J270="","",SUMIFS('Weekly Log'!$C:$C,'Weekly Log'!$A:$A,"&gt;="&amp;$J270,'Weekly Log'!$A:$A,"&lt;"&amp;$J270+7))</f>
        <v/>
      </c>
      <c r="C270" t="str">
        <f>IF($J270="","",IFERROR(COUNTIFS('Weekly Log'!$G:$G,"Y",'Weekly Log'!$A:$A,"&gt;="&amp;$J270,'Weekly Log'!$A:$A,"&lt;"&amp;$J270+7)/COUNTIFS('Weekly Log'!$G:$G,"&lt;&gt;",'Weekly Log'!$A:$A,"&gt;="&amp;$J270,'Weekly Log'!$A:$A,"&lt;"&amp;$J270+7),0))</f>
        <v/>
      </c>
      <c r="D270" t="str">
        <f>IF($J270="","",IFERROR(COUNTIFS('Weekly Log'!$H:$H,"Y",'Weekly Log'!$A:$A,"&gt;="&amp;$J270,'Weekly Log'!$A:$A,"&lt;"&amp;$J270+7)/COUNTIFS('Weekly Log'!$H:$H,"&lt;&gt;",'Weekly Log'!$A:$A,"&gt;="&amp;$J270,'Weekly Log'!$A:$A,"&lt;"&amp;$J270+7),0))</f>
        <v/>
      </c>
      <c r="E270" t="str">
        <f>IF($J270="","",IFERROR(AVERAGEIFS('Weekly Log'!$F:$F,'Weekly Log'!$A:$A,"&gt;="&amp;$J270,'Weekly Log'!$A:$A,"&lt;"&amp;$J270+7),0))</f>
        <v/>
      </c>
      <c r="F270" t="str">
        <f>IF($J270="","",IFERROR(SUMIFS('Weekly Log'!$F:$F,'Weekly Log'!$A:$A,"&gt;="&amp;$J270,'Weekly Log'!$A:$A,"&lt;"&amp;$J270+7)/SUMIFS('Weekly Log'!$E:$E,'Weekly Log'!$A:$A,"&gt;="&amp;$J270,'Weekly Log'!$A:$A,"&lt;"&amp;$J270+7),0))</f>
        <v/>
      </c>
      <c r="G270" t="str">
        <f>IF($J270="","",IFERROR(LOOKUP(2,1/(('Weekly Log'!$A$5:$A$5000&gt;=$J270)*('Weekly Log'!$A$5:$A$5000&lt;$J270+7)*('Weekly Log'!$M$5:$M$5000&lt;&gt;"")),'Weekly Log'!$M$5:$M$5000),0))</f>
        <v/>
      </c>
      <c r="J270" t="str">
        <f>IF(COUNT('Weekly Log'!$A$5:$A$5000)=0,"",IF(MIN('Weekly Log'!$A$5:$A$5000)+7*(ROW()-10)&gt;MAX('Weekly Log'!$A$5:$A$5000),"",MIN('Weekly Log'!$A$5:$A$5000)+7*(ROW()-10)))</f>
        <v/>
      </c>
    </row>
    <row r="271" spans="1:10" x14ac:dyDescent="0.25">
      <c r="A271" t="str">
        <f t="shared" si="4"/>
        <v/>
      </c>
      <c r="B271" t="str">
        <f>IF($J271="","",SUMIFS('Weekly Log'!$C:$C,'Weekly Log'!$A:$A,"&gt;="&amp;$J271,'Weekly Log'!$A:$A,"&lt;"&amp;$J271+7))</f>
        <v/>
      </c>
      <c r="C271" t="str">
        <f>IF($J271="","",IFERROR(COUNTIFS('Weekly Log'!$G:$G,"Y",'Weekly Log'!$A:$A,"&gt;="&amp;$J271,'Weekly Log'!$A:$A,"&lt;"&amp;$J271+7)/COUNTIFS('Weekly Log'!$G:$G,"&lt;&gt;",'Weekly Log'!$A:$A,"&gt;="&amp;$J271,'Weekly Log'!$A:$A,"&lt;"&amp;$J271+7),0))</f>
        <v/>
      </c>
      <c r="D271" t="str">
        <f>IF($J271="","",IFERROR(COUNTIFS('Weekly Log'!$H:$H,"Y",'Weekly Log'!$A:$A,"&gt;="&amp;$J271,'Weekly Log'!$A:$A,"&lt;"&amp;$J271+7)/COUNTIFS('Weekly Log'!$H:$H,"&lt;&gt;",'Weekly Log'!$A:$A,"&gt;="&amp;$J271,'Weekly Log'!$A:$A,"&lt;"&amp;$J271+7),0))</f>
        <v/>
      </c>
      <c r="E271" t="str">
        <f>IF($J271="","",IFERROR(AVERAGEIFS('Weekly Log'!$F:$F,'Weekly Log'!$A:$A,"&gt;="&amp;$J271,'Weekly Log'!$A:$A,"&lt;"&amp;$J271+7),0))</f>
        <v/>
      </c>
      <c r="F271" t="str">
        <f>IF($J271="","",IFERROR(SUMIFS('Weekly Log'!$F:$F,'Weekly Log'!$A:$A,"&gt;="&amp;$J271,'Weekly Log'!$A:$A,"&lt;"&amp;$J271+7)/SUMIFS('Weekly Log'!$E:$E,'Weekly Log'!$A:$A,"&gt;="&amp;$J271,'Weekly Log'!$A:$A,"&lt;"&amp;$J271+7),0))</f>
        <v/>
      </c>
      <c r="G271" t="str">
        <f>IF($J271="","",IFERROR(LOOKUP(2,1/(('Weekly Log'!$A$5:$A$5000&gt;=$J271)*('Weekly Log'!$A$5:$A$5000&lt;$J271+7)*('Weekly Log'!$M$5:$M$5000&lt;&gt;"")),'Weekly Log'!$M$5:$M$5000),0))</f>
        <v/>
      </c>
      <c r="J271" t="str">
        <f>IF(COUNT('Weekly Log'!$A$5:$A$5000)=0,"",IF(MIN('Weekly Log'!$A$5:$A$5000)+7*(ROW()-10)&gt;MAX('Weekly Log'!$A$5:$A$5000),"",MIN('Weekly Log'!$A$5:$A$5000)+7*(ROW()-10)))</f>
        <v/>
      </c>
    </row>
    <row r="272" spans="1:10" x14ac:dyDescent="0.25">
      <c r="A272" t="str">
        <f t="shared" si="4"/>
        <v/>
      </c>
      <c r="B272" t="str">
        <f>IF($J272="","",SUMIFS('Weekly Log'!$C:$C,'Weekly Log'!$A:$A,"&gt;="&amp;$J272,'Weekly Log'!$A:$A,"&lt;"&amp;$J272+7))</f>
        <v/>
      </c>
      <c r="C272" t="str">
        <f>IF($J272="","",IFERROR(COUNTIFS('Weekly Log'!$G:$G,"Y",'Weekly Log'!$A:$A,"&gt;="&amp;$J272,'Weekly Log'!$A:$A,"&lt;"&amp;$J272+7)/COUNTIFS('Weekly Log'!$G:$G,"&lt;&gt;",'Weekly Log'!$A:$A,"&gt;="&amp;$J272,'Weekly Log'!$A:$A,"&lt;"&amp;$J272+7),0))</f>
        <v/>
      </c>
      <c r="D272" t="str">
        <f>IF($J272="","",IFERROR(COUNTIFS('Weekly Log'!$H:$H,"Y",'Weekly Log'!$A:$A,"&gt;="&amp;$J272,'Weekly Log'!$A:$A,"&lt;"&amp;$J272+7)/COUNTIFS('Weekly Log'!$H:$H,"&lt;&gt;",'Weekly Log'!$A:$A,"&gt;="&amp;$J272,'Weekly Log'!$A:$A,"&lt;"&amp;$J272+7),0))</f>
        <v/>
      </c>
      <c r="E272" t="str">
        <f>IF($J272="","",IFERROR(AVERAGEIFS('Weekly Log'!$F:$F,'Weekly Log'!$A:$A,"&gt;="&amp;$J272,'Weekly Log'!$A:$A,"&lt;"&amp;$J272+7),0))</f>
        <v/>
      </c>
      <c r="F272" t="str">
        <f>IF($J272="","",IFERROR(SUMIFS('Weekly Log'!$F:$F,'Weekly Log'!$A:$A,"&gt;="&amp;$J272,'Weekly Log'!$A:$A,"&lt;"&amp;$J272+7)/SUMIFS('Weekly Log'!$E:$E,'Weekly Log'!$A:$A,"&gt;="&amp;$J272,'Weekly Log'!$A:$A,"&lt;"&amp;$J272+7),0))</f>
        <v/>
      </c>
      <c r="G272" t="str">
        <f>IF($J272="","",IFERROR(LOOKUP(2,1/(('Weekly Log'!$A$5:$A$5000&gt;=$J272)*('Weekly Log'!$A$5:$A$5000&lt;$J272+7)*('Weekly Log'!$M$5:$M$5000&lt;&gt;"")),'Weekly Log'!$M$5:$M$5000),0))</f>
        <v/>
      </c>
      <c r="J272" t="str">
        <f>IF(COUNT('Weekly Log'!$A$5:$A$5000)=0,"",IF(MIN('Weekly Log'!$A$5:$A$5000)+7*(ROW()-10)&gt;MAX('Weekly Log'!$A$5:$A$5000),"",MIN('Weekly Log'!$A$5:$A$5000)+7*(ROW()-10)))</f>
        <v/>
      </c>
    </row>
    <row r="273" spans="1:10" x14ac:dyDescent="0.25">
      <c r="A273" t="str">
        <f t="shared" si="4"/>
        <v/>
      </c>
      <c r="B273" t="str">
        <f>IF($J273="","",SUMIFS('Weekly Log'!$C:$C,'Weekly Log'!$A:$A,"&gt;="&amp;$J273,'Weekly Log'!$A:$A,"&lt;"&amp;$J273+7))</f>
        <v/>
      </c>
      <c r="C273" t="str">
        <f>IF($J273="","",IFERROR(COUNTIFS('Weekly Log'!$G:$G,"Y",'Weekly Log'!$A:$A,"&gt;="&amp;$J273,'Weekly Log'!$A:$A,"&lt;"&amp;$J273+7)/COUNTIFS('Weekly Log'!$G:$G,"&lt;&gt;",'Weekly Log'!$A:$A,"&gt;="&amp;$J273,'Weekly Log'!$A:$A,"&lt;"&amp;$J273+7),0))</f>
        <v/>
      </c>
      <c r="D273" t="str">
        <f>IF($J273="","",IFERROR(COUNTIFS('Weekly Log'!$H:$H,"Y",'Weekly Log'!$A:$A,"&gt;="&amp;$J273,'Weekly Log'!$A:$A,"&lt;"&amp;$J273+7)/COUNTIFS('Weekly Log'!$H:$H,"&lt;&gt;",'Weekly Log'!$A:$A,"&gt;="&amp;$J273,'Weekly Log'!$A:$A,"&lt;"&amp;$J273+7),0))</f>
        <v/>
      </c>
      <c r="E273" t="str">
        <f>IF($J273="","",IFERROR(AVERAGEIFS('Weekly Log'!$F:$F,'Weekly Log'!$A:$A,"&gt;="&amp;$J273,'Weekly Log'!$A:$A,"&lt;"&amp;$J273+7),0))</f>
        <v/>
      </c>
      <c r="F273" t="str">
        <f>IF($J273="","",IFERROR(SUMIFS('Weekly Log'!$F:$F,'Weekly Log'!$A:$A,"&gt;="&amp;$J273,'Weekly Log'!$A:$A,"&lt;"&amp;$J273+7)/SUMIFS('Weekly Log'!$E:$E,'Weekly Log'!$A:$A,"&gt;="&amp;$J273,'Weekly Log'!$A:$A,"&lt;"&amp;$J273+7),0))</f>
        <v/>
      </c>
      <c r="G273" t="str">
        <f>IF($J273="","",IFERROR(LOOKUP(2,1/(('Weekly Log'!$A$5:$A$5000&gt;=$J273)*('Weekly Log'!$A$5:$A$5000&lt;$J273+7)*('Weekly Log'!$M$5:$M$5000&lt;&gt;"")),'Weekly Log'!$M$5:$M$5000),0))</f>
        <v/>
      </c>
      <c r="J273" t="str">
        <f>IF(COUNT('Weekly Log'!$A$5:$A$5000)=0,"",IF(MIN('Weekly Log'!$A$5:$A$5000)+7*(ROW()-10)&gt;MAX('Weekly Log'!$A$5:$A$5000),"",MIN('Weekly Log'!$A$5:$A$5000)+7*(ROW()-10)))</f>
        <v/>
      </c>
    </row>
    <row r="274" spans="1:10" x14ac:dyDescent="0.25">
      <c r="A274" t="str">
        <f t="shared" si="4"/>
        <v/>
      </c>
      <c r="B274" t="str">
        <f>IF($J274="","",SUMIFS('Weekly Log'!$C:$C,'Weekly Log'!$A:$A,"&gt;="&amp;$J274,'Weekly Log'!$A:$A,"&lt;"&amp;$J274+7))</f>
        <v/>
      </c>
      <c r="C274" t="str">
        <f>IF($J274="","",IFERROR(COUNTIFS('Weekly Log'!$G:$G,"Y",'Weekly Log'!$A:$A,"&gt;="&amp;$J274,'Weekly Log'!$A:$A,"&lt;"&amp;$J274+7)/COUNTIFS('Weekly Log'!$G:$G,"&lt;&gt;",'Weekly Log'!$A:$A,"&gt;="&amp;$J274,'Weekly Log'!$A:$A,"&lt;"&amp;$J274+7),0))</f>
        <v/>
      </c>
      <c r="D274" t="str">
        <f>IF($J274="","",IFERROR(COUNTIFS('Weekly Log'!$H:$H,"Y",'Weekly Log'!$A:$A,"&gt;="&amp;$J274,'Weekly Log'!$A:$A,"&lt;"&amp;$J274+7)/COUNTIFS('Weekly Log'!$H:$H,"&lt;&gt;",'Weekly Log'!$A:$A,"&gt;="&amp;$J274,'Weekly Log'!$A:$A,"&lt;"&amp;$J274+7),0))</f>
        <v/>
      </c>
      <c r="E274" t="str">
        <f>IF($J274="","",IFERROR(AVERAGEIFS('Weekly Log'!$F:$F,'Weekly Log'!$A:$A,"&gt;="&amp;$J274,'Weekly Log'!$A:$A,"&lt;"&amp;$J274+7),0))</f>
        <v/>
      </c>
      <c r="F274" t="str">
        <f>IF($J274="","",IFERROR(SUMIFS('Weekly Log'!$F:$F,'Weekly Log'!$A:$A,"&gt;="&amp;$J274,'Weekly Log'!$A:$A,"&lt;"&amp;$J274+7)/SUMIFS('Weekly Log'!$E:$E,'Weekly Log'!$A:$A,"&gt;="&amp;$J274,'Weekly Log'!$A:$A,"&lt;"&amp;$J274+7),0))</f>
        <v/>
      </c>
      <c r="G274" t="str">
        <f>IF($J274="","",IFERROR(LOOKUP(2,1/(('Weekly Log'!$A$5:$A$5000&gt;=$J274)*('Weekly Log'!$A$5:$A$5000&lt;$J274+7)*('Weekly Log'!$M$5:$M$5000&lt;&gt;"")),'Weekly Log'!$M$5:$M$5000),0))</f>
        <v/>
      </c>
      <c r="J274" t="str">
        <f>IF(COUNT('Weekly Log'!$A$5:$A$5000)=0,"",IF(MIN('Weekly Log'!$A$5:$A$5000)+7*(ROW()-10)&gt;MAX('Weekly Log'!$A$5:$A$5000),"",MIN('Weekly Log'!$A$5:$A$5000)+7*(ROW()-10)))</f>
        <v/>
      </c>
    </row>
    <row r="275" spans="1:10" x14ac:dyDescent="0.25">
      <c r="A275" t="str">
        <f t="shared" si="4"/>
        <v/>
      </c>
      <c r="B275" t="str">
        <f>IF($J275="","",SUMIFS('Weekly Log'!$C:$C,'Weekly Log'!$A:$A,"&gt;="&amp;$J275,'Weekly Log'!$A:$A,"&lt;"&amp;$J275+7))</f>
        <v/>
      </c>
      <c r="C275" t="str">
        <f>IF($J275="","",IFERROR(COUNTIFS('Weekly Log'!$G:$G,"Y",'Weekly Log'!$A:$A,"&gt;="&amp;$J275,'Weekly Log'!$A:$A,"&lt;"&amp;$J275+7)/COUNTIFS('Weekly Log'!$G:$G,"&lt;&gt;",'Weekly Log'!$A:$A,"&gt;="&amp;$J275,'Weekly Log'!$A:$A,"&lt;"&amp;$J275+7),0))</f>
        <v/>
      </c>
      <c r="D275" t="str">
        <f>IF($J275="","",IFERROR(COUNTIFS('Weekly Log'!$H:$H,"Y",'Weekly Log'!$A:$A,"&gt;="&amp;$J275,'Weekly Log'!$A:$A,"&lt;"&amp;$J275+7)/COUNTIFS('Weekly Log'!$H:$H,"&lt;&gt;",'Weekly Log'!$A:$A,"&gt;="&amp;$J275,'Weekly Log'!$A:$A,"&lt;"&amp;$J275+7),0))</f>
        <v/>
      </c>
      <c r="E275" t="str">
        <f>IF($J275="","",IFERROR(AVERAGEIFS('Weekly Log'!$F:$F,'Weekly Log'!$A:$A,"&gt;="&amp;$J275,'Weekly Log'!$A:$A,"&lt;"&amp;$J275+7),0))</f>
        <v/>
      </c>
      <c r="F275" t="str">
        <f>IF($J275="","",IFERROR(SUMIFS('Weekly Log'!$F:$F,'Weekly Log'!$A:$A,"&gt;="&amp;$J275,'Weekly Log'!$A:$A,"&lt;"&amp;$J275+7)/SUMIFS('Weekly Log'!$E:$E,'Weekly Log'!$A:$A,"&gt;="&amp;$J275,'Weekly Log'!$A:$A,"&lt;"&amp;$J275+7),0))</f>
        <v/>
      </c>
      <c r="G275" t="str">
        <f>IF($J275="","",IFERROR(LOOKUP(2,1/(('Weekly Log'!$A$5:$A$5000&gt;=$J275)*('Weekly Log'!$A$5:$A$5000&lt;$J275+7)*('Weekly Log'!$M$5:$M$5000&lt;&gt;"")),'Weekly Log'!$M$5:$M$5000),0))</f>
        <v/>
      </c>
      <c r="J275" t="str">
        <f>IF(COUNT('Weekly Log'!$A$5:$A$5000)=0,"",IF(MIN('Weekly Log'!$A$5:$A$5000)+7*(ROW()-10)&gt;MAX('Weekly Log'!$A$5:$A$5000),"",MIN('Weekly Log'!$A$5:$A$5000)+7*(ROW()-10)))</f>
        <v/>
      </c>
    </row>
    <row r="276" spans="1:10" x14ac:dyDescent="0.25">
      <c r="A276" t="str">
        <f t="shared" si="4"/>
        <v/>
      </c>
      <c r="B276" t="str">
        <f>IF($J276="","",SUMIFS('Weekly Log'!$C:$C,'Weekly Log'!$A:$A,"&gt;="&amp;$J276,'Weekly Log'!$A:$A,"&lt;"&amp;$J276+7))</f>
        <v/>
      </c>
      <c r="C276" t="str">
        <f>IF($J276="","",IFERROR(COUNTIFS('Weekly Log'!$G:$G,"Y",'Weekly Log'!$A:$A,"&gt;="&amp;$J276,'Weekly Log'!$A:$A,"&lt;"&amp;$J276+7)/COUNTIFS('Weekly Log'!$G:$G,"&lt;&gt;",'Weekly Log'!$A:$A,"&gt;="&amp;$J276,'Weekly Log'!$A:$A,"&lt;"&amp;$J276+7),0))</f>
        <v/>
      </c>
      <c r="D276" t="str">
        <f>IF($J276="","",IFERROR(COUNTIFS('Weekly Log'!$H:$H,"Y",'Weekly Log'!$A:$A,"&gt;="&amp;$J276,'Weekly Log'!$A:$A,"&lt;"&amp;$J276+7)/COUNTIFS('Weekly Log'!$H:$H,"&lt;&gt;",'Weekly Log'!$A:$A,"&gt;="&amp;$J276,'Weekly Log'!$A:$A,"&lt;"&amp;$J276+7),0))</f>
        <v/>
      </c>
      <c r="E276" t="str">
        <f>IF($J276="","",IFERROR(AVERAGEIFS('Weekly Log'!$F:$F,'Weekly Log'!$A:$A,"&gt;="&amp;$J276,'Weekly Log'!$A:$A,"&lt;"&amp;$J276+7),0))</f>
        <v/>
      </c>
      <c r="F276" t="str">
        <f>IF($J276="","",IFERROR(SUMIFS('Weekly Log'!$F:$F,'Weekly Log'!$A:$A,"&gt;="&amp;$J276,'Weekly Log'!$A:$A,"&lt;"&amp;$J276+7)/SUMIFS('Weekly Log'!$E:$E,'Weekly Log'!$A:$A,"&gt;="&amp;$J276,'Weekly Log'!$A:$A,"&lt;"&amp;$J276+7),0))</f>
        <v/>
      </c>
      <c r="G276" t="str">
        <f>IF($J276="","",IFERROR(LOOKUP(2,1/(('Weekly Log'!$A$5:$A$5000&gt;=$J276)*('Weekly Log'!$A$5:$A$5000&lt;$J276+7)*('Weekly Log'!$M$5:$M$5000&lt;&gt;"")),'Weekly Log'!$M$5:$M$5000),0))</f>
        <v/>
      </c>
      <c r="J276" t="str">
        <f>IF(COUNT('Weekly Log'!$A$5:$A$5000)=0,"",IF(MIN('Weekly Log'!$A$5:$A$5000)+7*(ROW()-10)&gt;MAX('Weekly Log'!$A$5:$A$5000),"",MIN('Weekly Log'!$A$5:$A$5000)+7*(ROW()-10)))</f>
        <v/>
      </c>
    </row>
    <row r="277" spans="1:10" x14ac:dyDescent="0.25">
      <c r="A277" t="str">
        <f t="shared" si="4"/>
        <v/>
      </c>
      <c r="B277" t="str">
        <f>IF($J277="","",SUMIFS('Weekly Log'!$C:$C,'Weekly Log'!$A:$A,"&gt;="&amp;$J277,'Weekly Log'!$A:$A,"&lt;"&amp;$J277+7))</f>
        <v/>
      </c>
      <c r="C277" t="str">
        <f>IF($J277="","",IFERROR(COUNTIFS('Weekly Log'!$G:$G,"Y",'Weekly Log'!$A:$A,"&gt;="&amp;$J277,'Weekly Log'!$A:$A,"&lt;"&amp;$J277+7)/COUNTIFS('Weekly Log'!$G:$G,"&lt;&gt;",'Weekly Log'!$A:$A,"&gt;="&amp;$J277,'Weekly Log'!$A:$A,"&lt;"&amp;$J277+7),0))</f>
        <v/>
      </c>
      <c r="D277" t="str">
        <f>IF($J277="","",IFERROR(COUNTIFS('Weekly Log'!$H:$H,"Y",'Weekly Log'!$A:$A,"&gt;="&amp;$J277,'Weekly Log'!$A:$A,"&lt;"&amp;$J277+7)/COUNTIFS('Weekly Log'!$H:$H,"&lt;&gt;",'Weekly Log'!$A:$A,"&gt;="&amp;$J277,'Weekly Log'!$A:$A,"&lt;"&amp;$J277+7),0))</f>
        <v/>
      </c>
      <c r="E277" t="str">
        <f>IF($J277="","",IFERROR(AVERAGEIFS('Weekly Log'!$F:$F,'Weekly Log'!$A:$A,"&gt;="&amp;$J277,'Weekly Log'!$A:$A,"&lt;"&amp;$J277+7),0))</f>
        <v/>
      </c>
      <c r="F277" t="str">
        <f>IF($J277="","",IFERROR(SUMIFS('Weekly Log'!$F:$F,'Weekly Log'!$A:$A,"&gt;="&amp;$J277,'Weekly Log'!$A:$A,"&lt;"&amp;$J277+7)/SUMIFS('Weekly Log'!$E:$E,'Weekly Log'!$A:$A,"&gt;="&amp;$J277,'Weekly Log'!$A:$A,"&lt;"&amp;$J277+7),0))</f>
        <v/>
      </c>
      <c r="G277" t="str">
        <f>IF($J277="","",IFERROR(LOOKUP(2,1/(('Weekly Log'!$A$5:$A$5000&gt;=$J277)*('Weekly Log'!$A$5:$A$5000&lt;$J277+7)*('Weekly Log'!$M$5:$M$5000&lt;&gt;"")),'Weekly Log'!$M$5:$M$5000),0))</f>
        <v/>
      </c>
      <c r="J277" t="str">
        <f>IF(COUNT('Weekly Log'!$A$5:$A$5000)=0,"",IF(MIN('Weekly Log'!$A$5:$A$5000)+7*(ROW()-10)&gt;MAX('Weekly Log'!$A$5:$A$5000),"",MIN('Weekly Log'!$A$5:$A$5000)+7*(ROW()-10)))</f>
        <v/>
      </c>
    </row>
    <row r="278" spans="1:10" x14ac:dyDescent="0.25">
      <c r="A278" t="str">
        <f t="shared" si="4"/>
        <v/>
      </c>
      <c r="B278" t="str">
        <f>IF($J278="","",SUMIFS('Weekly Log'!$C:$C,'Weekly Log'!$A:$A,"&gt;="&amp;$J278,'Weekly Log'!$A:$A,"&lt;"&amp;$J278+7))</f>
        <v/>
      </c>
      <c r="C278" t="str">
        <f>IF($J278="","",IFERROR(COUNTIFS('Weekly Log'!$G:$G,"Y",'Weekly Log'!$A:$A,"&gt;="&amp;$J278,'Weekly Log'!$A:$A,"&lt;"&amp;$J278+7)/COUNTIFS('Weekly Log'!$G:$G,"&lt;&gt;",'Weekly Log'!$A:$A,"&gt;="&amp;$J278,'Weekly Log'!$A:$A,"&lt;"&amp;$J278+7),0))</f>
        <v/>
      </c>
      <c r="D278" t="str">
        <f>IF($J278="","",IFERROR(COUNTIFS('Weekly Log'!$H:$H,"Y",'Weekly Log'!$A:$A,"&gt;="&amp;$J278,'Weekly Log'!$A:$A,"&lt;"&amp;$J278+7)/COUNTIFS('Weekly Log'!$H:$H,"&lt;&gt;",'Weekly Log'!$A:$A,"&gt;="&amp;$J278,'Weekly Log'!$A:$A,"&lt;"&amp;$J278+7),0))</f>
        <v/>
      </c>
      <c r="E278" t="str">
        <f>IF($J278="","",IFERROR(AVERAGEIFS('Weekly Log'!$F:$F,'Weekly Log'!$A:$A,"&gt;="&amp;$J278,'Weekly Log'!$A:$A,"&lt;"&amp;$J278+7),0))</f>
        <v/>
      </c>
      <c r="F278" t="str">
        <f>IF($J278="","",IFERROR(SUMIFS('Weekly Log'!$F:$F,'Weekly Log'!$A:$A,"&gt;="&amp;$J278,'Weekly Log'!$A:$A,"&lt;"&amp;$J278+7)/SUMIFS('Weekly Log'!$E:$E,'Weekly Log'!$A:$A,"&gt;="&amp;$J278,'Weekly Log'!$A:$A,"&lt;"&amp;$J278+7),0))</f>
        <v/>
      </c>
      <c r="G278" t="str">
        <f>IF($J278="","",IFERROR(LOOKUP(2,1/(('Weekly Log'!$A$5:$A$5000&gt;=$J278)*('Weekly Log'!$A$5:$A$5000&lt;$J278+7)*('Weekly Log'!$M$5:$M$5000&lt;&gt;"")),'Weekly Log'!$M$5:$M$5000),0))</f>
        <v/>
      </c>
      <c r="J278" t="str">
        <f>IF(COUNT('Weekly Log'!$A$5:$A$5000)=0,"",IF(MIN('Weekly Log'!$A$5:$A$5000)+7*(ROW()-10)&gt;MAX('Weekly Log'!$A$5:$A$5000),"",MIN('Weekly Log'!$A$5:$A$5000)+7*(ROW()-10)))</f>
        <v/>
      </c>
    </row>
    <row r="279" spans="1:10" x14ac:dyDescent="0.25">
      <c r="A279" t="str">
        <f t="shared" si="4"/>
        <v/>
      </c>
      <c r="B279" t="str">
        <f>IF($J279="","",SUMIFS('Weekly Log'!$C:$C,'Weekly Log'!$A:$A,"&gt;="&amp;$J279,'Weekly Log'!$A:$A,"&lt;"&amp;$J279+7))</f>
        <v/>
      </c>
      <c r="C279" t="str">
        <f>IF($J279="","",IFERROR(COUNTIFS('Weekly Log'!$G:$G,"Y",'Weekly Log'!$A:$A,"&gt;="&amp;$J279,'Weekly Log'!$A:$A,"&lt;"&amp;$J279+7)/COUNTIFS('Weekly Log'!$G:$G,"&lt;&gt;",'Weekly Log'!$A:$A,"&gt;="&amp;$J279,'Weekly Log'!$A:$A,"&lt;"&amp;$J279+7),0))</f>
        <v/>
      </c>
      <c r="D279" t="str">
        <f>IF($J279="","",IFERROR(COUNTIFS('Weekly Log'!$H:$H,"Y",'Weekly Log'!$A:$A,"&gt;="&amp;$J279,'Weekly Log'!$A:$A,"&lt;"&amp;$J279+7)/COUNTIFS('Weekly Log'!$H:$H,"&lt;&gt;",'Weekly Log'!$A:$A,"&gt;="&amp;$J279,'Weekly Log'!$A:$A,"&lt;"&amp;$J279+7),0))</f>
        <v/>
      </c>
      <c r="E279" t="str">
        <f>IF($J279="","",IFERROR(AVERAGEIFS('Weekly Log'!$F:$F,'Weekly Log'!$A:$A,"&gt;="&amp;$J279,'Weekly Log'!$A:$A,"&lt;"&amp;$J279+7),0))</f>
        <v/>
      </c>
      <c r="F279" t="str">
        <f>IF($J279="","",IFERROR(SUMIFS('Weekly Log'!$F:$F,'Weekly Log'!$A:$A,"&gt;="&amp;$J279,'Weekly Log'!$A:$A,"&lt;"&amp;$J279+7)/SUMIFS('Weekly Log'!$E:$E,'Weekly Log'!$A:$A,"&gt;="&amp;$J279,'Weekly Log'!$A:$A,"&lt;"&amp;$J279+7),0))</f>
        <v/>
      </c>
      <c r="G279" t="str">
        <f>IF($J279="","",IFERROR(LOOKUP(2,1/(('Weekly Log'!$A$5:$A$5000&gt;=$J279)*('Weekly Log'!$A$5:$A$5000&lt;$J279+7)*('Weekly Log'!$M$5:$M$5000&lt;&gt;"")),'Weekly Log'!$M$5:$M$5000),0))</f>
        <v/>
      </c>
      <c r="J279" t="str">
        <f>IF(COUNT('Weekly Log'!$A$5:$A$5000)=0,"",IF(MIN('Weekly Log'!$A$5:$A$5000)+7*(ROW()-10)&gt;MAX('Weekly Log'!$A$5:$A$5000),"",MIN('Weekly Log'!$A$5:$A$5000)+7*(ROW()-10)))</f>
        <v/>
      </c>
    </row>
    <row r="280" spans="1:10" x14ac:dyDescent="0.25">
      <c r="A280" t="str">
        <f t="shared" si="4"/>
        <v/>
      </c>
      <c r="B280" t="str">
        <f>IF($J280="","",SUMIFS('Weekly Log'!$C:$C,'Weekly Log'!$A:$A,"&gt;="&amp;$J280,'Weekly Log'!$A:$A,"&lt;"&amp;$J280+7))</f>
        <v/>
      </c>
      <c r="C280" t="str">
        <f>IF($J280="","",IFERROR(COUNTIFS('Weekly Log'!$G:$G,"Y",'Weekly Log'!$A:$A,"&gt;="&amp;$J280,'Weekly Log'!$A:$A,"&lt;"&amp;$J280+7)/COUNTIFS('Weekly Log'!$G:$G,"&lt;&gt;",'Weekly Log'!$A:$A,"&gt;="&amp;$J280,'Weekly Log'!$A:$A,"&lt;"&amp;$J280+7),0))</f>
        <v/>
      </c>
      <c r="D280" t="str">
        <f>IF($J280="","",IFERROR(COUNTIFS('Weekly Log'!$H:$H,"Y",'Weekly Log'!$A:$A,"&gt;="&amp;$J280,'Weekly Log'!$A:$A,"&lt;"&amp;$J280+7)/COUNTIFS('Weekly Log'!$H:$H,"&lt;&gt;",'Weekly Log'!$A:$A,"&gt;="&amp;$J280,'Weekly Log'!$A:$A,"&lt;"&amp;$J280+7),0))</f>
        <v/>
      </c>
      <c r="E280" t="str">
        <f>IF($J280="","",IFERROR(AVERAGEIFS('Weekly Log'!$F:$F,'Weekly Log'!$A:$A,"&gt;="&amp;$J280,'Weekly Log'!$A:$A,"&lt;"&amp;$J280+7),0))</f>
        <v/>
      </c>
      <c r="F280" t="str">
        <f>IF($J280="","",IFERROR(SUMIFS('Weekly Log'!$F:$F,'Weekly Log'!$A:$A,"&gt;="&amp;$J280,'Weekly Log'!$A:$A,"&lt;"&amp;$J280+7)/SUMIFS('Weekly Log'!$E:$E,'Weekly Log'!$A:$A,"&gt;="&amp;$J280,'Weekly Log'!$A:$A,"&lt;"&amp;$J280+7),0))</f>
        <v/>
      </c>
      <c r="G280" t="str">
        <f>IF($J280="","",IFERROR(LOOKUP(2,1/(('Weekly Log'!$A$5:$A$5000&gt;=$J280)*('Weekly Log'!$A$5:$A$5000&lt;$J280+7)*('Weekly Log'!$M$5:$M$5000&lt;&gt;"")),'Weekly Log'!$M$5:$M$5000),0))</f>
        <v/>
      </c>
      <c r="J280" t="str">
        <f>IF(COUNT('Weekly Log'!$A$5:$A$5000)=0,"",IF(MIN('Weekly Log'!$A$5:$A$5000)+7*(ROW()-10)&gt;MAX('Weekly Log'!$A$5:$A$5000),"",MIN('Weekly Log'!$A$5:$A$5000)+7*(ROW()-10)))</f>
        <v/>
      </c>
    </row>
    <row r="281" spans="1:10" x14ac:dyDescent="0.25">
      <c r="A281" t="str">
        <f t="shared" si="4"/>
        <v/>
      </c>
      <c r="B281" t="str">
        <f>IF($J281="","",SUMIFS('Weekly Log'!$C:$C,'Weekly Log'!$A:$A,"&gt;="&amp;$J281,'Weekly Log'!$A:$A,"&lt;"&amp;$J281+7))</f>
        <v/>
      </c>
      <c r="C281" t="str">
        <f>IF($J281="","",IFERROR(COUNTIFS('Weekly Log'!$G:$G,"Y",'Weekly Log'!$A:$A,"&gt;="&amp;$J281,'Weekly Log'!$A:$A,"&lt;"&amp;$J281+7)/COUNTIFS('Weekly Log'!$G:$G,"&lt;&gt;",'Weekly Log'!$A:$A,"&gt;="&amp;$J281,'Weekly Log'!$A:$A,"&lt;"&amp;$J281+7),0))</f>
        <v/>
      </c>
      <c r="D281" t="str">
        <f>IF($J281="","",IFERROR(COUNTIFS('Weekly Log'!$H:$H,"Y",'Weekly Log'!$A:$A,"&gt;="&amp;$J281,'Weekly Log'!$A:$A,"&lt;"&amp;$J281+7)/COUNTIFS('Weekly Log'!$H:$H,"&lt;&gt;",'Weekly Log'!$A:$A,"&gt;="&amp;$J281,'Weekly Log'!$A:$A,"&lt;"&amp;$J281+7),0))</f>
        <v/>
      </c>
      <c r="E281" t="str">
        <f>IF($J281="","",IFERROR(AVERAGEIFS('Weekly Log'!$F:$F,'Weekly Log'!$A:$A,"&gt;="&amp;$J281,'Weekly Log'!$A:$A,"&lt;"&amp;$J281+7),0))</f>
        <v/>
      </c>
      <c r="F281" t="str">
        <f>IF($J281="","",IFERROR(SUMIFS('Weekly Log'!$F:$F,'Weekly Log'!$A:$A,"&gt;="&amp;$J281,'Weekly Log'!$A:$A,"&lt;"&amp;$J281+7)/SUMIFS('Weekly Log'!$E:$E,'Weekly Log'!$A:$A,"&gt;="&amp;$J281,'Weekly Log'!$A:$A,"&lt;"&amp;$J281+7),0))</f>
        <v/>
      </c>
      <c r="G281" t="str">
        <f>IF($J281="","",IFERROR(LOOKUP(2,1/(('Weekly Log'!$A$5:$A$5000&gt;=$J281)*('Weekly Log'!$A$5:$A$5000&lt;$J281+7)*('Weekly Log'!$M$5:$M$5000&lt;&gt;"")),'Weekly Log'!$M$5:$M$5000),0))</f>
        <v/>
      </c>
      <c r="J281" t="str">
        <f>IF(COUNT('Weekly Log'!$A$5:$A$5000)=0,"",IF(MIN('Weekly Log'!$A$5:$A$5000)+7*(ROW()-10)&gt;MAX('Weekly Log'!$A$5:$A$5000),"",MIN('Weekly Log'!$A$5:$A$5000)+7*(ROW()-10)))</f>
        <v/>
      </c>
    </row>
    <row r="282" spans="1:10" x14ac:dyDescent="0.25">
      <c r="A282" t="str">
        <f t="shared" si="4"/>
        <v/>
      </c>
      <c r="B282" t="str">
        <f>IF($J282="","",SUMIFS('Weekly Log'!$C:$C,'Weekly Log'!$A:$A,"&gt;="&amp;$J282,'Weekly Log'!$A:$A,"&lt;"&amp;$J282+7))</f>
        <v/>
      </c>
      <c r="C282" t="str">
        <f>IF($J282="","",IFERROR(COUNTIFS('Weekly Log'!$G:$G,"Y",'Weekly Log'!$A:$A,"&gt;="&amp;$J282,'Weekly Log'!$A:$A,"&lt;"&amp;$J282+7)/COUNTIFS('Weekly Log'!$G:$G,"&lt;&gt;",'Weekly Log'!$A:$A,"&gt;="&amp;$J282,'Weekly Log'!$A:$A,"&lt;"&amp;$J282+7),0))</f>
        <v/>
      </c>
      <c r="D282" t="str">
        <f>IF($J282="","",IFERROR(COUNTIFS('Weekly Log'!$H:$H,"Y",'Weekly Log'!$A:$A,"&gt;="&amp;$J282,'Weekly Log'!$A:$A,"&lt;"&amp;$J282+7)/COUNTIFS('Weekly Log'!$H:$H,"&lt;&gt;",'Weekly Log'!$A:$A,"&gt;="&amp;$J282,'Weekly Log'!$A:$A,"&lt;"&amp;$J282+7),0))</f>
        <v/>
      </c>
      <c r="E282" t="str">
        <f>IF($J282="","",IFERROR(AVERAGEIFS('Weekly Log'!$F:$F,'Weekly Log'!$A:$A,"&gt;="&amp;$J282,'Weekly Log'!$A:$A,"&lt;"&amp;$J282+7),0))</f>
        <v/>
      </c>
      <c r="F282" t="str">
        <f>IF($J282="","",IFERROR(SUMIFS('Weekly Log'!$F:$F,'Weekly Log'!$A:$A,"&gt;="&amp;$J282,'Weekly Log'!$A:$A,"&lt;"&amp;$J282+7)/SUMIFS('Weekly Log'!$E:$E,'Weekly Log'!$A:$A,"&gt;="&amp;$J282,'Weekly Log'!$A:$A,"&lt;"&amp;$J282+7),0))</f>
        <v/>
      </c>
      <c r="G282" t="str">
        <f>IF($J282="","",IFERROR(LOOKUP(2,1/(('Weekly Log'!$A$5:$A$5000&gt;=$J282)*('Weekly Log'!$A$5:$A$5000&lt;$J282+7)*('Weekly Log'!$M$5:$M$5000&lt;&gt;"")),'Weekly Log'!$M$5:$M$5000),0))</f>
        <v/>
      </c>
      <c r="J282" t="str">
        <f>IF(COUNT('Weekly Log'!$A$5:$A$5000)=0,"",IF(MIN('Weekly Log'!$A$5:$A$5000)+7*(ROW()-10)&gt;MAX('Weekly Log'!$A$5:$A$5000),"",MIN('Weekly Log'!$A$5:$A$5000)+7*(ROW()-10)))</f>
        <v/>
      </c>
    </row>
    <row r="283" spans="1:10" x14ac:dyDescent="0.25">
      <c r="A283" t="str">
        <f t="shared" si="4"/>
        <v/>
      </c>
      <c r="B283" t="str">
        <f>IF($J283="","",SUMIFS('Weekly Log'!$C:$C,'Weekly Log'!$A:$A,"&gt;="&amp;$J283,'Weekly Log'!$A:$A,"&lt;"&amp;$J283+7))</f>
        <v/>
      </c>
      <c r="C283" t="str">
        <f>IF($J283="","",IFERROR(COUNTIFS('Weekly Log'!$G:$G,"Y",'Weekly Log'!$A:$A,"&gt;="&amp;$J283,'Weekly Log'!$A:$A,"&lt;"&amp;$J283+7)/COUNTIFS('Weekly Log'!$G:$G,"&lt;&gt;",'Weekly Log'!$A:$A,"&gt;="&amp;$J283,'Weekly Log'!$A:$A,"&lt;"&amp;$J283+7),0))</f>
        <v/>
      </c>
      <c r="D283" t="str">
        <f>IF($J283="","",IFERROR(COUNTIFS('Weekly Log'!$H:$H,"Y",'Weekly Log'!$A:$A,"&gt;="&amp;$J283,'Weekly Log'!$A:$A,"&lt;"&amp;$J283+7)/COUNTIFS('Weekly Log'!$H:$H,"&lt;&gt;",'Weekly Log'!$A:$A,"&gt;="&amp;$J283,'Weekly Log'!$A:$A,"&lt;"&amp;$J283+7),0))</f>
        <v/>
      </c>
      <c r="E283" t="str">
        <f>IF($J283="","",IFERROR(AVERAGEIFS('Weekly Log'!$F:$F,'Weekly Log'!$A:$A,"&gt;="&amp;$J283,'Weekly Log'!$A:$A,"&lt;"&amp;$J283+7),0))</f>
        <v/>
      </c>
      <c r="F283" t="str">
        <f>IF($J283="","",IFERROR(SUMIFS('Weekly Log'!$F:$F,'Weekly Log'!$A:$A,"&gt;="&amp;$J283,'Weekly Log'!$A:$A,"&lt;"&amp;$J283+7)/SUMIFS('Weekly Log'!$E:$E,'Weekly Log'!$A:$A,"&gt;="&amp;$J283,'Weekly Log'!$A:$A,"&lt;"&amp;$J283+7),0))</f>
        <v/>
      </c>
      <c r="G283" t="str">
        <f>IF($J283="","",IFERROR(LOOKUP(2,1/(('Weekly Log'!$A$5:$A$5000&gt;=$J283)*('Weekly Log'!$A$5:$A$5000&lt;$J283+7)*('Weekly Log'!$M$5:$M$5000&lt;&gt;"")),'Weekly Log'!$M$5:$M$5000),0))</f>
        <v/>
      </c>
      <c r="J283" t="str">
        <f>IF(COUNT('Weekly Log'!$A$5:$A$5000)=0,"",IF(MIN('Weekly Log'!$A$5:$A$5000)+7*(ROW()-10)&gt;MAX('Weekly Log'!$A$5:$A$5000),"",MIN('Weekly Log'!$A$5:$A$5000)+7*(ROW()-10)))</f>
        <v/>
      </c>
    </row>
    <row r="284" spans="1:10" x14ac:dyDescent="0.25">
      <c r="A284" t="str">
        <f t="shared" si="4"/>
        <v/>
      </c>
      <c r="B284" t="str">
        <f>IF($J284="","",SUMIFS('Weekly Log'!$C:$C,'Weekly Log'!$A:$A,"&gt;="&amp;$J284,'Weekly Log'!$A:$A,"&lt;"&amp;$J284+7))</f>
        <v/>
      </c>
      <c r="C284" t="str">
        <f>IF($J284="","",IFERROR(COUNTIFS('Weekly Log'!$G:$G,"Y",'Weekly Log'!$A:$A,"&gt;="&amp;$J284,'Weekly Log'!$A:$A,"&lt;"&amp;$J284+7)/COUNTIFS('Weekly Log'!$G:$G,"&lt;&gt;",'Weekly Log'!$A:$A,"&gt;="&amp;$J284,'Weekly Log'!$A:$A,"&lt;"&amp;$J284+7),0))</f>
        <v/>
      </c>
      <c r="D284" t="str">
        <f>IF($J284="","",IFERROR(COUNTIFS('Weekly Log'!$H:$H,"Y",'Weekly Log'!$A:$A,"&gt;="&amp;$J284,'Weekly Log'!$A:$A,"&lt;"&amp;$J284+7)/COUNTIFS('Weekly Log'!$H:$H,"&lt;&gt;",'Weekly Log'!$A:$A,"&gt;="&amp;$J284,'Weekly Log'!$A:$A,"&lt;"&amp;$J284+7),0))</f>
        <v/>
      </c>
      <c r="E284" t="str">
        <f>IF($J284="","",IFERROR(AVERAGEIFS('Weekly Log'!$F:$F,'Weekly Log'!$A:$A,"&gt;="&amp;$J284,'Weekly Log'!$A:$A,"&lt;"&amp;$J284+7),0))</f>
        <v/>
      </c>
      <c r="F284" t="str">
        <f>IF($J284="","",IFERROR(SUMIFS('Weekly Log'!$F:$F,'Weekly Log'!$A:$A,"&gt;="&amp;$J284,'Weekly Log'!$A:$A,"&lt;"&amp;$J284+7)/SUMIFS('Weekly Log'!$E:$E,'Weekly Log'!$A:$A,"&gt;="&amp;$J284,'Weekly Log'!$A:$A,"&lt;"&amp;$J284+7),0))</f>
        <v/>
      </c>
      <c r="G284" t="str">
        <f>IF($J284="","",IFERROR(LOOKUP(2,1/(('Weekly Log'!$A$5:$A$5000&gt;=$J284)*('Weekly Log'!$A$5:$A$5000&lt;$J284+7)*('Weekly Log'!$M$5:$M$5000&lt;&gt;"")),'Weekly Log'!$M$5:$M$5000),0))</f>
        <v/>
      </c>
      <c r="J284" t="str">
        <f>IF(COUNT('Weekly Log'!$A$5:$A$5000)=0,"",IF(MIN('Weekly Log'!$A$5:$A$5000)+7*(ROW()-10)&gt;MAX('Weekly Log'!$A$5:$A$5000),"",MIN('Weekly Log'!$A$5:$A$5000)+7*(ROW()-10)))</f>
        <v/>
      </c>
    </row>
    <row r="285" spans="1:10" x14ac:dyDescent="0.25">
      <c r="A285" t="str">
        <f t="shared" si="4"/>
        <v/>
      </c>
      <c r="B285" t="str">
        <f>IF($J285="","",SUMIFS('Weekly Log'!$C:$C,'Weekly Log'!$A:$A,"&gt;="&amp;$J285,'Weekly Log'!$A:$A,"&lt;"&amp;$J285+7))</f>
        <v/>
      </c>
      <c r="C285" t="str">
        <f>IF($J285="","",IFERROR(COUNTIFS('Weekly Log'!$G:$G,"Y",'Weekly Log'!$A:$A,"&gt;="&amp;$J285,'Weekly Log'!$A:$A,"&lt;"&amp;$J285+7)/COUNTIFS('Weekly Log'!$G:$G,"&lt;&gt;",'Weekly Log'!$A:$A,"&gt;="&amp;$J285,'Weekly Log'!$A:$A,"&lt;"&amp;$J285+7),0))</f>
        <v/>
      </c>
      <c r="D285" t="str">
        <f>IF($J285="","",IFERROR(COUNTIFS('Weekly Log'!$H:$H,"Y",'Weekly Log'!$A:$A,"&gt;="&amp;$J285,'Weekly Log'!$A:$A,"&lt;"&amp;$J285+7)/COUNTIFS('Weekly Log'!$H:$H,"&lt;&gt;",'Weekly Log'!$A:$A,"&gt;="&amp;$J285,'Weekly Log'!$A:$A,"&lt;"&amp;$J285+7),0))</f>
        <v/>
      </c>
      <c r="E285" t="str">
        <f>IF($J285="","",IFERROR(AVERAGEIFS('Weekly Log'!$F:$F,'Weekly Log'!$A:$A,"&gt;="&amp;$J285,'Weekly Log'!$A:$A,"&lt;"&amp;$J285+7),0))</f>
        <v/>
      </c>
      <c r="F285" t="str">
        <f>IF($J285="","",IFERROR(SUMIFS('Weekly Log'!$F:$F,'Weekly Log'!$A:$A,"&gt;="&amp;$J285,'Weekly Log'!$A:$A,"&lt;"&amp;$J285+7)/SUMIFS('Weekly Log'!$E:$E,'Weekly Log'!$A:$A,"&gt;="&amp;$J285,'Weekly Log'!$A:$A,"&lt;"&amp;$J285+7),0))</f>
        <v/>
      </c>
      <c r="G285" t="str">
        <f>IF($J285="","",IFERROR(LOOKUP(2,1/(('Weekly Log'!$A$5:$A$5000&gt;=$J285)*('Weekly Log'!$A$5:$A$5000&lt;$J285+7)*('Weekly Log'!$M$5:$M$5000&lt;&gt;"")),'Weekly Log'!$M$5:$M$5000),0))</f>
        <v/>
      </c>
      <c r="J285" t="str">
        <f>IF(COUNT('Weekly Log'!$A$5:$A$5000)=0,"",IF(MIN('Weekly Log'!$A$5:$A$5000)+7*(ROW()-10)&gt;MAX('Weekly Log'!$A$5:$A$5000),"",MIN('Weekly Log'!$A$5:$A$5000)+7*(ROW()-10)))</f>
        <v/>
      </c>
    </row>
    <row r="286" spans="1:10" x14ac:dyDescent="0.25">
      <c r="A286" t="str">
        <f t="shared" si="4"/>
        <v/>
      </c>
      <c r="B286" t="str">
        <f>IF($J286="","",SUMIFS('Weekly Log'!$C:$C,'Weekly Log'!$A:$A,"&gt;="&amp;$J286,'Weekly Log'!$A:$A,"&lt;"&amp;$J286+7))</f>
        <v/>
      </c>
      <c r="C286" t="str">
        <f>IF($J286="","",IFERROR(COUNTIFS('Weekly Log'!$G:$G,"Y",'Weekly Log'!$A:$A,"&gt;="&amp;$J286,'Weekly Log'!$A:$A,"&lt;"&amp;$J286+7)/COUNTIFS('Weekly Log'!$G:$G,"&lt;&gt;",'Weekly Log'!$A:$A,"&gt;="&amp;$J286,'Weekly Log'!$A:$A,"&lt;"&amp;$J286+7),0))</f>
        <v/>
      </c>
      <c r="D286" t="str">
        <f>IF($J286="","",IFERROR(COUNTIFS('Weekly Log'!$H:$H,"Y",'Weekly Log'!$A:$A,"&gt;="&amp;$J286,'Weekly Log'!$A:$A,"&lt;"&amp;$J286+7)/COUNTIFS('Weekly Log'!$H:$H,"&lt;&gt;",'Weekly Log'!$A:$A,"&gt;="&amp;$J286,'Weekly Log'!$A:$A,"&lt;"&amp;$J286+7),0))</f>
        <v/>
      </c>
      <c r="E286" t="str">
        <f>IF($J286="","",IFERROR(AVERAGEIFS('Weekly Log'!$F:$F,'Weekly Log'!$A:$A,"&gt;="&amp;$J286,'Weekly Log'!$A:$A,"&lt;"&amp;$J286+7),0))</f>
        <v/>
      </c>
      <c r="F286" t="str">
        <f>IF($J286="","",IFERROR(SUMIFS('Weekly Log'!$F:$F,'Weekly Log'!$A:$A,"&gt;="&amp;$J286,'Weekly Log'!$A:$A,"&lt;"&amp;$J286+7)/SUMIFS('Weekly Log'!$E:$E,'Weekly Log'!$A:$A,"&gt;="&amp;$J286,'Weekly Log'!$A:$A,"&lt;"&amp;$J286+7),0))</f>
        <v/>
      </c>
      <c r="G286" t="str">
        <f>IF($J286="","",IFERROR(LOOKUP(2,1/(('Weekly Log'!$A$5:$A$5000&gt;=$J286)*('Weekly Log'!$A$5:$A$5000&lt;$J286+7)*('Weekly Log'!$M$5:$M$5000&lt;&gt;"")),'Weekly Log'!$M$5:$M$5000),0))</f>
        <v/>
      </c>
      <c r="J286" t="str">
        <f>IF(COUNT('Weekly Log'!$A$5:$A$5000)=0,"",IF(MIN('Weekly Log'!$A$5:$A$5000)+7*(ROW()-10)&gt;MAX('Weekly Log'!$A$5:$A$5000),"",MIN('Weekly Log'!$A$5:$A$5000)+7*(ROW()-10)))</f>
        <v/>
      </c>
    </row>
    <row r="287" spans="1:10" x14ac:dyDescent="0.25">
      <c r="A287" t="str">
        <f t="shared" si="4"/>
        <v/>
      </c>
      <c r="B287" t="str">
        <f>IF($J287="","",SUMIFS('Weekly Log'!$C:$C,'Weekly Log'!$A:$A,"&gt;="&amp;$J287,'Weekly Log'!$A:$A,"&lt;"&amp;$J287+7))</f>
        <v/>
      </c>
      <c r="C287" t="str">
        <f>IF($J287="","",IFERROR(COUNTIFS('Weekly Log'!$G:$G,"Y",'Weekly Log'!$A:$A,"&gt;="&amp;$J287,'Weekly Log'!$A:$A,"&lt;"&amp;$J287+7)/COUNTIFS('Weekly Log'!$G:$G,"&lt;&gt;",'Weekly Log'!$A:$A,"&gt;="&amp;$J287,'Weekly Log'!$A:$A,"&lt;"&amp;$J287+7),0))</f>
        <v/>
      </c>
      <c r="D287" t="str">
        <f>IF($J287="","",IFERROR(COUNTIFS('Weekly Log'!$H:$H,"Y",'Weekly Log'!$A:$A,"&gt;="&amp;$J287,'Weekly Log'!$A:$A,"&lt;"&amp;$J287+7)/COUNTIFS('Weekly Log'!$H:$H,"&lt;&gt;",'Weekly Log'!$A:$A,"&gt;="&amp;$J287,'Weekly Log'!$A:$A,"&lt;"&amp;$J287+7),0))</f>
        <v/>
      </c>
      <c r="E287" t="str">
        <f>IF($J287="","",IFERROR(AVERAGEIFS('Weekly Log'!$F:$F,'Weekly Log'!$A:$A,"&gt;="&amp;$J287,'Weekly Log'!$A:$A,"&lt;"&amp;$J287+7),0))</f>
        <v/>
      </c>
      <c r="F287" t="str">
        <f>IF($J287="","",IFERROR(SUMIFS('Weekly Log'!$F:$F,'Weekly Log'!$A:$A,"&gt;="&amp;$J287,'Weekly Log'!$A:$A,"&lt;"&amp;$J287+7)/SUMIFS('Weekly Log'!$E:$E,'Weekly Log'!$A:$A,"&gt;="&amp;$J287,'Weekly Log'!$A:$A,"&lt;"&amp;$J287+7),0))</f>
        <v/>
      </c>
      <c r="G287" t="str">
        <f>IF($J287="","",IFERROR(LOOKUP(2,1/(('Weekly Log'!$A$5:$A$5000&gt;=$J287)*('Weekly Log'!$A$5:$A$5000&lt;$J287+7)*('Weekly Log'!$M$5:$M$5000&lt;&gt;"")),'Weekly Log'!$M$5:$M$5000),0))</f>
        <v/>
      </c>
      <c r="J287" t="str">
        <f>IF(COUNT('Weekly Log'!$A$5:$A$5000)=0,"",IF(MIN('Weekly Log'!$A$5:$A$5000)+7*(ROW()-10)&gt;MAX('Weekly Log'!$A$5:$A$5000),"",MIN('Weekly Log'!$A$5:$A$5000)+7*(ROW()-10)))</f>
        <v/>
      </c>
    </row>
    <row r="288" spans="1:10" x14ac:dyDescent="0.25">
      <c r="A288" t="str">
        <f t="shared" si="4"/>
        <v/>
      </c>
      <c r="B288" t="str">
        <f>IF($J288="","",SUMIFS('Weekly Log'!$C:$C,'Weekly Log'!$A:$A,"&gt;="&amp;$J288,'Weekly Log'!$A:$A,"&lt;"&amp;$J288+7))</f>
        <v/>
      </c>
      <c r="C288" t="str">
        <f>IF($J288="","",IFERROR(COUNTIFS('Weekly Log'!$G:$G,"Y",'Weekly Log'!$A:$A,"&gt;="&amp;$J288,'Weekly Log'!$A:$A,"&lt;"&amp;$J288+7)/COUNTIFS('Weekly Log'!$G:$G,"&lt;&gt;",'Weekly Log'!$A:$A,"&gt;="&amp;$J288,'Weekly Log'!$A:$A,"&lt;"&amp;$J288+7),0))</f>
        <v/>
      </c>
      <c r="D288" t="str">
        <f>IF($J288="","",IFERROR(COUNTIFS('Weekly Log'!$H:$H,"Y",'Weekly Log'!$A:$A,"&gt;="&amp;$J288,'Weekly Log'!$A:$A,"&lt;"&amp;$J288+7)/COUNTIFS('Weekly Log'!$H:$H,"&lt;&gt;",'Weekly Log'!$A:$A,"&gt;="&amp;$J288,'Weekly Log'!$A:$A,"&lt;"&amp;$J288+7),0))</f>
        <v/>
      </c>
      <c r="E288" t="str">
        <f>IF($J288="","",IFERROR(AVERAGEIFS('Weekly Log'!$F:$F,'Weekly Log'!$A:$A,"&gt;="&amp;$J288,'Weekly Log'!$A:$A,"&lt;"&amp;$J288+7),0))</f>
        <v/>
      </c>
      <c r="F288" t="str">
        <f>IF($J288="","",IFERROR(SUMIFS('Weekly Log'!$F:$F,'Weekly Log'!$A:$A,"&gt;="&amp;$J288,'Weekly Log'!$A:$A,"&lt;"&amp;$J288+7)/SUMIFS('Weekly Log'!$E:$E,'Weekly Log'!$A:$A,"&gt;="&amp;$J288,'Weekly Log'!$A:$A,"&lt;"&amp;$J288+7),0))</f>
        <v/>
      </c>
      <c r="G288" t="str">
        <f>IF($J288="","",IFERROR(LOOKUP(2,1/(('Weekly Log'!$A$5:$A$5000&gt;=$J288)*('Weekly Log'!$A$5:$A$5000&lt;$J288+7)*('Weekly Log'!$M$5:$M$5000&lt;&gt;"")),'Weekly Log'!$M$5:$M$5000),0))</f>
        <v/>
      </c>
      <c r="J288" t="str">
        <f>IF(COUNT('Weekly Log'!$A$5:$A$5000)=0,"",IF(MIN('Weekly Log'!$A$5:$A$5000)+7*(ROW()-10)&gt;MAX('Weekly Log'!$A$5:$A$5000),"",MIN('Weekly Log'!$A$5:$A$5000)+7*(ROW()-10)))</f>
        <v/>
      </c>
    </row>
    <row r="289" spans="1:10" x14ac:dyDescent="0.25">
      <c r="A289" t="str">
        <f t="shared" si="4"/>
        <v/>
      </c>
      <c r="B289" t="str">
        <f>IF($J289="","",SUMIFS('Weekly Log'!$C:$C,'Weekly Log'!$A:$A,"&gt;="&amp;$J289,'Weekly Log'!$A:$A,"&lt;"&amp;$J289+7))</f>
        <v/>
      </c>
      <c r="C289" t="str">
        <f>IF($J289="","",IFERROR(COUNTIFS('Weekly Log'!$G:$G,"Y",'Weekly Log'!$A:$A,"&gt;="&amp;$J289,'Weekly Log'!$A:$A,"&lt;"&amp;$J289+7)/COUNTIFS('Weekly Log'!$G:$G,"&lt;&gt;",'Weekly Log'!$A:$A,"&gt;="&amp;$J289,'Weekly Log'!$A:$A,"&lt;"&amp;$J289+7),0))</f>
        <v/>
      </c>
      <c r="D289" t="str">
        <f>IF($J289="","",IFERROR(COUNTIFS('Weekly Log'!$H:$H,"Y",'Weekly Log'!$A:$A,"&gt;="&amp;$J289,'Weekly Log'!$A:$A,"&lt;"&amp;$J289+7)/COUNTIFS('Weekly Log'!$H:$H,"&lt;&gt;",'Weekly Log'!$A:$A,"&gt;="&amp;$J289,'Weekly Log'!$A:$A,"&lt;"&amp;$J289+7),0))</f>
        <v/>
      </c>
      <c r="E289" t="str">
        <f>IF($J289="","",IFERROR(AVERAGEIFS('Weekly Log'!$F:$F,'Weekly Log'!$A:$A,"&gt;="&amp;$J289,'Weekly Log'!$A:$A,"&lt;"&amp;$J289+7),0))</f>
        <v/>
      </c>
      <c r="F289" t="str">
        <f>IF($J289="","",IFERROR(SUMIFS('Weekly Log'!$F:$F,'Weekly Log'!$A:$A,"&gt;="&amp;$J289,'Weekly Log'!$A:$A,"&lt;"&amp;$J289+7)/SUMIFS('Weekly Log'!$E:$E,'Weekly Log'!$A:$A,"&gt;="&amp;$J289,'Weekly Log'!$A:$A,"&lt;"&amp;$J289+7),0))</f>
        <v/>
      </c>
      <c r="G289" t="str">
        <f>IF($J289="","",IFERROR(LOOKUP(2,1/(('Weekly Log'!$A$5:$A$5000&gt;=$J289)*('Weekly Log'!$A$5:$A$5000&lt;$J289+7)*('Weekly Log'!$M$5:$M$5000&lt;&gt;"")),'Weekly Log'!$M$5:$M$5000),0))</f>
        <v/>
      </c>
      <c r="J289" t="str">
        <f>IF(COUNT('Weekly Log'!$A$5:$A$5000)=0,"",IF(MIN('Weekly Log'!$A$5:$A$5000)+7*(ROW()-10)&gt;MAX('Weekly Log'!$A$5:$A$5000),"",MIN('Weekly Log'!$A$5:$A$5000)+7*(ROW()-10)))</f>
        <v/>
      </c>
    </row>
    <row r="290" spans="1:10" x14ac:dyDescent="0.25">
      <c r="A290" t="str">
        <f t="shared" si="4"/>
        <v/>
      </c>
      <c r="B290" t="str">
        <f>IF($J290="","",SUMIFS('Weekly Log'!$C:$C,'Weekly Log'!$A:$A,"&gt;="&amp;$J290,'Weekly Log'!$A:$A,"&lt;"&amp;$J290+7))</f>
        <v/>
      </c>
      <c r="C290" t="str">
        <f>IF($J290="","",IFERROR(COUNTIFS('Weekly Log'!$G:$G,"Y",'Weekly Log'!$A:$A,"&gt;="&amp;$J290,'Weekly Log'!$A:$A,"&lt;"&amp;$J290+7)/COUNTIFS('Weekly Log'!$G:$G,"&lt;&gt;",'Weekly Log'!$A:$A,"&gt;="&amp;$J290,'Weekly Log'!$A:$A,"&lt;"&amp;$J290+7),0))</f>
        <v/>
      </c>
      <c r="D290" t="str">
        <f>IF($J290="","",IFERROR(COUNTIFS('Weekly Log'!$H:$H,"Y",'Weekly Log'!$A:$A,"&gt;="&amp;$J290,'Weekly Log'!$A:$A,"&lt;"&amp;$J290+7)/COUNTIFS('Weekly Log'!$H:$H,"&lt;&gt;",'Weekly Log'!$A:$A,"&gt;="&amp;$J290,'Weekly Log'!$A:$A,"&lt;"&amp;$J290+7),0))</f>
        <v/>
      </c>
      <c r="E290" t="str">
        <f>IF($J290="","",IFERROR(AVERAGEIFS('Weekly Log'!$F:$F,'Weekly Log'!$A:$A,"&gt;="&amp;$J290,'Weekly Log'!$A:$A,"&lt;"&amp;$J290+7),0))</f>
        <v/>
      </c>
      <c r="F290" t="str">
        <f>IF($J290="","",IFERROR(SUMIFS('Weekly Log'!$F:$F,'Weekly Log'!$A:$A,"&gt;="&amp;$J290,'Weekly Log'!$A:$A,"&lt;"&amp;$J290+7)/SUMIFS('Weekly Log'!$E:$E,'Weekly Log'!$A:$A,"&gt;="&amp;$J290,'Weekly Log'!$A:$A,"&lt;"&amp;$J290+7),0))</f>
        <v/>
      </c>
      <c r="G290" t="str">
        <f>IF($J290="","",IFERROR(LOOKUP(2,1/(('Weekly Log'!$A$5:$A$5000&gt;=$J290)*('Weekly Log'!$A$5:$A$5000&lt;$J290+7)*('Weekly Log'!$M$5:$M$5000&lt;&gt;"")),'Weekly Log'!$M$5:$M$5000),0))</f>
        <v/>
      </c>
      <c r="J290" t="str">
        <f>IF(COUNT('Weekly Log'!$A$5:$A$5000)=0,"",IF(MIN('Weekly Log'!$A$5:$A$5000)+7*(ROW()-10)&gt;MAX('Weekly Log'!$A$5:$A$5000),"",MIN('Weekly Log'!$A$5:$A$5000)+7*(ROW()-10)))</f>
        <v/>
      </c>
    </row>
    <row r="291" spans="1:10" x14ac:dyDescent="0.25">
      <c r="A291" t="str">
        <f t="shared" si="4"/>
        <v/>
      </c>
      <c r="B291" t="str">
        <f>IF($J291="","",SUMIFS('Weekly Log'!$C:$C,'Weekly Log'!$A:$A,"&gt;="&amp;$J291,'Weekly Log'!$A:$A,"&lt;"&amp;$J291+7))</f>
        <v/>
      </c>
      <c r="C291" t="str">
        <f>IF($J291="","",IFERROR(COUNTIFS('Weekly Log'!$G:$G,"Y",'Weekly Log'!$A:$A,"&gt;="&amp;$J291,'Weekly Log'!$A:$A,"&lt;"&amp;$J291+7)/COUNTIFS('Weekly Log'!$G:$G,"&lt;&gt;",'Weekly Log'!$A:$A,"&gt;="&amp;$J291,'Weekly Log'!$A:$A,"&lt;"&amp;$J291+7),0))</f>
        <v/>
      </c>
      <c r="D291" t="str">
        <f>IF($J291="","",IFERROR(COUNTIFS('Weekly Log'!$H:$H,"Y",'Weekly Log'!$A:$A,"&gt;="&amp;$J291,'Weekly Log'!$A:$A,"&lt;"&amp;$J291+7)/COUNTIFS('Weekly Log'!$H:$H,"&lt;&gt;",'Weekly Log'!$A:$A,"&gt;="&amp;$J291,'Weekly Log'!$A:$A,"&lt;"&amp;$J291+7),0))</f>
        <v/>
      </c>
      <c r="E291" t="str">
        <f>IF($J291="","",IFERROR(AVERAGEIFS('Weekly Log'!$F:$F,'Weekly Log'!$A:$A,"&gt;="&amp;$J291,'Weekly Log'!$A:$A,"&lt;"&amp;$J291+7),0))</f>
        <v/>
      </c>
      <c r="F291" t="str">
        <f>IF($J291="","",IFERROR(SUMIFS('Weekly Log'!$F:$F,'Weekly Log'!$A:$A,"&gt;="&amp;$J291,'Weekly Log'!$A:$A,"&lt;"&amp;$J291+7)/SUMIFS('Weekly Log'!$E:$E,'Weekly Log'!$A:$A,"&gt;="&amp;$J291,'Weekly Log'!$A:$A,"&lt;"&amp;$J291+7),0))</f>
        <v/>
      </c>
      <c r="G291" t="str">
        <f>IF($J291="","",IFERROR(LOOKUP(2,1/(('Weekly Log'!$A$5:$A$5000&gt;=$J291)*('Weekly Log'!$A$5:$A$5000&lt;$J291+7)*('Weekly Log'!$M$5:$M$5000&lt;&gt;"")),'Weekly Log'!$M$5:$M$5000),0))</f>
        <v/>
      </c>
      <c r="J291" t="str">
        <f>IF(COUNT('Weekly Log'!$A$5:$A$5000)=0,"",IF(MIN('Weekly Log'!$A$5:$A$5000)+7*(ROW()-10)&gt;MAX('Weekly Log'!$A$5:$A$5000),"",MIN('Weekly Log'!$A$5:$A$5000)+7*(ROW()-10)))</f>
        <v/>
      </c>
    </row>
    <row r="292" spans="1:10" x14ac:dyDescent="0.25">
      <c r="A292" t="str">
        <f t="shared" si="4"/>
        <v/>
      </c>
      <c r="B292" t="str">
        <f>IF($J292="","",SUMIFS('Weekly Log'!$C:$C,'Weekly Log'!$A:$A,"&gt;="&amp;$J292,'Weekly Log'!$A:$A,"&lt;"&amp;$J292+7))</f>
        <v/>
      </c>
      <c r="C292" t="str">
        <f>IF($J292="","",IFERROR(COUNTIFS('Weekly Log'!$G:$G,"Y",'Weekly Log'!$A:$A,"&gt;="&amp;$J292,'Weekly Log'!$A:$A,"&lt;"&amp;$J292+7)/COUNTIFS('Weekly Log'!$G:$G,"&lt;&gt;",'Weekly Log'!$A:$A,"&gt;="&amp;$J292,'Weekly Log'!$A:$A,"&lt;"&amp;$J292+7),0))</f>
        <v/>
      </c>
      <c r="D292" t="str">
        <f>IF($J292="","",IFERROR(COUNTIFS('Weekly Log'!$H:$H,"Y",'Weekly Log'!$A:$A,"&gt;="&amp;$J292,'Weekly Log'!$A:$A,"&lt;"&amp;$J292+7)/COUNTIFS('Weekly Log'!$H:$H,"&lt;&gt;",'Weekly Log'!$A:$A,"&gt;="&amp;$J292,'Weekly Log'!$A:$A,"&lt;"&amp;$J292+7),0))</f>
        <v/>
      </c>
      <c r="E292" t="str">
        <f>IF($J292="","",IFERROR(AVERAGEIFS('Weekly Log'!$F:$F,'Weekly Log'!$A:$A,"&gt;="&amp;$J292,'Weekly Log'!$A:$A,"&lt;"&amp;$J292+7),0))</f>
        <v/>
      </c>
      <c r="F292" t="str">
        <f>IF($J292="","",IFERROR(SUMIFS('Weekly Log'!$F:$F,'Weekly Log'!$A:$A,"&gt;="&amp;$J292,'Weekly Log'!$A:$A,"&lt;"&amp;$J292+7)/SUMIFS('Weekly Log'!$E:$E,'Weekly Log'!$A:$A,"&gt;="&amp;$J292,'Weekly Log'!$A:$A,"&lt;"&amp;$J292+7),0))</f>
        <v/>
      </c>
      <c r="G292" t="str">
        <f>IF($J292="","",IFERROR(LOOKUP(2,1/(('Weekly Log'!$A$5:$A$5000&gt;=$J292)*('Weekly Log'!$A$5:$A$5000&lt;$J292+7)*('Weekly Log'!$M$5:$M$5000&lt;&gt;"")),'Weekly Log'!$M$5:$M$5000),0))</f>
        <v/>
      </c>
      <c r="J292" t="str">
        <f>IF(COUNT('Weekly Log'!$A$5:$A$5000)=0,"",IF(MIN('Weekly Log'!$A$5:$A$5000)+7*(ROW()-10)&gt;MAX('Weekly Log'!$A$5:$A$5000),"",MIN('Weekly Log'!$A$5:$A$5000)+7*(ROW()-10)))</f>
        <v/>
      </c>
    </row>
    <row r="293" spans="1:10" x14ac:dyDescent="0.25">
      <c r="A293" t="str">
        <f t="shared" si="4"/>
        <v/>
      </c>
      <c r="B293" t="str">
        <f>IF($J293="","",SUMIFS('Weekly Log'!$C:$C,'Weekly Log'!$A:$A,"&gt;="&amp;$J293,'Weekly Log'!$A:$A,"&lt;"&amp;$J293+7))</f>
        <v/>
      </c>
      <c r="C293" t="str">
        <f>IF($J293="","",IFERROR(COUNTIFS('Weekly Log'!$G:$G,"Y",'Weekly Log'!$A:$A,"&gt;="&amp;$J293,'Weekly Log'!$A:$A,"&lt;"&amp;$J293+7)/COUNTIFS('Weekly Log'!$G:$G,"&lt;&gt;",'Weekly Log'!$A:$A,"&gt;="&amp;$J293,'Weekly Log'!$A:$A,"&lt;"&amp;$J293+7),0))</f>
        <v/>
      </c>
      <c r="D293" t="str">
        <f>IF($J293="","",IFERROR(COUNTIFS('Weekly Log'!$H:$H,"Y",'Weekly Log'!$A:$A,"&gt;="&amp;$J293,'Weekly Log'!$A:$A,"&lt;"&amp;$J293+7)/COUNTIFS('Weekly Log'!$H:$H,"&lt;&gt;",'Weekly Log'!$A:$A,"&gt;="&amp;$J293,'Weekly Log'!$A:$A,"&lt;"&amp;$J293+7),0))</f>
        <v/>
      </c>
      <c r="E293" t="str">
        <f>IF($J293="","",IFERROR(AVERAGEIFS('Weekly Log'!$F:$F,'Weekly Log'!$A:$A,"&gt;="&amp;$J293,'Weekly Log'!$A:$A,"&lt;"&amp;$J293+7),0))</f>
        <v/>
      </c>
      <c r="F293" t="str">
        <f>IF($J293="","",IFERROR(SUMIFS('Weekly Log'!$F:$F,'Weekly Log'!$A:$A,"&gt;="&amp;$J293,'Weekly Log'!$A:$A,"&lt;"&amp;$J293+7)/SUMIFS('Weekly Log'!$E:$E,'Weekly Log'!$A:$A,"&gt;="&amp;$J293,'Weekly Log'!$A:$A,"&lt;"&amp;$J293+7),0))</f>
        <v/>
      </c>
      <c r="G293" t="str">
        <f>IF($J293="","",IFERROR(LOOKUP(2,1/(('Weekly Log'!$A$5:$A$5000&gt;=$J293)*('Weekly Log'!$A$5:$A$5000&lt;$J293+7)*('Weekly Log'!$M$5:$M$5000&lt;&gt;"")),'Weekly Log'!$M$5:$M$5000),0))</f>
        <v/>
      </c>
      <c r="J293" t="str">
        <f>IF(COUNT('Weekly Log'!$A$5:$A$5000)=0,"",IF(MIN('Weekly Log'!$A$5:$A$5000)+7*(ROW()-10)&gt;MAX('Weekly Log'!$A$5:$A$5000),"",MIN('Weekly Log'!$A$5:$A$5000)+7*(ROW()-10)))</f>
        <v/>
      </c>
    </row>
    <row r="294" spans="1:10" x14ac:dyDescent="0.25">
      <c r="A294" t="str">
        <f t="shared" si="4"/>
        <v/>
      </c>
      <c r="B294" t="str">
        <f>IF($J294="","",SUMIFS('Weekly Log'!$C:$C,'Weekly Log'!$A:$A,"&gt;="&amp;$J294,'Weekly Log'!$A:$A,"&lt;"&amp;$J294+7))</f>
        <v/>
      </c>
      <c r="C294" t="str">
        <f>IF($J294="","",IFERROR(COUNTIFS('Weekly Log'!$G:$G,"Y",'Weekly Log'!$A:$A,"&gt;="&amp;$J294,'Weekly Log'!$A:$A,"&lt;"&amp;$J294+7)/COUNTIFS('Weekly Log'!$G:$G,"&lt;&gt;",'Weekly Log'!$A:$A,"&gt;="&amp;$J294,'Weekly Log'!$A:$A,"&lt;"&amp;$J294+7),0))</f>
        <v/>
      </c>
      <c r="D294" t="str">
        <f>IF($J294="","",IFERROR(COUNTIFS('Weekly Log'!$H:$H,"Y",'Weekly Log'!$A:$A,"&gt;="&amp;$J294,'Weekly Log'!$A:$A,"&lt;"&amp;$J294+7)/COUNTIFS('Weekly Log'!$H:$H,"&lt;&gt;",'Weekly Log'!$A:$A,"&gt;="&amp;$J294,'Weekly Log'!$A:$A,"&lt;"&amp;$J294+7),0))</f>
        <v/>
      </c>
      <c r="E294" t="str">
        <f>IF($J294="","",IFERROR(AVERAGEIFS('Weekly Log'!$F:$F,'Weekly Log'!$A:$A,"&gt;="&amp;$J294,'Weekly Log'!$A:$A,"&lt;"&amp;$J294+7),0))</f>
        <v/>
      </c>
      <c r="F294" t="str">
        <f>IF($J294="","",IFERROR(SUMIFS('Weekly Log'!$F:$F,'Weekly Log'!$A:$A,"&gt;="&amp;$J294,'Weekly Log'!$A:$A,"&lt;"&amp;$J294+7)/SUMIFS('Weekly Log'!$E:$E,'Weekly Log'!$A:$A,"&gt;="&amp;$J294,'Weekly Log'!$A:$A,"&lt;"&amp;$J294+7),0))</f>
        <v/>
      </c>
      <c r="G294" t="str">
        <f>IF($J294="","",IFERROR(LOOKUP(2,1/(('Weekly Log'!$A$5:$A$5000&gt;=$J294)*('Weekly Log'!$A$5:$A$5000&lt;$J294+7)*('Weekly Log'!$M$5:$M$5000&lt;&gt;"")),'Weekly Log'!$M$5:$M$5000),0))</f>
        <v/>
      </c>
      <c r="J294" t="str">
        <f>IF(COUNT('Weekly Log'!$A$5:$A$5000)=0,"",IF(MIN('Weekly Log'!$A$5:$A$5000)+7*(ROW()-10)&gt;MAX('Weekly Log'!$A$5:$A$5000),"",MIN('Weekly Log'!$A$5:$A$5000)+7*(ROW()-10)))</f>
        <v/>
      </c>
    </row>
    <row r="295" spans="1:10" x14ac:dyDescent="0.25">
      <c r="A295" t="str">
        <f t="shared" si="4"/>
        <v/>
      </c>
      <c r="B295" t="str">
        <f>IF($J295="","",SUMIFS('Weekly Log'!$C:$C,'Weekly Log'!$A:$A,"&gt;="&amp;$J295,'Weekly Log'!$A:$A,"&lt;"&amp;$J295+7))</f>
        <v/>
      </c>
      <c r="C295" t="str">
        <f>IF($J295="","",IFERROR(COUNTIFS('Weekly Log'!$G:$G,"Y",'Weekly Log'!$A:$A,"&gt;="&amp;$J295,'Weekly Log'!$A:$A,"&lt;"&amp;$J295+7)/COUNTIFS('Weekly Log'!$G:$G,"&lt;&gt;",'Weekly Log'!$A:$A,"&gt;="&amp;$J295,'Weekly Log'!$A:$A,"&lt;"&amp;$J295+7),0))</f>
        <v/>
      </c>
      <c r="D295" t="str">
        <f>IF($J295="","",IFERROR(COUNTIFS('Weekly Log'!$H:$H,"Y",'Weekly Log'!$A:$A,"&gt;="&amp;$J295,'Weekly Log'!$A:$A,"&lt;"&amp;$J295+7)/COUNTIFS('Weekly Log'!$H:$H,"&lt;&gt;",'Weekly Log'!$A:$A,"&gt;="&amp;$J295,'Weekly Log'!$A:$A,"&lt;"&amp;$J295+7),0))</f>
        <v/>
      </c>
      <c r="E295" t="str">
        <f>IF($J295="","",IFERROR(AVERAGEIFS('Weekly Log'!$F:$F,'Weekly Log'!$A:$A,"&gt;="&amp;$J295,'Weekly Log'!$A:$A,"&lt;"&amp;$J295+7),0))</f>
        <v/>
      </c>
      <c r="F295" t="str">
        <f>IF($J295="","",IFERROR(SUMIFS('Weekly Log'!$F:$F,'Weekly Log'!$A:$A,"&gt;="&amp;$J295,'Weekly Log'!$A:$A,"&lt;"&amp;$J295+7)/SUMIFS('Weekly Log'!$E:$E,'Weekly Log'!$A:$A,"&gt;="&amp;$J295,'Weekly Log'!$A:$A,"&lt;"&amp;$J295+7),0))</f>
        <v/>
      </c>
      <c r="G295" t="str">
        <f>IF($J295="","",IFERROR(LOOKUP(2,1/(('Weekly Log'!$A$5:$A$5000&gt;=$J295)*('Weekly Log'!$A$5:$A$5000&lt;$J295+7)*('Weekly Log'!$M$5:$M$5000&lt;&gt;"")),'Weekly Log'!$M$5:$M$5000),0))</f>
        <v/>
      </c>
      <c r="J295" t="str">
        <f>IF(COUNT('Weekly Log'!$A$5:$A$5000)=0,"",IF(MIN('Weekly Log'!$A$5:$A$5000)+7*(ROW()-10)&gt;MAX('Weekly Log'!$A$5:$A$5000),"",MIN('Weekly Log'!$A$5:$A$5000)+7*(ROW()-10)))</f>
        <v/>
      </c>
    </row>
    <row r="296" spans="1:10" x14ac:dyDescent="0.25">
      <c r="A296" t="str">
        <f t="shared" si="4"/>
        <v/>
      </c>
      <c r="B296" t="str">
        <f>IF($J296="","",SUMIFS('Weekly Log'!$C:$C,'Weekly Log'!$A:$A,"&gt;="&amp;$J296,'Weekly Log'!$A:$A,"&lt;"&amp;$J296+7))</f>
        <v/>
      </c>
      <c r="C296" t="str">
        <f>IF($J296="","",IFERROR(COUNTIFS('Weekly Log'!$G:$G,"Y",'Weekly Log'!$A:$A,"&gt;="&amp;$J296,'Weekly Log'!$A:$A,"&lt;"&amp;$J296+7)/COUNTIFS('Weekly Log'!$G:$G,"&lt;&gt;",'Weekly Log'!$A:$A,"&gt;="&amp;$J296,'Weekly Log'!$A:$A,"&lt;"&amp;$J296+7),0))</f>
        <v/>
      </c>
      <c r="D296" t="str">
        <f>IF($J296="","",IFERROR(COUNTIFS('Weekly Log'!$H:$H,"Y",'Weekly Log'!$A:$A,"&gt;="&amp;$J296,'Weekly Log'!$A:$A,"&lt;"&amp;$J296+7)/COUNTIFS('Weekly Log'!$H:$H,"&lt;&gt;",'Weekly Log'!$A:$A,"&gt;="&amp;$J296,'Weekly Log'!$A:$A,"&lt;"&amp;$J296+7),0))</f>
        <v/>
      </c>
      <c r="E296" t="str">
        <f>IF($J296="","",IFERROR(AVERAGEIFS('Weekly Log'!$F:$F,'Weekly Log'!$A:$A,"&gt;="&amp;$J296,'Weekly Log'!$A:$A,"&lt;"&amp;$J296+7),0))</f>
        <v/>
      </c>
      <c r="F296" t="str">
        <f>IF($J296="","",IFERROR(SUMIFS('Weekly Log'!$F:$F,'Weekly Log'!$A:$A,"&gt;="&amp;$J296,'Weekly Log'!$A:$A,"&lt;"&amp;$J296+7)/SUMIFS('Weekly Log'!$E:$E,'Weekly Log'!$A:$A,"&gt;="&amp;$J296,'Weekly Log'!$A:$A,"&lt;"&amp;$J296+7),0))</f>
        <v/>
      </c>
      <c r="G296" t="str">
        <f>IF($J296="","",IFERROR(LOOKUP(2,1/(('Weekly Log'!$A$5:$A$5000&gt;=$J296)*('Weekly Log'!$A$5:$A$5000&lt;$J296+7)*('Weekly Log'!$M$5:$M$5000&lt;&gt;"")),'Weekly Log'!$M$5:$M$5000),0))</f>
        <v/>
      </c>
      <c r="J296" t="str">
        <f>IF(COUNT('Weekly Log'!$A$5:$A$5000)=0,"",IF(MIN('Weekly Log'!$A$5:$A$5000)+7*(ROW()-10)&gt;MAX('Weekly Log'!$A$5:$A$5000),"",MIN('Weekly Log'!$A$5:$A$5000)+7*(ROW()-10)))</f>
        <v/>
      </c>
    </row>
    <row r="297" spans="1:10" x14ac:dyDescent="0.25">
      <c r="A297" t="str">
        <f t="shared" si="4"/>
        <v/>
      </c>
      <c r="B297" t="str">
        <f>IF($J297="","",SUMIFS('Weekly Log'!$C:$C,'Weekly Log'!$A:$A,"&gt;="&amp;$J297,'Weekly Log'!$A:$A,"&lt;"&amp;$J297+7))</f>
        <v/>
      </c>
      <c r="C297" t="str">
        <f>IF($J297="","",IFERROR(COUNTIFS('Weekly Log'!$G:$G,"Y",'Weekly Log'!$A:$A,"&gt;="&amp;$J297,'Weekly Log'!$A:$A,"&lt;"&amp;$J297+7)/COUNTIFS('Weekly Log'!$G:$G,"&lt;&gt;",'Weekly Log'!$A:$A,"&gt;="&amp;$J297,'Weekly Log'!$A:$A,"&lt;"&amp;$J297+7),0))</f>
        <v/>
      </c>
      <c r="D297" t="str">
        <f>IF($J297="","",IFERROR(COUNTIFS('Weekly Log'!$H:$H,"Y",'Weekly Log'!$A:$A,"&gt;="&amp;$J297,'Weekly Log'!$A:$A,"&lt;"&amp;$J297+7)/COUNTIFS('Weekly Log'!$H:$H,"&lt;&gt;",'Weekly Log'!$A:$A,"&gt;="&amp;$J297,'Weekly Log'!$A:$A,"&lt;"&amp;$J297+7),0))</f>
        <v/>
      </c>
      <c r="E297" t="str">
        <f>IF($J297="","",IFERROR(AVERAGEIFS('Weekly Log'!$F:$F,'Weekly Log'!$A:$A,"&gt;="&amp;$J297,'Weekly Log'!$A:$A,"&lt;"&amp;$J297+7),0))</f>
        <v/>
      </c>
      <c r="F297" t="str">
        <f>IF($J297="","",IFERROR(SUMIFS('Weekly Log'!$F:$F,'Weekly Log'!$A:$A,"&gt;="&amp;$J297,'Weekly Log'!$A:$A,"&lt;"&amp;$J297+7)/SUMIFS('Weekly Log'!$E:$E,'Weekly Log'!$A:$A,"&gt;="&amp;$J297,'Weekly Log'!$A:$A,"&lt;"&amp;$J297+7),0))</f>
        <v/>
      </c>
      <c r="G297" t="str">
        <f>IF($J297="","",IFERROR(LOOKUP(2,1/(('Weekly Log'!$A$5:$A$5000&gt;=$J297)*('Weekly Log'!$A$5:$A$5000&lt;$J297+7)*('Weekly Log'!$M$5:$M$5000&lt;&gt;"")),'Weekly Log'!$M$5:$M$5000),0))</f>
        <v/>
      </c>
      <c r="J297" t="str">
        <f>IF(COUNT('Weekly Log'!$A$5:$A$5000)=0,"",IF(MIN('Weekly Log'!$A$5:$A$5000)+7*(ROW()-10)&gt;MAX('Weekly Log'!$A$5:$A$5000),"",MIN('Weekly Log'!$A$5:$A$5000)+7*(ROW()-10)))</f>
        <v/>
      </c>
    </row>
    <row r="298" spans="1:10" x14ac:dyDescent="0.25">
      <c r="A298" t="str">
        <f t="shared" si="4"/>
        <v/>
      </c>
      <c r="B298" t="str">
        <f>IF($J298="","",SUMIFS('Weekly Log'!$C:$C,'Weekly Log'!$A:$A,"&gt;="&amp;$J298,'Weekly Log'!$A:$A,"&lt;"&amp;$J298+7))</f>
        <v/>
      </c>
      <c r="C298" t="str">
        <f>IF($J298="","",IFERROR(COUNTIFS('Weekly Log'!$G:$G,"Y",'Weekly Log'!$A:$A,"&gt;="&amp;$J298,'Weekly Log'!$A:$A,"&lt;"&amp;$J298+7)/COUNTIFS('Weekly Log'!$G:$G,"&lt;&gt;",'Weekly Log'!$A:$A,"&gt;="&amp;$J298,'Weekly Log'!$A:$A,"&lt;"&amp;$J298+7),0))</f>
        <v/>
      </c>
      <c r="D298" t="str">
        <f>IF($J298="","",IFERROR(COUNTIFS('Weekly Log'!$H:$H,"Y",'Weekly Log'!$A:$A,"&gt;="&amp;$J298,'Weekly Log'!$A:$A,"&lt;"&amp;$J298+7)/COUNTIFS('Weekly Log'!$H:$H,"&lt;&gt;",'Weekly Log'!$A:$A,"&gt;="&amp;$J298,'Weekly Log'!$A:$A,"&lt;"&amp;$J298+7),0))</f>
        <v/>
      </c>
      <c r="E298" t="str">
        <f>IF($J298="","",IFERROR(AVERAGEIFS('Weekly Log'!$F:$F,'Weekly Log'!$A:$A,"&gt;="&amp;$J298,'Weekly Log'!$A:$A,"&lt;"&amp;$J298+7),0))</f>
        <v/>
      </c>
      <c r="F298" t="str">
        <f>IF($J298="","",IFERROR(SUMIFS('Weekly Log'!$F:$F,'Weekly Log'!$A:$A,"&gt;="&amp;$J298,'Weekly Log'!$A:$A,"&lt;"&amp;$J298+7)/SUMIFS('Weekly Log'!$E:$E,'Weekly Log'!$A:$A,"&gt;="&amp;$J298,'Weekly Log'!$A:$A,"&lt;"&amp;$J298+7),0))</f>
        <v/>
      </c>
      <c r="G298" t="str">
        <f>IF($J298="","",IFERROR(LOOKUP(2,1/(('Weekly Log'!$A$5:$A$5000&gt;=$J298)*('Weekly Log'!$A$5:$A$5000&lt;$J298+7)*('Weekly Log'!$M$5:$M$5000&lt;&gt;"")),'Weekly Log'!$M$5:$M$5000),0))</f>
        <v/>
      </c>
      <c r="J298" t="str">
        <f>IF(COUNT('Weekly Log'!$A$5:$A$5000)=0,"",IF(MIN('Weekly Log'!$A$5:$A$5000)+7*(ROW()-10)&gt;MAX('Weekly Log'!$A$5:$A$5000),"",MIN('Weekly Log'!$A$5:$A$5000)+7*(ROW()-10)))</f>
        <v/>
      </c>
    </row>
    <row r="299" spans="1:10" x14ac:dyDescent="0.25">
      <c r="A299" t="str">
        <f t="shared" si="4"/>
        <v/>
      </c>
      <c r="B299" t="str">
        <f>IF($J299="","",SUMIFS('Weekly Log'!$C:$C,'Weekly Log'!$A:$A,"&gt;="&amp;$J299,'Weekly Log'!$A:$A,"&lt;"&amp;$J299+7))</f>
        <v/>
      </c>
      <c r="C299" t="str">
        <f>IF($J299="","",IFERROR(COUNTIFS('Weekly Log'!$G:$G,"Y",'Weekly Log'!$A:$A,"&gt;="&amp;$J299,'Weekly Log'!$A:$A,"&lt;"&amp;$J299+7)/COUNTIFS('Weekly Log'!$G:$G,"&lt;&gt;",'Weekly Log'!$A:$A,"&gt;="&amp;$J299,'Weekly Log'!$A:$A,"&lt;"&amp;$J299+7),0))</f>
        <v/>
      </c>
      <c r="D299" t="str">
        <f>IF($J299="","",IFERROR(COUNTIFS('Weekly Log'!$H:$H,"Y",'Weekly Log'!$A:$A,"&gt;="&amp;$J299,'Weekly Log'!$A:$A,"&lt;"&amp;$J299+7)/COUNTIFS('Weekly Log'!$H:$H,"&lt;&gt;",'Weekly Log'!$A:$A,"&gt;="&amp;$J299,'Weekly Log'!$A:$A,"&lt;"&amp;$J299+7),0))</f>
        <v/>
      </c>
      <c r="E299" t="str">
        <f>IF($J299="","",IFERROR(AVERAGEIFS('Weekly Log'!$F:$F,'Weekly Log'!$A:$A,"&gt;="&amp;$J299,'Weekly Log'!$A:$A,"&lt;"&amp;$J299+7),0))</f>
        <v/>
      </c>
      <c r="F299" t="str">
        <f>IF($J299="","",IFERROR(SUMIFS('Weekly Log'!$F:$F,'Weekly Log'!$A:$A,"&gt;="&amp;$J299,'Weekly Log'!$A:$A,"&lt;"&amp;$J299+7)/SUMIFS('Weekly Log'!$E:$E,'Weekly Log'!$A:$A,"&gt;="&amp;$J299,'Weekly Log'!$A:$A,"&lt;"&amp;$J299+7),0))</f>
        <v/>
      </c>
      <c r="G299" t="str">
        <f>IF($J299="","",IFERROR(LOOKUP(2,1/(('Weekly Log'!$A$5:$A$5000&gt;=$J299)*('Weekly Log'!$A$5:$A$5000&lt;$J299+7)*('Weekly Log'!$M$5:$M$5000&lt;&gt;"")),'Weekly Log'!$M$5:$M$5000),0))</f>
        <v/>
      </c>
      <c r="J299" t="str">
        <f>IF(COUNT('Weekly Log'!$A$5:$A$5000)=0,"",IF(MIN('Weekly Log'!$A$5:$A$5000)+7*(ROW()-10)&gt;MAX('Weekly Log'!$A$5:$A$5000),"",MIN('Weekly Log'!$A$5:$A$5000)+7*(ROW()-10)))</f>
        <v/>
      </c>
    </row>
    <row r="300" spans="1:10" x14ac:dyDescent="0.25">
      <c r="A300" t="str">
        <f t="shared" si="4"/>
        <v/>
      </c>
      <c r="B300" t="str">
        <f>IF($J300="","",SUMIFS('Weekly Log'!$C:$C,'Weekly Log'!$A:$A,"&gt;="&amp;$J300,'Weekly Log'!$A:$A,"&lt;"&amp;$J300+7))</f>
        <v/>
      </c>
      <c r="C300" t="str">
        <f>IF($J300="","",IFERROR(COUNTIFS('Weekly Log'!$G:$G,"Y",'Weekly Log'!$A:$A,"&gt;="&amp;$J300,'Weekly Log'!$A:$A,"&lt;"&amp;$J300+7)/COUNTIFS('Weekly Log'!$G:$G,"&lt;&gt;",'Weekly Log'!$A:$A,"&gt;="&amp;$J300,'Weekly Log'!$A:$A,"&lt;"&amp;$J300+7),0))</f>
        <v/>
      </c>
      <c r="D300" t="str">
        <f>IF($J300="","",IFERROR(COUNTIFS('Weekly Log'!$H:$H,"Y",'Weekly Log'!$A:$A,"&gt;="&amp;$J300,'Weekly Log'!$A:$A,"&lt;"&amp;$J300+7)/COUNTIFS('Weekly Log'!$H:$H,"&lt;&gt;",'Weekly Log'!$A:$A,"&gt;="&amp;$J300,'Weekly Log'!$A:$A,"&lt;"&amp;$J300+7),0))</f>
        <v/>
      </c>
      <c r="E300" t="str">
        <f>IF($J300="","",IFERROR(AVERAGEIFS('Weekly Log'!$F:$F,'Weekly Log'!$A:$A,"&gt;="&amp;$J300,'Weekly Log'!$A:$A,"&lt;"&amp;$J300+7),0))</f>
        <v/>
      </c>
      <c r="F300" t="str">
        <f>IF($J300="","",IFERROR(SUMIFS('Weekly Log'!$F:$F,'Weekly Log'!$A:$A,"&gt;="&amp;$J300,'Weekly Log'!$A:$A,"&lt;"&amp;$J300+7)/SUMIFS('Weekly Log'!$E:$E,'Weekly Log'!$A:$A,"&gt;="&amp;$J300,'Weekly Log'!$A:$A,"&lt;"&amp;$J300+7),0))</f>
        <v/>
      </c>
      <c r="G300" t="str">
        <f>IF($J300="","",IFERROR(LOOKUP(2,1/(('Weekly Log'!$A$5:$A$5000&gt;=$J300)*('Weekly Log'!$A$5:$A$5000&lt;$J300+7)*('Weekly Log'!$M$5:$M$5000&lt;&gt;"")),'Weekly Log'!$M$5:$M$5000),0))</f>
        <v/>
      </c>
      <c r="J300" t="str">
        <f>IF(COUNT('Weekly Log'!$A$5:$A$5000)=0,"",IF(MIN('Weekly Log'!$A$5:$A$5000)+7*(ROW()-10)&gt;MAX('Weekly Log'!$A$5:$A$5000),"",MIN('Weekly Log'!$A$5:$A$5000)+7*(ROW()-10)))</f>
        <v/>
      </c>
    </row>
    <row r="301" spans="1:10" x14ac:dyDescent="0.25">
      <c r="A301" t="str">
        <f t="shared" si="4"/>
        <v/>
      </c>
      <c r="B301" t="str">
        <f>IF($J301="","",SUMIFS('Weekly Log'!$C:$C,'Weekly Log'!$A:$A,"&gt;="&amp;$J301,'Weekly Log'!$A:$A,"&lt;"&amp;$J301+7))</f>
        <v/>
      </c>
      <c r="C301" t="str">
        <f>IF($J301="","",IFERROR(COUNTIFS('Weekly Log'!$G:$G,"Y",'Weekly Log'!$A:$A,"&gt;="&amp;$J301,'Weekly Log'!$A:$A,"&lt;"&amp;$J301+7)/COUNTIFS('Weekly Log'!$G:$G,"&lt;&gt;",'Weekly Log'!$A:$A,"&gt;="&amp;$J301,'Weekly Log'!$A:$A,"&lt;"&amp;$J301+7),0))</f>
        <v/>
      </c>
      <c r="D301" t="str">
        <f>IF($J301="","",IFERROR(COUNTIFS('Weekly Log'!$H:$H,"Y",'Weekly Log'!$A:$A,"&gt;="&amp;$J301,'Weekly Log'!$A:$A,"&lt;"&amp;$J301+7)/COUNTIFS('Weekly Log'!$H:$H,"&lt;&gt;",'Weekly Log'!$A:$A,"&gt;="&amp;$J301,'Weekly Log'!$A:$A,"&lt;"&amp;$J301+7),0))</f>
        <v/>
      </c>
      <c r="E301" t="str">
        <f>IF($J301="","",IFERROR(AVERAGEIFS('Weekly Log'!$F:$F,'Weekly Log'!$A:$A,"&gt;="&amp;$J301,'Weekly Log'!$A:$A,"&lt;"&amp;$J301+7),0))</f>
        <v/>
      </c>
      <c r="F301" t="str">
        <f>IF($J301="","",IFERROR(SUMIFS('Weekly Log'!$F:$F,'Weekly Log'!$A:$A,"&gt;="&amp;$J301,'Weekly Log'!$A:$A,"&lt;"&amp;$J301+7)/SUMIFS('Weekly Log'!$E:$E,'Weekly Log'!$A:$A,"&gt;="&amp;$J301,'Weekly Log'!$A:$A,"&lt;"&amp;$J301+7),0))</f>
        <v/>
      </c>
      <c r="G301" t="str">
        <f>IF($J301="","",IFERROR(LOOKUP(2,1/(('Weekly Log'!$A$5:$A$5000&gt;=$J301)*('Weekly Log'!$A$5:$A$5000&lt;$J301+7)*('Weekly Log'!$M$5:$M$5000&lt;&gt;"")),'Weekly Log'!$M$5:$M$5000),0))</f>
        <v/>
      </c>
      <c r="J301" t="str">
        <f>IF(COUNT('Weekly Log'!$A$5:$A$5000)=0,"",IF(MIN('Weekly Log'!$A$5:$A$5000)+7*(ROW()-10)&gt;MAX('Weekly Log'!$A$5:$A$5000),"",MIN('Weekly Log'!$A$5:$A$5000)+7*(ROW()-10)))</f>
        <v/>
      </c>
    </row>
    <row r="302" spans="1:10" x14ac:dyDescent="0.25">
      <c r="A302" t="str">
        <f t="shared" si="4"/>
        <v/>
      </c>
      <c r="B302" t="str">
        <f>IF($J302="","",SUMIFS('Weekly Log'!$C:$C,'Weekly Log'!$A:$A,"&gt;="&amp;$J302,'Weekly Log'!$A:$A,"&lt;"&amp;$J302+7))</f>
        <v/>
      </c>
      <c r="C302" t="str">
        <f>IF($J302="","",IFERROR(COUNTIFS('Weekly Log'!$G:$G,"Y",'Weekly Log'!$A:$A,"&gt;="&amp;$J302,'Weekly Log'!$A:$A,"&lt;"&amp;$J302+7)/COUNTIFS('Weekly Log'!$G:$G,"&lt;&gt;",'Weekly Log'!$A:$A,"&gt;="&amp;$J302,'Weekly Log'!$A:$A,"&lt;"&amp;$J302+7),0))</f>
        <v/>
      </c>
      <c r="D302" t="str">
        <f>IF($J302="","",IFERROR(COUNTIFS('Weekly Log'!$H:$H,"Y",'Weekly Log'!$A:$A,"&gt;="&amp;$J302,'Weekly Log'!$A:$A,"&lt;"&amp;$J302+7)/COUNTIFS('Weekly Log'!$H:$H,"&lt;&gt;",'Weekly Log'!$A:$A,"&gt;="&amp;$J302,'Weekly Log'!$A:$A,"&lt;"&amp;$J302+7),0))</f>
        <v/>
      </c>
      <c r="E302" t="str">
        <f>IF($J302="","",IFERROR(AVERAGEIFS('Weekly Log'!$F:$F,'Weekly Log'!$A:$A,"&gt;="&amp;$J302,'Weekly Log'!$A:$A,"&lt;"&amp;$J302+7),0))</f>
        <v/>
      </c>
      <c r="F302" t="str">
        <f>IF($J302="","",IFERROR(SUMIFS('Weekly Log'!$F:$F,'Weekly Log'!$A:$A,"&gt;="&amp;$J302,'Weekly Log'!$A:$A,"&lt;"&amp;$J302+7)/SUMIFS('Weekly Log'!$E:$E,'Weekly Log'!$A:$A,"&gt;="&amp;$J302,'Weekly Log'!$A:$A,"&lt;"&amp;$J302+7),0))</f>
        <v/>
      </c>
      <c r="G302" t="str">
        <f>IF($J302="","",IFERROR(LOOKUP(2,1/(('Weekly Log'!$A$5:$A$5000&gt;=$J302)*('Weekly Log'!$A$5:$A$5000&lt;$J302+7)*('Weekly Log'!$M$5:$M$5000&lt;&gt;"")),'Weekly Log'!$M$5:$M$5000),0))</f>
        <v/>
      </c>
      <c r="J302" t="str">
        <f>IF(COUNT('Weekly Log'!$A$5:$A$5000)=0,"",IF(MIN('Weekly Log'!$A$5:$A$5000)+7*(ROW()-10)&gt;MAX('Weekly Log'!$A$5:$A$5000),"",MIN('Weekly Log'!$A$5:$A$5000)+7*(ROW()-10)))</f>
        <v/>
      </c>
    </row>
    <row r="303" spans="1:10" x14ac:dyDescent="0.25">
      <c r="A303" t="str">
        <f t="shared" si="4"/>
        <v/>
      </c>
      <c r="B303" t="str">
        <f>IF($J303="","",SUMIFS('Weekly Log'!$C:$C,'Weekly Log'!$A:$A,"&gt;="&amp;$J303,'Weekly Log'!$A:$A,"&lt;"&amp;$J303+7))</f>
        <v/>
      </c>
      <c r="C303" t="str">
        <f>IF($J303="","",IFERROR(COUNTIFS('Weekly Log'!$G:$G,"Y",'Weekly Log'!$A:$A,"&gt;="&amp;$J303,'Weekly Log'!$A:$A,"&lt;"&amp;$J303+7)/COUNTIFS('Weekly Log'!$G:$G,"&lt;&gt;",'Weekly Log'!$A:$A,"&gt;="&amp;$J303,'Weekly Log'!$A:$A,"&lt;"&amp;$J303+7),0))</f>
        <v/>
      </c>
      <c r="D303" t="str">
        <f>IF($J303="","",IFERROR(COUNTIFS('Weekly Log'!$H:$H,"Y",'Weekly Log'!$A:$A,"&gt;="&amp;$J303,'Weekly Log'!$A:$A,"&lt;"&amp;$J303+7)/COUNTIFS('Weekly Log'!$H:$H,"&lt;&gt;",'Weekly Log'!$A:$A,"&gt;="&amp;$J303,'Weekly Log'!$A:$A,"&lt;"&amp;$J303+7),0))</f>
        <v/>
      </c>
      <c r="E303" t="str">
        <f>IF($J303="","",IFERROR(AVERAGEIFS('Weekly Log'!$F:$F,'Weekly Log'!$A:$A,"&gt;="&amp;$J303,'Weekly Log'!$A:$A,"&lt;"&amp;$J303+7),0))</f>
        <v/>
      </c>
      <c r="F303" t="str">
        <f>IF($J303="","",IFERROR(SUMIFS('Weekly Log'!$F:$F,'Weekly Log'!$A:$A,"&gt;="&amp;$J303,'Weekly Log'!$A:$A,"&lt;"&amp;$J303+7)/SUMIFS('Weekly Log'!$E:$E,'Weekly Log'!$A:$A,"&gt;="&amp;$J303,'Weekly Log'!$A:$A,"&lt;"&amp;$J303+7),0))</f>
        <v/>
      </c>
      <c r="G303" t="str">
        <f>IF($J303="","",IFERROR(LOOKUP(2,1/(('Weekly Log'!$A$5:$A$5000&gt;=$J303)*('Weekly Log'!$A$5:$A$5000&lt;$J303+7)*('Weekly Log'!$M$5:$M$5000&lt;&gt;"")),'Weekly Log'!$M$5:$M$5000),0))</f>
        <v/>
      </c>
      <c r="J303" t="str">
        <f>IF(COUNT('Weekly Log'!$A$5:$A$5000)=0,"",IF(MIN('Weekly Log'!$A$5:$A$5000)+7*(ROW()-10)&gt;MAX('Weekly Log'!$A$5:$A$5000),"",MIN('Weekly Log'!$A$5:$A$5000)+7*(ROW()-10)))</f>
        <v/>
      </c>
    </row>
    <row r="304" spans="1:10" x14ac:dyDescent="0.25">
      <c r="A304" t="str">
        <f t="shared" si="4"/>
        <v/>
      </c>
      <c r="B304" t="str">
        <f>IF($J304="","",SUMIFS('Weekly Log'!$C:$C,'Weekly Log'!$A:$A,"&gt;="&amp;$J304,'Weekly Log'!$A:$A,"&lt;"&amp;$J304+7))</f>
        <v/>
      </c>
      <c r="C304" t="str">
        <f>IF($J304="","",IFERROR(COUNTIFS('Weekly Log'!$G:$G,"Y",'Weekly Log'!$A:$A,"&gt;="&amp;$J304,'Weekly Log'!$A:$A,"&lt;"&amp;$J304+7)/COUNTIFS('Weekly Log'!$G:$G,"&lt;&gt;",'Weekly Log'!$A:$A,"&gt;="&amp;$J304,'Weekly Log'!$A:$A,"&lt;"&amp;$J304+7),0))</f>
        <v/>
      </c>
      <c r="D304" t="str">
        <f>IF($J304="","",IFERROR(COUNTIFS('Weekly Log'!$H:$H,"Y",'Weekly Log'!$A:$A,"&gt;="&amp;$J304,'Weekly Log'!$A:$A,"&lt;"&amp;$J304+7)/COUNTIFS('Weekly Log'!$H:$H,"&lt;&gt;",'Weekly Log'!$A:$A,"&gt;="&amp;$J304,'Weekly Log'!$A:$A,"&lt;"&amp;$J304+7),0))</f>
        <v/>
      </c>
      <c r="E304" t="str">
        <f>IF($J304="","",IFERROR(AVERAGEIFS('Weekly Log'!$F:$F,'Weekly Log'!$A:$A,"&gt;="&amp;$J304,'Weekly Log'!$A:$A,"&lt;"&amp;$J304+7),0))</f>
        <v/>
      </c>
      <c r="F304" t="str">
        <f>IF($J304="","",IFERROR(SUMIFS('Weekly Log'!$F:$F,'Weekly Log'!$A:$A,"&gt;="&amp;$J304,'Weekly Log'!$A:$A,"&lt;"&amp;$J304+7)/SUMIFS('Weekly Log'!$E:$E,'Weekly Log'!$A:$A,"&gt;="&amp;$J304,'Weekly Log'!$A:$A,"&lt;"&amp;$J304+7),0))</f>
        <v/>
      </c>
      <c r="G304" t="str">
        <f>IF($J304="","",IFERROR(LOOKUP(2,1/(('Weekly Log'!$A$5:$A$5000&gt;=$J304)*('Weekly Log'!$A$5:$A$5000&lt;$J304+7)*('Weekly Log'!$M$5:$M$5000&lt;&gt;"")),'Weekly Log'!$M$5:$M$5000),0))</f>
        <v/>
      </c>
      <c r="J304" t="str">
        <f>IF(COUNT('Weekly Log'!$A$5:$A$5000)=0,"",IF(MIN('Weekly Log'!$A$5:$A$5000)+7*(ROW()-10)&gt;MAX('Weekly Log'!$A$5:$A$5000),"",MIN('Weekly Log'!$A$5:$A$5000)+7*(ROW()-10)))</f>
        <v/>
      </c>
    </row>
    <row r="305" spans="1:10" x14ac:dyDescent="0.25">
      <c r="A305" t="str">
        <f t="shared" si="4"/>
        <v/>
      </c>
      <c r="B305" t="str">
        <f>IF($J305="","",SUMIFS('Weekly Log'!$C:$C,'Weekly Log'!$A:$A,"&gt;="&amp;$J305,'Weekly Log'!$A:$A,"&lt;"&amp;$J305+7))</f>
        <v/>
      </c>
      <c r="C305" t="str">
        <f>IF($J305="","",IFERROR(COUNTIFS('Weekly Log'!$G:$G,"Y",'Weekly Log'!$A:$A,"&gt;="&amp;$J305,'Weekly Log'!$A:$A,"&lt;"&amp;$J305+7)/COUNTIFS('Weekly Log'!$G:$G,"&lt;&gt;",'Weekly Log'!$A:$A,"&gt;="&amp;$J305,'Weekly Log'!$A:$A,"&lt;"&amp;$J305+7),0))</f>
        <v/>
      </c>
      <c r="D305" t="str">
        <f>IF($J305="","",IFERROR(COUNTIFS('Weekly Log'!$H:$H,"Y",'Weekly Log'!$A:$A,"&gt;="&amp;$J305,'Weekly Log'!$A:$A,"&lt;"&amp;$J305+7)/COUNTIFS('Weekly Log'!$H:$H,"&lt;&gt;",'Weekly Log'!$A:$A,"&gt;="&amp;$J305,'Weekly Log'!$A:$A,"&lt;"&amp;$J305+7),0))</f>
        <v/>
      </c>
      <c r="E305" t="str">
        <f>IF($J305="","",IFERROR(AVERAGEIFS('Weekly Log'!$F:$F,'Weekly Log'!$A:$A,"&gt;="&amp;$J305,'Weekly Log'!$A:$A,"&lt;"&amp;$J305+7),0))</f>
        <v/>
      </c>
      <c r="F305" t="str">
        <f>IF($J305="","",IFERROR(SUMIFS('Weekly Log'!$F:$F,'Weekly Log'!$A:$A,"&gt;="&amp;$J305,'Weekly Log'!$A:$A,"&lt;"&amp;$J305+7)/SUMIFS('Weekly Log'!$E:$E,'Weekly Log'!$A:$A,"&gt;="&amp;$J305,'Weekly Log'!$A:$A,"&lt;"&amp;$J305+7),0))</f>
        <v/>
      </c>
      <c r="G305" t="str">
        <f>IF($J305="","",IFERROR(LOOKUP(2,1/(('Weekly Log'!$A$5:$A$5000&gt;=$J305)*('Weekly Log'!$A$5:$A$5000&lt;$J305+7)*('Weekly Log'!$M$5:$M$5000&lt;&gt;"")),'Weekly Log'!$M$5:$M$5000),0))</f>
        <v/>
      </c>
      <c r="J305" t="str">
        <f>IF(COUNT('Weekly Log'!$A$5:$A$5000)=0,"",IF(MIN('Weekly Log'!$A$5:$A$5000)+7*(ROW()-10)&gt;MAX('Weekly Log'!$A$5:$A$5000),"",MIN('Weekly Log'!$A$5:$A$5000)+7*(ROW()-10)))</f>
        <v/>
      </c>
    </row>
    <row r="306" spans="1:10" x14ac:dyDescent="0.25">
      <c r="A306" t="str">
        <f t="shared" si="4"/>
        <v/>
      </c>
      <c r="B306" t="str">
        <f>IF($J306="","",SUMIFS('Weekly Log'!$C:$C,'Weekly Log'!$A:$A,"&gt;="&amp;$J306,'Weekly Log'!$A:$A,"&lt;"&amp;$J306+7))</f>
        <v/>
      </c>
      <c r="C306" t="str">
        <f>IF($J306="","",IFERROR(COUNTIFS('Weekly Log'!$G:$G,"Y",'Weekly Log'!$A:$A,"&gt;="&amp;$J306,'Weekly Log'!$A:$A,"&lt;"&amp;$J306+7)/COUNTIFS('Weekly Log'!$G:$G,"&lt;&gt;",'Weekly Log'!$A:$A,"&gt;="&amp;$J306,'Weekly Log'!$A:$A,"&lt;"&amp;$J306+7),0))</f>
        <v/>
      </c>
      <c r="D306" t="str">
        <f>IF($J306="","",IFERROR(COUNTIFS('Weekly Log'!$H:$H,"Y",'Weekly Log'!$A:$A,"&gt;="&amp;$J306,'Weekly Log'!$A:$A,"&lt;"&amp;$J306+7)/COUNTIFS('Weekly Log'!$H:$H,"&lt;&gt;",'Weekly Log'!$A:$A,"&gt;="&amp;$J306,'Weekly Log'!$A:$A,"&lt;"&amp;$J306+7),0))</f>
        <v/>
      </c>
      <c r="E306" t="str">
        <f>IF($J306="","",IFERROR(AVERAGEIFS('Weekly Log'!$F:$F,'Weekly Log'!$A:$A,"&gt;="&amp;$J306,'Weekly Log'!$A:$A,"&lt;"&amp;$J306+7),0))</f>
        <v/>
      </c>
      <c r="F306" t="str">
        <f>IF($J306="","",IFERROR(SUMIFS('Weekly Log'!$F:$F,'Weekly Log'!$A:$A,"&gt;="&amp;$J306,'Weekly Log'!$A:$A,"&lt;"&amp;$J306+7)/SUMIFS('Weekly Log'!$E:$E,'Weekly Log'!$A:$A,"&gt;="&amp;$J306,'Weekly Log'!$A:$A,"&lt;"&amp;$J306+7),0))</f>
        <v/>
      </c>
      <c r="G306" t="str">
        <f>IF($J306="","",IFERROR(LOOKUP(2,1/(('Weekly Log'!$A$5:$A$5000&gt;=$J306)*('Weekly Log'!$A$5:$A$5000&lt;$J306+7)*('Weekly Log'!$M$5:$M$5000&lt;&gt;"")),'Weekly Log'!$M$5:$M$5000),0))</f>
        <v/>
      </c>
      <c r="J306" t="str">
        <f>IF(COUNT('Weekly Log'!$A$5:$A$5000)=0,"",IF(MIN('Weekly Log'!$A$5:$A$5000)+7*(ROW()-10)&gt;MAX('Weekly Log'!$A$5:$A$5000),"",MIN('Weekly Log'!$A$5:$A$5000)+7*(ROW()-10)))</f>
        <v/>
      </c>
    </row>
    <row r="307" spans="1:10" x14ac:dyDescent="0.25">
      <c r="A307" t="str">
        <f t="shared" si="4"/>
        <v/>
      </c>
      <c r="B307" t="str">
        <f>IF($J307="","",SUMIFS('Weekly Log'!$C:$C,'Weekly Log'!$A:$A,"&gt;="&amp;$J307,'Weekly Log'!$A:$A,"&lt;"&amp;$J307+7))</f>
        <v/>
      </c>
      <c r="C307" t="str">
        <f>IF($J307="","",IFERROR(COUNTIFS('Weekly Log'!$G:$G,"Y",'Weekly Log'!$A:$A,"&gt;="&amp;$J307,'Weekly Log'!$A:$A,"&lt;"&amp;$J307+7)/COUNTIFS('Weekly Log'!$G:$G,"&lt;&gt;",'Weekly Log'!$A:$A,"&gt;="&amp;$J307,'Weekly Log'!$A:$A,"&lt;"&amp;$J307+7),0))</f>
        <v/>
      </c>
      <c r="D307" t="str">
        <f>IF($J307="","",IFERROR(COUNTIFS('Weekly Log'!$H:$H,"Y",'Weekly Log'!$A:$A,"&gt;="&amp;$J307,'Weekly Log'!$A:$A,"&lt;"&amp;$J307+7)/COUNTIFS('Weekly Log'!$H:$H,"&lt;&gt;",'Weekly Log'!$A:$A,"&gt;="&amp;$J307,'Weekly Log'!$A:$A,"&lt;"&amp;$J307+7),0))</f>
        <v/>
      </c>
      <c r="E307" t="str">
        <f>IF($J307="","",IFERROR(AVERAGEIFS('Weekly Log'!$F:$F,'Weekly Log'!$A:$A,"&gt;="&amp;$J307,'Weekly Log'!$A:$A,"&lt;"&amp;$J307+7),0))</f>
        <v/>
      </c>
      <c r="F307" t="str">
        <f>IF($J307="","",IFERROR(SUMIFS('Weekly Log'!$F:$F,'Weekly Log'!$A:$A,"&gt;="&amp;$J307,'Weekly Log'!$A:$A,"&lt;"&amp;$J307+7)/SUMIFS('Weekly Log'!$E:$E,'Weekly Log'!$A:$A,"&gt;="&amp;$J307,'Weekly Log'!$A:$A,"&lt;"&amp;$J307+7),0))</f>
        <v/>
      </c>
      <c r="G307" t="str">
        <f>IF($J307="","",IFERROR(LOOKUP(2,1/(('Weekly Log'!$A$5:$A$5000&gt;=$J307)*('Weekly Log'!$A$5:$A$5000&lt;$J307+7)*('Weekly Log'!$M$5:$M$5000&lt;&gt;"")),'Weekly Log'!$M$5:$M$5000),0))</f>
        <v/>
      </c>
      <c r="J307" t="str">
        <f>IF(COUNT('Weekly Log'!$A$5:$A$5000)=0,"",IF(MIN('Weekly Log'!$A$5:$A$5000)+7*(ROW()-10)&gt;MAX('Weekly Log'!$A$5:$A$5000),"",MIN('Weekly Log'!$A$5:$A$5000)+7*(ROW()-10)))</f>
        <v/>
      </c>
    </row>
    <row r="308" spans="1:10" x14ac:dyDescent="0.25">
      <c r="A308" t="str">
        <f t="shared" si="4"/>
        <v/>
      </c>
      <c r="B308" t="str">
        <f>IF($J308="","",SUMIFS('Weekly Log'!$C:$C,'Weekly Log'!$A:$A,"&gt;="&amp;$J308,'Weekly Log'!$A:$A,"&lt;"&amp;$J308+7))</f>
        <v/>
      </c>
      <c r="C308" t="str">
        <f>IF($J308="","",IFERROR(COUNTIFS('Weekly Log'!$G:$G,"Y",'Weekly Log'!$A:$A,"&gt;="&amp;$J308,'Weekly Log'!$A:$A,"&lt;"&amp;$J308+7)/COUNTIFS('Weekly Log'!$G:$G,"&lt;&gt;",'Weekly Log'!$A:$A,"&gt;="&amp;$J308,'Weekly Log'!$A:$A,"&lt;"&amp;$J308+7),0))</f>
        <v/>
      </c>
      <c r="D308" t="str">
        <f>IF($J308="","",IFERROR(COUNTIFS('Weekly Log'!$H:$H,"Y",'Weekly Log'!$A:$A,"&gt;="&amp;$J308,'Weekly Log'!$A:$A,"&lt;"&amp;$J308+7)/COUNTIFS('Weekly Log'!$H:$H,"&lt;&gt;",'Weekly Log'!$A:$A,"&gt;="&amp;$J308,'Weekly Log'!$A:$A,"&lt;"&amp;$J308+7),0))</f>
        <v/>
      </c>
      <c r="E308" t="str">
        <f>IF($J308="","",IFERROR(AVERAGEIFS('Weekly Log'!$F:$F,'Weekly Log'!$A:$A,"&gt;="&amp;$J308,'Weekly Log'!$A:$A,"&lt;"&amp;$J308+7),0))</f>
        <v/>
      </c>
      <c r="F308" t="str">
        <f>IF($J308="","",IFERROR(SUMIFS('Weekly Log'!$F:$F,'Weekly Log'!$A:$A,"&gt;="&amp;$J308,'Weekly Log'!$A:$A,"&lt;"&amp;$J308+7)/SUMIFS('Weekly Log'!$E:$E,'Weekly Log'!$A:$A,"&gt;="&amp;$J308,'Weekly Log'!$A:$A,"&lt;"&amp;$J308+7),0))</f>
        <v/>
      </c>
      <c r="G308" t="str">
        <f>IF($J308="","",IFERROR(LOOKUP(2,1/(('Weekly Log'!$A$5:$A$5000&gt;=$J308)*('Weekly Log'!$A$5:$A$5000&lt;$J308+7)*('Weekly Log'!$M$5:$M$5000&lt;&gt;"")),'Weekly Log'!$M$5:$M$5000),0))</f>
        <v/>
      </c>
      <c r="J308" t="str">
        <f>IF(COUNT('Weekly Log'!$A$5:$A$5000)=0,"",IF(MIN('Weekly Log'!$A$5:$A$5000)+7*(ROW()-10)&gt;MAX('Weekly Log'!$A$5:$A$5000),"",MIN('Weekly Log'!$A$5:$A$5000)+7*(ROW()-10)))</f>
        <v/>
      </c>
    </row>
    <row r="309" spans="1:10" x14ac:dyDescent="0.25">
      <c r="A309" t="str">
        <f t="shared" si="4"/>
        <v/>
      </c>
      <c r="B309" t="str">
        <f>IF($J309="","",SUMIFS('Weekly Log'!$C:$C,'Weekly Log'!$A:$A,"&gt;="&amp;$J309,'Weekly Log'!$A:$A,"&lt;"&amp;$J309+7))</f>
        <v/>
      </c>
      <c r="C309" t="str">
        <f>IF($J309="","",IFERROR(COUNTIFS('Weekly Log'!$G:$G,"Y",'Weekly Log'!$A:$A,"&gt;="&amp;$J309,'Weekly Log'!$A:$A,"&lt;"&amp;$J309+7)/COUNTIFS('Weekly Log'!$G:$G,"&lt;&gt;",'Weekly Log'!$A:$A,"&gt;="&amp;$J309,'Weekly Log'!$A:$A,"&lt;"&amp;$J309+7),0))</f>
        <v/>
      </c>
      <c r="D309" t="str">
        <f>IF($J309="","",IFERROR(COUNTIFS('Weekly Log'!$H:$H,"Y",'Weekly Log'!$A:$A,"&gt;="&amp;$J309,'Weekly Log'!$A:$A,"&lt;"&amp;$J309+7)/COUNTIFS('Weekly Log'!$H:$H,"&lt;&gt;",'Weekly Log'!$A:$A,"&gt;="&amp;$J309,'Weekly Log'!$A:$A,"&lt;"&amp;$J309+7),0))</f>
        <v/>
      </c>
      <c r="E309" t="str">
        <f>IF($J309="","",IFERROR(AVERAGEIFS('Weekly Log'!$F:$F,'Weekly Log'!$A:$A,"&gt;="&amp;$J309,'Weekly Log'!$A:$A,"&lt;"&amp;$J309+7),0))</f>
        <v/>
      </c>
      <c r="F309" t="str">
        <f>IF($J309="","",IFERROR(SUMIFS('Weekly Log'!$F:$F,'Weekly Log'!$A:$A,"&gt;="&amp;$J309,'Weekly Log'!$A:$A,"&lt;"&amp;$J309+7)/SUMIFS('Weekly Log'!$E:$E,'Weekly Log'!$A:$A,"&gt;="&amp;$J309,'Weekly Log'!$A:$A,"&lt;"&amp;$J309+7),0))</f>
        <v/>
      </c>
      <c r="G309" t="str">
        <f>IF($J309="","",IFERROR(LOOKUP(2,1/(('Weekly Log'!$A$5:$A$5000&gt;=$J309)*('Weekly Log'!$A$5:$A$5000&lt;$J309+7)*('Weekly Log'!$M$5:$M$5000&lt;&gt;"")),'Weekly Log'!$M$5:$M$5000),0))</f>
        <v/>
      </c>
      <c r="J309" t="str">
        <f>IF(COUNT('Weekly Log'!$A$5:$A$5000)=0,"",IF(MIN('Weekly Log'!$A$5:$A$5000)+7*(ROW()-10)&gt;MAX('Weekly Log'!$A$5:$A$5000),"",MIN('Weekly Log'!$A$5:$A$5000)+7*(ROW()-10)))</f>
        <v/>
      </c>
    </row>
    <row r="310" spans="1:10" x14ac:dyDescent="0.25">
      <c r="A310" t="str">
        <f t="shared" si="4"/>
        <v/>
      </c>
      <c r="B310" t="str">
        <f>IF($J310="","",SUMIFS('Weekly Log'!$C:$C,'Weekly Log'!$A:$A,"&gt;="&amp;$J310,'Weekly Log'!$A:$A,"&lt;"&amp;$J310+7))</f>
        <v/>
      </c>
      <c r="C310" t="str">
        <f>IF($J310="","",IFERROR(COUNTIFS('Weekly Log'!$G:$G,"Y",'Weekly Log'!$A:$A,"&gt;="&amp;$J310,'Weekly Log'!$A:$A,"&lt;"&amp;$J310+7)/COUNTIFS('Weekly Log'!$G:$G,"&lt;&gt;",'Weekly Log'!$A:$A,"&gt;="&amp;$J310,'Weekly Log'!$A:$A,"&lt;"&amp;$J310+7),0))</f>
        <v/>
      </c>
      <c r="D310" t="str">
        <f>IF($J310="","",IFERROR(COUNTIFS('Weekly Log'!$H:$H,"Y",'Weekly Log'!$A:$A,"&gt;="&amp;$J310,'Weekly Log'!$A:$A,"&lt;"&amp;$J310+7)/COUNTIFS('Weekly Log'!$H:$H,"&lt;&gt;",'Weekly Log'!$A:$A,"&gt;="&amp;$J310,'Weekly Log'!$A:$A,"&lt;"&amp;$J310+7),0))</f>
        <v/>
      </c>
      <c r="E310" t="str">
        <f>IF($J310="","",IFERROR(AVERAGEIFS('Weekly Log'!$F:$F,'Weekly Log'!$A:$A,"&gt;="&amp;$J310,'Weekly Log'!$A:$A,"&lt;"&amp;$J310+7),0))</f>
        <v/>
      </c>
      <c r="F310" t="str">
        <f>IF($J310="","",IFERROR(SUMIFS('Weekly Log'!$F:$F,'Weekly Log'!$A:$A,"&gt;="&amp;$J310,'Weekly Log'!$A:$A,"&lt;"&amp;$J310+7)/SUMIFS('Weekly Log'!$E:$E,'Weekly Log'!$A:$A,"&gt;="&amp;$J310,'Weekly Log'!$A:$A,"&lt;"&amp;$J310+7),0))</f>
        <v/>
      </c>
      <c r="G310" t="str">
        <f>IF($J310="","",IFERROR(LOOKUP(2,1/(('Weekly Log'!$A$5:$A$5000&gt;=$J310)*('Weekly Log'!$A$5:$A$5000&lt;$J310+7)*('Weekly Log'!$M$5:$M$5000&lt;&gt;"")),'Weekly Log'!$M$5:$M$5000),0))</f>
        <v/>
      </c>
      <c r="J310" t="str">
        <f>IF(COUNT('Weekly Log'!$A$5:$A$5000)=0,"",IF(MIN('Weekly Log'!$A$5:$A$5000)+7*(ROW()-10)&gt;MAX('Weekly Log'!$A$5:$A$5000),"",MIN('Weekly Log'!$A$5:$A$5000)+7*(ROW()-10)))</f>
        <v/>
      </c>
    </row>
    <row r="311" spans="1:10" x14ac:dyDescent="0.25">
      <c r="A311" t="str">
        <f t="shared" si="4"/>
        <v/>
      </c>
      <c r="B311" t="str">
        <f>IF($J311="","",SUMIFS('Weekly Log'!$C:$C,'Weekly Log'!$A:$A,"&gt;="&amp;$J311,'Weekly Log'!$A:$A,"&lt;"&amp;$J311+7))</f>
        <v/>
      </c>
      <c r="C311" t="str">
        <f>IF($J311="","",IFERROR(COUNTIFS('Weekly Log'!$G:$G,"Y",'Weekly Log'!$A:$A,"&gt;="&amp;$J311,'Weekly Log'!$A:$A,"&lt;"&amp;$J311+7)/COUNTIFS('Weekly Log'!$G:$G,"&lt;&gt;",'Weekly Log'!$A:$A,"&gt;="&amp;$J311,'Weekly Log'!$A:$A,"&lt;"&amp;$J311+7),0))</f>
        <v/>
      </c>
      <c r="D311" t="str">
        <f>IF($J311="","",IFERROR(COUNTIFS('Weekly Log'!$H:$H,"Y",'Weekly Log'!$A:$A,"&gt;="&amp;$J311,'Weekly Log'!$A:$A,"&lt;"&amp;$J311+7)/COUNTIFS('Weekly Log'!$H:$H,"&lt;&gt;",'Weekly Log'!$A:$A,"&gt;="&amp;$J311,'Weekly Log'!$A:$A,"&lt;"&amp;$J311+7),0))</f>
        <v/>
      </c>
      <c r="E311" t="str">
        <f>IF($J311="","",IFERROR(AVERAGEIFS('Weekly Log'!$F:$F,'Weekly Log'!$A:$A,"&gt;="&amp;$J311,'Weekly Log'!$A:$A,"&lt;"&amp;$J311+7),0))</f>
        <v/>
      </c>
      <c r="F311" t="str">
        <f>IF($J311="","",IFERROR(SUMIFS('Weekly Log'!$F:$F,'Weekly Log'!$A:$A,"&gt;="&amp;$J311,'Weekly Log'!$A:$A,"&lt;"&amp;$J311+7)/SUMIFS('Weekly Log'!$E:$E,'Weekly Log'!$A:$A,"&gt;="&amp;$J311,'Weekly Log'!$A:$A,"&lt;"&amp;$J311+7),0))</f>
        <v/>
      </c>
      <c r="G311" t="str">
        <f>IF($J311="","",IFERROR(LOOKUP(2,1/(('Weekly Log'!$A$5:$A$5000&gt;=$J311)*('Weekly Log'!$A$5:$A$5000&lt;$J311+7)*('Weekly Log'!$M$5:$M$5000&lt;&gt;"")),'Weekly Log'!$M$5:$M$5000),0))</f>
        <v/>
      </c>
      <c r="J311" t="str">
        <f>IF(COUNT('Weekly Log'!$A$5:$A$5000)=0,"",IF(MIN('Weekly Log'!$A$5:$A$5000)+7*(ROW()-10)&gt;MAX('Weekly Log'!$A$5:$A$5000),"",MIN('Weekly Log'!$A$5:$A$5000)+7*(ROW()-10)))</f>
        <v/>
      </c>
    </row>
    <row r="312" spans="1:10" x14ac:dyDescent="0.25">
      <c r="A312" t="str">
        <f t="shared" si="4"/>
        <v/>
      </c>
      <c r="B312" t="str">
        <f>IF($J312="","",SUMIFS('Weekly Log'!$C:$C,'Weekly Log'!$A:$A,"&gt;="&amp;$J312,'Weekly Log'!$A:$A,"&lt;"&amp;$J312+7))</f>
        <v/>
      </c>
      <c r="C312" t="str">
        <f>IF($J312="","",IFERROR(COUNTIFS('Weekly Log'!$G:$G,"Y",'Weekly Log'!$A:$A,"&gt;="&amp;$J312,'Weekly Log'!$A:$A,"&lt;"&amp;$J312+7)/COUNTIFS('Weekly Log'!$G:$G,"&lt;&gt;",'Weekly Log'!$A:$A,"&gt;="&amp;$J312,'Weekly Log'!$A:$A,"&lt;"&amp;$J312+7),0))</f>
        <v/>
      </c>
      <c r="D312" t="str">
        <f>IF($J312="","",IFERROR(COUNTIFS('Weekly Log'!$H:$H,"Y",'Weekly Log'!$A:$A,"&gt;="&amp;$J312,'Weekly Log'!$A:$A,"&lt;"&amp;$J312+7)/COUNTIFS('Weekly Log'!$H:$H,"&lt;&gt;",'Weekly Log'!$A:$A,"&gt;="&amp;$J312,'Weekly Log'!$A:$A,"&lt;"&amp;$J312+7),0))</f>
        <v/>
      </c>
      <c r="E312" t="str">
        <f>IF($J312="","",IFERROR(AVERAGEIFS('Weekly Log'!$F:$F,'Weekly Log'!$A:$A,"&gt;="&amp;$J312,'Weekly Log'!$A:$A,"&lt;"&amp;$J312+7),0))</f>
        <v/>
      </c>
      <c r="F312" t="str">
        <f>IF($J312="","",IFERROR(SUMIFS('Weekly Log'!$F:$F,'Weekly Log'!$A:$A,"&gt;="&amp;$J312,'Weekly Log'!$A:$A,"&lt;"&amp;$J312+7)/SUMIFS('Weekly Log'!$E:$E,'Weekly Log'!$A:$A,"&gt;="&amp;$J312,'Weekly Log'!$A:$A,"&lt;"&amp;$J312+7),0))</f>
        <v/>
      </c>
      <c r="G312" t="str">
        <f>IF($J312="","",IFERROR(LOOKUP(2,1/(('Weekly Log'!$A$5:$A$5000&gt;=$J312)*('Weekly Log'!$A$5:$A$5000&lt;$J312+7)*('Weekly Log'!$M$5:$M$5000&lt;&gt;"")),'Weekly Log'!$M$5:$M$5000),0))</f>
        <v/>
      </c>
      <c r="J312" t="str">
        <f>IF(COUNT('Weekly Log'!$A$5:$A$5000)=0,"",IF(MIN('Weekly Log'!$A$5:$A$5000)+7*(ROW()-10)&gt;MAX('Weekly Log'!$A$5:$A$5000),"",MIN('Weekly Log'!$A$5:$A$5000)+7*(ROW()-10)))</f>
        <v/>
      </c>
    </row>
    <row r="313" spans="1:10" x14ac:dyDescent="0.25">
      <c r="A313" t="str">
        <f t="shared" si="4"/>
        <v/>
      </c>
      <c r="B313" t="str">
        <f>IF($J313="","",SUMIFS('Weekly Log'!$C:$C,'Weekly Log'!$A:$A,"&gt;="&amp;$J313,'Weekly Log'!$A:$A,"&lt;"&amp;$J313+7))</f>
        <v/>
      </c>
      <c r="C313" t="str">
        <f>IF($J313="","",IFERROR(COUNTIFS('Weekly Log'!$G:$G,"Y",'Weekly Log'!$A:$A,"&gt;="&amp;$J313,'Weekly Log'!$A:$A,"&lt;"&amp;$J313+7)/COUNTIFS('Weekly Log'!$G:$G,"&lt;&gt;",'Weekly Log'!$A:$A,"&gt;="&amp;$J313,'Weekly Log'!$A:$A,"&lt;"&amp;$J313+7),0))</f>
        <v/>
      </c>
      <c r="D313" t="str">
        <f>IF($J313="","",IFERROR(COUNTIFS('Weekly Log'!$H:$H,"Y",'Weekly Log'!$A:$A,"&gt;="&amp;$J313,'Weekly Log'!$A:$A,"&lt;"&amp;$J313+7)/COUNTIFS('Weekly Log'!$H:$H,"&lt;&gt;",'Weekly Log'!$A:$A,"&gt;="&amp;$J313,'Weekly Log'!$A:$A,"&lt;"&amp;$J313+7),0))</f>
        <v/>
      </c>
      <c r="E313" t="str">
        <f>IF($J313="","",IFERROR(AVERAGEIFS('Weekly Log'!$F:$F,'Weekly Log'!$A:$A,"&gt;="&amp;$J313,'Weekly Log'!$A:$A,"&lt;"&amp;$J313+7),0))</f>
        <v/>
      </c>
      <c r="F313" t="str">
        <f>IF($J313="","",IFERROR(SUMIFS('Weekly Log'!$F:$F,'Weekly Log'!$A:$A,"&gt;="&amp;$J313,'Weekly Log'!$A:$A,"&lt;"&amp;$J313+7)/SUMIFS('Weekly Log'!$E:$E,'Weekly Log'!$A:$A,"&gt;="&amp;$J313,'Weekly Log'!$A:$A,"&lt;"&amp;$J313+7),0))</f>
        <v/>
      </c>
      <c r="G313" t="str">
        <f>IF($J313="","",IFERROR(LOOKUP(2,1/(('Weekly Log'!$A$5:$A$5000&gt;=$J313)*('Weekly Log'!$A$5:$A$5000&lt;$J313+7)*('Weekly Log'!$M$5:$M$5000&lt;&gt;"")),'Weekly Log'!$M$5:$M$5000),0))</f>
        <v/>
      </c>
      <c r="J313" t="str">
        <f>IF(COUNT('Weekly Log'!$A$5:$A$5000)=0,"",IF(MIN('Weekly Log'!$A$5:$A$5000)+7*(ROW()-10)&gt;MAX('Weekly Log'!$A$5:$A$5000),"",MIN('Weekly Log'!$A$5:$A$5000)+7*(ROW()-10)))</f>
        <v/>
      </c>
    </row>
    <row r="314" spans="1:10" x14ac:dyDescent="0.25">
      <c r="A314" t="str">
        <f t="shared" si="4"/>
        <v/>
      </c>
      <c r="B314" t="str">
        <f>IF($J314="","",SUMIFS('Weekly Log'!$C:$C,'Weekly Log'!$A:$A,"&gt;="&amp;$J314,'Weekly Log'!$A:$A,"&lt;"&amp;$J314+7))</f>
        <v/>
      </c>
      <c r="C314" t="str">
        <f>IF($J314="","",IFERROR(COUNTIFS('Weekly Log'!$G:$G,"Y",'Weekly Log'!$A:$A,"&gt;="&amp;$J314,'Weekly Log'!$A:$A,"&lt;"&amp;$J314+7)/COUNTIFS('Weekly Log'!$G:$G,"&lt;&gt;",'Weekly Log'!$A:$A,"&gt;="&amp;$J314,'Weekly Log'!$A:$A,"&lt;"&amp;$J314+7),0))</f>
        <v/>
      </c>
      <c r="D314" t="str">
        <f>IF($J314="","",IFERROR(COUNTIFS('Weekly Log'!$H:$H,"Y",'Weekly Log'!$A:$A,"&gt;="&amp;$J314,'Weekly Log'!$A:$A,"&lt;"&amp;$J314+7)/COUNTIFS('Weekly Log'!$H:$H,"&lt;&gt;",'Weekly Log'!$A:$A,"&gt;="&amp;$J314,'Weekly Log'!$A:$A,"&lt;"&amp;$J314+7),0))</f>
        <v/>
      </c>
      <c r="E314" t="str">
        <f>IF($J314="","",IFERROR(AVERAGEIFS('Weekly Log'!$F:$F,'Weekly Log'!$A:$A,"&gt;="&amp;$J314,'Weekly Log'!$A:$A,"&lt;"&amp;$J314+7),0))</f>
        <v/>
      </c>
      <c r="F314" t="str">
        <f>IF($J314="","",IFERROR(SUMIFS('Weekly Log'!$F:$F,'Weekly Log'!$A:$A,"&gt;="&amp;$J314,'Weekly Log'!$A:$A,"&lt;"&amp;$J314+7)/SUMIFS('Weekly Log'!$E:$E,'Weekly Log'!$A:$A,"&gt;="&amp;$J314,'Weekly Log'!$A:$A,"&lt;"&amp;$J314+7),0))</f>
        <v/>
      </c>
      <c r="G314" t="str">
        <f>IF($J314="","",IFERROR(LOOKUP(2,1/(('Weekly Log'!$A$5:$A$5000&gt;=$J314)*('Weekly Log'!$A$5:$A$5000&lt;$J314+7)*('Weekly Log'!$M$5:$M$5000&lt;&gt;"")),'Weekly Log'!$M$5:$M$5000),0))</f>
        <v/>
      </c>
      <c r="J314" t="str">
        <f>IF(COUNT('Weekly Log'!$A$5:$A$5000)=0,"",IF(MIN('Weekly Log'!$A$5:$A$5000)+7*(ROW()-10)&gt;MAX('Weekly Log'!$A$5:$A$5000),"",MIN('Weekly Log'!$A$5:$A$5000)+7*(ROW()-10)))</f>
        <v/>
      </c>
    </row>
    <row r="315" spans="1:10" x14ac:dyDescent="0.25">
      <c r="A315" t="str">
        <f t="shared" si="4"/>
        <v/>
      </c>
      <c r="B315" t="str">
        <f>IF($J315="","",SUMIFS('Weekly Log'!$C:$C,'Weekly Log'!$A:$A,"&gt;="&amp;$J315,'Weekly Log'!$A:$A,"&lt;"&amp;$J315+7))</f>
        <v/>
      </c>
      <c r="C315" t="str">
        <f>IF($J315="","",IFERROR(COUNTIFS('Weekly Log'!$G:$G,"Y",'Weekly Log'!$A:$A,"&gt;="&amp;$J315,'Weekly Log'!$A:$A,"&lt;"&amp;$J315+7)/COUNTIFS('Weekly Log'!$G:$G,"&lt;&gt;",'Weekly Log'!$A:$A,"&gt;="&amp;$J315,'Weekly Log'!$A:$A,"&lt;"&amp;$J315+7),0))</f>
        <v/>
      </c>
      <c r="D315" t="str">
        <f>IF($J315="","",IFERROR(COUNTIFS('Weekly Log'!$H:$H,"Y",'Weekly Log'!$A:$A,"&gt;="&amp;$J315,'Weekly Log'!$A:$A,"&lt;"&amp;$J315+7)/COUNTIFS('Weekly Log'!$H:$H,"&lt;&gt;",'Weekly Log'!$A:$A,"&gt;="&amp;$J315,'Weekly Log'!$A:$A,"&lt;"&amp;$J315+7),0))</f>
        <v/>
      </c>
      <c r="E315" t="str">
        <f>IF($J315="","",IFERROR(AVERAGEIFS('Weekly Log'!$F:$F,'Weekly Log'!$A:$A,"&gt;="&amp;$J315,'Weekly Log'!$A:$A,"&lt;"&amp;$J315+7),0))</f>
        <v/>
      </c>
      <c r="F315" t="str">
        <f>IF($J315="","",IFERROR(SUMIFS('Weekly Log'!$F:$F,'Weekly Log'!$A:$A,"&gt;="&amp;$J315,'Weekly Log'!$A:$A,"&lt;"&amp;$J315+7)/SUMIFS('Weekly Log'!$E:$E,'Weekly Log'!$A:$A,"&gt;="&amp;$J315,'Weekly Log'!$A:$A,"&lt;"&amp;$J315+7),0))</f>
        <v/>
      </c>
      <c r="G315" t="str">
        <f>IF($J315="","",IFERROR(LOOKUP(2,1/(('Weekly Log'!$A$5:$A$5000&gt;=$J315)*('Weekly Log'!$A$5:$A$5000&lt;$J315+7)*('Weekly Log'!$M$5:$M$5000&lt;&gt;"")),'Weekly Log'!$M$5:$M$5000),0))</f>
        <v/>
      </c>
      <c r="J315" t="str">
        <f>IF(COUNT('Weekly Log'!$A$5:$A$5000)=0,"",IF(MIN('Weekly Log'!$A$5:$A$5000)+7*(ROW()-10)&gt;MAX('Weekly Log'!$A$5:$A$5000),"",MIN('Weekly Log'!$A$5:$A$5000)+7*(ROW()-10)))</f>
        <v/>
      </c>
    </row>
    <row r="316" spans="1:10" x14ac:dyDescent="0.25">
      <c r="A316" t="str">
        <f t="shared" si="4"/>
        <v/>
      </c>
      <c r="B316" t="str">
        <f>IF($J316="","",SUMIFS('Weekly Log'!$C:$C,'Weekly Log'!$A:$A,"&gt;="&amp;$J316,'Weekly Log'!$A:$A,"&lt;"&amp;$J316+7))</f>
        <v/>
      </c>
      <c r="C316" t="str">
        <f>IF($J316="","",IFERROR(COUNTIFS('Weekly Log'!$G:$G,"Y",'Weekly Log'!$A:$A,"&gt;="&amp;$J316,'Weekly Log'!$A:$A,"&lt;"&amp;$J316+7)/COUNTIFS('Weekly Log'!$G:$G,"&lt;&gt;",'Weekly Log'!$A:$A,"&gt;="&amp;$J316,'Weekly Log'!$A:$A,"&lt;"&amp;$J316+7),0))</f>
        <v/>
      </c>
      <c r="D316" t="str">
        <f>IF($J316="","",IFERROR(COUNTIFS('Weekly Log'!$H:$H,"Y",'Weekly Log'!$A:$A,"&gt;="&amp;$J316,'Weekly Log'!$A:$A,"&lt;"&amp;$J316+7)/COUNTIFS('Weekly Log'!$H:$H,"&lt;&gt;",'Weekly Log'!$A:$A,"&gt;="&amp;$J316,'Weekly Log'!$A:$A,"&lt;"&amp;$J316+7),0))</f>
        <v/>
      </c>
      <c r="E316" t="str">
        <f>IF($J316="","",IFERROR(AVERAGEIFS('Weekly Log'!$F:$F,'Weekly Log'!$A:$A,"&gt;="&amp;$J316,'Weekly Log'!$A:$A,"&lt;"&amp;$J316+7),0))</f>
        <v/>
      </c>
      <c r="F316" t="str">
        <f>IF($J316="","",IFERROR(SUMIFS('Weekly Log'!$F:$F,'Weekly Log'!$A:$A,"&gt;="&amp;$J316,'Weekly Log'!$A:$A,"&lt;"&amp;$J316+7)/SUMIFS('Weekly Log'!$E:$E,'Weekly Log'!$A:$A,"&gt;="&amp;$J316,'Weekly Log'!$A:$A,"&lt;"&amp;$J316+7),0))</f>
        <v/>
      </c>
      <c r="G316" t="str">
        <f>IF($J316="","",IFERROR(LOOKUP(2,1/(('Weekly Log'!$A$5:$A$5000&gt;=$J316)*('Weekly Log'!$A$5:$A$5000&lt;$J316+7)*('Weekly Log'!$M$5:$M$5000&lt;&gt;"")),'Weekly Log'!$M$5:$M$5000),0))</f>
        <v/>
      </c>
      <c r="J316" t="str">
        <f>IF(COUNT('Weekly Log'!$A$5:$A$5000)=0,"",IF(MIN('Weekly Log'!$A$5:$A$5000)+7*(ROW()-10)&gt;MAX('Weekly Log'!$A$5:$A$5000),"",MIN('Weekly Log'!$A$5:$A$5000)+7*(ROW()-10)))</f>
        <v/>
      </c>
    </row>
    <row r="317" spans="1:10" x14ac:dyDescent="0.25">
      <c r="A317" t="str">
        <f t="shared" si="4"/>
        <v/>
      </c>
      <c r="B317" t="str">
        <f>IF($J317="","",SUMIFS('Weekly Log'!$C:$C,'Weekly Log'!$A:$A,"&gt;="&amp;$J317,'Weekly Log'!$A:$A,"&lt;"&amp;$J317+7))</f>
        <v/>
      </c>
      <c r="C317" t="str">
        <f>IF($J317="","",IFERROR(COUNTIFS('Weekly Log'!$G:$G,"Y",'Weekly Log'!$A:$A,"&gt;="&amp;$J317,'Weekly Log'!$A:$A,"&lt;"&amp;$J317+7)/COUNTIFS('Weekly Log'!$G:$G,"&lt;&gt;",'Weekly Log'!$A:$A,"&gt;="&amp;$J317,'Weekly Log'!$A:$A,"&lt;"&amp;$J317+7),0))</f>
        <v/>
      </c>
      <c r="D317" t="str">
        <f>IF($J317="","",IFERROR(COUNTIFS('Weekly Log'!$H:$H,"Y",'Weekly Log'!$A:$A,"&gt;="&amp;$J317,'Weekly Log'!$A:$A,"&lt;"&amp;$J317+7)/COUNTIFS('Weekly Log'!$H:$H,"&lt;&gt;",'Weekly Log'!$A:$A,"&gt;="&amp;$J317,'Weekly Log'!$A:$A,"&lt;"&amp;$J317+7),0))</f>
        <v/>
      </c>
      <c r="E317" t="str">
        <f>IF($J317="","",IFERROR(AVERAGEIFS('Weekly Log'!$F:$F,'Weekly Log'!$A:$A,"&gt;="&amp;$J317,'Weekly Log'!$A:$A,"&lt;"&amp;$J317+7),0))</f>
        <v/>
      </c>
      <c r="F317" t="str">
        <f>IF($J317="","",IFERROR(SUMIFS('Weekly Log'!$F:$F,'Weekly Log'!$A:$A,"&gt;="&amp;$J317,'Weekly Log'!$A:$A,"&lt;"&amp;$J317+7)/SUMIFS('Weekly Log'!$E:$E,'Weekly Log'!$A:$A,"&gt;="&amp;$J317,'Weekly Log'!$A:$A,"&lt;"&amp;$J317+7),0))</f>
        <v/>
      </c>
      <c r="G317" t="str">
        <f>IF($J317="","",IFERROR(LOOKUP(2,1/(('Weekly Log'!$A$5:$A$5000&gt;=$J317)*('Weekly Log'!$A$5:$A$5000&lt;$J317+7)*('Weekly Log'!$M$5:$M$5000&lt;&gt;"")),'Weekly Log'!$M$5:$M$5000),0))</f>
        <v/>
      </c>
      <c r="J317" t="str">
        <f>IF(COUNT('Weekly Log'!$A$5:$A$5000)=0,"",IF(MIN('Weekly Log'!$A$5:$A$5000)+7*(ROW()-10)&gt;MAX('Weekly Log'!$A$5:$A$5000),"",MIN('Weekly Log'!$A$5:$A$5000)+7*(ROW()-10)))</f>
        <v/>
      </c>
    </row>
    <row r="318" spans="1:10" x14ac:dyDescent="0.25">
      <c r="A318" t="str">
        <f t="shared" si="4"/>
        <v/>
      </c>
      <c r="B318" t="str">
        <f>IF($J318="","",SUMIFS('Weekly Log'!$C:$C,'Weekly Log'!$A:$A,"&gt;="&amp;$J318,'Weekly Log'!$A:$A,"&lt;"&amp;$J318+7))</f>
        <v/>
      </c>
      <c r="C318" t="str">
        <f>IF($J318="","",IFERROR(COUNTIFS('Weekly Log'!$G:$G,"Y",'Weekly Log'!$A:$A,"&gt;="&amp;$J318,'Weekly Log'!$A:$A,"&lt;"&amp;$J318+7)/COUNTIFS('Weekly Log'!$G:$G,"&lt;&gt;",'Weekly Log'!$A:$A,"&gt;="&amp;$J318,'Weekly Log'!$A:$A,"&lt;"&amp;$J318+7),0))</f>
        <v/>
      </c>
      <c r="D318" t="str">
        <f>IF($J318="","",IFERROR(COUNTIFS('Weekly Log'!$H:$H,"Y",'Weekly Log'!$A:$A,"&gt;="&amp;$J318,'Weekly Log'!$A:$A,"&lt;"&amp;$J318+7)/COUNTIFS('Weekly Log'!$H:$H,"&lt;&gt;",'Weekly Log'!$A:$A,"&gt;="&amp;$J318,'Weekly Log'!$A:$A,"&lt;"&amp;$J318+7),0))</f>
        <v/>
      </c>
      <c r="E318" t="str">
        <f>IF($J318="","",IFERROR(AVERAGEIFS('Weekly Log'!$F:$F,'Weekly Log'!$A:$A,"&gt;="&amp;$J318,'Weekly Log'!$A:$A,"&lt;"&amp;$J318+7),0))</f>
        <v/>
      </c>
      <c r="F318" t="str">
        <f>IF($J318="","",IFERROR(SUMIFS('Weekly Log'!$F:$F,'Weekly Log'!$A:$A,"&gt;="&amp;$J318,'Weekly Log'!$A:$A,"&lt;"&amp;$J318+7)/SUMIFS('Weekly Log'!$E:$E,'Weekly Log'!$A:$A,"&gt;="&amp;$J318,'Weekly Log'!$A:$A,"&lt;"&amp;$J318+7),0))</f>
        <v/>
      </c>
      <c r="G318" t="str">
        <f>IF($J318="","",IFERROR(LOOKUP(2,1/(('Weekly Log'!$A$5:$A$5000&gt;=$J318)*('Weekly Log'!$A$5:$A$5000&lt;$J318+7)*('Weekly Log'!$M$5:$M$5000&lt;&gt;"")),'Weekly Log'!$M$5:$M$5000),0))</f>
        <v/>
      </c>
      <c r="J318" t="str">
        <f>IF(COUNT('Weekly Log'!$A$5:$A$5000)=0,"",IF(MIN('Weekly Log'!$A$5:$A$5000)+7*(ROW()-10)&gt;MAX('Weekly Log'!$A$5:$A$5000),"",MIN('Weekly Log'!$A$5:$A$5000)+7*(ROW()-10)))</f>
        <v/>
      </c>
    </row>
    <row r="319" spans="1:10" x14ac:dyDescent="0.25">
      <c r="A319" t="str">
        <f t="shared" si="4"/>
        <v/>
      </c>
      <c r="B319" t="str">
        <f>IF($J319="","",SUMIFS('Weekly Log'!$C:$C,'Weekly Log'!$A:$A,"&gt;="&amp;$J319,'Weekly Log'!$A:$A,"&lt;"&amp;$J319+7))</f>
        <v/>
      </c>
      <c r="C319" t="str">
        <f>IF($J319="","",IFERROR(COUNTIFS('Weekly Log'!$G:$G,"Y",'Weekly Log'!$A:$A,"&gt;="&amp;$J319,'Weekly Log'!$A:$A,"&lt;"&amp;$J319+7)/COUNTIFS('Weekly Log'!$G:$G,"&lt;&gt;",'Weekly Log'!$A:$A,"&gt;="&amp;$J319,'Weekly Log'!$A:$A,"&lt;"&amp;$J319+7),0))</f>
        <v/>
      </c>
      <c r="D319" t="str">
        <f>IF($J319="","",IFERROR(COUNTIFS('Weekly Log'!$H:$H,"Y",'Weekly Log'!$A:$A,"&gt;="&amp;$J319,'Weekly Log'!$A:$A,"&lt;"&amp;$J319+7)/COUNTIFS('Weekly Log'!$H:$H,"&lt;&gt;",'Weekly Log'!$A:$A,"&gt;="&amp;$J319,'Weekly Log'!$A:$A,"&lt;"&amp;$J319+7),0))</f>
        <v/>
      </c>
      <c r="E319" t="str">
        <f>IF($J319="","",IFERROR(AVERAGEIFS('Weekly Log'!$F:$F,'Weekly Log'!$A:$A,"&gt;="&amp;$J319,'Weekly Log'!$A:$A,"&lt;"&amp;$J319+7),0))</f>
        <v/>
      </c>
      <c r="F319" t="str">
        <f>IF($J319="","",IFERROR(SUMIFS('Weekly Log'!$F:$F,'Weekly Log'!$A:$A,"&gt;="&amp;$J319,'Weekly Log'!$A:$A,"&lt;"&amp;$J319+7)/SUMIFS('Weekly Log'!$E:$E,'Weekly Log'!$A:$A,"&gt;="&amp;$J319,'Weekly Log'!$A:$A,"&lt;"&amp;$J319+7),0))</f>
        <v/>
      </c>
      <c r="G319" t="str">
        <f>IF($J319="","",IFERROR(LOOKUP(2,1/(('Weekly Log'!$A$5:$A$5000&gt;=$J319)*('Weekly Log'!$A$5:$A$5000&lt;$J319+7)*('Weekly Log'!$M$5:$M$5000&lt;&gt;"")),'Weekly Log'!$M$5:$M$5000),0))</f>
        <v/>
      </c>
      <c r="J319" t="str">
        <f>IF(COUNT('Weekly Log'!$A$5:$A$5000)=0,"",IF(MIN('Weekly Log'!$A$5:$A$5000)+7*(ROW()-10)&gt;MAX('Weekly Log'!$A$5:$A$5000),"",MIN('Weekly Log'!$A$5:$A$5000)+7*(ROW()-10)))</f>
        <v/>
      </c>
    </row>
    <row r="320" spans="1:10" x14ac:dyDescent="0.25">
      <c r="A320" t="str">
        <f t="shared" si="4"/>
        <v/>
      </c>
      <c r="B320" t="str">
        <f>IF($J320="","",SUMIFS('Weekly Log'!$C:$C,'Weekly Log'!$A:$A,"&gt;="&amp;$J320,'Weekly Log'!$A:$A,"&lt;"&amp;$J320+7))</f>
        <v/>
      </c>
      <c r="C320" t="str">
        <f>IF($J320="","",IFERROR(COUNTIFS('Weekly Log'!$G:$G,"Y",'Weekly Log'!$A:$A,"&gt;="&amp;$J320,'Weekly Log'!$A:$A,"&lt;"&amp;$J320+7)/COUNTIFS('Weekly Log'!$G:$G,"&lt;&gt;",'Weekly Log'!$A:$A,"&gt;="&amp;$J320,'Weekly Log'!$A:$A,"&lt;"&amp;$J320+7),0))</f>
        <v/>
      </c>
      <c r="D320" t="str">
        <f>IF($J320="","",IFERROR(COUNTIFS('Weekly Log'!$H:$H,"Y",'Weekly Log'!$A:$A,"&gt;="&amp;$J320,'Weekly Log'!$A:$A,"&lt;"&amp;$J320+7)/COUNTIFS('Weekly Log'!$H:$H,"&lt;&gt;",'Weekly Log'!$A:$A,"&gt;="&amp;$J320,'Weekly Log'!$A:$A,"&lt;"&amp;$J320+7),0))</f>
        <v/>
      </c>
      <c r="E320" t="str">
        <f>IF($J320="","",IFERROR(AVERAGEIFS('Weekly Log'!$F:$F,'Weekly Log'!$A:$A,"&gt;="&amp;$J320,'Weekly Log'!$A:$A,"&lt;"&amp;$J320+7),0))</f>
        <v/>
      </c>
      <c r="F320" t="str">
        <f>IF($J320="","",IFERROR(SUMIFS('Weekly Log'!$F:$F,'Weekly Log'!$A:$A,"&gt;="&amp;$J320,'Weekly Log'!$A:$A,"&lt;"&amp;$J320+7)/SUMIFS('Weekly Log'!$E:$E,'Weekly Log'!$A:$A,"&gt;="&amp;$J320,'Weekly Log'!$A:$A,"&lt;"&amp;$J320+7),0))</f>
        <v/>
      </c>
      <c r="G320" t="str">
        <f>IF($J320="","",IFERROR(LOOKUP(2,1/(('Weekly Log'!$A$5:$A$5000&gt;=$J320)*('Weekly Log'!$A$5:$A$5000&lt;$J320+7)*('Weekly Log'!$M$5:$M$5000&lt;&gt;"")),'Weekly Log'!$M$5:$M$5000),0))</f>
        <v/>
      </c>
      <c r="J320" t="str">
        <f>IF(COUNT('Weekly Log'!$A$5:$A$5000)=0,"",IF(MIN('Weekly Log'!$A$5:$A$5000)+7*(ROW()-10)&gt;MAX('Weekly Log'!$A$5:$A$5000),"",MIN('Weekly Log'!$A$5:$A$5000)+7*(ROW()-10)))</f>
        <v/>
      </c>
    </row>
    <row r="321" spans="1:10" x14ac:dyDescent="0.25">
      <c r="A321" t="str">
        <f t="shared" si="4"/>
        <v/>
      </c>
      <c r="B321" t="str">
        <f>IF($J321="","",SUMIFS('Weekly Log'!$C:$C,'Weekly Log'!$A:$A,"&gt;="&amp;$J321,'Weekly Log'!$A:$A,"&lt;"&amp;$J321+7))</f>
        <v/>
      </c>
      <c r="C321" t="str">
        <f>IF($J321="","",IFERROR(COUNTIFS('Weekly Log'!$G:$G,"Y",'Weekly Log'!$A:$A,"&gt;="&amp;$J321,'Weekly Log'!$A:$A,"&lt;"&amp;$J321+7)/COUNTIFS('Weekly Log'!$G:$G,"&lt;&gt;",'Weekly Log'!$A:$A,"&gt;="&amp;$J321,'Weekly Log'!$A:$A,"&lt;"&amp;$J321+7),0))</f>
        <v/>
      </c>
      <c r="D321" t="str">
        <f>IF($J321="","",IFERROR(COUNTIFS('Weekly Log'!$H:$H,"Y",'Weekly Log'!$A:$A,"&gt;="&amp;$J321,'Weekly Log'!$A:$A,"&lt;"&amp;$J321+7)/COUNTIFS('Weekly Log'!$H:$H,"&lt;&gt;",'Weekly Log'!$A:$A,"&gt;="&amp;$J321,'Weekly Log'!$A:$A,"&lt;"&amp;$J321+7),0))</f>
        <v/>
      </c>
      <c r="E321" t="str">
        <f>IF($J321="","",IFERROR(AVERAGEIFS('Weekly Log'!$F:$F,'Weekly Log'!$A:$A,"&gt;="&amp;$J321,'Weekly Log'!$A:$A,"&lt;"&amp;$J321+7),0))</f>
        <v/>
      </c>
      <c r="F321" t="str">
        <f>IF($J321="","",IFERROR(SUMIFS('Weekly Log'!$F:$F,'Weekly Log'!$A:$A,"&gt;="&amp;$J321,'Weekly Log'!$A:$A,"&lt;"&amp;$J321+7)/SUMIFS('Weekly Log'!$E:$E,'Weekly Log'!$A:$A,"&gt;="&amp;$J321,'Weekly Log'!$A:$A,"&lt;"&amp;$J321+7),0))</f>
        <v/>
      </c>
      <c r="G321" t="str">
        <f>IF($J321="","",IFERROR(LOOKUP(2,1/(('Weekly Log'!$A$5:$A$5000&gt;=$J321)*('Weekly Log'!$A$5:$A$5000&lt;$J321+7)*('Weekly Log'!$M$5:$M$5000&lt;&gt;"")),'Weekly Log'!$M$5:$M$5000),0))</f>
        <v/>
      </c>
      <c r="J321" t="str">
        <f>IF(COUNT('Weekly Log'!$A$5:$A$5000)=0,"",IF(MIN('Weekly Log'!$A$5:$A$5000)+7*(ROW()-10)&gt;MAX('Weekly Log'!$A$5:$A$5000),"",MIN('Weekly Log'!$A$5:$A$5000)+7*(ROW()-10)))</f>
        <v/>
      </c>
    </row>
    <row r="322" spans="1:10" x14ac:dyDescent="0.25">
      <c r="A322" t="str">
        <f t="shared" si="4"/>
        <v/>
      </c>
      <c r="B322" t="str">
        <f>IF($J322="","",SUMIFS('Weekly Log'!$C:$C,'Weekly Log'!$A:$A,"&gt;="&amp;$J322,'Weekly Log'!$A:$A,"&lt;"&amp;$J322+7))</f>
        <v/>
      </c>
      <c r="C322" t="str">
        <f>IF($J322="","",IFERROR(COUNTIFS('Weekly Log'!$G:$G,"Y",'Weekly Log'!$A:$A,"&gt;="&amp;$J322,'Weekly Log'!$A:$A,"&lt;"&amp;$J322+7)/COUNTIFS('Weekly Log'!$G:$G,"&lt;&gt;",'Weekly Log'!$A:$A,"&gt;="&amp;$J322,'Weekly Log'!$A:$A,"&lt;"&amp;$J322+7),0))</f>
        <v/>
      </c>
      <c r="D322" t="str">
        <f>IF($J322="","",IFERROR(COUNTIFS('Weekly Log'!$H:$H,"Y",'Weekly Log'!$A:$A,"&gt;="&amp;$J322,'Weekly Log'!$A:$A,"&lt;"&amp;$J322+7)/COUNTIFS('Weekly Log'!$H:$H,"&lt;&gt;",'Weekly Log'!$A:$A,"&gt;="&amp;$J322,'Weekly Log'!$A:$A,"&lt;"&amp;$J322+7),0))</f>
        <v/>
      </c>
      <c r="E322" t="str">
        <f>IF($J322="","",IFERROR(AVERAGEIFS('Weekly Log'!$F:$F,'Weekly Log'!$A:$A,"&gt;="&amp;$J322,'Weekly Log'!$A:$A,"&lt;"&amp;$J322+7),0))</f>
        <v/>
      </c>
      <c r="F322" t="str">
        <f>IF($J322="","",IFERROR(SUMIFS('Weekly Log'!$F:$F,'Weekly Log'!$A:$A,"&gt;="&amp;$J322,'Weekly Log'!$A:$A,"&lt;"&amp;$J322+7)/SUMIFS('Weekly Log'!$E:$E,'Weekly Log'!$A:$A,"&gt;="&amp;$J322,'Weekly Log'!$A:$A,"&lt;"&amp;$J322+7),0))</f>
        <v/>
      </c>
      <c r="G322" t="str">
        <f>IF($J322="","",IFERROR(LOOKUP(2,1/(('Weekly Log'!$A$5:$A$5000&gt;=$J322)*('Weekly Log'!$A$5:$A$5000&lt;$J322+7)*('Weekly Log'!$M$5:$M$5000&lt;&gt;"")),'Weekly Log'!$M$5:$M$5000),0))</f>
        <v/>
      </c>
      <c r="J322" t="str">
        <f>IF(COUNT('Weekly Log'!$A$5:$A$5000)=0,"",IF(MIN('Weekly Log'!$A$5:$A$5000)+7*(ROW()-10)&gt;MAX('Weekly Log'!$A$5:$A$5000),"",MIN('Weekly Log'!$A$5:$A$5000)+7*(ROW()-10)))</f>
        <v/>
      </c>
    </row>
    <row r="323" spans="1:10" x14ac:dyDescent="0.25">
      <c r="A323" t="str">
        <f t="shared" si="4"/>
        <v/>
      </c>
      <c r="B323" t="str">
        <f>IF($J323="","",SUMIFS('Weekly Log'!$C:$C,'Weekly Log'!$A:$A,"&gt;="&amp;$J323,'Weekly Log'!$A:$A,"&lt;"&amp;$J323+7))</f>
        <v/>
      </c>
      <c r="C323" t="str">
        <f>IF($J323="","",IFERROR(COUNTIFS('Weekly Log'!$G:$G,"Y",'Weekly Log'!$A:$A,"&gt;="&amp;$J323,'Weekly Log'!$A:$A,"&lt;"&amp;$J323+7)/COUNTIFS('Weekly Log'!$G:$G,"&lt;&gt;",'Weekly Log'!$A:$A,"&gt;="&amp;$J323,'Weekly Log'!$A:$A,"&lt;"&amp;$J323+7),0))</f>
        <v/>
      </c>
      <c r="D323" t="str">
        <f>IF($J323="","",IFERROR(COUNTIFS('Weekly Log'!$H:$H,"Y",'Weekly Log'!$A:$A,"&gt;="&amp;$J323,'Weekly Log'!$A:$A,"&lt;"&amp;$J323+7)/COUNTIFS('Weekly Log'!$H:$H,"&lt;&gt;",'Weekly Log'!$A:$A,"&gt;="&amp;$J323,'Weekly Log'!$A:$A,"&lt;"&amp;$J323+7),0))</f>
        <v/>
      </c>
      <c r="E323" t="str">
        <f>IF($J323="","",IFERROR(AVERAGEIFS('Weekly Log'!$F:$F,'Weekly Log'!$A:$A,"&gt;="&amp;$J323,'Weekly Log'!$A:$A,"&lt;"&amp;$J323+7),0))</f>
        <v/>
      </c>
      <c r="F323" t="str">
        <f>IF($J323="","",IFERROR(SUMIFS('Weekly Log'!$F:$F,'Weekly Log'!$A:$A,"&gt;="&amp;$J323,'Weekly Log'!$A:$A,"&lt;"&amp;$J323+7)/SUMIFS('Weekly Log'!$E:$E,'Weekly Log'!$A:$A,"&gt;="&amp;$J323,'Weekly Log'!$A:$A,"&lt;"&amp;$J323+7),0))</f>
        <v/>
      </c>
      <c r="G323" t="str">
        <f>IF($J323="","",IFERROR(LOOKUP(2,1/(('Weekly Log'!$A$5:$A$5000&gt;=$J323)*('Weekly Log'!$A$5:$A$5000&lt;$J323+7)*('Weekly Log'!$M$5:$M$5000&lt;&gt;"")),'Weekly Log'!$M$5:$M$5000),0))</f>
        <v/>
      </c>
      <c r="J323" t="str">
        <f>IF(COUNT('Weekly Log'!$A$5:$A$5000)=0,"",IF(MIN('Weekly Log'!$A$5:$A$5000)+7*(ROW()-10)&gt;MAX('Weekly Log'!$A$5:$A$5000),"",MIN('Weekly Log'!$A$5:$A$5000)+7*(ROW()-10)))</f>
        <v/>
      </c>
    </row>
    <row r="324" spans="1:10" x14ac:dyDescent="0.25">
      <c r="A324" t="str">
        <f t="shared" si="4"/>
        <v/>
      </c>
      <c r="B324" t="str">
        <f>IF($J324="","",SUMIFS('Weekly Log'!$C:$C,'Weekly Log'!$A:$A,"&gt;="&amp;$J324,'Weekly Log'!$A:$A,"&lt;"&amp;$J324+7))</f>
        <v/>
      </c>
      <c r="C324" t="str">
        <f>IF($J324="","",IFERROR(COUNTIFS('Weekly Log'!$G:$G,"Y",'Weekly Log'!$A:$A,"&gt;="&amp;$J324,'Weekly Log'!$A:$A,"&lt;"&amp;$J324+7)/COUNTIFS('Weekly Log'!$G:$G,"&lt;&gt;",'Weekly Log'!$A:$A,"&gt;="&amp;$J324,'Weekly Log'!$A:$A,"&lt;"&amp;$J324+7),0))</f>
        <v/>
      </c>
      <c r="D324" t="str">
        <f>IF($J324="","",IFERROR(COUNTIFS('Weekly Log'!$H:$H,"Y",'Weekly Log'!$A:$A,"&gt;="&amp;$J324,'Weekly Log'!$A:$A,"&lt;"&amp;$J324+7)/COUNTIFS('Weekly Log'!$H:$H,"&lt;&gt;",'Weekly Log'!$A:$A,"&gt;="&amp;$J324,'Weekly Log'!$A:$A,"&lt;"&amp;$J324+7),0))</f>
        <v/>
      </c>
      <c r="E324" t="str">
        <f>IF($J324="","",IFERROR(AVERAGEIFS('Weekly Log'!$F:$F,'Weekly Log'!$A:$A,"&gt;="&amp;$J324,'Weekly Log'!$A:$A,"&lt;"&amp;$J324+7),0))</f>
        <v/>
      </c>
      <c r="F324" t="str">
        <f>IF($J324="","",IFERROR(SUMIFS('Weekly Log'!$F:$F,'Weekly Log'!$A:$A,"&gt;="&amp;$J324,'Weekly Log'!$A:$A,"&lt;"&amp;$J324+7)/SUMIFS('Weekly Log'!$E:$E,'Weekly Log'!$A:$A,"&gt;="&amp;$J324,'Weekly Log'!$A:$A,"&lt;"&amp;$J324+7),0))</f>
        <v/>
      </c>
      <c r="G324" t="str">
        <f>IF($J324="","",IFERROR(LOOKUP(2,1/(('Weekly Log'!$A$5:$A$5000&gt;=$J324)*('Weekly Log'!$A$5:$A$5000&lt;$J324+7)*('Weekly Log'!$M$5:$M$5000&lt;&gt;"")),'Weekly Log'!$M$5:$M$5000),0))</f>
        <v/>
      </c>
      <c r="J324" t="str">
        <f>IF(COUNT('Weekly Log'!$A$5:$A$5000)=0,"",IF(MIN('Weekly Log'!$A$5:$A$5000)+7*(ROW()-10)&gt;MAX('Weekly Log'!$A$5:$A$5000),"",MIN('Weekly Log'!$A$5:$A$5000)+7*(ROW()-10)))</f>
        <v/>
      </c>
    </row>
    <row r="325" spans="1:10" x14ac:dyDescent="0.25">
      <c r="A325" t="str">
        <f t="shared" si="4"/>
        <v/>
      </c>
      <c r="B325" t="str">
        <f>IF($J325="","",SUMIFS('Weekly Log'!$C:$C,'Weekly Log'!$A:$A,"&gt;="&amp;$J325,'Weekly Log'!$A:$A,"&lt;"&amp;$J325+7))</f>
        <v/>
      </c>
      <c r="C325" t="str">
        <f>IF($J325="","",IFERROR(COUNTIFS('Weekly Log'!$G:$G,"Y",'Weekly Log'!$A:$A,"&gt;="&amp;$J325,'Weekly Log'!$A:$A,"&lt;"&amp;$J325+7)/COUNTIFS('Weekly Log'!$G:$G,"&lt;&gt;",'Weekly Log'!$A:$A,"&gt;="&amp;$J325,'Weekly Log'!$A:$A,"&lt;"&amp;$J325+7),0))</f>
        <v/>
      </c>
      <c r="D325" t="str">
        <f>IF($J325="","",IFERROR(COUNTIFS('Weekly Log'!$H:$H,"Y",'Weekly Log'!$A:$A,"&gt;="&amp;$J325,'Weekly Log'!$A:$A,"&lt;"&amp;$J325+7)/COUNTIFS('Weekly Log'!$H:$H,"&lt;&gt;",'Weekly Log'!$A:$A,"&gt;="&amp;$J325,'Weekly Log'!$A:$A,"&lt;"&amp;$J325+7),0))</f>
        <v/>
      </c>
      <c r="E325" t="str">
        <f>IF($J325="","",IFERROR(AVERAGEIFS('Weekly Log'!$F:$F,'Weekly Log'!$A:$A,"&gt;="&amp;$J325,'Weekly Log'!$A:$A,"&lt;"&amp;$J325+7),0))</f>
        <v/>
      </c>
      <c r="F325" t="str">
        <f>IF($J325="","",IFERROR(SUMIFS('Weekly Log'!$F:$F,'Weekly Log'!$A:$A,"&gt;="&amp;$J325,'Weekly Log'!$A:$A,"&lt;"&amp;$J325+7)/SUMIFS('Weekly Log'!$E:$E,'Weekly Log'!$A:$A,"&gt;="&amp;$J325,'Weekly Log'!$A:$A,"&lt;"&amp;$J325+7),0))</f>
        <v/>
      </c>
      <c r="G325" t="str">
        <f>IF($J325="","",IFERROR(LOOKUP(2,1/(('Weekly Log'!$A$5:$A$5000&gt;=$J325)*('Weekly Log'!$A$5:$A$5000&lt;$J325+7)*('Weekly Log'!$M$5:$M$5000&lt;&gt;"")),'Weekly Log'!$M$5:$M$5000),0))</f>
        <v/>
      </c>
      <c r="J325" t="str">
        <f>IF(COUNT('Weekly Log'!$A$5:$A$5000)=0,"",IF(MIN('Weekly Log'!$A$5:$A$5000)+7*(ROW()-10)&gt;MAX('Weekly Log'!$A$5:$A$5000),"",MIN('Weekly Log'!$A$5:$A$5000)+7*(ROW()-10)))</f>
        <v/>
      </c>
    </row>
    <row r="326" spans="1:10" x14ac:dyDescent="0.25">
      <c r="A326" t="str">
        <f t="shared" si="4"/>
        <v/>
      </c>
      <c r="B326" t="str">
        <f>IF($J326="","",SUMIFS('Weekly Log'!$C:$C,'Weekly Log'!$A:$A,"&gt;="&amp;$J326,'Weekly Log'!$A:$A,"&lt;"&amp;$J326+7))</f>
        <v/>
      </c>
      <c r="C326" t="str">
        <f>IF($J326="","",IFERROR(COUNTIFS('Weekly Log'!$G:$G,"Y",'Weekly Log'!$A:$A,"&gt;="&amp;$J326,'Weekly Log'!$A:$A,"&lt;"&amp;$J326+7)/COUNTIFS('Weekly Log'!$G:$G,"&lt;&gt;",'Weekly Log'!$A:$A,"&gt;="&amp;$J326,'Weekly Log'!$A:$A,"&lt;"&amp;$J326+7),0))</f>
        <v/>
      </c>
      <c r="D326" t="str">
        <f>IF($J326="","",IFERROR(COUNTIFS('Weekly Log'!$H:$H,"Y",'Weekly Log'!$A:$A,"&gt;="&amp;$J326,'Weekly Log'!$A:$A,"&lt;"&amp;$J326+7)/COUNTIFS('Weekly Log'!$H:$H,"&lt;&gt;",'Weekly Log'!$A:$A,"&gt;="&amp;$J326,'Weekly Log'!$A:$A,"&lt;"&amp;$J326+7),0))</f>
        <v/>
      </c>
      <c r="E326" t="str">
        <f>IF($J326="","",IFERROR(AVERAGEIFS('Weekly Log'!$F:$F,'Weekly Log'!$A:$A,"&gt;="&amp;$J326,'Weekly Log'!$A:$A,"&lt;"&amp;$J326+7),0))</f>
        <v/>
      </c>
      <c r="F326" t="str">
        <f>IF($J326="","",IFERROR(SUMIFS('Weekly Log'!$F:$F,'Weekly Log'!$A:$A,"&gt;="&amp;$J326,'Weekly Log'!$A:$A,"&lt;"&amp;$J326+7)/SUMIFS('Weekly Log'!$E:$E,'Weekly Log'!$A:$A,"&gt;="&amp;$J326,'Weekly Log'!$A:$A,"&lt;"&amp;$J326+7),0))</f>
        <v/>
      </c>
      <c r="G326" t="str">
        <f>IF($J326="","",IFERROR(LOOKUP(2,1/(('Weekly Log'!$A$5:$A$5000&gt;=$J326)*('Weekly Log'!$A$5:$A$5000&lt;$J326+7)*('Weekly Log'!$M$5:$M$5000&lt;&gt;"")),'Weekly Log'!$M$5:$M$5000),0))</f>
        <v/>
      </c>
      <c r="J326" t="str">
        <f>IF(COUNT('Weekly Log'!$A$5:$A$5000)=0,"",IF(MIN('Weekly Log'!$A$5:$A$5000)+7*(ROW()-10)&gt;MAX('Weekly Log'!$A$5:$A$5000),"",MIN('Weekly Log'!$A$5:$A$5000)+7*(ROW()-10)))</f>
        <v/>
      </c>
    </row>
    <row r="327" spans="1:10" x14ac:dyDescent="0.25">
      <c r="A327" t="str">
        <f t="shared" si="4"/>
        <v/>
      </c>
      <c r="B327" t="str">
        <f>IF($J327="","",SUMIFS('Weekly Log'!$C:$C,'Weekly Log'!$A:$A,"&gt;="&amp;$J327,'Weekly Log'!$A:$A,"&lt;"&amp;$J327+7))</f>
        <v/>
      </c>
      <c r="C327" t="str">
        <f>IF($J327="","",IFERROR(COUNTIFS('Weekly Log'!$G:$G,"Y",'Weekly Log'!$A:$A,"&gt;="&amp;$J327,'Weekly Log'!$A:$A,"&lt;"&amp;$J327+7)/COUNTIFS('Weekly Log'!$G:$G,"&lt;&gt;",'Weekly Log'!$A:$A,"&gt;="&amp;$J327,'Weekly Log'!$A:$A,"&lt;"&amp;$J327+7),0))</f>
        <v/>
      </c>
      <c r="D327" t="str">
        <f>IF($J327="","",IFERROR(COUNTIFS('Weekly Log'!$H:$H,"Y",'Weekly Log'!$A:$A,"&gt;="&amp;$J327,'Weekly Log'!$A:$A,"&lt;"&amp;$J327+7)/COUNTIFS('Weekly Log'!$H:$H,"&lt;&gt;",'Weekly Log'!$A:$A,"&gt;="&amp;$J327,'Weekly Log'!$A:$A,"&lt;"&amp;$J327+7),0))</f>
        <v/>
      </c>
      <c r="E327" t="str">
        <f>IF($J327="","",IFERROR(AVERAGEIFS('Weekly Log'!$F:$F,'Weekly Log'!$A:$A,"&gt;="&amp;$J327,'Weekly Log'!$A:$A,"&lt;"&amp;$J327+7),0))</f>
        <v/>
      </c>
      <c r="F327" t="str">
        <f>IF($J327="","",IFERROR(SUMIFS('Weekly Log'!$F:$F,'Weekly Log'!$A:$A,"&gt;="&amp;$J327,'Weekly Log'!$A:$A,"&lt;"&amp;$J327+7)/SUMIFS('Weekly Log'!$E:$E,'Weekly Log'!$A:$A,"&gt;="&amp;$J327,'Weekly Log'!$A:$A,"&lt;"&amp;$J327+7),0))</f>
        <v/>
      </c>
      <c r="G327" t="str">
        <f>IF($J327="","",IFERROR(LOOKUP(2,1/(('Weekly Log'!$A$5:$A$5000&gt;=$J327)*('Weekly Log'!$A$5:$A$5000&lt;$J327+7)*('Weekly Log'!$M$5:$M$5000&lt;&gt;"")),'Weekly Log'!$M$5:$M$5000),0))</f>
        <v/>
      </c>
      <c r="J327" t="str">
        <f>IF(COUNT('Weekly Log'!$A$5:$A$5000)=0,"",IF(MIN('Weekly Log'!$A$5:$A$5000)+7*(ROW()-10)&gt;MAX('Weekly Log'!$A$5:$A$5000),"",MIN('Weekly Log'!$A$5:$A$5000)+7*(ROW()-10)))</f>
        <v/>
      </c>
    </row>
    <row r="328" spans="1:10" x14ac:dyDescent="0.25">
      <c r="A328" t="str">
        <f t="shared" si="4"/>
        <v/>
      </c>
      <c r="B328" t="str">
        <f>IF($J328="","",SUMIFS('Weekly Log'!$C:$C,'Weekly Log'!$A:$A,"&gt;="&amp;$J328,'Weekly Log'!$A:$A,"&lt;"&amp;$J328+7))</f>
        <v/>
      </c>
      <c r="C328" t="str">
        <f>IF($J328="","",IFERROR(COUNTIFS('Weekly Log'!$G:$G,"Y",'Weekly Log'!$A:$A,"&gt;="&amp;$J328,'Weekly Log'!$A:$A,"&lt;"&amp;$J328+7)/COUNTIFS('Weekly Log'!$G:$G,"&lt;&gt;",'Weekly Log'!$A:$A,"&gt;="&amp;$J328,'Weekly Log'!$A:$A,"&lt;"&amp;$J328+7),0))</f>
        <v/>
      </c>
      <c r="D328" t="str">
        <f>IF($J328="","",IFERROR(COUNTIFS('Weekly Log'!$H:$H,"Y",'Weekly Log'!$A:$A,"&gt;="&amp;$J328,'Weekly Log'!$A:$A,"&lt;"&amp;$J328+7)/COUNTIFS('Weekly Log'!$H:$H,"&lt;&gt;",'Weekly Log'!$A:$A,"&gt;="&amp;$J328,'Weekly Log'!$A:$A,"&lt;"&amp;$J328+7),0))</f>
        <v/>
      </c>
      <c r="E328" t="str">
        <f>IF($J328="","",IFERROR(AVERAGEIFS('Weekly Log'!$F:$F,'Weekly Log'!$A:$A,"&gt;="&amp;$J328,'Weekly Log'!$A:$A,"&lt;"&amp;$J328+7),0))</f>
        <v/>
      </c>
      <c r="F328" t="str">
        <f>IF($J328="","",IFERROR(SUMIFS('Weekly Log'!$F:$F,'Weekly Log'!$A:$A,"&gt;="&amp;$J328,'Weekly Log'!$A:$A,"&lt;"&amp;$J328+7)/SUMIFS('Weekly Log'!$E:$E,'Weekly Log'!$A:$A,"&gt;="&amp;$J328,'Weekly Log'!$A:$A,"&lt;"&amp;$J328+7),0))</f>
        <v/>
      </c>
      <c r="G328" t="str">
        <f>IF($J328="","",IFERROR(LOOKUP(2,1/(('Weekly Log'!$A$5:$A$5000&gt;=$J328)*('Weekly Log'!$A$5:$A$5000&lt;$J328+7)*('Weekly Log'!$M$5:$M$5000&lt;&gt;"")),'Weekly Log'!$M$5:$M$5000),0))</f>
        <v/>
      </c>
      <c r="J328" t="str">
        <f>IF(COUNT('Weekly Log'!$A$5:$A$5000)=0,"",IF(MIN('Weekly Log'!$A$5:$A$5000)+7*(ROW()-10)&gt;MAX('Weekly Log'!$A$5:$A$5000),"",MIN('Weekly Log'!$A$5:$A$5000)+7*(ROW()-10)))</f>
        <v/>
      </c>
    </row>
    <row r="329" spans="1:10" x14ac:dyDescent="0.25">
      <c r="A329" t="str">
        <f t="shared" si="4"/>
        <v/>
      </c>
      <c r="B329" t="str">
        <f>IF($J329="","",SUMIFS('Weekly Log'!$C:$C,'Weekly Log'!$A:$A,"&gt;="&amp;$J329,'Weekly Log'!$A:$A,"&lt;"&amp;$J329+7))</f>
        <v/>
      </c>
      <c r="C329" t="str">
        <f>IF($J329="","",IFERROR(COUNTIFS('Weekly Log'!$G:$G,"Y",'Weekly Log'!$A:$A,"&gt;="&amp;$J329,'Weekly Log'!$A:$A,"&lt;"&amp;$J329+7)/COUNTIFS('Weekly Log'!$G:$G,"&lt;&gt;",'Weekly Log'!$A:$A,"&gt;="&amp;$J329,'Weekly Log'!$A:$A,"&lt;"&amp;$J329+7),0))</f>
        <v/>
      </c>
      <c r="D329" t="str">
        <f>IF($J329="","",IFERROR(COUNTIFS('Weekly Log'!$H:$H,"Y",'Weekly Log'!$A:$A,"&gt;="&amp;$J329,'Weekly Log'!$A:$A,"&lt;"&amp;$J329+7)/COUNTIFS('Weekly Log'!$H:$H,"&lt;&gt;",'Weekly Log'!$A:$A,"&gt;="&amp;$J329,'Weekly Log'!$A:$A,"&lt;"&amp;$J329+7),0))</f>
        <v/>
      </c>
      <c r="E329" t="str">
        <f>IF($J329="","",IFERROR(AVERAGEIFS('Weekly Log'!$F:$F,'Weekly Log'!$A:$A,"&gt;="&amp;$J329,'Weekly Log'!$A:$A,"&lt;"&amp;$J329+7),0))</f>
        <v/>
      </c>
      <c r="F329" t="str">
        <f>IF($J329="","",IFERROR(SUMIFS('Weekly Log'!$F:$F,'Weekly Log'!$A:$A,"&gt;="&amp;$J329,'Weekly Log'!$A:$A,"&lt;"&amp;$J329+7)/SUMIFS('Weekly Log'!$E:$E,'Weekly Log'!$A:$A,"&gt;="&amp;$J329,'Weekly Log'!$A:$A,"&lt;"&amp;$J329+7),0))</f>
        <v/>
      </c>
      <c r="G329" t="str">
        <f>IF($J329="","",IFERROR(LOOKUP(2,1/(('Weekly Log'!$A$5:$A$5000&gt;=$J329)*('Weekly Log'!$A$5:$A$5000&lt;$J329+7)*('Weekly Log'!$M$5:$M$5000&lt;&gt;"")),'Weekly Log'!$M$5:$M$5000),0))</f>
        <v/>
      </c>
      <c r="J329" t="str">
        <f>IF(COUNT('Weekly Log'!$A$5:$A$5000)=0,"",IF(MIN('Weekly Log'!$A$5:$A$5000)+7*(ROW()-10)&gt;MAX('Weekly Log'!$A$5:$A$5000),"",MIN('Weekly Log'!$A$5:$A$5000)+7*(ROW()-10)))</f>
        <v/>
      </c>
    </row>
    <row r="330" spans="1:10" x14ac:dyDescent="0.25">
      <c r="A330" t="str">
        <f t="shared" ref="A330:A393" si="5">IF($J330="","",YEAR($J330-WEEKDAY($J330,2)+4)&amp;"-W"&amp;TEXT(WEEKNUM($J330,21),"00"))</f>
        <v/>
      </c>
      <c r="B330" t="str">
        <f>IF($J330="","",SUMIFS('Weekly Log'!$C:$C,'Weekly Log'!$A:$A,"&gt;="&amp;$J330,'Weekly Log'!$A:$A,"&lt;"&amp;$J330+7))</f>
        <v/>
      </c>
      <c r="C330" t="str">
        <f>IF($J330="","",IFERROR(COUNTIFS('Weekly Log'!$G:$G,"Y",'Weekly Log'!$A:$A,"&gt;="&amp;$J330,'Weekly Log'!$A:$A,"&lt;"&amp;$J330+7)/COUNTIFS('Weekly Log'!$G:$G,"&lt;&gt;",'Weekly Log'!$A:$A,"&gt;="&amp;$J330,'Weekly Log'!$A:$A,"&lt;"&amp;$J330+7),0))</f>
        <v/>
      </c>
      <c r="D330" t="str">
        <f>IF($J330="","",IFERROR(COUNTIFS('Weekly Log'!$H:$H,"Y",'Weekly Log'!$A:$A,"&gt;="&amp;$J330,'Weekly Log'!$A:$A,"&lt;"&amp;$J330+7)/COUNTIFS('Weekly Log'!$H:$H,"&lt;&gt;",'Weekly Log'!$A:$A,"&gt;="&amp;$J330,'Weekly Log'!$A:$A,"&lt;"&amp;$J330+7),0))</f>
        <v/>
      </c>
      <c r="E330" t="str">
        <f>IF($J330="","",IFERROR(AVERAGEIFS('Weekly Log'!$F:$F,'Weekly Log'!$A:$A,"&gt;="&amp;$J330,'Weekly Log'!$A:$A,"&lt;"&amp;$J330+7),0))</f>
        <v/>
      </c>
      <c r="F330" t="str">
        <f>IF($J330="","",IFERROR(SUMIFS('Weekly Log'!$F:$F,'Weekly Log'!$A:$A,"&gt;="&amp;$J330,'Weekly Log'!$A:$A,"&lt;"&amp;$J330+7)/SUMIFS('Weekly Log'!$E:$E,'Weekly Log'!$A:$A,"&gt;="&amp;$J330,'Weekly Log'!$A:$A,"&lt;"&amp;$J330+7),0))</f>
        <v/>
      </c>
      <c r="G330" t="str">
        <f>IF($J330="","",IFERROR(LOOKUP(2,1/(('Weekly Log'!$A$5:$A$5000&gt;=$J330)*('Weekly Log'!$A$5:$A$5000&lt;$J330+7)*('Weekly Log'!$M$5:$M$5000&lt;&gt;"")),'Weekly Log'!$M$5:$M$5000),0))</f>
        <v/>
      </c>
      <c r="J330" t="str">
        <f>IF(COUNT('Weekly Log'!$A$5:$A$5000)=0,"",IF(MIN('Weekly Log'!$A$5:$A$5000)+7*(ROW()-10)&gt;MAX('Weekly Log'!$A$5:$A$5000),"",MIN('Weekly Log'!$A$5:$A$5000)+7*(ROW()-10)))</f>
        <v/>
      </c>
    </row>
    <row r="331" spans="1:10" x14ac:dyDescent="0.25">
      <c r="A331" t="str">
        <f t="shared" si="5"/>
        <v/>
      </c>
      <c r="B331" t="str">
        <f>IF($J331="","",SUMIFS('Weekly Log'!$C:$C,'Weekly Log'!$A:$A,"&gt;="&amp;$J331,'Weekly Log'!$A:$A,"&lt;"&amp;$J331+7))</f>
        <v/>
      </c>
      <c r="C331" t="str">
        <f>IF($J331="","",IFERROR(COUNTIFS('Weekly Log'!$G:$G,"Y",'Weekly Log'!$A:$A,"&gt;="&amp;$J331,'Weekly Log'!$A:$A,"&lt;"&amp;$J331+7)/COUNTIFS('Weekly Log'!$G:$G,"&lt;&gt;",'Weekly Log'!$A:$A,"&gt;="&amp;$J331,'Weekly Log'!$A:$A,"&lt;"&amp;$J331+7),0))</f>
        <v/>
      </c>
      <c r="D331" t="str">
        <f>IF($J331="","",IFERROR(COUNTIFS('Weekly Log'!$H:$H,"Y",'Weekly Log'!$A:$A,"&gt;="&amp;$J331,'Weekly Log'!$A:$A,"&lt;"&amp;$J331+7)/COUNTIFS('Weekly Log'!$H:$H,"&lt;&gt;",'Weekly Log'!$A:$A,"&gt;="&amp;$J331,'Weekly Log'!$A:$A,"&lt;"&amp;$J331+7),0))</f>
        <v/>
      </c>
      <c r="E331" t="str">
        <f>IF($J331="","",IFERROR(AVERAGEIFS('Weekly Log'!$F:$F,'Weekly Log'!$A:$A,"&gt;="&amp;$J331,'Weekly Log'!$A:$A,"&lt;"&amp;$J331+7),0))</f>
        <v/>
      </c>
      <c r="F331" t="str">
        <f>IF($J331="","",IFERROR(SUMIFS('Weekly Log'!$F:$F,'Weekly Log'!$A:$A,"&gt;="&amp;$J331,'Weekly Log'!$A:$A,"&lt;"&amp;$J331+7)/SUMIFS('Weekly Log'!$E:$E,'Weekly Log'!$A:$A,"&gt;="&amp;$J331,'Weekly Log'!$A:$A,"&lt;"&amp;$J331+7),0))</f>
        <v/>
      </c>
      <c r="G331" t="str">
        <f>IF($J331="","",IFERROR(LOOKUP(2,1/(('Weekly Log'!$A$5:$A$5000&gt;=$J331)*('Weekly Log'!$A$5:$A$5000&lt;$J331+7)*('Weekly Log'!$M$5:$M$5000&lt;&gt;"")),'Weekly Log'!$M$5:$M$5000),0))</f>
        <v/>
      </c>
      <c r="J331" t="str">
        <f>IF(COUNT('Weekly Log'!$A$5:$A$5000)=0,"",IF(MIN('Weekly Log'!$A$5:$A$5000)+7*(ROW()-10)&gt;MAX('Weekly Log'!$A$5:$A$5000),"",MIN('Weekly Log'!$A$5:$A$5000)+7*(ROW()-10)))</f>
        <v/>
      </c>
    </row>
    <row r="332" spans="1:10" x14ac:dyDescent="0.25">
      <c r="A332" t="str">
        <f t="shared" si="5"/>
        <v/>
      </c>
      <c r="B332" t="str">
        <f>IF($J332="","",SUMIFS('Weekly Log'!$C:$C,'Weekly Log'!$A:$A,"&gt;="&amp;$J332,'Weekly Log'!$A:$A,"&lt;"&amp;$J332+7))</f>
        <v/>
      </c>
      <c r="C332" t="str">
        <f>IF($J332="","",IFERROR(COUNTIFS('Weekly Log'!$G:$G,"Y",'Weekly Log'!$A:$A,"&gt;="&amp;$J332,'Weekly Log'!$A:$A,"&lt;"&amp;$J332+7)/COUNTIFS('Weekly Log'!$G:$G,"&lt;&gt;",'Weekly Log'!$A:$A,"&gt;="&amp;$J332,'Weekly Log'!$A:$A,"&lt;"&amp;$J332+7),0))</f>
        <v/>
      </c>
      <c r="D332" t="str">
        <f>IF($J332="","",IFERROR(COUNTIFS('Weekly Log'!$H:$H,"Y",'Weekly Log'!$A:$A,"&gt;="&amp;$J332,'Weekly Log'!$A:$A,"&lt;"&amp;$J332+7)/COUNTIFS('Weekly Log'!$H:$H,"&lt;&gt;",'Weekly Log'!$A:$A,"&gt;="&amp;$J332,'Weekly Log'!$A:$A,"&lt;"&amp;$J332+7),0))</f>
        <v/>
      </c>
      <c r="E332" t="str">
        <f>IF($J332="","",IFERROR(AVERAGEIFS('Weekly Log'!$F:$F,'Weekly Log'!$A:$A,"&gt;="&amp;$J332,'Weekly Log'!$A:$A,"&lt;"&amp;$J332+7),0))</f>
        <v/>
      </c>
      <c r="F332" t="str">
        <f>IF($J332="","",IFERROR(SUMIFS('Weekly Log'!$F:$F,'Weekly Log'!$A:$A,"&gt;="&amp;$J332,'Weekly Log'!$A:$A,"&lt;"&amp;$J332+7)/SUMIFS('Weekly Log'!$E:$E,'Weekly Log'!$A:$A,"&gt;="&amp;$J332,'Weekly Log'!$A:$A,"&lt;"&amp;$J332+7),0))</f>
        <v/>
      </c>
      <c r="G332" t="str">
        <f>IF($J332="","",IFERROR(LOOKUP(2,1/(('Weekly Log'!$A$5:$A$5000&gt;=$J332)*('Weekly Log'!$A$5:$A$5000&lt;$J332+7)*('Weekly Log'!$M$5:$M$5000&lt;&gt;"")),'Weekly Log'!$M$5:$M$5000),0))</f>
        <v/>
      </c>
      <c r="J332" t="str">
        <f>IF(COUNT('Weekly Log'!$A$5:$A$5000)=0,"",IF(MIN('Weekly Log'!$A$5:$A$5000)+7*(ROW()-10)&gt;MAX('Weekly Log'!$A$5:$A$5000),"",MIN('Weekly Log'!$A$5:$A$5000)+7*(ROW()-10)))</f>
        <v/>
      </c>
    </row>
    <row r="333" spans="1:10" x14ac:dyDescent="0.25">
      <c r="A333" t="str">
        <f t="shared" si="5"/>
        <v/>
      </c>
      <c r="B333" t="str">
        <f>IF($J333="","",SUMIFS('Weekly Log'!$C:$C,'Weekly Log'!$A:$A,"&gt;="&amp;$J333,'Weekly Log'!$A:$A,"&lt;"&amp;$J333+7))</f>
        <v/>
      </c>
      <c r="C333" t="str">
        <f>IF($J333="","",IFERROR(COUNTIFS('Weekly Log'!$G:$G,"Y",'Weekly Log'!$A:$A,"&gt;="&amp;$J333,'Weekly Log'!$A:$A,"&lt;"&amp;$J333+7)/COUNTIFS('Weekly Log'!$G:$G,"&lt;&gt;",'Weekly Log'!$A:$A,"&gt;="&amp;$J333,'Weekly Log'!$A:$A,"&lt;"&amp;$J333+7),0))</f>
        <v/>
      </c>
      <c r="D333" t="str">
        <f>IF($J333="","",IFERROR(COUNTIFS('Weekly Log'!$H:$H,"Y",'Weekly Log'!$A:$A,"&gt;="&amp;$J333,'Weekly Log'!$A:$A,"&lt;"&amp;$J333+7)/COUNTIFS('Weekly Log'!$H:$H,"&lt;&gt;",'Weekly Log'!$A:$A,"&gt;="&amp;$J333,'Weekly Log'!$A:$A,"&lt;"&amp;$J333+7),0))</f>
        <v/>
      </c>
      <c r="E333" t="str">
        <f>IF($J333="","",IFERROR(AVERAGEIFS('Weekly Log'!$F:$F,'Weekly Log'!$A:$A,"&gt;="&amp;$J333,'Weekly Log'!$A:$A,"&lt;"&amp;$J333+7),0))</f>
        <v/>
      </c>
      <c r="F333" t="str">
        <f>IF($J333="","",IFERROR(SUMIFS('Weekly Log'!$F:$F,'Weekly Log'!$A:$A,"&gt;="&amp;$J333,'Weekly Log'!$A:$A,"&lt;"&amp;$J333+7)/SUMIFS('Weekly Log'!$E:$E,'Weekly Log'!$A:$A,"&gt;="&amp;$J333,'Weekly Log'!$A:$A,"&lt;"&amp;$J333+7),0))</f>
        <v/>
      </c>
      <c r="G333" t="str">
        <f>IF($J333="","",IFERROR(LOOKUP(2,1/(('Weekly Log'!$A$5:$A$5000&gt;=$J333)*('Weekly Log'!$A$5:$A$5000&lt;$J333+7)*('Weekly Log'!$M$5:$M$5000&lt;&gt;"")),'Weekly Log'!$M$5:$M$5000),0))</f>
        <v/>
      </c>
      <c r="J333" t="str">
        <f>IF(COUNT('Weekly Log'!$A$5:$A$5000)=0,"",IF(MIN('Weekly Log'!$A$5:$A$5000)+7*(ROW()-10)&gt;MAX('Weekly Log'!$A$5:$A$5000),"",MIN('Weekly Log'!$A$5:$A$5000)+7*(ROW()-10)))</f>
        <v/>
      </c>
    </row>
    <row r="334" spans="1:10" x14ac:dyDescent="0.25">
      <c r="A334" t="str">
        <f t="shared" si="5"/>
        <v/>
      </c>
      <c r="B334" t="str">
        <f>IF($J334="","",SUMIFS('Weekly Log'!$C:$C,'Weekly Log'!$A:$A,"&gt;="&amp;$J334,'Weekly Log'!$A:$A,"&lt;"&amp;$J334+7))</f>
        <v/>
      </c>
      <c r="C334" t="str">
        <f>IF($J334="","",IFERROR(COUNTIFS('Weekly Log'!$G:$G,"Y",'Weekly Log'!$A:$A,"&gt;="&amp;$J334,'Weekly Log'!$A:$A,"&lt;"&amp;$J334+7)/COUNTIFS('Weekly Log'!$G:$G,"&lt;&gt;",'Weekly Log'!$A:$A,"&gt;="&amp;$J334,'Weekly Log'!$A:$A,"&lt;"&amp;$J334+7),0))</f>
        <v/>
      </c>
      <c r="D334" t="str">
        <f>IF($J334="","",IFERROR(COUNTIFS('Weekly Log'!$H:$H,"Y",'Weekly Log'!$A:$A,"&gt;="&amp;$J334,'Weekly Log'!$A:$A,"&lt;"&amp;$J334+7)/COUNTIFS('Weekly Log'!$H:$H,"&lt;&gt;",'Weekly Log'!$A:$A,"&gt;="&amp;$J334,'Weekly Log'!$A:$A,"&lt;"&amp;$J334+7),0))</f>
        <v/>
      </c>
      <c r="E334" t="str">
        <f>IF($J334="","",IFERROR(AVERAGEIFS('Weekly Log'!$F:$F,'Weekly Log'!$A:$A,"&gt;="&amp;$J334,'Weekly Log'!$A:$A,"&lt;"&amp;$J334+7),0))</f>
        <v/>
      </c>
      <c r="F334" t="str">
        <f>IF($J334="","",IFERROR(SUMIFS('Weekly Log'!$F:$F,'Weekly Log'!$A:$A,"&gt;="&amp;$J334,'Weekly Log'!$A:$A,"&lt;"&amp;$J334+7)/SUMIFS('Weekly Log'!$E:$E,'Weekly Log'!$A:$A,"&gt;="&amp;$J334,'Weekly Log'!$A:$A,"&lt;"&amp;$J334+7),0))</f>
        <v/>
      </c>
      <c r="G334" t="str">
        <f>IF($J334="","",IFERROR(LOOKUP(2,1/(('Weekly Log'!$A$5:$A$5000&gt;=$J334)*('Weekly Log'!$A$5:$A$5000&lt;$J334+7)*('Weekly Log'!$M$5:$M$5000&lt;&gt;"")),'Weekly Log'!$M$5:$M$5000),0))</f>
        <v/>
      </c>
      <c r="J334" t="str">
        <f>IF(COUNT('Weekly Log'!$A$5:$A$5000)=0,"",IF(MIN('Weekly Log'!$A$5:$A$5000)+7*(ROW()-10)&gt;MAX('Weekly Log'!$A$5:$A$5000),"",MIN('Weekly Log'!$A$5:$A$5000)+7*(ROW()-10)))</f>
        <v/>
      </c>
    </row>
    <row r="335" spans="1:10" x14ac:dyDescent="0.25">
      <c r="A335" t="str">
        <f t="shared" si="5"/>
        <v/>
      </c>
      <c r="B335" t="str">
        <f>IF($J335="","",SUMIFS('Weekly Log'!$C:$C,'Weekly Log'!$A:$A,"&gt;="&amp;$J335,'Weekly Log'!$A:$A,"&lt;"&amp;$J335+7))</f>
        <v/>
      </c>
      <c r="C335" t="str">
        <f>IF($J335="","",IFERROR(COUNTIFS('Weekly Log'!$G:$G,"Y",'Weekly Log'!$A:$A,"&gt;="&amp;$J335,'Weekly Log'!$A:$A,"&lt;"&amp;$J335+7)/COUNTIFS('Weekly Log'!$G:$G,"&lt;&gt;",'Weekly Log'!$A:$A,"&gt;="&amp;$J335,'Weekly Log'!$A:$A,"&lt;"&amp;$J335+7),0))</f>
        <v/>
      </c>
      <c r="D335" t="str">
        <f>IF($J335="","",IFERROR(COUNTIFS('Weekly Log'!$H:$H,"Y",'Weekly Log'!$A:$A,"&gt;="&amp;$J335,'Weekly Log'!$A:$A,"&lt;"&amp;$J335+7)/COUNTIFS('Weekly Log'!$H:$H,"&lt;&gt;",'Weekly Log'!$A:$A,"&gt;="&amp;$J335,'Weekly Log'!$A:$A,"&lt;"&amp;$J335+7),0))</f>
        <v/>
      </c>
      <c r="E335" t="str">
        <f>IF($J335="","",IFERROR(AVERAGEIFS('Weekly Log'!$F:$F,'Weekly Log'!$A:$A,"&gt;="&amp;$J335,'Weekly Log'!$A:$A,"&lt;"&amp;$J335+7),0))</f>
        <v/>
      </c>
      <c r="F335" t="str">
        <f>IF($J335="","",IFERROR(SUMIFS('Weekly Log'!$F:$F,'Weekly Log'!$A:$A,"&gt;="&amp;$J335,'Weekly Log'!$A:$A,"&lt;"&amp;$J335+7)/SUMIFS('Weekly Log'!$E:$E,'Weekly Log'!$A:$A,"&gt;="&amp;$J335,'Weekly Log'!$A:$A,"&lt;"&amp;$J335+7),0))</f>
        <v/>
      </c>
      <c r="G335" t="str">
        <f>IF($J335="","",IFERROR(LOOKUP(2,1/(('Weekly Log'!$A$5:$A$5000&gt;=$J335)*('Weekly Log'!$A$5:$A$5000&lt;$J335+7)*('Weekly Log'!$M$5:$M$5000&lt;&gt;"")),'Weekly Log'!$M$5:$M$5000),0))</f>
        <v/>
      </c>
      <c r="J335" t="str">
        <f>IF(COUNT('Weekly Log'!$A$5:$A$5000)=0,"",IF(MIN('Weekly Log'!$A$5:$A$5000)+7*(ROW()-10)&gt;MAX('Weekly Log'!$A$5:$A$5000),"",MIN('Weekly Log'!$A$5:$A$5000)+7*(ROW()-10)))</f>
        <v/>
      </c>
    </row>
    <row r="336" spans="1:10" x14ac:dyDescent="0.25">
      <c r="A336" t="str">
        <f t="shared" si="5"/>
        <v/>
      </c>
      <c r="B336" t="str">
        <f>IF($J336="","",SUMIFS('Weekly Log'!$C:$C,'Weekly Log'!$A:$A,"&gt;="&amp;$J336,'Weekly Log'!$A:$A,"&lt;"&amp;$J336+7))</f>
        <v/>
      </c>
      <c r="C336" t="str">
        <f>IF($J336="","",IFERROR(COUNTIFS('Weekly Log'!$G:$G,"Y",'Weekly Log'!$A:$A,"&gt;="&amp;$J336,'Weekly Log'!$A:$A,"&lt;"&amp;$J336+7)/COUNTIFS('Weekly Log'!$G:$G,"&lt;&gt;",'Weekly Log'!$A:$A,"&gt;="&amp;$J336,'Weekly Log'!$A:$A,"&lt;"&amp;$J336+7),0))</f>
        <v/>
      </c>
      <c r="D336" t="str">
        <f>IF($J336="","",IFERROR(COUNTIFS('Weekly Log'!$H:$H,"Y",'Weekly Log'!$A:$A,"&gt;="&amp;$J336,'Weekly Log'!$A:$A,"&lt;"&amp;$J336+7)/COUNTIFS('Weekly Log'!$H:$H,"&lt;&gt;",'Weekly Log'!$A:$A,"&gt;="&amp;$J336,'Weekly Log'!$A:$A,"&lt;"&amp;$J336+7),0))</f>
        <v/>
      </c>
      <c r="E336" t="str">
        <f>IF($J336="","",IFERROR(AVERAGEIFS('Weekly Log'!$F:$F,'Weekly Log'!$A:$A,"&gt;="&amp;$J336,'Weekly Log'!$A:$A,"&lt;"&amp;$J336+7),0))</f>
        <v/>
      </c>
      <c r="F336" t="str">
        <f>IF($J336="","",IFERROR(SUMIFS('Weekly Log'!$F:$F,'Weekly Log'!$A:$A,"&gt;="&amp;$J336,'Weekly Log'!$A:$A,"&lt;"&amp;$J336+7)/SUMIFS('Weekly Log'!$E:$E,'Weekly Log'!$A:$A,"&gt;="&amp;$J336,'Weekly Log'!$A:$A,"&lt;"&amp;$J336+7),0))</f>
        <v/>
      </c>
      <c r="G336" t="str">
        <f>IF($J336="","",IFERROR(LOOKUP(2,1/(('Weekly Log'!$A$5:$A$5000&gt;=$J336)*('Weekly Log'!$A$5:$A$5000&lt;$J336+7)*('Weekly Log'!$M$5:$M$5000&lt;&gt;"")),'Weekly Log'!$M$5:$M$5000),0))</f>
        <v/>
      </c>
      <c r="J336" t="str">
        <f>IF(COUNT('Weekly Log'!$A$5:$A$5000)=0,"",IF(MIN('Weekly Log'!$A$5:$A$5000)+7*(ROW()-10)&gt;MAX('Weekly Log'!$A$5:$A$5000),"",MIN('Weekly Log'!$A$5:$A$5000)+7*(ROW()-10)))</f>
        <v/>
      </c>
    </row>
    <row r="337" spans="1:10" x14ac:dyDescent="0.25">
      <c r="A337" t="str">
        <f t="shared" si="5"/>
        <v/>
      </c>
      <c r="B337" t="str">
        <f>IF($J337="","",SUMIFS('Weekly Log'!$C:$C,'Weekly Log'!$A:$A,"&gt;="&amp;$J337,'Weekly Log'!$A:$A,"&lt;"&amp;$J337+7))</f>
        <v/>
      </c>
      <c r="C337" t="str">
        <f>IF($J337="","",IFERROR(COUNTIFS('Weekly Log'!$G:$G,"Y",'Weekly Log'!$A:$A,"&gt;="&amp;$J337,'Weekly Log'!$A:$A,"&lt;"&amp;$J337+7)/COUNTIFS('Weekly Log'!$G:$G,"&lt;&gt;",'Weekly Log'!$A:$A,"&gt;="&amp;$J337,'Weekly Log'!$A:$A,"&lt;"&amp;$J337+7),0))</f>
        <v/>
      </c>
      <c r="D337" t="str">
        <f>IF($J337="","",IFERROR(COUNTIFS('Weekly Log'!$H:$H,"Y",'Weekly Log'!$A:$A,"&gt;="&amp;$J337,'Weekly Log'!$A:$A,"&lt;"&amp;$J337+7)/COUNTIFS('Weekly Log'!$H:$H,"&lt;&gt;",'Weekly Log'!$A:$A,"&gt;="&amp;$J337,'Weekly Log'!$A:$A,"&lt;"&amp;$J337+7),0))</f>
        <v/>
      </c>
      <c r="E337" t="str">
        <f>IF($J337="","",IFERROR(AVERAGEIFS('Weekly Log'!$F:$F,'Weekly Log'!$A:$A,"&gt;="&amp;$J337,'Weekly Log'!$A:$A,"&lt;"&amp;$J337+7),0))</f>
        <v/>
      </c>
      <c r="F337" t="str">
        <f>IF($J337="","",IFERROR(SUMIFS('Weekly Log'!$F:$F,'Weekly Log'!$A:$A,"&gt;="&amp;$J337,'Weekly Log'!$A:$A,"&lt;"&amp;$J337+7)/SUMIFS('Weekly Log'!$E:$E,'Weekly Log'!$A:$A,"&gt;="&amp;$J337,'Weekly Log'!$A:$A,"&lt;"&amp;$J337+7),0))</f>
        <v/>
      </c>
      <c r="G337" t="str">
        <f>IF($J337="","",IFERROR(LOOKUP(2,1/(('Weekly Log'!$A$5:$A$5000&gt;=$J337)*('Weekly Log'!$A$5:$A$5000&lt;$J337+7)*('Weekly Log'!$M$5:$M$5000&lt;&gt;"")),'Weekly Log'!$M$5:$M$5000),0))</f>
        <v/>
      </c>
      <c r="J337" t="str">
        <f>IF(COUNT('Weekly Log'!$A$5:$A$5000)=0,"",IF(MIN('Weekly Log'!$A$5:$A$5000)+7*(ROW()-10)&gt;MAX('Weekly Log'!$A$5:$A$5000),"",MIN('Weekly Log'!$A$5:$A$5000)+7*(ROW()-10)))</f>
        <v/>
      </c>
    </row>
    <row r="338" spans="1:10" x14ac:dyDescent="0.25">
      <c r="A338" t="str">
        <f t="shared" si="5"/>
        <v/>
      </c>
      <c r="B338" t="str">
        <f>IF($J338="","",SUMIFS('Weekly Log'!$C:$C,'Weekly Log'!$A:$A,"&gt;="&amp;$J338,'Weekly Log'!$A:$A,"&lt;"&amp;$J338+7))</f>
        <v/>
      </c>
      <c r="C338" t="str">
        <f>IF($J338="","",IFERROR(COUNTIFS('Weekly Log'!$G:$G,"Y",'Weekly Log'!$A:$A,"&gt;="&amp;$J338,'Weekly Log'!$A:$A,"&lt;"&amp;$J338+7)/COUNTIFS('Weekly Log'!$G:$G,"&lt;&gt;",'Weekly Log'!$A:$A,"&gt;="&amp;$J338,'Weekly Log'!$A:$A,"&lt;"&amp;$J338+7),0))</f>
        <v/>
      </c>
      <c r="D338" t="str">
        <f>IF($J338="","",IFERROR(COUNTIFS('Weekly Log'!$H:$H,"Y",'Weekly Log'!$A:$A,"&gt;="&amp;$J338,'Weekly Log'!$A:$A,"&lt;"&amp;$J338+7)/COUNTIFS('Weekly Log'!$H:$H,"&lt;&gt;",'Weekly Log'!$A:$A,"&gt;="&amp;$J338,'Weekly Log'!$A:$A,"&lt;"&amp;$J338+7),0))</f>
        <v/>
      </c>
      <c r="E338" t="str">
        <f>IF($J338="","",IFERROR(AVERAGEIFS('Weekly Log'!$F:$F,'Weekly Log'!$A:$A,"&gt;="&amp;$J338,'Weekly Log'!$A:$A,"&lt;"&amp;$J338+7),0))</f>
        <v/>
      </c>
      <c r="F338" t="str">
        <f>IF($J338="","",IFERROR(SUMIFS('Weekly Log'!$F:$F,'Weekly Log'!$A:$A,"&gt;="&amp;$J338,'Weekly Log'!$A:$A,"&lt;"&amp;$J338+7)/SUMIFS('Weekly Log'!$E:$E,'Weekly Log'!$A:$A,"&gt;="&amp;$J338,'Weekly Log'!$A:$A,"&lt;"&amp;$J338+7),0))</f>
        <v/>
      </c>
      <c r="G338" t="str">
        <f>IF($J338="","",IFERROR(LOOKUP(2,1/(('Weekly Log'!$A$5:$A$5000&gt;=$J338)*('Weekly Log'!$A$5:$A$5000&lt;$J338+7)*('Weekly Log'!$M$5:$M$5000&lt;&gt;"")),'Weekly Log'!$M$5:$M$5000),0))</f>
        <v/>
      </c>
      <c r="J338" t="str">
        <f>IF(COUNT('Weekly Log'!$A$5:$A$5000)=0,"",IF(MIN('Weekly Log'!$A$5:$A$5000)+7*(ROW()-10)&gt;MAX('Weekly Log'!$A$5:$A$5000),"",MIN('Weekly Log'!$A$5:$A$5000)+7*(ROW()-10)))</f>
        <v/>
      </c>
    </row>
    <row r="339" spans="1:10" x14ac:dyDescent="0.25">
      <c r="A339" t="str">
        <f t="shared" si="5"/>
        <v/>
      </c>
      <c r="B339" t="str">
        <f>IF($J339="","",SUMIFS('Weekly Log'!$C:$C,'Weekly Log'!$A:$A,"&gt;="&amp;$J339,'Weekly Log'!$A:$A,"&lt;"&amp;$J339+7))</f>
        <v/>
      </c>
      <c r="C339" t="str">
        <f>IF($J339="","",IFERROR(COUNTIFS('Weekly Log'!$G:$G,"Y",'Weekly Log'!$A:$A,"&gt;="&amp;$J339,'Weekly Log'!$A:$A,"&lt;"&amp;$J339+7)/COUNTIFS('Weekly Log'!$G:$G,"&lt;&gt;",'Weekly Log'!$A:$A,"&gt;="&amp;$J339,'Weekly Log'!$A:$A,"&lt;"&amp;$J339+7),0))</f>
        <v/>
      </c>
      <c r="D339" t="str">
        <f>IF($J339="","",IFERROR(COUNTIFS('Weekly Log'!$H:$H,"Y",'Weekly Log'!$A:$A,"&gt;="&amp;$J339,'Weekly Log'!$A:$A,"&lt;"&amp;$J339+7)/COUNTIFS('Weekly Log'!$H:$H,"&lt;&gt;",'Weekly Log'!$A:$A,"&gt;="&amp;$J339,'Weekly Log'!$A:$A,"&lt;"&amp;$J339+7),0))</f>
        <v/>
      </c>
      <c r="E339" t="str">
        <f>IF($J339="","",IFERROR(AVERAGEIFS('Weekly Log'!$F:$F,'Weekly Log'!$A:$A,"&gt;="&amp;$J339,'Weekly Log'!$A:$A,"&lt;"&amp;$J339+7),0))</f>
        <v/>
      </c>
      <c r="F339" t="str">
        <f>IF($J339="","",IFERROR(SUMIFS('Weekly Log'!$F:$F,'Weekly Log'!$A:$A,"&gt;="&amp;$J339,'Weekly Log'!$A:$A,"&lt;"&amp;$J339+7)/SUMIFS('Weekly Log'!$E:$E,'Weekly Log'!$A:$A,"&gt;="&amp;$J339,'Weekly Log'!$A:$A,"&lt;"&amp;$J339+7),0))</f>
        <v/>
      </c>
      <c r="G339" t="str">
        <f>IF($J339="","",IFERROR(LOOKUP(2,1/(('Weekly Log'!$A$5:$A$5000&gt;=$J339)*('Weekly Log'!$A$5:$A$5000&lt;$J339+7)*('Weekly Log'!$M$5:$M$5000&lt;&gt;"")),'Weekly Log'!$M$5:$M$5000),0))</f>
        <v/>
      </c>
      <c r="J339" t="str">
        <f>IF(COUNT('Weekly Log'!$A$5:$A$5000)=0,"",IF(MIN('Weekly Log'!$A$5:$A$5000)+7*(ROW()-10)&gt;MAX('Weekly Log'!$A$5:$A$5000),"",MIN('Weekly Log'!$A$5:$A$5000)+7*(ROW()-10)))</f>
        <v/>
      </c>
    </row>
    <row r="340" spans="1:10" x14ac:dyDescent="0.25">
      <c r="A340" t="str">
        <f t="shared" si="5"/>
        <v/>
      </c>
      <c r="B340" t="str">
        <f>IF($J340="","",SUMIFS('Weekly Log'!$C:$C,'Weekly Log'!$A:$A,"&gt;="&amp;$J340,'Weekly Log'!$A:$A,"&lt;"&amp;$J340+7))</f>
        <v/>
      </c>
      <c r="C340" t="str">
        <f>IF($J340="","",IFERROR(COUNTIFS('Weekly Log'!$G:$G,"Y",'Weekly Log'!$A:$A,"&gt;="&amp;$J340,'Weekly Log'!$A:$A,"&lt;"&amp;$J340+7)/COUNTIFS('Weekly Log'!$G:$G,"&lt;&gt;",'Weekly Log'!$A:$A,"&gt;="&amp;$J340,'Weekly Log'!$A:$A,"&lt;"&amp;$J340+7),0))</f>
        <v/>
      </c>
      <c r="D340" t="str">
        <f>IF($J340="","",IFERROR(COUNTIFS('Weekly Log'!$H:$H,"Y",'Weekly Log'!$A:$A,"&gt;="&amp;$J340,'Weekly Log'!$A:$A,"&lt;"&amp;$J340+7)/COUNTIFS('Weekly Log'!$H:$H,"&lt;&gt;",'Weekly Log'!$A:$A,"&gt;="&amp;$J340,'Weekly Log'!$A:$A,"&lt;"&amp;$J340+7),0))</f>
        <v/>
      </c>
      <c r="E340" t="str">
        <f>IF($J340="","",IFERROR(AVERAGEIFS('Weekly Log'!$F:$F,'Weekly Log'!$A:$A,"&gt;="&amp;$J340,'Weekly Log'!$A:$A,"&lt;"&amp;$J340+7),0))</f>
        <v/>
      </c>
      <c r="F340" t="str">
        <f>IF($J340="","",IFERROR(SUMIFS('Weekly Log'!$F:$F,'Weekly Log'!$A:$A,"&gt;="&amp;$J340,'Weekly Log'!$A:$A,"&lt;"&amp;$J340+7)/SUMIFS('Weekly Log'!$E:$E,'Weekly Log'!$A:$A,"&gt;="&amp;$J340,'Weekly Log'!$A:$A,"&lt;"&amp;$J340+7),0))</f>
        <v/>
      </c>
      <c r="G340" t="str">
        <f>IF($J340="","",IFERROR(LOOKUP(2,1/(('Weekly Log'!$A$5:$A$5000&gt;=$J340)*('Weekly Log'!$A$5:$A$5000&lt;$J340+7)*('Weekly Log'!$M$5:$M$5000&lt;&gt;"")),'Weekly Log'!$M$5:$M$5000),0))</f>
        <v/>
      </c>
      <c r="J340" t="str">
        <f>IF(COUNT('Weekly Log'!$A$5:$A$5000)=0,"",IF(MIN('Weekly Log'!$A$5:$A$5000)+7*(ROW()-10)&gt;MAX('Weekly Log'!$A$5:$A$5000),"",MIN('Weekly Log'!$A$5:$A$5000)+7*(ROW()-10)))</f>
        <v/>
      </c>
    </row>
    <row r="341" spans="1:10" x14ac:dyDescent="0.25">
      <c r="A341" t="str">
        <f t="shared" si="5"/>
        <v/>
      </c>
      <c r="B341" t="str">
        <f>IF($J341="","",SUMIFS('Weekly Log'!$C:$C,'Weekly Log'!$A:$A,"&gt;="&amp;$J341,'Weekly Log'!$A:$A,"&lt;"&amp;$J341+7))</f>
        <v/>
      </c>
      <c r="C341" t="str">
        <f>IF($J341="","",IFERROR(COUNTIFS('Weekly Log'!$G:$G,"Y",'Weekly Log'!$A:$A,"&gt;="&amp;$J341,'Weekly Log'!$A:$A,"&lt;"&amp;$J341+7)/COUNTIFS('Weekly Log'!$G:$G,"&lt;&gt;",'Weekly Log'!$A:$A,"&gt;="&amp;$J341,'Weekly Log'!$A:$A,"&lt;"&amp;$J341+7),0))</f>
        <v/>
      </c>
      <c r="D341" t="str">
        <f>IF($J341="","",IFERROR(COUNTIFS('Weekly Log'!$H:$H,"Y",'Weekly Log'!$A:$A,"&gt;="&amp;$J341,'Weekly Log'!$A:$A,"&lt;"&amp;$J341+7)/COUNTIFS('Weekly Log'!$H:$H,"&lt;&gt;",'Weekly Log'!$A:$A,"&gt;="&amp;$J341,'Weekly Log'!$A:$A,"&lt;"&amp;$J341+7),0))</f>
        <v/>
      </c>
      <c r="E341" t="str">
        <f>IF($J341="","",IFERROR(AVERAGEIFS('Weekly Log'!$F:$F,'Weekly Log'!$A:$A,"&gt;="&amp;$J341,'Weekly Log'!$A:$A,"&lt;"&amp;$J341+7),0))</f>
        <v/>
      </c>
      <c r="F341" t="str">
        <f>IF($J341="","",IFERROR(SUMIFS('Weekly Log'!$F:$F,'Weekly Log'!$A:$A,"&gt;="&amp;$J341,'Weekly Log'!$A:$A,"&lt;"&amp;$J341+7)/SUMIFS('Weekly Log'!$E:$E,'Weekly Log'!$A:$A,"&gt;="&amp;$J341,'Weekly Log'!$A:$A,"&lt;"&amp;$J341+7),0))</f>
        <v/>
      </c>
      <c r="G341" t="str">
        <f>IF($J341="","",IFERROR(LOOKUP(2,1/(('Weekly Log'!$A$5:$A$5000&gt;=$J341)*('Weekly Log'!$A$5:$A$5000&lt;$J341+7)*('Weekly Log'!$M$5:$M$5000&lt;&gt;"")),'Weekly Log'!$M$5:$M$5000),0))</f>
        <v/>
      </c>
      <c r="J341" t="str">
        <f>IF(COUNT('Weekly Log'!$A$5:$A$5000)=0,"",IF(MIN('Weekly Log'!$A$5:$A$5000)+7*(ROW()-10)&gt;MAX('Weekly Log'!$A$5:$A$5000),"",MIN('Weekly Log'!$A$5:$A$5000)+7*(ROW()-10)))</f>
        <v/>
      </c>
    </row>
    <row r="342" spans="1:10" x14ac:dyDescent="0.25">
      <c r="A342" t="str">
        <f t="shared" si="5"/>
        <v/>
      </c>
      <c r="B342" t="str">
        <f>IF($J342="","",SUMIFS('Weekly Log'!$C:$C,'Weekly Log'!$A:$A,"&gt;="&amp;$J342,'Weekly Log'!$A:$A,"&lt;"&amp;$J342+7))</f>
        <v/>
      </c>
      <c r="C342" t="str">
        <f>IF($J342="","",IFERROR(COUNTIFS('Weekly Log'!$G:$G,"Y",'Weekly Log'!$A:$A,"&gt;="&amp;$J342,'Weekly Log'!$A:$A,"&lt;"&amp;$J342+7)/COUNTIFS('Weekly Log'!$G:$G,"&lt;&gt;",'Weekly Log'!$A:$A,"&gt;="&amp;$J342,'Weekly Log'!$A:$A,"&lt;"&amp;$J342+7),0))</f>
        <v/>
      </c>
      <c r="D342" t="str">
        <f>IF($J342="","",IFERROR(COUNTIFS('Weekly Log'!$H:$H,"Y",'Weekly Log'!$A:$A,"&gt;="&amp;$J342,'Weekly Log'!$A:$A,"&lt;"&amp;$J342+7)/COUNTIFS('Weekly Log'!$H:$H,"&lt;&gt;",'Weekly Log'!$A:$A,"&gt;="&amp;$J342,'Weekly Log'!$A:$A,"&lt;"&amp;$J342+7),0))</f>
        <v/>
      </c>
      <c r="E342" t="str">
        <f>IF($J342="","",IFERROR(AVERAGEIFS('Weekly Log'!$F:$F,'Weekly Log'!$A:$A,"&gt;="&amp;$J342,'Weekly Log'!$A:$A,"&lt;"&amp;$J342+7),0))</f>
        <v/>
      </c>
      <c r="F342" t="str">
        <f>IF($J342="","",IFERROR(SUMIFS('Weekly Log'!$F:$F,'Weekly Log'!$A:$A,"&gt;="&amp;$J342,'Weekly Log'!$A:$A,"&lt;"&amp;$J342+7)/SUMIFS('Weekly Log'!$E:$E,'Weekly Log'!$A:$A,"&gt;="&amp;$J342,'Weekly Log'!$A:$A,"&lt;"&amp;$J342+7),0))</f>
        <v/>
      </c>
      <c r="G342" t="str">
        <f>IF($J342="","",IFERROR(LOOKUP(2,1/(('Weekly Log'!$A$5:$A$5000&gt;=$J342)*('Weekly Log'!$A$5:$A$5000&lt;$J342+7)*('Weekly Log'!$M$5:$M$5000&lt;&gt;"")),'Weekly Log'!$M$5:$M$5000),0))</f>
        <v/>
      </c>
      <c r="J342" t="str">
        <f>IF(COUNT('Weekly Log'!$A$5:$A$5000)=0,"",IF(MIN('Weekly Log'!$A$5:$A$5000)+7*(ROW()-10)&gt;MAX('Weekly Log'!$A$5:$A$5000),"",MIN('Weekly Log'!$A$5:$A$5000)+7*(ROW()-10)))</f>
        <v/>
      </c>
    </row>
    <row r="343" spans="1:10" x14ac:dyDescent="0.25">
      <c r="A343" t="str">
        <f t="shared" si="5"/>
        <v/>
      </c>
      <c r="B343" t="str">
        <f>IF($J343="","",SUMIFS('Weekly Log'!$C:$C,'Weekly Log'!$A:$A,"&gt;="&amp;$J343,'Weekly Log'!$A:$A,"&lt;"&amp;$J343+7))</f>
        <v/>
      </c>
      <c r="C343" t="str">
        <f>IF($J343="","",IFERROR(COUNTIFS('Weekly Log'!$G:$G,"Y",'Weekly Log'!$A:$A,"&gt;="&amp;$J343,'Weekly Log'!$A:$A,"&lt;"&amp;$J343+7)/COUNTIFS('Weekly Log'!$G:$G,"&lt;&gt;",'Weekly Log'!$A:$A,"&gt;="&amp;$J343,'Weekly Log'!$A:$A,"&lt;"&amp;$J343+7),0))</f>
        <v/>
      </c>
      <c r="D343" t="str">
        <f>IF($J343="","",IFERROR(COUNTIFS('Weekly Log'!$H:$H,"Y",'Weekly Log'!$A:$A,"&gt;="&amp;$J343,'Weekly Log'!$A:$A,"&lt;"&amp;$J343+7)/COUNTIFS('Weekly Log'!$H:$H,"&lt;&gt;",'Weekly Log'!$A:$A,"&gt;="&amp;$J343,'Weekly Log'!$A:$A,"&lt;"&amp;$J343+7),0))</f>
        <v/>
      </c>
      <c r="E343" t="str">
        <f>IF($J343="","",IFERROR(AVERAGEIFS('Weekly Log'!$F:$F,'Weekly Log'!$A:$A,"&gt;="&amp;$J343,'Weekly Log'!$A:$A,"&lt;"&amp;$J343+7),0))</f>
        <v/>
      </c>
      <c r="F343" t="str">
        <f>IF($J343="","",IFERROR(SUMIFS('Weekly Log'!$F:$F,'Weekly Log'!$A:$A,"&gt;="&amp;$J343,'Weekly Log'!$A:$A,"&lt;"&amp;$J343+7)/SUMIFS('Weekly Log'!$E:$E,'Weekly Log'!$A:$A,"&gt;="&amp;$J343,'Weekly Log'!$A:$A,"&lt;"&amp;$J343+7),0))</f>
        <v/>
      </c>
      <c r="G343" t="str">
        <f>IF($J343="","",IFERROR(LOOKUP(2,1/(('Weekly Log'!$A$5:$A$5000&gt;=$J343)*('Weekly Log'!$A$5:$A$5000&lt;$J343+7)*('Weekly Log'!$M$5:$M$5000&lt;&gt;"")),'Weekly Log'!$M$5:$M$5000),0))</f>
        <v/>
      </c>
      <c r="J343" t="str">
        <f>IF(COUNT('Weekly Log'!$A$5:$A$5000)=0,"",IF(MIN('Weekly Log'!$A$5:$A$5000)+7*(ROW()-10)&gt;MAX('Weekly Log'!$A$5:$A$5000),"",MIN('Weekly Log'!$A$5:$A$5000)+7*(ROW()-10)))</f>
        <v/>
      </c>
    </row>
    <row r="344" spans="1:10" x14ac:dyDescent="0.25">
      <c r="A344" t="str">
        <f t="shared" si="5"/>
        <v/>
      </c>
      <c r="B344" t="str">
        <f>IF($J344="","",SUMIFS('Weekly Log'!$C:$C,'Weekly Log'!$A:$A,"&gt;="&amp;$J344,'Weekly Log'!$A:$A,"&lt;"&amp;$J344+7))</f>
        <v/>
      </c>
      <c r="C344" t="str">
        <f>IF($J344="","",IFERROR(COUNTIFS('Weekly Log'!$G:$G,"Y",'Weekly Log'!$A:$A,"&gt;="&amp;$J344,'Weekly Log'!$A:$A,"&lt;"&amp;$J344+7)/COUNTIFS('Weekly Log'!$G:$G,"&lt;&gt;",'Weekly Log'!$A:$A,"&gt;="&amp;$J344,'Weekly Log'!$A:$A,"&lt;"&amp;$J344+7),0))</f>
        <v/>
      </c>
      <c r="D344" t="str">
        <f>IF($J344="","",IFERROR(COUNTIFS('Weekly Log'!$H:$H,"Y",'Weekly Log'!$A:$A,"&gt;="&amp;$J344,'Weekly Log'!$A:$A,"&lt;"&amp;$J344+7)/COUNTIFS('Weekly Log'!$H:$H,"&lt;&gt;",'Weekly Log'!$A:$A,"&gt;="&amp;$J344,'Weekly Log'!$A:$A,"&lt;"&amp;$J344+7),0))</f>
        <v/>
      </c>
      <c r="E344" t="str">
        <f>IF($J344="","",IFERROR(AVERAGEIFS('Weekly Log'!$F:$F,'Weekly Log'!$A:$A,"&gt;="&amp;$J344,'Weekly Log'!$A:$A,"&lt;"&amp;$J344+7),0))</f>
        <v/>
      </c>
      <c r="F344" t="str">
        <f>IF($J344="","",IFERROR(SUMIFS('Weekly Log'!$F:$F,'Weekly Log'!$A:$A,"&gt;="&amp;$J344,'Weekly Log'!$A:$A,"&lt;"&amp;$J344+7)/SUMIFS('Weekly Log'!$E:$E,'Weekly Log'!$A:$A,"&gt;="&amp;$J344,'Weekly Log'!$A:$A,"&lt;"&amp;$J344+7),0))</f>
        <v/>
      </c>
      <c r="G344" t="str">
        <f>IF($J344="","",IFERROR(LOOKUP(2,1/(('Weekly Log'!$A$5:$A$5000&gt;=$J344)*('Weekly Log'!$A$5:$A$5000&lt;$J344+7)*('Weekly Log'!$M$5:$M$5000&lt;&gt;"")),'Weekly Log'!$M$5:$M$5000),0))</f>
        <v/>
      </c>
      <c r="J344" t="str">
        <f>IF(COUNT('Weekly Log'!$A$5:$A$5000)=0,"",IF(MIN('Weekly Log'!$A$5:$A$5000)+7*(ROW()-10)&gt;MAX('Weekly Log'!$A$5:$A$5000),"",MIN('Weekly Log'!$A$5:$A$5000)+7*(ROW()-10)))</f>
        <v/>
      </c>
    </row>
    <row r="345" spans="1:10" x14ac:dyDescent="0.25">
      <c r="A345" t="str">
        <f t="shared" si="5"/>
        <v/>
      </c>
      <c r="B345" t="str">
        <f>IF($J345="","",SUMIFS('Weekly Log'!$C:$C,'Weekly Log'!$A:$A,"&gt;="&amp;$J345,'Weekly Log'!$A:$A,"&lt;"&amp;$J345+7))</f>
        <v/>
      </c>
      <c r="C345" t="str">
        <f>IF($J345="","",IFERROR(COUNTIFS('Weekly Log'!$G:$G,"Y",'Weekly Log'!$A:$A,"&gt;="&amp;$J345,'Weekly Log'!$A:$A,"&lt;"&amp;$J345+7)/COUNTIFS('Weekly Log'!$G:$G,"&lt;&gt;",'Weekly Log'!$A:$A,"&gt;="&amp;$J345,'Weekly Log'!$A:$A,"&lt;"&amp;$J345+7),0))</f>
        <v/>
      </c>
      <c r="D345" t="str">
        <f>IF($J345="","",IFERROR(COUNTIFS('Weekly Log'!$H:$H,"Y",'Weekly Log'!$A:$A,"&gt;="&amp;$J345,'Weekly Log'!$A:$A,"&lt;"&amp;$J345+7)/COUNTIFS('Weekly Log'!$H:$H,"&lt;&gt;",'Weekly Log'!$A:$A,"&gt;="&amp;$J345,'Weekly Log'!$A:$A,"&lt;"&amp;$J345+7),0))</f>
        <v/>
      </c>
      <c r="E345" t="str">
        <f>IF($J345="","",IFERROR(AVERAGEIFS('Weekly Log'!$F:$F,'Weekly Log'!$A:$A,"&gt;="&amp;$J345,'Weekly Log'!$A:$A,"&lt;"&amp;$J345+7),0))</f>
        <v/>
      </c>
      <c r="F345" t="str">
        <f>IF($J345="","",IFERROR(SUMIFS('Weekly Log'!$F:$F,'Weekly Log'!$A:$A,"&gt;="&amp;$J345,'Weekly Log'!$A:$A,"&lt;"&amp;$J345+7)/SUMIFS('Weekly Log'!$E:$E,'Weekly Log'!$A:$A,"&gt;="&amp;$J345,'Weekly Log'!$A:$A,"&lt;"&amp;$J345+7),0))</f>
        <v/>
      </c>
      <c r="G345" t="str">
        <f>IF($J345="","",IFERROR(LOOKUP(2,1/(('Weekly Log'!$A$5:$A$5000&gt;=$J345)*('Weekly Log'!$A$5:$A$5000&lt;$J345+7)*('Weekly Log'!$M$5:$M$5000&lt;&gt;"")),'Weekly Log'!$M$5:$M$5000),0))</f>
        <v/>
      </c>
      <c r="J345" t="str">
        <f>IF(COUNT('Weekly Log'!$A$5:$A$5000)=0,"",IF(MIN('Weekly Log'!$A$5:$A$5000)+7*(ROW()-10)&gt;MAX('Weekly Log'!$A$5:$A$5000),"",MIN('Weekly Log'!$A$5:$A$5000)+7*(ROW()-10)))</f>
        <v/>
      </c>
    </row>
    <row r="346" spans="1:10" x14ac:dyDescent="0.25">
      <c r="A346" t="str">
        <f t="shared" si="5"/>
        <v/>
      </c>
      <c r="B346" t="str">
        <f>IF($J346="","",SUMIFS('Weekly Log'!$C:$C,'Weekly Log'!$A:$A,"&gt;="&amp;$J346,'Weekly Log'!$A:$A,"&lt;"&amp;$J346+7))</f>
        <v/>
      </c>
      <c r="C346" t="str">
        <f>IF($J346="","",IFERROR(COUNTIFS('Weekly Log'!$G:$G,"Y",'Weekly Log'!$A:$A,"&gt;="&amp;$J346,'Weekly Log'!$A:$A,"&lt;"&amp;$J346+7)/COUNTIFS('Weekly Log'!$G:$G,"&lt;&gt;",'Weekly Log'!$A:$A,"&gt;="&amp;$J346,'Weekly Log'!$A:$A,"&lt;"&amp;$J346+7),0))</f>
        <v/>
      </c>
      <c r="D346" t="str">
        <f>IF($J346="","",IFERROR(COUNTIFS('Weekly Log'!$H:$H,"Y",'Weekly Log'!$A:$A,"&gt;="&amp;$J346,'Weekly Log'!$A:$A,"&lt;"&amp;$J346+7)/COUNTIFS('Weekly Log'!$H:$H,"&lt;&gt;",'Weekly Log'!$A:$A,"&gt;="&amp;$J346,'Weekly Log'!$A:$A,"&lt;"&amp;$J346+7),0))</f>
        <v/>
      </c>
      <c r="E346" t="str">
        <f>IF($J346="","",IFERROR(AVERAGEIFS('Weekly Log'!$F:$F,'Weekly Log'!$A:$A,"&gt;="&amp;$J346,'Weekly Log'!$A:$A,"&lt;"&amp;$J346+7),0))</f>
        <v/>
      </c>
      <c r="F346" t="str">
        <f>IF($J346="","",IFERROR(SUMIFS('Weekly Log'!$F:$F,'Weekly Log'!$A:$A,"&gt;="&amp;$J346,'Weekly Log'!$A:$A,"&lt;"&amp;$J346+7)/SUMIFS('Weekly Log'!$E:$E,'Weekly Log'!$A:$A,"&gt;="&amp;$J346,'Weekly Log'!$A:$A,"&lt;"&amp;$J346+7),0))</f>
        <v/>
      </c>
      <c r="G346" t="str">
        <f>IF($J346="","",IFERROR(LOOKUP(2,1/(('Weekly Log'!$A$5:$A$5000&gt;=$J346)*('Weekly Log'!$A$5:$A$5000&lt;$J346+7)*('Weekly Log'!$M$5:$M$5000&lt;&gt;"")),'Weekly Log'!$M$5:$M$5000),0))</f>
        <v/>
      </c>
      <c r="J346" t="str">
        <f>IF(COUNT('Weekly Log'!$A$5:$A$5000)=0,"",IF(MIN('Weekly Log'!$A$5:$A$5000)+7*(ROW()-10)&gt;MAX('Weekly Log'!$A$5:$A$5000),"",MIN('Weekly Log'!$A$5:$A$5000)+7*(ROW()-10)))</f>
        <v/>
      </c>
    </row>
    <row r="347" spans="1:10" x14ac:dyDescent="0.25">
      <c r="A347" t="str">
        <f t="shared" si="5"/>
        <v/>
      </c>
      <c r="B347" t="str">
        <f>IF($J347="","",SUMIFS('Weekly Log'!$C:$C,'Weekly Log'!$A:$A,"&gt;="&amp;$J347,'Weekly Log'!$A:$A,"&lt;"&amp;$J347+7))</f>
        <v/>
      </c>
      <c r="C347" t="str">
        <f>IF($J347="","",IFERROR(COUNTIFS('Weekly Log'!$G:$G,"Y",'Weekly Log'!$A:$A,"&gt;="&amp;$J347,'Weekly Log'!$A:$A,"&lt;"&amp;$J347+7)/COUNTIFS('Weekly Log'!$G:$G,"&lt;&gt;",'Weekly Log'!$A:$A,"&gt;="&amp;$J347,'Weekly Log'!$A:$A,"&lt;"&amp;$J347+7),0))</f>
        <v/>
      </c>
      <c r="D347" t="str">
        <f>IF($J347="","",IFERROR(COUNTIFS('Weekly Log'!$H:$H,"Y",'Weekly Log'!$A:$A,"&gt;="&amp;$J347,'Weekly Log'!$A:$A,"&lt;"&amp;$J347+7)/COUNTIFS('Weekly Log'!$H:$H,"&lt;&gt;",'Weekly Log'!$A:$A,"&gt;="&amp;$J347,'Weekly Log'!$A:$A,"&lt;"&amp;$J347+7),0))</f>
        <v/>
      </c>
      <c r="E347" t="str">
        <f>IF($J347="","",IFERROR(AVERAGEIFS('Weekly Log'!$F:$F,'Weekly Log'!$A:$A,"&gt;="&amp;$J347,'Weekly Log'!$A:$A,"&lt;"&amp;$J347+7),0))</f>
        <v/>
      </c>
      <c r="F347" t="str">
        <f>IF($J347="","",IFERROR(SUMIFS('Weekly Log'!$F:$F,'Weekly Log'!$A:$A,"&gt;="&amp;$J347,'Weekly Log'!$A:$A,"&lt;"&amp;$J347+7)/SUMIFS('Weekly Log'!$E:$E,'Weekly Log'!$A:$A,"&gt;="&amp;$J347,'Weekly Log'!$A:$A,"&lt;"&amp;$J347+7),0))</f>
        <v/>
      </c>
      <c r="G347" t="str">
        <f>IF($J347="","",IFERROR(LOOKUP(2,1/(('Weekly Log'!$A$5:$A$5000&gt;=$J347)*('Weekly Log'!$A$5:$A$5000&lt;$J347+7)*('Weekly Log'!$M$5:$M$5000&lt;&gt;"")),'Weekly Log'!$M$5:$M$5000),0))</f>
        <v/>
      </c>
      <c r="J347" t="str">
        <f>IF(COUNT('Weekly Log'!$A$5:$A$5000)=0,"",IF(MIN('Weekly Log'!$A$5:$A$5000)+7*(ROW()-10)&gt;MAX('Weekly Log'!$A$5:$A$5000),"",MIN('Weekly Log'!$A$5:$A$5000)+7*(ROW()-10)))</f>
        <v/>
      </c>
    </row>
    <row r="348" spans="1:10" x14ac:dyDescent="0.25">
      <c r="A348" t="str">
        <f t="shared" si="5"/>
        <v/>
      </c>
      <c r="B348" t="str">
        <f>IF($J348="","",SUMIFS('Weekly Log'!$C:$C,'Weekly Log'!$A:$A,"&gt;="&amp;$J348,'Weekly Log'!$A:$A,"&lt;"&amp;$J348+7))</f>
        <v/>
      </c>
      <c r="C348" t="str">
        <f>IF($J348="","",IFERROR(COUNTIFS('Weekly Log'!$G:$G,"Y",'Weekly Log'!$A:$A,"&gt;="&amp;$J348,'Weekly Log'!$A:$A,"&lt;"&amp;$J348+7)/COUNTIFS('Weekly Log'!$G:$G,"&lt;&gt;",'Weekly Log'!$A:$A,"&gt;="&amp;$J348,'Weekly Log'!$A:$A,"&lt;"&amp;$J348+7),0))</f>
        <v/>
      </c>
      <c r="D348" t="str">
        <f>IF($J348="","",IFERROR(COUNTIFS('Weekly Log'!$H:$H,"Y",'Weekly Log'!$A:$A,"&gt;="&amp;$J348,'Weekly Log'!$A:$A,"&lt;"&amp;$J348+7)/COUNTIFS('Weekly Log'!$H:$H,"&lt;&gt;",'Weekly Log'!$A:$A,"&gt;="&amp;$J348,'Weekly Log'!$A:$A,"&lt;"&amp;$J348+7),0))</f>
        <v/>
      </c>
      <c r="E348" t="str">
        <f>IF($J348="","",IFERROR(AVERAGEIFS('Weekly Log'!$F:$F,'Weekly Log'!$A:$A,"&gt;="&amp;$J348,'Weekly Log'!$A:$A,"&lt;"&amp;$J348+7),0))</f>
        <v/>
      </c>
      <c r="F348" t="str">
        <f>IF($J348="","",IFERROR(SUMIFS('Weekly Log'!$F:$F,'Weekly Log'!$A:$A,"&gt;="&amp;$J348,'Weekly Log'!$A:$A,"&lt;"&amp;$J348+7)/SUMIFS('Weekly Log'!$E:$E,'Weekly Log'!$A:$A,"&gt;="&amp;$J348,'Weekly Log'!$A:$A,"&lt;"&amp;$J348+7),0))</f>
        <v/>
      </c>
      <c r="G348" t="str">
        <f>IF($J348="","",IFERROR(LOOKUP(2,1/(('Weekly Log'!$A$5:$A$5000&gt;=$J348)*('Weekly Log'!$A$5:$A$5000&lt;$J348+7)*('Weekly Log'!$M$5:$M$5000&lt;&gt;"")),'Weekly Log'!$M$5:$M$5000),0))</f>
        <v/>
      </c>
      <c r="J348" t="str">
        <f>IF(COUNT('Weekly Log'!$A$5:$A$5000)=0,"",IF(MIN('Weekly Log'!$A$5:$A$5000)+7*(ROW()-10)&gt;MAX('Weekly Log'!$A$5:$A$5000),"",MIN('Weekly Log'!$A$5:$A$5000)+7*(ROW()-10)))</f>
        <v/>
      </c>
    </row>
    <row r="349" spans="1:10" x14ac:dyDescent="0.25">
      <c r="A349" t="str">
        <f t="shared" si="5"/>
        <v/>
      </c>
      <c r="B349" t="str">
        <f>IF($J349="","",SUMIFS('Weekly Log'!$C:$C,'Weekly Log'!$A:$A,"&gt;="&amp;$J349,'Weekly Log'!$A:$A,"&lt;"&amp;$J349+7))</f>
        <v/>
      </c>
      <c r="C349" t="str">
        <f>IF($J349="","",IFERROR(COUNTIFS('Weekly Log'!$G:$G,"Y",'Weekly Log'!$A:$A,"&gt;="&amp;$J349,'Weekly Log'!$A:$A,"&lt;"&amp;$J349+7)/COUNTIFS('Weekly Log'!$G:$G,"&lt;&gt;",'Weekly Log'!$A:$A,"&gt;="&amp;$J349,'Weekly Log'!$A:$A,"&lt;"&amp;$J349+7),0))</f>
        <v/>
      </c>
      <c r="D349" t="str">
        <f>IF($J349="","",IFERROR(COUNTIFS('Weekly Log'!$H:$H,"Y",'Weekly Log'!$A:$A,"&gt;="&amp;$J349,'Weekly Log'!$A:$A,"&lt;"&amp;$J349+7)/COUNTIFS('Weekly Log'!$H:$H,"&lt;&gt;",'Weekly Log'!$A:$A,"&gt;="&amp;$J349,'Weekly Log'!$A:$A,"&lt;"&amp;$J349+7),0))</f>
        <v/>
      </c>
      <c r="E349" t="str">
        <f>IF($J349="","",IFERROR(AVERAGEIFS('Weekly Log'!$F:$F,'Weekly Log'!$A:$A,"&gt;="&amp;$J349,'Weekly Log'!$A:$A,"&lt;"&amp;$J349+7),0))</f>
        <v/>
      </c>
      <c r="F349" t="str">
        <f>IF($J349="","",IFERROR(SUMIFS('Weekly Log'!$F:$F,'Weekly Log'!$A:$A,"&gt;="&amp;$J349,'Weekly Log'!$A:$A,"&lt;"&amp;$J349+7)/SUMIFS('Weekly Log'!$E:$E,'Weekly Log'!$A:$A,"&gt;="&amp;$J349,'Weekly Log'!$A:$A,"&lt;"&amp;$J349+7),0))</f>
        <v/>
      </c>
      <c r="G349" t="str">
        <f>IF($J349="","",IFERROR(LOOKUP(2,1/(('Weekly Log'!$A$5:$A$5000&gt;=$J349)*('Weekly Log'!$A$5:$A$5000&lt;$J349+7)*('Weekly Log'!$M$5:$M$5000&lt;&gt;"")),'Weekly Log'!$M$5:$M$5000),0))</f>
        <v/>
      </c>
      <c r="J349" t="str">
        <f>IF(COUNT('Weekly Log'!$A$5:$A$5000)=0,"",IF(MIN('Weekly Log'!$A$5:$A$5000)+7*(ROW()-10)&gt;MAX('Weekly Log'!$A$5:$A$5000),"",MIN('Weekly Log'!$A$5:$A$5000)+7*(ROW()-10)))</f>
        <v/>
      </c>
    </row>
    <row r="350" spans="1:10" x14ac:dyDescent="0.25">
      <c r="A350" t="str">
        <f t="shared" si="5"/>
        <v/>
      </c>
      <c r="B350" t="str">
        <f>IF($J350="","",SUMIFS('Weekly Log'!$C:$C,'Weekly Log'!$A:$A,"&gt;="&amp;$J350,'Weekly Log'!$A:$A,"&lt;"&amp;$J350+7))</f>
        <v/>
      </c>
      <c r="C350" t="str">
        <f>IF($J350="","",IFERROR(COUNTIFS('Weekly Log'!$G:$G,"Y",'Weekly Log'!$A:$A,"&gt;="&amp;$J350,'Weekly Log'!$A:$A,"&lt;"&amp;$J350+7)/COUNTIFS('Weekly Log'!$G:$G,"&lt;&gt;",'Weekly Log'!$A:$A,"&gt;="&amp;$J350,'Weekly Log'!$A:$A,"&lt;"&amp;$J350+7),0))</f>
        <v/>
      </c>
      <c r="D350" t="str">
        <f>IF($J350="","",IFERROR(COUNTIFS('Weekly Log'!$H:$H,"Y",'Weekly Log'!$A:$A,"&gt;="&amp;$J350,'Weekly Log'!$A:$A,"&lt;"&amp;$J350+7)/COUNTIFS('Weekly Log'!$H:$H,"&lt;&gt;",'Weekly Log'!$A:$A,"&gt;="&amp;$J350,'Weekly Log'!$A:$A,"&lt;"&amp;$J350+7),0))</f>
        <v/>
      </c>
      <c r="E350" t="str">
        <f>IF($J350="","",IFERROR(AVERAGEIFS('Weekly Log'!$F:$F,'Weekly Log'!$A:$A,"&gt;="&amp;$J350,'Weekly Log'!$A:$A,"&lt;"&amp;$J350+7),0))</f>
        <v/>
      </c>
      <c r="F350" t="str">
        <f>IF($J350="","",IFERROR(SUMIFS('Weekly Log'!$F:$F,'Weekly Log'!$A:$A,"&gt;="&amp;$J350,'Weekly Log'!$A:$A,"&lt;"&amp;$J350+7)/SUMIFS('Weekly Log'!$E:$E,'Weekly Log'!$A:$A,"&gt;="&amp;$J350,'Weekly Log'!$A:$A,"&lt;"&amp;$J350+7),0))</f>
        <v/>
      </c>
      <c r="G350" t="str">
        <f>IF($J350="","",IFERROR(LOOKUP(2,1/(('Weekly Log'!$A$5:$A$5000&gt;=$J350)*('Weekly Log'!$A$5:$A$5000&lt;$J350+7)*('Weekly Log'!$M$5:$M$5000&lt;&gt;"")),'Weekly Log'!$M$5:$M$5000),0))</f>
        <v/>
      </c>
      <c r="J350" t="str">
        <f>IF(COUNT('Weekly Log'!$A$5:$A$5000)=0,"",IF(MIN('Weekly Log'!$A$5:$A$5000)+7*(ROW()-10)&gt;MAX('Weekly Log'!$A$5:$A$5000),"",MIN('Weekly Log'!$A$5:$A$5000)+7*(ROW()-10)))</f>
        <v/>
      </c>
    </row>
    <row r="351" spans="1:10" x14ac:dyDescent="0.25">
      <c r="A351" t="str">
        <f t="shared" si="5"/>
        <v/>
      </c>
      <c r="B351" t="str">
        <f>IF($J351="","",SUMIFS('Weekly Log'!$C:$C,'Weekly Log'!$A:$A,"&gt;="&amp;$J351,'Weekly Log'!$A:$A,"&lt;"&amp;$J351+7))</f>
        <v/>
      </c>
      <c r="C351" t="str">
        <f>IF($J351="","",IFERROR(COUNTIFS('Weekly Log'!$G:$G,"Y",'Weekly Log'!$A:$A,"&gt;="&amp;$J351,'Weekly Log'!$A:$A,"&lt;"&amp;$J351+7)/COUNTIFS('Weekly Log'!$G:$G,"&lt;&gt;",'Weekly Log'!$A:$A,"&gt;="&amp;$J351,'Weekly Log'!$A:$A,"&lt;"&amp;$J351+7),0))</f>
        <v/>
      </c>
      <c r="D351" t="str">
        <f>IF($J351="","",IFERROR(COUNTIFS('Weekly Log'!$H:$H,"Y",'Weekly Log'!$A:$A,"&gt;="&amp;$J351,'Weekly Log'!$A:$A,"&lt;"&amp;$J351+7)/COUNTIFS('Weekly Log'!$H:$H,"&lt;&gt;",'Weekly Log'!$A:$A,"&gt;="&amp;$J351,'Weekly Log'!$A:$A,"&lt;"&amp;$J351+7),0))</f>
        <v/>
      </c>
      <c r="E351" t="str">
        <f>IF($J351="","",IFERROR(AVERAGEIFS('Weekly Log'!$F:$F,'Weekly Log'!$A:$A,"&gt;="&amp;$J351,'Weekly Log'!$A:$A,"&lt;"&amp;$J351+7),0))</f>
        <v/>
      </c>
      <c r="F351" t="str">
        <f>IF($J351="","",IFERROR(SUMIFS('Weekly Log'!$F:$F,'Weekly Log'!$A:$A,"&gt;="&amp;$J351,'Weekly Log'!$A:$A,"&lt;"&amp;$J351+7)/SUMIFS('Weekly Log'!$E:$E,'Weekly Log'!$A:$A,"&gt;="&amp;$J351,'Weekly Log'!$A:$A,"&lt;"&amp;$J351+7),0))</f>
        <v/>
      </c>
      <c r="G351" t="str">
        <f>IF($J351="","",IFERROR(LOOKUP(2,1/(('Weekly Log'!$A$5:$A$5000&gt;=$J351)*('Weekly Log'!$A$5:$A$5000&lt;$J351+7)*('Weekly Log'!$M$5:$M$5000&lt;&gt;"")),'Weekly Log'!$M$5:$M$5000),0))</f>
        <v/>
      </c>
      <c r="J351" t="str">
        <f>IF(COUNT('Weekly Log'!$A$5:$A$5000)=0,"",IF(MIN('Weekly Log'!$A$5:$A$5000)+7*(ROW()-10)&gt;MAX('Weekly Log'!$A$5:$A$5000),"",MIN('Weekly Log'!$A$5:$A$5000)+7*(ROW()-10)))</f>
        <v/>
      </c>
    </row>
    <row r="352" spans="1:10" x14ac:dyDescent="0.25">
      <c r="A352" t="str">
        <f t="shared" si="5"/>
        <v/>
      </c>
      <c r="B352" t="str">
        <f>IF($J352="","",SUMIFS('Weekly Log'!$C:$C,'Weekly Log'!$A:$A,"&gt;="&amp;$J352,'Weekly Log'!$A:$A,"&lt;"&amp;$J352+7))</f>
        <v/>
      </c>
      <c r="C352" t="str">
        <f>IF($J352="","",IFERROR(COUNTIFS('Weekly Log'!$G:$G,"Y",'Weekly Log'!$A:$A,"&gt;="&amp;$J352,'Weekly Log'!$A:$A,"&lt;"&amp;$J352+7)/COUNTIFS('Weekly Log'!$G:$G,"&lt;&gt;",'Weekly Log'!$A:$A,"&gt;="&amp;$J352,'Weekly Log'!$A:$A,"&lt;"&amp;$J352+7),0))</f>
        <v/>
      </c>
      <c r="D352" t="str">
        <f>IF($J352="","",IFERROR(COUNTIFS('Weekly Log'!$H:$H,"Y",'Weekly Log'!$A:$A,"&gt;="&amp;$J352,'Weekly Log'!$A:$A,"&lt;"&amp;$J352+7)/COUNTIFS('Weekly Log'!$H:$H,"&lt;&gt;",'Weekly Log'!$A:$A,"&gt;="&amp;$J352,'Weekly Log'!$A:$A,"&lt;"&amp;$J352+7),0))</f>
        <v/>
      </c>
      <c r="E352" t="str">
        <f>IF($J352="","",IFERROR(AVERAGEIFS('Weekly Log'!$F:$F,'Weekly Log'!$A:$A,"&gt;="&amp;$J352,'Weekly Log'!$A:$A,"&lt;"&amp;$J352+7),0))</f>
        <v/>
      </c>
      <c r="F352" t="str">
        <f>IF($J352="","",IFERROR(SUMIFS('Weekly Log'!$F:$F,'Weekly Log'!$A:$A,"&gt;="&amp;$J352,'Weekly Log'!$A:$A,"&lt;"&amp;$J352+7)/SUMIFS('Weekly Log'!$E:$E,'Weekly Log'!$A:$A,"&gt;="&amp;$J352,'Weekly Log'!$A:$A,"&lt;"&amp;$J352+7),0))</f>
        <v/>
      </c>
      <c r="G352" t="str">
        <f>IF($J352="","",IFERROR(LOOKUP(2,1/(('Weekly Log'!$A$5:$A$5000&gt;=$J352)*('Weekly Log'!$A$5:$A$5000&lt;$J352+7)*('Weekly Log'!$M$5:$M$5000&lt;&gt;"")),'Weekly Log'!$M$5:$M$5000),0))</f>
        <v/>
      </c>
      <c r="J352" t="str">
        <f>IF(COUNT('Weekly Log'!$A$5:$A$5000)=0,"",IF(MIN('Weekly Log'!$A$5:$A$5000)+7*(ROW()-10)&gt;MAX('Weekly Log'!$A$5:$A$5000),"",MIN('Weekly Log'!$A$5:$A$5000)+7*(ROW()-10)))</f>
        <v/>
      </c>
    </row>
    <row r="353" spans="1:10" x14ac:dyDescent="0.25">
      <c r="A353" t="str">
        <f t="shared" si="5"/>
        <v/>
      </c>
      <c r="B353" t="str">
        <f>IF($J353="","",SUMIFS('Weekly Log'!$C:$C,'Weekly Log'!$A:$A,"&gt;="&amp;$J353,'Weekly Log'!$A:$A,"&lt;"&amp;$J353+7))</f>
        <v/>
      </c>
      <c r="C353" t="str">
        <f>IF($J353="","",IFERROR(COUNTIFS('Weekly Log'!$G:$G,"Y",'Weekly Log'!$A:$A,"&gt;="&amp;$J353,'Weekly Log'!$A:$A,"&lt;"&amp;$J353+7)/COUNTIFS('Weekly Log'!$G:$G,"&lt;&gt;",'Weekly Log'!$A:$A,"&gt;="&amp;$J353,'Weekly Log'!$A:$A,"&lt;"&amp;$J353+7),0))</f>
        <v/>
      </c>
      <c r="D353" t="str">
        <f>IF($J353="","",IFERROR(COUNTIFS('Weekly Log'!$H:$H,"Y",'Weekly Log'!$A:$A,"&gt;="&amp;$J353,'Weekly Log'!$A:$A,"&lt;"&amp;$J353+7)/COUNTIFS('Weekly Log'!$H:$H,"&lt;&gt;",'Weekly Log'!$A:$A,"&gt;="&amp;$J353,'Weekly Log'!$A:$A,"&lt;"&amp;$J353+7),0))</f>
        <v/>
      </c>
      <c r="E353" t="str">
        <f>IF($J353="","",IFERROR(AVERAGEIFS('Weekly Log'!$F:$F,'Weekly Log'!$A:$A,"&gt;="&amp;$J353,'Weekly Log'!$A:$A,"&lt;"&amp;$J353+7),0))</f>
        <v/>
      </c>
      <c r="F353" t="str">
        <f>IF($J353="","",IFERROR(SUMIFS('Weekly Log'!$F:$F,'Weekly Log'!$A:$A,"&gt;="&amp;$J353,'Weekly Log'!$A:$A,"&lt;"&amp;$J353+7)/SUMIFS('Weekly Log'!$E:$E,'Weekly Log'!$A:$A,"&gt;="&amp;$J353,'Weekly Log'!$A:$A,"&lt;"&amp;$J353+7),0))</f>
        <v/>
      </c>
      <c r="G353" t="str">
        <f>IF($J353="","",IFERROR(LOOKUP(2,1/(('Weekly Log'!$A$5:$A$5000&gt;=$J353)*('Weekly Log'!$A$5:$A$5000&lt;$J353+7)*('Weekly Log'!$M$5:$M$5000&lt;&gt;"")),'Weekly Log'!$M$5:$M$5000),0))</f>
        <v/>
      </c>
      <c r="J353" t="str">
        <f>IF(COUNT('Weekly Log'!$A$5:$A$5000)=0,"",IF(MIN('Weekly Log'!$A$5:$A$5000)+7*(ROW()-10)&gt;MAX('Weekly Log'!$A$5:$A$5000),"",MIN('Weekly Log'!$A$5:$A$5000)+7*(ROW()-10)))</f>
        <v/>
      </c>
    </row>
    <row r="354" spans="1:10" x14ac:dyDescent="0.25">
      <c r="A354" t="str">
        <f t="shared" si="5"/>
        <v/>
      </c>
      <c r="B354" t="str">
        <f>IF($J354="","",SUMIFS('Weekly Log'!$C:$C,'Weekly Log'!$A:$A,"&gt;="&amp;$J354,'Weekly Log'!$A:$A,"&lt;"&amp;$J354+7))</f>
        <v/>
      </c>
      <c r="C354" t="str">
        <f>IF($J354="","",IFERROR(COUNTIFS('Weekly Log'!$G:$G,"Y",'Weekly Log'!$A:$A,"&gt;="&amp;$J354,'Weekly Log'!$A:$A,"&lt;"&amp;$J354+7)/COUNTIFS('Weekly Log'!$G:$G,"&lt;&gt;",'Weekly Log'!$A:$A,"&gt;="&amp;$J354,'Weekly Log'!$A:$A,"&lt;"&amp;$J354+7),0))</f>
        <v/>
      </c>
      <c r="D354" t="str">
        <f>IF($J354="","",IFERROR(COUNTIFS('Weekly Log'!$H:$H,"Y",'Weekly Log'!$A:$A,"&gt;="&amp;$J354,'Weekly Log'!$A:$A,"&lt;"&amp;$J354+7)/COUNTIFS('Weekly Log'!$H:$H,"&lt;&gt;",'Weekly Log'!$A:$A,"&gt;="&amp;$J354,'Weekly Log'!$A:$A,"&lt;"&amp;$J354+7),0))</f>
        <v/>
      </c>
      <c r="E354" t="str">
        <f>IF($J354="","",IFERROR(AVERAGEIFS('Weekly Log'!$F:$F,'Weekly Log'!$A:$A,"&gt;="&amp;$J354,'Weekly Log'!$A:$A,"&lt;"&amp;$J354+7),0))</f>
        <v/>
      </c>
      <c r="F354" t="str">
        <f>IF($J354="","",IFERROR(SUMIFS('Weekly Log'!$F:$F,'Weekly Log'!$A:$A,"&gt;="&amp;$J354,'Weekly Log'!$A:$A,"&lt;"&amp;$J354+7)/SUMIFS('Weekly Log'!$E:$E,'Weekly Log'!$A:$A,"&gt;="&amp;$J354,'Weekly Log'!$A:$A,"&lt;"&amp;$J354+7),0))</f>
        <v/>
      </c>
      <c r="G354" t="str">
        <f>IF($J354="","",IFERROR(LOOKUP(2,1/(('Weekly Log'!$A$5:$A$5000&gt;=$J354)*('Weekly Log'!$A$5:$A$5000&lt;$J354+7)*('Weekly Log'!$M$5:$M$5000&lt;&gt;"")),'Weekly Log'!$M$5:$M$5000),0))</f>
        <v/>
      </c>
      <c r="J354" t="str">
        <f>IF(COUNT('Weekly Log'!$A$5:$A$5000)=0,"",IF(MIN('Weekly Log'!$A$5:$A$5000)+7*(ROW()-10)&gt;MAX('Weekly Log'!$A$5:$A$5000),"",MIN('Weekly Log'!$A$5:$A$5000)+7*(ROW()-10)))</f>
        <v/>
      </c>
    </row>
    <row r="355" spans="1:10" x14ac:dyDescent="0.25">
      <c r="A355" t="str">
        <f t="shared" si="5"/>
        <v/>
      </c>
      <c r="B355" t="str">
        <f>IF($J355="","",SUMIFS('Weekly Log'!$C:$C,'Weekly Log'!$A:$A,"&gt;="&amp;$J355,'Weekly Log'!$A:$A,"&lt;"&amp;$J355+7))</f>
        <v/>
      </c>
      <c r="C355" t="str">
        <f>IF($J355="","",IFERROR(COUNTIFS('Weekly Log'!$G:$G,"Y",'Weekly Log'!$A:$A,"&gt;="&amp;$J355,'Weekly Log'!$A:$A,"&lt;"&amp;$J355+7)/COUNTIFS('Weekly Log'!$G:$G,"&lt;&gt;",'Weekly Log'!$A:$A,"&gt;="&amp;$J355,'Weekly Log'!$A:$A,"&lt;"&amp;$J355+7),0))</f>
        <v/>
      </c>
      <c r="D355" t="str">
        <f>IF($J355="","",IFERROR(COUNTIFS('Weekly Log'!$H:$H,"Y",'Weekly Log'!$A:$A,"&gt;="&amp;$J355,'Weekly Log'!$A:$A,"&lt;"&amp;$J355+7)/COUNTIFS('Weekly Log'!$H:$H,"&lt;&gt;",'Weekly Log'!$A:$A,"&gt;="&amp;$J355,'Weekly Log'!$A:$A,"&lt;"&amp;$J355+7),0))</f>
        <v/>
      </c>
      <c r="E355" t="str">
        <f>IF($J355="","",IFERROR(AVERAGEIFS('Weekly Log'!$F:$F,'Weekly Log'!$A:$A,"&gt;="&amp;$J355,'Weekly Log'!$A:$A,"&lt;"&amp;$J355+7),0))</f>
        <v/>
      </c>
      <c r="F355" t="str">
        <f>IF($J355="","",IFERROR(SUMIFS('Weekly Log'!$F:$F,'Weekly Log'!$A:$A,"&gt;="&amp;$J355,'Weekly Log'!$A:$A,"&lt;"&amp;$J355+7)/SUMIFS('Weekly Log'!$E:$E,'Weekly Log'!$A:$A,"&gt;="&amp;$J355,'Weekly Log'!$A:$A,"&lt;"&amp;$J355+7),0))</f>
        <v/>
      </c>
      <c r="G355" t="str">
        <f>IF($J355="","",IFERROR(LOOKUP(2,1/(('Weekly Log'!$A$5:$A$5000&gt;=$J355)*('Weekly Log'!$A$5:$A$5000&lt;$J355+7)*('Weekly Log'!$M$5:$M$5000&lt;&gt;"")),'Weekly Log'!$M$5:$M$5000),0))</f>
        <v/>
      </c>
      <c r="J355" t="str">
        <f>IF(COUNT('Weekly Log'!$A$5:$A$5000)=0,"",IF(MIN('Weekly Log'!$A$5:$A$5000)+7*(ROW()-10)&gt;MAX('Weekly Log'!$A$5:$A$5000),"",MIN('Weekly Log'!$A$5:$A$5000)+7*(ROW()-10)))</f>
        <v/>
      </c>
    </row>
    <row r="356" spans="1:10" x14ac:dyDescent="0.25">
      <c r="A356" t="str">
        <f t="shared" si="5"/>
        <v/>
      </c>
      <c r="B356" t="str">
        <f>IF($J356="","",SUMIFS('Weekly Log'!$C:$C,'Weekly Log'!$A:$A,"&gt;="&amp;$J356,'Weekly Log'!$A:$A,"&lt;"&amp;$J356+7))</f>
        <v/>
      </c>
      <c r="C356" t="str">
        <f>IF($J356="","",IFERROR(COUNTIFS('Weekly Log'!$G:$G,"Y",'Weekly Log'!$A:$A,"&gt;="&amp;$J356,'Weekly Log'!$A:$A,"&lt;"&amp;$J356+7)/COUNTIFS('Weekly Log'!$G:$G,"&lt;&gt;",'Weekly Log'!$A:$A,"&gt;="&amp;$J356,'Weekly Log'!$A:$A,"&lt;"&amp;$J356+7),0))</f>
        <v/>
      </c>
      <c r="D356" t="str">
        <f>IF($J356="","",IFERROR(COUNTIFS('Weekly Log'!$H:$H,"Y",'Weekly Log'!$A:$A,"&gt;="&amp;$J356,'Weekly Log'!$A:$A,"&lt;"&amp;$J356+7)/COUNTIFS('Weekly Log'!$H:$H,"&lt;&gt;",'Weekly Log'!$A:$A,"&gt;="&amp;$J356,'Weekly Log'!$A:$A,"&lt;"&amp;$J356+7),0))</f>
        <v/>
      </c>
      <c r="E356" t="str">
        <f>IF($J356="","",IFERROR(AVERAGEIFS('Weekly Log'!$F:$F,'Weekly Log'!$A:$A,"&gt;="&amp;$J356,'Weekly Log'!$A:$A,"&lt;"&amp;$J356+7),0))</f>
        <v/>
      </c>
      <c r="F356" t="str">
        <f>IF($J356="","",IFERROR(SUMIFS('Weekly Log'!$F:$F,'Weekly Log'!$A:$A,"&gt;="&amp;$J356,'Weekly Log'!$A:$A,"&lt;"&amp;$J356+7)/SUMIFS('Weekly Log'!$E:$E,'Weekly Log'!$A:$A,"&gt;="&amp;$J356,'Weekly Log'!$A:$A,"&lt;"&amp;$J356+7),0))</f>
        <v/>
      </c>
      <c r="G356" t="str">
        <f>IF($J356="","",IFERROR(LOOKUP(2,1/(('Weekly Log'!$A$5:$A$5000&gt;=$J356)*('Weekly Log'!$A$5:$A$5000&lt;$J356+7)*('Weekly Log'!$M$5:$M$5000&lt;&gt;"")),'Weekly Log'!$M$5:$M$5000),0))</f>
        <v/>
      </c>
      <c r="J356" t="str">
        <f>IF(COUNT('Weekly Log'!$A$5:$A$5000)=0,"",IF(MIN('Weekly Log'!$A$5:$A$5000)+7*(ROW()-10)&gt;MAX('Weekly Log'!$A$5:$A$5000),"",MIN('Weekly Log'!$A$5:$A$5000)+7*(ROW()-10)))</f>
        <v/>
      </c>
    </row>
    <row r="357" spans="1:10" x14ac:dyDescent="0.25">
      <c r="A357" t="str">
        <f t="shared" si="5"/>
        <v/>
      </c>
      <c r="B357" t="str">
        <f>IF($J357="","",SUMIFS('Weekly Log'!$C:$C,'Weekly Log'!$A:$A,"&gt;="&amp;$J357,'Weekly Log'!$A:$A,"&lt;"&amp;$J357+7))</f>
        <v/>
      </c>
      <c r="C357" t="str">
        <f>IF($J357="","",IFERROR(COUNTIFS('Weekly Log'!$G:$G,"Y",'Weekly Log'!$A:$A,"&gt;="&amp;$J357,'Weekly Log'!$A:$A,"&lt;"&amp;$J357+7)/COUNTIFS('Weekly Log'!$G:$G,"&lt;&gt;",'Weekly Log'!$A:$A,"&gt;="&amp;$J357,'Weekly Log'!$A:$A,"&lt;"&amp;$J357+7),0))</f>
        <v/>
      </c>
      <c r="D357" t="str">
        <f>IF($J357="","",IFERROR(COUNTIFS('Weekly Log'!$H:$H,"Y",'Weekly Log'!$A:$A,"&gt;="&amp;$J357,'Weekly Log'!$A:$A,"&lt;"&amp;$J357+7)/COUNTIFS('Weekly Log'!$H:$H,"&lt;&gt;",'Weekly Log'!$A:$A,"&gt;="&amp;$J357,'Weekly Log'!$A:$A,"&lt;"&amp;$J357+7),0))</f>
        <v/>
      </c>
      <c r="E357" t="str">
        <f>IF($J357="","",IFERROR(AVERAGEIFS('Weekly Log'!$F:$F,'Weekly Log'!$A:$A,"&gt;="&amp;$J357,'Weekly Log'!$A:$A,"&lt;"&amp;$J357+7),0))</f>
        <v/>
      </c>
      <c r="F357" t="str">
        <f>IF($J357="","",IFERROR(SUMIFS('Weekly Log'!$F:$F,'Weekly Log'!$A:$A,"&gt;="&amp;$J357,'Weekly Log'!$A:$A,"&lt;"&amp;$J357+7)/SUMIFS('Weekly Log'!$E:$E,'Weekly Log'!$A:$A,"&gt;="&amp;$J357,'Weekly Log'!$A:$A,"&lt;"&amp;$J357+7),0))</f>
        <v/>
      </c>
      <c r="G357" t="str">
        <f>IF($J357="","",IFERROR(LOOKUP(2,1/(('Weekly Log'!$A$5:$A$5000&gt;=$J357)*('Weekly Log'!$A$5:$A$5000&lt;$J357+7)*('Weekly Log'!$M$5:$M$5000&lt;&gt;"")),'Weekly Log'!$M$5:$M$5000),0))</f>
        <v/>
      </c>
      <c r="J357" t="str">
        <f>IF(COUNT('Weekly Log'!$A$5:$A$5000)=0,"",IF(MIN('Weekly Log'!$A$5:$A$5000)+7*(ROW()-10)&gt;MAX('Weekly Log'!$A$5:$A$5000),"",MIN('Weekly Log'!$A$5:$A$5000)+7*(ROW()-10)))</f>
        <v/>
      </c>
    </row>
    <row r="358" spans="1:10" x14ac:dyDescent="0.25">
      <c r="A358" t="str">
        <f t="shared" si="5"/>
        <v/>
      </c>
      <c r="B358" t="str">
        <f>IF($J358="","",SUMIFS('Weekly Log'!$C:$C,'Weekly Log'!$A:$A,"&gt;="&amp;$J358,'Weekly Log'!$A:$A,"&lt;"&amp;$J358+7))</f>
        <v/>
      </c>
      <c r="C358" t="str">
        <f>IF($J358="","",IFERROR(COUNTIFS('Weekly Log'!$G:$G,"Y",'Weekly Log'!$A:$A,"&gt;="&amp;$J358,'Weekly Log'!$A:$A,"&lt;"&amp;$J358+7)/COUNTIFS('Weekly Log'!$G:$G,"&lt;&gt;",'Weekly Log'!$A:$A,"&gt;="&amp;$J358,'Weekly Log'!$A:$A,"&lt;"&amp;$J358+7),0))</f>
        <v/>
      </c>
      <c r="D358" t="str">
        <f>IF($J358="","",IFERROR(COUNTIFS('Weekly Log'!$H:$H,"Y",'Weekly Log'!$A:$A,"&gt;="&amp;$J358,'Weekly Log'!$A:$A,"&lt;"&amp;$J358+7)/COUNTIFS('Weekly Log'!$H:$H,"&lt;&gt;",'Weekly Log'!$A:$A,"&gt;="&amp;$J358,'Weekly Log'!$A:$A,"&lt;"&amp;$J358+7),0))</f>
        <v/>
      </c>
      <c r="E358" t="str">
        <f>IF($J358="","",IFERROR(AVERAGEIFS('Weekly Log'!$F:$F,'Weekly Log'!$A:$A,"&gt;="&amp;$J358,'Weekly Log'!$A:$A,"&lt;"&amp;$J358+7),0))</f>
        <v/>
      </c>
      <c r="F358" t="str">
        <f>IF($J358="","",IFERROR(SUMIFS('Weekly Log'!$F:$F,'Weekly Log'!$A:$A,"&gt;="&amp;$J358,'Weekly Log'!$A:$A,"&lt;"&amp;$J358+7)/SUMIFS('Weekly Log'!$E:$E,'Weekly Log'!$A:$A,"&gt;="&amp;$J358,'Weekly Log'!$A:$A,"&lt;"&amp;$J358+7),0))</f>
        <v/>
      </c>
      <c r="G358" t="str">
        <f>IF($J358="","",IFERROR(LOOKUP(2,1/(('Weekly Log'!$A$5:$A$5000&gt;=$J358)*('Weekly Log'!$A$5:$A$5000&lt;$J358+7)*('Weekly Log'!$M$5:$M$5000&lt;&gt;"")),'Weekly Log'!$M$5:$M$5000),0))</f>
        <v/>
      </c>
      <c r="J358" t="str">
        <f>IF(COUNT('Weekly Log'!$A$5:$A$5000)=0,"",IF(MIN('Weekly Log'!$A$5:$A$5000)+7*(ROW()-10)&gt;MAX('Weekly Log'!$A$5:$A$5000),"",MIN('Weekly Log'!$A$5:$A$5000)+7*(ROW()-10)))</f>
        <v/>
      </c>
    </row>
    <row r="359" spans="1:10" x14ac:dyDescent="0.25">
      <c r="A359" t="str">
        <f t="shared" si="5"/>
        <v/>
      </c>
      <c r="B359" t="str">
        <f>IF($J359="","",SUMIFS('Weekly Log'!$C:$C,'Weekly Log'!$A:$A,"&gt;="&amp;$J359,'Weekly Log'!$A:$A,"&lt;"&amp;$J359+7))</f>
        <v/>
      </c>
      <c r="C359" t="str">
        <f>IF($J359="","",IFERROR(COUNTIFS('Weekly Log'!$G:$G,"Y",'Weekly Log'!$A:$A,"&gt;="&amp;$J359,'Weekly Log'!$A:$A,"&lt;"&amp;$J359+7)/COUNTIFS('Weekly Log'!$G:$G,"&lt;&gt;",'Weekly Log'!$A:$A,"&gt;="&amp;$J359,'Weekly Log'!$A:$A,"&lt;"&amp;$J359+7),0))</f>
        <v/>
      </c>
      <c r="D359" t="str">
        <f>IF($J359="","",IFERROR(COUNTIFS('Weekly Log'!$H:$H,"Y",'Weekly Log'!$A:$A,"&gt;="&amp;$J359,'Weekly Log'!$A:$A,"&lt;"&amp;$J359+7)/COUNTIFS('Weekly Log'!$H:$H,"&lt;&gt;",'Weekly Log'!$A:$A,"&gt;="&amp;$J359,'Weekly Log'!$A:$A,"&lt;"&amp;$J359+7),0))</f>
        <v/>
      </c>
      <c r="E359" t="str">
        <f>IF($J359="","",IFERROR(AVERAGEIFS('Weekly Log'!$F:$F,'Weekly Log'!$A:$A,"&gt;="&amp;$J359,'Weekly Log'!$A:$A,"&lt;"&amp;$J359+7),0))</f>
        <v/>
      </c>
      <c r="F359" t="str">
        <f>IF($J359="","",IFERROR(SUMIFS('Weekly Log'!$F:$F,'Weekly Log'!$A:$A,"&gt;="&amp;$J359,'Weekly Log'!$A:$A,"&lt;"&amp;$J359+7)/SUMIFS('Weekly Log'!$E:$E,'Weekly Log'!$A:$A,"&gt;="&amp;$J359,'Weekly Log'!$A:$A,"&lt;"&amp;$J359+7),0))</f>
        <v/>
      </c>
      <c r="G359" t="str">
        <f>IF($J359="","",IFERROR(LOOKUP(2,1/(('Weekly Log'!$A$5:$A$5000&gt;=$J359)*('Weekly Log'!$A$5:$A$5000&lt;$J359+7)*('Weekly Log'!$M$5:$M$5000&lt;&gt;"")),'Weekly Log'!$M$5:$M$5000),0))</f>
        <v/>
      </c>
      <c r="J359" t="str">
        <f>IF(COUNT('Weekly Log'!$A$5:$A$5000)=0,"",IF(MIN('Weekly Log'!$A$5:$A$5000)+7*(ROW()-10)&gt;MAX('Weekly Log'!$A$5:$A$5000),"",MIN('Weekly Log'!$A$5:$A$5000)+7*(ROW()-10)))</f>
        <v/>
      </c>
    </row>
    <row r="360" spans="1:10" x14ac:dyDescent="0.25">
      <c r="A360" t="str">
        <f t="shared" si="5"/>
        <v/>
      </c>
      <c r="B360" t="str">
        <f>IF($J360="","",SUMIFS('Weekly Log'!$C:$C,'Weekly Log'!$A:$A,"&gt;="&amp;$J360,'Weekly Log'!$A:$A,"&lt;"&amp;$J360+7))</f>
        <v/>
      </c>
      <c r="C360" t="str">
        <f>IF($J360="","",IFERROR(COUNTIFS('Weekly Log'!$G:$G,"Y",'Weekly Log'!$A:$A,"&gt;="&amp;$J360,'Weekly Log'!$A:$A,"&lt;"&amp;$J360+7)/COUNTIFS('Weekly Log'!$G:$G,"&lt;&gt;",'Weekly Log'!$A:$A,"&gt;="&amp;$J360,'Weekly Log'!$A:$A,"&lt;"&amp;$J360+7),0))</f>
        <v/>
      </c>
      <c r="D360" t="str">
        <f>IF($J360="","",IFERROR(COUNTIFS('Weekly Log'!$H:$H,"Y",'Weekly Log'!$A:$A,"&gt;="&amp;$J360,'Weekly Log'!$A:$A,"&lt;"&amp;$J360+7)/COUNTIFS('Weekly Log'!$H:$H,"&lt;&gt;",'Weekly Log'!$A:$A,"&gt;="&amp;$J360,'Weekly Log'!$A:$A,"&lt;"&amp;$J360+7),0))</f>
        <v/>
      </c>
      <c r="E360" t="str">
        <f>IF($J360="","",IFERROR(AVERAGEIFS('Weekly Log'!$F:$F,'Weekly Log'!$A:$A,"&gt;="&amp;$J360,'Weekly Log'!$A:$A,"&lt;"&amp;$J360+7),0))</f>
        <v/>
      </c>
      <c r="F360" t="str">
        <f>IF($J360="","",IFERROR(SUMIFS('Weekly Log'!$F:$F,'Weekly Log'!$A:$A,"&gt;="&amp;$J360,'Weekly Log'!$A:$A,"&lt;"&amp;$J360+7)/SUMIFS('Weekly Log'!$E:$E,'Weekly Log'!$A:$A,"&gt;="&amp;$J360,'Weekly Log'!$A:$A,"&lt;"&amp;$J360+7),0))</f>
        <v/>
      </c>
      <c r="G360" t="str">
        <f>IF($J360="","",IFERROR(LOOKUP(2,1/(('Weekly Log'!$A$5:$A$5000&gt;=$J360)*('Weekly Log'!$A$5:$A$5000&lt;$J360+7)*('Weekly Log'!$M$5:$M$5000&lt;&gt;"")),'Weekly Log'!$M$5:$M$5000),0))</f>
        <v/>
      </c>
      <c r="J360" t="str">
        <f>IF(COUNT('Weekly Log'!$A$5:$A$5000)=0,"",IF(MIN('Weekly Log'!$A$5:$A$5000)+7*(ROW()-10)&gt;MAX('Weekly Log'!$A$5:$A$5000),"",MIN('Weekly Log'!$A$5:$A$5000)+7*(ROW()-10)))</f>
        <v/>
      </c>
    </row>
    <row r="361" spans="1:10" x14ac:dyDescent="0.25">
      <c r="A361" t="str">
        <f t="shared" si="5"/>
        <v/>
      </c>
      <c r="B361" t="str">
        <f>IF($J361="","",SUMIFS('Weekly Log'!$C:$C,'Weekly Log'!$A:$A,"&gt;="&amp;$J361,'Weekly Log'!$A:$A,"&lt;"&amp;$J361+7))</f>
        <v/>
      </c>
      <c r="C361" t="str">
        <f>IF($J361="","",IFERROR(COUNTIFS('Weekly Log'!$G:$G,"Y",'Weekly Log'!$A:$A,"&gt;="&amp;$J361,'Weekly Log'!$A:$A,"&lt;"&amp;$J361+7)/COUNTIFS('Weekly Log'!$G:$G,"&lt;&gt;",'Weekly Log'!$A:$A,"&gt;="&amp;$J361,'Weekly Log'!$A:$A,"&lt;"&amp;$J361+7),0))</f>
        <v/>
      </c>
      <c r="D361" t="str">
        <f>IF($J361="","",IFERROR(COUNTIFS('Weekly Log'!$H:$H,"Y",'Weekly Log'!$A:$A,"&gt;="&amp;$J361,'Weekly Log'!$A:$A,"&lt;"&amp;$J361+7)/COUNTIFS('Weekly Log'!$H:$H,"&lt;&gt;",'Weekly Log'!$A:$A,"&gt;="&amp;$J361,'Weekly Log'!$A:$A,"&lt;"&amp;$J361+7),0))</f>
        <v/>
      </c>
      <c r="E361" t="str">
        <f>IF($J361="","",IFERROR(AVERAGEIFS('Weekly Log'!$F:$F,'Weekly Log'!$A:$A,"&gt;="&amp;$J361,'Weekly Log'!$A:$A,"&lt;"&amp;$J361+7),0))</f>
        <v/>
      </c>
      <c r="F361" t="str">
        <f>IF($J361="","",IFERROR(SUMIFS('Weekly Log'!$F:$F,'Weekly Log'!$A:$A,"&gt;="&amp;$J361,'Weekly Log'!$A:$A,"&lt;"&amp;$J361+7)/SUMIFS('Weekly Log'!$E:$E,'Weekly Log'!$A:$A,"&gt;="&amp;$J361,'Weekly Log'!$A:$A,"&lt;"&amp;$J361+7),0))</f>
        <v/>
      </c>
      <c r="G361" t="str">
        <f>IF($J361="","",IFERROR(LOOKUP(2,1/(('Weekly Log'!$A$5:$A$5000&gt;=$J361)*('Weekly Log'!$A$5:$A$5000&lt;$J361+7)*('Weekly Log'!$M$5:$M$5000&lt;&gt;"")),'Weekly Log'!$M$5:$M$5000),0))</f>
        <v/>
      </c>
      <c r="J361" t="str">
        <f>IF(COUNT('Weekly Log'!$A$5:$A$5000)=0,"",IF(MIN('Weekly Log'!$A$5:$A$5000)+7*(ROW()-10)&gt;MAX('Weekly Log'!$A$5:$A$5000),"",MIN('Weekly Log'!$A$5:$A$5000)+7*(ROW()-10)))</f>
        <v/>
      </c>
    </row>
    <row r="362" spans="1:10" x14ac:dyDescent="0.25">
      <c r="A362" t="str">
        <f t="shared" si="5"/>
        <v/>
      </c>
      <c r="B362" t="str">
        <f>IF($J362="","",SUMIFS('Weekly Log'!$C:$C,'Weekly Log'!$A:$A,"&gt;="&amp;$J362,'Weekly Log'!$A:$A,"&lt;"&amp;$J362+7))</f>
        <v/>
      </c>
      <c r="C362" t="str">
        <f>IF($J362="","",IFERROR(COUNTIFS('Weekly Log'!$G:$G,"Y",'Weekly Log'!$A:$A,"&gt;="&amp;$J362,'Weekly Log'!$A:$A,"&lt;"&amp;$J362+7)/COUNTIFS('Weekly Log'!$G:$G,"&lt;&gt;",'Weekly Log'!$A:$A,"&gt;="&amp;$J362,'Weekly Log'!$A:$A,"&lt;"&amp;$J362+7),0))</f>
        <v/>
      </c>
      <c r="D362" t="str">
        <f>IF($J362="","",IFERROR(COUNTIFS('Weekly Log'!$H:$H,"Y",'Weekly Log'!$A:$A,"&gt;="&amp;$J362,'Weekly Log'!$A:$A,"&lt;"&amp;$J362+7)/COUNTIFS('Weekly Log'!$H:$H,"&lt;&gt;",'Weekly Log'!$A:$A,"&gt;="&amp;$J362,'Weekly Log'!$A:$A,"&lt;"&amp;$J362+7),0))</f>
        <v/>
      </c>
      <c r="E362" t="str">
        <f>IF($J362="","",IFERROR(AVERAGEIFS('Weekly Log'!$F:$F,'Weekly Log'!$A:$A,"&gt;="&amp;$J362,'Weekly Log'!$A:$A,"&lt;"&amp;$J362+7),0))</f>
        <v/>
      </c>
      <c r="F362" t="str">
        <f>IF($J362="","",IFERROR(SUMIFS('Weekly Log'!$F:$F,'Weekly Log'!$A:$A,"&gt;="&amp;$J362,'Weekly Log'!$A:$A,"&lt;"&amp;$J362+7)/SUMIFS('Weekly Log'!$E:$E,'Weekly Log'!$A:$A,"&gt;="&amp;$J362,'Weekly Log'!$A:$A,"&lt;"&amp;$J362+7),0))</f>
        <v/>
      </c>
      <c r="G362" t="str">
        <f>IF($J362="","",IFERROR(LOOKUP(2,1/(('Weekly Log'!$A$5:$A$5000&gt;=$J362)*('Weekly Log'!$A$5:$A$5000&lt;$J362+7)*('Weekly Log'!$M$5:$M$5000&lt;&gt;"")),'Weekly Log'!$M$5:$M$5000),0))</f>
        <v/>
      </c>
      <c r="J362" t="str">
        <f>IF(COUNT('Weekly Log'!$A$5:$A$5000)=0,"",IF(MIN('Weekly Log'!$A$5:$A$5000)+7*(ROW()-10)&gt;MAX('Weekly Log'!$A$5:$A$5000),"",MIN('Weekly Log'!$A$5:$A$5000)+7*(ROW()-10)))</f>
        <v/>
      </c>
    </row>
    <row r="363" spans="1:10" x14ac:dyDescent="0.25">
      <c r="A363" t="str">
        <f t="shared" si="5"/>
        <v/>
      </c>
      <c r="B363" t="str">
        <f>IF($J363="","",SUMIFS('Weekly Log'!$C:$C,'Weekly Log'!$A:$A,"&gt;="&amp;$J363,'Weekly Log'!$A:$A,"&lt;"&amp;$J363+7))</f>
        <v/>
      </c>
      <c r="C363" t="str">
        <f>IF($J363="","",IFERROR(COUNTIFS('Weekly Log'!$G:$G,"Y",'Weekly Log'!$A:$A,"&gt;="&amp;$J363,'Weekly Log'!$A:$A,"&lt;"&amp;$J363+7)/COUNTIFS('Weekly Log'!$G:$G,"&lt;&gt;",'Weekly Log'!$A:$A,"&gt;="&amp;$J363,'Weekly Log'!$A:$A,"&lt;"&amp;$J363+7),0))</f>
        <v/>
      </c>
      <c r="D363" t="str">
        <f>IF($J363="","",IFERROR(COUNTIFS('Weekly Log'!$H:$H,"Y",'Weekly Log'!$A:$A,"&gt;="&amp;$J363,'Weekly Log'!$A:$A,"&lt;"&amp;$J363+7)/COUNTIFS('Weekly Log'!$H:$H,"&lt;&gt;",'Weekly Log'!$A:$A,"&gt;="&amp;$J363,'Weekly Log'!$A:$A,"&lt;"&amp;$J363+7),0))</f>
        <v/>
      </c>
      <c r="E363" t="str">
        <f>IF($J363="","",IFERROR(AVERAGEIFS('Weekly Log'!$F:$F,'Weekly Log'!$A:$A,"&gt;="&amp;$J363,'Weekly Log'!$A:$A,"&lt;"&amp;$J363+7),0))</f>
        <v/>
      </c>
      <c r="F363" t="str">
        <f>IF($J363="","",IFERROR(SUMIFS('Weekly Log'!$F:$F,'Weekly Log'!$A:$A,"&gt;="&amp;$J363,'Weekly Log'!$A:$A,"&lt;"&amp;$J363+7)/SUMIFS('Weekly Log'!$E:$E,'Weekly Log'!$A:$A,"&gt;="&amp;$J363,'Weekly Log'!$A:$A,"&lt;"&amp;$J363+7),0))</f>
        <v/>
      </c>
      <c r="G363" t="str">
        <f>IF($J363="","",IFERROR(LOOKUP(2,1/(('Weekly Log'!$A$5:$A$5000&gt;=$J363)*('Weekly Log'!$A$5:$A$5000&lt;$J363+7)*('Weekly Log'!$M$5:$M$5000&lt;&gt;"")),'Weekly Log'!$M$5:$M$5000),0))</f>
        <v/>
      </c>
      <c r="J363" t="str">
        <f>IF(COUNT('Weekly Log'!$A$5:$A$5000)=0,"",IF(MIN('Weekly Log'!$A$5:$A$5000)+7*(ROW()-10)&gt;MAX('Weekly Log'!$A$5:$A$5000),"",MIN('Weekly Log'!$A$5:$A$5000)+7*(ROW()-10)))</f>
        <v/>
      </c>
    </row>
    <row r="364" spans="1:10" x14ac:dyDescent="0.25">
      <c r="A364" t="str">
        <f t="shared" si="5"/>
        <v/>
      </c>
      <c r="B364" t="str">
        <f>IF($J364="","",SUMIFS('Weekly Log'!$C:$C,'Weekly Log'!$A:$A,"&gt;="&amp;$J364,'Weekly Log'!$A:$A,"&lt;"&amp;$J364+7))</f>
        <v/>
      </c>
      <c r="C364" t="str">
        <f>IF($J364="","",IFERROR(COUNTIFS('Weekly Log'!$G:$G,"Y",'Weekly Log'!$A:$A,"&gt;="&amp;$J364,'Weekly Log'!$A:$A,"&lt;"&amp;$J364+7)/COUNTIFS('Weekly Log'!$G:$G,"&lt;&gt;",'Weekly Log'!$A:$A,"&gt;="&amp;$J364,'Weekly Log'!$A:$A,"&lt;"&amp;$J364+7),0))</f>
        <v/>
      </c>
      <c r="D364" t="str">
        <f>IF($J364="","",IFERROR(COUNTIFS('Weekly Log'!$H:$H,"Y",'Weekly Log'!$A:$A,"&gt;="&amp;$J364,'Weekly Log'!$A:$A,"&lt;"&amp;$J364+7)/COUNTIFS('Weekly Log'!$H:$H,"&lt;&gt;",'Weekly Log'!$A:$A,"&gt;="&amp;$J364,'Weekly Log'!$A:$A,"&lt;"&amp;$J364+7),0))</f>
        <v/>
      </c>
      <c r="E364" t="str">
        <f>IF($J364="","",IFERROR(AVERAGEIFS('Weekly Log'!$F:$F,'Weekly Log'!$A:$A,"&gt;="&amp;$J364,'Weekly Log'!$A:$A,"&lt;"&amp;$J364+7),0))</f>
        <v/>
      </c>
      <c r="F364" t="str">
        <f>IF($J364="","",IFERROR(SUMIFS('Weekly Log'!$F:$F,'Weekly Log'!$A:$A,"&gt;="&amp;$J364,'Weekly Log'!$A:$A,"&lt;"&amp;$J364+7)/SUMIFS('Weekly Log'!$E:$E,'Weekly Log'!$A:$A,"&gt;="&amp;$J364,'Weekly Log'!$A:$A,"&lt;"&amp;$J364+7),0))</f>
        <v/>
      </c>
      <c r="G364" t="str">
        <f>IF($J364="","",IFERROR(LOOKUP(2,1/(('Weekly Log'!$A$5:$A$5000&gt;=$J364)*('Weekly Log'!$A$5:$A$5000&lt;$J364+7)*('Weekly Log'!$M$5:$M$5000&lt;&gt;"")),'Weekly Log'!$M$5:$M$5000),0))</f>
        <v/>
      </c>
      <c r="J364" t="str">
        <f>IF(COUNT('Weekly Log'!$A$5:$A$5000)=0,"",IF(MIN('Weekly Log'!$A$5:$A$5000)+7*(ROW()-10)&gt;MAX('Weekly Log'!$A$5:$A$5000),"",MIN('Weekly Log'!$A$5:$A$5000)+7*(ROW()-10)))</f>
        <v/>
      </c>
    </row>
    <row r="365" spans="1:10" x14ac:dyDescent="0.25">
      <c r="A365" t="str">
        <f t="shared" si="5"/>
        <v/>
      </c>
      <c r="B365" t="str">
        <f>IF($J365="","",SUMIFS('Weekly Log'!$C:$C,'Weekly Log'!$A:$A,"&gt;="&amp;$J365,'Weekly Log'!$A:$A,"&lt;"&amp;$J365+7))</f>
        <v/>
      </c>
      <c r="C365" t="str">
        <f>IF($J365="","",IFERROR(COUNTIFS('Weekly Log'!$G:$G,"Y",'Weekly Log'!$A:$A,"&gt;="&amp;$J365,'Weekly Log'!$A:$A,"&lt;"&amp;$J365+7)/COUNTIFS('Weekly Log'!$G:$G,"&lt;&gt;",'Weekly Log'!$A:$A,"&gt;="&amp;$J365,'Weekly Log'!$A:$A,"&lt;"&amp;$J365+7),0))</f>
        <v/>
      </c>
      <c r="D365" t="str">
        <f>IF($J365="","",IFERROR(COUNTIFS('Weekly Log'!$H:$H,"Y",'Weekly Log'!$A:$A,"&gt;="&amp;$J365,'Weekly Log'!$A:$A,"&lt;"&amp;$J365+7)/COUNTIFS('Weekly Log'!$H:$H,"&lt;&gt;",'Weekly Log'!$A:$A,"&gt;="&amp;$J365,'Weekly Log'!$A:$A,"&lt;"&amp;$J365+7),0))</f>
        <v/>
      </c>
      <c r="E365" t="str">
        <f>IF($J365="","",IFERROR(AVERAGEIFS('Weekly Log'!$F:$F,'Weekly Log'!$A:$A,"&gt;="&amp;$J365,'Weekly Log'!$A:$A,"&lt;"&amp;$J365+7),0))</f>
        <v/>
      </c>
      <c r="F365" t="str">
        <f>IF($J365="","",IFERROR(SUMIFS('Weekly Log'!$F:$F,'Weekly Log'!$A:$A,"&gt;="&amp;$J365,'Weekly Log'!$A:$A,"&lt;"&amp;$J365+7)/SUMIFS('Weekly Log'!$E:$E,'Weekly Log'!$A:$A,"&gt;="&amp;$J365,'Weekly Log'!$A:$A,"&lt;"&amp;$J365+7),0))</f>
        <v/>
      </c>
      <c r="G365" t="str">
        <f>IF($J365="","",IFERROR(LOOKUP(2,1/(('Weekly Log'!$A$5:$A$5000&gt;=$J365)*('Weekly Log'!$A$5:$A$5000&lt;$J365+7)*('Weekly Log'!$M$5:$M$5000&lt;&gt;"")),'Weekly Log'!$M$5:$M$5000),0))</f>
        <v/>
      </c>
      <c r="J365" t="str">
        <f>IF(COUNT('Weekly Log'!$A$5:$A$5000)=0,"",IF(MIN('Weekly Log'!$A$5:$A$5000)+7*(ROW()-10)&gt;MAX('Weekly Log'!$A$5:$A$5000),"",MIN('Weekly Log'!$A$5:$A$5000)+7*(ROW()-10)))</f>
        <v/>
      </c>
    </row>
    <row r="366" spans="1:10" x14ac:dyDescent="0.25">
      <c r="A366" t="str">
        <f t="shared" si="5"/>
        <v/>
      </c>
      <c r="B366" t="str">
        <f>IF($J366="","",SUMIFS('Weekly Log'!$C:$C,'Weekly Log'!$A:$A,"&gt;="&amp;$J366,'Weekly Log'!$A:$A,"&lt;"&amp;$J366+7))</f>
        <v/>
      </c>
      <c r="C366" t="str">
        <f>IF($J366="","",IFERROR(COUNTIFS('Weekly Log'!$G:$G,"Y",'Weekly Log'!$A:$A,"&gt;="&amp;$J366,'Weekly Log'!$A:$A,"&lt;"&amp;$J366+7)/COUNTIFS('Weekly Log'!$G:$G,"&lt;&gt;",'Weekly Log'!$A:$A,"&gt;="&amp;$J366,'Weekly Log'!$A:$A,"&lt;"&amp;$J366+7),0))</f>
        <v/>
      </c>
      <c r="D366" t="str">
        <f>IF($J366="","",IFERROR(COUNTIFS('Weekly Log'!$H:$H,"Y",'Weekly Log'!$A:$A,"&gt;="&amp;$J366,'Weekly Log'!$A:$A,"&lt;"&amp;$J366+7)/COUNTIFS('Weekly Log'!$H:$H,"&lt;&gt;",'Weekly Log'!$A:$A,"&gt;="&amp;$J366,'Weekly Log'!$A:$A,"&lt;"&amp;$J366+7),0))</f>
        <v/>
      </c>
      <c r="E366" t="str">
        <f>IF($J366="","",IFERROR(AVERAGEIFS('Weekly Log'!$F:$F,'Weekly Log'!$A:$A,"&gt;="&amp;$J366,'Weekly Log'!$A:$A,"&lt;"&amp;$J366+7),0))</f>
        <v/>
      </c>
      <c r="F366" t="str">
        <f>IF($J366="","",IFERROR(SUMIFS('Weekly Log'!$F:$F,'Weekly Log'!$A:$A,"&gt;="&amp;$J366,'Weekly Log'!$A:$A,"&lt;"&amp;$J366+7)/SUMIFS('Weekly Log'!$E:$E,'Weekly Log'!$A:$A,"&gt;="&amp;$J366,'Weekly Log'!$A:$A,"&lt;"&amp;$J366+7),0))</f>
        <v/>
      </c>
      <c r="G366" t="str">
        <f>IF($J366="","",IFERROR(LOOKUP(2,1/(('Weekly Log'!$A$5:$A$5000&gt;=$J366)*('Weekly Log'!$A$5:$A$5000&lt;$J366+7)*('Weekly Log'!$M$5:$M$5000&lt;&gt;"")),'Weekly Log'!$M$5:$M$5000),0))</f>
        <v/>
      </c>
      <c r="J366" t="str">
        <f>IF(COUNT('Weekly Log'!$A$5:$A$5000)=0,"",IF(MIN('Weekly Log'!$A$5:$A$5000)+7*(ROW()-10)&gt;MAX('Weekly Log'!$A$5:$A$5000),"",MIN('Weekly Log'!$A$5:$A$5000)+7*(ROW()-10)))</f>
        <v/>
      </c>
    </row>
    <row r="367" spans="1:10" x14ac:dyDescent="0.25">
      <c r="A367" t="str">
        <f t="shared" si="5"/>
        <v/>
      </c>
      <c r="B367" t="str">
        <f>IF($J367="","",SUMIFS('Weekly Log'!$C:$C,'Weekly Log'!$A:$A,"&gt;="&amp;$J367,'Weekly Log'!$A:$A,"&lt;"&amp;$J367+7))</f>
        <v/>
      </c>
      <c r="C367" t="str">
        <f>IF($J367="","",IFERROR(COUNTIFS('Weekly Log'!$G:$G,"Y",'Weekly Log'!$A:$A,"&gt;="&amp;$J367,'Weekly Log'!$A:$A,"&lt;"&amp;$J367+7)/COUNTIFS('Weekly Log'!$G:$G,"&lt;&gt;",'Weekly Log'!$A:$A,"&gt;="&amp;$J367,'Weekly Log'!$A:$A,"&lt;"&amp;$J367+7),0))</f>
        <v/>
      </c>
      <c r="D367" t="str">
        <f>IF($J367="","",IFERROR(COUNTIFS('Weekly Log'!$H:$H,"Y",'Weekly Log'!$A:$A,"&gt;="&amp;$J367,'Weekly Log'!$A:$A,"&lt;"&amp;$J367+7)/COUNTIFS('Weekly Log'!$H:$H,"&lt;&gt;",'Weekly Log'!$A:$A,"&gt;="&amp;$J367,'Weekly Log'!$A:$A,"&lt;"&amp;$J367+7),0))</f>
        <v/>
      </c>
      <c r="E367" t="str">
        <f>IF($J367="","",IFERROR(AVERAGEIFS('Weekly Log'!$F:$F,'Weekly Log'!$A:$A,"&gt;="&amp;$J367,'Weekly Log'!$A:$A,"&lt;"&amp;$J367+7),0))</f>
        <v/>
      </c>
      <c r="F367" t="str">
        <f>IF($J367="","",IFERROR(SUMIFS('Weekly Log'!$F:$F,'Weekly Log'!$A:$A,"&gt;="&amp;$J367,'Weekly Log'!$A:$A,"&lt;"&amp;$J367+7)/SUMIFS('Weekly Log'!$E:$E,'Weekly Log'!$A:$A,"&gt;="&amp;$J367,'Weekly Log'!$A:$A,"&lt;"&amp;$J367+7),0))</f>
        <v/>
      </c>
      <c r="G367" t="str">
        <f>IF($J367="","",IFERROR(LOOKUP(2,1/(('Weekly Log'!$A$5:$A$5000&gt;=$J367)*('Weekly Log'!$A$5:$A$5000&lt;$J367+7)*('Weekly Log'!$M$5:$M$5000&lt;&gt;"")),'Weekly Log'!$M$5:$M$5000),0))</f>
        <v/>
      </c>
      <c r="J367" t="str">
        <f>IF(COUNT('Weekly Log'!$A$5:$A$5000)=0,"",IF(MIN('Weekly Log'!$A$5:$A$5000)+7*(ROW()-10)&gt;MAX('Weekly Log'!$A$5:$A$5000),"",MIN('Weekly Log'!$A$5:$A$5000)+7*(ROW()-10)))</f>
        <v/>
      </c>
    </row>
    <row r="368" spans="1:10" x14ac:dyDescent="0.25">
      <c r="A368" t="str">
        <f t="shared" si="5"/>
        <v/>
      </c>
      <c r="B368" t="str">
        <f>IF($J368="","",SUMIFS('Weekly Log'!$C:$C,'Weekly Log'!$A:$A,"&gt;="&amp;$J368,'Weekly Log'!$A:$A,"&lt;"&amp;$J368+7))</f>
        <v/>
      </c>
      <c r="C368" t="str">
        <f>IF($J368="","",IFERROR(COUNTIFS('Weekly Log'!$G:$G,"Y",'Weekly Log'!$A:$A,"&gt;="&amp;$J368,'Weekly Log'!$A:$A,"&lt;"&amp;$J368+7)/COUNTIFS('Weekly Log'!$G:$G,"&lt;&gt;",'Weekly Log'!$A:$A,"&gt;="&amp;$J368,'Weekly Log'!$A:$A,"&lt;"&amp;$J368+7),0))</f>
        <v/>
      </c>
      <c r="D368" t="str">
        <f>IF($J368="","",IFERROR(COUNTIFS('Weekly Log'!$H:$H,"Y",'Weekly Log'!$A:$A,"&gt;="&amp;$J368,'Weekly Log'!$A:$A,"&lt;"&amp;$J368+7)/COUNTIFS('Weekly Log'!$H:$H,"&lt;&gt;",'Weekly Log'!$A:$A,"&gt;="&amp;$J368,'Weekly Log'!$A:$A,"&lt;"&amp;$J368+7),0))</f>
        <v/>
      </c>
      <c r="E368" t="str">
        <f>IF($J368="","",IFERROR(AVERAGEIFS('Weekly Log'!$F:$F,'Weekly Log'!$A:$A,"&gt;="&amp;$J368,'Weekly Log'!$A:$A,"&lt;"&amp;$J368+7),0))</f>
        <v/>
      </c>
      <c r="F368" t="str">
        <f>IF($J368="","",IFERROR(SUMIFS('Weekly Log'!$F:$F,'Weekly Log'!$A:$A,"&gt;="&amp;$J368,'Weekly Log'!$A:$A,"&lt;"&amp;$J368+7)/SUMIFS('Weekly Log'!$E:$E,'Weekly Log'!$A:$A,"&gt;="&amp;$J368,'Weekly Log'!$A:$A,"&lt;"&amp;$J368+7),0))</f>
        <v/>
      </c>
      <c r="G368" t="str">
        <f>IF($J368="","",IFERROR(LOOKUP(2,1/(('Weekly Log'!$A$5:$A$5000&gt;=$J368)*('Weekly Log'!$A$5:$A$5000&lt;$J368+7)*('Weekly Log'!$M$5:$M$5000&lt;&gt;"")),'Weekly Log'!$M$5:$M$5000),0))</f>
        <v/>
      </c>
      <c r="J368" t="str">
        <f>IF(COUNT('Weekly Log'!$A$5:$A$5000)=0,"",IF(MIN('Weekly Log'!$A$5:$A$5000)+7*(ROW()-10)&gt;MAX('Weekly Log'!$A$5:$A$5000),"",MIN('Weekly Log'!$A$5:$A$5000)+7*(ROW()-10)))</f>
        <v/>
      </c>
    </row>
    <row r="369" spans="1:10" x14ac:dyDescent="0.25">
      <c r="A369" t="str">
        <f t="shared" si="5"/>
        <v/>
      </c>
      <c r="B369" t="str">
        <f>IF($J369="","",SUMIFS('Weekly Log'!$C:$C,'Weekly Log'!$A:$A,"&gt;="&amp;$J369,'Weekly Log'!$A:$A,"&lt;"&amp;$J369+7))</f>
        <v/>
      </c>
      <c r="C369" t="str">
        <f>IF($J369="","",IFERROR(COUNTIFS('Weekly Log'!$G:$G,"Y",'Weekly Log'!$A:$A,"&gt;="&amp;$J369,'Weekly Log'!$A:$A,"&lt;"&amp;$J369+7)/COUNTIFS('Weekly Log'!$G:$G,"&lt;&gt;",'Weekly Log'!$A:$A,"&gt;="&amp;$J369,'Weekly Log'!$A:$A,"&lt;"&amp;$J369+7),0))</f>
        <v/>
      </c>
      <c r="D369" t="str">
        <f>IF($J369="","",IFERROR(COUNTIFS('Weekly Log'!$H:$H,"Y",'Weekly Log'!$A:$A,"&gt;="&amp;$J369,'Weekly Log'!$A:$A,"&lt;"&amp;$J369+7)/COUNTIFS('Weekly Log'!$H:$H,"&lt;&gt;",'Weekly Log'!$A:$A,"&gt;="&amp;$J369,'Weekly Log'!$A:$A,"&lt;"&amp;$J369+7),0))</f>
        <v/>
      </c>
      <c r="E369" t="str">
        <f>IF($J369="","",IFERROR(AVERAGEIFS('Weekly Log'!$F:$F,'Weekly Log'!$A:$A,"&gt;="&amp;$J369,'Weekly Log'!$A:$A,"&lt;"&amp;$J369+7),0))</f>
        <v/>
      </c>
      <c r="F369" t="str">
        <f>IF($J369="","",IFERROR(SUMIFS('Weekly Log'!$F:$F,'Weekly Log'!$A:$A,"&gt;="&amp;$J369,'Weekly Log'!$A:$A,"&lt;"&amp;$J369+7)/SUMIFS('Weekly Log'!$E:$E,'Weekly Log'!$A:$A,"&gt;="&amp;$J369,'Weekly Log'!$A:$A,"&lt;"&amp;$J369+7),0))</f>
        <v/>
      </c>
      <c r="G369" t="str">
        <f>IF($J369="","",IFERROR(LOOKUP(2,1/(('Weekly Log'!$A$5:$A$5000&gt;=$J369)*('Weekly Log'!$A$5:$A$5000&lt;$J369+7)*('Weekly Log'!$M$5:$M$5000&lt;&gt;"")),'Weekly Log'!$M$5:$M$5000),0))</f>
        <v/>
      </c>
      <c r="J369" t="str">
        <f>IF(COUNT('Weekly Log'!$A$5:$A$5000)=0,"",IF(MIN('Weekly Log'!$A$5:$A$5000)+7*(ROW()-10)&gt;MAX('Weekly Log'!$A$5:$A$5000),"",MIN('Weekly Log'!$A$5:$A$5000)+7*(ROW()-10)))</f>
        <v/>
      </c>
    </row>
    <row r="370" spans="1:10" x14ac:dyDescent="0.25">
      <c r="A370" t="str">
        <f t="shared" si="5"/>
        <v/>
      </c>
      <c r="B370" t="str">
        <f>IF($J370="","",SUMIFS('Weekly Log'!$C:$C,'Weekly Log'!$A:$A,"&gt;="&amp;$J370,'Weekly Log'!$A:$A,"&lt;"&amp;$J370+7))</f>
        <v/>
      </c>
      <c r="C370" t="str">
        <f>IF($J370="","",IFERROR(COUNTIFS('Weekly Log'!$G:$G,"Y",'Weekly Log'!$A:$A,"&gt;="&amp;$J370,'Weekly Log'!$A:$A,"&lt;"&amp;$J370+7)/COUNTIFS('Weekly Log'!$G:$G,"&lt;&gt;",'Weekly Log'!$A:$A,"&gt;="&amp;$J370,'Weekly Log'!$A:$A,"&lt;"&amp;$J370+7),0))</f>
        <v/>
      </c>
      <c r="D370" t="str">
        <f>IF($J370="","",IFERROR(COUNTIFS('Weekly Log'!$H:$H,"Y",'Weekly Log'!$A:$A,"&gt;="&amp;$J370,'Weekly Log'!$A:$A,"&lt;"&amp;$J370+7)/COUNTIFS('Weekly Log'!$H:$H,"&lt;&gt;",'Weekly Log'!$A:$A,"&gt;="&amp;$J370,'Weekly Log'!$A:$A,"&lt;"&amp;$J370+7),0))</f>
        <v/>
      </c>
      <c r="E370" t="str">
        <f>IF($J370="","",IFERROR(AVERAGEIFS('Weekly Log'!$F:$F,'Weekly Log'!$A:$A,"&gt;="&amp;$J370,'Weekly Log'!$A:$A,"&lt;"&amp;$J370+7),0))</f>
        <v/>
      </c>
      <c r="F370" t="str">
        <f>IF($J370="","",IFERROR(SUMIFS('Weekly Log'!$F:$F,'Weekly Log'!$A:$A,"&gt;="&amp;$J370,'Weekly Log'!$A:$A,"&lt;"&amp;$J370+7)/SUMIFS('Weekly Log'!$E:$E,'Weekly Log'!$A:$A,"&gt;="&amp;$J370,'Weekly Log'!$A:$A,"&lt;"&amp;$J370+7),0))</f>
        <v/>
      </c>
      <c r="G370" t="str">
        <f>IF($J370="","",IFERROR(LOOKUP(2,1/(('Weekly Log'!$A$5:$A$5000&gt;=$J370)*('Weekly Log'!$A$5:$A$5000&lt;$J370+7)*('Weekly Log'!$M$5:$M$5000&lt;&gt;"")),'Weekly Log'!$M$5:$M$5000),0))</f>
        <v/>
      </c>
      <c r="J370" t="str">
        <f>IF(COUNT('Weekly Log'!$A$5:$A$5000)=0,"",IF(MIN('Weekly Log'!$A$5:$A$5000)+7*(ROW()-10)&gt;MAX('Weekly Log'!$A$5:$A$5000),"",MIN('Weekly Log'!$A$5:$A$5000)+7*(ROW()-10)))</f>
        <v/>
      </c>
    </row>
    <row r="371" spans="1:10" x14ac:dyDescent="0.25">
      <c r="A371" t="str">
        <f t="shared" si="5"/>
        <v/>
      </c>
      <c r="B371" t="str">
        <f>IF($J371="","",SUMIFS('Weekly Log'!$C:$C,'Weekly Log'!$A:$A,"&gt;="&amp;$J371,'Weekly Log'!$A:$A,"&lt;"&amp;$J371+7))</f>
        <v/>
      </c>
      <c r="C371" t="str">
        <f>IF($J371="","",IFERROR(COUNTIFS('Weekly Log'!$G:$G,"Y",'Weekly Log'!$A:$A,"&gt;="&amp;$J371,'Weekly Log'!$A:$A,"&lt;"&amp;$J371+7)/COUNTIFS('Weekly Log'!$G:$G,"&lt;&gt;",'Weekly Log'!$A:$A,"&gt;="&amp;$J371,'Weekly Log'!$A:$A,"&lt;"&amp;$J371+7),0))</f>
        <v/>
      </c>
      <c r="D371" t="str">
        <f>IF($J371="","",IFERROR(COUNTIFS('Weekly Log'!$H:$H,"Y",'Weekly Log'!$A:$A,"&gt;="&amp;$J371,'Weekly Log'!$A:$A,"&lt;"&amp;$J371+7)/COUNTIFS('Weekly Log'!$H:$H,"&lt;&gt;",'Weekly Log'!$A:$A,"&gt;="&amp;$J371,'Weekly Log'!$A:$A,"&lt;"&amp;$J371+7),0))</f>
        <v/>
      </c>
      <c r="E371" t="str">
        <f>IF($J371="","",IFERROR(AVERAGEIFS('Weekly Log'!$F:$F,'Weekly Log'!$A:$A,"&gt;="&amp;$J371,'Weekly Log'!$A:$A,"&lt;"&amp;$J371+7),0))</f>
        <v/>
      </c>
      <c r="F371" t="str">
        <f>IF($J371="","",IFERROR(SUMIFS('Weekly Log'!$F:$F,'Weekly Log'!$A:$A,"&gt;="&amp;$J371,'Weekly Log'!$A:$A,"&lt;"&amp;$J371+7)/SUMIFS('Weekly Log'!$E:$E,'Weekly Log'!$A:$A,"&gt;="&amp;$J371,'Weekly Log'!$A:$A,"&lt;"&amp;$J371+7),0))</f>
        <v/>
      </c>
      <c r="G371" t="str">
        <f>IF($J371="","",IFERROR(LOOKUP(2,1/(('Weekly Log'!$A$5:$A$5000&gt;=$J371)*('Weekly Log'!$A$5:$A$5000&lt;$J371+7)*('Weekly Log'!$M$5:$M$5000&lt;&gt;"")),'Weekly Log'!$M$5:$M$5000),0))</f>
        <v/>
      </c>
      <c r="J371" t="str">
        <f>IF(COUNT('Weekly Log'!$A$5:$A$5000)=0,"",IF(MIN('Weekly Log'!$A$5:$A$5000)+7*(ROW()-10)&gt;MAX('Weekly Log'!$A$5:$A$5000),"",MIN('Weekly Log'!$A$5:$A$5000)+7*(ROW()-10)))</f>
        <v/>
      </c>
    </row>
    <row r="372" spans="1:10" x14ac:dyDescent="0.25">
      <c r="A372" t="str">
        <f t="shared" si="5"/>
        <v/>
      </c>
      <c r="B372" t="str">
        <f>IF($J372="","",SUMIFS('Weekly Log'!$C:$C,'Weekly Log'!$A:$A,"&gt;="&amp;$J372,'Weekly Log'!$A:$A,"&lt;"&amp;$J372+7))</f>
        <v/>
      </c>
      <c r="C372" t="str">
        <f>IF($J372="","",IFERROR(COUNTIFS('Weekly Log'!$G:$G,"Y",'Weekly Log'!$A:$A,"&gt;="&amp;$J372,'Weekly Log'!$A:$A,"&lt;"&amp;$J372+7)/COUNTIFS('Weekly Log'!$G:$G,"&lt;&gt;",'Weekly Log'!$A:$A,"&gt;="&amp;$J372,'Weekly Log'!$A:$A,"&lt;"&amp;$J372+7),0))</f>
        <v/>
      </c>
      <c r="D372" t="str">
        <f>IF($J372="","",IFERROR(COUNTIFS('Weekly Log'!$H:$H,"Y",'Weekly Log'!$A:$A,"&gt;="&amp;$J372,'Weekly Log'!$A:$A,"&lt;"&amp;$J372+7)/COUNTIFS('Weekly Log'!$H:$H,"&lt;&gt;",'Weekly Log'!$A:$A,"&gt;="&amp;$J372,'Weekly Log'!$A:$A,"&lt;"&amp;$J372+7),0))</f>
        <v/>
      </c>
      <c r="E372" t="str">
        <f>IF($J372="","",IFERROR(AVERAGEIFS('Weekly Log'!$F:$F,'Weekly Log'!$A:$A,"&gt;="&amp;$J372,'Weekly Log'!$A:$A,"&lt;"&amp;$J372+7),0))</f>
        <v/>
      </c>
      <c r="F372" t="str">
        <f>IF($J372="","",IFERROR(SUMIFS('Weekly Log'!$F:$F,'Weekly Log'!$A:$A,"&gt;="&amp;$J372,'Weekly Log'!$A:$A,"&lt;"&amp;$J372+7)/SUMIFS('Weekly Log'!$E:$E,'Weekly Log'!$A:$A,"&gt;="&amp;$J372,'Weekly Log'!$A:$A,"&lt;"&amp;$J372+7),0))</f>
        <v/>
      </c>
      <c r="G372" t="str">
        <f>IF($J372="","",IFERROR(LOOKUP(2,1/(('Weekly Log'!$A$5:$A$5000&gt;=$J372)*('Weekly Log'!$A$5:$A$5000&lt;$J372+7)*('Weekly Log'!$M$5:$M$5000&lt;&gt;"")),'Weekly Log'!$M$5:$M$5000),0))</f>
        <v/>
      </c>
      <c r="J372" t="str">
        <f>IF(COUNT('Weekly Log'!$A$5:$A$5000)=0,"",IF(MIN('Weekly Log'!$A$5:$A$5000)+7*(ROW()-10)&gt;MAX('Weekly Log'!$A$5:$A$5000),"",MIN('Weekly Log'!$A$5:$A$5000)+7*(ROW()-10)))</f>
        <v/>
      </c>
    </row>
    <row r="373" spans="1:10" x14ac:dyDescent="0.25">
      <c r="A373" t="str">
        <f t="shared" si="5"/>
        <v/>
      </c>
      <c r="B373" t="str">
        <f>IF($J373="","",SUMIFS('Weekly Log'!$C:$C,'Weekly Log'!$A:$A,"&gt;="&amp;$J373,'Weekly Log'!$A:$A,"&lt;"&amp;$J373+7))</f>
        <v/>
      </c>
      <c r="C373" t="str">
        <f>IF($J373="","",IFERROR(COUNTIFS('Weekly Log'!$G:$G,"Y",'Weekly Log'!$A:$A,"&gt;="&amp;$J373,'Weekly Log'!$A:$A,"&lt;"&amp;$J373+7)/COUNTIFS('Weekly Log'!$G:$G,"&lt;&gt;",'Weekly Log'!$A:$A,"&gt;="&amp;$J373,'Weekly Log'!$A:$A,"&lt;"&amp;$J373+7),0))</f>
        <v/>
      </c>
      <c r="D373" t="str">
        <f>IF($J373="","",IFERROR(COUNTIFS('Weekly Log'!$H:$H,"Y",'Weekly Log'!$A:$A,"&gt;="&amp;$J373,'Weekly Log'!$A:$A,"&lt;"&amp;$J373+7)/COUNTIFS('Weekly Log'!$H:$H,"&lt;&gt;",'Weekly Log'!$A:$A,"&gt;="&amp;$J373,'Weekly Log'!$A:$A,"&lt;"&amp;$J373+7),0))</f>
        <v/>
      </c>
      <c r="E373" t="str">
        <f>IF($J373="","",IFERROR(AVERAGEIFS('Weekly Log'!$F:$F,'Weekly Log'!$A:$A,"&gt;="&amp;$J373,'Weekly Log'!$A:$A,"&lt;"&amp;$J373+7),0))</f>
        <v/>
      </c>
      <c r="F373" t="str">
        <f>IF($J373="","",IFERROR(SUMIFS('Weekly Log'!$F:$F,'Weekly Log'!$A:$A,"&gt;="&amp;$J373,'Weekly Log'!$A:$A,"&lt;"&amp;$J373+7)/SUMIFS('Weekly Log'!$E:$E,'Weekly Log'!$A:$A,"&gt;="&amp;$J373,'Weekly Log'!$A:$A,"&lt;"&amp;$J373+7),0))</f>
        <v/>
      </c>
      <c r="G373" t="str">
        <f>IF($J373="","",IFERROR(LOOKUP(2,1/(('Weekly Log'!$A$5:$A$5000&gt;=$J373)*('Weekly Log'!$A$5:$A$5000&lt;$J373+7)*('Weekly Log'!$M$5:$M$5000&lt;&gt;"")),'Weekly Log'!$M$5:$M$5000),0))</f>
        <v/>
      </c>
      <c r="J373" t="str">
        <f>IF(COUNT('Weekly Log'!$A$5:$A$5000)=0,"",IF(MIN('Weekly Log'!$A$5:$A$5000)+7*(ROW()-10)&gt;MAX('Weekly Log'!$A$5:$A$5000),"",MIN('Weekly Log'!$A$5:$A$5000)+7*(ROW()-10)))</f>
        <v/>
      </c>
    </row>
    <row r="374" spans="1:10" x14ac:dyDescent="0.25">
      <c r="A374" t="str">
        <f t="shared" si="5"/>
        <v/>
      </c>
      <c r="B374" t="str">
        <f>IF($J374="","",SUMIFS('Weekly Log'!$C:$C,'Weekly Log'!$A:$A,"&gt;="&amp;$J374,'Weekly Log'!$A:$A,"&lt;"&amp;$J374+7))</f>
        <v/>
      </c>
      <c r="C374" t="str">
        <f>IF($J374="","",IFERROR(COUNTIFS('Weekly Log'!$G:$G,"Y",'Weekly Log'!$A:$A,"&gt;="&amp;$J374,'Weekly Log'!$A:$A,"&lt;"&amp;$J374+7)/COUNTIFS('Weekly Log'!$G:$G,"&lt;&gt;",'Weekly Log'!$A:$A,"&gt;="&amp;$J374,'Weekly Log'!$A:$A,"&lt;"&amp;$J374+7),0))</f>
        <v/>
      </c>
      <c r="D374" t="str">
        <f>IF($J374="","",IFERROR(COUNTIFS('Weekly Log'!$H:$H,"Y",'Weekly Log'!$A:$A,"&gt;="&amp;$J374,'Weekly Log'!$A:$A,"&lt;"&amp;$J374+7)/COUNTIFS('Weekly Log'!$H:$H,"&lt;&gt;",'Weekly Log'!$A:$A,"&gt;="&amp;$J374,'Weekly Log'!$A:$A,"&lt;"&amp;$J374+7),0))</f>
        <v/>
      </c>
      <c r="E374" t="str">
        <f>IF($J374="","",IFERROR(AVERAGEIFS('Weekly Log'!$F:$F,'Weekly Log'!$A:$A,"&gt;="&amp;$J374,'Weekly Log'!$A:$A,"&lt;"&amp;$J374+7),0))</f>
        <v/>
      </c>
      <c r="F374" t="str">
        <f>IF($J374="","",IFERROR(SUMIFS('Weekly Log'!$F:$F,'Weekly Log'!$A:$A,"&gt;="&amp;$J374,'Weekly Log'!$A:$A,"&lt;"&amp;$J374+7)/SUMIFS('Weekly Log'!$E:$E,'Weekly Log'!$A:$A,"&gt;="&amp;$J374,'Weekly Log'!$A:$A,"&lt;"&amp;$J374+7),0))</f>
        <v/>
      </c>
      <c r="G374" t="str">
        <f>IF($J374="","",IFERROR(LOOKUP(2,1/(('Weekly Log'!$A$5:$A$5000&gt;=$J374)*('Weekly Log'!$A$5:$A$5000&lt;$J374+7)*('Weekly Log'!$M$5:$M$5000&lt;&gt;"")),'Weekly Log'!$M$5:$M$5000),0))</f>
        <v/>
      </c>
      <c r="J374" t="str">
        <f>IF(COUNT('Weekly Log'!$A$5:$A$5000)=0,"",IF(MIN('Weekly Log'!$A$5:$A$5000)+7*(ROW()-10)&gt;MAX('Weekly Log'!$A$5:$A$5000),"",MIN('Weekly Log'!$A$5:$A$5000)+7*(ROW()-10)))</f>
        <v/>
      </c>
    </row>
    <row r="375" spans="1:10" x14ac:dyDescent="0.25">
      <c r="A375" t="str">
        <f t="shared" si="5"/>
        <v/>
      </c>
      <c r="B375" t="str">
        <f>IF($J375="","",SUMIFS('Weekly Log'!$C:$C,'Weekly Log'!$A:$A,"&gt;="&amp;$J375,'Weekly Log'!$A:$A,"&lt;"&amp;$J375+7))</f>
        <v/>
      </c>
      <c r="C375" t="str">
        <f>IF($J375="","",IFERROR(COUNTIFS('Weekly Log'!$G:$G,"Y",'Weekly Log'!$A:$A,"&gt;="&amp;$J375,'Weekly Log'!$A:$A,"&lt;"&amp;$J375+7)/COUNTIFS('Weekly Log'!$G:$G,"&lt;&gt;",'Weekly Log'!$A:$A,"&gt;="&amp;$J375,'Weekly Log'!$A:$A,"&lt;"&amp;$J375+7),0))</f>
        <v/>
      </c>
      <c r="D375" t="str">
        <f>IF($J375="","",IFERROR(COUNTIFS('Weekly Log'!$H:$H,"Y",'Weekly Log'!$A:$A,"&gt;="&amp;$J375,'Weekly Log'!$A:$A,"&lt;"&amp;$J375+7)/COUNTIFS('Weekly Log'!$H:$H,"&lt;&gt;",'Weekly Log'!$A:$A,"&gt;="&amp;$J375,'Weekly Log'!$A:$A,"&lt;"&amp;$J375+7),0))</f>
        <v/>
      </c>
      <c r="E375" t="str">
        <f>IF($J375="","",IFERROR(AVERAGEIFS('Weekly Log'!$F:$F,'Weekly Log'!$A:$A,"&gt;="&amp;$J375,'Weekly Log'!$A:$A,"&lt;"&amp;$J375+7),0))</f>
        <v/>
      </c>
      <c r="F375" t="str">
        <f>IF($J375="","",IFERROR(SUMIFS('Weekly Log'!$F:$F,'Weekly Log'!$A:$A,"&gt;="&amp;$J375,'Weekly Log'!$A:$A,"&lt;"&amp;$J375+7)/SUMIFS('Weekly Log'!$E:$E,'Weekly Log'!$A:$A,"&gt;="&amp;$J375,'Weekly Log'!$A:$A,"&lt;"&amp;$J375+7),0))</f>
        <v/>
      </c>
      <c r="G375" t="str">
        <f>IF($J375="","",IFERROR(LOOKUP(2,1/(('Weekly Log'!$A$5:$A$5000&gt;=$J375)*('Weekly Log'!$A$5:$A$5000&lt;$J375+7)*('Weekly Log'!$M$5:$M$5000&lt;&gt;"")),'Weekly Log'!$M$5:$M$5000),0))</f>
        <v/>
      </c>
      <c r="J375" t="str">
        <f>IF(COUNT('Weekly Log'!$A$5:$A$5000)=0,"",IF(MIN('Weekly Log'!$A$5:$A$5000)+7*(ROW()-10)&gt;MAX('Weekly Log'!$A$5:$A$5000),"",MIN('Weekly Log'!$A$5:$A$5000)+7*(ROW()-10)))</f>
        <v/>
      </c>
    </row>
    <row r="376" spans="1:10" x14ac:dyDescent="0.25">
      <c r="A376" t="str">
        <f t="shared" si="5"/>
        <v/>
      </c>
      <c r="B376" t="str">
        <f>IF($J376="","",SUMIFS('Weekly Log'!$C:$C,'Weekly Log'!$A:$A,"&gt;="&amp;$J376,'Weekly Log'!$A:$A,"&lt;"&amp;$J376+7))</f>
        <v/>
      </c>
      <c r="C376" t="str">
        <f>IF($J376="","",IFERROR(COUNTIFS('Weekly Log'!$G:$G,"Y",'Weekly Log'!$A:$A,"&gt;="&amp;$J376,'Weekly Log'!$A:$A,"&lt;"&amp;$J376+7)/COUNTIFS('Weekly Log'!$G:$G,"&lt;&gt;",'Weekly Log'!$A:$A,"&gt;="&amp;$J376,'Weekly Log'!$A:$A,"&lt;"&amp;$J376+7),0))</f>
        <v/>
      </c>
      <c r="D376" t="str">
        <f>IF($J376="","",IFERROR(COUNTIFS('Weekly Log'!$H:$H,"Y",'Weekly Log'!$A:$A,"&gt;="&amp;$J376,'Weekly Log'!$A:$A,"&lt;"&amp;$J376+7)/COUNTIFS('Weekly Log'!$H:$H,"&lt;&gt;",'Weekly Log'!$A:$A,"&gt;="&amp;$J376,'Weekly Log'!$A:$A,"&lt;"&amp;$J376+7),0))</f>
        <v/>
      </c>
      <c r="E376" t="str">
        <f>IF($J376="","",IFERROR(AVERAGEIFS('Weekly Log'!$F:$F,'Weekly Log'!$A:$A,"&gt;="&amp;$J376,'Weekly Log'!$A:$A,"&lt;"&amp;$J376+7),0))</f>
        <v/>
      </c>
      <c r="F376" t="str">
        <f>IF($J376="","",IFERROR(SUMIFS('Weekly Log'!$F:$F,'Weekly Log'!$A:$A,"&gt;="&amp;$J376,'Weekly Log'!$A:$A,"&lt;"&amp;$J376+7)/SUMIFS('Weekly Log'!$E:$E,'Weekly Log'!$A:$A,"&gt;="&amp;$J376,'Weekly Log'!$A:$A,"&lt;"&amp;$J376+7),0))</f>
        <v/>
      </c>
      <c r="G376" t="str">
        <f>IF($J376="","",IFERROR(LOOKUP(2,1/(('Weekly Log'!$A$5:$A$5000&gt;=$J376)*('Weekly Log'!$A$5:$A$5000&lt;$J376+7)*('Weekly Log'!$M$5:$M$5000&lt;&gt;"")),'Weekly Log'!$M$5:$M$5000),0))</f>
        <v/>
      </c>
      <c r="J376" t="str">
        <f>IF(COUNT('Weekly Log'!$A$5:$A$5000)=0,"",IF(MIN('Weekly Log'!$A$5:$A$5000)+7*(ROW()-10)&gt;MAX('Weekly Log'!$A$5:$A$5000),"",MIN('Weekly Log'!$A$5:$A$5000)+7*(ROW()-10)))</f>
        <v/>
      </c>
    </row>
    <row r="377" spans="1:10" x14ac:dyDescent="0.25">
      <c r="A377" t="str">
        <f t="shared" si="5"/>
        <v/>
      </c>
      <c r="B377" t="str">
        <f>IF($J377="","",SUMIFS('Weekly Log'!$C:$C,'Weekly Log'!$A:$A,"&gt;="&amp;$J377,'Weekly Log'!$A:$A,"&lt;"&amp;$J377+7))</f>
        <v/>
      </c>
      <c r="C377" t="str">
        <f>IF($J377="","",IFERROR(COUNTIFS('Weekly Log'!$G:$G,"Y",'Weekly Log'!$A:$A,"&gt;="&amp;$J377,'Weekly Log'!$A:$A,"&lt;"&amp;$J377+7)/COUNTIFS('Weekly Log'!$G:$G,"&lt;&gt;",'Weekly Log'!$A:$A,"&gt;="&amp;$J377,'Weekly Log'!$A:$A,"&lt;"&amp;$J377+7),0))</f>
        <v/>
      </c>
      <c r="D377" t="str">
        <f>IF($J377="","",IFERROR(COUNTIFS('Weekly Log'!$H:$H,"Y",'Weekly Log'!$A:$A,"&gt;="&amp;$J377,'Weekly Log'!$A:$A,"&lt;"&amp;$J377+7)/COUNTIFS('Weekly Log'!$H:$H,"&lt;&gt;",'Weekly Log'!$A:$A,"&gt;="&amp;$J377,'Weekly Log'!$A:$A,"&lt;"&amp;$J377+7),0))</f>
        <v/>
      </c>
      <c r="E377" t="str">
        <f>IF($J377="","",IFERROR(AVERAGEIFS('Weekly Log'!$F:$F,'Weekly Log'!$A:$A,"&gt;="&amp;$J377,'Weekly Log'!$A:$A,"&lt;"&amp;$J377+7),0))</f>
        <v/>
      </c>
      <c r="F377" t="str">
        <f>IF($J377="","",IFERROR(SUMIFS('Weekly Log'!$F:$F,'Weekly Log'!$A:$A,"&gt;="&amp;$J377,'Weekly Log'!$A:$A,"&lt;"&amp;$J377+7)/SUMIFS('Weekly Log'!$E:$E,'Weekly Log'!$A:$A,"&gt;="&amp;$J377,'Weekly Log'!$A:$A,"&lt;"&amp;$J377+7),0))</f>
        <v/>
      </c>
      <c r="G377" t="str">
        <f>IF($J377="","",IFERROR(LOOKUP(2,1/(('Weekly Log'!$A$5:$A$5000&gt;=$J377)*('Weekly Log'!$A$5:$A$5000&lt;$J377+7)*('Weekly Log'!$M$5:$M$5000&lt;&gt;"")),'Weekly Log'!$M$5:$M$5000),0))</f>
        <v/>
      </c>
      <c r="J377" t="str">
        <f>IF(COUNT('Weekly Log'!$A$5:$A$5000)=0,"",IF(MIN('Weekly Log'!$A$5:$A$5000)+7*(ROW()-10)&gt;MAX('Weekly Log'!$A$5:$A$5000),"",MIN('Weekly Log'!$A$5:$A$5000)+7*(ROW()-10)))</f>
        <v/>
      </c>
    </row>
    <row r="378" spans="1:10" x14ac:dyDescent="0.25">
      <c r="A378" t="str">
        <f t="shared" si="5"/>
        <v/>
      </c>
      <c r="B378" t="str">
        <f>IF($J378="","",SUMIFS('Weekly Log'!$C:$C,'Weekly Log'!$A:$A,"&gt;="&amp;$J378,'Weekly Log'!$A:$A,"&lt;"&amp;$J378+7))</f>
        <v/>
      </c>
      <c r="C378" t="str">
        <f>IF($J378="","",IFERROR(COUNTIFS('Weekly Log'!$G:$G,"Y",'Weekly Log'!$A:$A,"&gt;="&amp;$J378,'Weekly Log'!$A:$A,"&lt;"&amp;$J378+7)/COUNTIFS('Weekly Log'!$G:$G,"&lt;&gt;",'Weekly Log'!$A:$A,"&gt;="&amp;$J378,'Weekly Log'!$A:$A,"&lt;"&amp;$J378+7),0))</f>
        <v/>
      </c>
      <c r="D378" t="str">
        <f>IF($J378="","",IFERROR(COUNTIFS('Weekly Log'!$H:$H,"Y",'Weekly Log'!$A:$A,"&gt;="&amp;$J378,'Weekly Log'!$A:$A,"&lt;"&amp;$J378+7)/COUNTIFS('Weekly Log'!$H:$H,"&lt;&gt;",'Weekly Log'!$A:$A,"&gt;="&amp;$J378,'Weekly Log'!$A:$A,"&lt;"&amp;$J378+7),0))</f>
        <v/>
      </c>
      <c r="E378" t="str">
        <f>IF($J378="","",IFERROR(AVERAGEIFS('Weekly Log'!$F:$F,'Weekly Log'!$A:$A,"&gt;="&amp;$J378,'Weekly Log'!$A:$A,"&lt;"&amp;$J378+7),0))</f>
        <v/>
      </c>
      <c r="F378" t="str">
        <f>IF($J378="","",IFERROR(SUMIFS('Weekly Log'!$F:$F,'Weekly Log'!$A:$A,"&gt;="&amp;$J378,'Weekly Log'!$A:$A,"&lt;"&amp;$J378+7)/SUMIFS('Weekly Log'!$E:$E,'Weekly Log'!$A:$A,"&gt;="&amp;$J378,'Weekly Log'!$A:$A,"&lt;"&amp;$J378+7),0))</f>
        <v/>
      </c>
      <c r="G378" t="str">
        <f>IF($J378="","",IFERROR(LOOKUP(2,1/(('Weekly Log'!$A$5:$A$5000&gt;=$J378)*('Weekly Log'!$A$5:$A$5000&lt;$J378+7)*('Weekly Log'!$M$5:$M$5000&lt;&gt;"")),'Weekly Log'!$M$5:$M$5000),0))</f>
        <v/>
      </c>
      <c r="J378" t="str">
        <f>IF(COUNT('Weekly Log'!$A$5:$A$5000)=0,"",IF(MIN('Weekly Log'!$A$5:$A$5000)+7*(ROW()-10)&gt;MAX('Weekly Log'!$A$5:$A$5000),"",MIN('Weekly Log'!$A$5:$A$5000)+7*(ROW()-10)))</f>
        <v/>
      </c>
    </row>
    <row r="379" spans="1:10" x14ac:dyDescent="0.25">
      <c r="A379" t="str">
        <f t="shared" si="5"/>
        <v/>
      </c>
      <c r="B379" t="str">
        <f>IF($J379="","",SUMIFS('Weekly Log'!$C:$C,'Weekly Log'!$A:$A,"&gt;="&amp;$J379,'Weekly Log'!$A:$A,"&lt;"&amp;$J379+7))</f>
        <v/>
      </c>
      <c r="C379" t="str">
        <f>IF($J379="","",IFERROR(COUNTIFS('Weekly Log'!$G:$G,"Y",'Weekly Log'!$A:$A,"&gt;="&amp;$J379,'Weekly Log'!$A:$A,"&lt;"&amp;$J379+7)/COUNTIFS('Weekly Log'!$G:$G,"&lt;&gt;",'Weekly Log'!$A:$A,"&gt;="&amp;$J379,'Weekly Log'!$A:$A,"&lt;"&amp;$J379+7),0))</f>
        <v/>
      </c>
      <c r="D379" t="str">
        <f>IF($J379="","",IFERROR(COUNTIFS('Weekly Log'!$H:$H,"Y",'Weekly Log'!$A:$A,"&gt;="&amp;$J379,'Weekly Log'!$A:$A,"&lt;"&amp;$J379+7)/COUNTIFS('Weekly Log'!$H:$H,"&lt;&gt;",'Weekly Log'!$A:$A,"&gt;="&amp;$J379,'Weekly Log'!$A:$A,"&lt;"&amp;$J379+7),0))</f>
        <v/>
      </c>
      <c r="E379" t="str">
        <f>IF($J379="","",IFERROR(AVERAGEIFS('Weekly Log'!$F:$F,'Weekly Log'!$A:$A,"&gt;="&amp;$J379,'Weekly Log'!$A:$A,"&lt;"&amp;$J379+7),0))</f>
        <v/>
      </c>
      <c r="F379" t="str">
        <f>IF($J379="","",IFERROR(SUMIFS('Weekly Log'!$F:$F,'Weekly Log'!$A:$A,"&gt;="&amp;$J379,'Weekly Log'!$A:$A,"&lt;"&amp;$J379+7)/SUMIFS('Weekly Log'!$E:$E,'Weekly Log'!$A:$A,"&gt;="&amp;$J379,'Weekly Log'!$A:$A,"&lt;"&amp;$J379+7),0))</f>
        <v/>
      </c>
      <c r="G379" t="str">
        <f>IF($J379="","",IFERROR(LOOKUP(2,1/(('Weekly Log'!$A$5:$A$5000&gt;=$J379)*('Weekly Log'!$A$5:$A$5000&lt;$J379+7)*('Weekly Log'!$M$5:$M$5000&lt;&gt;"")),'Weekly Log'!$M$5:$M$5000),0))</f>
        <v/>
      </c>
      <c r="J379" t="str">
        <f>IF(COUNT('Weekly Log'!$A$5:$A$5000)=0,"",IF(MIN('Weekly Log'!$A$5:$A$5000)+7*(ROW()-10)&gt;MAX('Weekly Log'!$A$5:$A$5000),"",MIN('Weekly Log'!$A$5:$A$5000)+7*(ROW()-10)))</f>
        <v/>
      </c>
    </row>
    <row r="380" spans="1:10" x14ac:dyDescent="0.25">
      <c r="A380" t="str">
        <f t="shared" si="5"/>
        <v/>
      </c>
      <c r="B380" t="str">
        <f>IF($J380="","",SUMIFS('Weekly Log'!$C:$C,'Weekly Log'!$A:$A,"&gt;="&amp;$J380,'Weekly Log'!$A:$A,"&lt;"&amp;$J380+7))</f>
        <v/>
      </c>
      <c r="C380" t="str">
        <f>IF($J380="","",IFERROR(COUNTIFS('Weekly Log'!$G:$G,"Y",'Weekly Log'!$A:$A,"&gt;="&amp;$J380,'Weekly Log'!$A:$A,"&lt;"&amp;$J380+7)/COUNTIFS('Weekly Log'!$G:$G,"&lt;&gt;",'Weekly Log'!$A:$A,"&gt;="&amp;$J380,'Weekly Log'!$A:$A,"&lt;"&amp;$J380+7),0))</f>
        <v/>
      </c>
      <c r="D380" t="str">
        <f>IF($J380="","",IFERROR(COUNTIFS('Weekly Log'!$H:$H,"Y",'Weekly Log'!$A:$A,"&gt;="&amp;$J380,'Weekly Log'!$A:$A,"&lt;"&amp;$J380+7)/COUNTIFS('Weekly Log'!$H:$H,"&lt;&gt;",'Weekly Log'!$A:$A,"&gt;="&amp;$J380,'Weekly Log'!$A:$A,"&lt;"&amp;$J380+7),0))</f>
        <v/>
      </c>
      <c r="E380" t="str">
        <f>IF($J380="","",IFERROR(AVERAGEIFS('Weekly Log'!$F:$F,'Weekly Log'!$A:$A,"&gt;="&amp;$J380,'Weekly Log'!$A:$A,"&lt;"&amp;$J380+7),0))</f>
        <v/>
      </c>
      <c r="F380" t="str">
        <f>IF($J380="","",IFERROR(SUMIFS('Weekly Log'!$F:$F,'Weekly Log'!$A:$A,"&gt;="&amp;$J380,'Weekly Log'!$A:$A,"&lt;"&amp;$J380+7)/SUMIFS('Weekly Log'!$E:$E,'Weekly Log'!$A:$A,"&gt;="&amp;$J380,'Weekly Log'!$A:$A,"&lt;"&amp;$J380+7),0))</f>
        <v/>
      </c>
      <c r="G380" t="str">
        <f>IF($J380="","",IFERROR(LOOKUP(2,1/(('Weekly Log'!$A$5:$A$5000&gt;=$J380)*('Weekly Log'!$A$5:$A$5000&lt;$J380+7)*('Weekly Log'!$M$5:$M$5000&lt;&gt;"")),'Weekly Log'!$M$5:$M$5000),0))</f>
        <v/>
      </c>
      <c r="J380" t="str">
        <f>IF(COUNT('Weekly Log'!$A$5:$A$5000)=0,"",IF(MIN('Weekly Log'!$A$5:$A$5000)+7*(ROW()-10)&gt;MAX('Weekly Log'!$A$5:$A$5000),"",MIN('Weekly Log'!$A$5:$A$5000)+7*(ROW()-10)))</f>
        <v/>
      </c>
    </row>
    <row r="381" spans="1:10" x14ac:dyDescent="0.25">
      <c r="A381" t="str">
        <f t="shared" si="5"/>
        <v/>
      </c>
      <c r="B381" t="str">
        <f>IF($J381="","",SUMIFS('Weekly Log'!$C:$C,'Weekly Log'!$A:$A,"&gt;="&amp;$J381,'Weekly Log'!$A:$A,"&lt;"&amp;$J381+7))</f>
        <v/>
      </c>
      <c r="C381" t="str">
        <f>IF($J381="","",IFERROR(COUNTIFS('Weekly Log'!$G:$G,"Y",'Weekly Log'!$A:$A,"&gt;="&amp;$J381,'Weekly Log'!$A:$A,"&lt;"&amp;$J381+7)/COUNTIFS('Weekly Log'!$G:$G,"&lt;&gt;",'Weekly Log'!$A:$A,"&gt;="&amp;$J381,'Weekly Log'!$A:$A,"&lt;"&amp;$J381+7),0))</f>
        <v/>
      </c>
      <c r="D381" t="str">
        <f>IF($J381="","",IFERROR(COUNTIFS('Weekly Log'!$H:$H,"Y",'Weekly Log'!$A:$A,"&gt;="&amp;$J381,'Weekly Log'!$A:$A,"&lt;"&amp;$J381+7)/COUNTIFS('Weekly Log'!$H:$H,"&lt;&gt;",'Weekly Log'!$A:$A,"&gt;="&amp;$J381,'Weekly Log'!$A:$A,"&lt;"&amp;$J381+7),0))</f>
        <v/>
      </c>
      <c r="E381" t="str">
        <f>IF($J381="","",IFERROR(AVERAGEIFS('Weekly Log'!$F:$F,'Weekly Log'!$A:$A,"&gt;="&amp;$J381,'Weekly Log'!$A:$A,"&lt;"&amp;$J381+7),0))</f>
        <v/>
      </c>
      <c r="F381" t="str">
        <f>IF($J381="","",IFERROR(SUMIFS('Weekly Log'!$F:$F,'Weekly Log'!$A:$A,"&gt;="&amp;$J381,'Weekly Log'!$A:$A,"&lt;"&amp;$J381+7)/SUMIFS('Weekly Log'!$E:$E,'Weekly Log'!$A:$A,"&gt;="&amp;$J381,'Weekly Log'!$A:$A,"&lt;"&amp;$J381+7),0))</f>
        <v/>
      </c>
      <c r="G381" t="str">
        <f>IF($J381="","",IFERROR(LOOKUP(2,1/(('Weekly Log'!$A$5:$A$5000&gt;=$J381)*('Weekly Log'!$A$5:$A$5000&lt;$J381+7)*('Weekly Log'!$M$5:$M$5000&lt;&gt;"")),'Weekly Log'!$M$5:$M$5000),0))</f>
        <v/>
      </c>
      <c r="J381" t="str">
        <f>IF(COUNT('Weekly Log'!$A$5:$A$5000)=0,"",IF(MIN('Weekly Log'!$A$5:$A$5000)+7*(ROW()-10)&gt;MAX('Weekly Log'!$A$5:$A$5000),"",MIN('Weekly Log'!$A$5:$A$5000)+7*(ROW()-10)))</f>
        <v/>
      </c>
    </row>
    <row r="382" spans="1:10" x14ac:dyDescent="0.25">
      <c r="A382" t="str">
        <f t="shared" si="5"/>
        <v/>
      </c>
      <c r="B382" t="str">
        <f>IF($J382="","",SUMIFS('Weekly Log'!$C:$C,'Weekly Log'!$A:$A,"&gt;="&amp;$J382,'Weekly Log'!$A:$A,"&lt;"&amp;$J382+7))</f>
        <v/>
      </c>
      <c r="C382" t="str">
        <f>IF($J382="","",IFERROR(COUNTIFS('Weekly Log'!$G:$G,"Y",'Weekly Log'!$A:$A,"&gt;="&amp;$J382,'Weekly Log'!$A:$A,"&lt;"&amp;$J382+7)/COUNTIFS('Weekly Log'!$G:$G,"&lt;&gt;",'Weekly Log'!$A:$A,"&gt;="&amp;$J382,'Weekly Log'!$A:$A,"&lt;"&amp;$J382+7),0))</f>
        <v/>
      </c>
      <c r="D382" t="str">
        <f>IF($J382="","",IFERROR(COUNTIFS('Weekly Log'!$H:$H,"Y",'Weekly Log'!$A:$A,"&gt;="&amp;$J382,'Weekly Log'!$A:$A,"&lt;"&amp;$J382+7)/COUNTIFS('Weekly Log'!$H:$H,"&lt;&gt;",'Weekly Log'!$A:$A,"&gt;="&amp;$J382,'Weekly Log'!$A:$A,"&lt;"&amp;$J382+7),0))</f>
        <v/>
      </c>
      <c r="E382" t="str">
        <f>IF($J382="","",IFERROR(AVERAGEIFS('Weekly Log'!$F:$F,'Weekly Log'!$A:$A,"&gt;="&amp;$J382,'Weekly Log'!$A:$A,"&lt;"&amp;$J382+7),0))</f>
        <v/>
      </c>
      <c r="F382" t="str">
        <f>IF($J382="","",IFERROR(SUMIFS('Weekly Log'!$F:$F,'Weekly Log'!$A:$A,"&gt;="&amp;$J382,'Weekly Log'!$A:$A,"&lt;"&amp;$J382+7)/SUMIFS('Weekly Log'!$E:$E,'Weekly Log'!$A:$A,"&gt;="&amp;$J382,'Weekly Log'!$A:$A,"&lt;"&amp;$J382+7),0))</f>
        <v/>
      </c>
      <c r="G382" t="str">
        <f>IF($J382="","",IFERROR(LOOKUP(2,1/(('Weekly Log'!$A$5:$A$5000&gt;=$J382)*('Weekly Log'!$A$5:$A$5000&lt;$J382+7)*('Weekly Log'!$M$5:$M$5000&lt;&gt;"")),'Weekly Log'!$M$5:$M$5000),0))</f>
        <v/>
      </c>
      <c r="J382" t="str">
        <f>IF(COUNT('Weekly Log'!$A$5:$A$5000)=0,"",IF(MIN('Weekly Log'!$A$5:$A$5000)+7*(ROW()-10)&gt;MAX('Weekly Log'!$A$5:$A$5000),"",MIN('Weekly Log'!$A$5:$A$5000)+7*(ROW()-10)))</f>
        <v/>
      </c>
    </row>
    <row r="383" spans="1:10" x14ac:dyDescent="0.25">
      <c r="A383" t="str">
        <f t="shared" si="5"/>
        <v/>
      </c>
      <c r="B383" t="str">
        <f>IF($J383="","",SUMIFS('Weekly Log'!$C:$C,'Weekly Log'!$A:$A,"&gt;="&amp;$J383,'Weekly Log'!$A:$A,"&lt;"&amp;$J383+7))</f>
        <v/>
      </c>
      <c r="C383" t="str">
        <f>IF($J383="","",IFERROR(COUNTIFS('Weekly Log'!$G:$G,"Y",'Weekly Log'!$A:$A,"&gt;="&amp;$J383,'Weekly Log'!$A:$A,"&lt;"&amp;$J383+7)/COUNTIFS('Weekly Log'!$G:$G,"&lt;&gt;",'Weekly Log'!$A:$A,"&gt;="&amp;$J383,'Weekly Log'!$A:$A,"&lt;"&amp;$J383+7),0))</f>
        <v/>
      </c>
      <c r="D383" t="str">
        <f>IF($J383="","",IFERROR(COUNTIFS('Weekly Log'!$H:$H,"Y",'Weekly Log'!$A:$A,"&gt;="&amp;$J383,'Weekly Log'!$A:$A,"&lt;"&amp;$J383+7)/COUNTIFS('Weekly Log'!$H:$H,"&lt;&gt;",'Weekly Log'!$A:$A,"&gt;="&amp;$J383,'Weekly Log'!$A:$A,"&lt;"&amp;$J383+7),0))</f>
        <v/>
      </c>
      <c r="E383" t="str">
        <f>IF($J383="","",IFERROR(AVERAGEIFS('Weekly Log'!$F:$F,'Weekly Log'!$A:$A,"&gt;="&amp;$J383,'Weekly Log'!$A:$A,"&lt;"&amp;$J383+7),0))</f>
        <v/>
      </c>
      <c r="F383" t="str">
        <f>IF($J383="","",IFERROR(SUMIFS('Weekly Log'!$F:$F,'Weekly Log'!$A:$A,"&gt;="&amp;$J383,'Weekly Log'!$A:$A,"&lt;"&amp;$J383+7)/SUMIFS('Weekly Log'!$E:$E,'Weekly Log'!$A:$A,"&gt;="&amp;$J383,'Weekly Log'!$A:$A,"&lt;"&amp;$J383+7),0))</f>
        <v/>
      </c>
      <c r="G383" t="str">
        <f>IF($J383="","",IFERROR(LOOKUP(2,1/(('Weekly Log'!$A$5:$A$5000&gt;=$J383)*('Weekly Log'!$A$5:$A$5000&lt;$J383+7)*('Weekly Log'!$M$5:$M$5000&lt;&gt;"")),'Weekly Log'!$M$5:$M$5000),0))</f>
        <v/>
      </c>
      <c r="J383" t="str">
        <f>IF(COUNT('Weekly Log'!$A$5:$A$5000)=0,"",IF(MIN('Weekly Log'!$A$5:$A$5000)+7*(ROW()-10)&gt;MAX('Weekly Log'!$A$5:$A$5000),"",MIN('Weekly Log'!$A$5:$A$5000)+7*(ROW()-10)))</f>
        <v/>
      </c>
    </row>
    <row r="384" spans="1:10" x14ac:dyDescent="0.25">
      <c r="A384" t="str">
        <f t="shared" si="5"/>
        <v/>
      </c>
      <c r="B384" t="str">
        <f>IF($J384="","",SUMIFS('Weekly Log'!$C:$C,'Weekly Log'!$A:$A,"&gt;="&amp;$J384,'Weekly Log'!$A:$A,"&lt;"&amp;$J384+7))</f>
        <v/>
      </c>
      <c r="C384" t="str">
        <f>IF($J384="","",IFERROR(COUNTIFS('Weekly Log'!$G:$G,"Y",'Weekly Log'!$A:$A,"&gt;="&amp;$J384,'Weekly Log'!$A:$A,"&lt;"&amp;$J384+7)/COUNTIFS('Weekly Log'!$G:$G,"&lt;&gt;",'Weekly Log'!$A:$A,"&gt;="&amp;$J384,'Weekly Log'!$A:$A,"&lt;"&amp;$J384+7),0))</f>
        <v/>
      </c>
      <c r="D384" t="str">
        <f>IF($J384="","",IFERROR(COUNTIFS('Weekly Log'!$H:$H,"Y",'Weekly Log'!$A:$A,"&gt;="&amp;$J384,'Weekly Log'!$A:$A,"&lt;"&amp;$J384+7)/COUNTIFS('Weekly Log'!$H:$H,"&lt;&gt;",'Weekly Log'!$A:$A,"&gt;="&amp;$J384,'Weekly Log'!$A:$A,"&lt;"&amp;$J384+7),0))</f>
        <v/>
      </c>
      <c r="E384" t="str">
        <f>IF($J384="","",IFERROR(AVERAGEIFS('Weekly Log'!$F:$F,'Weekly Log'!$A:$A,"&gt;="&amp;$J384,'Weekly Log'!$A:$A,"&lt;"&amp;$J384+7),0))</f>
        <v/>
      </c>
      <c r="F384" t="str">
        <f>IF($J384="","",IFERROR(SUMIFS('Weekly Log'!$F:$F,'Weekly Log'!$A:$A,"&gt;="&amp;$J384,'Weekly Log'!$A:$A,"&lt;"&amp;$J384+7)/SUMIFS('Weekly Log'!$E:$E,'Weekly Log'!$A:$A,"&gt;="&amp;$J384,'Weekly Log'!$A:$A,"&lt;"&amp;$J384+7),0))</f>
        <v/>
      </c>
      <c r="G384" t="str">
        <f>IF($J384="","",IFERROR(LOOKUP(2,1/(('Weekly Log'!$A$5:$A$5000&gt;=$J384)*('Weekly Log'!$A$5:$A$5000&lt;$J384+7)*('Weekly Log'!$M$5:$M$5000&lt;&gt;"")),'Weekly Log'!$M$5:$M$5000),0))</f>
        <v/>
      </c>
      <c r="J384" t="str">
        <f>IF(COUNT('Weekly Log'!$A$5:$A$5000)=0,"",IF(MIN('Weekly Log'!$A$5:$A$5000)+7*(ROW()-10)&gt;MAX('Weekly Log'!$A$5:$A$5000),"",MIN('Weekly Log'!$A$5:$A$5000)+7*(ROW()-10)))</f>
        <v/>
      </c>
    </row>
    <row r="385" spans="1:10" x14ac:dyDescent="0.25">
      <c r="A385" t="str">
        <f t="shared" si="5"/>
        <v/>
      </c>
      <c r="B385" t="str">
        <f>IF($J385="","",SUMIFS('Weekly Log'!$C:$C,'Weekly Log'!$A:$A,"&gt;="&amp;$J385,'Weekly Log'!$A:$A,"&lt;"&amp;$J385+7))</f>
        <v/>
      </c>
      <c r="C385" t="str">
        <f>IF($J385="","",IFERROR(COUNTIFS('Weekly Log'!$G:$G,"Y",'Weekly Log'!$A:$A,"&gt;="&amp;$J385,'Weekly Log'!$A:$A,"&lt;"&amp;$J385+7)/COUNTIFS('Weekly Log'!$G:$G,"&lt;&gt;",'Weekly Log'!$A:$A,"&gt;="&amp;$J385,'Weekly Log'!$A:$A,"&lt;"&amp;$J385+7),0))</f>
        <v/>
      </c>
      <c r="D385" t="str">
        <f>IF($J385="","",IFERROR(COUNTIFS('Weekly Log'!$H:$H,"Y",'Weekly Log'!$A:$A,"&gt;="&amp;$J385,'Weekly Log'!$A:$A,"&lt;"&amp;$J385+7)/COUNTIFS('Weekly Log'!$H:$H,"&lt;&gt;",'Weekly Log'!$A:$A,"&gt;="&amp;$J385,'Weekly Log'!$A:$A,"&lt;"&amp;$J385+7),0))</f>
        <v/>
      </c>
      <c r="E385" t="str">
        <f>IF($J385="","",IFERROR(AVERAGEIFS('Weekly Log'!$F:$F,'Weekly Log'!$A:$A,"&gt;="&amp;$J385,'Weekly Log'!$A:$A,"&lt;"&amp;$J385+7),0))</f>
        <v/>
      </c>
      <c r="F385" t="str">
        <f>IF($J385="","",IFERROR(SUMIFS('Weekly Log'!$F:$F,'Weekly Log'!$A:$A,"&gt;="&amp;$J385,'Weekly Log'!$A:$A,"&lt;"&amp;$J385+7)/SUMIFS('Weekly Log'!$E:$E,'Weekly Log'!$A:$A,"&gt;="&amp;$J385,'Weekly Log'!$A:$A,"&lt;"&amp;$J385+7),0))</f>
        <v/>
      </c>
      <c r="G385" t="str">
        <f>IF($J385="","",IFERROR(LOOKUP(2,1/(('Weekly Log'!$A$5:$A$5000&gt;=$J385)*('Weekly Log'!$A$5:$A$5000&lt;$J385+7)*('Weekly Log'!$M$5:$M$5000&lt;&gt;"")),'Weekly Log'!$M$5:$M$5000),0))</f>
        <v/>
      </c>
      <c r="J385" t="str">
        <f>IF(COUNT('Weekly Log'!$A$5:$A$5000)=0,"",IF(MIN('Weekly Log'!$A$5:$A$5000)+7*(ROW()-10)&gt;MAX('Weekly Log'!$A$5:$A$5000),"",MIN('Weekly Log'!$A$5:$A$5000)+7*(ROW()-10)))</f>
        <v/>
      </c>
    </row>
    <row r="386" spans="1:10" x14ac:dyDescent="0.25">
      <c r="A386" t="str">
        <f t="shared" si="5"/>
        <v/>
      </c>
      <c r="B386" t="str">
        <f>IF($J386="","",SUMIFS('Weekly Log'!$C:$C,'Weekly Log'!$A:$A,"&gt;="&amp;$J386,'Weekly Log'!$A:$A,"&lt;"&amp;$J386+7))</f>
        <v/>
      </c>
      <c r="C386" t="str">
        <f>IF($J386="","",IFERROR(COUNTIFS('Weekly Log'!$G:$G,"Y",'Weekly Log'!$A:$A,"&gt;="&amp;$J386,'Weekly Log'!$A:$A,"&lt;"&amp;$J386+7)/COUNTIFS('Weekly Log'!$G:$G,"&lt;&gt;",'Weekly Log'!$A:$A,"&gt;="&amp;$J386,'Weekly Log'!$A:$A,"&lt;"&amp;$J386+7),0))</f>
        <v/>
      </c>
      <c r="D386" t="str">
        <f>IF($J386="","",IFERROR(COUNTIFS('Weekly Log'!$H:$H,"Y",'Weekly Log'!$A:$A,"&gt;="&amp;$J386,'Weekly Log'!$A:$A,"&lt;"&amp;$J386+7)/COUNTIFS('Weekly Log'!$H:$H,"&lt;&gt;",'Weekly Log'!$A:$A,"&gt;="&amp;$J386,'Weekly Log'!$A:$A,"&lt;"&amp;$J386+7),0))</f>
        <v/>
      </c>
      <c r="E386" t="str">
        <f>IF($J386="","",IFERROR(AVERAGEIFS('Weekly Log'!$F:$F,'Weekly Log'!$A:$A,"&gt;="&amp;$J386,'Weekly Log'!$A:$A,"&lt;"&amp;$J386+7),0))</f>
        <v/>
      </c>
      <c r="F386" t="str">
        <f>IF($J386="","",IFERROR(SUMIFS('Weekly Log'!$F:$F,'Weekly Log'!$A:$A,"&gt;="&amp;$J386,'Weekly Log'!$A:$A,"&lt;"&amp;$J386+7)/SUMIFS('Weekly Log'!$E:$E,'Weekly Log'!$A:$A,"&gt;="&amp;$J386,'Weekly Log'!$A:$A,"&lt;"&amp;$J386+7),0))</f>
        <v/>
      </c>
      <c r="G386" t="str">
        <f>IF($J386="","",IFERROR(LOOKUP(2,1/(('Weekly Log'!$A$5:$A$5000&gt;=$J386)*('Weekly Log'!$A$5:$A$5000&lt;$J386+7)*('Weekly Log'!$M$5:$M$5000&lt;&gt;"")),'Weekly Log'!$M$5:$M$5000),0))</f>
        <v/>
      </c>
      <c r="J386" t="str">
        <f>IF(COUNT('Weekly Log'!$A$5:$A$5000)=0,"",IF(MIN('Weekly Log'!$A$5:$A$5000)+7*(ROW()-10)&gt;MAX('Weekly Log'!$A$5:$A$5000),"",MIN('Weekly Log'!$A$5:$A$5000)+7*(ROW()-10)))</f>
        <v/>
      </c>
    </row>
    <row r="387" spans="1:10" x14ac:dyDescent="0.25">
      <c r="A387" t="str">
        <f t="shared" si="5"/>
        <v/>
      </c>
      <c r="B387" t="str">
        <f>IF($J387="","",SUMIFS('Weekly Log'!$C:$C,'Weekly Log'!$A:$A,"&gt;="&amp;$J387,'Weekly Log'!$A:$A,"&lt;"&amp;$J387+7))</f>
        <v/>
      </c>
      <c r="C387" t="str">
        <f>IF($J387="","",IFERROR(COUNTIFS('Weekly Log'!$G:$G,"Y",'Weekly Log'!$A:$A,"&gt;="&amp;$J387,'Weekly Log'!$A:$A,"&lt;"&amp;$J387+7)/COUNTIFS('Weekly Log'!$G:$G,"&lt;&gt;",'Weekly Log'!$A:$A,"&gt;="&amp;$J387,'Weekly Log'!$A:$A,"&lt;"&amp;$J387+7),0))</f>
        <v/>
      </c>
      <c r="D387" t="str">
        <f>IF($J387="","",IFERROR(COUNTIFS('Weekly Log'!$H:$H,"Y",'Weekly Log'!$A:$A,"&gt;="&amp;$J387,'Weekly Log'!$A:$A,"&lt;"&amp;$J387+7)/COUNTIFS('Weekly Log'!$H:$H,"&lt;&gt;",'Weekly Log'!$A:$A,"&gt;="&amp;$J387,'Weekly Log'!$A:$A,"&lt;"&amp;$J387+7),0))</f>
        <v/>
      </c>
      <c r="E387" t="str">
        <f>IF($J387="","",IFERROR(AVERAGEIFS('Weekly Log'!$F:$F,'Weekly Log'!$A:$A,"&gt;="&amp;$J387,'Weekly Log'!$A:$A,"&lt;"&amp;$J387+7),0))</f>
        <v/>
      </c>
      <c r="F387" t="str">
        <f>IF($J387="","",IFERROR(SUMIFS('Weekly Log'!$F:$F,'Weekly Log'!$A:$A,"&gt;="&amp;$J387,'Weekly Log'!$A:$A,"&lt;"&amp;$J387+7)/SUMIFS('Weekly Log'!$E:$E,'Weekly Log'!$A:$A,"&gt;="&amp;$J387,'Weekly Log'!$A:$A,"&lt;"&amp;$J387+7),0))</f>
        <v/>
      </c>
      <c r="G387" t="str">
        <f>IF($J387="","",IFERROR(LOOKUP(2,1/(('Weekly Log'!$A$5:$A$5000&gt;=$J387)*('Weekly Log'!$A$5:$A$5000&lt;$J387+7)*('Weekly Log'!$M$5:$M$5000&lt;&gt;"")),'Weekly Log'!$M$5:$M$5000),0))</f>
        <v/>
      </c>
      <c r="J387" t="str">
        <f>IF(COUNT('Weekly Log'!$A$5:$A$5000)=0,"",IF(MIN('Weekly Log'!$A$5:$A$5000)+7*(ROW()-10)&gt;MAX('Weekly Log'!$A$5:$A$5000),"",MIN('Weekly Log'!$A$5:$A$5000)+7*(ROW()-10)))</f>
        <v/>
      </c>
    </row>
    <row r="388" spans="1:10" x14ac:dyDescent="0.25">
      <c r="A388" t="str">
        <f t="shared" si="5"/>
        <v/>
      </c>
      <c r="B388" t="str">
        <f>IF($J388="","",SUMIFS('Weekly Log'!$C:$C,'Weekly Log'!$A:$A,"&gt;="&amp;$J388,'Weekly Log'!$A:$A,"&lt;"&amp;$J388+7))</f>
        <v/>
      </c>
      <c r="C388" t="str">
        <f>IF($J388="","",IFERROR(COUNTIFS('Weekly Log'!$G:$G,"Y",'Weekly Log'!$A:$A,"&gt;="&amp;$J388,'Weekly Log'!$A:$A,"&lt;"&amp;$J388+7)/COUNTIFS('Weekly Log'!$G:$G,"&lt;&gt;",'Weekly Log'!$A:$A,"&gt;="&amp;$J388,'Weekly Log'!$A:$A,"&lt;"&amp;$J388+7),0))</f>
        <v/>
      </c>
      <c r="D388" t="str">
        <f>IF($J388="","",IFERROR(COUNTIFS('Weekly Log'!$H:$H,"Y",'Weekly Log'!$A:$A,"&gt;="&amp;$J388,'Weekly Log'!$A:$A,"&lt;"&amp;$J388+7)/COUNTIFS('Weekly Log'!$H:$H,"&lt;&gt;",'Weekly Log'!$A:$A,"&gt;="&amp;$J388,'Weekly Log'!$A:$A,"&lt;"&amp;$J388+7),0))</f>
        <v/>
      </c>
      <c r="E388" t="str">
        <f>IF($J388="","",IFERROR(AVERAGEIFS('Weekly Log'!$F:$F,'Weekly Log'!$A:$A,"&gt;="&amp;$J388,'Weekly Log'!$A:$A,"&lt;"&amp;$J388+7),0))</f>
        <v/>
      </c>
      <c r="F388" t="str">
        <f>IF($J388="","",IFERROR(SUMIFS('Weekly Log'!$F:$F,'Weekly Log'!$A:$A,"&gt;="&amp;$J388,'Weekly Log'!$A:$A,"&lt;"&amp;$J388+7)/SUMIFS('Weekly Log'!$E:$E,'Weekly Log'!$A:$A,"&gt;="&amp;$J388,'Weekly Log'!$A:$A,"&lt;"&amp;$J388+7),0))</f>
        <v/>
      </c>
      <c r="G388" t="str">
        <f>IF($J388="","",IFERROR(LOOKUP(2,1/(('Weekly Log'!$A$5:$A$5000&gt;=$J388)*('Weekly Log'!$A$5:$A$5000&lt;$J388+7)*('Weekly Log'!$M$5:$M$5000&lt;&gt;"")),'Weekly Log'!$M$5:$M$5000),0))</f>
        <v/>
      </c>
      <c r="J388" t="str">
        <f>IF(COUNT('Weekly Log'!$A$5:$A$5000)=0,"",IF(MIN('Weekly Log'!$A$5:$A$5000)+7*(ROW()-10)&gt;MAX('Weekly Log'!$A$5:$A$5000),"",MIN('Weekly Log'!$A$5:$A$5000)+7*(ROW()-10)))</f>
        <v/>
      </c>
    </row>
    <row r="389" spans="1:10" x14ac:dyDescent="0.25">
      <c r="A389" t="str">
        <f t="shared" si="5"/>
        <v/>
      </c>
      <c r="B389" t="str">
        <f>IF($J389="","",SUMIFS('Weekly Log'!$C:$C,'Weekly Log'!$A:$A,"&gt;="&amp;$J389,'Weekly Log'!$A:$A,"&lt;"&amp;$J389+7))</f>
        <v/>
      </c>
      <c r="C389" t="str">
        <f>IF($J389="","",IFERROR(COUNTIFS('Weekly Log'!$G:$G,"Y",'Weekly Log'!$A:$A,"&gt;="&amp;$J389,'Weekly Log'!$A:$A,"&lt;"&amp;$J389+7)/COUNTIFS('Weekly Log'!$G:$G,"&lt;&gt;",'Weekly Log'!$A:$A,"&gt;="&amp;$J389,'Weekly Log'!$A:$A,"&lt;"&amp;$J389+7),0))</f>
        <v/>
      </c>
      <c r="D389" t="str">
        <f>IF($J389="","",IFERROR(COUNTIFS('Weekly Log'!$H:$H,"Y",'Weekly Log'!$A:$A,"&gt;="&amp;$J389,'Weekly Log'!$A:$A,"&lt;"&amp;$J389+7)/COUNTIFS('Weekly Log'!$H:$H,"&lt;&gt;",'Weekly Log'!$A:$A,"&gt;="&amp;$J389,'Weekly Log'!$A:$A,"&lt;"&amp;$J389+7),0))</f>
        <v/>
      </c>
      <c r="E389" t="str">
        <f>IF($J389="","",IFERROR(AVERAGEIFS('Weekly Log'!$F:$F,'Weekly Log'!$A:$A,"&gt;="&amp;$J389,'Weekly Log'!$A:$A,"&lt;"&amp;$J389+7),0))</f>
        <v/>
      </c>
      <c r="F389" t="str">
        <f>IF($J389="","",IFERROR(SUMIFS('Weekly Log'!$F:$F,'Weekly Log'!$A:$A,"&gt;="&amp;$J389,'Weekly Log'!$A:$A,"&lt;"&amp;$J389+7)/SUMIFS('Weekly Log'!$E:$E,'Weekly Log'!$A:$A,"&gt;="&amp;$J389,'Weekly Log'!$A:$A,"&lt;"&amp;$J389+7),0))</f>
        <v/>
      </c>
      <c r="G389" t="str">
        <f>IF($J389="","",IFERROR(LOOKUP(2,1/(('Weekly Log'!$A$5:$A$5000&gt;=$J389)*('Weekly Log'!$A$5:$A$5000&lt;$J389+7)*('Weekly Log'!$M$5:$M$5000&lt;&gt;"")),'Weekly Log'!$M$5:$M$5000),0))</f>
        <v/>
      </c>
      <c r="J389" t="str">
        <f>IF(COUNT('Weekly Log'!$A$5:$A$5000)=0,"",IF(MIN('Weekly Log'!$A$5:$A$5000)+7*(ROW()-10)&gt;MAX('Weekly Log'!$A$5:$A$5000),"",MIN('Weekly Log'!$A$5:$A$5000)+7*(ROW()-10)))</f>
        <v/>
      </c>
    </row>
    <row r="390" spans="1:10" x14ac:dyDescent="0.25">
      <c r="A390" t="str">
        <f t="shared" si="5"/>
        <v/>
      </c>
      <c r="B390" t="str">
        <f>IF($J390="","",SUMIFS('Weekly Log'!$C:$C,'Weekly Log'!$A:$A,"&gt;="&amp;$J390,'Weekly Log'!$A:$A,"&lt;"&amp;$J390+7))</f>
        <v/>
      </c>
      <c r="C390" t="str">
        <f>IF($J390="","",IFERROR(COUNTIFS('Weekly Log'!$G:$G,"Y",'Weekly Log'!$A:$A,"&gt;="&amp;$J390,'Weekly Log'!$A:$A,"&lt;"&amp;$J390+7)/COUNTIFS('Weekly Log'!$G:$G,"&lt;&gt;",'Weekly Log'!$A:$A,"&gt;="&amp;$J390,'Weekly Log'!$A:$A,"&lt;"&amp;$J390+7),0))</f>
        <v/>
      </c>
      <c r="D390" t="str">
        <f>IF($J390="","",IFERROR(COUNTIFS('Weekly Log'!$H:$H,"Y",'Weekly Log'!$A:$A,"&gt;="&amp;$J390,'Weekly Log'!$A:$A,"&lt;"&amp;$J390+7)/COUNTIFS('Weekly Log'!$H:$H,"&lt;&gt;",'Weekly Log'!$A:$A,"&gt;="&amp;$J390,'Weekly Log'!$A:$A,"&lt;"&amp;$J390+7),0))</f>
        <v/>
      </c>
      <c r="E390" t="str">
        <f>IF($J390="","",IFERROR(AVERAGEIFS('Weekly Log'!$F:$F,'Weekly Log'!$A:$A,"&gt;="&amp;$J390,'Weekly Log'!$A:$A,"&lt;"&amp;$J390+7),0))</f>
        <v/>
      </c>
      <c r="F390" t="str">
        <f>IF($J390="","",IFERROR(SUMIFS('Weekly Log'!$F:$F,'Weekly Log'!$A:$A,"&gt;="&amp;$J390,'Weekly Log'!$A:$A,"&lt;"&amp;$J390+7)/SUMIFS('Weekly Log'!$E:$E,'Weekly Log'!$A:$A,"&gt;="&amp;$J390,'Weekly Log'!$A:$A,"&lt;"&amp;$J390+7),0))</f>
        <v/>
      </c>
      <c r="G390" t="str">
        <f>IF($J390="","",IFERROR(LOOKUP(2,1/(('Weekly Log'!$A$5:$A$5000&gt;=$J390)*('Weekly Log'!$A$5:$A$5000&lt;$J390+7)*('Weekly Log'!$M$5:$M$5000&lt;&gt;"")),'Weekly Log'!$M$5:$M$5000),0))</f>
        <v/>
      </c>
      <c r="J390" t="str">
        <f>IF(COUNT('Weekly Log'!$A$5:$A$5000)=0,"",IF(MIN('Weekly Log'!$A$5:$A$5000)+7*(ROW()-10)&gt;MAX('Weekly Log'!$A$5:$A$5000),"",MIN('Weekly Log'!$A$5:$A$5000)+7*(ROW()-10)))</f>
        <v/>
      </c>
    </row>
    <row r="391" spans="1:10" x14ac:dyDescent="0.25">
      <c r="A391" t="str">
        <f t="shared" si="5"/>
        <v/>
      </c>
      <c r="B391" t="str">
        <f>IF($J391="","",SUMIFS('Weekly Log'!$C:$C,'Weekly Log'!$A:$A,"&gt;="&amp;$J391,'Weekly Log'!$A:$A,"&lt;"&amp;$J391+7))</f>
        <v/>
      </c>
      <c r="C391" t="str">
        <f>IF($J391="","",IFERROR(COUNTIFS('Weekly Log'!$G:$G,"Y",'Weekly Log'!$A:$A,"&gt;="&amp;$J391,'Weekly Log'!$A:$A,"&lt;"&amp;$J391+7)/COUNTIFS('Weekly Log'!$G:$G,"&lt;&gt;",'Weekly Log'!$A:$A,"&gt;="&amp;$J391,'Weekly Log'!$A:$A,"&lt;"&amp;$J391+7),0))</f>
        <v/>
      </c>
      <c r="D391" t="str">
        <f>IF($J391="","",IFERROR(COUNTIFS('Weekly Log'!$H:$H,"Y",'Weekly Log'!$A:$A,"&gt;="&amp;$J391,'Weekly Log'!$A:$A,"&lt;"&amp;$J391+7)/COUNTIFS('Weekly Log'!$H:$H,"&lt;&gt;",'Weekly Log'!$A:$A,"&gt;="&amp;$J391,'Weekly Log'!$A:$A,"&lt;"&amp;$J391+7),0))</f>
        <v/>
      </c>
      <c r="E391" t="str">
        <f>IF($J391="","",IFERROR(AVERAGEIFS('Weekly Log'!$F:$F,'Weekly Log'!$A:$A,"&gt;="&amp;$J391,'Weekly Log'!$A:$A,"&lt;"&amp;$J391+7),0))</f>
        <v/>
      </c>
      <c r="F391" t="str">
        <f>IF($J391="","",IFERROR(SUMIFS('Weekly Log'!$F:$F,'Weekly Log'!$A:$A,"&gt;="&amp;$J391,'Weekly Log'!$A:$A,"&lt;"&amp;$J391+7)/SUMIFS('Weekly Log'!$E:$E,'Weekly Log'!$A:$A,"&gt;="&amp;$J391,'Weekly Log'!$A:$A,"&lt;"&amp;$J391+7),0))</f>
        <v/>
      </c>
      <c r="G391" t="str">
        <f>IF($J391="","",IFERROR(LOOKUP(2,1/(('Weekly Log'!$A$5:$A$5000&gt;=$J391)*('Weekly Log'!$A$5:$A$5000&lt;$J391+7)*('Weekly Log'!$M$5:$M$5000&lt;&gt;"")),'Weekly Log'!$M$5:$M$5000),0))</f>
        <v/>
      </c>
      <c r="J391" t="str">
        <f>IF(COUNT('Weekly Log'!$A$5:$A$5000)=0,"",IF(MIN('Weekly Log'!$A$5:$A$5000)+7*(ROW()-10)&gt;MAX('Weekly Log'!$A$5:$A$5000),"",MIN('Weekly Log'!$A$5:$A$5000)+7*(ROW()-10)))</f>
        <v/>
      </c>
    </row>
    <row r="392" spans="1:10" x14ac:dyDescent="0.25">
      <c r="A392" t="str">
        <f t="shared" si="5"/>
        <v/>
      </c>
      <c r="B392" t="str">
        <f>IF($J392="","",SUMIFS('Weekly Log'!$C:$C,'Weekly Log'!$A:$A,"&gt;="&amp;$J392,'Weekly Log'!$A:$A,"&lt;"&amp;$J392+7))</f>
        <v/>
      </c>
      <c r="C392" t="str">
        <f>IF($J392="","",IFERROR(COUNTIFS('Weekly Log'!$G:$G,"Y",'Weekly Log'!$A:$A,"&gt;="&amp;$J392,'Weekly Log'!$A:$A,"&lt;"&amp;$J392+7)/COUNTIFS('Weekly Log'!$G:$G,"&lt;&gt;",'Weekly Log'!$A:$A,"&gt;="&amp;$J392,'Weekly Log'!$A:$A,"&lt;"&amp;$J392+7),0))</f>
        <v/>
      </c>
      <c r="D392" t="str">
        <f>IF($J392="","",IFERROR(COUNTIFS('Weekly Log'!$H:$H,"Y",'Weekly Log'!$A:$A,"&gt;="&amp;$J392,'Weekly Log'!$A:$A,"&lt;"&amp;$J392+7)/COUNTIFS('Weekly Log'!$H:$H,"&lt;&gt;",'Weekly Log'!$A:$A,"&gt;="&amp;$J392,'Weekly Log'!$A:$A,"&lt;"&amp;$J392+7),0))</f>
        <v/>
      </c>
      <c r="E392" t="str">
        <f>IF($J392="","",IFERROR(AVERAGEIFS('Weekly Log'!$F:$F,'Weekly Log'!$A:$A,"&gt;="&amp;$J392,'Weekly Log'!$A:$A,"&lt;"&amp;$J392+7),0))</f>
        <v/>
      </c>
      <c r="F392" t="str">
        <f>IF($J392="","",IFERROR(SUMIFS('Weekly Log'!$F:$F,'Weekly Log'!$A:$A,"&gt;="&amp;$J392,'Weekly Log'!$A:$A,"&lt;"&amp;$J392+7)/SUMIFS('Weekly Log'!$E:$E,'Weekly Log'!$A:$A,"&gt;="&amp;$J392,'Weekly Log'!$A:$A,"&lt;"&amp;$J392+7),0))</f>
        <v/>
      </c>
      <c r="G392" t="str">
        <f>IF($J392="","",IFERROR(LOOKUP(2,1/(('Weekly Log'!$A$5:$A$5000&gt;=$J392)*('Weekly Log'!$A$5:$A$5000&lt;$J392+7)*('Weekly Log'!$M$5:$M$5000&lt;&gt;"")),'Weekly Log'!$M$5:$M$5000),0))</f>
        <v/>
      </c>
      <c r="J392" t="str">
        <f>IF(COUNT('Weekly Log'!$A$5:$A$5000)=0,"",IF(MIN('Weekly Log'!$A$5:$A$5000)+7*(ROW()-10)&gt;MAX('Weekly Log'!$A$5:$A$5000),"",MIN('Weekly Log'!$A$5:$A$5000)+7*(ROW()-10)))</f>
        <v/>
      </c>
    </row>
    <row r="393" spans="1:10" x14ac:dyDescent="0.25">
      <c r="A393" t="str">
        <f t="shared" si="5"/>
        <v/>
      </c>
      <c r="B393" t="str">
        <f>IF($J393="","",SUMIFS('Weekly Log'!$C:$C,'Weekly Log'!$A:$A,"&gt;="&amp;$J393,'Weekly Log'!$A:$A,"&lt;"&amp;$J393+7))</f>
        <v/>
      </c>
      <c r="C393" t="str">
        <f>IF($J393="","",IFERROR(COUNTIFS('Weekly Log'!$G:$G,"Y",'Weekly Log'!$A:$A,"&gt;="&amp;$J393,'Weekly Log'!$A:$A,"&lt;"&amp;$J393+7)/COUNTIFS('Weekly Log'!$G:$G,"&lt;&gt;",'Weekly Log'!$A:$A,"&gt;="&amp;$J393,'Weekly Log'!$A:$A,"&lt;"&amp;$J393+7),0))</f>
        <v/>
      </c>
      <c r="D393" t="str">
        <f>IF($J393="","",IFERROR(COUNTIFS('Weekly Log'!$H:$H,"Y",'Weekly Log'!$A:$A,"&gt;="&amp;$J393,'Weekly Log'!$A:$A,"&lt;"&amp;$J393+7)/COUNTIFS('Weekly Log'!$H:$H,"&lt;&gt;",'Weekly Log'!$A:$A,"&gt;="&amp;$J393,'Weekly Log'!$A:$A,"&lt;"&amp;$J393+7),0))</f>
        <v/>
      </c>
      <c r="E393" t="str">
        <f>IF($J393="","",IFERROR(AVERAGEIFS('Weekly Log'!$F:$F,'Weekly Log'!$A:$A,"&gt;="&amp;$J393,'Weekly Log'!$A:$A,"&lt;"&amp;$J393+7),0))</f>
        <v/>
      </c>
      <c r="F393" t="str">
        <f>IF($J393="","",IFERROR(SUMIFS('Weekly Log'!$F:$F,'Weekly Log'!$A:$A,"&gt;="&amp;$J393,'Weekly Log'!$A:$A,"&lt;"&amp;$J393+7)/SUMIFS('Weekly Log'!$E:$E,'Weekly Log'!$A:$A,"&gt;="&amp;$J393,'Weekly Log'!$A:$A,"&lt;"&amp;$J393+7),0))</f>
        <v/>
      </c>
      <c r="G393" t="str">
        <f>IF($J393="","",IFERROR(LOOKUP(2,1/(('Weekly Log'!$A$5:$A$5000&gt;=$J393)*('Weekly Log'!$A$5:$A$5000&lt;$J393+7)*('Weekly Log'!$M$5:$M$5000&lt;&gt;"")),'Weekly Log'!$M$5:$M$5000),0))</f>
        <v/>
      </c>
      <c r="J393" t="str">
        <f>IF(COUNT('Weekly Log'!$A$5:$A$5000)=0,"",IF(MIN('Weekly Log'!$A$5:$A$5000)+7*(ROW()-10)&gt;MAX('Weekly Log'!$A$5:$A$5000),"",MIN('Weekly Log'!$A$5:$A$5000)+7*(ROW()-10)))</f>
        <v/>
      </c>
    </row>
    <row r="394" spans="1:10" x14ac:dyDescent="0.25">
      <c r="A394" t="str">
        <f t="shared" ref="A394:A457" si="6">IF($J394="","",YEAR($J394-WEEKDAY($J394,2)+4)&amp;"-W"&amp;TEXT(WEEKNUM($J394,21),"00"))</f>
        <v/>
      </c>
      <c r="B394" t="str">
        <f>IF($J394="","",SUMIFS('Weekly Log'!$C:$C,'Weekly Log'!$A:$A,"&gt;="&amp;$J394,'Weekly Log'!$A:$A,"&lt;"&amp;$J394+7))</f>
        <v/>
      </c>
      <c r="C394" t="str">
        <f>IF($J394="","",IFERROR(COUNTIFS('Weekly Log'!$G:$G,"Y",'Weekly Log'!$A:$A,"&gt;="&amp;$J394,'Weekly Log'!$A:$A,"&lt;"&amp;$J394+7)/COUNTIFS('Weekly Log'!$G:$G,"&lt;&gt;",'Weekly Log'!$A:$A,"&gt;="&amp;$J394,'Weekly Log'!$A:$A,"&lt;"&amp;$J394+7),0))</f>
        <v/>
      </c>
      <c r="D394" t="str">
        <f>IF($J394="","",IFERROR(COUNTIFS('Weekly Log'!$H:$H,"Y",'Weekly Log'!$A:$A,"&gt;="&amp;$J394,'Weekly Log'!$A:$A,"&lt;"&amp;$J394+7)/COUNTIFS('Weekly Log'!$H:$H,"&lt;&gt;",'Weekly Log'!$A:$A,"&gt;="&amp;$J394,'Weekly Log'!$A:$A,"&lt;"&amp;$J394+7),0))</f>
        <v/>
      </c>
      <c r="E394" t="str">
        <f>IF($J394="","",IFERROR(AVERAGEIFS('Weekly Log'!$F:$F,'Weekly Log'!$A:$A,"&gt;="&amp;$J394,'Weekly Log'!$A:$A,"&lt;"&amp;$J394+7),0))</f>
        <v/>
      </c>
      <c r="F394" t="str">
        <f>IF($J394="","",IFERROR(SUMIFS('Weekly Log'!$F:$F,'Weekly Log'!$A:$A,"&gt;="&amp;$J394,'Weekly Log'!$A:$A,"&lt;"&amp;$J394+7)/SUMIFS('Weekly Log'!$E:$E,'Weekly Log'!$A:$A,"&gt;="&amp;$J394,'Weekly Log'!$A:$A,"&lt;"&amp;$J394+7),0))</f>
        <v/>
      </c>
      <c r="G394" t="str">
        <f>IF($J394="","",IFERROR(LOOKUP(2,1/(('Weekly Log'!$A$5:$A$5000&gt;=$J394)*('Weekly Log'!$A$5:$A$5000&lt;$J394+7)*('Weekly Log'!$M$5:$M$5000&lt;&gt;"")),'Weekly Log'!$M$5:$M$5000),0))</f>
        <v/>
      </c>
      <c r="J394" t="str">
        <f>IF(COUNT('Weekly Log'!$A$5:$A$5000)=0,"",IF(MIN('Weekly Log'!$A$5:$A$5000)+7*(ROW()-10)&gt;MAX('Weekly Log'!$A$5:$A$5000),"",MIN('Weekly Log'!$A$5:$A$5000)+7*(ROW()-10)))</f>
        <v/>
      </c>
    </row>
    <row r="395" spans="1:10" x14ac:dyDescent="0.25">
      <c r="A395" t="str">
        <f t="shared" si="6"/>
        <v/>
      </c>
      <c r="B395" t="str">
        <f>IF($J395="","",SUMIFS('Weekly Log'!$C:$C,'Weekly Log'!$A:$A,"&gt;="&amp;$J395,'Weekly Log'!$A:$A,"&lt;"&amp;$J395+7))</f>
        <v/>
      </c>
      <c r="C395" t="str">
        <f>IF($J395="","",IFERROR(COUNTIFS('Weekly Log'!$G:$G,"Y",'Weekly Log'!$A:$A,"&gt;="&amp;$J395,'Weekly Log'!$A:$A,"&lt;"&amp;$J395+7)/COUNTIFS('Weekly Log'!$G:$G,"&lt;&gt;",'Weekly Log'!$A:$A,"&gt;="&amp;$J395,'Weekly Log'!$A:$A,"&lt;"&amp;$J395+7),0))</f>
        <v/>
      </c>
      <c r="D395" t="str">
        <f>IF($J395="","",IFERROR(COUNTIFS('Weekly Log'!$H:$H,"Y",'Weekly Log'!$A:$A,"&gt;="&amp;$J395,'Weekly Log'!$A:$A,"&lt;"&amp;$J395+7)/COUNTIFS('Weekly Log'!$H:$H,"&lt;&gt;",'Weekly Log'!$A:$A,"&gt;="&amp;$J395,'Weekly Log'!$A:$A,"&lt;"&amp;$J395+7),0))</f>
        <v/>
      </c>
      <c r="E395" t="str">
        <f>IF($J395="","",IFERROR(AVERAGEIFS('Weekly Log'!$F:$F,'Weekly Log'!$A:$A,"&gt;="&amp;$J395,'Weekly Log'!$A:$A,"&lt;"&amp;$J395+7),0))</f>
        <v/>
      </c>
      <c r="F395" t="str">
        <f>IF($J395="","",IFERROR(SUMIFS('Weekly Log'!$F:$F,'Weekly Log'!$A:$A,"&gt;="&amp;$J395,'Weekly Log'!$A:$A,"&lt;"&amp;$J395+7)/SUMIFS('Weekly Log'!$E:$E,'Weekly Log'!$A:$A,"&gt;="&amp;$J395,'Weekly Log'!$A:$A,"&lt;"&amp;$J395+7),0))</f>
        <v/>
      </c>
      <c r="G395" t="str">
        <f>IF($J395="","",IFERROR(LOOKUP(2,1/(('Weekly Log'!$A$5:$A$5000&gt;=$J395)*('Weekly Log'!$A$5:$A$5000&lt;$J395+7)*('Weekly Log'!$M$5:$M$5000&lt;&gt;"")),'Weekly Log'!$M$5:$M$5000),0))</f>
        <v/>
      </c>
      <c r="J395" t="str">
        <f>IF(COUNT('Weekly Log'!$A$5:$A$5000)=0,"",IF(MIN('Weekly Log'!$A$5:$A$5000)+7*(ROW()-10)&gt;MAX('Weekly Log'!$A$5:$A$5000),"",MIN('Weekly Log'!$A$5:$A$5000)+7*(ROW()-10)))</f>
        <v/>
      </c>
    </row>
    <row r="396" spans="1:10" x14ac:dyDescent="0.25">
      <c r="A396" t="str">
        <f t="shared" si="6"/>
        <v/>
      </c>
      <c r="B396" t="str">
        <f>IF($J396="","",SUMIFS('Weekly Log'!$C:$C,'Weekly Log'!$A:$A,"&gt;="&amp;$J396,'Weekly Log'!$A:$A,"&lt;"&amp;$J396+7))</f>
        <v/>
      </c>
      <c r="C396" t="str">
        <f>IF($J396="","",IFERROR(COUNTIFS('Weekly Log'!$G:$G,"Y",'Weekly Log'!$A:$A,"&gt;="&amp;$J396,'Weekly Log'!$A:$A,"&lt;"&amp;$J396+7)/COUNTIFS('Weekly Log'!$G:$G,"&lt;&gt;",'Weekly Log'!$A:$A,"&gt;="&amp;$J396,'Weekly Log'!$A:$A,"&lt;"&amp;$J396+7),0))</f>
        <v/>
      </c>
      <c r="D396" t="str">
        <f>IF($J396="","",IFERROR(COUNTIFS('Weekly Log'!$H:$H,"Y",'Weekly Log'!$A:$A,"&gt;="&amp;$J396,'Weekly Log'!$A:$A,"&lt;"&amp;$J396+7)/COUNTIFS('Weekly Log'!$H:$H,"&lt;&gt;",'Weekly Log'!$A:$A,"&gt;="&amp;$J396,'Weekly Log'!$A:$A,"&lt;"&amp;$J396+7),0))</f>
        <v/>
      </c>
      <c r="E396" t="str">
        <f>IF($J396="","",IFERROR(AVERAGEIFS('Weekly Log'!$F:$F,'Weekly Log'!$A:$A,"&gt;="&amp;$J396,'Weekly Log'!$A:$A,"&lt;"&amp;$J396+7),0))</f>
        <v/>
      </c>
      <c r="F396" t="str">
        <f>IF($J396="","",IFERROR(SUMIFS('Weekly Log'!$F:$F,'Weekly Log'!$A:$A,"&gt;="&amp;$J396,'Weekly Log'!$A:$A,"&lt;"&amp;$J396+7)/SUMIFS('Weekly Log'!$E:$E,'Weekly Log'!$A:$A,"&gt;="&amp;$J396,'Weekly Log'!$A:$A,"&lt;"&amp;$J396+7),0))</f>
        <v/>
      </c>
      <c r="G396" t="str">
        <f>IF($J396="","",IFERROR(LOOKUP(2,1/(('Weekly Log'!$A$5:$A$5000&gt;=$J396)*('Weekly Log'!$A$5:$A$5000&lt;$J396+7)*('Weekly Log'!$M$5:$M$5000&lt;&gt;"")),'Weekly Log'!$M$5:$M$5000),0))</f>
        <v/>
      </c>
      <c r="J396" t="str">
        <f>IF(COUNT('Weekly Log'!$A$5:$A$5000)=0,"",IF(MIN('Weekly Log'!$A$5:$A$5000)+7*(ROW()-10)&gt;MAX('Weekly Log'!$A$5:$A$5000),"",MIN('Weekly Log'!$A$5:$A$5000)+7*(ROW()-10)))</f>
        <v/>
      </c>
    </row>
    <row r="397" spans="1:10" x14ac:dyDescent="0.25">
      <c r="A397" t="str">
        <f t="shared" si="6"/>
        <v/>
      </c>
      <c r="B397" t="str">
        <f>IF($J397="","",SUMIFS('Weekly Log'!$C:$C,'Weekly Log'!$A:$A,"&gt;="&amp;$J397,'Weekly Log'!$A:$A,"&lt;"&amp;$J397+7))</f>
        <v/>
      </c>
      <c r="C397" t="str">
        <f>IF($J397="","",IFERROR(COUNTIFS('Weekly Log'!$G:$G,"Y",'Weekly Log'!$A:$A,"&gt;="&amp;$J397,'Weekly Log'!$A:$A,"&lt;"&amp;$J397+7)/COUNTIFS('Weekly Log'!$G:$G,"&lt;&gt;",'Weekly Log'!$A:$A,"&gt;="&amp;$J397,'Weekly Log'!$A:$A,"&lt;"&amp;$J397+7),0))</f>
        <v/>
      </c>
      <c r="D397" t="str">
        <f>IF($J397="","",IFERROR(COUNTIFS('Weekly Log'!$H:$H,"Y",'Weekly Log'!$A:$A,"&gt;="&amp;$J397,'Weekly Log'!$A:$A,"&lt;"&amp;$J397+7)/COUNTIFS('Weekly Log'!$H:$H,"&lt;&gt;",'Weekly Log'!$A:$A,"&gt;="&amp;$J397,'Weekly Log'!$A:$A,"&lt;"&amp;$J397+7),0))</f>
        <v/>
      </c>
      <c r="E397" t="str">
        <f>IF($J397="","",IFERROR(AVERAGEIFS('Weekly Log'!$F:$F,'Weekly Log'!$A:$A,"&gt;="&amp;$J397,'Weekly Log'!$A:$A,"&lt;"&amp;$J397+7),0))</f>
        <v/>
      </c>
      <c r="F397" t="str">
        <f>IF($J397="","",IFERROR(SUMIFS('Weekly Log'!$F:$F,'Weekly Log'!$A:$A,"&gt;="&amp;$J397,'Weekly Log'!$A:$A,"&lt;"&amp;$J397+7)/SUMIFS('Weekly Log'!$E:$E,'Weekly Log'!$A:$A,"&gt;="&amp;$J397,'Weekly Log'!$A:$A,"&lt;"&amp;$J397+7),0))</f>
        <v/>
      </c>
      <c r="G397" t="str">
        <f>IF($J397="","",IFERROR(LOOKUP(2,1/(('Weekly Log'!$A$5:$A$5000&gt;=$J397)*('Weekly Log'!$A$5:$A$5000&lt;$J397+7)*('Weekly Log'!$M$5:$M$5000&lt;&gt;"")),'Weekly Log'!$M$5:$M$5000),0))</f>
        <v/>
      </c>
      <c r="J397" t="str">
        <f>IF(COUNT('Weekly Log'!$A$5:$A$5000)=0,"",IF(MIN('Weekly Log'!$A$5:$A$5000)+7*(ROW()-10)&gt;MAX('Weekly Log'!$A$5:$A$5000),"",MIN('Weekly Log'!$A$5:$A$5000)+7*(ROW()-10)))</f>
        <v/>
      </c>
    </row>
    <row r="398" spans="1:10" x14ac:dyDescent="0.25">
      <c r="A398" t="str">
        <f t="shared" si="6"/>
        <v/>
      </c>
      <c r="B398" t="str">
        <f>IF($J398="","",SUMIFS('Weekly Log'!$C:$C,'Weekly Log'!$A:$A,"&gt;="&amp;$J398,'Weekly Log'!$A:$A,"&lt;"&amp;$J398+7))</f>
        <v/>
      </c>
      <c r="C398" t="str">
        <f>IF($J398="","",IFERROR(COUNTIFS('Weekly Log'!$G:$G,"Y",'Weekly Log'!$A:$A,"&gt;="&amp;$J398,'Weekly Log'!$A:$A,"&lt;"&amp;$J398+7)/COUNTIFS('Weekly Log'!$G:$G,"&lt;&gt;",'Weekly Log'!$A:$A,"&gt;="&amp;$J398,'Weekly Log'!$A:$A,"&lt;"&amp;$J398+7),0))</f>
        <v/>
      </c>
      <c r="D398" t="str">
        <f>IF($J398="","",IFERROR(COUNTIFS('Weekly Log'!$H:$H,"Y",'Weekly Log'!$A:$A,"&gt;="&amp;$J398,'Weekly Log'!$A:$A,"&lt;"&amp;$J398+7)/COUNTIFS('Weekly Log'!$H:$H,"&lt;&gt;",'Weekly Log'!$A:$A,"&gt;="&amp;$J398,'Weekly Log'!$A:$A,"&lt;"&amp;$J398+7),0))</f>
        <v/>
      </c>
      <c r="E398" t="str">
        <f>IF($J398="","",IFERROR(AVERAGEIFS('Weekly Log'!$F:$F,'Weekly Log'!$A:$A,"&gt;="&amp;$J398,'Weekly Log'!$A:$A,"&lt;"&amp;$J398+7),0))</f>
        <v/>
      </c>
      <c r="F398" t="str">
        <f>IF($J398="","",IFERROR(SUMIFS('Weekly Log'!$F:$F,'Weekly Log'!$A:$A,"&gt;="&amp;$J398,'Weekly Log'!$A:$A,"&lt;"&amp;$J398+7)/SUMIFS('Weekly Log'!$E:$E,'Weekly Log'!$A:$A,"&gt;="&amp;$J398,'Weekly Log'!$A:$A,"&lt;"&amp;$J398+7),0))</f>
        <v/>
      </c>
      <c r="G398" t="str">
        <f>IF($J398="","",IFERROR(LOOKUP(2,1/(('Weekly Log'!$A$5:$A$5000&gt;=$J398)*('Weekly Log'!$A$5:$A$5000&lt;$J398+7)*('Weekly Log'!$M$5:$M$5000&lt;&gt;"")),'Weekly Log'!$M$5:$M$5000),0))</f>
        <v/>
      </c>
      <c r="J398" t="str">
        <f>IF(COUNT('Weekly Log'!$A$5:$A$5000)=0,"",IF(MIN('Weekly Log'!$A$5:$A$5000)+7*(ROW()-10)&gt;MAX('Weekly Log'!$A$5:$A$5000),"",MIN('Weekly Log'!$A$5:$A$5000)+7*(ROW()-10)))</f>
        <v/>
      </c>
    </row>
    <row r="399" spans="1:10" x14ac:dyDescent="0.25">
      <c r="A399" t="str">
        <f t="shared" si="6"/>
        <v/>
      </c>
      <c r="B399" t="str">
        <f>IF($J399="","",SUMIFS('Weekly Log'!$C:$C,'Weekly Log'!$A:$A,"&gt;="&amp;$J399,'Weekly Log'!$A:$A,"&lt;"&amp;$J399+7))</f>
        <v/>
      </c>
      <c r="C399" t="str">
        <f>IF($J399="","",IFERROR(COUNTIFS('Weekly Log'!$G:$G,"Y",'Weekly Log'!$A:$A,"&gt;="&amp;$J399,'Weekly Log'!$A:$A,"&lt;"&amp;$J399+7)/COUNTIFS('Weekly Log'!$G:$G,"&lt;&gt;",'Weekly Log'!$A:$A,"&gt;="&amp;$J399,'Weekly Log'!$A:$A,"&lt;"&amp;$J399+7),0))</f>
        <v/>
      </c>
      <c r="D399" t="str">
        <f>IF($J399="","",IFERROR(COUNTIFS('Weekly Log'!$H:$H,"Y",'Weekly Log'!$A:$A,"&gt;="&amp;$J399,'Weekly Log'!$A:$A,"&lt;"&amp;$J399+7)/COUNTIFS('Weekly Log'!$H:$H,"&lt;&gt;",'Weekly Log'!$A:$A,"&gt;="&amp;$J399,'Weekly Log'!$A:$A,"&lt;"&amp;$J399+7),0))</f>
        <v/>
      </c>
      <c r="E399" t="str">
        <f>IF($J399="","",IFERROR(AVERAGEIFS('Weekly Log'!$F:$F,'Weekly Log'!$A:$A,"&gt;="&amp;$J399,'Weekly Log'!$A:$A,"&lt;"&amp;$J399+7),0))</f>
        <v/>
      </c>
      <c r="F399" t="str">
        <f>IF($J399="","",IFERROR(SUMIFS('Weekly Log'!$F:$F,'Weekly Log'!$A:$A,"&gt;="&amp;$J399,'Weekly Log'!$A:$A,"&lt;"&amp;$J399+7)/SUMIFS('Weekly Log'!$E:$E,'Weekly Log'!$A:$A,"&gt;="&amp;$J399,'Weekly Log'!$A:$A,"&lt;"&amp;$J399+7),0))</f>
        <v/>
      </c>
      <c r="G399" t="str">
        <f>IF($J399="","",IFERROR(LOOKUP(2,1/(('Weekly Log'!$A$5:$A$5000&gt;=$J399)*('Weekly Log'!$A$5:$A$5000&lt;$J399+7)*('Weekly Log'!$M$5:$M$5000&lt;&gt;"")),'Weekly Log'!$M$5:$M$5000),0))</f>
        <v/>
      </c>
      <c r="J399" t="str">
        <f>IF(COUNT('Weekly Log'!$A$5:$A$5000)=0,"",IF(MIN('Weekly Log'!$A$5:$A$5000)+7*(ROW()-10)&gt;MAX('Weekly Log'!$A$5:$A$5000),"",MIN('Weekly Log'!$A$5:$A$5000)+7*(ROW()-10)))</f>
        <v/>
      </c>
    </row>
    <row r="400" spans="1:10" x14ac:dyDescent="0.25">
      <c r="A400" t="str">
        <f t="shared" si="6"/>
        <v/>
      </c>
      <c r="B400" t="str">
        <f>IF($J400="","",SUMIFS('Weekly Log'!$C:$C,'Weekly Log'!$A:$A,"&gt;="&amp;$J400,'Weekly Log'!$A:$A,"&lt;"&amp;$J400+7))</f>
        <v/>
      </c>
      <c r="C400" t="str">
        <f>IF($J400="","",IFERROR(COUNTIFS('Weekly Log'!$G:$G,"Y",'Weekly Log'!$A:$A,"&gt;="&amp;$J400,'Weekly Log'!$A:$A,"&lt;"&amp;$J400+7)/COUNTIFS('Weekly Log'!$G:$G,"&lt;&gt;",'Weekly Log'!$A:$A,"&gt;="&amp;$J400,'Weekly Log'!$A:$A,"&lt;"&amp;$J400+7),0))</f>
        <v/>
      </c>
      <c r="D400" t="str">
        <f>IF($J400="","",IFERROR(COUNTIFS('Weekly Log'!$H:$H,"Y",'Weekly Log'!$A:$A,"&gt;="&amp;$J400,'Weekly Log'!$A:$A,"&lt;"&amp;$J400+7)/COUNTIFS('Weekly Log'!$H:$H,"&lt;&gt;",'Weekly Log'!$A:$A,"&gt;="&amp;$J400,'Weekly Log'!$A:$A,"&lt;"&amp;$J400+7),0))</f>
        <v/>
      </c>
      <c r="E400" t="str">
        <f>IF($J400="","",IFERROR(AVERAGEIFS('Weekly Log'!$F:$F,'Weekly Log'!$A:$A,"&gt;="&amp;$J400,'Weekly Log'!$A:$A,"&lt;"&amp;$J400+7),0))</f>
        <v/>
      </c>
      <c r="F400" t="str">
        <f>IF($J400="","",IFERROR(SUMIFS('Weekly Log'!$F:$F,'Weekly Log'!$A:$A,"&gt;="&amp;$J400,'Weekly Log'!$A:$A,"&lt;"&amp;$J400+7)/SUMIFS('Weekly Log'!$E:$E,'Weekly Log'!$A:$A,"&gt;="&amp;$J400,'Weekly Log'!$A:$A,"&lt;"&amp;$J400+7),0))</f>
        <v/>
      </c>
      <c r="G400" t="str">
        <f>IF($J400="","",IFERROR(LOOKUP(2,1/(('Weekly Log'!$A$5:$A$5000&gt;=$J400)*('Weekly Log'!$A$5:$A$5000&lt;$J400+7)*('Weekly Log'!$M$5:$M$5000&lt;&gt;"")),'Weekly Log'!$M$5:$M$5000),0))</f>
        <v/>
      </c>
      <c r="J400" t="str">
        <f>IF(COUNT('Weekly Log'!$A$5:$A$5000)=0,"",IF(MIN('Weekly Log'!$A$5:$A$5000)+7*(ROW()-10)&gt;MAX('Weekly Log'!$A$5:$A$5000),"",MIN('Weekly Log'!$A$5:$A$5000)+7*(ROW()-10)))</f>
        <v/>
      </c>
    </row>
    <row r="401" spans="1:10" x14ac:dyDescent="0.25">
      <c r="A401" t="str">
        <f t="shared" si="6"/>
        <v/>
      </c>
      <c r="B401" t="str">
        <f>IF($J401="","",SUMIFS('Weekly Log'!$C:$C,'Weekly Log'!$A:$A,"&gt;="&amp;$J401,'Weekly Log'!$A:$A,"&lt;"&amp;$J401+7))</f>
        <v/>
      </c>
      <c r="C401" t="str">
        <f>IF($J401="","",IFERROR(COUNTIFS('Weekly Log'!$G:$G,"Y",'Weekly Log'!$A:$A,"&gt;="&amp;$J401,'Weekly Log'!$A:$A,"&lt;"&amp;$J401+7)/COUNTIFS('Weekly Log'!$G:$G,"&lt;&gt;",'Weekly Log'!$A:$A,"&gt;="&amp;$J401,'Weekly Log'!$A:$A,"&lt;"&amp;$J401+7),0))</f>
        <v/>
      </c>
      <c r="D401" t="str">
        <f>IF($J401="","",IFERROR(COUNTIFS('Weekly Log'!$H:$H,"Y",'Weekly Log'!$A:$A,"&gt;="&amp;$J401,'Weekly Log'!$A:$A,"&lt;"&amp;$J401+7)/COUNTIFS('Weekly Log'!$H:$H,"&lt;&gt;",'Weekly Log'!$A:$A,"&gt;="&amp;$J401,'Weekly Log'!$A:$A,"&lt;"&amp;$J401+7),0))</f>
        <v/>
      </c>
      <c r="E401" t="str">
        <f>IF($J401="","",IFERROR(AVERAGEIFS('Weekly Log'!$F:$F,'Weekly Log'!$A:$A,"&gt;="&amp;$J401,'Weekly Log'!$A:$A,"&lt;"&amp;$J401+7),0))</f>
        <v/>
      </c>
      <c r="F401" t="str">
        <f>IF($J401="","",IFERROR(SUMIFS('Weekly Log'!$F:$F,'Weekly Log'!$A:$A,"&gt;="&amp;$J401,'Weekly Log'!$A:$A,"&lt;"&amp;$J401+7)/SUMIFS('Weekly Log'!$E:$E,'Weekly Log'!$A:$A,"&gt;="&amp;$J401,'Weekly Log'!$A:$A,"&lt;"&amp;$J401+7),0))</f>
        <v/>
      </c>
      <c r="G401" t="str">
        <f>IF($J401="","",IFERROR(LOOKUP(2,1/(('Weekly Log'!$A$5:$A$5000&gt;=$J401)*('Weekly Log'!$A$5:$A$5000&lt;$J401+7)*('Weekly Log'!$M$5:$M$5000&lt;&gt;"")),'Weekly Log'!$M$5:$M$5000),0))</f>
        <v/>
      </c>
      <c r="J401" t="str">
        <f>IF(COUNT('Weekly Log'!$A$5:$A$5000)=0,"",IF(MIN('Weekly Log'!$A$5:$A$5000)+7*(ROW()-10)&gt;MAX('Weekly Log'!$A$5:$A$5000),"",MIN('Weekly Log'!$A$5:$A$5000)+7*(ROW()-10)))</f>
        <v/>
      </c>
    </row>
    <row r="402" spans="1:10" x14ac:dyDescent="0.25">
      <c r="A402" t="str">
        <f t="shared" si="6"/>
        <v/>
      </c>
      <c r="B402" t="str">
        <f>IF($J402="","",SUMIFS('Weekly Log'!$C:$C,'Weekly Log'!$A:$A,"&gt;="&amp;$J402,'Weekly Log'!$A:$A,"&lt;"&amp;$J402+7))</f>
        <v/>
      </c>
      <c r="C402" t="str">
        <f>IF($J402="","",IFERROR(COUNTIFS('Weekly Log'!$G:$G,"Y",'Weekly Log'!$A:$A,"&gt;="&amp;$J402,'Weekly Log'!$A:$A,"&lt;"&amp;$J402+7)/COUNTIFS('Weekly Log'!$G:$G,"&lt;&gt;",'Weekly Log'!$A:$A,"&gt;="&amp;$J402,'Weekly Log'!$A:$A,"&lt;"&amp;$J402+7),0))</f>
        <v/>
      </c>
      <c r="D402" t="str">
        <f>IF($J402="","",IFERROR(COUNTIFS('Weekly Log'!$H:$H,"Y",'Weekly Log'!$A:$A,"&gt;="&amp;$J402,'Weekly Log'!$A:$A,"&lt;"&amp;$J402+7)/COUNTIFS('Weekly Log'!$H:$H,"&lt;&gt;",'Weekly Log'!$A:$A,"&gt;="&amp;$J402,'Weekly Log'!$A:$A,"&lt;"&amp;$J402+7),0))</f>
        <v/>
      </c>
      <c r="E402" t="str">
        <f>IF($J402="","",IFERROR(AVERAGEIFS('Weekly Log'!$F:$F,'Weekly Log'!$A:$A,"&gt;="&amp;$J402,'Weekly Log'!$A:$A,"&lt;"&amp;$J402+7),0))</f>
        <v/>
      </c>
      <c r="F402" t="str">
        <f>IF($J402="","",IFERROR(SUMIFS('Weekly Log'!$F:$F,'Weekly Log'!$A:$A,"&gt;="&amp;$J402,'Weekly Log'!$A:$A,"&lt;"&amp;$J402+7)/SUMIFS('Weekly Log'!$E:$E,'Weekly Log'!$A:$A,"&gt;="&amp;$J402,'Weekly Log'!$A:$A,"&lt;"&amp;$J402+7),0))</f>
        <v/>
      </c>
      <c r="G402" t="str">
        <f>IF($J402="","",IFERROR(LOOKUP(2,1/(('Weekly Log'!$A$5:$A$5000&gt;=$J402)*('Weekly Log'!$A$5:$A$5000&lt;$J402+7)*('Weekly Log'!$M$5:$M$5000&lt;&gt;"")),'Weekly Log'!$M$5:$M$5000),0))</f>
        <v/>
      </c>
      <c r="J402" t="str">
        <f>IF(COUNT('Weekly Log'!$A$5:$A$5000)=0,"",IF(MIN('Weekly Log'!$A$5:$A$5000)+7*(ROW()-10)&gt;MAX('Weekly Log'!$A$5:$A$5000),"",MIN('Weekly Log'!$A$5:$A$5000)+7*(ROW()-10)))</f>
        <v/>
      </c>
    </row>
    <row r="403" spans="1:10" x14ac:dyDescent="0.25">
      <c r="A403" t="str">
        <f t="shared" si="6"/>
        <v/>
      </c>
      <c r="B403" t="str">
        <f>IF($J403="","",SUMIFS('Weekly Log'!$C:$C,'Weekly Log'!$A:$A,"&gt;="&amp;$J403,'Weekly Log'!$A:$A,"&lt;"&amp;$J403+7))</f>
        <v/>
      </c>
      <c r="C403" t="str">
        <f>IF($J403="","",IFERROR(COUNTIFS('Weekly Log'!$G:$G,"Y",'Weekly Log'!$A:$A,"&gt;="&amp;$J403,'Weekly Log'!$A:$A,"&lt;"&amp;$J403+7)/COUNTIFS('Weekly Log'!$G:$G,"&lt;&gt;",'Weekly Log'!$A:$A,"&gt;="&amp;$J403,'Weekly Log'!$A:$A,"&lt;"&amp;$J403+7),0))</f>
        <v/>
      </c>
      <c r="D403" t="str">
        <f>IF($J403="","",IFERROR(COUNTIFS('Weekly Log'!$H:$H,"Y",'Weekly Log'!$A:$A,"&gt;="&amp;$J403,'Weekly Log'!$A:$A,"&lt;"&amp;$J403+7)/COUNTIFS('Weekly Log'!$H:$H,"&lt;&gt;",'Weekly Log'!$A:$A,"&gt;="&amp;$J403,'Weekly Log'!$A:$A,"&lt;"&amp;$J403+7),0))</f>
        <v/>
      </c>
      <c r="E403" t="str">
        <f>IF($J403="","",IFERROR(AVERAGEIFS('Weekly Log'!$F:$F,'Weekly Log'!$A:$A,"&gt;="&amp;$J403,'Weekly Log'!$A:$A,"&lt;"&amp;$J403+7),0))</f>
        <v/>
      </c>
      <c r="F403" t="str">
        <f>IF($J403="","",IFERROR(SUMIFS('Weekly Log'!$F:$F,'Weekly Log'!$A:$A,"&gt;="&amp;$J403,'Weekly Log'!$A:$A,"&lt;"&amp;$J403+7)/SUMIFS('Weekly Log'!$E:$E,'Weekly Log'!$A:$A,"&gt;="&amp;$J403,'Weekly Log'!$A:$A,"&lt;"&amp;$J403+7),0))</f>
        <v/>
      </c>
      <c r="G403" t="str">
        <f>IF($J403="","",IFERROR(LOOKUP(2,1/(('Weekly Log'!$A$5:$A$5000&gt;=$J403)*('Weekly Log'!$A$5:$A$5000&lt;$J403+7)*('Weekly Log'!$M$5:$M$5000&lt;&gt;"")),'Weekly Log'!$M$5:$M$5000),0))</f>
        <v/>
      </c>
      <c r="J403" t="str">
        <f>IF(COUNT('Weekly Log'!$A$5:$A$5000)=0,"",IF(MIN('Weekly Log'!$A$5:$A$5000)+7*(ROW()-10)&gt;MAX('Weekly Log'!$A$5:$A$5000),"",MIN('Weekly Log'!$A$5:$A$5000)+7*(ROW()-10)))</f>
        <v/>
      </c>
    </row>
    <row r="404" spans="1:10" x14ac:dyDescent="0.25">
      <c r="A404" t="str">
        <f t="shared" si="6"/>
        <v/>
      </c>
      <c r="B404" t="str">
        <f>IF($J404="","",SUMIFS('Weekly Log'!$C:$C,'Weekly Log'!$A:$A,"&gt;="&amp;$J404,'Weekly Log'!$A:$A,"&lt;"&amp;$J404+7))</f>
        <v/>
      </c>
      <c r="C404" t="str">
        <f>IF($J404="","",IFERROR(COUNTIFS('Weekly Log'!$G:$G,"Y",'Weekly Log'!$A:$A,"&gt;="&amp;$J404,'Weekly Log'!$A:$A,"&lt;"&amp;$J404+7)/COUNTIFS('Weekly Log'!$G:$G,"&lt;&gt;",'Weekly Log'!$A:$A,"&gt;="&amp;$J404,'Weekly Log'!$A:$A,"&lt;"&amp;$J404+7),0))</f>
        <v/>
      </c>
      <c r="D404" t="str">
        <f>IF($J404="","",IFERROR(COUNTIFS('Weekly Log'!$H:$H,"Y",'Weekly Log'!$A:$A,"&gt;="&amp;$J404,'Weekly Log'!$A:$A,"&lt;"&amp;$J404+7)/COUNTIFS('Weekly Log'!$H:$H,"&lt;&gt;",'Weekly Log'!$A:$A,"&gt;="&amp;$J404,'Weekly Log'!$A:$A,"&lt;"&amp;$J404+7),0))</f>
        <v/>
      </c>
      <c r="E404" t="str">
        <f>IF($J404="","",IFERROR(AVERAGEIFS('Weekly Log'!$F:$F,'Weekly Log'!$A:$A,"&gt;="&amp;$J404,'Weekly Log'!$A:$A,"&lt;"&amp;$J404+7),0))</f>
        <v/>
      </c>
      <c r="F404" t="str">
        <f>IF($J404="","",IFERROR(SUMIFS('Weekly Log'!$F:$F,'Weekly Log'!$A:$A,"&gt;="&amp;$J404,'Weekly Log'!$A:$A,"&lt;"&amp;$J404+7)/SUMIFS('Weekly Log'!$E:$E,'Weekly Log'!$A:$A,"&gt;="&amp;$J404,'Weekly Log'!$A:$A,"&lt;"&amp;$J404+7),0))</f>
        <v/>
      </c>
      <c r="G404" t="str">
        <f>IF($J404="","",IFERROR(LOOKUP(2,1/(('Weekly Log'!$A$5:$A$5000&gt;=$J404)*('Weekly Log'!$A$5:$A$5000&lt;$J404+7)*('Weekly Log'!$M$5:$M$5000&lt;&gt;"")),'Weekly Log'!$M$5:$M$5000),0))</f>
        <v/>
      </c>
      <c r="J404" t="str">
        <f>IF(COUNT('Weekly Log'!$A$5:$A$5000)=0,"",IF(MIN('Weekly Log'!$A$5:$A$5000)+7*(ROW()-10)&gt;MAX('Weekly Log'!$A$5:$A$5000),"",MIN('Weekly Log'!$A$5:$A$5000)+7*(ROW()-10)))</f>
        <v/>
      </c>
    </row>
    <row r="405" spans="1:10" x14ac:dyDescent="0.25">
      <c r="A405" t="str">
        <f t="shared" si="6"/>
        <v/>
      </c>
      <c r="B405" t="str">
        <f>IF($J405="","",SUMIFS('Weekly Log'!$C:$C,'Weekly Log'!$A:$A,"&gt;="&amp;$J405,'Weekly Log'!$A:$A,"&lt;"&amp;$J405+7))</f>
        <v/>
      </c>
      <c r="C405" t="str">
        <f>IF($J405="","",IFERROR(COUNTIFS('Weekly Log'!$G:$G,"Y",'Weekly Log'!$A:$A,"&gt;="&amp;$J405,'Weekly Log'!$A:$A,"&lt;"&amp;$J405+7)/COUNTIFS('Weekly Log'!$G:$G,"&lt;&gt;",'Weekly Log'!$A:$A,"&gt;="&amp;$J405,'Weekly Log'!$A:$A,"&lt;"&amp;$J405+7),0))</f>
        <v/>
      </c>
      <c r="D405" t="str">
        <f>IF($J405="","",IFERROR(COUNTIFS('Weekly Log'!$H:$H,"Y",'Weekly Log'!$A:$A,"&gt;="&amp;$J405,'Weekly Log'!$A:$A,"&lt;"&amp;$J405+7)/COUNTIFS('Weekly Log'!$H:$H,"&lt;&gt;",'Weekly Log'!$A:$A,"&gt;="&amp;$J405,'Weekly Log'!$A:$A,"&lt;"&amp;$J405+7),0))</f>
        <v/>
      </c>
      <c r="E405" t="str">
        <f>IF($J405="","",IFERROR(AVERAGEIFS('Weekly Log'!$F:$F,'Weekly Log'!$A:$A,"&gt;="&amp;$J405,'Weekly Log'!$A:$A,"&lt;"&amp;$J405+7),0))</f>
        <v/>
      </c>
      <c r="F405" t="str">
        <f>IF($J405="","",IFERROR(SUMIFS('Weekly Log'!$F:$F,'Weekly Log'!$A:$A,"&gt;="&amp;$J405,'Weekly Log'!$A:$A,"&lt;"&amp;$J405+7)/SUMIFS('Weekly Log'!$E:$E,'Weekly Log'!$A:$A,"&gt;="&amp;$J405,'Weekly Log'!$A:$A,"&lt;"&amp;$J405+7),0))</f>
        <v/>
      </c>
      <c r="G405" t="str">
        <f>IF($J405="","",IFERROR(LOOKUP(2,1/(('Weekly Log'!$A$5:$A$5000&gt;=$J405)*('Weekly Log'!$A$5:$A$5000&lt;$J405+7)*('Weekly Log'!$M$5:$M$5000&lt;&gt;"")),'Weekly Log'!$M$5:$M$5000),0))</f>
        <v/>
      </c>
      <c r="J405" t="str">
        <f>IF(COUNT('Weekly Log'!$A$5:$A$5000)=0,"",IF(MIN('Weekly Log'!$A$5:$A$5000)+7*(ROW()-10)&gt;MAX('Weekly Log'!$A$5:$A$5000),"",MIN('Weekly Log'!$A$5:$A$5000)+7*(ROW()-10)))</f>
        <v/>
      </c>
    </row>
    <row r="406" spans="1:10" x14ac:dyDescent="0.25">
      <c r="A406" t="str">
        <f t="shared" si="6"/>
        <v/>
      </c>
      <c r="B406" t="str">
        <f>IF($J406="","",SUMIFS('Weekly Log'!$C:$C,'Weekly Log'!$A:$A,"&gt;="&amp;$J406,'Weekly Log'!$A:$A,"&lt;"&amp;$J406+7))</f>
        <v/>
      </c>
      <c r="C406" t="str">
        <f>IF($J406="","",IFERROR(COUNTIFS('Weekly Log'!$G:$G,"Y",'Weekly Log'!$A:$A,"&gt;="&amp;$J406,'Weekly Log'!$A:$A,"&lt;"&amp;$J406+7)/COUNTIFS('Weekly Log'!$G:$G,"&lt;&gt;",'Weekly Log'!$A:$A,"&gt;="&amp;$J406,'Weekly Log'!$A:$A,"&lt;"&amp;$J406+7),0))</f>
        <v/>
      </c>
      <c r="D406" t="str">
        <f>IF($J406="","",IFERROR(COUNTIFS('Weekly Log'!$H:$H,"Y",'Weekly Log'!$A:$A,"&gt;="&amp;$J406,'Weekly Log'!$A:$A,"&lt;"&amp;$J406+7)/COUNTIFS('Weekly Log'!$H:$H,"&lt;&gt;",'Weekly Log'!$A:$A,"&gt;="&amp;$J406,'Weekly Log'!$A:$A,"&lt;"&amp;$J406+7),0))</f>
        <v/>
      </c>
      <c r="E406" t="str">
        <f>IF($J406="","",IFERROR(AVERAGEIFS('Weekly Log'!$F:$F,'Weekly Log'!$A:$A,"&gt;="&amp;$J406,'Weekly Log'!$A:$A,"&lt;"&amp;$J406+7),0))</f>
        <v/>
      </c>
      <c r="F406" t="str">
        <f>IF($J406="","",IFERROR(SUMIFS('Weekly Log'!$F:$F,'Weekly Log'!$A:$A,"&gt;="&amp;$J406,'Weekly Log'!$A:$A,"&lt;"&amp;$J406+7)/SUMIFS('Weekly Log'!$E:$E,'Weekly Log'!$A:$A,"&gt;="&amp;$J406,'Weekly Log'!$A:$A,"&lt;"&amp;$J406+7),0))</f>
        <v/>
      </c>
      <c r="G406" t="str">
        <f>IF($J406="","",IFERROR(LOOKUP(2,1/(('Weekly Log'!$A$5:$A$5000&gt;=$J406)*('Weekly Log'!$A$5:$A$5000&lt;$J406+7)*('Weekly Log'!$M$5:$M$5000&lt;&gt;"")),'Weekly Log'!$M$5:$M$5000),0))</f>
        <v/>
      </c>
      <c r="J406" t="str">
        <f>IF(COUNT('Weekly Log'!$A$5:$A$5000)=0,"",IF(MIN('Weekly Log'!$A$5:$A$5000)+7*(ROW()-10)&gt;MAX('Weekly Log'!$A$5:$A$5000),"",MIN('Weekly Log'!$A$5:$A$5000)+7*(ROW()-10)))</f>
        <v/>
      </c>
    </row>
    <row r="407" spans="1:10" x14ac:dyDescent="0.25">
      <c r="A407" t="str">
        <f t="shared" si="6"/>
        <v/>
      </c>
      <c r="B407" t="str">
        <f>IF($J407="","",SUMIFS('Weekly Log'!$C:$C,'Weekly Log'!$A:$A,"&gt;="&amp;$J407,'Weekly Log'!$A:$A,"&lt;"&amp;$J407+7))</f>
        <v/>
      </c>
      <c r="C407" t="str">
        <f>IF($J407="","",IFERROR(COUNTIFS('Weekly Log'!$G:$G,"Y",'Weekly Log'!$A:$A,"&gt;="&amp;$J407,'Weekly Log'!$A:$A,"&lt;"&amp;$J407+7)/COUNTIFS('Weekly Log'!$G:$G,"&lt;&gt;",'Weekly Log'!$A:$A,"&gt;="&amp;$J407,'Weekly Log'!$A:$A,"&lt;"&amp;$J407+7),0))</f>
        <v/>
      </c>
      <c r="D407" t="str">
        <f>IF($J407="","",IFERROR(COUNTIFS('Weekly Log'!$H:$H,"Y",'Weekly Log'!$A:$A,"&gt;="&amp;$J407,'Weekly Log'!$A:$A,"&lt;"&amp;$J407+7)/COUNTIFS('Weekly Log'!$H:$H,"&lt;&gt;",'Weekly Log'!$A:$A,"&gt;="&amp;$J407,'Weekly Log'!$A:$A,"&lt;"&amp;$J407+7),0))</f>
        <v/>
      </c>
      <c r="E407" t="str">
        <f>IF($J407="","",IFERROR(AVERAGEIFS('Weekly Log'!$F:$F,'Weekly Log'!$A:$A,"&gt;="&amp;$J407,'Weekly Log'!$A:$A,"&lt;"&amp;$J407+7),0))</f>
        <v/>
      </c>
      <c r="F407" t="str">
        <f>IF($J407="","",IFERROR(SUMIFS('Weekly Log'!$F:$F,'Weekly Log'!$A:$A,"&gt;="&amp;$J407,'Weekly Log'!$A:$A,"&lt;"&amp;$J407+7)/SUMIFS('Weekly Log'!$E:$E,'Weekly Log'!$A:$A,"&gt;="&amp;$J407,'Weekly Log'!$A:$A,"&lt;"&amp;$J407+7),0))</f>
        <v/>
      </c>
      <c r="G407" t="str">
        <f>IF($J407="","",IFERROR(LOOKUP(2,1/(('Weekly Log'!$A$5:$A$5000&gt;=$J407)*('Weekly Log'!$A$5:$A$5000&lt;$J407+7)*('Weekly Log'!$M$5:$M$5000&lt;&gt;"")),'Weekly Log'!$M$5:$M$5000),0))</f>
        <v/>
      </c>
      <c r="J407" t="str">
        <f>IF(COUNT('Weekly Log'!$A$5:$A$5000)=0,"",IF(MIN('Weekly Log'!$A$5:$A$5000)+7*(ROW()-10)&gt;MAX('Weekly Log'!$A$5:$A$5000),"",MIN('Weekly Log'!$A$5:$A$5000)+7*(ROW()-10)))</f>
        <v/>
      </c>
    </row>
    <row r="408" spans="1:10" x14ac:dyDescent="0.25">
      <c r="A408" t="str">
        <f t="shared" si="6"/>
        <v/>
      </c>
      <c r="B408" t="str">
        <f>IF($J408="","",SUMIFS('Weekly Log'!$C:$C,'Weekly Log'!$A:$A,"&gt;="&amp;$J408,'Weekly Log'!$A:$A,"&lt;"&amp;$J408+7))</f>
        <v/>
      </c>
      <c r="C408" t="str">
        <f>IF($J408="","",IFERROR(COUNTIFS('Weekly Log'!$G:$G,"Y",'Weekly Log'!$A:$A,"&gt;="&amp;$J408,'Weekly Log'!$A:$A,"&lt;"&amp;$J408+7)/COUNTIFS('Weekly Log'!$G:$G,"&lt;&gt;",'Weekly Log'!$A:$A,"&gt;="&amp;$J408,'Weekly Log'!$A:$A,"&lt;"&amp;$J408+7),0))</f>
        <v/>
      </c>
      <c r="D408" t="str">
        <f>IF($J408="","",IFERROR(COUNTIFS('Weekly Log'!$H:$H,"Y",'Weekly Log'!$A:$A,"&gt;="&amp;$J408,'Weekly Log'!$A:$A,"&lt;"&amp;$J408+7)/COUNTIFS('Weekly Log'!$H:$H,"&lt;&gt;",'Weekly Log'!$A:$A,"&gt;="&amp;$J408,'Weekly Log'!$A:$A,"&lt;"&amp;$J408+7),0))</f>
        <v/>
      </c>
      <c r="E408" t="str">
        <f>IF($J408="","",IFERROR(AVERAGEIFS('Weekly Log'!$F:$F,'Weekly Log'!$A:$A,"&gt;="&amp;$J408,'Weekly Log'!$A:$A,"&lt;"&amp;$J408+7),0))</f>
        <v/>
      </c>
      <c r="F408" t="str">
        <f>IF($J408="","",IFERROR(SUMIFS('Weekly Log'!$F:$F,'Weekly Log'!$A:$A,"&gt;="&amp;$J408,'Weekly Log'!$A:$A,"&lt;"&amp;$J408+7)/SUMIFS('Weekly Log'!$E:$E,'Weekly Log'!$A:$A,"&gt;="&amp;$J408,'Weekly Log'!$A:$A,"&lt;"&amp;$J408+7),0))</f>
        <v/>
      </c>
      <c r="G408" t="str">
        <f>IF($J408="","",IFERROR(LOOKUP(2,1/(('Weekly Log'!$A$5:$A$5000&gt;=$J408)*('Weekly Log'!$A$5:$A$5000&lt;$J408+7)*('Weekly Log'!$M$5:$M$5000&lt;&gt;"")),'Weekly Log'!$M$5:$M$5000),0))</f>
        <v/>
      </c>
      <c r="J408" t="str">
        <f>IF(COUNT('Weekly Log'!$A$5:$A$5000)=0,"",IF(MIN('Weekly Log'!$A$5:$A$5000)+7*(ROW()-10)&gt;MAX('Weekly Log'!$A$5:$A$5000),"",MIN('Weekly Log'!$A$5:$A$5000)+7*(ROW()-10)))</f>
        <v/>
      </c>
    </row>
    <row r="409" spans="1:10" x14ac:dyDescent="0.25">
      <c r="A409" t="str">
        <f t="shared" si="6"/>
        <v/>
      </c>
      <c r="B409" t="str">
        <f>IF($J409="","",SUMIFS('Weekly Log'!$C:$C,'Weekly Log'!$A:$A,"&gt;="&amp;$J409,'Weekly Log'!$A:$A,"&lt;"&amp;$J409+7))</f>
        <v/>
      </c>
      <c r="C409" t="str">
        <f>IF($J409="","",IFERROR(COUNTIFS('Weekly Log'!$G:$G,"Y",'Weekly Log'!$A:$A,"&gt;="&amp;$J409,'Weekly Log'!$A:$A,"&lt;"&amp;$J409+7)/COUNTIFS('Weekly Log'!$G:$G,"&lt;&gt;",'Weekly Log'!$A:$A,"&gt;="&amp;$J409,'Weekly Log'!$A:$A,"&lt;"&amp;$J409+7),0))</f>
        <v/>
      </c>
      <c r="D409" t="str">
        <f>IF($J409="","",IFERROR(COUNTIFS('Weekly Log'!$H:$H,"Y",'Weekly Log'!$A:$A,"&gt;="&amp;$J409,'Weekly Log'!$A:$A,"&lt;"&amp;$J409+7)/COUNTIFS('Weekly Log'!$H:$H,"&lt;&gt;",'Weekly Log'!$A:$A,"&gt;="&amp;$J409,'Weekly Log'!$A:$A,"&lt;"&amp;$J409+7),0))</f>
        <v/>
      </c>
      <c r="E409" t="str">
        <f>IF($J409="","",IFERROR(AVERAGEIFS('Weekly Log'!$F:$F,'Weekly Log'!$A:$A,"&gt;="&amp;$J409,'Weekly Log'!$A:$A,"&lt;"&amp;$J409+7),0))</f>
        <v/>
      </c>
      <c r="F409" t="str">
        <f>IF($J409="","",IFERROR(SUMIFS('Weekly Log'!$F:$F,'Weekly Log'!$A:$A,"&gt;="&amp;$J409,'Weekly Log'!$A:$A,"&lt;"&amp;$J409+7)/SUMIFS('Weekly Log'!$E:$E,'Weekly Log'!$A:$A,"&gt;="&amp;$J409,'Weekly Log'!$A:$A,"&lt;"&amp;$J409+7),0))</f>
        <v/>
      </c>
      <c r="G409" t="str">
        <f>IF($J409="","",IFERROR(LOOKUP(2,1/(('Weekly Log'!$A$5:$A$5000&gt;=$J409)*('Weekly Log'!$A$5:$A$5000&lt;$J409+7)*('Weekly Log'!$M$5:$M$5000&lt;&gt;"")),'Weekly Log'!$M$5:$M$5000),0))</f>
        <v/>
      </c>
      <c r="J409" t="str">
        <f>IF(COUNT('Weekly Log'!$A$5:$A$5000)=0,"",IF(MIN('Weekly Log'!$A$5:$A$5000)+7*(ROW()-10)&gt;MAX('Weekly Log'!$A$5:$A$5000),"",MIN('Weekly Log'!$A$5:$A$5000)+7*(ROW()-10)))</f>
        <v/>
      </c>
    </row>
    <row r="410" spans="1:10" x14ac:dyDescent="0.25">
      <c r="A410" t="str">
        <f t="shared" si="6"/>
        <v/>
      </c>
      <c r="B410" t="str">
        <f>IF($J410="","",SUMIFS('Weekly Log'!$C:$C,'Weekly Log'!$A:$A,"&gt;="&amp;$J410,'Weekly Log'!$A:$A,"&lt;"&amp;$J410+7))</f>
        <v/>
      </c>
      <c r="C410" t="str">
        <f>IF($J410="","",IFERROR(COUNTIFS('Weekly Log'!$G:$G,"Y",'Weekly Log'!$A:$A,"&gt;="&amp;$J410,'Weekly Log'!$A:$A,"&lt;"&amp;$J410+7)/COUNTIFS('Weekly Log'!$G:$G,"&lt;&gt;",'Weekly Log'!$A:$A,"&gt;="&amp;$J410,'Weekly Log'!$A:$A,"&lt;"&amp;$J410+7),0))</f>
        <v/>
      </c>
      <c r="D410" t="str">
        <f>IF($J410="","",IFERROR(COUNTIFS('Weekly Log'!$H:$H,"Y",'Weekly Log'!$A:$A,"&gt;="&amp;$J410,'Weekly Log'!$A:$A,"&lt;"&amp;$J410+7)/COUNTIFS('Weekly Log'!$H:$H,"&lt;&gt;",'Weekly Log'!$A:$A,"&gt;="&amp;$J410,'Weekly Log'!$A:$A,"&lt;"&amp;$J410+7),0))</f>
        <v/>
      </c>
      <c r="E410" t="str">
        <f>IF($J410="","",IFERROR(AVERAGEIFS('Weekly Log'!$F:$F,'Weekly Log'!$A:$A,"&gt;="&amp;$J410,'Weekly Log'!$A:$A,"&lt;"&amp;$J410+7),0))</f>
        <v/>
      </c>
      <c r="F410" t="str">
        <f>IF($J410="","",IFERROR(SUMIFS('Weekly Log'!$F:$F,'Weekly Log'!$A:$A,"&gt;="&amp;$J410,'Weekly Log'!$A:$A,"&lt;"&amp;$J410+7)/SUMIFS('Weekly Log'!$E:$E,'Weekly Log'!$A:$A,"&gt;="&amp;$J410,'Weekly Log'!$A:$A,"&lt;"&amp;$J410+7),0))</f>
        <v/>
      </c>
      <c r="G410" t="str">
        <f>IF($J410="","",IFERROR(LOOKUP(2,1/(('Weekly Log'!$A$5:$A$5000&gt;=$J410)*('Weekly Log'!$A$5:$A$5000&lt;$J410+7)*('Weekly Log'!$M$5:$M$5000&lt;&gt;"")),'Weekly Log'!$M$5:$M$5000),0))</f>
        <v/>
      </c>
      <c r="J410" t="str">
        <f>IF(COUNT('Weekly Log'!$A$5:$A$5000)=0,"",IF(MIN('Weekly Log'!$A$5:$A$5000)+7*(ROW()-10)&gt;MAX('Weekly Log'!$A$5:$A$5000),"",MIN('Weekly Log'!$A$5:$A$5000)+7*(ROW()-10)))</f>
        <v/>
      </c>
    </row>
    <row r="411" spans="1:10" x14ac:dyDescent="0.25">
      <c r="A411" t="str">
        <f t="shared" si="6"/>
        <v/>
      </c>
      <c r="B411" t="str">
        <f>IF($J411="","",SUMIFS('Weekly Log'!$C:$C,'Weekly Log'!$A:$A,"&gt;="&amp;$J411,'Weekly Log'!$A:$A,"&lt;"&amp;$J411+7))</f>
        <v/>
      </c>
      <c r="C411" t="str">
        <f>IF($J411="","",IFERROR(COUNTIFS('Weekly Log'!$G:$G,"Y",'Weekly Log'!$A:$A,"&gt;="&amp;$J411,'Weekly Log'!$A:$A,"&lt;"&amp;$J411+7)/COUNTIFS('Weekly Log'!$G:$G,"&lt;&gt;",'Weekly Log'!$A:$A,"&gt;="&amp;$J411,'Weekly Log'!$A:$A,"&lt;"&amp;$J411+7),0))</f>
        <v/>
      </c>
      <c r="D411" t="str">
        <f>IF($J411="","",IFERROR(COUNTIFS('Weekly Log'!$H:$H,"Y",'Weekly Log'!$A:$A,"&gt;="&amp;$J411,'Weekly Log'!$A:$A,"&lt;"&amp;$J411+7)/COUNTIFS('Weekly Log'!$H:$H,"&lt;&gt;",'Weekly Log'!$A:$A,"&gt;="&amp;$J411,'Weekly Log'!$A:$A,"&lt;"&amp;$J411+7),0))</f>
        <v/>
      </c>
      <c r="E411" t="str">
        <f>IF($J411="","",IFERROR(AVERAGEIFS('Weekly Log'!$F:$F,'Weekly Log'!$A:$A,"&gt;="&amp;$J411,'Weekly Log'!$A:$A,"&lt;"&amp;$J411+7),0))</f>
        <v/>
      </c>
      <c r="F411" t="str">
        <f>IF($J411="","",IFERROR(SUMIFS('Weekly Log'!$F:$F,'Weekly Log'!$A:$A,"&gt;="&amp;$J411,'Weekly Log'!$A:$A,"&lt;"&amp;$J411+7)/SUMIFS('Weekly Log'!$E:$E,'Weekly Log'!$A:$A,"&gt;="&amp;$J411,'Weekly Log'!$A:$A,"&lt;"&amp;$J411+7),0))</f>
        <v/>
      </c>
      <c r="G411" t="str">
        <f>IF($J411="","",IFERROR(LOOKUP(2,1/(('Weekly Log'!$A$5:$A$5000&gt;=$J411)*('Weekly Log'!$A$5:$A$5000&lt;$J411+7)*('Weekly Log'!$M$5:$M$5000&lt;&gt;"")),'Weekly Log'!$M$5:$M$5000),0))</f>
        <v/>
      </c>
      <c r="J411" t="str">
        <f>IF(COUNT('Weekly Log'!$A$5:$A$5000)=0,"",IF(MIN('Weekly Log'!$A$5:$A$5000)+7*(ROW()-10)&gt;MAX('Weekly Log'!$A$5:$A$5000),"",MIN('Weekly Log'!$A$5:$A$5000)+7*(ROW()-10)))</f>
        <v/>
      </c>
    </row>
    <row r="412" spans="1:10" x14ac:dyDescent="0.25">
      <c r="A412" t="str">
        <f t="shared" si="6"/>
        <v/>
      </c>
      <c r="B412" t="str">
        <f>IF($J412="","",SUMIFS('Weekly Log'!$C:$C,'Weekly Log'!$A:$A,"&gt;="&amp;$J412,'Weekly Log'!$A:$A,"&lt;"&amp;$J412+7))</f>
        <v/>
      </c>
      <c r="C412" t="str">
        <f>IF($J412="","",IFERROR(COUNTIFS('Weekly Log'!$G:$G,"Y",'Weekly Log'!$A:$A,"&gt;="&amp;$J412,'Weekly Log'!$A:$A,"&lt;"&amp;$J412+7)/COUNTIFS('Weekly Log'!$G:$G,"&lt;&gt;",'Weekly Log'!$A:$A,"&gt;="&amp;$J412,'Weekly Log'!$A:$A,"&lt;"&amp;$J412+7),0))</f>
        <v/>
      </c>
      <c r="D412" t="str">
        <f>IF($J412="","",IFERROR(COUNTIFS('Weekly Log'!$H:$H,"Y",'Weekly Log'!$A:$A,"&gt;="&amp;$J412,'Weekly Log'!$A:$A,"&lt;"&amp;$J412+7)/COUNTIFS('Weekly Log'!$H:$H,"&lt;&gt;",'Weekly Log'!$A:$A,"&gt;="&amp;$J412,'Weekly Log'!$A:$A,"&lt;"&amp;$J412+7),0))</f>
        <v/>
      </c>
      <c r="E412" t="str">
        <f>IF($J412="","",IFERROR(AVERAGEIFS('Weekly Log'!$F:$F,'Weekly Log'!$A:$A,"&gt;="&amp;$J412,'Weekly Log'!$A:$A,"&lt;"&amp;$J412+7),0))</f>
        <v/>
      </c>
      <c r="F412" t="str">
        <f>IF($J412="","",IFERROR(SUMIFS('Weekly Log'!$F:$F,'Weekly Log'!$A:$A,"&gt;="&amp;$J412,'Weekly Log'!$A:$A,"&lt;"&amp;$J412+7)/SUMIFS('Weekly Log'!$E:$E,'Weekly Log'!$A:$A,"&gt;="&amp;$J412,'Weekly Log'!$A:$A,"&lt;"&amp;$J412+7),0))</f>
        <v/>
      </c>
      <c r="G412" t="str">
        <f>IF($J412="","",IFERROR(LOOKUP(2,1/(('Weekly Log'!$A$5:$A$5000&gt;=$J412)*('Weekly Log'!$A$5:$A$5000&lt;$J412+7)*('Weekly Log'!$M$5:$M$5000&lt;&gt;"")),'Weekly Log'!$M$5:$M$5000),0))</f>
        <v/>
      </c>
      <c r="J412" t="str">
        <f>IF(COUNT('Weekly Log'!$A$5:$A$5000)=0,"",IF(MIN('Weekly Log'!$A$5:$A$5000)+7*(ROW()-10)&gt;MAX('Weekly Log'!$A$5:$A$5000),"",MIN('Weekly Log'!$A$5:$A$5000)+7*(ROW()-10)))</f>
        <v/>
      </c>
    </row>
    <row r="413" spans="1:10" x14ac:dyDescent="0.25">
      <c r="A413" t="str">
        <f t="shared" si="6"/>
        <v/>
      </c>
      <c r="B413" t="str">
        <f>IF($J413="","",SUMIFS('Weekly Log'!$C:$C,'Weekly Log'!$A:$A,"&gt;="&amp;$J413,'Weekly Log'!$A:$A,"&lt;"&amp;$J413+7))</f>
        <v/>
      </c>
      <c r="C413" t="str">
        <f>IF($J413="","",IFERROR(COUNTIFS('Weekly Log'!$G:$G,"Y",'Weekly Log'!$A:$A,"&gt;="&amp;$J413,'Weekly Log'!$A:$A,"&lt;"&amp;$J413+7)/COUNTIFS('Weekly Log'!$G:$G,"&lt;&gt;",'Weekly Log'!$A:$A,"&gt;="&amp;$J413,'Weekly Log'!$A:$A,"&lt;"&amp;$J413+7),0))</f>
        <v/>
      </c>
      <c r="D413" t="str">
        <f>IF($J413="","",IFERROR(COUNTIFS('Weekly Log'!$H:$H,"Y",'Weekly Log'!$A:$A,"&gt;="&amp;$J413,'Weekly Log'!$A:$A,"&lt;"&amp;$J413+7)/COUNTIFS('Weekly Log'!$H:$H,"&lt;&gt;",'Weekly Log'!$A:$A,"&gt;="&amp;$J413,'Weekly Log'!$A:$A,"&lt;"&amp;$J413+7),0))</f>
        <v/>
      </c>
      <c r="E413" t="str">
        <f>IF($J413="","",IFERROR(AVERAGEIFS('Weekly Log'!$F:$F,'Weekly Log'!$A:$A,"&gt;="&amp;$J413,'Weekly Log'!$A:$A,"&lt;"&amp;$J413+7),0))</f>
        <v/>
      </c>
      <c r="F413" t="str">
        <f>IF($J413="","",IFERROR(SUMIFS('Weekly Log'!$F:$F,'Weekly Log'!$A:$A,"&gt;="&amp;$J413,'Weekly Log'!$A:$A,"&lt;"&amp;$J413+7)/SUMIFS('Weekly Log'!$E:$E,'Weekly Log'!$A:$A,"&gt;="&amp;$J413,'Weekly Log'!$A:$A,"&lt;"&amp;$J413+7),0))</f>
        <v/>
      </c>
      <c r="G413" t="str">
        <f>IF($J413="","",IFERROR(LOOKUP(2,1/(('Weekly Log'!$A$5:$A$5000&gt;=$J413)*('Weekly Log'!$A$5:$A$5000&lt;$J413+7)*('Weekly Log'!$M$5:$M$5000&lt;&gt;"")),'Weekly Log'!$M$5:$M$5000),0))</f>
        <v/>
      </c>
      <c r="J413" t="str">
        <f>IF(COUNT('Weekly Log'!$A$5:$A$5000)=0,"",IF(MIN('Weekly Log'!$A$5:$A$5000)+7*(ROW()-10)&gt;MAX('Weekly Log'!$A$5:$A$5000),"",MIN('Weekly Log'!$A$5:$A$5000)+7*(ROW()-10)))</f>
        <v/>
      </c>
    </row>
    <row r="414" spans="1:10" x14ac:dyDescent="0.25">
      <c r="A414" t="str">
        <f t="shared" si="6"/>
        <v/>
      </c>
      <c r="B414" t="str">
        <f>IF($J414="","",SUMIFS('Weekly Log'!$C:$C,'Weekly Log'!$A:$A,"&gt;="&amp;$J414,'Weekly Log'!$A:$A,"&lt;"&amp;$J414+7))</f>
        <v/>
      </c>
      <c r="C414" t="str">
        <f>IF($J414="","",IFERROR(COUNTIFS('Weekly Log'!$G:$G,"Y",'Weekly Log'!$A:$A,"&gt;="&amp;$J414,'Weekly Log'!$A:$A,"&lt;"&amp;$J414+7)/COUNTIFS('Weekly Log'!$G:$G,"&lt;&gt;",'Weekly Log'!$A:$A,"&gt;="&amp;$J414,'Weekly Log'!$A:$A,"&lt;"&amp;$J414+7),0))</f>
        <v/>
      </c>
      <c r="D414" t="str">
        <f>IF($J414="","",IFERROR(COUNTIFS('Weekly Log'!$H:$H,"Y",'Weekly Log'!$A:$A,"&gt;="&amp;$J414,'Weekly Log'!$A:$A,"&lt;"&amp;$J414+7)/COUNTIFS('Weekly Log'!$H:$H,"&lt;&gt;",'Weekly Log'!$A:$A,"&gt;="&amp;$J414,'Weekly Log'!$A:$A,"&lt;"&amp;$J414+7),0))</f>
        <v/>
      </c>
      <c r="E414" t="str">
        <f>IF($J414="","",IFERROR(AVERAGEIFS('Weekly Log'!$F:$F,'Weekly Log'!$A:$A,"&gt;="&amp;$J414,'Weekly Log'!$A:$A,"&lt;"&amp;$J414+7),0))</f>
        <v/>
      </c>
      <c r="F414" t="str">
        <f>IF($J414="","",IFERROR(SUMIFS('Weekly Log'!$F:$F,'Weekly Log'!$A:$A,"&gt;="&amp;$J414,'Weekly Log'!$A:$A,"&lt;"&amp;$J414+7)/SUMIFS('Weekly Log'!$E:$E,'Weekly Log'!$A:$A,"&gt;="&amp;$J414,'Weekly Log'!$A:$A,"&lt;"&amp;$J414+7),0))</f>
        <v/>
      </c>
      <c r="G414" t="str">
        <f>IF($J414="","",IFERROR(LOOKUP(2,1/(('Weekly Log'!$A$5:$A$5000&gt;=$J414)*('Weekly Log'!$A$5:$A$5000&lt;$J414+7)*('Weekly Log'!$M$5:$M$5000&lt;&gt;"")),'Weekly Log'!$M$5:$M$5000),0))</f>
        <v/>
      </c>
      <c r="J414" t="str">
        <f>IF(COUNT('Weekly Log'!$A$5:$A$5000)=0,"",IF(MIN('Weekly Log'!$A$5:$A$5000)+7*(ROW()-10)&gt;MAX('Weekly Log'!$A$5:$A$5000),"",MIN('Weekly Log'!$A$5:$A$5000)+7*(ROW()-10)))</f>
        <v/>
      </c>
    </row>
    <row r="415" spans="1:10" x14ac:dyDescent="0.25">
      <c r="A415" t="str">
        <f t="shared" si="6"/>
        <v/>
      </c>
      <c r="B415" t="str">
        <f>IF($J415="","",SUMIFS('Weekly Log'!$C:$C,'Weekly Log'!$A:$A,"&gt;="&amp;$J415,'Weekly Log'!$A:$A,"&lt;"&amp;$J415+7))</f>
        <v/>
      </c>
      <c r="C415" t="str">
        <f>IF($J415="","",IFERROR(COUNTIFS('Weekly Log'!$G:$G,"Y",'Weekly Log'!$A:$A,"&gt;="&amp;$J415,'Weekly Log'!$A:$A,"&lt;"&amp;$J415+7)/COUNTIFS('Weekly Log'!$G:$G,"&lt;&gt;",'Weekly Log'!$A:$A,"&gt;="&amp;$J415,'Weekly Log'!$A:$A,"&lt;"&amp;$J415+7),0))</f>
        <v/>
      </c>
      <c r="D415" t="str">
        <f>IF($J415="","",IFERROR(COUNTIFS('Weekly Log'!$H:$H,"Y",'Weekly Log'!$A:$A,"&gt;="&amp;$J415,'Weekly Log'!$A:$A,"&lt;"&amp;$J415+7)/COUNTIFS('Weekly Log'!$H:$H,"&lt;&gt;",'Weekly Log'!$A:$A,"&gt;="&amp;$J415,'Weekly Log'!$A:$A,"&lt;"&amp;$J415+7),0))</f>
        <v/>
      </c>
      <c r="E415" t="str">
        <f>IF($J415="","",IFERROR(AVERAGEIFS('Weekly Log'!$F:$F,'Weekly Log'!$A:$A,"&gt;="&amp;$J415,'Weekly Log'!$A:$A,"&lt;"&amp;$J415+7),0))</f>
        <v/>
      </c>
      <c r="F415" t="str">
        <f>IF($J415="","",IFERROR(SUMIFS('Weekly Log'!$F:$F,'Weekly Log'!$A:$A,"&gt;="&amp;$J415,'Weekly Log'!$A:$A,"&lt;"&amp;$J415+7)/SUMIFS('Weekly Log'!$E:$E,'Weekly Log'!$A:$A,"&gt;="&amp;$J415,'Weekly Log'!$A:$A,"&lt;"&amp;$J415+7),0))</f>
        <v/>
      </c>
      <c r="G415" t="str">
        <f>IF($J415="","",IFERROR(LOOKUP(2,1/(('Weekly Log'!$A$5:$A$5000&gt;=$J415)*('Weekly Log'!$A$5:$A$5000&lt;$J415+7)*('Weekly Log'!$M$5:$M$5000&lt;&gt;"")),'Weekly Log'!$M$5:$M$5000),0))</f>
        <v/>
      </c>
      <c r="J415" t="str">
        <f>IF(COUNT('Weekly Log'!$A$5:$A$5000)=0,"",IF(MIN('Weekly Log'!$A$5:$A$5000)+7*(ROW()-10)&gt;MAX('Weekly Log'!$A$5:$A$5000),"",MIN('Weekly Log'!$A$5:$A$5000)+7*(ROW()-10)))</f>
        <v/>
      </c>
    </row>
    <row r="416" spans="1:10" x14ac:dyDescent="0.25">
      <c r="A416" t="str">
        <f t="shared" si="6"/>
        <v/>
      </c>
      <c r="B416" t="str">
        <f>IF($J416="","",SUMIFS('Weekly Log'!$C:$C,'Weekly Log'!$A:$A,"&gt;="&amp;$J416,'Weekly Log'!$A:$A,"&lt;"&amp;$J416+7))</f>
        <v/>
      </c>
      <c r="C416" t="str">
        <f>IF($J416="","",IFERROR(COUNTIFS('Weekly Log'!$G:$G,"Y",'Weekly Log'!$A:$A,"&gt;="&amp;$J416,'Weekly Log'!$A:$A,"&lt;"&amp;$J416+7)/COUNTIFS('Weekly Log'!$G:$G,"&lt;&gt;",'Weekly Log'!$A:$A,"&gt;="&amp;$J416,'Weekly Log'!$A:$A,"&lt;"&amp;$J416+7),0))</f>
        <v/>
      </c>
      <c r="D416" t="str">
        <f>IF($J416="","",IFERROR(COUNTIFS('Weekly Log'!$H:$H,"Y",'Weekly Log'!$A:$A,"&gt;="&amp;$J416,'Weekly Log'!$A:$A,"&lt;"&amp;$J416+7)/COUNTIFS('Weekly Log'!$H:$H,"&lt;&gt;",'Weekly Log'!$A:$A,"&gt;="&amp;$J416,'Weekly Log'!$A:$A,"&lt;"&amp;$J416+7),0))</f>
        <v/>
      </c>
      <c r="E416" t="str">
        <f>IF($J416="","",IFERROR(AVERAGEIFS('Weekly Log'!$F:$F,'Weekly Log'!$A:$A,"&gt;="&amp;$J416,'Weekly Log'!$A:$A,"&lt;"&amp;$J416+7),0))</f>
        <v/>
      </c>
      <c r="F416" t="str">
        <f>IF($J416="","",IFERROR(SUMIFS('Weekly Log'!$F:$F,'Weekly Log'!$A:$A,"&gt;="&amp;$J416,'Weekly Log'!$A:$A,"&lt;"&amp;$J416+7)/SUMIFS('Weekly Log'!$E:$E,'Weekly Log'!$A:$A,"&gt;="&amp;$J416,'Weekly Log'!$A:$A,"&lt;"&amp;$J416+7),0))</f>
        <v/>
      </c>
      <c r="G416" t="str">
        <f>IF($J416="","",IFERROR(LOOKUP(2,1/(('Weekly Log'!$A$5:$A$5000&gt;=$J416)*('Weekly Log'!$A$5:$A$5000&lt;$J416+7)*('Weekly Log'!$M$5:$M$5000&lt;&gt;"")),'Weekly Log'!$M$5:$M$5000),0))</f>
        <v/>
      </c>
      <c r="J416" t="str">
        <f>IF(COUNT('Weekly Log'!$A$5:$A$5000)=0,"",IF(MIN('Weekly Log'!$A$5:$A$5000)+7*(ROW()-10)&gt;MAX('Weekly Log'!$A$5:$A$5000),"",MIN('Weekly Log'!$A$5:$A$5000)+7*(ROW()-10)))</f>
        <v/>
      </c>
    </row>
    <row r="417" spans="1:10" x14ac:dyDescent="0.25">
      <c r="A417" t="str">
        <f t="shared" si="6"/>
        <v/>
      </c>
      <c r="B417" t="str">
        <f>IF($J417="","",SUMIFS('Weekly Log'!$C:$C,'Weekly Log'!$A:$A,"&gt;="&amp;$J417,'Weekly Log'!$A:$A,"&lt;"&amp;$J417+7))</f>
        <v/>
      </c>
      <c r="C417" t="str">
        <f>IF($J417="","",IFERROR(COUNTIFS('Weekly Log'!$G:$G,"Y",'Weekly Log'!$A:$A,"&gt;="&amp;$J417,'Weekly Log'!$A:$A,"&lt;"&amp;$J417+7)/COUNTIFS('Weekly Log'!$G:$G,"&lt;&gt;",'Weekly Log'!$A:$A,"&gt;="&amp;$J417,'Weekly Log'!$A:$A,"&lt;"&amp;$J417+7),0))</f>
        <v/>
      </c>
      <c r="D417" t="str">
        <f>IF($J417="","",IFERROR(COUNTIFS('Weekly Log'!$H:$H,"Y",'Weekly Log'!$A:$A,"&gt;="&amp;$J417,'Weekly Log'!$A:$A,"&lt;"&amp;$J417+7)/COUNTIFS('Weekly Log'!$H:$H,"&lt;&gt;",'Weekly Log'!$A:$A,"&gt;="&amp;$J417,'Weekly Log'!$A:$A,"&lt;"&amp;$J417+7),0))</f>
        <v/>
      </c>
      <c r="E417" t="str">
        <f>IF($J417="","",IFERROR(AVERAGEIFS('Weekly Log'!$F:$F,'Weekly Log'!$A:$A,"&gt;="&amp;$J417,'Weekly Log'!$A:$A,"&lt;"&amp;$J417+7),0))</f>
        <v/>
      </c>
      <c r="F417" t="str">
        <f>IF($J417="","",IFERROR(SUMIFS('Weekly Log'!$F:$F,'Weekly Log'!$A:$A,"&gt;="&amp;$J417,'Weekly Log'!$A:$A,"&lt;"&amp;$J417+7)/SUMIFS('Weekly Log'!$E:$E,'Weekly Log'!$A:$A,"&gt;="&amp;$J417,'Weekly Log'!$A:$A,"&lt;"&amp;$J417+7),0))</f>
        <v/>
      </c>
      <c r="G417" t="str">
        <f>IF($J417="","",IFERROR(LOOKUP(2,1/(('Weekly Log'!$A$5:$A$5000&gt;=$J417)*('Weekly Log'!$A$5:$A$5000&lt;$J417+7)*('Weekly Log'!$M$5:$M$5000&lt;&gt;"")),'Weekly Log'!$M$5:$M$5000),0))</f>
        <v/>
      </c>
      <c r="J417" t="str">
        <f>IF(COUNT('Weekly Log'!$A$5:$A$5000)=0,"",IF(MIN('Weekly Log'!$A$5:$A$5000)+7*(ROW()-10)&gt;MAX('Weekly Log'!$A$5:$A$5000),"",MIN('Weekly Log'!$A$5:$A$5000)+7*(ROW()-10)))</f>
        <v/>
      </c>
    </row>
    <row r="418" spans="1:10" x14ac:dyDescent="0.25">
      <c r="A418" t="str">
        <f t="shared" si="6"/>
        <v/>
      </c>
      <c r="B418" t="str">
        <f>IF($J418="","",SUMIFS('Weekly Log'!$C:$C,'Weekly Log'!$A:$A,"&gt;="&amp;$J418,'Weekly Log'!$A:$A,"&lt;"&amp;$J418+7))</f>
        <v/>
      </c>
      <c r="C418" t="str">
        <f>IF($J418="","",IFERROR(COUNTIFS('Weekly Log'!$G:$G,"Y",'Weekly Log'!$A:$A,"&gt;="&amp;$J418,'Weekly Log'!$A:$A,"&lt;"&amp;$J418+7)/COUNTIFS('Weekly Log'!$G:$G,"&lt;&gt;",'Weekly Log'!$A:$A,"&gt;="&amp;$J418,'Weekly Log'!$A:$A,"&lt;"&amp;$J418+7),0))</f>
        <v/>
      </c>
      <c r="D418" t="str">
        <f>IF($J418="","",IFERROR(COUNTIFS('Weekly Log'!$H:$H,"Y",'Weekly Log'!$A:$A,"&gt;="&amp;$J418,'Weekly Log'!$A:$A,"&lt;"&amp;$J418+7)/COUNTIFS('Weekly Log'!$H:$H,"&lt;&gt;",'Weekly Log'!$A:$A,"&gt;="&amp;$J418,'Weekly Log'!$A:$A,"&lt;"&amp;$J418+7),0))</f>
        <v/>
      </c>
      <c r="E418" t="str">
        <f>IF($J418="","",IFERROR(AVERAGEIFS('Weekly Log'!$F:$F,'Weekly Log'!$A:$A,"&gt;="&amp;$J418,'Weekly Log'!$A:$A,"&lt;"&amp;$J418+7),0))</f>
        <v/>
      </c>
      <c r="F418" t="str">
        <f>IF($J418="","",IFERROR(SUMIFS('Weekly Log'!$F:$F,'Weekly Log'!$A:$A,"&gt;="&amp;$J418,'Weekly Log'!$A:$A,"&lt;"&amp;$J418+7)/SUMIFS('Weekly Log'!$E:$E,'Weekly Log'!$A:$A,"&gt;="&amp;$J418,'Weekly Log'!$A:$A,"&lt;"&amp;$J418+7),0))</f>
        <v/>
      </c>
      <c r="G418" t="str">
        <f>IF($J418="","",IFERROR(LOOKUP(2,1/(('Weekly Log'!$A$5:$A$5000&gt;=$J418)*('Weekly Log'!$A$5:$A$5000&lt;$J418+7)*('Weekly Log'!$M$5:$M$5000&lt;&gt;"")),'Weekly Log'!$M$5:$M$5000),0))</f>
        <v/>
      </c>
      <c r="J418" t="str">
        <f>IF(COUNT('Weekly Log'!$A$5:$A$5000)=0,"",IF(MIN('Weekly Log'!$A$5:$A$5000)+7*(ROW()-10)&gt;MAX('Weekly Log'!$A$5:$A$5000),"",MIN('Weekly Log'!$A$5:$A$5000)+7*(ROW()-10)))</f>
        <v/>
      </c>
    </row>
    <row r="419" spans="1:10" x14ac:dyDescent="0.25">
      <c r="A419" t="str">
        <f t="shared" si="6"/>
        <v/>
      </c>
      <c r="B419" t="str">
        <f>IF($J419="","",SUMIFS('Weekly Log'!$C:$C,'Weekly Log'!$A:$A,"&gt;="&amp;$J419,'Weekly Log'!$A:$A,"&lt;"&amp;$J419+7))</f>
        <v/>
      </c>
      <c r="C419" t="str">
        <f>IF($J419="","",IFERROR(COUNTIFS('Weekly Log'!$G:$G,"Y",'Weekly Log'!$A:$A,"&gt;="&amp;$J419,'Weekly Log'!$A:$A,"&lt;"&amp;$J419+7)/COUNTIFS('Weekly Log'!$G:$G,"&lt;&gt;",'Weekly Log'!$A:$A,"&gt;="&amp;$J419,'Weekly Log'!$A:$A,"&lt;"&amp;$J419+7),0))</f>
        <v/>
      </c>
      <c r="D419" t="str">
        <f>IF($J419="","",IFERROR(COUNTIFS('Weekly Log'!$H:$H,"Y",'Weekly Log'!$A:$A,"&gt;="&amp;$J419,'Weekly Log'!$A:$A,"&lt;"&amp;$J419+7)/COUNTIFS('Weekly Log'!$H:$H,"&lt;&gt;",'Weekly Log'!$A:$A,"&gt;="&amp;$J419,'Weekly Log'!$A:$A,"&lt;"&amp;$J419+7),0))</f>
        <v/>
      </c>
      <c r="E419" t="str">
        <f>IF($J419="","",IFERROR(AVERAGEIFS('Weekly Log'!$F:$F,'Weekly Log'!$A:$A,"&gt;="&amp;$J419,'Weekly Log'!$A:$A,"&lt;"&amp;$J419+7),0))</f>
        <v/>
      </c>
      <c r="F419" t="str">
        <f>IF($J419="","",IFERROR(SUMIFS('Weekly Log'!$F:$F,'Weekly Log'!$A:$A,"&gt;="&amp;$J419,'Weekly Log'!$A:$A,"&lt;"&amp;$J419+7)/SUMIFS('Weekly Log'!$E:$E,'Weekly Log'!$A:$A,"&gt;="&amp;$J419,'Weekly Log'!$A:$A,"&lt;"&amp;$J419+7),0))</f>
        <v/>
      </c>
      <c r="G419" t="str">
        <f>IF($J419="","",IFERROR(LOOKUP(2,1/(('Weekly Log'!$A$5:$A$5000&gt;=$J419)*('Weekly Log'!$A$5:$A$5000&lt;$J419+7)*('Weekly Log'!$M$5:$M$5000&lt;&gt;"")),'Weekly Log'!$M$5:$M$5000),0))</f>
        <v/>
      </c>
      <c r="J419" t="str">
        <f>IF(COUNT('Weekly Log'!$A$5:$A$5000)=0,"",IF(MIN('Weekly Log'!$A$5:$A$5000)+7*(ROW()-10)&gt;MAX('Weekly Log'!$A$5:$A$5000),"",MIN('Weekly Log'!$A$5:$A$5000)+7*(ROW()-10)))</f>
        <v/>
      </c>
    </row>
    <row r="420" spans="1:10" x14ac:dyDescent="0.25">
      <c r="A420" t="str">
        <f t="shared" si="6"/>
        <v/>
      </c>
      <c r="B420" t="str">
        <f>IF($J420="","",SUMIFS('Weekly Log'!$C:$C,'Weekly Log'!$A:$A,"&gt;="&amp;$J420,'Weekly Log'!$A:$A,"&lt;"&amp;$J420+7))</f>
        <v/>
      </c>
      <c r="C420" t="str">
        <f>IF($J420="","",IFERROR(COUNTIFS('Weekly Log'!$G:$G,"Y",'Weekly Log'!$A:$A,"&gt;="&amp;$J420,'Weekly Log'!$A:$A,"&lt;"&amp;$J420+7)/COUNTIFS('Weekly Log'!$G:$G,"&lt;&gt;",'Weekly Log'!$A:$A,"&gt;="&amp;$J420,'Weekly Log'!$A:$A,"&lt;"&amp;$J420+7),0))</f>
        <v/>
      </c>
      <c r="D420" t="str">
        <f>IF($J420="","",IFERROR(COUNTIFS('Weekly Log'!$H:$H,"Y",'Weekly Log'!$A:$A,"&gt;="&amp;$J420,'Weekly Log'!$A:$A,"&lt;"&amp;$J420+7)/COUNTIFS('Weekly Log'!$H:$H,"&lt;&gt;",'Weekly Log'!$A:$A,"&gt;="&amp;$J420,'Weekly Log'!$A:$A,"&lt;"&amp;$J420+7),0))</f>
        <v/>
      </c>
      <c r="E420" t="str">
        <f>IF($J420="","",IFERROR(AVERAGEIFS('Weekly Log'!$F:$F,'Weekly Log'!$A:$A,"&gt;="&amp;$J420,'Weekly Log'!$A:$A,"&lt;"&amp;$J420+7),0))</f>
        <v/>
      </c>
      <c r="F420" t="str">
        <f>IF($J420="","",IFERROR(SUMIFS('Weekly Log'!$F:$F,'Weekly Log'!$A:$A,"&gt;="&amp;$J420,'Weekly Log'!$A:$A,"&lt;"&amp;$J420+7)/SUMIFS('Weekly Log'!$E:$E,'Weekly Log'!$A:$A,"&gt;="&amp;$J420,'Weekly Log'!$A:$A,"&lt;"&amp;$J420+7),0))</f>
        <v/>
      </c>
      <c r="G420" t="str">
        <f>IF($J420="","",IFERROR(LOOKUP(2,1/(('Weekly Log'!$A$5:$A$5000&gt;=$J420)*('Weekly Log'!$A$5:$A$5000&lt;$J420+7)*('Weekly Log'!$M$5:$M$5000&lt;&gt;"")),'Weekly Log'!$M$5:$M$5000),0))</f>
        <v/>
      </c>
      <c r="J420" t="str">
        <f>IF(COUNT('Weekly Log'!$A$5:$A$5000)=0,"",IF(MIN('Weekly Log'!$A$5:$A$5000)+7*(ROW()-10)&gt;MAX('Weekly Log'!$A$5:$A$5000),"",MIN('Weekly Log'!$A$5:$A$5000)+7*(ROW()-10)))</f>
        <v/>
      </c>
    </row>
    <row r="421" spans="1:10" x14ac:dyDescent="0.25">
      <c r="A421" t="str">
        <f t="shared" si="6"/>
        <v/>
      </c>
      <c r="B421" t="str">
        <f>IF($J421="","",SUMIFS('Weekly Log'!$C:$C,'Weekly Log'!$A:$A,"&gt;="&amp;$J421,'Weekly Log'!$A:$A,"&lt;"&amp;$J421+7))</f>
        <v/>
      </c>
      <c r="C421" t="str">
        <f>IF($J421="","",IFERROR(COUNTIFS('Weekly Log'!$G:$G,"Y",'Weekly Log'!$A:$A,"&gt;="&amp;$J421,'Weekly Log'!$A:$A,"&lt;"&amp;$J421+7)/COUNTIFS('Weekly Log'!$G:$G,"&lt;&gt;",'Weekly Log'!$A:$A,"&gt;="&amp;$J421,'Weekly Log'!$A:$A,"&lt;"&amp;$J421+7),0))</f>
        <v/>
      </c>
      <c r="D421" t="str">
        <f>IF($J421="","",IFERROR(COUNTIFS('Weekly Log'!$H:$H,"Y",'Weekly Log'!$A:$A,"&gt;="&amp;$J421,'Weekly Log'!$A:$A,"&lt;"&amp;$J421+7)/COUNTIFS('Weekly Log'!$H:$H,"&lt;&gt;",'Weekly Log'!$A:$A,"&gt;="&amp;$J421,'Weekly Log'!$A:$A,"&lt;"&amp;$J421+7),0))</f>
        <v/>
      </c>
      <c r="E421" t="str">
        <f>IF($J421="","",IFERROR(AVERAGEIFS('Weekly Log'!$F:$F,'Weekly Log'!$A:$A,"&gt;="&amp;$J421,'Weekly Log'!$A:$A,"&lt;"&amp;$J421+7),0))</f>
        <v/>
      </c>
      <c r="F421" t="str">
        <f>IF($J421="","",IFERROR(SUMIFS('Weekly Log'!$F:$F,'Weekly Log'!$A:$A,"&gt;="&amp;$J421,'Weekly Log'!$A:$A,"&lt;"&amp;$J421+7)/SUMIFS('Weekly Log'!$E:$E,'Weekly Log'!$A:$A,"&gt;="&amp;$J421,'Weekly Log'!$A:$A,"&lt;"&amp;$J421+7),0))</f>
        <v/>
      </c>
      <c r="G421" t="str">
        <f>IF($J421="","",IFERROR(LOOKUP(2,1/(('Weekly Log'!$A$5:$A$5000&gt;=$J421)*('Weekly Log'!$A$5:$A$5000&lt;$J421+7)*('Weekly Log'!$M$5:$M$5000&lt;&gt;"")),'Weekly Log'!$M$5:$M$5000),0))</f>
        <v/>
      </c>
      <c r="J421" t="str">
        <f>IF(COUNT('Weekly Log'!$A$5:$A$5000)=0,"",IF(MIN('Weekly Log'!$A$5:$A$5000)+7*(ROW()-10)&gt;MAX('Weekly Log'!$A$5:$A$5000),"",MIN('Weekly Log'!$A$5:$A$5000)+7*(ROW()-10)))</f>
        <v/>
      </c>
    </row>
    <row r="422" spans="1:10" x14ac:dyDescent="0.25">
      <c r="A422" t="str">
        <f t="shared" si="6"/>
        <v/>
      </c>
      <c r="B422" t="str">
        <f>IF($J422="","",SUMIFS('Weekly Log'!$C:$C,'Weekly Log'!$A:$A,"&gt;="&amp;$J422,'Weekly Log'!$A:$A,"&lt;"&amp;$J422+7))</f>
        <v/>
      </c>
      <c r="C422" t="str">
        <f>IF($J422="","",IFERROR(COUNTIFS('Weekly Log'!$G:$G,"Y",'Weekly Log'!$A:$A,"&gt;="&amp;$J422,'Weekly Log'!$A:$A,"&lt;"&amp;$J422+7)/COUNTIFS('Weekly Log'!$G:$G,"&lt;&gt;",'Weekly Log'!$A:$A,"&gt;="&amp;$J422,'Weekly Log'!$A:$A,"&lt;"&amp;$J422+7),0))</f>
        <v/>
      </c>
      <c r="D422" t="str">
        <f>IF($J422="","",IFERROR(COUNTIFS('Weekly Log'!$H:$H,"Y",'Weekly Log'!$A:$A,"&gt;="&amp;$J422,'Weekly Log'!$A:$A,"&lt;"&amp;$J422+7)/COUNTIFS('Weekly Log'!$H:$H,"&lt;&gt;",'Weekly Log'!$A:$A,"&gt;="&amp;$J422,'Weekly Log'!$A:$A,"&lt;"&amp;$J422+7),0))</f>
        <v/>
      </c>
      <c r="E422" t="str">
        <f>IF($J422="","",IFERROR(AVERAGEIFS('Weekly Log'!$F:$F,'Weekly Log'!$A:$A,"&gt;="&amp;$J422,'Weekly Log'!$A:$A,"&lt;"&amp;$J422+7),0))</f>
        <v/>
      </c>
      <c r="F422" t="str">
        <f>IF($J422="","",IFERROR(SUMIFS('Weekly Log'!$F:$F,'Weekly Log'!$A:$A,"&gt;="&amp;$J422,'Weekly Log'!$A:$A,"&lt;"&amp;$J422+7)/SUMIFS('Weekly Log'!$E:$E,'Weekly Log'!$A:$A,"&gt;="&amp;$J422,'Weekly Log'!$A:$A,"&lt;"&amp;$J422+7),0))</f>
        <v/>
      </c>
      <c r="G422" t="str">
        <f>IF($J422="","",IFERROR(LOOKUP(2,1/(('Weekly Log'!$A$5:$A$5000&gt;=$J422)*('Weekly Log'!$A$5:$A$5000&lt;$J422+7)*('Weekly Log'!$M$5:$M$5000&lt;&gt;"")),'Weekly Log'!$M$5:$M$5000),0))</f>
        <v/>
      </c>
      <c r="J422" t="str">
        <f>IF(COUNT('Weekly Log'!$A$5:$A$5000)=0,"",IF(MIN('Weekly Log'!$A$5:$A$5000)+7*(ROW()-10)&gt;MAX('Weekly Log'!$A$5:$A$5000),"",MIN('Weekly Log'!$A$5:$A$5000)+7*(ROW()-10)))</f>
        <v/>
      </c>
    </row>
    <row r="423" spans="1:10" x14ac:dyDescent="0.25">
      <c r="A423" t="str">
        <f t="shared" si="6"/>
        <v/>
      </c>
      <c r="B423" t="str">
        <f>IF($J423="","",SUMIFS('Weekly Log'!$C:$C,'Weekly Log'!$A:$A,"&gt;="&amp;$J423,'Weekly Log'!$A:$A,"&lt;"&amp;$J423+7))</f>
        <v/>
      </c>
      <c r="C423" t="str">
        <f>IF($J423="","",IFERROR(COUNTIFS('Weekly Log'!$G:$G,"Y",'Weekly Log'!$A:$A,"&gt;="&amp;$J423,'Weekly Log'!$A:$A,"&lt;"&amp;$J423+7)/COUNTIFS('Weekly Log'!$G:$G,"&lt;&gt;",'Weekly Log'!$A:$A,"&gt;="&amp;$J423,'Weekly Log'!$A:$A,"&lt;"&amp;$J423+7),0))</f>
        <v/>
      </c>
      <c r="D423" t="str">
        <f>IF($J423="","",IFERROR(COUNTIFS('Weekly Log'!$H:$H,"Y",'Weekly Log'!$A:$A,"&gt;="&amp;$J423,'Weekly Log'!$A:$A,"&lt;"&amp;$J423+7)/COUNTIFS('Weekly Log'!$H:$H,"&lt;&gt;",'Weekly Log'!$A:$A,"&gt;="&amp;$J423,'Weekly Log'!$A:$A,"&lt;"&amp;$J423+7),0))</f>
        <v/>
      </c>
      <c r="E423" t="str">
        <f>IF($J423="","",IFERROR(AVERAGEIFS('Weekly Log'!$F:$F,'Weekly Log'!$A:$A,"&gt;="&amp;$J423,'Weekly Log'!$A:$A,"&lt;"&amp;$J423+7),0))</f>
        <v/>
      </c>
      <c r="F423" t="str">
        <f>IF($J423="","",IFERROR(SUMIFS('Weekly Log'!$F:$F,'Weekly Log'!$A:$A,"&gt;="&amp;$J423,'Weekly Log'!$A:$A,"&lt;"&amp;$J423+7)/SUMIFS('Weekly Log'!$E:$E,'Weekly Log'!$A:$A,"&gt;="&amp;$J423,'Weekly Log'!$A:$A,"&lt;"&amp;$J423+7),0))</f>
        <v/>
      </c>
      <c r="G423" t="str">
        <f>IF($J423="","",IFERROR(LOOKUP(2,1/(('Weekly Log'!$A$5:$A$5000&gt;=$J423)*('Weekly Log'!$A$5:$A$5000&lt;$J423+7)*('Weekly Log'!$M$5:$M$5000&lt;&gt;"")),'Weekly Log'!$M$5:$M$5000),0))</f>
        <v/>
      </c>
      <c r="J423" t="str">
        <f>IF(COUNT('Weekly Log'!$A$5:$A$5000)=0,"",IF(MIN('Weekly Log'!$A$5:$A$5000)+7*(ROW()-10)&gt;MAX('Weekly Log'!$A$5:$A$5000),"",MIN('Weekly Log'!$A$5:$A$5000)+7*(ROW()-10)))</f>
        <v/>
      </c>
    </row>
    <row r="424" spans="1:10" x14ac:dyDescent="0.25">
      <c r="A424" t="str">
        <f t="shared" si="6"/>
        <v/>
      </c>
      <c r="B424" t="str">
        <f>IF($J424="","",SUMIFS('Weekly Log'!$C:$C,'Weekly Log'!$A:$A,"&gt;="&amp;$J424,'Weekly Log'!$A:$A,"&lt;"&amp;$J424+7))</f>
        <v/>
      </c>
      <c r="C424" t="str">
        <f>IF($J424="","",IFERROR(COUNTIFS('Weekly Log'!$G:$G,"Y",'Weekly Log'!$A:$A,"&gt;="&amp;$J424,'Weekly Log'!$A:$A,"&lt;"&amp;$J424+7)/COUNTIFS('Weekly Log'!$G:$G,"&lt;&gt;",'Weekly Log'!$A:$A,"&gt;="&amp;$J424,'Weekly Log'!$A:$A,"&lt;"&amp;$J424+7),0))</f>
        <v/>
      </c>
      <c r="D424" t="str">
        <f>IF($J424="","",IFERROR(COUNTIFS('Weekly Log'!$H:$H,"Y",'Weekly Log'!$A:$A,"&gt;="&amp;$J424,'Weekly Log'!$A:$A,"&lt;"&amp;$J424+7)/COUNTIFS('Weekly Log'!$H:$H,"&lt;&gt;",'Weekly Log'!$A:$A,"&gt;="&amp;$J424,'Weekly Log'!$A:$A,"&lt;"&amp;$J424+7),0))</f>
        <v/>
      </c>
      <c r="E424" t="str">
        <f>IF($J424="","",IFERROR(AVERAGEIFS('Weekly Log'!$F:$F,'Weekly Log'!$A:$A,"&gt;="&amp;$J424,'Weekly Log'!$A:$A,"&lt;"&amp;$J424+7),0))</f>
        <v/>
      </c>
      <c r="F424" t="str">
        <f>IF($J424="","",IFERROR(SUMIFS('Weekly Log'!$F:$F,'Weekly Log'!$A:$A,"&gt;="&amp;$J424,'Weekly Log'!$A:$A,"&lt;"&amp;$J424+7)/SUMIFS('Weekly Log'!$E:$E,'Weekly Log'!$A:$A,"&gt;="&amp;$J424,'Weekly Log'!$A:$A,"&lt;"&amp;$J424+7),0))</f>
        <v/>
      </c>
      <c r="G424" t="str">
        <f>IF($J424="","",IFERROR(LOOKUP(2,1/(('Weekly Log'!$A$5:$A$5000&gt;=$J424)*('Weekly Log'!$A$5:$A$5000&lt;$J424+7)*('Weekly Log'!$M$5:$M$5000&lt;&gt;"")),'Weekly Log'!$M$5:$M$5000),0))</f>
        <v/>
      </c>
      <c r="J424" t="str">
        <f>IF(COUNT('Weekly Log'!$A$5:$A$5000)=0,"",IF(MIN('Weekly Log'!$A$5:$A$5000)+7*(ROW()-10)&gt;MAX('Weekly Log'!$A$5:$A$5000),"",MIN('Weekly Log'!$A$5:$A$5000)+7*(ROW()-10)))</f>
        <v/>
      </c>
    </row>
    <row r="425" spans="1:10" x14ac:dyDescent="0.25">
      <c r="A425" t="str">
        <f t="shared" si="6"/>
        <v/>
      </c>
      <c r="B425" t="str">
        <f>IF($J425="","",SUMIFS('Weekly Log'!$C:$C,'Weekly Log'!$A:$A,"&gt;="&amp;$J425,'Weekly Log'!$A:$A,"&lt;"&amp;$J425+7))</f>
        <v/>
      </c>
      <c r="C425" t="str">
        <f>IF($J425="","",IFERROR(COUNTIFS('Weekly Log'!$G:$G,"Y",'Weekly Log'!$A:$A,"&gt;="&amp;$J425,'Weekly Log'!$A:$A,"&lt;"&amp;$J425+7)/COUNTIFS('Weekly Log'!$G:$G,"&lt;&gt;",'Weekly Log'!$A:$A,"&gt;="&amp;$J425,'Weekly Log'!$A:$A,"&lt;"&amp;$J425+7),0))</f>
        <v/>
      </c>
      <c r="D425" t="str">
        <f>IF($J425="","",IFERROR(COUNTIFS('Weekly Log'!$H:$H,"Y",'Weekly Log'!$A:$A,"&gt;="&amp;$J425,'Weekly Log'!$A:$A,"&lt;"&amp;$J425+7)/COUNTIFS('Weekly Log'!$H:$H,"&lt;&gt;",'Weekly Log'!$A:$A,"&gt;="&amp;$J425,'Weekly Log'!$A:$A,"&lt;"&amp;$J425+7),0))</f>
        <v/>
      </c>
      <c r="E425" t="str">
        <f>IF($J425="","",IFERROR(AVERAGEIFS('Weekly Log'!$F:$F,'Weekly Log'!$A:$A,"&gt;="&amp;$J425,'Weekly Log'!$A:$A,"&lt;"&amp;$J425+7),0))</f>
        <v/>
      </c>
      <c r="F425" t="str">
        <f>IF($J425="","",IFERROR(SUMIFS('Weekly Log'!$F:$F,'Weekly Log'!$A:$A,"&gt;="&amp;$J425,'Weekly Log'!$A:$A,"&lt;"&amp;$J425+7)/SUMIFS('Weekly Log'!$E:$E,'Weekly Log'!$A:$A,"&gt;="&amp;$J425,'Weekly Log'!$A:$A,"&lt;"&amp;$J425+7),0))</f>
        <v/>
      </c>
      <c r="G425" t="str">
        <f>IF($J425="","",IFERROR(LOOKUP(2,1/(('Weekly Log'!$A$5:$A$5000&gt;=$J425)*('Weekly Log'!$A$5:$A$5000&lt;$J425+7)*('Weekly Log'!$M$5:$M$5000&lt;&gt;"")),'Weekly Log'!$M$5:$M$5000),0))</f>
        <v/>
      </c>
      <c r="J425" t="str">
        <f>IF(COUNT('Weekly Log'!$A$5:$A$5000)=0,"",IF(MIN('Weekly Log'!$A$5:$A$5000)+7*(ROW()-10)&gt;MAX('Weekly Log'!$A$5:$A$5000),"",MIN('Weekly Log'!$A$5:$A$5000)+7*(ROW()-10)))</f>
        <v/>
      </c>
    </row>
    <row r="426" spans="1:10" x14ac:dyDescent="0.25">
      <c r="A426" t="str">
        <f t="shared" si="6"/>
        <v/>
      </c>
      <c r="B426" t="str">
        <f>IF($J426="","",SUMIFS('Weekly Log'!$C:$C,'Weekly Log'!$A:$A,"&gt;="&amp;$J426,'Weekly Log'!$A:$A,"&lt;"&amp;$J426+7))</f>
        <v/>
      </c>
      <c r="C426" t="str">
        <f>IF($J426="","",IFERROR(COUNTIFS('Weekly Log'!$G:$G,"Y",'Weekly Log'!$A:$A,"&gt;="&amp;$J426,'Weekly Log'!$A:$A,"&lt;"&amp;$J426+7)/COUNTIFS('Weekly Log'!$G:$G,"&lt;&gt;",'Weekly Log'!$A:$A,"&gt;="&amp;$J426,'Weekly Log'!$A:$A,"&lt;"&amp;$J426+7),0))</f>
        <v/>
      </c>
      <c r="D426" t="str">
        <f>IF($J426="","",IFERROR(COUNTIFS('Weekly Log'!$H:$H,"Y",'Weekly Log'!$A:$A,"&gt;="&amp;$J426,'Weekly Log'!$A:$A,"&lt;"&amp;$J426+7)/COUNTIFS('Weekly Log'!$H:$H,"&lt;&gt;",'Weekly Log'!$A:$A,"&gt;="&amp;$J426,'Weekly Log'!$A:$A,"&lt;"&amp;$J426+7),0))</f>
        <v/>
      </c>
      <c r="E426" t="str">
        <f>IF($J426="","",IFERROR(AVERAGEIFS('Weekly Log'!$F:$F,'Weekly Log'!$A:$A,"&gt;="&amp;$J426,'Weekly Log'!$A:$A,"&lt;"&amp;$J426+7),0))</f>
        <v/>
      </c>
      <c r="F426" t="str">
        <f>IF($J426="","",IFERROR(SUMIFS('Weekly Log'!$F:$F,'Weekly Log'!$A:$A,"&gt;="&amp;$J426,'Weekly Log'!$A:$A,"&lt;"&amp;$J426+7)/SUMIFS('Weekly Log'!$E:$E,'Weekly Log'!$A:$A,"&gt;="&amp;$J426,'Weekly Log'!$A:$A,"&lt;"&amp;$J426+7),0))</f>
        <v/>
      </c>
      <c r="G426" t="str">
        <f>IF($J426="","",IFERROR(LOOKUP(2,1/(('Weekly Log'!$A$5:$A$5000&gt;=$J426)*('Weekly Log'!$A$5:$A$5000&lt;$J426+7)*('Weekly Log'!$M$5:$M$5000&lt;&gt;"")),'Weekly Log'!$M$5:$M$5000),0))</f>
        <v/>
      </c>
      <c r="J426" t="str">
        <f>IF(COUNT('Weekly Log'!$A$5:$A$5000)=0,"",IF(MIN('Weekly Log'!$A$5:$A$5000)+7*(ROW()-10)&gt;MAX('Weekly Log'!$A$5:$A$5000),"",MIN('Weekly Log'!$A$5:$A$5000)+7*(ROW()-10)))</f>
        <v/>
      </c>
    </row>
    <row r="427" spans="1:10" x14ac:dyDescent="0.25">
      <c r="A427" t="str">
        <f t="shared" si="6"/>
        <v/>
      </c>
      <c r="B427" t="str">
        <f>IF($J427="","",SUMIFS('Weekly Log'!$C:$C,'Weekly Log'!$A:$A,"&gt;="&amp;$J427,'Weekly Log'!$A:$A,"&lt;"&amp;$J427+7))</f>
        <v/>
      </c>
      <c r="C427" t="str">
        <f>IF($J427="","",IFERROR(COUNTIFS('Weekly Log'!$G:$G,"Y",'Weekly Log'!$A:$A,"&gt;="&amp;$J427,'Weekly Log'!$A:$A,"&lt;"&amp;$J427+7)/COUNTIFS('Weekly Log'!$G:$G,"&lt;&gt;",'Weekly Log'!$A:$A,"&gt;="&amp;$J427,'Weekly Log'!$A:$A,"&lt;"&amp;$J427+7),0))</f>
        <v/>
      </c>
      <c r="D427" t="str">
        <f>IF($J427="","",IFERROR(COUNTIFS('Weekly Log'!$H:$H,"Y",'Weekly Log'!$A:$A,"&gt;="&amp;$J427,'Weekly Log'!$A:$A,"&lt;"&amp;$J427+7)/COUNTIFS('Weekly Log'!$H:$H,"&lt;&gt;",'Weekly Log'!$A:$A,"&gt;="&amp;$J427,'Weekly Log'!$A:$A,"&lt;"&amp;$J427+7),0))</f>
        <v/>
      </c>
      <c r="E427" t="str">
        <f>IF($J427="","",IFERROR(AVERAGEIFS('Weekly Log'!$F:$F,'Weekly Log'!$A:$A,"&gt;="&amp;$J427,'Weekly Log'!$A:$A,"&lt;"&amp;$J427+7),0))</f>
        <v/>
      </c>
      <c r="F427" t="str">
        <f>IF($J427="","",IFERROR(SUMIFS('Weekly Log'!$F:$F,'Weekly Log'!$A:$A,"&gt;="&amp;$J427,'Weekly Log'!$A:$A,"&lt;"&amp;$J427+7)/SUMIFS('Weekly Log'!$E:$E,'Weekly Log'!$A:$A,"&gt;="&amp;$J427,'Weekly Log'!$A:$A,"&lt;"&amp;$J427+7),0))</f>
        <v/>
      </c>
      <c r="G427" t="str">
        <f>IF($J427="","",IFERROR(LOOKUP(2,1/(('Weekly Log'!$A$5:$A$5000&gt;=$J427)*('Weekly Log'!$A$5:$A$5000&lt;$J427+7)*('Weekly Log'!$M$5:$M$5000&lt;&gt;"")),'Weekly Log'!$M$5:$M$5000),0))</f>
        <v/>
      </c>
      <c r="J427" t="str">
        <f>IF(COUNT('Weekly Log'!$A$5:$A$5000)=0,"",IF(MIN('Weekly Log'!$A$5:$A$5000)+7*(ROW()-10)&gt;MAX('Weekly Log'!$A$5:$A$5000),"",MIN('Weekly Log'!$A$5:$A$5000)+7*(ROW()-10)))</f>
        <v/>
      </c>
    </row>
    <row r="428" spans="1:10" x14ac:dyDescent="0.25">
      <c r="A428" t="str">
        <f t="shared" si="6"/>
        <v/>
      </c>
      <c r="B428" t="str">
        <f>IF($J428="","",SUMIFS('Weekly Log'!$C:$C,'Weekly Log'!$A:$A,"&gt;="&amp;$J428,'Weekly Log'!$A:$A,"&lt;"&amp;$J428+7))</f>
        <v/>
      </c>
      <c r="C428" t="str">
        <f>IF($J428="","",IFERROR(COUNTIFS('Weekly Log'!$G:$G,"Y",'Weekly Log'!$A:$A,"&gt;="&amp;$J428,'Weekly Log'!$A:$A,"&lt;"&amp;$J428+7)/COUNTIFS('Weekly Log'!$G:$G,"&lt;&gt;",'Weekly Log'!$A:$A,"&gt;="&amp;$J428,'Weekly Log'!$A:$A,"&lt;"&amp;$J428+7),0))</f>
        <v/>
      </c>
      <c r="D428" t="str">
        <f>IF($J428="","",IFERROR(COUNTIFS('Weekly Log'!$H:$H,"Y",'Weekly Log'!$A:$A,"&gt;="&amp;$J428,'Weekly Log'!$A:$A,"&lt;"&amp;$J428+7)/COUNTIFS('Weekly Log'!$H:$H,"&lt;&gt;",'Weekly Log'!$A:$A,"&gt;="&amp;$J428,'Weekly Log'!$A:$A,"&lt;"&amp;$J428+7),0))</f>
        <v/>
      </c>
      <c r="E428" t="str">
        <f>IF($J428="","",IFERROR(AVERAGEIFS('Weekly Log'!$F:$F,'Weekly Log'!$A:$A,"&gt;="&amp;$J428,'Weekly Log'!$A:$A,"&lt;"&amp;$J428+7),0))</f>
        <v/>
      </c>
      <c r="F428" t="str">
        <f>IF($J428="","",IFERROR(SUMIFS('Weekly Log'!$F:$F,'Weekly Log'!$A:$A,"&gt;="&amp;$J428,'Weekly Log'!$A:$A,"&lt;"&amp;$J428+7)/SUMIFS('Weekly Log'!$E:$E,'Weekly Log'!$A:$A,"&gt;="&amp;$J428,'Weekly Log'!$A:$A,"&lt;"&amp;$J428+7),0))</f>
        <v/>
      </c>
      <c r="G428" t="str">
        <f>IF($J428="","",IFERROR(LOOKUP(2,1/(('Weekly Log'!$A$5:$A$5000&gt;=$J428)*('Weekly Log'!$A$5:$A$5000&lt;$J428+7)*('Weekly Log'!$M$5:$M$5000&lt;&gt;"")),'Weekly Log'!$M$5:$M$5000),0))</f>
        <v/>
      </c>
      <c r="J428" t="str">
        <f>IF(COUNT('Weekly Log'!$A$5:$A$5000)=0,"",IF(MIN('Weekly Log'!$A$5:$A$5000)+7*(ROW()-10)&gt;MAX('Weekly Log'!$A$5:$A$5000),"",MIN('Weekly Log'!$A$5:$A$5000)+7*(ROW()-10)))</f>
        <v/>
      </c>
    </row>
    <row r="429" spans="1:10" x14ac:dyDescent="0.25">
      <c r="A429" t="str">
        <f t="shared" si="6"/>
        <v/>
      </c>
      <c r="B429" t="str">
        <f>IF($J429="","",SUMIFS('Weekly Log'!$C:$C,'Weekly Log'!$A:$A,"&gt;="&amp;$J429,'Weekly Log'!$A:$A,"&lt;"&amp;$J429+7))</f>
        <v/>
      </c>
      <c r="C429" t="str">
        <f>IF($J429="","",IFERROR(COUNTIFS('Weekly Log'!$G:$G,"Y",'Weekly Log'!$A:$A,"&gt;="&amp;$J429,'Weekly Log'!$A:$A,"&lt;"&amp;$J429+7)/COUNTIFS('Weekly Log'!$G:$G,"&lt;&gt;",'Weekly Log'!$A:$A,"&gt;="&amp;$J429,'Weekly Log'!$A:$A,"&lt;"&amp;$J429+7),0))</f>
        <v/>
      </c>
      <c r="D429" t="str">
        <f>IF($J429="","",IFERROR(COUNTIFS('Weekly Log'!$H:$H,"Y",'Weekly Log'!$A:$A,"&gt;="&amp;$J429,'Weekly Log'!$A:$A,"&lt;"&amp;$J429+7)/COUNTIFS('Weekly Log'!$H:$H,"&lt;&gt;",'Weekly Log'!$A:$A,"&gt;="&amp;$J429,'Weekly Log'!$A:$A,"&lt;"&amp;$J429+7),0))</f>
        <v/>
      </c>
      <c r="E429" t="str">
        <f>IF($J429="","",IFERROR(AVERAGEIFS('Weekly Log'!$F:$F,'Weekly Log'!$A:$A,"&gt;="&amp;$J429,'Weekly Log'!$A:$A,"&lt;"&amp;$J429+7),0))</f>
        <v/>
      </c>
      <c r="F429" t="str">
        <f>IF($J429="","",IFERROR(SUMIFS('Weekly Log'!$F:$F,'Weekly Log'!$A:$A,"&gt;="&amp;$J429,'Weekly Log'!$A:$A,"&lt;"&amp;$J429+7)/SUMIFS('Weekly Log'!$E:$E,'Weekly Log'!$A:$A,"&gt;="&amp;$J429,'Weekly Log'!$A:$A,"&lt;"&amp;$J429+7),0))</f>
        <v/>
      </c>
      <c r="G429" t="str">
        <f>IF($J429="","",IFERROR(LOOKUP(2,1/(('Weekly Log'!$A$5:$A$5000&gt;=$J429)*('Weekly Log'!$A$5:$A$5000&lt;$J429+7)*('Weekly Log'!$M$5:$M$5000&lt;&gt;"")),'Weekly Log'!$M$5:$M$5000),0))</f>
        <v/>
      </c>
      <c r="J429" t="str">
        <f>IF(COUNT('Weekly Log'!$A$5:$A$5000)=0,"",IF(MIN('Weekly Log'!$A$5:$A$5000)+7*(ROW()-10)&gt;MAX('Weekly Log'!$A$5:$A$5000),"",MIN('Weekly Log'!$A$5:$A$5000)+7*(ROW()-10)))</f>
        <v/>
      </c>
    </row>
    <row r="430" spans="1:10" x14ac:dyDescent="0.25">
      <c r="A430" t="str">
        <f t="shared" si="6"/>
        <v/>
      </c>
      <c r="B430" t="str">
        <f>IF($J430="","",SUMIFS('Weekly Log'!$C:$C,'Weekly Log'!$A:$A,"&gt;="&amp;$J430,'Weekly Log'!$A:$A,"&lt;"&amp;$J430+7))</f>
        <v/>
      </c>
      <c r="C430" t="str">
        <f>IF($J430="","",IFERROR(COUNTIFS('Weekly Log'!$G:$G,"Y",'Weekly Log'!$A:$A,"&gt;="&amp;$J430,'Weekly Log'!$A:$A,"&lt;"&amp;$J430+7)/COUNTIFS('Weekly Log'!$G:$G,"&lt;&gt;",'Weekly Log'!$A:$A,"&gt;="&amp;$J430,'Weekly Log'!$A:$A,"&lt;"&amp;$J430+7),0))</f>
        <v/>
      </c>
      <c r="D430" t="str">
        <f>IF($J430="","",IFERROR(COUNTIFS('Weekly Log'!$H:$H,"Y",'Weekly Log'!$A:$A,"&gt;="&amp;$J430,'Weekly Log'!$A:$A,"&lt;"&amp;$J430+7)/COUNTIFS('Weekly Log'!$H:$H,"&lt;&gt;",'Weekly Log'!$A:$A,"&gt;="&amp;$J430,'Weekly Log'!$A:$A,"&lt;"&amp;$J430+7),0))</f>
        <v/>
      </c>
      <c r="E430" t="str">
        <f>IF($J430="","",IFERROR(AVERAGEIFS('Weekly Log'!$F:$F,'Weekly Log'!$A:$A,"&gt;="&amp;$J430,'Weekly Log'!$A:$A,"&lt;"&amp;$J430+7),0))</f>
        <v/>
      </c>
      <c r="F430" t="str">
        <f>IF($J430="","",IFERROR(SUMIFS('Weekly Log'!$F:$F,'Weekly Log'!$A:$A,"&gt;="&amp;$J430,'Weekly Log'!$A:$A,"&lt;"&amp;$J430+7)/SUMIFS('Weekly Log'!$E:$E,'Weekly Log'!$A:$A,"&gt;="&amp;$J430,'Weekly Log'!$A:$A,"&lt;"&amp;$J430+7),0))</f>
        <v/>
      </c>
      <c r="G430" t="str">
        <f>IF($J430="","",IFERROR(LOOKUP(2,1/(('Weekly Log'!$A$5:$A$5000&gt;=$J430)*('Weekly Log'!$A$5:$A$5000&lt;$J430+7)*('Weekly Log'!$M$5:$M$5000&lt;&gt;"")),'Weekly Log'!$M$5:$M$5000),0))</f>
        <v/>
      </c>
      <c r="J430" t="str">
        <f>IF(COUNT('Weekly Log'!$A$5:$A$5000)=0,"",IF(MIN('Weekly Log'!$A$5:$A$5000)+7*(ROW()-10)&gt;MAX('Weekly Log'!$A$5:$A$5000),"",MIN('Weekly Log'!$A$5:$A$5000)+7*(ROW()-10)))</f>
        <v/>
      </c>
    </row>
    <row r="431" spans="1:10" x14ac:dyDescent="0.25">
      <c r="A431" t="str">
        <f t="shared" si="6"/>
        <v/>
      </c>
      <c r="B431" t="str">
        <f>IF($J431="","",SUMIFS('Weekly Log'!$C:$C,'Weekly Log'!$A:$A,"&gt;="&amp;$J431,'Weekly Log'!$A:$A,"&lt;"&amp;$J431+7))</f>
        <v/>
      </c>
      <c r="C431" t="str">
        <f>IF($J431="","",IFERROR(COUNTIFS('Weekly Log'!$G:$G,"Y",'Weekly Log'!$A:$A,"&gt;="&amp;$J431,'Weekly Log'!$A:$A,"&lt;"&amp;$J431+7)/COUNTIFS('Weekly Log'!$G:$G,"&lt;&gt;",'Weekly Log'!$A:$A,"&gt;="&amp;$J431,'Weekly Log'!$A:$A,"&lt;"&amp;$J431+7),0))</f>
        <v/>
      </c>
      <c r="D431" t="str">
        <f>IF($J431="","",IFERROR(COUNTIFS('Weekly Log'!$H:$H,"Y",'Weekly Log'!$A:$A,"&gt;="&amp;$J431,'Weekly Log'!$A:$A,"&lt;"&amp;$J431+7)/COUNTIFS('Weekly Log'!$H:$H,"&lt;&gt;",'Weekly Log'!$A:$A,"&gt;="&amp;$J431,'Weekly Log'!$A:$A,"&lt;"&amp;$J431+7),0))</f>
        <v/>
      </c>
      <c r="E431" t="str">
        <f>IF($J431="","",IFERROR(AVERAGEIFS('Weekly Log'!$F:$F,'Weekly Log'!$A:$A,"&gt;="&amp;$J431,'Weekly Log'!$A:$A,"&lt;"&amp;$J431+7),0))</f>
        <v/>
      </c>
      <c r="F431" t="str">
        <f>IF($J431="","",IFERROR(SUMIFS('Weekly Log'!$F:$F,'Weekly Log'!$A:$A,"&gt;="&amp;$J431,'Weekly Log'!$A:$A,"&lt;"&amp;$J431+7)/SUMIFS('Weekly Log'!$E:$E,'Weekly Log'!$A:$A,"&gt;="&amp;$J431,'Weekly Log'!$A:$A,"&lt;"&amp;$J431+7),0))</f>
        <v/>
      </c>
      <c r="G431" t="str">
        <f>IF($J431="","",IFERROR(LOOKUP(2,1/(('Weekly Log'!$A$5:$A$5000&gt;=$J431)*('Weekly Log'!$A$5:$A$5000&lt;$J431+7)*('Weekly Log'!$M$5:$M$5000&lt;&gt;"")),'Weekly Log'!$M$5:$M$5000),0))</f>
        <v/>
      </c>
      <c r="J431" t="str">
        <f>IF(COUNT('Weekly Log'!$A$5:$A$5000)=0,"",IF(MIN('Weekly Log'!$A$5:$A$5000)+7*(ROW()-10)&gt;MAX('Weekly Log'!$A$5:$A$5000),"",MIN('Weekly Log'!$A$5:$A$5000)+7*(ROW()-10)))</f>
        <v/>
      </c>
    </row>
    <row r="432" spans="1:10" x14ac:dyDescent="0.25">
      <c r="A432" t="str">
        <f t="shared" si="6"/>
        <v/>
      </c>
      <c r="B432" t="str">
        <f>IF($J432="","",SUMIFS('Weekly Log'!$C:$C,'Weekly Log'!$A:$A,"&gt;="&amp;$J432,'Weekly Log'!$A:$A,"&lt;"&amp;$J432+7))</f>
        <v/>
      </c>
      <c r="C432" t="str">
        <f>IF($J432="","",IFERROR(COUNTIFS('Weekly Log'!$G:$G,"Y",'Weekly Log'!$A:$A,"&gt;="&amp;$J432,'Weekly Log'!$A:$A,"&lt;"&amp;$J432+7)/COUNTIFS('Weekly Log'!$G:$G,"&lt;&gt;",'Weekly Log'!$A:$A,"&gt;="&amp;$J432,'Weekly Log'!$A:$A,"&lt;"&amp;$J432+7),0))</f>
        <v/>
      </c>
      <c r="D432" t="str">
        <f>IF($J432="","",IFERROR(COUNTIFS('Weekly Log'!$H:$H,"Y",'Weekly Log'!$A:$A,"&gt;="&amp;$J432,'Weekly Log'!$A:$A,"&lt;"&amp;$J432+7)/COUNTIFS('Weekly Log'!$H:$H,"&lt;&gt;",'Weekly Log'!$A:$A,"&gt;="&amp;$J432,'Weekly Log'!$A:$A,"&lt;"&amp;$J432+7),0))</f>
        <v/>
      </c>
      <c r="E432" t="str">
        <f>IF($J432="","",IFERROR(AVERAGEIFS('Weekly Log'!$F:$F,'Weekly Log'!$A:$A,"&gt;="&amp;$J432,'Weekly Log'!$A:$A,"&lt;"&amp;$J432+7),0))</f>
        <v/>
      </c>
      <c r="F432" t="str">
        <f>IF($J432="","",IFERROR(SUMIFS('Weekly Log'!$F:$F,'Weekly Log'!$A:$A,"&gt;="&amp;$J432,'Weekly Log'!$A:$A,"&lt;"&amp;$J432+7)/SUMIFS('Weekly Log'!$E:$E,'Weekly Log'!$A:$A,"&gt;="&amp;$J432,'Weekly Log'!$A:$A,"&lt;"&amp;$J432+7),0))</f>
        <v/>
      </c>
      <c r="G432" t="str">
        <f>IF($J432="","",IFERROR(LOOKUP(2,1/(('Weekly Log'!$A$5:$A$5000&gt;=$J432)*('Weekly Log'!$A$5:$A$5000&lt;$J432+7)*('Weekly Log'!$M$5:$M$5000&lt;&gt;"")),'Weekly Log'!$M$5:$M$5000),0))</f>
        <v/>
      </c>
      <c r="J432" t="str">
        <f>IF(COUNT('Weekly Log'!$A$5:$A$5000)=0,"",IF(MIN('Weekly Log'!$A$5:$A$5000)+7*(ROW()-10)&gt;MAX('Weekly Log'!$A$5:$A$5000),"",MIN('Weekly Log'!$A$5:$A$5000)+7*(ROW()-10)))</f>
        <v/>
      </c>
    </row>
    <row r="433" spans="1:10" x14ac:dyDescent="0.25">
      <c r="A433" t="str">
        <f t="shared" si="6"/>
        <v/>
      </c>
      <c r="B433" t="str">
        <f>IF($J433="","",SUMIFS('Weekly Log'!$C:$C,'Weekly Log'!$A:$A,"&gt;="&amp;$J433,'Weekly Log'!$A:$A,"&lt;"&amp;$J433+7))</f>
        <v/>
      </c>
      <c r="C433" t="str">
        <f>IF($J433="","",IFERROR(COUNTIFS('Weekly Log'!$G:$G,"Y",'Weekly Log'!$A:$A,"&gt;="&amp;$J433,'Weekly Log'!$A:$A,"&lt;"&amp;$J433+7)/COUNTIFS('Weekly Log'!$G:$G,"&lt;&gt;",'Weekly Log'!$A:$A,"&gt;="&amp;$J433,'Weekly Log'!$A:$A,"&lt;"&amp;$J433+7),0))</f>
        <v/>
      </c>
      <c r="D433" t="str">
        <f>IF($J433="","",IFERROR(COUNTIFS('Weekly Log'!$H:$H,"Y",'Weekly Log'!$A:$A,"&gt;="&amp;$J433,'Weekly Log'!$A:$A,"&lt;"&amp;$J433+7)/COUNTIFS('Weekly Log'!$H:$H,"&lt;&gt;",'Weekly Log'!$A:$A,"&gt;="&amp;$J433,'Weekly Log'!$A:$A,"&lt;"&amp;$J433+7),0))</f>
        <v/>
      </c>
      <c r="E433" t="str">
        <f>IF($J433="","",IFERROR(AVERAGEIFS('Weekly Log'!$F:$F,'Weekly Log'!$A:$A,"&gt;="&amp;$J433,'Weekly Log'!$A:$A,"&lt;"&amp;$J433+7),0))</f>
        <v/>
      </c>
      <c r="F433" t="str">
        <f>IF($J433="","",IFERROR(SUMIFS('Weekly Log'!$F:$F,'Weekly Log'!$A:$A,"&gt;="&amp;$J433,'Weekly Log'!$A:$A,"&lt;"&amp;$J433+7)/SUMIFS('Weekly Log'!$E:$E,'Weekly Log'!$A:$A,"&gt;="&amp;$J433,'Weekly Log'!$A:$A,"&lt;"&amp;$J433+7),0))</f>
        <v/>
      </c>
      <c r="G433" t="str">
        <f>IF($J433="","",IFERROR(LOOKUP(2,1/(('Weekly Log'!$A$5:$A$5000&gt;=$J433)*('Weekly Log'!$A$5:$A$5000&lt;$J433+7)*('Weekly Log'!$M$5:$M$5000&lt;&gt;"")),'Weekly Log'!$M$5:$M$5000),0))</f>
        <v/>
      </c>
      <c r="J433" t="str">
        <f>IF(COUNT('Weekly Log'!$A$5:$A$5000)=0,"",IF(MIN('Weekly Log'!$A$5:$A$5000)+7*(ROW()-10)&gt;MAX('Weekly Log'!$A$5:$A$5000),"",MIN('Weekly Log'!$A$5:$A$5000)+7*(ROW()-10)))</f>
        <v/>
      </c>
    </row>
    <row r="434" spans="1:10" x14ac:dyDescent="0.25">
      <c r="A434" t="str">
        <f t="shared" si="6"/>
        <v/>
      </c>
      <c r="B434" t="str">
        <f>IF($J434="","",SUMIFS('Weekly Log'!$C:$C,'Weekly Log'!$A:$A,"&gt;="&amp;$J434,'Weekly Log'!$A:$A,"&lt;"&amp;$J434+7))</f>
        <v/>
      </c>
      <c r="C434" t="str">
        <f>IF($J434="","",IFERROR(COUNTIFS('Weekly Log'!$G:$G,"Y",'Weekly Log'!$A:$A,"&gt;="&amp;$J434,'Weekly Log'!$A:$A,"&lt;"&amp;$J434+7)/COUNTIFS('Weekly Log'!$G:$G,"&lt;&gt;",'Weekly Log'!$A:$A,"&gt;="&amp;$J434,'Weekly Log'!$A:$A,"&lt;"&amp;$J434+7),0))</f>
        <v/>
      </c>
      <c r="D434" t="str">
        <f>IF($J434="","",IFERROR(COUNTIFS('Weekly Log'!$H:$H,"Y",'Weekly Log'!$A:$A,"&gt;="&amp;$J434,'Weekly Log'!$A:$A,"&lt;"&amp;$J434+7)/COUNTIFS('Weekly Log'!$H:$H,"&lt;&gt;",'Weekly Log'!$A:$A,"&gt;="&amp;$J434,'Weekly Log'!$A:$A,"&lt;"&amp;$J434+7),0))</f>
        <v/>
      </c>
      <c r="E434" t="str">
        <f>IF($J434="","",IFERROR(AVERAGEIFS('Weekly Log'!$F:$F,'Weekly Log'!$A:$A,"&gt;="&amp;$J434,'Weekly Log'!$A:$A,"&lt;"&amp;$J434+7),0))</f>
        <v/>
      </c>
      <c r="F434" t="str">
        <f>IF($J434="","",IFERROR(SUMIFS('Weekly Log'!$F:$F,'Weekly Log'!$A:$A,"&gt;="&amp;$J434,'Weekly Log'!$A:$A,"&lt;"&amp;$J434+7)/SUMIFS('Weekly Log'!$E:$E,'Weekly Log'!$A:$A,"&gt;="&amp;$J434,'Weekly Log'!$A:$A,"&lt;"&amp;$J434+7),0))</f>
        <v/>
      </c>
      <c r="G434" t="str">
        <f>IF($J434="","",IFERROR(LOOKUP(2,1/(('Weekly Log'!$A$5:$A$5000&gt;=$J434)*('Weekly Log'!$A$5:$A$5000&lt;$J434+7)*('Weekly Log'!$M$5:$M$5000&lt;&gt;"")),'Weekly Log'!$M$5:$M$5000),0))</f>
        <v/>
      </c>
      <c r="J434" t="str">
        <f>IF(COUNT('Weekly Log'!$A$5:$A$5000)=0,"",IF(MIN('Weekly Log'!$A$5:$A$5000)+7*(ROW()-10)&gt;MAX('Weekly Log'!$A$5:$A$5000),"",MIN('Weekly Log'!$A$5:$A$5000)+7*(ROW()-10)))</f>
        <v/>
      </c>
    </row>
    <row r="435" spans="1:10" x14ac:dyDescent="0.25">
      <c r="A435" t="str">
        <f t="shared" si="6"/>
        <v/>
      </c>
      <c r="B435" t="str">
        <f>IF($J435="","",SUMIFS('Weekly Log'!$C:$C,'Weekly Log'!$A:$A,"&gt;="&amp;$J435,'Weekly Log'!$A:$A,"&lt;"&amp;$J435+7))</f>
        <v/>
      </c>
      <c r="C435" t="str">
        <f>IF($J435="","",IFERROR(COUNTIFS('Weekly Log'!$G:$G,"Y",'Weekly Log'!$A:$A,"&gt;="&amp;$J435,'Weekly Log'!$A:$A,"&lt;"&amp;$J435+7)/COUNTIFS('Weekly Log'!$G:$G,"&lt;&gt;",'Weekly Log'!$A:$A,"&gt;="&amp;$J435,'Weekly Log'!$A:$A,"&lt;"&amp;$J435+7),0))</f>
        <v/>
      </c>
      <c r="D435" t="str">
        <f>IF($J435="","",IFERROR(COUNTIFS('Weekly Log'!$H:$H,"Y",'Weekly Log'!$A:$A,"&gt;="&amp;$J435,'Weekly Log'!$A:$A,"&lt;"&amp;$J435+7)/COUNTIFS('Weekly Log'!$H:$H,"&lt;&gt;",'Weekly Log'!$A:$A,"&gt;="&amp;$J435,'Weekly Log'!$A:$A,"&lt;"&amp;$J435+7),0))</f>
        <v/>
      </c>
      <c r="E435" t="str">
        <f>IF($J435="","",IFERROR(AVERAGEIFS('Weekly Log'!$F:$F,'Weekly Log'!$A:$A,"&gt;="&amp;$J435,'Weekly Log'!$A:$A,"&lt;"&amp;$J435+7),0))</f>
        <v/>
      </c>
      <c r="F435" t="str">
        <f>IF($J435="","",IFERROR(SUMIFS('Weekly Log'!$F:$F,'Weekly Log'!$A:$A,"&gt;="&amp;$J435,'Weekly Log'!$A:$A,"&lt;"&amp;$J435+7)/SUMIFS('Weekly Log'!$E:$E,'Weekly Log'!$A:$A,"&gt;="&amp;$J435,'Weekly Log'!$A:$A,"&lt;"&amp;$J435+7),0))</f>
        <v/>
      </c>
      <c r="G435" t="str">
        <f>IF($J435="","",IFERROR(LOOKUP(2,1/(('Weekly Log'!$A$5:$A$5000&gt;=$J435)*('Weekly Log'!$A$5:$A$5000&lt;$J435+7)*('Weekly Log'!$M$5:$M$5000&lt;&gt;"")),'Weekly Log'!$M$5:$M$5000),0))</f>
        <v/>
      </c>
      <c r="J435" t="str">
        <f>IF(COUNT('Weekly Log'!$A$5:$A$5000)=0,"",IF(MIN('Weekly Log'!$A$5:$A$5000)+7*(ROW()-10)&gt;MAX('Weekly Log'!$A$5:$A$5000),"",MIN('Weekly Log'!$A$5:$A$5000)+7*(ROW()-10)))</f>
        <v/>
      </c>
    </row>
    <row r="436" spans="1:10" x14ac:dyDescent="0.25">
      <c r="A436" t="str">
        <f t="shared" si="6"/>
        <v/>
      </c>
      <c r="B436" t="str">
        <f>IF($J436="","",SUMIFS('Weekly Log'!$C:$C,'Weekly Log'!$A:$A,"&gt;="&amp;$J436,'Weekly Log'!$A:$A,"&lt;"&amp;$J436+7))</f>
        <v/>
      </c>
      <c r="C436" t="str">
        <f>IF($J436="","",IFERROR(COUNTIFS('Weekly Log'!$G:$G,"Y",'Weekly Log'!$A:$A,"&gt;="&amp;$J436,'Weekly Log'!$A:$A,"&lt;"&amp;$J436+7)/COUNTIFS('Weekly Log'!$G:$G,"&lt;&gt;",'Weekly Log'!$A:$A,"&gt;="&amp;$J436,'Weekly Log'!$A:$A,"&lt;"&amp;$J436+7),0))</f>
        <v/>
      </c>
      <c r="D436" t="str">
        <f>IF($J436="","",IFERROR(COUNTIFS('Weekly Log'!$H:$H,"Y",'Weekly Log'!$A:$A,"&gt;="&amp;$J436,'Weekly Log'!$A:$A,"&lt;"&amp;$J436+7)/COUNTIFS('Weekly Log'!$H:$H,"&lt;&gt;",'Weekly Log'!$A:$A,"&gt;="&amp;$J436,'Weekly Log'!$A:$A,"&lt;"&amp;$J436+7),0))</f>
        <v/>
      </c>
      <c r="E436" t="str">
        <f>IF($J436="","",IFERROR(AVERAGEIFS('Weekly Log'!$F:$F,'Weekly Log'!$A:$A,"&gt;="&amp;$J436,'Weekly Log'!$A:$A,"&lt;"&amp;$J436+7),0))</f>
        <v/>
      </c>
      <c r="F436" t="str">
        <f>IF($J436="","",IFERROR(SUMIFS('Weekly Log'!$F:$F,'Weekly Log'!$A:$A,"&gt;="&amp;$J436,'Weekly Log'!$A:$A,"&lt;"&amp;$J436+7)/SUMIFS('Weekly Log'!$E:$E,'Weekly Log'!$A:$A,"&gt;="&amp;$J436,'Weekly Log'!$A:$A,"&lt;"&amp;$J436+7),0))</f>
        <v/>
      </c>
      <c r="G436" t="str">
        <f>IF($J436="","",IFERROR(LOOKUP(2,1/(('Weekly Log'!$A$5:$A$5000&gt;=$J436)*('Weekly Log'!$A$5:$A$5000&lt;$J436+7)*('Weekly Log'!$M$5:$M$5000&lt;&gt;"")),'Weekly Log'!$M$5:$M$5000),0))</f>
        <v/>
      </c>
      <c r="J436" t="str">
        <f>IF(COUNT('Weekly Log'!$A$5:$A$5000)=0,"",IF(MIN('Weekly Log'!$A$5:$A$5000)+7*(ROW()-10)&gt;MAX('Weekly Log'!$A$5:$A$5000),"",MIN('Weekly Log'!$A$5:$A$5000)+7*(ROW()-10)))</f>
        <v/>
      </c>
    </row>
    <row r="437" spans="1:10" x14ac:dyDescent="0.25">
      <c r="A437" t="str">
        <f t="shared" si="6"/>
        <v/>
      </c>
      <c r="B437" t="str">
        <f>IF($J437="","",SUMIFS('Weekly Log'!$C:$C,'Weekly Log'!$A:$A,"&gt;="&amp;$J437,'Weekly Log'!$A:$A,"&lt;"&amp;$J437+7))</f>
        <v/>
      </c>
      <c r="C437" t="str">
        <f>IF($J437="","",IFERROR(COUNTIFS('Weekly Log'!$G:$G,"Y",'Weekly Log'!$A:$A,"&gt;="&amp;$J437,'Weekly Log'!$A:$A,"&lt;"&amp;$J437+7)/COUNTIFS('Weekly Log'!$G:$G,"&lt;&gt;",'Weekly Log'!$A:$A,"&gt;="&amp;$J437,'Weekly Log'!$A:$A,"&lt;"&amp;$J437+7),0))</f>
        <v/>
      </c>
      <c r="D437" t="str">
        <f>IF($J437="","",IFERROR(COUNTIFS('Weekly Log'!$H:$H,"Y",'Weekly Log'!$A:$A,"&gt;="&amp;$J437,'Weekly Log'!$A:$A,"&lt;"&amp;$J437+7)/COUNTIFS('Weekly Log'!$H:$H,"&lt;&gt;",'Weekly Log'!$A:$A,"&gt;="&amp;$J437,'Weekly Log'!$A:$A,"&lt;"&amp;$J437+7),0))</f>
        <v/>
      </c>
      <c r="E437" t="str">
        <f>IF($J437="","",IFERROR(AVERAGEIFS('Weekly Log'!$F:$F,'Weekly Log'!$A:$A,"&gt;="&amp;$J437,'Weekly Log'!$A:$A,"&lt;"&amp;$J437+7),0))</f>
        <v/>
      </c>
      <c r="F437" t="str">
        <f>IF($J437="","",IFERROR(SUMIFS('Weekly Log'!$F:$F,'Weekly Log'!$A:$A,"&gt;="&amp;$J437,'Weekly Log'!$A:$A,"&lt;"&amp;$J437+7)/SUMIFS('Weekly Log'!$E:$E,'Weekly Log'!$A:$A,"&gt;="&amp;$J437,'Weekly Log'!$A:$A,"&lt;"&amp;$J437+7),0))</f>
        <v/>
      </c>
      <c r="G437" t="str">
        <f>IF($J437="","",IFERROR(LOOKUP(2,1/(('Weekly Log'!$A$5:$A$5000&gt;=$J437)*('Weekly Log'!$A$5:$A$5000&lt;$J437+7)*('Weekly Log'!$M$5:$M$5000&lt;&gt;"")),'Weekly Log'!$M$5:$M$5000),0))</f>
        <v/>
      </c>
      <c r="J437" t="str">
        <f>IF(COUNT('Weekly Log'!$A$5:$A$5000)=0,"",IF(MIN('Weekly Log'!$A$5:$A$5000)+7*(ROW()-10)&gt;MAX('Weekly Log'!$A$5:$A$5000),"",MIN('Weekly Log'!$A$5:$A$5000)+7*(ROW()-10)))</f>
        <v/>
      </c>
    </row>
    <row r="438" spans="1:10" x14ac:dyDescent="0.25">
      <c r="A438" t="str">
        <f t="shared" si="6"/>
        <v/>
      </c>
      <c r="B438" t="str">
        <f>IF($J438="","",SUMIFS('Weekly Log'!$C:$C,'Weekly Log'!$A:$A,"&gt;="&amp;$J438,'Weekly Log'!$A:$A,"&lt;"&amp;$J438+7))</f>
        <v/>
      </c>
      <c r="C438" t="str">
        <f>IF($J438="","",IFERROR(COUNTIFS('Weekly Log'!$G:$G,"Y",'Weekly Log'!$A:$A,"&gt;="&amp;$J438,'Weekly Log'!$A:$A,"&lt;"&amp;$J438+7)/COUNTIFS('Weekly Log'!$G:$G,"&lt;&gt;",'Weekly Log'!$A:$A,"&gt;="&amp;$J438,'Weekly Log'!$A:$A,"&lt;"&amp;$J438+7),0))</f>
        <v/>
      </c>
      <c r="D438" t="str">
        <f>IF($J438="","",IFERROR(COUNTIFS('Weekly Log'!$H:$H,"Y",'Weekly Log'!$A:$A,"&gt;="&amp;$J438,'Weekly Log'!$A:$A,"&lt;"&amp;$J438+7)/COUNTIFS('Weekly Log'!$H:$H,"&lt;&gt;",'Weekly Log'!$A:$A,"&gt;="&amp;$J438,'Weekly Log'!$A:$A,"&lt;"&amp;$J438+7),0))</f>
        <v/>
      </c>
      <c r="E438" t="str">
        <f>IF($J438="","",IFERROR(AVERAGEIFS('Weekly Log'!$F:$F,'Weekly Log'!$A:$A,"&gt;="&amp;$J438,'Weekly Log'!$A:$A,"&lt;"&amp;$J438+7),0))</f>
        <v/>
      </c>
      <c r="F438" t="str">
        <f>IF($J438="","",IFERROR(SUMIFS('Weekly Log'!$F:$F,'Weekly Log'!$A:$A,"&gt;="&amp;$J438,'Weekly Log'!$A:$A,"&lt;"&amp;$J438+7)/SUMIFS('Weekly Log'!$E:$E,'Weekly Log'!$A:$A,"&gt;="&amp;$J438,'Weekly Log'!$A:$A,"&lt;"&amp;$J438+7),0))</f>
        <v/>
      </c>
      <c r="G438" t="str">
        <f>IF($J438="","",IFERROR(LOOKUP(2,1/(('Weekly Log'!$A$5:$A$5000&gt;=$J438)*('Weekly Log'!$A$5:$A$5000&lt;$J438+7)*('Weekly Log'!$M$5:$M$5000&lt;&gt;"")),'Weekly Log'!$M$5:$M$5000),0))</f>
        <v/>
      </c>
      <c r="J438" t="str">
        <f>IF(COUNT('Weekly Log'!$A$5:$A$5000)=0,"",IF(MIN('Weekly Log'!$A$5:$A$5000)+7*(ROW()-10)&gt;MAX('Weekly Log'!$A$5:$A$5000),"",MIN('Weekly Log'!$A$5:$A$5000)+7*(ROW()-10)))</f>
        <v/>
      </c>
    </row>
    <row r="439" spans="1:10" x14ac:dyDescent="0.25">
      <c r="A439" t="str">
        <f t="shared" si="6"/>
        <v/>
      </c>
      <c r="B439" t="str">
        <f>IF($J439="","",SUMIFS('Weekly Log'!$C:$C,'Weekly Log'!$A:$A,"&gt;="&amp;$J439,'Weekly Log'!$A:$A,"&lt;"&amp;$J439+7))</f>
        <v/>
      </c>
      <c r="C439" t="str">
        <f>IF($J439="","",IFERROR(COUNTIFS('Weekly Log'!$G:$G,"Y",'Weekly Log'!$A:$A,"&gt;="&amp;$J439,'Weekly Log'!$A:$A,"&lt;"&amp;$J439+7)/COUNTIFS('Weekly Log'!$G:$G,"&lt;&gt;",'Weekly Log'!$A:$A,"&gt;="&amp;$J439,'Weekly Log'!$A:$A,"&lt;"&amp;$J439+7),0))</f>
        <v/>
      </c>
      <c r="D439" t="str">
        <f>IF($J439="","",IFERROR(COUNTIFS('Weekly Log'!$H:$H,"Y",'Weekly Log'!$A:$A,"&gt;="&amp;$J439,'Weekly Log'!$A:$A,"&lt;"&amp;$J439+7)/COUNTIFS('Weekly Log'!$H:$H,"&lt;&gt;",'Weekly Log'!$A:$A,"&gt;="&amp;$J439,'Weekly Log'!$A:$A,"&lt;"&amp;$J439+7),0))</f>
        <v/>
      </c>
      <c r="E439" t="str">
        <f>IF($J439="","",IFERROR(AVERAGEIFS('Weekly Log'!$F:$F,'Weekly Log'!$A:$A,"&gt;="&amp;$J439,'Weekly Log'!$A:$A,"&lt;"&amp;$J439+7),0))</f>
        <v/>
      </c>
      <c r="F439" t="str">
        <f>IF($J439="","",IFERROR(SUMIFS('Weekly Log'!$F:$F,'Weekly Log'!$A:$A,"&gt;="&amp;$J439,'Weekly Log'!$A:$A,"&lt;"&amp;$J439+7)/SUMIFS('Weekly Log'!$E:$E,'Weekly Log'!$A:$A,"&gt;="&amp;$J439,'Weekly Log'!$A:$A,"&lt;"&amp;$J439+7),0))</f>
        <v/>
      </c>
      <c r="G439" t="str">
        <f>IF($J439="","",IFERROR(LOOKUP(2,1/(('Weekly Log'!$A$5:$A$5000&gt;=$J439)*('Weekly Log'!$A$5:$A$5000&lt;$J439+7)*('Weekly Log'!$M$5:$M$5000&lt;&gt;"")),'Weekly Log'!$M$5:$M$5000),0))</f>
        <v/>
      </c>
      <c r="J439" t="str">
        <f>IF(COUNT('Weekly Log'!$A$5:$A$5000)=0,"",IF(MIN('Weekly Log'!$A$5:$A$5000)+7*(ROW()-10)&gt;MAX('Weekly Log'!$A$5:$A$5000),"",MIN('Weekly Log'!$A$5:$A$5000)+7*(ROW()-10)))</f>
        <v/>
      </c>
    </row>
    <row r="440" spans="1:10" x14ac:dyDescent="0.25">
      <c r="A440" t="str">
        <f t="shared" si="6"/>
        <v/>
      </c>
      <c r="B440" t="str">
        <f>IF($J440="","",SUMIFS('Weekly Log'!$C:$C,'Weekly Log'!$A:$A,"&gt;="&amp;$J440,'Weekly Log'!$A:$A,"&lt;"&amp;$J440+7))</f>
        <v/>
      </c>
      <c r="C440" t="str">
        <f>IF($J440="","",IFERROR(COUNTIFS('Weekly Log'!$G:$G,"Y",'Weekly Log'!$A:$A,"&gt;="&amp;$J440,'Weekly Log'!$A:$A,"&lt;"&amp;$J440+7)/COUNTIFS('Weekly Log'!$G:$G,"&lt;&gt;",'Weekly Log'!$A:$A,"&gt;="&amp;$J440,'Weekly Log'!$A:$A,"&lt;"&amp;$J440+7),0))</f>
        <v/>
      </c>
      <c r="D440" t="str">
        <f>IF($J440="","",IFERROR(COUNTIFS('Weekly Log'!$H:$H,"Y",'Weekly Log'!$A:$A,"&gt;="&amp;$J440,'Weekly Log'!$A:$A,"&lt;"&amp;$J440+7)/COUNTIFS('Weekly Log'!$H:$H,"&lt;&gt;",'Weekly Log'!$A:$A,"&gt;="&amp;$J440,'Weekly Log'!$A:$A,"&lt;"&amp;$J440+7),0))</f>
        <v/>
      </c>
      <c r="E440" t="str">
        <f>IF($J440="","",IFERROR(AVERAGEIFS('Weekly Log'!$F:$F,'Weekly Log'!$A:$A,"&gt;="&amp;$J440,'Weekly Log'!$A:$A,"&lt;"&amp;$J440+7),0))</f>
        <v/>
      </c>
      <c r="F440" t="str">
        <f>IF($J440="","",IFERROR(SUMIFS('Weekly Log'!$F:$F,'Weekly Log'!$A:$A,"&gt;="&amp;$J440,'Weekly Log'!$A:$A,"&lt;"&amp;$J440+7)/SUMIFS('Weekly Log'!$E:$E,'Weekly Log'!$A:$A,"&gt;="&amp;$J440,'Weekly Log'!$A:$A,"&lt;"&amp;$J440+7),0))</f>
        <v/>
      </c>
      <c r="G440" t="str">
        <f>IF($J440="","",IFERROR(LOOKUP(2,1/(('Weekly Log'!$A$5:$A$5000&gt;=$J440)*('Weekly Log'!$A$5:$A$5000&lt;$J440+7)*('Weekly Log'!$M$5:$M$5000&lt;&gt;"")),'Weekly Log'!$M$5:$M$5000),0))</f>
        <v/>
      </c>
      <c r="J440" t="str">
        <f>IF(COUNT('Weekly Log'!$A$5:$A$5000)=0,"",IF(MIN('Weekly Log'!$A$5:$A$5000)+7*(ROW()-10)&gt;MAX('Weekly Log'!$A$5:$A$5000),"",MIN('Weekly Log'!$A$5:$A$5000)+7*(ROW()-10)))</f>
        <v/>
      </c>
    </row>
    <row r="441" spans="1:10" x14ac:dyDescent="0.25">
      <c r="A441" t="str">
        <f t="shared" si="6"/>
        <v/>
      </c>
      <c r="B441" t="str">
        <f>IF($J441="","",SUMIFS('Weekly Log'!$C:$C,'Weekly Log'!$A:$A,"&gt;="&amp;$J441,'Weekly Log'!$A:$A,"&lt;"&amp;$J441+7))</f>
        <v/>
      </c>
      <c r="C441" t="str">
        <f>IF($J441="","",IFERROR(COUNTIFS('Weekly Log'!$G:$G,"Y",'Weekly Log'!$A:$A,"&gt;="&amp;$J441,'Weekly Log'!$A:$A,"&lt;"&amp;$J441+7)/COUNTIFS('Weekly Log'!$G:$G,"&lt;&gt;",'Weekly Log'!$A:$A,"&gt;="&amp;$J441,'Weekly Log'!$A:$A,"&lt;"&amp;$J441+7),0))</f>
        <v/>
      </c>
      <c r="D441" t="str">
        <f>IF($J441="","",IFERROR(COUNTIFS('Weekly Log'!$H:$H,"Y",'Weekly Log'!$A:$A,"&gt;="&amp;$J441,'Weekly Log'!$A:$A,"&lt;"&amp;$J441+7)/COUNTIFS('Weekly Log'!$H:$H,"&lt;&gt;",'Weekly Log'!$A:$A,"&gt;="&amp;$J441,'Weekly Log'!$A:$A,"&lt;"&amp;$J441+7),0))</f>
        <v/>
      </c>
      <c r="E441" t="str">
        <f>IF($J441="","",IFERROR(AVERAGEIFS('Weekly Log'!$F:$F,'Weekly Log'!$A:$A,"&gt;="&amp;$J441,'Weekly Log'!$A:$A,"&lt;"&amp;$J441+7),0))</f>
        <v/>
      </c>
      <c r="F441" t="str">
        <f>IF($J441="","",IFERROR(SUMIFS('Weekly Log'!$F:$F,'Weekly Log'!$A:$A,"&gt;="&amp;$J441,'Weekly Log'!$A:$A,"&lt;"&amp;$J441+7)/SUMIFS('Weekly Log'!$E:$E,'Weekly Log'!$A:$A,"&gt;="&amp;$J441,'Weekly Log'!$A:$A,"&lt;"&amp;$J441+7),0))</f>
        <v/>
      </c>
      <c r="G441" t="str">
        <f>IF($J441="","",IFERROR(LOOKUP(2,1/(('Weekly Log'!$A$5:$A$5000&gt;=$J441)*('Weekly Log'!$A$5:$A$5000&lt;$J441+7)*('Weekly Log'!$M$5:$M$5000&lt;&gt;"")),'Weekly Log'!$M$5:$M$5000),0))</f>
        <v/>
      </c>
      <c r="J441" t="str">
        <f>IF(COUNT('Weekly Log'!$A$5:$A$5000)=0,"",IF(MIN('Weekly Log'!$A$5:$A$5000)+7*(ROW()-10)&gt;MAX('Weekly Log'!$A$5:$A$5000),"",MIN('Weekly Log'!$A$5:$A$5000)+7*(ROW()-10)))</f>
        <v/>
      </c>
    </row>
    <row r="442" spans="1:10" x14ac:dyDescent="0.25">
      <c r="A442" t="str">
        <f t="shared" si="6"/>
        <v/>
      </c>
      <c r="B442" t="str">
        <f>IF($J442="","",SUMIFS('Weekly Log'!$C:$C,'Weekly Log'!$A:$A,"&gt;="&amp;$J442,'Weekly Log'!$A:$A,"&lt;"&amp;$J442+7))</f>
        <v/>
      </c>
      <c r="C442" t="str">
        <f>IF($J442="","",IFERROR(COUNTIFS('Weekly Log'!$G:$G,"Y",'Weekly Log'!$A:$A,"&gt;="&amp;$J442,'Weekly Log'!$A:$A,"&lt;"&amp;$J442+7)/COUNTIFS('Weekly Log'!$G:$G,"&lt;&gt;",'Weekly Log'!$A:$A,"&gt;="&amp;$J442,'Weekly Log'!$A:$A,"&lt;"&amp;$J442+7),0))</f>
        <v/>
      </c>
      <c r="D442" t="str">
        <f>IF($J442="","",IFERROR(COUNTIFS('Weekly Log'!$H:$H,"Y",'Weekly Log'!$A:$A,"&gt;="&amp;$J442,'Weekly Log'!$A:$A,"&lt;"&amp;$J442+7)/COUNTIFS('Weekly Log'!$H:$H,"&lt;&gt;",'Weekly Log'!$A:$A,"&gt;="&amp;$J442,'Weekly Log'!$A:$A,"&lt;"&amp;$J442+7),0))</f>
        <v/>
      </c>
      <c r="E442" t="str">
        <f>IF($J442="","",IFERROR(AVERAGEIFS('Weekly Log'!$F:$F,'Weekly Log'!$A:$A,"&gt;="&amp;$J442,'Weekly Log'!$A:$A,"&lt;"&amp;$J442+7),0))</f>
        <v/>
      </c>
      <c r="F442" t="str">
        <f>IF($J442="","",IFERROR(SUMIFS('Weekly Log'!$F:$F,'Weekly Log'!$A:$A,"&gt;="&amp;$J442,'Weekly Log'!$A:$A,"&lt;"&amp;$J442+7)/SUMIFS('Weekly Log'!$E:$E,'Weekly Log'!$A:$A,"&gt;="&amp;$J442,'Weekly Log'!$A:$A,"&lt;"&amp;$J442+7),0))</f>
        <v/>
      </c>
      <c r="G442" t="str">
        <f>IF($J442="","",IFERROR(LOOKUP(2,1/(('Weekly Log'!$A$5:$A$5000&gt;=$J442)*('Weekly Log'!$A$5:$A$5000&lt;$J442+7)*('Weekly Log'!$M$5:$M$5000&lt;&gt;"")),'Weekly Log'!$M$5:$M$5000),0))</f>
        <v/>
      </c>
      <c r="J442" t="str">
        <f>IF(COUNT('Weekly Log'!$A$5:$A$5000)=0,"",IF(MIN('Weekly Log'!$A$5:$A$5000)+7*(ROW()-10)&gt;MAX('Weekly Log'!$A$5:$A$5000),"",MIN('Weekly Log'!$A$5:$A$5000)+7*(ROW()-10)))</f>
        <v/>
      </c>
    </row>
    <row r="443" spans="1:10" x14ac:dyDescent="0.25">
      <c r="A443" t="str">
        <f t="shared" si="6"/>
        <v/>
      </c>
      <c r="B443" t="str">
        <f>IF($J443="","",SUMIFS('Weekly Log'!$C:$C,'Weekly Log'!$A:$A,"&gt;="&amp;$J443,'Weekly Log'!$A:$A,"&lt;"&amp;$J443+7))</f>
        <v/>
      </c>
      <c r="C443" t="str">
        <f>IF($J443="","",IFERROR(COUNTIFS('Weekly Log'!$G:$G,"Y",'Weekly Log'!$A:$A,"&gt;="&amp;$J443,'Weekly Log'!$A:$A,"&lt;"&amp;$J443+7)/COUNTIFS('Weekly Log'!$G:$G,"&lt;&gt;",'Weekly Log'!$A:$A,"&gt;="&amp;$J443,'Weekly Log'!$A:$A,"&lt;"&amp;$J443+7),0))</f>
        <v/>
      </c>
      <c r="D443" t="str">
        <f>IF($J443="","",IFERROR(COUNTIFS('Weekly Log'!$H:$H,"Y",'Weekly Log'!$A:$A,"&gt;="&amp;$J443,'Weekly Log'!$A:$A,"&lt;"&amp;$J443+7)/COUNTIFS('Weekly Log'!$H:$H,"&lt;&gt;",'Weekly Log'!$A:$A,"&gt;="&amp;$J443,'Weekly Log'!$A:$A,"&lt;"&amp;$J443+7),0))</f>
        <v/>
      </c>
      <c r="E443" t="str">
        <f>IF($J443="","",IFERROR(AVERAGEIFS('Weekly Log'!$F:$F,'Weekly Log'!$A:$A,"&gt;="&amp;$J443,'Weekly Log'!$A:$A,"&lt;"&amp;$J443+7),0))</f>
        <v/>
      </c>
      <c r="F443" t="str">
        <f>IF($J443="","",IFERROR(SUMIFS('Weekly Log'!$F:$F,'Weekly Log'!$A:$A,"&gt;="&amp;$J443,'Weekly Log'!$A:$A,"&lt;"&amp;$J443+7)/SUMIFS('Weekly Log'!$E:$E,'Weekly Log'!$A:$A,"&gt;="&amp;$J443,'Weekly Log'!$A:$A,"&lt;"&amp;$J443+7),0))</f>
        <v/>
      </c>
      <c r="G443" t="str">
        <f>IF($J443="","",IFERROR(LOOKUP(2,1/(('Weekly Log'!$A$5:$A$5000&gt;=$J443)*('Weekly Log'!$A$5:$A$5000&lt;$J443+7)*('Weekly Log'!$M$5:$M$5000&lt;&gt;"")),'Weekly Log'!$M$5:$M$5000),0))</f>
        <v/>
      </c>
      <c r="J443" t="str">
        <f>IF(COUNT('Weekly Log'!$A$5:$A$5000)=0,"",IF(MIN('Weekly Log'!$A$5:$A$5000)+7*(ROW()-10)&gt;MAX('Weekly Log'!$A$5:$A$5000),"",MIN('Weekly Log'!$A$5:$A$5000)+7*(ROW()-10)))</f>
        <v/>
      </c>
    </row>
    <row r="444" spans="1:10" x14ac:dyDescent="0.25">
      <c r="A444" t="str">
        <f t="shared" si="6"/>
        <v/>
      </c>
      <c r="B444" t="str">
        <f>IF($J444="","",SUMIFS('Weekly Log'!$C:$C,'Weekly Log'!$A:$A,"&gt;="&amp;$J444,'Weekly Log'!$A:$A,"&lt;"&amp;$J444+7))</f>
        <v/>
      </c>
      <c r="C444" t="str">
        <f>IF($J444="","",IFERROR(COUNTIFS('Weekly Log'!$G:$G,"Y",'Weekly Log'!$A:$A,"&gt;="&amp;$J444,'Weekly Log'!$A:$A,"&lt;"&amp;$J444+7)/COUNTIFS('Weekly Log'!$G:$G,"&lt;&gt;",'Weekly Log'!$A:$A,"&gt;="&amp;$J444,'Weekly Log'!$A:$A,"&lt;"&amp;$J444+7),0))</f>
        <v/>
      </c>
      <c r="D444" t="str">
        <f>IF($J444="","",IFERROR(COUNTIFS('Weekly Log'!$H:$H,"Y",'Weekly Log'!$A:$A,"&gt;="&amp;$J444,'Weekly Log'!$A:$A,"&lt;"&amp;$J444+7)/COUNTIFS('Weekly Log'!$H:$H,"&lt;&gt;",'Weekly Log'!$A:$A,"&gt;="&amp;$J444,'Weekly Log'!$A:$A,"&lt;"&amp;$J444+7),0))</f>
        <v/>
      </c>
      <c r="E444" t="str">
        <f>IF($J444="","",IFERROR(AVERAGEIFS('Weekly Log'!$F:$F,'Weekly Log'!$A:$A,"&gt;="&amp;$J444,'Weekly Log'!$A:$A,"&lt;"&amp;$J444+7),0))</f>
        <v/>
      </c>
      <c r="F444" t="str">
        <f>IF($J444="","",IFERROR(SUMIFS('Weekly Log'!$F:$F,'Weekly Log'!$A:$A,"&gt;="&amp;$J444,'Weekly Log'!$A:$A,"&lt;"&amp;$J444+7)/SUMIFS('Weekly Log'!$E:$E,'Weekly Log'!$A:$A,"&gt;="&amp;$J444,'Weekly Log'!$A:$A,"&lt;"&amp;$J444+7),0))</f>
        <v/>
      </c>
      <c r="G444" t="str">
        <f>IF($J444="","",IFERROR(LOOKUP(2,1/(('Weekly Log'!$A$5:$A$5000&gt;=$J444)*('Weekly Log'!$A$5:$A$5000&lt;$J444+7)*('Weekly Log'!$M$5:$M$5000&lt;&gt;"")),'Weekly Log'!$M$5:$M$5000),0))</f>
        <v/>
      </c>
      <c r="J444" t="str">
        <f>IF(COUNT('Weekly Log'!$A$5:$A$5000)=0,"",IF(MIN('Weekly Log'!$A$5:$A$5000)+7*(ROW()-10)&gt;MAX('Weekly Log'!$A$5:$A$5000),"",MIN('Weekly Log'!$A$5:$A$5000)+7*(ROW()-10)))</f>
        <v/>
      </c>
    </row>
    <row r="445" spans="1:10" x14ac:dyDescent="0.25">
      <c r="A445" t="str">
        <f t="shared" si="6"/>
        <v/>
      </c>
      <c r="B445" t="str">
        <f>IF($J445="","",SUMIFS('Weekly Log'!$C:$C,'Weekly Log'!$A:$A,"&gt;="&amp;$J445,'Weekly Log'!$A:$A,"&lt;"&amp;$J445+7))</f>
        <v/>
      </c>
      <c r="C445" t="str">
        <f>IF($J445="","",IFERROR(COUNTIFS('Weekly Log'!$G:$G,"Y",'Weekly Log'!$A:$A,"&gt;="&amp;$J445,'Weekly Log'!$A:$A,"&lt;"&amp;$J445+7)/COUNTIFS('Weekly Log'!$G:$G,"&lt;&gt;",'Weekly Log'!$A:$A,"&gt;="&amp;$J445,'Weekly Log'!$A:$A,"&lt;"&amp;$J445+7),0))</f>
        <v/>
      </c>
      <c r="D445" t="str">
        <f>IF($J445="","",IFERROR(COUNTIFS('Weekly Log'!$H:$H,"Y",'Weekly Log'!$A:$A,"&gt;="&amp;$J445,'Weekly Log'!$A:$A,"&lt;"&amp;$J445+7)/COUNTIFS('Weekly Log'!$H:$H,"&lt;&gt;",'Weekly Log'!$A:$A,"&gt;="&amp;$J445,'Weekly Log'!$A:$A,"&lt;"&amp;$J445+7),0))</f>
        <v/>
      </c>
      <c r="E445" t="str">
        <f>IF($J445="","",IFERROR(AVERAGEIFS('Weekly Log'!$F:$F,'Weekly Log'!$A:$A,"&gt;="&amp;$J445,'Weekly Log'!$A:$A,"&lt;"&amp;$J445+7),0))</f>
        <v/>
      </c>
      <c r="F445" t="str">
        <f>IF($J445="","",IFERROR(SUMIFS('Weekly Log'!$F:$F,'Weekly Log'!$A:$A,"&gt;="&amp;$J445,'Weekly Log'!$A:$A,"&lt;"&amp;$J445+7)/SUMIFS('Weekly Log'!$E:$E,'Weekly Log'!$A:$A,"&gt;="&amp;$J445,'Weekly Log'!$A:$A,"&lt;"&amp;$J445+7),0))</f>
        <v/>
      </c>
      <c r="G445" t="str">
        <f>IF($J445="","",IFERROR(LOOKUP(2,1/(('Weekly Log'!$A$5:$A$5000&gt;=$J445)*('Weekly Log'!$A$5:$A$5000&lt;$J445+7)*('Weekly Log'!$M$5:$M$5000&lt;&gt;"")),'Weekly Log'!$M$5:$M$5000),0))</f>
        <v/>
      </c>
      <c r="J445" t="str">
        <f>IF(COUNT('Weekly Log'!$A$5:$A$5000)=0,"",IF(MIN('Weekly Log'!$A$5:$A$5000)+7*(ROW()-10)&gt;MAX('Weekly Log'!$A$5:$A$5000),"",MIN('Weekly Log'!$A$5:$A$5000)+7*(ROW()-10)))</f>
        <v/>
      </c>
    </row>
    <row r="446" spans="1:10" x14ac:dyDescent="0.25">
      <c r="A446" t="str">
        <f t="shared" si="6"/>
        <v/>
      </c>
      <c r="B446" t="str">
        <f>IF($J446="","",SUMIFS('Weekly Log'!$C:$C,'Weekly Log'!$A:$A,"&gt;="&amp;$J446,'Weekly Log'!$A:$A,"&lt;"&amp;$J446+7))</f>
        <v/>
      </c>
      <c r="C446" t="str">
        <f>IF($J446="","",IFERROR(COUNTIFS('Weekly Log'!$G:$G,"Y",'Weekly Log'!$A:$A,"&gt;="&amp;$J446,'Weekly Log'!$A:$A,"&lt;"&amp;$J446+7)/COUNTIFS('Weekly Log'!$G:$G,"&lt;&gt;",'Weekly Log'!$A:$A,"&gt;="&amp;$J446,'Weekly Log'!$A:$A,"&lt;"&amp;$J446+7),0))</f>
        <v/>
      </c>
      <c r="D446" t="str">
        <f>IF($J446="","",IFERROR(COUNTIFS('Weekly Log'!$H:$H,"Y",'Weekly Log'!$A:$A,"&gt;="&amp;$J446,'Weekly Log'!$A:$A,"&lt;"&amp;$J446+7)/COUNTIFS('Weekly Log'!$H:$H,"&lt;&gt;",'Weekly Log'!$A:$A,"&gt;="&amp;$J446,'Weekly Log'!$A:$A,"&lt;"&amp;$J446+7),0))</f>
        <v/>
      </c>
      <c r="E446" t="str">
        <f>IF($J446="","",IFERROR(AVERAGEIFS('Weekly Log'!$F:$F,'Weekly Log'!$A:$A,"&gt;="&amp;$J446,'Weekly Log'!$A:$A,"&lt;"&amp;$J446+7),0))</f>
        <v/>
      </c>
      <c r="F446" t="str">
        <f>IF($J446="","",IFERROR(SUMIFS('Weekly Log'!$F:$F,'Weekly Log'!$A:$A,"&gt;="&amp;$J446,'Weekly Log'!$A:$A,"&lt;"&amp;$J446+7)/SUMIFS('Weekly Log'!$E:$E,'Weekly Log'!$A:$A,"&gt;="&amp;$J446,'Weekly Log'!$A:$A,"&lt;"&amp;$J446+7),0))</f>
        <v/>
      </c>
      <c r="G446" t="str">
        <f>IF($J446="","",IFERROR(LOOKUP(2,1/(('Weekly Log'!$A$5:$A$5000&gt;=$J446)*('Weekly Log'!$A$5:$A$5000&lt;$J446+7)*('Weekly Log'!$M$5:$M$5000&lt;&gt;"")),'Weekly Log'!$M$5:$M$5000),0))</f>
        <v/>
      </c>
      <c r="J446" t="str">
        <f>IF(COUNT('Weekly Log'!$A$5:$A$5000)=0,"",IF(MIN('Weekly Log'!$A$5:$A$5000)+7*(ROW()-10)&gt;MAX('Weekly Log'!$A$5:$A$5000),"",MIN('Weekly Log'!$A$5:$A$5000)+7*(ROW()-10)))</f>
        <v/>
      </c>
    </row>
    <row r="447" spans="1:10" x14ac:dyDescent="0.25">
      <c r="A447" t="str">
        <f t="shared" si="6"/>
        <v/>
      </c>
      <c r="B447" t="str">
        <f>IF($J447="","",SUMIFS('Weekly Log'!$C:$C,'Weekly Log'!$A:$A,"&gt;="&amp;$J447,'Weekly Log'!$A:$A,"&lt;"&amp;$J447+7))</f>
        <v/>
      </c>
      <c r="C447" t="str">
        <f>IF($J447="","",IFERROR(COUNTIFS('Weekly Log'!$G:$G,"Y",'Weekly Log'!$A:$A,"&gt;="&amp;$J447,'Weekly Log'!$A:$A,"&lt;"&amp;$J447+7)/COUNTIFS('Weekly Log'!$G:$G,"&lt;&gt;",'Weekly Log'!$A:$A,"&gt;="&amp;$J447,'Weekly Log'!$A:$A,"&lt;"&amp;$J447+7),0))</f>
        <v/>
      </c>
      <c r="D447" t="str">
        <f>IF($J447="","",IFERROR(COUNTIFS('Weekly Log'!$H:$H,"Y",'Weekly Log'!$A:$A,"&gt;="&amp;$J447,'Weekly Log'!$A:$A,"&lt;"&amp;$J447+7)/COUNTIFS('Weekly Log'!$H:$H,"&lt;&gt;",'Weekly Log'!$A:$A,"&gt;="&amp;$J447,'Weekly Log'!$A:$A,"&lt;"&amp;$J447+7),0))</f>
        <v/>
      </c>
      <c r="E447" t="str">
        <f>IF($J447="","",IFERROR(AVERAGEIFS('Weekly Log'!$F:$F,'Weekly Log'!$A:$A,"&gt;="&amp;$J447,'Weekly Log'!$A:$A,"&lt;"&amp;$J447+7),0))</f>
        <v/>
      </c>
      <c r="F447" t="str">
        <f>IF($J447="","",IFERROR(SUMIFS('Weekly Log'!$F:$F,'Weekly Log'!$A:$A,"&gt;="&amp;$J447,'Weekly Log'!$A:$A,"&lt;"&amp;$J447+7)/SUMIFS('Weekly Log'!$E:$E,'Weekly Log'!$A:$A,"&gt;="&amp;$J447,'Weekly Log'!$A:$A,"&lt;"&amp;$J447+7),0))</f>
        <v/>
      </c>
      <c r="G447" t="str">
        <f>IF($J447="","",IFERROR(LOOKUP(2,1/(('Weekly Log'!$A$5:$A$5000&gt;=$J447)*('Weekly Log'!$A$5:$A$5000&lt;$J447+7)*('Weekly Log'!$M$5:$M$5000&lt;&gt;"")),'Weekly Log'!$M$5:$M$5000),0))</f>
        <v/>
      </c>
      <c r="J447" t="str">
        <f>IF(COUNT('Weekly Log'!$A$5:$A$5000)=0,"",IF(MIN('Weekly Log'!$A$5:$A$5000)+7*(ROW()-10)&gt;MAX('Weekly Log'!$A$5:$A$5000),"",MIN('Weekly Log'!$A$5:$A$5000)+7*(ROW()-10)))</f>
        <v/>
      </c>
    </row>
    <row r="448" spans="1:10" x14ac:dyDescent="0.25">
      <c r="A448" t="str">
        <f t="shared" si="6"/>
        <v/>
      </c>
      <c r="B448" t="str">
        <f>IF($J448="","",SUMIFS('Weekly Log'!$C:$C,'Weekly Log'!$A:$A,"&gt;="&amp;$J448,'Weekly Log'!$A:$A,"&lt;"&amp;$J448+7))</f>
        <v/>
      </c>
      <c r="C448" t="str">
        <f>IF($J448="","",IFERROR(COUNTIFS('Weekly Log'!$G:$G,"Y",'Weekly Log'!$A:$A,"&gt;="&amp;$J448,'Weekly Log'!$A:$A,"&lt;"&amp;$J448+7)/COUNTIFS('Weekly Log'!$G:$G,"&lt;&gt;",'Weekly Log'!$A:$A,"&gt;="&amp;$J448,'Weekly Log'!$A:$A,"&lt;"&amp;$J448+7),0))</f>
        <v/>
      </c>
      <c r="D448" t="str">
        <f>IF($J448="","",IFERROR(COUNTIFS('Weekly Log'!$H:$H,"Y",'Weekly Log'!$A:$A,"&gt;="&amp;$J448,'Weekly Log'!$A:$A,"&lt;"&amp;$J448+7)/COUNTIFS('Weekly Log'!$H:$H,"&lt;&gt;",'Weekly Log'!$A:$A,"&gt;="&amp;$J448,'Weekly Log'!$A:$A,"&lt;"&amp;$J448+7),0))</f>
        <v/>
      </c>
      <c r="E448" t="str">
        <f>IF($J448="","",IFERROR(AVERAGEIFS('Weekly Log'!$F:$F,'Weekly Log'!$A:$A,"&gt;="&amp;$J448,'Weekly Log'!$A:$A,"&lt;"&amp;$J448+7),0))</f>
        <v/>
      </c>
      <c r="F448" t="str">
        <f>IF($J448="","",IFERROR(SUMIFS('Weekly Log'!$F:$F,'Weekly Log'!$A:$A,"&gt;="&amp;$J448,'Weekly Log'!$A:$A,"&lt;"&amp;$J448+7)/SUMIFS('Weekly Log'!$E:$E,'Weekly Log'!$A:$A,"&gt;="&amp;$J448,'Weekly Log'!$A:$A,"&lt;"&amp;$J448+7),0))</f>
        <v/>
      </c>
      <c r="G448" t="str">
        <f>IF($J448="","",IFERROR(LOOKUP(2,1/(('Weekly Log'!$A$5:$A$5000&gt;=$J448)*('Weekly Log'!$A$5:$A$5000&lt;$J448+7)*('Weekly Log'!$M$5:$M$5000&lt;&gt;"")),'Weekly Log'!$M$5:$M$5000),0))</f>
        <v/>
      </c>
      <c r="J448" t="str">
        <f>IF(COUNT('Weekly Log'!$A$5:$A$5000)=0,"",IF(MIN('Weekly Log'!$A$5:$A$5000)+7*(ROW()-10)&gt;MAX('Weekly Log'!$A$5:$A$5000),"",MIN('Weekly Log'!$A$5:$A$5000)+7*(ROW()-10)))</f>
        <v/>
      </c>
    </row>
    <row r="449" spans="1:10" x14ac:dyDescent="0.25">
      <c r="A449" t="str">
        <f t="shared" si="6"/>
        <v/>
      </c>
      <c r="B449" t="str">
        <f>IF($J449="","",SUMIFS('Weekly Log'!$C:$C,'Weekly Log'!$A:$A,"&gt;="&amp;$J449,'Weekly Log'!$A:$A,"&lt;"&amp;$J449+7))</f>
        <v/>
      </c>
      <c r="C449" t="str">
        <f>IF($J449="","",IFERROR(COUNTIFS('Weekly Log'!$G:$G,"Y",'Weekly Log'!$A:$A,"&gt;="&amp;$J449,'Weekly Log'!$A:$A,"&lt;"&amp;$J449+7)/COUNTIFS('Weekly Log'!$G:$G,"&lt;&gt;",'Weekly Log'!$A:$A,"&gt;="&amp;$J449,'Weekly Log'!$A:$A,"&lt;"&amp;$J449+7),0))</f>
        <v/>
      </c>
      <c r="D449" t="str">
        <f>IF($J449="","",IFERROR(COUNTIFS('Weekly Log'!$H:$H,"Y",'Weekly Log'!$A:$A,"&gt;="&amp;$J449,'Weekly Log'!$A:$A,"&lt;"&amp;$J449+7)/COUNTIFS('Weekly Log'!$H:$H,"&lt;&gt;",'Weekly Log'!$A:$A,"&gt;="&amp;$J449,'Weekly Log'!$A:$A,"&lt;"&amp;$J449+7),0))</f>
        <v/>
      </c>
      <c r="E449" t="str">
        <f>IF($J449="","",IFERROR(AVERAGEIFS('Weekly Log'!$F:$F,'Weekly Log'!$A:$A,"&gt;="&amp;$J449,'Weekly Log'!$A:$A,"&lt;"&amp;$J449+7),0))</f>
        <v/>
      </c>
      <c r="F449" t="str">
        <f>IF($J449="","",IFERROR(SUMIFS('Weekly Log'!$F:$F,'Weekly Log'!$A:$A,"&gt;="&amp;$J449,'Weekly Log'!$A:$A,"&lt;"&amp;$J449+7)/SUMIFS('Weekly Log'!$E:$E,'Weekly Log'!$A:$A,"&gt;="&amp;$J449,'Weekly Log'!$A:$A,"&lt;"&amp;$J449+7),0))</f>
        <v/>
      </c>
      <c r="G449" t="str">
        <f>IF($J449="","",IFERROR(LOOKUP(2,1/(('Weekly Log'!$A$5:$A$5000&gt;=$J449)*('Weekly Log'!$A$5:$A$5000&lt;$J449+7)*('Weekly Log'!$M$5:$M$5000&lt;&gt;"")),'Weekly Log'!$M$5:$M$5000),0))</f>
        <v/>
      </c>
      <c r="J449" t="str">
        <f>IF(COUNT('Weekly Log'!$A$5:$A$5000)=0,"",IF(MIN('Weekly Log'!$A$5:$A$5000)+7*(ROW()-10)&gt;MAX('Weekly Log'!$A$5:$A$5000),"",MIN('Weekly Log'!$A$5:$A$5000)+7*(ROW()-10)))</f>
        <v/>
      </c>
    </row>
    <row r="450" spans="1:10" x14ac:dyDescent="0.25">
      <c r="A450" t="str">
        <f t="shared" si="6"/>
        <v/>
      </c>
      <c r="B450" t="str">
        <f>IF($J450="","",SUMIFS('Weekly Log'!$C:$C,'Weekly Log'!$A:$A,"&gt;="&amp;$J450,'Weekly Log'!$A:$A,"&lt;"&amp;$J450+7))</f>
        <v/>
      </c>
      <c r="C450" t="str">
        <f>IF($J450="","",IFERROR(COUNTIFS('Weekly Log'!$G:$G,"Y",'Weekly Log'!$A:$A,"&gt;="&amp;$J450,'Weekly Log'!$A:$A,"&lt;"&amp;$J450+7)/COUNTIFS('Weekly Log'!$G:$G,"&lt;&gt;",'Weekly Log'!$A:$A,"&gt;="&amp;$J450,'Weekly Log'!$A:$A,"&lt;"&amp;$J450+7),0))</f>
        <v/>
      </c>
      <c r="D450" t="str">
        <f>IF($J450="","",IFERROR(COUNTIFS('Weekly Log'!$H:$H,"Y",'Weekly Log'!$A:$A,"&gt;="&amp;$J450,'Weekly Log'!$A:$A,"&lt;"&amp;$J450+7)/COUNTIFS('Weekly Log'!$H:$H,"&lt;&gt;",'Weekly Log'!$A:$A,"&gt;="&amp;$J450,'Weekly Log'!$A:$A,"&lt;"&amp;$J450+7),0))</f>
        <v/>
      </c>
      <c r="E450" t="str">
        <f>IF($J450="","",IFERROR(AVERAGEIFS('Weekly Log'!$F:$F,'Weekly Log'!$A:$A,"&gt;="&amp;$J450,'Weekly Log'!$A:$A,"&lt;"&amp;$J450+7),0))</f>
        <v/>
      </c>
      <c r="F450" t="str">
        <f>IF($J450="","",IFERROR(SUMIFS('Weekly Log'!$F:$F,'Weekly Log'!$A:$A,"&gt;="&amp;$J450,'Weekly Log'!$A:$A,"&lt;"&amp;$J450+7)/SUMIFS('Weekly Log'!$E:$E,'Weekly Log'!$A:$A,"&gt;="&amp;$J450,'Weekly Log'!$A:$A,"&lt;"&amp;$J450+7),0))</f>
        <v/>
      </c>
      <c r="G450" t="str">
        <f>IF($J450="","",IFERROR(LOOKUP(2,1/(('Weekly Log'!$A$5:$A$5000&gt;=$J450)*('Weekly Log'!$A$5:$A$5000&lt;$J450+7)*('Weekly Log'!$M$5:$M$5000&lt;&gt;"")),'Weekly Log'!$M$5:$M$5000),0))</f>
        <v/>
      </c>
      <c r="J450" t="str">
        <f>IF(COUNT('Weekly Log'!$A$5:$A$5000)=0,"",IF(MIN('Weekly Log'!$A$5:$A$5000)+7*(ROW()-10)&gt;MAX('Weekly Log'!$A$5:$A$5000),"",MIN('Weekly Log'!$A$5:$A$5000)+7*(ROW()-10)))</f>
        <v/>
      </c>
    </row>
    <row r="451" spans="1:10" x14ac:dyDescent="0.25">
      <c r="A451" t="str">
        <f t="shared" si="6"/>
        <v/>
      </c>
      <c r="B451" t="str">
        <f>IF($J451="","",SUMIFS('Weekly Log'!$C:$C,'Weekly Log'!$A:$A,"&gt;="&amp;$J451,'Weekly Log'!$A:$A,"&lt;"&amp;$J451+7))</f>
        <v/>
      </c>
      <c r="C451" t="str">
        <f>IF($J451="","",IFERROR(COUNTIFS('Weekly Log'!$G:$G,"Y",'Weekly Log'!$A:$A,"&gt;="&amp;$J451,'Weekly Log'!$A:$A,"&lt;"&amp;$J451+7)/COUNTIFS('Weekly Log'!$G:$G,"&lt;&gt;",'Weekly Log'!$A:$A,"&gt;="&amp;$J451,'Weekly Log'!$A:$A,"&lt;"&amp;$J451+7),0))</f>
        <v/>
      </c>
      <c r="D451" t="str">
        <f>IF($J451="","",IFERROR(COUNTIFS('Weekly Log'!$H:$H,"Y",'Weekly Log'!$A:$A,"&gt;="&amp;$J451,'Weekly Log'!$A:$A,"&lt;"&amp;$J451+7)/COUNTIFS('Weekly Log'!$H:$H,"&lt;&gt;",'Weekly Log'!$A:$A,"&gt;="&amp;$J451,'Weekly Log'!$A:$A,"&lt;"&amp;$J451+7),0))</f>
        <v/>
      </c>
      <c r="E451" t="str">
        <f>IF($J451="","",IFERROR(AVERAGEIFS('Weekly Log'!$F:$F,'Weekly Log'!$A:$A,"&gt;="&amp;$J451,'Weekly Log'!$A:$A,"&lt;"&amp;$J451+7),0))</f>
        <v/>
      </c>
      <c r="F451" t="str">
        <f>IF($J451="","",IFERROR(SUMIFS('Weekly Log'!$F:$F,'Weekly Log'!$A:$A,"&gt;="&amp;$J451,'Weekly Log'!$A:$A,"&lt;"&amp;$J451+7)/SUMIFS('Weekly Log'!$E:$E,'Weekly Log'!$A:$A,"&gt;="&amp;$J451,'Weekly Log'!$A:$A,"&lt;"&amp;$J451+7),0))</f>
        <v/>
      </c>
      <c r="G451" t="str">
        <f>IF($J451="","",IFERROR(LOOKUP(2,1/(('Weekly Log'!$A$5:$A$5000&gt;=$J451)*('Weekly Log'!$A$5:$A$5000&lt;$J451+7)*('Weekly Log'!$M$5:$M$5000&lt;&gt;"")),'Weekly Log'!$M$5:$M$5000),0))</f>
        <v/>
      </c>
      <c r="J451" t="str">
        <f>IF(COUNT('Weekly Log'!$A$5:$A$5000)=0,"",IF(MIN('Weekly Log'!$A$5:$A$5000)+7*(ROW()-10)&gt;MAX('Weekly Log'!$A$5:$A$5000),"",MIN('Weekly Log'!$A$5:$A$5000)+7*(ROW()-10)))</f>
        <v/>
      </c>
    </row>
    <row r="452" spans="1:10" x14ac:dyDescent="0.25">
      <c r="A452" t="str">
        <f t="shared" si="6"/>
        <v/>
      </c>
      <c r="B452" t="str">
        <f>IF($J452="","",SUMIFS('Weekly Log'!$C:$C,'Weekly Log'!$A:$A,"&gt;="&amp;$J452,'Weekly Log'!$A:$A,"&lt;"&amp;$J452+7))</f>
        <v/>
      </c>
      <c r="C452" t="str">
        <f>IF($J452="","",IFERROR(COUNTIFS('Weekly Log'!$G:$G,"Y",'Weekly Log'!$A:$A,"&gt;="&amp;$J452,'Weekly Log'!$A:$A,"&lt;"&amp;$J452+7)/COUNTIFS('Weekly Log'!$G:$G,"&lt;&gt;",'Weekly Log'!$A:$A,"&gt;="&amp;$J452,'Weekly Log'!$A:$A,"&lt;"&amp;$J452+7),0))</f>
        <v/>
      </c>
      <c r="D452" t="str">
        <f>IF($J452="","",IFERROR(COUNTIFS('Weekly Log'!$H:$H,"Y",'Weekly Log'!$A:$A,"&gt;="&amp;$J452,'Weekly Log'!$A:$A,"&lt;"&amp;$J452+7)/COUNTIFS('Weekly Log'!$H:$H,"&lt;&gt;",'Weekly Log'!$A:$A,"&gt;="&amp;$J452,'Weekly Log'!$A:$A,"&lt;"&amp;$J452+7),0))</f>
        <v/>
      </c>
      <c r="E452" t="str">
        <f>IF($J452="","",IFERROR(AVERAGEIFS('Weekly Log'!$F:$F,'Weekly Log'!$A:$A,"&gt;="&amp;$J452,'Weekly Log'!$A:$A,"&lt;"&amp;$J452+7),0))</f>
        <v/>
      </c>
      <c r="F452" t="str">
        <f>IF($J452="","",IFERROR(SUMIFS('Weekly Log'!$F:$F,'Weekly Log'!$A:$A,"&gt;="&amp;$J452,'Weekly Log'!$A:$A,"&lt;"&amp;$J452+7)/SUMIFS('Weekly Log'!$E:$E,'Weekly Log'!$A:$A,"&gt;="&amp;$J452,'Weekly Log'!$A:$A,"&lt;"&amp;$J452+7),0))</f>
        <v/>
      </c>
      <c r="G452" t="str">
        <f>IF($J452="","",IFERROR(LOOKUP(2,1/(('Weekly Log'!$A$5:$A$5000&gt;=$J452)*('Weekly Log'!$A$5:$A$5000&lt;$J452+7)*('Weekly Log'!$M$5:$M$5000&lt;&gt;"")),'Weekly Log'!$M$5:$M$5000),0))</f>
        <v/>
      </c>
      <c r="J452" t="str">
        <f>IF(COUNT('Weekly Log'!$A$5:$A$5000)=0,"",IF(MIN('Weekly Log'!$A$5:$A$5000)+7*(ROW()-10)&gt;MAX('Weekly Log'!$A$5:$A$5000),"",MIN('Weekly Log'!$A$5:$A$5000)+7*(ROW()-10)))</f>
        <v/>
      </c>
    </row>
    <row r="453" spans="1:10" x14ac:dyDescent="0.25">
      <c r="A453" t="str">
        <f t="shared" si="6"/>
        <v/>
      </c>
      <c r="B453" t="str">
        <f>IF($J453="","",SUMIFS('Weekly Log'!$C:$C,'Weekly Log'!$A:$A,"&gt;="&amp;$J453,'Weekly Log'!$A:$A,"&lt;"&amp;$J453+7))</f>
        <v/>
      </c>
      <c r="C453" t="str">
        <f>IF($J453="","",IFERROR(COUNTIFS('Weekly Log'!$G:$G,"Y",'Weekly Log'!$A:$A,"&gt;="&amp;$J453,'Weekly Log'!$A:$A,"&lt;"&amp;$J453+7)/COUNTIFS('Weekly Log'!$G:$G,"&lt;&gt;",'Weekly Log'!$A:$A,"&gt;="&amp;$J453,'Weekly Log'!$A:$A,"&lt;"&amp;$J453+7),0))</f>
        <v/>
      </c>
      <c r="D453" t="str">
        <f>IF($J453="","",IFERROR(COUNTIFS('Weekly Log'!$H:$H,"Y",'Weekly Log'!$A:$A,"&gt;="&amp;$J453,'Weekly Log'!$A:$A,"&lt;"&amp;$J453+7)/COUNTIFS('Weekly Log'!$H:$H,"&lt;&gt;",'Weekly Log'!$A:$A,"&gt;="&amp;$J453,'Weekly Log'!$A:$A,"&lt;"&amp;$J453+7),0))</f>
        <v/>
      </c>
      <c r="E453" t="str">
        <f>IF($J453="","",IFERROR(AVERAGEIFS('Weekly Log'!$F:$F,'Weekly Log'!$A:$A,"&gt;="&amp;$J453,'Weekly Log'!$A:$A,"&lt;"&amp;$J453+7),0))</f>
        <v/>
      </c>
      <c r="F453" t="str">
        <f>IF($J453="","",IFERROR(SUMIFS('Weekly Log'!$F:$F,'Weekly Log'!$A:$A,"&gt;="&amp;$J453,'Weekly Log'!$A:$A,"&lt;"&amp;$J453+7)/SUMIFS('Weekly Log'!$E:$E,'Weekly Log'!$A:$A,"&gt;="&amp;$J453,'Weekly Log'!$A:$A,"&lt;"&amp;$J453+7),0))</f>
        <v/>
      </c>
      <c r="G453" t="str">
        <f>IF($J453="","",IFERROR(LOOKUP(2,1/(('Weekly Log'!$A$5:$A$5000&gt;=$J453)*('Weekly Log'!$A$5:$A$5000&lt;$J453+7)*('Weekly Log'!$M$5:$M$5000&lt;&gt;"")),'Weekly Log'!$M$5:$M$5000),0))</f>
        <v/>
      </c>
      <c r="J453" t="str">
        <f>IF(COUNT('Weekly Log'!$A$5:$A$5000)=0,"",IF(MIN('Weekly Log'!$A$5:$A$5000)+7*(ROW()-10)&gt;MAX('Weekly Log'!$A$5:$A$5000),"",MIN('Weekly Log'!$A$5:$A$5000)+7*(ROW()-10)))</f>
        <v/>
      </c>
    </row>
    <row r="454" spans="1:10" x14ac:dyDescent="0.25">
      <c r="A454" t="str">
        <f t="shared" si="6"/>
        <v/>
      </c>
      <c r="B454" t="str">
        <f>IF($J454="","",SUMIFS('Weekly Log'!$C:$C,'Weekly Log'!$A:$A,"&gt;="&amp;$J454,'Weekly Log'!$A:$A,"&lt;"&amp;$J454+7))</f>
        <v/>
      </c>
      <c r="C454" t="str">
        <f>IF($J454="","",IFERROR(COUNTIFS('Weekly Log'!$G:$G,"Y",'Weekly Log'!$A:$A,"&gt;="&amp;$J454,'Weekly Log'!$A:$A,"&lt;"&amp;$J454+7)/COUNTIFS('Weekly Log'!$G:$G,"&lt;&gt;",'Weekly Log'!$A:$A,"&gt;="&amp;$J454,'Weekly Log'!$A:$A,"&lt;"&amp;$J454+7),0))</f>
        <v/>
      </c>
      <c r="D454" t="str">
        <f>IF($J454="","",IFERROR(COUNTIFS('Weekly Log'!$H:$H,"Y",'Weekly Log'!$A:$A,"&gt;="&amp;$J454,'Weekly Log'!$A:$A,"&lt;"&amp;$J454+7)/COUNTIFS('Weekly Log'!$H:$H,"&lt;&gt;",'Weekly Log'!$A:$A,"&gt;="&amp;$J454,'Weekly Log'!$A:$A,"&lt;"&amp;$J454+7),0))</f>
        <v/>
      </c>
      <c r="E454" t="str">
        <f>IF($J454="","",IFERROR(AVERAGEIFS('Weekly Log'!$F:$F,'Weekly Log'!$A:$A,"&gt;="&amp;$J454,'Weekly Log'!$A:$A,"&lt;"&amp;$J454+7),0))</f>
        <v/>
      </c>
      <c r="F454" t="str">
        <f>IF($J454="","",IFERROR(SUMIFS('Weekly Log'!$F:$F,'Weekly Log'!$A:$A,"&gt;="&amp;$J454,'Weekly Log'!$A:$A,"&lt;"&amp;$J454+7)/SUMIFS('Weekly Log'!$E:$E,'Weekly Log'!$A:$A,"&gt;="&amp;$J454,'Weekly Log'!$A:$A,"&lt;"&amp;$J454+7),0))</f>
        <v/>
      </c>
      <c r="G454" t="str">
        <f>IF($J454="","",IFERROR(LOOKUP(2,1/(('Weekly Log'!$A$5:$A$5000&gt;=$J454)*('Weekly Log'!$A$5:$A$5000&lt;$J454+7)*('Weekly Log'!$M$5:$M$5000&lt;&gt;"")),'Weekly Log'!$M$5:$M$5000),0))</f>
        <v/>
      </c>
      <c r="J454" t="str">
        <f>IF(COUNT('Weekly Log'!$A$5:$A$5000)=0,"",IF(MIN('Weekly Log'!$A$5:$A$5000)+7*(ROW()-10)&gt;MAX('Weekly Log'!$A$5:$A$5000),"",MIN('Weekly Log'!$A$5:$A$5000)+7*(ROW()-10)))</f>
        <v/>
      </c>
    </row>
    <row r="455" spans="1:10" x14ac:dyDescent="0.25">
      <c r="A455" t="str">
        <f t="shared" si="6"/>
        <v/>
      </c>
      <c r="B455" t="str">
        <f>IF($J455="","",SUMIFS('Weekly Log'!$C:$C,'Weekly Log'!$A:$A,"&gt;="&amp;$J455,'Weekly Log'!$A:$A,"&lt;"&amp;$J455+7))</f>
        <v/>
      </c>
      <c r="C455" t="str">
        <f>IF($J455="","",IFERROR(COUNTIFS('Weekly Log'!$G:$G,"Y",'Weekly Log'!$A:$A,"&gt;="&amp;$J455,'Weekly Log'!$A:$A,"&lt;"&amp;$J455+7)/COUNTIFS('Weekly Log'!$G:$G,"&lt;&gt;",'Weekly Log'!$A:$A,"&gt;="&amp;$J455,'Weekly Log'!$A:$A,"&lt;"&amp;$J455+7),0))</f>
        <v/>
      </c>
      <c r="D455" t="str">
        <f>IF($J455="","",IFERROR(COUNTIFS('Weekly Log'!$H:$H,"Y",'Weekly Log'!$A:$A,"&gt;="&amp;$J455,'Weekly Log'!$A:$A,"&lt;"&amp;$J455+7)/COUNTIFS('Weekly Log'!$H:$H,"&lt;&gt;",'Weekly Log'!$A:$A,"&gt;="&amp;$J455,'Weekly Log'!$A:$A,"&lt;"&amp;$J455+7),0))</f>
        <v/>
      </c>
      <c r="E455" t="str">
        <f>IF($J455="","",IFERROR(AVERAGEIFS('Weekly Log'!$F:$F,'Weekly Log'!$A:$A,"&gt;="&amp;$J455,'Weekly Log'!$A:$A,"&lt;"&amp;$J455+7),0))</f>
        <v/>
      </c>
      <c r="F455" t="str">
        <f>IF($J455="","",IFERROR(SUMIFS('Weekly Log'!$F:$F,'Weekly Log'!$A:$A,"&gt;="&amp;$J455,'Weekly Log'!$A:$A,"&lt;"&amp;$J455+7)/SUMIFS('Weekly Log'!$E:$E,'Weekly Log'!$A:$A,"&gt;="&amp;$J455,'Weekly Log'!$A:$A,"&lt;"&amp;$J455+7),0))</f>
        <v/>
      </c>
      <c r="G455" t="str">
        <f>IF($J455="","",IFERROR(LOOKUP(2,1/(('Weekly Log'!$A$5:$A$5000&gt;=$J455)*('Weekly Log'!$A$5:$A$5000&lt;$J455+7)*('Weekly Log'!$M$5:$M$5000&lt;&gt;"")),'Weekly Log'!$M$5:$M$5000),0))</f>
        <v/>
      </c>
      <c r="J455" t="str">
        <f>IF(COUNT('Weekly Log'!$A$5:$A$5000)=0,"",IF(MIN('Weekly Log'!$A$5:$A$5000)+7*(ROW()-10)&gt;MAX('Weekly Log'!$A$5:$A$5000),"",MIN('Weekly Log'!$A$5:$A$5000)+7*(ROW()-10)))</f>
        <v/>
      </c>
    </row>
    <row r="456" spans="1:10" x14ac:dyDescent="0.25">
      <c r="A456" t="str">
        <f t="shared" si="6"/>
        <v/>
      </c>
      <c r="B456" t="str">
        <f>IF($J456="","",SUMIFS('Weekly Log'!$C:$C,'Weekly Log'!$A:$A,"&gt;="&amp;$J456,'Weekly Log'!$A:$A,"&lt;"&amp;$J456+7))</f>
        <v/>
      </c>
      <c r="C456" t="str">
        <f>IF($J456="","",IFERROR(COUNTIFS('Weekly Log'!$G:$G,"Y",'Weekly Log'!$A:$A,"&gt;="&amp;$J456,'Weekly Log'!$A:$A,"&lt;"&amp;$J456+7)/COUNTIFS('Weekly Log'!$G:$G,"&lt;&gt;",'Weekly Log'!$A:$A,"&gt;="&amp;$J456,'Weekly Log'!$A:$A,"&lt;"&amp;$J456+7),0))</f>
        <v/>
      </c>
      <c r="D456" t="str">
        <f>IF($J456="","",IFERROR(COUNTIFS('Weekly Log'!$H:$H,"Y",'Weekly Log'!$A:$A,"&gt;="&amp;$J456,'Weekly Log'!$A:$A,"&lt;"&amp;$J456+7)/COUNTIFS('Weekly Log'!$H:$H,"&lt;&gt;",'Weekly Log'!$A:$A,"&gt;="&amp;$J456,'Weekly Log'!$A:$A,"&lt;"&amp;$J456+7),0))</f>
        <v/>
      </c>
      <c r="E456" t="str">
        <f>IF($J456="","",IFERROR(AVERAGEIFS('Weekly Log'!$F:$F,'Weekly Log'!$A:$A,"&gt;="&amp;$J456,'Weekly Log'!$A:$A,"&lt;"&amp;$J456+7),0))</f>
        <v/>
      </c>
      <c r="F456" t="str">
        <f>IF($J456="","",IFERROR(SUMIFS('Weekly Log'!$F:$F,'Weekly Log'!$A:$A,"&gt;="&amp;$J456,'Weekly Log'!$A:$A,"&lt;"&amp;$J456+7)/SUMIFS('Weekly Log'!$E:$E,'Weekly Log'!$A:$A,"&gt;="&amp;$J456,'Weekly Log'!$A:$A,"&lt;"&amp;$J456+7),0))</f>
        <v/>
      </c>
      <c r="G456" t="str">
        <f>IF($J456="","",IFERROR(LOOKUP(2,1/(('Weekly Log'!$A$5:$A$5000&gt;=$J456)*('Weekly Log'!$A$5:$A$5000&lt;$J456+7)*('Weekly Log'!$M$5:$M$5000&lt;&gt;"")),'Weekly Log'!$M$5:$M$5000),0))</f>
        <v/>
      </c>
      <c r="J456" t="str">
        <f>IF(COUNT('Weekly Log'!$A$5:$A$5000)=0,"",IF(MIN('Weekly Log'!$A$5:$A$5000)+7*(ROW()-10)&gt;MAX('Weekly Log'!$A$5:$A$5000),"",MIN('Weekly Log'!$A$5:$A$5000)+7*(ROW()-10)))</f>
        <v/>
      </c>
    </row>
    <row r="457" spans="1:10" x14ac:dyDescent="0.25">
      <c r="A457" t="str">
        <f t="shared" si="6"/>
        <v/>
      </c>
      <c r="B457" t="str">
        <f>IF($J457="","",SUMIFS('Weekly Log'!$C:$C,'Weekly Log'!$A:$A,"&gt;="&amp;$J457,'Weekly Log'!$A:$A,"&lt;"&amp;$J457+7))</f>
        <v/>
      </c>
      <c r="C457" t="str">
        <f>IF($J457="","",IFERROR(COUNTIFS('Weekly Log'!$G:$G,"Y",'Weekly Log'!$A:$A,"&gt;="&amp;$J457,'Weekly Log'!$A:$A,"&lt;"&amp;$J457+7)/COUNTIFS('Weekly Log'!$G:$G,"&lt;&gt;",'Weekly Log'!$A:$A,"&gt;="&amp;$J457,'Weekly Log'!$A:$A,"&lt;"&amp;$J457+7),0))</f>
        <v/>
      </c>
      <c r="D457" t="str">
        <f>IF($J457="","",IFERROR(COUNTIFS('Weekly Log'!$H:$H,"Y",'Weekly Log'!$A:$A,"&gt;="&amp;$J457,'Weekly Log'!$A:$A,"&lt;"&amp;$J457+7)/COUNTIFS('Weekly Log'!$H:$H,"&lt;&gt;",'Weekly Log'!$A:$A,"&gt;="&amp;$J457,'Weekly Log'!$A:$A,"&lt;"&amp;$J457+7),0))</f>
        <v/>
      </c>
      <c r="E457" t="str">
        <f>IF($J457="","",IFERROR(AVERAGEIFS('Weekly Log'!$F:$F,'Weekly Log'!$A:$A,"&gt;="&amp;$J457,'Weekly Log'!$A:$A,"&lt;"&amp;$J457+7),0))</f>
        <v/>
      </c>
      <c r="F457" t="str">
        <f>IF($J457="","",IFERROR(SUMIFS('Weekly Log'!$F:$F,'Weekly Log'!$A:$A,"&gt;="&amp;$J457,'Weekly Log'!$A:$A,"&lt;"&amp;$J457+7)/SUMIFS('Weekly Log'!$E:$E,'Weekly Log'!$A:$A,"&gt;="&amp;$J457,'Weekly Log'!$A:$A,"&lt;"&amp;$J457+7),0))</f>
        <v/>
      </c>
      <c r="G457" t="str">
        <f>IF($J457="","",IFERROR(LOOKUP(2,1/(('Weekly Log'!$A$5:$A$5000&gt;=$J457)*('Weekly Log'!$A$5:$A$5000&lt;$J457+7)*('Weekly Log'!$M$5:$M$5000&lt;&gt;"")),'Weekly Log'!$M$5:$M$5000),0))</f>
        <v/>
      </c>
      <c r="J457" t="str">
        <f>IF(COUNT('Weekly Log'!$A$5:$A$5000)=0,"",IF(MIN('Weekly Log'!$A$5:$A$5000)+7*(ROW()-10)&gt;MAX('Weekly Log'!$A$5:$A$5000),"",MIN('Weekly Log'!$A$5:$A$5000)+7*(ROW()-10)))</f>
        <v/>
      </c>
    </row>
    <row r="458" spans="1:10" x14ac:dyDescent="0.25">
      <c r="A458" t="str">
        <f t="shared" ref="A458:A521" si="7">IF($J458="","",YEAR($J458-WEEKDAY($J458,2)+4)&amp;"-W"&amp;TEXT(WEEKNUM($J458,21),"00"))</f>
        <v/>
      </c>
      <c r="B458" t="str">
        <f>IF($J458="","",SUMIFS('Weekly Log'!$C:$C,'Weekly Log'!$A:$A,"&gt;="&amp;$J458,'Weekly Log'!$A:$A,"&lt;"&amp;$J458+7))</f>
        <v/>
      </c>
      <c r="C458" t="str">
        <f>IF($J458="","",IFERROR(COUNTIFS('Weekly Log'!$G:$G,"Y",'Weekly Log'!$A:$A,"&gt;="&amp;$J458,'Weekly Log'!$A:$A,"&lt;"&amp;$J458+7)/COUNTIFS('Weekly Log'!$G:$G,"&lt;&gt;",'Weekly Log'!$A:$A,"&gt;="&amp;$J458,'Weekly Log'!$A:$A,"&lt;"&amp;$J458+7),0))</f>
        <v/>
      </c>
      <c r="D458" t="str">
        <f>IF($J458="","",IFERROR(COUNTIFS('Weekly Log'!$H:$H,"Y",'Weekly Log'!$A:$A,"&gt;="&amp;$J458,'Weekly Log'!$A:$A,"&lt;"&amp;$J458+7)/COUNTIFS('Weekly Log'!$H:$H,"&lt;&gt;",'Weekly Log'!$A:$A,"&gt;="&amp;$J458,'Weekly Log'!$A:$A,"&lt;"&amp;$J458+7),0))</f>
        <v/>
      </c>
      <c r="E458" t="str">
        <f>IF($J458="","",IFERROR(AVERAGEIFS('Weekly Log'!$F:$F,'Weekly Log'!$A:$A,"&gt;="&amp;$J458,'Weekly Log'!$A:$A,"&lt;"&amp;$J458+7),0))</f>
        <v/>
      </c>
      <c r="F458" t="str">
        <f>IF($J458="","",IFERROR(SUMIFS('Weekly Log'!$F:$F,'Weekly Log'!$A:$A,"&gt;="&amp;$J458,'Weekly Log'!$A:$A,"&lt;"&amp;$J458+7)/SUMIFS('Weekly Log'!$E:$E,'Weekly Log'!$A:$A,"&gt;="&amp;$J458,'Weekly Log'!$A:$A,"&lt;"&amp;$J458+7),0))</f>
        <v/>
      </c>
      <c r="G458" t="str">
        <f>IF($J458="","",IFERROR(LOOKUP(2,1/(('Weekly Log'!$A$5:$A$5000&gt;=$J458)*('Weekly Log'!$A$5:$A$5000&lt;$J458+7)*('Weekly Log'!$M$5:$M$5000&lt;&gt;"")),'Weekly Log'!$M$5:$M$5000),0))</f>
        <v/>
      </c>
      <c r="J458" t="str">
        <f>IF(COUNT('Weekly Log'!$A$5:$A$5000)=0,"",IF(MIN('Weekly Log'!$A$5:$A$5000)+7*(ROW()-10)&gt;MAX('Weekly Log'!$A$5:$A$5000),"",MIN('Weekly Log'!$A$5:$A$5000)+7*(ROW()-10)))</f>
        <v/>
      </c>
    </row>
    <row r="459" spans="1:10" x14ac:dyDescent="0.25">
      <c r="A459" t="str">
        <f t="shared" si="7"/>
        <v/>
      </c>
      <c r="B459" t="str">
        <f>IF($J459="","",SUMIFS('Weekly Log'!$C:$C,'Weekly Log'!$A:$A,"&gt;="&amp;$J459,'Weekly Log'!$A:$A,"&lt;"&amp;$J459+7))</f>
        <v/>
      </c>
      <c r="C459" t="str">
        <f>IF($J459="","",IFERROR(COUNTIFS('Weekly Log'!$G:$G,"Y",'Weekly Log'!$A:$A,"&gt;="&amp;$J459,'Weekly Log'!$A:$A,"&lt;"&amp;$J459+7)/COUNTIFS('Weekly Log'!$G:$G,"&lt;&gt;",'Weekly Log'!$A:$A,"&gt;="&amp;$J459,'Weekly Log'!$A:$A,"&lt;"&amp;$J459+7),0))</f>
        <v/>
      </c>
      <c r="D459" t="str">
        <f>IF($J459="","",IFERROR(COUNTIFS('Weekly Log'!$H:$H,"Y",'Weekly Log'!$A:$A,"&gt;="&amp;$J459,'Weekly Log'!$A:$A,"&lt;"&amp;$J459+7)/COUNTIFS('Weekly Log'!$H:$H,"&lt;&gt;",'Weekly Log'!$A:$A,"&gt;="&amp;$J459,'Weekly Log'!$A:$A,"&lt;"&amp;$J459+7),0))</f>
        <v/>
      </c>
      <c r="E459" t="str">
        <f>IF($J459="","",IFERROR(AVERAGEIFS('Weekly Log'!$F:$F,'Weekly Log'!$A:$A,"&gt;="&amp;$J459,'Weekly Log'!$A:$A,"&lt;"&amp;$J459+7),0))</f>
        <v/>
      </c>
      <c r="F459" t="str">
        <f>IF($J459="","",IFERROR(SUMIFS('Weekly Log'!$F:$F,'Weekly Log'!$A:$A,"&gt;="&amp;$J459,'Weekly Log'!$A:$A,"&lt;"&amp;$J459+7)/SUMIFS('Weekly Log'!$E:$E,'Weekly Log'!$A:$A,"&gt;="&amp;$J459,'Weekly Log'!$A:$A,"&lt;"&amp;$J459+7),0))</f>
        <v/>
      </c>
      <c r="G459" t="str">
        <f>IF($J459="","",IFERROR(LOOKUP(2,1/(('Weekly Log'!$A$5:$A$5000&gt;=$J459)*('Weekly Log'!$A$5:$A$5000&lt;$J459+7)*('Weekly Log'!$M$5:$M$5000&lt;&gt;"")),'Weekly Log'!$M$5:$M$5000),0))</f>
        <v/>
      </c>
      <c r="J459" t="str">
        <f>IF(COUNT('Weekly Log'!$A$5:$A$5000)=0,"",IF(MIN('Weekly Log'!$A$5:$A$5000)+7*(ROW()-10)&gt;MAX('Weekly Log'!$A$5:$A$5000),"",MIN('Weekly Log'!$A$5:$A$5000)+7*(ROW()-10)))</f>
        <v/>
      </c>
    </row>
    <row r="460" spans="1:10" x14ac:dyDescent="0.25">
      <c r="A460" t="str">
        <f t="shared" si="7"/>
        <v/>
      </c>
      <c r="B460" t="str">
        <f>IF($J460="","",SUMIFS('Weekly Log'!$C:$C,'Weekly Log'!$A:$A,"&gt;="&amp;$J460,'Weekly Log'!$A:$A,"&lt;"&amp;$J460+7))</f>
        <v/>
      </c>
      <c r="C460" t="str">
        <f>IF($J460="","",IFERROR(COUNTIFS('Weekly Log'!$G:$G,"Y",'Weekly Log'!$A:$A,"&gt;="&amp;$J460,'Weekly Log'!$A:$A,"&lt;"&amp;$J460+7)/COUNTIFS('Weekly Log'!$G:$G,"&lt;&gt;",'Weekly Log'!$A:$A,"&gt;="&amp;$J460,'Weekly Log'!$A:$A,"&lt;"&amp;$J460+7),0))</f>
        <v/>
      </c>
      <c r="D460" t="str">
        <f>IF($J460="","",IFERROR(COUNTIFS('Weekly Log'!$H:$H,"Y",'Weekly Log'!$A:$A,"&gt;="&amp;$J460,'Weekly Log'!$A:$A,"&lt;"&amp;$J460+7)/COUNTIFS('Weekly Log'!$H:$H,"&lt;&gt;",'Weekly Log'!$A:$A,"&gt;="&amp;$J460,'Weekly Log'!$A:$A,"&lt;"&amp;$J460+7),0))</f>
        <v/>
      </c>
      <c r="E460" t="str">
        <f>IF($J460="","",IFERROR(AVERAGEIFS('Weekly Log'!$F:$F,'Weekly Log'!$A:$A,"&gt;="&amp;$J460,'Weekly Log'!$A:$A,"&lt;"&amp;$J460+7),0))</f>
        <v/>
      </c>
      <c r="F460" t="str">
        <f>IF($J460="","",IFERROR(SUMIFS('Weekly Log'!$F:$F,'Weekly Log'!$A:$A,"&gt;="&amp;$J460,'Weekly Log'!$A:$A,"&lt;"&amp;$J460+7)/SUMIFS('Weekly Log'!$E:$E,'Weekly Log'!$A:$A,"&gt;="&amp;$J460,'Weekly Log'!$A:$A,"&lt;"&amp;$J460+7),0))</f>
        <v/>
      </c>
      <c r="G460" t="str">
        <f>IF($J460="","",IFERROR(LOOKUP(2,1/(('Weekly Log'!$A$5:$A$5000&gt;=$J460)*('Weekly Log'!$A$5:$A$5000&lt;$J460+7)*('Weekly Log'!$M$5:$M$5000&lt;&gt;"")),'Weekly Log'!$M$5:$M$5000),0))</f>
        <v/>
      </c>
      <c r="J460" t="str">
        <f>IF(COUNT('Weekly Log'!$A$5:$A$5000)=0,"",IF(MIN('Weekly Log'!$A$5:$A$5000)+7*(ROW()-10)&gt;MAX('Weekly Log'!$A$5:$A$5000),"",MIN('Weekly Log'!$A$5:$A$5000)+7*(ROW()-10)))</f>
        <v/>
      </c>
    </row>
    <row r="461" spans="1:10" x14ac:dyDescent="0.25">
      <c r="A461" t="str">
        <f t="shared" si="7"/>
        <v/>
      </c>
      <c r="B461" t="str">
        <f>IF($J461="","",SUMIFS('Weekly Log'!$C:$C,'Weekly Log'!$A:$A,"&gt;="&amp;$J461,'Weekly Log'!$A:$A,"&lt;"&amp;$J461+7))</f>
        <v/>
      </c>
      <c r="C461" t="str">
        <f>IF($J461="","",IFERROR(COUNTIFS('Weekly Log'!$G:$G,"Y",'Weekly Log'!$A:$A,"&gt;="&amp;$J461,'Weekly Log'!$A:$A,"&lt;"&amp;$J461+7)/COUNTIFS('Weekly Log'!$G:$G,"&lt;&gt;",'Weekly Log'!$A:$A,"&gt;="&amp;$J461,'Weekly Log'!$A:$A,"&lt;"&amp;$J461+7),0))</f>
        <v/>
      </c>
      <c r="D461" t="str">
        <f>IF($J461="","",IFERROR(COUNTIFS('Weekly Log'!$H:$H,"Y",'Weekly Log'!$A:$A,"&gt;="&amp;$J461,'Weekly Log'!$A:$A,"&lt;"&amp;$J461+7)/COUNTIFS('Weekly Log'!$H:$H,"&lt;&gt;",'Weekly Log'!$A:$A,"&gt;="&amp;$J461,'Weekly Log'!$A:$A,"&lt;"&amp;$J461+7),0))</f>
        <v/>
      </c>
      <c r="E461" t="str">
        <f>IF($J461="","",IFERROR(AVERAGEIFS('Weekly Log'!$F:$F,'Weekly Log'!$A:$A,"&gt;="&amp;$J461,'Weekly Log'!$A:$A,"&lt;"&amp;$J461+7),0))</f>
        <v/>
      </c>
      <c r="F461" t="str">
        <f>IF($J461="","",IFERROR(SUMIFS('Weekly Log'!$F:$F,'Weekly Log'!$A:$A,"&gt;="&amp;$J461,'Weekly Log'!$A:$A,"&lt;"&amp;$J461+7)/SUMIFS('Weekly Log'!$E:$E,'Weekly Log'!$A:$A,"&gt;="&amp;$J461,'Weekly Log'!$A:$A,"&lt;"&amp;$J461+7),0))</f>
        <v/>
      </c>
      <c r="G461" t="str">
        <f>IF($J461="","",IFERROR(LOOKUP(2,1/(('Weekly Log'!$A$5:$A$5000&gt;=$J461)*('Weekly Log'!$A$5:$A$5000&lt;$J461+7)*('Weekly Log'!$M$5:$M$5000&lt;&gt;"")),'Weekly Log'!$M$5:$M$5000),0))</f>
        <v/>
      </c>
      <c r="J461" t="str">
        <f>IF(COUNT('Weekly Log'!$A$5:$A$5000)=0,"",IF(MIN('Weekly Log'!$A$5:$A$5000)+7*(ROW()-10)&gt;MAX('Weekly Log'!$A$5:$A$5000),"",MIN('Weekly Log'!$A$5:$A$5000)+7*(ROW()-10)))</f>
        <v/>
      </c>
    </row>
    <row r="462" spans="1:10" x14ac:dyDescent="0.25">
      <c r="A462" t="str">
        <f t="shared" si="7"/>
        <v/>
      </c>
      <c r="B462" t="str">
        <f>IF($J462="","",SUMIFS('Weekly Log'!$C:$C,'Weekly Log'!$A:$A,"&gt;="&amp;$J462,'Weekly Log'!$A:$A,"&lt;"&amp;$J462+7))</f>
        <v/>
      </c>
      <c r="C462" t="str">
        <f>IF($J462="","",IFERROR(COUNTIFS('Weekly Log'!$G:$G,"Y",'Weekly Log'!$A:$A,"&gt;="&amp;$J462,'Weekly Log'!$A:$A,"&lt;"&amp;$J462+7)/COUNTIFS('Weekly Log'!$G:$G,"&lt;&gt;",'Weekly Log'!$A:$A,"&gt;="&amp;$J462,'Weekly Log'!$A:$A,"&lt;"&amp;$J462+7),0))</f>
        <v/>
      </c>
      <c r="D462" t="str">
        <f>IF($J462="","",IFERROR(COUNTIFS('Weekly Log'!$H:$H,"Y",'Weekly Log'!$A:$A,"&gt;="&amp;$J462,'Weekly Log'!$A:$A,"&lt;"&amp;$J462+7)/COUNTIFS('Weekly Log'!$H:$H,"&lt;&gt;",'Weekly Log'!$A:$A,"&gt;="&amp;$J462,'Weekly Log'!$A:$A,"&lt;"&amp;$J462+7),0))</f>
        <v/>
      </c>
      <c r="E462" t="str">
        <f>IF($J462="","",IFERROR(AVERAGEIFS('Weekly Log'!$F:$F,'Weekly Log'!$A:$A,"&gt;="&amp;$J462,'Weekly Log'!$A:$A,"&lt;"&amp;$J462+7),0))</f>
        <v/>
      </c>
      <c r="F462" t="str">
        <f>IF($J462="","",IFERROR(SUMIFS('Weekly Log'!$F:$F,'Weekly Log'!$A:$A,"&gt;="&amp;$J462,'Weekly Log'!$A:$A,"&lt;"&amp;$J462+7)/SUMIFS('Weekly Log'!$E:$E,'Weekly Log'!$A:$A,"&gt;="&amp;$J462,'Weekly Log'!$A:$A,"&lt;"&amp;$J462+7),0))</f>
        <v/>
      </c>
      <c r="G462" t="str">
        <f>IF($J462="","",IFERROR(LOOKUP(2,1/(('Weekly Log'!$A$5:$A$5000&gt;=$J462)*('Weekly Log'!$A$5:$A$5000&lt;$J462+7)*('Weekly Log'!$M$5:$M$5000&lt;&gt;"")),'Weekly Log'!$M$5:$M$5000),0))</f>
        <v/>
      </c>
      <c r="J462" t="str">
        <f>IF(COUNT('Weekly Log'!$A$5:$A$5000)=0,"",IF(MIN('Weekly Log'!$A$5:$A$5000)+7*(ROW()-10)&gt;MAX('Weekly Log'!$A$5:$A$5000),"",MIN('Weekly Log'!$A$5:$A$5000)+7*(ROW()-10)))</f>
        <v/>
      </c>
    </row>
    <row r="463" spans="1:10" x14ac:dyDescent="0.25">
      <c r="A463" t="str">
        <f t="shared" si="7"/>
        <v/>
      </c>
      <c r="B463" t="str">
        <f>IF($J463="","",SUMIFS('Weekly Log'!$C:$C,'Weekly Log'!$A:$A,"&gt;="&amp;$J463,'Weekly Log'!$A:$A,"&lt;"&amp;$J463+7))</f>
        <v/>
      </c>
      <c r="C463" t="str">
        <f>IF($J463="","",IFERROR(COUNTIFS('Weekly Log'!$G:$G,"Y",'Weekly Log'!$A:$A,"&gt;="&amp;$J463,'Weekly Log'!$A:$A,"&lt;"&amp;$J463+7)/COUNTIFS('Weekly Log'!$G:$G,"&lt;&gt;",'Weekly Log'!$A:$A,"&gt;="&amp;$J463,'Weekly Log'!$A:$A,"&lt;"&amp;$J463+7),0))</f>
        <v/>
      </c>
      <c r="D463" t="str">
        <f>IF($J463="","",IFERROR(COUNTIFS('Weekly Log'!$H:$H,"Y",'Weekly Log'!$A:$A,"&gt;="&amp;$J463,'Weekly Log'!$A:$A,"&lt;"&amp;$J463+7)/COUNTIFS('Weekly Log'!$H:$H,"&lt;&gt;",'Weekly Log'!$A:$A,"&gt;="&amp;$J463,'Weekly Log'!$A:$A,"&lt;"&amp;$J463+7),0))</f>
        <v/>
      </c>
      <c r="E463" t="str">
        <f>IF($J463="","",IFERROR(AVERAGEIFS('Weekly Log'!$F:$F,'Weekly Log'!$A:$A,"&gt;="&amp;$J463,'Weekly Log'!$A:$A,"&lt;"&amp;$J463+7),0))</f>
        <v/>
      </c>
      <c r="F463" t="str">
        <f>IF($J463="","",IFERROR(SUMIFS('Weekly Log'!$F:$F,'Weekly Log'!$A:$A,"&gt;="&amp;$J463,'Weekly Log'!$A:$A,"&lt;"&amp;$J463+7)/SUMIFS('Weekly Log'!$E:$E,'Weekly Log'!$A:$A,"&gt;="&amp;$J463,'Weekly Log'!$A:$A,"&lt;"&amp;$J463+7),0))</f>
        <v/>
      </c>
      <c r="G463" t="str">
        <f>IF($J463="","",IFERROR(LOOKUP(2,1/(('Weekly Log'!$A$5:$A$5000&gt;=$J463)*('Weekly Log'!$A$5:$A$5000&lt;$J463+7)*('Weekly Log'!$M$5:$M$5000&lt;&gt;"")),'Weekly Log'!$M$5:$M$5000),0))</f>
        <v/>
      </c>
      <c r="J463" t="str">
        <f>IF(COUNT('Weekly Log'!$A$5:$A$5000)=0,"",IF(MIN('Weekly Log'!$A$5:$A$5000)+7*(ROW()-10)&gt;MAX('Weekly Log'!$A$5:$A$5000),"",MIN('Weekly Log'!$A$5:$A$5000)+7*(ROW()-10)))</f>
        <v/>
      </c>
    </row>
    <row r="464" spans="1:10" x14ac:dyDescent="0.25">
      <c r="A464" t="str">
        <f t="shared" si="7"/>
        <v/>
      </c>
      <c r="B464" t="str">
        <f>IF($J464="","",SUMIFS('Weekly Log'!$C:$C,'Weekly Log'!$A:$A,"&gt;="&amp;$J464,'Weekly Log'!$A:$A,"&lt;"&amp;$J464+7))</f>
        <v/>
      </c>
      <c r="C464" t="str">
        <f>IF($J464="","",IFERROR(COUNTIFS('Weekly Log'!$G:$G,"Y",'Weekly Log'!$A:$A,"&gt;="&amp;$J464,'Weekly Log'!$A:$A,"&lt;"&amp;$J464+7)/COUNTIFS('Weekly Log'!$G:$G,"&lt;&gt;",'Weekly Log'!$A:$A,"&gt;="&amp;$J464,'Weekly Log'!$A:$A,"&lt;"&amp;$J464+7),0))</f>
        <v/>
      </c>
      <c r="D464" t="str">
        <f>IF($J464="","",IFERROR(COUNTIFS('Weekly Log'!$H:$H,"Y",'Weekly Log'!$A:$A,"&gt;="&amp;$J464,'Weekly Log'!$A:$A,"&lt;"&amp;$J464+7)/COUNTIFS('Weekly Log'!$H:$H,"&lt;&gt;",'Weekly Log'!$A:$A,"&gt;="&amp;$J464,'Weekly Log'!$A:$A,"&lt;"&amp;$J464+7),0))</f>
        <v/>
      </c>
      <c r="E464" t="str">
        <f>IF($J464="","",IFERROR(AVERAGEIFS('Weekly Log'!$F:$F,'Weekly Log'!$A:$A,"&gt;="&amp;$J464,'Weekly Log'!$A:$A,"&lt;"&amp;$J464+7),0))</f>
        <v/>
      </c>
      <c r="F464" t="str">
        <f>IF($J464="","",IFERROR(SUMIFS('Weekly Log'!$F:$F,'Weekly Log'!$A:$A,"&gt;="&amp;$J464,'Weekly Log'!$A:$A,"&lt;"&amp;$J464+7)/SUMIFS('Weekly Log'!$E:$E,'Weekly Log'!$A:$A,"&gt;="&amp;$J464,'Weekly Log'!$A:$A,"&lt;"&amp;$J464+7),0))</f>
        <v/>
      </c>
      <c r="G464" t="str">
        <f>IF($J464="","",IFERROR(LOOKUP(2,1/(('Weekly Log'!$A$5:$A$5000&gt;=$J464)*('Weekly Log'!$A$5:$A$5000&lt;$J464+7)*('Weekly Log'!$M$5:$M$5000&lt;&gt;"")),'Weekly Log'!$M$5:$M$5000),0))</f>
        <v/>
      </c>
      <c r="J464" t="str">
        <f>IF(COUNT('Weekly Log'!$A$5:$A$5000)=0,"",IF(MIN('Weekly Log'!$A$5:$A$5000)+7*(ROW()-10)&gt;MAX('Weekly Log'!$A$5:$A$5000),"",MIN('Weekly Log'!$A$5:$A$5000)+7*(ROW()-10)))</f>
        <v/>
      </c>
    </row>
    <row r="465" spans="1:10" x14ac:dyDescent="0.25">
      <c r="A465" t="str">
        <f t="shared" si="7"/>
        <v/>
      </c>
      <c r="B465" t="str">
        <f>IF($J465="","",SUMIFS('Weekly Log'!$C:$C,'Weekly Log'!$A:$A,"&gt;="&amp;$J465,'Weekly Log'!$A:$A,"&lt;"&amp;$J465+7))</f>
        <v/>
      </c>
      <c r="C465" t="str">
        <f>IF($J465="","",IFERROR(COUNTIFS('Weekly Log'!$G:$G,"Y",'Weekly Log'!$A:$A,"&gt;="&amp;$J465,'Weekly Log'!$A:$A,"&lt;"&amp;$J465+7)/COUNTIFS('Weekly Log'!$G:$G,"&lt;&gt;",'Weekly Log'!$A:$A,"&gt;="&amp;$J465,'Weekly Log'!$A:$A,"&lt;"&amp;$J465+7),0))</f>
        <v/>
      </c>
      <c r="D465" t="str">
        <f>IF($J465="","",IFERROR(COUNTIFS('Weekly Log'!$H:$H,"Y",'Weekly Log'!$A:$A,"&gt;="&amp;$J465,'Weekly Log'!$A:$A,"&lt;"&amp;$J465+7)/COUNTIFS('Weekly Log'!$H:$H,"&lt;&gt;",'Weekly Log'!$A:$A,"&gt;="&amp;$J465,'Weekly Log'!$A:$A,"&lt;"&amp;$J465+7),0))</f>
        <v/>
      </c>
      <c r="E465" t="str">
        <f>IF($J465="","",IFERROR(AVERAGEIFS('Weekly Log'!$F:$F,'Weekly Log'!$A:$A,"&gt;="&amp;$J465,'Weekly Log'!$A:$A,"&lt;"&amp;$J465+7),0))</f>
        <v/>
      </c>
      <c r="F465" t="str">
        <f>IF($J465="","",IFERROR(SUMIFS('Weekly Log'!$F:$F,'Weekly Log'!$A:$A,"&gt;="&amp;$J465,'Weekly Log'!$A:$A,"&lt;"&amp;$J465+7)/SUMIFS('Weekly Log'!$E:$E,'Weekly Log'!$A:$A,"&gt;="&amp;$J465,'Weekly Log'!$A:$A,"&lt;"&amp;$J465+7),0))</f>
        <v/>
      </c>
      <c r="G465" t="str">
        <f>IF($J465="","",IFERROR(LOOKUP(2,1/(('Weekly Log'!$A$5:$A$5000&gt;=$J465)*('Weekly Log'!$A$5:$A$5000&lt;$J465+7)*('Weekly Log'!$M$5:$M$5000&lt;&gt;"")),'Weekly Log'!$M$5:$M$5000),0))</f>
        <v/>
      </c>
      <c r="J465" t="str">
        <f>IF(COUNT('Weekly Log'!$A$5:$A$5000)=0,"",IF(MIN('Weekly Log'!$A$5:$A$5000)+7*(ROW()-10)&gt;MAX('Weekly Log'!$A$5:$A$5000),"",MIN('Weekly Log'!$A$5:$A$5000)+7*(ROW()-10)))</f>
        <v/>
      </c>
    </row>
    <row r="466" spans="1:10" x14ac:dyDescent="0.25">
      <c r="A466" t="str">
        <f t="shared" si="7"/>
        <v/>
      </c>
      <c r="B466" t="str">
        <f>IF($J466="","",SUMIFS('Weekly Log'!$C:$C,'Weekly Log'!$A:$A,"&gt;="&amp;$J466,'Weekly Log'!$A:$A,"&lt;"&amp;$J466+7))</f>
        <v/>
      </c>
      <c r="C466" t="str">
        <f>IF($J466="","",IFERROR(COUNTIFS('Weekly Log'!$G:$G,"Y",'Weekly Log'!$A:$A,"&gt;="&amp;$J466,'Weekly Log'!$A:$A,"&lt;"&amp;$J466+7)/COUNTIFS('Weekly Log'!$G:$G,"&lt;&gt;",'Weekly Log'!$A:$A,"&gt;="&amp;$J466,'Weekly Log'!$A:$A,"&lt;"&amp;$J466+7),0))</f>
        <v/>
      </c>
      <c r="D466" t="str">
        <f>IF($J466="","",IFERROR(COUNTIFS('Weekly Log'!$H:$H,"Y",'Weekly Log'!$A:$A,"&gt;="&amp;$J466,'Weekly Log'!$A:$A,"&lt;"&amp;$J466+7)/COUNTIFS('Weekly Log'!$H:$H,"&lt;&gt;",'Weekly Log'!$A:$A,"&gt;="&amp;$J466,'Weekly Log'!$A:$A,"&lt;"&amp;$J466+7),0))</f>
        <v/>
      </c>
      <c r="E466" t="str">
        <f>IF($J466="","",IFERROR(AVERAGEIFS('Weekly Log'!$F:$F,'Weekly Log'!$A:$A,"&gt;="&amp;$J466,'Weekly Log'!$A:$A,"&lt;"&amp;$J466+7),0))</f>
        <v/>
      </c>
      <c r="F466" t="str">
        <f>IF($J466="","",IFERROR(SUMIFS('Weekly Log'!$F:$F,'Weekly Log'!$A:$A,"&gt;="&amp;$J466,'Weekly Log'!$A:$A,"&lt;"&amp;$J466+7)/SUMIFS('Weekly Log'!$E:$E,'Weekly Log'!$A:$A,"&gt;="&amp;$J466,'Weekly Log'!$A:$A,"&lt;"&amp;$J466+7),0))</f>
        <v/>
      </c>
      <c r="G466" t="str">
        <f>IF($J466="","",IFERROR(LOOKUP(2,1/(('Weekly Log'!$A$5:$A$5000&gt;=$J466)*('Weekly Log'!$A$5:$A$5000&lt;$J466+7)*('Weekly Log'!$M$5:$M$5000&lt;&gt;"")),'Weekly Log'!$M$5:$M$5000),0))</f>
        <v/>
      </c>
      <c r="J466" t="str">
        <f>IF(COUNT('Weekly Log'!$A$5:$A$5000)=0,"",IF(MIN('Weekly Log'!$A$5:$A$5000)+7*(ROW()-10)&gt;MAX('Weekly Log'!$A$5:$A$5000),"",MIN('Weekly Log'!$A$5:$A$5000)+7*(ROW()-10)))</f>
        <v/>
      </c>
    </row>
    <row r="467" spans="1:10" x14ac:dyDescent="0.25">
      <c r="A467" t="str">
        <f t="shared" si="7"/>
        <v/>
      </c>
      <c r="B467" t="str">
        <f>IF($J467="","",SUMIFS('Weekly Log'!$C:$C,'Weekly Log'!$A:$A,"&gt;="&amp;$J467,'Weekly Log'!$A:$A,"&lt;"&amp;$J467+7))</f>
        <v/>
      </c>
      <c r="C467" t="str">
        <f>IF($J467="","",IFERROR(COUNTIFS('Weekly Log'!$G:$G,"Y",'Weekly Log'!$A:$A,"&gt;="&amp;$J467,'Weekly Log'!$A:$A,"&lt;"&amp;$J467+7)/COUNTIFS('Weekly Log'!$G:$G,"&lt;&gt;",'Weekly Log'!$A:$A,"&gt;="&amp;$J467,'Weekly Log'!$A:$A,"&lt;"&amp;$J467+7),0))</f>
        <v/>
      </c>
      <c r="D467" t="str">
        <f>IF($J467="","",IFERROR(COUNTIFS('Weekly Log'!$H:$H,"Y",'Weekly Log'!$A:$A,"&gt;="&amp;$J467,'Weekly Log'!$A:$A,"&lt;"&amp;$J467+7)/COUNTIFS('Weekly Log'!$H:$H,"&lt;&gt;",'Weekly Log'!$A:$A,"&gt;="&amp;$J467,'Weekly Log'!$A:$A,"&lt;"&amp;$J467+7),0))</f>
        <v/>
      </c>
      <c r="E467" t="str">
        <f>IF($J467="","",IFERROR(AVERAGEIFS('Weekly Log'!$F:$F,'Weekly Log'!$A:$A,"&gt;="&amp;$J467,'Weekly Log'!$A:$A,"&lt;"&amp;$J467+7),0))</f>
        <v/>
      </c>
      <c r="F467" t="str">
        <f>IF($J467="","",IFERROR(SUMIFS('Weekly Log'!$F:$F,'Weekly Log'!$A:$A,"&gt;="&amp;$J467,'Weekly Log'!$A:$A,"&lt;"&amp;$J467+7)/SUMIFS('Weekly Log'!$E:$E,'Weekly Log'!$A:$A,"&gt;="&amp;$J467,'Weekly Log'!$A:$A,"&lt;"&amp;$J467+7),0))</f>
        <v/>
      </c>
      <c r="G467" t="str">
        <f>IF($J467="","",IFERROR(LOOKUP(2,1/(('Weekly Log'!$A$5:$A$5000&gt;=$J467)*('Weekly Log'!$A$5:$A$5000&lt;$J467+7)*('Weekly Log'!$M$5:$M$5000&lt;&gt;"")),'Weekly Log'!$M$5:$M$5000),0))</f>
        <v/>
      </c>
      <c r="J467" t="str">
        <f>IF(COUNT('Weekly Log'!$A$5:$A$5000)=0,"",IF(MIN('Weekly Log'!$A$5:$A$5000)+7*(ROW()-10)&gt;MAX('Weekly Log'!$A$5:$A$5000),"",MIN('Weekly Log'!$A$5:$A$5000)+7*(ROW()-10)))</f>
        <v/>
      </c>
    </row>
    <row r="468" spans="1:10" x14ac:dyDescent="0.25">
      <c r="A468" t="str">
        <f t="shared" si="7"/>
        <v/>
      </c>
      <c r="B468" t="str">
        <f>IF($J468="","",SUMIFS('Weekly Log'!$C:$C,'Weekly Log'!$A:$A,"&gt;="&amp;$J468,'Weekly Log'!$A:$A,"&lt;"&amp;$J468+7))</f>
        <v/>
      </c>
      <c r="C468" t="str">
        <f>IF($J468="","",IFERROR(COUNTIFS('Weekly Log'!$G:$G,"Y",'Weekly Log'!$A:$A,"&gt;="&amp;$J468,'Weekly Log'!$A:$A,"&lt;"&amp;$J468+7)/COUNTIFS('Weekly Log'!$G:$G,"&lt;&gt;",'Weekly Log'!$A:$A,"&gt;="&amp;$J468,'Weekly Log'!$A:$A,"&lt;"&amp;$J468+7),0))</f>
        <v/>
      </c>
      <c r="D468" t="str">
        <f>IF($J468="","",IFERROR(COUNTIFS('Weekly Log'!$H:$H,"Y",'Weekly Log'!$A:$A,"&gt;="&amp;$J468,'Weekly Log'!$A:$A,"&lt;"&amp;$J468+7)/COUNTIFS('Weekly Log'!$H:$H,"&lt;&gt;",'Weekly Log'!$A:$A,"&gt;="&amp;$J468,'Weekly Log'!$A:$A,"&lt;"&amp;$J468+7),0))</f>
        <v/>
      </c>
      <c r="E468" t="str">
        <f>IF($J468="","",IFERROR(AVERAGEIFS('Weekly Log'!$F:$F,'Weekly Log'!$A:$A,"&gt;="&amp;$J468,'Weekly Log'!$A:$A,"&lt;"&amp;$J468+7),0))</f>
        <v/>
      </c>
      <c r="F468" t="str">
        <f>IF($J468="","",IFERROR(SUMIFS('Weekly Log'!$F:$F,'Weekly Log'!$A:$A,"&gt;="&amp;$J468,'Weekly Log'!$A:$A,"&lt;"&amp;$J468+7)/SUMIFS('Weekly Log'!$E:$E,'Weekly Log'!$A:$A,"&gt;="&amp;$J468,'Weekly Log'!$A:$A,"&lt;"&amp;$J468+7),0))</f>
        <v/>
      </c>
      <c r="G468" t="str">
        <f>IF($J468="","",IFERROR(LOOKUP(2,1/(('Weekly Log'!$A$5:$A$5000&gt;=$J468)*('Weekly Log'!$A$5:$A$5000&lt;$J468+7)*('Weekly Log'!$M$5:$M$5000&lt;&gt;"")),'Weekly Log'!$M$5:$M$5000),0))</f>
        <v/>
      </c>
      <c r="J468" t="str">
        <f>IF(COUNT('Weekly Log'!$A$5:$A$5000)=0,"",IF(MIN('Weekly Log'!$A$5:$A$5000)+7*(ROW()-10)&gt;MAX('Weekly Log'!$A$5:$A$5000),"",MIN('Weekly Log'!$A$5:$A$5000)+7*(ROW()-10)))</f>
        <v/>
      </c>
    </row>
    <row r="469" spans="1:10" x14ac:dyDescent="0.25">
      <c r="A469" t="str">
        <f t="shared" si="7"/>
        <v/>
      </c>
      <c r="B469" t="str">
        <f>IF($J469="","",SUMIFS('Weekly Log'!$C:$C,'Weekly Log'!$A:$A,"&gt;="&amp;$J469,'Weekly Log'!$A:$A,"&lt;"&amp;$J469+7))</f>
        <v/>
      </c>
      <c r="C469" t="str">
        <f>IF($J469="","",IFERROR(COUNTIFS('Weekly Log'!$G:$G,"Y",'Weekly Log'!$A:$A,"&gt;="&amp;$J469,'Weekly Log'!$A:$A,"&lt;"&amp;$J469+7)/COUNTIFS('Weekly Log'!$G:$G,"&lt;&gt;",'Weekly Log'!$A:$A,"&gt;="&amp;$J469,'Weekly Log'!$A:$A,"&lt;"&amp;$J469+7),0))</f>
        <v/>
      </c>
      <c r="D469" t="str">
        <f>IF($J469="","",IFERROR(COUNTIFS('Weekly Log'!$H:$H,"Y",'Weekly Log'!$A:$A,"&gt;="&amp;$J469,'Weekly Log'!$A:$A,"&lt;"&amp;$J469+7)/COUNTIFS('Weekly Log'!$H:$H,"&lt;&gt;",'Weekly Log'!$A:$A,"&gt;="&amp;$J469,'Weekly Log'!$A:$A,"&lt;"&amp;$J469+7),0))</f>
        <v/>
      </c>
      <c r="E469" t="str">
        <f>IF($J469="","",IFERROR(AVERAGEIFS('Weekly Log'!$F:$F,'Weekly Log'!$A:$A,"&gt;="&amp;$J469,'Weekly Log'!$A:$A,"&lt;"&amp;$J469+7),0))</f>
        <v/>
      </c>
      <c r="F469" t="str">
        <f>IF($J469="","",IFERROR(SUMIFS('Weekly Log'!$F:$F,'Weekly Log'!$A:$A,"&gt;="&amp;$J469,'Weekly Log'!$A:$A,"&lt;"&amp;$J469+7)/SUMIFS('Weekly Log'!$E:$E,'Weekly Log'!$A:$A,"&gt;="&amp;$J469,'Weekly Log'!$A:$A,"&lt;"&amp;$J469+7),0))</f>
        <v/>
      </c>
      <c r="G469" t="str">
        <f>IF($J469="","",IFERROR(LOOKUP(2,1/(('Weekly Log'!$A$5:$A$5000&gt;=$J469)*('Weekly Log'!$A$5:$A$5000&lt;$J469+7)*('Weekly Log'!$M$5:$M$5000&lt;&gt;"")),'Weekly Log'!$M$5:$M$5000),0))</f>
        <v/>
      </c>
      <c r="J469" t="str">
        <f>IF(COUNT('Weekly Log'!$A$5:$A$5000)=0,"",IF(MIN('Weekly Log'!$A$5:$A$5000)+7*(ROW()-10)&gt;MAX('Weekly Log'!$A$5:$A$5000),"",MIN('Weekly Log'!$A$5:$A$5000)+7*(ROW()-10)))</f>
        <v/>
      </c>
    </row>
    <row r="470" spans="1:10" x14ac:dyDescent="0.25">
      <c r="A470" t="str">
        <f t="shared" si="7"/>
        <v/>
      </c>
      <c r="B470" t="str">
        <f>IF($J470="","",SUMIFS('Weekly Log'!$C:$C,'Weekly Log'!$A:$A,"&gt;="&amp;$J470,'Weekly Log'!$A:$A,"&lt;"&amp;$J470+7))</f>
        <v/>
      </c>
      <c r="C470" t="str">
        <f>IF($J470="","",IFERROR(COUNTIFS('Weekly Log'!$G:$G,"Y",'Weekly Log'!$A:$A,"&gt;="&amp;$J470,'Weekly Log'!$A:$A,"&lt;"&amp;$J470+7)/COUNTIFS('Weekly Log'!$G:$G,"&lt;&gt;",'Weekly Log'!$A:$A,"&gt;="&amp;$J470,'Weekly Log'!$A:$A,"&lt;"&amp;$J470+7),0))</f>
        <v/>
      </c>
      <c r="D470" t="str">
        <f>IF($J470="","",IFERROR(COUNTIFS('Weekly Log'!$H:$H,"Y",'Weekly Log'!$A:$A,"&gt;="&amp;$J470,'Weekly Log'!$A:$A,"&lt;"&amp;$J470+7)/COUNTIFS('Weekly Log'!$H:$H,"&lt;&gt;",'Weekly Log'!$A:$A,"&gt;="&amp;$J470,'Weekly Log'!$A:$A,"&lt;"&amp;$J470+7),0))</f>
        <v/>
      </c>
      <c r="E470" t="str">
        <f>IF($J470="","",IFERROR(AVERAGEIFS('Weekly Log'!$F:$F,'Weekly Log'!$A:$A,"&gt;="&amp;$J470,'Weekly Log'!$A:$A,"&lt;"&amp;$J470+7),0))</f>
        <v/>
      </c>
      <c r="F470" t="str">
        <f>IF($J470="","",IFERROR(SUMIFS('Weekly Log'!$F:$F,'Weekly Log'!$A:$A,"&gt;="&amp;$J470,'Weekly Log'!$A:$A,"&lt;"&amp;$J470+7)/SUMIFS('Weekly Log'!$E:$E,'Weekly Log'!$A:$A,"&gt;="&amp;$J470,'Weekly Log'!$A:$A,"&lt;"&amp;$J470+7),0))</f>
        <v/>
      </c>
      <c r="G470" t="str">
        <f>IF($J470="","",IFERROR(LOOKUP(2,1/(('Weekly Log'!$A$5:$A$5000&gt;=$J470)*('Weekly Log'!$A$5:$A$5000&lt;$J470+7)*('Weekly Log'!$M$5:$M$5000&lt;&gt;"")),'Weekly Log'!$M$5:$M$5000),0))</f>
        <v/>
      </c>
      <c r="J470" t="str">
        <f>IF(COUNT('Weekly Log'!$A$5:$A$5000)=0,"",IF(MIN('Weekly Log'!$A$5:$A$5000)+7*(ROW()-10)&gt;MAX('Weekly Log'!$A$5:$A$5000),"",MIN('Weekly Log'!$A$5:$A$5000)+7*(ROW()-10)))</f>
        <v/>
      </c>
    </row>
    <row r="471" spans="1:10" x14ac:dyDescent="0.25">
      <c r="A471" t="str">
        <f t="shared" si="7"/>
        <v/>
      </c>
      <c r="B471" t="str">
        <f>IF($J471="","",SUMIFS('Weekly Log'!$C:$C,'Weekly Log'!$A:$A,"&gt;="&amp;$J471,'Weekly Log'!$A:$A,"&lt;"&amp;$J471+7))</f>
        <v/>
      </c>
      <c r="C471" t="str">
        <f>IF($J471="","",IFERROR(COUNTIFS('Weekly Log'!$G:$G,"Y",'Weekly Log'!$A:$A,"&gt;="&amp;$J471,'Weekly Log'!$A:$A,"&lt;"&amp;$J471+7)/COUNTIFS('Weekly Log'!$G:$G,"&lt;&gt;",'Weekly Log'!$A:$A,"&gt;="&amp;$J471,'Weekly Log'!$A:$A,"&lt;"&amp;$J471+7),0))</f>
        <v/>
      </c>
      <c r="D471" t="str">
        <f>IF($J471="","",IFERROR(COUNTIFS('Weekly Log'!$H:$H,"Y",'Weekly Log'!$A:$A,"&gt;="&amp;$J471,'Weekly Log'!$A:$A,"&lt;"&amp;$J471+7)/COUNTIFS('Weekly Log'!$H:$H,"&lt;&gt;",'Weekly Log'!$A:$A,"&gt;="&amp;$J471,'Weekly Log'!$A:$A,"&lt;"&amp;$J471+7),0))</f>
        <v/>
      </c>
      <c r="E471" t="str">
        <f>IF($J471="","",IFERROR(AVERAGEIFS('Weekly Log'!$F:$F,'Weekly Log'!$A:$A,"&gt;="&amp;$J471,'Weekly Log'!$A:$A,"&lt;"&amp;$J471+7),0))</f>
        <v/>
      </c>
      <c r="F471" t="str">
        <f>IF($J471="","",IFERROR(SUMIFS('Weekly Log'!$F:$F,'Weekly Log'!$A:$A,"&gt;="&amp;$J471,'Weekly Log'!$A:$A,"&lt;"&amp;$J471+7)/SUMIFS('Weekly Log'!$E:$E,'Weekly Log'!$A:$A,"&gt;="&amp;$J471,'Weekly Log'!$A:$A,"&lt;"&amp;$J471+7),0))</f>
        <v/>
      </c>
      <c r="G471" t="str">
        <f>IF($J471="","",IFERROR(LOOKUP(2,1/(('Weekly Log'!$A$5:$A$5000&gt;=$J471)*('Weekly Log'!$A$5:$A$5000&lt;$J471+7)*('Weekly Log'!$M$5:$M$5000&lt;&gt;"")),'Weekly Log'!$M$5:$M$5000),0))</f>
        <v/>
      </c>
      <c r="J471" t="str">
        <f>IF(COUNT('Weekly Log'!$A$5:$A$5000)=0,"",IF(MIN('Weekly Log'!$A$5:$A$5000)+7*(ROW()-10)&gt;MAX('Weekly Log'!$A$5:$A$5000),"",MIN('Weekly Log'!$A$5:$A$5000)+7*(ROW()-10)))</f>
        <v/>
      </c>
    </row>
    <row r="472" spans="1:10" x14ac:dyDescent="0.25">
      <c r="A472" t="str">
        <f t="shared" si="7"/>
        <v/>
      </c>
      <c r="B472" t="str">
        <f>IF($J472="","",SUMIFS('Weekly Log'!$C:$C,'Weekly Log'!$A:$A,"&gt;="&amp;$J472,'Weekly Log'!$A:$A,"&lt;"&amp;$J472+7))</f>
        <v/>
      </c>
      <c r="C472" t="str">
        <f>IF($J472="","",IFERROR(COUNTIFS('Weekly Log'!$G:$G,"Y",'Weekly Log'!$A:$A,"&gt;="&amp;$J472,'Weekly Log'!$A:$A,"&lt;"&amp;$J472+7)/COUNTIFS('Weekly Log'!$G:$G,"&lt;&gt;",'Weekly Log'!$A:$A,"&gt;="&amp;$J472,'Weekly Log'!$A:$A,"&lt;"&amp;$J472+7),0))</f>
        <v/>
      </c>
      <c r="D472" t="str">
        <f>IF($J472="","",IFERROR(COUNTIFS('Weekly Log'!$H:$H,"Y",'Weekly Log'!$A:$A,"&gt;="&amp;$J472,'Weekly Log'!$A:$A,"&lt;"&amp;$J472+7)/COUNTIFS('Weekly Log'!$H:$H,"&lt;&gt;",'Weekly Log'!$A:$A,"&gt;="&amp;$J472,'Weekly Log'!$A:$A,"&lt;"&amp;$J472+7),0))</f>
        <v/>
      </c>
      <c r="E472" t="str">
        <f>IF($J472="","",IFERROR(AVERAGEIFS('Weekly Log'!$F:$F,'Weekly Log'!$A:$A,"&gt;="&amp;$J472,'Weekly Log'!$A:$A,"&lt;"&amp;$J472+7),0))</f>
        <v/>
      </c>
      <c r="F472" t="str">
        <f>IF($J472="","",IFERROR(SUMIFS('Weekly Log'!$F:$F,'Weekly Log'!$A:$A,"&gt;="&amp;$J472,'Weekly Log'!$A:$A,"&lt;"&amp;$J472+7)/SUMIFS('Weekly Log'!$E:$E,'Weekly Log'!$A:$A,"&gt;="&amp;$J472,'Weekly Log'!$A:$A,"&lt;"&amp;$J472+7),0))</f>
        <v/>
      </c>
      <c r="G472" t="str">
        <f>IF($J472="","",IFERROR(LOOKUP(2,1/(('Weekly Log'!$A$5:$A$5000&gt;=$J472)*('Weekly Log'!$A$5:$A$5000&lt;$J472+7)*('Weekly Log'!$M$5:$M$5000&lt;&gt;"")),'Weekly Log'!$M$5:$M$5000),0))</f>
        <v/>
      </c>
      <c r="J472" t="str">
        <f>IF(COUNT('Weekly Log'!$A$5:$A$5000)=0,"",IF(MIN('Weekly Log'!$A$5:$A$5000)+7*(ROW()-10)&gt;MAX('Weekly Log'!$A$5:$A$5000),"",MIN('Weekly Log'!$A$5:$A$5000)+7*(ROW()-10)))</f>
        <v/>
      </c>
    </row>
    <row r="473" spans="1:10" x14ac:dyDescent="0.25">
      <c r="A473" t="str">
        <f t="shared" si="7"/>
        <v/>
      </c>
      <c r="B473" t="str">
        <f>IF($J473="","",SUMIFS('Weekly Log'!$C:$C,'Weekly Log'!$A:$A,"&gt;="&amp;$J473,'Weekly Log'!$A:$A,"&lt;"&amp;$J473+7))</f>
        <v/>
      </c>
      <c r="C473" t="str">
        <f>IF($J473="","",IFERROR(COUNTIFS('Weekly Log'!$G:$G,"Y",'Weekly Log'!$A:$A,"&gt;="&amp;$J473,'Weekly Log'!$A:$A,"&lt;"&amp;$J473+7)/COUNTIFS('Weekly Log'!$G:$G,"&lt;&gt;",'Weekly Log'!$A:$A,"&gt;="&amp;$J473,'Weekly Log'!$A:$A,"&lt;"&amp;$J473+7),0))</f>
        <v/>
      </c>
      <c r="D473" t="str">
        <f>IF($J473="","",IFERROR(COUNTIFS('Weekly Log'!$H:$H,"Y",'Weekly Log'!$A:$A,"&gt;="&amp;$J473,'Weekly Log'!$A:$A,"&lt;"&amp;$J473+7)/COUNTIFS('Weekly Log'!$H:$H,"&lt;&gt;",'Weekly Log'!$A:$A,"&gt;="&amp;$J473,'Weekly Log'!$A:$A,"&lt;"&amp;$J473+7),0))</f>
        <v/>
      </c>
      <c r="E473" t="str">
        <f>IF($J473="","",IFERROR(AVERAGEIFS('Weekly Log'!$F:$F,'Weekly Log'!$A:$A,"&gt;="&amp;$J473,'Weekly Log'!$A:$A,"&lt;"&amp;$J473+7),0))</f>
        <v/>
      </c>
      <c r="F473" t="str">
        <f>IF($J473="","",IFERROR(SUMIFS('Weekly Log'!$F:$F,'Weekly Log'!$A:$A,"&gt;="&amp;$J473,'Weekly Log'!$A:$A,"&lt;"&amp;$J473+7)/SUMIFS('Weekly Log'!$E:$E,'Weekly Log'!$A:$A,"&gt;="&amp;$J473,'Weekly Log'!$A:$A,"&lt;"&amp;$J473+7),0))</f>
        <v/>
      </c>
      <c r="G473" t="str">
        <f>IF($J473="","",IFERROR(LOOKUP(2,1/(('Weekly Log'!$A$5:$A$5000&gt;=$J473)*('Weekly Log'!$A$5:$A$5000&lt;$J473+7)*('Weekly Log'!$M$5:$M$5000&lt;&gt;"")),'Weekly Log'!$M$5:$M$5000),0))</f>
        <v/>
      </c>
      <c r="J473" t="str">
        <f>IF(COUNT('Weekly Log'!$A$5:$A$5000)=0,"",IF(MIN('Weekly Log'!$A$5:$A$5000)+7*(ROW()-10)&gt;MAX('Weekly Log'!$A$5:$A$5000),"",MIN('Weekly Log'!$A$5:$A$5000)+7*(ROW()-10)))</f>
        <v/>
      </c>
    </row>
    <row r="474" spans="1:10" x14ac:dyDescent="0.25">
      <c r="A474" t="str">
        <f t="shared" si="7"/>
        <v/>
      </c>
      <c r="B474" t="str">
        <f>IF($J474="","",SUMIFS('Weekly Log'!$C:$C,'Weekly Log'!$A:$A,"&gt;="&amp;$J474,'Weekly Log'!$A:$A,"&lt;"&amp;$J474+7))</f>
        <v/>
      </c>
      <c r="C474" t="str">
        <f>IF($J474="","",IFERROR(COUNTIFS('Weekly Log'!$G:$G,"Y",'Weekly Log'!$A:$A,"&gt;="&amp;$J474,'Weekly Log'!$A:$A,"&lt;"&amp;$J474+7)/COUNTIFS('Weekly Log'!$G:$G,"&lt;&gt;",'Weekly Log'!$A:$A,"&gt;="&amp;$J474,'Weekly Log'!$A:$A,"&lt;"&amp;$J474+7),0))</f>
        <v/>
      </c>
      <c r="D474" t="str">
        <f>IF($J474="","",IFERROR(COUNTIFS('Weekly Log'!$H:$H,"Y",'Weekly Log'!$A:$A,"&gt;="&amp;$J474,'Weekly Log'!$A:$A,"&lt;"&amp;$J474+7)/COUNTIFS('Weekly Log'!$H:$H,"&lt;&gt;",'Weekly Log'!$A:$A,"&gt;="&amp;$J474,'Weekly Log'!$A:$A,"&lt;"&amp;$J474+7),0))</f>
        <v/>
      </c>
      <c r="E474" t="str">
        <f>IF($J474="","",IFERROR(AVERAGEIFS('Weekly Log'!$F:$F,'Weekly Log'!$A:$A,"&gt;="&amp;$J474,'Weekly Log'!$A:$A,"&lt;"&amp;$J474+7),0))</f>
        <v/>
      </c>
      <c r="F474" t="str">
        <f>IF($J474="","",IFERROR(SUMIFS('Weekly Log'!$F:$F,'Weekly Log'!$A:$A,"&gt;="&amp;$J474,'Weekly Log'!$A:$A,"&lt;"&amp;$J474+7)/SUMIFS('Weekly Log'!$E:$E,'Weekly Log'!$A:$A,"&gt;="&amp;$J474,'Weekly Log'!$A:$A,"&lt;"&amp;$J474+7),0))</f>
        <v/>
      </c>
      <c r="G474" t="str">
        <f>IF($J474="","",IFERROR(LOOKUP(2,1/(('Weekly Log'!$A$5:$A$5000&gt;=$J474)*('Weekly Log'!$A$5:$A$5000&lt;$J474+7)*('Weekly Log'!$M$5:$M$5000&lt;&gt;"")),'Weekly Log'!$M$5:$M$5000),0))</f>
        <v/>
      </c>
      <c r="J474" t="str">
        <f>IF(COUNT('Weekly Log'!$A$5:$A$5000)=0,"",IF(MIN('Weekly Log'!$A$5:$A$5000)+7*(ROW()-10)&gt;MAX('Weekly Log'!$A$5:$A$5000),"",MIN('Weekly Log'!$A$5:$A$5000)+7*(ROW()-10)))</f>
        <v/>
      </c>
    </row>
    <row r="475" spans="1:10" x14ac:dyDescent="0.25">
      <c r="A475" t="str">
        <f t="shared" si="7"/>
        <v/>
      </c>
      <c r="B475" t="str">
        <f>IF($J475="","",SUMIFS('Weekly Log'!$C:$C,'Weekly Log'!$A:$A,"&gt;="&amp;$J475,'Weekly Log'!$A:$A,"&lt;"&amp;$J475+7))</f>
        <v/>
      </c>
      <c r="C475" t="str">
        <f>IF($J475="","",IFERROR(COUNTIFS('Weekly Log'!$G:$G,"Y",'Weekly Log'!$A:$A,"&gt;="&amp;$J475,'Weekly Log'!$A:$A,"&lt;"&amp;$J475+7)/COUNTIFS('Weekly Log'!$G:$G,"&lt;&gt;",'Weekly Log'!$A:$A,"&gt;="&amp;$J475,'Weekly Log'!$A:$A,"&lt;"&amp;$J475+7),0))</f>
        <v/>
      </c>
      <c r="D475" t="str">
        <f>IF($J475="","",IFERROR(COUNTIFS('Weekly Log'!$H:$H,"Y",'Weekly Log'!$A:$A,"&gt;="&amp;$J475,'Weekly Log'!$A:$A,"&lt;"&amp;$J475+7)/COUNTIFS('Weekly Log'!$H:$H,"&lt;&gt;",'Weekly Log'!$A:$A,"&gt;="&amp;$J475,'Weekly Log'!$A:$A,"&lt;"&amp;$J475+7),0))</f>
        <v/>
      </c>
      <c r="E475" t="str">
        <f>IF($J475="","",IFERROR(AVERAGEIFS('Weekly Log'!$F:$F,'Weekly Log'!$A:$A,"&gt;="&amp;$J475,'Weekly Log'!$A:$A,"&lt;"&amp;$J475+7),0))</f>
        <v/>
      </c>
      <c r="F475" t="str">
        <f>IF($J475="","",IFERROR(SUMIFS('Weekly Log'!$F:$F,'Weekly Log'!$A:$A,"&gt;="&amp;$J475,'Weekly Log'!$A:$A,"&lt;"&amp;$J475+7)/SUMIFS('Weekly Log'!$E:$E,'Weekly Log'!$A:$A,"&gt;="&amp;$J475,'Weekly Log'!$A:$A,"&lt;"&amp;$J475+7),0))</f>
        <v/>
      </c>
      <c r="G475" t="str">
        <f>IF($J475="","",IFERROR(LOOKUP(2,1/(('Weekly Log'!$A$5:$A$5000&gt;=$J475)*('Weekly Log'!$A$5:$A$5000&lt;$J475+7)*('Weekly Log'!$M$5:$M$5000&lt;&gt;"")),'Weekly Log'!$M$5:$M$5000),0))</f>
        <v/>
      </c>
      <c r="J475" t="str">
        <f>IF(COUNT('Weekly Log'!$A$5:$A$5000)=0,"",IF(MIN('Weekly Log'!$A$5:$A$5000)+7*(ROW()-10)&gt;MAX('Weekly Log'!$A$5:$A$5000),"",MIN('Weekly Log'!$A$5:$A$5000)+7*(ROW()-10)))</f>
        <v/>
      </c>
    </row>
    <row r="476" spans="1:10" x14ac:dyDescent="0.25">
      <c r="A476" t="str">
        <f t="shared" si="7"/>
        <v/>
      </c>
      <c r="B476" t="str">
        <f>IF($J476="","",SUMIFS('Weekly Log'!$C:$C,'Weekly Log'!$A:$A,"&gt;="&amp;$J476,'Weekly Log'!$A:$A,"&lt;"&amp;$J476+7))</f>
        <v/>
      </c>
      <c r="C476" t="str">
        <f>IF($J476="","",IFERROR(COUNTIFS('Weekly Log'!$G:$G,"Y",'Weekly Log'!$A:$A,"&gt;="&amp;$J476,'Weekly Log'!$A:$A,"&lt;"&amp;$J476+7)/COUNTIFS('Weekly Log'!$G:$G,"&lt;&gt;",'Weekly Log'!$A:$A,"&gt;="&amp;$J476,'Weekly Log'!$A:$A,"&lt;"&amp;$J476+7),0))</f>
        <v/>
      </c>
      <c r="D476" t="str">
        <f>IF($J476="","",IFERROR(COUNTIFS('Weekly Log'!$H:$H,"Y",'Weekly Log'!$A:$A,"&gt;="&amp;$J476,'Weekly Log'!$A:$A,"&lt;"&amp;$J476+7)/COUNTIFS('Weekly Log'!$H:$H,"&lt;&gt;",'Weekly Log'!$A:$A,"&gt;="&amp;$J476,'Weekly Log'!$A:$A,"&lt;"&amp;$J476+7),0))</f>
        <v/>
      </c>
      <c r="E476" t="str">
        <f>IF($J476="","",IFERROR(AVERAGEIFS('Weekly Log'!$F:$F,'Weekly Log'!$A:$A,"&gt;="&amp;$J476,'Weekly Log'!$A:$A,"&lt;"&amp;$J476+7),0))</f>
        <v/>
      </c>
      <c r="F476" t="str">
        <f>IF($J476="","",IFERROR(SUMIFS('Weekly Log'!$F:$F,'Weekly Log'!$A:$A,"&gt;="&amp;$J476,'Weekly Log'!$A:$A,"&lt;"&amp;$J476+7)/SUMIFS('Weekly Log'!$E:$E,'Weekly Log'!$A:$A,"&gt;="&amp;$J476,'Weekly Log'!$A:$A,"&lt;"&amp;$J476+7),0))</f>
        <v/>
      </c>
      <c r="G476" t="str">
        <f>IF($J476="","",IFERROR(LOOKUP(2,1/(('Weekly Log'!$A$5:$A$5000&gt;=$J476)*('Weekly Log'!$A$5:$A$5000&lt;$J476+7)*('Weekly Log'!$M$5:$M$5000&lt;&gt;"")),'Weekly Log'!$M$5:$M$5000),0))</f>
        <v/>
      </c>
      <c r="J476" t="str">
        <f>IF(COUNT('Weekly Log'!$A$5:$A$5000)=0,"",IF(MIN('Weekly Log'!$A$5:$A$5000)+7*(ROW()-10)&gt;MAX('Weekly Log'!$A$5:$A$5000),"",MIN('Weekly Log'!$A$5:$A$5000)+7*(ROW()-10)))</f>
        <v/>
      </c>
    </row>
    <row r="477" spans="1:10" x14ac:dyDescent="0.25">
      <c r="A477" t="str">
        <f t="shared" si="7"/>
        <v/>
      </c>
      <c r="B477" t="str">
        <f>IF($J477="","",SUMIFS('Weekly Log'!$C:$C,'Weekly Log'!$A:$A,"&gt;="&amp;$J477,'Weekly Log'!$A:$A,"&lt;"&amp;$J477+7))</f>
        <v/>
      </c>
      <c r="C477" t="str">
        <f>IF($J477="","",IFERROR(COUNTIFS('Weekly Log'!$G:$G,"Y",'Weekly Log'!$A:$A,"&gt;="&amp;$J477,'Weekly Log'!$A:$A,"&lt;"&amp;$J477+7)/COUNTIFS('Weekly Log'!$G:$G,"&lt;&gt;",'Weekly Log'!$A:$A,"&gt;="&amp;$J477,'Weekly Log'!$A:$A,"&lt;"&amp;$J477+7),0))</f>
        <v/>
      </c>
      <c r="D477" t="str">
        <f>IF($J477="","",IFERROR(COUNTIFS('Weekly Log'!$H:$H,"Y",'Weekly Log'!$A:$A,"&gt;="&amp;$J477,'Weekly Log'!$A:$A,"&lt;"&amp;$J477+7)/COUNTIFS('Weekly Log'!$H:$H,"&lt;&gt;",'Weekly Log'!$A:$A,"&gt;="&amp;$J477,'Weekly Log'!$A:$A,"&lt;"&amp;$J477+7),0))</f>
        <v/>
      </c>
      <c r="E477" t="str">
        <f>IF($J477="","",IFERROR(AVERAGEIFS('Weekly Log'!$F:$F,'Weekly Log'!$A:$A,"&gt;="&amp;$J477,'Weekly Log'!$A:$A,"&lt;"&amp;$J477+7),0))</f>
        <v/>
      </c>
      <c r="F477" t="str">
        <f>IF($J477="","",IFERROR(SUMIFS('Weekly Log'!$F:$F,'Weekly Log'!$A:$A,"&gt;="&amp;$J477,'Weekly Log'!$A:$A,"&lt;"&amp;$J477+7)/SUMIFS('Weekly Log'!$E:$E,'Weekly Log'!$A:$A,"&gt;="&amp;$J477,'Weekly Log'!$A:$A,"&lt;"&amp;$J477+7),0))</f>
        <v/>
      </c>
      <c r="G477" t="str">
        <f>IF($J477="","",IFERROR(LOOKUP(2,1/(('Weekly Log'!$A$5:$A$5000&gt;=$J477)*('Weekly Log'!$A$5:$A$5000&lt;$J477+7)*('Weekly Log'!$M$5:$M$5000&lt;&gt;"")),'Weekly Log'!$M$5:$M$5000),0))</f>
        <v/>
      </c>
      <c r="J477" t="str">
        <f>IF(COUNT('Weekly Log'!$A$5:$A$5000)=0,"",IF(MIN('Weekly Log'!$A$5:$A$5000)+7*(ROW()-10)&gt;MAX('Weekly Log'!$A$5:$A$5000),"",MIN('Weekly Log'!$A$5:$A$5000)+7*(ROW()-10)))</f>
        <v/>
      </c>
    </row>
    <row r="478" spans="1:10" x14ac:dyDescent="0.25">
      <c r="A478" t="str">
        <f t="shared" si="7"/>
        <v/>
      </c>
      <c r="B478" t="str">
        <f>IF($J478="","",SUMIFS('Weekly Log'!$C:$C,'Weekly Log'!$A:$A,"&gt;="&amp;$J478,'Weekly Log'!$A:$A,"&lt;"&amp;$J478+7))</f>
        <v/>
      </c>
      <c r="C478" t="str">
        <f>IF($J478="","",IFERROR(COUNTIFS('Weekly Log'!$G:$G,"Y",'Weekly Log'!$A:$A,"&gt;="&amp;$J478,'Weekly Log'!$A:$A,"&lt;"&amp;$J478+7)/COUNTIFS('Weekly Log'!$G:$G,"&lt;&gt;",'Weekly Log'!$A:$A,"&gt;="&amp;$J478,'Weekly Log'!$A:$A,"&lt;"&amp;$J478+7),0))</f>
        <v/>
      </c>
      <c r="D478" t="str">
        <f>IF($J478="","",IFERROR(COUNTIFS('Weekly Log'!$H:$H,"Y",'Weekly Log'!$A:$A,"&gt;="&amp;$J478,'Weekly Log'!$A:$A,"&lt;"&amp;$J478+7)/COUNTIFS('Weekly Log'!$H:$H,"&lt;&gt;",'Weekly Log'!$A:$A,"&gt;="&amp;$J478,'Weekly Log'!$A:$A,"&lt;"&amp;$J478+7),0))</f>
        <v/>
      </c>
      <c r="E478" t="str">
        <f>IF($J478="","",IFERROR(AVERAGEIFS('Weekly Log'!$F:$F,'Weekly Log'!$A:$A,"&gt;="&amp;$J478,'Weekly Log'!$A:$A,"&lt;"&amp;$J478+7),0))</f>
        <v/>
      </c>
      <c r="F478" t="str">
        <f>IF($J478="","",IFERROR(SUMIFS('Weekly Log'!$F:$F,'Weekly Log'!$A:$A,"&gt;="&amp;$J478,'Weekly Log'!$A:$A,"&lt;"&amp;$J478+7)/SUMIFS('Weekly Log'!$E:$E,'Weekly Log'!$A:$A,"&gt;="&amp;$J478,'Weekly Log'!$A:$A,"&lt;"&amp;$J478+7),0))</f>
        <v/>
      </c>
      <c r="G478" t="str">
        <f>IF($J478="","",IFERROR(LOOKUP(2,1/(('Weekly Log'!$A$5:$A$5000&gt;=$J478)*('Weekly Log'!$A$5:$A$5000&lt;$J478+7)*('Weekly Log'!$M$5:$M$5000&lt;&gt;"")),'Weekly Log'!$M$5:$M$5000),0))</f>
        <v/>
      </c>
      <c r="J478" t="str">
        <f>IF(COUNT('Weekly Log'!$A$5:$A$5000)=0,"",IF(MIN('Weekly Log'!$A$5:$A$5000)+7*(ROW()-10)&gt;MAX('Weekly Log'!$A$5:$A$5000),"",MIN('Weekly Log'!$A$5:$A$5000)+7*(ROW()-10)))</f>
        <v/>
      </c>
    </row>
    <row r="479" spans="1:10" x14ac:dyDescent="0.25">
      <c r="A479" t="str">
        <f t="shared" si="7"/>
        <v/>
      </c>
      <c r="B479" t="str">
        <f>IF($J479="","",SUMIFS('Weekly Log'!$C:$C,'Weekly Log'!$A:$A,"&gt;="&amp;$J479,'Weekly Log'!$A:$A,"&lt;"&amp;$J479+7))</f>
        <v/>
      </c>
      <c r="C479" t="str">
        <f>IF($J479="","",IFERROR(COUNTIFS('Weekly Log'!$G:$G,"Y",'Weekly Log'!$A:$A,"&gt;="&amp;$J479,'Weekly Log'!$A:$A,"&lt;"&amp;$J479+7)/COUNTIFS('Weekly Log'!$G:$G,"&lt;&gt;",'Weekly Log'!$A:$A,"&gt;="&amp;$J479,'Weekly Log'!$A:$A,"&lt;"&amp;$J479+7),0))</f>
        <v/>
      </c>
      <c r="D479" t="str">
        <f>IF($J479="","",IFERROR(COUNTIFS('Weekly Log'!$H:$H,"Y",'Weekly Log'!$A:$A,"&gt;="&amp;$J479,'Weekly Log'!$A:$A,"&lt;"&amp;$J479+7)/COUNTIFS('Weekly Log'!$H:$H,"&lt;&gt;",'Weekly Log'!$A:$A,"&gt;="&amp;$J479,'Weekly Log'!$A:$A,"&lt;"&amp;$J479+7),0))</f>
        <v/>
      </c>
      <c r="E479" t="str">
        <f>IF($J479="","",IFERROR(AVERAGEIFS('Weekly Log'!$F:$F,'Weekly Log'!$A:$A,"&gt;="&amp;$J479,'Weekly Log'!$A:$A,"&lt;"&amp;$J479+7),0))</f>
        <v/>
      </c>
      <c r="F479" t="str">
        <f>IF($J479="","",IFERROR(SUMIFS('Weekly Log'!$F:$F,'Weekly Log'!$A:$A,"&gt;="&amp;$J479,'Weekly Log'!$A:$A,"&lt;"&amp;$J479+7)/SUMIFS('Weekly Log'!$E:$E,'Weekly Log'!$A:$A,"&gt;="&amp;$J479,'Weekly Log'!$A:$A,"&lt;"&amp;$J479+7),0))</f>
        <v/>
      </c>
      <c r="G479" t="str">
        <f>IF($J479="","",IFERROR(LOOKUP(2,1/(('Weekly Log'!$A$5:$A$5000&gt;=$J479)*('Weekly Log'!$A$5:$A$5000&lt;$J479+7)*('Weekly Log'!$M$5:$M$5000&lt;&gt;"")),'Weekly Log'!$M$5:$M$5000),0))</f>
        <v/>
      </c>
      <c r="J479" t="str">
        <f>IF(COUNT('Weekly Log'!$A$5:$A$5000)=0,"",IF(MIN('Weekly Log'!$A$5:$A$5000)+7*(ROW()-10)&gt;MAX('Weekly Log'!$A$5:$A$5000),"",MIN('Weekly Log'!$A$5:$A$5000)+7*(ROW()-10)))</f>
        <v/>
      </c>
    </row>
    <row r="480" spans="1:10" x14ac:dyDescent="0.25">
      <c r="A480" t="str">
        <f t="shared" si="7"/>
        <v/>
      </c>
      <c r="B480" t="str">
        <f>IF($J480="","",SUMIFS('Weekly Log'!$C:$C,'Weekly Log'!$A:$A,"&gt;="&amp;$J480,'Weekly Log'!$A:$A,"&lt;"&amp;$J480+7))</f>
        <v/>
      </c>
      <c r="C480" t="str">
        <f>IF($J480="","",IFERROR(COUNTIFS('Weekly Log'!$G:$G,"Y",'Weekly Log'!$A:$A,"&gt;="&amp;$J480,'Weekly Log'!$A:$A,"&lt;"&amp;$J480+7)/COUNTIFS('Weekly Log'!$G:$G,"&lt;&gt;",'Weekly Log'!$A:$A,"&gt;="&amp;$J480,'Weekly Log'!$A:$A,"&lt;"&amp;$J480+7),0))</f>
        <v/>
      </c>
      <c r="D480" t="str">
        <f>IF($J480="","",IFERROR(COUNTIFS('Weekly Log'!$H:$H,"Y",'Weekly Log'!$A:$A,"&gt;="&amp;$J480,'Weekly Log'!$A:$A,"&lt;"&amp;$J480+7)/COUNTIFS('Weekly Log'!$H:$H,"&lt;&gt;",'Weekly Log'!$A:$A,"&gt;="&amp;$J480,'Weekly Log'!$A:$A,"&lt;"&amp;$J480+7),0))</f>
        <v/>
      </c>
      <c r="E480" t="str">
        <f>IF($J480="","",IFERROR(AVERAGEIFS('Weekly Log'!$F:$F,'Weekly Log'!$A:$A,"&gt;="&amp;$J480,'Weekly Log'!$A:$A,"&lt;"&amp;$J480+7),0))</f>
        <v/>
      </c>
      <c r="F480" t="str">
        <f>IF($J480="","",IFERROR(SUMIFS('Weekly Log'!$F:$F,'Weekly Log'!$A:$A,"&gt;="&amp;$J480,'Weekly Log'!$A:$A,"&lt;"&amp;$J480+7)/SUMIFS('Weekly Log'!$E:$E,'Weekly Log'!$A:$A,"&gt;="&amp;$J480,'Weekly Log'!$A:$A,"&lt;"&amp;$J480+7),0))</f>
        <v/>
      </c>
      <c r="G480" t="str">
        <f>IF($J480="","",IFERROR(LOOKUP(2,1/(('Weekly Log'!$A$5:$A$5000&gt;=$J480)*('Weekly Log'!$A$5:$A$5000&lt;$J480+7)*('Weekly Log'!$M$5:$M$5000&lt;&gt;"")),'Weekly Log'!$M$5:$M$5000),0))</f>
        <v/>
      </c>
      <c r="J480" t="str">
        <f>IF(COUNT('Weekly Log'!$A$5:$A$5000)=0,"",IF(MIN('Weekly Log'!$A$5:$A$5000)+7*(ROW()-10)&gt;MAX('Weekly Log'!$A$5:$A$5000),"",MIN('Weekly Log'!$A$5:$A$5000)+7*(ROW()-10)))</f>
        <v/>
      </c>
    </row>
    <row r="481" spans="1:10" x14ac:dyDescent="0.25">
      <c r="A481" t="str">
        <f t="shared" si="7"/>
        <v/>
      </c>
      <c r="B481" t="str">
        <f>IF($J481="","",SUMIFS('Weekly Log'!$C:$C,'Weekly Log'!$A:$A,"&gt;="&amp;$J481,'Weekly Log'!$A:$A,"&lt;"&amp;$J481+7))</f>
        <v/>
      </c>
      <c r="C481" t="str">
        <f>IF($J481="","",IFERROR(COUNTIFS('Weekly Log'!$G:$G,"Y",'Weekly Log'!$A:$A,"&gt;="&amp;$J481,'Weekly Log'!$A:$A,"&lt;"&amp;$J481+7)/COUNTIFS('Weekly Log'!$G:$G,"&lt;&gt;",'Weekly Log'!$A:$A,"&gt;="&amp;$J481,'Weekly Log'!$A:$A,"&lt;"&amp;$J481+7),0))</f>
        <v/>
      </c>
      <c r="D481" t="str">
        <f>IF($J481="","",IFERROR(COUNTIFS('Weekly Log'!$H:$H,"Y",'Weekly Log'!$A:$A,"&gt;="&amp;$J481,'Weekly Log'!$A:$A,"&lt;"&amp;$J481+7)/COUNTIFS('Weekly Log'!$H:$H,"&lt;&gt;",'Weekly Log'!$A:$A,"&gt;="&amp;$J481,'Weekly Log'!$A:$A,"&lt;"&amp;$J481+7),0))</f>
        <v/>
      </c>
      <c r="E481" t="str">
        <f>IF($J481="","",IFERROR(AVERAGEIFS('Weekly Log'!$F:$F,'Weekly Log'!$A:$A,"&gt;="&amp;$J481,'Weekly Log'!$A:$A,"&lt;"&amp;$J481+7),0))</f>
        <v/>
      </c>
      <c r="F481" t="str">
        <f>IF($J481="","",IFERROR(SUMIFS('Weekly Log'!$F:$F,'Weekly Log'!$A:$A,"&gt;="&amp;$J481,'Weekly Log'!$A:$A,"&lt;"&amp;$J481+7)/SUMIFS('Weekly Log'!$E:$E,'Weekly Log'!$A:$A,"&gt;="&amp;$J481,'Weekly Log'!$A:$A,"&lt;"&amp;$J481+7),0))</f>
        <v/>
      </c>
      <c r="G481" t="str">
        <f>IF($J481="","",IFERROR(LOOKUP(2,1/(('Weekly Log'!$A$5:$A$5000&gt;=$J481)*('Weekly Log'!$A$5:$A$5000&lt;$J481+7)*('Weekly Log'!$M$5:$M$5000&lt;&gt;"")),'Weekly Log'!$M$5:$M$5000),0))</f>
        <v/>
      </c>
      <c r="J481" t="str">
        <f>IF(COUNT('Weekly Log'!$A$5:$A$5000)=0,"",IF(MIN('Weekly Log'!$A$5:$A$5000)+7*(ROW()-10)&gt;MAX('Weekly Log'!$A$5:$A$5000),"",MIN('Weekly Log'!$A$5:$A$5000)+7*(ROW()-10)))</f>
        <v/>
      </c>
    </row>
    <row r="482" spans="1:10" x14ac:dyDescent="0.25">
      <c r="A482" t="str">
        <f t="shared" si="7"/>
        <v/>
      </c>
      <c r="B482" t="str">
        <f>IF($J482="","",SUMIFS('Weekly Log'!$C:$C,'Weekly Log'!$A:$A,"&gt;="&amp;$J482,'Weekly Log'!$A:$A,"&lt;"&amp;$J482+7))</f>
        <v/>
      </c>
      <c r="C482" t="str">
        <f>IF($J482="","",IFERROR(COUNTIFS('Weekly Log'!$G:$G,"Y",'Weekly Log'!$A:$A,"&gt;="&amp;$J482,'Weekly Log'!$A:$A,"&lt;"&amp;$J482+7)/COUNTIFS('Weekly Log'!$G:$G,"&lt;&gt;",'Weekly Log'!$A:$A,"&gt;="&amp;$J482,'Weekly Log'!$A:$A,"&lt;"&amp;$J482+7),0))</f>
        <v/>
      </c>
      <c r="D482" t="str">
        <f>IF($J482="","",IFERROR(COUNTIFS('Weekly Log'!$H:$H,"Y",'Weekly Log'!$A:$A,"&gt;="&amp;$J482,'Weekly Log'!$A:$A,"&lt;"&amp;$J482+7)/COUNTIFS('Weekly Log'!$H:$H,"&lt;&gt;",'Weekly Log'!$A:$A,"&gt;="&amp;$J482,'Weekly Log'!$A:$A,"&lt;"&amp;$J482+7),0))</f>
        <v/>
      </c>
      <c r="E482" t="str">
        <f>IF($J482="","",IFERROR(AVERAGEIFS('Weekly Log'!$F:$F,'Weekly Log'!$A:$A,"&gt;="&amp;$J482,'Weekly Log'!$A:$A,"&lt;"&amp;$J482+7),0))</f>
        <v/>
      </c>
      <c r="F482" t="str">
        <f>IF($J482="","",IFERROR(SUMIFS('Weekly Log'!$F:$F,'Weekly Log'!$A:$A,"&gt;="&amp;$J482,'Weekly Log'!$A:$A,"&lt;"&amp;$J482+7)/SUMIFS('Weekly Log'!$E:$E,'Weekly Log'!$A:$A,"&gt;="&amp;$J482,'Weekly Log'!$A:$A,"&lt;"&amp;$J482+7),0))</f>
        <v/>
      </c>
      <c r="G482" t="str">
        <f>IF($J482="","",IFERROR(LOOKUP(2,1/(('Weekly Log'!$A$5:$A$5000&gt;=$J482)*('Weekly Log'!$A$5:$A$5000&lt;$J482+7)*('Weekly Log'!$M$5:$M$5000&lt;&gt;"")),'Weekly Log'!$M$5:$M$5000),0))</f>
        <v/>
      </c>
      <c r="J482" t="str">
        <f>IF(COUNT('Weekly Log'!$A$5:$A$5000)=0,"",IF(MIN('Weekly Log'!$A$5:$A$5000)+7*(ROW()-10)&gt;MAX('Weekly Log'!$A$5:$A$5000),"",MIN('Weekly Log'!$A$5:$A$5000)+7*(ROW()-10)))</f>
        <v/>
      </c>
    </row>
    <row r="483" spans="1:10" x14ac:dyDescent="0.25">
      <c r="A483" t="str">
        <f t="shared" si="7"/>
        <v/>
      </c>
      <c r="B483" t="str">
        <f>IF($J483="","",SUMIFS('Weekly Log'!$C:$C,'Weekly Log'!$A:$A,"&gt;="&amp;$J483,'Weekly Log'!$A:$A,"&lt;"&amp;$J483+7))</f>
        <v/>
      </c>
      <c r="C483" t="str">
        <f>IF($J483="","",IFERROR(COUNTIFS('Weekly Log'!$G:$G,"Y",'Weekly Log'!$A:$A,"&gt;="&amp;$J483,'Weekly Log'!$A:$A,"&lt;"&amp;$J483+7)/COUNTIFS('Weekly Log'!$G:$G,"&lt;&gt;",'Weekly Log'!$A:$A,"&gt;="&amp;$J483,'Weekly Log'!$A:$A,"&lt;"&amp;$J483+7),0))</f>
        <v/>
      </c>
      <c r="D483" t="str">
        <f>IF($J483="","",IFERROR(COUNTIFS('Weekly Log'!$H:$H,"Y",'Weekly Log'!$A:$A,"&gt;="&amp;$J483,'Weekly Log'!$A:$A,"&lt;"&amp;$J483+7)/COUNTIFS('Weekly Log'!$H:$H,"&lt;&gt;",'Weekly Log'!$A:$A,"&gt;="&amp;$J483,'Weekly Log'!$A:$A,"&lt;"&amp;$J483+7),0))</f>
        <v/>
      </c>
      <c r="E483" t="str">
        <f>IF($J483="","",IFERROR(AVERAGEIFS('Weekly Log'!$F:$F,'Weekly Log'!$A:$A,"&gt;="&amp;$J483,'Weekly Log'!$A:$A,"&lt;"&amp;$J483+7),0))</f>
        <v/>
      </c>
      <c r="F483" t="str">
        <f>IF($J483="","",IFERROR(SUMIFS('Weekly Log'!$F:$F,'Weekly Log'!$A:$A,"&gt;="&amp;$J483,'Weekly Log'!$A:$A,"&lt;"&amp;$J483+7)/SUMIFS('Weekly Log'!$E:$E,'Weekly Log'!$A:$A,"&gt;="&amp;$J483,'Weekly Log'!$A:$A,"&lt;"&amp;$J483+7),0))</f>
        <v/>
      </c>
      <c r="G483" t="str">
        <f>IF($J483="","",IFERROR(LOOKUP(2,1/(('Weekly Log'!$A$5:$A$5000&gt;=$J483)*('Weekly Log'!$A$5:$A$5000&lt;$J483+7)*('Weekly Log'!$M$5:$M$5000&lt;&gt;"")),'Weekly Log'!$M$5:$M$5000),0))</f>
        <v/>
      </c>
      <c r="J483" t="str">
        <f>IF(COUNT('Weekly Log'!$A$5:$A$5000)=0,"",IF(MIN('Weekly Log'!$A$5:$A$5000)+7*(ROW()-10)&gt;MAX('Weekly Log'!$A$5:$A$5000),"",MIN('Weekly Log'!$A$5:$A$5000)+7*(ROW()-10)))</f>
        <v/>
      </c>
    </row>
    <row r="484" spans="1:10" x14ac:dyDescent="0.25">
      <c r="A484" t="str">
        <f t="shared" si="7"/>
        <v/>
      </c>
      <c r="B484" t="str">
        <f>IF($J484="","",SUMIFS('Weekly Log'!$C:$C,'Weekly Log'!$A:$A,"&gt;="&amp;$J484,'Weekly Log'!$A:$A,"&lt;"&amp;$J484+7))</f>
        <v/>
      </c>
      <c r="C484" t="str">
        <f>IF($J484="","",IFERROR(COUNTIFS('Weekly Log'!$G:$G,"Y",'Weekly Log'!$A:$A,"&gt;="&amp;$J484,'Weekly Log'!$A:$A,"&lt;"&amp;$J484+7)/COUNTIFS('Weekly Log'!$G:$G,"&lt;&gt;",'Weekly Log'!$A:$A,"&gt;="&amp;$J484,'Weekly Log'!$A:$A,"&lt;"&amp;$J484+7),0))</f>
        <v/>
      </c>
      <c r="D484" t="str">
        <f>IF($J484="","",IFERROR(COUNTIFS('Weekly Log'!$H:$H,"Y",'Weekly Log'!$A:$A,"&gt;="&amp;$J484,'Weekly Log'!$A:$A,"&lt;"&amp;$J484+7)/COUNTIFS('Weekly Log'!$H:$H,"&lt;&gt;",'Weekly Log'!$A:$A,"&gt;="&amp;$J484,'Weekly Log'!$A:$A,"&lt;"&amp;$J484+7),0))</f>
        <v/>
      </c>
      <c r="E484" t="str">
        <f>IF($J484="","",IFERROR(AVERAGEIFS('Weekly Log'!$F:$F,'Weekly Log'!$A:$A,"&gt;="&amp;$J484,'Weekly Log'!$A:$A,"&lt;"&amp;$J484+7),0))</f>
        <v/>
      </c>
      <c r="F484" t="str">
        <f>IF($J484="","",IFERROR(SUMIFS('Weekly Log'!$F:$F,'Weekly Log'!$A:$A,"&gt;="&amp;$J484,'Weekly Log'!$A:$A,"&lt;"&amp;$J484+7)/SUMIFS('Weekly Log'!$E:$E,'Weekly Log'!$A:$A,"&gt;="&amp;$J484,'Weekly Log'!$A:$A,"&lt;"&amp;$J484+7),0))</f>
        <v/>
      </c>
      <c r="G484" t="str">
        <f>IF($J484="","",IFERROR(LOOKUP(2,1/(('Weekly Log'!$A$5:$A$5000&gt;=$J484)*('Weekly Log'!$A$5:$A$5000&lt;$J484+7)*('Weekly Log'!$M$5:$M$5000&lt;&gt;"")),'Weekly Log'!$M$5:$M$5000),0))</f>
        <v/>
      </c>
      <c r="J484" t="str">
        <f>IF(COUNT('Weekly Log'!$A$5:$A$5000)=0,"",IF(MIN('Weekly Log'!$A$5:$A$5000)+7*(ROW()-10)&gt;MAX('Weekly Log'!$A$5:$A$5000),"",MIN('Weekly Log'!$A$5:$A$5000)+7*(ROW()-10)))</f>
        <v/>
      </c>
    </row>
    <row r="485" spans="1:10" x14ac:dyDescent="0.25">
      <c r="A485" t="str">
        <f t="shared" si="7"/>
        <v/>
      </c>
      <c r="B485" t="str">
        <f>IF($J485="","",SUMIFS('Weekly Log'!$C:$C,'Weekly Log'!$A:$A,"&gt;="&amp;$J485,'Weekly Log'!$A:$A,"&lt;"&amp;$J485+7))</f>
        <v/>
      </c>
      <c r="C485" t="str">
        <f>IF($J485="","",IFERROR(COUNTIFS('Weekly Log'!$G:$G,"Y",'Weekly Log'!$A:$A,"&gt;="&amp;$J485,'Weekly Log'!$A:$A,"&lt;"&amp;$J485+7)/COUNTIFS('Weekly Log'!$G:$G,"&lt;&gt;",'Weekly Log'!$A:$A,"&gt;="&amp;$J485,'Weekly Log'!$A:$A,"&lt;"&amp;$J485+7),0))</f>
        <v/>
      </c>
      <c r="D485" t="str">
        <f>IF($J485="","",IFERROR(COUNTIFS('Weekly Log'!$H:$H,"Y",'Weekly Log'!$A:$A,"&gt;="&amp;$J485,'Weekly Log'!$A:$A,"&lt;"&amp;$J485+7)/COUNTIFS('Weekly Log'!$H:$H,"&lt;&gt;",'Weekly Log'!$A:$A,"&gt;="&amp;$J485,'Weekly Log'!$A:$A,"&lt;"&amp;$J485+7),0))</f>
        <v/>
      </c>
      <c r="E485" t="str">
        <f>IF($J485="","",IFERROR(AVERAGEIFS('Weekly Log'!$F:$F,'Weekly Log'!$A:$A,"&gt;="&amp;$J485,'Weekly Log'!$A:$A,"&lt;"&amp;$J485+7),0))</f>
        <v/>
      </c>
      <c r="F485" t="str">
        <f>IF($J485="","",IFERROR(SUMIFS('Weekly Log'!$F:$F,'Weekly Log'!$A:$A,"&gt;="&amp;$J485,'Weekly Log'!$A:$A,"&lt;"&amp;$J485+7)/SUMIFS('Weekly Log'!$E:$E,'Weekly Log'!$A:$A,"&gt;="&amp;$J485,'Weekly Log'!$A:$A,"&lt;"&amp;$J485+7),0))</f>
        <v/>
      </c>
      <c r="G485" t="str">
        <f>IF($J485="","",IFERROR(LOOKUP(2,1/(('Weekly Log'!$A$5:$A$5000&gt;=$J485)*('Weekly Log'!$A$5:$A$5000&lt;$J485+7)*('Weekly Log'!$M$5:$M$5000&lt;&gt;"")),'Weekly Log'!$M$5:$M$5000),0))</f>
        <v/>
      </c>
      <c r="J485" t="str">
        <f>IF(COUNT('Weekly Log'!$A$5:$A$5000)=0,"",IF(MIN('Weekly Log'!$A$5:$A$5000)+7*(ROW()-10)&gt;MAX('Weekly Log'!$A$5:$A$5000),"",MIN('Weekly Log'!$A$5:$A$5000)+7*(ROW()-10)))</f>
        <v/>
      </c>
    </row>
    <row r="486" spans="1:10" x14ac:dyDescent="0.25">
      <c r="A486" t="str">
        <f t="shared" si="7"/>
        <v/>
      </c>
      <c r="B486" t="str">
        <f>IF($J486="","",SUMIFS('Weekly Log'!$C:$C,'Weekly Log'!$A:$A,"&gt;="&amp;$J486,'Weekly Log'!$A:$A,"&lt;"&amp;$J486+7))</f>
        <v/>
      </c>
      <c r="C486" t="str">
        <f>IF($J486="","",IFERROR(COUNTIFS('Weekly Log'!$G:$G,"Y",'Weekly Log'!$A:$A,"&gt;="&amp;$J486,'Weekly Log'!$A:$A,"&lt;"&amp;$J486+7)/COUNTIFS('Weekly Log'!$G:$G,"&lt;&gt;",'Weekly Log'!$A:$A,"&gt;="&amp;$J486,'Weekly Log'!$A:$A,"&lt;"&amp;$J486+7),0))</f>
        <v/>
      </c>
      <c r="D486" t="str">
        <f>IF($J486="","",IFERROR(COUNTIFS('Weekly Log'!$H:$H,"Y",'Weekly Log'!$A:$A,"&gt;="&amp;$J486,'Weekly Log'!$A:$A,"&lt;"&amp;$J486+7)/COUNTIFS('Weekly Log'!$H:$H,"&lt;&gt;",'Weekly Log'!$A:$A,"&gt;="&amp;$J486,'Weekly Log'!$A:$A,"&lt;"&amp;$J486+7),0))</f>
        <v/>
      </c>
      <c r="E486" t="str">
        <f>IF($J486="","",IFERROR(AVERAGEIFS('Weekly Log'!$F:$F,'Weekly Log'!$A:$A,"&gt;="&amp;$J486,'Weekly Log'!$A:$A,"&lt;"&amp;$J486+7),0))</f>
        <v/>
      </c>
      <c r="F486" t="str">
        <f>IF($J486="","",IFERROR(SUMIFS('Weekly Log'!$F:$F,'Weekly Log'!$A:$A,"&gt;="&amp;$J486,'Weekly Log'!$A:$A,"&lt;"&amp;$J486+7)/SUMIFS('Weekly Log'!$E:$E,'Weekly Log'!$A:$A,"&gt;="&amp;$J486,'Weekly Log'!$A:$A,"&lt;"&amp;$J486+7),0))</f>
        <v/>
      </c>
      <c r="G486" t="str">
        <f>IF($J486="","",IFERROR(LOOKUP(2,1/(('Weekly Log'!$A$5:$A$5000&gt;=$J486)*('Weekly Log'!$A$5:$A$5000&lt;$J486+7)*('Weekly Log'!$M$5:$M$5000&lt;&gt;"")),'Weekly Log'!$M$5:$M$5000),0))</f>
        <v/>
      </c>
      <c r="J486" t="str">
        <f>IF(COUNT('Weekly Log'!$A$5:$A$5000)=0,"",IF(MIN('Weekly Log'!$A$5:$A$5000)+7*(ROW()-10)&gt;MAX('Weekly Log'!$A$5:$A$5000),"",MIN('Weekly Log'!$A$5:$A$5000)+7*(ROW()-10)))</f>
        <v/>
      </c>
    </row>
    <row r="487" spans="1:10" x14ac:dyDescent="0.25">
      <c r="A487" t="str">
        <f t="shared" si="7"/>
        <v/>
      </c>
      <c r="B487" t="str">
        <f>IF($J487="","",SUMIFS('Weekly Log'!$C:$C,'Weekly Log'!$A:$A,"&gt;="&amp;$J487,'Weekly Log'!$A:$A,"&lt;"&amp;$J487+7))</f>
        <v/>
      </c>
      <c r="C487" t="str">
        <f>IF($J487="","",IFERROR(COUNTIFS('Weekly Log'!$G:$G,"Y",'Weekly Log'!$A:$A,"&gt;="&amp;$J487,'Weekly Log'!$A:$A,"&lt;"&amp;$J487+7)/COUNTIFS('Weekly Log'!$G:$G,"&lt;&gt;",'Weekly Log'!$A:$A,"&gt;="&amp;$J487,'Weekly Log'!$A:$A,"&lt;"&amp;$J487+7),0))</f>
        <v/>
      </c>
      <c r="D487" t="str">
        <f>IF($J487="","",IFERROR(COUNTIFS('Weekly Log'!$H:$H,"Y",'Weekly Log'!$A:$A,"&gt;="&amp;$J487,'Weekly Log'!$A:$A,"&lt;"&amp;$J487+7)/COUNTIFS('Weekly Log'!$H:$H,"&lt;&gt;",'Weekly Log'!$A:$A,"&gt;="&amp;$J487,'Weekly Log'!$A:$A,"&lt;"&amp;$J487+7),0))</f>
        <v/>
      </c>
      <c r="E487" t="str">
        <f>IF($J487="","",IFERROR(AVERAGEIFS('Weekly Log'!$F:$F,'Weekly Log'!$A:$A,"&gt;="&amp;$J487,'Weekly Log'!$A:$A,"&lt;"&amp;$J487+7),0))</f>
        <v/>
      </c>
      <c r="F487" t="str">
        <f>IF($J487="","",IFERROR(SUMIFS('Weekly Log'!$F:$F,'Weekly Log'!$A:$A,"&gt;="&amp;$J487,'Weekly Log'!$A:$A,"&lt;"&amp;$J487+7)/SUMIFS('Weekly Log'!$E:$E,'Weekly Log'!$A:$A,"&gt;="&amp;$J487,'Weekly Log'!$A:$A,"&lt;"&amp;$J487+7),0))</f>
        <v/>
      </c>
      <c r="G487" t="str">
        <f>IF($J487="","",IFERROR(LOOKUP(2,1/(('Weekly Log'!$A$5:$A$5000&gt;=$J487)*('Weekly Log'!$A$5:$A$5000&lt;$J487+7)*('Weekly Log'!$M$5:$M$5000&lt;&gt;"")),'Weekly Log'!$M$5:$M$5000),0))</f>
        <v/>
      </c>
      <c r="J487" t="str">
        <f>IF(COUNT('Weekly Log'!$A$5:$A$5000)=0,"",IF(MIN('Weekly Log'!$A$5:$A$5000)+7*(ROW()-10)&gt;MAX('Weekly Log'!$A$5:$A$5000),"",MIN('Weekly Log'!$A$5:$A$5000)+7*(ROW()-10)))</f>
        <v/>
      </c>
    </row>
    <row r="488" spans="1:10" x14ac:dyDescent="0.25">
      <c r="A488" t="str">
        <f t="shared" si="7"/>
        <v/>
      </c>
      <c r="B488" t="str">
        <f>IF($J488="","",SUMIFS('Weekly Log'!$C:$C,'Weekly Log'!$A:$A,"&gt;="&amp;$J488,'Weekly Log'!$A:$A,"&lt;"&amp;$J488+7))</f>
        <v/>
      </c>
      <c r="C488" t="str">
        <f>IF($J488="","",IFERROR(COUNTIFS('Weekly Log'!$G:$G,"Y",'Weekly Log'!$A:$A,"&gt;="&amp;$J488,'Weekly Log'!$A:$A,"&lt;"&amp;$J488+7)/COUNTIFS('Weekly Log'!$G:$G,"&lt;&gt;",'Weekly Log'!$A:$A,"&gt;="&amp;$J488,'Weekly Log'!$A:$A,"&lt;"&amp;$J488+7),0))</f>
        <v/>
      </c>
      <c r="D488" t="str">
        <f>IF($J488="","",IFERROR(COUNTIFS('Weekly Log'!$H:$H,"Y",'Weekly Log'!$A:$A,"&gt;="&amp;$J488,'Weekly Log'!$A:$A,"&lt;"&amp;$J488+7)/COUNTIFS('Weekly Log'!$H:$H,"&lt;&gt;",'Weekly Log'!$A:$A,"&gt;="&amp;$J488,'Weekly Log'!$A:$A,"&lt;"&amp;$J488+7),0))</f>
        <v/>
      </c>
      <c r="E488" t="str">
        <f>IF($J488="","",IFERROR(AVERAGEIFS('Weekly Log'!$F:$F,'Weekly Log'!$A:$A,"&gt;="&amp;$J488,'Weekly Log'!$A:$A,"&lt;"&amp;$J488+7),0))</f>
        <v/>
      </c>
      <c r="F488" t="str">
        <f>IF($J488="","",IFERROR(SUMIFS('Weekly Log'!$F:$F,'Weekly Log'!$A:$A,"&gt;="&amp;$J488,'Weekly Log'!$A:$A,"&lt;"&amp;$J488+7)/SUMIFS('Weekly Log'!$E:$E,'Weekly Log'!$A:$A,"&gt;="&amp;$J488,'Weekly Log'!$A:$A,"&lt;"&amp;$J488+7),0))</f>
        <v/>
      </c>
      <c r="G488" t="str">
        <f>IF($J488="","",IFERROR(LOOKUP(2,1/(('Weekly Log'!$A$5:$A$5000&gt;=$J488)*('Weekly Log'!$A$5:$A$5000&lt;$J488+7)*('Weekly Log'!$M$5:$M$5000&lt;&gt;"")),'Weekly Log'!$M$5:$M$5000),0))</f>
        <v/>
      </c>
      <c r="J488" t="str">
        <f>IF(COUNT('Weekly Log'!$A$5:$A$5000)=0,"",IF(MIN('Weekly Log'!$A$5:$A$5000)+7*(ROW()-10)&gt;MAX('Weekly Log'!$A$5:$A$5000),"",MIN('Weekly Log'!$A$5:$A$5000)+7*(ROW()-10)))</f>
        <v/>
      </c>
    </row>
    <row r="489" spans="1:10" x14ac:dyDescent="0.25">
      <c r="A489" t="str">
        <f t="shared" si="7"/>
        <v/>
      </c>
      <c r="B489" t="str">
        <f>IF($J489="","",SUMIFS('Weekly Log'!$C:$C,'Weekly Log'!$A:$A,"&gt;="&amp;$J489,'Weekly Log'!$A:$A,"&lt;"&amp;$J489+7))</f>
        <v/>
      </c>
      <c r="C489" t="str">
        <f>IF($J489="","",IFERROR(COUNTIFS('Weekly Log'!$G:$G,"Y",'Weekly Log'!$A:$A,"&gt;="&amp;$J489,'Weekly Log'!$A:$A,"&lt;"&amp;$J489+7)/COUNTIFS('Weekly Log'!$G:$G,"&lt;&gt;",'Weekly Log'!$A:$A,"&gt;="&amp;$J489,'Weekly Log'!$A:$A,"&lt;"&amp;$J489+7),0))</f>
        <v/>
      </c>
      <c r="D489" t="str">
        <f>IF($J489="","",IFERROR(COUNTIFS('Weekly Log'!$H:$H,"Y",'Weekly Log'!$A:$A,"&gt;="&amp;$J489,'Weekly Log'!$A:$A,"&lt;"&amp;$J489+7)/COUNTIFS('Weekly Log'!$H:$H,"&lt;&gt;",'Weekly Log'!$A:$A,"&gt;="&amp;$J489,'Weekly Log'!$A:$A,"&lt;"&amp;$J489+7),0))</f>
        <v/>
      </c>
      <c r="E489" t="str">
        <f>IF($J489="","",IFERROR(AVERAGEIFS('Weekly Log'!$F:$F,'Weekly Log'!$A:$A,"&gt;="&amp;$J489,'Weekly Log'!$A:$A,"&lt;"&amp;$J489+7),0))</f>
        <v/>
      </c>
      <c r="F489" t="str">
        <f>IF($J489="","",IFERROR(SUMIFS('Weekly Log'!$F:$F,'Weekly Log'!$A:$A,"&gt;="&amp;$J489,'Weekly Log'!$A:$A,"&lt;"&amp;$J489+7)/SUMIFS('Weekly Log'!$E:$E,'Weekly Log'!$A:$A,"&gt;="&amp;$J489,'Weekly Log'!$A:$A,"&lt;"&amp;$J489+7),0))</f>
        <v/>
      </c>
      <c r="G489" t="str">
        <f>IF($J489="","",IFERROR(LOOKUP(2,1/(('Weekly Log'!$A$5:$A$5000&gt;=$J489)*('Weekly Log'!$A$5:$A$5000&lt;$J489+7)*('Weekly Log'!$M$5:$M$5000&lt;&gt;"")),'Weekly Log'!$M$5:$M$5000),0))</f>
        <v/>
      </c>
      <c r="J489" t="str">
        <f>IF(COUNT('Weekly Log'!$A$5:$A$5000)=0,"",IF(MIN('Weekly Log'!$A$5:$A$5000)+7*(ROW()-10)&gt;MAX('Weekly Log'!$A$5:$A$5000),"",MIN('Weekly Log'!$A$5:$A$5000)+7*(ROW()-10)))</f>
        <v/>
      </c>
    </row>
    <row r="490" spans="1:10" x14ac:dyDescent="0.25">
      <c r="A490" t="str">
        <f t="shared" si="7"/>
        <v/>
      </c>
      <c r="B490" t="str">
        <f>IF($J490="","",SUMIFS('Weekly Log'!$C:$C,'Weekly Log'!$A:$A,"&gt;="&amp;$J490,'Weekly Log'!$A:$A,"&lt;"&amp;$J490+7))</f>
        <v/>
      </c>
      <c r="C490" t="str">
        <f>IF($J490="","",IFERROR(COUNTIFS('Weekly Log'!$G:$G,"Y",'Weekly Log'!$A:$A,"&gt;="&amp;$J490,'Weekly Log'!$A:$A,"&lt;"&amp;$J490+7)/COUNTIFS('Weekly Log'!$G:$G,"&lt;&gt;",'Weekly Log'!$A:$A,"&gt;="&amp;$J490,'Weekly Log'!$A:$A,"&lt;"&amp;$J490+7),0))</f>
        <v/>
      </c>
      <c r="D490" t="str">
        <f>IF($J490="","",IFERROR(COUNTIFS('Weekly Log'!$H:$H,"Y",'Weekly Log'!$A:$A,"&gt;="&amp;$J490,'Weekly Log'!$A:$A,"&lt;"&amp;$J490+7)/COUNTIFS('Weekly Log'!$H:$H,"&lt;&gt;",'Weekly Log'!$A:$A,"&gt;="&amp;$J490,'Weekly Log'!$A:$A,"&lt;"&amp;$J490+7),0))</f>
        <v/>
      </c>
      <c r="E490" t="str">
        <f>IF($J490="","",IFERROR(AVERAGEIFS('Weekly Log'!$F:$F,'Weekly Log'!$A:$A,"&gt;="&amp;$J490,'Weekly Log'!$A:$A,"&lt;"&amp;$J490+7),0))</f>
        <v/>
      </c>
      <c r="F490" t="str">
        <f>IF($J490="","",IFERROR(SUMIFS('Weekly Log'!$F:$F,'Weekly Log'!$A:$A,"&gt;="&amp;$J490,'Weekly Log'!$A:$A,"&lt;"&amp;$J490+7)/SUMIFS('Weekly Log'!$E:$E,'Weekly Log'!$A:$A,"&gt;="&amp;$J490,'Weekly Log'!$A:$A,"&lt;"&amp;$J490+7),0))</f>
        <v/>
      </c>
      <c r="G490" t="str">
        <f>IF($J490="","",IFERROR(LOOKUP(2,1/(('Weekly Log'!$A$5:$A$5000&gt;=$J490)*('Weekly Log'!$A$5:$A$5000&lt;$J490+7)*('Weekly Log'!$M$5:$M$5000&lt;&gt;"")),'Weekly Log'!$M$5:$M$5000),0))</f>
        <v/>
      </c>
      <c r="J490" t="str">
        <f>IF(COUNT('Weekly Log'!$A$5:$A$5000)=0,"",IF(MIN('Weekly Log'!$A$5:$A$5000)+7*(ROW()-10)&gt;MAX('Weekly Log'!$A$5:$A$5000),"",MIN('Weekly Log'!$A$5:$A$5000)+7*(ROW()-10)))</f>
        <v/>
      </c>
    </row>
    <row r="491" spans="1:10" x14ac:dyDescent="0.25">
      <c r="A491" t="str">
        <f t="shared" si="7"/>
        <v/>
      </c>
      <c r="B491" t="str">
        <f>IF($J491="","",SUMIFS('Weekly Log'!$C:$C,'Weekly Log'!$A:$A,"&gt;="&amp;$J491,'Weekly Log'!$A:$A,"&lt;"&amp;$J491+7))</f>
        <v/>
      </c>
      <c r="C491" t="str">
        <f>IF($J491="","",IFERROR(COUNTIFS('Weekly Log'!$G:$G,"Y",'Weekly Log'!$A:$A,"&gt;="&amp;$J491,'Weekly Log'!$A:$A,"&lt;"&amp;$J491+7)/COUNTIFS('Weekly Log'!$G:$G,"&lt;&gt;",'Weekly Log'!$A:$A,"&gt;="&amp;$J491,'Weekly Log'!$A:$A,"&lt;"&amp;$J491+7),0))</f>
        <v/>
      </c>
      <c r="D491" t="str">
        <f>IF($J491="","",IFERROR(COUNTIFS('Weekly Log'!$H:$H,"Y",'Weekly Log'!$A:$A,"&gt;="&amp;$J491,'Weekly Log'!$A:$A,"&lt;"&amp;$J491+7)/COUNTIFS('Weekly Log'!$H:$H,"&lt;&gt;",'Weekly Log'!$A:$A,"&gt;="&amp;$J491,'Weekly Log'!$A:$A,"&lt;"&amp;$J491+7),0))</f>
        <v/>
      </c>
      <c r="E491" t="str">
        <f>IF($J491="","",IFERROR(AVERAGEIFS('Weekly Log'!$F:$F,'Weekly Log'!$A:$A,"&gt;="&amp;$J491,'Weekly Log'!$A:$A,"&lt;"&amp;$J491+7),0))</f>
        <v/>
      </c>
      <c r="F491" t="str">
        <f>IF($J491="","",IFERROR(SUMIFS('Weekly Log'!$F:$F,'Weekly Log'!$A:$A,"&gt;="&amp;$J491,'Weekly Log'!$A:$A,"&lt;"&amp;$J491+7)/SUMIFS('Weekly Log'!$E:$E,'Weekly Log'!$A:$A,"&gt;="&amp;$J491,'Weekly Log'!$A:$A,"&lt;"&amp;$J491+7),0))</f>
        <v/>
      </c>
      <c r="G491" t="str">
        <f>IF($J491="","",IFERROR(LOOKUP(2,1/(('Weekly Log'!$A$5:$A$5000&gt;=$J491)*('Weekly Log'!$A$5:$A$5000&lt;$J491+7)*('Weekly Log'!$M$5:$M$5000&lt;&gt;"")),'Weekly Log'!$M$5:$M$5000),0))</f>
        <v/>
      </c>
      <c r="J491" t="str">
        <f>IF(COUNT('Weekly Log'!$A$5:$A$5000)=0,"",IF(MIN('Weekly Log'!$A$5:$A$5000)+7*(ROW()-10)&gt;MAX('Weekly Log'!$A$5:$A$5000),"",MIN('Weekly Log'!$A$5:$A$5000)+7*(ROW()-10)))</f>
        <v/>
      </c>
    </row>
    <row r="492" spans="1:10" x14ac:dyDescent="0.25">
      <c r="A492" t="str">
        <f t="shared" si="7"/>
        <v/>
      </c>
      <c r="B492" t="str">
        <f>IF($J492="","",SUMIFS('Weekly Log'!$C:$C,'Weekly Log'!$A:$A,"&gt;="&amp;$J492,'Weekly Log'!$A:$A,"&lt;"&amp;$J492+7))</f>
        <v/>
      </c>
      <c r="C492" t="str">
        <f>IF($J492="","",IFERROR(COUNTIFS('Weekly Log'!$G:$G,"Y",'Weekly Log'!$A:$A,"&gt;="&amp;$J492,'Weekly Log'!$A:$A,"&lt;"&amp;$J492+7)/COUNTIFS('Weekly Log'!$G:$G,"&lt;&gt;",'Weekly Log'!$A:$A,"&gt;="&amp;$J492,'Weekly Log'!$A:$A,"&lt;"&amp;$J492+7),0))</f>
        <v/>
      </c>
      <c r="D492" t="str">
        <f>IF($J492="","",IFERROR(COUNTIFS('Weekly Log'!$H:$H,"Y",'Weekly Log'!$A:$A,"&gt;="&amp;$J492,'Weekly Log'!$A:$A,"&lt;"&amp;$J492+7)/COUNTIFS('Weekly Log'!$H:$H,"&lt;&gt;",'Weekly Log'!$A:$A,"&gt;="&amp;$J492,'Weekly Log'!$A:$A,"&lt;"&amp;$J492+7),0))</f>
        <v/>
      </c>
      <c r="E492" t="str">
        <f>IF($J492="","",IFERROR(AVERAGEIFS('Weekly Log'!$F:$F,'Weekly Log'!$A:$A,"&gt;="&amp;$J492,'Weekly Log'!$A:$A,"&lt;"&amp;$J492+7),0))</f>
        <v/>
      </c>
      <c r="F492" t="str">
        <f>IF($J492="","",IFERROR(SUMIFS('Weekly Log'!$F:$F,'Weekly Log'!$A:$A,"&gt;="&amp;$J492,'Weekly Log'!$A:$A,"&lt;"&amp;$J492+7)/SUMIFS('Weekly Log'!$E:$E,'Weekly Log'!$A:$A,"&gt;="&amp;$J492,'Weekly Log'!$A:$A,"&lt;"&amp;$J492+7),0))</f>
        <v/>
      </c>
      <c r="G492" t="str">
        <f>IF($J492="","",IFERROR(LOOKUP(2,1/(('Weekly Log'!$A$5:$A$5000&gt;=$J492)*('Weekly Log'!$A$5:$A$5000&lt;$J492+7)*('Weekly Log'!$M$5:$M$5000&lt;&gt;"")),'Weekly Log'!$M$5:$M$5000),0))</f>
        <v/>
      </c>
      <c r="J492" t="str">
        <f>IF(COUNT('Weekly Log'!$A$5:$A$5000)=0,"",IF(MIN('Weekly Log'!$A$5:$A$5000)+7*(ROW()-10)&gt;MAX('Weekly Log'!$A$5:$A$5000),"",MIN('Weekly Log'!$A$5:$A$5000)+7*(ROW()-10)))</f>
        <v/>
      </c>
    </row>
    <row r="493" spans="1:10" x14ac:dyDescent="0.25">
      <c r="A493" t="str">
        <f t="shared" si="7"/>
        <v/>
      </c>
      <c r="B493" t="str">
        <f>IF($J493="","",SUMIFS('Weekly Log'!$C:$C,'Weekly Log'!$A:$A,"&gt;="&amp;$J493,'Weekly Log'!$A:$A,"&lt;"&amp;$J493+7))</f>
        <v/>
      </c>
      <c r="C493" t="str">
        <f>IF($J493="","",IFERROR(COUNTIFS('Weekly Log'!$G:$G,"Y",'Weekly Log'!$A:$A,"&gt;="&amp;$J493,'Weekly Log'!$A:$A,"&lt;"&amp;$J493+7)/COUNTIFS('Weekly Log'!$G:$G,"&lt;&gt;",'Weekly Log'!$A:$A,"&gt;="&amp;$J493,'Weekly Log'!$A:$A,"&lt;"&amp;$J493+7),0))</f>
        <v/>
      </c>
      <c r="D493" t="str">
        <f>IF($J493="","",IFERROR(COUNTIFS('Weekly Log'!$H:$H,"Y",'Weekly Log'!$A:$A,"&gt;="&amp;$J493,'Weekly Log'!$A:$A,"&lt;"&amp;$J493+7)/COUNTIFS('Weekly Log'!$H:$H,"&lt;&gt;",'Weekly Log'!$A:$A,"&gt;="&amp;$J493,'Weekly Log'!$A:$A,"&lt;"&amp;$J493+7),0))</f>
        <v/>
      </c>
      <c r="E493" t="str">
        <f>IF($J493="","",IFERROR(AVERAGEIFS('Weekly Log'!$F:$F,'Weekly Log'!$A:$A,"&gt;="&amp;$J493,'Weekly Log'!$A:$A,"&lt;"&amp;$J493+7),0))</f>
        <v/>
      </c>
      <c r="F493" t="str">
        <f>IF($J493="","",IFERROR(SUMIFS('Weekly Log'!$F:$F,'Weekly Log'!$A:$A,"&gt;="&amp;$J493,'Weekly Log'!$A:$A,"&lt;"&amp;$J493+7)/SUMIFS('Weekly Log'!$E:$E,'Weekly Log'!$A:$A,"&gt;="&amp;$J493,'Weekly Log'!$A:$A,"&lt;"&amp;$J493+7),0))</f>
        <v/>
      </c>
      <c r="G493" t="str">
        <f>IF($J493="","",IFERROR(LOOKUP(2,1/(('Weekly Log'!$A$5:$A$5000&gt;=$J493)*('Weekly Log'!$A$5:$A$5000&lt;$J493+7)*('Weekly Log'!$M$5:$M$5000&lt;&gt;"")),'Weekly Log'!$M$5:$M$5000),0))</f>
        <v/>
      </c>
      <c r="J493" t="str">
        <f>IF(COUNT('Weekly Log'!$A$5:$A$5000)=0,"",IF(MIN('Weekly Log'!$A$5:$A$5000)+7*(ROW()-10)&gt;MAX('Weekly Log'!$A$5:$A$5000),"",MIN('Weekly Log'!$A$5:$A$5000)+7*(ROW()-10)))</f>
        <v/>
      </c>
    </row>
    <row r="494" spans="1:10" x14ac:dyDescent="0.25">
      <c r="A494" t="str">
        <f t="shared" si="7"/>
        <v/>
      </c>
      <c r="B494" t="str">
        <f>IF($J494="","",SUMIFS('Weekly Log'!$C:$C,'Weekly Log'!$A:$A,"&gt;="&amp;$J494,'Weekly Log'!$A:$A,"&lt;"&amp;$J494+7))</f>
        <v/>
      </c>
      <c r="C494" t="str">
        <f>IF($J494="","",IFERROR(COUNTIFS('Weekly Log'!$G:$G,"Y",'Weekly Log'!$A:$A,"&gt;="&amp;$J494,'Weekly Log'!$A:$A,"&lt;"&amp;$J494+7)/COUNTIFS('Weekly Log'!$G:$G,"&lt;&gt;",'Weekly Log'!$A:$A,"&gt;="&amp;$J494,'Weekly Log'!$A:$A,"&lt;"&amp;$J494+7),0))</f>
        <v/>
      </c>
      <c r="D494" t="str">
        <f>IF($J494="","",IFERROR(COUNTIFS('Weekly Log'!$H:$H,"Y",'Weekly Log'!$A:$A,"&gt;="&amp;$J494,'Weekly Log'!$A:$A,"&lt;"&amp;$J494+7)/COUNTIFS('Weekly Log'!$H:$H,"&lt;&gt;",'Weekly Log'!$A:$A,"&gt;="&amp;$J494,'Weekly Log'!$A:$A,"&lt;"&amp;$J494+7),0))</f>
        <v/>
      </c>
      <c r="E494" t="str">
        <f>IF($J494="","",IFERROR(AVERAGEIFS('Weekly Log'!$F:$F,'Weekly Log'!$A:$A,"&gt;="&amp;$J494,'Weekly Log'!$A:$A,"&lt;"&amp;$J494+7),0))</f>
        <v/>
      </c>
      <c r="F494" t="str">
        <f>IF($J494="","",IFERROR(SUMIFS('Weekly Log'!$F:$F,'Weekly Log'!$A:$A,"&gt;="&amp;$J494,'Weekly Log'!$A:$A,"&lt;"&amp;$J494+7)/SUMIFS('Weekly Log'!$E:$E,'Weekly Log'!$A:$A,"&gt;="&amp;$J494,'Weekly Log'!$A:$A,"&lt;"&amp;$J494+7),0))</f>
        <v/>
      </c>
      <c r="G494" t="str">
        <f>IF($J494="","",IFERROR(LOOKUP(2,1/(('Weekly Log'!$A$5:$A$5000&gt;=$J494)*('Weekly Log'!$A$5:$A$5000&lt;$J494+7)*('Weekly Log'!$M$5:$M$5000&lt;&gt;"")),'Weekly Log'!$M$5:$M$5000),0))</f>
        <v/>
      </c>
      <c r="J494" t="str">
        <f>IF(COUNT('Weekly Log'!$A$5:$A$5000)=0,"",IF(MIN('Weekly Log'!$A$5:$A$5000)+7*(ROW()-10)&gt;MAX('Weekly Log'!$A$5:$A$5000),"",MIN('Weekly Log'!$A$5:$A$5000)+7*(ROW()-10)))</f>
        <v/>
      </c>
    </row>
    <row r="495" spans="1:10" x14ac:dyDescent="0.25">
      <c r="A495" t="str">
        <f t="shared" si="7"/>
        <v/>
      </c>
      <c r="B495" t="str">
        <f>IF($J495="","",SUMIFS('Weekly Log'!$C:$C,'Weekly Log'!$A:$A,"&gt;="&amp;$J495,'Weekly Log'!$A:$A,"&lt;"&amp;$J495+7))</f>
        <v/>
      </c>
      <c r="C495" t="str">
        <f>IF($J495="","",IFERROR(COUNTIFS('Weekly Log'!$G:$G,"Y",'Weekly Log'!$A:$A,"&gt;="&amp;$J495,'Weekly Log'!$A:$A,"&lt;"&amp;$J495+7)/COUNTIFS('Weekly Log'!$G:$G,"&lt;&gt;",'Weekly Log'!$A:$A,"&gt;="&amp;$J495,'Weekly Log'!$A:$A,"&lt;"&amp;$J495+7),0))</f>
        <v/>
      </c>
      <c r="D495" t="str">
        <f>IF($J495="","",IFERROR(COUNTIFS('Weekly Log'!$H:$H,"Y",'Weekly Log'!$A:$A,"&gt;="&amp;$J495,'Weekly Log'!$A:$A,"&lt;"&amp;$J495+7)/COUNTIFS('Weekly Log'!$H:$H,"&lt;&gt;",'Weekly Log'!$A:$A,"&gt;="&amp;$J495,'Weekly Log'!$A:$A,"&lt;"&amp;$J495+7),0))</f>
        <v/>
      </c>
      <c r="E495" t="str">
        <f>IF($J495="","",IFERROR(AVERAGEIFS('Weekly Log'!$F:$F,'Weekly Log'!$A:$A,"&gt;="&amp;$J495,'Weekly Log'!$A:$A,"&lt;"&amp;$J495+7),0))</f>
        <v/>
      </c>
      <c r="F495" t="str">
        <f>IF($J495="","",IFERROR(SUMIFS('Weekly Log'!$F:$F,'Weekly Log'!$A:$A,"&gt;="&amp;$J495,'Weekly Log'!$A:$A,"&lt;"&amp;$J495+7)/SUMIFS('Weekly Log'!$E:$E,'Weekly Log'!$A:$A,"&gt;="&amp;$J495,'Weekly Log'!$A:$A,"&lt;"&amp;$J495+7),0))</f>
        <v/>
      </c>
      <c r="G495" t="str">
        <f>IF($J495="","",IFERROR(LOOKUP(2,1/(('Weekly Log'!$A$5:$A$5000&gt;=$J495)*('Weekly Log'!$A$5:$A$5000&lt;$J495+7)*('Weekly Log'!$M$5:$M$5000&lt;&gt;"")),'Weekly Log'!$M$5:$M$5000),0))</f>
        <v/>
      </c>
      <c r="J495" t="str">
        <f>IF(COUNT('Weekly Log'!$A$5:$A$5000)=0,"",IF(MIN('Weekly Log'!$A$5:$A$5000)+7*(ROW()-10)&gt;MAX('Weekly Log'!$A$5:$A$5000),"",MIN('Weekly Log'!$A$5:$A$5000)+7*(ROW()-10)))</f>
        <v/>
      </c>
    </row>
    <row r="496" spans="1:10" x14ac:dyDescent="0.25">
      <c r="A496" t="str">
        <f t="shared" si="7"/>
        <v/>
      </c>
      <c r="B496" t="str">
        <f>IF($J496="","",SUMIFS('Weekly Log'!$C:$C,'Weekly Log'!$A:$A,"&gt;="&amp;$J496,'Weekly Log'!$A:$A,"&lt;"&amp;$J496+7))</f>
        <v/>
      </c>
      <c r="C496" t="str">
        <f>IF($J496="","",IFERROR(COUNTIFS('Weekly Log'!$G:$G,"Y",'Weekly Log'!$A:$A,"&gt;="&amp;$J496,'Weekly Log'!$A:$A,"&lt;"&amp;$J496+7)/COUNTIFS('Weekly Log'!$G:$G,"&lt;&gt;",'Weekly Log'!$A:$A,"&gt;="&amp;$J496,'Weekly Log'!$A:$A,"&lt;"&amp;$J496+7),0))</f>
        <v/>
      </c>
      <c r="D496" t="str">
        <f>IF($J496="","",IFERROR(COUNTIFS('Weekly Log'!$H:$H,"Y",'Weekly Log'!$A:$A,"&gt;="&amp;$J496,'Weekly Log'!$A:$A,"&lt;"&amp;$J496+7)/COUNTIFS('Weekly Log'!$H:$H,"&lt;&gt;",'Weekly Log'!$A:$A,"&gt;="&amp;$J496,'Weekly Log'!$A:$A,"&lt;"&amp;$J496+7),0))</f>
        <v/>
      </c>
      <c r="E496" t="str">
        <f>IF($J496="","",IFERROR(AVERAGEIFS('Weekly Log'!$F:$F,'Weekly Log'!$A:$A,"&gt;="&amp;$J496,'Weekly Log'!$A:$A,"&lt;"&amp;$J496+7),0))</f>
        <v/>
      </c>
      <c r="F496" t="str">
        <f>IF($J496="","",IFERROR(SUMIFS('Weekly Log'!$F:$F,'Weekly Log'!$A:$A,"&gt;="&amp;$J496,'Weekly Log'!$A:$A,"&lt;"&amp;$J496+7)/SUMIFS('Weekly Log'!$E:$E,'Weekly Log'!$A:$A,"&gt;="&amp;$J496,'Weekly Log'!$A:$A,"&lt;"&amp;$J496+7),0))</f>
        <v/>
      </c>
      <c r="G496" t="str">
        <f>IF($J496="","",IFERROR(LOOKUP(2,1/(('Weekly Log'!$A$5:$A$5000&gt;=$J496)*('Weekly Log'!$A$5:$A$5000&lt;$J496+7)*('Weekly Log'!$M$5:$M$5000&lt;&gt;"")),'Weekly Log'!$M$5:$M$5000),0))</f>
        <v/>
      </c>
      <c r="J496" t="str">
        <f>IF(COUNT('Weekly Log'!$A$5:$A$5000)=0,"",IF(MIN('Weekly Log'!$A$5:$A$5000)+7*(ROW()-10)&gt;MAX('Weekly Log'!$A$5:$A$5000),"",MIN('Weekly Log'!$A$5:$A$5000)+7*(ROW()-10)))</f>
        <v/>
      </c>
    </row>
    <row r="497" spans="1:10" x14ac:dyDescent="0.25">
      <c r="A497" t="str">
        <f t="shared" si="7"/>
        <v/>
      </c>
      <c r="B497" t="str">
        <f>IF($J497="","",SUMIFS('Weekly Log'!$C:$C,'Weekly Log'!$A:$A,"&gt;="&amp;$J497,'Weekly Log'!$A:$A,"&lt;"&amp;$J497+7))</f>
        <v/>
      </c>
      <c r="C497" t="str">
        <f>IF($J497="","",IFERROR(COUNTIFS('Weekly Log'!$G:$G,"Y",'Weekly Log'!$A:$A,"&gt;="&amp;$J497,'Weekly Log'!$A:$A,"&lt;"&amp;$J497+7)/COUNTIFS('Weekly Log'!$G:$G,"&lt;&gt;",'Weekly Log'!$A:$A,"&gt;="&amp;$J497,'Weekly Log'!$A:$A,"&lt;"&amp;$J497+7),0))</f>
        <v/>
      </c>
      <c r="D497" t="str">
        <f>IF($J497="","",IFERROR(COUNTIFS('Weekly Log'!$H:$H,"Y",'Weekly Log'!$A:$A,"&gt;="&amp;$J497,'Weekly Log'!$A:$A,"&lt;"&amp;$J497+7)/COUNTIFS('Weekly Log'!$H:$H,"&lt;&gt;",'Weekly Log'!$A:$A,"&gt;="&amp;$J497,'Weekly Log'!$A:$A,"&lt;"&amp;$J497+7),0))</f>
        <v/>
      </c>
      <c r="E497" t="str">
        <f>IF($J497="","",IFERROR(AVERAGEIFS('Weekly Log'!$F:$F,'Weekly Log'!$A:$A,"&gt;="&amp;$J497,'Weekly Log'!$A:$A,"&lt;"&amp;$J497+7),0))</f>
        <v/>
      </c>
      <c r="F497" t="str">
        <f>IF($J497="","",IFERROR(SUMIFS('Weekly Log'!$F:$F,'Weekly Log'!$A:$A,"&gt;="&amp;$J497,'Weekly Log'!$A:$A,"&lt;"&amp;$J497+7)/SUMIFS('Weekly Log'!$E:$E,'Weekly Log'!$A:$A,"&gt;="&amp;$J497,'Weekly Log'!$A:$A,"&lt;"&amp;$J497+7),0))</f>
        <v/>
      </c>
      <c r="G497" t="str">
        <f>IF($J497="","",IFERROR(LOOKUP(2,1/(('Weekly Log'!$A$5:$A$5000&gt;=$J497)*('Weekly Log'!$A$5:$A$5000&lt;$J497+7)*('Weekly Log'!$M$5:$M$5000&lt;&gt;"")),'Weekly Log'!$M$5:$M$5000),0))</f>
        <v/>
      </c>
      <c r="J497" t="str">
        <f>IF(COUNT('Weekly Log'!$A$5:$A$5000)=0,"",IF(MIN('Weekly Log'!$A$5:$A$5000)+7*(ROW()-10)&gt;MAX('Weekly Log'!$A$5:$A$5000),"",MIN('Weekly Log'!$A$5:$A$5000)+7*(ROW()-10)))</f>
        <v/>
      </c>
    </row>
    <row r="498" spans="1:10" x14ac:dyDescent="0.25">
      <c r="A498" t="str">
        <f t="shared" si="7"/>
        <v/>
      </c>
      <c r="B498" t="str">
        <f>IF($J498="","",SUMIFS('Weekly Log'!$C:$C,'Weekly Log'!$A:$A,"&gt;="&amp;$J498,'Weekly Log'!$A:$A,"&lt;"&amp;$J498+7))</f>
        <v/>
      </c>
      <c r="C498" t="str">
        <f>IF($J498="","",IFERROR(COUNTIFS('Weekly Log'!$G:$G,"Y",'Weekly Log'!$A:$A,"&gt;="&amp;$J498,'Weekly Log'!$A:$A,"&lt;"&amp;$J498+7)/COUNTIFS('Weekly Log'!$G:$G,"&lt;&gt;",'Weekly Log'!$A:$A,"&gt;="&amp;$J498,'Weekly Log'!$A:$A,"&lt;"&amp;$J498+7),0))</f>
        <v/>
      </c>
      <c r="D498" t="str">
        <f>IF($J498="","",IFERROR(COUNTIFS('Weekly Log'!$H:$H,"Y",'Weekly Log'!$A:$A,"&gt;="&amp;$J498,'Weekly Log'!$A:$A,"&lt;"&amp;$J498+7)/COUNTIFS('Weekly Log'!$H:$H,"&lt;&gt;",'Weekly Log'!$A:$A,"&gt;="&amp;$J498,'Weekly Log'!$A:$A,"&lt;"&amp;$J498+7),0))</f>
        <v/>
      </c>
      <c r="E498" t="str">
        <f>IF($J498="","",IFERROR(AVERAGEIFS('Weekly Log'!$F:$F,'Weekly Log'!$A:$A,"&gt;="&amp;$J498,'Weekly Log'!$A:$A,"&lt;"&amp;$J498+7),0))</f>
        <v/>
      </c>
      <c r="F498" t="str">
        <f>IF($J498="","",IFERROR(SUMIFS('Weekly Log'!$F:$F,'Weekly Log'!$A:$A,"&gt;="&amp;$J498,'Weekly Log'!$A:$A,"&lt;"&amp;$J498+7)/SUMIFS('Weekly Log'!$E:$E,'Weekly Log'!$A:$A,"&gt;="&amp;$J498,'Weekly Log'!$A:$A,"&lt;"&amp;$J498+7),0))</f>
        <v/>
      </c>
      <c r="G498" t="str">
        <f>IF($J498="","",IFERROR(LOOKUP(2,1/(('Weekly Log'!$A$5:$A$5000&gt;=$J498)*('Weekly Log'!$A$5:$A$5000&lt;$J498+7)*('Weekly Log'!$M$5:$M$5000&lt;&gt;"")),'Weekly Log'!$M$5:$M$5000),0))</f>
        <v/>
      </c>
      <c r="J498" t="str">
        <f>IF(COUNT('Weekly Log'!$A$5:$A$5000)=0,"",IF(MIN('Weekly Log'!$A$5:$A$5000)+7*(ROW()-10)&gt;MAX('Weekly Log'!$A$5:$A$5000),"",MIN('Weekly Log'!$A$5:$A$5000)+7*(ROW()-10)))</f>
        <v/>
      </c>
    </row>
    <row r="499" spans="1:10" x14ac:dyDescent="0.25">
      <c r="A499" t="str">
        <f t="shared" si="7"/>
        <v/>
      </c>
      <c r="B499" t="str">
        <f>IF($J499="","",SUMIFS('Weekly Log'!$C:$C,'Weekly Log'!$A:$A,"&gt;="&amp;$J499,'Weekly Log'!$A:$A,"&lt;"&amp;$J499+7))</f>
        <v/>
      </c>
      <c r="C499" t="str">
        <f>IF($J499="","",IFERROR(COUNTIFS('Weekly Log'!$G:$G,"Y",'Weekly Log'!$A:$A,"&gt;="&amp;$J499,'Weekly Log'!$A:$A,"&lt;"&amp;$J499+7)/COUNTIFS('Weekly Log'!$G:$G,"&lt;&gt;",'Weekly Log'!$A:$A,"&gt;="&amp;$J499,'Weekly Log'!$A:$A,"&lt;"&amp;$J499+7),0))</f>
        <v/>
      </c>
      <c r="D499" t="str">
        <f>IF($J499="","",IFERROR(COUNTIFS('Weekly Log'!$H:$H,"Y",'Weekly Log'!$A:$A,"&gt;="&amp;$J499,'Weekly Log'!$A:$A,"&lt;"&amp;$J499+7)/COUNTIFS('Weekly Log'!$H:$H,"&lt;&gt;",'Weekly Log'!$A:$A,"&gt;="&amp;$J499,'Weekly Log'!$A:$A,"&lt;"&amp;$J499+7),0))</f>
        <v/>
      </c>
      <c r="E499" t="str">
        <f>IF($J499="","",IFERROR(AVERAGEIFS('Weekly Log'!$F:$F,'Weekly Log'!$A:$A,"&gt;="&amp;$J499,'Weekly Log'!$A:$A,"&lt;"&amp;$J499+7),0))</f>
        <v/>
      </c>
      <c r="F499" t="str">
        <f>IF($J499="","",IFERROR(SUMIFS('Weekly Log'!$F:$F,'Weekly Log'!$A:$A,"&gt;="&amp;$J499,'Weekly Log'!$A:$A,"&lt;"&amp;$J499+7)/SUMIFS('Weekly Log'!$E:$E,'Weekly Log'!$A:$A,"&gt;="&amp;$J499,'Weekly Log'!$A:$A,"&lt;"&amp;$J499+7),0))</f>
        <v/>
      </c>
      <c r="G499" t="str">
        <f>IF($J499="","",IFERROR(LOOKUP(2,1/(('Weekly Log'!$A$5:$A$5000&gt;=$J499)*('Weekly Log'!$A$5:$A$5000&lt;$J499+7)*('Weekly Log'!$M$5:$M$5000&lt;&gt;"")),'Weekly Log'!$M$5:$M$5000),0))</f>
        <v/>
      </c>
      <c r="J499" t="str">
        <f>IF(COUNT('Weekly Log'!$A$5:$A$5000)=0,"",IF(MIN('Weekly Log'!$A$5:$A$5000)+7*(ROW()-10)&gt;MAX('Weekly Log'!$A$5:$A$5000),"",MIN('Weekly Log'!$A$5:$A$5000)+7*(ROW()-10)))</f>
        <v/>
      </c>
    </row>
    <row r="500" spans="1:10" x14ac:dyDescent="0.25">
      <c r="A500" t="str">
        <f t="shared" si="7"/>
        <v/>
      </c>
      <c r="B500" t="str">
        <f>IF($J500="","",SUMIFS('Weekly Log'!$C:$C,'Weekly Log'!$A:$A,"&gt;="&amp;$J500,'Weekly Log'!$A:$A,"&lt;"&amp;$J500+7))</f>
        <v/>
      </c>
      <c r="C500" t="str">
        <f>IF($J500="","",IFERROR(COUNTIFS('Weekly Log'!$G:$G,"Y",'Weekly Log'!$A:$A,"&gt;="&amp;$J500,'Weekly Log'!$A:$A,"&lt;"&amp;$J500+7)/COUNTIFS('Weekly Log'!$G:$G,"&lt;&gt;",'Weekly Log'!$A:$A,"&gt;="&amp;$J500,'Weekly Log'!$A:$A,"&lt;"&amp;$J500+7),0))</f>
        <v/>
      </c>
      <c r="D500" t="str">
        <f>IF($J500="","",IFERROR(COUNTIFS('Weekly Log'!$H:$H,"Y",'Weekly Log'!$A:$A,"&gt;="&amp;$J500,'Weekly Log'!$A:$A,"&lt;"&amp;$J500+7)/COUNTIFS('Weekly Log'!$H:$H,"&lt;&gt;",'Weekly Log'!$A:$A,"&gt;="&amp;$J500,'Weekly Log'!$A:$A,"&lt;"&amp;$J500+7),0))</f>
        <v/>
      </c>
      <c r="E500" t="str">
        <f>IF($J500="","",IFERROR(AVERAGEIFS('Weekly Log'!$F:$F,'Weekly Log'!$A:$A,"&gt;="&amp;$J500,'Weekly Log'!$A:$A,"&lt;"&amp;$J500+7),0))</f>
        <v/>
      </c>
      <c r="F500" t="str">
        <f>IF($J500="","",IFERROR(SUMIFS('Weekly Log'!$F:$F,'Weekly Log'!$A:$A,"&gt;="&amp;$J500,'Weekly Log'!$A:$A,"&lt;"&amp;$J500+7)/SUMIFS('Weekly Log'!$E:$E,'Weekly Log'!$A:$A,"&gt;="&amp;$J500,'Weekly Log'!$A:$A,"&lt;"&amp;$J500+7),0))</f>
        <v/>
      </c>
      <c r="G500" t="str">
        <f>IF($J500="","",IFERROR(LOOKUP(2,1/(('Weekly Log'!$A$5:$A$5000&gt;=$J500)*('Weekly Log'!$A$5:$A$5000&lt;$J500+7)*('Weekly Log'!$M$5:$M$5000&lt;&gt;"")),'Weekly Log'!$M$5:$M$5000),0))</f>
        <v/>
      </c>
      <c r="J500" t="str">
        <f>IF(COUNT('Weekly Log'!$A$5:$A$5000)=0,"",IF(MIN('Weekly Log'!$A$5:$A$5000)+7*(ROW()-10)&gt;MAX('Weekly Log'!$A$5:$A$5000),"",MIN('Weekly Log'!$A$5:$A$5000)+7*(ROW()-10)))</f>
        <v/>
      </c>
    </row>
    <row r="501" spans="1:10" x14ac:dyDescent="0.25">
      <c r="A501" t="str">
        <f t="shared" si="7"/>
        <v/>
      </c>
      <c r="B501" t="str">
        <f>IF($J501="","",SUMIFS('Weekly Log'!$C:$C,'Weekly Log'!$A:$A,"&gt;="&amp;$J501,'Weekly Log'!$A:$A,"&lt;"&amp;$J501+7))</f>
        <v/>
      </c>
      <c r="C501" t="str">
        <f>IF($J501="","",IFERROR(COUNTIFS('Weekly Log'!$G:$G,"Y",'Weekly Log'!$A:$A,"&gt;="&amp;$J501,'Weekly Log'!$A:$A,"&lt;"&amp;$J501+7)/COUNTIFS('Weekly Log'!$G:$G,"&lt;&gt;",'Weekly Log'!$A:$A,"&gt;="&amp;$J501,'Weekly Log'!$A:$A,"&lt;"&amp;$J501+7),0))</f>
        <v/>
      </c>
      <c r="D501" t="str">
        <f>IF($J501="","",IFERROR(COUNTIFS('Weekly Log'!$H:$H,"Y",'Weekly Log'!$A:$A,"&gt;="&amp;$J501,'Weekly Log'!$A:$A,"&lt;"&amp;$J501+7)/COUNTIFS('Weekly Log'!$H:$H,"&lt;&gt;",'Weekly Log'!$A:$A,"&gt;="&amp;$J501,'Weekly Log'!$A:$A,"&lt;"&amp;$J501+7),0))</f>
        <v/>
      </c>
      <c r="E501" t="str">
        <f>IF($J501="","",IFERROR(AVERAGEIFS('Weekly Log'!$F:$F,'Weekly Log'!$A:$A,"&gt;="&amp;$J501,'Weekly Log'!$A:$A,"&lt;"&amp;$J501+7),0))</f>
        <v/>
      </c>
      <c r="F501" t="str">
        <f>IF($J501="","",IFERROR(SUMIFS('Weekly Log'!$F:$F,'Weekly Log'!$A:$A,"&gt;="&amp;$J501,'Weekly Log'!$A:$A,"&lt;"&amp;$J501+7)/SUMIFS('Weekly Log'!$E:$E,'Weekly Log'!$A:$A,"&gt;="&amp;$J501,'Weekly Log'!$A:$A,"&lt;"&amp;$J501+7),0))</f>
        <v/>
      </c>
      <c r="G501" t="str">
        <f>IF($J501="","",IFERROR(LOOKUP(2,1/(('Weekly Log'!$A$5:$A$5000&gt;=$J501)*('Weekly Log'!$A$5:$A$5000&lt;$J501+7)*('Weekly Log'!$M$5:$M$5000&lt;&gt;"")),'Weekly Log'!$M$5:$M$5000),0))</f>
        <v/>
      </c>
      <c r="J501" t="str">
        <f>IF(COUNT('Weekly Log'!$A$5:$A$5000)=0,"",IF(MIN('Weekly Log'!$A$5:$A$5000)+7*(ROW()-10)&gt;MAX('Weekly Log'!$A$5:$A$5000),"",MIN('Weekly Log'!$A$5:$A$5000)+7*(ROW()-10)))</f>
        <v/>
      </c>
    </row>
    <row r="502" spans="1:10" x14ac:dyDescent="0.25">
      <c r="A502" t="str">
        <f t="shared" si="7"/>
        <v/>
      </c>
      <c r="B502" t="str">
        <f>IF($J502="","",SUMIFS('Weekly Log'!$C:$C,'Weekly Log'!$A:$A,"&gt;="&amp;$J502,'Weekly Log'!$A:$A,"&lt;"&amp;$J502+7))</f>
        <v/>
      </c>
      <c r="C502" t="str">
        <f>IF($J502="","",IFERROR(COUNTIFS('Weekly Log'!$G:$G,"Y",'Weekly Log'!$A:$A,"&gt;="&amp;$J502,'Weekly Log'!$A:$A,"&lt;"&amp;$J502+7)/COUNTIFS('Weekly Log'!$G:$G,"&lt;&gt;",'Weekly Log'!$A:$A,"&gt;="&amp;$J502,'Weekly Log'!$A:$A,"&lt;"&amp;$J502+7),0))</f>
        <v/>
      </c>
      <c r="D502" t="str">
        <f>IF($J502="","",IFERROR(COUNTIFS('Weekly Log'!$H:$H,"Y",'Weekly Log'!$A:$A,"&gt;="&amp;$J502,'Weekly Log'!$A:$A,"&lt;"&amp;$J502+7)/COUNTIFS('Weekly Log'!$H:$H,"&lt;&gt;",'Weekly Log'!$A:$A,"&gt;="&amp;$J502,'Weekly Log'!$A:$A,"&lt;"&amp;$J502+7),0))</f>
        <v/>
      </c>
      <c r="E502" t="str">
        <f>IF($J502="","",IFERROR(AVERAGEIFS('Weekly Log'!$F:$F,'Weekly Log'!$A:$A,"&gt;="&amp;$J502,'Weekly Log'!$A:$A,"&lt;"&amp;$J502+7),0))</f>
        <v/>
      </c>
      <c r="F502" t="str">
        <f>IF($J502="","",IFERROR(SUMIFS('Weekly Log'!$F:$F,'Weekly Log'!$A:$A,"&gt;="&amp;$J502,'Weekly Log'!$A:$A,"&lt;"&amp;$J502+7)/SUMIFS('Weekly Log'!$E:$E,'Weekly Log'!$A:$A,"&gt;="&amp;$J502,'Weekly Log'!$A:$A,"&lt;"&amp;$J502+7),0))</f>
        <v/>
      </c>
      <c r="G502" t="str">
        <f>IF($J502="","",IFERROR(LOOKUP(2,1/(('Weekly Log'!$A$5:$A$5000&gt;=$J502)*('Weekly Log'!$A$5:$A$5000&lt;$J502+7)*('Weekly Log'!$M$5:$M$5000&lt;&gt;"")),'Weekly Log'!$M$5:$M$5000),0))</f>
        <v/>
      </c>
      <c r="J502" t="str">
        <f>IF(COUNT('Weekly Log'!$A$5:$A$5000)=0,"",IF(MIN('Weekly Log'!$A$5:$A$5000)+7*(ROW()-10)&gt;MAX('Weekly Log'!$A$5:$A$5000),"",MIN('Weekly Log'!$A$5:$A$5000)+7*(ROW()-10)))</f>
        <v/>
      </c>
    </row>
    <row r="503" spans="1:10" x14ac:dyDescent="0.25">
      <c r="A503" t="str">
        <f t="shared" si="7"/>
        <v/>
      </c>
      <c r="B503" t="str">
        <f>IF($J503="","",SUMIFS('Weekly Log'!$C:$C,'Weekly Log'!$A:$A,"&gt;="&amp;$J503,'Weekly Log'!$A:$A,"&lt;"&amp;$J503+7))</f>
        <v/>
      </c>
      <c r="C503" t="str">
        <f>IF($J503="","",IFERROR(COUNTIFS('Weekly Log'!$G:$G,"Y",'Weekly Log'!$A:$A,"&gt;="&amp;$J503,'Weekly Log'!$A:$A,"&lt;"&amp;$J503+7)/COUNTIFS('Weekly Log'!$G:$G,"&lt;&gt;",'Weekly Log'!$A:$A,"&gt;="&amp;$J503,'Weekly Log'!$A:$A,"&lt;"&amp;$J503+7),0))</f>
        <v/>
      </c>
      <c r="D503" t="str">
        <f>IF($J503="","",IFERROR(COUNTIFS('Weekly Log'!$H:$H,"Y",'Weekly Log'!$A:$A,"&gt;="&amp;$J503,'Weekly Log'!$A:$A,"&lt;"&amp;$J503+7)/COUNTIFS('Weekly Log'!$H:$H,"&lt;&gt;",'Weekly Log'!$A:$A,"&gt;="&amp;$J503,'Weekly Log'!$A:$A,"&lt;"&amp;$J503+7),0))</f>
        <v/>
      </c>
      <c r="E503" t="str">
        <f>IF($J503="","",IFERROR(AVERAGEIFS('Weekly Log'!$F:$F,'Weekly Log'!$A:$A,"&gt;="&amp;$J503,'Weekly Log'!$A:$A,"&lt;"&amp;$J503+7),0))</f>
        <v/>
      </c>
      <c r="F503" t="str">
        <f>IF($J503="","",IFERROR(SUMIFS('Weekly Log'!$F:$F,'Weekly Log'!$A:$A,"&gt;="&amp;$J503,'Weekly Log'!$A:$A,"&lt;"&amp;$J503+7)/SUMIFS('Weekly Log'!$E:$E,'Weekly Log'!$A:$A,"&gt;="&amp;$J503,'Weekly Log'!$A:$A,"&lt;"&amp;$J503+7),0))</f>
        <v/>
      </c>
      <c r="G503" t="str">
        <f>IF($J503="","",IFERROR(LOOKUP(2,1/(('Weekly Log'!$A$5:$A$5000&gt;=$J503)*('Weekly Log'!$A$5:$A$5000&lt;$J503+7)*('Weekly Log'!$M$5:$M$5000&lt;&gt;"")),'Weekly Log'!$M$5:$M$5000),0))</f>
        <v/>
      </c>
      <c r="J503" t="str">
        <f>IF(COUNT('Weekly Log'!$A$5:$A$5000)=0,"",IF(MIN('Weekly Log'!$A$5:$A$5000)+7*(ROW()-10)&gt;MAX('Weekly Log'!$A$5:$A$5000),"",MIN('Weekly Log'!$A$5:$A$5000)+7*(ROW()-10)))</f>
        <v/>
      </c>
    </row>
    <row r="504" spans="1:10" x14ac:dyDescent="0.25">
      <c r="A504" t="str">
        <f t="shared" si="7"/>
        <v/>
      </c>
      <c r="B504" t="str">
        <f>IF($J504="","",SUMIFS('Weekly Log'!$C:$C,'Weekly Log'!$A:$A,"&gt;="&amp;$J504,'Weekly Log'!$A:$A,"&lt;"&amp;$J504+7))</f>
        <v/>
      </c>
      <c r="C504" t="str">
        <f>IF($J504="","",IFERROR(COUNTIFS('Weekly Log'!$G:$G,"Y",'Weekly Log'!$A:$A,"&gt;="&amp;$J504,'Weekly Log'!$A:$A,"&lt;"&amp;$J504+7)/COUNTIFS('Weekly Log'!$G:$G,"&lt;&gt;",'Weekly Log'!$A:$A,"&gt;="&amp;$J504,'Weekly Log'!$A:$A,"&lt;"&amp;$J504+7),0))</f>
        <v/>
      </c>
      <c r="D504" t="str">
        <f>IF($J504="","",IFERROR(COUNTIFS('Weekly Log'!$H:$H,"Y",'Weekly Log'!$A:$A,"&gt;="&amp;$J504,'Weekly Log'!$A:$A,"&lt;"&amp;$J504+7)/COUNTIFS('Weekly Log'!$H:$H,"&lt;&gt;",'Weekly Log'!$A:$A,"&gt;="&amp;$J504,'Weekly Log'!$A:$A,"&lt;"&amp;$J504+7),0))</f>
        <v/>
      </c>
      <c r="E504" t="str">
        <f>IF($J504="","",IFERROR(AVERAGEIFS('Weekly Log'!$F:$F,'Weekly Log'!$A:$A,"&gt;="&amp;$J504,'Weekly Log'!$A:$A,"&lt;"&amp;$J504+7),0))</f>
        <v/>
      </c>
      <c r="F504" t="str">
        <f>IF($J504="","",IFERROR(SUMIFS('Weekly Log'!$F:$F,'Weekly Log'!$A:$A,"&gt;="&amp;$J504,'Weekly Log'!$A:$A,"&lt;"&amp;$J504+7)/SUMIFS('Weekly Log'!$E:$E,'Weekly Log'!$A:$A,"&gt;="&amp;$J504,'Weekly Log'!$A:$A,"&lt;"&amp;$J504+7),0))</f>
        <v/>
      </c>
      <c r="G504" t="str">
        <f>IF($J504="","",IFERROR(LOOKUP(2,1/(('Weekly Log'!$A$5:$A$5000&gt;=$J504)*('Weekly Log'!$A$5:$A$5000&lt;$J504+7)*('Weekly Log'!$M$5:$M$5000&lt;&gt;"")),'Weekly Log'!$M$5:$M$5000),0))</f>
        <v/>
      </c>
      <c r="J504" t="str">
        <f>IF(COUNT('Weekly Log'!$A$5:$A$5000)=0,"",IF(MIN('Weekly Log'!$A$5:$A$5000)+7*(ROW()-10)&gt;MAX('Weekly Log'!$A$5:$A$5000),"",MIN('Weekly Log'!$A$5:$A$5000)+7*(ROW()-10)))</f>
        <v/>
      </c>
    </row>
    <row r="505" spans="1:10" x14ac:dyDescent="0.25">
      <c r="A505" t="str">
        <f t="shared" si="7"/>
        <v/>
      </c>
      <c r="B505" t="str">
        <f>IF($J505="","",SUMIFS('Weekly Log'!$C:$C,'Weekly Log'!$A:$A,"&gt;="&amp;$J505,'Weekly Log'!$A:$A,"&lt;"&amp;$J505+7))</f>
        <v/>
      </c>
      <c r="C505" t="str">
        <f>IF($J505="","",IFERROR(COUNTIFS('Weekly Log'!$G:$G,"Y",'Weekly Log'!$A:$A,"&gt;="&amp;$J505,'Weekly Log'!$A:$A,"&lt;"&amp;$J505+7)/COUNTIFS('Weekly Log'!$G:$G,"&lt;&gt;",'Weekly Log'!$A:$A,"&gt;="&amp;$J505,'Weekly Log'!$A:$A,"&lt;"&amp;$J505+7),0))</f>
        <v/>
      </c>
      <c r="D505" t="str">
        <f>IF($J505="","",IFERROR(COUNTIFS('Weekly Log'!$H:$H,"Y",'Weekly Log'!$A:$A,"&gt;="&amp;$J505,'Weekly Log'!$A:$A,"&lt;"&amp;$J505+7)/COUNTIFS('Weekly Log'!$H:$H,"&lt;&gt;",'Weekly Log'!$A:$A,"&gt;="&amp;$J505,'Weekly Log'!$A:$A,"&lt;"&amp;$J505+7),0))</f>
        <v/>
      </c>
      <c r="E505" t="str">
        <f>IF($J505="","",IFERROR(AVERAGEIFS('Weekly Log'!$F:$F,'Weekly Log'!$A:$A,"&gt;="&amp;$J505,'Weekly Log'!$A:$A,"&lt;"&amp;$J505+7),0))</f>
        <v/>
      </c>
      <c r="F505" t="str">
        <f>IF($J505="","",IFERROR(SUMIFS('Weekly Log'!$F:$F,'Weekly Log'!$A:$A,"&gt;="&amp;$J505,'Weekly Log'!$A:$A,"&lt;"&amp;$J505+7)/SUMIFS('Weekly Log'!$E:$E,'Weekly Log'!$A:$A,"&gt;="&amp;$J505,'Weekly Log'!$A:$A,"&lt;"&amp;$J505+7),0))</f>
        <v/>
      </c>
      <c r="G505" t="str">
        <f>IF($J505="","",IFERROR(LOOKUP(2,1/(('Weekly Log'!$A$5:$A$5000&gt;=$J505)*('Weekly Log'!$A$5:$A$5000&lt;$J505+7)*('Weekly Log'!$M$5:$M$5000&lt;&gt;"")),'Weekly Log'!$M$5:$M$5000),0))</f>
        <v/>
      </c>
      <c r="J505" t="str">
        <f>IF(COUNT('Weekly Log'!$A$5:$A$5000)=0,"",IF(MIN('Weekly Log'!$A$5:$A$5000)+7*(ROW()-10)&gt;MAX('Weekly Log'!$A$5:$A$5000),"",MIN('Weekly Log'!$A$5:$A$5000)+7*(ROW()-10)))</f>
        <v/>
      </c>
    </row>
    <row r="506" spans="1:10" x14ac:dyDescent="0.25">
      <c r="A506" t="str">
        <f t="shared" si="7"/>
        <v/>
      </c>
      <c r="B506" t="str">
        <f>IF($J506="","",SUMIFS('Weekly Log'!$C:$C,'Weekly Log'!$A:$A,"&gt;="&amp;$J506,'Weekly Log'!$A:$A,"&lt;"&amp;$J506+7))</f>
        <v/>
      </c>
      <c r="C506" t="str">
        <f>IF($J506="","",IFERROR(COUNTIFS('Weekly Log'!$G:$G,"Y",'Weekly Log'!$A:$A,"&gt;="&amp;$J506,'Weekly Log'!$A:$A,"&lt;"&amp;$J506+7)/COUNTIFS('Weekly Log'!$G:$G,"&lt;&gt;",'Weekly Log'!$A:$A,"&gt;="&amp;$J506,'Weekly Log'!$A:$A,"&lt;"&amp;$J506+7),0))</f>
        <v/>
      </c>
      <c r="D506" t="str">
        <f>IF($J506="","",IFERROR(COUNTIFS('Weekly Log'!$H:$H,"Y",'Weekly Log'!$A:$A,"&gt;="&amp;$J506,'Weekly Log'!$A:$A,"&lt;"&amp;$J506+7)/COUNTIFS('Weekly Log'!$H:$H,"&lt;&gt;",'Weekly Log'!$A:$A,"&gt;="&amp;$J506,'Weekly Log'!$A:$A,"&lt;"&amp;$J506+7),0))</f>
        <v/>
      </c>
      <c r="E506" t="str">
        <f>IF($J506="","",IFERROR(AVERAGEIFS('Weekly Log'!$F:$F,'Weekly Log'!$A:$A,"&gt;="&amp;$J506,'Weekly Log'!$A:$A,"&lt;"&amp;$J506+7),0))</f>
        <v/>
      </c>
      <c r="F506" t="str">
        <f>IF($J506="","",IFERROR(SUMIFS('Weekly Log'!$F:$F,'Weekly Log'!$A:$A,"&gt;="&amp;$J506,'Weekly Log'!$A:$A,"&lt;"&amp;$J506+7)/SUMIFS('Weekly Log'!$E:$E,'Weekly Log'!$A:$A,"&gt;="&amp;$J506,'Weekly Log'!$A:$A,"&lt;"&amp;$J506+7),0))</f>
        <v/>
      </c>
      <c r="G506" t="str">
        <f>IF($J506="","",IFERROR(LOOKUP(2,1/(('Weekly Log'!$A$5:$A$5000&gt;=$J506)*('Weekly Log'!$A$5:$A$5000&lt;$J506+7)*('Weekly Log'!$M$5:$M$5000&lt;&gt;"")),'Weekly Log'!$M$5:$M$5000),0))</f>
        <v/>
      </c>
      <c r="J506" t="str">
        <f>IF(COUNT('Weekly Log'!$A$5:$A$5000)=0,"",IF(MIN('Weekly Log'!$A$5:$A$5000)+7*(ROW()-10)&gt;MAX('Weekly Log'!$A$5:$A$5000),"",MIN('Weekly Log'!$A$5:$A$5000)+7*(ROW()-10)))</f>
        <v/>
      </c>
    </row>
    <row r="507" spans="1:10" x14ac:dyDescent="0.25">
      <c r="A507" t="str">
        <f t="shared" si="7"/>
        <v/>
      </c>
      <c r="B507" t="str">
        <f>IF($J507="","",SUMIFS('Weekly Log'!$C:$C,'Weekly Log'!$A:$A,"&gt;="&amp;$J507,'Weekly Log'!$A:$A,"&lt;"&amp;$J507+7))</f>
        <v/>
      </c>
      <c r="C507" t="str">
        <f>IF($J507="","",IFERROR(COUNTIFS('Weekly Log'!$G:$G,"Y",'Weekly Log'!$A:$A,"&gt;="&amp;$J507,'Weekly Log'!$A:$A,"&lt;"&amp;$J507+7)/COUNTIFS('Weekly Log'!$G:$G,"&lt;&gt;",'Weekly Log'!$A:$A,"&gt;="&amp;$J507,'Weekly Log'!$A:$A,"&lt;"&amp;$J507+7),0))</f>
        <v/>
      </c>
      <c r="D507" t="str">
        <f>IF($J507="","",IFERROR(COUNTIFS('Weekly Log'!$H:$H,"Y",'Weekly Log'!$A:$A,"&gt;="&amp;$J507,'Weekly Log'!$A:$A,"&lt;"&amp;$J507+7)/COUNTIFS('Weekly Log'!$H:$H,"&lt;&gt;",'Weekly Log'!$A:$A,"&gt;="&amp;$J507,'Weekly Log'!$A:$A,"&lt;"&amp;$J507+7),0))</f>
        <v/>
      </c>
      <c r="E507" t="str">
        <f>IF($J507="","",IFERROR(AVERAGEIFS('Weekly Log'!$F:$F,'Weekly Log'!$A:$A,"&gt;="&amp;$J507,'Weekly Log'!$A:$A,"&lt;"&amp;$J507+7),0))</f>
        <v/>
      </c>
      <c r="F507" t="str">
        <f>IF($J507="","",IFERROR(SUMIFS('Weekly Log'!$F:$F,'Weekly Log'!$A:$A,"&gt;="&amp;$J507,'Weekly Log'!$A:$A,"&lt;"&amp;$J507+7)/SUMIFS('Weekly Log'!$E:$E,'Weekly Log'!$A:$A,"&gt;="&amp;$J507,'Weekly Log'!$A:$A,"&lt;"&amp;$J507+7),0))</f>
        <v/>
      </c>
      <c r="G507" t="str">
        <f>IF($J507="","",IFERROR(LOOKUP(2,1/(('Weekly Log'!$A$5:$A$5000&gt;=$J507)*('Weekly Log'!$A$5:$A$5000&lt;$J507+7)*('Weekly Log'!$M$5:$M$5000&lt;&gt;"")),'Weekly Log'!$M$5:$M$5000),0))</f>
        <v/>
      </c>
      <c r="J507" t="str">
        <f>IF(COUNT('Weekly Log'!$A$5:$A$5000)=0,"",IF(MIN('Weekly Log'!$A$5:$A$5000)+7*(ROW()-10)&gt;MAX('Weekly Log'!$A$5:$A$5000),"",MIN('Weekly Log'!$A$5:$A$5000)+7*(ROW()-10)))</f>
        <v/>
      </c>
    </row>
    <row r="508" spans="1:10" x14ac:dyDescent="0.25">
      <c r="A508" t="str">
        <f t="shared" si="7"/>
        <v/>
      </c>
      <c r="B508" t="str">
        <f>IF($J508="","",SUMIFS('Weekly Log'!$C:$C,'Weekly Log'!$A:$A,"&gt;="&amp;$J508,'Weekly Log'!$A:$A,"&lt;"&amp;$J508+7))</f>
        <v/>
      </c>
      <c r="C508" t="str">
        <f>IF($J508="","",IFERROR(COUNTIFS('Weekly Log'!$G:$G,"Y",'Weekly Log'!$A:$A,"&gt;="&amp;$J508,'Weekly Log'!$A:$A,"&lt;"&amp;$J508+7)/COUNTIFS('Weekly Log'!$G:$G,"&lt;&gt;",'Weekly Log'!$A:$A,"&gt;="&amp;$J508,'Weekly Log'!$A:$A,"&lt;"&amp;$J508+7),0))</f>
        <v/>
      </c>
      <c r="D508" t="str">
        <f>IF($J508="","",IFERROR(COUNTIFS('Weekly Log'!$H:$H,"Y",'Weekly Log'!$A:$A,"&gt;="&amp;$J508,'Weekly Log'!$A:$A,"&lt;"&amp;$J508+7)/COUNTIFS('Weekly Log'!$H:$H,"&lt;&gt;",'Weekly Log'!$A:$A,"&gt;="&amp;$J508,'Weekly Log'!$A:$A,"&lt;"&amp;$J508+7),0))</f>
        <v/>
      </c>
      <c r="E508" t="str">
        <f>IF($J508="","",IFERROR(AVERAGEIFS('Weekly Log'!$F:$F,'Weekly Log'!$A:$A,"&gt;="&amp;$J508,'Weekly Log'!$A:$A,"&lt;"&amp;$J508+7),0))</f>
        <v/>
      </c>
      <c r="F508" t="str">
        <f>IF($J508="","",IFERROR(SUMIFS('Weekly Log'!$F:$F,'Weekly Log'!$A:$A,"&gt;="&amp;$J508,'Weekly Log'!$A:$A,"&lt;"&amp;$J508+7)/SUMIFS('Weekly Log'!$E:$E,'Weekly Log'!$A:$A,"&gt;="&amp;$J508,'Weekly Log'!$A:$A,"&lt;"&amp;$J508+7),0))</f>
        <v/>
      </c>
      <c r="G508" t="str">
        <f>IF($J508="","",IFERROR(LOOKUP(2,1/(('Weekly Log'!$A$5:$A$5000&gt;=$J508)*('Weekly Log'!$A$5:$A$5000&lt;$J508+7)*('Weekly Log'!$M$5:$M$5000&lt;&gt;"")),'Weekly Log'!$M$5:$M$5000),0))</f>
        <v/>
      </c>
      <c r="J508" t="str">
        <f>IF(COUNT('Weekly Log'!$A$5:$A$5000)=0,"",IF(MIN('Weekly Log'!$A$5:$A$5000)+7*(ROW()-10)&gt;MAX('Weekly Log'!$A$5:$A$5000),"",MIN('Weekly Log'!$A$5:$A$5000)+7*(ROW()-10)))</f>
        <v/>
      </c>
    </row>
    <row r="509" spans="1:10" x14ac:dyDescent="0.25">
      <c r="A509" t="str">
        <f t="shared" si="7"/>
        <v/>
      </c>
      <c r="B509" t="str">
        <f>IF($J509="","",SUMIFS('Weekly Log'!$C:$C,'Weekly Log'!$A:$A,"&gt;="&amp;$J509,'Weekly Log'!$A:$A,"&lt;"&amp;$J509+7))</f>
        <v/>
      </c>
      <c r="C509" t="str">
        <f>IF($J509="","",IFERROR(COUNTIFS('Weekly Log'!$G:$G,"Y",'Weekly Log'!$A:$A,"&gt;="&amp;$J509,'Weekly Log'!$A:$A,"&lt;"&amp;$J509+7)/COUNTIFS('Weekly Log'!$G:$G,"&lt;&gt;",'Weekly Log'!$A:$A,"&gt;="&amp;$J509,'Weekly Log'!$A:$A,"&lt;"&amp;$J509+7),0))</f>
        <v/>
      </c>
      <c r="D509" t="str">
        <f>IF($J509="","",IFERROR(COUNTIFS('Weekly Log'!$H:$H,"Y",'Weekly Log'!$A:$A,"&gt;="&amp;$J509,'Weekly Log'!$A:$A,"&lt;"&amp;$J509+7)/COUNTIFS('Weekly Log'!$H:$H,"&lt;&gt;",'Weekly Log'!$A:$A,"&gt;="&amp;$J509,'Weekly Log'!$A:$A,"&lt;"&amp;$J509+7),0))</f>
        <v/>
      </c>
      <c r="E509" t="str">
        <f>IF($J509="","",IFERROR(AVERAGEIFS('Weekly Log'!$F:$F,'Weekly Log'!$A:$A,"&gt;="&amp;$J509,'Weekly Log'!$A:$A,"&lt;"&amp;$J509+7),0))</f>
        <v/>
      </c>
      <c r="F509" t="str">
        <f>IF($J509="","",IFERROR(SUMIFS('Weekly Log'!$F:$F,'Weekly Log'!$A:$A,"&gt;="&amp;$J509,'Weekly Log'!$A:$A,"&lt;"&amp;$J509+7)/SUMIFS('Weekly Log'!$E:$E,'Weekly Log'!$A:$A,"&gt;="&amp;$J509,'Weekly Log'!$A:$A,"&lt;"&amp;$J509+7),0))</f>
        <v/>
      </c>
      <c r="G509" t="str">
        <f>IF($J509="","",IFERROR(LOOKUP(2,1/(('Weekly Log'!$A$5:$A$5000&gt;=$J509)*('Weekly Log'!$A$5:$A$5000&lt;$J509+7)*('Weekly Log'!$M$5:$M$5000&lt;&gt;"")),'Weekly Log'!$M$5:$M$5000),0))</f>
        <v/>
      </c>
      <c r="J509" t="str">
        <f>IF(COUNT('Weekly Log'!$A$5:$A$5000)=0,"",IF(MIN('Weekly Log'!$A$5:$A$5000)+7*(ROW()-10)&gt;MAX('Weekly Log'!$A$5:$A$5000),"",MIN('Weekly Log'!$A$5:$A$5000)+7*(ROW()-10)))</f>
        <v/>
      </c>
    </row>
    <row r="510" spans="1:10" x14ac:dyDescent="0.25">
      <c r="A510" t="str">
        <f t="shared" si="7"/>
        <v/>
      </c>
      <c r="B510" t="str">
        <f>IF($J510="","",SUMIFS('Weekly Log'!$C:$C,'Weekly Log'!$A:$A,"&gt;="&amp;$J510,'Weekly Log'!$A:$A,"&lt;"&amp;$J510+7))</f>
        <v/>
      </c>
      <c r="C510" t="str">
        <f>IF($J510="","",IFERROR(COUNTIFS('Weekly Log'!$G:$G,"Y",'Weekly Log'!$A:$A,"&gt;="&amp;$J510,'Weekly Log'!$A:$A,"&lt;"&amp;$J510+7)/COUNTIFS('Weekly Log'!$G:$G,"&lt;&gt;",'Weekly Log'!$A:$A,"&gt;="&amp;$J510,'Weekly Log'!$A:$A,"&lt;"&amp;$J510+7),0))</f>
        <v/>
      </c>
      <c r="D510" t="str">
        <f>IF($J510="","",IFERROR(COUNTIFS('Weekly Log'!$H:$H,"Y",'Weekly Log'!$A:$A,"&gt;="&amp;$J510,'Weekly Log'!$A:$A,"&lt;"&amp;$J510+7)/COUNTIFS('Weekly Log'!$H:$H,"&lt;&gt;",'Weekly Log'!$A:$A,"&gt;="&amp;$J510,'Weekly Log'!$A:$A,"&lt;"&amp;$J510+7),0))</f>
        <v/>
      </c>
      <c r="E510" t="str">
        <f>IF($J510="","",IFERROR(AVERAGEIFS('Weekly Log'!$F:$F,'Weekly Log'!$A:$A,"&gt;="&amp;$J510,'Weekly Log'!$A:$A,"&lt;"&amp;$J510+7),0))</f>
        <v/>
      </c>
      <c r="F510" t="str">
        <f>IF($J510="","",IFERROR(SUMIFS('Weekly Log'!$F:$F,'Weekly Log'!$A:$A,"&gt;="&amp;$J510,'Weekly Log'!$A:$A,"&lt;"&amp;$J510+7)/SUMIFS('Weekly Log'!$E:$E,'Weekly Log'!$A:$A,"&gt;="&amp;$J510,'Weekly Log'!$A:$A,"&lt;"&amp;$J510+7),0))</f>
        <v/>
      </c>
      <c r="G510" t="str">
        <f>IF($J510="","",IFERROR(LOOKUP(2,1/(('Weekly Log'!$A$5:$A$5000&gt;=$J510)*('Weekly Log'!$A$5:$A$5000&lt;$J510+7)*('Weekly Log'!$M$5:$M$5000&lt;&gt;"")),'Weekly Log'!$M$5:$M$5000),0))</f>
        <v/>
      </c>
      <c r="J510" t="str">
        <f>IF(COUNT('Weekly Log'!$A$5:$A$5000)=0,"",IF(MIN('Weekly Log'!$A$5:$A$5000)+7*(ROW()-10)&gt;MAX('Weekly Log'!$A$5:$A$5000),"",MIN('Weekly Log'!$A$5:$A$5000)+7*(ROW()-10)))</f>
        <v/>
      </c>
    </row>
    <row r="511" spans="1:10" x14ac:dyDescent="0.25">
      <c r="A511" t="str">
        <f t="shared" si="7"/>
        <v/>
      </c>
      <c r="B511" t="str">
        <f>IF($J511="","",SUMIFS('Weekly Log'!$C:$C,'Weekly Log'!$A:$A,"&gt;="&amp;$J511,'Weekly Log'!$A:$A,"&lt;"&amp;$J511+7))</f>
        <v/>
      </c>
      <c r="C511" t="str">
        <f>IF($J511="","",IFERROR(COUNTIFS('Weekly Log'!$G:$G,"Y",'Weekly Log'!$A:$A,"&gt;="&amp;$J511,'Weekly Log'!$A:$A,"&lt;"&amp;$J511+7)/COUNTIFS('Weekly Log'!$G:$G,"&lt;&gt;",'Weekly Log'!$A:$A,"&gt;="&amp;$J511,'Weekly Log'!$A:$A,"&lt;"&amp;$J511+7),0))</f>
        <v/>
      </c>
      <c r="D511" t="str">
        <f>IF($J511="","",IFERROR(COUNTIFS('Weekly Log'!$H:$H,"Y",'Weekly Log'!$A:$A,"&gt;="&amp;$J511,'Weekly Log'!$A:$A,"&lt;"&amp;$J511+7)/COUNTIFS('Weekly Log'!$H:$H,"&lt;&gt;",'Weekly Log'!$A:$A,"&gt;="&amp;$J511,'Weekly Log'!$A:$A,"&lt;"&amp;$J511+7),0))</f>
        <v/>
      </c>
      <c r="E511" t="str">
        <f>IF($J511="","",IFERROR(AVERAGEIFS('Weekly Log'!$F:$F,'Weekly Log'!$A:$A,"&gt;="&amp;$J511,'Weekly Log'!$A:$A,"&lt;"&amp;$J511+7),0))</f>
        <v/>
      </c>
      <c r="F511" t="str">
        <f>IF($J511="","",IFERROR(SUMIFS('Weekly Log'!$F:$F,'Weekly Log'!$A:$A,"&gt;="&amp;$J511,'Weekly Log'!$A:$A,"&lt;"&amp;$J511+7)/SUMIFS('Weekly Log'!$E:$E,'Weekly Log'!$A:$A,"&gt;="&amp;$J511,'Weekly Log'!$A:$A,"&lt;"&amp;$J511+7),0))</f>
        <v/>
      </c>
      <c r="G511" t="str">
        <f>IF($J511="","",IFERROR(LOOKUP(2,1/(('Weekly Log'!$A$5:$A$5000&gt;=$J511)*('Weekly Log'!$A$5:$A$5000&lt;$J511+7)*('Weekly Log'!$M$5:$M$5000&lt;&gt;"")),'Weekly Log'!$M$5:$M$5000),0))</f>
        <v/>
      </c>
      <c r="J511" t="str">
        <f>IF(COUNT('Weekly Log'!$A$5:$A$5000)=0,"",IF(MIN('Weekly Log'!$A$5:$A$5000)+7*(ROW()-10)&gt;MAX('Weekly Log'!$A$5:$A$5000),"",MIN('Weekly Log'!$A$5:$A$5000)+7*(ROW()-10)))</f>
        <v/>
      </c>
    </row>
    <row r="512" spans="1:10" x14ac:dyDescent="0.25">
      <c r="A512" t="str">
        <f t="shared" si="7"/>
        <v/>
      </c>
      <c r="B512" t="str">
        <f>IF($J512="","",SUMIFS('Weekly Log'!$C:$C,'Weekly Log'!$A:$A,"&gt;="&amp;$J512,'Weekly Log'!$A:$A,"&lt;"&amp;$J512+7))</f>
        <v/>
      </c>
      <c r="C512" t="str">
        <f>IF($J512="","",IFERROR(COUNTIFS('Weekly Log'!$G:$G,"Y",'Weekly Log'!$A:$A,"&gt;="&amp;$J512,'Weekly Log'!$A:$A,"&lt;"&amp;$J512+7)/COUNTIFS('Weekly Log'!$G:$G,"&lt;&gt;",'Weekly Log'!$A:$A,"&gt;="&amp;$J512,'Weekly Log'!$A:$A,"&lt;"&amp;$J512+7),0))</f>
        <v/>
      </c>
      <c r="D512" t="str">
        <f>IF($J512="","",IFERROR(COUNTIFS('Weekly Log'!$H:$H,"Y",'Weekly Log'!$A:$A,"&gt;="&amp;$J512,'Weekly Log'!$A:$A,"&lt;"&amp;$J512+7)/COUNTIFS('Weekly Log'!$H:$H,"&lt;&gt;",'Weekly Log'!$A:$A,"&gt;="&amp;$J512,'Weekly Log'!$A:$A,"&lt;"&amp;$J512+7),0))</f>
        <v/>
      </c>
      <c r="E512" t="str">
        <f>IF($J512="","",IFERROR(AVERAGEIFS('Weekly Log'!$F:$F,'Weekly Log'!$A:$A,"&gt;="&amp;$J512,'Weekly Log'!$A:$A,"&lt;"&amp;$J512+7),0))</f>
        <v/>
      </c>
      <c r="F512" t="str">
        <f>IF($J512="","",IFERROR(SUMIFS('Weekly Log'!$F:$F,'Weekly Log'!$A:$A,"&gt;="&amp;$J512,'Weekly Log'!$A:$A,"&lt;"&amp;$J512+7)/SUMIFS('Weekly Log'!$E:$E,'Weekly Log'!$A:$A,"&gt;="&amp;$J512,'Weekly Log'!$A:$A,"&lt;"&amp;$J512+7),0))</f>
        <v/>
      </c>
      <c r="G512" t="str">
        <f>IF($J512="","",IFERROR(LOOKUP(2,1/(('Weekly Log'!$A$5:$A$5000&gt;=$J512)*('Weekly Log'!$A$5:$A$5000&lt;$J512+7)*('Weekly Log'!$M$5:$M$5000&lt;&gt;"")),'Weekly Log'!$M$5:$M$5000),0))</f>
        <v/>
      </c>
      <c r="J512" t="str">
        <f>IF(COUNT('Weekly Log'!$A$5:$A$5000)=0,"",IF(MIN('Weekly Log'!$A$5:$A$5000)+7*(ROW()-10)&gt;MAX('Weekly Log'!$A$5:$A$5000),"",MIN('Weekly Log'!$A$5:$A$5000)+7*(ROW()-10)))</f>
        <v/>
      </c>
    </row>
    <row r="513" spans="1:10" x14ac:dyDescent="0.25">
      <c r="A513" t="str">
        <f t="shared" si="7"/>
        <v/>
      </c>
      <c r="B513" t="str">
        <f>IF($J513="","",SUMIFS('Weekly Log'!$C:$C,'Weekly Log'!$A:$A,"&gt;="&amp;$J513,'Weekly Log'!$A:$A,"&lt;"&amp;$J513+7))</f>
        <v/>
      </c>
      <c r="C513" t="str">
        <f>IF($J513="","",IFERROR(COUNTIFS('Weekly Log'!$G:$G,"Y",'Weekly Log'!$A:$A,"&gt;="&amp;$J513,'Weekly Log'!$A:$A,"&lt;"&amp;$J513+7)/COUNTIFS('Weekly Log'!$G:$G,"&lt;&gt;",'Weekly Log'!$A:$A,"&gt;="&amp;$J513,'Weekly Log'!$A:$A,"&lt;"&amp;$J513+7),0))</f>
        <v/>
      </c>
      <c r="D513" t="str">
        <f>IF($J513="","",IFERROR(COUNTIFS('Weekly Log'!$H:$H,"Y",'Weekly Log'!$A:$A,"&gt;="&amp;$J513,'Weekly Log'!$A:$A,"&lt;"&amp;$J513+7)/COUNTIFS('Weekly Log'!$H:$H,"&lt;&gt;",'Weekly Log'!$A:$A,"&gt;="&amp;$J513,'Weekly Log'!$A:$A,"&lt;"&amp;$J513+7),0))</f>
        <v/>
      </c>
      <c r="E513" t="str">
        <f>IF($J513="","",IFERROR(AVERAGEIFS('Weekly Log'!$F:$F,'Weekly Log'!$A:$A,"&gt;="&amp;$J513,'Weekly Log'!$A:$A,"&lt;"&amp;$J513+7),0))</f>
        <v/>
      </c>
      <c r="F513" t="str">
        <f>IF($J513="","",IFERROR(SUMIFS('Weekly Log'!$F:$F,'Weekly Log'!$A:$A,"&gt;="&amp;$J513,'Weekly Log'!$A:$A,"&lt;"&amp;$J513+7)/SUMIFS('Weekly Log'!$E:$E,'Weekly Log'!$A:$A,"&gt;="&amp;$J513,'Weekly Log'!$A:$A,"&lt;"&amp;$J513+7),0))</f>
        <v/>
      </c>
      <c r="G513" t="str">
        <f>IF($J513="","",IFERROR(LOOKUP(2,1/(('Weekly Log'!$A$5:$A$5000&gt;=$J513)*('Weekly Log'!$A$5:$A$5000&lt;$J513+7)*('Weekly Log'!$M$5:$M$5000&lt;&gt;"")),'Weekly Log'!$M$5:$M$5000),0))</f>
        <v/>
      </c>
      <c r="J513" t="str">
        <f>IF(COUNT('Weekly Log'!$A$5:$A$5000)=0,"",IF(MIN('Weekly Log'!$A$5:$A$5000)+7*(ROW()-10)&gt;MAX('Weekly Log'!$A$5:$A$5000),"",MIN('Weekly Log'!$A$5:$A$5000)+7*(ROW()-10)))</f>
        <v/>
      </c>
    </row>
    <row r="514" spans="1:10" x14ac:dyDescent="0.25">
      <c r="A514" t="str">
        <f t="shared" si="7"/>
        <v/>
      </c>
      <c r="B514" t="str">
        <f>IF($J514="","",SUMIFS('Weekly Log'!$C:$C,'Weekly Log'!$A:$A,"&gt;="&amp;$J514,'Weekly Log'!$A:$A,"&lt;"&amp;$J514+7))</f>
        <v/>
      </c>
      <c r="C514" t="str">
        <f>IF($J514="","",IFERROR(COUNTIFS('Weekly Log'!$G:$G,"Y",'Weekly Log'!$A:$A,"&gt;="&amp;$J514,'Weekly Log'!$A:$A,"&lt;"&amp;$J514+7)/COUNTIFS('Weekly Log'!$G:$G,"&lt;&gt;",'Weekly Log'!$A:$A,"&gt;="&amp;$J514,'Weekly Log'!$A:$A,"&lt;"&amp;$J514+7),0))</f>
        <v/>
      </c>
      <c r="D514" t="str">
        <f>IF($J514="","",IFERROR(COUNTIFS('Weekly Log'!$H:$H,"Y",'Weekly Log'!$A:$A,"&gt;="&amp;$J514,'Weekly Log'!$A:$A,"&lt;"&amp;$J514+7)/COUNTIFS('Weekly Log'!$H:$H,"&lt;&gt;",'Weekly Log'!$A:$A,"&gt;="&amp;$J514,'Weekly Log'!$A:$A,"&lt;"&amp;$J514+7),0))</f>
        <v/>
      </c>
      <c r="E514" t="str">
        <f>IF($J514="","",IFERROR(AVERAGEIFS('Weekly Log'!$F:$F,'Weekly Log'!$A:$A,"&gt;="&amp;$J514,'Weekly Log'!$A:$A,"&lt;"&amp;$J514+7),0))</f>
        <v/>
      </c>
      <c r="F514" t="str">
        <f>IF($J514="","",IFERROR(SUMIFS('Weekly Log'!$F:$F,'Weekly Log'!$A:$A,"&gt;="&amp;$J514,'Weekly Log'!$A:$A,"&lt;"&amp;$J514+7)/SUMIFS('Weekly Log'!$E:$E,'Weekly Log'!$A:$A,"&gt;="&amp;$J514,'Weekly Log'!$A:$A,"&lt;"&amp;$J514+7),0))</f>
        <v/>
      </c>
      <c r="G514" t="str">
        <f>IF($J514="","",IFERROR(LOOKUP(2,1/(('Weekly Log'!$A$5:$A$5000&gt;=$J514)*('Weekly Log'!$A$5:$A$5000&lt;$J514+7)*('Weekly Log'!$M$5:$M$5000&lt;&gt;"")),'Weekly Log'!$M$5:$M$5000),0))</f>
        <v/>
      </c>
      <c r="J514" t="str">
        <f>IF(COUNT('Weekly Log'!$A$5:$A$5000)=0,"",IF(MIN('Weekly Log'!$A$5:$A$5000)+7*(ROW()-10)&gt;MAX('Weekly Log'!$A$5:$A$5000),"",MIN('Weekly Log'!$A$5:$A$5000)+7*(ROW()-10)))</f>
        <v/>
      </c>
    </row>
    <row r="515" spans="1:10" x14ac:dyDescent="0.25">
      <c r="A515" t="str">
        <f t="shared" si="7"/>
        <v/>
      </c>
      <c r="B515" t="str">
        <f>IF($J515="","",SUMIFS('Weekly Log'!$C:$C,'Weekly Log'!$A:$A,"&gt;="&amp;$J515,'Weekly Log'!$A:$A,"&lt;"&amp;$J515+7))</f>
        <v/>
      </c>
      <c r="C515" t="str">
        <f>IF($J515="","",IFERROR(COUNTIFS('Weekly Log'!$G:$G,"Y",'Weekly Log'!$A:$A,"&gt;="&amp;$J515,'Weekly Log'!$A:$A,"&lt;"&amp;$J515+7)/COUNTIFS('Weekly Log'!$G:$G,"&lt;&gt;",'Weekly Log'!$A:$A,"&gt;="&amp;$J515,'Weekly Log'!$A:$A,"&lt;"&amp;$J515+7),0))</f>
        <v/>
      </c>
      <c r="D515" t="str">
        <f>IF($J515="","",IFERROR(COUNTIFS('Weekly Log'!$H:$H,"Y",'Weekly Log'!$A:$A,"&gt;="&amp;$J515,'Weekly Log'!$A:$A,"&lt;"&amp;$J515+7)/COUNTIFS('Weekly Log'!$H:$H,"&lt;&gt;",'Weekly Log'!$A:$A,"&gt;="&amp;$J515,'Weekly Log'!$A:$A,"&lt;"&amp;$J515+7),0))</f>
        <v/>
      </c>
      <c r="E515" t="str">
        <f>IF($J515="","",IFERROR(AVERAGEIFS('Weekly Log'!$F:$F,'Weekly Log'!$A:$A,"&gt;="&amp;$J515,'Weekly Log'!$A:$A,"&lt;"&amp;$J515+7),0))</f>
        <v/>
      </c>
      <c r="F515" t="str">
        <f>IF($J515="","",IFERROR(SUMIFS('Weekly Log'!$F:$F,'Weekly Log'!$A:$A,"&gt;="&amp;$J515,'Weekly Log'!$A:$A,"&lt;"&amp;$J515+7)/SUMIFS('Weekly Log'!$E:$E,'Weekly Log'!$A:$A,"&gt;="&amp;$J515,'Weekly Log'!$A:$A,"&lt;"&amp;$J515+7),0))</f>
        <v/>
      </c>
      <c r="G515" t="str">
        <f>IF($J515="","",IFERROR(LOOKUP(2,1/(('Weekly Log'!$A$5:$A$5000&gt;=$J515)*('Weekly Log'!$A$5:$A$5000&lt;$J515+7)*('Weekly Log'!$M$5:$M$5000&lt;&gt;"")),'Weekly Log'!$M$5:$M$5000),0))</f>
        <v/>
      </c>
      <c r="J515" t="str">
        <f>IF(COUNT('Weekly Log'!$A$5:$A$5000)=0,"",IF(MIN('Weekly Log'!$A$5:$A$5000)+7*(ROW()-10)&gt;MAX('Weekly Log'!$A$5:$A$5000),"",MIN('Weekly Log'!$A$5:$A$5000)+7*(ROW()-10)))</f>
        <v/>
      </c>
    </row>
    <row r="516" spans="1:10" x14ac:dyDescent="0.25">
      <c r="A516" t="str">
        <f t="shared" si="7"/>
        <v/>
      </c>
      <c r="B516" t="str">
        <f>IF($J516="","",SUMIFS('Weekly Log'!$C:$C,'Weekly Log'!$A:$A,"&gt;="&amp;$J516,'Weekly Log'!$A:$A,"&lt;"&amp;$J516+7))</f>
        <v/>
      </c>
      <c r="C516" t="str">
        <f>IF($J516="","",IFERROR(COUNTIFS('Weekly Log'!$G:$G,"Y",'Weekly Log'!$A:$A,"&gt;="&amp;$J516,'Weekly Log'!$A:$A,"&lt;"&amp;$J516+7)/COUNTIFS('Weekly Log'!$G:$G,"&lt;&gt;",'Weekly Log'!$A:$A,"&gt;="&amp;$J516,'Weekly Log'!$A:$A,"&lt;"&amp;$J516+7),0))</f>
        <v/>
      </c>
      <c r="D516" t="str">
        <f>IF($J516="","",IFERROR(COUNTIFS('Weekly Log'!$H:$H,"Y",'Weekly Log'!$A:$A,"&gt;="&amp;$J516,'Weekly Log'!$A:$A,"&lt;"&amp;$J516+7)/COUNTIFS('Weekly Log'!$H:$H,"&lt;&gt;",'Weekly Log'!$A:$A,"&gt;="&amp;$J516,'Weekly Log'!$A:$A,"&lt;"&amp;$J516+7),0))</f>
        <v/>
      </c>
      <c r="E516" t="str">
        <f>IF($J516="","",IFERROR(AVERAGEIFS('Weekly Log'!$F:$F,'Weekly Log'!$A:$A,"&gt;="&amp;$J516,'Weekly Log'!$A:$A,"&lt;"&amp;$J516+7),0))</f>
        <v/>
      </c>
      <c r="F516" t="str">
        <f>IF($J516="","",IFERROR(SUMIFS('Weekly Log'!$F:$F,'Weekly Log'!$A:$A,"&gt;="&amp;$J516,'Weekly Log'!$A:$A,"&lt;"&amp;$J516+7)/SUMIFS('Weekly Log'!$E:$E,'Weekly Log'!$A:$A,"&gt;="&amp;$J516,'Weekly Log'!$A:$A,"&lt;"&amp;$J516+7),0))</f>
        <v/>
      </c>
      <c r="G516" t="str">
        <f>IF($J516="","",IFERROR(LOOKUP(2,1/(('Weekly Log'!$A$5:$A$5000&gt;=$J516)*('Weekly Log'!$A$5:$A$5000&lt;$J516+7)*('Weekly Log'!$M$5:$M$5000&lt;&gt;"")),'Weekly Log'!$M$5:$M$5000),0))</f>
        <v/>
      </c>
      <c r="J516" t="str">
        <f>IF(COUNT('Weekly Log'!$A$5:$A$5000)=0,"",IF(MIN('Weekly Log'!$A$5:$A$5000)+7*(ROW()-10)&gt;MAX('Weekly Log'!$A$5:$A$5000),"",MIN('Weekly Log'!$A$5:$A$5000)+7*(ROW()-10)))</f>
        <v/>
      </c>
    </row>
    <row r="517" spans="1:10" x14ac:dyDescent="0.25">
      <c r="A517" t="str">
        <f t="shared" si="7"/>
        <v/>
      </c>
      <c r="B517" t="str">
        <f>IF($J517="","",SUMIFS('Weekly Log'!$C:$C,'Weekly Log'!$A:$A,"&gt;="&amp;$J517,'Weekly Log'!$A:$A,"&lt;"&amp;$J517+7))</f>
        <v/>
      </c>
      <c r="C517" t="str">
        <f>IF($J517="","",IFERROR(COUNTIFS('Weekly Log'!$G:$G,"Y",'Weekly Log'!$A:$A,"&gt;="&amp;$J517,'Weekly Log'!$A:$A,"&lt;"&amp;$J517+7)/COUNTIFS('Weekly Log'!$G:$G,"&lt;&gt;",'Weekly Log'!$A:$A,"&gt;="&amp;$J517,'Weekly Log'!$A:$A,"&lt;"&amp;$J517+7),0))</f>
        <v/>
      </c>
      <c r="D517" t="str">
        <f>IF($J517="","",IFERROR(COUNTIFS('Weekly Log'!$H:$H,"Y",'Weekly Log'!$A:$A,"&gt;="&amp;$J517,'Weekly Log'!$A:$A,"&lt;"&amp;$J517+7)/COUNTIFS('Weekly Log'!$H:$H,"&lt;&gt;",'Weekly Log'!$A:$A,"&gt;="&amp;$J517,'Weekly Log'!$A:$A,"&lt;"&amp;$J517+7),0))</f>
        <v/>
      </c>
      <c r="E517" t="str">
        <f>IF($J517="","",IFERROR(AVERAGEIFS('Weekly Log'!$F:$F,'Weekly Log'!$A:$A,"&gt;="&amp;$J517,'Weekly Log'!$A:$A,"&lt;"&amp;$J517+7),0))</f>
        <v/>
      </c>
      <c r="F517" t="str">
        <f>IF($J517="","",IFERROR(SUMIFS('Weekly Log'!$F:$F,'Weekly Log'!$A:$A,"&gt;="&amp;$J517,'Weekly Log'!$A:$A,"&lt;"&amp;$J517+7)/SUMIFS('Weekly Log'!$E:$E,'Weekly Log'!$A:$A,"&gt;="&amp;$J517,'Weekly Log'!$A:$A,"&lt;"&amp;$J517+7),0))</f>
        <v/>
      </c>
      <c r="G517" t="str">
        <f>IF($J517="","",IFERROR(LOOKUP(2,1/(('Weekly Log'!$A$5:$A$5000&gt;=$J517)*('Weekly Log'!$A$5:$A$5000&lt;$J517+7)*('Weekly Log'!$M$5:$M$5000&lt;&gt;"")),'Weekly Log'!$M$5:$M$5000),0))</f>
        <v/>
      </c>
      <c r="J517" t="str">
        <f>IF(COUNT('Weekly Log'!$A$5:$A$5000)=0,"",IF(MIN('Weekly Log'!$A$5:$A$5000)+7*(ROW()-10)&gt;MAX('Weekly Log'!$A$5:$A$5000),"",MIN('Weekly Log'!$A$5:$A$5000)+7*(ROW()-10)))</f>
        <v/>
      </c>
    </row>
    <row r="518" spans="1:10" x14ac:dyDescent="0.25">
      <c r="A518" t="str">
        <f t="shared" si="7"/>
        <v/>
      </c>
      <c r="B518" t="str">
        <f>IF($J518="","",SUMIFS('Weekly Log'!$C:$C,'Weekly Log'!$A:$A,"&gt;="&amp;$J518,'Weekly Log'!$A:$A,"&lt;"&amp;$J518+7))</f>
        <v/>
      </c>
      <c r="C518" t="str">
        <f>IF($J518="","",IFERROR(COUNTIFS('Weekly Log'!$G:$G,"Y",'Weekly Log'!$A:$A,"&gt;="&amp;$J518,'Weekly Log'!$A:$A,"&lt;"&amp;$J518+7)/COUNTIFS('Weekly Log'!$G:$G,"&lt;&gt;",'Weekly Log'!$A:$A,"&gt;="&amp;$J518,'Weekly Log'!$A:$A,"&lt;"&amp;$J518+7),0))</f>
        <v/>
      </c>
      <c r="D518" t="str">
        <f>IF($J518="","",IFERROR(COUNTIFS('Weekly Log'!$H:$H,"Y",'Weekly Log'!$A:$A,"&gt;="&amp;$J518,'Weekly Log'!$A:$A,"&lt;"&amp;$J518+7)/COUNTIFS('Weekly Log'!$H:$H,"&lt;&gt;",'Weekly Log'!$A:$A,"&gt;="&amp;$J518,'Weekly Log'!$A:$A,"&lt;"&amp;$J518+7),0))</f>
        <v/>
      </c>
      <c r="E518" t="str">
        <f>IF($J518="","",IFERROR(AVERAGEIFS('Weekly Log'!$F:$F,'Weekly Log'!$A:$A,"&gt;="&amp;$J518,'Weekly Log'!$A:$A,"&lt;"&amp;$J518+7),0))</f>
        <v/>
      </c>
      <c r="F518" t="str">
        <f>IF($J518="","",IFERROR(SUMIFS('Weekly Log'!$F:$F,'Weekly Log'!$A:$A,"&gt;="&amp;$J518,'Weekly Log'!$A:$A,"&lt;"&amp;$J518+7)/SUMIFS('Weekly Log'!$E:$E,'Weekly Log'!$A:$A,"&gt;="&amp;$J518,'Weekly Log'!$A:$A,"&lt;"&amp;$J518+7),0))</f>
        <v/>
      </c>
      <c r="G518" t="str">
        <f>IF($J518="","",IFERROR(LOOKUP(2,1/(('Weekly Log'!$A$5:$A$5000&gt;=$J518)*('Weekly Log'!$A$5:$A$5000&lt;$J518+7)*('Weekly Log'!$M$5:$M$5000&lt;&gt;"")),'Weekly Log'!$M$5:$M$5000),0))</f>
        <v/>
      </c>
      <c r="J518" t="str">
        <f>IF(COUNT('Weekly Log'!$A$5:$A$5000)=0,"",IF(MIN('Weekly Log'!$A$5:$A$5000)+7*(ROW()-10)&gt;MAX('Weekly Log'!$A$5:$A$5000),"",MIN('Weekly Log'!$A$5:$A$5000)+7*(ROW()-10)))</f>
        <v/>
      </c>
    </row>
    <row r="519" spans="1:10" x14ac:dyDescent="0.25">
      <c r="A519" t="str">
        <f t="shared" si="7"/>
        <v/>
      </c>
      <c r="B519" t="str">
        <f>IF($J519="","",SUMIFS('Weekly Log'!$C:$C,'Weekly Log'!$A:$A,"&gt;="&amp;$J519,'Weekly Log'!$A:$A,"&lt;"&amp;$J519+7))</f>
        <v/>
      </c>
      <c r="C519" t="str">
        <f>IF($J519="","",IFERROR(COUNTIFS('Weekly Log'!$G:$G,"Y",'Weekly Log'!$A:$A,"&gt;="&amp;$J519,'Weekly Log'!$A:$A,"&lt;"&amp;$J519+7)/COUNTIFS('Weekly Log'!$G:$G,"&lt;&gt;",'Weekly Log'!$A:$A,"&gt;="&amp;$J519,'Weekly Log'!$A:$A,"&lt;"&amp;$J519+7),0))</f>
        <v/>
      </c>
      <c r="D519" t="str">
        <f>IF($J519="","",IFERROR(COUNTIFS('Weekly Log'!$H:$H,"Y",'Weekly Log'!$A:$A,"&gt;="&amp;$J519,'Weekly Log'!$A:$A,"&lt;"&amp;$J519+7)/COUNTIFS('Weekly Log'!$H:$H,"&lt;&gt;",'Weekly Log'!$A:$A,"&gt;="&amp;$J519,'Weekly Log'!$A:$A,"&lt;"&amp;$J519+7),0))</f>
        <v/>
      </c>
      <c r="E519" t="str">
        <f>IF($J519="","",IFERROR(AVERAGEIFS('Weekly Log'!$F:$F,'Weekly Log'!$A:$A,"&gt;="&amp;$J519,'Weekly Log'!$A:$A,"&lt;"&amp;$J519+7),0))</f>
        <v/>
      </c>
      <c r="F519" t="str">
        <f>IF($J519="","",IFERROR(SUMIFS('Weekly Log'!$F:$F,'Weekly Log'!$A:$A,"&gt;="&amp;$J519,'Weekly Log'!$A:$A,"&lt;"&amp;$J519+7)/SUMIFS('Weekly Log'!$E:$E,'Weekly Log'!$A:$A,"&gt;="&amp;$J519,'Weekly Log'!$A:$A,"&lt;"&amp;$J519+7),0))</f>
        <v/>
      </c>
      <c r="G519" t="str">
        <f>IF($J519="","",IFERROR(LOOKUP(2,1/(('Weekly Log'!$A$5:$A$5000&gt;=$J519)*('Weekly Log'!$A$5:$A$5000&lt;$J519+7)*('Weekly Log'!$M$5:$M$5000&lt;&gt;"")),'Weekly Log'!$M$5:$M$5000),0))</f>
        <v/>
      </c>
      <c r="J519" t="str">
        <f>IF(COUNT('Weekly Log'!$A$5:$A$5000)=0,"",IF(MIN('Weekly Log'!$A$5:$A$5000)+7*(ROW()-10)&gt;MAX('Weekly Log'!$A$5:$A$5000),"",MIN('Weekly Log'!$A$5:$A$5000)+7*(ROW()-10)))</f>
        <v/>
      </c>
    </row>
    <row r="520" spans="1:10" x14ac:dyDescent="0.25">
      <c r="A520" t="str">
        <f t="shared" si="7"/>
        <v/>
      </c>
      <c r="B520" t="str">
        <f>IF($J520="","",SUMIFS('Weekly Log'!$C:$C,'Weekly Log'!$A:$A,"&gt;="&amp;$J520,'Weekly Log'!$A:$A,"&lt;"&amp;$J520+7))</f>
        <v/>
      </c>
      <c r="C520" t="str">
        <f>IF($J520="","",IFERROR(COUNTIFS('Weekly Log'!$G:$G,"Y",'Weekly Log'!$A:$A,"&gt;="&amp;$J520,'Weekly Log'!$A:$A,"&lt;"&amp;$J520+7)/COUNTIFS('Weekly Log'!$G:$G,"&lt;&gt;",'Weekly Log'!$A:$A,"&gt;="&amp;$J520,'Weekly Log'!$A:$A,"&lt;"&amp;$J520+7),0))</f>
        <v/>
      </c>
      <c r="D520" t="str">
        <f>IF($J520="","",IFERROR(COUNTIFS('Weekly Log'!$H:$H,"Y",'Weekly Log'!$A:$A,"&gt;="&amp;$J520,'Weekly Log'!$A:$A,"&lt;"&amp;$J520+7)/COUNTIFS('Weekly Log'!$H:$H,"&lt;&gt;",'Weekly Log'!$A:$A,"&gt;="&amp;$J520,'Weekly Log'!$A:$A,"&lt;"&amp;$J520+7),0))</f>
        <v/>
      </c>
      <c r="E520" t="str">
        <f>IF($J520="","",IFERROR(AVERAGEIFS('Weekly Log'!$F:$F,'Weekly Log'!$A:$A,"&gt;="&amp;$J520,'Weekly Log'!$A:$A,"&lt;"&amp;$J520+7),0))</f>
        <v/>
      </c>
      <c r="F520" t="str">
        <f>IF($J520="","",IFERROR(SUMIFS('Weekly Log'!$F:$F,'Weekly Log'!$A:$A,"&gt;="&amp;$J520,'Weekly Log'!$A:$A,"&lt;"&amp;$J520+7)/SUMIFS('Weekly Log'!$E:$E,'Weekly Log'!$A:$A,"&gt;="&amp;$J520,'Weekly Log'!$A:$A,"&lt;"&amp;$J520+7),0))</f>
        <v/>
      </c>
      <c r="G520" t="str">
        <f>IF($J520="","",IFERROR(LOOKUP(2,1/(('Weekly Log'!$A$5:$A$5000&gt;=$J520)*('Weekly Log'!$A$5:$A$5000&lt;$J520+7)*('Weekly Log'!$M$5:$M$5000&lt;&gt;"")),'Weekly Log'!$M$5:$M$5000),0))</f>
        <v/>
      </c>
      <c r="J520" t="str">
        <f>IF(COUNT('Weekly Log'!$A$5:$A$5000)=0,"",IF(MIN('Weekly Log'!$A$5:$A$5000)+7*(ROW()-10)&gt;MAX('Weekly Log'!$A$5:$A$5000),"",MIN('Weekly Log'!$A$5:$A$5000)+7*(ROW()-10)))</f>
        <v/>
      </c>
    </row>
    <row r="521" spans="1:10" x14ac:dyDescent="0.25">
      <c r="A521" t="str">
        <f t="shared" si="7"/>
        <v/>
      </c>
      <c r="B521" t="str">
        <f>IF($J521="","",SUMIFS('Weekly Log'!$C:$C,'Weekly Log'!$A:$A,"&gt;="&amp;$J521,'Weekly Log'!$A:$A,"&lt;"&amp;$J521+7))</f>
        <v/>
      </c>
      <c r="C521" t="str">
        <f>IF($J521="","",IFERROR(COUNTIFS('Weekly Log'!$G:$G,"Y",'Weekly Log'!$A:$A,"&gt;="&amp;$J521,'Weekly Log'!$A:$A,"&lt;"&amp;$J521+7)/COUNTIFS('Weekly Log'!$G:$G,"&lt;&gt;",'Weekly Log'!$A:$A,"&gt;="&amp;$J521,'Weekly Log'!$A:$A,"&lt;"&amp;$J521+7),0))</f>
        <v/>
      </c>
      <c r="D521" t="str">
        <f>IF($J521="","",IFERROR(COUNTIFS('Weekly Log'!$H:$H,"Y",'Weekly Log'!$A:$A,"&gt;="&amp;$J521,'Weekly Log'!$A:$A,"&lt;"&amp;$J521+7)/COUNTIFS('Weekly Log'!$H:$H,"&lt;&gt;",'Weekly Log'!$A:$A,"&gt;="&amp;$J521,'Weekly Log'!$A:$A,"&lt;"&amp;$J521+7),0))</f>
        <v/>
      </c>
      <c r="E521" t="str">
        <f>IF($J521="","",IFERROR(AVERAGEIFS('Weekly Log'!$F:$F,'Weekly Log'!$A:$A,"&gt;="&amp;$J521,'Weekly Log'!$A:$A,"&lt;"&amp;$J521+7),0))</f>
        <v/>
      </c>
      <c r="F521" t="str">
        <f>IF($J521="","",IFERROR(SUMIFS('Weekly Log'!$F:$F,'Weekly Log'!$A:$A,"&gt;="&amp;$J521,'Weekly Log'!$A:$A,"&lt;"&amp;$J521+7)/SUMIFS('Weekly Log'!$E:$E,'Weekly Log'!$A:$A,"&gt;="&amp;$J521,'Weekly Log'!$A:$A,"&lt;"&amp;$J521+7),0))</f>
        <v/>
      </c>
      <c r="G521" t="str">
        <f>IF($J521="","",IFERROR(LOOKUP(2,1/(('Weekly Log'!$A$5:$A$5000&gt;=$J521)*('Weekly Log'!$A$5:$A$5000&lt;$J521+7)*('Weekly Log'!$M$5:$M$5000&lt;&gt;"")),'Weekly Log'!$M$5:$M$5000),0))</f>
        <v/>
      </c>
      <c r="J521" t="str">
        <f>IF(COUNT('Weekly Log'!$A$5:$A$5000)=0,"",IF(MIN('Weekly Log'!$A$5:$A$5000)+7*(ROW()-10)&gt;MAX('Weekly Log'!$A$5:$A$5000),"",MIN('Weekly Log'!$A$5:$A$5000)+7*(ROW()-10)))</f>
        <v/>
      </c>
    </row>
    <row r="522" spans="1:10" x14ac:dyDescent="0.25">
      <c r="A522" t="str">
        <f t="shared" ref="A522:A585" si="8">IF($J522="","",YEAR($J522-WEEKDAY($J522,2)+4)&amp;"-W"&amp;TEXT(WEEKNUM($J522,21),"00"))</f>
        <v/>
      </c>
      <c r="B522" t="str">
        <f>IF($J522="","",SUMIFS('Weekly Log'!$C:$C,'Weekly Log'!$A:$A,"&gt;="&amp;$J522,'Weekly Log'!$A:$A,"&lt;"&amp;$J522+7))</f>
        <v/>
      </c>
      <c r="C522" t="str">
        <f>IF($J522="","",IFERROR(COUNTIFS('Weekly Log'!$G:$G,"Y",'Weekly Log'!$A:$A,"&gt;="&amp;$J522,'Weekly Log'!$A:$A,"&lt;"&amp;$J522+7)/COUNTIFS('Weekly Log'!$G:$G,"&lt;&gt;",'Weekly Log'!$A:$A,"&gt;="&amp;$J522,'Weekly Log'!$A:$A,"&lt;"&amp;$J522+7),0))</f>
        <v/>
      </c>
      <c r="D522" t="str">
        <f>IF($J522="","",IFERROR(COUNTIFS('Weekly Log'!$H:$H,"Y",'Weekly Log'!$A:$A,"&gt;="&amp;$J522,'Weekly Log'!$A:$A,"&lt;"&amp;$J522+7)/COUNTIFS('Weekly Log'!$H:$H,"&lt;&gt;",'Weekly Log'!$A:$A,"&gt;="&amp;$J522,'Weekly Log'!$A:$A,"&lt;"&amp;$J522+7),0))</f>
        <v/>
      </c>
      <c r="E522" t="str">
        <f>IF($J522="","",IFERROR(AVERAGEIFS('Weekly Log'!$F:$F,'Weekly Log'!$A:$A,"&gt;="&amp;$J522,'Weekly Log'!$A:$A,"&lt;"&amp;$J522+7),0))</f>
        <v/>
      </c>
      <c r="F522" t="str">
        <f>IF($J522="","",IFERROR(SUMIFS('Weekly Log'!$F:$F,'Weekly Log'!$A:$A,"&gt;="&amp;$J522,'Weekly Log'!$A:$A,"&lt;"&amp;$J522+7)/SUMIFS('Weekly Log'!$E:$E,'Weekly Log'!$A:$A,"&gt;="&amp;$J522,'Weekly Log'!$A:$A,"&lt;"&amp;$J522+7),0))</f>
        <v/>
      </c>
      <c r="G522" t="str">
        <f>IF($J522="","",IFERROR(LOOKUP(2,1/(('Weekly Log'!$A$5:$A$5000&gt;=$J522)*('Weekly Log'!$A$5:$A$5000&lt;$J522+7)*('Weekly Log'!$M$5:$M$5000&lt;&gt;"")),'Weekly Log'!$M$5:$M$5000),0))</f>
        <v/>
      </c>
      <c r="J522" t="str">
        <f>IF(COUNT('Weekly Log'!$A$5:$A$5000)=0,"",IF(MIN('Weekly Log'!$A$5:$A$5000)+7*(ROW()-10)&gt;MAX('Weekly Log'!$A$5:$A$5000),"",MIN('Weekly Log'!$A$5:$A$5000)+7*(ROW()-10)))</f>
        <v/>
      </c>
    </row>
    <row r="523" spans="1:10" x14ac:dyDescent="0.25">
      <c r="A523" t="str">
        <f t="shared" si="8"/>
        <v/>
      </c>
      <c r="B523" t="str">
        <f>IF($J523="","",SUMIFS('Weekly Log'!$C:$C,'Weekly Log'!$A:$A,"&gt;="&amp;$J523,'Weekly Log'!$A:$A,"&lt;"&amp;$J523+7))</f>
        <v/>
      </c>
      <c r="C523" t="str">
        <f>IF($J523="","",IFERROR(COUNTIFS('Weekly Log'!$G:$G,"Y",'Weekly Log'!$A:$A,"&gt;="&amp;$J523,'Weekly Log'!$A:$A,"&lt;"&amp;$J523+7)/COUNTIFS('Weekly Log'!$G:$G,"&lt;&gt;",'Weekly Log'!$A:$A,"&gt;="&amp;$J523,'Weekly Log'!$A:$A,"&lt;"&amp;$J523+7),0))</f>
        <v/>
      </c>
      <c r="D523" t="str">
        <f>IF($J523="","",IFERROR(COUNTIFS('Weekly Log'!$H:$H,"Y",'Weekly Log'!$A:$A,"&gt;="&amp;$J523,'Weekly Log'!$A:$A,"&lt;"&amp;$J523+7)/COUNTIFS('Weekly Log'!$H:$H,"&lt;&gt;",'Weekly Log'!$A:$A,"&gt;="&amp;$J523,'Weekly Log'!$A:$A,"&lt;"&amp;$J523+7),0))</f>
        <v/>
      </c>
      <c r="E523" t="str">
        <f>IF($J523="","",IFERROR(AVERAGEIFS('Weekly Log'!$F:$F,'Weekly Log'!$A:$A,"&gt;="&amp;$J523,'Weekly Log'!$A:$A,"&lt;"&amp;$J523+7),0))</f>
        <v/>
      </c>
      <c r="F523" t="str">
        <f>IF($J523="","",IFERROR(SUMIFS('Weekly Log'!$F:$F,'Weekly Log'!$A:$A,"&gt;="&amp;$J523,'Weekly Log'!$A:$A,"&lt;"&amp;$J523+7)/SUMIFS('Weekly Log'!$E:$E,'Weekly Log'!$A:$A,"&gt;="&amp;$J523,'Weekly Log'!$A:$A,"&lt;"&amp;$J523+7),0))</f>
        <v/>
      </c>
      <c r="G523" t="str">
        <f>IF($J523="","",IFERROR(LOOKUP(2,1/(('Weekly Log'!$A$5:$A$5000&gt;=$J523)*('Weekly Log'!$A$5:$A$5000&lt;$J523+7)*('Weekly Log'!$M$5:$M$5000&lt;&gt;"")),'Weekly Log'!$M$5:$M$5000),0))</f>
        <v/>
      </c>
      <c r="J523" t="str">
        <f>IF(COUNT('Weekly Log'!$A$5:$A$5000)=0,"",IF(MIN('Weekly Log'!$A$5:$A$5000)+7*(ROW()-10)&gt;MAX('Weekly Log'!$A$5:$A$5000),"",MIN('Weekly Log'!$A$5:$A$5000)+7*(ROW()-10)))</f>
        <v/>
      </c>
    </row>
    <row r="524" spans="1:10" x14ac:dyDescent="0.25">
      <c r="A524" t="str">
        <f t="shared" si="8"/>
        <v/>
      </c>
      <c r="B524" t="str">
        <f>IF($J524="","",SUMIFS('Weekly Log'!$C:$C,'Weekly Log'!$A:$A,"&gt;="&amp;$J524,'Weekly Log'!$A:$A,"&lt;"&amp;$J524+7))</f>
        <v/>
      </c>
      <c r="C524" t="str">
        <f>IF($J524="","",IFERROR(COUNTIFS('Weekly Log'!$G:$G,"Y",'Weekly Log'!$A:$A,"&gt;="&amp;$J524,'Weekly Log'!$A:$A,"&lt;"&amp;$J524+7)/COUNTIFS('Weekly Log'!$G:$G,"&lt;&gt;",'Weekly Log'!$A:$A,"&gt;="&amp;$J524,'Weekly Log'!$A:$A,"&lt;"&amp;$J524+7),0))</f>
        <v/>
      </c>
      <c r="D524" t="str">
        <f>IF($J524="","",IFERROR(COUNTIFS('Weekly Log'!$H:$H,"Y",'Weekly Log'!$A:$A,"&gt;="&amp;$J524,'Weekly Log'!$A:$A,"&lt;"&amp;$J524+7)/COUNTIFS('Weekly Log'!$H:$H,"&lt;&gt;",'Weekly Log'!$A:$A,"&gt;="&amp;$J524,'Weekly Log'!$A:$A,"&lt;"&amp;$J524+7),0))</f>
        <v/>
      </c>
      <c r="E524" t="str">
        <f>IF($J524="","",IFERROR(AVERAGEIFS('Weekly Log'!$F:$F,'Weekly Log'!$A:$A,"&gt;="&amp;$J524,'Weekly Log'!$A:$A,"&lt;"&amp;$J524+7),0))</f>
        <v/>
      </c>
      <c r="F524" t="str">
        <f>IF($J524="","",IFERROR(SUMIFS('Weekly Log'!$F:$F,'Weekly Log'!$A:$A,"&gt;="&amp;$J524,'Weekly Log'!$A:$A,"&lt;"&amp;$J524+7)/SUMIFS('Weekly Log'!$E:$E,'Weekly Log'!$A:$A,"&gt;="&amp;$J524,'Weekly Log'!$A:$A,"&lt;"&amp;$J524+7),0))</f>
        <v/>
      </c>
      <c r="G524" t="str">
        <f>IF($J524="","",IFERROR(LOOKUP(2,1/(('Weekly Log'!$A$5:$A$5000&gt;=$J524)*('Weekly Log'!$A$5:$A$5000&lt;$J524+7)*('Weekly Log'!$M$5:$M$5000&lt;&gt;"")),'Weekly Log'!$M$5:$M$5000),0))</f>
        <v/>
      </c>
      <c r="J524" t="str">
        <f>IF(COUNT('Weekly Log'!$A$5:$A$5000)=0,"",IF(MIN('Weekly Log'!$A$5:$A$5000)+7*(ROW()-10)&gt;MAX('Weekly Log'!$A$5:$A$5000),"",MIN('Weekly Log'!$A$5:$A$5000)+7*(ROW()-10)))</f>
        <v/>
      </c>
    </row>
    <row r="525" spans="1:10" x14ac:dyDescent="0.25">
      <c r="A525" t="str">
        <f t="shared" si="8"/>
        <v/>
      </c>
      <c r="B525" t="str">
        <f>IF($J525="","",SUMIFS('Weekly Log'!$C:$C,'Weekly Log'!$A:$A,"&gt;="&amp;$J525,'Weekly Log'!$A:$A,"&lt;"&amp;$J525+7))</f>
        <v/>
      </c>
      <c r="C525" t="str">
        <f>IF($J525="","",IFERROR(COUNTIFS('Weekly Log'!$G:$G,"Y",'Weekly Log'!$A:$A,"&gt;="&amp;$J525,'Weekly Log'!$A:$A,"&lt;"&amp;$J525+7)/COUNTIFS('Weekly Log'!$G:$G,"&lt;&gt;",'Weekly Log'!$A:$A,"&gt;="&amp;$J525,'Weekly Log'!$A:$A,"&lt;"&amp;$J525+7),0))</f>
        <v/>
      </c>
      <c r="D525" t="str">
        <f>IF($J525="","",IFERROR(COUNTIFS('Weekly Log'!$H:$H,"Y",'Weekly Log'!$A:$A,"&gt;="&amp;$J525,'Weekly Log'!$A:$A,"&lt;"&amp;$J525+7)/COUNTIFS('Weekly Log'!$H:$H,"&lt;&gt;",'Weekly Log'!$A:$A,"&gt;="&amp;$J525,'Weekly Log'!$A:$A,"&lt;"&amp;$J525+7),0))</f>
        <v/>
      </c>
      <c r="E525" t="str">
        <f>IF($J525="","",IFERROR(AVERAGEIFS('Weekly Log'!$F:$F,'Weekly Log'!$A:$A,"&gt;="&amp;$J525,'Weekly Log'!$A:$A,"&lt;"&amp;$J525+7),0))</f>
        <v/>
      </c>
      <c r="F525" t="str">
        <f>IF($J525="","",IFERROR(SUMIFS('Weekly Log'!$F:$F,'Weekly Log'!$A:$A,"&gt;="&amp;$J525,'Weekly Log'!$A:$A,"&lt;"&amp;$J525+7)/SUMIFS('Weekly Log'!$E:$E,'Weekly Log'!$A:$A,"&gt;="&amp;$J525,'Weekly Log'!$A:$A,"&lt;"&amp;$J525+7),0))</f>
        <v/>
      </c>
      <c r="G525" t="str">
        <f>IF($J525="","",IFERROR(LOOKUP(2,1/(('Weekly Log'!$A$5:$A$5000&gt;=$J525)*('Weekly Log'!$A$5:$A$5000&lt;$J525+7)*('Weekly Log'!$M$5:$M$5000&lt;&gt;"")),'Weekly Log'!$M$5:$M$5000),0))</f>
        <v/>
      </c>
      <c r="J525" t="str">
        <f>IF(COUNT('Weekly Log'!$A$5:$A$5000)=0,"",IF(MIN('Weekly Log'!$A$5:$A$5000)+7*(ROW()-10)&gt;MAX('Weekly Log'!$A$5:$A$5000),"",MIN('Weekly Log'!$A$5:$A$5000)+7*(ROW()-10)))</f>
        <v/>
      </c>
    </row>
    <row r="526" spans="1:10" x14ac:dyDescent="0.25">
      <c r="A526" t="str">
        <f t="shared" si="8"/>
        <v/>
      </c>
      <c r="B526" t="str">
        <f>IF($J526="","",SUMIFS('Weekly Log'!$C:$C,'Weekly Log'!$A:$A,"&gt;="&amp;$J526,'Weekly Log'!$A:$A,"&lt;"&amp;$J526+7))</f>
        <v/>
      </c>
      <c r="C526" t="str">
        <f>IF($J526="","",IFERROR(COUNTIFS('Weekly Log'!$G:$G,"Y",'Weekly Log'!$A:$A,"&gt;="&amp;$J526,'Weekly Log'!$A:$A,"&lt;"&amp;$J526+7)/COUNTIFS('Weekly Log'!$G:$G,"&lt;&gt;",'Weekly Log'!$A:$A,"&gt;="&amp;$J526,'Weekly Log'!$A:$A,"&lt;"&amp;$J526+7),0))</f>
        <v/>
      </c>
      <c r="D526" t="str">
        <f>IF($J526="","",IFERROR(COUNTIFS('Weekly Log'!$H:$H,"Y",'Weekly Log'!$A:$A,"&gt;="&amp;$J526,'Weekly Log'!$A:$A,"&lt;"&amp;$J526+7)/COUNTIFS('Weekly Log'!$H:$H,"&lt;&gt;",'Weekly Log'!$A:$A,"&gt;="&amp;$J526,'Weekly Log'!$A:$A,"&lt;"&amp;$J526+7),0))</f>
        <v/>
      </c>
      <c r="E526" t="str">
        <f>IF($J526="","",IFERROR(AVERAGEIFS('Weekly Log'!$F:$F,'Weekly Log'!$A:$A,"&gt;="&amp;$J526,'Weekly Log'!$A:$A,"&lt;"&amp;$J526+7),0))</f>
        <v/>
      </c>
      <c r="F526" t="str">
        <f>IF($J526="","",IFERROR(SUMIFS('Weekly Log'!$F:$F,'Weekly Log'!$A:$A,"&gt;="&amp;$J526,'Weekly Log'!$A:$A,"&lt;"&amp;$J526+7)/SUMIFS('Weekly Log'!$E:$E,'Weekly Log'!$A:$A,"&gt;="&amp;$J526,'Weekly Log'!$A:$A,"&lt;"&amp;$J526+7),0))</f>
        <v/>
      </c>
      <c r="G526" t="str">
        <f>IF($J526="","",IFERROR(LOOKUP(2,1/(('Weekly Log'!$A$5:$A$5000&gt;=$J526)*('Weekly Log'!$A$5:$A$5000&lt;$J526+7)*('Weekly Log'!$M$5:$M$5000&lt;&gt;"")),'Weekly Log'!$M$5:$M$5000),0))</f>
        <v/>
      </c>
      <c r="J526" t="str">
        <f>IF(COUNT('Weekly Log'!$A$5:$A$5000)=0,"",IF(MIN('Weekly Log'!$A$5:$A$5000)+7*(ROW()-10)&gt;MAX('Weekly Log'!$A$5:$A$5000),"",MIN('Weekly Log'!$A$5:$A$5000)+7*(ROW()-10)))</f>
        <v/>
      </c>
    </row>
    <row r="527" spans="1:10" x14ac:dyDescent="0.25">
      <c r="A527" t="str">
        <f t="shared" si="8"/>
        <v/>
      </c>
      <c r="B527" t="str">
        <f>IF($J527="","",SUMIFS('Weekly Log'!$C:$C,'Weekly Log'!$A:$A,"&gt;="&amp;$J527,'Weekly Log'!$A:$A,"&lt;"&amp;$J527+7))</f>
        <v/>
      </c>
      <c r="C527" t="str">
        <f>IF($J527="","",IFERROR(COUNTIFS('Weekly Log'!$G:$G,"Y",'Weekly Log'!$A:$A,"&gt;="&amp;$J527,'Weekly Log'!$A:$A,"&lt;"&amp;$J527+7)/COUNTIFS('Weekly Log'!$G:$G,"&lt;&gt;",'Weekly Log'!$A:$A,"&gt;="&amp;$J527,'Weekly Log'!$A:$A,"&lt;"&amp;$J527+7),0))</f>
        <v/>
      </c>
      <c r="D527" t="str">
        <f>IF($J527="","",IFERROR(COUNTIFS('Weekly Log'!$H:$H,"Y",'Weekly Log'!$A:$A,"&gt;="&amp;$J527,'Weekly Log'!$A:$A,"&lt;"&amp;$J527+7)/COUNTIFS('Weekly Log'!$H:$H,"&lt;&gt;",'Weekly Log'!$A:$A,"&gt;="&amp;$J527,'Weekly Log'!$A:$A,"&lt;"&amp;$J527+7),0))</f>
        <v/>
      </c>
      <c r="E527" t="str">
        <f>IF($J527="","",IFERROR(AVERAGEIFS('Weekly Log'!$F:$F,'Weekly Log'!$A:$A,"&gt;="&amp;$J527,'Weekly Log'!$A:$A,"&lt;"&amp;$J527+7),0))</f>
        <v/>
      </c>
      <c r="F527" t="str">
        <f>IF($J527="","",IFERROR(SUMIFS('Weekly Log'!$F:$F,'Weekly Log'!$A:$A,"&gt;="&amp;$J527,'Weekly Log'!$A:$A,"&lt;"&amp;$J527+7)/SUMIFS('Weekly Log'!$E:$E,'Weekly Log'!$A:$A,"&gt;="&amp;$J527,'Weekly Log'!$A:$A,"&lt;"&amp;$J527+7),0))</f>
        <v/>
      </c>
      <c r="G527" t="str">
        <f>IF($J527="","",IFERROR(LOOKUP(2,1/(('Weekly Log'!$A$5:$A$5000&gt;=$J527)*('Weekly Log'!$A$5:$A$5000&lt;$J527+7)*('Weekly Log'!$M$5:$M$5000&lt;&gt;"")),'Weekly Log'!$M$5:$M$5000),0))</f>
        <v/>
      </c>
      <c r="J527" t="str">
        <f>IF(COUNT('Weekly Log'!$A$5:$A$5000)=0,"",IF(MIN('Weekly Log'!$A$5:$A$5000)+7*(ROW()-10)&gt;MAX('Weekly Log'!$A$5:$A$5000),"",MIN('Weekly Log'!$A$5:$A$5000)+7*(ROW()-10)))</f>
        <v/>
      </c>
    </row>
    <row r="528" spans="1:10" x14ac:dyDescent="0.25">
      <c r="A528" t="str">
        <f t="shared" si="8"/>
        <v/>
      </c>
      <c r="B528" t="str">
        <f>IF($J528="","",SUMIFS('Weekly Log'!$C:$C,'Weekly Log'!$A:$A,"&gt;="&amp;$J528,'Weekly Log'!$A:$A,"&lt;"&amp;$J528+7))</f>
        <v/>
      </c>
      <c r="C528" t="str">
        <f>IF($J528="","",IFERROR(COUNTIFS('Weekly Log'!$G:$G,"Y",'Weekly Log'!$A:$A,"&gt;="&amp;$J528,'Weekly Log'!$A:$A,"&lt;"&amp;$J528+7)/COUNTIFS('Weekly Log'!$G:$G,"&lt;&gt;",'Weekly Log'!$A:$A,"&gt;="&amp;$J528,'Weekly Log'!$A:$A,"&lt;"&amp;$J528+7),0))</f>
        <v/>
      </c>
      <c r="D528" t="str">
        <f>IF($J528="","",IFERROR(COUNTIFS('Weekly Log'!$H:$H,"Y",'Weekly Log'!$A:$A,"&gt;="&amp;$J528,'Weekly Log'!$A:$A,"&lt;"&amp;$J528+7)/COUNTIFS('Weekly Log'!$H:$H,"&lt;&gt;",'Weekly Log'!$A:$A,"&gt;="&amp;$J528,'Weekly Log'!$A:$A,"&lt;"&amp;$J528+7),0))</f>
        <v/>
      </c>
      <c r="E528" t="str">
        <f>IF($J528="","",IFERROR(AVERAGEIFS('Weekly Log'!$F:$F,'Weekly Log'!$A:$A,"&gt;="&amp;$J528,'Weekly Log'!$A:$A,"&lt;"&amp;$J528+7),0))</f>
        <v/>
      </c>
      <c r="F528" t="str">
        <f>IF($J528="","",IFERROR(SUMIFS('Weekly Log'!$F:$F,'Weekly Log'!$A:$A,"&gt;="&amp;$J528,'Weekly Log'!$A:$A,"&lt;"&amp;$J528+7)/SUMIFS('Weekly Log'!$E:$E,'Weekly Log'!$A:$A,"&gt;="&amp;$J528,'Weekly Log'!$A:$A,"&lt;"&amp;$J528+7),0))</f>
        <v/>
      </c>
      <c r="G528" t="str">
        <f>IF($J528="","",IFERROR(LOOKUP(2,1/(('Weekly Log'!$A$5:$A$5000&gt;=$J528)*('Weekly Log'!$A$5:$A$5000&lt;$J528+7)*('Weekly Log'!$M$5:$M$5000&lt;&gt;"")),'Weekly Log'!$M$5:$M$5000),0))</f>
        <v/>
      </c>
      <c r="J528" t="str">
        <f>IF(COUNT('Weekly Log'!$A$5:$A$5000)=0,"",IF(MIN('Weekly Log'!$A$5:$A$5000)+7*(ROW()-10)&gt;MAX('Weekly Log'!$A$5:$A$5000),"",MIN('Weekly Log'!$A$5:$A$5000)+7*(ROW()-10)))</f>
        <v/>
      </c>
    </row>
    <row r="529" spans="1:10" x14ac:dyDescent="0.25">
      <c r="A529" t="str">
        <f t="shared" si="8"/>
        <v/>
      </c>
      <c r="B529" t="str">
        <f>IF($J529="","",SUMIFS('Weekly Log'!$C:$C,'Weekly Log'!$A:$A,"&gt;="&amp;$J529,'Weekly Log'!$A:$A,"&lt;"&amp;$J529+7))</f>
        <v/>
      </c>
      <c r="C529" t="str">
        <f>IF($J529="","",IFERROR(COUNTIFS('Weekly Log'!$G:$G,"Y",'Weekly Log'!$A:$A,"&gt;="&amp;$J529,'Weekly Log'!$A:$A,"&lt;"&amp;$J529+7)/COUNTIFS('Weekly Log'!$G:$G,"&lt;&gt;",'Weekly Log'!$A:$A,"&gt;="&amp;$J529,'Weekly Log'!$A:$A,"&lt;"&amp;$J529+7),0))</f>
        <v/>
      </c>
      <c r="D529" t="str">
        <f>IF($J529="","",IFERROR(COUNTIFS('Weekly Log'!$H:$H,"Y",'Weekly Log'!$A:$A,"&gt;="&amp;$J529,'Weekly Log'!$A:$A,"&lt;"&amp;$J529+7)/COUNTIFS('Weekly Log'!$H:$H,"&lt;&gt;",'Weekly Log'!$A:$A,"&gt;="&amp;$J529,'Weekly Log'!$A:$A,"&lt;"&amp;$J529+7),0))</f>
        <v/>
      </c>
      <c r="E529" t="str">
        <f>IF($J529="","",IFERROR(AVERAGEIFS('Weekly Log'!$F:$F,'Weekly Log'!$A:$A,"&gt;="&amp;$J529,'Weekly Log'!$A:$A,"&lt;"&amp;$J529+7),0))</f>
        <v/>
      </c>
      <c r="F529" t="str">
        <f>IF($J529="","",IFERROR(SUMIFS('Weekly Log'!$F:$F,'Weekly Log'!$A:$A,"&gt;="&amp;$J529,'Weekly Log'!$A:$A,"&lt;"&amp;$J529+7)/SUMIFS('Weekly Log'!$E:$E,'Weekly Log'!$A:$A,"&gt;="&amp;$J529,'Weekly Log'!$A:$A,"&lt;"&amp;$J529+7),0))</f>
        <v/>
      </c>
      <c r="G529" t="str">
        <f>IF($J529="","",IFERROR(LOOKUP(2,1/(('Weekly Log'!$A$5:$A$5000&gt;=$J529)*('Weekly Log'!$A$5:$A$5000&lt;$J529+7)*('Weekly Log'!$M$5:$M$5000&lt;&gt;"")),'Weekly Log'!$M$5:$M$5000),0))</f>
        <v/>
      </c>
      <c r="J529" t="str">
        <f>IF(COUNT('Weekly Log'!$A$5:$A$5000)=0,"",IF(MIN('Weekly Log'!$A$5:$A$5000)+7*(ROW()-10)&gt;MAX('Weekly Log'!$A$5:$A$5000),"",MIN('Weekly Log'!$A$5:$A$5000)+7*(ROW()-10)))</f>
        <v/>
      </c>
    </row>
    <row r="530" spans="1:10" x14ac:dyDescent="0.25">
      <c r="A530" t="str">
        <f t="shared" si="8"/>
        <v/>
      </c>
      <c r="B530" t="str">
        <f>IF($J530="","",SUMIFS('Weekly Log'!$C:$C,'Weekly Log'!$A:$A,"&gt;="&amp;$J530,'Weekly Log'!$A:$A,"&lt;"&amp;$J530+7))</f>
        <v/>
      </c>
      <c r="C530" t="str">
        <f>IF($J530="","",IFERROR(COUNTIFS('Weekly Log'!$G:$G,"Y",'Weekly Log'!$A:$A,"&gt;="&amp;$J530,'Weekly Log'!$A:$A,"&lt;"&amp;$J530+7)/COUNTIFS('Weekly Log'!$G:$G,"&lt;&gt;",'Weekly Log'!$A:$A,"&gt;="&amp;$J530,'Weekly Log'!$A:$A,"&lt;"&amp;$J530+7),0))</f>
        <v/>
      </c>
      <c r="D530" t="str">
        <f>IF($J530="","",IFERROR(COUNTIFS('Weekly Log'!$H:$H,"Y",'Weekly Log'!$A:$A,"&gt;="&amp;$J530,'Weekly Log'!$A:$A,"&lt;"&amp;$J530+7)/COUNTIFS('Weekly Log'!$H:$H,"&lt;&gt;",'Weekly Log'!$A:$A,"&gt;="&amp;$J530,'Weekly Log'!$A:$A,"&lt;"&amp;$J530+7),0))</f>
        <v/>
      </c>
      <c r="E530" t="str">
        <f>IF($J530="","",IFERROR(AVERAGEIFS('Weekly Log'!$F:$F,'Weekly Log'!$A:$A,"&gt;="&amp;$J530,'Weekly Log'!$A:$A,"&lt;"&amp;$J530+7),0))</f>
        <v/>
      </c>
      <c r="F530" t="str">
        <f>IF($J530="","",IFERROR(SUMIFS('Weekly Log'!$F:$F,'Weekly Log'!$A:$A,"&gt;="&amp;$J530,'Weekly Log'!$A:$A,"&lt;"&amp;$J530+7)/SUMIFS('Weekly Log'!$E:$E,'Weekly Log'!$A:$A,"&gt;="&amp;$J530,'Weekly Log'!$A:$A,"&lt;"&amp;$J530+7),0))</f>
        <v/>
      </c>
      <c r="G530" t="str">
        <f>IF($J530="","",IFERROR(LOOKUP(2,1/(('Weekly Log'!$A$5:$A$5000&gt;=$J530)*('Weekly Log'!$A$5:$A$5000&lt;$J530+7)*('Weekly Log'!$M$5:$M$5000&lt;&gt;"")),'Weekly Log'!$M$5:$M$5000),0))</f>
        <v/>
      </c>
      <c r="J530" t="str">
        <f>IF(COUNT('Weekly Log'!$A$5:$A$5000)=0,"",IF(MIN('Weekly Log'!$A$5:$A$5000)+7*(ROW()-10)&gt;MAX('Weekly Log'!$A$5:$A$5000),"",MIN('Weekly Log'!$A$5:$A$5000)+7*(ROW()-10)))</f>
        <v/>
      </c>
    </row>
    <row r="531" spans="1:10" x14ac:dyDescent="0.25">
      <c r="A531" t="str">
        <f t="shared" si="8"/>
        <v/>
      </c>
      <c r="B531" t="str">
        <f>IF($J531="","",SUMIFS('Weekly Log'!$C:$C,'Weekly Log'!$A:$A,"&gt;="&amp;$J531,'Weekly Log'!$A:$A,"&lt;"&amp;$J531+7))</f>
        <v/>
      </c>
      <c r="C531" t="str">
        <f>IF($J531="","",IFERROR(COUNTIFS('Weekly Log'!$G:$G,"Y",'Weekly Log'!$A:$A,"&gt;="&amp;$J531,'Weekly Log'!$A:$A,"&lt;"&amp;$J531+7)/COUNTIFS('Weekly Log'!$G:$G,"&lt;&gt;",'Weekly Log'!$A:$A,"&gt;="&amp;$J531,'Weekly Log'!$A:$A,"&lt;"&amp;$J531+7),0))</f>
        <v/>
      </c>
      <c r="D531" t="str">
        <f>IF($J531="","",IFERROR(COUNTIFS('Weekly Log'!$H:$H,"Y",'Weekly Log'!$A:$A,"&gt;="&amp;$J531,'Weekly Log'!$A:$A,"&lt;"&amp;$J531+7)/COUNTIFS('Weekly Log'!$H:$H,"&lt;&gt;",'Weekly Log'!$A:$A,"&gt;="&amp;$J531,'Weekly Log'!$A:$A,"&lt;"&amp;$J531+7),0))</f>
        <v/>
      </c>
      <c r="E531" t="str">
        <f>IF($J531="","",IFERROR(AVERAGEIFS('Weekly Log'!$F:$F,'Weekly Log'!$A:$A,"&gt;="&amp;$J531,'Weekly Log'!$A:$A,"&lt;"&amp;$J531+7),0))</f>
        <v/>
      </c>
      <c r="F531" t="str">
        <f>IF($J531="","",IFERROR(SUMIFS('Weekly Log'!$F:$F,'Weekly Log'!$A:$A,"&gt;="&amp;$J531,'Weekly Log'!$A:$A,"&lt;"&amp;$J531+7)/SUMIFS('Weekly Log'!$E:$E,'Weekly Log'!$A:$A,"&gt;="&amp;$J531,'Weekly Log'!$A:$A,"&lt;"&amp;$J531+7),0))</f>
        <v/>
      </c>
      <c r="G531" t="str">
        <f>IF($J531="","",IFERROR(LOOKUP(2,1/(('Weekly Log'!$A$5:$A$5000&gt;=$J531)*('Weekly Log'!$A$5:$A$5000&lt;$J531+7)*('Weekly Log'!$M$5:$M$5000&lt;&gt;"")),'Weekly Log'!$M$5:$M$5000),0))</f>
        <v/>
      </c>
      <c r="J531" t="str">
        <f>IF(COUNT('Weekly Log'!$A$5:$A$5000)=0,"",IF(MIN('Weekly Log'!$A$5:$A$5000)+7*(ROW()-10)&gt;MAX('Weekly Log'!$A$5:$A$5000),"",MIN('Weekly Log'!$A$5:$A$5000)+7*(ROW()-10)))</f>
        <v/>
      </c>
    </row>
    <row r="532" spans="1:10" x14ac:dyDescent="0.25">
      <c r="A532" t="str">
        <f t="shared" si="8"/>
        <v/>
      </c>
      <c r="B532" t="str">
        <f>IF($J532="","",SUMIFS('Weekly Log'!$C:$C,'Weekly Log'!$A:$A,"&gt;="&amp;$J532,'Weekly Log'!$A:$A,"&lt;"&amp;$J532+7))</f>
        <v/>
      </c>
      <c r="C532" t="str">
        <f>IF($J532="","",IFERROR(COUNTIFS('Weekly Log'!$G:$G,"Y",'Weekly Log'!$A:$A,"&gt;="&amp;$J532,'Weekly Log'!$A:$A,"&lt;"&amp;$J532+7)/COUNTIFS('Weekly Log'!$G:$G,"&lt;&gt;",'Weekly Log'!$A:$A,"&gt;="&amp;$J532,'Weekly Log'!$A:$A,"&lt;"&amp;$J532+7),0))</f>
        <v/>
      </c>
      <c r="D532" t="str">
        <f>IF($J532="","",IFERROR(COUNTIFS('Weekly Log'!$H:$H,"Y",'Weekly Log'!$A:$A,"&gt;="&amp;$J532,'Weekly Log'!$A:$A,"&lt;"&amp;$J532+7)/COUNTIFS('Weekly Log'!$H:$H,"&lt;&gt;",'Weekly Log'!$A:$A,"&gt;="&amp;$J532,'Weekly Log'!$A:$A,"&lt;"&amp;$J532+7),0))</f>
        <v/>
      </c>
      <c r="E532" t="str">
        <f>IF($J532="","",IFERROR(AVERAGEIFS('Weekly Log'!$F:$F,'Weekly Log'!$A:$A,"&gt;="&amp;$J532,'Weekly Log'!$A:$A,"&lt;"&amp;$J532+7),0))</f>
        <v/>
      </c>
      <c r="F532" t="str">
        <f>IF($J532="","",IFERROR(SUMIFS('Weekly Log'!$F:$F,'Weekly Log'!$A:$A,"&gt;="&amp;$J532,'Weekly Log'!$A:$A,"&lt;"&amp;$J532+7)/SUMIFS('Weekly Log'!$E:$E,'Weekly Log'!$A:$A,"&gt;="&amp;$J532,'Weekly Log'!$A:$A,"&lt;"&amp;$J532+7),0))</f>
        <v/>
      </c>
      <c r="G532" t="str">
        <f>IF($J532="","",IFERROR(LOOKUP(2,1/(('Weekly Log'!$A$5:$A$5000&gt;=$J532)*('Weekly Log'!$A$5:$A$5000&lt;$J532+7)*('Weekly Log'!$M$5:$M$5000&lt;&gt;"")),'Weekly Log'!$M$5:$M$5000),0))</f>
        <v/>
      </c>
      <c r="J532" t="str">
        <f>IF(COUNT('Weekly Log'!$A$5:$A$5000)=0,"",IF(MIN('Weekly Log'!$A$5:$A$5000)+7*(ROW()-10)&gt;MAX('Weekly Log'!$A$5:$A$5000),"",MIN('Weekly Log'!$A$5:$A$5000)+7*(ROW()-10)))</f>
        <v/>
      </c>
    </row>
    <row r="533" spans="1:10" x14ac:dyDescent="0.25">
      <c r="A533" t="str">
        <f t="shared" si="8"/>
        <v/>
      </c>
      <c r="B533" t="str">
        <f>IF($J533="","",SUMIFS('Weekly Log'!$C:$C,'Weekly Log'!$A:$A,"&gt;="&amp;$J533,'Weekly Log'!$A:$A,"&lt;"&amp;$J533+7))</f>
        <v/>
      </c>
      <c r="C533" t="str">
        <f>IF($J533="","",IFERROR(COUNTIFS('Weekly Log'!$G:$G,"Y",'Weekly Log'!$A:$A,"&gt;="&amp;$J533,'Weekly Log'!$A:$A,"&lt;"&amp;$J533+7)/COUNTIFS('Weekly Log'!$G:$G,"&lt;&gt;",'Weekly Log'!$A:$A,"&gt;="&amp;$J533,'Weekly Log'!$A:$A,"&lt;"&amp;$J533+7),0))</f>
        <v/>
      </c>
      <c r="D533" t="str">
        <f>IF($J533="","",IFERROR(COUNTIFS('Weekly Log'!$H:$H,"Y",'Weekly Log'!$A:$A,"&gt;="&amp;$J533,'Weekly Log'!$A:$A,"&lt;"&amp;$J533+7)/COUNTIFS('Weekly Log'!$H:$H,"&lt;&gt;",'Weekly Log'!$A:$A,"&gt;="&amp;$J533,'Weekly Log'!$A:$A,"&lt;"&amp;$J533+7),0))</f>
        <v/>
      </c>
      <c r="E533" t="str">
        <f>IF($J533="","",IFERROR(AVERAGEIFS('Weekly Log'!$F:$F,'Weekly Log'!$A:$A,"&gt;="&amp;$J533,'Weekly Log'!$A:$A,"&lt;"&amp;$J533+7),0))</f>
        <v/>
      </c>
      <c r="F533" t="str">
        <f>IF($J533="","",IFERROR(SUMIFS('Weekly Log'!$F:$F,'Weekly Log'!$A:$A,"&gt;="&amp;$J533,'Weekly Log'!$A:$A,"&lt;"&amp;$J533+7)/SUMIFS('Weekly Log'!$E:$E,'Weekly Log'!$A:$A,"&gt;="&amp;$J533,'Weekly Log'!$A:$A,"&lt;"&amp;$J533+7),0))</f>
        <v/>
      </c>
      <c r="G533" t="str">
        <f>IF($J533="","",IFERROR(LOOKUP(2,1/(('Weekly Log'!$A$5:$A$5000&gt;=$J533)*('Weekly Log'!$A$5:$A$5000&lt;$J533+7)*('Weekly Log'!$M$5:$M$5000&lt;&gt;"")),'Weekly Log'!$M$5:$M$5000),0))</f>
        <v/>
      </c>
      <c r="J533" t="str">
        <f>IF(COUNT('Weekly Log'!$A$5:$A$5000)=0,"",IF(MIN('Weekly Log'!$A$5:$A$5000)+7*(ROW()-10)&gt;MAX('Weekly Log'!$A$5:$A$5000),"",MIN('Weekly Log'!$A$5:$A$5000)+7*(ROW()-10)))</f>
        <v/>
      </c>
    </row>
    <row r="534" spans="1:10" x14ac:dyDescent="0.25">
      <c r="A534" t="str">
        <f t="shared" si="8"/>
        <v/>
      </c>
      <c r="B534" t="str">
        <f>IF($J534="","",SUMIFS('Weekly Log'!$C:$C,'Weekly Log'!$A:$A,"&gt;="&amp;$J534,'Weekly Log'!$A:$A,"&lt;"&amp;$J534+7))</f>
        <v/>
      </c>
      <c r="C534" t="str">
        <f>IF($J534="","",IFERROR(COUNTIFS('Weekly Log'!$G:$G,"Y",'Weekly Log'!$A:$A,"&gt;="&amp;$J534,'Weekly Log'!$A:$A,"&lt;"&amp;$J534+7)/COUNTIFS('Weekly Log'!$G:$G,"&lt;&gt;",'Weekly Log'!$A:$A,"&gt;="&amp;$J534,'Weekly Log'!$A:$A,"&lt;"&amp;$J534+7),0))</f>
        <v/>
      </c>
      <c r="D534" t="str">
        <f>IF($J534="","",IFERROR(COUNTIFS('Weekly Log'!$H:$H,"Y",'Weekly Log'!$A:$A,"&gt;="&amp;$J534,'Weekly Log'!$A:$A,"&lt;"&amp;$J534+7)/COUNTIFS('Weekly Log'!$H:$H,"&lt;&gt;",'Weekly Log'!$A:$A,"&gt;="&amp;$J534,'Weekly Log'!$A:$A,"&lt;"&amp;$J534+7),0))</f>
        <v/>
      </c>
      <c r="E534" t="str">
        <f>IF($J534="","",IFERROR(AVERAGEIFS('Weekly Log'!$F:$F,'Weekly Log'!$A:$A,"&gt;="&amp;$J534,'Weekly Log'!$A:$A,"&lt;"&amp;$J534+7),0))</f>
        <v/>
      </c>
      <c r="F534" t="str">
        <f>IF($J534="","",IFERROR(SUMIFS('Weekly Log'!$F:$F,'Weekly Log'!$A:$A,"&gt;="&amp;$J534,'Weekly Log'!$A:$A,"&lt;"&amp;$J534+7)/SUMIFS('Weekly Log'!$E:$E,'Weekly Log'!$A:$A,"&gt;="&amp;$J534,'Weekly Log'!$A:$A,"&lt;"&amp;$J534+7),0))</f>
        <v/>
      </c>
      <c r="G534" t="str">
        <f>IF($J534="","",IFERROR(LOOKUP(2,1/(('Weekly Log'!$A$5:$A$5000&gt;=$J534)*('Weekly Log'!$A$5:$A$5000&lt;$J534+7)*('Weekly Log'!$M$5:$M$5000&lt;&gt;"")),'Weekly Log'!$M$5:$M$5000),0))</f>
        <v/>
      </c>
      <c r="J534" t="str">
        <f>IF(COUNT('Weekly Log'!$A$5:$A$5000)=0,"",IF(MIN('Weekly Log'!$A$5:$A$5000)+7*(ROW()-10)&gt;MAX('Weekly Log'!$A$5:$A$5000),"",MIN('Weekly Log'!$A$5:$A$5000)+7*(ROW()-10)))</f>
        <v/>
      </c>
    </row>
    <row r="535" spans="1:10" x14ac:dyDescent="0.25">
      <c r="A535" t="str">
        <f t="shared" si="8"/>
        <v/>
      </c>
      <c r="B535" t="str">
        <f>IF($J535="","",SUMIFS('Weekly Log'!$C:$C,'Weekly Log'!$A:$A,"&gt;="&amp;$J535,'Weekly Log'!$A:$A,"&lt;"&amp;$J535+7))</f>
        <v/>
      </c>
      <c r="C535" t="str">
        <f>IF($J535="","",IFERROR(COUNTIFS('Weekly Log'!$G:$G,"Y",'Weekly Log'!$A:$A,"&gt;="&amp;$J535,'Weekly Log'!$A:$A,"&lt;"&amp;$J535+7)/COUNTIFS('Weekly Log'!$G:$G,"&lt;&gt;",'Weekly Log'!$A:$A,"&gt;="&amp;$J535,'Weekly Log'!$A:$A,"&lt;"&amp;$J535+7),0))</f>
        <v/>
      </c>
      <c r="D535" t="str">
        <f>IF($J535="","",IFERROR(COUNTIFS('Weekly Log'!$H:$H,"Y",'Weekly Log'!$A:$A,"&gt;="&amp;$J535,'Weekly Log'!$A:$A,"&lt;"&amp;$J535+7)/COUNTIFS('Weekly Log'!$H:$H,"&lt;&gt;",'Weekly Log'!$A:$A,"&gt;="&amp;$J535,'Weekly Log'!$A:$A,"&lt;"&amp;$J535+7),0))</f>
        <v/>
      </c>
      <c r="E535" t="str">
        <f>IF($J535="","",IFERROR(AVERAGEIFS('Weekly Log'!$F:$F,'Weekly Log'!$A:$A,"&gt;="&amp;$J535,'Weekly Log'!$A:$A,"&lt;"&amp;$J535+7),0))</f>
        <v/>
      </c>
      <c r="F535" t="str">
        <f>IF($J535="","",IFERROR(SUMIFS('Weekly Log'!$F:$F,'Weekly Log'!$A:$A,"&gt;="&amp;$J535,'Weekly Log'!$A:$A,"&lt;"&amp;$J535+7)/SUMIFS('Weekly Log'!$E:$E,'Weekly Log'!$A:$A,"&gt;="&amp;$J535,'Weekly Log'!$A:$A,"&lt;"&amp;$J535+7),0))</f>
        <v/>
      </c>
      <c r="G535" t="str">
        <f>IF($J535="","",IFERROR(LOOKUP(2,1/(('Weekly Log'!$A$5:$A$5000&gt;=$J535)*('Weekly Log'!$A$5:$A$5000&lt;$J535+7)*('Weekly Log'!$M$5:$M$5000&lt;&gt;"")),'Weekly Log'!$M$5:$M$5000),0))</f>
        <v/>
      </c>
      <c r="J535" t="str">
        <f>IF(COUNT('Weekly Log'!$A$5:$A$5000)=0,"",IF(MIN('Weekly Log'!$A$5:$A$5000)+7*(ROW()-10)&gt;MAX('Weekly Log'!$A$5:$A$5000),"",MIN('Weekly Log'!$A$5:$A$5000)+7*(ROW()-10)))</f>
        <v/>
      </c>
    </row>
    <row r="536" spans="1:10" x14ac:dyDescent="0.25">
      <c r="A536" t="str">
        <f t="shared" si="8"/>
        <v/>
      </c>
      <c r="B536" t="str">
        <f>IF($J536="","",SUMIFS('Weekly Log'!$C:$C,'Weekly Log'!$A:$A,"&gt;="&amp;$J536,'Weekly Log'!$A:$A,"&lt;"&amp;$J536+7))</f>
        <v/>
      </c>
      <c r="C536" t="str">
        <f>IF($J536="","",IFERROR(COUNTIFS('Weekly Log'!$G:$G,"Y",'Weekly Log'!$A:$A,"&gt;="&amp;$J536,'Weekly Log'!$A:$A,"&lt;"&amp;$J536+7)/COUNTIFS('Weekly Log'!$G:$G,"&lt;&gt;",'Weekly Log'!$A:$A,"&gt;="&amp;$J536,'Weekly Log'!$A:$A,"&lt;"&amp;$J536+7),0))</f>
        <v/>
      </c>
      <c r="D536" t="str">
        <f>IF($J536="","",IFERROR(COUNTIFS('Weekly Log'!$H:$H,"Y",'Weekly Log'!$A:$A,"&gt;="&amp;$J536,'Weekly Log'!$A:$A,"&lt;"&amp;$J536+7)/COUNTIFS('Weekly Log'!$H:$H,"&lt;&gt;",'Weekly Log'!$A:$A,"&gt;="&amp;$J536,'Weekly Log'!$A:$A,"&lt;"&amp;$J536+7),0))</f>
        <v/>
      </c>
      <c r="E536" t="str">
        <f>IF($J536="","",IFERROR(AVERAGEIFS('Weekly Log'!$F:$F,'Weekly Log'!$A:$A,"&gt;="&amp;$J536,'Weekly Log'!$A:$A,"&lt;"&amp;$J536+7),0))</f>
        <v/>
      </c>
      <c r="F536" t="str">
        <f>IF($J536="","",IFERROR(SUMIFS('Weekly Log'!$F:$F,'Weekly Log'!$A:$A,"&gt;="&amp;$J536,'Weekly Log'!$A:$A,"&lt;"&amp;$J536+7)/SUMIFS('Weekly Log'!$E:$E,'Weekly Log'!$A:$A,"&gt;="&amp;$J536,'Weekly Log'!$A:$A,"&lt;"&amp;$J536+7),0))</f>
        <v/>
      </c>
      <c r="G536" t="str">
        <f>IF($J536="","",IFERROR(LOOKUP(2,1/(('Weekly Log'!$A$5:$A$5000&gt;=$J536)*('Weekly Log'!$A$5:$A$5000&lt;$J536+7)*('Weekly Log'!$M$5:$M$5000&lt;&gt;"")),'Weekly Log'!$M$5:$M$5000),0))</f>
        <v/>
      </c>
      <c r="J536" t="str">
        <f>IF(COUNT('Weekly Log'!$A$5:$A$5000)=0,"",IF(MIN('Weekly Log'!$A$5:$A$5000)+7*(ROW()-10)&gt;MAX('Weekly Log'!$A$5:$A$5000),"",MIN('Weekly Log'!$A$5:$A$5000)+7*(ROW()-10)))</f>
        <v/>
      </c>
    </row>
    <row r="537" spans="1:10" x14ac:dyDescent="0.25">
      <c r="A537" t="str">
        <f t="shared" si="8"/>
        <v/>
      </c>
      <c r="B537" t="str">
        <f>IF($J537="","",SUMIFS('Weekly Log'!$C:$C,'Weekly Log'!$A:$A,"&gt;="&amp;$J537,'Weekly Log'!$A:$A,"&lt;"&amp;$J537+7))</f>
        <v/>
      </c>
      <c r="C537" t="str">
        <f>IF($J537="","",IFERROR(COUNTIFS('Weekly Log'!$G:$G,"Y",'Weekly Log'!$A:$A,"&gt;="&amp;$J537,'Weekly Log'!$A:$A,"&lt;"&amp;$J537+7)/COUNTIFS('Weekly Log'!$G:$G,"&lt;&gt;",'Weekly Log'!$A:$A,"&gt;="&amp;$J537,'Weekly Log'!$A:$A,"&lt;"&amp;$J537+7),0))</f>
        <v/>
      </c>
      <c r="D537" t="str">
        <f>IF($J537="","",IFERROR(COUNTIFS('Weekly Log'!$H:$H,"Y",'Weekly Log'!$A:$A,"&gt;="&amp;$J537,'Weekly Log'!$A:$A,"&lt;"&amp;$J537+7)/COUNTIFS('Weekly Log'!$H:$H,"&lt;&gt;",'Weekly Log'!$A:$A,"&gt;="&amp;$J537,'Weekly Log'!$A:$A,"&lt;"&amp;$J537+7),0))</f>
        <v/>
      </c>
      <c r="E537" t="str">
        <f>IF($J537="","",IFERROR(AVERAGEIFS('Weekly Log'!$F:$F,'Weekly Log'!$A:$A,"&gt;="&amp;$J537,'Weekly Log'!$A:$A,"&lt;"&amp;$J537+7),0))</f>
        <v/>
      </c>
      <c r="F537" t="str">
        <f>IF($J537="","",IFERROR(SUMIFS('Weekly Log'!$F:$F,'Weekly Log'!$A:$A,"&gt;="&amp;$J537,'Weekly Log'!$A:$A,"&lt;"&amp;$J537+7)/SUMIFS('Weekly Log'!$E:$E,'Weekly Log'!$A:$A,"&gt;="&amp;$J537,'Weekly Log'!$A:$A,"&lt;"&amp;$J537+7),0))</f>
        <v/>
      </c>
      <c r="G537" t="str">
        <f>IF($J537="","",IFERROR(LOOKUP(2,1/(('Weekly Log'!$A$5:$A$5000&gt;=$J537)*('Weekly Log'!$A$5:$A$5000&lt;$J537+7)*('Weekly Log'!$M$5:$M$5000&lt;&gt;"")),'Weekly Log'!$M$5:$M$5000),0))</f>
        <v/>
      </c>
      <c r="J537" t="str">
        <f>IF(COUNT('Weekly Log'!$A$5:$A$5000)=0,"",IF(MIN('Weekly Log'!$A$5:$A$5000)+7*(ROW()-10)&gt;MAX('Weekly Log'!$A$5:$A$5000),"",MIN('Weekly Log'!$A$5:$A$5000)+7*(ROW()-10)))</f>
        <v/>
      </c>
    </row>
    <row r="538" spans="1:10" x14ac:dyDescent="0.25">
      <c r="A538" t="str">
        <f t="shared" si="8"/>
        <v/>
      </c>
      <c r="B538" t="str">
        <f>IF($J538="","",SUMIFS('Weekly Log'!$C:$C,'Weekly Log'!$A:$A,"&gt;="&amp;$J538,'Weekly Log'!$A:$A,"&lt;"&amp;$J538+7))</f>
        <v/>
      </c>
      <c r="C538" t="str">
        <f>IF($J538="","",IFERROR(COUNTIFS('Weekly Log'!$G:$G,"Y",'Weekly Log'!$A:$A,"&gt;="&amp;$J538,'Weekly Log'!$A:$A,"&lt;"&amp;$J538+7)/COUNTIFS('Weekly Log'!$G:$G,"&lt;&gt;",'Weekly Log'!$A:$A,"&gt;="&amp;$J538,'Weekly Log'!$A:$A,"&lt;"&amp;$J538+7),0))</f>
        <v/>
      </c>
      <c r="D538" t="str">
        <f>IF($J538="","",IFERROR(COUNTIFS('Weekly Log'!$H:$H,"Y",'Weekly Log'!$A:$A,"&gt;="&amp;$J538,'Weekly Log'!$A:$A,"&lt;"&amp;$J538+7)/COUNTIFS('Weekly Log'!$H:$H,"&lt;&gt;",'Weekly Log'!$A:$A,"&gt;="&amp;$J538,'Weekly Log'!$A:$A,"&lt;"&amp;$J538+7),0))</f>
        <v/>
      </c>
      <c r="E538" t="str">
        <f>IF($J538="","",IFERROR(AVERAGEIFS('Weekly Log'!$F:$F,'Weekly Log'!$A:$A,"&gt;="&amp;$J538,'Weekly Log'!$A:$A,"&lt;"&amp;$J538+7),0))</f>
        <v/>
      </c>
      <c r="F538" t="str">
        <f>IF($J538="","",IFERROR(SUMIFS('Weekly Log'!$F:$F,'Weekly Log'!$A:$A,"&gt;="&amp;$J538,'Weekly Log'!$A:$A,"&lt;"&amp;$J538+7)/SUMIFS('Weekly Log'!$E:$E,'Weekly Log'!$A:$A,"&gt;="&amp;$J538,'Weekly Log'!$A:$A,"&lt;"&amp;$J538+7),0))</f>
        <v/>
      </c>
      <c r="G538" t="str">
        <f>IF($J538="","",IFERROR(LOOKUP(2,1/(('Weekly Log'!$A$5:$A$5000&gt;=$J538)*('Weekly Log'!$A$5:$A$5000&lt;$J538+7)*('Weekly Log'!$M$5:$M$5000&lt;&gt;"")),'Weekly Log'!$M$5:$M$5000),0))</f>
        <v/>
      </c>
      <c r="J538" t="str">
        <f>IF(COUNT('Weekly Log'!$A$5:$A$5000)=0,"",IF(MIN('Weekly Log'!$A$5:$A$5000)+7*(ROW()-10)&gt;MAX('Weekly Log'!$A$5:$A$5000),"",MIN('Weekly Log'!$A$5:$A$5000)+7*(ROW()-10)))</f>
        <v/>
      </c>
    </row>
    <row r="539" spans="1:10" x14ac:dyDescent="0.25">
      <c r="A539" t="str">
        <f t="shared" si="8"/>
        <v/>
      </c>
      <c r="B539" t="str">
        <f>IF($J539="","",SUMIFS('Weekly Log'!$C:$C,'Weekly Log'!$A:$A,"&gt;="&amp;$J539,'Weekly Log'!$A:$A,"&lt;"&amp;$J539+7))</f>
        <v/>
      </c>
      <c r="C539" t="str">
        <f>IF($J539="","",IFERROR(COUNTIFS('Weekly Log'!$G:$G,"Y",'Weekly Log'!$A:$A,"&gt;="&amp;$J539,'Weekly Log'!$A:$A,"&lt;"&amp;$J539+7)/COUNTIFS('Weekly Log'!$G:$G,"&lt;&gt;",'Weekly Log'!$A:$A,"&gt;="&amp;$J539,'Weekly Log'!$A:$A,"&lt;"&amp;$J539+7),0))</f>
        <v/>
      </c>
      <c r="D539" t="str">
        <f>IF($J539="","",IFERROR(COUNTIFS('Weekly Log'!$H:$H,"Y",'Weekly Log'!$A:$A,"&gt;="&amp;$J539,'Weekly Log'!$A:$A,"&lt;"&amp;$J539+7)/COUNTIFS('Weekly Log'!$H:$H,"&lt;&gt;",'Weekly Log'!$A:$A,"&gt;="&amp;$J539,'Weekly Log'!$A:$A,"&lt;"&amp;$J539+7),0))</f>
        <v/>
      </c>
      <c r="E539" t="str">
        <f>IF($J539="","",IFERROR(AVERAGEIFS('Weekly Log'!$F:$F,'Weekly Log'!$A:$A,"&gt;="&amp;$J539,'Weekly Log'!$A:$A,"&lt;"&amp;$J539+7),0))</f>
        <v/>
      </c>
      <c r="F539" t="str">
        <f>IF($J539="","",IFERROR(SUMIFS('Weekly Log'!$F:$F,'Weekly Log'!$A:$A,"&gt;="&amp;$J539,'Weekly Log'!$A:$A,"&lt;"&amp;$J539+7)/SUMIFS('Weekly Log'!$E:$E,'Weekly Log'!$A:$A,"&gt;="&amp;$J539,'Weekly Log'!$A:$A,"&lt;"&amp;$J539+7),0))</f>
        <v/>
      </c>
      <c r="G539" t="str">
        <f>IF($J539="","",IFERROR(LOOKUP(2,1/(('Weekly Log'!$A$5:$A$5000&gt;=$J539)*('Weekly Log'!$A$5:$A$5000&lt;$J539+7)*('Weekly Log'!$M$5:$M$5000&lt;&gt;"")),'Weekly Log'!$M$5:$M$5000),0))</f>
        <v/>
      </c>
      <c r="J539" t="str">
        <f>IF(COUNT('Weekly Log'!$A$5:$A$5000)=0,"",IF(MIN('Weekly Log'!$A$5:$A$5000)+7*(ROW()-10)&gt;MAX('Weekly Log'!$A$5:$A$5000),"",MIN('Weekly Log'!$A$5:$A$5000)+7*(ROW()-10)))</f>
        <v/>
      </c>
    </row>
    <row r="540" spans="1:10" x14ac:dyDescent="0.25">
      <c r="A540" t="str">
        <f t="shared" si="8"/>
        <v/>
      </c>
      <c r="B540" t="str">
        <f>IF($J540="","",SUMIFS('Weekly Log'!$C:$C,'Weekly Log'!$A:$A,"&gt;="&amp;$J540,'Weekly Log'!$A:$A,"&lt;"&amp;$J540+7))</f>
        <v/>
      </c>
      <c r="C540" t="str">
        <f>IF($J540="","",IFERROR(COUNTIFS('Weekly Log'!$G:$G,"Y",'Weekly Log'!$A:$A,"&gt;="&amp;$J540,'Weekly Log'!$A:$A,"&lt;"&amp;$J540+7)/COUNTIFS('Weekly Log'!$G:$G,"&lt;&gt;",'Weekly Log'!$A:$A,"&gt;="&amp;$J540,'Weekly Log'!$A:$A,"&lt;"&amp;$J540+7),0))</f>
        <v/>
      </c>
      <c r="D540" t="str">
        <f>IF($J540="","",IFERROR(COUNTIFS('Weekly Log'!$H:$H,"Y",'Weekly Log'!$A:$A,"&gt;="&amp;$J540,'Weekly Log'!$A:$A,"&lt;"&amp;$J540+7)/COUNTIFS('Weekly Log'!$H:$H,"&lt;&gt;",'Weekly Log'!$A:$A,"&gt;="&amp;$J540,'Weekly Log'!$A:$A,"&lt;"&amp;$J540+7),0))</f>
        <v/>
      </c>
      <c r="E540" t="str">
        <f>IF($J540="","",IFERROR(AVERAGEIFS('Weekly Log'!$F:$F,'Weekly Log'!$A:$A,"&gt;="&amp;$J540,'Weekly Log'!$A:$A,"&lt;"&amp;$J540+7),0))</f>
        <v/>
      </c>
      <c r="F540" t="str">
        <f>IF($J540="","",IFERROR(SUMIFS('Weekly Log'!$F:$F,'Weekly Log'!$A:$A,"&gt;="&amp;$J540,'Weekly Log'!$A:$A,"&lt;"&amp;$J540+7)/SUMIFS('Weekly Log'!$E:$E,'Weekly Log'!$A:$A,"&gt;="&amp;$J540,'Weekly Log'!$A:$A,"&lt;"&amp;$J540+7),0))</f>
        <v/>
      </c>
      <c r="G540" t="str">
        <f>IF($J540="","",IFERROR(LOOKUP(2,1/(('Weekly Log'!$A$5:$A$5000&gt;=$J540)*('Weekly Log'!$A$5:$A$5000&lt;$J540+7)*('Weekly Log'!$M$5:$M$5000&lt;&gt;"")),'Weekly Log'!$M$5:$M$5000),0))</f>
        <v/>
      </c>
      <c r="J540" t="str">
        <f>IF(COUNT('Weekly Log'!$A$5:$A$5000)=0,"",IF(MIN('Weekly Log'!$A$5:$A$5000)+7*(ROW()-10)&gt;MAX('Weekly Log'!$A$5:$A$5000),"",MIN('Weekly Log'!$A$5:$A$5000)+7*(ROW()-10)))</f>
        <v/>
      </c>
    </row>
    <row r="541" spans="1:10" x14ac:dyDescent="0.25">
      <c r="A541" t="str">
        <f t="shared" si="8"/>
        <v/>
      </c>
      <c r="B541" t="str">
        <f>IF($J541="","",SUMIFS('Weekly Log'!$C:$C,'Weekly Log'!$A:$A,"&gt;="&amp;$J541,'Weekly Log'!$A:$A,"&lt;"&amp;$J541+7))</f>
        <v/>
      </c>
      <c r="C541" t="str">
        <f>IF($J541="","",IFERROR(COUNTIFS('Weekly Log'!$G:$G,"Y",'Weekly Log'!$A:$A,"&gt;="&amp;$J541,'Weekly Log'!$A:$A,"&lt;"&amp;$J541+7)/COUNTIFS('Weekly Log'!$G:$G,"&lt;&gt;",'Weekly Log'!$A:$A,"&gt;="&amp;$J541,'Weekly Log'!$A:$A,"&lt;"&amp;$J541+7),0))</f>
        <v/>
      </c>
      <c r="D541" t="str">
        <f>IF($J541="","",IFERROR(COUNTIFS('Weekly Log'!$H:$H,"Y",'Weekly Log'!$A:$A,"&gt;="&amp;$J541,'Weekly Log'!$A:$A,"&lt;"&amp;$J541+7)/COUNTIFS('Weekly Log'!$H:$H,"&lt;&gt;",'Weekly Log'!$A:$A,"&gt;="&amp;$J541,'Weekly Log'!$A:$A,"&lt;"&amp;$J541+7),0))</f>
        <v/>
      </c>
      <c r="E541" t="str">
        <f>IF($J541="","",IFERROR(AVERAGEIFS('Weekly Log'!$F:$F,'Weekly Log'!$A:$A,"&gt;="&amp;$J541,'Weekly Log'!$A:$A,"&lt;"&amp;$J541+7),0))</f>
        <v/>
      </c>
      <c r="F541" t="str">
        <f>IF($J541="","",IFERROR(SUMIFS('Weekly Log'!$F:$F,'Weekly Log'!$A:$A,"&gt;="&amp;$J541,'Weekly Log'!$A:$A,"&lt;"&amp;$J541+7)/SUMIFS('Weekly Log'!$E:$E,'Weekly Log'!$A:$A,"&gt;="&amp;$J541,'Weekly Log'!$A:$A,"&lt;"&amp;$J541+7),0))</f>
        <v/>
      </c>
      <c r="G541" t="str">
        <f>IF($J541="","",IFERROR(LOOKUP(2,1/(('Weekly Log'!$A$5:$A$5000&gt;=$J541)*('Weekly Log'!$A$5:$A$5000&lt;$J541+7)*('Weekly Log'!$M$5:$M$5000&lt;&gt;"")),'Weekly Log'!$M$5:$M$5000),0))</f>
        <v/>
      </c>
      <c r="J541" t="str">
        <f>IF(COUNT('Weekly Log'!$A$5:$A$5000)=0,"",IF(MIN('Weekly Log'!$A$5:$A$5000)+7*(ROW()-10)&gt;MAX('Weekly Log'!$A$5:$A$5000),"",MIN('Weekly Log'!$A$5:$A$5000)+7*(ROW()-10)))</f>
        <v/>
      </c>
    </row>
    <row r="542" spans="1:10" x14ac:dyDescent="0.25">
      <c r="A542" t="str">
        <f t="shared" si="8"/>
        <v/>
      </c>
      <c r="B542" t="str">
        <f>IF($J542="","",SUMIFS('Weekly Log'!$C:$C,'Weekly Log'!$A:$A,"&gt;="&amp;$J542,'Weekly Log'!$A:$A,"&lt;"&amp;$J542+7))</f>
        <v/>
      </c>
      <c r="C542" t="str">
        <f>IF($J542="","",IFERROR(COUNTIFS('Weekly Log'!$G:$G,"Y",'Weekly Log'!$A:$A,"&gt;="&amp;$J542,'Weekly Log'!$A:$A,"&lt;"&amp;$J542+7)/COUNTIFS('Weekly Log'!$G:$G,"&lt;&gt;",'Weekly Log'!$A:$A,"&gt;="&amp;$J542,'Weekly Log'!$A:$A,"&lt;"&amp;$J542+7),0))</f>
        <v/>
      </c>
      <c r="D542" t="str">
        <f>IF($J542="","",IFERROR(COUNTIFS('Weekly Log'!$H:$H,"Y",'Weekly Log'!$A:$A,"&gt;="&amp;$J542,'Weekly Log'!$A:$A,"&lt;"&amp;$J542+7)/COUNTIFS('Weekly Log'!$H:$H,"&lt;&gt;",'Weekly Log'!$A:$A,"&gt;="&amp;$J542,'Weekly Log'!$A:$A,"&lt;"&amp;$J542+7),0))</f>
        <v/>
      </c>
      <c r="E542" t="str">
        <f>IF($J542="","",IFERROR(AVERAGEIFS('Weekly Log'!$F:$F,'Weekly Log'!$A:$A,"&gt;="&amp;$J542,'Weekly Log'!$A:$A,"&lt;"&amp;$J542+7),0))</f>
        <v/>
      </c>
      <c r="F542" t="str">
        <f>IF($J542="","",IFERROR(SUMIFS('Weekly Log'!$F:$F,'Weekly Log'!$A:$A,"&gt;="&amp;$J542,'Weekly Log'!$A:$A,"&lt;"&amp;$J542+7)/SUMIFS('Weekly Log'!$E:$E,'Weekly Log'!$A:$A,"&gt;="&amp;$J542,'Weekly Log'!$A:$A,"&lt;"&amp;$J542+7),0))</f>
        <v/>
      </c>
      <c r="G542" t="str">
        <f>IF($J542="","",IFERROR(LOOKUP(2,1/(('Weekly Log'!$A$5:$A$5000&gt;=$J542)*('Weekly Log'!$A$5:$A$5000&lt;$J542+7)*('Weekly Log'!$M$5:$M$5000&lt;&gt;"")),'Weekly Log'!$M$5:$M$5000),0))</f>
        <v/>
      </c>
      <c r="J542" t="str">
        <f>IF(COUNT('Weekly Log'!$A$5:$A$5000)=0,"",IF(MIN('Weekly Log'!$A$5:$A$5000)+7*(ROW()-10)&gt;MAX('Weekly Log'!$A$5:$A$5000),"",MIN('Weekly Log'!$A$5:$A$5000)+7*(ROW()-10)))</f>
        <v/>
      </c>
    </row>
    <row r="543" spans="1:10" x14ac:dyDescent="0.25">
      <c r="A543" t="str">
        <f t="shared" si="8"/>
        <v/>
      </c>
      <c r="B543" t="str">
        <f>IF($J543="","",SUMIFS('Weekly Log'!$C:$C,'Weekly Log'!$A:$A,"&gt;="&amp;$J543,'Weekly Log'!$A:$A,"&lt;"&amp;$J543+7))</f>
        <v/>
      </c>
      <c r="C543" t="str">
        <f>IF($J543="","",IFERROR(COUNTIFS('Weekly Log'!$G:$G,"Y",'Weekly Log'!$A:$A,"&gt;="&amp;$J543,'Weekly Log'!$A:$A,"&lt;"&amp;$J543+7)/COUNTIFS('Weekly Log'!$G:$G,"&lt;&gt;",'Weekly Log'!$A:$A,"&gt;="&amp;$J543,'Weekly Log'!$A:$A,"&lt;"&amp;$J543+7),0))</f>
        <v/>
      </c>
      <c r="D543" t="str">
        <f>IF($J543="","",IFERROR(COUNTIFS('Weekly Log'!$H:$H,"Y",'Weekly Log'!$A:$A,"&gt;="&amp;$J543,'Weekly Log'!$A:$A,"&lt;"&amp;$J543+7)/COUNTIFS('Weekly Log'!$H:$H,"&lt;&gt;",'Weekly Log'!$A:$A,"&gt;="&amp;$J543,'Weekly Log'!$A:$A,"&lt;"&amp;$J543+7),0))</f>
        <v/>
      </c>
      <c r="E543" t="str">
        <f>IF($J543="","",IFERROR(AVERAGEIFS('Weekly Log'!$F:$F,'Weekly Log'!$A:$A,"&gt;="&amp;$J543,'Weekly Log'!$A:$A,"&lt;"&amp;$J543+7),0))</f>
        <v/>
      </c>
      <c r="F543" t="str">
        <f>IF($J543="","",IFERROR(SUMIFS('Weekly Log'!$F:$F,'Weekly Log'!$A:$A,"&gt;="&amp;$J543,'Weekly Log'!$A:$A,"&lt;"&amp;$J543+7)/SUMIFS('Weekly Log'!$E:$E,'Weekly Log'!$A:$A,"&gt;="&amp;$J543,'Weekly Log'!$A:$A,"&lt;"&amp;$J543+7),0))</f>
        <v/>
      </c>
      <c r="G543" t="str">
        <f>IF($J543="","",IFERROR(LOOKUP(2,1/(('Weekly Log'!$A$5:$A$5000&gt;=$J543)*('Weekly Log'!$A$5:$A$5000&lt;$J543+7)*('Weekly Log'!$M$5:$M$5000&lt;&gt;"")),'Weekly Log'!$M$5:$M$5000),0))</f>
        <v/>
      </c>
      <c r="J543" t="str">
        <f>IF(COUNT('Weekly Log'!$A$5:$A$5000)=0,"",IF(MIN('Weekly Log'!$A$5:$A$5000)+7*(ROW()-10)&gt;MAX('Weekly Log'!$A$5:$A$5000),"",MIN('Weekly Log'!$A$5:$A$5000)+7*(ROW()-10)))</f>
        <v/>
      </c>
    </row>
    <row r="544" spans="1:10" x14ac:dyDescent="0.25">
      <c r="A544" t="str">
        <f t="shared" si="8"/>
        <v/>
      </c>
      <c r="B544" t="str">
        <f>IF($J544="","",SUMIFS('Weekly Log'!$C:$C,'Weekly Log'!$A:$A,"&gt;="&amp;$J544,'Weekly Log'!$A:$A,"&lt;"&amp;$J544+7))</f>
        <v/>
      </c>
      <c r="C544" t="str">
        <f>IF($J544="","",IFERROR(COUNTIFS('Weekly Log'!$G:$G,"Y",'Weekly Log'!$A:$A,"&gt;="&amp;$J544,'Weekly Log'!$A:$A,"&lt;"&amp;$J544+7)/COUNTIFS('Weekly Log'!$G:$G,"&lt;&gt;",'Weekly Log'!$A:$A,"&gt;="&amp;$J544,'Weekly Log'!$A:$A,"&lt;"&amp;$J544+7),0))</f>
        <v/>
      </c>
      <c r="D544" t="str">
        <f>IF($J544="","",IFERROR(COUNTIFS('Weekly Log'!$H:$H,"Y",'Weekly Log'!$A:$A,"&gt;="&amp;$J544,'Weekly Log'!$A:$A,"&lt;"&amp;$J544+7)/COUNTIFS('Weekly Log'!$H:$H,"&lt;&gt;",'Weekly Log'!$A:$A,"&gt;="&amp;$J544,'Weekly Log'!$A:$A,"&lt;"&amp;$J544+7),0))</f>
        <v/>
      </c>
      <c r="E544" t="str">
        <f>IF($J544="","",IFERROR(AVERAGEIFS('Weekly Log'!$F:$F,'Weekly Log'!$A:$A,"&gt;="&amp;$J544,'Weekly Log'!$A:$A,"&lt;"&amp;$J544+7),0))</f>
        <v/>
      </c>
      <c r="F544" t="str">
        <f>IF($J544="","",IFERROR(SUMIFS('Weekly Log'!$F:$F,'Weekly Log'!$A:$A,"&gt;="&amp;$J544,'Weekly Log'!$A:$A,"&lt;"&amp;$J544+7)/SUMIFS('Weekly Log'!$E:$E,'Weekly Log'!$A:$A,"&gt;="&amp;$J544,'Weekly Log'!$A:$A,"&lt;"&amp;$J544+7),0))</f>
        <v/>
      </c>
      <c r="G544" t="str">
        <f>IF($J544="","",IFERROR(LOOKUP(2,1/(('Weekly Log'!$A$5:$A$5000&gt;=$J544)*('Weekly Log'!$A$5:$A$5000&lt;$J544+7)*('Weekly Log'!$M$5:$M$5000&lt;&gt;"")),'Weekly Log'!$M$5:$M$5000),0))</f>
        <v/>
      </c>
      <c r="J544" t="str">
        <f>IF(COUNT('Weekly Log'!$A$5:$A$5000)=0,"",IF(MIN('Weekly Log'!$A$5:$A$5000)+7*(ROW()-10)&gt;MAX('Weekly Log'!$A$5:$A$5000),"",MIN('Weekly Log'!$A$5:$A$5000)+7*(ROW()-10)))</f>
        <v/>
      </c>
    </row>
    <row r="545" spans="1:10" x14ac:dyDescent="0.25">
      <c r="A545" t="str">
        <f t="shared" si="8"/>
        <v/>
      </c>
      <c r="B545" t="str">
        <f>IF($J545="","",SUMIFS('Weekly Log'!$C:$C,'Weekly Log'!$A:$A,"&gt;="&amp;$J545,'Weekly Log'!$A:$A,"&lt;"&amp;$J545+7))</f>
        <v/>
      </c>
      <c r="C545" t="str">
        <f>IF($J545="","",IFERROR(COUNTIFS('Weekly Log'!$G:$G,"Y",'Weekly Log'!$A:$A,"&gt;="&amp;$J545,'Weekly Log'!$A:$A,"&lt;"&amp;$J545+7)/COUNTIFS('Weekly Log'!$G:$G,"&lt;&gt;",'Weekly Log'!$A:$A,"&gt;="&amp;$J545,'Weekly Log'!$A:$A,"&lt;"&amp;$J545+7),0))</f>
        <v/>
      </c>
      <c r="D545" t="str">
        <f>IF($J545="","",IFERROR(COUNTIFS('Weekly Log'!$H:$H,"Y",'Weekly Log'!$A:$A,"&gt;="&amp;$J545,'Weekly Log'!$A:$A,"&lt;"&amp;$J545+7)/COUNTIFS('Weekly Log'!$H:$H,"&lt;&gt;",'Weekly Log'!$A:$A,"&gt;="&amp;$J545,'Weekly Log'!$A:$A,"&lt;"&amp;$J545+7),0))</f>
        <v/>
      </c>
      <c r="E545" t="str">
        <f>IF($J545="","",IFERROR(AVERAGEIFS('Weekly Log'!$F:$F,'Weekly Log'!$A:$A,"&gt;="&amp;$J545,'Weekly Log'!$A:$A,"&lt;"&amp;$J545+7),0))</f>
        <v/>
      </c>
      <c r="F545" t="str">
        <f>IF($J545="","",IFERROR(SUMIFS('Weekly Log'!$F:$F,'Weekly Log'!$A:$A,"&gt;="&amp;$J545,'Weekly Log'!$A:$A,"&lt;"&amp;$J545+7)/SUMIFS('Weekly Log'!$E:$E,'Weekly Log'!$A:$A,"&gt;="&amp;$J545,'Weekly Log'!$A:$A,"&lt;"&amp;$J545+7),0))</f>
        <v/>
      </c>
      <c r="G545" t="str">
        <f>IF($J545="","",IFERROR(LOOKUP(2,1/(('Weekly Log'!$A$5:$A$5000&gt;=$J545)*('Weekly Log'!$A$5:$A$5000&lt;$J545+7)*('Weekly Log'!$M$5:$M$5000&lt;&gt;"")),'Weekly Log'!$M$5:$M$5000),0))</f>
        <v/>
      </c>
      <c r="J545" t="str">
        <f>IF(COUNT('Weekly Log'!$A$5:$A$5000)=0,"",IF(MIN('Weekly Log'!$A$5:$A$5000)+7*(ROW()-10)&gt;MAX('Weekly Log'!$A$5:$A$5000),"",MIN('Weekly Log'!$A$5:$A$5000)+7*(ROW()-10)))</f>
        <v/>
      </c>
    </row>
    <row r="546" spans="1:10" x14ac:dyDescent="0.25">
      <c r="A546" t="str">
        <f t="shared" si="8"/>
        <v/>
      </c>
      <c r="B546" t="str">
        <f>IF($J546="","",SUMIFS('Weekly Log'!$C:$C,'Weekly Log'!$A:$A,"&gt;="&amp;$J546,'Weekly Log'!$A:$A,"&lt;"&amp;$J546+7))</f>
        <v/>
      </c>
      <c r="C546" t="str">
        <f>IF($J546="","",IFERROR(COUNTIFS('Weekly Log'!$G:$G,"Y",'Weekly Log'!$A:$A,"&gt;="&amp;$J546,'Weekly Log'!$A:$A,"&lt;"&amp;$J546+7)/COUNTIFS('Weekly Log'!$G:$G,"&lt;&gt;",'Weekly Log'!$A:$A,"&gt;="&amp;$J546,'Weekly Log'!$A:$A,"&lt;"&amp;$J546+7),0))</f>
        <v/>
      </c>
      <c r="D546" t="str">
        <f>IF($J546="","",IFERROR(COUNTIFS('Weekly Log'!$H:$H,"Y",'Weekly Log'!$A:$A,"&gt;="&amp;$J546,'Weekly Log'!$A:$A,"&lt;"&amp;$J546+7)/COUNTIFS('Weekly Log'!$H:$H,"&lt;&gt;",'Weekly Log'!$A:$A,"&gt;="&amp;$J546,'Weekly Log'!$A:$A,"&lt;"&amp;$J546+7),0))</f>
        <v/>
      </c>
      <c r="E546" t="str">
        <f>IF($J546="","",IFERROR(AVERAGEIFS('Weekly Log'!$F:$F,'Weekly Log'!$A:$A,"&gt;="&amp;$J546,'Weekly Log'!$A:$A,"&lt;"&amp;$J546+7),0))</f>
        <v/>
      </c>
      <c r="F546" t="str">
        <f>IF($J546="","",IFERROR(SUMIFS('Weekly Log'!$F:$F,'Weekly Log'!$A:$A,"&gt;="&amp;$J546,'Weekly Log'!$A:$A,"&lt;"&amp;$J546+7)/SUMIFS('Weekly Log'!$E:$E,'Weekly Log'!$A:$A,"&gt;="&amp;$J546,'Weekly Log'!$A:$A,"&lt;"&amp;$J546+7),0))</f>
        <v/>
      </c>
      <c r="G546" t="str">
        <f>IF($J546="","",IFERROR(LOOKUP(2,1/(('Weekly Log'!$A$5:$A$5000&gt;=$J546)*('Weekly Log'!$A$5:$A$5000&lt;$J546+7)*('Weekly Log'!$M$5:$M$5000&lt;&gt;"")),'Weekly Log'!$M$5:$M$5000),0))</f>
        <v/>
      </c>
      <c r="J546" t="str">
        <f>IF(COUNT('Weekly Log'!$A$5:$A$5000)=0,"",IF(MIN('Weekly Log'!$A$5:$A$5000)+7*(ROW()-10)&gt;MAX('Weekly Log'!$A$5:$A$5000),"",MIN('Weekly Log'!$A$5:$A$5000)+7*(ROW()-10)))</f>
        <v/>
      </c>
    </row>
    <row r="547" spans="1:10" x14ac:dyDescent="0.25">
      <c r="A547" t="str">
        <f t="shared" si="8"/>
        <v/>
      </c>
      <c r="B547" t="str">
        <f>IF($J547="","",SUMIFS('Weekly Log'!$C:$C,'Weekly Log'!$A:$A,"&gt;="&amp;$J547,'Weekly Log'!$A:$A,"&lt;"&amp;$J547+7))</f>
        <v/>
      </c>
      <c r="C547" t="str">
        <f>IF($J547="","",IFERROR(COUNTIFS('Weekly Log'!$G:$G,"Y",'Weekly Log'!$A:$A,"&gt;="&amp;$J547,'Weekly Log'!$A:$A,"&lt;"&amp;$J547+7)/COUNTIFS('Weekly Log'!$G:$G,"&lt;&gt;",'Weekly Log'!$A:$A,"&gt;="&amp;$J547,'Weekly Log'!$A:$A,"&lt;"&amp;$J547+7),0))</f>
        <v/>
      </c>
      <c r="D547" t="str">
        <f>IF($J547="","",IFERROR(COUNTIFS('Weekly Log'!$H:$H,"Y",'Weekly Log'!$A:$A,"&gt;="&amp;$J547,'Weekly Log'!$A:$A,"&lt;"&amp;$J547+7)/COUNTIFS('Weekly Log'!$H:$H,"&lt;&gt;",'Weekly Log'!$A:$A,"&gt;="&amp;$J547,'Weekly Log'!$A:$A,"&lt;"&amp;$J547+7),0))</f>
        <v/>
      </c>
      <c r="E547" t="str">
        <f>IF($J547="","",IFERROR(AVERAGEIFS('Weekly Log'!$F:$F,'Weekly Log'!$A:$A,"&gt;="&amp;$J547,'Weekly Log'!$A:$A,"&lt;"&amp;$J547+7),0))</f>
        <v/>
      </c>
      <c r="F547" t="str">
        <f>IF($J547="","",IFERROR(SUMIFS('Weekly Log'!$F:$F,'Weekly Log'!$A:$A,"&gt;="&amp;$J547,'Weekly Log'!$A:$A,"&lt;"&amp;$J547+7)/SUMIFS('Weekly Log'!$E:$E,'Weekly Log'!$A:$A,"&gt;="&amp;$J547,'Weekly Log'!$A:$A,"&lt;"&amp;$J547+7),0))</f>
        <v/>
      </c>
      <c r="G547" t="str">
        <f>IF($J547="","",IFERROR(LOOKUP(2,1/(('Weekly Log'!$A$5:$A$5000&gt;=$J547)*('Weekly Log'!$A$5:$A$5000&lt;$J547+7)*('Weekly Log'!$M$5:$M$5000&lt;&gt;"")),'Weekly Log'!$M$5:$M$5000),0))</f>
        <v/>
      </c>
      <c r="J547" t="str">
        <f>IF(COUNT('Weekly Log'!$A$5:$A$5000)=0,"",IF(MIN('Weekly Log'!$A$5:$A$5000)+7*(ROW()-10)&gt;MAX('Weekly Log'!$A$5:$A$5000),"",MIN('Weekly Log'!$A$5:$A$5000)+7*(ROW()-10)))</f>
        <v/>
      </c>
    </row>
    <row r="548" spans="1:10" x14ac:dyDescent="0.25">
      <c r="A548" t="str">
        <f t="shared" si="8"/>
        <v/>
      </c>
      <c r="B548" t="str">
        <f>IF($J548="","",SUMIFS('Weekly Log'!$C:$C,'Weekly Log'!$A:$A,"&gt;="&amp;$J548,'Weekly Log'!$A:$A,"&lt;"&amp;$J548+7))</f>
        <v/>
      </c>
      <c r="C548" t="str">
        <f>IF($J548="","",IFERROR(COUNTIFS('Weekly Log'!$G:$G,"Y",'Weekly Log'!$A:$A,"&gt;="&amp;$J548,'Weekly Log'!$A:$A,"&lt;"&amp;$J548+7)/COUNTIFS('Weekly Log'!$G:$G,"&lt;&gt;",'Weekly Log'!$A:$A,"&gt;="&amp;$J548,'Weekly Log'!$A:$A,"&lt;"&amp;$J548+7),0))</f>
        <v/>
      </c>
      <c r="D548" t="str">
        <f>IF($J548="","",IFERROR(COUNTIFS('Weekly Log'!$H:$H,"Y",'Weekly Log'!$A:$A,"&gt;="&amp;$J548,'Weekly Log'!$A:$A,"&lt;"&amp;$J548+7)/COUNTIFS('Weekly Log'!$H:$H,"&lt;&gt;",'Weekly Log'!$A:$A,"&gt;="&amp;$J548,'Weekly Log'!$A:$A,"&lt;"&amp;$J548+7),0))</f>
        <v/>
      </c>
      <c r="E548" t="str">
        <f>IF($J548="","",IFERROR(AVERAGEIFS('Weekly Log'!$F:$F,'Weekly Log'!$A:$A,"&gt;="&amp;$J548,'Weekly Log'!$A:$A,"&lt;"&amp;$J548+7),0))</f>
        <v/>
      </c>
      <c r="F548" t="str">
        <f>IF($J548="","",IFERROR(SUMIFS('Weekly Log'!$F:$F,'Weekly Log'!$A:$A,"&gt;="&amp;$J548,'Weekly Log'!$A:$A,"&lt;"&amp;$J548+7)/SUMIFS('Weekly Log'!$E:$E,'Weekly Log'!$A:$A,"&gt;="&amp;$J548,'Weekly Log'!$A:$A,"&lt;"&amp;$J548+7),0))</f>
        <v/>
      </c>
      <c r="G548" t="str">
        <f>IF($J548="","",IFERROR(LOOKUP(2,1/(('Weekly Log'!$A$5:$A$5000&gt;=$J548)*('Weekly Log'!$A$5:$A$5000&lt;$J548+7)*('Weekly Log'!$M$5:$M$5000&lt;&gt;"")),'Weekly Log'!$M$5:$M$5000),0))</f>
        <v/>
      </c>
      <c r="J548" t="str">
        <f>IF(COUNT('Weekly Log'!$A$5:$A$5000)=0,"",IF(MIN('Weekly Log'!$A$5:$A$5000)+7*(ROW()-10)&gt;MAX('Weekly Log'!$A$5:$A$5000),"",MIN('Weekly Log'!$A$5:$A$5000)+7*(ROW()-10)))</f>
        <v/>
      </c>
    </row>
    <row r="549" spans="1:10" x14ac:dyDescent="0.25">
      <c r="A549" t="str">
        <f t="shared" si="8"/>
        <v/>
      </c>
      <c r="B549" t="str">
        <f>IF($J549="","",SUMIFS('Weekly Log'!$C:$C,'Weekly Log'!$A:$A,"&gt;="&amp;$J549,'Weekly Log'!$A:$A,"&lt;"&amp;$J549+7))</f>
        <v/>
      </c>
      <c r="C549" t="str">
        <f>IF($J549="","",IFERROR(COUNTIFS('Weekly Log'!$G:$G,"Y",'Weekly Log'!$A:$A,"&gt;="&amp;$J549,'Weekly Log'!$A:$A,"&lt;"&amp;$J549+7)/COUNTIFS('Weekly Log'!$G:$G,"&lt;&gt;",'Weekly Log'!$A:$A,"&gt;="&amp;$J549,'Weekly Log'!$A:$A,"&lt;"&amp;$J549+7),0))</f>
        <v/>
      </c>
      <c r="D549" t="str">
        <f>IF($J549="","",IFERROR(COUNTIFS('Weekly Log'!$H:$H,"Y",'Weekly Log'!$A:$A,"&gt;="&amp;$J549,'Weekly Log'!$A:$A,"&lt;"&amp;$J549+7)/COUNTIFS('Weekly Log'!$H:$H,"&lt;&gt;",'Weekly Log'!$A:$A,"&gt;="&amp;$J549,'Weekly Log'!$A:$A,"&lt;"&amp;$J549+7),0))</f>
        <v/>
      </c>
      <c r="E549" t="str">
        <f>IF($J549="","",IFERROR(AVERAGEIFS('Weekly Log'!$F:$F,'Weekly Log'!$A:$A,"&gt;="&amp;$J549,'Weekly Log'!$A:$A,"&lt;"&amp;$J549+7),0))</f>
        <v/>
      </c>
      <c r="F549" t="str">
        <f>IF($J549="","",IFERROR(SUMIFS('Weekly Log'!$F:$F,'Weekly Log'!$A:$A,"&gt;="&amp;$J549,'Weekly Log'!$A:$A,"&lt;"&amp;$J549+7)/SUMIFS('Weekly Log'!$E:$E,'Weekly Log'!$A:$A,"&gt;="&amp;$J549,'Weekly Log'!$A:$A,"&lt;"&amp;$J549+7),0))</f>
        <v/>
      </c>
      <c r="G549" t="str">
        <f>IF($J549="","",IFERROR(LOOKUP(2,1/(('Weekly Log'!$A$5:$A$5000&gt;=$J549)*('Weekly Log'!$A$5:$A$5000&lt;$J549+7)*('Weekly Log'!$M$5:$M$5000&lt;&gt;"")),'Weekly Log'!$M$5:$M$5000),0))</f>
        <v/>
      </c>
      <c r="J549" t="str">
        <f>IF(COUNT('Weekly Log'!$A$5:$A$5000)=0,"",IF(MIN('Weekly Log'!$A$5:$A$5000)+7*(ROW()-10)&gt;MAX('Weekly Log'!$A$5:$A$5000),"",MIN('Weekly Log'!$A$5:$A$5000)+7*(ROW()-10)))</f>
        <v/>
      </c>
    </row>
    <row r="550" spans="1:10" x14ac:dyDescent="0.25">
      <c r="A550" t="str">
        <f t="shared" si="8"/>
        <v/>
      </c>
      <c r="B550" t="str">
        <f>IF($J550="","",SUMIFS('Weekly Log'!$C:$C,'Weekly Log'!$A:$A,"&gt;="&amp;$J550,'Weekly Log'!$A:$A,"&lt;"&amp;$J550+7))</f>
        <v/>
      </c>
      <c r="C550" t="str">
        <f>IF($J550="","",IFERROR(COUNTIFS('Weekly Log'!$G:$G,"Y",'Weekly Log'!$A:$A,"&gt;="&amp;$J550,'Weekly Log'!$A:$A,"&lt;"&amp;$J550+7)/COUNTIFS('Weekly Log'!$G:$G,"&lt;&gt;",'Weekly Log'!$A:$A,"&gt;="&amp;$J550,'Weekly Log'!$A:$A,"&lt;"&amp;$J550+7),0))</f>
        <v/>
      </c>
      <c r="D550" t="str">
        <f>IF($J550="","",IFERROR(COUNTIFS('Weekly Log'!$H:$H,"Y",'Weekly Log'!$A:$A,"&gt;="&amp;$J550,'Weekly Log'!$A:$A,"&lt;"&amp;$J550+7)/COUNTIFS('Weekly Log'!$H:$H,"&lt;&gt;",'Weekly Log'!$A:$A,"&gt;="&amp;$J550,'Weekly Log'!$A:$A,"&lt;"&amp;$J550+7),0))</f>
        <v/>
      </c>
      <c r="E550" t="str">
        <f>IF($J550="","",IFERROR(AVERAGEIFS('Weekly Log'!$F:$F,'Weekly Log'!$A:$A,"&gt;="&amp;$J550,'Weekly Log'!$A:$A,"&lt;"&amp;$J550+7),0))</f>
        <v/>
      </c>
      <c r="F550" t="str">
        <f>IF($J550="","",IFERROR(SUMIFS('Weekly Log'!$F:$F,'Weekly Log'!$A:$A,"&gt;="&amp;$J550,'Weekly Log'!$A:$A,"&lt;"&amp;$J550+7)/SUMIFS('Weekly Log'!$E:$E,'Weekly Log'!$A:$A,"&gt;="&amp;$J550,'Weekly Log'!$A:$A,"&lt;"&amp;$J550+7),0))</f>
        <v/>
      </c>
      <c r="G550" t="str">
        <f>IF($J550="","",IFERROR(LOOKUP(2,1/(('Weekly Log'!$A$5:$A$5000&gt;=$J550)*('Weekly Log'!$A$5:$A$5000&lt;$J550+7)*('Weekly Log'!$M$5:$M$5000&lt;&gt;"")),'Weekly Log'!$M$5:$M$5000),0))</f>
        <v/>
      </c>
      <c r="J550" t="str">
        <f>IF(COUNT('Weekly Log'!$A$5:$A$5000)=0,"",IF(MIN('Weekly Log'!$A$5:$A$5000)+7*(ROW()-10)&gt;MAX('Weekly Log'!$A$5:$A$5000),"",MIN('Weekly Log'!$A$5:$A$5000)+7*(ROW()-10)))</f>
        <v/>
      </c>
    </row>
    <row r="551" spans="1:10" x14ac:dyDescent="0.25">
      <c r="A551" t="str">
        <f t="shared" si="8"/>
        <v/>
      </c>
      <c r="B551" t="str">
        <f>IF($J551="","",SUMIFS('Weekly Log'!$C:$C,'Weekly Log'!$A:$A,"&gt;="&amp;$J551,'Weekly Log'!$A:$A,"&lt;"&amp;$J551+7))</f>
        <v/>
      </c>
      <c r="C551" t="str">
        <f>IF($J551="","",IFERROR(COUNTIFS('Weekly Log'!$G:$G,"Y",'Weekly Log'!$A:$A,"&gt;="&amp;$J551,'Weekly Log'!$A:$A,"&lt;"&amp;$J551+7)/COUNTIFS('Weekly Log'!$G:$G,"&lt;&gt;",'Weekly Log'!$A:$A,"&gt;="&amp;$J551,'Weekly Log'!$A:$A,"&lt;"&amp;$J551+7),0))</f>
        <v/>
      </c>
      <c r="D551" t="str">
        <f>IF($J551="","",IFERROR(COUNTIFS('Weekly Log'!$H:$H,"Y",'Weekly Log'!$A:$A,"&gt;="&amp;$J551,'Weekly Log'!$A:$A,"&lt;"&amp;$J551+7)/COUNTIFS('Weekly Log'!$H:$H,"&lt;&gt;",'Weekly Log'!$A:$A,"&gt;="&amp;$J551,'Weekly Log'!$A:$A,"&lt;"&amp;$J551+7),0))</f>
        <v/>
      </c>
      <c r="E551" t="str">
        <f>IF($J551="","",IFERROR(AVERAGEIFS('Weekly Log'!$F:$F,'Weekly Log'!$A:$A,"&gt;="&amp;$J551,'Weekly Log'!$A:$A,"&lt;"&amp;$J551+7),0))</f>
        <v/>
      </c>
      <c r="F551" t="str">
        <f>IF($J551="","",IFERROR(SUMIFS('Weekly Log'!$F:$F,'Weekly Log'!$A:$A,"&gt;="&amp;$J551,'Weekly Log'!$A:$A,"&lt;"&amp;$J551+7)/SUMIFS('Weekly Log'!$E:$E,'Weekly Log'!$A:$A,"&gt;="&amp;$J551,'Weekly Log'!$A:$A,"&lt;"&amp;$J551+7),0))</f>
        <v/>
      </c>
      <c r="G551" t="str">
        <f>IF($J551="","",IFERROR(LOOKUP(2,1/(('Weekly Log'!$A$5:$A$5000&gt;=$J551)*('Weekly Log'!$A$5:$A$5000&lt;$J551+7)*('Weekly Log'!$M$5:$M$5000&lt;&gt;"")),'Weekly Log'!$M$5:$M$5000),0))</f>
        <v/>
      </c>
      <c r="J551" t="str">
        <f>IF(COUNT('Weekly Log'!$A$5:$A$5000)=0,"",IF(MIN('Weekly Log'!$A$5:$A$5000)+7*(ROW()-10)&gt;MAX('Weekly Log'!$A$5:$A$5000),"",MIN('Weekly Log'!$A$5:$A$5000)+7*(ROW()-10)))</f>
        <v/>
      </c>
    </row>
    <row r="552" spans="1:10" x14ac:dyDescent="0.25">
      <c r="A552" t="str">
        <f t="shared" si="8"/>
        <v/>
      </c>
      <c r="B552" t="str">
        <f>IF($J552="","",SUMIFS('Weekly Log'!$C:$C,'Weekly Log'!$A:$A,"&gt;="&amp;$J552,'Weekly Log'!$A:$A,"&lt;"&amp;$J552+7))</f>
        <v/>
      </c>
      <c r="C552" t="str">
        <f>IF($J552="","",IFERROR(COUNTIFS('Weekly Log'!$G:$G,"Y",'Weekly Log'!$A:$A,"&gt;="&amp;$J552,'Weekly Log'!$A:$A,"&lt;"&amp;$J552+7)/COUNTIFS('Weekly Log'!$G:$G,"&lt;&gt;",'Weekly Log'!$A:$A,"&gt;="&amp;$J552,'Weekly Log'!$A:$A,"&lt;"&amp;$J552+7),0))</f>
        <v/>
      </c>
      <c r="D552" t="str">
        <f>IF($J552="","",IFERROR(COUNTIFS('Weekly Log'!$H:$H,"Y",'Weekly Log'!$A:$A,"&gt;="&amp;$J552,'Weekly Log'!$A:$A,"&lt;"&amp;$J552+7)/COUNTIFS('Weekly Log'!$H:$H,"&lt;&gt;",'Weekly Log'!$A:$A,"&gt;="&amp;$J552,'Weekly Log'!$A:$A,"&lt;"&amp;$J552+7),0))</f>
        <v/>
      </c>
      <c r="E552" t="str">
        <f>IF($J552="","",IFERROR(AVERAGEIFS('Weekly Log'!$F:$F,'Weekly Log'!$A:$A,"&gt;="&amp;$J552,'Weekly Log'!$A:$A,"&lt;"&amp;$J552+7),0))</f>
        <v/>
      </c>
      <c r="F552" t="str">
        <f>IF($J552="","",IFERROR(SUMIFS('Weekly Log'!$F:$F,'Weekly Log'!$A:$A,"&gt;="&amp;$J552,'Weekly Log'!$A:$A,"&lt;"&amp;$J552+7)/SUMIFS('Weekly Log'!$E:$E,'Weekly Log'!$A:$A,"&gt;="&amp;$J552,'Weekly Log'!$A:$A,"&lt;"&amp;$J552+7),0))</f>
        <v/>
      </c>
      <c r="G552" t="str">
        <f>IF($J552="","",IFERROR(LOOKUP(2,1/(('Weekly Log'!$A$5:$A$5000&gt;=$J552)*('Weekly Log'!$A$5:$A$5000&lt;$J552+7)*('Weekly Log'!$M$5:$M$5000&lt;&gt;"")),'Weekly Log'!$M$5:$M$5000),0))</f>
        <v/>
      </c>
      <c r="J552" t="str">
        <f>IF(COUNT('Weekly Log'!$A$5:$A$5000)=0,"",IF(MIN('Weekly Log'!$A$5:$A$5000)+7*(ROW()-10)&gt;MAX('Weekly Log'!$A$5:$A$5000),"",MIN('Weekly Log'!$A$5:$A$5000)+7*(ROW()-10)))</f>
        <v/>
      </c>
    </row>
    <row r="553" spans="1:10" x14ac:dyDescent="0.25">
      <c r="A553" t="str">
        <f t="shared" si="8"/>
        <v/>
      </c>
      <c r="B553" t="str">
        <f>IF($J553="","",SUMIFS('Weekly Log'!$C:$C,'Weekly Log'!$A:$A,"&gt;="&amp;$J553,'Weekly Log'!$A:$A,"&lt;"&amp;$J553+7))</f>
        <v/>
      </c>
      <c r="C553" t="str">
        <f>IF($J553="","",IFERROR(COUNTIFS('Weekly Log'!$G:$G,"Y",'Weekly Log'!$A:$A,"&gt;="&amp;$J553,'Weekly Log'!$A:$A,"&lt;"&amp;$J553+7)/COUNTIFS('Weekly Log'!$G:$G,"&lt;&gt;",'Weekly Log'!$A:$A,"&gt;="&amp;$J553,'Weekly Log'!$A:$A,"&lt;"&amp;$J553+7),0))</f>
        <v/>
      </c>
      <c r="D553" t="str">
        <f>IF($J553="","",IFERROR(COUNTIFS('Weekly Log'!$H:$H,"Y",'Weekly Log'!$A:$A,"&gt;="&amp;$J553,'Weekly Log'!$A:$A,"&lt;"&amp;$J553+7)/COUNTIFS('Weekly Log'!$H:$H,"&lt;&gt;",'Weekly Log'!$A:$A,"&gt;="&amp;$J553,'Weekly Log'!$A:$A,"&lt;"&amp;$J553+7),0))</f>
        <v/>
      </c>
      <c r="E553" t="str">
        <f>IF($J553="","",IFERROR(AVERAGEIFS('Weekly Log'!$F:$F,'Weekly Log'!$A:$A,"&gt;="&amp;$J553,'Weekly Log'!$A:$A,"&lt;"&amp;$J553+7),0))</f>
        <v/>
      </c>
      <c r="F553" t="str">
        <f>IF($J553="","",IFERROR(SUMIFS('Weekly Log'!$F:$F,'Weekly Log'!$A:$A,"&gt;="&amp;$J553,'Weekly Log'!$A:$A,"&lt;"&amp;$J553+7)/SUMIFS('Weekly Log'!$E:$E,'Weekly Log'!$A:$A,"&gt;="&amp;$J553,'Weekly Log'!$A:$A,"&lt;"&amp;$J553+7),0))</f>
        <v/>
      </c>
      <c r="G553" t="str">
        <f>IF($J553="","",IFERROR(LOOKUP(2,1/(('Weekly Log'!$A$5:$A$5000&gt;=$J553)*('Weekly Log'!$A$5:$A$5000&lt;$J553+7)*('Weekly Log'!$M$5:$M$5000&lt;&gt;"")),'Weekly Log'!$M$5:$M$5000),0))</f>
        <v/>
      </c>
      <c r="J553" t="str">
        <f>IF(COUNT('Weekly Log'!$A$5:$A$5000)=0,"",IF(MIN('Weekly Log'!$A$5:$A$5000)+7*(ROW()-10)&gt;MAX('Weekly Log'!$A$5:$A$5000),"",MIN('Weekly Log'!$A$5:$A$5000)+7*(ROW()-10)))</f>
        <v/>
      </c>
    </row>
    <row r="554" spans="1:10" x14ac:dyDescent="0.25">
      <c r="A554" t="str">
        <f t="shared" si="8"/>
        <v/>
      </c>
      <c r="B554" t="str">
        <f>IF($J554="","",SUMIFS('Weekly Log'!$C:$C,'Weekly Log'!$A:$A,"&gt;="&amp;$J554,'Weekly Log'!$A:$A,"&lt;"&amp;$J554+7))</f>
        <v/>
      </c>
      <c r="C554" t="str">
        <f>IF($J554="","",IFERROR(COUNTIFS('Weekly Log'!$G:$G,"Y",'Weekly Log'!$A:$A,"&gt;="&amp;$J554,'Weekly Log'!$A:$A,"&lt;"&amp;$J554+7)/COUNTIFS('Weekly Log'!$G:$G,"&lt;&gt;",'Weekly Log'!$A:$A,"&gt;="&amp;$J554,'Weekly Log'!$A:$A,"&lt;"&amp;$J554+7),0))</f>
        <v/>
      </c>
      <c r="D554" t="str">
        <f>IF($J554="","",IFERROR(COUNTIFS('Weekly Log'!$H:$H,"Y",'Weekly Log'!$A:$A,"&gt;="&amp;$J554,'Weekly Log'!$A:$A,"&lt;"&amp;$J554+7)/COUNTIFS('Weekly Log'!$H:$H,"&lt;&gt;",'Weekly Log'!$A:$A,"&gt;="&amp;$J554,'Weekly Log'!$A:$A,"&lt;"&amp;$J554+7),0))</f>
        <v/>
      </c>
      <c r="E554" t="str">
        <f>IF($J554="","",IFERROR(AVERAGEIFS('Weekly Log'!$F:$F,'Weekly Log'!$A:$A,"&gt;="&amp;$J554,'Weekly Log'!$A:$A,"&lt;"&amp;$J554+7),0))</f>
        <v/>
      </c>
      <c r="F554" t="str">
        <f>IF($J554="","",IFERROR(SUMIFS('Weekly Log'!$F:$F,'Weekly Log'!$A:$A,"&gt;="&amp;$J554,'Weekly Log'!$A:$A,"&lt;"&amp;$J554+7)/SUMIFS('Weekly Log'!$E:$E,'Weekly Log'!$A:$A,"&gt;="&amp;$J554,'Weekly Log'!$A:$A,"&lt;"&amp;$J554+7),0))</f>
        <v/>
      </c>
      <c r="G554" t="str">
        <f>IF($J554="","",IFERROR(LOOKUP(2,1/(('Weekly Log'!$A$5:$A$5000&gt;=$J554)*('Weekly Log'!$A$5:$A$5000&lt;$J554+7)*('Weekly Log'!$M$5:$M$5000&lt;&gt;"")),'Weekly Log'!$M$5:$M$5000),0))</f>
        <v/>
      </c>
      <c r="J554" t="str">
        <f>IF(COUNT('Weekly Log'!$A$5:$A$5000)=0,"",IF(MIN('Weekly Log'!$A$5:$A$5000)+7*(ROW()-10)&gt;MAX('Weekly Log'!$A$5:$A$5000),"",MIN('Weekly Log'!$A$5:$A$5000)+7*(ROW()-10)))</f>
        <v/>
      </c>
    </row>
    <row r="555" spans="1:10" x14ac:dyDescent="0.25">
      <c r="A555" t="str">
        <f t="shared" si="8"/>
        <v/>
      </c>
      <c r="B555" t="str">
        <f>IF($J555="","",SUMIFS('Weekly Log'!$C:$C,'Weekly Log'!$A:$A,"&gt;="&amp;$J555,'Weekly Log'!$A:$A,"&lt;"&amp;$J555+7))</f>
        <v/>
      </c>
      <c r="C555" t="str">
        <f>IF($J555="","",IFERROR(COUNTIFS('Weekly Log'!$G:$G,"Y",'Weekly Log'!$A:$A,"&gt;="&amp;$J555,'Weekly Log'!$A:$A,"&lt;"&amp;$J555+7)/COUNTIFS('Weekly Log'!$G:$G,"&lt;&gt;",'Weekly Log'!$A:$A,"&gt;="&amp;$J555,'Weekly Log'!$A:$A,"&lt;"&amp;$J555+7),0))</f>
        <v/>
      </c>
      <c r="D555" t="str">
        <f>IF($J555="","",IFERROR(COUNTIFS('Weekly Log'!$H:$H,"Y",'Weekly Log'!$A:$A,"&gt;="&amp;$J555,'Weekly Log'!$A:$A,"&lt;"&amp;$J555+7)/COUNTIFS('Weekly Log'!$H:$H,"&lt;&gt;",'Weekly Log'!$A:$A,"&gt;="&amp;$J555,'Weekly Log'!$A:$A,"&lt;"&amp;$J555+7),0))</f>
        <v/>
      </c>
      <c r="E555" t="str">
        <f>IF($J555="","",IFERROR(AVERAGEIFS('Weekly Log'!$F:$F,'Weekly Log'!$A:$A,"&gt;="&amp;$J555,'Weekly Log'!$A:$A,"&lt;"&amp;$J555+7),0))</f>
        <v/>
      </c>
      <c r="F555" t="str">
        <f>IF($J555="","",IFERROR(SUMIFS('Weekly Log'!$F:$F,'Weekly Log'!$A:$A,"&gt;="&amp;$J555,'Weekly Log'!$A:$A,"&lt;"&amp;$J555+7)/SUMIFS('Weekly Log'!$E:$E,'Weekly Log'!$A:$A,"&gt;="&amp;$J555,'Weekly Log'!$A:$A,"&lt;"&amp;$J555+7),0))</f>
        <v/>
      </c>
      <c r="G555" t="str">
        <f>IF($J555="","",IFERROR(LOOKUP(2,1/(('Weekly Log'!$A$5:$A$5000&gt;=$J555)*('Weekly Log'!$A$5:$A$5000&lt;$J555+7)*('Weekly Log'!$M$5:$M$5000&lt;&gt;"")),'Weekly Log'!$M$5:$M$5000),0))</f>
        <v/>
      </c>
      <c r="J555" t="str">
        <f>IF(COUNT('Weekly Log'!$A$5:$A$5000)=0,"",IF(MIN('Weekly Log'!$A$5:$A$5000)+7*(ROW()-10)&gt;MAX('Weekly Log'!$A$5:$A$5000),"",MIN('Weekly Log'!$A$5:$A$5000)+7*(ROW()-10)))</f>
        <v/>
      </c>
    </row>
    <row r="556" spans="1:10" x14ac:dyDescent="0.25">
      <c r="A556" t="str">
        <f t="shared" si="8"/>
        <v/>
      </c>
      <c r="B556" t="str">
        <f>IF($J556="","",SUMIFS('Weekly Log'!$C:$C,'Weekly Log'!$A:$A,"&gt;="&amp;$J556,'Weekly Log'!$A:$A,"&lt;"&amp;$J556+7))</f>
        <v/>
      </c>
      <c r="C556" t="str">
        <f>IF($J556="","",IFERROR(COUNTIFS('Weekly Log'!$G:$G,"Y",'Weekly Log'!$A:$A,"&gt;="&amp;$J556,'Weekly Log'!$A:$A,"&lt;"&amp;$J556+7)/COUNTIFS('Weekly Log'!$G:$G,"&lt;&gt;",'Weekly Log'!$A:$A,"&gt;="&amp;$J556,'Weekly Log'!$A:$A,"&lt;"&amp;$J556+7),0))</f>
        <v/>
      </c>
      <c r="D556" t="str">
        <f>IF($J556="","",IFERROR(COUNTIFS('Weekly Log'!$H:$H,"Y",'Weekly Log'!$A:$A,"&gt;="&amp;$J556,'Weekly Log'!$A:$A,"&lt;"&amp;$J556+7)/COUNTIFS('Weekly Log'!$H:$H,"&lt;&gt;",'Weekly Log'!$A:$A,"&gt;="&amp;$J556,'Weekly Log'!$A:$A,"&lt;"&amp;$J556+7),0))</f>
        <v/>
      </c>
      <c r="E556" t="str">
        <f>IF($J556="","",IFERROR(AVERAGEIFS('Weekly Log'!$F:$F,'Weekly Log'!$A:$A,"&gt;="&amp;$J556,'Weekly Log'!$A:$A,"&lt;"&amp;$J556+7),0))</f>
        <v/>
      </c>
      <c r="F556" t="str">
        <f>IF($J556="","",IFERROR(SUMIFS('Weekly Log'!$F:$F,'Weekly Log'!$A:$A,"&gt;="&amp;$J556,'Weekly Log'!$A:$A,"&lt;"&amp;$J556+7)/SUMIFS('Weekly Log'!$E:$E,'Weekly Log'!$A:$A,"&gt;="&amp;$J556,'Weekly Log'!$A:$A,"&lt;"&amp;$J556+7),0))</f>
        <v/>
      </c>
      <c r="G556" t="str">
        <f>IF($J556="","",IFERROR(LOOKUP(2,1/(('Weekly Log'!$A$5:$A$5000&gt;=$J556)*('Weekly Log'!$A$5:$A$5000&lt;$J556+7)*('Weekly Log'!$M$5:$M$5000&lt;&gt;"")),'Weekly Log'!$M$5:$M$5000),0))</f>
        <v/>
      </c>
      <c r="J556" t="str">
        <f>IF(COUNT('Weekly Log'!$A$5:$A$5000)=0,"",IF(MIN('Weekly Log'!$A$5:$A$5000)+7*(ROW()-10)&gt;MAX('Weekly Log'!$A$5:$A$5000),"",MIN('Weekly Log'!$A$5:$A$5000)+7*(ROW()-10)))</f>
        <v/>
      </c>
    </row>
    <row r="557" spans="1:10" x14ac:dyDescent="0.25">
      <c r="A557" t="str">
        <f t="shared" si="8"/>
        <v/>
      </c>
      <c r="B557" t="str">
        <f>IF($J557="","",SUMIFS('Weekly Log'!$C:$C,'Weekly Log'!$A:$A,"&gt;="&amp;$J557,'Weekly Log'!$A:$A,"&lt;"&amp;$J557+7))</f>
        <v/>
      </c>
      <c r="C557" t="str">
        <f>IF($J557="","",IFERROR(COUNTIFS('Weekly Log'!$G:$G,"Y",'Weekly Log'!$A:$A,"&gt;="&amp;$J557,'Weekly Log'!$A:$A,"&lt;"&amp;$J557+7)/COUNTIFS('Weekly Log'!$G:$G,"&lt;&gt;",'Weekly Log'!$A:$A,"&gt;="&amp;$J557,'Weekly Log'!$A:$A,"&lt;"&amp;$J557+7),0))</f>
        <v/>
      </c>
      <c r="D557" t="str">
        <f>IF($J557="","",IFERROR(COUNTIFS('Weekly Log'!$H:$H,"Y",'Weekly Log'!$A:$A,"&gt;="&amp;$J557,'Weekly Log'!$A:$A,"&lt;"&amp;$J557+7)/COUNTIFS('Weekly Log'!$H:$H,"&lt;&gt;",'Weekly Log'!$A:$A,"&gt;="&amp;$J557,'Weekly Log'!$A:$A,"&lt;"&amp;$J557+7),0))</f>
        <v/>
      </c>
      <c r="E557" t="str">
        <f>IF($J557="","",IFERROR(AVERAGEIFS('Weekly Log'!$F:$F,'Weekly Log'!$A:$A,"&gt;="&amp;$J557,'Weekly Log'!$A:$A,"&lt;"&amp;$J557+7),0))</f>
        <v/>
      </c>
      <c r="F557" t="str">
        <f>IF($J557="","",IFERROR(SUMIFS('Weekly Log'!$F:$F,'Weekly Log'!$A:$A,"&gt;="&amp;$J557,'Weekly Log'!$A:$A,"&lt;"&amp;$J557+7)/SUMIFS('Weekly Log'!$E:$E,'Weekly Log'!$A:$A,"&gt;="&amp;$J557,'Weekly Log'!$A:$A,"&lt;"&amp;$J557+7),0))</f>
        <v/>
      </c>
      <c r="G557" t="str">
        <f>IF($J557="","",IFERROR(LOOKUP(2,1/(('Weekly Log'!$A$5:$A$5000&gt;=$J557)*('Weekly Log'!$A$5:$A$5000&lt;$J557+7)*('Weekly Log'!$M$5:$M$5000&lt;&gt;"")),'Weekly Log'!$M$5:$M$5000),0))</f>
        <v/>
      </c>
      <c r="J557" t="str">
        <f>IF(COUNT('Weekly Log'!$A$5:$A$5000)=0,"",IF(MIN('Weekly Log'!$A$5:$A$5000)+7*(ROW()-10)&gt;MAX('Weekly Log'!$A$5:$A$5000),"",MIN('Weekly Log'!$A$5:$A$5000)+7*(ROW()-10)))</f>
        <v/>
      </c>
    </row>
    <row r="558" spans="1:10" x14ac:dyDescent="0.25">
      <c r="A558" t="str">
        <f t="shared" si="8"/>
        <v/>
      </c>
      <c r="B558" t="str">
        <f>IF($J558="","",SUMIFS('Weekly Log'!$C:$C,'Weekly Log'!$A:$A,"&gt;="&amp;$J558,'Weekly Log'!$A:$A,"&lt;"&amp;$J558+7))</f>
        <v/>
      </c>
      <c r="C558" t="str">
        <f>IF($J558="","",IFERROR(COUNTIFS('Weekly Log'!$G:$G,"Y",'Weekly Log'!$A:$A,"&gt;="&amp;$J558,'Weekly Log'!$A:$A,"&lt;"&amp;$J558+7)/COUNTIFS('Weekly Log'!$G:$G,"&lt;&gt;",'Weekly Log'!$A:$A,"&gt;="&amp;$J558,'Weekly Log'!$A:$A,"&lt;"&amp;$J558+7),0))</f>
        <v/>
      </c>
      <c r="D558" t="str">
        <f>IF($J558="","",IFERROR(COUNTIFS('Weekly Log'!$H:$H,"Y",'Weekly Log'!$A:$A,"&gt;="&amp;$J558,'Weekly Log'!$A:$A,"&lt;"&amp;$J558+7)/COUNTIFS('Weekly Log'!$H:$H,"&lt;&gt;",'Weekly Log'!$A:$A,"&gt;="&amp;$J558,'Weekly Log'!$A:$A,"&lt;"&amp;$J558+7),0))</f>
        <v/>
      </c>
      <c r="E558" t="str">
        <f>IF($J558="","",IFERROR(AVERAGEIFS('Weekly Log'!$F:$F,'Weekly Log'!$A:$A,"&gt;="&amp;$J558,'Weekly Log'!$A:$A,"&lt;"&amp;$J558+7),0))</f>
        <v/>
      </c>
      <c r="F558" t="str">
        <f>IF($J558="","",IFERROR(SUMIFS('Weekly Log'!$F:$F,'Weekly Log'!$A:$A,"&gt;="&amp;$J558,'Weekly Log'!$A:$A,"&lt;"&amp;$J558+7)/SUMIFS('Weekly Log'!$E:$E,'Weekly Log'!$A:$A,"&gt;="&amp;$J558,'Weekly Log'!$A:$A,"&lt;"&amp;$J558+7),0))</f>
        <v/>
      </c>
      <c r="G558" t="str">
        <f>IF($J558="","",IFERROR(LOOKUP(2,1/(('Weekly Log'!$A$5:$A$5000&gt;=$J558)*('Weekly Log'!$A$5:$A$5000&lt;$J558+7)*('Weekly Log'!$M$5:$M$5000&lt;&gt;"")),'Weekly Log'!$M$5:$M$5000),0))</f>
        <v/>
      </c>
      <c r="J558" t="str">
        <f>IF(COUNT('Weekly Log'!$A$5:$A$5000)=0,"",IF(MIN('Weekly Log'!$A$5:$A$5000)+7*(ROW()-10)&gt;MAX('Weekly Log'!$A$5:$A$5000),"",MIN('Weekly Log'!$A$5:$A$5000)+7*(ROW()-10)))</f>
        <v/>
      </c>
    </row>
    <row r="559" spans="1:10" x14ac:dyDescent="0.25">
      <c r="A559" t="str">
        <f t="shared" si="8"/>
        <v/>
      </c>
      <c r="B559" t="str">
        <f>IF($J559="","",SUMIFS('Weekly Log'!$C:$C,'Weekly Log'!$A:$A,"&gt;="&amp;$J559,'Weekly Log'!$A:$A,"&lt;"&amp;$J559+7))</f>
        <v/>
      </c>
      <c r="C559" t="str">
        <f>IF($J559="","",IFERROR(COUNTIFS('Weekly Log'!$G:$G,"Y",'Weekly Log'!$A:$A,"&gt;="&amp;$J559,'Weekly Log'!$A:$A,"&lt;"&amp;$J559+7)/COUNTIFS('Weekly Log'!$G:$G,"&lt;&gt;",'Weekly Log'!$A:$A,"&gt;="&amp;$J559,'Weekly Log'!$A:$A,"&lt;"&amp;$J559+7),0))</f>
        <v/>
      </c>
      <c r="D559" t="str">
        <f>IF($J559="","",IFERROR(COUNTIFS('Weekly Log'!$H:$H,"Y",'Weekly Log'!$A:$A,"&gt;="&amp;$J559,'Weekly Log'!$A:$A,"&lt;"&amp;$J559+7)/COUNTIFS('Weekly Log'!$H:$H,"&lt;&gt;",'Weekly Log'!$A:$A,"&gt;="&amp;$J559,'Weekly Log'!$A:$A,"&lt;"&amp;$J559+7),0))</f>
        <v/>
      </c>
      <c r="E559" t="str">
        <f>IF($J559="","",IFERROR(AVERAGEIFS('Weekly Log'!$F:$F,'Weekly Log'!$A:$A,"&gt;="&amp;$J559,'Weekly Log'!$A:$A,"&lt;"&amp;$J559+7),0))</f>
        <v/>
      </c>
      <c r="F559" t="str">
        <f>IF($J559="","",IFERROR(SUMIFS('Weekly Log'!$F:$F,'Weekly Log'!$A:$A,"&gt;="&amp;$J559,'Weekly Log'!$A:$A,"&lt;"&amp;$J559+7)/SUMIFS('Weekly Log'!$E:$E,'Weekly Log'!$A:$A,"&gt;="&amp;$J559,'Weekly Log'!$A:$A,"&lt;"&amp;$J559+7),0))</f>
        <v/>
      </c>
      <c r="G559" t="str">
        <f>IF($J559="","",IFERROR(LOOKUP(2,1/(('Weekly Log'!$A$5:$A$5000&gt;=$J559)*('Weekly Log'!$A$5:$A$5000&lt;$J559+7)*('Weekly Log'!$M$5:$M$5000&lt;&gt;"")),'Weekly Log'!$M$5:$M$5000),0))</f>
        <v/>
      </c>
      <c r="J559" t="str">
        <f>IF(COUNT('Weekly Log'!$A$5:$A$5000)=0,"",IF(MIN('Weekly Log'!$A$5:$A$5000)+7*(ROW()-10)&gt;MAX('Weekly Log'!$A$5:$A$5000),"",MIN('Weekly Log'!$A$5:$A$5000)+7*(ROW()-10)))</f>
        <v/>
      </c>
    </row>
    <row r="560" spans="1:10" x14ac:dyDescent="0.25">
      <c r="A560" t="str">
        <f t="shared" si="8"/>
        <v/>
      </c>
      <c r="B560" t="str">
        <f>IF($J560="","",SUMIFS('Weekly Log'!$C:$C,'Weekly Log'!$A:$A,"&gt;="&amp;$J560,'Weekly Log'!$A:$A,"&lt;"&amp;$J560+7))</f>
        <v/>
      </c>
      <c r="C560" t="str">
        <f>IF($J560="","",IFERROR(COUNTIFS('Weekly Log'!$G:$G,"Y",'Weekly Log'!$A:$A,"&gt;="&amp;$J560,'Weekly Log'!$A:$A,"&lt;"&amp;$J560+7)/COUNTIFS('Weekly Log'!$G:$G,"&lt;&gt;",'Weekly Log'!$A:$A,"&gt;="&amp;$J560,'Weekly Log'!$A:$A,"&lt;"&amp;$J560+7),0))</f>
        <v/>
      </c>
      <c r="D560" t="str">
        <f>IF($J560="","",IFERROR(COUNTIFS('Weekly Log'!$H:$H,"Y",'Weekly Log'!$A:$A,"&gt;="&amp;$J560,'Weekly Log'!$A:$A,"&lt;"&amp;$J560+7)/COUNTIFS('Weekly Log'!$H:$H,"&lt;&gt;",'Weekly Log'!$A:$A,"&gt;="&amp;$J560,'Weekly Log'!$A:$A,"&lt;"&amp;$J560+7),0))</f>
        <v/>
      </c>
      <c r="E560" t="str">
        <f>IF($J560="","",IFERROR(AVERAGEIFS('Weekly Log'!$F:$F,'Weekly Log'!$A:$A,"&gt;="&amp;$J560,'Weekly Log'!$A:$A,"&lt;"&amp;$J560+7),0))</f>
        <v/>
      </c>
      <c r="F560" t="str">
        <f>IF($J560="","",IFERROR(SUMIFS('Weekly Log'!$F:$F,'Weekly Log'!$A:$A,"&gt;="&amp;$J560,'Weekly Log'!$A:$A,"&lt;"&amp;$J560+7)/SUMIFS('Weekly Log'!$E:$E,'Weekly Log'!$A:$A,"&gt;="&amp;$J560,'Weekly Log'!$A:$A,"&lt;"&amp;$J560+7),0))</f>
        <v/>
      </c>
      <c r="G560" t="str">
        <f>IF($J560="","",IFERROR(LOOKUP(2,1/(('Weekly Log'!$A$5:$A$5000&gt;=$J560)*('Weekly Log'!$A$5:$A$5000&lt;$J560+7)*('Weekly Log'!$M$5:$M$5000&lt;&gt;"")),'Weekly Log'!$M$5:$M$5000),0))</f>
        <v/>
      </c>
      <c r="J560" t="str">
        <f>IF(COUNT('Weekly Log'!$A$5:$A$5000)=0,"",IF(MIN('Weekly Log'!$A$5:$A$5000)+7*(ROW()-10)&gt;MAX('Weekly Log'!$A$5:$A$5000),"",MIN('Weekly Log'!$A$5:$A$5000)+7*(ROW()-10)))</f>
        <v/>
      </c>
    </row>
    <row r="561" spans="1:10" x14ac:dyDescent="0.25">
      <c r="A561" t="str">
        <f t="shared" si="8"/>
        <v/>
      </c>
      <c r="B561" t="str">
        <f>IF($J561="","",SUMIFS('Weekly Log'!$C:$C,'Weekly Log'!$A:$A,"&gt;="&amp;$J561,'Weekly Log'!$A:$A,"&lt;"&amp;$J561+7))</f>
        <v/>
      </c>
      <c r="C561" t="str">
        <f>IF($J561="","",IFERROR(COUNTIFS('Weekly Log'!$G:$G,"Y",'Weekly Log'!$A:$A,"&gt;="&amp;$J561,'Weekly Log'!$A:$A,"&lt;"&amp;$J561+7)/COUNTIFS('Weekly Log'!$G:$G,"&lt;&gt;",'Weekly Log'!$A:$A,"&gt;="&amp;$J561,'Weekly Log'!$A:$A,"&lt;"&amp;$J561+7),0))</f>
        <v/>
      </c>
      <c r="D561" t="str">
        <f>IF($J561="","",IFERROR(COUNTIFS('Weekly Log'!$H:$H,"Y",'Weekly Log'!$A:$A,"&gt;="&amp;$J561,'Weekly Log'!$A:$A,"&lt;"&amp;$J561+7)/COUNTIFS('Weekly Log'!$H:$H,"&lt;&gt;",'Weekly Log'!$A:$A,"&gt;="&amp;$J561,'Weekly Log'!$A:$A,"&lt;"&amp;$J561+7),0))</f>
        <v/>
      </c>
      <c r="E561" t="str">
        <f>IF($J561="","",IFERROR(AVERAGEIFS('Weekly Log'!$F:$F,'Weekly Log'!$A:$A,"&gt;="&amp;$J561,'Weekly Log'!$A:$A,"&lt;"&amp;$J561+7),0))</f>
        <v/>
      </c>
      <c r="F561" t="str">
        <f>IF($J561="","",IFERROR(SUMIFS('Weekly Log'!$F:$F,'Weekly Log'!$A:$A,"&gt;="&amp;$J561,'Weekly Log'!$A:$A,"&lt;"&amp;$J561+7)/SUMIFS('Weekly Log'!$E:$E,'Weekly Log'!$A:$A,"&gt;="&amp;$J561,'Weekly Log'!$A:$A,"&lt;"&amp;$J561+7),0))</f>
        <v/>
      </c>
      <c r="G561" t="str">
        <f>IF($J561="","",IFERROR(LOOKUP(2,1/(('Weekly Log'!$A$5:$A$5000&gt;=$J561)*('Weekly Log'!$A$5:$A$5000&lt;$J561+7)*('Weekly Log'!$M$5:$M$5000&lt;&gt;"")),'Weekly Log'!$M$5:$M$5000),0))</f>
        <v/>
      </c>
      <c r="J561" t="str">
        <f>IF(COUNT('Weekly Log'!$A$5:$A$5000)=0,"",IF(MIN('Weekly Log'!$A$5:$A$5000)+7*(ROW()-10)&gt;MAX('Weekly Log'!$A$5:$A$5000),"",MIN('Weekly Log'!$A$5:$A$5000)+7*(ROW()-10)))</f>
        <v/>
      </c>
    </row>
    <row r="562" spans="1:10" x14ac:dyDescent="0.25">
      <c r="A562" t="str">
        <f t="shared" si="8"/>
        <v/>
      </c>
      <c r="B562" t="str">
        <f>IF($J562="","",SUMIFS('Weekly Log'!$C:$C,'Weekly Log'!$A:$A,"&gt;="&amp;$J562,'Weekly Log'!$A:$A,"&lt;"&amp;$J562+7))</f>
        <v/>
      </c>
      <c r="C562" t="str">
        <f>IF($J562="","",IFERROR(COUNTIFS('Weekly Log'!$G:$G,"Y",'Weekly Log'!$A:$A,"&gt;="&amp;$J562,'Weekly Log'!$A:$A,"&lt;"&amp;$J562+7)/COUNTIFS('Weekly Log'!$G:$G,"&lt;&gt;",'Weekly Log'!$A:$A,"&gt;="&amp;$J562,'Weekly Log'!$A:$A,"&lt;"&amp;$J562+7),0))</f>
        <v/>
      </c>
      <c r="D562" t="str">
        <f>IF($J562="","",IFERROR(COUNTIFS('Weekly Log'!$H:$H,"Y",'Weekly Log'!$A:$A,"&gt;="&amp;$J562,'Weekly Log'!$A:$A,"&lt;"&amp;$J562+7)/COUNTIFS('Weekly Log'!$H:$H,"&lt;&gt;",'Weekly Log'!$A:$A,"&gt;="&amp;$J562,'Weekly Log'!$A:$A,"&lt;"&amp;$J562+7),0))</f>
        <v/>
      </c>
      <c r="E562" t="str">
        <f>IF($J562="","",IFERROR(AVERAGEIFS('Weekly Log'!$F:$F,'Weekly Log'!$A:$A,"&gt;="&amp;$J562,'Weekly Log'!$A:$A,"&lt;"&amp;$J562+7),0))</f>
        <v/>
      </c>
      <c r="F562" t="str">
        <f>IF($J562="","",IFERROR(SUMIFS('Weekly Log'!$F:$F,'Weekly Log'!$A:$A,"&gt;="&amp;$J562,'Weekly Log'!$A:$A,"&lt;"&amp;$J562+7)/SUMIFS('Weekly Log'!$E:$E,'Weekly Log'!$A:$A,"&gt;="&amp;$J562,'Weekly Log'!$A:$A,"&lt;"&amp;$J562+7),0))</f>
        <v/>
      </c>
      <c r="G562" t="str">
        <f>IF($J562="","",IFERROR(LOOKUP(2,1/(('Weekly Log'!$A$5:$A$5000&gt;=$J562)*('Weekly Log'!$A$5:$A$5000&lt;$J562+7)*('Weekly Log'!$M$5:$M$5000&lt;&gt;"")),'Weekly Log'!$M$5:$M$5000),0))</f>
        <v/>
      </c>
      <c r="J562" t="str">
        <f>IF(COUNT('Weekly Log'!$A$5:$A$5000)=0,"",IF(MIN('Weekly Log'!$A$5:$A$5000)+7*(ROW()-10)&gt;MAX('Weekly Log'!$A$5:$A$5000),"",MIN('Weekly Log'!$A$5:$A$5000)+7*(ROW()-10)))</f>
        <v/>
      </c>
    </row>
    <row r="563" spans="1:10" x14ac:dyDescent="0.25">
      <c r="A563" t="str">
        <f t="shared" si="8"/>
        <v/>
      </c>
      <c r="B563" t="str">
        <f>IF($J563="","",SUMIFS('Weekly Log'!$C:$C,'Weekly Log'!$A:$A,"&gt;="&amp;$J563,'Weekly Log'!$A:$A,"&lt;"&amp;$J563+7))</f>
        <v/>
      </c>
      <c r="C563" t="str">
        <f>IF($J563="","",IFERROR(COUNTIFS('Weekly Log'!$G:$G,"Y",'Weekly Log'!$A:$A,"&gt;="&amp;$J563,'Weekly Log'!$A:$A,"&lt;"&amp;$J563+7)/COUNTIFS('Weekly Log'!$G:$G,"&lt;&gt;",'Weekly Log'!$A:$A,"&gt;="&amp;$J563,'Weekly Log'!$A:$A,"&lt;"&amp;$J563+7),0))</f>
        <v/>
      </c>
      <c r="D563" t="str">
        <f>IF($J563="","",IFERROR(COUNTIFS('Weekly Log'!$H:$H,"Y",'Weekly Log'!$A:$A,"&gt;="&amp;$J563,'Weekly Log'!$A:$A,"&lt;"&amp;$J563+7)/COUNTIFS('Weekly Log'!$H:$H,"&lt;&gt;",'Weekly Log'!$A:$A,"&gt;="&amp;$J563,'Weekly Log'!$A:$A,"&lt;"&amp;$J563+7),0))</f>
        <v/>
      </c>
      <c r="E563" t="str">
        <f>IF($J563="","",IFERROR(AVERAGEIFS('Weekly Log'!$F:$F,'Weekly Log'!$A:$A,"&gt;="&amp;$J563,'Weekly Log'!$A:$A,"&lt;"&amp;$J563+7),0))</f>
        <v/>
      </c>
      <c r="F563" t="str">
        <f>IF($J563="","",IFERROR(SUMIFS('Weekly Log'!$F:$F,'Weekly Log'!$A:$A,"&gt;="&amp;$J563,'Weekly Log'!$A:$A,"&lt;"&amp;$J563+7)/SUMIFS('Weekly Log'!$E:$E,'Weekly Log'!$A:$A,"&gt;="&amp;$J563,'Weekly Log'!$A:$A,"&lt;"&amp;$J563+7),0))</f>
        <v/>
      </c>
      <c r="G563" t="str">
        <f>IF($J563="","",IFERROR(LOOKUP(2,1/(('Weekly Log'!$A$5:$A$5000&gt;=$J563)*('Weekly Log'!$A$5:$A$5000&lt;$J563+7)*('Weekly Log'!$M$5:$M$5000&lt;&gt;"")),'Weekly Log'!$M$5:$M$5000),0))</f>
        <v/>
      </c>
      <c r="J563" t="str">
        <f>IF(COUNT('Weekly Log'!$A$5:$A$5000)=0,"",IF(MIN('Weekly Log'!$A$5:$A$5000)+7*(ROW()-10)&gt;MAX('Weekly Log'!$A$5:$A$5000),"",MIN('Weekly Log'!$A$5:$A$5000)+7*(ROW()-10)))</f>
        <v/>
      </c>
    </row>
    <row r="564" spans="1:10" x14ac:dyDescent="0.25">
      <c r="A564" t="str">
        <f t="shared" si="8"/>
        <v/>
      </c>
      <c r="B564" t="str">
        <f>IF($J564="","",SUMIFS('Weekly Log'!$C:$C,'Weekly Log'!$A:$A,"&gt;="&amp;$J564,'Weekly Log'!$A:$A,"&lt;"&amp;$J564+7))</f>
        <v/>
      </c>
      <c r="C564" t="str">
        <f>IF($J564="","",IFERROR(COUNTIFS('Weekly Log'!$G:$G,"Y",'Weekly Log'!$A:$A,"&gt;="&amp;$J564,'Weekly Log'!$A:$A,"&lt;"&amp;$J564+7)/COUNTIFS('Weekly Log'!$G:$G,"&lt;&gt;",'Weekly Log'!$A:$A,"&gt;="&amp;$J564,'Weekly Log'!$A:$A,"&lt;"&amp;$J564+7),0))</f>
        <v/>
      </c>
      <c r="D564" t="str">
        <f>IF($J564="","",IFERROR(COUNTIFS('Weekly Log'!$H:$H,"Y",'Weekly Log'!$A:$A,"&gt;="&amp;$J564,'Weekly Log'!$A:$A,"&lt;"&amp;$J564+7)/COUNTIFS('Weekly Log'!$H:$H,"&lt;&gt;",'Weekly Log'!$A:$A,"&gt;="&amp;$J564,'Weekly Log'!$A:$A,"&lt;"&amp;$J564+7),0))</f>
        <v/>
      </c>
      <c r="E564" t="str">
        <f>IF($J564="","",IFERROR(AVERAGEIFS('Weekly Log'!$F:$F,'Weekly Log'!$A:$A,"&gt;="&amp;$J564,'Weekly Log'!$A:$A,"&lt;"&amp;$J564+7),0))</f>
        <v/>
      </c>
      <c r="F564" t="str">
        <f>IF($J564="","",IFERROR(SUMIFS('Weekly Log'!$F:$F,'Weekly Log'!$A:$A,"&gt;="&amp;$J564,'Weekly Log'!$A:$A,"&lt;"&amp;$J564+7)/SUMIFS('Weekly Log'!$E:$E,'Weekly Log'!$A:$A,"&gt;="&amp;$J564,'Weekly Log'!$A:$A,"&lt;"&amp;$J564+7),0))</f>
        <v/>
      </c>
      <c r="G564" t="str">
        <f>IF($J564="","",IFERROR(LOOKUP(2,1/(('Weekly Log'!$A$5:$A$5000&gt;=$J564)*('Weekly Log'!$A$5:$A$5000&lt;$J564+7)*('Weekly Log'!$M$5:$M$5000&lt;&gt;"")),'Weekly Log'!$M$5:$M$5000),0))</f>
        <v/>
      </c>
      <c r="J564" t="str">
        <f>IF(COUNT('Weekly Log'!$A$5:$A$5000)=0,"",IF(MIN('Weekly Log'!$A$5:$A$5000)+7*(ROW()-10)&gt;MAX('Weekly Log'!$A$5:$A$5000),"",MIN('Weekly Log'!$A$5:$A$5000)+7*(ROW()-10)))</f>
        <v/>
      </c>
    </row>
    <row r="565" spans="1:10" x14ac:dyDescent="0.25">
      <c r="A565" t="str">
        <f t="shared" si="8"/>
        <v/>
      </c>
      <c r="B565" t="str">
        <f>IF($J565="","",SUMIFS('Weekly Log'!$C:$C,'Weekly Log'!$A:$A,"&gt;="&amp;$J565,'Weekly Log'!$A:$A,"&lt;"&amp;$J565+7))</f>
        <v/>
      </c>
      <c r="C565" t="str">
        <f>IF($J565="","",IFERROR(COUNTIFS('Weekly Log'!$G:$G,"Y",'Weekly Log'!$A:$A,"&gt;="&amp;$J565,'Weekly Log'!$A:$A,"&lt;"&amp;$J565+7)/COUNTIFS('Weekly Log'!$G:$G,"&lt;&gt;",'Weekly Log'!$A:$A,"&gt;="&amp;$J565,'Weekly Log'!$A:$A,"&lt;"&amp;$J565+7),0))</f>
        <v/>
      </c>
      <c r="D565" t="str">
        <f>IF($J565="","",IFERROR(COUNTIFS('Weekly Log'!$H:$H,"Y",'Weekly Log'!$A:$A,"&gt;="&amp;$J565,'Weekly Log'!$A:$A,"&lt;"&amp;$J565+7)/COUNTIFS('Weekly Log'!$H:$H,"&lt;&gt;",'Weekly Log'!$A:$A,"&gt;="&amp;$J565,'Weekly Log'!$A:$A,"&lt;"&amp;$J565+7),0))</f>
        <v/>
      </c>
      <c r="E565" t="str">
        <f>IF($J565="","",IFERROR(AVERAGEIFS('Weekly Log'!$F:$F,'Weekly Log'!$A:$A,"&gt;="&amp;$J565,'Weekly Log'!$A:$A,"&lt;"&amp;$J565+7),0))</f>
        <v/>
      </c>
      <c r="F565" t="str">
        <f>IF($J565="","",IFERROR(SUMIFS('Weekly Log'!$F:$F,'Weekly Log'!$A:$A,"&gt;="&amp;$J565,'Weekly Log'!$A:$A,"&lt;"&amp;$J565+7)/SUMIFS('Weekly Log'!$E:$E,'Weekly Log'!$A:$A,"&gt;="&amp;$J565,'Weekly Log'!$A:$A,"&lt;"&amp;$J565+7),0))</f>
        <v/>
      </c>
      <c r="G565" t="str">
        <f>IF($J565="","",IFERROR(LOOKUP(2,1/(('Weekly Log'!$A$5:$A$5000&gt;=$J565)*('Weekly Log'!$A$5:$A$5000&lt;$J565+7)*('Weekly Log'!$M$5:$M$5000&lt;&gt;"")),'Weekly Log'!$M$5:$M$5000),0))</f>
        <v/>
      </c>
      <c r="J565" t="str">
        <f>IF(COUNT('Weekly Log'!$A$5:$A$5000)=0,"",IF(MIN('Weekly Log'!$A$5:$A$5000)+7*(ROW()-10)&gt;MAX('Weekly Log'!$A$5:$A$5000),"",MIN('Weekly Log'!$A$5:$A$5000)+7*(ROW()-10)))</f>
        <v/>
      </c>
    </row>
    <row r="566" spans="1:10" x14ac:dyDescent="0.25">
      <c r="A566" t="str">
        <f t="shared" si="8"/>
        <v/>
      </c>
      <c r="B566" t="str">
        <f>IF($J566="","",SUMIFS('Weekly Log'!$C:$C,'Weekly Log'!$A:$A,"&gt;="&amp;$J566,'Weekly Log'!$A:$A,"&lt;"&amp;$J566+7))</f>
        <v/>
      </c>
      <c r="C566" t="str">
        <f>IF($J566="","",IFERROR(COUNTIFS('Weekly Log'!$G:$G,"Y",'Weekly Log'!$A:$A,"&gt;="&amp;$J566,'Weekly Log'!$A:$A,"&lt;"&amp;$J566+7)/COUNTIFS('Weekly Log'!$G:$G,"&lt;&gt;",'Weekly Log'!$A:$A,"&gt;="&amp;$J566,'Weekly Log'!$A:$A,"&lt;"&amp;$J566+7),0))</f>
        <v/>
      </c>
      <c r="D566" t="str">
        <f>IF($J566="","",IFERROR(COUNTIFS('Weekly Log'!$H:$H,"Y",'Weekly Log'!$A:$A,"&gt;="&amp;$J566,'Weekly Log'!$A:$A,"&lt;"&amp;$J566+7)/COUNTIFS('Weekly Log'!$H:$H,"&lt;&gt;",'Weekly Log'!$A:$A,"&gt;="&amp;$J566,'Weekly Log'!$A:$A,"&lt;"&amp;$J566+7),0))</f>
        <v/>
      </c>
      <c r="E566" t="str">
        <f>IF($J566="","",IFERROR(AVERAGEIFS('Weekly Log'!$F:$F,'Weekly Log'!$A:$A,"&gt;="&amp;$J566,'Weekly Log'!$A:$A,"&lt;"&amp;$J566+7),0))</f>
        <v/>
      </c>
      <c r="F566" t="str">
        <f>IF($J566="","",IFERROR(SUMIFS('Weekly Log'!$F:$F,'Weekly Log'!$A:$A,"&gt;="&amp;$J566,'Weekly Log'!$A:$A,"&lt;"&amp;$J566+7)/SUMIFS('Weekly Log'!$E:$E,'Weekly Log'!$A:$A,"&gt;="&amp;$J566,'Weekly Log'!$A:$A,"&lt;"&amp;$J566+7),0))</f>
        <v/>
      </c>
      <c r="G566" t="str">
        <f>IF($J566="","",IFERROR(LOOKUP(2,1/(('Weekly Log'!$A$5:$A$5000&gt;=$J566)*('Weekly Log'!$A$5:$A$5000&lt;$J566+7)*('Weekly Log'!$M$5:$M$5000&lt;&gt;"")),'Weekly Log'!$M$5:$M$5000),0))</f>
        <v/>
      </c>
      <c r="J566" t="str">
        <f>IF(COUNT('Weekly Log'!$A$5:$A$5000)=0,"",IF(MIN('Weekly Log'!$A$5:$A$5000)+7*(ROW()-10)&gt;MAX('Weekly Log'!$A$5:$A$5000),"",MIN('Weekly Log'!$A$5:$A$5000)+7*(ROW()-10)))</f>
        <v/>
      </c>
    </row>
    <row r="567" spans="1:10" x14ac:dyDescent="0.25">
      <c r="A567" t="str">
        <f t="shared" si="8"/>
        <v/>
      </c>
      <c r="B567" t="str">
        <f>IF($J567="","",SUMIFS('Weekly Log'!$C:$C,'Weekly Log'!$A:$A,"&gt;="&amp;$J567,'Weekly Log'!$A:$A,"&lt;"&amp;$J567+7))</f>
        <v/>
      </c>
      <c r="C567" t="str">
        <f>IF($J567="","",IFERROR(COUNTIFS('Weekly Log'!$G:$G,"Y",'Weekly Log'!$A:$A,"&gt;="&amp;$J567,'Weekly Log'!$A:$A,"&lt;"&amp;$J567+7)/COUNTIFS('Weekly Log'!$G:$G,"&lt;&gt;",'Weekly Log'!$A:$A,"&gt;="&amp;$J567,'Weekly Log'!$A:$A,"&lt;"&amp;$J567+7),0))</f>
        <v/>
      </c>
      <c r="D567" t="str">
        <f>IF($J567="","",IFERROR(COUNTIFS('Weekly Log'!$H:$H,"Y",'Weekly Log'!$A:$A,"&gt;="&amp;$J567,'Weekly Log'!$A:$A,"&lt;"&amp;$J567+7)/COUNTIFS('Weekly Log'!$H:$H,"&lt;&gt;",'Weekly Log'!$A:$A,"&gt;="&amp;$J567,'Weekly Log'!$A:$A,"&lt;"&amp;$J567+7),0))</f>
        <v/>
      </c>
      <c r="E567" t="str">
        <f>IF($J567="","",IFERROR(AVERAGEIFS('Weekly Log'!$F:$F,'Weekly Log'!$A:$A,"&gt;="&amp;$J567,'Weekly Log'!$A:$A,"&lt;"&amp;$J567+7),0))</f>
        <v/>
      </c>
      <c r="F567" t="str">
        <f>IF($J567="","",IFERROR(SUMIFS('Weekly Log'!$F:$F,'Weekly Log'!$A:$A,"&gt;="&amp;$J567,'Weekly Log'!$A:$A,"&lt;"&amp;$J567+7)/SUMIFS('Weekly Log'!$E:$E,'Weekly Log'!$A:$A,"&gt;="&amp;$J567,'Weekly Log'!$A:$A,"&lt;"&amp;$J567+7),0))</f>
        <v/>
      </c>
      <c r="G567" t="str">
        <f>IF($J567="","",IFERROR(LOOKUP(2,1/(('Weekly Log'!$A$5:$A$5000&gt;=$J567)*('Weekly Log'!$A$5:$A$5000&lt;$J567+7)*('Weekly Log'!$M$5:$M$5000&lt;&gt;"")),'Weekly Log'!$M$5:$M$5000),0))</f>
        <v/>
      </c>
      <c r="J567" t="str">
        <f>IF(COUNT('Weekly Log'!$A$5:$A$5000)=0,"",IF(MIN('Weekly Log'!$A$5:$A$5000)+7*(ROW()-10)&gt;MAX('Weekly Log'!$A$5:$A$5000),"",MIN('Weekly Log'!$A$5:$A$5000)+7*(ROW()-10)))</f>
        <v/>
      </c>
    </row>
    <row r="568" spans="1:10" x14ac:dyDescent="0.25">
      <c r="A568" t="str">
        <f t="shared" si="8"/>
        <v/>
      </c>
      <c r="B568" t="str">
        <f>IF($J568="","",SUMIFS('Weekly Log'!$C:$C,'Weekly Log'!$A:$A,"&gt;="&amp;$J568,'Weekly Log'!$A:$A,"&lt;"&amp;$J568+7))</f>
        <v/>
      </c>
      <c r="C568" t="str">
        <f>IF($J568="","",IFERROR(COUNTIFS('Weekly Log'!$G:$G,"Y",'Weekly Log'!$A:$A,"&gt;="&amp;$J568,'Weekly Log'!$A:$A,"&lt;"&amp;$J568+7)/COUNTIFS('Weekly Log'!$G:$G,"&lt;&gt;",'Weekly Log'!$A:$A,"&gt;="&amp;$J568,'Weekly Log'!$A:$A,"&lt;"&amp;$J568+7),0))</f>
        <v/>
      </c>
      <c r="D568" t="str">
        <f>IF($J568="","",IFERROR(COUNTIFS('Weekly Log'!$H:$H,"Y",'Weekly Log'!$A:$A,"&gt;="&amp;$J568,'Weekly Log'!$A:$A,"&lt;"&amp;$J568+7)/COUNTIFS('Weekly Log'!$H:$H,"&lt;&gt;",'Weekly Log'!$A:$A,"&gt;="&amp;$J568,'Weekly Log'!$A:$A,"&lt;"&amp;$J568+7),0))</f>
        <v/>
      </c>
      <c r="E568" t="str">
        <f>IF($J568="","",IFERROR(AVERAGEIFS('Weekly Log'!$F:$F,'Weekly Log'!$A:$A,"&gt;="&amp;$J568,'Weekly Log'!$A:$A,"&lt;"&amp;$J568+7),0))</f>
        <v/>
      </c>
      <c r="F568" t="str">
        <f>IF($J568="","",IFERROR(SUMIFS('Weekly Log'!$F:$F,'Weekly Log'!$A:$A,"&gt;="&amp;$J568,'Weekly Log'!$A:$A,"&lt;"&amp;$J568+7)/SUMIFS('Weekly Log'!$E:$E,'Weekly Log'!$A:$A,"&gt;="&amp;$J568,'Weekly Log'!$A:$A,"&lt;"&amp;$J568+7),0))</f>
        <v/>
      </c>
      <c r="G568" t="str">
        <f>IF($J568="","",IFERROR(LOOKUP(2,1/(('Weekly Log'!$A$5:$A$5000&gt;=$J568)*('Weekly Log'!$A$5:$A$5000&lt;$J568+7)*('Weekly Log'!$M$5:$M$5000&lt;&gt;"")),'Weekly Log'!$M$5:$M$5000),0))</f>
        <v/>
      </c>
      <c r="J568" t="str">
        <f>IF(COUNT('Weekly Log'!$A$5:$A$5000)=0,"",IF(MIN('Weekly Log'!$A$5:$A$5000)+7*(ROW()-10)&gt;MAX('Weekly Log'!$A$5:$A$5000),"",MIN('Weekly Log'!$A$5:$A$5000)+7*(ROW()-10)))</f>
        <v/>
      </c>
    </row>
    <row r="569" spans="1:10" x14ac:dyDescent="0.25">
      <c r="A569" t="str">
        <f t="shared" si="8"/>
        <v/>
      </c>
      <c r="B569" t="str">
        <f>IF($J569="","",SUMIFS('Weekly Log'!$C:$C,'Weekly Log'!$A:$A,"&gt;="&amp;$J569,'Weekly Log'!$A:$A,"&lt;"&amp;$J569+7))</f>
        <v/>
      </c>
      <c r="C569" t="str">
        <f>IF($J569="","",IFERROR(COUNTIFS('Weekly Log'!$G:$G,"Y",'Weekly Log'!$A:$A,"&gt;="&amp;$J569,'Weekly Log'!$A:$A,"&lt;"&amp;$J569+7)/COUNTIFS('Weekly Log'!$G:$G,"&lt;&gt;",'Weekly Log'!$A:$A,"&gt;="&amp;$J569,'Weekly Log'!$A:$A,"&lt;"&amp;$J569+7),0))</f>
        <v/>
      </c>
      <c r="D569" t="str">
        <f>IF($J569="","",IFERROR(COUNTIFS('Weekly Log'!$H:$H,"Y",'Weekly Log'!$A:$A,"&gt;="&amp;$J569,'Weekly Log'!$A:$A,"&lt;"&amp;$J569+7)/COUNTIFS('Weekly Log'!$H:$H,"&lt;&gt;",'Weekly Log'!$A:$A,"&gt;="&amp;$J569,'Weekly Log'!$A:$A,"&lt;"&amp;$J569+7),0))</f>
        <v/>
      </c>
      <c r="E569" t="str">
        <f>IF($J569="","",IFERROR(AVERAGEIFS('Weekly Log'!$F:$F,'Weekly Log'!$A:$A,"&gt;="&amp;$J569,'Weekly Log'!$A:$A,"&lt;"&amp;$J569+7),0))</f>
        <v/>
      </c>
      <c r="F569" t="str">
        <f>IF($J569="","",IFERROR(SUMIFS('Weekly Log'!$F:$F,'Weekly Log'!$A:$A,"&gt;="&amp;$J569,'Weekly Log'!$A:$A,"&lt;"&amp;$J569+7)/SUMIFS('Weekly Log'!$E:$E,'Weekly Log'!$A:$A,"&gt;="&amp;$J569,'Weekly Log'!$A:$A,"&lt;"&amp;$J569+7),0))</f>
        <v/>
      </c>
      <c r="G569" t="str">
        <f>IF($J569="","",IFERROR(LOOKUP(2,1/(('Weekly Log'!$A$5:$A$5000&gt;=$J569)*('Weekly Log'!$A$5:$A$5000&lt;$J569+7)*('Weekly Log'!$M$5:$M$5000&lt;&gt;"")),'Weekly Log'!$M$5:$M$5000),0))</f>
        <v/>
      </c>
      <c r="J569" t="str">
        <f>IF(COUNT('Weekly Log'!$A$5:$A$5000)=0,"",IF(MIN('Weekly Log'!$A$5:$A$5000)+7*(ROW()-10)&gt;MAX('Weekly Log'!$A$5:$A$5000),"",MIN('Weekly Log'!$A$5:$A$5000)+7*(ROW()-10)))</f>
        <v/>
      </c>
    </row>
    <row r="570" spans="1:10" x14ac:dyDescent="0.25">
      <c r="A570" t="str">
        <f t="shared" si="8"/>
        <v/>
      </c>
      <c r="B570" t="str">
        <f>IF($J570="","",SUMIFS('Weekly Log'!$C:$C,'Weekly Log'!$A:$A,"&gt;="&amp;$J570,'Weekly Log'!$A:$A,"&lt;"&amp;$J570+7))</f>
        <v/>
      </c>
      <c r="C570" t="str">
        <f>IF($J570="","",IFERROR(COUNTIFS('Weekly Log'!$G:$G,"Y",'Weekly Log'!$A:$A,"&gt;="&amp;$J570,'Weekly Log'!$A:$A,"&lt;"&amp;$J570+7)/COUNTIFS('Weekly Log'!$G:$G,"&lt;&gt;",'Weekly Log'!$A:$A,"&gt;="&amp;$J570,'Weekly Log'!$A:$A,"&lt;"&amp;$J570+7),0))</f>
        <v/>
      </c>
      <c r="D570" t="str">
        <f>IF($J570="","",IFERROR(COUNTIFS('Weekly Log'!$H:$H,"Y",'Weekly Log'!$A:$A,"&gt;="&amp;$J570,'Weekly Log'!$A:$A,"&lt;"&amp;$J570+7)/COUNTIFS('Weekly Log'!$H:$H,"&lt;&gt;",'Weekly Log'!$A:$A,"&gt;="&amp;$J570,'Weekly Log'!$A:$A,"&lt;"&amp;$J570+7),0))</f>
        <v/>
      </c>
      <c r="E570" t="str">
        <f>IF($J570="","",IFERROR(AVERAGEIFS('Weekly Log'!$F:$F,'Weekly Log'!$A:$A,"&gt;="&amp;$J570,'Weekly Log'!$A:$A,"&lt;"&amp;$J570+7),0))</f>
        <v/>
      </c>
      <c r="F570" t="str">
        <f>IF($J570="","",IFERROR(SUMIFS('Weekly Log'!$F:$F,'Weekly Log'!$A:$A,"&gt;="&amp;$J570,'Weekly Log'!$A:$A,"&lt;"&amp;$J570+7)/SUMIFS('Weekly Log'!$E:$E,'Weekly Log'!$A:$A,"&gt;="&amp;$J570,'Weekly Log'!$A:$A,"&lt;"&amp;$J570+7),0))</f>
        <v/>
      </c>
      <c r="G570" t="str">
        <f>IF($J570="","",IFERROR(LOOKUP(2,1/(('Weekly Log'!$A$5:$A$5000&gt;=$J570)*('Weekly Log'!$A$5:$A$5000&lt;$J570+7)*('Weekly Log'!$M$5:$M$5000&lt;&gt;"")),'Weekly Log'!$M$5:$M$5000),0))</f>
        <v/>
      </c>
      <c r="J570" t="str">
        <f>IF(COUNT('Weekly Log'!$A$5:$A$5000)=0,"",IF(MIN('Weekly Log'!$A$5:$A$5000)+7*(ROW()-10)&gt;MAX('Weekly Log'!$A$5:$A$5000),"",MIN('Weekly Log'!$A$5:$A$5000)+7*(ROW()-10)))</f>
        <v/>
      </c>
    </row>
    <row r="571" spans="1:10" x14ac:dyDescent="0.25">
      <c r="A571" t="str">
        <f t="shared" si="8"/>
        <v/>
      </c>
      <c r="B571" t="str">
        <f>IF($J571="","",SUMIFS('Weekly Log'!$C:$C,'Weekly Log'!$A:$A,"&gt;="&amp;$J571,'Weekly Log'!$A:$A,"&lt;"&amp;$J571+7))</f>
        <v/>
      </c>
      <c r="C571" t="str">
        <f>IF($J571="","",IFERROR(COUNTIFS('Weekly Log'!$G:$G,"Y",'Weekly Log'!$A:$A,"&gt;="&amp;$J571,'Weekly Log'!$A:$A,"&lt;"&amp;$J571+7)/COUNTIFS('Weekly Log'!$G:$G,"&lt;&gt;",'Weekly Log'!$A:$A,"&gt;="&amp;$J571,'Weekly Log'!$A:$A,"&lt;"&amp;$J571+7),0))</f>
        <v/>
      </c>
      <c r="D571" t="str">
        <f>IF($J571="","",IFERROR(COUNTIFS('Weekly Log'!$H:$H,"Y",'Weekly Log'!$A:$A,"&gt;="&amp;$J571,'Weekly Log'!$A:$A,"&lt;"&amp;$J571+7)/COUNTIFS('Weekly Log'!$H:$H,"&lt;&gt;",'Weekly Log'!$A:$A,"&gt;="&amp;$J571,'Weekly Log'!$A:$A,"&lt;"&amp;$J571+7),0))</f>
        <v/>
      </c>
      <c r="E571" t="str">
        <f>IF($J571="","",IFERROR(AVERAGEIFS('Weekly Log'!$F:$F,'Weekly Log'!$A:$A,"&gt;="&amp;$J571,'Weekly Log'!$A:$A,"&lt;"&amp;$J571+7),0))</f>
        <v/>
      </c>
      <c r="F571" t="str">
        <f>IF($J571="","",IFERROR(SUMIFS('Weekly Log'!$F:$F,'Weekly Log'!$A:$A,"&gt;="&amp;$J571,'Weekly Log'!$A:$A,"&lt;"&amp;$J571+7)/SUMIFS('Weekly Log'!$E:$E,'Weekly Log'!$A:$A,"&gt;="&amp;$J571,'Weekly Log'!$A:$A,"&lt;"&amp;$J571+7),0))</f>
        <v/>
      </c>
      <c r="G571" t="str">
        <f>IF($J571="","",IFERROR(LOOKUP(2,1/(('Weekly Log'!$A$5:$A$5000&gt;=$J571)*('Weekly Log'!$A$5:$A$5000&lt;$J571+7)*('Weekly Log'!$M$5:$M$5000&lt;&gt;"")),'Weekly Log'!$M$5:$M$5000),0))</f>
        <v/>
      </c>
      <c r="J571" t="str">
        <f>IF(COUNT('Weekly Log'!$A$5:$A$5000)=0,"",IF(MIN('Weekly Log'!$A$5:$A$5000)+7*(ROW()-10)&gt;MAX('Weekly Log'!$A$5:$A$5000),"",MIN('Weekly Log'!$A$5:$A$5000)+7*(ROW()-10)))</f>
        <v/>
      </c>
    </row>
    <row r="572" spans="1:10" x14ac:dyDescent="0.25">
      <c r="A572" t="str">
        <f t="shared" si="8"/>
        <v/>
      </c>
      <c r="B572" t="str">
        <f>IF($J572="","",SUMIFS('Weekly Log'!$C:$C,'Weekly Log'!$A:$A,"&gt;="&amp;$J572,'Weekly Log'!$A:$A,"&lt;"&amp;$J572+7))</f>
        <v/>
      </c>
      <c r="C572" t="str">
        <f>IF($J572="","",IFERROR(COUNTIFS('Weekly Log'!$G:$G,"Y",'Weekly Log'!$A:$A,"&gt;="&amp;$J572,'Weekly Log'!$A:$A,"&lt;"&amp;$J572+7)/COUNTIFS('Weekly Log'!$G:$G,"&lt;&gt;",'Weekly Log'!$A:$A,"&gt;="&amp;$J572,'Weekly Log'!$A:$A,"&lt;"&amp;$J572+7),0))</f>
        <v/>
      </c>
      <c r="D572" t="str">
        <f>IF($J572="","",IFERROR(COUNTIFS('Weekly Log'!$H:$H,"Y",'Weekly Log'!$A:$A,"&gt;="&amp;$J572,'Weekly Log'!$A:$A,"&lt;"&amp;$J572+7)/COUNTIFS('Weekly Log'!$H:$H,"&lt;&gt;",'Weekly Log'!$A:$A,"&gt;="&amp;$J572,'Weekly Log'!$A:$A,"&lt;"&amp;$J572+7),0))</f>
        <v/>
      </c>
      <c r="E572" t="str">
        <f>IF($J572="","",IFERROR(AVERAGEIFS('Weekly Log'!$F:$F,'Weekly Log'!$A:$A,"&gt;="&amp;$J572,'Weekly Log'!$A:$A,"&lt;"&amp;$J572+7),0))</f>
        <v/>
      </c>
      <c r="F572" t="str">
        <f>IF($J572="","",IFERROR(SUMIFS('Weekly Log'!$F:$F,'Weekly Log'!$A:$A,"&gt;="&amp;$J572,'Weekly Log'!$A:$A,"&lt;"&amp;$J572+7)/SUMIFS('Weekly Log'!$E:$E,'Weekly Log'!$A:$A,"&gt;="&amp;$J572,'Weekly Log'!$A:$A,"&lt;"&amp;$J572+7),0))</f>
        <v/>
      </c>
      <c r="G572" t="str">
        <f>IF($J572="","",IFERROR(LOOKUP(2,1/(('Weekly Log'!$A$5:$A$5000&gt;=$J572)*('Weekly Log'!$A$5:$A$5000&lt;$J572+7)*('Weekly Log'!$M$5:$M$5000&lt;&gt;"")),'Weekly Log'!$M$5:$M$5000),0))</f>
        <v/>
      </c>
      <c r="J572" t="str">
        <f>IF(COUNT('Weekly Log'!$A$5:$A$5000)=0,"",IF(MIN('Weekly Log'!$A$5:$A$5000)+7*(ROW()-10)&gt;MAX('Weekly Log'!$A$5:$A$5000),"",MIN('Weekly Log'!$A$5:$A$5000)+7*(ROW()-10)))</f>
        <v/>
      </c>
    </row>
    <row r="573" spans="1:10" x14ac:dyDescent="0.25">
      <c r="A573" t="str">
        <f t="shared" si="8"/>
        <v/>
      </c>
      <c r="B573" t="str">
        <f>IF($J573="","",SUMIFS('Weekly Log'!$C:$C,'Weekly Log'!$A:$A,"&gt;="&amp;$J573,'Weekly Log'!$A:$A,"&lt;"&amp;$J573+7))</f>
        <v/>
      </c>
      <c r="C573" t="str">
        <f>IF($J573="","",IFERROR(COUNTIFS('Weekly Log'!$G:$G,"Y",'Weekly Log'!$A:$A,"&gt;="&amp;$J573,'Weekly Log'!$A:$A,"&lt;"&amp;$J573+7)/COUNTIFS('Weekly Log'!$G:$G,"&lt;&gt;",'Weekly Log'!$A:$A,"&gt;="&amp;$J573,'Weekly Log'!$A:$A,"&lt;"&amp;$J573+7),0))</f>
        <v/>
      </c>
      <c r="D573" t="str">
        <f>IF($J573="","",IFERROR(COUNTIFS('Weekly Log'!$H:$H,"Y",'Weekly Log'!$A:$A,"&gt;="&amp;$J573,'Weekly Log'!$A:$A,"&lt;"&amp;$J573+7)/COUNTIFS('Weekly Log'!$H:$H,"&lt;&gt;",'Weekly Log'!$A:$A,"&gt;="&amp;$J573,'Weekly Log'!$A:$A,"&lt;"&amp;$J573+7),0))</f>
        <v/>
      </c>
      <c r="E573" t="str">
        <f>IF($J573="","",IFERROR(AVERAGEIFS('Weekly Log'!$F:$F,'Weekly Log'!$A:$A,"&gt;="&amp;$J573,'Weekly Log'!$A:$A,"&lt;"&amp;$J573+7),0))</f>
        <v/>
      </c>
      <c r="F573" t="str">
        <f>IF($J573="","",IFERROR(SUMIFS('Weekly Log'!$F:$F,'Weekly Log'!$A:$A,"&gt;="&amp;$J573,'Weekly Log'!$A:$A,"&lt;"&amp;$J573+7)/SUMIFS('Weekly Log'!$E:$E,'Weekly Log'!$A:$A,"&gt;="&amp;$J573,'Weekly Log'!$A:$A,"&lt;"&amp;$J573+7),0))</f>
        <v/>
      </c>
      <c r="G573" t="str">
        <f>IF($J573="","",IFERROR(LOOKUP(2,1/(('Weekly Log'!$A$5:$A$5000&gt;=$J573)*('Weekly Log'!$A$5:$A$5000&lt;$J573+7)*('Weekly Log'!$M$5:$M$5000&lt;&gt;"")),'Weekly Log'!$M$5:$M$5000),0))</f>
        <v/>
      </c>
      <c r="J573" t="str">
        <f>IF(COUNT('Weekly Log'!$A$5:$A$5000)=0,"",IF(MIN('Weekly Log'!$A$5:$A$5000)+7*(ROW()-10)&gt;MAX('Weekly Log'!$A$5:$A$5000),"",MIN('Weekly Log'!$A$5:$A$5000)+7*(ROW()-10)))</f>
        <v/>
      </c>
    </row>
    <row r="574" spans="1:10" x14ac:dyDescent="0.25">
      <c r="A574" t="str">
        <f t="shared" si="8"/>
        <v/>
      </c>
      <c r="B574" t="str">
        <f>IF($J574="","",SUMIFS('Weekly Log'!$C:$C,'Weekly Log'!$A:$A,"&gt;="&amp;$J574,'Weekly Log'!$A:$A,"&lt;"&amp;$J574+7))</f>
        <v/>
      </c>
      <c r="C574" t="str">
        <f>IF($J574="","",IFERROR(COUNTIFS('Weekly Log'!$G:$G,"Y",'Weekly Log'!$A:$A,"&gt;="&amp;$J574,'Weekly Log'!$A:$A,"&lt;"&amp;$J574+7)/COUNTIFS('Weekly Log'!$G:$G,"&lt;&gt;",'Weekly Log'!$A:$A,"&gt;="&amp;$J574,'Weekly Log'!$A:$A,"&lt;"&amp;$J574+7),0))</f>
        <v/>
      </c>
      <c r="D574" t="str">
        <f>IF($J574="","",IFERROR(COUNTIFS('Weekly Log'!$H:$H,"Y",'Weekly Log'!$A:$A,"&gt;="&amp;$J574,'Weekly Log'!$A:$A,"&lt;"&amp;$J574+7)/COUNTIFS('Weekly Log'!$H:$H,"&lt;&gt;",'Weekly Log'!$A:$A,"&gt;="&amp;$J574,'Weekly Log'!$A:$A,"&lt;"&amp;$J574+7),0))</f>
        <v/>
      </c>
      <c r="E574" t="str">
        <f>IF($J574="","",IFERROR(AVERAGEIFS('Weekly Log'!$F:$F,'Weekly Log'!$A:$A,"&gt;="&amp;$J574,'Weekly Log'!$A:$A,"&lt;"&amp;$J574+7),0))</f>
        <v/>
      </c>
      <c r="F574" t="str">
        <f>IF($J574="","",IFERROR(SUMIFS('Weekly Log'!$F:$F,'Weekly Log'!$A:$A,"&gt;="&amp;$J574,'Weekly Log'!$A:$A,"&lt;"&amp;$J574+7)/SUMIFS('Weekly Log'!$E:$E,'Weekly Log'!$A:$A,"&gt;="&amp;$J574,'Weekly Log'!$A:$A,"&lt;"&amp;$J574+7),0))</f>
        <v/>
      </c>
      <c r="G574" t="str">
        <f>IF($J574="","",IFERROR(LOOKUP(2,1/(('Weekly Log'!$A$5:$A$5000&gt;=$J574)*('Weekly Log'!$A$5:$A$5000&lt;$J574+7)*('Weekly Log'!$M$5:$M$5000&lt;&gt;"")),'Weekly Log'!$M$5:$M$5000),0))</f>
        <v/>
      </c>
      <c r="J574" t="str">
        <f>IF(COUNT('Weekly Log'!$A$5:$A$5000)=0,"",IF(MIN('Weekly Log'!$A$5:$A$5000)+7*(ROW()-10)&gt;MAX('Weekly Log'!$A$5:$A$5000),"",MIN('Weekly Log'!$A$5:$A$5000)+7*(ROW()-10)))</f>
        <v/>
      </c>
    </row>
    <row r="575" spans="1:10" x14ac:dyDescent="0.25">
      <c r="A575" t="str">
        <f t="shared" si="8"/>
        <v/>
      </c>
      <c r="B575" t="str">
        <f>IF($J575="","",SUMIFS('Weekly Log'!$C:$C,'Weekly Log'!$A:$A,"&gt;="&amp;$J575,'Weekly Log'!$A:$A,"&lt;"&amp;$J575+7))</f>
        <v/>
      </c>
      <c r="C575" t="str">
        <f>IF($J575="","",IFERROR(COUNTIFS('Weekly Log'!$G:$G,"Y",'Weekly Log'!$A:$A,"&gt;="&amp;$J575,'Weekly Log'!$A:$A,"&lt;"&amp;$J575+7)/COUNTIFS('Weekly Log'!$G:$G,"&lt;&gt;",'Weekly Log'!$A:$A,"&gt;="&amp;$J575,'Weekly Log'!$A:$A,"&lt;"&amp;$J575+7),0))</f>
        <v/>
      </c>
      <c r="D575" t="str">
        <f>IF($J575="","",IFERROR(COUNTIFS('Weekly Log'!$H:$H,"Y",'Weekly Log'!$A:$A,"&gt;="&amp;$J575,'Weekly Log'!$A:$A,"&lt;"&amp;$J575+7)/COUNTIFS('Weekly Log'!$H:$H,"&lt;&gt;",'Weekly Log'!$A:$A,"&gt;="&amp;$J575,'Weekly Log'!$A:$A,"&lt;"&amp;$J575+7),0))</f>
        <v/>
      </c>
      <c r="E575" t="str">
        <f>IF($J575="","",IFERROR(AVERAGEIFS('Weekly Log'!$F:$F,'Weekly Log'!$A:$A,"&gt;="&amp;$J575,'Weekly Log'!$A:$A,"&lt;"&amp;$J575+7),0))</f>
        <v/>
      </c>
      <c r="F575" t="str">
        <f>IF($J575="","",IFERROR(SUMIFS('Weekly Log'!$F:$F,'Weekly Log'!$A:$A,"&gt;="&amp;$J575,'Weekly Log'!$A:$A,"&lt;"&amp;$J575+7)/SUMIFS('Weekly Log'!$E:$E,'Weekly Log'!$A:$A,"&gt;="&amp;$J575,'Weekly Log'!$A:$A,"&lt;"&amp;$J575+7),0))</f>
        <v/>
      </c>
      <c r="G575" t="str">
        <f>IF($J575="","",IFERROR(LOOKUP(2,1/(('Weekly Log'!$A$5:$A$5000&gt;=$J575)*('Weekly Log'!$A$5:$A$5000&lt;$J575+7)*('Weekly Log'!$M$5:$M$5000&lt;&gt;"")),'Weekly Log'!$M$5:$M$5000),0))</f>
        <v/>
      </c>
      <c r="J575" t="str">
        <f>IF(COUNT('Weekly Log'!$A$5:$A$5000)=0,"",IF(MIN('Weekly Log'!$A$5:$A$5000)+7*(ROW()-10)&gt;MAX('Weekly Log'!$A$5:$A$5000),"",MIN('Weekly Log'!$A$5:$A$5000)+7*(ROW()-10)))</f>
        <v/>
      </c>
    </row>
    <row r="576" spans="1:10" x14ac:dyDescent="0.25">
      <c r="A576" t="str">
        <f t="shared" si="8"/>
        <v/>
      </c>
      <c r="B576" t="str">
        <f>IF($J576="","",SUMIFS('Weekly Log'!$C:$C,'Weekly Log'!$A:$A,"&gt;="&amp;$J576,'Weekly Log'!$A:$A,"&lt;"&amp;$J576+7))</f>
        <v/>
      </c>
      <c r="C576" t="str">
        <f>IF($J576="","",IFERROR(COUNTIFS('Weekly Log'!$G:$G,"Y",'Weekly Log'!$A:$A,"&gt;="&amp;$J576,'Weekly Log'!$A:$A,"&lt;"&amp;$J576+7)/COUNTIFS('Weekly Log'!$G:$G,"&lt;&gt;",'Weekly Log'!$A:$A,"&gt;="&amp;$J576,'Weekly Log'!$A:$A,"&lt;"&amp;$J576+7),0))</f>
        <v/>
      </c>
      <c r="D576" t="str">
        <f>IF($J576="","",IFERROR(COUNTIFS('Weekly Log'!$H:$H,"Y",'Weekly Log'!$A:$A,"&gt;="&amp;$J576,'Weekly Log'!$A:$A,"&lt;"&amp;$J576+7)/COUNTIFS('Weekly Log'!$H:$H,"&lt;&gt;",'Weekly Log'!$A:$A,"&gt;="&amp;$J576,'Weekly Log'!$A:$A,"&lt;"&amp;$J576+7),0))</f>
        <v/>
      </c>
      <c r="E576" t="str">
        <f>IF($J576="","",IFERROR(AVERAGEIFS('Weekly Log'!$F:$F,'Weekly Log'!$A:$A,"&gt;="&amp;$J576,'Weekly Log'!$A:$A,"&lt;"&amp;$J576+7),0))</f>
        <v/>
      </c>
      <c r="F576" t="str">
        <f>IF($J576="","",IFERROR(SUMIFS('Weekly Log'!$F:$F,'Weekly Log'!$A:$A,"&gt;="&amp;$J576,'Weekly Log'!$A:$A,"&lt;"&amp;$J576+7)/SUMIFS('Weekly Log'!$E:$E,'Weekly Log'!$A:$A,"&gt;="&amp;$J576,'Weekly Log'!$A:$A,"&lt;"&amp;$J576+7),0))</f>
        <v/>
      </c>
      <c r="G576" t="str">
        <f>IF($J576="","",IFERROR(LOOKUP(2,1/(('Weekly Log'!$A$5:$A$5000&gt;=$J576)*('Weekly Log'!$A$5:$A$5000&lt;$J576+7)*('Weekly Log'!$M$5:$M$5000&lt;&gt;"")),'Weekly Log'!$M$5:$M$5000),0))</f>
        <v/>
      </c>
      <c r="J576" t="str">
        <f>IF(COUNT('Weekly Log'!$A$5:$A$5000)=0,"",IF(MIN('Weekly Log'!$A$5:$A$5000)+7*(ROW()-10)&gt;MAX('Weekly Log'!$A$5:$A$5000),"",MIN('Weekly Log'!$A$5:$A$5000)+7*(ROW()-10)))</f>
        <v/>
      </c>
    </row>
    <row r="577" spans="1:10" x14ac:dyDescent="0.25">
      <c r="A577" t="str">
        <f t="shared" si="8"/>
        <v/>
      </c>
      <c r="B577" t="str">
        <f>IF($J577="","",SUMIFS('Weekly Log'!$C:$C,'Weekly Log'!$A:$A,"&gt;="&amp;$J577,'Weekly Log'!$A:$A,"&lt;"&amp;$J577+7))</f>
        <v/>
      </c>
      <c r="C577" t="str">
        <f>IF($J577="","",IFERROR(COUNTIFS('Weekly Log'!$G:$G,"Y",'Weekly Log'!$A:$A,"&gt;="&amp;$J577,'Weekly Log'!$A:$A,"&lt;"&amp;$J577+7)/COUNTIFS('Weekly Log'!$G:$G,"&lt;&gt;",'Weekly Log'!$A:$A,"&gt;="&amp;$J577,'Weekly Log'!$A:$A,"&lt;"&amp;$J577+7),0))</f>
        <v/>
      </c>
      <c r="D577" t="str">
        <f>IF($J577="","",IFERROR(COUNTIFS('Weekly Log'!$H:$H,"Y",'Weekly Log'!$A:$A,"&gt;="&amp;$J577,'Weekly Log'!$A:$A,"&lt;"&amp;$J577+7)/COUNTIFS('Weekly Log'!$H:$H,"&lt;&gt;",'Weekly Log'!$A:$A,"&gt;="&amp;$J577,'Weekly Log'!$A:$A,"&lt;"&amp;$J577+7),0))</f>
        <v/>
      </c>
      <c r="E577" t="str">
        <f>IF($J577="","",IFERROR(AVERAGEIFS('Weekly Log'!$F:$F,'Weekly Log'!$A:$A,"&gt;="&amp;$J577,'Weekly Log'!$A:$A,"&lt;"&amp;$J577+7),0))</f>
        <v/>
      </c>
      <c r="F577" t="str">
        <f>IF($J577="","",IFERROR(SUMIFS('Weekly Log'!$F:$F,'Weekly Log'!$A:$A,"&gt;="&amp;$J577,'Weekly Log'!$A:$A,"&lt;"&amp;$J577+7)/SUMIFS('Weekly Log'!$E:$E,'Weekly Log'!$A:$A,"&gt;="&amp;$J577,'Weekly Log'!$A:$A,"&lt;"&amp;$J577+7),0))</f>
        <v/>
      </c>
      <c r="G577" t="str">
        <f>IF($J577="","",IFERROR(LOOKUP(2,1/(('Weekly Log'!$A$5:$A$5000&gt;=$J577)*('Weekly Log'!$A$5:$A$5000&lt;$J577+7)*('Weekly Log'!$M$5:$M$5000&lt;&gt;"")),'Weekly Log'!$M$5:$M$5000),0))</f>
        <v/>
      </c>
      <c r="J577" t="str">
        <f>IF(COUNT('Weekly Log'!$A$5:$A$5000)=0,"",IF(MIN('Weekly Log'!$A$5:$A$5000)+7*(ROW()-10)&gt;MAX('Weekly Log'!$A$5:$A$5000),"",MIN('Weekly Log'!$A$5:$A$5000)+7*(ROW()-10)))</f>
        <v/>
      </c>
    </row>
    <row r="578" spans="1:10" x14ac:dyDescent="0.25">
      <c r="A578" t="str">
        <f t="shared" si="8"/>
        <v/>
      </c>
      <c r="B578" t="str">
        <f>IF($J578="","",SUMIFS('Weekly Log'!$C:$C,'Weekly Log'!$A:$A,"&gt;="&amp;$J578,'Weekly Log'!$A:$A,"&lt;"&amp;$J578+7))</f>
        <v/>
      </c>
      <c r="C578" t="str">
        <f>IF($J578="","",IFERROR(COUNTIFS('Weekly Log'!$G:$G,"Y",'Weekly Log'!$A:$A,"&gt;="&amp;$J578,'Weekly Log'!$A:$A,"&lt;"&amp;$J578+7)/COUNTIFS('Weekly Log'!$G:$G,"&lt;&gt;",'Weekly Log'!$A:$A,"&gt;="&amp;$J578,'Weekly Log'!$A:$A,"&lt;"&amp;$J578+7),0))</f>
        <v/>
      </c>
      <c r="D578" t="str">
        <f>IF($J578="","",IFERROR(COUNTIFS('Weekly Log'!$H:$H,"Y",'Weekly Log'!$A:$A,"&gt;="&amp;$J578,'Weekly Log'!$A:$A,"&lt;"&amp;$J578+7)/COUNTIFS('Weekly Log'!$H:$H,"&lt;&gt;",'Weekly Log'!$A:$A,"&gt;="&amp;$J578,'Weekly Log'!$A:$A,"&lt;"&amp;$J578+7),0))</f>
        <v/>
      </c>
      <c r="E578" t="str">
        <f>IF($J578="","",IFERROR(AVERAGEIFS('Weekly Log'!$F:$F,'Weekly Log'!$A:$A,"&gt;="&amp;$J578,'Weekly Log'!$A:$A,"&lt;"&amp;$J578+7),0))</f>
        <v/>
      </c>
      <c r="F578" t="str">
        <f>IF($J578="","",IFERROR(SUMIFS('Weekly Log'!$F:$F,'Weekly Log'!$A:$A,"&gt;="&amp;$J578,'Weekly Log'!$A:$A,"&lt;"&amp;$J578+7)/SUMIFS('Weekly Log'!$E:$E,'Weekly Log'!$A:$A,"&gt;="&amp;$J578,'Weekly Log'!$A:$A,"&lt;"&amp;$J578+7),0))</f>
        <v/>
      </c>
      <c r="G578" t="str">
        <f>IF($J578="","",IFERROR(LOOKUP(2,1/(('Weekly Log'!$A$5:$A$5000&gt;=$J578)*('Weekly Log'!$A$5:$A$5000&lt;$J578+7)*('Weekly Log'!$M$5:$M$5000&lt;&gt;"")),'Weekly Log'!$M$5:$M$5000),0))</f>
        <v/>
      </c>
      <c r="J578" t="str">
        <f>IF(COUNT('Weekly Log'!$A$5:$A$5000)=0,"",IF(MIN('Weekly Log'!$A$5:$A$5000)+7*(ROW()-10)&gt;MAX('Weekly Log'!$A$5:$A$5000),"",MIN('Weekly Log'!$A$5:$A$5000)+7*(ROW()-10)))</f>
        <v/>
      </c>
    </row>
    <row r="579" spans="1:10" x14ac:dyDescent="0.25">
      <c r="A579" t="str">
        <f t="shared" si="8"/>
        <v/>
      </c>
      <c r="B579" t="str">
        <f>IF($J579="","",SUMIFS('Weekly Log'!$C:$C,'Weekly Log'!$A:$A,"&gt;="&amp;$J579,'Weekly Log'!$A:$A,"&lt;"&amp;$J579+7))</f>
        <v/>
      </c>
      <c r="C579" t="str">
        <f>IF($J579="","",IFERROR(COUNTIFS('Weekly Log'!$G:$G,"Y",'Weekly Log'!$A:$A,"&gt;="&amp;$J579,'Weekly Log'!$A:$A,"&lt;"&amp;$J579+7)/COUNTIFS('Weekly Log'!$G:$G,"&lt;&gt;",'Weekly Log'!$A:$A,"&gt;="&amp;$J579,'Weekly Log'!$A:$A,"&lt;"&amp;$J579+7),0))</f>
        <v/>
      </c>
      <c r="D579" t="str">
        <f>IF($J579="","",IFERROR(COUNTIFS('Weekly Log'!$H:$H,"Y",'Weekly Log'!$A:$A,"&gt;="&amp;$J579,'Weekly Log'!$A:$A,"&lt;"&amp;$J579+7)/COUNTIFS('Weekly Log'!$H:$H,"&lt;&gt;",'Weekly Log'!$A:$A,"&gt;="&amp;$J579,'Weekly Log'!$A:$A,"&lt;"&amp;$J579+7),0))</f>
        <v/>
      </c>
      <c r="E579" t="str">
        <f>IF($J579="","",IFERROR(AVERAGEIFS('Weekly Log'!$F:$F,'Weekly Log'!$A:$A,"&gt;="&amp;$J579,'Weekly Log'!$A:$A,"&lt;"&amp;$J579+7),0))</f>
        <v/>
      </c>
      <c r="F579" t="str">
        <f>IF($J579="","",IFERROR(SUMIFS('Weekly Log'!$F:$F,'Weekly Log'!$A:$A,"&gt;="&amp;$J579,'Weekly Log'!$A:$A,"&lt;"&amp;$J579+7)/SUMIFS('Weekly Log'!$E:$E,'Weekly Log'!$A:$A,"&gt;="&amp;$J579,'Weekly Log'!$A:$A,"&lt;"&amp;$J579+7),0))</f>
        <v/>
      </c>
      <c r="G579" t="str">
        <f>IF($J579="","",IFERROR(LOOKUP(2,1/(('Weekly Log'!$A$5:$A$5000&gt;=$J579)*('Weekly Log'!$A$5:$A$5000&lt;$J579+7)*('Weekly Log'!$M$5:$M$5000&lt;&gt;"")),'Weekly Log'!$M$5:$M$5000),0))</f>
        <v/>
      </c>
      <c r="J579" t="str">
        <f>IF(COUNT('Weekly Log'!$A$5:$A$5000)=0,"",IF(MIN('Weekly Log'!$A$5:$A$5000)+7*(ROW()-10)&gt;MAX('Weekly Log'!$A$5:$A$5000),"",MIN('Weekly Log'!$A$5:$A$5000)+7*(ROW()-10)))</f>
        <v/>
      </c>
    </row>
    <row r="580" spans="1:10" x14ac:dyDescent="0.25">
      <c r="A580" t="str">
        <f t="shared" si="8"/>
        <v/>
      </c>
      <c r="B580" t="str">
        <f>IF($J580="","",SUMIFS('Weekly Log'!$C:$C,'Weekly Log'!$A:$A,"&gt;="&amp;$J580,'Weekly Log'!$A:$A,"&lt;"&amp;$J580+7))</f>
        <v/>
      </c>
      <c r="C580" t="str">
        <f>IF($J580="","",IFERROR(COUNTIFS('Weekly Log'!$G:$G,"Y",'Weekly Log'!$A:$A,"&gt;="&amp;$J580,'Weekly Log'!$A:$A,"&lt;"&amp;$J580+7)/COUNTIFS('Weekly Log'!$G:$G,"&lt;&gt;",'Weekly Log'!$A:$A,"&gt;="&amp;$J580,'Weekly Log'!$A:$A,"&lt;"&amp;$J580+7),0))</f>
        <v/>
      </c>
      <c r="D580" t="str">
        <f>IF($J580="","",IFERROR(COUNTIFS('Weekly Log'!$H:$H,"Y",'Weekly Log'!$A:$A,"&gt;="&amp;$J580,'Weekly Log'!$A:$A,"&lt;"&amp;$J580+7)/COUNTIFS('Weekly Log'!$H:$H,"&lt;&gt;",'Weekly Log'!$A:$A,"&gt;="&amp;$J580,'Weekly Log'!$A:$A,"&lt;"&amp;$J580+7),0))</f>
        <v/>
      </c>
      <c r="E580" t="str">
        <f>IF($J580="","",IFERROR(AVERAGEIFS('Weekly Log'!$F:$F,'Weekly Log'!$A:$A,"&gt;="&amp;$J580,'Weekly Log'!$A:$A,"&lt;"&amp;$J580+7),0))</f>
        <v/>
      </c>
      <c r="F580" t="str">
        <f>IF($J580="","",IFERROR(SUMIFS('Weekly Log'!$F:$F,'Weekly Log'!$A:$A,"&gt;="&amp;$J580,'Weekly Log'!$A:$A,"&lt;"&amp;$J580+7)/SUMIFS('Weekly Log'!$E:$E,'Weekly Log'!$A:$A,"&gt;="&amp;$J580,'Weekly Log'!$A:$A,"&lt;"&amp;$J580+7),0))</f>
        <v/>
      </c>
      <c r="G580" t="str">
        <f>IF($J580="","",IFERROR(LOOKUP(2,1/(('Weekly Log'!$A$5:$A$5000&gt;=$J580)*('Weekly Log'!$A$5:$A$5000&lt;$J580+7)*('Weekly Log'!$M$5:$M$5000&lt;&gt;"")),'Weekly Log'!$M$5:$M$5000),0))</f>
        <v/>
      </c>
      <c r="J580" t="str">
        <f>IF(COUNT('Weekly Log'!$A$5:$A$5000)=0,"",IF(MIN('Weekly Log'!$A$5:$A$5000)+7*(ROW()-10)&gt;MAX('Weekly Log'!$A$5:$A$5000),"",MIN('Weekly Log'!$A$5:$A$5000)+7*(ROW()-10)))</f>
        <v/>
      </c>
    </row>
    <row r="581" spans="1:10" x14ac:dyDescent="0.25">
      <c r="A581" t="str">
        <f t="shared" si="8"/>
        <v/>
      </c>
      <c r="B581" t="str">
        <f>IF($J581="","",SUMIFS('Weekly Log'!$C:$C,'Weekly Log'!$A:$A,"&gt;="&amp;$J581,'Weekly Log'!$A:$A,"&lt;"&amp;$J581+7))</f>
        <v/>
      </c>
      <c r="C581" t="str">
        <f>IF($J581="","",IFERROR(COUNTIFS('Weekly Log'!$G:$G,"Y",'Weekly Log'!$A:$A,"&gt;="&amp;$J581,'Weekly Log'!$A:$A,"&lt;"&amp;$J581+7)/COUNTIFS('Weekly Log'!$G:$G,"&lt;&gt;",'Weekly Log'!$A:$A,"&gt;="&amp;$J581,'Weekly Log'!$A:$A,"&lt;"&amp;$J581+7),0))</f>
        <v/>
      </c>
      <c r="D581" t="str">
        <f>IF($J581="","",IFERROR(COUNTIFS('Weekly Log'!$H:$H,"Y",'Weekly Log'!$A:$A,"&gt;="&amp;$J581,'Weekly Log'!$A:$A,"&lt;"&amp;$J581+7)/COUNTIFS('Weekly Log'!$H:$H,"&lt;&gt;",'Weekly Log'!$A:$A,"&gt;="&amp;$J581,'Weekly Log'!$A:$A,"&lt;"&amp;$J581+7),0))</f>
        <v/>
      </c>
      <c r="E581" t="str">
        <f>IF($J581="","",IFERROR(AVERAGEIFS('Weekly Log'!$F:$F,'Weekly Log'!$A:$A,"&gt;="&amp;$J581,'Weekly Log'!$A:$A,"&lt;"&amp;$J581+7),0))</f>
        <v/>
      </c>
      <c r="F581" t="str">
        <f>IF($J581="","",IFERROR(SUMIFS('Weekly Log'!$F:$F,'Weekly Log'!$A:$A,"&gt;="&amp;$J581,'Weekly Log'!$A:$A,"&lt;"&amp;$J581+7)/SUMIFS('Weekly Log'!$E:$E,'Weekly Log'!$A:$A,"&gt;="&amp;$J581,'Weekly Log'!$A:$A,"&lt;"&amp;$J581+7),0))</f>
        <v/>
      </c>
      <c r="G581" t="str">
        <f>IF($J581="","",IFERROR(LOOKUP(2,1/(('Weekly Log'!$A$5:$A$5000&gt;=$J581)*('Weekly Log'!$A$5:$A$5000&lt;$J581+7)*('Weekly Log'!$M$5:$M$5000&lt;&gt;"")),'Weekly Log'!$M$5:$M$5000),0))</f>
        <v/>
      </c>
      <c r="J581" t="str">
        <f>IF(COUNT('Weekly Log'!$A$5:$A$5000)=0,"",IF(MIN('Weekly Log'!$A$5:$A$5000)+7*(ROW()-10)&gt;MAX('Weekly Log'!$A$5:$A$5000),"",MIN('Weekly Log'!$A$5:$A$5000)+7*(ROW()-10)))</f>
        <v/>
      </c>
    </row>
    <row r="582" spans="1:10" x14ac:dyDescent="0.25">
      <c r="A582" t="str">
        <f t="shared" si="8"/>
        <v/>
      </c>
      <c r="B582" t="str">
        <f>IF($J582="","",SUMIFS('Weekly Log'!$C:$C,'Weekly Log'!$A:$A,"&gt;="&amp;$J582,'Weekly Log'!$A:$A,"&lt;"&amp;$J582+7))</f>
        <v/>
      </c>
      <c r="C582" t="str">
        <f>IF($J582="","",IFERROR(COUNTIFS('Weekly Log'!$G:$G,"Y",'Weekly Log'!$A:$A,"&gt;="&amp;$J582,'Weekly Log'!$A:$A,"&lt;"&amp;$J582+7)/COUNTIFS('Weekly Log'!$G:$G,"&lt;&gt;",'Weekly Log'!$A:$A,"&gt;="&amp;$J582,'Weekly Log'!$A:$A,"&lt;"&amp;$J582+7),0))</f>
        <v/>
      </c>
      <c r="D582" t="str">
        <f>IF($J582="","",IFERROR(COUNTIFS('Weekly Log'!$H:$H,"Y",'Weekly Log'!$A:$A,"&gt;="&amp;$J582,'Weekly Log'!$A:$A,"&lt;"&amp;$J582+7)/COUNTIFS('Weekly Log'!$H:$H,"&lt;&gt;",'Weekly Log'!$A:$A,"&gt;="&amp;$J582,'Weekly Log'!$A:$A,"&lt;"&amp;$J582+7),0))</f>
        <v/>
      </c>
      <c r="E582" t="str">
        <f>IF($J582="","",IFERROR(AVERAGEIFS('Weekly Log'!$F:$F,'Weekly Log'!$A:$A,"&gt;="&amp;$J582,'Weekly Log'!$A:$A,"&lt;"&amp;$J582+7),0))</f>
        <v/>
      </c>
      <c r="F582" t="str">
        <f>IF($J582="","",IFERROR(SUMIFS('Weekly Log'!$F:$F,'Weekly Log'!$A:$A,"&gt;="&amp;$J582,'Weekly Log'!$A:$A,"&lt;"&amp;$J582+7)/SUMIFS('Weekly Log'!$E:$E,'Weekly Log'!$A:$A,"&gt;="&amp;$J582,'Weekly Log'!$A:$A,"&lt;"&amp;$J582+7),0))</f>
        <v/>
      </c>
      <c r="G582" t="str">
        <f>IF($J582="","",IFERROR(LOOKUP(2,1/(('Weekly Log'!$A$5:$A$5000&gt;=$J582)*('Weekly Log'!$A$5:$A$5000&lt;$J582+7)*('Weekly Log'!$M$5:$M$5000&lt;&gt;"")),'Weekly Log'!$M$5:$M$5000),0))</f>
        <v/>
      </c>
      <c r="J582" t="str">
        <f>IF(COUNT('Weekly Log'!$A$5:$A$5000)=0,"",IF(MIN('Weekly Log'!$A$5:$A$5000)+7*(ROW()-10)&gt;MAX('Weekly Log'!$A$5:$A$5000),"",MIN('Weekly Log'!$A$5:$A$5000)+7*(ROW()-10)))</f>
        <v/>
      </c>
    </row>
    <row r="583" spans="1:10" x14ac:dyDescent="0.25">
      <c r="A583" t="str">
        <f t="shared" si="8"/>
        <v/>
      </c>
      <c r="B583" t="str">
        <f>IF($J583="","",SUMIFS('Weekly Log'!$C:$C,'Weekly Log'!$A:$A,"&gt;="&amp;$J583,'Weekly Log'!$A:$A,"&lt;"&amp;$J583+7))</f>
        <v/>
      </c>
      <c r="C583" t="str">
        <f>IF($J583="","",IFERROR(COUNTIFS('Weekly Log'!$G:$G,"Y",'Weekly Log'!$A:$A,"&gt;="&amp;$J583,'Weekly Log'!$A:$A,"&lt;"&amp;$J583+7)/COUNTIFS('Weekly Log'!$G:$G,"&lt;&gt;",'Weekly Log'!$A:$A,"&gt;="&amp;$J583,'Weekly Log'!$A:$A,"&lt;"&amp;$J583+7),0))</f>
        <v/>
      </c>
      <c r="D583" t="str">
        <f>IF($J583="","",IFERROR(COUNTIFS('Weekly Log'!$H:$H,"Y",'Weekly Log'!$A:$A,"&gt;="&amp;$J583,'Weekly Log'!$A:$A,"&lt;"&amp;$J583+7)/COUNTIFS('Weekly Log'!$H:$H,"&lt;&gt;",'Weekly Log'!$A:$A,"&gt;="&amp;$J583,'Weekly Log'!$A:$A,"&lt;"&amp;$J583+7),0))</f>
        <v/>
      </c>
      <c r="E583" t="str">
        <f>IF($J583="","",IFERROR(AVERAGEIFS('Weekly Log'!$F:$F,'Weekly Log'!$A:$A,"&gt;="&amp;$J583,'Weekly Log'!$A:$A,"&lt;"&amp;$J583+7),0))</f>
        <v/>
      </c>
      <c r="F583" t="str">
        <f>IF($J583="","",IFERROR(SUMIFS('Weekly Log'!$F:$F,'Weekly Log'!$A:$A,"&gt;="&amp;$J583,'Weekly Log'!$A:$A,"&lt;"&amp;$J583+7)/SUMIFS('Weekly Log'!$E:$E,'Weekly Log'!$A:$A,"&gt;="&amp;$J583,'Weekly Log'!$A:$A,"&lt;"&amp;$J583+7),0))</f>
        <v/>
      </c>
      <c r="G583" t="str">
        <f>IF($J583="","",IFERROR(LOOKUP(2,1/(('Weekly Log'!$A$5:$A$5000&gt;=$J583)*('Weekly Log'!$A$5:$A$5000&lt;$J583+7)*('Weekly Log'!$M$5:$M$5000&lt;&gt;"")),'Weekly Log'!$M$5:$M$5000),0))</f>
        <v/>
      </c>
      <c r="J583" t="str">
        <f>IF(COUNT('Weekly Log'!$A$5:$A$5000)=0,"",IF(MIN('Weekly Log'!$A$5:$A$5000)+7*(ROW()-10)&gt;MAX('Weekly Log'!$A$5:$A$5000),"",MIN('Weekly Log'!$A$5:$A$5000)+7*(ROW()-10)))</f>
        <v/>
      </c>
    </row>
    <row r="584" spans="1:10" x14ac:dyDescent="0.25">
      <c r="A584" t="str">
        <f t="shared" si="8"/>
        <v/>
      </c>
      <c r="B584" t="str">
        <f>IF($J584="","",SUMIFS('Weekly Log'!$C:$C,'Weekly Log'!$A:$A,"&gt;="&amp;$J584,'Weekly Log'!$A:$A,"&lt;"&amp;$J584+7))</f>
        <v/>
      </c>
      <c r="C584" t="str">
        <f>IF($J584="","",IFERROR(COUNTIFS('Weekly Log'!$G:$G,"Y",'Weekly Log'!$A:$A,"&gt;="&amp;$J584,'Weekly Log'!$A:$A,"&lt;"&amp;$J584+7)/COUNTIFS('Weekly Log'!$G:$G,"&lt;&gt;",'Weekly Log'!$A:$A,"&gt;="&amp;$J584,'Weekly Log'!$A:$A,"&lt;"&amp;$J584+7),0))</f>
        <v/>
      </c>
      <c r="D584" t="str">
        <f>IF($J584="","",IFERROR(COUNTIFS('Weekly Log'!$H:$H,"Y",'Weekly Log'!$A:$A,"&gt;="&amp;$J584,'Weekly Log'!$A:$A,"&lt;"&amp;$J584+7)/COUNTIFS('Weekly Log'!$H:$H,"&lt;&gt;",'Weekly Log'!$A:$A,"&gt;="&amp;$J584,'Weekly Log'!$A:$A,"&lt;"&amp;$J584+7),0))</f>
        <v/>
      </c>
      <c r="E584" t="str">
        <f>IF($J584="","",IFERROR(AVERAGEIFS('Weekly Log'!$F:$F,'Weekly Log'!$A:$A,"&gt;="&amp;$J584,'Weekly Log'!$A:$A,"&lt;"&amp;$J584+7),0))</f>
        <v/>
      </c>
      <c r="F584" t="str">
        <f>IF($J584="","",IFERROR(SUMIFS('Weekly Log'!$F:$F,'Weekly Log'!$A:$A,"&gt;="&amp;$J584,'Weekly Log'!$A:$A,"&lt;"&amp;$J584+7)/SUMIFS('Weekly Log'!$E:$E,'Weekly Log'!$A:$A,"&gt;="&amp;$J584,'Weekly Log'!$A:$A,"&lt;"&amp;$J584+7),0))</f>
        <v/>
      </c>
      <c r="G584" t="str">
        <f>IF($J584="","",IFERROR(LOOKUP(2,1/(('Weekly Log'!$A$5:$A$5000&gt;=$J584)*('Weekly Log'!$A$5:$A$5000&lt;$J584+7)*('Weekly Log'!$M$5:$M$5000&lt;&gt;"")),'Weekly Log'!$M$5:$M$5000),0))</f>
        <v/>
      </c>
      <c r="J584" t="str">
        <f>IF(COUNT('Weekly Log'!$A$5:$A$5000)=0,"",IF(MIN('Weekly Log'!$A$5:$A$5000)+7*(ROW()-10)&gt;MAX('Weekly Log'!$A$5:$A$5000),"",MIN('Weekly Log'!$A$5:$A$5000)+7*(ROW()-10)))</f>
        <v/>
      </c>
    </row>
    <row r="585" spans="1:10" x14ac:dyDescent="0.25">
      <c r="A585" t="str">
        <f t="shared" si="8"/>
        <v/>
      </c>
      <c r="B585" t="str">
        <f>IF($J585="","",SUMIFS('Weekly Log'!$C:$C,'Weekly Log'!$A:$A,"&gt;="&amp;$J585,'Weekly Log'!$A:$A,"&lt;"&amp;$J585+7))</f>
        <v/>
      </c>
      <c r="C585" t="str">
        <f>IF($J585="","",IFERROR(COUNTIFS('Weekly Log'!$G:$G,"Y",'Weekly Log'!$A:$A,"&gt;="&amp;$J585,'Weekly Log'!$A:$A,"&lt;"&amp;$J585+7)/COUNTIFS('Weekly Log'!$G:$G,"&lt;&gt;",'Weekly Log'!$A:$A,"&gt;="&amp;$J585,'Weekly Log'!$A:$A,"&lt;"&amp;$J585+7),0))</f>
        <v/>
      </c>
      <c r="D585" t="str">
        <f>IF($J585="","",IFERROR(COUNTIFS('Weekly Log'!$H:$H,"Y",'Weekly Log'!$A:$A,"&gt;="&amp;$J585,'Weekly Log'!$A:$A,"&lt;"&amp;$J585+7)/COUNTIFS('Weekly Log'!$H:$H,"&lt;&gt;",'Weekly Log'!$A:$A,"&gt;="&amp;$J585,'Weekly Log'!$A:$A,"&lt;"&amp;$J585+7),0))</f>
        <v/>
      </c>
      <c r="E585" t="str">
        <f>IF($J585="","",IFERROR(AVERAGEIFS('Weekly Log'!$F:$F,'Weekly Log'!$A:$A,"&gt;="&amp;$J585,'Weekly Log'!$A:$A,"&lt;"&amp;$J585+7),0))</f>
        <v/>
      </c>
      <c r="F585" t="str">
        <f>IF($J585="","",IFERROR(SUMIFS('Weekly Log'!$F:$F,'Weekly Log'!$A:$A,"&gt;="&amp;$J585,'Weekly Log'!$A:$A,"&lt;"&amp;$J585+7)/SUMIFS('Weekly Log'!$E:$E,'Weekly Log'!$A:$A,"&gt;="&amp;$J585,'Weekly Log'!$A:$A,"&lt;"&amp;$J585+7),0))</f>
        <v/>
      </c>
      <c r="G585" t="str">
        <f>IF($J585="","",IFERROR(LOOKUP(2,1/(('Weekly Log'!$A$5:$A$5000&gt;=$J585)*('Weekly Log'!$A$5:$A$5000&lt;$J585+7)*('Weekly Log'!$M$5:$M$5000&lt;&gt;"")),'Weekly Log'!$M$5:$M$5000),0))</f>
        <v/>
      </c>
      <c r="J585" t="str">
        <f>IF(COUNT('Weekly Log'!$A$5:$A$5000)=0,"",IF(MIN('Weekly Log'!$A$5:$A$5000)+7*(ROW()-10)&gt;MAX('Weekly Log'!$A$5:$A$5000),"",MIN('Weekly Log'!$A$5:$A$5000)+7*(ROW()-10)))</f>
        <v/>
      </c>
    </row>
    <row r="586" spans="1:10" x14ac:dyDescent="0.25">
      <c r="A586" t="str">
        <f t="shared" ref="A586:A649" si="9">IF($J586="","",YEAR($J586-WEEKDAY($J586,2)+4)&amp;"-W"&amp;TEXT(WEEKNUM($J586,21),"00"))</f>
        <v/>
      </c>
      <c r="B586" t="str">
        <f>IF($J586="","",SUMIFS('Weekly Log'!$C:$C,'Weekly Log'!$A:$A,"&gt;="&amp;$J586,'Weekly Log'!$A:$A,"&lt;"&amp;$J586+7))</f>
        <v/>
      </c>
      <c r="C586" t="str">
        <f>IF($J586="","",IFERROR(COUNTIFS('Weekly Log'!$G:$G,"Y",'Weekly Log'!$A:$A,"&gt;="&amp;$J586,'Weekly Log'!$A:$A,"&lt;"&amp;$J586+7)/COUNTIFS('Weekly Log'!$G:$G,"&lt;&gt;",'Weekly Log'!$A:$A,"&gt;="&amp;$J586,'Weekly Log'!$A:$A,"&lt;"&amp;$J586+7),0))</f>
        <v/>
      </c>
      <c r="D586" t="str">
        <f>IF($J586="","",IFERROR(COUNTIFS('Weekly Log'!$H:$H,"Y",'Weekly Log'!$A:$A,"&gt;="&amp;$J586,'Weekly Log'!$A:$A,"&lt;"&amp;$J586+7)/COUNTIFS('Weekly Log'!$H:$H,"&lt;&gt;",'Weekly Log'!$A:$A,"&gt;="&amp;$J586,'Weekly Log'!$A:$A,"&lt;"&amp;$J586+7),0))</f>
        <v/>
      </c>
      <c r="E586" t="str">
        <f>IF($J586="","",IFERROR(AVERAGEIFS('Weekly Log'!$F:$F,'Weekly Log'!$A:$A,"&gt;="&amp;$J586,'Weekly Log'!$A:$A,"&lt;"&amp;$J586+7),0))</f>
        <v/>
      </c>
      <c r="F586" t="str">
        <f>IF($J586="","",IFERROR(SUMIFS('Weekly Log'!$F:$F,'Weekly Log'!$A:$A,"&gt;="&amp;$J586,'Weekly Log'!$A:$A,"&lt;"&amp;$J586+7)/SUMIFS('Weekly Log'!$E:$E,'Weekly Log'!$A:$A,"&gt;="&amp;$J586,'Weekly Log'!$A:$A,"&lt;"&amp;$J586+7),0))</f>
        <v/>
      </c>
      <c r="G586" t="str">
        <f>IF($J586="","",IFERROR(LOOKUP(2,1/(('Weekly Log'!$A$5:$A$5000&gt;=$J586)*('Weekly Log'!$A$5:$A$5000&lt;$J586+7)*('Weekly Log'!$M$5:$M$5000&lt;&gt;"")),'Weekly Log'!$M$5:$M$5000),0))</f>
        <v/>
      </c>
      <c r="J586" t="str">
        <f>IF(COUNT('Weekly Log'!$A$5:$A$5000)=0,"",IF(MIN('Weekly Log'!$A$5:$A$5000)+7*(ROW()-10)&gt;MAX('Weekly Log'!$A$5:$A$5000),"",MIN('Weekly Log'!$A$5:$A$5000)+7*(ROW()-10)))</f>
        <v/>
      </c>
    </row>
    <row r="587" spans="1:10" x14ac:dyDescent="0.25">
      <c r="A587" t="str">
        <f t="shared" si="9"/>
        <v/>
      </c>
      <c r="B587" t="str">
        <f>IF($J587="","",SUMIFS('Weekly Log'!$C:$C,'Weekly Log'!$A:$A,"&gt;="&amp;$J587,'Weekly Log'!$A:$A,"&lt;"&amp;$J587+7))</f>
        <v/>
      </c>
      <c r="C587" t="str">
        <f>IF($J587="","",IFERROR(COUNTIFS('Weekly Log'!$G:$G,"Y",'Weekly Log'!$A:$A,"&gt;="&amp;$J587,'Weekly Log'!$A:$A,"&lt;"&amp;$J587+7)/COUNTIFS('Weekly Log'!$G:$G,"&lt;&gt;",'Weekly Log'!$A:$A,"&gt;="&amp;$J587,'Weekly Log'!$A:$A,"&lt;"&amp;$J587+7),0))</f>
        <v/>
      </c>
      <c r="D587" t="str">
        <f>IF($J587="","",IFERROR(COUNTIFS('Weekly Log'!$H:$H,"Y",'Weekly Log'!$A:$A,"&gt;="&amp;$J587,'Weekly Log'!$A:$A,"&lt;"&amp;$J587+7)/COUNTIFS('Weekly Log'!$H:$H,"&lt;&gt;",'Weekly Log'!$A:$A,"&gt;="&amp;$J587,'Weekly Log'!$A:$A,"&lt;"&amp;$J587+7),0))</f>
        <v/>
      </c>
      <c r="E587" t="str">
        <f>IF($J587="","",IFERROR(AVERAGEIFS('Weekly Log'!$F:$F,'Weekly Log'!$A:$A,"&gt;="&amp;$J587,'Weekly Log'!$A:$A,"&lt;"&amp;$J587+7),0))</f>
        <v/>
      </c>
      <c r="F587" t="str">
        <f>IF($J587="","",IFERROR(SUMIFS('Weekly Log'!$F:$F,'Weekly Log'!$A:$A,"&gt;="&amp;$J587,'Weekly Log'!$A:$A,"&lt;"&amp;$J587+7)/SUMIFS('Weekly Log'!$E:$E,'Weekly Log'!$A:$A,"&gt;="&amp;$J587,'Weekly Log'!$A:$A,"&lt;"&amp;$J587+7),0))</f>
        <v/>
      </c>
      <c r="G587" t="str">
        <f>IF($J587="","",IFERROR(LOOKUP(2,1/(('Weekly Log'!$A$5:$A$5000&gt;=$J587)*('Weekly Log'!$A$5:$A$5000&lt;$J587+7)*('Weekly Log'!$M$5:$M$5000&lt;&gt;"")),'Weekly Log'!$M$5:$M$5000),0))</f>
        <v/>
      </c>
      <c r="J587" t="str">
        <f>IF(COUNT('Weekly Log'!$A$5:$A$5000)=0,"",IF(MIN('Weekly Log'!$A$5:$A$5000)+7*(ROW()-10)&gt;MAX('Weekly Log'!$A$5:$A$5000),"",MIN('Weekly Log'!$A$5:$A$5000)+7*(ROW()-10)))</f>
        <v/>
      </c>
    </row>
    <row r="588" spans="1:10" x14ac:dyDescent="0.25">
      <c r="A588" t="str">
        <f t="shared" si="9"/>
        <v/>
      </c>
      <c r="B588" t="str">
        <f>IF($J588="","",SUMIFS('Weekly Log'!$C:$C,'Weekly Log'!$A:$A,"&gt;="&amp;$J588,'Weekly Log'!$A:$A,"&lt;"&amp;$J588+7))</f>
        <v/>
      </c>
      <c r="C588" t="str">
        <f>IF($J588="","",IFERROR(COUNTIFS('Weekly Log'!$G:$G,"Y",'Weekly Log'!$A:$A,"&gt;="&amp;$J588,'Weekly Log'!$A:$A,"&lt;"&amp;$J588+7)/COUNTIFS('Weekly Log'!$G:$G,"&lt;&gt;",'Weekly Log'!$A:$A,"&gt;="&amp;$J588,'Weekly Log'!$A:$A,"&lt;"&amp;$J588+7),0))</f>
        <v/>
      </c>
      <c r="D588" t="str">
        <f>IF($J588="","",IFERROR(COUNTIFS('Weekly Log'!$H:$H,"Y",'Weekly Log'!$A:$A,"&gt;="&amp;$J588,'Weekly Log'!$A:$A,"&lt;"&amp;$J588+7)/COUNTIFS('Weekly Log'!$H:$H,"&lt;&gt;",'Weekly Log'!$A:$A,"&gt;="&amp;$J588,'Weekly Log'!$A:$A,"&lt;"&amp;$J588+7),0))</f>
        <v/>
      </c>
      <c r="E588" t="str">
        <f>IF($J588="","",IFERROR(AVERAGEIFS('Weekly Log'!$F:$F,'Weekly Log'!$A:$A,"&gt;="&amp;$J588,'Weekly Log'!$A:$A,"&lt;"&amp;$J588+7),0))</f>
        <v/>
      </c>
      <c r="F588" t="str">
        <f>IF($J588="","",IFERROR(SUMIFS('Weekly Log'!$F:$F,'Weekly Log'!$A:$A,"&gt;="&amp;$J588,'Weekly Log'!$A:$A,"&lt;"&amp;$J588+7)/SUMIFS('Weekly Log'!$E:$E,'Weekly Log'!$A:$A,"&gt;="&amp;$J588,'Weekly Log'!$A:$A,"&lt;"&amp;$J588+7),0))</f>
        <v/>
      </c>
      <c r="G588" t="str">
        <f>IF($J588="","",IFERROR(LOOKUP(2,1/(('Weekly Log'!$A$5:$A$5000&gt;=$J588)*('Weekly Log'!$A$5:$A$5000&lt;$J588+7)*('Weekly Log'!$M$5:$M$5000&lt;&gt;"")),'Weekly Log'!$M$5:$M$5000),0))</f>
        <v/>
      </c>
      <c r="J588" t="str">
        <f>IF(COUNT('Weekly Log'!$A$5:$A$5000)=0,"",IF(MIN('Weekly Log'!$A$5:$A$5000)+7*(ROW()-10)&gt;MAX('Weekly Log'!$A$5:$A$5000),"",MIN('Weekly Log'!$A$5:$A$5000)+7*(ROW()-10)))</f>
        <v/>
      </c>
    </row>
    <row r="589" spans="1:10" x14ac:dyDescent="0.25">
      <c r="A589" t="str">
        <f t="shared" si="9"/>
        <v/>
      </c>
      <c r="B589" t="str">
        <f>IF($J589="","",SUMIFS('Weekly Log'!$C:$C,'Weekly Log'!$A:$A,"&gt;="&amp;$J589,'Weekly Log'!$A:$A,"&lt;"&amp;$J589+7))</f>
        <v/>
      </c>
      <c r="C589" t="str">
        <f>IF($J589="","",IFERROR(COUNTIFS('Weekly Log'!$G:$G,"Y",'Weekly Log'!$A:$A,"&gt;="&amp;$J589,'Weekly Log'!$A:$A,"&lt;"&amp;$J589+7)/COUNTIFS('Weekly Log'!$G:$G,"&lt;&gt;",'Weekly Log'!$A:$A,"&gt;="&amp;$J589,'Weekly Log'!$A:$A,"&lt;"&amp;$J589+7),0))</f>
        <v/>
      </c>
      <c r="D589" t="str">
        <f>IF($J589="","",IFERROR(COUNTIFS('Weekly Log'!$H:$H,"Y",'Weekly Log'!$A:$A,"&gt;="&amp;$J589,'Weekly Log'!$A:$A,"&lt;"&amp;$J589+7)/COUNTIFS('Weekly Log'!$H:$H,"&lt;&gt;",'Weekly Log'!$A:$A,"&gt;="&amp;$J589,'Weekly Log'!$A:$A,"&lt;"&amp;$J589+7),0))</f>
        <v/>
      </c>
      <c r="E589" t="str">
        <f>IF($J589="","",IFERROR(AVERAGEIFS('Weekly Log'!$F:$F,'Weekly Log'!$A:$A,"&gt;="&amp;$J589,'Weekly Log'!$A:$A,"&lt;"&amp;$J589+7),0))</f>
        <v/>
      </c>
      <c r="F589" t="str">
        <f>IF($J589="","",IFERROR(SUMIFS('Weekly Log'!$F:$F,'Weekly Log'!$A:$A,"&gt;="&amp;$J589,'Weekly Log'!$A:$A,"&lt;"&amp;$J589+7)/SUMIFS('Weekly Log'!$E:$E,'Weekly Log'!$A:$A,"&gt;="&amp;$J589,'Weekly Log'!$A:$A,"&lt;"&amp;$J589+7),0))</f>
        <v/>
      </c>
      <c r="G589" t="str">
        <f>IF($J589="","",IFERROR(LOOKUP(2,1/(('Weekly Log'!$A$5:$A$5000&gt;=$J589)*('Weekly Log'!$A$5:$A$5000&lt;$J589+7)*('Weekly Log'!$M$5:$M$5000&lt;&gt;"")),'Weekly Log'!$M$5:$M$5000),0))</f>
        <v/>
      </c>
      <c r="J589" t="str">
        <f>IF(COUNT('Weekly Log'!$A$5:$A$5000)=0,"",IF(MIN('Weekly Log'!$A$5:$A$5000)+7*(ROW()-10)&gt;MAX('Weekly Log'!$A$5:$A$5000),"",MIN('Weekly Log'!$A$5:$A$5000)+7*(ROW()-10)))</f>
        <v/>
      </c>
    </row>
    <row r="590" spans="1:10" x14ac:dyDescent="0.25">
      <c r="A590" t="str">
        <f t="shared" si="9"/>
        <v/>
      </c>
      <c r="B590" t="str">
        <f>IF($J590="","",SUMIFS('Weekly Log'!$C:$C,'Weekly Log'!$A:$A,"&gt;="&amp;$J590,'Weekly Log'!$A:$A,"&lt;"&amp;$J590+7))</f>
        <v/>
      </c>
      <c r="C590" t="str">
        <f>IF($J590="","",IFERROR(COUNTIFS('Weekly Log'!$G:$G,"Y",'Weekly Log'!$A:$A,"&gt;="&amp;$J590,'Weekly Log'!$A:$A,"&lt;"&amp;$J590+7)/COUNTIFS('Weekly Log'!$G:$G,"&lt;&gt;",'Weekly Log'!$A:$A,"&gt;="&amp;$J590,'Weekly Log'!$A:$A,"&lt;"&amp;$J590+7),0))</f>
        <v/>
      </c>
      <c r="D590" t="str">
        <f>IF($J590="","",IFERROR(COUNTIFS('Weekly Log'!$H:$H,"Y",'Weekly Log'!$A:$A,"&gt;="&amp;$J590,'Weekly Log'!$A:$A,"&lt;"&amp;$J590+7)/COUNTIFS('Weekly Log'!$H:$H,"&lt;&gt;",'Weekly Log'!$A:$A,"&gt;="&amp;$J590,'Weekly Log'!$A:$A,"&lt;"&amp;$J590+7),0))</f>
        <v/>
      </c>
      <c r="E590" t="str">
        <f>IF($J590="","",IFERROR(AVERAGEIFS('Weekly Log'!$F:$F,'Weekly Log'!$A:$A,"&gt;="&amp;$J590,'Weekly Log'!$A:$A,"&lt;"&amp;$J590+7),0))</f>
        <v/>
      </c>
      <c r="F590" t="str">
        <f>IF($J590="","",IFERROR(SUMIFS('Weekly Log'!$F:$F,'Weekly Log'!$A:$A,"&gt;="&amp;$J590,'Weekly Log'!$A:$A,"&lt;"&amp;$J590+7)/SUMIFS('Weekly Log'!$E:$E,'Weekly Log'!$A:$A,"&gt;="&amp;$J590,'Weekly Log'!$A:$A,"&lt;"&amp;$J590+7),0))</f>
        <v/>
      </c>
      <c r="G590" t="str">
        <f>IF($J590="","",IFERROR(LOOKUP(2,1/(('Weekly Log'!$A$5:$A$5000&gt;=$J590)*('Weekly Log'!$A$5:$A$5000&lt;$J590+7)*('Weekly Log'!$M$5:$M$5000&lt;&gt;"")),'Weekly Log'!$M$5:$M$5000),0))</f>
        <v/>
      </c>
      <c r="J590" t="str">
        <f>IF(COUNT('Weekly Log'!$A$5:$A$5000)=0,"",IF(MIN('Weekly Log'!$A$5:$A$5000)+7*(ROW()-10)&gt;MAX('Weekly Log'!$A$5:$A$5000),"",MIN('Weekly Log'!$A$5:$A$5000)+7*(ROW()-10)))</f>
        <v/>
      </c>
    </row>
    <row r="591" spans="1:10" x14ac:dyDescent="0.25">
      <c r="A591" t="str">
        <f t="shared" si="9"/>
        <v/>
      </c>
      <c r="B591" t="str">
        <f>IF($J591="","",SUMIFS('Weekly Log'!$C:$C,'Weekly Log'!$A:$A,"&gt;="&amp;$J591,'Weekly Log'!$A:$A,"&lt;"&amp;$J591+7))</f>
        <v/>
      </c>
      <c r="C591" t="str">
        <f>IF($J591="","",IFERROR(COUNTIFS('Weekly Log'!$G:$G,"Y",'Weekly Log'!$A:$A,"&gt;="&amp;$J591,'Weekly Log'!$A:$A,"&lt;"&amp;$J591+7)/COUNTIFS('Weekly Log'!$G:$G,"&lt;&gt;",'Weekly Log'!$A:$A,"&gt;="&amp;$J591,'Weekly Log'!$A:$A,"&lt;"&amp;$J591+7),0))</f>
        <v/>
      </c>
      <c r="D591" t="str">
        <f>IF($J591="","",IFERROR(COUNTIFS('Weekly Log'!$H:$H,"Y",'Weekly Log'!$A:$A,"&gt;="&amp;$J591,'Weekly Log'!$A:$A,"&lt;"&amp;$J591+7)/COUNTIFS('Weekly Log'!$H:$H,"&lt;&gt;",'Weekly Log'!$A:$A,"&gt;="&amp;$J591,'Weekly Log'!$A:$A,"&lt;"&amp;$J591+7),0))</f>
        <v/>
      </c>
      <c r="E591" t="str">
        <f>IF($J591="","",IFERROR(AVERAGEIFS('Weekly Log'!$F:$F,'Weekly Log'!$A:$A,"&gt;="&amp;$J591,'Weekly Log'!$A:$A,"&lt;"&amp;$J591+7),0))</f>
        <v/>
      </c>
      <c r="F591" t="str">
        <f>IF($J591="","",IFERROR(SUMIFS('Weekly Log'!$F:$F,'Weekly Log'!$A:$A,"&gt;="&amp;$J591,'Weekly Log'!$A:$A,"&lt;"&amp;$J591+7)/SUMIFS('Weekly Log'!$E:$E,'Weekly Log'!$A:$A,"&gt;="&amp;$J591,'Weekly Log'!$A:$A,"&lt;"&amp;$J591+7),0))</f>
        <v/>
      </c>
      <c r="G591" t="str">
        <f>IF($J591="","",IFERROR(LOOKUP(2,1/(('Weekly Log'!$A$5:$A$5000&gt;=$J591)*('Weekly Log'!$A$5:$A$5000&lt;$J591+7)*('Weekly Log'!$M$5:$M$5000&lt;&gt;"")),'Weekly Log'!$M$5:$M$5000),0))</f>
        <v/>
      </c>
      <c r="J591" t="str">
        <f>IF(COUNT('Weekly Log'!$A$5:$A$5000)=0,"",IF(MIN('Weekly Log'!$A$5:$A$5000)+7*(ROW()-10)&gt;MAX('Weekly Log'!$A$5:$A$5000),"",MIN('Weekly Log'!$A$5:$A$5000)+7*(ROW()-10)))</f>
        <v/>
      </c>
    </row>
    <row r="592" spans="1:10" x14ac:dyDescent="0.25">
      <c r="A592" t="str">
        <f t="shared" si="9"/>
        <v/>
      </c>
      <c r="B592" t="str">
        <f>IF($J592="","",SUMIFS('Weekly Log'!$C:$C,'Weekly Log'!$A:$A,"&gt;="&amp;$J592,'Weekly Log'!$A:$A,"&lt;"&amp;$J592+7))</f>
        <v/>
      </c>
      <c r="C592" t="str">
        <f>IF($J592="","",IFERROR(COUNTIFS('Weekly Log'!$G:$G,"Y",'Weekly Log'!$A:$A,"&gt;="&amp;$J592,'Weekly Log'!$A:$A,"&lt;"&amp;$J592+7)/COUNTIFS('Weekly Log'!$G:$G,"&lt;&gt;",'Weekly Log'!$A:$A,"&gt;="&amp;$J592,'Weekly Log'!$A:$A,"&lt;"&amp;$J592+7),0))</f>
        <v/>
      </c>
      <c r="D592" t="str">
        <f>IF($J592="","",IFERROR(COUNTIFS('Weekly Log'!$H:$H,"Y",'Weekly Log'!$A:$A,"&gt;="&amp;$J592,'Weekly Log'!$A:$A,"&lt;"&amp;$J592+7)/COUNTIFS('Weekly Log'!$H:$H,"&lt;&gt;",'Weekly Log'!$A:$A,"&gt;="&amp;$J592,'Weekly Log'!$A:$A,"&lt;"&amp;$J592+7),0))</f>
        <v/>
      </c>
      <c r="E592" t="str">
        <f>IF($J592="","",IFERROR(AVERAGEIFS('Weekly Log'!$F:$F,'Weekly Log'!$A:$A,"&gt;="&amp;$J592,'Weekly Log'!$A:$A,"&lt;"&amp;$J592+7),0))</f>
        <v/>
      </c>
      <c r="F592" t="str">
        <f>IF($J592="","",IFERROR(SUMIFS('Weekly Log'!$F:$F,'Weekly Log'!$A:$A,"&gt;="&amp;$J592,'Weekly Log'!$A:$A,"&lt;"&amp;$J592+7)/SUMIFS('Weekly Log'!$E:$E,'Weekly Log'!$A:$A,"&gt;="&amp;$J592,'Weekly Log'!$A:$A,"&lt;"&amp;$J592+7),0))</f>
        <v/>
      </c>
      <c r="G592" t="str">
        <f>IF($J592="","",IFERROR(LOOKUP(2,1/(('Weekly Log'!$A$5:$A$5000&gt;=$J592)*('Weekly Log'!$A$5:$A$5000&lt;$J592+7)*('Weekly Log'!$M$5:$M$5000&lt;&gt;"")),'Weekly Log'!$M$5:$M$5000),0))</f>
        <v/>
      </c>
      <c r="J592" t="str">
        <f>IF(COUNT('Weekly Log'!$A$5:$A$5000)=0,"",IF(MIN('Weekly Log'!$A$5:$A$5000)+7*(ROW()-10)&gt;MAX('Weekly Log'!$A$5:$A$5000),"",MIN('Weekly Log'!$A$5:$A$5000)+7*(ROW()-10)))</f>
        <v/>
      </c>
    </row>
    <row r="593" spans="1:10" x14ac:dyDescent="0.25">
      <c r="A593" t="str">
        <f t="shared" si="9"/>
        <v/>
      </c>
      <c r="B593" t="str">
        <f>IF($J593="","",SUMIFS('Weekly Log'!$C:$C,'Weekly Log'!$A:$A,"&gt;="&amp;$J593,'Weekly Log'!$A:$A,"&lt;"&amp;$J593+7))</f>
        <v/>
      </c>
      <c r="C593" t="str">
        <f>IF($J593="","",IFERROR(COUNTIFS('Weekly Log'!$G:$G,"Y",'Weekly Log'!$A:$A,"&gt;="&amp;$J593,'Weekly Log'!$A:$A,"&lt;"&amp;$J593+7)/COUNTIFS('Weekly Log'!$G:$G,"&lt;&gt;",'Weekly Log'!$A:$A,"&gt;="&amp;$J593,'Weekly Log'!$A:$A,"&lt;"&amp;$J593+7),0))</f>
        <v/>
      </c>
      <c r="D593" t="str">
        <f>IF($J593="","",IFERROR(COUNTIFS('Weekly Log'!$H:$H,"Y",'Weekly Log'!$A:$A,"&gt;="&amp;$J593,'Weekly Log'!$A:$A,"&lt;"&amp;$J593+7)/COUNTIFS('Weekly Log'!$H:$H,"&lt;&gt;",'Weekly Log'!$A:$A,"&gt;="&amp;$J593,'Weekly Log'!$A:$A,"&lt;"&amp;$J593+7),0))</f>
        <v/>
      </c>
      <c r="E593" t="str">
        <f>IF($J593="","",IFERROR(AVERAGEIFS('Weekly Log'!$F:$F,'Weekly Log'!$A:$A,"&gt;="&amp;$J593,'Weekly Log'!$A:$A,"&lt;"&amp;$J593+7),0))</f>
        <v/>
      </c>
      <c r="F593" t="str">
        <f>IF($J593="","",IFERROR(SUMIFS('Weekly Log'!$F:$F,'Weekly Log'!$A:$A,"&gt;="&amp;$J593,'Weekly Log'!$A:$A,"&lt;"&amp;$J593+7)/SUMIFS('Weekly Log'!$E:$E,'Weekly Log'!$A:$A,"&gt;="&amp;$J593,'Weekly Log'!$A:$A,"&lt;"&amp;$J593+7),0))</f>
        <v/>
      </c>
      <c r="G593" t="str">
        <f>IF($J593="","",IFERROR(LOOKUP(2,1/(('Weekly Log'!$A$5:$A$5000&gt;=$J593)*('Weekly Log'!$A$5:$A$5000&lt;$J593+7)*('Weekly Log'!$M$5:$M$5000&lt;&gt;"")),'Weekly Log'!$M$5:$M$5000),0))</f>
        <v/>
      </c>
      <c r="J593" t="str">
        <f>IF(COUNT('Weekly Log'!$A$5:$A$5000)=0,"",IF(MIN('Weekly Log'!$A$5:$A$5000)+7*(ROW()-10)&gt;MAX('Weekly Log'!$A$5:$A$5000),"",MIN('Weekly Log'!$A$5:$A$5000)+7*(ROW()-10)))</f>
        <v/>
      </c>
    </row>
    <row r="594" spans="1:10" x14ac:dyDescent="0.25">
      <c r="A594" t="str">
        <f t="shared" si="9"/>
        <v/>
      </c>
      <c r="B594" t="str">
        <f>IF($J594="","",SUMIFS('Weekly Log'!$C:$C,'Weekly Log'!$A:$A,"&gt;="&amp;$J594,'Weekly Log'!$A:$A,"&lt;"&amp;$J594+7))</f>
        <v/>
      </c>
      <c r="C594" t="str">
        <f>IF($J594="","",IFERROR(COUNTIFS('Weekly Log'!$G:$G,"Y",'Weekly Log'!$A:$A,"&gt;="&amp;$J594,'Weekly Log'!$A:$A,"&lt;"&amp;$J594+7)/COUNTIFS('Weekly Log'!$G:$G,"&lt;&gt;",'Weekly Log'!$A:$A,"&gt;="&amp;$J594,'Weekly Log'!$A:$A,"&lt;"&amp;$J594+7),0))</f>
        <v/>
      </c>
      <c r="D594" t="str">
        <f>IF($J594="","",IFERROR(COUNTIFS('Weekly Log'!$H:$H,"Y",'Weekly Log'!$A:$A,"&gt;="&amp;$J594,'Weekly Log'!$A:$A,"&lt;"&amp;$J594+7)/COUNTIFS('Weekly Log'!$H:$H,"&lt;&gt;",'Weekly Log'!$A:$A,"&gt;="&amp;$J594,'Weekly Log'!$A:$A,"&lt;"&amp;$J594+7),0))</f>
        <v/>
      </c>
      <c r="E594" t="str">
        <f>IF($J594="","",IFERROR(AVERAGEIFS('Weekly Log'!$F:$F,'Weekly Log'!$A:$A,"&gt;="&amp;$J594,'Weekly Log'!$A:$A,"&lt;"&amp;$J594+7),0))</f>
        <v/>
      </c>
      <c r="F594" t="str">
        <f>IF($J594="","",IFERROR(SUMIFS('Weekly Log'!$F:$F,'Weekly Log'!$A:$A,"&gt;="&amp;$J594,'Weekly Log'!$A:$A,"&lt;"&amp;$J594+7)/SUMIFS('Weekly Log'!$E:$E,'Weekly Log'!$A:$A,"&gt;="&amp;$J594,'Weekly Log'!$A:$A,"&lt;"&amp;$J594+7),0))</f>
        <v/>
      </c>
      <c r="G594" t="str">
        <f>IF($J594="","",IFERROR(LOOKUP(2,1/(('Weekly Log'!$A$5:$A$5000&gt;=$J594)*('Weekly Log'!$A$5:$A$5000&lt;$J594+7)*('Weekly Log'!$M$5:$M$5000&lt;&gt;"")),'Weekly Log'!$M$5:$M$5000),0))</f>
        <v/>
      </c>
      <c r="J594" t="str">
        <f>IF(COUNT('Weekly Log'!$A$5:$A$5000)=0,"",IF(MIN('Weekly Log'!$A$5:$A$5000)+7*(ROW()-10)&gt;MAX('Weekly Log'!$A$5:$A$5000),"",MIN('Weekly Log'!$A$5:$A$5000)+7*(ROW()-10)))</f>
        <v/>
      </c>
    </row>
    <row r="595" spans="1:10" x14ac:dyDescent="0.25">
      <c r="A595" t="str">
        <f t="shared" si="9"/>
        <v/>
      </c>
      <c r="B595" t="str">
        <f>IF($J595="","",SUMIFS('Weekly Log'!$C:$C,'Weekly Log'!$A:$A,"&gt;="&amp;$J595,'Weekly Log'!$A:$A,"&lt;"&amp;$J595+7))</f>
        <v/>
      </c>
      <c r="C595" t="str">
        <f>IF($J595="","",IFERROR(COUNTIFS('Weekly Log'!$G:$G,"Y",'Weekly Log'!$A:$A,"&gt;="&amp;$J595,'Weekly Log'!$A:$A,"&lt;"&amp;$J595+7)/COUNTIFS('Weekly Log'!$G:$G,"&lt;&gt;",'Weekly Log'!$A:$A,"&gt;="&amp;$J595,'Weekly Log'!$A:$A,"&lt;"&amp;$J595+7),0))</f>
        <v/>
      </c>
      <c r="D595" t="str">
        <f>IF($J595="","",IFERROR(COUNTIFS('Weekly Log'!$H:$H,"Y",'Weekly Log'!$A:$A,"&gt;="&amp;$J595,'Weekly Log'!$A:$A,"&lt;"&amp;$J595+7)/COUNTIFS('Weekly Log'!$H:$H,"&lt;&gt;",'Weekly Log'!$A:$A,"&gt;="&amp;$J595,'Weekly Log'!$A:$A,"&lt;"&amp;$J595+7),0))</f>
        <v/>
      </c>
      <c r="E595" t="str">
        <f>IF($J595="","",IFERROR(AVERAGEIFS('Weekly Log'!$F:$F,'Weekly Log'!$A:$A,"&gt;="&amp;$J595,'Weekly Log'!$A:$A,"&lt;"&amp;$J595+7),0))</f>
        <v/>
      </c>
      <c r="F595" t="str">
        <f>IF($J595="","",IFERROR(SUMIFS('Weekly Log'!$F:$F,'Weekly Log'!$A:$A,"&gt;="&amp;$J595,'Weekly Log'!$A:$A,"&lt;"&amp;$J595+7)/SUMIFS('Weekly Log'!$E:$E,'Weekly Log'!$A:$A,"&gt;="&amp;$J595,'Weekly Log'!$A:$A,"&lt;"&amp;$J595+7),0))</f>
        <v/>
      </c>
      <c r="G595" t="str">
        <f>IF($J595="","",IFERROR(LOOKUP(2,1/(('Weekly Log'!$A$5:$A$5000&gt;=$J595)*('Weekly Log'!$A$5:$A$5000&lt;$J595+7)*('Weekly Log'!$M$5:$M$5000&lt;&gt;"")),'Weekly Log'!$M$5:$M$5000),0))</f>
        <v/>
      </c>
      <c r="J595" t="str">
        <f>IF(COUNT('Weekly Log'!$A$5:$A$5000)=0,"",IF(MIN('Weekly Log'!$A$5:$A$5000)+7*(ROW()-10)&gt;MAX('Weekly Log'!$A$5:$A$5000),"",MIN('Weekly Log'!$A$5:$A$5000)+7*(ROW()-10)))</f>
        <v/>
      </c>
    </row>
    <row r="596" spans="1:10" x14ac:dyDescent="0.25">
      <c r="A596" t="str">
        <f t="shared" si="9"/>
        <v/>
      </c>
      <c r="B596" t="str">
        <f>IF($J596="","",SUMIFS('Weekly Log'!$C:$C,'Weekly Log'!$A:$A,"&gt;="&amp;$J596,'Weekly Log'!$A:$A,"&lt;"&amp;$J596+7))</f>
        <v/>
      </c>
      <c r="C596" t="str">
        <f>IF($J596="","",IFERROR(COUNTIFS('Weekly Log'!$G:$G,"Y",'Weekly Log'!$A:$A,"&gt;="&amp;$J596,'Weekly Log'!$A:$A,"&lt;"&amp;$J596+7)/COUNTIFS('Weekly Log'!$G:$G,"&lt;&gt;",'Weekly Log'!$A:$A,"&gt;="&amp;$J596,'Weekly Log'!$A:$A,"&lt;"&amp;$J596+7),0))</f>
        <v/>
      </c>
      <c r="D596" t="str">
        <f>IF($J596="","",IFERROR(COUNTIFS('Weekly Log'!$H:$H,"Y",'Weekly Log'!$A:$A,"&gt;="&amp;$J596,'Weekly Log'!$A:$A,"&lt;"&amp;$J596+7)/COUNTIFS('Weekly Log'!$H:$H,"&lt;&gt;",'Weekly Log'!$A:$A,"&gt;="&amp;$J596,'Weekly Log'!$A:$A,"&lt;"&amp;$J596+7),0))</f>
        <v/>
      </c>
      <c r="E596" t="str">
        <f>IF($J596="","",IFERROR(AVERAGEIFS('Weekly Log'!$F:$F,'Weekly Log'!$A:$A,"&gt;="&amp;$J596,'Weekly Log'!$A:$A,"&lt;"&amp;$J596+7),0))</f>
        <v/>
      </c>
      <c r="F596" t="str">
        <f>IF($J596="","",IFERROR(SUMIFS('Weekly Log'!$F:$F,'Weekly Log'!$A:$A,"&gt;="&amp;$J596,'Weekly Log'!$A:$A,"&lt;"&amp;$J596+7)/SUMIFS('Weekly Log'!$E:$E,'Weekly Log'!$A:$A,"&gt;="&amp;$J596,'Weekly Log'!$A:$A,"&lt;"&amp;$J596+7),0))</f>
        <v/>
      </c>
      <c r="G596" t="str">
        <f>IF($J596="","",IFERROR(LOOKUP(2,1/(('Weekly Log'!$A$5:$A$5000&gt;=$J596)*('Weekly Log'!$A$5:$A$5000&lt;$J596+7)*('Weekly Log'!$M$5:$M$5000&lt;&gt;"")),'Weekly Log'!$M$5:$M$5000),0))</f>
        <v/>
      </c>
      <c r="J596" t="str">
        <f>IF(COUNT('Weekly Log'!$A$5:$A$5000)=0,"",IF(MIN('Weekly Log'!$A$5:$A$5000)+7*(ROW()-10)&gt;MAX('Weekly Log'!$A$5:$A$5000),"",MIN('Weekly Log'!$A$5:$A$5000)+7*(ROW()-10)))</f>
        <v/>
      </c>
    </row>
    <row r="597" spans="1:10" x14ac:dyDescent="0.25">
      <c r="A597" t="str">
        <f t="shared" si="9"/>
        <v/>
      </c>
      <c r="B597" t="str">
        <f>IF($J597="","",SUMIFS('Weekly Log'!$C:$C,'Weekly Log'!$A:$A,"&gt;="&amp;$J597,'Weekly Log'!$A:$A,"&lt;"&amp;$J597+7))</f>
        <v/>
      </c>
      <c r="C597" t="str">
        <f>IF($J597="","",IFERROR(COUNTIFS('Weekly Log'!$G:$G,"Y",'Weekly Log'!$A:$A,"&gt;="&amp;$J597,'Weekly Log'!$A:$A,"&lt;"&amp;$J597+7)/COUNTIFS('Weekly Log'!$G:$G,"&lt;&gt;",'Weekly Log'!$A:$A,"&gt;="&amp;$J597,'Weekly Log'!$A:$A,"&lt;"&amp;$J597+7),0))</f>
        <v/>
      </c>
      <c r="D597" t="str">
        <f>IF($J597="","",IFERROR(COUNTIFS('Weekly Log'!$H:$H,"Y",'Weekly Log'!$A:$A,"&gt;="&amp;$J597,'Weekly Log'!$A:$A,"&lt;"&amp;$J597+7)/COUNTIFS('Weekly Log'!$H:$H,"&lt;&gt;",'Weekly Log'!$A:$A,"&gt;="&amp;$J597,'Weekly Log'!$A:$A,"&lt;"&amp;$J597+7),0))</f>
        <v/>
      </c>
      <c r="E597" t="str">
        <f>IF($J597="","",IFERROR(AVERAGEIFS('Weekly Log'!$F:$F,'Weekly Log'!$A:$A,"&gt;="&amp;$J597,'Weekly Log'!$A:$A,"&lt;"&amp;$J597+7),0))</f>
        <v/>
      </c>
      <c r="F597" t="str">
        <f>IF($J597="","",IFERROR(SUMIFS('Weekly Log'!$F:$F,'Weekly Log'!$A:$A,"&gt;="&amp;$J597,'Weekly Log'!$A:$A,"&lt;"&amp;$J597+7)/SUMIFS('Weekly Log'!$E:$E,'Weekly Log'!$A:$A,"&gt;="&amp;$J597,'Weekly Log'!$A:$A,"&lt;"&amp;$J597+7),0))</f>
        <v/>
      </c>
      <c r="G597" t="str">
        <f>IF($J597="","",IFERROR(LOOKUP(2,1/(('Weekly Log'!$A$5:$A$5000&gt;=$J597)*('Weekly Log'!$A$5:$A$5000&lt;$J597+7)*('Weekly Log'!$M$5:$M$5000&lt;&gt;"")),'Weekly Log'!$M$5:$M$5000),0))</f>
        <v/>
      </c>
      <c r="J597" t="str">
        <f>IF(COUNT('Weekly Log'!$A$5:$A$5000)=0,"",IF(MIN('Weekly Log'!$A$5:$A$5000)+7*(ROW()-10)&gt;MAX('Weekly Log'!$A$5:$A$5000),"",MIN('Weekly Log'!$A$5:$A$5000)+7*(ROW()-10)))</f>
        <v/>
      </c>
    </row>
    <row r="598" spans="1:10" x14ac:dyDescent="0.25">
      <c r="A598" t="str">
        <f t="shared" si="9"/>
        <v/>
      </c>
      <c r="B598" t="str">
        <f>IF($J598="","",SUMIFS('Weekly Log'!$C:$C,'Weekly Log'!$A:$A,"&gt;="&amp;$J598,'Weekly Log'!$A:$A,"&lt;"&amp;$J598+7))</f>
        <v/>
      </c>
      <c r="C598" t="str">
        <f>IF($J598="","",IFERROR(COUNTIFS('Weekly Log'!$G:$G,"Y",'Weekly Log'!$A:$A,"&gt;="&amp;$J598,'Weekly Log'!$A:$A,"&lt;"&amp;$J598+7)/COUNTIFS('Weekly Log'!$G:$G,"&lt;&gt;",'Weekly Log'!$A:$A,"&gt;="&amp;$J598,'Weekly Log'!$A:$A,"&lt;"&amp;$J598+7),0))</f>
        <v/>
      </c>
      <c r="D598" t="str">
        <f>IF($J598="","",IFERROR(COUNTIFS('Weekly Log'!$H:$H,"Y",'Weekly Log'!$A:$A,"&gt;="&amp;$J598,'Weekly Log'!$A:$A,"&lt;"&amp;$J598+7)/COUNTIFS('Weekly Log'!$H:$H,"&lt;&gt;",'Weekly Log'!$A:$A,"&gt;="&amp;$J598,'Weekly Log'!$A:$A,"&lt;"&amp;$J598+7),0))</f>
        <v/>
      </c>
      <c r="E598" t="str">
        <f>IF($J598="","",IFERROR(AVERAGEIFS('Weekly Log'!$F:$F,'Weekly Log'!$A:$A,"&gt;="&amp;$J598,'Weekly Log'!$A:$A,"&lt;"&amp;$J598+7),0))</f>
        <v/>
      </c>
      <c r="F598" t="str">
        <f>IF($J598="","",IFERROR(SUMIFS('Weekly Log'!$F:$F,'Weekly Log'!$A:$A,"&gt;="&amp;$J598,'Weekly Log'!$A:$A,"&lt;"&amp;$J598+7)/SUMIFS('Weekly Log'!$E:$E,'Weekly Log'!$A:$A,"&gt;="&amp;$J598,'Weekly Log'!$A:$A,"&lt;"&amp;$J598+7),0))</f>
        <v/>
      </c>
      <c r="G598" t="str">
        <f>IF($J598="","",IFERROR(LOOKUP(2,1/(('Weekly Log'!$A$5:$A$5000&gt;=$J598)*('Weekly Log'!$A$5:$A$5000&lt;$J598+7)*('Weekly Log'!$M$5:$M$5000&lt;&gt;"")),'Weekly Log'!$M$5:$M$5000),0))</f>
        <v/>
      </c>
      <c r="J598" t="str">
        <f>IF(COUNT('Weekly Log'!$A$5:$A$5000)=0,"",IF(MIN('Weekly Log'!$A$5:$A$5000)+7*(ROW()-10)&gt;MAX('Weekly Log'!$A$5:$A$5000),"",MIN('Weekly Log'!$A$5:$A$5000)+7*(ROW()-10)))</f>
        <v/>
      </c>
    </row>
    <row r="599" spans="1:10" x14ac:dyDescent="0.25">
      <c r="A599" t="str">
        <f t="shared" si="9"/>
        <v/>
      </c>
      <c r="B599" t="str">
        <f>IF($J599="","",SUMIFS('Weekly Log'!$C:$C,'Weekly Log'!$A:$A,"&gt;="&amp;$J599,'Weekly Log'!$A:$A,"&lt;"&amp;$J599+7))</f>
        <v/>
      </c>
      <c r="C599" t="str">
        <f>IF($J599="","",IFERROR(COUNTIFS('Weekly Log'!$G:$G,"Y",'Weekly Log'!$A:$A,"&gt;="&amp;$J599,'Weekly Log'!$A:$A,"&lt;"&amp;$J599+7)/COUNTIFS('Weekly Log'!$G:$G,"&lt;&gt;",'Weekly Log'!$A:$A,"&gt;="&amp;$J599,'Weekly Log'!$A:$A,"&lt;"&amp;$J599+7),0))</f>
        <v/>
      </c>
      <c r="D599" t="str">
        <f>IF($J599="","",IFERROR(COUNTIFS('Weekly Log'!$H:$H,"Y",'Weekly Log'!$A:$A,"&gt;="&amp;$J599,'Weekly Log'!$A:$A,"&lt;"&amp;$J599+7)/COUNTIFS('Weekly Log'!$H:$H,"&lt;&gt;",'Weekly Log'!$A:$A,"&gt;="&amp;$J599,'Weekly Log'!$A:$A,"&lt;"&amp;$J599+7),0))</f>
        <v/>
      </c>
      <c r="E599" t="str">
        <f>IF($J599="","",IFERROR(AVERAGEIFS('Weekly Log'!$F:$F,'Weekly Log'!$A:$A,"&gt;="&amp;$J599,'Weekly Log'!$A:$A,"&lt;"&amp;$J599+7),0))</f>
        <v/>
      </c>
      <c r="F599" t="str">
        <f>IF($J599="","",IFERROR(SUMIFS('Weekly Log'!$F:$F,'Weekly Log'!$A:$A,"&gt;="&amp;$J599,'Weekly Log'!$A:$A,"&lt;"&amp;$J599+7)/SUMIFS('Weekly Log'!$E:$E,'Weekly Log'!$A:$A,"&gt;="&amp;$J599,'Weekly Log'!$A:$A,"&lt;"&amp;$J599+7),0))</f>
        <v/>
      </c>
      <c r="G599" t="str">
        <f>IF($J599="","",IFERROR(LOOKUP(2,1/(('Weekly Log'!$A$5:$A$5000&gt;=$J599)*('Weekly Log'!$A$5:$A$5000&lt;$J599+7)*('Weekly Log'!$M$5:$M$5000&lt;&gt;"")),'Weekly Log'!$M$5:$M$5000),0))</f>
        <v/>
      </c>
      <c r="J599" t="str">
        <f>IF(COUNT('Weekly Log'!$A$5:$A$5000)=0,"",IF(MIN('Weekly Log'!$A$5:$A$5000)+7*(ROW()-10)&gt;MAX('Weekly Log'!$A$5:$A$5000),"",MIN('Weekly Log'!$A$5:$A$5000)+7*(ROW()-10)))</f>
        <v/>
      </c>
    </row>
    <row r="600" spans="1:10" x14ac:dyDescent="0.25">
      <c r="A600" t="str">
        <f t="shared" si="9"/>
        <v/>
      </c>
      <c r="B600" t="str">
        <f>IF($J600="","",SUMIFS('Weekly Log'!$C:$C,'Weekly Log'!$A:$A,"&gt;="&amp;$J600,'Weekly Log'!$A:$A,"&lt;"&amp;$J600+7))</f>
        <v/>
      </c>
      <c r="C600" t="str">
        <f>IF($J600="","",IFERROR(COUNTIFS('Weekly Log'!$G:$G,"Y",'Weekly Log'!$A:$A,"&gt;="&amp;$J600,'Weekly Log'!$A:$A,"&lt;"&amp;$J600+7)/COUNTIFS('Weekly Log'!$G:$G,"&lt;&gt;",'Weekly Log'!$A:$A,"&gt;="&amp;$J600,'Weekly Log'!$A:$A,"&lt;"&amp;$J600+7),0))</f>
        <v/>
      </c>
      <c r="D600" t="str">
        <f>IF($J600="","",IFERROR(COUNTIFS('Weekly Log'!$H:$H,"Y",'Weekly Log'!$A:$A,"&gt;="&amp;$J600,'Weekly Log'!$A:$A,"&lt;"&amp;$J600+7)/COUNTIFS('Weekly Log'!$H:$H,"&lt;&gt;",'Weekly Log'!$A:$A,"&gt;="&amp;$J600,'Weekly Log'!$A:$A,"&lt;"&amp;$J600+7),0))</f>
        <v/>
      </c>
      <c r="E600" t="str">
        <f>IF($J600="","",IFERROR(AVERAGEIFS('Weekly Log'!$F:$F,'Weekly Log'!$A:$A,"&gt;="&amp;$J600,'Weekly Log'!$A:$A,"&lt;"&amp;$J600+7),0))</f>
        <v/>
      </c>
      <c r="F600" t="str">
        <f>IF($J600="","",IFERROR(SUMIFS('Weekly Log'!$F:$F,'Weekly Log'!$A:$A,"&gt;="&amp;$J600,'Weekly Log'!$A:$A,"&lt;"&amp;$J600+7)/SUMIFS('Weekly Log'!$E:$E,'Weekly Log'!$A:$A,"&gt;="&amp;$J600,'Weekly Log'!$A:$A,"&lt;"&amp;$J600+7),0))</f>
        <v/>
      </c>
      <c r="G600" t="str">
        <f>IF($J600="","",IFERROR(LOOKUP(2,1/(('Weekly Log'!$A$5:$A$5000&gt;=$J600)*('Weekly Log'!$A$5:$A$5000&lt;$J600+7)*('Weekly Log'!$M$5:$M$5000&lt;&gt;"")),'Weekly Log'!$M$5:$M$5000),0))</f>
        <v/>
      </c>
      <c r="J600" t="str">
        <f>IF(COUNT('Weekly Log'!$A$5:$A$5000)=0,"",IF(MIN('Weekly Log'!$A$5:$A$5000)+7*(ROW()-10)&gt;MAX('Weekly Log'!$A$5:$A$5000),"",MIN('Weekly Log'!$A$5:$A$5000)+7*(ROW()-10)))</f>
        <v/>
      </c>
    </row>
    <row r="601" spans="1:10" x14ac:dyDescent="0.25">
      <c r="A601" t="str">
        <f t="shared" si="9"/>
        <v/>
      </c>
      <c r="B601" t="str">
        <f>IF($J601="","",SUMIFS('Weekly Log'!$C:$C,'Weekly Log'!$A:$A,"&gt;="&amp;$J601,'Weekly Log'!$A:$A,"&lt;"&amp;$J601+7))</f>
        <v/>
      </c>
      <c r="C601" t="str">
        <f>IF($J601="","",IFERROR(COUNTIFS('Weekly Log'!$G:$G,"Y",'Weekly Log'!$A:$A,"&gt;="&amp;$J601,'Weekly Log'!$A:$A,"&lt;"&amp;$J601+7)/COUNTIFS('Weekly Log'!$G:$G,"&lt;&gt;",'Weekly Log'!$A:$A,"&gt;="&amp;$J601,'Weekly Log'!$A:$A,"&lt;"&amp;$J601+7),0))</f>
        <v/>
      </c>
      <c r="D601" t="str">
        <f>IF($J601="","",IFERROR(COUNTIFS('Weekly Log'!$H:$H,"Y",'Weekly Log'!$A:$A,"&gt;="&amp;$J601,'Weekly Log'!$A:$A,"&lt;"&amp;$J601+7)/COUNTIFS('Weekly Log'!$H:$H,"&lt;&gt;",'Weekly Log'!$A:$A,"&gt;="&amp;$J601,'Weekly Log'!$A:$A,"&lt;"&amp;$J601+7),0))</f>
        <v/>
      </c>
      <c r="E601" t="str">
        <f>IF($J601="","",IFERROR(AVERAGEIFS('Weekly Log'!$F:$F,'Weekly Log'!$A:$A,"&gt;="&amp;$J601,'Weekly Log'!$A:$A,"&lt;"&amp;$J601+7),0))</f>
        <v/>
      </c>
      <c r="F601" t="str">
        <f>IF($J601="","",IFERROR(SUMIFS('Weekly Log'!$F:$F,'Weekly Log'!$A:$A,"&gt;="&amp;$J601,'Weekly Log'!$A:$A,"&lt;"&amp;$J601+7)/SUMIFS('Weekly Log'!$E:$E,'Weekly Log'!$A:$A,"&gt;="&amp;$J601,'Weekly Log'!$A:$A,"&lt;"&amp;$J601+7),0))</f>
        <v/>
      </c>
      <c r="G601" t="str">
        <f>IF($J601="","",IFERROR(LOOKUP(2,1/(('Weekly Log'!$A$5:$A$5000&gt;=$J601)*('Weekly Log'!$A$5:$A$5000&lt;$J601+7)*('Weekly Log'!$M$5:$M$5000&lt;&gt;"")),'Weekly Log'!$M$5:$M$5000),0))</f>
        <v/>
      </c>
      <c r="J601" t="str">
        <f>IF(COUNT('Weekly Log'!$A$5:$A$5000)=0,"",IF(MIN('Weekly Log'!$A$5:$A$5000)+7*(ROW()-10)&gt;MAX('Weekly Log'!$A$5:$A$5000),"",MIN('Weekly Log'!$A$5:$A$5000)+7*(ROW()-10)))</f>
        <v/>
      </c>
    </row>
    <row r="602" spans="1:10" x14ac:dyDescent="0.25">
      <c r="A602" t="str">
        <f t="shared" si="9"/>
        <v/>
      </c>
      <c r="B602" t="str">
        <f>IF($J602="","",SUMIFS('Weekly Log'!$C:$C,'Weekly Log'!$A:$A,"&gt;="&amp;$J602,'Weekly Log'!$A:$A,"&lt;"&amp;$J602+7))</f>
        <v/>
      </c>
      <c r="C602" t="str">
        <f>IF($J602="","",IFERROR(COUNTIFS('Weekly Log'!$G:$G,"Y",'Weekly Log'!$A:$A,"&gt;="&amp;$J602,'Weekly Log'!$A:$A,"&lt;"&amp;$J602+7)/COUNTIFS('Weekly Log'!$G:$G,"&lt;&gt;",'Weekly Log'!$A:$A,"&gt;="&amp;$J602,'Weekly Log'!$A:$A,"&lt;"&amp;$J602+7),0))</f>
        <v/>
      </c>
      <c r="D602" t="str">
        <f>IF($J602="","",IFERROR(COUNTIFS('Weekly Log'!$H:$H,"Y",'Weekly Log'!$A:$A,"&gt;="&amp;$J602,'Weekly Log'!$A:$A,"&lt;"&amp;$J602+7)/COUNTIFS('Weekly Log'!$H:$H,"&lt;&gt;",'Weekly Log'!$A:$A,"&gt;="&amp;$J602,'Weekly Log'!$A:$A,"&lt;"&amp;$J602+7),0))</f>
        <v/>
      </c>
      <c r="E602" t="str">
        <f>IF($J602="","",IFERROR(AVERAGEIFS('Weekly Log'!$F:$F,'Weekly Log'!$A:$A,"&gt;="&amp;$J602,'Weekly Log'!$A:$A,"&lt;"&amp;$J602+7),0))</f>
        <v/>
      </c>
      <c r="F602" t="str">
        <f>IF($J602="","",IFERROR(SUMIFS('Weekly Log'!$F:$F,'Weekly Log'!$A:$A,"&gt;="&amp;$J602,'Weekly Log'!$A:$A,"&lt;"&amp;$J602+7)/SUMIFS('Weekly Log'!$E:$E,'Weekly Log'!$A:$A,"&gt;="&amp;$J602,'Weekly Log'!$A:$A,"&lt;"&amp;$J602+7),0))</f>
        <v/>
      </c>
      <c r="G602" t="str">
        <f>IF($J602="","",IFERROR(LOOKUP(2,1/(('Weekly Log'!$A$5:$A$5000&gt;=$J602)*('Weekly Log'!$A$5:$A$5000&lt;$J602+7)*('Weekly Log'!$M$5:$M$5000&lt;&gt;"")),'Weekly Log'!$M$5:$M$5000),0))</f>
        <v/>
      </c>
      <c r="J602" t="str">
        <f>IF(COUNT('Weekly Log'!$A$5:$A$5000)=0,"",IF(MIN('Weekly Log'!$A$5:$A$5000)+7*(ROW()-10)&gt;MAX('Weekly Log'!$A$5:$A$5000),"",MIN('Weekly Log'!$A$5:$A$5000)+7*(ROW()-10)))</f>
        <v/>
      </c>
    </row>
    <row r="603" spans="1:10" x14ac:dyDescent="0.25">
      <c r="A603" t="str">
        <f t="shared" si="9"/>
        <v/>
      </c>
      <c r="B603" t="str">
        <f>IF($J603="","",SUMIFS('Weekly Log'!$C:$C,'Weekly Log'!$A:$A,"&gt;="&amp;$J603,'Weekly Log'!$A:$A,"&lt;"&amp;$J603+7))</f>
        <v/>
      </c>
      <c r="C603" t="str">
        <f>IF($J603="","",IFERROR(COUNTIFS('Weekly Log'!$G:$G,"Y",'Weekly Log'!$A:$A,"&gt;="&amp;$J603,'Weekly Log'!$A:$A,"&lt;"&amp;$J603+7)/COUNTIFS('Weekly Log'!$G:$G,"&lt;&gt;",'Weekly Log'!$A:$A,"&gt;="&amp;$J603,'Weekly Log'!$A:$A,"&lt;"&amp;$J603+7),0))</f>
        <v/>
      </c>
      <c r="D603" t="str">
        <f>IF($J603="","",IFERROR(COUNTIFS('Weekly Log'!$H:$H,"Y",'Weekly Log'!$A:$A,"&gt;="&amp;$J603,'Weekly Log'!$A:$A,"&lt;"&amp;$J603+7)/COUNTIFS('Weekly Log'!$H:$H,"&lt;&gt;",'Weekly Log'!$A:$A,"&gt;="&amp;$J603,'Weekly Log'!$A:$A,"&lt;"&amp;$J603+7),0))</f>
        <v/>
      </c>
      <c r="E603" t="str">
        <f>IF($J603="","",IFERROR(AVERAGEIFS('Weekly Log'!$F:$F,'Weekly Log'!$A:$A,"&gt;="&amp;$J603,'Weekly Log'!$A:$A,"&lt;"&amp;$J603+7),0))</f>
        <v/>
      </c>
      <c r="F603" t="str">
        <f>IF($J603="","",IFERROR(SUMIFS('Weekly Log'!$F:$F,'Weekly Log'!$A:$A,"&gt;="&amp;$J603,'Weekly Log'!$A:$A,"&lt;"&amp;$J603+7)/SUMIFS('Weekly Log'!$E:$E,'Weekly Log'!$A:$A,"&gt;="&amp;$J603,'Weekly Log'!$A:$A,"&lt;"&amp;$J603+7),0))</f>
        <v/>
      </c>
      <c r="G603" t="str">
        <f>IF($J603="","",IFERROR(LOOKUP(2,1/(('Weekly Log'!$A$5:$A$5000&gt;=$J603)*('Weekly Log'!$A$5:$A$5000&lt;$J603+7)*('Weekly Log'!$M$5:$M$5000&lt;&gt;"")),'Weekly Log'!$M$5:$M$5000),0))</f>
        <v/>
      </c>
      <c r="J603" t="str">
        <f>IF(COUNT('Weekly Log'!$A$5:$A$5000)=0,"",IF(MIN('Weekly Log'!$A$5:$A$5000)+7*(ROW()-10)&gt;MAX('Weekly Log'!$A$5:$A$5000),"",MIN('Weekly Log'!$A$5:$A$5000)+7*(ROW()-10)))</f>
        <v/>
      </c>
    </row>
    <row r="604" spans="1:10" x14ac:dyDescent="0.25">
      <c r="A604" t="str">
        <f t="shared" si="9"/>
        <v/>
      </c>
      <c r="B604" t="str">
        <f>IF($J604="","",SUMIFS('Weekly Log'!$C:$C,'Weekly Log'!$A:$A,"&gt;="&amp;$J604,'Weekly Log'!$A:$A,"&lt;"&amp;$J604+7))</f>
        <v/>
      </c>
      <c r="C604" t="str">
        <f>IF($J604="","",IFERROR(COUNTIFS('Weekly Log'!$G:$G,"Y",'Weekly Log'!$A:$A,"&gt;="&amp;$J604,'Weekly Log'!$A:$A,"&lt;"&amp;$J604+7)/COUNTIFS('Weekly Log'!$G:$G,"&lt;&gt;",'Weekly Log'!$A:$A,"&gt;="&amp;$J604,'Weekly Log'!$A:$A,"&lt;"&amp;$J604+7),0))</f>
        <v/>
      </c>
      <c r="D604" t="str">
        <f>IF($J604="","",IFERROR(COUNTIFS('Weekly Log'!$H:$H,"Y",'Weekly Log'!$A:$A,"&gt;="&amp;$J604,'Weekly Log'!$A:$A,"&lt;"&amp;$J604+7)/COUNTIFS('Weekly Log'!$H:$H,"&lt;&gt;",'Weekly Log'!$A:$A,"&gt;="&amp;$J604,'Weekly Log'!$A:$A,"&lt;"&amp;$J604+7),0))</f>
        <v/>
      </c>
      <c r="E604" t="str">
        <f>IF($J604="","",IFERROR(AVERAGEIFS('Weekly Log'!$F:$F,'Weekly Log'!$A:$A,"&gt;="&amp;$J604,'Weekly Log'!$A:$A,"&lt;"&amp;$J604+7),0))</f>
        <v/>
      </c>
      <c r="F604" t="str">
        <f>IF($J604="","",IFERROR(SUMIFS('Weekly Log'!$F:$F,'Weekly Log'!$A:$A,"&gt;="&amp;$J604,'Weekly Log'!$A:$A,"&lt;"&amp;$J604+7)/SUMIFS('Weekly Log'!$E:$E,'Weekly Log'!$A:$A,"&gt;="&amp;$J604,'Weekly Log'!$A:$A,"&lt;"&amp;$J604+7),0))</f>
        <v/>
      </c>
      <c r="G604" t="str">
        <f>IF($J604="","",IFERROR(LOOKUP(2,1/(('Weekly Log'!$A$5:$A$5000&gt;=$J604)*('Weekly Log'!$A$5:$A$5000&lt;$J604+7)*('Weekly Log'!$M$5:$M$5000&lt;&gt;"")),'Weekly Log'!$M$5:$M$5000),0))</f>
        <v/>
      </c>
      <c r="J604" t="str">
        <f>IF(COUNT('Weekly Log'!$A$5:$A$5000)=0,"",IF(MIN('Weekly Log'!$A$5:$A$5000)+7*(ROW()-10)&gt;MAX('Weekly Log'!$A$5:$A$5000),"",MIN('Weekly Log'!$A$5:$A$5000)+7*(ROW()-10)))</f>
        <v/>
      </c>
    </row>
    <row r="605" spans="1:10" x14ac:dyDescent="0.25">
      <c r="A605" t="str">
        <f t="shared" si="9"/>
        <v/>
      </c>
      <c r="B605" t="str">
        <f>IF($J605="","",SUMIFS('Weekly Log'!$C:$C,'Weekly Log'!$A:$A,"&gt;="&amp;$J605,'Weekly Log'!$A:$A,"&lt;"&amp;$J605+7))</f>
        <v/>
      </c>
      <c r="C605" t="str">
        <f>IF($J605="","",IFERROR(COUNTIFS('Weekly Log'!$G:$G,"Y",'Weekly Log'!$A:$A,"&gt;="&amp;$J605,'Weekly Log'!$A:$A,"&lt;"&amp;$J605+7)/COUNTIFS('Weekly Log'!$G:$G,"&lt;&gt;",'Weekly Log'!$A:$A,"&gt;="&amp;$J605,'Weekly Log'!$A:$A,"&lt;"&amp;$J605+7),0))</f>
        <v/>
      </c>
      <c r="D605" t="str">
        <f>IF($J605="","",IFERROR(COUNTIFS('Weekly Log'!$H:$H,"Y",'Weekly Log'!$A:$A,"&gt;="&amp;$J605,'Weekly Log'!$A:$A,"&lt;"&amp;$J605+7)/COUNTIFS('Weekly Log'!$H:$H,"&lt;&gt;",'Weekly Log'!$A:$A,"&gt;="&amp;$J605,'Weekly Log'!$A:$A,"&lt;"&amp;$J605+7),0))</f>
        <v/>
      </c>
      <c r="E605" t="str">
        <f>IF($J605="","",IFERROR(AVERAGEIFS('Weekly Log'!$F:$F,'Weekly Log'!$A:$A,"&gt;="&amp;$J605,'Weekly Log'!$A:$A,"&lt;"&amp;$J605+7),0))</f>
        <v/>
      </c>
      <c r="F605" t="str">
        <f>IF($J605="","",IFERROR(SUMIFS('Weekly Log'!$F:$F,'Weekly Log'!$A:$A,"&gt;="&amp;$J605,'Weekly Log'!$A:$A,"&lt;"&amp;$J605+7)/SUMIFS('Weekly Log'!$E:$E,'Weekly Log'!$A:$A,"&gt;="&amp;$J605,'Weekly Log'!$A:$A,"&lt;"&amp;$J605+7),0))</f>
        <v/>
      </c>
      <c r="G605" t="str">
        <f>IF($J605="","",IFERROR(LOOKUP(2,1/(('Weekly Log'!$A$5:$A$5000&gt;=$J605)*('Weekly Log'!$A$5:$A$5000&lt;$J605+7)*('Weekly Log'!$M$5:$M$5000&lt;&gt;"")),'Weekly Log'!$M$5:$M$5000),0))</f>
        <v/>
      </c>
      <c r="J605" t="str">
        <f>IF(COUNT('Weekly Log'!$A$5:$A$5000)=0,"",IF(MIN('Weekly Log'!$A$5:$A$5000)+7*(ROW()-10)&gt;MAX('Weekly Log'!$A$5:$A$5000),"",MIN('Weekly Log'!$A$5:$A$5000)+7*(ROW()-10)))</f>
        <v/>
      </c>
    </row>
    <row r="606" spans="1:10" x14ac:dyDescent="0.25">
      <c r="A606" t="str">
        <f t="shared" si="9"/>
        <v/>
      </c>
      <c r="B606" t="str">
        <f>IF($J606="","",SUMIFS('Weekly Log'!$C:$C,'Weekly Log'!$A:$A,"&gt;="&amp;$J606,'Weekly Log'!$A:$A,"&lt;"&amp;$J606+7))</f>
        <v/>
      </c>
      <c r="C606" t="str">
        <f>IF($J606="","",IFERROR(COUNTIFS('Weekly Log'!$G:$G,"Y",'Weekly Log'!$A:$A,"&gt;="&amp;$J606,'Weekly Log'!$A:$A,"&lt;"&amp;$J606+7)/COUNTIFS('Weekly Log'!$G:$G,"&lt;&gt;",'Weekly Log'!$A:$A,"&gt;="&amp;$J606,'Weekly Log'!$A:$A,"&lt;"&amp;$J606+7),0))</f>
        <v/>
      </c>
      <c r="D606" t="str">
        <f>IF($J606="","",IFERROR(COUNTIFS('Weekly Log'!$H:$H,"Y",'Weekly Log'!$A:$A,"&gt;="&amp;$J606,'Weekly Log'!$A:$A,"&lt;"&amp;$J606+7)/COUNTIFS('Weekly Log'!$H:$H,"&lt;&gt;",'Weekly Log'!$A:$A,"&gt;="&amp;$J606,'Weekly Log'!$A:$A,"&lt;"&amp;$J606+7),0))</f>
        <v/>
      </c>
      <c r="E606" t="str">
        <f>IF($J606="","",IFERROR(AVERAGEIFS('Weekly Log'!$F:$F,'Weekly Log'!$A:$A,"&gt;="&amp;$J606,'Weekly Log'!$A:$A,"&lt;"&amp;$J606+7),0))</f>
        <v/>
      </c>
      <c r="F606" t="str">
        <f>IF($J606="","",IFERROR(SUMIFS('Weekly Log'!$F:$F,'Weekly Log'!$A:$A,"&gt;="&amp;$J606,'Weekly Log'!$A:$A,"&lt;"&amp;$J606+7)/SUMIFS('Weekly Log'!$E:$E,'Weekly Log'!$A:$A,"&gt;="&amp;$J606,'Weekly Log'!$A:$A,"&lt;"&amp;$J606+7),0))</f>
        <v/>
      </c>
      <c r="G606" t="str">
        <f>IF($J606="","",IFERROR(LOOKUP(2,1/(('Weekly Log'!$A$5:$A$5000&gt;=$J606)*('Weekly Log'!$A$5:$A$5000&lt;$J606+7)*('Weekly Log'!$M$5:$M$5000&lt;&gt;"")),'Weekly Log'!$M$5:$M$5000),0))</f>
        <v/>
      </c>
      <c r="J606" t="str">
        <f>IF(COUNT('Weekly Log'!$A$5:$A$5000)=0,"",IF(MIN('Weekly Log'!$A$5:$A$5000)+7*(ROW()-10)&gt;MAX('Weekly Log'!$A$5:$A$5000),"",MIN('Weekly Log'!$A$5:$A$5000)+7*(ROW()-10)))</f>
        <v/>
      </c>
    </row>
    <row r="607" spans="1:10" x14ac:dyDescent="0.25">
      <c r="A607" t="str">
        <f t="shared" si="9"/>
        <v/>
      </c>
      <c r="B607" t="str">
        <f>IF($J607="","",SUMIFS('Weekly Log'!$C:$C,'Weekly Log'!$A:$A,"&gt;="&amp;$J607,'Weekly Log'!$A:$A,"&lt;"&amp;$J607+7))</f>
        <v/>
      </c>
      <c r="C607" t="str">
        <f>IF($J607="","",IFERROR(COUNTIFS('Weekly Log'!$G:$G,"Y",'Weekly Log'!$A:$A,"&gt;="&amp;$J607,'Weekly Log'!$A:$A,"&lt;"&amp;$J607+7)/COUNTIFS('Weekly Log'!$G:$G,"&lt;&gt;",'Weekly Log'!$A:$A,"&gt;="&amp;$J607,'Weekly Log'!$A:$A,"&lt;"&amp;$J607+7),0))</f>
        <v/>
      </c>
      <c r="D607" t="str">
        <f>IF($J607="","",IFERROR(COUNTIFS('Weekly Log'!$H:$H,"Y",'Weekly Log'!$A:$A,"&gt;="&amp;$J607,'Weekly Log'!$A:$A,"&lt;"&amp;$J607+7)/COUNTIFS('Weekly Log'!$H:$H,"&lt;&gt;",'Weekly Log'!$A:$A,"&gt;="&amp;$J607,'Weekly Log'!$A:$A,"&lt;"&amp;$J607+7),0))</f>
        <v/>
      </c>
      <c r="E607" t="str">
        <f>IF($J607="","",IFERROR(AVERAGEIFS('Weekly Log'!$F:$F,'Weekly Log'!$A:$A,"&gt;="&amp;$J607,'Weekly Log'!$A:$A,"&lt;"&amp;$J607+7),0))</f>
        <v/>
      </c>
      <c r="F607" t="str">
        <f>IF($J607="","",IFERROR(SUMIFS('Weekly Log'!$F:$F,'Weekly Log'!$A:$A,"&gt;="&amp;$J607,'Weekly Log'!$A:$A,"&lt;"&amp;$J607+7)/SUMIFS('Weekly Log'!$E:$E,'Weekly Log'!$A:$A,"&gt;="&amp;$J607,'Weekly Log'!$A:$A,"&lt;"&amp;$J607+7),0))</f>
        <v/>
      </c>
      <c r="G607" t="str">
        <f>IF($J607="","",IFERROR(LOOKUP(2,1/(('Weekly Log'!$A$5:$A$5000&gt;=$J607)*('Weekly Log'!$A$5:$A$5000&lt;$J607+7)*('Weekly Log'!$M$5:$M$5000&lt;&gt;"")),'Weekly Log'!$M$5:$M$5000),0))</f>
        <v/>
      </c>
      <c r="J607" t="str">
        <f>IF(COUNT('Weekly Log'!$A$5:$A$5000)=0,"",IF(MIN('Weekly Log'!$A$5:$A$5000)+7*(ROW()-10)&gt;MAX('Weekly Log'!$A$5:$A$5000),"",MIN('Weekly Log'!$A$5:$A$5000)+7*(ROW()-10)))</f>
        <v/>
      </c>
    </row>
    <row r="608" spans="1:10" x14ac:dyDescent="0.25">
      <c r="A608" t="str">
        <f t="shared" si="9"/>
        <v/>
      </c>
      <c r="B608" t="str">
        <f>IF($J608="","",SUMIFS('Weekly Log'!$C:$C,'Weekly Log'!$A:$A,"&gt;="&amp;$J608,'Weekly Log'!$A:$A,"&lt;"&amp;$J608+7))</f>
        <v/>
      </c>
      <c r="C608" t="str">
        <f>IF($J608="","",IFERROR(COUNTIFS('Weekly Log'!$G:$G,"Y",'Weekly Log'!$A:$A,"&gt;="&amp;$J608,'Weekly Log'!$A:$A,"&lt;"&amp;$J608+7)/COUNTIFS('Weekly Log'!$G:$G,"&lt;&gt;",'Weekly Log'!$A:$A,"&gt;="&amp;$J608,'Weekly Log'!$A:$A,"&lt;"&amp;$J608+7),0))</f>
        <v/>
      </c>
      <c r="D608" t="str">
        <f>IF($J608="","",IFERROR(COUNTIFS('Weekly Log'!$H:$H,"Y",'Weekly Log'!$A:$A,"&gt;="&amp;$J608,'Weekly Log'!$A:$A,"&lt;"&amp;$J608+7)/COUNTIFS('Weekly Log'!$H:$H,"&lt;&gt;",'Weekly Log'!$A:$A,"&gt;="&amp;$J608,'Weekly Log'!$A:$A,"&lt;"&amp;$J608+7),0))</f>
        <v/>
      </c>
      <c r="E608" t="str">
        <f>IF($J608="","",IFERROR(AVERAGEIFS('Weekly Log'!$F:$F,'Weekly Log'!$A:$A,"&gt;="&amp;$J608,'Weekly Log'!$A:$A,"&lt;"&amp;$J608+7),0))</f>
        <v/>
      </c>
      <c r="F608" t="str">
        <f>IF($J608="","",IFERROR(SUMIFS('Weekly Log'!$F:$F,'Weekly Log'!$A:$A,"&gt;="&amp;$J608,'Weekly Log'!$A:$A,"&lt;"&amp;$J608+7)/SUMIFS('Weekly Log'!$E:$E,'Weekly Log'!$A:$A,"&gt;="&amp;$J608,'Weekly Log'!$A:$A,"&lt;"&amp;$J608+7),0))</f>
        <v/>
      </c>
      <c r="G608" t="str">
        <f>IF($J608="","",IFERROR(LOOKUP(2,1/(('Weekly Log'!$A$5:$A$5000&gt;=$J608)*('Weekly Log'!$A$5:$A$5000&lt;$J608+7)*('Weekly Log'!$M$5:$M$5000&lt;&gt;"")),'Weekly Log'!$M$5:$M$5000),0))</f>
        <v/>
      </c>
      <c r="J608" t="str">
        <f>IF(COUNT('Weekly Log'!$A$5:$A$5000)=0,"",IF(MIN('Weekly Log'!$A$5:$A$5000)+7*(ROW()-10)&gt;MAX('Weekly Log'!$A$5:$A$5000),"",MIN('Weekly Log'!$A$5:$A$5000)+7*(ROW()-10)))</f>
        <v/>
      </c>
    </row>
    <row r="609" spans="1:10" x14ac:dyDescent="0.25">
      <c r="A609" t="str">
        <f t="shared" si="9"/>
        <v/>
      </c>
      <c r="B609" t="str">
        <f>IF($J609="","",SUMIFS('Weekly Log'!$C:$C,'Weekly Log'!$A:$A,"&gt;="&amp;$J609,'Weekly Log'!$A:$A,"&lt;"&amp;$J609+7))</f>
        <v/>
      </c>
      <c r="C609" t="str">
        <f>IF($J609="","",IFERROR(COUNTIFS('Weekly Log'!$G:$G,"Y",'Weekly Log'!$A:$A,"&gt;="&amp;$J609,'Weekly Log'!$A:$A,"&lt;"&amp;$J609+7)/COUNTIFS('Weekly Log'!$G:$G,"&lt;&gt;",'Weekly Log'!$A:$A,"&gt;="&amp;$J609,'Weekly Log'!$A:$A,"&lt;"&amp;$J609+7),0))</f>
        <v/>
      </c>
      <c r="D609" t="str">
        <f>IF($J609="","",IFERROR(COUNTIFS('Weekly Log'!$H:$H,"Y",'Weekly Log'!$A:$A,"&gt;="&amp;$J609,'Weekly Log'!$A:$A,"&lt;"&amp;$J609+7)/COUNTIFS('Weekly Log'!$H:$H,"&lt;&gt;",'Weekly Log'!$A:$A,"&gt;="&amp;$J609,'Weekly Log'!$A:$A,"&lt;"&amp;$J609+7),0))</f>
        <v/>
      </c>
      <c r="E609" t="str">
        <f>IF($J609="","",IFERROR(AVERAGEIFS('Weekly Log'!$F:$F,'Weekly Log'!$A:$A,"&gt;="&amp;$J609,'Weekly Log'!$A:$A,"&lt;"&amp;$J609+7),0))</f>
        <v/>
      </c>
      <c r="F609" t="str">
        <f>IF($J609="","",IFERROR(SUMIFS('Weekly Log'!$F:$F,'Weekly Log'!$A:$A,"&gt;="&amp;$J609,'Weekly Log'!$A:$A,"&lt;"&amp;$J609+7)/SUMIFS('Weekly Log'!$E:$E,'Weekly Log'!$A:$A,"&gt;="&amp;$J609,'Weekly Log'!$A:$A,"&lt;"&amp;$J609+7),0))</f>
        <v/>
      </c>
      <c r="G609" t="str">
        <f>IF($J609="","",IFERROR(LOOKUP(2,1/(('Weekly Log'!$A$5:$A$5000&gt;=$J609)*('Weekly Log'!$A$5:$A$5000&lt;$J609+7)*('Weekly Log'!$M$5:$M$5000&lt;&gt;"")),'Weekly Log'!$M$5:$M$5000),0))</f>
        <v/>
      </c>
      <c r="J609" t="str">
        <f>IF(COUNT('Weekly Log'!$A$5:$A$5000)=0,"",IF(MIN('Weekly Log'!$A$5:$A$5000)+7*(ROW()-10)&gt;MAX('Weekly Log'!$A$5:$A$5000),"",MIN('Weekly Log'!$A$5:$A$5000)+7*(ROW()-10)))</f>
        <v/>
      </c>
    </row>
    <row r="610" spans="1:10" x14ac:dyDescent="0.25">
      <c r="A610" t="str">
        <f t="shared" si="9"/>
        <v/>
      </c>
      <c r="B610" t="str">
        <f>IF($J610="","",SUMIFS('Weekly Log'!$C:$C,'Weekly Log'!$A:$A,"&gt;="&amp;$J610,'Weekly Log'!$A:$A,"&lt;"&amp;$J610+7))</f>
        <v/>
      </c>
      <c r="C610" t="str">
        <f>IF($J610="","",IFERROR(COUNTIFS('Weekly Log'!$G:$G,"Y",'Weekly Log'!$A:$A,"&gt;="&amp;$J610,'Weekly Log'!$A:$A,"&lt;"&amp;$J610+7)/COUNTIFS('Weekly Log'!$G:$G,"&lt;&gt;",'Weekly Log'!$A:$A,"&gt;="&amp;$J610,'Weekly Log'!$A:$A,"&lt;"&amp;$J610+7),0))</f>
        <v/>
      </c>
      <c r="D610" t="str">
        <f>IF($J610="","",IFERROR(COUNTIFS('Weekly Log'!$H:$H,"Y",'Weekly Log'!$A:$A,"&gt;="&amp;$J610,'Weekly Log'!$A:$A,"&lt;"&amp;$J610+7)/COUNTIFS('Weekly Log'!$H:$H,"&lt;&gt;",'Weekly Log'!$A:$A,"&gt;="&amp;$J610,'Weekly Log'!$A:$A,"&lt;"&amp;$J610+7),0))</f>
        <v/>
      </c>
      <c r="E610" t="str">
        <f>IF($J610="","",IFERROR(AVERAGEIFS('Weekly Log'!$F:$F,'Weekly Log'!$A:$A,"&gt;="&amp;$J610,'Weekly Log'!$A:$A,"&lt;"&amp;$J610+7),0))</f>
        <v/>
      </c>
      <c r="F610" t="str">
        <f>IF($J610="","",IFERROR(SUMIFS('Weekly Log'!$F:$F,'Weekly Log'!$A:$A,"&gt;="&amp;$J610,'Weekly Log'!$A:$A,"&lt;"&amp;$J610+7)/SUMIFS('Weekly Log'!$E:$E,'Weekly Log'!$A:$A,"&gt;="&amp;$J610,'Weekly Log'!$A:$A,"&lt;"&amp;$J610+7),0))</f>
        <v/>
      </c>
      <c r="G610" t="str">
        <f>IF($J610="","",IFERROR(LOOKUP(2,1/(('Weekly Log'!$A$5:$A$5000&gt;=$J610)*('Weekly Log'!$A$5:$A$5000&lt;$J610+7)*('Weekly Log'!$M$5:$M$5000&lt;&gt;"")),'Weekly Log'!$M$5:$M$5000),0))</f>
        <v/>
      </c>
      <c r="J610" t="str">
        <f>IF(COUNT('Weekly Log'!$A$5:$A$5000)=0,"",IF(MIN('Weekly Log'!$A$5:$A$5000)+7*(ROW()-10)&gt;MAX('Weekly Log'!$A$5:$A$5000),"",MIN('Weekly Log'!$A$5:$A$5000)+7*(ROW()-10)))</f>
        <v/>
      </c>
    </row>
    <row r="611" spans="1:10" x14ac:dyDescent="0.25">
      <c r="A611" t="str">
        <f t="shared" si="9"/>
        <v/>
      </c>
      <c r="B611" t="str">
        <f>IF($J611="","",SUMIFS('Weekly Log'!$C:$C,'Weekly Log'!$A:$A,"&gt;="&amp;$J611,'Weekly Log'!$A:$A,"&lt;"&amp;$J611+7))</f>
        <v/>
      </c>
      <c r="C611" t="str">
        <f>IF($J611="","",IFERROR(COUNTIFS('Weekly Log'!$G:$G,"Y",'Weekly Log'!$A:$A,"&gt;="&amp;$J611,'Weekly Log'!$A:$A,"&lt;"&amp;$J611+7)/COUNTIFS('Weekly Log'!$G:$G,"&lt;&gt;",'Weekly Log'!$A:$A,"&gt;="&amp;$J611,'Weekly Log'!$A:$A,"&lt;"&amp;$J611+7),0))</f>
        <v/>
      </c>
      <c r="D611" t="str">
        <f>IF($J611="","",IFERROR(COUNTIFS('Weekly Log'!$H:$H,"Y",'Weekly Log'!$A:$A,"&gt;="&amp;$J611,'Weekly Log'!$A:$A,"&lt;"&amp;$J611+7)/COUNTIFS('Weekly Log'!$H:$H,"&lt;&gt;",'Weekly Log'!$A:$A,"&gt;="&amp;$J611,'Weekly Log'!$A:$A,"&lt;"&amp;$J611+7),0))</f>
        <v/>
      </c>
      <c r="E611" t="str">
        <f>IF($J611="","",IFERROR(AVERAGEIFS('Weekly Log'!$F:$F,'Weekly Log'!$A:$A,"&gt;="&amp;$J611,'Weekly Log'!$A:$A,"&lt;"&amp;$J611+7),0))</f>
        <v/>
      </c>
      <c r="F611" t="str">
        <f>IF($J611="","",IFERROR(SUMIFS('Weekly Log'!$F:$F,'Weekly Log'!$A:$A,"&gt;="&amp;$J611,'Weekly Log'!$A:$A,"&lt;"&amp;$J611+7)/SUMIFS('Weekly Log'!$E:$E,'Weekly Log'!$A:$A,"&gt;="&amp;$J611,'Weekly Log'!$A:$A,"&lt;"&amp;$J611+7),0))</f>
        <v/>
      </c>
      <c r="G611" t="str">
        <f>IF($J611="","",IFERROR(LOOKUP(2,1/(('Weekly Log'!$A$5:$A$5000&gt;=$J611)*('Weekly Log'!$A$5:$A$5000&lt;$J611+7)*('Weekly Log'!$M$5:$M$5000&lt;&gt;"")),'Weekly Log'!$M$5:$M$5000),0))</f>
        <v/>
      </c>
      <c r="J611" t="str">
        <f>IF(COUNT('Weekly Log'!$A$5:$A$5000)=0,"",IF(MIN('Weekly Log'!$A$5:$A$5000)+7*(ROW()-10)&gt;MAX('Weekly Log'!$A$5:$A$5000),"",MIN('Weekly Log'!$A$5:$A$5000)+7*(ROW()-10)))</f>
        <v/>
      </c>
    </row>
    <row r="612" spans="1:10" x14ac:dyDescent="0.25">
      <c r="A612" t="str">
        <f t="shared" si="9"/>
        <v/>
      </c>
      <c r="B612" t="str">
        <f>IF($J612="","",SUMIFS('Weekly Log'!$C:$C,'Weekly Log'!$A:$A,"&gt;="&amp;$J612,'Weekly Log'!$A:$A,"&lt;"&amp;$J612+7))</f>
        <v/>
      </c>
      <c r="C612" t="str">
        <f>IF($J612="","",IFERROR(COUNTIFS('Weekly Log'!$G:$G,"Y",'Weekly Log'!$A:$A,"&gt;="&amp;$J612,'Weekly Log'!$A:$A,"&lt;"&amp;$J612+7)/COUNTIFS('Weekly Log'!$G:$G,"&lt;&gt;",'Weekly Log'!$A:$A,"&gt;="&amp;$J612,'Weekly Log'!$A:$A,"&lt;"&amp;$J612+7),0))</f>
        <v/>
      </c>
      <c r="D612" t="str">
        <f>IF($J612="","",IFERROR(COUNTIFS('Weekly Log'!$H:$H,"Y",'Weekly Log'!$A:$A,"&gt;="&amp;$J612,'Weekly Log'!$A:$A,"&lt;"&amp;$J612+7)/COUNTIFS('Weekly Log'!$H:$H,"&lt;&gt;",'Weekly Log'!$A:$A,"&gt;="&amp;$J612,'Weekly Log'!$A:$A,"&lt;"&amp;$J612+7),0))</f>
        <v/>
      </c>
      <c r="E612" t="str">
        <f>IF($J612="","",IFERROR(AVERAGEIFS('Weekly Log'!$F:$F,'Weekly Log'!$A:$A,"&gt;="&amp;$J612,'Weekly Log'!$A:$A,"&lt;"&amp;$J612+7),0))</f>
        <v/>
      </c>
      <c r="F612" t="str">
        <f>IF($J612="","",IFERROR(SUMIFS('Weekly Log'!$F:$F,'Weekly Log'!$A:$A,"&gt;="&amp;$J612,'Weekly Log'!$A:$A,"&lt;"&amp;$J612+7)/SUMIFS('Weekly Log'!$E:$E,'Weekly Log'!$A:$A,"&gt;="&amp;$J612,'Weekly Log'!$A:$A,"&lt;"&amp;$J612+7),0))</f>
        <v/>
      </c>
      <c r="G612" t="str">
        <f>IF($J612="","",IFERROR(LOOKUP(2,1/(('Weekly Log'!$A$5:$A$5000&gt;=$J612)*('Weekly Log'!$A$5:$A$5000&lt;$J612+7)*('Weekly Log'!$M$5:$M$5000&lt;&gt;"")),'Weekly Log'!$M$5:$M$5000),0))</f>
        <v/>
      </c>
      <c r="J612" t="str">
        <f>IF(COUNT('Weekly Log'!$A$5:$A$5000)=0,"",IF(MIN('Weekly Log'!$A$5:$A$5000)+7*(ROW()-10)&gt;MAX('Weekly Log'!$A$5:$A$5000),"",MIN('Weekly Log'!$A$5:$A$5000)+7*(ROW()-10)))</f>
        <v/>
      </c>
    </row>
    <row r="613" spans="1:10" x14ac:dyDescent="0.25">
      <c r="A613" t="str">
        <f t="shared" si="9"/>
        <v/>
      </c>
      <c r="B613" t="str">
        <f>IF($J613="","",SUMIFS('Weekly Log'!$C:$C,'Weekly Log'!$A:$A,"&gt;="&amp;$J613,'Weekly Log'!$A:$A,"&lt;"&amp;$J613+7))</f>
        <v/>
      </c>
      <c r="C613" t="str">
        <f>IF($J613="","",IFERROR(COUNTIFS('Weekly Log'!$G:$G,"Y",'Weekly Log'!$A:$A,"&gt;="&amp;$J613,'Weekly Log'!$A:$A,"&lt;"&amp;$J613+7)/COUNTIFS('Weekly Log'!$G:$G,"&lt;&gt;",'Weekly Log'!$A:$A,"&gt;="&amp;$J613,'Weekly Log'!$A:$A,"&lt;"&amp;$J613+7),0))</f>
        <v/>
      </c>
      <c r="D613" t="str">
        <f>IF($J613="","",IFERROR(COUNTIFS('Weekly Log'!$H:$H,"Y",'Weekly Log'!$A:$A,"&gt;="&amp;$J613,'Weekly Log'!$A:$A,"&lt;"&amp;$J613+7)/COUNTIFS('Weekly Log'!$H:$H,"&lt;&gt;",'Weekly Log'!$A:$A,"&gt;="&amp;$J613,'Weekly Log'!$A:$A,"&lt;"&amp;$J613+7),0))</f>
        <v/>
      </c>
      <c r="E613" t="str">
        <f>IF($J613="","",IFERROR(AVERAGEIFS('Weekly Log'!$F:$F,'Weekly Log'!$A:$A,"&gt;="&amp;$J613,'Weekly Log'!$A:$A,"&lt;"&amp;$J613+7),0))</f>
        <v/>
      </c>
      <c r="F613" t="str">
        <f>IF($J613="","",IFERROR(SUMIFS('Weekly Log'!$F:$F,'Weekly Log'!$A:$A,"&gt;="&amp;$J613,'Weekly Log'!$A:$A,"&lt;"&amp;$J613+7)/SUMIFS('Weekly Log'!$E:$E,'Weekly Log'!$A:$A,"&gt;="&amp;$J613,'Weekly Log'!$A:$A,"&lt;"&amp;$J613+7),0))</f>
        <v/>
      </c>
      <c r="G613" t="str">
        <f>IF($J613="","",IFERROR(LOOKUP(2,1/(('Weekly Log'!$A$5:$A$5000&gt;=$J613)*('Weekly Log'!$A$5:$A$5000&lt;$J613+7)*('Weekly Log'!$M$5:$M$5000&lt;&gt;"")),'Weekly Log'!$M$5:$M$5000),0))</f>
        <v/>
      </c>
      <c r="J613" t="str">
        <f>IF(COUNT('Weekly Log'!$A$5:$A$5000)=0,"",IF(MIN('Weekly Log'!$A$5:$A$5000)+7*(ROW()-10)&gt;MAX('Weekly Log'!$A$5:$A$5000),"",MIN('Weekly Log'!$A$5:$A$5000)+7*(ROW()-10)))</f>
        <v/>
      </c>
    </row>
    <row r="614" spans="1:10" x14ac:dyDescent="0.25">
      <c r="A614" t="str">
        <f t="shared" si="9"/>
        <v/>
      </c>
      <c r="B614" t="str">
        <f>IF($J614="","",SUMIFS('Weekly Log'!$C:$C,'Weekly Log'!$A:$A,"&gt;="&amp;$J614,'Weekly Log'!$A:$A,"&lt;"&amp;$J614+7))</f>
        <v/>
      </c>
      <c r="C614" t="str">
        <f>IF($J614="","",IFERROR(COUNTIFS('Weekly Log'!$G:$G,"Y",'Weekly Log'!$A:$A,"&gt;="&amp;$J614,'Weekly Log'!$A:$A,"&lt;"&amp;$J614+7)/COUNTIFS('Weekly Log'!$G:$G,"&lt;&gt;",'Weekly Log'!$A:$A,"&gt;="&amp;$J614,'Weekly Log'!$A:$A,"&lt;"&amp;$J614+7),0))</f>
        <v/>
      </c>
      <c r="D614" t="str">
        <f>IF($J614="","",IFERROR(COUNTIFS('Weekly Log'!$H:$H,"Y",'Weekly Log'!$A:$A,"&gt;="&amp;$J614,'Weekly Log'!$A:$A,"&lt;"&amp;$J614+7)/COUNTIFS('Weekly Log'!$H:$H,"&lt;&gt;",'Weekly Log'!$A:$A,"&gt;="&amp;$J614,'Weekly Log'!$A:$A,"&lt;"&amp;$J614+7),0))</f>
        <v/>
      </c>
      <c r="E614" t="str">
        <f>IF($J614="","",IFERROR(AVERAGEIFS('Weekly Log'!$F:$F,'Weekly Log'!$A:$A,"&gt;="&amp;$J614,'Weekly Log'!$A:$A,"&lt;"&amp;$J614+7),0))</f>
        <v/>
      </c>
      <c r="F614" t="str">
        <f>IF($J614="","",IFERROR(SUMIFS('Weekly Log'!$F:$F,'Weekly Log'!$A:$A,"&gt;="&amp;$J614,'Weekly Log'!$A:$A,"&lt;"&amp;$J614+7)/SUMIFS('Weekly Log'!$E:$E,'Weekly Log'!$A:$A,"&gt;="&amp;$J614,'Weekly Log'!$A:$A,"&lt;"&amp;$J614+7),0))</f>
        <v/>
      </c>
      <c r="G614" t="str">
        <f>IF($J614="","",IFERROR(LOOKUP(2,1/(('Weekly Log'!$A$5:$A$5000&gt;=$J614)*('Weekly Log'!$A$5:$A$5000&lt;$J614+7)*('Weekly Log'!$M$5:$M$5000&lt;&gt;"")),'Weekly Log'!$M$5:$M$5000),0))</f>
        <v/>
      </c>
      <c r="J614" t="str">
        <f>IF(COUNT('Weekly Log'!$A$5:$A$5000)=0,"",IF(MIN('Weekly Log'!$A$5:$A$5000)+7*(ROW()-10)&gt;MAX('Weekly Log'!$A$5:$A$5000),"",MIN('Weekly Log'!$A$5:$A$5000)+7*(ROW()-10)))</f>
        <v/>
      </c>
    </row>
    <row r="615" spans="1:10" x14ac:dyDescent="0.25">
      <c r="A615" t="str">
        <f t="shared" si="9"/>
        <v/>
      </c>
      <c r="B615" t="str">
        <f>IF($J615="","",SUMIFS('Weekly Log'!$C:$C,'Weekly Log'!$A:$A,"&gt;="&amp;$J615,'Weekly Log'!$A:$A,"&lt;"&amp;$J615+7))</f>
        <v/>
      </c>
      <c r="C615" t="str">
        <f>IF($J615="","",IFERROR(COUNTIFS('Weekly Log'!$G:$G,"Y",'Weekly Log'!$A:$A,"&gt;="&amp;$J615,'Weekly Log'!$A:$A,"&lt;"&amp;$J615+7)/COUNTIFS('Weekly Log'!$G:$G,"&lt;&gt;",'Weekly Log'!$A:$A,"&gt;="&amp;$J615,'Weekly Log'!$A:$A,"&lt;"&amp;$J615+7),0))</f>
        <v/>
      </c>
      <c r="D615" t="str">
        <f>IF($J615="","",IFERROR(COUNTIFS('Weekly Log'!$H:$H,"Y",'Weekly Log'!$A:$A,"&gt;="&amp;$J615,'Weekly Log'!$A:$A,"&lt;"&amp;$J615+7)/COUNTIFS('Weekly Log'!$H:$H,"&lt;&gt;",'Weekly Log'!$A:$A,"&gt;="&amp;$J615,'Weekly Log'!$A:$A,"&lt;"&amp;$J615+7),0))</f>
        <v/>
      </c>
      <c r="E615" t="str">
        <f>IF($J615="","",IFERROR(AVERAGEIFS('Weekly Log'!$F:$F,'Weekly Log'!$A:$A,"&gt;="&amp;$J615,'Weekly Log'!$A:$A,"&lt;"&amp;$J615+7),0))</f>
        <v/>
      </c>
      <c r="F615" t="str">
        <f>IF($J615="","",IFERROR(SUMIFS('Weekly Log'!$F:$F,'Weekly Log'!$A:$A,"&gt;="&amp;$J615,'Weekly Log'!$A:$A,"&lt;"&amp;$J615+7)/SUMIFS('Weekly Log'!$E:$E,'Weekly Log'!$A:$A,"&gt;="&amp;$J615,'Weekly Log'!$A:$A,"&lt;"&amp;$J615+7),0))</f>
        <v/>
      </c>
      <c r="G615" t="str">
        <f>IF($J615="","",IFERROR(LOOKUP(2,1/(('Weekly Log'!$A$5:$A$5000&gt;=$J615)*('Weekly Log'!$A$5:$A$5000&lt;$J615+7)*('Weekly Log'!$M$5:$M$5000&lt;&gt;"")),'Weekly Log'!$M$5:$M$5000),0))</f>
        <v/>
      </c>
      <c r="J615" t="str">
        <f>IF(COUNT('Weekly Log'!$A$5:$A$5000)=0,"",IF(MIN('Weekly Log'!$A$5:$A$5000)+7*(ROW()-10)&gt;MAX('Weekly Log'!$A$5:$A$5000),"",MIN('Weekly Log'!$A$5:$A$5000)+7*(ROW()-10)))</f>
        <v/>
      </c>
    </row>
    <row r="616" spans="1:10" x14ac:dyDescent="0.25">
      <c r="A616" t="str">
        <f t="shared" si="9"/>
        <v/>
      </c>
      <c r="B616" t="str">
        <f>IF($J616="","",SUMIFS('Weekly Log'!$C:$C,'Weekly Log'!$A:$A,"&gt;="&amp;$J616,'Weekly Log'!$A:$A,"&lt;"&amp;$J616+7))</f>
        <v/>
      </c>
      <c r="C616" t="str">
        <f>IF($J616="","",IFERROR(COUNTIFS('Weekly Log'!$G:$G,"Y",'Weekly Log'!$A:$A,"&gt;="&amp;$J616,'Weekly Log'!$A:$A,"&lt;"&amp;$J616+7)/COUNTIFS('Weekly Log'!$G:$G,"&lt;&gt;",'Weekly Log'!$A:$A,"&gt;="&amp;$J616,'Weekly Log'!$A:$A,"&lt;"&amp;$J616+7),0))</f>
        <v/>
      </c>
      <c r="D616" t="str">
        <f>IF($J616="","",IFERROR(COUNTIFS('Weekly Log'!$H:$H,"Y",'Weekly Log'!$A:$A,"&gt;="&amp;$J616,'Weekly Log'!$A:$A,"&lt;"&amp;$J616+7)/COUNTIFS('Weekly Log'!$H:$H,"&lt;&gt;",'Weekly Log'!$A:$A,"&gt;="&amp;$J616,'Weekly Log'!$A:$A,"&lt;"&amp;$J616+7),0))</f>
        <v/>
      </c>
      <c r="E616" t="str">
        <f>IF($J616="","",IFERROR(AVERAGEIFS('Weekly Log'!$F:$F,'Weekly Log'!$A:$A,"&gt;="&amp;$J616,'Weekly Log'!$A:$A,"&lt;"&amp;$J616+7),0))</f>
        <v/>
      </c>
      <c r="F616" t="str">
        <f>IF($J616="","",IFERROR(SUMIFS('Weekly Log'!$F:$F,'Weekly Log'!$A:$A,"&gt;="&amp;$J616,'Weekly Log'!$A:$A,"&lt;"&amp;$J616+7)/SUMIFS('Weekly Log'!$E:$E,'Weekly Log'!$A:$A,"&gt;="&amp;$J616,'Weekly Log'!$A:$A,"&lt;"&amp;$J616+7),0))</f>
        <v/>
      </c>
      <c r="G616" t="str">
        <f>IF($J616="","",IFERROR(LOOKUP(2,1/(('Weekly Log'!$A$5:$A$5000&gt;=$J616)*('Weekly Log'!$A$5:$A$5000&lt;$J616+7)*('Weekly Log'!$M$5:$M$5000&lt;&gt;"")),'Weekly Log'!$M$5:$M$5000),0))</f>
        <v/>
      </c>
      <c r="J616" t="str">
        <f>IF(COUNT('Weekly Log'!$A$5:$A$5000)=0,"",IF(MIN('Weekly Log'!$A$5:$A$5000)+7*(ROW()-10)&gt;MAX('Weekly Log'!$A$5:$A$5000),"",MIN('Weekly Log'!$A$5:$A$5000)+7*(ROW()-10)))</f>
        <v/>
      </c>
    </row>
    <row r="617" spans="1:10" x14ac:dyDescent="0.25">
      <c r="A617" t="str">
        <f t="shared" si="9"/>
        <v/>
      </c>
      <c r="B617" t="str">
        <f>IF($J617="","",SUMIFS('Weekly Log'!$C:$C,'Weekly Log'!$A:$A,"&gt;="&amp;$J617,'Weekly Log'!$A:$A,"&lt;"&amp;$J617+7))</f>
        <v/>
      </c>
      <c r="C617" t="str">
        <f>IF($J617="","",IFERROR(COUNTIFS('Weekly Log'!$G:$G,"Y",'Weekly Log'!$A:$A,"&gt;="&amp;$J617,'Weekly Log'!$A:$A,"&lt;"&amp;$J617+7)/COUNTIFS('Weekly Log'!$G:$G,"&lt;&gt;",'Weekly Log'!$A:$A,"&gt;="&amp;$J617,'Weekly Log'!$A:$A,"&lt;"&amp;$J617+7),0))</f>
        <v/>
      </c>
      <c r="D617" t="str">
        <f>IF($J617="","",IFERROR(COUNTIFS('Weekly Log'!$H:$H,"Y",'Weekly Log'!$A:$A,"&gt;="&amp;$J617,'Weekly Log'!$A:$A,"&lt;"&amp;$J617+7)/COUNTIFS('Weekly Log'!$H:$H,"&lt;&gt;",'Weekly Log'!$A:$A,"&gt;="&amp;$J617,'Weekly Log'!$A:$A,"&lt;"&amp;$J617+7),0))</f>
        <v/>
      </c>
      <c r="E617" t="str">
        <f>IF($J617="","",IFERROR(AVERAGEIFS('Weekly Log'!$F:$F,'Weekly Log'!$A:$A,"&gt;="&amp;$J617,'Weekly Log'!$A:$A,"&lt;"&amp;$J617+7),0))</f>
        <v/>
      </c>
      <c r="F617" t="str">
        <f>IF($J617="","",IFERROR(SUMIFS('Weekly Log'!$F:$F,'Weekly Log'!$A:$A,"&gt;="&amp;$J617,'Weekly Log'!$A:$A,"&lt;"&amp;$J617+7)/SUMIFS('Weekly Log'!$E:$E,'Weekly Log'!$A:$A,"&gt;="&amp;$J617,'Weekly Log'!$A:$A,"&lt;"&amp;$J617+7),0))</f>
        <v/>
      </c>
      <c r="G617" t="str">
        <f>IF($J617="","",IFERROR(LOOKUP(2,1/(('Weekly Log'!$A$5:$A$5000&gt;=$J617)*('Weekly Log'!$A$5:$A$5000&lt;$J617+7)*('Weekly Log'!$M$5:$M$5000&lt;&gt;"")),'Weekly Log'!$M$5:$M$5000),0))</f>
        <v/>
      </c>
      <c r="J617" t="str">
        <f>IF(COUNT('Weekly Log'!$A$5:$A$5000)=0,"",IF(MIN('Weekly Log'!$A$5:$A$5000)+7*(ROW()-10)&gt;MAX('Weekly Log'!$A$5:$A$5000),"",MIN('Weekly Log'!$A$5:$A$5000)+7*(ROW()-10)))</f>
        <v/>
      </c>
    </row>
    <row r="618" spans="1:10" x14ac:dyDescent="0.25">
      <c r="A618" t="str">
        <f t="shared" si="9"/>
        <v/>
      </c>
      <c r="B618" t="str">
        <f>IF($J618="","",SUMIFS('Weekly Log'!$C:$C,'Weekly Log'!$A:$A,"&gt;="&amp;$J618,'Weekly Log'!$A:$A,"&lt;"&amp;$J618+7))</f>
        <v/>
      </c>
      <c r="C618" t="str">
        <f>IF($J618="","",IFERROR(COUNTIFS('Weekly Log'!$G:$G,"Y",'Weekly Log'!$A:$A,"&gt;="&amp;$J618,'Weekly Log'!$A:$A,"&lt;"&amp;$J618+7)/COUNTIFS('Weekly Log'!$G:$G,"&lt;&gt;",'Weekly Log'!$A:$A,"&gt;="&amp;$J618,'Weekly Log'!$A:$A,"&lt;"&amp;$J618+7),0))</f>
        <v/>
      </c>
      <c r="D618" t="str">
        <f>IF($J618="","",IFERROR(COUNTIFS('Weekly Log'!$H:$H,"Y",'Weekly Log'!$A:$A,"&gt;="&amp;$J618,'Weekly Log'!$A:$A,"&lt;"&amp;$J618+7)/COUNTIFS('Weekly Log'!$H:$H,"&lt;&gt;",'Weekly Log'!$A:$A,"&gt;="&amp;$J618,'Weekly Log'!$A:$A,"&lt;"&amp;$J618+7),0))</f>
        <v/>
      </c>
      <c r="E618" t="str">
        <f>IF($J618="","",IFERROR(AVERAGEIFS('Weekly Log'!$F:$F,'Weekly Log'!$A:$A,"&gt;="&amp;$J618,'Weekly Log'!$A:$A,"&lt;"&amp;$J618+7),0))</f>
        <v/>
      </c>
      <c r="F618" t="str">
        <f>IF($J618="","",IFERROR(SUMIFS('Weekly Log'!$F:$F,'Weekly Log'!$A:$A,"&gt;="&amp;$J618,'Weekly Log'!$A:$A,"&lt;"&amp;$J618+7)/SUMIFS('Weekly Log'!$E:$E,'Weekly Log'!$A:$A,"&gt;="&amp;$J618,'Weekly Log'!$A:$A,"&lt;"&amp;$J618+7),0))</f>
        <v/>
      </c>
      <c r="G618" t="str">
        <f>IF($J618="","",IFERROR(LOOKUP(2,1/(('Weekly Log'!$A$5:$A$5000&gt;=$J618)*('Weekly Log'!$A$5:$A$5000&lt;$J618+7)*('Weekly Log'!$M$5:$M$5000&lt;&gt;"")),'Weekly Log'!$M$5:$M$5000),0))</f>
        <v/>
      </c>
      <c r="J618" t="str">
        <f>IF(COUNT('Weekly Log'!$A$5:$A$5000)=0,"",IF(MIN('Weekly Log'!$A$5:$A$5000)+7*(ROW()-10)&gt;MAX('Weekly Log'!$A$5:$A$5000),"",MIN('Weekly Log'!$A$5:$A$5000)+7*(ROW()-10)))</f>
        <v/>
      </c>
    </row>
    <row r="619" spans="1:10" x14ac:dyDescent="0.25">
      <c r="A619" t="str">
        <f t="shared" si="9"/>
        <v/>
      </c>
      <c r="B619" t="str">
        <f>IF($J619="","",SUMIFS('Weekly Log'!$C:$C,'Weekly Log'!$A:$A,"&gt;="&amp;$J619,'Weekly Log'!$A:$A,"&lt;"&amp;$J619+7))</f>
        <v/>
      </c>
      <c r="C619" t="str">
        <f>IF($J619="","",IFERROR(COUNTIFS('Weekly Log'!$G:$G,"Y",'Weekly Log'!$A:$A,"&gt;="&amp;$J619,'Weekly Log'!$A:$A,"&lt;"&amp;$J619+7)/COUNTIFS('Weekly Log'!$G:$G,"&lt;&gt;",'Weekly Log'!$A:$A,"&gt;="&amp;$J619,'Weekly Log'!$A:$A,"&lt;"&amp;$J619+7),0))</f>
        <v/>
      </c>
      <c r="D619" t="str">
        <f>IF($J619="","",IFERROR(COUNTIFS('Weekly Log'!$H:$H,"Y",'Weekly Log'!$A:$A,"&gt;="&amp;$J619,'Weekly Log'!$A:$A,"&lt;"&amp;$J619+7)/COUNTIFS('Weekly Log'!$H:$H,"&lt;&gt;",'Weekly Log'!$A:$A,"&gt;="&amp;$J619,'Weekly Log'!$A:$A,"&lt;"&amp;$J619+7),0))</f>
        <v/>
      </c>
      <c r="E619" t="str">
        <f>IF($J619="","",IFERROR(AVERAGEIFS('Weekly Log'!$F:$F,'Weekly Log'!$A:$A,"&gt;="&amp;$J619,'Weekly Log'!$A:$A,"&lt;"&amp;$J619+7),0))</f>
        <v/>
      </c>
      <c r="F619" t="str">
        <f>IF($J619="","",IFERROR(SUMIFS('Weekly Log'!$F:$F,'Weekly Log'!$A:$A,"&gt;="&amp;$J619,'Weekly Log'!$A:$A,"&lt;"&amp;$J619+7)/SUMIFS('Weekly Log'!$E:$E,'Weekly Log'!$A:$A,"&gt;="&amp;$J619,'Weekly Log'!$A:$A,"&lt;"&amp;$J619+7),0))</f>
        <v/>
      </c>
      <c r="G619" t="str">
        <f>IF($J619="","",IFERROR(LOOKUP(2,1/(('Weekly Log'!$A$5:$A$5000&gt;=$J619)*('Weekly Log'!$A$5:$A$5000&lt;$J619+7)*('Weekly Log'!$M$5:$M$5000&lt;&gt;"")),'Weekly Log'!$M$5:$M$5000),0))</f>
        <v/>
      </c>
      <c r="J619" t="str">
        <f>IF(COUNT('Weekly Log'!$A$5:$A$5000)=0,"",IF(MIN('Weekly Log'!$A$5:$A$5000)+7*(ROW()-10)&gt;MAX('Weekly Log'!$A$5:$A$5000),"",MIN('Weekly Log'!$A$5:$A$5000)+7*(ROW()-10)))</f>
        <v/>
      </c>
    </row>
    <row r="620" spans="1:10" x14ac:dyDescent="0.25">
      <c r="A620" t="str">
        <f t="shared" si="9"/>
        <v/>
      </c>
      <c r="B620" t="str">
        <f>IF($J620="","",SUMIFS('Weekly Log'!$C:$C,'Weekly Log'!$A:$A,"&gt;="&amp;$J620,'Weekly Log'!$A:$A,"&lt;"&amp;$J620+7))</f>
        <v/>
      </c>
      <c r="C620" t="str">
        <f>IF($J620="","",IFERROR(COUNTIFS('Weekly Log'!$G:$G,"Y",'Weekly Log'!$A:$A,"&gt;="&amp;$J620,'Weekly Log'!$A:$A,"&lt;"&amp;$J620+7)/COUNTIFS('Weekly Log'!$G:$G,"&lt;&gt;",'Weekly Log'!$A:$A,"&gt;="&amp;$J620,'Weekly Log'!$A:$A,"&lt;"&amp;$J620+7),0))</f>
        <v/>
      </c>
      <c r="D620" t="str">
        <f>IF($J620="","",IFERROR(COUNTIFS('Weekly Log'!$H:$H,"Y",'Weekly Log'!$A:$A,"&gt;="&amp;$J620,'Weekly Log'!$A:$A,"&lt;"&amp;$J620+7)/COUNTIFS('Weekly Log'!$H:$H,"&lt;&gt;",'Weekly Log'!$A:$A,"&gt;="&amp;$J620,'Weekly Log'!$A:$A,"&lt;"&amp;$J620+7),0))</f>
        <v/>
      </c>
      <c r="E620" t="str">
        <f>IF($J620="","",IFERROR(AVERAGEIFS('Weekly Log'!$F:$F,'Weekly Log'!$A:$A,"&gt;="&amp;$J620,'Weekly Log'!$A:$A,"&lt;"&amp;$J620+7),0))</f>
        <v/>
      </c>
      <c r="F620" t="str">
        <f>IF($J620="","",IFERROR(SUMIFS('Weekly Log'!$F:$F,'Weekly Log'!$A:$A,"&gt;="&amp;$J620,'Weekly Log'!$A:$A,"&lt;"&amp;$J620+7)/SUMIFS('Weekly Log'!$E:$E,'Weekly Log'!$A:$A,"&gt;="&amp;$J620,'Weekly Log'!$A:$A,"&lt;"&amp;$J620+7),0))</f>
        <v/>
      </c>
      <c r="G620" t="str">
        <f>IF($J620="","",IFERROR(LOOKUP(2,1/(('Weekly Log'!$A$5:$A$5000&gt;=$J620)*('Weekly Log'!$A$5:$A$5000&lt;$J620+7)*('Weekly Log'!$M$5:$M$5000&lt;&gt;"")),'Weekly Log'!$M$5:$M$5000),0))</f>
        <v/>
      </c>
      <c r="J620" t="str">
        <f>IF(COUNT('Weekly Log'!$A$5:$A$5000)=0,"",IF(MIN('Weekly Log'!$A$5:$A$5000)+7*(ROW()-10)&gt;MAX('Weekly Log'!$A$5:$A$5000),"",MIN('Weekly Log'!$A$5:$A$5000)+7*(ROW()-10)))</f>
        <v/>
      </c>
    </row>
    <row r="621" spans="1:10" x14ac:dyDescent="0.25">
      <c r="A621" t="str">
        <f t="shared" si="9"/>
        <v/>
      </c>
      <c r="B621" t="str">
        <f>IF($J621="","",SUMIFS('Weekly Log'!$C:$C,'Weekly Log'!$A:$A,"&gt;="&amp;$J621,'Weekly Log'!$A:$A,"&lt;"&amp;$J621+7))</f>
        <v/>
      </c>
      <c r="C621" t="str">
        <f>IF($J621="","",IFERROR(COUNTIFS('Weekly Log'!$G:$G,"Y",'Weekly Log'!$A:$A,"&gt;="&amp;$J621,'Weekly Log'!$A:$A,"&lt;"&amp;$J621+7)/COUNTIFS('Weekly Log'!$G:$G,"&lt;&gt;",'Weekly Log'!$A:$A,"&gt;="&amp;$J621,'Weekly Log'!$A:$A,"&lt;"&amp;$J621+7),0))</f>
        <v/>
      </c>
      <c r="D621" t="str">
        <f>IF($J621="","",IFERROR(COUNTIFS('Weekly Log'!$H:$H,"Y",'Weekly Log'!$A:$A,"&gt;="&amp;$J621,'Weekly Log'!$A:$A,"&lt;"&amp;$J621+7)/COUNTIFS('Weekly Log'!$H:$H,"&lt;&gt;",'Weekly Log'!$A:$A,"&gt;="&amp;$J621,'Weekly Log'!$A:$A,"&lt;"&amp;$J621+7),0))</f>
        <v/>
      </c>
      <c r="E621" t="str">
        <f>IF($J621="","",IFERROR(AVERAGEIFS('Weekly Log'!$F:$F,'Weekly Log'!$A:$A,"&gt;="&amp;$J621,'Weekly Log'!$A:$A,"&lt;"&amp;$J621+7),0))</f>
        <v/>
      </c>
      <c r="F621" t="str">
        <f>IF($J621="","",IFERROR(SUMIFS('Weekly Log'!$F:$F,'Weekly Log'!$A:$A,"&gt;="&amp;$J621,'Weekly Log'!$A:$A,"&lt;"&amp;$J621+7)/SUMIFS('Weekly Log'!$E:$E,'Weekly Log'!$A:$A,"&gt;="&amp;$J621,'Weekly Log'!$A:$A,"&lt;"&amp;$J621+7),0))</f>
        <v/>
      </c>
      <c r="G621" t="str">
        <f>IF($J621="","",IFERROR(LOOKUP(2,1/(('Weekly Log'!$A$5:$A$5000&gt;=$J621)*('Weekly Log'!$A$5:$A$5000&lt;$J621+7)*('Weekly Log'!$M$5:$M$5000&lt;&gt;"")),'Weekly Log'!$M$5:$M$5000),0))</f>
        <v/>
      </c>
      <c r="J621" t="str">
        <f>IF(COUNT('Weekly Log'!$A$5:$A$5000)=0,"",IF(MIN('Weekly Log'!$A$5:$A$5000)+7*(ROW()-10)&gt;MAX('Weekly Log'!$A$5:$A$5000),"",MIN('Weekly Log'!$A$5:$A$5000)+7*(ROW()-10)))</f>
        <v/>
      </c>
    </row>
    <row r="622" spans="1:10" x14ac:dyDescent="0.25">
      <c r="A622" t="str">
        <f t="shared" si="9"/>
        <v/>
      </c>
      <c r="B622" t="str">
        <f>IF($J622="","",SUMIFS('Weekly Log'!$C:$C,'Weekly Log'!$A:$A,"&gt;="&amp;$J622,'Weekly Log'!$A:$A,"&lt;"&amp;$J622+7))</f>
        <v/>
      </c>
      <c r="C622" t="str">
        <f>IF($J622="","",IFERROR(COUNTIFS('Weekly Log'!$G:$G,"Y",'Weekly Log'!$A:$A,"&gt;="&amp;$J622,'Weekly Log'!$A:$A,"&lt;"&amp;$J622+7)/COUNTIFS('Weekly Log'!$G:$G,"&lt;&gt;",'Weekly Log'!$A:$A,"&gt;="&amp;$J622,'Weekly Log'!$A:$A,"&lt;"&amp;$J622+7),0))</f>
        <v/>
      </c>
      <c r="D622" t="str">
        <f>IF($J622="","",IFERROR(COUNTIFS('Weekly Log'!$H:$H,"Y",'Weekly Log'!$A:$A,"&gt;="&amp;$J622,'Weekly Log'!$A:$A,"&lt;"&amp;$J622+7)/COUNTIFS('Weekly Log'!$H:$H,"&lt;&gt;",'Weekly Log'!$A:$A,"&gt;="&amp;$J622,'Weekly Log'!$A:$A,"&lt;"&amp;$J622+7),0))</f>
        <v/>
      </c>
      <c r="E622" t="str">
        <f>IF($J622="","",IFERROR(AVERAGEIFS('Weekly Log'!$F:$F,'Weekly Log'!$A:$A,"&gt;="&amp;$J622,'Weekly Log'!$A:$A,"&lt;"&amp;$J622+7),0))</f>
        <v/>
      </c>
      <c r="F622" t="str">
        <f>IF($J622="","",IFERROR(SUMIFS('Weekly Log'!$F:$F,'Weekly Log'!$A:$A,"&gt;="&amp;$J622,'Weekly Log'!$A:$A,"&lt;"&amp;$J622+7)/SUMIFS('Weekly Log'!$E:$E,'Weekly Log'!$A:$A,"&gt;="&amp;$J622,'Weekly Log'!$A:$A,"&lt;"&amp;$J622+7),0))</f>
        <v/>
      </c>
      <c r="G622" t="str">
        <f>IF($J622="","",IFERROR(LOOKUP(2,1/(('Weekly Log'!$A$5:$A$5000&gt;=$J622)*('Weekly Log'!$A$5:$A$5000&lt;$J622+7)*('Weekly Log'!$M$5:$M$5000&lt;&gt;"")),'Weekly Log'!$M$5:$M$5000),0))</f>
        <v/>
      </c>
      <c r="J622" t="str">
        <f>IF(COUNT('Weekly Log'!$A$5:$A$5000)=0,"",IF(MIN('Weekly Log'!$A$5:$A$5000)+7*(ROW()-10)&gt;MAX('Weekly Log'!$A$5:$A$5000),"",MIN('Weekly Log'!$A$5:$A$5000)+7*(ROW()-10)))</f>
        <v/>
      </c>
    </row>
    <row r="623" spans="1:10" x14ac:dyDescent="0.25">
      <c r="A623" t="str">
        <f t="shared" si="9"/>
        <v/>
      </c>
      <c r="B623" t="str">
        <f>IF($J623="","",SUMIFS('Weekly Log'!$C:$C,'Weekly Log'!$A:$A,"&gt;="&amp;$J623,'Weekly Log'!$A:$A,"&lt;"&amp;$J623+7))</f>
        <v/>
      </c>
      <c r="C623" t="str">
        <f>IF($J623="","",IFERROR(COUNTIFS('Weekly Log'!$G:$G,"Y",'Weekly Log'!$A:$A,"&gt;="&amp;$J623,'Weekly Log'!$A:$A,"&lt;"&amp;$J623+7)/COUNTIFS('Weekly Log'!$G:$G,"&lt;&gt;",'Weekly Log'!$A:$A,"&gt;="&amp;$J623,'Weekly Log'!$A:$A,"&lt;"&amp;$J623+7),0))</f>
        <v/>
      </c>
      <c r="D623" t="str">
        <f>IF($J623="","",IFERROR(COUNTIFS('Weekly Log'!$H:$H,"Y",'Weekly Log'!$A:$A,"&gt;="&amp;$J623,'Weekly Log'!$A:$A,"&lt;"&amp;$J623+7)/COUNTIFS('Weekly Log'!$H:$H,"&lt;&gt;",'Weekly Log'!$A:$A,"&gt;="&amp;$J623,'Weekly Log'!$A:$A,"&lt;"&amp;$J623+7),0))</f>
        <v/>
      </c>
      <c r="E623" t="str">
        <f>IF($J623="","",IFERROR(AVERAGEIFS('Weekly Log'!$F:$F,'Weekly Log'!$A:$A,"&gt;="&amp;$J623,'Weekly Log'!$A:$A,"&lt;"&amp;$J623+7),0))</f>
        <v/>
      </c>
      <c r="F623" t="str">
        <f>IF($J623="","",IFERROR(SUMIFS('Weekly Log'!$F:$F,'Weekly Log'!$A:$A,"&gt;="&amp;$J623,'Weekly Log'!$A:$A,"&lt;"&amp;$J623+7)/SUMIFS('Weekly Log'!$E:$E,'Weekly Log'!$A:$A,"&gt;="&amp;$J623,'Weekly Log'!$A:$A,"&lt;"&amp;$J623+7),0))</f>
        <v/>
      </c>
      <c r="G623" t="str">
        <f>IF($J623="","",IFERROR(LOOKUP(2,1/(('Weekly Log'!$A$5:$A$5000&gt;=$J623)*('Weekly Log'!$A$5:$A$5000&lt;$J623+7)*('Weekly Log'!$M$5:$M$5000&lt;&gt;"")),'Weekly Log'!$M$5:$M$5000),0))</f>
        <v/>
      </c>
      <c r="J623" t="str">
        <f>IF(COUNT('Weekly Log'!$A$5:$A$5000)=0,"",IF(MIN('Weekly Log'!$A$5:$A$5000)+7*(ROW()-10)&gt;MAX('Weekly Log'!$A$5:$A$5000),"",MIN('Weekly Log'!$A$5:$A$5000)+7*(ROW()-10)))</f>
        <v/>
      </c>
    </row>
    <row r="624" spans="1:10" x14ac:dyDescent="0.25">
      <c r="A624" t="str">
        <f t="shared" si="9"/>
        <v/>
      </c>
      <c r="B624" t="str">
        <f>IF($J624="","",SUMIFS('Weekly Log'!$C:$C,'Weekly Log'!$A:$A,"&gt;="&amp;$J624,'Weekly Log'!$A:$A,"&lt;"&amp;$J624+7))</f>
        <v/>
      </c>
      <c r="C624" t="str">
        <f>IF($J624="","",IFERROR(COUNTIFS('Weekly Log'!$G:$G,"Y",'Weekly Log'!$A:$A,"&gt;="&amp;$J624,'Weekly Log'!$A:$A,"&lt;"&amp;$J624+7)/COUNTIFS('Weekly Log'!$G:$G,"&lt;&gt;",'Weekly Log'!$A:$A,"&gt;="&amp;$J624,'Weekly Log'!$A:$A,"&lt;"&amp;$J624+7),0))</f>
        <v/>
      </c>
      <c r="D624" t="str">
        <f>IF($J624="","",IFERROR(COUNTIFS('Weekly Log'!$H:$H,"Y",'Weekly Log'!$A:$A,"&gt;="&amp;$J624,'Weekly Log'!$A:$A,"&lt;"&amp;$J624+7)/COUNTIFS('Weekly Log'!$H:$H,"&lt;&gt;",'Weekly Log'!$A:$A,"&gt;="&amp;$J624,'Weekly Log'!$A:$A,"&lt;"&amp;$J624+7),0))</f>
        <v/>
      </c>
      <c r="E624" t="str">
        <f>IF($J624="","",IFERROR(AVERAGEIFS('Weekly Log'!$F:$F,'Weekly Log'!$A:$A,"&gt;="&amp;$J624,'Weekly Log'!$A:$A,"&lt;"&amp;$J624+7),0))</f>
        <v/>
      </c>
      <c r="F624" t="str">
        <f>IF($J624="","",IFERROR(SUMIFS('Weekly Log'!$F:$F,'Weekly Log'!$A:$A,"&gt;="&amp;$J624,'Weekly Log'!$A:$A,"&lt;"&amp;$J624+7)/SUMIFS('Weekly Log'!$E:$E,'Weekly Log'!$A:$A,"&gt;="&amp;$J624,'Weekly Log'!$A:$A,"&lt;"&amp;$J624+7),0))</f>
        <v/>
      </c>
      <c r="G624" t="str">
        <f>IF($J624="","",IFERROR(LOOKUP(2,1/(('Weekly Log'!$A$5:$A$5000&gt;=$J624)*('Weekly Log'!$A$5:$A$5000&lt;$J624+7)*('Weekly Log'!$M$5:$M$5000&lt;&gt;"")),'Weekly Log'!$M$5:$M$5000),0))</f>
        <v/>
      </c>
      <c r="J624" t="str">
        <f>IF(COUNT('Weekly Log'!$A$5:$A$5000)=0,"",IF(MIN('Weekly Log'!$A$5:$A$5000)+7*(ROW()-10)&gt;MAX('Weekly Log'!$A$5:$A$5000),"",MIN('Weekly Log'!$A$5:$A$5000)+7*(ROW()-10)))</f>
        <v/>
      </c>
    </row>
    <row r="625" spans="1:10" x14ac:dyDescent="0.25">
      <c r="A625" t="str">
        <f t="shared" si="9"/>
        <v/>
      </c>
      <c r="B625" t="str">
        <f>IF($J625="","",SUMIFS('Weekly Log'!$C:$C,'Weekly Log'!$A:$A,"&gt;="&amp;$J625,'Weekly Log'!$A:$A,"&lt;"&amp;$J625+7))</f>
        <v/>
      </c>
      <c r="C625" t="str">
        <f>IF($J625="","",IFERROR(COUNTIFS('Weekly Log'!$G:$G,"Y",'Weekly Log'!$A:$A,"&gt;="&amp;$J625,'Weekly Log'!$A:$A,"&lt;"&amp;$J625+7)/COUNTIFS('Weekly Log'!$G:$G,"&lt;&gt;",'Weekly Log'!$A:$A,"&gt;="&amp;$J625,'Weekly Log'!$A:$A,"&lt;"&amp;$J625+7),0))</f>
        <v/>
      </c>
      <c r="D625" t="str">
        <f>IF($J625="","",IFERROR(COUNTIFS('Weekly Log'!$H:$H,"Y",'Weekly Log'!$A:$A,"&gt;="&amp;$J625,'Weekly Log'!$A:$A,"&lt;"&amp;$J625+7)/COUNTIFS('Weekly Log'!$H:$H,"&lt;&gt;",'Weekly Log'!$A:$A,"&gt;="&amp;$J625,'Weekly Log'!$A:$A,"&lt;"&amp;$J625+7),0))</f>
        <v/>
      </c>
      <c r="E625" t="str">
        <f>IF($J625="","",IFERROR(AVERAGEIFS('Weekly Log'!$F:$F,'Weekly Log'!$A:$A,"&gt;="&amp;$J625,'Weekly Log'!$A:$A,"&lt;"&amp;$J625+7),0))</f>
        <v/>
      </c>
      <c r="F625" t="str">
        <f>IF($J625="","",IFERROR(SUMIFS('Weekly Log'!$F:$F,'Weekly Log'!$A:$A,"&gt;="&amp;$J625,'Weekly Log'!$A:$A,"&lt;"&amp;$J625+7)/SUMIFS('Weekly Log'!$E:$E,'Weekly Log'!$A:$A,"&gt;="&amp;$J625,'Weekly Log'!$A:$A,"&lt;"&amp;$J625+7),0))</f>
        <v/>
      </c>
      <c r="G625" t="str">
        <f>IF($J625="","",IFERROR(LOOKUP(2,1/(('Weekly Log'!$A$5:$A$5000&gt;=$J625)*('Weekly Log'!$A$5:$A$5000&lt;$J625+7)*('Weekly Log'!$M$5:$M$5000&lt;&gt;"")),'Weekly Log'!$M$5:$M$5000),0))</f>
        <v/>
      </c>
      <c r="J625" t="str">
        <f>IF(COUNT('Weekly Log'!$A$5:$A$5000)=0,"",IF(MIN('Weekly Log'!$A$5:$A$5000)+7*(ROW()-10)&gt;MAX('Weekly Log'!$A$5:$A$5000),"",MIN('Weekly Log'!$A$5:$A$5000)+7*(ROW()-10)))</f>
        <v/>
      </c>
    </row>
    <row r="626" spans="1:10" x14ac:dyDescent="0.25">
      <c r="A626" t="str">
        <f t="shared" si="9"/>
        <v/>
      </c>
      <c r="B626" t="str">
        <f>IF($J626="","",SUMIFS('Weekly Log'!$C:$C,'Weekly Log'!$A:$A,"&gt;="&amp;$J626,'Weekly Log'!$A:$A,"&lt;"&amp;$J626+7))</f>
        <v/>
      </c>
      <c r="C626" t="str">
        <f>IF($J626="","",IFERROR(COUNTIFS('Weekly Log'!$G:$G,"Y",'Weekly Log'!$A:$A,"&gt;="&amp;$J626,'Weekly Log'!$A:$A,"&lt;"&amp;$J626+7)/COUNTIFS('Weekly Log'!$G:$G,"&lt;&gt;",'Weekly Log'!$A:$A,"&gt;="&amp;$J626,'Weekly Log'!$A:$A,"&lt;"&amp;$J626+7),0))</f>
        <v/>
      </c>
      <c r="D626" t="str">
        <f>IF($J626="","",IFERROR(COUNTIFS('Weekly Log'!$H:$H,"Y",'Weekly Log'!$A:$A,"&gt;="&amp;$J626,'Weekly Log'!$A:$A,"&lt;"&amp;$J626+7)/COUNTIFS('Weekly Log'!$H:$H,"&lt;&gt;",'Weekly Log'!$A:$A,"&gt;="&amp;$J626,'Weekly Log'!$A:$A,"&lt;"&amp;$J626+7),0))</f>
        <v/>
      </c>
      <c r="E626" t="str">
        <f>IF($J626="","",IFERROR(AVERAGEIFS('Weekly Log'!$F:$F,'Weekly Log'!$A:$A,"&gt;="&amp;$J626,'Weekly Log'!$A:$A,"&lt;"&amp;$J626+7),0))</f>
        <v/>
      </c>
      <c r="F626" t="str">
        <f>IF($J626="","",IFERROR(SUMIFS('Weekly Log'!$F:$F,'Weekly Log'!$A:$A,"&gt;="&amp;$J626,'Weekly Log'!$A:$A,"&lt;"&amp;$J626+7)/SUMIFS('Weekly Log'!$E:$E,'Weekly Log'!$A:$A,"&gt;="&amp;$J626,'Weekly Log'!$A:$A,"&lt;"&amp;$J626+7),0))</f>
        <v/>
      </c>
      <c r="G626" t="str">
        <f>IF($J626="","",IFERROR(LOOKUP(2,1/(('Weekly Log'!$A$5:$A$5000&gt;=$J626)*('Weekly Log'!$A$5:$A$5000&lt;$J626+7)*('Weekly Log'!$M$5:$M$5000&lt;&gt;"")),'Weekly Log'!$M$5:$M$5000),0))</f>
        <v/>
      </c>
      <c r="J626" t="str">
        <f>IF(COUNT('Weekly Log'!$A$5:$A$5000)=0,"",IF(MIN('Weekly Log'!$A$5:$A$5000)+7*(ROW()-10)&gt;MAX('Weekly Log'!$A$5:$A$5000),"",MIN('Weekly Log'!$A$5:$A$5000)+7*(ROW()-10)))</f>
        <v/>
      </c>
    </row>
    <row r="627" spans="1:10" x14ac:dyDescent="0.25">
      <c r="A627" t="str">
        <f t="shared" si="9"/>
        <v/>
      </c>
      <c r="B627" t="str">
        <f>IF($J627="","",SUMIFS('Weekly Log'!$C:$C,'Weekly Log'!$A:$A,"&gt;="&amp;$J627,'Weekly Log'!$A:$A,"&lt;"&amp;$J627+7))</f>
        <v/>
      </c>
      <c r="C627" t="str">
        <f>IF($J627="","",IFERROR(COUNTIFS('Weekly Log'!$G:$G,"Y",'Weekly Log'!$A:$A,"&gt;="&amp;$J627,'Weekly Log'!$A:$A,"&lt;"&amp;$J627+7)/COUNTIFS('Weekly Log'!$G:$G,"&lt;&gt;",'Weekly Log'!$A:$A,"&gt;="&amp;$J627,'Weekly Log'!$A:$A,"&lt;"&amp;$J627+7),0))</f>
        <v/>
      </c>
      <c r="D627" t="str">
        <f>IF($J627="","",IFERROR(COUNTIFS('Weekly Log'!$H:$H,"Y",'Weekly Log'!$A:$A,"&gt;="&amp;$J627,'Weekly Log'!$A:$A,"&lt;"&amp;$J627+7)/COUNTIFS('Weekly Log'!$H:$H,"&lt;&gt;",'Weekly Log'!$A:$A,"&gt;="&amp;$J627,'Weekly Log'!$A:$A,"&lt;"&amp;$J627+7),0))</f>
        <v/>
      </c>
      <c r="E627" t="str">
        <f>IF($J627="","",IFERROR(AVERAGEIFS('Weekly Log'!$F:$F,'Weekly Log'!$A:$A,"&gt;="&amp;$J627,'Weekly Log'!$A:$A,"&lt;"&amp;$J627+7),0))</f>
        <v/>
      </c>
      <c r="F627" t="str">
        <f>IF($J627="","",IFERROR(SUMIFS('Weekly Log'!$F:$F,'Weekly Log'!$A:$A,"&gt;="&amp;$J627,'Weekly Log'!$A:$A,"&lt;"&amp;$J627+7)/SUMIFS('Weekly Log'!$E:$E,'Weekly Log'!$A:$A,"&gt;="&amp;$J627,'Weekly Log'!$A:$A,"&lt;"&amp;$J627+7),0))</f>
        <v/>
      </c>
      <c r="G627" t="str">
        <f>IF($J627="","",IFERROR(LOOKUP(2,1/(('Weekly Log'!$A$5:$A$5000&gt;=$J627)*('Weekly Log'!$A$5:$A$5000&lt;$J627+7)*('Weekly Log'!$M$5:$M$5000&lt;&gt;"")),'Weekly Log'!$M$5:$M$5000),0))</f>
        <v/>
      </c>
      <c r="J627" t="str">
        <f>IF(COUNT('Weekly Log'!$A$5:$A$5000)=0,"",IF(MIN('Weekly Log'!$A$5:$A$5000)+7*(ROW()-10)&gt;MAX('Weekly Log'!$A$5:$A$5000),"",MIN('Weekly Log'!$A$5:$A$5000)+7*(ROW()-10)))</f>
        <v/>
      </c>
    </row>
    <row r="628" spans="1:10" x14ac:dyDescent="0.25">
      <c r="A628" t="str">
        <f t="shared" si="9"/>
        <v/>
      </c>
      <c r="B628" t="str">
        <f>IF($J628="","",SUMIFS('Weekly Log'!$C:$C,'Weekly Log'!$A:$A,"&gt;="&amp;$J628,'Weekly Log'!$A:$A,"&lt;"&amp;$J628+7))</f>
        <v/>
      </c>
      <c r="C628" t="str">
        <f>IF($J628="","",IFERROR(COUNTIFS('Weekly Log'!$G:$G,"Y",'Weekly Log'!$A:$A,"&gt;="&amp;$J628,'Weekly Log'!$A:$A,"&lt;"&amp;$J628+7)/COUNTIFS('Weekly Log'!$G:$G,"&lt;&gt;",'Weekly Log'!$A:$A,"&gt;="&amp;$J628,'Weekly Log'!$A:$A,"&lt;"&amp;$J628+7),0))</f>
        <v/>
      </c>
      <c r="D628" t="str">
        <f>IF($J628="","",IFERROR(COUNTIFS('Weekly Log'!$H:$H,"Y",'Weekly Log'!$A:$A,"&gt;="&amp;$J628,'Weekly Log'!$A:$A,"&lt;"&amp;$J628+7)/COUNTIFS('Weekly Log'!$H:$H,"&lt;&gt;",'Weekly Log'!$A:$A,"&gt;="&amp;$J628,'Weekly Log'!$A:$A,"&lt;"&amp;$J628+7),0))</f>
        <v/>
      </c>
      <c r="E628" t="str">
        <f>IF($J628="","",IFERROR(AVERAGEIFS('Weekly Log'!$F:$F,'Weekly Log'!$A:$A,"&gt;="&amp;$J628,'Weekly Log'!$A:$A,"&lt;"&amp;$J628+7),0))</f>
        <v/>
      </c>
      <c r="F628" t="str">
        <f>IF($J628="","",IFERROR(SUMIFS('Weekly Log'!$F:$F,'Weekly Log'!$A:$A,"&gt;="&amp;$J628,'Weekly Log'!$A:$A,"&lt;"&amp;$J628+7)/SUMIFS('Weekly Log'!$E:$E,'Weekly Log'!$A:$A,"&gt;="&amp;$J628,'Weekly Log'!$A:$A,"&lt;"&amp;$J628+7),0))</f>
        <v/>
      </c>
      <c r="G628" t="str">
        <f>IF($J628="","",IFERROR(LOOKUP(2,1/(('Weekly Log'!$A$5:$A$5000&gt;=$J628)*('Weekly Log'!$A$5:$A$5000&lt;$J628+7)*('Weekly Log'!$M$5:$M$5000&lt;&gt;"")),'Weekly Log'!$M$5:$M$5000),0))</f>
        <v/>
      </c>
      <c r="J628" t="str">
        <f>IF(COUNT('Weekly Log'!$A$5:$A$5000)=0,"",IF(MIN('Weekly Log'!$A$5:$A$5000)+7*(ROW()-10)&gt;MAX('Weekly Log'!$A$5:$A$5000),"",MIN('Weekly Log'!$A$5:$A$5000)+7*(ROW()-10)))</f>
        <v/>
      </c>
    </row>
    <row r="629" spans="1:10" x14ac:dyDescent="0.25">
      <c r="A629" t="str">
        <f t="shared" si="9"/>
        <v/>
      </c>
      <c r="B629" t="str">
        <f>IF($J629="","",SUMIFS('Weekly Log'!$C:$C,'Weekly Log'!$A:$A,"&gt;="&amp;$J629,'Weekly Log'!$A:$A,"&lt;"&amp;$J629+7))</f>
        <v/>
      </c>
      <c r="C629" t="str">
        <f>IF($J629="","",IFERROR(COUNTIFS('Weekly Log'!$G:$G,"Y",'Weekly Log'!$A:$A,"&gt;="&amp;$J629,'Weekly Log'!$A:$A,"&lt;"&amp;$J629+7)/COUNTIFS('Weekly Log'!$G:$G,"&lt;&gt;",'Weekly Log'!$A:$A,"&gt;="&amp;$J629,'Weekly Log'!$A:$A,"&lt;"&amp;$J629+7),0))</f>
        <v/>
      </c>
      <c r="D629" t="str">
        <f>IF($J629="","",IFERROR(COUNTIFS('Weekly Log'!$H:$H,"Y",'Weekly Log'!$A:$A,"&gt;="&amp;$J629,'Weekly Log'!$A:$A,"&lt;"&amp;$J629+7)/COUNTIFS('Weekly Log'!$H:$H,"&lt;&gt;",'Weekly Log'!$A:$A,"&gt;="&amp;$J629,'Weekly Log'!$A:$A,"&lt;"&amp;$J629+7),0))</f>
        <v/>
      </c>
      <c r="E629" t="str">
        <f>IF($J629="","",IFERROR(AVERAGEIFS('Weekly Log'!$F:$F,'Weekly Log'!$A:$A,"&gt;="&amp;$J629,'Weekly Log'!$A:$A,"&lt;"&amp;$J629+7),0))</f>
        <v/>
      </c>
      <c r="F629" t="str">
        <f>IF($J629="","",IFERROR(SUMIFS('Weekly Log'!$F:$F,'Weekly Log'!$A:$A,"&gt;="&amp;$J629,'Weekly Log'!$A:$A,"&lt;"&amp;$J629+7)/SUMIFS('Weekly Log'!$E:$E,'Weekly Log'!$A:$A,"&gt;="&amp;$J629,'Weekly Log'!$A:$A,"&lt;"&amp;$J629+7),0))</f>
        <v/>
      </c>
      <c r="G629" t="str">
        <f>IF($J629="","",IFERROR(LOOKUP(2,1/(('Weekly Log'!$A$5:$A$5000&gt;=$J629)*('Weekly Log'!$A$5:$A$5000&lt;$J629+7)*('Weekly Log'!$M$5:$M$5000&lt;&gt;"")),'Weekly Log'!$M$5:$M$5000),0))</f>
        <v/>
      </c>
      <c r="J629" t="str">
        <f>IF(COUNT('Weekly Log'!$A$5:$A$5000)=0,"",IF(MIN('Weekly Log'!$A$5:$A$5000)+7*(ROW()-10)&gt;MAX('Weekly Log'!$A$5:$A$5000),"",MIN('Weekly Log'!$A$5:$A$5000)+7*(ROW()-10)))</f>
        <v/>
      </c>
    </row>
    <row r="630" spans="1:10" x14ac:dyDescent="0.25">
      <c r="A630" t="str">
        <f t="shared" si="9"/>
        <v/>
      </c>
      <c r="B630" t="str">
        <f>IF($J630="","",SUMIFS('Weekly Log'!$C:$C,'Weekly Log'!$A:$A,"&gt;="&amp;$J630,'Weekly Log'!$A:$A,"&lt;"&amp;$J630+7))</f>
        <v/>
      </c>
      <c r="C630" t="str">
        <f>IF($J630="","",IFERROR(COUNTIFS('Weekly Log'!$G:$G,"Y",'Weekly Log'!$A:$A,"&gt;="&amp;$J630,'Weekly Log'!$A:$A,"&lt;"&amp;$J630+7)/COUNTIFS('Weekly Log'!$G:$G,"&lt;&gt;",'Weekly Log'!$A:$A,"&gt;="&amp;$J630,'Weekly Log'!$A:$A,"&lt;"&amp;$J630+7),0))</f>
        <v/>
      </c>
      <c r="D630" t="str">
        <f>IF($J630="","",IFERROR(COUNTIFS('Weekly Log'!$H:$H,"Y",'Weekly Log'!$A:$A,"&gt;="&amp;$J630,'Weekly Log'!$A:$A,"&lt;"&amp;$J630+7)/COUNTIFS('Weekly Log'!$H:$H,"&lt;&gt;",'Weekly Log'!$A:$A,"&gt;="&amp;$J630,'Weekly Log'!$A:$A,"&lt;"&amp;$J630+7),0))</f>
        <v/>
      </c>
      <c r="E630" t="str">
        <f>IF($J630="","",IFERROR(AVERAGEIFS('Weekly Log'!$F:$F,'Weekly Log'!$A:$A,"&gt;="&amp;$J630,'Weekly Log'!$A:$A,"&lt;"&amp;$J630+7),0))</f>
        <v/>
      </c>
      <c r="F630" t="str">
        <f>IF($J630="","",IFERROR(SUMIFS('Weekly Log'!$F:$F,'Weekly Log'!$A:$A,"&gt;="&amp;$J630,'Weekly Log'!$A:$A,"&lt;"&amp;$J630+7)/SUMIFS('Weekly Log'!$E:$E,'Weekly Log'!$A:$A,"&gt;="&amp;$J630,'Weekly Log'!$A:$A,"&lt;"&amp;$J630+7),0))</f>
        <v/>
      </c>
      <c r="G630" t="str">
        <f>IF($J630="","",IFERROR(LOOKUP(2,1/(('Weekly Log'!$A$5:$A$5000&gt;=$J630)*('Weekly Log'!$A$5:$A$5000&lt;$J630+7)*('Weekly Log'!$M$5:$M$5000&lt;&gt;"")),'Weekly Log'!$M$5:$M$5000),0))</f>
        <v/>
      </c>
      <c r="J630" t="str">
        <f>IF(COUNT('Weekly Log'!$A$5:$A$5000)=0,"",IF(MIN('Weekly Log'!$A$5:$A$5000)+7*(ROW()-10)&gt;MAX('Weekly Log'!$A$5:$A$5000),"",MIN('Weekly Log'!$A$5:$A$5000)+7*(ROW()-10)))</f>
        <v/>
      </c>
    </row>
    <row r="631" spans="1:10" x14ac:dyDescent="0.25">
      <c r="A631" t="str">
        <f t="shared" si="9"/>
        <v/>
      </c>
      <c r="B631" t="str">
        <f>IF($J631="","",SUMIFS('Weekly Log'!$C:$C,'Weekly Log'!$A:$A,"&gt;="&amp;$J631,'Weekly Log'!$A:$A,"&lt;"&amp;$J631+7))</f>
        <v/>
      </c>
      <c r="C631" t="str">
        <f>IF($J631="","",IFERROR(COUNTIFS('Weekly Log'!$G:$G,"Y",'Weekly Log'!$A:$A,"&gt;="&amp;$J631,'Weekly Log'!$A:$A,"&lt;"&amp;$J631+7)/COUNTIFS('Weekly Log'!$G:$G,"&lt;&gt;",'Weekly Log'!$A:$A,"&gt;="&amp;$J631,'Weekly Log'!$A:$A,"&lt;"&amp;$J631+7),0))</f>
        <v/>
      </c>
      <c r="D631" t="str">
        <f>IF($J631="","",IFERROR(COUNTIFS('Weekly Log'!$H:$H,"Y",'Weekly Log'!$A:$A,"&gt;="&amp;$J631,'Weekly Log'!$A:$A,"&lt;"&amp;$J631+7)/COUNTIFS('Weekly Log'!$H:$H,"&lt;&gt;",'Weekly Log'!$A:$A,"&gt;="&amp;$J631,'Weekly Log'!$A:$A,"&lt;"&amp;$J631+7),0))</f>
        <v/>
      </c>
      <c r="E631" t="str">
        <f>IF($J631="","",IFERROR(AVERAGEIFS('Weekly Log'!$F:$F,'Weekly Log'!$A:$A,"&gt;="&amp;$J631,'Weekly Log'!$A:$A,"&lt;"&amp;$J631+7),0))</f>
        <v/>
      </c>
      <c r="F631" t="str">
        <f>IF($J631="","",IFERROR(SUMIFS('Weekly Log'!$F:$F,'Weekly Log'!$A:$A,"&gt;="&amp;$J631,'Weekly Log'!$A:$A,"&lt;"&amp;$J631+7)/SUMIFS('Weekly Log'!$E:$E,'Weekly Log'!$A:$A,"&gt;="&amp;$J631,'Weekly Log'!$A:$A,"&lt;"&amp;$J631+7),0))</f>
        <v/>
      </c>
      <c r="G631" t="str">
        <f>IF($J631="","",IFERROR(LOOKUP(2,1/(('Weekly Log'!$A$5:$A$5000&gt;=$J631)*('Weekly Log'!$A$5:$A$5000&lt;$J631+7)*('Weekly Log'!$M$5:$M$5000&lt;&gt;"")),'Weekly Log'!$M$5:$M$5000),0))</f>
        <v/>
      </c>
      <c r="J631" t="str">
        <f>IF(COUNT('Weekly Log'!$A$5:$A$5000)=0,"",IF(MIN('Weekly Log'!$A$5:$A$5000)+7*(ROW()-10)&gt;MAX('Weekly Log'!$A$5:$A$5000),"",MIN('Weekly Log'!$A$5:$A$5000)+7*(ROW()-10)))</f>
        <v/>
      </c>
    </row>
    <row r="632" spans="1:10" x14ac:dyDescent="0.25">
      <c r="A632" t="str">
        <f t="shared" si="9"/>
        <v/>
      </c>
      <c r="B632" t="str">
        <f>IF($J632="","",SUMIFS('Weekly Log'!$C:$C,'Weekly Log'!$A:$A,"&gt;="&amp;$J632,'Weekly Log'!$A:$A,"&lt;"&amp;$J632+7))</f>
        <v/>
      </c>
      <c r="C632" t="str">
        <f>IF($J632="","",IFERROR(COUNTIFS('Weekly Log'!$G:$G,"Y",'Weekly Log'!$A:$A,"&gt;="&amp;$J632,'Weekly Log'!$A:$A,"&lt;"&amp;$J632+7)/COUNTIFS('Weekly Log'!$G:$G,"&lt;&gt;",'Weekly Log'!$A:$A,"&gt;="&amp;$J632,'Weekly Log'!$A:$A,"&lt;"&amp;$J632+7),0))</f>
        <v/>
      </c>
      <c r="D632" t="str">
        <f>IF($J632="","",IFERROR(COUNTIFS('Weekly Log'!$H:$H,"Y",'Weekly Log'!$A:$A,"&gt;="&amp;$J632,'Weekly Log'!$A:$A,"&lt;"&amp;$J632+7)/COUNTIFS('Weekly Log'!$H:$H,"&lt;&gt;",'Weekly Log'!$A:$A,"&gt;="&amp;$J632,'Weekly Log'!$A:$A,"&lt;"&amp;$J632+7),0))</f>
        <v/>
      </c>
      <c r="E632" t="str">
        <f>IF($J632="","",IFERROR(AVERAGEIFS('Weekly Log'!$F:$F,'Weekly Log'!$A:$A,"&gt;="&amp;$J632,'Weekly Log'!$A:$A,"&lt;"&amp;$J632+7),0))</f>
        <v/>
      </c>
      <c r="F632" t="str">
        <f>IF($J632="","",IFERROR(SUMIFS('Weekly Log'!$F:$F,'Weekly Log'!$A:$A,"&gt;="&amp;$J632,'Weekly Log'!$A:$A,"&lt;"&amp;$J632+7)/SUMIFS('Weekly Log'!$E:$E,'Weekly Log'!$A:$A,"&gt;="&amp;$J632,'Weekly Log'!$A:$A,"&lt;"&amp;$J632+7),0))</f>
        <v/>
      </c>
      <c r="G632" t="str">
        <f>IF($J632="","",IFERROR(LOOKUP(2,1/(('Weekly Log'!$A$5:$A$5000&gt;=$J632)*('Weekly Log'!$A$5:$A$5000&lt;$J632+7)*('Weekly Log'!$M$5:$M$5000&lt;&gt;"")),'Weekly Log'!$M$5:$M$5000),0))</f>
        <v/>
      </c>
      <c r="J632" t="str">
        <f>IF(COUNT('Weekly Log'!$A$5:$A$5000)=0,"",IF(MIN('Weekly Log'!$A$5:$A$5000)+7*(ROW()-10)&gt;MAX('Weekly Log'!$A$5:$A$5000),"",MIN('Weekly Log'!$A$5:$A$5000)+7*(ROW()-10)))</f>
        <v/>
      </c>
    </row>
    <row r="633" spans="1:10" x14ac:dyDescent="0.25">
      <c r="A633" t="str">
        <f t="shared" si="9"/>
        <v/>
      </c>
      <c r="B633" t="str">
        <f>IF($J633="","",SUMIFS('Weekly Log'!$C:$C,'Weekly Log'!$A:$A,"&gt;="&amp;$J633,'Weekly Log'!$A:$A,"&lt;"&amp;$J633+7))</f>
        <v/>
      </c>
      <c r="C633" t="str">
        <f>IF($J633="","",IFERROR(COUNTIFS('Weekly Log'!$G:$G,"Y",'Weekly Log'!$A:$A,"&gt;="&amp;$J633,'Weekly Log'!$A:$A,"&lt;"&amp;$J633+7)/COUNTIFS('Weekly Log'!$G:$G,"&lt;&gt;",'Weekly Log'!$A:$A,"&gt;="&amp;$J633,'Weekly Log'!$A:$A,"&lt;"&amp;$J633+7),0))</f>
        <v/>
      </c>
      <c r="D633" t="str">
        <f>IF($J633="","",IFERROR(COUNTIFS('Weekly Log'!$H:$H,"Y",'Weekly Log'!$A:$A,"&gt;="&amp;$J633,'Weekly Log'!$A:$A,"&lt;"&amp;$J633+7)/COUNTIFS('Weekly Log'!$H:$H,"&lt;&gt;",'Weekly Log'!$A:$A,"&gt;="&amp;$J633,'Weekly Log'!$A:$A,"&lt;"&amp;$J633+7),0))</f>
        <v/>
      </c>
      <c r="E633" t="str">
        <f>IF($J633="","",IFERROR(AVERAGEIFS('Weekly Log'!$F:$F,'Weekly Log'!$A:$A,"&gt;="&amp;$J633,'Weekly Log'!$A:$A,"&lt;"&amp;$J633+7),0))</f>
        <v/>
      </c>
      <c r="F633" t="str">
        <f>IF($J633="","",IFERROR(SUMIFS('Weekly Log'!$F:$F,'Weekly Log'!$A:$A,"&gt;="&amp;$J633,'Weekly Log'!$A:$A,"&lt;"&amp;$J633+7)/SUMIFS('Weekly Log'!$E:$E,'Weekly Log'!$A:$A,"&gt;="&amp;$J633,'Weekly Log'!$A:$A,"&lt;"&amp;$J633+7),0))</f>
        <v/>
      </c>
      <c r="G633" t="str">
        <f>IF($J633="","",IFERROR(LOOKUP(2,1/(('Weekly Log'!$A$5:$A$5000&gt;=$J633)*('Weekly Log'!$A$5:$A$5000&lt;$J633+7)*('Weekly Log'!$M$5:$M$5000&lt;&gt;"")),'Weekly Log'!$M$5:$M$5000),0))</f>
        <v/>
      </c>
      <c r="J633" t="str">
        <f>IF(COUNT('Weekly Log'!$A$5:$A$5000)=0,"",IF(MIN('Weekly Log'!$A$5:$A$5000)+7*(ROW()-10)&gt;MAX('Weekly Log'!$A$5:$A$5000),"",MIN('Weekly Log'!$A$5:$A$5000)+7*(ROW()-10)))</f>
        <v/>
      </c>
    </row>
    <row r="634" spans="1:10" x14ac:dyDescent="0.25">
      <c r="A634" t="str">
        <f t="shared" si="9"/>
        <v/>
      </c>
      <c r="B634" t="str">
        <f>IF($J634="","",SUMIFS('Weekly Log'!$C:$C,'Weekly Log'!$A:$A,"&gt;="&amp;$J634,'Weekly Log'!$A:$A,"&lt;"&amp;$J634+7))</f>
        <v/>
      </c>
      <c r="C634" t="str">
        <f>IF($J634="","",IFERROR(COUNTIFS('Weekly Log'!$G:$G,"Y",'Weekly Log'!$A:$A,"&gt;="&amp;$J634,'Weekly Log'!$A:$A,"&lt;"&amp;$J634+7)/COUNTIFS('Weekly Log'!$G:$G,"&lt;&gt;",'Weekly Log'!$A:$A,"&gt;="&amp;$J634,'Weekly Log'!$A:$A,"&lt;"&amp;$J634+7),0))</f>
        <v/>
      </c>
      <c r="D634" t="str">
        <f>IF($J634="","",IFERROR(COUNTIFS('Weekly Log'!$H:$H,"Y",'Weekly Log'!$A:$A,"&gt;="&amp;$J634,'Weekly Log'!$A:$A,"&lt;"&amp;$J634+7)/COUNTIFS('Weekly Log'!$H:$H,"&lt;&gt;",'Weekly Log'!$A:$A,"&gt;="&amp;$J634,'Weekly Log'!$A:$A,"&lt;"&amp;$J634+7),0))</f>
        <v/>
      </c>
      <c r="E634" t="str">
        <f>IF($J634="","",IFERROR(AVERAGEIFS('Weekly Log'!$F:$F,'Weekly Log'!$A:$A,"&gt;="&amp;$J634,'Weekly Log'!$A:$A,"&lt;"&amp;$J634+7),0))</f>
        <v/>
      </c>
      <c r="F634" t="str">
        <f>IF($J634="","",IFERROR(SUMIFS('Weekly Log'!$F:$F,'Weekly Log'!$A:$A,"&gt;="&amp;$J634,'Weekly Log'!$A:$A,"&lt;"&amp;$J634+7)/SUMIFS('Weekly Log'!$E:$E,'Weekly Log'!$A:$A,"&gt;="&amp;$J634,'Weekly Log'!$A:$A,"&lt;"&amp;$J634+7),0))</f>
        <v/>
      </c>
      <c r="G634" t="str">
        <f>IF($J634="","",IFERROR(LOOKUP(2,1/(('Weekly Log'!$A$5:$A$5000&gt;=$J634)*('Weekly Log'!$A$5:$A$5000&lt;$J634+7)*('Weekly Log'!$M$5:$M$5000&lt;&gt;"")),'Weekly Log'!$M$5:$M$5000),0))</f>
        <v/>
      </c>
      <c r="J634" t="str">
        <f>IF(COUNT('Weekly Log'!$A$5:$A$5000)=0,"",IF(MIN('Weekly Log'!$A$5:$A$5000)+7*(ROW()-10)&gt;MAX('Weekly Log'!$A$5:$A$5000),"",MIN('Weekly Log'!$A$5:$A$5000)+7*(ROW()-10)))</f>
        <v/>
      </c>
    </row>
    <row r="635" spans="1:10" x14ac:dyDescent="0.25">
      <c r="A635" t="str">
        <f t="shared" si="9"/>
        <v/>
      </c>
      <c r="B635" t="str">
        <f>IF($J635="","",SUMIFS('Weekly Log'!$C:$C,'Weekly Log'!$A:$A,"&gt;="&amp;$J635,'Weekly Log'!$A:$A,"&lt;"&amp;$J635+7))</f>
        <v/>
      </c>
      <c r="C635" t="str">
        <f>IF($J635="","",IFERROR(COUNTIFS('Weekly Log'!$G:$G,"Y",'Weekly Log'!$A:$A,"&gt;="&amp;$J635,'Weekly Log'!$A:$A,"&lt;"&amp;$J635+7)/COUNTIFS('Weekly Log'!$G:$G,"&lt;&gt;",'Weekly Log'!$A:$A,"&gt;="&amp;$J635,'Weekly Log'!$A:$A,"&lt;"&amp;$J635+7),0))</f>
        <v/>
      </c>
      <c r="D635" t="str">
        <f>IF($J635="","",IFERROR(COUNTIFS('Weekly Log'!$H:$H,"Y",'Weekly Log'!$A:$A,"&gt;="&amp;$J635,'Weekly Log'!$A:$A,"&lt;"&amp;$J635+7)/COUNTIFS('Weekly Log'!$H:$H,"&lt;&gt;",'Weekly Log'!$A:$A,"&gt;="&amp;$J635,'Weekly Log'!$A:$A,"&lt;"&amp;$J635+7),0))</f>
        <v/>
      </c>
      <c r="E635" t="str">
        <f>IF($J635="","",IFERROR(AVERAGEIFS('Weekly Log'!$F:$F,'Weekly Log'!$A:$A,"&gt;="&amp;$J635,'Weekly Log'!$A:$A,"&lt;"&amp;$J635+7),0))</f>
        <v/>
      </c>
      <c r="F635" t="str">
        <f>IF($J635="","",IFERROR(SUMIFS('Weekly Log'!$F:$F,'Weekly Log'!$A:$A,"&gt;="&amp;$J635,'Weekly Log'!$A:$A,"&lt;"&amp;$J635+7)/SUMIFS('Weekly Log'!$E:$E,'Weekly Log'!$A:$A,"&gt;="&amp;$J635,'Weekly Log'!$A:$A,"&lt;"&amp;$J635+7),0))</f>
        <v/>
      </c>
      <c r="G635" t="str">
        <f>IF($J635="","",IFERROR(LOOKUP(2,1/(('Weekly Log'!$A$5:$A$5000&gt;=$J635)*('Weekly Log'!$A$5:$A$5000&lt;$J635+7)*('Weekly Log'!$M$5:$M$5000&lt;&gt;"")),'Weekly Log'!$M$5:$M$5000),0))</f>
        <v/>
      </c>
      <c r="J635" t="str">
        <f>IF(COUNT('Weekly Log'!$A$5:$A$5000)=0,"",IF(MIN('Weekly Log'!$A$5:$A$5000)+7*(ROW()-10)&gt;MAX('Weekly Log'!$A$5:$A$5000),"",MIN('Weekly Log'!$A$5:$A$5000)+7*(ROW()-10)))</f>
        <v/>
      </c>
    </row>
    <row r="636" spans="1:10" x14ac:dyDescent="0.25">
      <c r="A636" t="str">
        <f t="shared" si="9"/>
        <v/>
      </c>
      <c r="B636" t="str">
        <f>IF($J636="","",SUMIFS('Weekly Log'!$C:$C,'Weekly Log'!$A:$A,"&gt;="&amp;$J636,'Weekly Log'!$A:$A,"&lt;"&amp;$J636+7))</f>
        <v/>
      </c>
      <c r="C636" t="str">
        <f>IF($J636="","",IFERROR(COUNTIFS('Weekly Log'!$G:$G,"Y",'Weekly Log'!$A:$A,"&gt;="&amp;$J636,'Weekly Log'!$A:$A,"&lt;"&amp;$J636+7)/COUNTIFS('Weekly Log'!$G:$G,"&lt;&gt;",'Weekly Log'!$A:$A,"&gt;="&amp;$J636,'Weekly Log'!$A:$A,"&lt;"&amp;$J636+7),0))</f>
        <v/>
      </c>
      <c r="D636" t="str">
        <f>IF($J636="","",IFERROR(COUNTIFS('Weekly Log'!$H:$H,"Y",'Weekly Log'!$A:$A,"&gt;="&amp;$J636,'Weekly Log'!$A:$A,"&lt;"&amp;$J636+7)/COUNTIFS('Weekly Log'!$H:$H,"&lt;&gt;",'Weekly Log'!$A:$A,"&gt;="&amp;$J636,'Weekly Log'!$A:$A,"&lt;"&amp;$J636+7),0))</f>
        <v/>
      </c>
      <c r="E636" t="str">
        <f>IF($J636="","",IFERROR(AVERAGEIFS('Weekly Log'!$F:$F,'Weekly Log'!$A:$A,"&gt;="&amp;$J636,'Weekly Log'!$A:$A,"&lt;"&amp;$J636+7),0))</f>
        <v/>
      </c>
      <c r="F636" t="str">
        <f>IF($J636="","",IFERROR(SUMIFS('Weekly Log'!$F:$F,'Weekly Log'!$A:$A,"&gt;="&amp;$J636,'Weekly Log'!$A:$A,"&lt;"&amp;$J636+7)/SUMIFS('Weekly Log'!$E:$E,'Weekly Log'!$A:$A,"&gt;="&amp;$J636,'Weekly Log'!$A:$A,"&lt;"&amp;$J636+7),0))</f>
        <v/>
      </c>
      <c r="G636" t="str">
        <f>IF($J636="","",IFERROR(LOOKUP(2,1/(('Weekly Log'!$A$5:$A$5000&gt;=$J636)*('Weekly Log'!$A$5:$A$5000&lt;$J636+7)*('Weekly Log'!$M$5:$M$5000&lt;&gt;"")),'Weekly Log'!$M$5:$M$5000),0))</f>
        <v/>
      </c>
      <c r="J636" t="str">
        <f>IF(COUNT('Weekly Log'!$A$5:$A$5000)=0,"",IF(MIN('Weekly Log'!$A$5:$A$5000)+7*(ROW()-10)&gt;MAX('Weekly Log'!$A$5:$A$5000),"",MIN('Weekly Log'!$A$5:$A$5000)+7*(ROW()-10)))</f>
        <v/>
      </c>
    </row>
    <row r="637" spans="1:10" x14ac:dyDescent="0.25">
      <c r="A637" t="str">
        <f t="shared" si="9"/>
        <v/>
      </c>
      <c r="B637" t="str">
        <f>IF($J637="","",SUMIFS('Weekly Log'!$C:$C,'Weekly Log'!$A:$A,"&gt;="&amp;$J637,'Weekly Log'!$A:$A,"&lt;"&amp;$J637+7))</f>
        <v/>
      </c>
      <c r="C637" t="str">
        <f>IF($J637="","",IFERROR(COUNTIFS('Weekly Log'!$G:$G,"Y",'Weekly Log'!$A:$A,"&gt;="&amp;$J637,'Weekly Log'!$A:$A,"&lt;"&amp;$J637+7)/COUNTIFS('Weekly Log'!$G:$G,"&lt;&gt;",'Weekly Log'!$A:$A,"&gt;="&amp;$J637,'Weekly Log'!$A:$A,"&lt;"&amp;$J637+7),0))</f>
        <v/>
      </c>
      <c r="D637" t="str">
        <f>IF($J637="","",IFERROR(COUNTIFS('Weekly Log'!$H:$H,"Y",'Weekly Log'!$A:$A,"&gt;="&amp;$J637,'Weekly Log'!$A:$A,"&lt;"&amp;$J637+7)/COUNTIFS('Weekly Log'!$H:$H,"&lt;&gt;",'Weekly Log'!$A:$A,"&gt;="&amp;$J637,'Weekly Log'!$A:$A,"&lt;"&amp;$J637+7),0))</f>
        <v/>
      </c>
      <c r="E637" t="str">
        <f>IF($J637="","",IFERROR(AVERAGEIFS('Weekly Log'!$F:$F,'Weekly Log'!$A:$A,"&gt;="&amp;$J637,'Weekly Log'!$A:$A,"&lt;"&amp;$J637+7),0))</f>
        <v/>
      </c>
      <c r="F637" t="str">
        <f>IF($J637="","",IFERROR(SUMIFS('Weekly Log'!$F:$F,'Weekly Log'!$A:$A,"&gt;="&amp;$J637,'Weekly Log'!$A:$A,"&lt;"&amp;$J637+7)/SUMIFS('Weekly Log'!$E:$E,'Weekly Log'!$A:$A,"&gt;="&amp;$J637,'Weekly Log'!$A:$A,"&lt;"&amp;$J637+7),0))</f>
        <v/>
      </c>
      <c r="G637" t="str">
        <f>IF($J637="","",IFERROR(LOOKUP(2,1/(('Weekly Log'!$A$5:$A$5000&gt;=$J637)*('Weekly Log'!$A$5:$A$5000&lt;$J637+7)*('Weekly Log'!$M$5:$M$5000&lt;&gt;"")),'Weekly Log'!$M$5:$M$5000),0))</f>
        <v/>
      </c>
      <c r="J637" t="str">
        <f>IF(COUNT('Weekly Log'!$A$5:$A$5000)=0,"",IF(MIN('Weekly Log'!$A$5:$A$5000)+7*(ROW()-10)&gt;MAX('Weekly Log'!$A$5:$A$5000),"",MIN('Weekly Log'!$A$5:$A$5000)+7*(ROW()-10)))</f>
        <v/>
      </c>
    </row>
    <row r="638" spans="1:10" x14ac:dyDescent="0.25">
      <c r="A638" t="str">
        <f t="shared" si="9"/>
        <v/>
      </c>
      <c r="B638" t="str">
        <f>IF($J638="","",SUMIFS('Weekly Log'!$C:$C,'Weekly Log'!$A:$A,"&gt;="&amp;$J638,'Weekly Log'!$A:$A,"&lt;"&amp;$J638+7))</f>
        <v/>
      </c>
      <c r="C638" t="str">
        <f>IF($J638="","",IFERROR(COUNTIFS('Weekly Log'!$G:$G,"Y",'Weekly Log'!$A:$A,"&gt;="&amp;$J638,'Weekly Log'!$A:$A,"&lt;"&amp;$J638+7)/COUNTIFS('Weekly Log'!$G:$G,"&lt;&gt;",'Weekly Log'!$A:$A,"&gt;="&amp;$J638,'Weekly Log'!$A:$A,"&lt;"&amp;$J638+7),0))</f>
        <v/>
      </c>
      <c r="D638" t="str">
        <f>IF($J638="","",IFERROR(COUNTIFS('Weekly Log'!$H:$H,"Y",'Weekly Log'!$A:$A,"&gt;="&amp;$J638,'Weekly Log'!$A:$A,"&lt;"&amp;$J638+7)/COUNTIFS('Weekly Log'!$H:$H,"&lt;&gt;",'Weekly Log'!$A:$A,"&gt;="&amp;$J638,'Weekly Log'!$A:$A,"&lt;"&amp;$J638+7),0))</f>
        <v/>
      </c>
      <c r="E638" t="str">
        <f>IF($J638="","",IFERROR(AVERAGEIFS('Weekly Log'!$F:$F,'Weekly Log'!$A:$A,"&gt;="&amp;$J638,'Weekly Log'!$A:$A,"&lt;"&amp;$J638+7),0))</f>
        <v/>
      </c>
      <c r="F638" t="str">
        <f>IF($J638="","",IFERROR(SUMIFS('Weekly Log'!$F:$F,'Weekly Log'!$A:$A,"&gt;="&amp;$J638,'Weekly Log'!$A:$A,"&lt;"&amp;$J638+7)/SUMIFS('Weekly Log'!$E:$E,'Weekly Log'!$A:$A,"&gt;="&amp;$J638,'Weekly Log'!$A:$A,"&lt;"&amp;$J638+7),0))</f>
        <v/>
      </c>
      <c r="G638" t="str">
        <f>IF($J638="","",IFERROR(LOOKUP(2,1/(('Weekly Log'!$A$5:$A$5000&gt;=$J638)*('Weekly Log'!$A$5:$A$5000&lt;$J638+7)*('Weekly Log'!$M$5:$M$5000&lt;&gt;"")),'Weekly Log'!$M$5:$M$5000),0))</f>
        <v/>
      </c>
      <c r="J638" t="str">
        <f>IF(COUNT('Weekly Log'!$A$5:$A$5000)=0,"",IF(MIN('Weekly Log'!$A$5:$A$5000)+7*(ROW()-10)&gt;MAX('Weekly Log'!$A$5:$A$5000),"",MIN('Weekly Log'!$A$5:$A$5000)+7*(ROW()-10)))</f>
        <v/>
      </c>
    </row>
    <row r="639" spans="1:10" x14ac:dyDescent="0.25">
      <c r="A639" t="str">
        <f t="shared" si="9"/>
        <v/>
      </c>
      <c r="B639" t="str">
        <f>IF($J639="","",SUMIFS('Weekly Log'!$C:$C,'Weekly Log'!$A:$A,"&gt;="&amp;$J639,'Weekly Log'!$A:$A,"&lt;"&amp;$J639+7))</f>
        <v/>
      </c>
      <c r="C639" t="str">
        <f>IF($J639="","",IFERROR(COUNTIFS('Weekly Log'!$G:$G,"Y",'Weekly Log'!$A:$A,"&gt;="&amp;$J639,'Weekly Log'!$A:$A,"&lt;"&amp;$J639+7)/COUNTIFS('Weekly Log'!$G:$G,"&lt;&gt;",'Weekly Log'!$A:$A,"&gt;="&amp;$J639,'Weekly Log'!$A:$A,"&lt;"&amp;$J639+7),0))</f>
        <v/>
      </c>
      <c r="D639" t="str">
        <f>IF($J639="","",IFERROR(COUNTIFS('Weekly Log'!$H:$H,"Y",'Weekly Log'!$A:$A,"&gt;="&amp;$J639,'Weekly Log'!$A:$A,"&lt;"&amp;$J639+7)/COUNTIFS('Weekly Log'!$H:$H,"&lt;&gt;",'Weekly Log'!$A:$A,"&gt;="&amp;$J639,'Weekly Log'!$A:$A,"&lt;"&amp;$J639+7),0))</f>
        <v/>
      </c>
      <c r="E639" t="str">
        <f>IF($J639="","",IFERROR(AVERAGEIFS('Weekly Log'!$F:$F,'Weekly Log'!$A:$A,"&gt;="&amp;$J639,'Weekly Log'!$A:$A,"&lt;"&amp;$J639+7),0))</f>
        <v/>
      </c>
      <c r="F639" t="str">
        <f>IF($J639="","",IFERROR(SUMIFS('Weekly Log'!$F:$F,'Weekly Log'!$A:$A,"&gt;="&amp;$J639,'Weekly Log'!$A:$A,"&lt;"&amp;$J639+7)/SUMIFS('Weekly Log'!$E:$E,'Weekly Log'!$A:$A,"&gt;="&amp;$J639,'Weekly Log'!$A:$A,"&lt;"&amp;$J639+7),0))</f>
        <v/>
      </c>
      <c r="G639" t="str">
        <f>IF($J639="","",IFERROR(LOOKUP(2,1/(('Weekly Log'!$A$5:$A$5000&gt;=$J639)*('Weekly Log'!$A$5:$A$5000&lt;$J639+7)*('Weekly Log'!$M$5:$M$5000&lt;&gt;"")),'Weekly Log'!$M$5:$M$5000),0))</f>
        <v/>
      </c>
      <c r="J639" t="str">
        <f>IF(COUNT('Weekly Log'!$A$5:$A$5000)=0,"",IF(MIN('Weekly Log'!$A$5:$A$5000)+7*(ROW()-10)&gt;MAX('Weekly Log'!$A$5:$A$5000),"",MIN('Weekly Log'!$A$5:$A$5000)+7*(ROW()-10)))</f>
        <v/>
      </c>
    </row>
    <row r="640" spans="1:10" x14ac:dyDescent="0.25">
      <c r="A640" t="str">
        <f t="shared" si="9"/>
        <v/>
      </c>
      <c r="B640" t="str">
        <f>IF($J640="","",SUMIFS('Weekly Log'!$C:$C,'Weekly Log'!$A:$A,"&gt;="&amp;$J640,'Weekly Log'!$A:$A,"&lt;"&amp;$J640+7))</f>
        <v/>
      </c>
      <c r="C640" t="str">
        <f>IF($J640="","",IFERROR(COUNTIFS('Weekly Log'!$G:$G,"Y",'Weekly Log'!$A:$A,"&gt;="&amp;$J640,'Weekly Log'!$A:$A,"&lt;"&amp;$J640+7)/COUNTIFS('Weekly Log'!$G:$G,"&lt;&gt;",'Weekly Log'!$A:$A,"&gt;="&amp;$J640,'Weekly Log'!$A:$A,"&lt;"&amp;$J640+7),0))</f>
        <v/>
      </c>
      <c r="D640" t="str">
        <f>IF($J640="","",IFERROR(COUNTIFS('Weekly Log'!$H:$H,"Y",'Weekly Log'!$A:$A,"&gt;="&amp;$J640,'Weekly Log'!$A:$A,"&lt;"&amp;$J640+7)/COUNTIFS('Weekly Log'!$H:$H,"&lt;&gt;",'Weekly Log'!$A:$A,"&gt;="&amp;$J640,'Weekly Log'!$A:$A,"&lt;"&amp;$J640+7),0))</f>
        <v/>
      </c>
      <c r="E640" t="str">
        <f>IF($J640="","",IFERROR(AVERAGEIFS('Weekly Log'!$F:$F,'Weekly Log'!$A:$A,"&gt;="&amp;$J640,'Weekly Log'!$A:$A,"&lt;"&amp;$J640+7),0))</f>
        <v/>
      </c>
      <c r="F640" t="str">
        <f>IF($J640="","",IFERROR(SUMIFS('Weekly Log'!$F:$F,'Weekly Log'!$A:$A,"&gt;="&amp;$J640,'Weekly Log'!$A:$A,"&lt;"&amp;$J640+7)/SUMIFS('Weekly Log'!$E:$E,'Weekly Log'!$A:$A,"&gt;="&amp;$J640,'Weekly Log'!$A:$A,"&lt;"&amp;$J640+7),0))</f>
        <v/>
      </c>
      <c r="G640" t="str">
        <f>IF($J640="","",IFERROR(LOOKUP(2,1/(('Weekly Log'!$A$5:$A$5000&gt;=$J640)*('Weekly Log'!$A$5:$A$5000&lt;$J640+7)*('Weekly Log'!$M$5:$M$5000&lt;&gt;"")),'Weekly Log'!$M$5:$M$5000),0))</f>
        <v/>
      </c>
      <c r="J640" t="str">
        <f>IF(COUNT('Weekly Log'!$A$5:$A$5000)=0,"",IF(MIN('Weekly Log'!$A$5:$A$5000)+7*(ROW()-10)&gt;MAX('Weekly Log'!$A$5:$A$5000),"",MIN('Weekly Log'!$A$5:$A$5000)+7*(ROW()-10)))</f>
        <v/>
      </c>
    </row>
    <row r="641" spans="1:10" x14ac:dyDescent="0.25">
      <c r="A641" t="str">
        <f t="shared" si="9"/>
        <v/>
      </c>
      <c r="B641" t="str">
        <f>IF($J641="","",SUMIFS('Weekly Log'!$C:$C,'Weekly Log'!$A:$A,"&gt;="&amp;$J641,'Weekly Log'!$A:$A,"&lt;"&amp;$J641+7))</f>
        <v/>
      </c>
      <c r="C641" t="str">
        <f>IF($J641="","",IFERROR(COUNTIFS('Weekly Log'!$G:$G,"Y",'Weekly Log'!$A:$A,"&gt;="&amp;$J641,'Weekly Log'!$A:$A,"&lt;"&amp;$J641+7)/COUNTIFS('Weekly Log'!$G:$G,"&lt;&gt;",'Weekly Log'!$A:$A,"&gt;="&amp;$J641,'Weekly Log'!$A:$A,"&lt;"&amp;$J641+7),0))</f>
        <v/>
      </c>
      <c r="D641" t="str">
        <f>IF($J641="","",IFERROR(COUNTIFS('Weekly Log'!$H:$H,"Y",'Weekly Log'!$A:$A,"&gt;="&amp;$J641,'Weekly Log'!$A:$A,"&lt;"&amp;$J641+7)/COUNTIFS('Weekly Log'!$H:$H,"&lt;&gt;",'Weekly Log'!$A:$A,"&gt;="&amp;$J641,'Weekly Log'!$A:$A,"&lt;"&amp;$J641+7),0))</f>
        <v/>
      </c>
      <c r="E641" t="str">
        <f>IF($J641="","",IFERROR(AVERAGEIFS('Weekly Log'!$F:$F,'Weekly Log'!$A:$A,"&gt;="&amp;$J641,'Weekly Log'!$A:$A,"&lt;"&amp;$J641+7),0))</f>
        <v/>
      </c>
      <c r="F641" t="str">
        <f>IF($J641="","",IFERROR(SUMIFS('Weekly Log'!$F:$F,'Weekly Log'!$A:$A,"&gt;="&amp;$J641,'Weekly Log'!$A:$A,"&lt;"&amp;$J641+7)/SUMIFS('Weekly Log'!$E:$E,'Weekly Log'!$A:$A,"&gt;="&amp;$J641,'Weekly Log'!$A:$A,"&lt;"&amp;$J641+7),0))</f>
        <v/>
      </c>
      <c r="G641" t="str">
        <f>IF($J641="","",IFERROR(LOOKUP(2,1/(('Weekly Log'!$A$5:$A$5000&gt;=$J641)*('Weekly Log'!$A$5:$A$5000&lt;$J641+7)*('Weekly Log'!$M$5:$M$5000&lt;&gt;"")),'Weekly Log'!$M$5:$M$5000),0))</f>
        <v/>
      </c>
      <c r="J641" t="str">
        <f>IF(COUNT('Weekly Log'!$A$5:$A$5000)=0,"",IF(MIN('Weekly Log'!$A$5:$A$5000)+7*(ROW()-10)&gt;MAX('Weekly Log'!$A$5:$A$5000),"",MIN('Weekly Log'!$A$5:$A$5000)+7*(ROW()-10)))</f>
        <v/>
      </c>
    </row>
    <row r="642" spans="1:10" x14ac:dyDescent="0.25">
      <c r="A642" t="str">
        <f t="shared" si="9"/>
        <v/>
      </c>
      <c r="B642" t="str">
        <f>IF($J642="","",SUMIFS('Weekly Log'!$C:$C,'Weekly Log'!$A:$A,"&gt;="&amp;$J642,'Weekly Log'!$A:$A,"&lt;"&amp;$J642+7))</f>
        <v/>
      </c>
      <c r="C642" t="str">
        <f>IF($J642="","",IFERROR(COUNTIFS('Weekly Log'!$G:$G,"Y",'Weekly Log'!$A:$A,"&gt;="&amp;$J642,'Weekly Log'!$A:$A,"&lt;"&amp;$J642+7)/COUNTIFS('Weekly Log'!$G:$G,"&lt;&gt;",'Weekly Log'!$A:$A,"&gt;="&amp;$J642,'Weekly Log'!$A:$A,"&lt;"&amp;$J642+7),0))</f>
        <v/>
      </c>
      <c r="D642" t="str">
        <f>IF($J642="","",IFERROR(COUNTIFS('Weekly Log'!$H:$H,"Y",'Weekly Log'!$A:$A,"&gt;="&amp;$J642,'Weekly Log'!$A:$A,"&lt;"&amp;$J642+7)/COUNTIFS('Weekly Log'!$H:$H,"&lt;&gt;",'Weekly Log'!$A:$A,"&gt;="&amp;$J642,'Weekly Log'!$A:$A,"&lt;"&amp;$J642+7),0))</f>
        <v/>
      </c>
      <c r="E642" t="str">
        <f>IF($J642="","",IFERROR(AVERAGEIFS('Weekly Log'!$F:$F,'Weekly Log'!$A:$A,"&gt;="&amp;$J642,'Weekly Log'!$A:$A,"&lt;"&amp;$J642+7),0))</f>
        <v/>
      </c>
      <c r="F642" t="str">
        <f>IF($J642="","",IFERROR(SUMIFS('Weekly Log'!$F:$F,'Weekly Log'!$A:$A,"&gt;="&amp;$J642,'Weekly Log'!$A:$A,"&lt;"&amp;$J642+7)/SUMIFS('Weekly Log'!$E:$E,'Weekly Log'!$A:$A,"&gt;="&amp;$J642,'Weekly Log'!$A:$A,"&lt;"&amp;$J642+7),0))</f>
        <v/>
      </c>
      <c r="G642" t="str">
        <f>IF($J642="","",IFERROR(LOOKUP(2,1/(('Weekly Log'!$A$5:$A$5000&gt;=$J642)*('Weekly Log'!$A$5:$A$5000&lt;$J642+7)*('Weekly Log'!$M$5:$M$5000&lt;&gt;"")),'Weekly Log'!$M$5:$M$5000),0))</f>
        <v/>
      </c>
      <c r="J642" t="str">
        <f>IF(COUNT('Weekly Log'!$A$5:$A$5000)=0,"",IF(MIN('Weekly Log'!$A$5:$A$5000)+7*(ROW()-10)&gt;MAX('Weekly Log'!$A$5:$A$5000),"",MIN('Weekly Log'!$A$5:$A$5000)+7*(ROW()-10)))</f>
        <v/>
      </c>
    </row>
    <row r="643" spans="1:10" x14ac:dyDescent="0.25">
      <c r="A643" t="str">
        <f t="shared" si="9"/>
        <v/>
      </c>
      <c r="B643" t="str">
        <f>IF($J643="","",SUMIFS('Weekly Log'!$C:$C,'Weekly Log'!$A:$A,"&gt;="&amp;$J643,'Weekly Log'!$A:$A,"&lt;"&amp;$J643+7))</f>
        <v/>
      </c>
      <c r="C643" t="str">
        <f>IF($J643="","",IFERROR(COUNTIFS('Weekly Log'!$G:$G,"Y",'Weekly Log'!$A:$A,"&gt;="&amp;$J643,'Weekly Log'!$A:$A,"&lt;"&amp;$J643+7)/COUNTIFS('Weekly Log'!$G:$G,"&lt;&gt;",'Weekly Log'!$A:$A,"&gt;="&amp;$J643,'Weekly Log'!$A:$A,"&lt;"&amp;$J643+7),0))</f>
        <v/>
      </c>
      <c r="D643" t="str">
        <f>IF($J643="","",IFERROR(COUNTIFS('Weekly Log'!$H:$H,"Y",'Weekly Log'!$A:$A,"&gt;="&amp;$J643,'Weekly Log'!$A:$A,"&lt;"&amp;$J643+7)/COUNTIFS('Weekly Log'!$H:$H,"&lt;&gt;",'Weekly Log'!$A:$A,"&gt;="&amp;$J643,'Weekly Log'!$A:$A,"&lt;"&amp;$J643+7),0))</f>
        <v/>
      </c>
      <c r="E643" t="str">
        <f>IF($J643="","",IFERROR(AVERAGEIFS('Weekly Log'!$F:$F,'Weekly Log'!$A:$A,"&gt;="&amp;$J643,'Weekly Log'!$A:$A,"&lt;"&amp;$J643+7),0))</f>
        <v/>
      </c>
      <c r="F643" t="str">
        <f>IF($J643="","",IFERROR(SUMIFS('Weekly Log'!$F:$F,'Weekly Log'!$A:$A,"&gt;="&amp;$J643,'Weekly Log'!$A:$A,"&lt;"&amp;$J643+7)/SUMIFS('Weekly Log'!$E:$E,'Weekly Log'!$A:$A,"&gt;="&amp;$J643,'Weekly Log'!$A:$A,"&lt;"&amp;$J643+7),0))</f>
        <v/>
      </c>
      <c r="G643" t="str">
        <f>IF($J643="","",IFERROR(LOOKUP(2,1/(('Weekly Log'!$A$5:$A$5000&gt;=$J643)*('Weekly Log'!$A$5:$A$5000&lt;$J643+7)*('Weekly Log'!$M$5:$M$5000&lt;&gt;"")),'Weekly Log'!$M$5:$M$5000),0))</f>
        <v/>
      </c>
      <c r="J643" t="str">
        <f>IF(COUNT('Weekly Log'!$A$5:$A$5000)=0,"",IF(MIN('Weekly Log'!$A$5:$A$5000)+7*(ROW()-10)&gt;MAX('Weekly Log'!$A$5:$A$5000),"",MIN('Weekly Log'!$A$5:$A$5000)+7*(ROW()-10)))</f>
        <v/>
      </c>
    </row>
    <row r="644" spans="1:10" x14ac:dyDescent="0.25">
      <c r="A644" t="str">
        <f t="shared" si="9"/>
        <v/>
      </c>
      <c r="B644" t="str">
        <f>IF($J644="","",SUMIFS('Weekly Log'!$C:$C,'Weekly Log'!$A:$A,"&gt;="&amp;$J644,'Weekly Log'!$A:$A,"&lt;"&amp;$J644+7))</f>
        <v/>
      </c>
      <c r="C644" t="str">
        <f>IF($J644="","",IFERROR(COUNTIFS('Weekly Log'!$G:$G,"Y",'Weekly Log'!$A:$A,"&gt;="&amp;$J644,'Weekly Log'!$A:$A,"&lt;"&amp;$J644+7)/COUNTIFS('Weekly Log'!$G:$G,"&lt;&gt;",'Weekly Log'!$A:$A,"&gt;="&amp;$J644,'Weekly Log'!$A:$A,"&lt;"&amp;$J644+7),0))</f>
        <v/>
      </c>
      <c r="D644" t="str">
        <f>IF($J644="","",IFERROR(COUNTIFS('Weekly Log'!$H:$H,"Y",'Weekly Log'!$A:$A,"&gt;="&amp;$J644,'Weekly Log'!$A:$A,"&lt;"&amp;$J644+7)/COUNTIFS('Weekly Log'!$H:$H,"&lt;&gt;",'Weekly Log'!$A:$A,"&gt;="&amp;$J644,'Weekly Log'!$A:$A,"&lt;"&amp;$J644+7),0))</f>
        <v/>
      </c>
      <c r="E644" t="str">
        <f>IF($J644="","",IFERROR(AVERAGEIFS('Weekly Log'!$F:$F,'Weekly Log'!$A:$A,"&gt;="&amp;$J644,'Weekly Log'!$A:$A,"&lt;"&amp;$J644+7),0))</f>
        <v/>
      </c>
      <c r="F644" t="str">
        <f>IF($J644="","",IFERROR(SUMIFS('Weekly Log'!$F:$F,'Weekly Log'!$A:$A,"&gt;="&amp;$J644,'Weekly Log'!$A:$A,"&lt;"&amp;$J644+7)/SUMIFS('Weekly Log'!$E:$E,'Weekly Log'!$A:$A,"&gt;="&amp;$J644,'Weekly Log'!$A:$A,"&lt;"&amp;$J644+7),0))</f>
        <v/>
      </c>
      <c r="G644" t="str">
        <f>IF($J644="","",IFERROR(LOOKUP(2,1/(('Weekly Log'!$A$5:$A$5000&gt;=$J644)*('Weekly Log'!$A$5:$A$5000&lt;$J644+7)*('Weekly Log'!$M$5:$M$5000&lt;&gt;"")),'Weekly Log'!$M$5:$M$5000),0))</f>
        <v/>
      </c>
      <c r="J644" t="str">
        <f>IF(COUNT('Weekly Log'!$A$5:$A$5000)=0,"",IF(MIN('Weekly Log'!$A$5:$A$5000)+7*(ROW()-10)&gt;MAX('Weekly Log'!$A$5:$A$5000),"",MIN('Weekly Log'!$A$5:$A$5000)+7*(ROW()-10)))</f>
        <v/>
      </c>
    </row>
    <row r="645" spans="1:10" x14ac:dyDescent="0.25">
      <c r="A645" t="str">
        <f t="shared" si="9"/>
        <v/>
      </c>
      <c r="B645" t="str">
        <f>IF($J645="","",SUMIFS('Weekly Log'!$C:$C,'Weekly Log'!$A:$A,"&gt;="&amp;$J645,'Weekly Log'!$A:$A,"&lt;"&amp;$J645+7))</f>
        <v/>
      </c>
      <c r="C645" t="str">
        <f>IF($J645="","",IFERROR(COUNTIFS('Weekly Log'!$G:$G,"Y",'Weekly Log'!$A:$A,"&gt;="&amp;$J645,'Weekly Log'!$A:$A,"&lt;"&amp;$J645+7)/COUNTIFS('Weekly Log'!$G:$G,"&lt;&gt;",'Weekly Log'!$A:$A,"&gt;="&amp;$J645,'Weekly Log'!$A:$A,"&lt;"&amp;$J645+7),0))</f>
        <v/>
      </c>
      <c r="D645" t="str">
        <f>IF($J645="","",IFERROR(COUNTIFS('Weekly Log'!$H:$H,"Y",'Weekly Log'!$A:$A,"&gt;="&amp;$J645,'Weekly Log'!$A:$A,"&lt;"&amp;$J645+7)/COUNTIFS('Weekly Log'!$H:$H,"&lt;&gt;",'Weekly Log'!$A:$A,"&gt;="&amp;$J645,'Weekly Log'!$A:$A,"&lt;"&amp;$J645+7),0))</f>
        <v/>
      </c>
      <c r="E645" t="str">
        <f>IF($J645="","",IFERROR(AVERAGEIFS('Weekly Log'!$F:$F,'Weekly Log'!$A:$A,"&gt;="&amp;$J645,'Weekly Log'!$A:$A,"&lt;"&amp;$J645+7),0))</f>
        <v/>
      </c>
      <c r="F645" t="str">
        <f>IF($J645="","",IFERROR(SUMIFS('Weekly Log'!$F:$F,'Weekly Log'!$A:$A,"&gt;="&amp;$J645,'Weekly Log'!$A:$A,"&lt;"&amp;$J645+7)/SUMIFS('Weekly Log'!$E:$E,'Weekly Log'!$A:$A,"&gt;="&amp;$J645,'Weekly Log'!$A:$A,"&lt;"&amp;$J645+7),0))</f>
        <v/>
      </c>
      <c r="G645" t="str">
        <f>IF($J645="","",IFERROR(LOOKUP(2,1/(('Weekly Log'!$A$5:$A$5000&gt;=$J645)*('Weekly Log'!$A$5:$A$5000&lt;$J645+7)*('Weekly Log'!$M$5:$M$5000&lt;&gt;"")),'Weekly Log'!$M$5:$M$5000),0))</f>
        <v/>
      </c>
      <c r="J645" t="str">
        <f>IF(COUNT('Weekly Log'!$A$5:$A$5000)=0,"",IF(MIN('Weekly Log'!$A$5:$A$5000)+7*(ROW()-10)&gt;MAX('Weekly Log'!$A$5:$A$5000),"",MIN('Weekly Log'!$A$5:$A$5000)+7*(ROW()-10)))</f>
        <v/>
      </c>
    </row>
    <row r="646" spans="1:10" x14ac:dyDescent="0.25">
      <c r="A646" t="str">
        <f t="shared" si="9"/>
        <v/>
      </c>
      <c r="B646" t="str">
        <f>IF($J646="","",SUMIFS('Weekly Log'!$C:$C,'Weekly Log'!$A:$A,"&gt;="&amp;$J646,'Weekly Log'!$A:$A,"&lt;"&amp;$J646+7))</f>
        <v/>
      </c>
      <c r="C646" t="str">
        <f>IF($J646="","",IFERROR(COUNTIFS('Weekly Log'!$G:$G,"Y",'Weekly Log'!$A:$A,"&gt;="&amp;$J646,'Weekly Log'!$A:$A,"&lt;"&amp;$J646+7)/COUNTIFS('Weekly Log'!$G:$G,"&lt;&gt;",'Weekly Log'!$A:$A,"&gt;="&amp;$J646,'Weekly Log'!$A:$A,"&lt;"&amp;$J646+7),0))</f>
        <v/>
      </c>
      <c r="D646" t="str">
        <f>IF($J646="","",IFERROR(COUNTIFS('Weekly Log'!$H:$H,"Y",'Weekly Log'!$A:$A,"&gt;="&amp;$J646,'Weekly Log'!$A:$A,"&lt;"&amp;$J646+7)/COUNTIFS('Weekly Log'!$H:$H,"&lt;&gt;",'Weekly Log'!$A:$A,"&gt;="&amp;$J646,'Weekly Log'!$A:$A,"&lt;"&amp;$J646+7),0))</f>
        <v/>
      </c>
      <c r="E646" t="str">
        <f>IF($J646="","",IFERROR(AVERAGEIFS('Weekly Log'!$F:$F,'Weekly Log'!$A:$A,"&gt;="&amp;$J646,'Weekly Log'!$A:$A,"&lt;"&amp;$J646+7),0))</f>
        <v/>
      </c>
      <c r="F646" t="str">
        <f>IF($J646="","",IFERROR(SUMIFS('Weekly Log'!$F:$F,'Weekly Log'!$A:$A,"&gt;="&amp;$J646,'Weekly Log'!$A:$A,"&lt;"&amp;$J646+7)/SUMIFS('Weekly Log'!$E:$E,'Weekly Log'!$A:$A,"&gt;="&amp;$J646,'Weekly Log'!$A:$A,"&lt;"&amp;$J646+7),0))</f>
        <v/>
      </c>
      <c r="G646" t="str">
        <f>IF($J646="","",IFERROR(LOOKUP(2,1/(('Weekly Log'!$A$5:$A$5000&gt;=$J646)*('Weekly Log'!$A$5:$A$5000&lt;$J646+7)*('Weekly Log'!$M$5:$M$5000&lt;&gt;"")),'Weekly Log'!$M$5:$M$5000),0))</f>
        <v/>
      </c>
      <c r="J646" t="str">
        <f>IF(COUNT('Weekly Log'!$A$5:$A$5000)=0,"",IF(MIN('Weekly Log'!$A$5:$A$5000)+7*(ROW()-10)&gt;MAX('Weekly Log'!$A$5:$A$5000),"",MIN('Weekly Log'!$A$5:$A$5000)+7*(ROW()-10)))</f>
        <v/>
      </c>
    </row>
    <row r="647" spans="1:10" x14ac:dyDescent="0.25">
      <c r="A647" t="str">
        <f t="shared" si="9"/>
        <v/>
      </c>
      <c r="B647" t="str">
        <f>IF($J647="","",SUMIFS('Weekly Log'!$C:$C,'Weekly Log'!$A:$A,"&gt;="&amp;$J647,'Weekly Log'!$A:$A,"&lt;"&amp;$J647+7))</f>
        <v/>
      </c>
      <c r="C647" t="str">
        <f>IF($J647="","",IFERROR(COUNTIFS('Weekly Log'!$G:$G,"Y",'Weekly Log'!$A:$A,"&gt;="&amp;$J647,'Weekly Log'!$A:$A,"&lt;"&amp;$J647+7)/COUNTIFS('Weekly Log'!$G:$G,"&lt;&gt;",'Weekly Log'!$A:$A,"&gt;="&amp;$J647,'Weekly Log'!$A:$A,"&lt;"&amp;$J647+7),0))</f>
        <v/>
      </c>
      <c r="D647" t="str">
        <f>IF($J647="","",IFERROR(COUNTIFS('Weekly Log'!$H:$H,"Y",'Weekly Log'!$A:$A,"&gt;="&amp;$J647,'Weekly Log'!$A:$A,"&lt;"&amp;$J647+7)/COUNTIFS('Weekly Log'!$H:$H,"&lt;&gt;",'Weekly Log'!$A:$A,"&gt;="&amp;$J647,'Weekly Log'!$A:$A,"&lt;"&amp;$J647+7),0))</f>
        <v/>
      </c>
      <c r="E647" t="str">
        <f>IF($J647="","",IFERROR(AVERAGEIFS('Weekly Log'!$F:$F,'Weekly Log'!$A:$A,"&gt;="&amp;$J647,'Weekly Log'!$A:$A,"&lt;"&amp;$J647+7),0))</f>
        <v/>
      </c>
      <c r="F647" t="str">
        <f>IF($J647="","",IFERROR(SUMIFS('Weekly Log'!$F:$F,'Weekly Log'!$A:$A,"&gt;="&amp;$J647,'Weekly Log'!$A:$A,"&lt;"&amp;$J647+7)/SUMIFS('Weekly Log'!$E:$E,'Weekly Log'!$A:$A,"&gt;="&amp;$J647,'Weekly Log'!$A:$A,"&lt;"&amp;$J647+7),0))</f>
        <v/>
      </c>
      <c r="G647" t="str">
        <f>IF($J647="","",IFERROR(LOOKUP(2,1/(('Weekly Log'!$A$5:$A$5000&gt;=$J647)*('Weekly Log'!$A$5:$A$5000&lt;$J647+7)*('Weekly Log'!$M$5:$M$5000&lt;&gt;"")),'Weekly Log'!$M$5:$M$5000),0))</f>
        <v/>
      </c>
      <c r="J647" t="str">
        <f>IF(COUNT('Weekly Log'!$A$5:$A$5000)=0,"",IF(MIN('Weekly Log'!$A$5:$A$5000)+7*(ROW()-10)&gt;MAX('Weekly Log'!$A$5:$A$5000),"",MIN('Weekly Log'!$A$5:$A$5000)+7*(ROW()-10)))</f>
        <v/>
      </c>
    </row>
    <row r="648" spans="1:10" x14ac:dyDescent="0.25">
      <c r="A648" t="str">
        <f t="shared" si="9"/>
        <v/>
      </c>
      <c r="B648" t="str">
        <f>IF($J648="","",SUMIFS('Weekly Log'!$C:$C,'Weekly Log'!$A:$A,"&gt;="&amp;$J648,'Weekly Log'!$A:$A,"&lt;"&amp;$J648+7))</f>
        <v/>
      </c>
      <c r="C648" t="str">
        <f>IF($J648="","",IFERROR(COUNTIFS('Weekly Log'!$G:$G,"Y",'Weekly Log'!$A:$A,"&gt;="&amp;$J648,'Weekly Log'!$A:$A,"&lt;"&amp;$J648+7)/COUNTIFS('Weekly Log'!$G:$G,"&lt;&gt;",'Weekly Log'!$A:$A,"&gt;="&amp;$J648,'Weekly Log'!$A:$A,"&lt;"&amp;$J648+7),0))</f>
        <v/>
      </c>
      <c r="D648" t="str">
        <f>IF($J648="","",IFERROR(COUNTIFS('Weekly Log'!$H:$H,"Y",'Weekly Log'!$A:$A,"&gt;="&amp;$J648,'Weekly Log'!$A:$A,"&lt;"&amp;$J648+7)/COUNTIFS('Weekly Log'!$H:$H,"&lt;&gt;",'Weekly Log'!$A:$A,"&gt;="&amp;$J648,'Weekly Log'!$A:$A,"&lt;"&amp;$J648+7),0))</f>
        <v/>
      </c>
      <c r="E648" t="str">
        <f>IF($J648="","",IFERROR(AVERAGEIFS('Weekly Log'!$F:$F,'Weekly Log'!$A:$A,"&gt;="&amp;$J648,'Weekly Log'!$A:$A,"&lt;"&amp;$J648+7),0))</f>
        <v/>
      </c>
      <c r="F648" t="str">
        <f>IF($J648="","",IFERROR(SUMIFS('Weekly Log'!$F:$F,'Weekly Log'!$A:$A,"&gt;="&amp;$J648,'Weekly Log'!$A:$A,"&lt;"&amp;$J648+7)/SUMIFS('Weekly Log'!$E:$E,'Weekly Log'!$A:$A,"&gt;="&amp;$J648,'Weekly Log'!$A:$A,"&lt;"&amp;$J648+7),0))</f>
        <v/>
      </c>
      <c r="G648" t="str">
        <f>IF($J648="","",IFERROR(LOOKUP(2,1/(('Weekly Log'!$A$5:$A$5000&gt;=$J648)*('Weekly Log'!$A$5:$A$5000&lt;$J648+7)*('Weekly Log'!$M$5:$M$5000&lt;&gt;"")),'Weekly Log'!$M$5:$M$5000),0))</f>
        <v/>
      </c>
      <c r="J648" t="str">
        <f>IF(COUNT('Weekly Log'!$A$5:$A$5000)=0,"",IF(MIN('Weekly Log'!$A$5:$A$5000)+7*(ROW()-10)&gt;MAX('Weekly Log'!$A$5:$A$5000),"",MIN('Weekly Log'!$A$5:$A$5000)+7*(ROW()-10)))</f>
        <v/>
      </c>
    </row>
    <row r="649" spans="1:10" x14ac:dyDescent="0.25">
      <c r="A649" t="str">
        <f t="shared" si="9"/>
        <v/>
      </c>
      <c r="B649" t="str">
        <f>IF($J649="","",SUMIFS('Weekly Log'!$C:$C,'Weekly Log'!$A:$A,"&gt;="&amp;$J649,'Weekly Log'!$A:$A,"&lt;"&amp;$J649+7))</f>
        <v/>
      </c>
      <c r="C649" t="str">
        <f>IF($J649="","",IFERROR(COUNTIFS('Weekly Log'!$G:$G,"Y",'Weekly Log'!$A:$A,"&gt;="&amp;$J649,'Weekly Log'!$A:$A,"&lt;"&amp;$J649+7)/COUNTIFS('Weekly Log'!$G:$G,"&lt;&gt;",'Weekly Log'!$A:$A,"&gt;="&amp;$J649,'Weekly Log'!$A:$A,"&lt;"&amp;$J649+7),0))</f>
        <v/>
      </c>
      <c r="D649" t="str">
        <f>IF($J649="","",IFERROR(COUNTIFS('Weekly Log'!$H:$H,"Y",'Weekly Log'!$A:$A,"&gt;="&amp;$J649,'Weekly Log'!$A:$A,"&lt;"&amp;$J649+7)/COUNTIFS('Weekly Log'!$H:$H,"&lt;&gt;",'Weekly Log'!$A:$A,"&gt;="&amp;$J649,'Weekly Log'!$A:$A,"&lt;"&amp;$J649+7),0))</f>
        <v/>
      </c>
      <c r="E649" t="str">
        <f>IF($J649="","",IFERROR(AVERAGEIFS('Weekly Log'!$F:$F,'Weekly Log'!$A:$A,"&gt;="&amp;$J649,'Weekly Log'!$A:$A,"&lt;"&amp;$J649+7),0))</f>
        <v/>
      </c>
      <c r="F649" t="str">
        <f>IF($J649="","",IFERROR(SUMIFS('Weekly Log'!$F:$F,'Weekly Log'!$A:$A,"&gt;="&amp;$J649,'Weekly Log'!$A:$A,"&lt;"&amp;$J649+7)/SUMIFS('Weekly Log'!$E:$E,'Weekly Log'!$A:$A,"&gt;="&amp;$J649,'Weekly Log'!$A:$A,"&lt;"&amp;$J649+7),0))</f>
        <v/>
      </c>
      <c r="G649" t="str">
        <f>IF($J649="","",IFERROR(LOOKUP(2,1/(('Weekly Log'!$A$5:$A$5000&gt;=$J649)*('Weekly Log'!$A$5:$A$5000&lt;$J649+7)*('Weekly Log'!$M$5:$M$5000&lt;&gt;"")),'Weekly Log'!$M$5:$M$5000),0))</f>
        <v/>
      </c>
      <c r="J649" t="str">
        <f>IF(COUNT('Weekly Log'!$A$5:$A$5000)=0,"",IF(MIN('Weekly Log'!$A$5:$A$5000)+7*(ROW()-10)&gt;MAX('Weekly Log'!$A$5:$A$5000),"",MIN('Weekly Log'!$A$5:$A$5000)+7*(ROW()-10)))</f>
        <v/>
      </c>
    </row>
    <row r="650" spans="1:10" x14ac:dyDescent="0.25">
      <c r="A650" t="str">
        <f t="shared" ref="A650:A713" si="10">IF($J650="","",YEAR($J650-WEEKDAY($J650,2)+4)&amp;"-W"&amp;TEXT(WEEKNUM($J650,21),"00"))</f>
        <v/>
      </c>
      <c r="B650" t="str">
        <f>IF($J650="","",SUMIFS('Weekly Log'!$C:$C,'Weekly Log'!$A:$A,"&gt;="&amp;$J650,'Weekly Log'!$A:$A,"&lt;"&amp;$J650+7))</f>
        <v/>
      </c>
      <c r="C650" t="str">
        <f>IF($J650="","",IFERROR(COUNTIFS('Weekly Log'!$G:$G,"Y",'Weekly Log'!$A:$A,"&gt;="&amp;$J650,'Weekly Log'!$A:$A,"&lt;"&amp;$J650+7)/COUNTIFS('Weekly Log'!$G:$G,"&lt;&gt;",'Weekly Log'!$A:$A,"&gt;="&amp;$J650,'Weekly Log'!$A:$A,"&lt;"&amp;$J650+7),0))</f>
        <v/>
      </c>
      <c r="D650" t="str">
        <f>IF($J650="","",IFERROR(COUNTIFS('Weekly Log'!$H:$H,"Y",'Weekly Log'!$A:$A,"&gt;="&amp;$J650,'Weekly Log'!$A:$A,"&lt;"&amp;$J650+7)/COUNTIFS('Weekly Log'!$H:$H,"&lt;&gt;",'Weekly Log'!$A:$A,"&gt;="&amp;$J650,'Weekly Log'!$A:$A,"&lt;"&amp;$J650+7),0))</f>
        <v/>
      </c>
      <c r="E650" t="str">
        <f>IF($J650="","",IFERROR(AVERAGEIFS('Weekly Log'!$F:$F,'Weekly Log'!$A:$A,"&gt;="&amp;$J650,'Weekly Log'!$A:$A,"&lt;"&amp;$J650+7),0))</f>
        <v/>
      </c>
      <c r="F650" t="str">
        <f>IF($J650="","",IFERROR(SUMIFS('Weekly Log'!$F:$F,'Weekly Log'!$A:$A,"&gt;="&amp;$J650,'Weekly Log'!$A:$A,"&lt;"&amp;$J650+7)/SUMIFS('Weekly Log'!$E:$E,'Weekly Log'!$A:$A,"&gt;="&amp;$J650,'Weekly Log'!$A:$A,"&lt;"&amp;$J650+7),0))</f>
        <v/>
      </c>
      <c r="G650" t="str">
        <f>IF($J650="","",IFERROR(LOOKUP(2,1/(('Weekly Log'!$A$5:$A$5000&gt;=$J650)*('Weekly Log'!$A$5:$A$5000&lt;$J650+7)*('Weekly Log'!$M$5:$M$5000&lt;&gt;"")),'Weekly Log'!$M$5:$M$5000),0))</f>
        <v/>
      </c>
      <c r="J650" t="str">
        <f>IF(COUNT('Weekly Log'!$A$5:$A$5000)=0,"",IF(MIN('Weekly Log'!$A$5:$A$5000)+7*(ROW()-10)&gt;MAX('Weekly Log'!$A$5:$A$5000),"",MIN('Weekly Log'!$A$5:$A$5000)+7*(ROW()-10)))</f>
        <v/>
      </c>
    </row>
    <row r="651" spans="1:10" x14ac:dyDescent="0.25">
      <c r="A651" t="str">
        <f t="shared" si="10"/>
        <v/>
      </c>
      <c r="B651" t="str">
        <f>IF($J651="","",SUMIFS('Weekly Log'!$C:$C,'Weekly Log'!$A:$A,"&gt;="&amp;$J651,'Weekly Log'!$A:$A,"&lt;"&amp;$J651+7))</f>
        <v/>
      </c>
      <c r="C651" t="str">
        <f>IF($J651="","",IFERROR(COUNTIFS('Weekly Log'!$G:$G,"Y",'Weekly Log'!$A:$A,"&gt;="&amp;$J651,'Weekly Log'!$A:$A,"&lt;"&amp;$J651+7)/COUNTIFS('Weekly Log'!$G:$G,"&lt;&gt;",'Weekly Log'!$A:$A,"&gt;="&amp;$J651,'Weekly Log'!$A:$A,"&lt;"&amp;$J651+7),0))</f>
        <v/>
      </c>
      <c r="D651" t="str">
        <f>IF($J651="","",IFERROR(COUNTIFS('Weekly Log'!$H:$H,"Y",'Weekly Log'!$A:$A,"&gt;="&amp;$J651,'Weekly Log'!$A:$A,"&lt;"&amp;$J651+7)/COUNTIFS('Weekly Log'!$H:$H,"&lt;&gt;",'Weekly Log'!$A:$A,"&gt;="&amp;$J651,'Weekly Log'!$A:$A,"&lt;"&amp;$J651+7),0))</f>
        <v/>
      </c>
      <c r="E651" t="str">
        <f>IF($J651="","",IFERROR(AVERAGEIFS('Weekly Log'!$F:$F,'Weekly Log'!$A:$A,"&gt;="&amp;$J651,'Weekly Log'!$A:$A,"&lt;"&amp;$J651+7),0))</f>
        <v/>
      </c>
      <c r="F651" t="str">
        <f>IF($J651="","",IFERROR(SUMIFS('Weekly Log'!$F:$F,'Weekly Log'!$A:$A,"&gt;="&amp;$J651,'Weekly Log'!$A:$A,"&lt;"&amp;$J651+7)/SUMIFS('Weekly Log'!$E:$E,'Weekly Log'!$A:$A,"&gt;="&amp;$J651,'Weekly Log'!$A:$A,"&lt;"&amp;$J651+7),0))</f>
        <v/>
      </c>
      <c r="G651" t="str">
        <f>IF($J651="","",IFERROR(LOOKUP(2,1/(('Weekly Log'!$A$5:$A$5000&gt;=$J651)*('Weekly Log'!$A$5:$A$5000&lt;$J651+7)*('Weekly Log'!$M$5:$M$5000&lt;&gt;"")),'Weekly Log'!$M$5:$M$5000),0))</f>
        <v/>
      </c>
      <c r="J651" t="str">
        <f>IF(COUNT('Weekly Log'!$A$5:$A$5000)=0,"",IF(MIN('Weekly Log'!$A$5:$A$5000)+7*(ROW()-10)&gt;MAX('Weekly Log'!$A$5:$A$5000),"",MIN('Weekly Log'!$A$5:$A$5000)+7*(ROW()-10)))</f>
        <v/>
      </c>
    </row>
    <row r="652" spans="1:10" x14ac:dyDescent="0.25">
      <c r="A652" t="str">
        <f t="shared" si="10"/>
        <v/>
      </c>
      <c r="B652" t="str">
        <f>IF($J652="","",SUMIFS('Weekly Log'!$C:$C,'Weekly Log'!$A:$A,"&gt;="&amp;$J652,'Weekly Log'!$A:$A,"&lt;"&amp;$J652+7))</f>
        <v/>
      </c>
      <c r="C652" t="str">
        <f>IF($J652="","",IFERROR(COUNTIFS('Weekly Log'!$G:$G,"Y",'Weekly Log'!$A:$A,"&gt;="&amp;$J652,'Weekly Log'!$A:$A,"&lt;"&amp;$J652+7)/COUNTIFS('Weekly Log'!$G:$G,"&lt;&gt;",'Weekly Log'!$A:$A,"&gt;="&amp;$J652,'Weekly Log'!$A:$A,"&lt;"&amp;$J652+7),0))</f>
        <v/>
      </c>
      <c r="D652" t="str">
        <f>IF($J652="","",IFERROR(COUNTIFS('Weekly Log'!$H:$H,"Y",'Weekly Log'!$A:$A,"&gt;="&amp;$J652,'Weekly Log'!$A:$A,"&lt;"&amp;$J652+7)/COUNTIFS('Weekly Log'!$H:$H,"&lt;&gt;",'Weekly Log'!$A:$A,"&gt;="&amp;$J652,'Weekly Log'!$A:$A,"&lt;"&amp;$J652+7),0))</f>
        <v/>
      </c>
      <c r="E652" t="str">
        <f>IF($J652="","",IFERROR(AVERAGEIFS('Weekly Log'!$F:$F,'Weekly Log'!$A:$A,"&gt;="&amp;$J652,'Weekly Log'!$A:$A,"&lt;"&amp;$J652+7),0))</f>
        <v/>
      </c>
      <c r="F652" t="str">
        <f>IF($J652="","",IFERROR(SUMIFS('Weekly Log'!$F:$F,'Weekly Log'!$A:$A,"&gt;="&amp;$J652,'Weekly Log'!$A:$A,"&lt;"&amp;$J652+7)/SUMIFS('Weekly Log'!$E:$E,'Weekly Log'!$A:$A,"&gt;="&amp;$J652,'Weekly Log'!$A:$A,"&lt;"&amp;$J652+7),0))</f>
        <v/>
      </c>
      <c r="G652" t="str">
        <f>IF($J652="","",IFERROR(LOOKUP(2,1/(('Weekly Log'!$A$5:$A$5000&gt;=$J652)*('Weekly Log'!$A$5:$A$5000&lt;$J652+7)*('Weekly Log'!$M$5:$M$5000&lt;&gt;"")),'Weekly Log'!$M$5:$M$5000),0))</f>
        <v/>
      </c>
      <c r="J652" t="str">
        <f>IF(COUNT('Weekly Log'!$A$5:$A$5000)=0,"",IF(MIN('Weekly Log'!$A$5:$A$5000)+7*(ROW()-10)&gt;MAX('Weekly Log'!$A$5:$A$5000),"",MIN('Weekly Log'!$A$5:$A$5000)+7*(ROW()-10)))</f>
        <v/>
      </c>
    </row>
    <row r="653" spans="1:10" x14ac:dyDescent="0.25">
      <c r="A653" t="str">
        <f t="shared" si="10"/>
        <v/>
      </c>
      <c r="B653" t="str">
        <f>IF($J653="","",SUMIFS('Weekly Log'!$C:$C,'Weekly Log'!$A:$A,"&gt;="&amp;$J653,'Weekly Log'!$A:$A,"&lt;"&amp;$J653+7))</f>
        <v/>
      </c>
      <c r="C653" t="str">
        <f>IF($J653="","",IFERROR(COUNTIFS('Weekly Log'!$G:$G,"Y",'Weekly Log'!$A:$A,"&gt;="&amp;$J653,'Weekly Log'!$A:$A,"&lt;"&amp;$J653+7)/COUNTIFS('Weekly Log'!$G:$G,"&lt;&gt;",'Weekly Log'!$A:$A,"&gt;="&amp;$J653,'Weekly Log'!$A:$A,"&lt;"&amp;$J653+7),0))</f>
        <v/>
      </c>
      <c r="D653" t="str">
        <f>IF($J653="","",IFERROR(COUNTIFS('Weekly Log'!$H:$H,"Y",'Weekly Log'!$A:$A,"&gt;="&amp;$J653,'Weekly Log'!$A:$A,"&lt;"&amp;$J653+7)/COUNTIFS('Weekly Log'!$H:$H,"&lt;&gt;",'Weekly Log'!$A:$A,"&gt;="&amp;$J653,'Weekly Log'!$A:$A,"&lt;"&amp;$J653+7),0))</f>
        <v/>
      </c>
      <c r="E653" t="str">
        <f>IF($J653="","",IFERROR(AVERAGEIFS('Weekly Log'!$F:$F,'Weekly Log'!$A:$A,"&gt;="&amp;$J653,'Weekly Log'!$A:$A,"&lt;"&amp;$J653+7),0))</f>
        <v/>
      </c>
      <c r="F653" t="str">
        <f>IF($J653="","",IFERROR(SUMIFS('Weekly Log'!$F:$F,'Weekly Log'!$A:$A,"&gt;="&amp;$J653,'Weekly Log'!$A:$A,"&lt;"&amp;$J653+7)/SUMIFS('Weekly Log'!$E:$E,'Weekly Log'!$A:$A,"&gt;="&amp;$J653,'Weekly Log'!$A:$A,"&lt;"&amp;$J653+7),0))</f>
        <v/>
      </c>
      <c r="G653" t="str">
        <f>IF($J653="","",IFERROR(LOOKUP(2,1/(('Weekly Log'!$A$5:$A$5000&gt;=$J653)*('Weekly Log'!$A$5:$A$5000&lt;$J653+7)*('Weekly Log'!$M$5:$M$5000&lt;&gt;"")),'Weekly Log'!$M$5:$M$5000),0))</f>
        <v/>
      </c>
      <c r="J653" t="str">
        <f>IF(COUNT('Weekly Log'!$A$5:$A$5000)=0,"",IF(MIN('Weekly Log'!$A$5:$A$5000)+7*(ROW()-10)&gt;MAX('Weekly Log'!$A$5:$A$5000),"",MIN('Weekly Log'!$A$5:$A$5000)+7*(ROW()-10)))</f>
        <v/>
      </c>
    </row>
    <row r="654" spans="1:10" x14ac:dyDescent="0.25">
      <c r="A654" t="str">
        <f t="shared" si="10"/>
        <v/>
      </c>
      <c r="B654" t="str">
        <f>IF($J654="","",SUMIFS('Weekly Log'!$C:$C,'Weekly Log'!$A:$A,"&gt;="&amp;$J654,'Weekly Log'!$A:$A,"&lt;"&amp;$J654+7))</f>
        <v/>
      </c>
      <c r="C654" t="str">
        <f>IF($J654="","",IFERROR(COUNTIFS('Weekly Log'!$G:$G,"Y",'Weekly Log'!$A:$A,"&gt;="&amp;$J654,'Weekly Log'!$A:$A,"&lt;"&amp;$J654+7)/COUNTIFS('Weekly Log'!$G:$G,"&lt;&gt;",'Weekly Log'!$A:$A,"&gt;="&amp;$J654,'Weekly Log'!$A:$A,"&lt;"&amp;$J654+7),0))</f>
        <v/>
      </c>
      <c r="D654" t="str">
        <f>IF($J654="","",IFERROR(COUNTIFS('Weekly Log'!$H:$H,"Y",'Weekly Log'!$A:$A,"&gt;="&amp;$J654,'Weekly Log'!$A:$A,"&lt;"&amp;$J654+7)/COUNTIFS('Weekly Log'!$H:$H,"&lt;&gt;",'Weekly Log'!$A:$A,"&gt;="&amp;$J654,'Weekly Log'!$A:$A,"&lt;"&amp;$J654+7),0))</f>
        <v/>
      </c>
      <c r="E654" t="str">
        <f>IF($J654="","",IFERROR(AVERAGEIFS('Weekly Log'!$F:$F,'Weekly Log'!$A:$A,"&gt;="&amp;$J654,'Weekly Log'!$A:$A,"&lt;"&amp;$J654+7),0))</f>
        <v/>
      </c>
      <c r="F654" t="str">
        <f>IF($J654="","",IFERROR(SUMIFS('Weekly Log'!$F:$F,'Weekly Log'!$A:$A,"&gt;="&amp;$J654,'Weekly Log'!$A:$A,"&lt;"&amp;$J654+7)/SUMIFS('Weekly Log'!$E:$E,'Weekly Log'!$A:$A,"&gt;="&amp;$J654,'Weekly Log'!$A:$A,"&lt;"&amp;$J654+7),0))</f>
        <v/>
      </c>
      <c r="G654" t="str">
        <f>IF($J654="","",IFERROR(LOOKUP(2,1/(('Weekly Log'!$A$5:$A$5000&gt;=$J654)*('Weekly Log'!$A$5:$A$5000&lt;$J654+7)*('Weekly Log'!$M$5:$M$5000&lt;&gt;"")),'Weekly Log'!$M$5:$M$5000),0))</f>
        <v/>
      </c>
      <c r="J654" t="str">
        <f>IF(COUNT('Weekly Log'!$A$5:$A$5000)=0,"",IF(MIN('Weekly Log'!$A$5:$A$5000)+7*(ROW()-10)&gt;MAX('Weekly Log'!$A$5:$A$5000),"",MIN('Weekly Log'!$A$5:$A$5000)+7*(ROW()-10)))</f>
        <v/>
      </c>
    </row>
    <row r="655" spans="1:10" x14ac:dyDescent="0.25">
      <c r="A655" t="str">
        <f t="shared" si="10"/>
        <v/>
      </c>
      <c r="B655" t="str">
        <f>IF($J655="","",SUMIFS('Weekly Log'!$C:$C,'Weekly Log'!$A:$A,"&gt;="&amp;$J655,'Weekly Log'!$A:$A,"&lt;"&amp;$J655+7))</f>
        <v/>
      </c>
      <c r="C655" t="str">
        <f>IF($J655="","",IFERROR(COUNTIFS('Weekly Log'!$G:$G,"Y",'Weekly Log'!$A:$A,"&gt;="&amp;$J655,'Weekly Log'!$A:$A,"&lt;"&amp;$J655+7)/COUNTIFS('Weekly Log'!$G:$G,"&lt;&gt;",'Weekly Log'!$A:$A,"&gt;="&amp;$J655,'Weekly Log'!$A:$A,"&lt;"&amp;$J655+7),0))</f>
        <v/>
      </c>
      <c r="D655" t="str">
        <f>IF($J655="","",IFERROR(COUNTIFS('Weekly Log'!$H:$H,"Y",'Weekly Log'!$A:$A,"&gt;="&amp;$J655,'Weekly Log'!$A:$A,"&lt;"&amp;$J655+7)/COUNTIFS('Weekly Log'!$H:$H,"&lt;&gt;",'Weekly Log'!$A:$A,"&gt;="&amp;$J655,'Weekly Log'!$A:$A,"&lt;"&amp;$J655+7),0))</f>
        <v/>
      </c>
      <c r="E655" t="str">
        <f>IF($J655="","",IFERROR(AVERAGEIFS('Weekly Log'!$F:$F,'Weekly Log'!$A:$A,"&gt;="&amp;$J655,'Weekly Log'!$A:$A,"&lt;"&amp;$J655+7),0))</f>
        <v/>
      </c>
      <c r="F655" t="str">
        <f>IF($J655="","",IFERROR(SUMIFS('Weekly Log'!$F:$F,'Weekly Log'!$A:$A,"&gt;="&amp;$J655,'Weekly Log'!$A:$A,"&lt;"&amp;$J655+7)/SUMIFS('Weekly Log'!$E:$E,'Weekly Log'!$A:$A,"&gt;="&amp;$J655,'Weekly Log'!$A:$A,"&lt;"&amp;$J655+7),0))</f>
        <v/>
      </c>
      <c r="G655" t="str">
        <f>IF($J655="","",IFERROR(LOOKUP(2,1/(('Weekly Log'!$A$5:$A$5000&gt;=$J655)*('Weekly Log'!$A$5:$A$5000&lt;$J655+7)*('Weekly Log'!$M$5:$M$5000&lt;&gt;"")),'Weekly Log'!$M$5:$M$5000),0))</f>
        <v/>
      </c>
      <c r="J655" t="str">
        <f>IF(COUNT('Weekly Log'!$A$5:$A$5000)=0,"",IF(MIN('Weekly Log'!$A$5:$A$5000)+7*(ROW()-10)&gt;MAX('Weekly Log'!$A$5:$A$5000),"",MIN('Weekly Log'!$A$5:$A$5000)+7*(ROW()-10)))</f>
        <v/>
      </c>
    </row>
    <row r="656" spans="1:10" x14ac:dyDescent="0.25">
      <c r="A656" t="str">
        <f t="shared" si="10"/>
        <v/>
      </c>
      <c r="B656" t="str">
        <f>IF($J656="","",SUMIFS('Weekly Log'!$C:$C,'Weekly Log'!$A:$A,"&gt;="&amp;$J656,'Weekly Log'!$A:$A,"&lt;"&amp;$J656+7))</f>
        <v/>
      </c>
      <c r="C656" t="str">
        <f>IF($J656="","",IFERROR(COUNTIFS('Weekly Log'!$G:$G,"Y",'Weekly Log'!$A:$A,"&gt;="&amp;$J656,'Weekly Log'!$A:$A,"&lt;"&amp;$J656+7)/COUNTIFS('Weekly Log'!$G:$G,"&lt;&gt;",'Weekly Log'!$A:$A,"&gt;="&amp;$J656,'Weekly Log'!$A:$A,"&lt;"&amp;$J656+7),0))</f>
        <v/>
      </c>
      <c r="D656" t="str">
        <f>IF($J656="","",IFERROR(COUNTIFS('Weekly Log'!$H:$H,"Y",'Weekly Log'!$A:$A,"&gt;="&amp;$J656,'Weekly Log'!$A:$A,"&lt;"&amp;$J656+7)/COUNTIFS('Weekly Log'!$H:$H,"&lt;&gt;",'Weekly Log'!$A:$A,"&gt;="&amp;$J656,'Weekly Log'!$A:$A,"&lt;"&amp;$J656+7),0))</f>
        <v/>
      </c>
      <c r="E656" t="str">
        <f>IF($J656="","",IFERROR(AVERAGEIFS('Weekly Log'!$F:$F,'Weekly Log'!$A:$A,"&gt;="&amp;$J656,'Weekly Log'!$A:$A,"&lt;"&amp;$J656+7),0))</f>
        <v/>
      </c>
      <c r="F656" t="str">
        <f>IF($J656="","",IFERROR(SUMIFS('Weekly Log'!$F:$F,'Weekly Log'!$A:$A,"&gt;="&amp;$J656,'Weekly Log'!$A:$A,"&lt;"&amp;$J656+7)/SUMIFS('Weekly Log'!$E:$E,'Weekly Log'!$A:$A,"&gt;="&amp;$J656,'Weekly Log'!$A:$A,"&lt;"&amp;$J656+7),0))</f>
        <v/>
      </c>
      <c r="G656" t="str">
        <f>IF($J656="","",IFERROR(LOOKUP(2,1/(('Weekly Log'!$A$5:$A$5000&gt;=$J656)*('Weekly Log'!$A$5:$A$5000&lt;$J656+7)*('Weekly Log'!$M$5:$M$5000&lt;&gt;"")),'Weekly Log'!$M$5:$M$5000),0))</f>
        <v/>
      </c>
      <c r="J656" t="str">
        <f>IF(COUNT('Weekly Log'!$A$5:$A$5000)=0,"",IF(MIN('Weekly Log'!$A$5:$A$5000)+7*(ROW()-10)&gt;MAX('Weekly Log'!$A$5:$A$5000),"",MIN('Weekly Log'!$A$5:$A$5000)+7*(ROW()-10)))</f>
        <v/>
      </c>
    </row>
    <row r="657" spans="1:10" x14ac:dyDescent="0.25">
      <c r="A657" t="str">
        <f t="shared" si="10"/>
        <v/>
      </c>
      <c r="B657" t="str">
        <f>IF($J657="","",SUMIFS('Weekly Log'!$C:$C,'Weekly Log'!$A:$A,"&gt;="&amp;$J657,'Weekly Log'!$A:$A,"&lt;"&amp;$J657+7))</f>
        <v/>
      </c>
      <c r="C657" t="str">
        <f>IF($J657="","",IFERROR(COUNTIFS('Weekly Log'!$G:$G,"Y",'Weekly Log'!$A:$A,"&gt;="&amp;$J657,'Weekly Log'!$A:$A,"&lt;"&amp;$J657+7)/COUNTIFS('Weekly Log'!$G:$G,"&lt;&gt;",'Weekly Log'!$A:$A,"&gt;="&amp;$J657,'Weekly Log'!$A:$A,"&lt;"&amp;$J657+7),0))</f>
        <v/>
      </c>
      <c r="D657" t="str">
        <f>IF($J657="","",IFERROR(COUNTIFS('Weekly Log'!$H:$H,"Y",'Weekly Log'!$A:$A,"&gt;="&amp;$J657,'Weekly Log'!$A:$A,"&lt;"&amp;$J657+7)/COUNTIFS('Weekly Log'!$H:$H,"&lt;&gt;",'Weekly Log'!$A:$A,"&gt;="&amp;$J657,'Weekly Log'!$A:$A,"&lt;"&amp;$J657+7),0))</f>
        <v/>
      </c>
      <c r="E657" t="str">
        <f>IF($J657="","",IFERROR(AVERAGEIFS('Weekly Log'!$F:$F,'Weekly Log'!$A:$A,"&gt;="&amp;$J657,'Weekly Log'!$A:$A,"&lt;"&amp;$J657+7),0))</f>
        <v/>
      </c>
      <c r="F657" t="str">
        <f>IF($J657="","",IFERROR(SUMIFS('Weekly Log'!$F:$F,'Weekly Log'!$A:$A,"&gt;="&amp;$J657,'Weekly Log'!$A:$A,"&lt;"&amp;$J657+7)/SUMIFS('Weekly Log'!$E:$E,'Weekly Log'!$A:$A,"&gt;="&amp;$J657,'Weekly Log'!$A:$A,"&lt;"&amp;$J657+7),0))</f>
        <v/>
      </c>
      <c r="G657" t="str">
        <f>IF($J657="","",IFERROR(LOOKUP(2,1/(('Weekly Log'!$A$5:$A$5000&gt;=$J657)*('Weekly Log'!$A$5:$A$5000&lt;$J657+7)*('Weekly Log'!$M$5:$M$5000&lt;&gt;"")),'Weekly Log'!$M$5:$M$5000),0))</f>
        <v/>
      </c>
      <c r="J657" t="str">
        <f>IF(COUNT('Weekly Log'!$A$5:$A$5000)=0,"",IF(MIN('Weekly Log'!$A$5:$A$5000)+7*(ROW()-10)&gt;MAX('Weekly Log'!$A$5:$A$5000),"",MIN('Weekly Log'!$A$5:$A$5000)+7*(ROW()-10)))</f>
        <v/>
      </c>
    </row>
    <row r="658" spans="1:10" x14ac:dyDescent="0.25">
      <c r="A658" t="str">
        <f t="shared" si="10"/>
        <v/>
      </c>
      <c r="B658" t="str">
        <f>IF($J658="","",SUMIFS('Weekly Log'!$C:$C,'Weekly Log'!$A:$A,"&gt;="&amp;$J658,'Weekly Log'!$A:$A,"&lt;"&amp;$J658+7))</f>
        <v/>
      </c>
      <c r="C658" t="str">
        <f>IF($J658="","",IFERROR(COUNTIFS('Weekly Log'!$G:$G,"Y",'Weekly Log'!$A:$A,"&gt;="&amp;$J658,'Weekly Log'!$A:$A,"&lt;"&amp;$J658+7)/COUNTIFS('Weekly Log'!$G:$G,"&lt;&gt;",'Weekly Log'!$A:$A,"&gt;="&amp;$J658,'Weekly Log'!$A:$A,"&lt;"&amp;$J658+7),0))</f>
        <v/>
      </c>
      <c r="D658" t="str">
        <f>IF($J658="","",IFERROR(COUNTIFS('Weekly Log'!$H:$H,"Y",'Weekly Log'!$A:$A,"&gt;="&amp;$J658,'Weekly Log'!$A:$A,"&lt;"&amp;$J658+7)/COUNTIFS('Weekly Log'!$H:$H,"&lt;&gt;",'Weekly Log'!$A:$A,"&gt;="&amp;$J658,'Weekly Log'!$A:$A,"&lt;"&amp;$J658+7),0))</f>
        <v/>
      </c>
      <c r="E658" t="str">
        <f>IF($J658="","",IFERROR(AVERAGEIFS('Weekly Log'!$F:$F,'Weekly Log'!$A:$A,"&gt;="&amp;$J658,'Weekly Log'!$A:$A,"&lt;"&amp;$J658+7),0))</f>
        <v/>
      </c>
      <c r="F658" t="str">
        <f>IF($J658="","",IFERROR(SUMIFS('Weekly Log'!$F:$F,'Weekly Log'!$A:$A,"&gt;="&amp;$J658,'Weekly Log'!$A:$A,"&lt;"&amp;$J658+7)/SUMIFS('Weekly Log'!$E:$E,'Weekly Log'!$A:$A,"&gt;="&amp;$J658,'Weekly Log'!$A:$A,"&lt;"&amp;$J658+7),0))</f>
        <v/>
      </c>
      <c r="G658" t="str">
        <f>IF($J658="","",IFERROR(LOOKUP(2,1/(('Weekly Log'!$A$5:$A$5000&gt;=$J658)*('Weekly Log'!$A$5:$A$5000&lt;$J658+7)*('Weekly Log'!$M$5:$M$5000&lt;&gt;"")),'Weekly Log'!$M$5:$M$5000),0))</f>
        <v/>
      </c>
      <c r="J658" t="str">
        <f>IF(COUNT('Weekly Log'!$A$5:$A$5000)=0,"",IF(MIN('Weekly Log'!$A$5:$A$5000)+7*(ROW()-10)&gt;MAX('Weekly Log'!$A$5:$A$5000),"",MIN('Weekly Log'!$A$5:$A$5000)+7*(ROW()-10)))</f>
        <v/>
      </c>
    </row>
    <row r="659" spans="1:10" x14ac:dyDescent="0.25">
      <c r="A659" t="str">
        <f t="shared" si="10"/>
        <v/>
      </c>
      <c r="B659" t="str">
        <f>IF($J659="","",SUMIFS('Weekly Log'!$C:$C,'Weekly Log'!$A:$A,"&gt;="&amp;$J659,'Weekly Log'!$A:$A,"&lt;"&amp;$J659+7))</f>
        <v/>
      </c>
      <c r="C659" t="str">
        <f>IF($J659="","",IFERROR(COUNTIFS('Weekly Log'!$G:$G,"Y",'Weekly Log'!$A:$A,"&gt;="&amp;$J659,'Weekly Log'!$A:$A,"&lt;"&amp;$J659+7)/COUNTIFS('Weekly Log'!$G:$G,"&lt;&gt;",'Weekly Log'!$A:$A,"&gt;="&amp;$J659,'Weekly Log'!$A:$A,"&lt;"&amp;$J659+7),0))</f>
        <v/>
      </c>
      <c r="D659" t="str">
        <f>IF($J659="","",IFERROR(COUNTIFS('Weekly Log'!$H:$H,"Y",'Weekly Log'!$A:$A,"&gt;="&amp;$J659,'Weekly Log'!$A:$A,"&lt;"&amp;$J659+7)/COUNTIFS('Weekly Log'!$H:$H,"&lt;&gt;",'Weekly Log'!$A:$A,"&gt;="&amp;$J659,'Weekly Log'!$A:$A,"&lt;"&amp;$J659+7),0))</f>
        <v/>
      </c>
      <c r="E659" t="str">
        <f>IF($J659="","",IFERROR(AVERAGEIFS('Weekly Log'!$F:$F,'Weekly Log'!$A:$A,"&gt;="&amp;$J659,'Weekly Log'!$A:$A,"&lt;"&amp;$J659+7),0))</f>
        <v/>
      </c>
      <c r="F659" t="str">
        <f>IF($J659="","",IFERROR(SUMIFS('Weekly Log'!$F:$F,'Weekly Log'!$A:$A,"&gt;="&amp;$J659,'Weekly Log'!$A:$A,"&lt;"&amp;$J659+7)/SUMIFS('Weekly Log'!$E:$E,'Weekly Log'!$A:$A,"&gt;="&amp;$J659,'Weekly Log'!$A:$A,"&lt;"&amp;$J659+7),0))</f>
        <v/>
      </c>
      <c r="G659" t="str">
        <f>IF($J659="","",IFERROR(LOOKUP(2,1/(('Weekly Log'!$A$5:$A$5000&gt;=$J659)*('Weekly Log'!$A$5:$A$5000&lt;$J659+7)*('Weekly Log'!$M$5:$M$5000&lt;&gt;"")),'Weekly Log'!$M$5:$M$5000),0))</f>
        <v/>
      </c>
      <c r="J659" t="str">
        <f>IF(COUNT('Weekly Log'!$A$5:$A$5000)=0,"",IF(MIN('Weekly Log'!$A$5:$A$5000)+7*(ROW()-10)&gt;MAX('Weekly Log'!$A$5:$A$5000),"",MIN('Weekly Log'!$A$5:$A$5000)+7*(ROW()-10)))</f>
        <v/>
      </c>
    </row>
    <row r="660" spans="1:10" x14ac:dyDescent="0.25">
      <c r="A660" t="str">
        <f t="shared" si="10"/>
        <v/>
      </c>
      <c r="B660" t="str">
        <f>IF($J660="","",SUMIFS('Weekly Log'!$C:$C,'Weekly Log'!$A:$A,"&gt;="&amp;$J660,'Weekly Log'!$A:$A,"&lt;"&amp;$J660+7))</f>
        <v/>
      </c>
      <c r="C660" t="str">
        <f>IF($J660="","",IFERROR(COUNTIFS('Weekly Log'!$G:$G,"Y",'Weekly Log'!$A:$A,"&gt;="&amp;$J660,'Weekly Log'!$A:$A,"&lt;"&amp;$J660+7)/COUNTIFS('Weekly Log'!$G:$G,"&lt;&gt;",'Weekly Log'!$A:$A,"&gt;="&amp;$J660,'Weekly Log'!$A:$A,"&lt;"&amp;$J660+7),0))</f>
        <v/>
      </c>
      <c r="D660" t="str">
        <f>IF($J660="","",IFERROR(COUNTIFS('Weekly Log'!$H:$H,"Y",'Weekly Log'!$A:$A,"&gt;="&amp;$J660,'Weekly Log'!$A:$A,"&lt;"&amp;$J660+7)/COUNTIFS('Weekly Log'!$H:$H,"&lt;&gt;",'Weekly Log'!$A:$A,"&gt;="&amp;$J660,'Weekly Log'!$A:$A,"&lt;"&amp;$J660+7),0))</f>
        <v/>
      </c>
      <c r="E660" t="str">
        <f>IF($J660="","",IFERROR(AVERAGEIFS('Weekly Log'!$F:$F,'Weekly Log'!$A:$A,"&gt;="&amp;$J660,'Weekly Log'!$A:$A,"&lt;"&amp;$J660+7),0))</f>
        <v/>
      </c>
      <c r="F660" t="str">
        <f>IF($J660="","",IFERROR(SUMIFS('Weekly Log'!$F:$F,'Weekly Log'!$A:$A,"&gt;="&amp;$J660,'Weekly Log'!$A:$A,"&lt;"&amp;$J660+7)/SUMIFS('Weekly Log'!$E:$E,'Weekly Log'!$A:$A,"&gt;="&amp;$J660,'Weekly Log'!$A:$A,"&lt;"&amp;$J660+7),0))</f>
        <v/>
      </c>
      <c r="G660" t="str">
        <f>IF($J660="","",IFERROR(LOOKUP(2,1/(('Weekly Log'!$A$5:$A$5000&gt;=$J660)*('Weekly Log'!$A$5:$A$5000&lt;$J660+7)*('Weekly Log'!$M$5:$M$5000&lt;&gt;"")),'Weekly Log'!$M$5:$M$5000),0))</f>
        <v/>
      </c>
      <c r="J660" t="str">
        <f>IF(COUNT('Weekly Log'!$A$5:$A$5000)=0,"",IF(MIN('Weekly Log'!$A$5:$A$5000)+7*(ROW()-10)&gt;MAX('Weekly Log'!$A$5:$A$5000),"",MIN('Weekly Log'!$A$5:$A$5000)+7*(ROW()-10)))</f>
        <v/>
      </c>
    </row>
    <row r="661" spans="1:10" x14ac:dyDescent="0.25">
      <c r="A661" t="str">
        <f t="shared" si="10"/>
        <v/>
      </c>
      <c r="B661" t="str">
        <f>IF($J661="","",SUMIFS('Weekly Log'!$C:$C,'Weekly Log'!$A:$A,"&gt;="&amp;$J661,'Weekly Log'!$A:$A,"&lt;"&amp;$J661+7))</f>
        <v/>
      </c>
      <c r="C661" t="str">
        <f>IF($J661="","",IFERROR(COUNTIFS('Weekly Log'!$G:$G,"Y",'Weekly Log'!$A:$A,"&gt;="&amp;$J661,'Weekly Log'!$A:$A,"&lt;"&amp;$J661+7)/COUNTIFS('Weekly Log'!$G:$G,"&lt;&gt;",'Weekly Log'!$A:$A,"&gt;="&amp;$J661,'Weekly Log'!$A:$A,"&lt;"&amp;$J661+7),0))</f>
        <v/>
      </c>
      <c r="D661" t="str">
        <f>IF($J661="","",IFERROR(COUNTIFS('Weekly Log'!$H:$H,"Y",'Weekly Log'!$A:$A,"&gt;="&amp;$J661,'Weekly Log'!$A:$A,"&lt;"&amp;$J661+7)/COUNTIFS('Weekly Log'!$H:$H,"&lt;&gt;",'Weekly Log'!$A:$A,"&gt;="&amp;$J661,'Weekly Log'!$A:$A,"&lt;"&amp;$J661+7),0))</f>
        <v/>
      </c>
      <c r="E661" t="str">
        <f>IF($J661="","",IFERROR(AVERAGEIFS('Weekly Log'!$F:$F,'Weekly Log'!$A:$A,"&gt;="&amp;$J661,'Weekly Log'!$A:$A,"&lt;"&amp;$J661+7),0))</f>
        <v/>
      </c>
      <c r="F661" t="str">
        <f>IF($J661="","",IFERROR(SUMIFS('Weekly Log'!$F:$F,'Weekly Log'!$A:$A,"&gt;="&amp;$J661,'Weekly Log'!$A:$A,"&lt;"&amp;$J661+7)/SUMIFS('Weekly Log'!$E:$E,'Weekly Log'!$A:$A,"&gt;="&amp;$J661,'Weekly Log'!$A:$A,"&lt;"&amp;$J661+7),0))</f>
        <v/>
      </c>
      <c r="G661" t="str">
        <f>IF($J661="","",IFERROR(LOOKUP(2,1/(('Weekly Log'!$A$5:$A$5000&gt;=$J661)*('Weekly Log'!$A$5:$A$5000&lt;$J661+7)*('Weekly Log'!$M$5:$M$5000&lt;&gt;"")),'Weekly Log'!$M$5:$M$5000),0))</f>
        <v/>
      </c>
      <c r="J661" t="str">
        <f>IF(COUNT('Weekly Log'!$A$5:$A$5000)=0,"",IF(MIN('Weekly Log'!$A$5:$A$5000)+7*(ROW()-10)&gt;MAX('Weekly Log'!$A$5:$A$5000),"",MIN('Weekly Log'!$A$5:$A$5000)+7*(ROW()-10)))</f>
        <v/>
      </c>
    </row>
    <row r="662" spans="1:10" x14ac:dyDescent="0.25">
      <c r="A662" t="str">
        <f t="shared" si="10"/>
        <v/>
      </c>
      <c r="B662" t="str">
        <f>IF($J662="","",SUMIFS('Weekly Log'!$C:$C,'Weekly Log'!$A:$A,"&gt;="&amp;$J662,'Weekly Log'!$A:$A,"&lt;"&amp;$J662+7))</f>
        <v/>
      </c>
      <c r="C662" t="str">
        <f>IF($J662="","",IFERROR(COUNTIFS('Weekly Log'!$G:$G,"Y",'Weekly Log'!$A:$A,"&gt;="&amp;$J662,'Weekly Log'!$A:$A,"&lt;"&amp;$J662+7)/COUNTIFS('Weekly Log'!$G:$G,"&lt;&gt;",'Weekly Log'!$A:$A,"&gt;="&amp;$J662,'Weekly Log'!$A:$A,"&lt;"&amp;$J662+7),0))</f>
        <v/>
      </c>
      <c r="D662" t="str">
        <f>IF($J662="","",IFERROR(COUNTIFS('Weekly Log'!$H:$H,"Y",'Weekly Log'!$A:$A,"&gt;="&amp;$J662,'Weekly Log'!$A:$A,"&lt;"&amp;$J662+7)/COUNTIFS('Weekly Log'!$H:$H,"&lt;&gt;",'Weekly Log'!$A:$A,"&gt;="&amp;$J662,'Weekly Log'!$A:$A,"&lt;"&amp;$J662+7),0))</f>
        <v/>
      </c>
      <c r="E662" t="str">
        <f>IF($J662="","",IFERROR(AVERAGEIFS('Weekly Log'!$F:$F,'Weekly Log'!$A:$A,"&gt;="&amp;$J662,'Weekly Log'!$A:$A,"&lt;"&amp;$J662+7),0))</f>
        <v/>
      </c>
      <c r="F662" t="str">
        <f>IF($J662="","",IFERROR(SUMIFS('Weekly Log'!$F:$F,'Weekly Log'!$A:$A,"&gt;="&amp;$J662,'Weekly Log'!$A:$A,"&lt;"&amp;$J662+7)/SUMIFS('Weekly Log'!$E:$E,'Weekly Log'!$A:$A,"&gt;="&amp;$J662,'Weekly Log'!$A:$A,"&lt;"&amp;$J662+7),0))</f>
        <v/>
      </c>
      <c r="G662" t="str">
        <f>IF($J662="","",IFERROR(LOOKUP(2,1/(('Weekly Log'!$A$5:$A$5000&gt;=$J662)*('Weekly Log'!$A$5:$A$5000&lt;$J662+7)*('Weekly Log'!$M$5:$M$5000&lt;&gt;"")),'Weekly Log'!$M$5:$M$5000),0))</f>
        <v/>
      </c>
      <c r="J662" t="str">
        <f>IF(COUNT('Weekly Log'!$A$5:$A$5000)=0,"",IF(MIN('Weekly Log'!$A$5:$A$5000)+7*(ROW()-10)&gt;MAX('Weekly Log'!$A$5:$A$5000),"",MIN('Weekly Log'!$A$5:$A$5000)+7*(ROW()-10)))</f>
        <v/>
      </c>
    </row>
    <row r="663" spans="1:10" x14ac:dyDescent="0.25">
      <c r="A663" t="str">
        <f t="shared" si="10"/>
        <v/>
      </c>
      <c r="B663" t="str">
        <f>IF($J663="","",SUMIFS('Weekly Log'!$C:$C,'Weekly Log'!$A:$A,"&gt;="&amp;$J663,'Weekly Log'!$A:$A,"&lt;"&amp;$J663+7))</f>
        <v/>
      </c>
      <c r="C663" t="str">
        <f>IF($J663="","",IFERROR(COUNTIFS('Weekly Log'!$G:$G,"Y",'Weekly Log'!$A:$A,"&gt;="&amp;$J663,'Weekly Log'!$A:$A,"&lt;"&amp;$J663+7)/COUNTIFS('Weekly Log'!$G:$G,"&lt;&gt;",'Weekly Log'!$A:$A,"&gt;="&amp;$J663,'Weekly Log'!$A:$A,"&lt;"&amp;$J663+7),0))</f>
        <v/>
      </c>
      <c r="D663" t="str">
        <f>IF($J663="","",IFERROR(COUNTIFS('Weekly Log'!$H:$H,"Y",'Weekly Log'!$A:$A,"&gt;="&amp;$J663,'Weekly Log'!$A:$A,"&lt;"&amp;$J663+7)/COUNTIFS('Weekly Log'!$H:$H,"&lt;&gt;",'Weekly Log'!$A:$A,"&gt;="&amp;$J663,'Weekly Log'!$A:$A,"&lt;"&amp;$J663+7),0))</f>
        <v/>
      </c>
      <c r="E663" t="str">
        <f>IF($J663="","",IFERROR(AVERAGEIFS('Weekly Log'!$F:$F,'Weekly Log'!$A:$A,"&gt;="&amp;$J663,'Weekly Log'!$A:$A,"&lt;"&amp;$J663+7),0))</f>
        <v/>
      </c>
      <c r="F663" t="str">
        <f>IF($J663="","",IFERROR(SUMIFS('Weekly Log'!$F:$F,'Weekly Log'!$A:$A,"&gt;="&amp;$J663,'Weekly Log'!$A:$A,"&lt;"&amp;$J663+7)/SUMIFS('Weekly Log'!$E:$E,'Weekly Log'!$A:$A,"&gt;="&amp;$J663,'Weekly Log'!$A:$A,"&lt;"&amp;$J663+7),0))</f>
        <v/>
      </c>
      <c r="G663" t="str">
        <f>IF($J663="","",IFERROR(LOOKUP(2,1/(('Weekly Log'!$A$5:$A$5000&gt;=$J663)*('Weekly Log'!$A$5:$A$5000&lt;$J663+7)*('Weekly Log'!$M$5:$M$5000&lt;&gt;"")),'Weekly Log'!$M$5:$M$5000),0))</f>
        <v/>
      </c>
      <c r="J663" t="str">
        <f>IF(COUNT('Weekly Log'!$A$5:$A$5000)=0,"",IF(MIN('Weekly Log'!$A$5:$A$5000)+7*(ROW()-10)&gt;MAX('Weekly Log'!$A$5:$A$5000),"",MIN('Weekly Log'!$A$5:$A$5000)+7*(ROW()-10)))</f>
        <v/>
      </c>
    </row>
    <row r="664" spans="1:10" x14ac:dyDescent="0.25">
      <c r="A664" t="str">
        <f t="shared" si="10"/>
        <v/>
      </c>
      <c r="B664" t="str">
        <f>IF($J664="","",SUMIFS('Weekly Log'!$C:$C,'Weekly Log'!$A:$A,"&gt;="&amp;$J664,'Weekly Log'!$A:$A,"&lt;"&amp;$J664+7))</f>
        <v/>
      </c>
      <c r="C664" t="str">
        <f>IF($J664="","",IFERROR(COUNTIFS('Weekly Log'!$G:$G,"Y",'Weekly Log'!$A:$A,"&gt;="&amp;$J664,'Weekly Log'!$A:$A,"&lt;"&amp;$J664+7)/COUNTIFS('Weekly Log'!$G:$G,"&lt;&gt;",'Weekly Log'!$A:$A,"&gt;="&amp;$J664,'Weekly Log'!$A:$A,"&lt;"&amp;$J664+7),0))</f>
        <v/>
      </c>
      <c r="D664" t="str">
        <f>IF($J664="","",IFERROR(COUNTIFS('Weekly Log'!$H:$H,"Y",'Weekly Log'!$A:$A,"&gt;="&amp;$J664,'Weekly Log'!$A:$A,"&lt;"&amp;$J664+7)/COUNTIFS('Weekly Log'!$H:$H,"&lt;&gt;",'Weekly Log'!$A:$A,"&gt;="&amp;$J664,'Weekly Log'!$A:$A,"&lt;"&amp;$J664+7),0))</f>
        <v/>
      </c>
      <c r="E664" t="str">
        <f>IF($J664="","",IFERROR(AVERAGEIFS('Weekly Log'!$F:$F,'Weekly Log'!$A:$A,"&gt;="&amp;$J664,'Weekly Log'!$A:$A,"&lt;"&amp;$J664+7),0))</f>
        <v/>
      </c>
      <c r="F664" t="str">
        <f>IF($J664="","",IFERROR(SUMIFS('Weekly Log'!$F:$F,'Weekly Log'!$A:$A,"&gt;="&amp;$J664,'Weekly Log'!$A:$A,"&lt;"&amp;$J664+7)/SUMIFS('Weekly Log'!$E:$E,'Weekly Log'!$A:$A,"&gt;="&amp;$J664,'Weekly Log'!$A:$A,"&lt;"&amp;$J664+7),0))</f>
        <v/>
      </c>
      <c r="G664" t="str">
        <f>IF($J664="","",IFERROR(LOOKUP(2,1/(('Weekly Log'!$A$5:$A$5000&gt;=$J664)*('Weekly Log'!$A$5:$A$5000&lt;$J664+7)*('Weekly Log'!$M$5:$M$5000&lt;&gt;"")),'Weekly Log'!$M$5:$M$5000),0))</f>
        <v/>
      </c>
      <c r="J664" t="str">
        <f>IF(COUNT('Weekly Log'!$A$5:$A$5000)=0,"",IF(MIN('Weekly Log'!$A$5:$A$5000)+7*(ROW()-10)&gt;MAX('Weekly Log'!$A$5:$A$5000),"",MIN('Weekly Log'!$A$5:$A$5000)+7*(ROW()-10)))</f>
        <v/>
      </c>
    </row>
    <row r="665" spans="1:10" x14ac:dyDescent="0.25">
      <c r="A665" t="str">
        <f t="shared" si="10"/>
        <v/>
      </c>
      <c r="B665" t="str">
        <f>IF($J665="","",SUMIFS('Weekly Log'!$C:$C,'Weekly Log'!$A:$A,"&gt;="&amp;$J665,'Weekly Log'!$A:$A,"&lt;"&amp;$J665+7))</f>
        <v/>
      </c>
      <c r="C665" t="str">
        <f>IF($J665="","",IFERROR(COUNTIFS('Weekly Log'!$G:$G,"Y",'Weekly Log'!$A:$A,"&gt;="&amp;$J665,'Weekly Log'!$A:$A,"&lt;"&amp;$J665+7)/COUNTIFS('Weekly Log'!$G:$G,"&lt;&gt;",'Weekly Log'!$A:$A,"&gt;="&amp;$J665,'Weekly Log'!$A:$A,"&lt;"&amp;$J665+7),0))</f>
        <v/>
      </c>
      <c r="D665" t="str">
        <f>IF($J665="","",IFERROR(COUNTIFS('Weekly Log'!$H:$H,"Y",'Weekly Log'!$A:$A,"&gt;="&amp;$J665,'Weekly Log'!$A:$A,"&lt;"&amp;$J665+7)/COUNTIFS('Weekly Log'!$H:$H,"&lt;&gt;",'Weekly Log'!$A:$A,"&gt;="&amp;$J665,'Weekly Log'!$A:$A,"&lt;"&amp;$J665+7),0))</f>
        <v/>
      </c>
      <c r="E665" t="str">
        <f>IF($J665="","",IFERROR(AVERAGEIFS('Weekly Log'!$F:$F,'Weekly Log'!$A:$A,"&gt;="&amp;$J665,'Weekly Log'!$A:$A,"&lt;"&amp;$J665+7),0))</f>
        <v/>
      </c>
      <c r="F665" t="str">
        <f>IF($J665="","",IFERROR(SUMIFS('Weekly Log'!$F:$F,'Weekly Log'!$A:$A,"&gt;="&amp;$J665,'Weekly Log'!$A:$A,"&lt;"&amp;$J665+7)/SUMIFS('Weekly Log'!$E:$E,'Weekly Log'!$A:$A,"&gt;="&amp;$J665,'Weekly Log'!$A:$A,"&lt;"&amp;$J665+7),0))</f>
        <v/>
      </c>
      <c r="G665" t="str">
        <f>IF($J665="","",IFERROR(LOOKUP(2,1/(('Weekly Log'!$A$5:$A$5000&gt;=$J665)*('Weekly Log'!$A$5:$A$5000&lt;$J665+7)*('Weekly Log'!$M$5:$M$5000&lt;&gt;"")),'Weekly Log'!$M$5:$M$5000),0))</f>
        <v/>
      </c>
      <c r="J665" t="str">
        <f>IF(COUNT('Weekly Log'!$A$5:$A$5000)=0,"",IF(MIN('Weekly Log'!$A$5:$A$5000)+7*(ROW()-10)&gt;MAX('Weekly Log'!$A$5:$A$5000),"",MIN('Weekly Log'!$A$5:$A$5000)+7*(ROW()-10)))</f>
        <v/>
      </c>
    </row>
    <row r="666" spans="1:10" x14ac:dyDescent="0.25">
      <c r="A666" t="str">
        <f t="shared" si="10"/>
        <v/>
      </c>
      <c r="B666" t="str">
        <f>IF($J666="","",SUMIFS('Weekly Log'!$C:$C,'Weekly Log'!$A:$A,"&gt;="&amp;$J666,'Weekly Log'!$A:$A,"&lt;"&amp;$J666+7))</f>
        <v/>
      </c>
      <c r="C666" t="str">
        <f>IF($J666="","",IFERROR(COUNTIFS('Weekly Log'!$G:$G,"Y",'Weekly Log'!$A:$A,"&gt;="&amp;$J666,'Weekly Log'!$A:$A,"&lt;"&amp;$J666+7)/COUNTIFS('Weekly Log'!$G:$G,"&lt;&gt;",'Weekly Log'!$A:$A,"&gt;="&amp;$J666,'Weekly Log'!$A:$A,"&lt;"&amp;$J666+7),0))</f>
        <v/>
      </c>
      <c r="D666" t="str">
        <f>IF($J666="","",IFERROR(COUNTIFS('Weekly Log'!$H:$H,"Y",'Weekly Log'!$A:$A,"&gt;="&amp;$J666,'Weekly Log'!$A:$A,"&lt;"&amp;$J666+7)/COUNTIFS('Weekly Log'!$H:$H,"&lt;&gt;",'Weekly Log'!$A:$A,"&gt;="&amp;$J666,'Weekly Log'!$A:$A,"&lt;"&amp;$J666+7),0))</f>
        <v/>
      </c>
      <c r="E666" t="str">
        <f>IF($J666="","",IFERROR(AVERAGEIFS('Weekly Log'!$F:$F,'Weekly Log'!$A:$A,"&gt;="&amp;$J666,'Weekly Log'!$A:$A,"&lt;"&amp;$J666+7),0))</f>
        <v/>
      </c>
      <c r="F666" t="str">
        <f>IF($J666="","",IFERROR(SUMIFS('Weekly Log'!$F:$F,'Weekly Log'!$A:$A,"&gt;="&amp;$J666,'Weekly Log'!$A:$A,"&lt;"&amp;$J666+7)/SUMIFS('Weekly Log'!$E:$E,'Weekly Log'!$A:$A,"&gt;="&amp;$J666,'Weekly Log'!$A:$A,"&lt;"&amp;$J666+7),0))</f>
        <v/>
      </c>
      <c r="G666" t="str">
        <f>IF($J666="","",IFERROR(LOOKUP(2,1/(('Weekly Log'!$A$5:$A$5000&gt;=$J666)*('Weekly Log'!$A$5:$A$5000&lt;$J666+7)*('Weekly Log'!$M$5:$M$5000&lt;&gt;"")),'Weekly Log'!$M$5:$M$5000),0))</f>
        <v/>
      </c>
      <c r="J666" t="str">
        <f>IF(COUNT('Weekly Log'!$A$5:$A$5000)=0,"",IF(MIN('Weekly Log'!$A$5:$A$5000)+7*(ROW()-10)&gt;MAX('Weekly Log'!$A$5:$A$5000),"",MIN('Weekly Log'!$A$5:$A$5000)+7*(ROW()-10)))</f>
        <v/>
      </c>
    </row>
    <row r="667" spans="1:10" x14ac:dyDescent="0.25">
      <c r="A667" t="str">
        <f t="shared" si="10"/>
        <v/>
      </c>
      <c r="B667" t="str">
        <f>IF($J667="","",SUMIFS('Weekly Log'!$C:$C,'Weekly Log'!$A:$A,"&gt;="&amp;$J667,'Weekly Log'!$A:$A,"&lt;"&amp;$J667+7))</f>
        <v/>
      </c>
      <c r="C667" t="str">
        <f>IF($J667="","",IFERROR(COUNTIFS('Weekly Log'!$G:$G,"Y",'Weekly Log'!$A:$A,"&gt;="&amp;$J667,'Weekly Log'!$A:$A,"&lt;"&amp;$J667+7)/COUNTIFS('Weekly Log'!$G:$G,"&lt;&gt;",'Weekly Log'!$A:$A,"&gt;="&amp;$J667,'Weekly Log'!$A:$A,"&lt;"&amp;$J667+7),0))</f>
        <v/>
      </c>
      <c r="D667" t="str">
        <f>IF($J667="","",IFERROR(COUNTIFS('Weekly Log'!$H:$H,"Y",'Weekly Log'!$A:$A,"&gt;="&amp;$J667,'Weekly Log'!$A:$A,"&lt;"&amp;$J667+7)/COUNTIFS('Weekly Log'!$H:$H,"&lt;&gt;",'Weekly Log'!$A:$A,"&gt;="&amp;$J667,'Weekly Log'!$A:$A,"&lt;"&amp;$J667+7),0))</f>
        <v/>
      </c>
      <c r="E667" t="str">
        <f>IF($J667="","",IFERROR(AVERAGEIFS('Weekly Log'!$F:$F,'Weekly Log'!$A:$A,"&gt;="&amp;$J667,'Weekly Log'!$A:$A,"&lt;"&amp;$J667+7),0))</f>
        <v/>
      </c>
      <c r="F667" t="str">
        <f>IF($J667="","",IFERROR(SUMIFS('Weekly Log'!$F:$F,'Weekly Log'!$A:$A,"&gt;="&amp;$J667,'Weekly Log'!$A:$A,"&lt;"&amp;$J667+7)/SUMIFS('Weekly Log'!$E:$E,'Weekly Log'!$A:$A,"&gt;="&amp;$J667,'Weekly Log'!$A:$A,"&lt;"&amp;$J667+7),0))</f>
        <v/>
      </c>
      <c r="G667" t="str">
        <f>IF($J667="","",IFERROR(LOOKUP(2,1/(('Weekly Log'!$A$5:$A$5000&gt;=$J667)*('Weekly Log'!$A$5:$A$5000&lt;$J667+7)*('Weekly Log'!$M$5:$M$5000&lt;&gt;"")),'Weekly Log'!$M$5:$M$5000),0))</f>
        <v/>
      </c>
      <c r="J667" t="str">
        <f>IF(COUNT('Weekly Log'!$A$5:$A$5000)=0,"",IF(MIN('Weekly Log'!$A$5:$A$5000)+7*(ROW()-10)&gt;MAX('Weekly Log'!$A$5:$A$5000),"",MIN('Weekly Log'!$A$5:$A$5000)+7*(ROW()-10)))</f>
        <v/>
      </c>
    </row>
    <row r="668" spans="1:10" x14ac:dyDescent="0.25">
      <c r="A668" t="str">
        <f t="shared" si="10"/>
        <v/>
      </c>
      <c r="B668" t="str">
        <f>IF($J668="","",SUMIFS('Weekly Log'!$C:$C,'Weekly Log'!$A:$A,"&gt;="&amp;$J668,'Weekly Log'!$A:$A,"&lt;"&amp;$J668+7))</f>
        <v/>
      </c>
      <c r="C668" t="str">
        <f>IF($J668="","",IFERROR(COUNTIFS('Weekly Log'!$G:$G,"Y",'Weekly Log'!$A:$A,"&gt;="&amp;$J668,'Weekly Log'!$A:$A,"&lt;"&amp;$J668+7)/COUNTIFS('Weekly Log'!$G:$G,"&lt;&gt;",'Weekly Log'!$A:$A,"&gt;="&amp;$J668,'Weekly Log'!$A:$A,"&lt;"&amp;$J668+7),0))</f>
        <v/>
      </c>
      <c r="D668" t="str">
        <f>IF($J668="","",IFERROR(COUNTIFS('Weekly Log'!$H:$H,"Y",'Weekly Log'!$A:$A,"&gt;="&amp;$J668,'Weekly Log'!$A:$A,"&lt;"&amp;$J668+7)/COUNTIFS('Weekly Log'!$H:$H,"&lt;&gt;",'Weekly Log'!$A:$A,"&gt;="&amp;$J668,'Weekly Log'!$A:$A,"&lt;"&amp;$J668+7),0))</f>
        <v/>
      </c>
      <c r="E668" t="str">
        <f>IF($J668="","",IFERROR(AVERAGEIFS('Weekly Log'!$F:$F,'Weekly Log'!$A:$A,"&gt;="&amp;$J668,'Weekly Log'!$A:$A,"&lt;"&amp;$J668+7),0))</f>
        <v/>
      </c>
      <c r="F668" t="str">
        <f>IF($J668="","",IFERROR(SUMIFS('Weekly Log'!$F:$F,'Weekly Log'!$A:$A,"&gt;="&amp;$J668,'Weekly Log'!$A:$A,"&lt;"&amp;$J668+7)/SUMIFS('Weekly Log'!$E:$E,'Weekly Log'!$A:$A,"&gt;="&amp;$J668,'Weekly Log'!$A:$A,"&lt;"&amp;$J668+7),0))</f>
        <v/>
      </c>
      <c r="G668" t="str">
        <f>IF($J668="","",IFERROR(LOOKUP(2,1/(('Weekly Log'!$A$5:$A$5000&gt;=$J668)*('Weekly Log'!$A$5:$A$5000&lt;$J668+7)*('Weekly Log'!$M$5:$M$5000&lt;&gt;"")),'Weekly Log'!$M$5:$M$5000),0))</f>
        <v/>
      </c>
      <c r="J668" t="str">
        <f>IF(COUNT('Weekly Log'!$A$5:$A$5000)=0,"",IF(MIN('Weekly Log'!$A$5:$A$5000)+7*(ROW()-10)&gt;MAX('Weekly Log'!$A$5:$A$5000),"",MIN('Weekly Log'!$A$5:$A$5000)+7*(ROW()-10)))</f>
        <v/>
      </c>
    </row>
    <row r="669" spans="1:10" x14ac:dyDescent="0.25">
      <c r="A669" t="str">
        <f t="shared" si="10"/>
        <v/>
      </c>
      <c r="B669" t="str">
        <f>IF($J669="","",SUMIFS('Weekly Log'!$C:$C,'Weekly Log'!$A:$A,"&gt;="&amp;$J669,'Weekly Log'!$A:$A,"&lt;"&amp;$J669+7))</f>
        <v/>
      </c>
      <c r="C669" t="str">
        <f>IF($J669="","",IFERROR(COUNTIFS('Weekly Log'!$G:$G,"Y",'Weekly Log'!$A:$A,"&gt;="&amp;$J669,'Weekly Log'!$A:$A,"&lt;"&amp;$J669+7)/COUNTIFS('Weekly Log'!$G:$G,"&lt;&gt;",'Weekly Log'!$A:$A,"&gt;="&amp;$J669,'Weekly Log'!$A:$A,"&lt;"&amp;$J669+7),0))</f>
        <v/>
      </c>
      <c r="D669" t="str">
        <f>IF($J669="","",IFERROR(COUNTIFS('Weekly Log'!$H:$H,"Y",'Weekly Log'!$A:$A,"&gt;="&amp;$J669,'Weekly Log'!$A:$A,"&lt;"&amp;$J669+7)/COUNTIFS('Weekly Log'!$H:$H,"&lt;&gt;",'Weekly Log'!$A:$A,"&gt;="&amp;$J669,'Weekly Log'!$A:$A,"&lt;"&amp;$J669+7),0))</f>
        <v/>
      </c>
      <c r="E669" t="str">
        <f>IF($J669="","",IFERROR(AVERAGEIFS('Weekly Log'!$F:$F,'Weekly Log'!$A:$A,"&gt;="&amp;$J669,'Weekly Log'!$A:$A,"&lt;"&amp;$J669+7),0))</f>
        <v/>
      </c>
      <c r="F669" t="str">
        <f>IF($J669="","",IFERROR(SUMIFS('Weekly Log'!$F:$F,'Weekly Log'!$A:$A,"&gt;="&amp;$J669,'Weekly Log'!$A:$A,"&lt;"&amp;$J669+7)/SUMIFS('Weekly Log'!$E:$E,'Weekly Log'!$A:$A,"&gt;="&amp;$J669,'Weekly Log'!$A:$A,"&lt;"&amp;$J669+7),0))</f>
        <v/>
      </c>
      <c r="G669" t="str">
        <f>IF($J669="","",IFERROR(LOOKUP(2,1/(('Weekly Log'!$A$5:$A$5000&gt;=$J669)*('Weekly Log'!$A$5:$A$5000&lt;$J669+7)*('Weekly Log'!$M$5:$M$5000&lt;&gt;"")),'Weekly Log'!$M$5:$M$5000),0))</f>
        <v/>
      </c>
      <c r="J669" t="str">
        <f>IF(COUNT('Weekly Log'!$A$5:$A$5000)=0,"",IF(MIN('Weekly Log'!$A$5:$A$5000)+7*(ROW()-10)&gt;MAX('Weekly Log'!$A$5:$A$5000),"",MIN('Weekly Log'!$A$5:$A$5000)+7*(ROW()-10)))</f>
        <v/>
      </c>
    </row>
    <row r="670" spans="1:10" x14ac:dyDescent="0.25">
      <c r="A670" t="str">
        <f t="shared" si="10"/>
        <v/>
      </c>
      <c r="B670" t="str">
        <f>IF($J670="","",SUMIFS('Weekly Log'!$C:$C,'Weekly Log'!$A:$A,"&gt;="&amp;$J670,'Weekly Log'!$A:$A,"&lt;"&amp;$J670+7))</f>
        <v/>
      </c>
      <c r="C670" t="str">
        <f>IF($J670="","",IFERROR(COUNTIFS('Weekly Log'!$G:$G,"Y",'Weekly Log'!$A:$A,"&gt;="&amp;$J670,'Weekly Log'!$A:$A,"&lt;"&amp;$J670+7)/COUNTIFS('Weekly Log'!$G:$G,"&lt;&gt;",'Weekly Log'!$A:$A,"&gt;="&amp;$J670,'Weekly Log'!$A:$A,"&lt;"&amp;$J670+7),0))</f>
        <v/>
      </c>
      <c r="D670" t="str">
        <f>IF($J670="","",IFERROR(COUNTIFS('Weekly Log'!$H:$H,"Y",'Weekly Log'!$A:$A,"&gt;="&amp;$J670,'Weekly Log'!$A:$A,"&lt;"&amp;$J670+7)/COUNTIFS('Weekly Log'!$H:$H,"&lt;&gt;",'Weekly Log'!$A:$A,"&gt;="&amp;$J670,'Weekly Log'!$A:$A,"&lt;"&amp;$J670+7),0))</f>
        <v/>
      </c>
      <c r="E670" t="str">
        <f>IF($J670="","",IFERROR(AVERAGEIFS('Weekly Log'!$F:$F,'Weekly Log'!$A:$A,"&gt;="&amp;$J670,'Weekly Log'!$A:$A,"&lt;"&amp;$J670+7),0))</f>
        <v/>
      </c>
      <c r="F670" t="str">
        <f>IF($J670="","",IFERROR(SUMIFS('Weekly Log'!$F:$F,'Weekly Log'!$A:$A,"&gt;="&amp;$J670,'Weekly Log'!$A:$A,"&lt;"&amp;$J670+7)/SUMIFS('Weekly Log'!$E:$E,'Weekly Log'!$A:$A,"&gt;="&amp;$J670,'Weekly Log'!$A:$A,"&lt;"&amp;$J670+7),0))</f>
        <v/>
      </c>
      <c r="G670" t="str">
        <f>IF($J670="","",IFERROR(LOOKUP(2,1/(('Weekly Log'!$A$5:$A$5000&gt;=$J670)*('Weekly Log'!$A$5:$A$5000&lt;$J670+7)*('Weekly Log'!$M$5:$M$5000&lt;&gt;"")),'Weekly Log'!$M$5:$M$5000),0))</f>
        <v/>
      </c>
      <c r="J670" t="str">
        <f>IF(COUNT('Weekly Log'!$A$5:$A$5000)=0,"",IF(MIN('Weekly Log'!$A$5:$A$5000)+7*(ROW()-10)&gt;MAX('Weekly Log'!$A$5:$A$5000),"",MIN('Weekly Log'!$A$5:$A$5000)+7*(ROW()-10)))</f>
        <v/>
      </c>
    </row>
    <row r="671" spans="1:10" x14ac:dyDescent="0.25">
      <c r="A671" t="str">
        <f t="shared" si="10"/>
        <v/>
      </c>
      <c r="B671" t="str">
        <f>IF($J671="","",SUMIFS('Weekly Log'!$C:$C,'Weekly Log'!$A:$A,"&gt;="&amp;$J671,'Weekly Log'!$A:$A,"&lt;"&amp;$J671+7))</f>
        <v/>
      </c>
      <c r="C671" t="str">
        <f>IF($J671="","",IFERROR(COUNTIFS('Weekly Log'!$G:$G,"Y",'Weekly Log'!$A:$A,"&gt;="&amp;$J671,'Weekly Log'!$A:$A,"&lt;"&amp;$J671+7)/COUNTIFS('Weekly Log'!$G:$G,"&lt;&gt;",'Weekly Log'!$A:$A,"&gt;="&amp;$J671,'Weekly Log'!$A:$A,"&lt;"&amp;$J671+7),0))</f>
        <v/>
      </c>
      <c r="D671" t="str">
        <f>IF($J671="","",IFERROR(COUNTIFS('Weekly Log'!$H:$H,"Y",'Weekly Log'!$A:$A,"&gt;="&amp;$J671,'Weekly Log'!$A:$A,"&lt;"&amp;$J671+7)/COUNTIFS('Weekly Log'!$H:$H,"&lt;&gt;",'Weekly Log'!$A:$A,"&gt;="&amp;$J671,'Weekly Log'!$A:$A,"&lt;"&amp;$J671+7),0))</f>
        <v/>
      </c>
      <c r="E671" t="str">
        <f>IF($J671="","",IFERROR(AVERAGEIFS('Weekly Log'!$F:$F,'Weekly Log'!$A:$A,"&gt;="&amp;$J671,'Weekly Log'!$A:$A,"&lt;"&amp;$J671+7),0))</f>
        <v/>
      </c>
      <c r="F671" t="str">
        <f>IF($J671="","",IFERROR(SUMIFS('Weekly Log'!$F:$F,'Weekly Log'!$A:$A,"&gt;="&amp;$J671,'Weekly Log'!$A:$A,"&lt;"&amp;$J671+7)/SUMIFS('Weekly Log'!$E:$E,'Weekly Log'!$A:$A,"&gt;="&amp;$J671,'Weekly Log'!$A:$A,"&lt;"&amp;$J671+7),0))</f>
        <v/>
      </c>
      <c r="G671" t="str">
        <f>IF($J671="","",IFERROR(LOOKUP(2,1/(('Weekly Log'!$A$5:$A$5000&gt;=$J671)*('Weekly Log'!$A$5:$A$5000&lt;$J671+7)*('Weekly Log'!$M$5:$M$5000&lt;&gt;"")),'Weekly Log'!$M$5:$M$5000),0))</f>
        <v/>
      </c>
      <c r="J671" t="str">
        <f>IF(COUNT('Weekly Log'!$A$5:$A$5000)=0,"",IF(MIN('Weekly Log'!$A$5:$A$5000)+7*(ROW()-10)&gt;MAX('Weekly Log'!$A$5:$A$5000),"",MIN('Weekly Log'!$A$5:$A$5000)+7*(ROW()-10)))</f>
        <v/>
      </c>
    </row>
    <row r="672" spans="1:10" x14ac:dyDescent="0.25">
      <c r="A672" t="str">
        <f t="shared" si="10"/>
        <v/>
      </c>
      <c r="B672" t="str">
        <f>IF($J672="","",SUMIFS('Weekly Log'!$C:$C,'Weekly Log'!$A:$A,"&gt;="&amp;$J672,'Weekly Log'!$A:$A,"&lt;"&amp;$J672+7))</f>
        <v/>
      </c>
      <c r="C672" t="str">
        <f>IF($J672="","",IFERROR(COUNTIFS('Weekly Log'!$G:$G,"Y",'Weekly Log'!$A:$A,"&gt;="&amp;$J672,'Weekly Log'!$A:$A,"&lt;"&amp;$J672+7)/COUNTIFS('Weekly Log'!$G:$G,"&lt;&gt;",'Weekly Log'!$A:$A,"&gt;="&amp;$J672,'Weekly Log'!$A:$A,"&lt;"&amp;$J672+7),0))</f>
        <v/>
      </c>
      <c r="D672" t="str">
        <f>IF($J672="","",IFERROR(COUNTIFS('Weekly Log'!$H:$H,"Y",'Weekly Log'!$A:$A,"&gt;="&amp;$J672,'Weekly Log'!$A:$A,"&lt;"&amp;$J672+7)/COUNTIFS('Weekly Log'!$H:$H,"&lt;&gt;",'Weekly Log'!$A:$A,"&gt;="&amp;$J672,'Weekly Log'!$A:$A,"&lt;"&amp;$J672+7),0))</f>
        <v/>
      </c>
      <c r="E672" t="str">
        <f>IF($J672="","",IFERROR(AVERAGEIFS('Weekly Log'!$F:$F,'Weekly Log'!$A:$A,"&gt;="&amp;$J672,'Weekly Log'!$A:$A,"&lt;"&amp;$J672+7),0))</f>
        <v/>
      </c>
      <c r="F672" t="str">
        <f>IF($J672="","",IFERROR(SUMIFS('Weekly Log'!$F:$F,'Weekly Log'!$A:$A,"&gt;="&amp;$J672,'Weekly Log'!$A:$A,"&lt;"&amp;$J672+7)/SUMIFS('Weekly Log'!$E:$E,'Weekly Log'!$A:$A,"&gt;="&amp;$J672,'Weekly Log'!$A:$A,"&lt;"&amp;$J672+7),0))</f>
        <v/>
      </c>
      <c r="G672" t="str">
        <f>IF($J672="","",IFERROR(LOOKUP(2,1/(('Weekly Log'!$A$5:$A$5000&gt;=$J672)*('Weekly Log'!$A$5:$A$5000&lt;$J672+7)*('Weekly Log'!$M$5:$M$5000&lt;&gt;"")),'Weekly Log'!$M$5:$M$5000),0))</f>
        <v/>
      </c>
      <c r="J672" t="str">
        <f>IF(COUNT('Weekly Log'!$A$5:$A$5000)=0,"",IF(MIN('Weekly Log'!$A$5:$A$5000)+7*(ROW()-10)&gt;MAX('Weekly Log'!$A$5:$A$5000),"",MIN('Weekly Log'!$A$5:$A$5000)+7*(ROW()-10)))</f>
        <v/>
      </c>
    </row>
    <row r="673" spans="1:10" x14ac:dyDescent="0.25">
      <c r="A673" t="str">
        <f t="shared" si="10"/>
        <v/>
      </c>
      <c r="B673" t="str">
        <f>IF($J673="","",SUMIFS('Weekly Log'!$C:$C,'Weekly Log'!$A:$A,"&gt;="&amp;$J673,'Weekly Log'!$A:$A,"&lt;"&amp;$J673+7))</f>
        <v/>
      </c>
      <c r="C673" t="str">
        <f>IF($J673="","",IFERROR(COUNTIFS('Weekly Log'!$G:$G,"Y",'Weekly Log'!$A:$A,"&gt;="&amp;$J673,'Weekly Log'!$A:$A,"&lt;"&amp;$J673+7)/COUNTIFS('Weekly Log'!$G:$G,"&lt;&gt;",'Weekly Log'!$A:$A,"&gt;="&amp;$J673,'Weekly Log'!$A:$A,"&lt;"&amp;$J673+7),0))</f>
        <v/>
      </c>
      <c r="D673" t="str">
        <f>IF($J673="","",IFERROR(COUNTIFS('Weekly Log'!$H:$H,"Y",'Weekly Log'!$A:$A,"&gt;="&amp;$J673,'Weekly Log'!$A:$A,"&lt;"&amp;$J673+7)/COUNTIFS('Weekly Log'!$H:$H,"&lt;&gt;",'Weekly Log'!$A:$A,"&gt;="&amp;$J673,'Weekly Log'!$A:$A,"&lt;"&amp;$J673+7),0))</f>
        <v/>
      </c>
      <c r="E673" t="str">
        <f>IF($J673="","",IFERROR(AVERAGEIFS('Weekly Log'!$F:$F,'Weekly Log'!$A:$A,"&gt;="&amp;$J673,'Weekly Log'!$A:$A,"&lt;"&amp;$J673+7),0))</f>
        <v/>
      </c>
      <c r="F673" t="str">
        <f>IF($J673="","",IFERROR(SUMIFS('Weekly Log'!$F:$F,'Weekly Log'!$A:$A,"&gt;="&amp;$J673,'Weekly Log'!$A:$A,"&lt;"&amp;$J673+7)/SUMIFS('Weekly Log'!$E:$E,'Weekly Log'!$A:$A,"&gt;="&amp;$J673,'Weekly Log'!$A:$A,"&lt;"&amp;$J673+7),0))</f>
        <v/>
      </c>
      <c r="G673" t="str">
        <f>IF($J673="","",IFERROR(LOOKUP(2,1/(('Weekly Log'!$A$5:$A$5000&gt;=$J673)*('Weekly Log'!$A$5:$A$5000&lt;$J673+7)*('Weekly Log'!$M$5:$M$5000&lt;&gt;"")),'Weekly Log'!$M$5:$M$5000),0))</f>
        <v/>
      </c>
      <c r="J673" t="str">
        <f>IF(COUNT('Weekly Log'!$A$5:$A$5000)=0,"",IF(MIN('Weekly Log'!$A$5:$A$5000)+7*(ROW()-10)&gt;MAX('Weekly Log'!$A$5:$A$5000),"",MIN('Weekly Log'!$A$5:$A$5000)+7*(ROW()-10)))</f>
        <v/>
      </c>
    </row>
    <row r="674" spans="1:10" x14ac:dyDescent="0.25">
      <c r="A674" t="str">
        <f t="shared" si="10"/>
        <v/>
      </c>
      <c r="B674" t="str">
        <f>IF($J674="","",SUMIFS('Weekly Log'!$C:$C,'Weekly Log'!$A:$A,"&gt;="&amp;$J674,'Weekly Log'!$A:$A,"&lt;"&amp;$J674+7))</f>
        <v/>
      </c>
      <c r="C674" t="str">
        <f>IF($J674="","",IFERROR(COUNTIFS('Weekly Log'!$G:$G,"Y",'Weekly Log'!$A:$A,"&gt;="&amp;$J674,'Weekly Log'!$A:$A,"&lt;"&amp;$J674+7)/COUNTIFS('Weekly Log'!$G:$G,"&lt;&gt;",'Weekly Log'!$A:$A,"&gt;="&amp;$J674,'Weekly Log'!$A:$A,"&lt;"&amp;$J674+7),0))</f>
        <v/>
      </c>
      <c r="D674" t="str">
        <f>IF($J674="","",IFERROR(COUNTIFS('Weekly Log'!$H:$H,"Y",'Weekly Log'!$A:$A,"&gt;="&amp;$J674,'Weekly Log'!$A:$A,"&lt;"&amp;$J674+7)/COUNTIFS('Weekly Log'!$H:$H,"&lt;&gt;",'Weekly Log'!$A:$A,"&gt;="&amp;$J674,'Weekly Log'!$A:$A,"&lt;"&amp;$J674+7),0))</f>
        <v/>
      </c>
      <c r="E674" t="str">
        <f>IF($J674="","",IFERROR(AVERAGEIFS('Weekly Log'!$F:$F,'Weekly Log'!$A:$A,"&gt;="&amp;$J674,'Weekly Log'!$A:$A,"&lt;"&amp;$J674+7),0))</f>
        <v/>
      </c>
      <c r="F674" t="str">
        <f>IF($J674="","",IFERROR(SUMIFS('Weekly Log'!$F:$F,'Weekly Log'!$A:$A,"&gt;="&amp;$J674,'Weekly Log'!$A:$A,"&lt;"&amp;$J674+7)/SUMIFS('Weekly Log'!$E:$E,'Weekly Log'!$A:$A,"&gt;="&amp;$J674,'Weekly Log'!$A:$A,"&lt;"&amp;$J674+7),0))</f>
        <v/>
      </c>
      <c r="G674" t="str">
        <f>IF($J674="","",IFERROR(LOOKUP(2,1/(('Weekly Log'!$A$5:$A$5000&gt;=$J674)*('Weekly Log'!$A$5:$A$5000&lt;$J674+7)*('Weekly Log'!$M$5:$M$5000&lt;&gt;"")),'Weekly Log'!$M$5:$M$5000),0))</f>
        <v/>
      </c>
      <c r="J674" t="str">
        <f>IF(COUNT('Weekly Log'!$A$5:$A$5000)=0,"",IF(MIN('Weekly Log'!$A$5:$A$5000)+7*(ROW()-10)&gt;MAX('Weekly Log'!$A$5:$A$5000),"",MIN('Weekly Log'!$A$5:$A$5000)+7*(ROW()-10)))</f>
        <v/>
      </c>
    </row>
    <row r="675" spans="1:10" x14ac:dyDescent="0.25">
      <c r="A675" t="str">
        <f t="shared" si="10"/>
        <v/>
      </c>
      <c r="B675" t="str">
        <f>IF($J675="","",SUMIFS('Weekly Log'!$C:$C,'Weekly Log'!$A:$A,"&gt;="&amp;$J675,'Weekly Log'!$A:$A,"&lt;"&amp;$J675+7))</f>
        <v/>
      </c>
      <c r="C675" t="str">
        <f>IF($J675="","",IFERROR(COUNTIFS('Weekly Log'!$G:$G,"Y",'Weekly Log'!$A:$A,"&gt;="&amp;$J675,'Weekly Log'!$A:$A,"&lt;"&amp;$J675+7)/COUNTIFS('Weekly Log'!$G:$G,"&lt;&gt;",'Weekly Log'!$A:$A,"&gt;="&amp;$J675,'Weekly Log'!$A:$A,"&lt;"&amp;$J675+7),0))</f>
        <v/>
      </c>
      <c r="D675" t="str">
        <f>IF($J675="","",IFERROR(COUNTIFS('Weekly Log'!$H:$H,"Y",'Weekly Log'!$A:$A,"&gt;="&amp;$J675,'Weekly Log'!$A:$A,"&lt;"&amp;$J675+7)/COUNTIFS('Weekly Log'!$H:$H,"&lt;&gt;",'Weekly Log'!$A:$A,"&gt;="&amp;$J675,'Weekly Log'!$A:$A,"&lt;"&amp;$J675+7),0))</f>
        <v/>
      </c>
      <c r="E675" t="str">
        <f>IF($J675="","",IFERROR(AVERAGEIFS('Weekly Log'!$F:$F,'Weekly Log'!$A:$A,"&gt;="&amp;$J675,'Weekly Log'!$A:$A,"&lt;"&amp;$J675+7),0))</f>
        <v/>
      </c>
      <c r="F675" t="str">
        <f>IF($J675="","",IFERROR(SUMIFS('Weekly Log'!$F:$F,'Weekly Log'!$A:$A,"&gt;="&amp;$J675,'Weekly Log'!$A:$A,"&lt;"&amp;$J675+7)/SUMIFS('Weekly Log'!$E:$E,'Weekly Log'!$A:$A,"&gt;="&amp;$J675,'Weekly Log'!$A:$A,"&lt;"&amp;$J675+7),0))</f>
        <v/>
      </c>
      <c r="G675" t="str">
        <f>IF($J675="","",IFERROR(LOOKUP(2,1/(('Weekly Log'!$A$5:$A$5000&gt;=$J675)*('Weekly Log'!$A$5:$A$5000&lt;$J675+7)*('Weekly Log'!$M$5:$M$5000&lt;&gt;"")),'Weekly Log'!$M$5:$M$5000),0))</f>
        <v/>
      </c>
      <c r="J675" t="str">
        <f>IF(COUNT('Weekly Log'!$A$5:$A$5000)=0,"",IF(MIN('Weekly Log'!$A$5:$A$5000)+7*(ROW()-10)&gt;MAX('Weekly Log'!$A$5:$A$5000),"",MIN('Weekly Log'!$A$5:$A$5000)+7*(ROW()-10)))</f>
        <v/>
      </c>
    </row>
    <row r="676" spans="1:10" x14ac:dyDescent="0.25">
      <c r="A676" t="str">
        <f t="shared" si="10"/>
        <v/>
      </c>
      <c r="B676" t="str">
        <f>IF($J676="","",SUMIFS('Weekly Log'!$C:$C,'Weekly Log'!$A:$A,"&gt;="&amp;$J676,'Weekly Log'!$A:$A,"&lt;"&amp;$J676+7))</f>
        <v/>
      </c>
      <c r="C676" t="str">
        <f>IF($J676="","",IFERROR(COUNTIFS('Weekly Log'!$G:$G,"Y",'Weekly Log'!$A:$A,"&gt;="&amp;$J676,'Weekly Log'!$A:$A,"&lt;"&amp;$J676+7)/COUNTIFS('Weekly Log'!$G:$G,"&lt;&gt;",'Weekly Log'!$A:$A,"&gt;="&amp;$J676,'Weekly Log'!$A:$A,"&lt;"&amp;$J676+7),0))</f>
        <v/>
      </c>
      <c r="D676" t="str">
        <f>IF($J676="","",IFERROR(COUNTIFS('Weekly Log'!$H:$H,"Y",'Weekly Log'!$A:$A,"&gt;="&amp;$J676,'Weekly Log'!$A:$A,"&lt;"&amp;$J676+7)/COUNTIFS('Weekly Log'!$H:$H,"&lt;&gt;",'Weekly Log'!$A:$A,"&gt;="&amp;$J676,'Weekly Log'!$A:$A,"&lt;"&amp;$J676+7),0))</f>
        <v/>
      </c>
      <c r="E676" t="str">
        <f>IF($J676="","",IFERROR(AVERAGEIFS('Weekly Log'!$F:$F,'Weekly Log'!$A:$A,"&gt;="&amp;$J676,'Weekly Log'!$A:$A,"&lt;"&amp;$J676+7),0))</f>
        <v/>
      </c>
      <c r="F676" t="str">
        <f>IF($J676="","",IFERROR(SUMIFS('Weekly Log'!$F:$F,'Weekly Log'!$A:$A,"&gt;="&amp;$J676,'Weekly Log'!$A:$A,"&lt;"&amp;$J676+7)/SUMIFS('Weekly Log'!$E:$E,'Weekly Log'!$A:$A,"&gt;="&amp;$J676,'Weekly Log'!$A:$A,"&lt;"&amp;$J676+7),0))</f>
        <v/>
      </c>
      <c r="G676" t="str">
        <f>IF($J676="","",IFERROR(LOOKUP(2,1/(('Weekly Log'!$A$5:$A$5000&gt;=$J676)*('Weekly Log'!$A$5:$A$5000&lt;$J676+7)*('Weekly Log'!$M$5:$M$5000&lt;&gt;"")),'Weekly Log'!$M$5:$M$5000),0))</f>
        <v/>
      </c>
      <c r="J676" t="str">
        <f>IF(COUNT('Weekly Log'!$A$5:$A$5000)=0,"",IF(MIN('Weekly Log'!$A$5:$A$5000)+7*(ROW()-10)&gt;MAX('Weekly Log'!$A$5:$A$5000),"",MIN('Weekly Log'!$A$5:$A$5000)+7*(ROW()-10)))</f>
        <v/>
      </c>
    </row>
    <row r="677" spans="1:10" x14ac:dyDescent="0.25">
      <c r="A677" t="str">
        <f t="shared" si="10"/>
        <v/>
      </c>
      <c r="B677" t="str">
        <f>IF($J677="","",SUMIFS('Weekly Log'!$C:$C,'Weekly Log'!$A:$A,"&gt;="&amp;$J677,'Weekly Log'!$A:$A,"&lt;"&amp;$J677+7))</f>
        <v/>
      </c>
      <c r="C677" t="str">
        <f>IF($J677="","",IFERROR(COUNTIFS('Weekly Log'!$G:$G,"Y",'Weekly Log'!$A:$A,"&gt;="&amp;$J677,'Weekly Log'!$A:$A,"&lt;"&amp;$J677+7)/COUNTIFS('Weekly Log'!$G:$G,"&lt;&gt;",'Weekly Log'!$A:$A,"&gt;="&amp;$J677,'Weekly Log'!$A:$A,"&lt;"&amp;$J677+7),0))</f>
        <v/>
      </c>
      <c r="D677" t="str">
        <f>IF($J677="","",IFERROR(COUNTIFS('Weekly Log'!$H:$H,"Y",'Weekly Log'!$A:$A,"&gt;="&amp;$J677,'Weekly Log'!$A:$A,"&lt;"&amp;$J677+7)/COUNTIFS('Weekly Log'!$H:$H,"&lt;&gt;",'Weekly Log'!$A:$A,"&gt;="&amp;$J677,'Weekly Log'!$A:$A,"&lt;"&amp;$J677+7),0))</f>
        <v/>
      </c>
      <c r="E677" t="str">
        <f>IF($J677="","",IFERROR(AVERAGEIFS('Weekly Log'!$F:$F,'Weekly Log'!$A:$A,"&gt;="&amp;$J677,'Weekly Log'!$A:$A,"&lt;"&amp;$J677+7),0))</f>
        <v/>
      </c>
      <c r="F677" t="str">
        <f>IF($J677="","",IFERROR(SUMIFS('Weekly Log'!$F:$F,'Weekly Log'!$A:$A,"&gt;="&amp;$J677,'Weekly Log'!$A:$A,"&lt;"&amp;$J677+7)/SUMIFS('Weekly Log'!$E:$E,'Weekly Log'!$A:$A,"&gt;="&amp;$J677,'Weekly Log'!$A:$A,"&lt;"&amp;$J677+7),0))</f>
        <v/>
      </c>
      <c r="G677" t="str">
        <f>IF($J677="","",IFERROR(LOOKUP(2,1/(('Weekly Log'!$A$5:$A$5000&gt;=$J677)*('Weekly Log'!$A$5:$A$5000&lt;$J677+7)*('Weekly Log'!$M$5:$M$5000&lt;&gt;"")),'Weekly Log'!$M$5:$M$5000),0))</f>
        <v/>
      </c>
      <c r="J677" t="str">
        <f>IF(COUNT('Weekly Log'!$A$5:$A$5000)=0,"",IF(MIN('Weekly Log'!$A$5:$A$5000)+7*(ROW()-10)&gt;MAX('Weekly Log'!$A$5:$A$5000),"",MIN('Weekly Log'!$A$5:$A$5000)+7*(ROW()-10)))</f>
        <v/>
      </c>
    </row>
    <row r="678" spans="1:10" x14ac:dyDescent="0.25">
      <c r="A678" t="str">
        <f t="shared" si="10"/>
        <v/>
      </c>
      <c r="B678" t="str">
        <f>IF($J678="","",SUMIFS('Weekly Log'!$C:$C,'Weekly Log'!$A:$A,"&gt;="&amp;$J678,'Weekly Log'!$A:$A,"&lt;"&amp;$J678+7))</f>
        <v/>
      </c>
      <c r="C678" t="str">
        <f>IF($J678="","",IFERROR(COUNTIFS('Weekly Log'!$G:$G,"Y",'Weekly Log'!$A:$A,"&gt;="&amp;$J678,'Weekly Log'!$A:$A,"&lt;"&amp;$J678+7)/COUNTIFS('Weekly Log'!$G:$G,"&lt;&gt;",'Weekly Log'!$A:$A,"&gt;="&amp;$J678,'Weekly Log'!$A:$A,"&lt;"&amp;$J678+7),0))</f>
        <v/>
      </c>
      <c r="D678" t="str">
        <f>IF($J678="","",IFERROR(COUNTIFS('Weekly Log'!$H:$H,"Y",'Weekly Log'!$A:$A,"&gt;="&amp;$J678,'Weekly Log'!$A:$A,"&lt;"&amp;$J678+7)/COUNTIFS('Weekly Log'!$H:$H,"&lt;&gt;",'Weekly Log'!$A:$A,"&gt;="&amp;$J678,'Weekly Log'!$A:$A,"&lt;"&amp;$J678+7),0))</f>
        <v/>
      </c>
      <c r="E678" t="str">
        <f>IF($J678="","",IFERROR(AVERAGEIFS('Weekly Log'!$F:$F,'Weekly Log'!$A:$A,"&gt;="&amp;$J678,'Weekly Log'!$A:$A,"&lt;"&amp;$J678+7),0))</f>
        <v/>
      </c>
      <c r="F678" t="str">
        <f>IF($J678="","",IFERROR(SUMIFS('Weekly Log'!$F:$F,'Weekly Log'!$A:$A,"&gt;="&amp;$J678,'Weekly Log'!$A:$A,"&lt;"&amp;$J678+7)/SUMIFS('Weekly Log'!$E:$E,'Weekly Log'!$A:$A,"&gt;="&amp;$J678,'Weekly Log'!$A:$A,"&lt;"&amp;$J678+7),0))</f>
        <v/>
      </c>
      <c r="G678" t="str">
        <f>IF($J678="","",IFERROR(LOOKUP(2,1/(('Weekly Log'!$A$5:$A$5000&gt;=$J678)*('Weekly Log'!$A$5:$A$5000&lt;$J678+7)*('Weekly Log'!$M$5:$M$5000&lt;&gt;"")),'Weekly Log'!$M$5:$M$5000),0))</f>
        <v/>
      </c>
      <c r="J678" t="str">
        <f>IF(COUNT('Weekly Log'!$A$5:$A$5000)=0,"",IF(MIN('Weekly Log'!$A$5:$A$5000)+7*(ROW()-10)&gt;MAX('Weekly Log'!$A$5:$A$5000),"",MIN('Weekly Log'!$A$5:$A$5000)+7*(ROW()-10)))</f>
        <v/>
      </c>
    </row>
    <row r="679" spans="1:10" x14ac:dyDescent="0.25">
      <c r="A679" t="str">
        <f t="shared" si="10"/>
        <v/>
      </c>
      <c r="B679" t="str">
        <f>IF($J679="","",SUMIFS('Weekly Log'!$C:$C,'Weekly Log'!$A:$A,"&gt;="&amp;$J679,'Weekly Log'!$A:$A,"&lt;"&amp;$J679+7))</f>
        <v/>
      </c>
      <c r="C679" t="str">
        <f>IF($J679="","",IFERROR(COUNTIFS('Weekly Log'!$G:$G,"Y",'Weekly Log'!$A:$A,"&gt;="&amp;$J679,'Weekly Log'!$A:$A,"&lt;"&amp;$J679+7)/COUNTIFS('Weekly Log'!$G:$G,"&lt;&gt;",'Weekly Log'!$A:$A,"&gt;="&amp;$J679,'Weekly Log'!$A:$A,"&lt;"&amp;$J679+7),0))</f>
        <v/>
      </c>
      <c r="D679" t="str">
        <f>IF($J679="","",IFERROR(COUNTIFS('Weekly Log'!$H:$H,"Y",'Weekly Log'!$A:$A,"&gt;="&amp;$J679,'Weekly Log'!$A:$A,"&lt;"&amp;$J679+7)/COUNTIFS('Weekly Log'!$H:$H,"&lt;&gt;",'Weekly Log'!$A:$A,"&gt;="&amp;$J679,'Weekly Log'!$A:$A,"&lt;"&amp;$J679+7),0))</f>
        <v/>
      </c>
      <c r="E679" t="str">
        <f>IF($J679="","",IFERROR(AVERAGEIFS('Weekly Log'!$F:$F,'Weekly Log'!$A:$A,"&gt;="&amp;$J679,'Weekly Log'!$A:$A,"&lt;"&amp;$J679+7),0))</f>
        <v/>
      </c>
      <c r="F679" t="str">
        <f>IF($J679="","",IFERROR(SUMIFS('Weekly Log'!$F:$F,'Weekly Log'!$A:$A,"&gt;="&amp;$J679,'Weekly Log'!$A:$A,"&lt;"&amp;$J679+7)/SUMIFS('Weekly Log'!$E:$E,'Weekly Log'!$A:$A,"&gt;="&amp;$J679,'Weekly Log'!$A:$A,"&lt;"&amp;$J679+7),0))</f>
        <v/>
      </c>
      <c r="G679" t="str">
        <f>IF($J679="","",IFERROR(LOOKUP(2,1/(('Weekly Log'!$A$5:$A$5000&gt;=$J679)*('Weekly Log'!$A$5:$A$5000&lt;$J679+7)*('Weekly Log'!$M$5:$M$5000&lt;&gt;"")),'Weekly Log'!$M$5:$M$5000),0))</f>
        <v/>
      </c>
      <c r="J679" t="str">
        <f>IF(COUNT('Weekly Log'!$A$5:$A$5000)=0,"",IF(MIN('Weekly Log'!$A$5:$A$5000)+7*(ROW()-10)&gt;MAX('Weekly Log'!$A$5:$A$5000),"",MIN('Weekly Log'!$A$5:$A$5000)+7*(ROW()-10)))</f>
        <v/>
      </c>
    </row>
    <row r="680" spans="1:10" x14ac:dyDescent="0.25">
      <c r="A680" t="str">
        <f t="shared" si="10"/>
        <v/>
      </c>
      <c r="B680" t="str">
        <f>IF($J680="","",SUMIFS('Weekly Log'!$C:$C,'Weekly Log'!$A:$A,"&gt;="&amp;$J680,'Weekly Log'!$A:$A,"&lt;"&amp;$J680+7))</f>
        <v/>
      </c>
      <c r="C680" t="str">
        <f>IF($J680="","",IFERROR(COUNTIFS('Weekly Log'!$G:$G,"Y",'Weekly Log'!$A:$A,"&gt;="&amp;$J680,'Weekly Log'!$A:$A,"&lt;"&amp;$J680+7)/COUNTIFS('Weekly Log'!$G:$G,"&lt;&gt;",'Weekly Log'!$A:$A,"&gt;="&amp;$J680,'Weekly Log'!$A:$A,"&lt;"&amp;$J680+7),0))</f>
        <v/>
      </c>
      <c r="D680" t="str">
        <f>IF($J680="","",IFERROR(COUNTIFS('Weekly Log'!$H:$H,"Y",'Weekly Log'!$A:$A,"&gt;="&amp;$J680,'Weekly Log'!$A:$A,"&lt;"&amp;$J680+7)/COUNTIFS('Weekly Log'!$H:$H,"&lt;&gt;",'Weekly Log'!$A:$A,"&gt;="&amp;$J680,'Weekly Log'!$A:$A,"&lt;"&amp;$J680+7),0))</f>
        <v/>
      </c>
      <c r="E680" t="str">
        <f>IF($J680="","",IFERROR(AVERAGEIFS('Weekly Log'!$F:$F,'Weekly Log'!$A:$A,"&gt;="&amp;$J680,'Weekly Log'!$A:$A,"&lt;"&amp;$J680+7),0))</f>
        <v/>
      </c>
      <c r="F680" t="str">
        <f>IF($J680="","",IFERROR(SUMIFS('Weekly Log'!$F:$F,'Weekly Log'!$A:$A,"&gt;="&amp;$J680,'Weekly Log'!$A:$A,"&lt;"&amp;$J680+7)/SUMIFS('Weekly Log'!$E:$E,'Weekly Log'!$A:$A,"&gt;="&amp;$J680,'Weekly Log'!$A:$A,"&lt;"&amp;$J680+7),0))</f>
        <v/>
      </c>
      <c r="G680" t="str">
        <f>IF($J680="","",IFERROR(LOOKUP(2,1/(('Weekly Log'!$A$5:$A$5000&gt;=$J680)*('Weekly Log'!$A$5:$A$5000&lt;$J680+7)*('Weekly Log'!$M$5:$M$5000&lt;&gt;"")),'Weekly Log'!$M$5:$M$5000),0))</f>
        <v/>
      </c>
      <c r="J680" t="str">
        <f>IF(COUNT('Weekly Log'!$A$5:$A$5000)=0,"",IF(MIN('Weekly Log'!$A$5:$A$5000)+7*(ROW()-10)&gt;MAX('Weekly Log'!$A$5:$A$5000),"",MIN('Weekly Log'!$A$5:$A$5000)+7*(ROW()-10)))</f>
        <v/>
      </c>
    </row>
    <row r="681" spans="1:10" x14ac:dyDescent="0.25">
      <c r="A681" t="str">
        <f t="shared" si="10"/>
        <v/>
      </c>
      <c r="B681" t="str">
        <f>IF($J681="","",SUMIFS('Weekly Log'!$C:$C,'Weekly Log'!$A:$A,"&gt;="&amp;$J681,'Weekly Log'!$A:$A,"&lt;"&amp;$J681+7))</f>
        <v/>
      </c>
      <c r="C681" t="str">
        <f>IF($J681="","",IFERROR(COUNTIFS('Weekly Log'!$G:$G,"Y",'Weekly Log'!$A:$A,"&gt;="&amp;$J681,'Weekly Log'!$A:$A,"&lt;"&amp;$J681+7)/COUNTIFS('Weekly Log'!$G:$G,"&lt;&gt;",'Weekly Log'!$A:$A,"&gt;="&amp;$J681,'Weekly Log'!$A:$A,"&lt;"&amp;$J681+7),0))</f>
        <v/>
      </c>
      <c r="D681" t="str">
        <f>IF($J681="","",IFERROR(COUNTIFS('Weekly Log'!$H:$H,"Y",'Weekly Log'!$A:$A,"&gt;="&amp;$J681,'Weekly Log'!$A:$A,"&lt;"&amp;$J681+7)/COUNTIFS('Weekly Log'!$H:$H,"&lt;&gt;",'Weekly Log'!$A:$A,"&gt;="&amp;$J681,'Weekly Log'!$A:$A,"&lt;"&amp;$J681+7),0))</f>
        <v/>
      </c>
      <c r="E681" t="str">
        <f>IF($J681="","",IFERROR(AVERAGEIFS('Weekly Log'!$F:$F,'Weekly Log'!$A:$A,"&gt;="&amp;$J681,'Weekly Log'!$A:$A,"&lt;"&amp;$J681+7),0))</f>
        <v/>
      </c>
      <c r="F681" t="str">
        <f>IF($J681="","",IFERROR(SUMIFS('Weekly Log'!$F:$F,'Weekly Log'!$A:$A,"&gt;="&amp;$J681,'Weekly Log'!$A:$A,"&lt;"&amp;$J681+7)/SUMIFS('Weekly Log'!$E:$E,'Weekly Log'!$A:$A,"&gt;="&amp;$J681,'Weekly Log'!$A:$A,"&lt;"&amp;$J681+7),0))</f>
        <v/>
      </c>
      <c r="G681" t="str">
        <f>IF($J681="","",IFERROR(LOOKUP(2,1/(('Weekly Log'!$A$5:$A$5000&gt;=$J681)*('Weekly Log'!$A$5:$A$5000&lt;$J681+7)*('Weekly Log'!$M$5:$M$5000&lt;&gt;"")),'Weekly Log'!$M$5:$M$5000),0))</f>
        <v/>
      </c>
      <c r="J681" t="str">
        <f>IF(COUNT('Weekly Log'!$A$5:$A$5000)=0,"",IF(MIN('Weekly Log'!$A$5:$A$5000)+7*(ROW()-10)&gt;MAX('Weekly Log'!$A$5:$A$5000),"",MIN('Weekly Log'!$A$5:$A$5000)+7*(ROW()-10)))</f>
        <v/>
      </c>
    </row>
    <row r="682" spans="1:10" x14ac:dyDescent="0.25">
      <c r="A682" t="str">
        <f t="shared" si="10"/>
        <v/>
      </c>
      <c r="B682" t="str">
        <f>IF($J682="","",SUMIFS('Weekly Log'!$C:$C,'Weekly Log'!$A:$A,"&gt;="&amp;$J682,'Weekly Log'!$A:$A,"&lt;"&amp;$J682+7))</f>
        <v/>
      </c>
      <c r="C682" t="str">
        <f>IF($J682="","",IFERROR(COUNTIFS('Weekly Log'!$G:$G,"Y",'Weekly Log'!$A:$A,"&gt;="&amp;$J682,'Weekly Log'!$A:$A,"&lt;"&amp;$J682+7)/COUNTIFS('Weekly Log'!$G:$G,"&lt;&gt;",'Weekly Log'!$A:$A,"&gt;="&amp;$J682,'Weekly Log'!$A:$A,"&lt;"&amp;$J682+7),0))</f>
        <v/>
      </c>
      <c r="D682" t="str">
        <f>IF($J682="","",IFERROR(COUNTIFS('Weekly Log'!$H:$H,"Y",'Weekly Log'!$A:$A,"&gt;="&amp;$J682,'Weekly Log'!$A:$A,"&lt;"&amp;$J682+7)/COUNTIFS('Weekly Log'!$H:$H,"&lt;&gt;",'Weekly Log'!$A:$A,"&gt;="&amp;$J682,'Weekly Log'!$A:$A,"&lt;"&amp;$J682+7),0))</f>
        <v/>
      </c>
      <c r="E682" t="str">
        <f>IF($J682="","",IFERROR(AVERAGEIFS('Weekly Log'!$F:$F,'Weekly Log'!$A:$A,"&gt;="&amp;$J682,'Weekly Log'!$A:$A,"&lt;"&amp;$J682+7),0))</f>
        <v/>
      </c>
      <c r="F682" t="str">
        <f>IF($J682="","",IFERROR(SUMIFS('Weekly Log'!$F:$F,'Weekly Log'!$A:$A,"&gt;="&amp;$J682,'Weekly Log'!$A:$A,"&lt;"&amp;$J682+7)/SUMIFS('Weekly Log'!$E:$E,'Weekly Log'!$A:$A,"&gt;="&amp;$J682,'Weekly Log'!$A:$A,"&lt;"&amp;$J682+7),0))</f>
        <v/>
      </c>
      <c r="G682" t="str">
        <f>IF($J682="","",IFERROR(LOOKUP(2,1/(('Weekly Log'!$A$5:$A$5000&gt;=$J682)*('Weekly Log'!$A$5:$A$5000&lt;$J682+7)*('Weekly Log'!$M$5:$M$5000&lt;&gt;"")),'Weekly Log'!$M$5:$M$5000),0))</f>
        <v/>
      </c>
      <c r="J682" t="str">
        <f>IF(COUNT('Weekly Log'!$A$5:$A$5000)=0,"",IF(MIN('Weekly Log'!$A$5:$A$5000)+7*(ROW()-10)&gt;MAX('Weekly Log'!$A$5:$A$5000),"",MIN('Weekly Log'!$A$5:$A$5000)+7*(ROW()-10)))</f>
        <v/>
      </c>
    </row>
    <row r="683" spans="1:10" x14ac:dyDescent="0.25">
      <c r="A683" t="str">
        <f t="shared" si="10"/>
        <v/>
      </c>
      <c r="B683" t="str">
        <f>IF($J683="","",SUMIFS('Weekly Log'!$C:$C,'Weekly Log'!$A:$A,"&gt;="&amp;$J683,'Weekly Log'!$A:$A,"&lt;"&amp;$J683+7))</f>
        <v/>
      </c>
      <c r="C683" t="str">
        <f>IF($J683="","",IFERROR(COUNTIFS('Weekly Log'!$G:$G,"Y",'Weekly Log'!$A:$A,"&gt;="&amp;$J683,'Weekly Log'!$A:$A,"&lt;"&amp;$J683+7)/COUNTIFS('Weekly Log'!$G:$G,"&lt;&gt;",'Weekly Log'!$A:$A,"&gt;="&amp;$J683,'Weekly Log'!$A:$A,"&lt;"&amp;$J683+7),0))</f>
        <v/>
      </c>
      <c r="D683" t="str">
        <f>IF($J683="","",IFERROR(COUNTIFS('Weekly Log'!$H:$H,"Y",'Weekly Log'!$A:$A,"&gt;="&amp;$J683,'Weekly Log'!$A:$A,"&lt;"&amp;$J683+7)/COUNTIFS('Weekly Log'!$H:$H,"&lt;&gt;",'Weekly Log'!$A:$A,"&gt;="&amp;$J683,'Weekly Log'!$A:$A,"&lt;"&amp;$J683+7),0))</f>
        <v/>
      </c>
      <c r="E683" t="str">
        <f>IF($J683="","",IFERROR(AVERAGEIFS('Weekly Log'!$F:$F,'Weekly Log'!$A:$A,"&gt;="&amp;$J683,'Weekly Log'!$A:$A,"&lt;"&amp;$J683+7),0))</f>
        <v/>
      </c>
      <c r="F683" t="str">
        <f>IF($J683="","",IFERROR(SUMIFS('Weekly Log'!$F:$F,'Weekly Log'!$A:$A,"&gt;="&amp;$J683,'Weekly Log'!$A:$A,"&lt;"&amp;$J683+7)/SUMIFS('Weekly Log'!$E:$E,'Weekly Log'!$A:$A,"&gt;="&amp;$J683,'Weekly Log'!$A:$A,"&lt;"&amp;$J683+7),0))</f>
        <v/>
      </c>
      <c r="G683" t="str">
        <f>IF($J683="","",IFERROR(LOOKUP(2,1/(('Weekly Log'!$A$5:$A$5000&gt;=$J683)*('Weekly Log'!$A$5:$A$5000&lt;$J683+7)*('Weekly Log'!$M$5:$M$5000&lt;&gt;"")),'Weekly Log'!$M$5:$M$5000),0))</f>
        <v/>
      </c>
      <c r="J683" t="str">
        <f>IF(COUNT('Weekly Log'!$A$5:$A$5000)=0,"",IF(MIN('Weekly Log'!$A$5:$A$5000)+7*(ROW()-10)&gt;MAX('Weekly Log'!$A$5:$A$5000),"",MIN('Weekly Log'!$A$5:$A$5000)+7*(ROW()-10)))</f>
        <v/>
      </c>
    </row>
    <row r="684" spans="1:10" x14ac:dyDescent="0.25">
      <c r="A684" t="str">
        <f t="shared" si="10"/>
        <v/>
      </c>
      <c r="B684" t="str">
        <f>IF($J684="","",SUMIFS('Weekly Log'!$C:$C,'Weekly Log'!$A:$A,"&gt;="&amp;$J684,'Weekly Log'!$A:$A,"&lt;"&amp;$J684+7))</f>
        <v/>
      </c>
      <c r="C684" t="str">
        <f>IF($J684="","",IFERROR(COUNTIFS('Weekly Log'!$G:$G,"Y",'Weekly Log'!$A:$A,"&gt;="&amp;$J684,'Weekly Log'!$A:$A,"&lt;"&amp;$J684+7)/COUNTIFS('Weekly Log'!$G:$G,"&lt;&gt;",'Weekly Log'!$A:$A,"&gt;="&amp;$J684,'Weekly Log'!$A:$A,"&lt;"&amp;$J684+7),0))</f>
        <v/>
      </c>
      <c r="D684" t="str">
        <f>IF($J684="","",IFERROR(COUNTIFS('Weekly Log'!$H:$H,"Y",'Weekly Log'!$A:$A,"&gt;="&amp;$J684,'Weekly Log'!$A:$A,"&lt;"&amp;$J684+7)/COUNTIFS('Weekly Log'!$H:$H,"&lt;&gt;",'Weekly Log'!$A:$A,"&gt;="&amp;$J684,'Weekly Log'!$A:$A,"&lt;"&amp;$J684+7),0))</f>
        <v/>
      </c>
      <c r="E684" t="str">
        <f>IF($J684="","",IFERROR(AVERAGEIFS('Weekly Log'!$F:$F,'Weekly Log'!$A:$A,"&gt;="&amp;$J684,'Weekly Log'!$A:$A,"&lt;"&amp;$J684+7),0))</f>
        <v/>
      </c>
      <c r="F684" t="str">
        <f>IF($J684="","",IFERROR(SUMIFS('Weekly Log'!$F:$F,'Weekly Log'!$A:$A,"&gt;="&amp;$J684,'Weekly Log'!$A:$A,"&lt;"&amp;$J684+7)/SUMIFS('Weekly Log'!$E:$E,'Weekly Log'!$A:$A,"&gt;="&amp;$J684,'Weekly Log'!$A:$A,"&lt;"&amp;$J684+7),0))</f>
        <v/>
      </c>
      <c r="G684" t="str">
        <f>IF($J684="","",IFERROR(LOOKUP(2,1/(('Weekly Log'!$A$5:$A$5000&gt;=$J684)*('Weekly Log'!$A$5:$A$5000&lt;$J684+7)*('Weekly Log'!$M$5:$M$5000&lt;&gt;"")),'Weekly Log'!$M$5:$M$5000),0))</f>
        <v/>
      </c>
      <c r="J684" t="str">
        <f>IF(COUNT('Weekly Log'!$A$5:$A$5000)=0,"",IF(MIN('Weekly Log'!$A$5:$A$5000)+7*(ROW()-10)&gt;MAX('Weekly Log'!$A$5:$A$5000),"",MIN('Weekly Log'!$A$5:$A$5000)+7*(ROW()-10)))</f>
        <v/>
      </c>
    </row>
    <row r="685" spans="1:10" x14ac:dyDescent="0.25">
      <c r="A685" t="str">
        <f t="shared" si="10"/>
        <v/>
      </c>
      <c r="B685" t="str">
        <f>IF($J685="","",SUMIFS('Weekly Log'!$C:$C,'Weekly Log'!$A:$A,"&gt;="&amp;$J685,'Weekly Log'!$A:$A,"&lt;"&amp;$J685+7))</f>
        <v/>
      </c>
      <c r="C685" t="str">
        <f>IF($J685="","",IFERROR(COUNTIFS('Weekly Log'!$G:$G,"Y",'Weekly Log'!$A:$A,"&gt;="&amp;$J685,'Weekly Log'!$A:$A,"&lt;"&amp;$J685+7)/COUNTIFS('Weekly Log'!$G:$G,"&lt;&gt;",'Weekly Log'!$A:$A,"&gt;="&amp;$J685,'Weekly Log'!$A:$A,"&lt;"&amp;$J685+7),0))</f>
        <v/>
      </c>
      <c r="D685" t="str">
        <f>IF($J685="","",IFERROR(COUNTIFS('Weekly Log'!$H:$H,"Y",'Weekly Log'!$A:$A,"&gt;="&amp;$J685,'Weekly Log'!$A:$A,"&lt;"&amp;$J685+7)/COUNTIFS('Weekly Log'!$H:$H,"&lt;&gt;",'Weekly Log'!$A:$A,"&gt;="&amp;$J685,'Weekly Log'!$A:$A,"&lt;"&amp;$J685+7),0))</f>
        <v/>
      </c>
      <c r="E685" t="str">
        <f>IF($J685="","",IFERROR(AVERAGEIFS('Weekly Log'!$F:$F,'Weekly Log'!$A:$A,"&gt;="&amp;$J685,'Weekly Log'!$A:$A,"&lt;"&amp;$J685+7),0))</f>
        <v/>
      </c>
      <c r="F685" t="str">
        <f>IF($J685="","",IFERROR(SUMIFS('Weekly Log'!$F:$F,'Weekly Log'!$A:$A,"&gt;="&amp;$J685,'Weekly Log'!$A:$A,"&lt;"&amp;$J685+7)/SUMIFS('Weekly Log'!$E:$E,'Weekly Log'!$A:$A,"&gt;="&amp;$J685,'Weekly Log'!$A:$A,"&lt;"&amp;$J685+7),0))</f>
        <v/>
      </c>
      <c r="G685" t="str">
        <f>IF($J685="","",IFERROR(LOOKUP(2,1/(('Weekly Log'!$A$5:$A$5000&gt;=$J685)*('Weekly Log'!$A$5:$A$5000&lt;$J685+7)*('Weekly Log'!$M$5:$M$5000&lt;&gt;"")),'Weekly Log'!$M$5:$M$5000),0))</f>
        <v/>
      </c>
      <c r="J685" t="str">
        <f>IF(COUNT('Weekly Log'!$A$5:$A$5000)=0,"",IF(MIN('Weekly Log'!$A$5:$A$5000)+7*(ROW()-10)&gt;MAX('Weekly Log'!$A$5:$A$5000),"",MIN('Weekly Log'!$A$5:$A$5000)+7*(ROW()-10)))</f>
        <v/>
      </c>
    </row>
    <row r="686" spans="1:10" x14ac:dyDescent="0.25">
      <c r="A686" t="str">
        <f t="shared" si="10"/>
        <v/>
      </c>
      <c r="B686" t="str">
        <f>IF($J686="","",SUMIFS('Weekly Log'!$C:$C,'Weekly Log'!$A:$A,"&gt;="&amp;$J686,'Weekly Log'!$A:$A,"&lt;"&amp;$J686+7))</f>
        <v/>
      </c>
      <c r="C686" t="str">
        <f>IF($J686="","",IFERROR(COUNTIFS('Weekly Log'!$G:$G,"Y",'Weekly Log'!$A:$A,"&gt;="&amp;$J686,'Weekly Log'!$A:$A,"&lt;"&amp;$J686+7)/COUNTIFS('Weekly Log'!$G:$G,"&lt;&gt;",'Weekly Log'!$A:$A,"&gt;="&amp;$J686,'Weekly Log'!$A:$A,"&lt;"&amp;$J686+7),0))</f>
        <v/>
      </c>
      <c r="D686" t="str">
        <f>IF($J686="","",IFERROR(COUNTIFS('Weekly Log'!$H:$H,"Y",'Weekly Log'!$A:$A,"&gt;="&amp;$J686,'Weekly Log'!$A:$A,"&lt;"&amp;$J686+7)/COUNTIFS('Weekly Log'!$H:$H,"&lt;&gt;",'Weekly Log'!$A:$A,"&gt;="&amp;$J686,'Weekly Log'!$A:$A,"&lt;"&amp;$J686+7),0))</f>
        <v/>
      </c>
      <c r="E686" t="str">
        <f>IF($J686="","",IFERROR(AVERAGEIFS('Weekly Log'!$F:$F,'Weekly Log'!$A:$A,"&gt;="&amp;$J686,'Weekly Log'!$A:$A,"&lt;"&amp;$J686+7),0))</f>
        <v/>
      </c>
      <c r="F686" t="str">
        <f>IF($J686="","",IFERROR(SUMIFS('Weekly Log'!$F:$F,'Weekly Log'!$A:$A,"&gt;="&amp;$J686,'Weekly Log'!$A:$A,"&lt;"&amp;$J686+7)/SUMIFS('Weekly Log'!$E:$E,'Weekly Log'!$A:$A,"&gt;="&amp;$J686,'Weekly Log'!$A:$A,"&lt;"&amp;$J686+7),0))</f>
        <v/>
      </c>
      <c r="G686" t="str">
        <f>IF($J686="","",IFERROR(LOOKUP(2,1/(('Weekly Log'!$A$5:$A$5000&gt;=$J686)*('Weekly Log'!$A$5:$A$5000&lt;$J686+7)*('Weekly Log'!$M$5:$M$5000&lt;&gt;"")),'Weekly Log'!$M$5:$M$5000),0))</f>
        <v/>
      </c>
      <c r="J686" t="str">
        <f>IF(COUNT('Weekly Log'!$A$5:$A$5000)=0,"",IF(MIN('Weekly Log'!$A$5:$A$5000)+7*(ROW()-10)&gt;MAX('Weekly Log'!$A$5:$A$5000),"",MIN('Weekly Log'!$A$5:$A$5000)+7*(ROW()-10)))</f>
        <v/>
      </c>
    </row>
    <row r="687" spans="1:10" x14ac:dyDescent="0.25">
      <c r="A687" t="str">
        <f t="shared" si="10"/>
        <v/>
      </c>
      <c r="B687" t="str">
        <f>IF($J687="","",SUMIFS('Weekly Log'!$C:$C,'Weekly Log'!$A:$A,"&gt;="&amp;$J687,'Weekly Log'!$A:$A,"&lt;"&amp;$J687+7))</f>
        <v/>
      </c>
      <c r="C687" t="str">
        <f>IF($J687="","",IFERROR(COUNTIFS('Weekly Log'!$G:$G,"Y",'Weekly Log'!$A:$A,"&gt;="&amp;$J687,'Weekly Log'!$A:$A,"&lt;"&amp;$J687+7)/COUNTIFS('Weekly Log'!$G:$G,"&lt;&gt;",'Weekly Log'!$A:$A,"&gt;="&amp;$J687,'Weekly Log'!$A:$A,"&lt;"&amp;$J687+7),0))</f>
        <v/>
      </c>
      <c r="D687" t="str">
        <f>IF($J687="","",IFERROR(COUNTIFS('Weekly Log'!$H:$H,"Y",'Weekly Log'!$A:$A,"&gt;="&amp;$J687,'Weekly Log'!$A:$A,"&lt;"&amp;$J687+7)/COUNTIFS('Weekly Log'!$H:$H,"&lt;&gt;",'Weekly Log'!$A:$A,"&gt;="&amp;$J687,'Weekly Log'!$A:$A,"&lt;"&amp;$J687+7),0))</f>
        <v/>
      </c>
      <c r="E687" t="str">
        <f>IF($J687="","",IFERROR(AVERAGEIFS('Weekly Log'!$F:$F,'Weekly Log'!$A:$A,"&gt;="&amp;$J687,'Weekly Log'!$A:$A,"&lt;"&amp;$J687+7),0))</f>
        <v/>
      </c>
      <c r="F687" t="str">
        <f>IF($J687="","",IFERROR(SUMIFS('Weekly Log'!$F:$F,'Weekly Log'!$A:$A,"&gt;="&amp;$J687,'Weekly Log'!$A:$A,"&lt;"&amp;$J687+7)/SUMIFS('Weekly Log'!$E:$E,'Weekly Log'!$A:$A,"&gt;="&amp;$J687,'Weekly Log'!$A:$A,"&lt;"&amp;$J687+7),0))</f>
        <v/>
      </c>
      <c r="G687" t="str">
        <f>IF($J687="","",IFERROR(LOOKUP(2,1/(('Weekly Log'!$A$5:$A$5000&gt;=$J687)*('Weekly Log'!$A$5:$A$5000&lt;$J687+7)*('Weekly Log'!$M$5:$M$5000&lt;&gt;"")),'Weekly Log'!$M$5:$M$5000),0))</f>
        <v/>
      </c>
      <c r="J687" t="str">
        <f>IF(COUNT('Weekly Log'!$A$5:$A$5000)=0,"",IF(MIN('Weekly Log'!$A$5:$A$5000)+7*(ROW()-10)&gt;MAX('Weekly Log'!$A$5:$A$5000),"",MIN('Weekly Log'!$A$5:$A$5000)+7*(ROW()-10)))</f>
        <v/>
      </c>
    </row>
    <row r="688" spans="1:10" x14ac:dyDescent="0.25">
      <c r="A688" t="str">
        <f t="shared" si="10"/>
        <v/>
      </c>
      <c r="B688" t="str">
        <f>IF($J688="","",SUMIFS('Weekly Log'!$C:$C,'Weekly Log'!$A:$A,"&gt;="&amp;$J688,'Weekly Log'!$A:$A,"&lt;"&amp;$J688+7))</f>
        <v/>
      </c>
      <c r="C688" t="str">
        <f>IF($J688="","",IFERROR(COUNTIFS('Weekly Log'!$G:$G,"Y",'Weekly Log'!$A:$A,"&gt;="&amp;$J688,'Weekly Log'!$A:$A,"&lt;"&amp;$J688+7)/COUNTIFS('Weekly Log'!$G:$G,"&lt;&gt;",'Weekly Log'!$A:$A,"&gt;="&amp;$J688,'Weekly Log'!$A:$A,"&lt;"&amp;$J688+7),0))</f>
        <v/>
      </c>
      <c r="D688" t="str">
        <f>IF($J688="","",IFERROR(COUNTIFS('Weekly Log'!$H:$H,"Y",'Weekly Log'!$A:$A,"&gt;="&amp;$J688,'Weekly Log'!$A:$A,"&lt;"&amp;$J688+7)/COUNTIFS('Weekly Log'!$H:$H,"&lt;&gt;",'Weekly Log'!$A:$A,"&gt;="&amp;$J688,'Weekly Log'!$A:$A,"&lt;"&amp;$J688+7),0))</f>
        <v/>
      </c>
      <c r="E688" t="str">
        <f>IF($J688="","",IFERROR(AVERAGEIFS('Weekly Log'!$F:$F,'Weekly Log'!$A:$A,"&gt;="&amp;$J688,'Weekly Log'!$A:$A,"&lt;"&amp;$J688+7),0))</f>
        <v/>
      </c>
      <c r="F688" t="str">
        <f>IF($J688="","",IFERROR(SUMIFS('Weekly Log'!$F:$F,'Weekly Log'!$A:$A,"&gt;="&amp;$J688,'Weekly Log'!$A:$A,"&lt;"&amp;$J688+7)/SUMIFS('Weekly Log'!$E:$E,'Weekly Log'!$A:$A,"&gt;="&amp;$J688,'Weekly Log'!$A:$A,"&lt;"&amp;$J688+7),0))</f>
        <v/>
      </c>
      <c r="G688" t="str">
        <f>IF($J688="","",IFERROR(LOOKUP(2,1/(('Weekly Log'!$A$5:$A$5000&gt;=$J688)*('Weekly Log'!$A$5:$A$5000&lt;$J688+7)*('Weekly Log'!$M$5:$M$5000&lt;&gt;"")),'Weekly Log'!$M$5:$M$5000),0))</f>
        <v/>
      </c>
      <c r="J688" t="str">
        <f>IF(COUNT('Weekly Log'!$A$5:$A$5000)=0,"",IF(MIN('Weekly Log'!$A$5:$A$5000)+7*(ROW()-10)&gt;MAX('Weekly Log'!$A$5:$A$5000),"",MIN('Weekly Log'!$A$5:$A$5000)+7*(ROW()-10)))</f>
        <v/>
      </c>
    </row>
    <row r="689" spans="1:10" x14ac:dyDescent="0.25">
      <c r="A689" t="str">
        <f t="shared" si="10"/>
        <v/>
      </c>
      <c r="B689" t="str">
        <f>IF($J689="","",SUMIFS('Weekly Log'!$C:$C,'Weekly Log'!$A:$A,"&gt;="&amp;$J689,'Weekly Log'!$A:$A,"&lt;"&amp;$J689+7))</f>
        <v/>
      </c>
      <c r="C689" t="str">
        <f>IF($J689="","",IFERROR(COUNTIFS('Weekly Log'!$G:$G,"Y",'Weekly Log'!$A:$A,"&gt;="&amp;$J689,'Weekly Log'!$A:$A,"&lt;"&amp;$J689+7)/COUNTIFS('Weekly Log'!$G:$G,"&lt;&gt;",'Weekly Log'!$A:$A,"&gt;="&amp;$J689,'Weekly Log'!$A:$A,"&lt;"&amp;$J689+7),0))</f>
        <v/>
      </c>
      <c r="D689" t="str">
        <f>IF($J689="","",IFERROR(COUNTIFS('Weekly Log'!$H:$H,"Y",'Weekly Log'!$A:$A,"&gt;="&amp;$J689,'Weekly Log'!$A:$A,"&lt;"&amp;$J689+7)/COUNTIFS('Weekly Log'!$H:$H,"&lt;&gt;",'Weekly Log'!$A:$A,"&gt;="&amp;$J689,'Weekly Log'!$A:$A,"&lt;"&amp;$J689+7),0))</f>
        <v/>
      </c>
      <c r="E689" t="str">
        <f>IF($J689="","",IFERROR(AVERAGEIFS('Weekly Log'!$F:$F,'Weekly Log'!$A:$A,"&gt;="&amp;$J689,'Weekly Log'!$A:$A,"&lt;"&amp;$J689+7),0))</f>
        <v/>
      </c>
      <c r="F689" t="str">
        <f>IF($J689="","",IFERROR(SUMIFS('Weekly Log'!$F:$F,'Weekly Log'!$A:$A,"&gt;="&amp;$J689,'Weekly Log'!$A:$A,"&lt;"&amp;$J689+7)/SUMIFS('Weekly Log'!$E:$E,'Weekly Log'!$A:$A,"&gt;="&amp;$J689,'Weekly Log'!$A:$A,"&lt;"&amp;$J689+7),0))</f>
        <v/>
      </c>
      <c r="G689" t="str">
        <f>IF($J689="","",IFERROR(LOOKUP(2,1/(('Weekly Log'!$A$5:$A$5000&gt;=$J689)*('Weekly Log'!$A$5:$A$5000&lt;$J689+7)*('Weekly Log'!$M$5:$M$5000&lt;&gt;"")),'Weekly Log'!$M$5:$M$5000),0))</f>
        <v/>
      </c>
      <c r="J689" t="str">
        <f>IF(COUNT('Weekly Log'!$A$5:$A$5000)=0,"",IF(MIN('Weekly Log'!$A$5:$A$5000)+7*(ROW()-10)&gt;MAX('Weekly Log'!$A$5:$A$5000),"",MIN('Weekly Log'!$A$5:$A$5000)+7*(ROW()-10)))</f>
        <v/>
      </c>
    </row>
    <row r="690" spans="1:10" x14ac:dyDescent="0.25">
      <c r="A690" t="str">
        <f t="shared" si="10"/>
        <v/>
      </c>
      <c r="B690" t="str">
        <f>IF($J690="","",SUMIFS('Weekly Log'!$C:$C,'Weekly Log'!$A:$A,"&gt;="&amp;$J690,'Weekly Log'!$A:$A,"&lt;"&amp;$J690+7))</f>
        <v/>
      </c>
      <c r="C690" t="str">
        <f>IF($J690="","",IFERROR(COUNTIFS('Weekly Log'!$G:$G,"Y",'Weekly Log'!$A:$A,"&gt;="&amp;$J690,'Weekly Log'!$A:$A,"&lt;"&amp;$J690+7)/COUNTIFS('Weekly Log'!$G:$G,"&lt;&gt;",'Weekly Log'!$A:$A,"&gt;="&amp;$J690,'Weekly Log'!$A:$A,"&lt;"&amp;$J690+7),0))</f>
        <v/>
      </c>
      <c r="D690" t="str">
        <f>IF($J690="","",IFERROR(COUNTIFS('Weekly Log'!$H:$H,"Y",'Weekly Log'!$A:$A,"&gt;="&amp;$J690,'Weekly Log'!$A:$A,"&lt;"&amp;$J690+7)/COUNTIFS('Weekly Log'!$H:$H,"&lt;&gt;",'Weekly Log'!$A:$A,"&gt;="&amp;$J690,'Weekly Log'!$A:$A,"&lt;"&amp;$J690+7),0))</f>
        <v/>
      </c>
      <c r="E690" t="str">
        <f>IF($J690="","",IFERROR(AVERAGEIFS('Weekly Log'!$F:$F,'Weekly Log'!$A:$A,"&gt;="&amp;$J690,'Weekly Log'!$A:$A,"&lt;"&amp;$J690+7),0))</f>
        <v/>
      </c>
      <c r="F690" t="str">
        <f>IF($J690="","",IFERROR(SUMIFS('Weekly Log'!$F:$F,'Weekly Log'!$A:$A,"&gt;="&amp;$J690,'Weekly Log'!$A:$A,"&lt;"&amp;$J690+7)/SUMIFS('Weekly Log'!$E:$E,'Weekly Log'!$A:$A,"&gt;="&amp;$J690,'Weekly Log'!$A:$A,"&lt;"&amp;$J690+7),0))</f>
        <v/>
      </c>
      <c r="G690" t="str">
        <f>IF($J690="","",IFERROR(LOOKUP(2,1/(('Weekly Log'!$A$5:$A$5000&gt;=$J690)*('Weekly Log'!$A$5:$A$5000&lt;$J690+7)*('Weekly Log'!$M$5:$M$5000&lt;&gt;"")),'Weekly Log'!$M$5:$M$5000),0))</f>
        <v/>
      </c>
      <c r="J690" t="str">
        <f>IF(COUNT('Weekly Log'!$A$5:$A$5000)=0,"",IF(MIN('Weekly Log'!$A$5:$A$5000)+7*(ROW()-10)&gt;MAX('Weekly Log'!$A$5:$A$5000),"",MIN('Weekly Log'!$A$5:$A$5000)+7*(ROW()-10)))</f>
        <v/>
      </c>
    </row>
    <row r="691" spans="1:10" x14ac:dyDescent="0.25">
      <c r="A691" t="str">
        <f t="shared" si="10"/>
        <v/>
      </c>
      <c r="B691" t="str">
        <f>IF($J691="","",SUMIFS('Weekly Log'!$C:$C,'Weekly Log'!$A:$A,"&gt;="&amp;$J691,'Weekly Log'!$A:$A,"&lt;"&amp;$J691+7))</f>
        <v/>
      </c>
      <c r="C691" t="str">
        <f>IF($J691="","",IFERROR(COUNTIFS('Weekly Log'!$G:$G,"Y",'Weekly Log'!$A:$A,"&gt;="&amp;$J691,'Weekly Log'!$A:$A,"&lt;"&amp;$J691+7)/COUNTIFS('Weekly Log'!$G:$G,"&lt;&gt;",'Weekly Log'!$A:$A,"&gt;="&amp;$J691,'Weekly Log'!$A:$A,"&lt;"&amp;$J691+7),0))</f>
        <v/>
      </c>
      <c r="D691" t="str">
        <f>IF($J691="","",IFERROR(COUNTIFS('Weekly Log'!$H:$H,"Y",'Weekly Log'!$A:$A,"&gt;="&amp;$J691,'Weekly Log'!$A:$A,"&lt;"&amp;$J691+7)/COUNTIFS('Weekly Log'!$H:$H,"&lt;&gt;",'Weekly Log'!$A:$A,"&gt;="&amp;$J691,'Weekly Log'!$A:$A,"&lt;"&amp;$J691+7),0))</f>
        <v/>
      </c>
      <c r="E691" t="str">
        <f>IF($J691="","",IFERROR(AVERAGEIFS('Weekly Log'!$F:$F,'Weekly Log'!$A:$A,"&gt;="&amp;$J691,'Weekly Log'!$A:$A,"&lt;"&amp;$J691+7),0))</f>
        <v/>
      </c>
      <c r="F691" t="str">
        <f>IF($J691="","",IFERROR(SUMIFS('Weekly Log'!$F:$F,'Weekly Log'!$A:$A,"&gt;="&amp;$J691,'Weekly Log'!$A:$A,"&lt;"&amp;$J691+7)/SUMIFS('Weekly Log'!$E:$E,'Weekly Log'!$A:$A,"&gt;="&amp;$J691,'Weekly Log'!$A:$A,"&lt;"&amp;$J691+7),0))</f>
        <v/>
      </c>
      <c r="G691" t="str">
        <f>IF($J691="","",IFERROR(LOOKUP(2,1/(('Weekly Log'!$A$5:$A$5000&gt;=$J691)*('Weekly Log'!$A$5:$A$5000&lt;$J691+7)*('Weekly Log'!$M$5:$M$5000&lt;&gt;"")),'Weekly Log'!$M$5:$M$5000),0))</f>
        <v/>
      </c>
      <c r="J691" t="str">
        <f>IF(COUNT('Weekly Log'!$A$5:$A$5000)=0,"",IF(MIN('Weekly Log'!$A$5:$A$5000)+7*(ROW()-10)&gt;MAX('Weekly Log'!$A$5:$A$5000),"",MIN('Weekly Log'!$A$5:$A$5000)+7*(ROW()-10)))</f>
        <v/>
      </c>
    </row>
    <row r="692" spans="1:10" x14ac:dyDescent="0.25">
      <c r="A692" t="str">
        <f t="shared" si="10"/>
        <v/>
      </c>
      <c r="B692" t="str">
        <f>IF($J692="","",SUMIFS('Weekly Log'!$C:$C,'Weekly Log'!$A:$A,"&gt;="&amp;$J692,'Weekly Log'!$A:$A,"&lt;"&amp;$J692+7))</f>
        <v/>
      </c>
      <c r="C692" t="str">
        <f>IF($J692="","",IFERROR(COUNTIFS('Weekly Log'!$G:$G,"Y",'Weekly Log'!$A:$A,"&gt;="&amp;$J692,'Weekly Log'!$A:$A,"&lt;"&amp;$J692+7)/COUNTIFS('Weekly Log'!$G:$G,"&lt;&gt;",'Weekly Log'!$A:$A,"&gt;="&amp;$J692,'Weekly Log'!$A:$A,"&lt;"&amp;$J692+7),0))</f>
        <v/>
      </c>
      <c r="D692" t="str">
        <f>IF($J692="","",IFERROR(COUNTIFS('Weekly Log'!$H:$H,"Y",'Weekly Log'!$A:$A,"&gt;="&amp;$J692,'Weekly Log'!$A:$A,"&lt;"&amp;$J692+7)/COUNTIFS('Weekly Log'!$H:$H,"&lt;&gt;",'Weekly Log'!$A:$A,"&gt;="&amp;$J692,'Weekly Log'!$A:$A,"&lt;"&amp;$J692+7),0))</f>
        <v/>
      </c>
      <c r="E692" t="str">
        <f>IF($J692="","",IFERROR(AVERAGEIFS('Weekly Log'!$F:$F,'Weekly Log'!$A:$A,"&gt;="&amp;$J692,'Weekly Log'!$A:$A,"&lt;"&amp;$J692+7),0))</f>
        <v/>
      </c>
      <c r="F692" t="str">
        <f>IF($J692="","",IFERROR(SUMIFS('Weekly Log'!$F:$F,'Weekly Log'!$A:$A,"&gt;="&amp;$J692,'Weekly Log'!$A:$A,"&lt;"&amp;$J692+7)/SUMIFS('Weekly Log'!$E:$E,'Weekly Log'!$A:$A,"&gt;="&amp;$J692,'Weekly Log'!$A:$A,"&lt;"&amp;$J692+7),0))</f>
        <v/>
      </c>
      <c r="G692" t="str">
        <f>IF($J692="","",IFERROR(LOOKUP(2,1/(('Weekly Log'!$A$5:$A$5000&gt;=$J692)*('Weekly Log'!$A$5:$A$5000&lt;$J692+7)*('Weekly Log'!$M$5:$M$5000&lt;&gt;"")),'Weekly Log'!$M$5:$M$5000),0))</f>
        <v/>
      </c>
      <c r="J692" t="str">
        <f>IF(COUNT('Weekly Log'!$A$5:$A$5000)=0,"",IF(MIN('Weekly Log'!$A$5:$A$5000)+7*(ROW()-10)&gt;MAX('Weekly Log'!$A$5:$A$5000),"",MIN('Weekly Log'!$A$5:$A$5000)+7*(ROW()-10)))</f>
        <v/>
      </c>
    </row>
    <row r="693" spans="1:10" x14ac:dyDescent="0.25">
      <c r="A693" t="str">
        <f t="shared" si="10"/>
        <v/>
      </c>
      <c r="B693" t="str">
        <f>IF($J693="","",SUMIFS('Weekly Log'!$C:$C,'Weekly Log'!$A:$A,"&gt;="&amp;$J693,'Weekly Log'!$A:$A,"&lt;"&amp;$J693+7))</f>
        <v/>
      </c>
      <c r="C693" t="str">
        <f>IF($J693="","",IFERROR(COUNTIFS('Weekly Log'!$G:$G,"Y",'Weekly Log'!$A:$A,"&gt;="&amp;$J693,'Weekly Log'!$A:$A,"&lt;"&amp;$J693+7)/COUNTIFS('Weekly Log'!$G:$G,"&lt;&gt;",'Weekly Log'!$A:$A,"&gt;="&amp;$J693,'Weekly Log'!$A:$A,"&lt;"&amp;$J693+7),0))</f>
        <v/>
      </c>
      <c r="D693" t="str">
        <f>IF($J693="","",IFERROR(COUNTIFS('Weekly Log'!$H:$H,"Y",'Weekly Log'!$A:$A,"&gt;="&amp;$J693,'Weekly Log'!$A:$A,"&lt;"&amp;$J693+7)/COUNTIFS('Weekly Log'!$H:$H,"&lt;&gt;",'Weekly Log'!$A:$A,"&gt;="&amp;$J693,'Weekly Log'!$A:$A,"&lt;"&amp;$J693+7),0))</f>
        <v/>
      </c>
      <c r="E693" t="str">
        <f>IF($J693="","",IFERROR(AVERAGEIFS('Weekly Log'!$F:$F,'Weekly Log'!$A:$A,"&gt;="&amp;$J693,'Weekly Log'!$A:$A,"&lt;"&amp;$J693+7),0))</f>
        <v/>
      </c>
      <c r="F693" t="str">
        <f>IF($J693="","",IFERROR(SUMIFS('Weekly Log'!$F:$F,'Weekly Log'!$A:$A,"&gt;="&amp;$J693,'Weekly Log'!$A:$A,"&lt;"&amp;$J693+7)/SUMIFS('Weekly Log'!$E:$E,'Weekly Log'!$A:$A,"&gt;="&amp;$J693,'Weekly Log'!$A:$A,"&lt;"&amp;$J693+7),0))</f>
        <v/>
      </c>
      <c r="G693" t="str">
        <f>IF($J693="","",IFERROR(LOOKUP(2,1/(('Weekly Log'!$A$5:$A$5000&gt;=$J693)*('Weekly Log'!$A$5:$A$5000&lt;$J693+7)*('Weekly Log'!$M$5:$M$5000&lt;&gt;"")),'Weekly Log'!$M$5:$M$5000),0))</f>
        <v/>
      </c>
      <c r="J693" t="str">
        <f>IF(COUNT('Weekly Log'!$A$5:$A$5000)=0,"",IF(MIN('Weekly Log'!$A$5:$A$5000)+7*(ROW()-10)&gt;MAX('Weekly Log'!$A$5:$A$5000),"",MIN('Weekly Log'!$A$5:$A$5000)+7*(ROW()-10)))</f>
        <v/>
      </c>
    </row>
    <row r="694" spans="1:10" x14ac:dyDescent="0.25">
      <c r="A694" t="str">
        <f t="shared" si="10"/>
        <v/>
      </c>
      <c r="B694" t="str">
        <f>IF($J694="","",SUMIFS('Weekly Log'!$C:$C,'Weekly Log'!$A:$A,"&gt;="&amp;$J694,'Weekly Log'!$A:$A,"&lt;"&amp;$J694+7))</f>
        <v/>
      </c>
      <c r="C694" t="str">
        <f>IF($J694="","",IFERROR(COUNTIFS('Weekly Log'!$G:$G,"Y",'Weekly Log'!$A:$A,"&gt;="&amp;$J694,'Weekly Log'!$A:$A,"&lt;"&amp;$J694+7)/COUNTIFS('Weekly Log'!$G:$G,"&lt;&gt;",'Weekly Log'!$A:$A,"&gt;="&amp;$J694,'Weekly Log'!$A:$A,"&lt;"&amp;$J694+7),0))</f>
        <v/>
      </c>
      <c r="D694" t="str">
        <f>IF($J694="","",IFERROR(COUNTIFS('Weekly Log'!$H:$H,"Y",'Weekly Log'!$A:$A,"&gt;="&amp;$J694,'Weekly Log'!$A:$A,"&lt;"&amp;$J694+7)/COUNTIFS('Weekly Log'!$H:$H,"&lt;&gt;",'Weekly Log'!$A:$A,"&gt;="&amp;$J694,'Weekly Log'!$A:$A,"&lt;"&amp;$J694+7),0))</f>
        <v/>
      </c>
      <c r="E694" t="str">
        <f>IF($J694="","",IFERROR(AVERAGEIFS('Weekly Log'!$F:$F,'Weekly Log'!$A:$A,"&gt;="&amp;$J694,'Weekly Log'!$A:$A,"&lt;"&amp;$J694+7),0))</f>
        <v/>
      </c>
      <c r="F694" t="str">
        <f>IF($J694="","",IFERROR(SUMIFS('Weekly Log'!$F:$F,'Weekly Log'!$A:$A,"&gt;="&amp;$J694,'Weekly Log'!$A:$A,"&lt;"&amp;$J694+7)/SUMIFS('Weekly Log'!$E:$E,'Weekly Log'!$A:$A,"&gt;="&amp;$J694,'Weekly Log'!$A:$A,"&lt;"&amp;$J694+7),0))</f>
        <v/>
      </c>
      <c r="G694" t="str">
        <f>IF($J694="","",IFERROR(LOOKUP(2,1/(('Weekly Log'!$A$5:$A$5000&gt;=$J694)*('Weekly Log'!$A$5:$A$5000&lt;$J694+7)*('Weekly Log'!$M$5:$M$5000&lt;&gt;"")),'Weekly Log'!$M$5:$M$5000),0))</f>
        <v/>
      </c>
      <c r="J694" t="str">
        <f>IF(COUNT('Weekly Log'!$A$5:$A$5000)=0,"",IF(MIN('Weekly Log'!$A$5:$A$5000)+7*(ROW()-10)&gt;MAX('Weekly Log'!$A$5:$A$5000),"",MIN('Weekly Log'!$A$5:$A$5000)+7*(ROW()-10)))</f>
        <v/>
      </c>
    </row>
    <row r="695" spans="1:10" x14ac:dyDescent="0.25">
      <c r="A695" t="str">
        <f t="shared" si="10"/>
        <v/>
      </c>
      <c r="B695" t="str">
        <f>IF($J695="","",SUMIFS('Weekly Log'!$C:$C,'Weekly Log'!$A:$A,"&gt;="&amp;$J695,'Weekly Log'!$A:$A,"&lt;"&amp;$J695+7))</f>
        <v/>
      </c>
      <c r="C695" t="str">
        <f>IF($J695="","",IFERROR(COUNTIFS('Weekly Log'!$G:$G,"Y",'Weekly Log'!$A:$A,"&gt;="&amp;$J695,'Weekly Log'!$A:$A,"&lt;"&amp;$J695+7)/COUNTIFS('Weekly Log'!$G:$G,"&lt;&gt;",'Weekly Log'!$A:$A,"&gt;="&amp;$J695,'Weekly Log'!$A:$A,"&lt;"&amp;$J695+7),0))</f>
        <v/>
      </c>
      <c r="D695" t="str">
        <f>IF($J695="","",IFERROR(COUNTIFS('Weekly Log'!$H:$H,"Y",'Weekly Log'!$A:$A,"&gt;="&amp;$J695,'Weekly Log'!$A:$A,"&lt;"&amp;$J695+7)/COUNTIFS('Weekly Log'!$H:$H,"&lt;&gt;",'Weekly Log'!$A:$A,"&gt;="&amp;$J695,'Weekly Log'!$A:$A,"&lt;"&amp;$J695+7),0))</f>
        <v/>
      </c>
      <c r="E695" t="str">
        <f>IF($J695="","",IFERROR(AVERAGEIFS('Weekly Log'!$F:$F,'Weekly Log'!$A:$A,"&gt;="&amp;$J695,'Weekly Log'!$A:$A,"&lt;"&amp;$J695+7),0))</f>
        <v/>
      </c>
      <c r="F695" t="str">
        <f>IF($J695="","",IFERROR(SUMIFS('Weekly Log'!$F:$F,'Weekly Log'!$A:$A,"&gt;="&amp;$J695,'Weekly Log'!$A:$A,"&lt;"&amp;$J695+7)/SUMIFS('Weekly Log'!$E:$E,'Weekly Log'!$A:$A,"&gt;="&amp;$J695,'Weekly Log'!$A:$A,"&lt;"&amp;$J695+7),0))</f>
        <v/>
      </c>
      <c r="G695" t="str">
        <f>IF($J695="","",IFERROR(LOOKUP(2,1/(('Weekly Log'!$A$5:$A$5000&gt;=$J695)*('Weekly Log'!$A$5:$A$5000&lt;$J695+7)*('Weekly Log'!$M$5:$M$5000&lt;&gt;"")),'Weekly Log'!$M$5:$M$5000),0))</f>
        <v/>
      </c>
      <c r="J695" t="str">
        <f>IF(COUNT('Weekly Log'!$A$5:$A$5000)=0,"",IF(MIN('Weekly Log'!$A$5:$A$5000)+7*(ROW()-10)&gt;MAX('Weekly Log'!$A$5:$A$5000),"",MIN('Weekly Log'!$A$5:$A$5000)+7*(ROW()-10)))</f>
        <v/>
      </c>
    </row>
    <row r="696" spans="1:10" x14ac:dyDescent="0.25">
      <c r="A696" t="str">
        <f t="shared" si="10"/>
        <v/>
      </c>
      <c r="B696" t="str">
        <f>IF($J696="","",SUMIFS('Weekly Log'!$C:$C,'Weekly Log'!$A:$A,"&gt;="&amp;$J696,'Weekly Log'!$A:$A,"&lt;"&amp;$J696+7))</f>
        <v/>
      </c>
      <c r="C696" t="str">
        <f>IF($J696="","",IFERROR(COUNTIFS('Weekly Log'!$G:$G,"Y",'Weekly Log'!$A:$A,"&gt;="&amp;$J696,'Weekly Log'!$A:$A,"&lt;"&amp;$J696+7)/COUNTIFS('Weekly Log'!$G:$G,"&lt;&gt;",'Weekly Log'!$A:$A,"&gt;="&amp;$J696,'Weekly Log'!$A:$A,"&lt;"&amp;$J696+7),0))</f>
        <v/>
      </c>
      <c r="D696" t="str">
        <f>IF($J696="","",IFERROR(COUNTIFS('Weekly Log'!$H:$H,"Y",'Weekly Log'!$A:$A,"&gt;="&amp;$J696,'Weekly Log'!$A:$A,"&lt;"&amp;$J696+7)/COUNTIFS('Weekly Log'!$H:$H,"&lt;&gt;",'Weekly Log'!$A:$A,"&gt;="&amp;$J696,'Weekly Log'!$A:$A,"&lt;"&amp;$J696+7),0))</f>
        <v/>
      </c>
      <c r="E696" t="str">
        <f>IF($J696="","",IFERROR(AVERAGEIFS('Weekly Log'!$F:$F,'Weekly Log'!$A:$A,"&gt;="&amp;$J696,'Weekly Log'!$A:$A,"&lt;"&amp;$J696+7),0))</f>
        <v/>
      </c>
      <c r="F696" t="str">
        <f>IF($J696="","",IFERROR(SUMIFS('Weekly Log'!$F:$F,'Weekly Log'!$A:$A,"&gt;="&amp;$J696,'Weekly Log'!$A:$A,"&lt;"&amp;$J696+7)/SUMIFS('Weekly Log'!$E:$E,'Weekly Log'!$A:$A,"&gt;="&amp;$J696,'Weekly Log'!$A:$A,"&lt;"&amp;$J696+7),0))</f>
        <v/>
      </c>
      <c r="G696" t="str">
        <f>IF($J696="","",IFERROR(LOOKUP(2,1/(('Weekly Log'!$A$5:$A$5000&gt;=$J696)*('Weekly Log'!$A$5:$A$5000&lt;$J696+7)*('Weekly Log'!$M$5:$M$5000&lt;&gt;"")),'Weekly Log'!$M$5:$M$5000),0))</f>
        <v/>
      </c>
      <c r="J696" t="str">
        <f>IF(COUNT('Weekly Log'!$A$5:$A$5000)=0,"",IF(MIN('Weekly Log'!$A$5:$A$5000)+7*(ROW()-10)&gt;MAX('Weekly Log'!$A$5:$A$5000),"",MIN('Weekly Log'!$A$5:$A$5000)+7*(ROW()-10)))</f>
        <v/>
      </c>
    </row>
    <row r="697" spans="1:10" x14ac:dyDescent="0.25">
      <c r="A697" t="str">
        <f t="shared" si="10"/>
        <v/>
      </c>
      <c r="B697" t="str">
        <f>IF($J697="","",SUMIFS('Weekly Log'!$C:$C,'Weekly Log'!$A:$A,"&gt;="&amp;$J697,'Weekly Log'!$A:$A,"&lt;"&amp;$J697+7))</f>
        <v/>
      </c>
      <c r="C697" t="str">
        <f>IF($J697="","",IFERROR(COUNTIFS('Weekly Log'!$G:$G,"Y",'Weekly Log'!$A:$A,"&gt;="&amp;$J697,'Weekly Log'!$A:$A,"&lt;"&amp;$J697+7)/COUNTIFS('Weekly Log'!$G:$G,"&lt;&gt;",'Weekly Log'!$A:$A,"&gt;="&amp;$J697,'Weekly Log'!$A:$A,"&lt;"&amp;$J697+7),0))</f>
        <v/>
      </c>
      <c r="D697" t="str">
        <f>IF($J697="","",IFERROR(COUNTIFS('Weekly Log'!$H:$H,"Y",'Weekly Log'!$A:$A,"&gt;="&amp;$J697,'Weekly Log'!$A:$A,"&lt;"&amp;$J697+7)/COUNTIFS('Weekly Log'!$H:$H,"&lt;&gt;",'Weekly Log'!$A:$A,"&gt;="&amp;$J697,'Weekly Log'!$A:$A,"&lt;"&amp;$J697+7),0))</f>
        <v/>
      </c>
      <c r="E697" t="str">
        <f>IF($J697="","",IFERROR(AVERAGEIFS('Weekly Log'!$F:$F,'Weekly Log'!$A:$A,"&gt;="&amp;$J697,'Weekly Log'!$A:$A,"&lt;"&amp;$J697+7),0))</f>
        <v/>
      </c>
      <c r="F697" t="str">
        <f>IF($J697="","",IFERROR(SUMIFS('Weekly Log'!$F:$F,'Weekly Log'!$A:$A,"&gt;="&amp;$J697,'Weekly Log'!$A:$A,"&lt;"&amp;$J697+7)/SUMIFS('Weekly Log'!$E:$E,'Weekly Log'!$A:$A,"&gt;="&amp;$J697,'Weekly Log'!$A:$A,"&lt;"&amp;$J697+7),0))</f>
        <v/>
      </c>
      <c r="G697" t="str">
        <f>IF($J697="","",IFERROR(LOOKUP(2,1/(('Weekly Log'!$A$5:$A$5000&gt;=$J697)*('Weekly Log'!$A$5:$A$5000&lt;$J697+7)*('Weekly Log'!$M$5:$M$5000&lt;&gt;"")),'Weekly Log'!$M$5:$M$5000),0))</f>
        <v/>
      </c>
      <c r="J697" t="str">
        <f>IF(COUNT('Weekly Log'!$A$5:$A$5000)=0,"",IF(MIN('Weekly Log'!$A$5:$A$5000)+7*(ROW()-10)&gt;MAX('Weekly Log'!$A$5:$A$5000),"",MIN('Weekly Log'!$A$5:$A$5000)+7*(ROW()-10)))</f>
        <v/>
      </c>
    </row>
    <row r="698" spans="1:10" x14ac:dyDescent="0.25">
      <c r="A698" t="str">
        <f t="shared" si="10"/>
        <v/>
      </c>
      <c r="B698" t="str">
        <f>IF($J698="","",SUMIFS('Weekly Log'!$C:$C,'Weekly Log'!$A:$A,"&gt;="&amp;$J698,'Weekly Log'!$A:$A,"&lt;"&amp;$J698+7))</f>
        <v/>
      </c>
      <c r="C698" t="str">
        <f>IF($J698="","",IFERROR(COUNTIFS('Weekly Log'!$G:$G,"Y",'Weekly Log'!$A:$A,"&gt;="&amp;$J698,'Weekly Log'!$A:$A,"&lt;"&amp;$J698+7)/COUNTIFS('Weekly Log'!$G:$G,"&lt;&gt;",'Weekly Log'!$A:$A,"&gt;="&amp;$J698,'Weekly Log'!$A:$A,"&lt;"&amp;$J698+7),0))</f>
        <v/>
      </c>
      <c r="D698" t="str">
        <f>IF($J698="","",IFERROR(COUNTIFS('Weekly Log'!$H:$H,"Y",'Weekly Log'!$A:$A,"&gt;="&amp;$J698,'Weekly Log'!$A:$A,"&lt;"&amp;$J698+7)/COUNTIFS('Weekly Log'!$H:$H,"&lt;&gt;",'Weekly Log'!$A:$A,"&gt;="&amp;$J698,'Weekly Log'!$A:$A,"&lt;"&amp;$J698+7),0))</f>
        <v/>
      </c>
      <c r="E698" t="str">
        <f>IF($J698="","",IFERROR(AVERAGEIFS('Weekly Log'!$F:$F,'Weekly Log'!$A:$A,"&gt;="&amp;$J698,'Weekly Log'!$A:$A,"&lt;"&amp;$J698+7),0))</f>
        <v/>
      </c>
      <c r="F698" t="str">
        <f>IF($J698="","",IFERROR(SUMIFS('Weekly Log'!$F:$F,'Weekly Log'!$A:$A,"&gt;="&amp;$J698,'Weekly Log'!$A:$A,"&lt;"&amp;$J698+7)/SUMIFS('Weekly Log'!$E:$E,'Weekly Log'!$A:$A,"&gt;="&amp;$J698,'Weekly Log'!$A:$A,"&lt;"&amp;$J698+7),0))</f>
        <v/>
      </c>
      <c r="G698" t="str">
        <f>IF($J698="","",IFERROR(LOOKUP(2,1/(('Weekly Log'!$A$5:$A$5000&gt;=$J698)*('Weekly Log'!$A$5:$A$5000&lt;$J698+7)*('Weekly Log'!$M$5:$M$5000&lt;&gt;"")),'Weekly Log'!$M$5:$M$5000),0))</f>
        <v/>
      </c>
      <c r="J698" t="str">
        <f>IF(COUNT('Weekly Log'!$A$5:$A$5000)=0,"",IF(MIN('Weekly Log'!$A$5:$A$5000)+7*(ROW()-10)&gt;MAX('Weekly Log'!$A$5:$A$5000),"",MIN('Weekly Log'!$A$5:$A$5000)+7*(ROW()-10)))</f>
        <v/>
      </c>
    </row>
    <row r="699" spans="1:10" x14ac:dyDescent="0.25">
      <c r="A699" t="str">
        <f t="shared" si="10"/>
        <v/>
      </c>
      <c r="B699" t="str">
        <f>IF($J699="","",SUMIFS('Weekly Log'!$C:$C,'Weekly Log'!$A:$A,"&gt;="&amp;$J699,'Weekly Log'!$A:$A,"&lt;"&amp;$J699+7))</f>
        <v/>
      </c>
      <c r="C699" t="str">
        <f>IF($J699="","",IFERROR(COUNTIFS('Weekly Log'!$G:$G,"Y",'Weekly Log'!$A:$A,"&gt;="&amp;$J699,'Weekly Log'!$A:$A,"&lt;"&amp;$J699+7)/COUNTIFS('Weekly Log'!$G:$G,"&lt;&gt;",'Weekly Log'!$A:$A,"&gt;="&amp;$J699,'Weekly Log'!$A:$A,"&lt;"&amp;$J699+7),0))</f>
        <v/>
      </c>
      <c r="D699" t="str">
        <f>IF($J699="","",IFERROR(COUNTIFS('Weekly Log'!$H:$H,"Y",'Weekly Log'!$A:$A,"&gt;="&amp;$J699,'Weekly Log'!$A:$A,"&lt;"&amp;$J699+7)/COUNTIFS('Weekly Log'!$H:$H,"&lt;&gt;",'Weekly Log'!$A:$A,"&gt;="&amp;$J699,'Weekly Log'!$A:$A,"&lt;"&amp;$J699+7),0))</f>
        <v/>
      </c>
      <c r="E699" t="str">
        <f>IF($J699="","",IFERROR(AVERAGEIFS('Weekly Log'!$F:$F,'Weekly Log'!$A:$A,"&gt;="&amp;$J699,'Weekly Log'!$A:$A,"&lt;"&amp;$J699+7),0))</f>
        <v/>
      </c>
      <c r="F699" t="str">
        <f>IF($J699="","",IFERROR(SUMIFS('Weekly Log'!$F:$F,'Weekly Log'!$A:$A,"&gt;="&amp;$J699,'Weekly Log'!$A:$A,"&lt;"&amp;$J699+7)/SUMIFS('Weekly Log'!$E:$E,'Weekly Log'!$A:$A,"&gt;="&amp;$J699,'Weekly Log'!$A:$A,"&lt;"&amp;$J699+7),0))</f>
        <v/>
      </c>
      <c r="G699" t="str">
        <f>IF($J699="","",IFERROR(LOOKUP(2,1/(('Weekly Log'!$A$5:$A$5000&gt;=$J699)*('Weekly Log'!$A$5:$A$5000&lt;$J699+7)*('Weekly Log'!$M$5:$M$5000&lt;&gt;"")),'Weekly Log'!$M$5:$M$5000),0))</f>
        <v/>
      </c>
      <c r="J699" t="str">
        <f>IF(COUNT('Weekly Log'!$A$5:$A$5000)=0,"",IF(MIN('Weekly Log'!$A$5:$A$5000)+7*(ROW()-10)&gt;MAX('Weekly Log'!$A$5:$A$5000),"",MIN('Weekly Log'!$A$5:$A$5000)+7*(ROW()-10)))</f>
        <v/>
      </c>
    </row>
    <row r="700" spans="1:10" x14ac:dyDescent="0.25">
      <c r="A700" t="str">
        <f t="shared" si="10"/>
        <v/>
      </c>
      <c r="B700" t="str">
        <f>IF($J700="","",SUMIFS('Weekly Log'!$C:$C,'Weekly Log'!$A:$A,"&gt;="&amp;$J700,'Weekly Log'!$A:$A,"&lt;"&amp;$J700+7))</f>
        <v/>
      </c>
      <c r="C700" t="str">
        <f>IF($J700="","",IFERROR(COUNTIFS('Weekly Log'!$G:$G,"Y",'Weekly Log'!$A:$A,"&gt;="&amp;$J700,'Weekly Log'!$A:$A,"&lt;"&amp;$J700+7)/COUNTIFS('Weekly Log'!$G:$G,"&lt;&gt;",'Weekly Log'!$A:$A,"&gt;="&amp;$J700,'Weekly Log'!$A:$A,"&lt;"&amp;$J700+7),0))</f>
        <v/>
      </c>
      <c r="D700" t="str">
        <f>IF($J700="","",IFERROR(COUNTIFS('Weekly Log'!$H:$H,"Y",'Weekly Log'!$A:$A,"&gt;="&amp;$J700,'Weekly Log'!$A:$A,"&lt;"&amp;$J700+7)/COUNTIFS('Weekly Log'!$H:$H,"&lt;&gt;",'Weekly Log'!$A:$A,"&gt;="&amp;$J700,'Weekly Log'!$A:$A,"&lt;"&amp;$J700+7),0))</f>
        <v/>
      </c>
      <c r="E700" t="str">
        <f>IF($J700="","",IFERROR(AVERAGEIFS('Weekly Log'!$F:$F,'Weekly Log'!$A:$A,"&gt;="&amp;$J700,'Weekly Log'!$A:$A,"&lt;"&amp;$J700+7),0))</f>
        <v/>
      </c>
      <c r="F700" t="str">
        <f>IF($J700="","",IFERROR(SUMIFS('Weekly Log'!$F:$F,'Weekly Log'!$A:$A,"&gt;="&amp;$J700,'Weekly Log'!$A:$A,"&lt;"&amp;$J700+7)/SUMIFS('Weekly Log'!$E:$E,'Weekly Log'!$A:$A,"&gt;="&amp;$J700,'Weekly Log'!$A:$A,"&lt;"&amp;$J700+7),0))</f>
        <v/>
      </c>
      <c r="G700" t="str">
        <f>IF($J700="","",IFERROR(LOOKUP(2,1/(('Weekly Log'!$A$5:$A$5000&gt;=$J700)*('Weekly Log'!$A$5:$A$5000&lt;$J700+7)*('Weekly Log'!$M$5:$M$5000&lt;&gt;"")),'Weekly Log'!$M$5:$M$5000),0))</f>
        <v/>
      </c>
      <c r="J700" t="str">
        <f>IF(COUNT('Weekly Log'!$A$5:$A$5000)=0,"",IF(MIN('Weekly Log'!$A$5:$A$5000)+7*(ROW()-10)&gt;MAX('Weekly Log'!$A$5:$A$5000),"",MIN('Weekly Log'!$A$5:$A$5000)+7*(ROW()-10)))</f>
        <v/>
      </c>
    </row>
    <row r="701" spans="1:10" x14ac:dyDescent="0.25">
      <c r="A701" t="str">
        <f t="shared" si="10"/>
        <v/>
      </c>
      <c r="B701" t="str">
        <f>IF($J701="","",SUMIFS('Weekly Log'!$C:$C,'Weekly Log'!$A:$A,"&gt;="&amp;$J701,'Weekly Log'!$A:$A,"&lt;"&amp;$J701+7))</f>
        <v/>
      </c>
      <c r="C701" t="str">
        <f>IF($J701="","",IFERROR(COUNTIFS('Weekly Log'!$G:$G,"Y",'Weekly Log'!$A:$A,"&gt;="&amp;$J701,'Weekly Log'!$A:$A,"&lt;"&amp;$J701+7)/COUNTIFS('Weekly Log'!$G:$G,"&lt;&gt;",'Weekly Log'!$A:$A,"&gt;="&amp;$J701,'Weekly Log'!$A:$A,"&lt;"&amp;$J701+7),0))</f>
        <v/>
      </c>
      <c r="D701" t="str">
        <f>IF($J701="","",IFERROR(COUNTIFS('Weekly Log'!$H:$H,"Y",'Weekly Log'!$A:$A,"&gt;="&amp;$J701,'Weekly Log'!$A:$A,"&lt;"&amp;$J701+7)/COUNTIFS('Weekly Log'!$H:$H,"&lt;&gt;",'Weekly Log'!$A:$A,"&gt;="&amp;$J701,'Weekly Log'!$A:$A,"&lt;"&amp;$J701+7),0))</f>
        <v/>
      </c>
      <c r="E701" t="str">
        <f>IF($J701="","",IFERROR(AVERAGEIFS('Weekly Log'!$F:$F,'Weekly Log'!$A:$A,"&gt;="&amp;$J701,'Weekly Log'!$A:$A,"&lt;"&amp;$J701+7),0))</f>
        <v/>
      </c>
      <c r="F701" t="str">
        <f>IF($J701="","",IFERROR(SUMIFS('Weekly Log'!$F:$F,'Weekly Log'!$A:$A,"&gt;="&amp;$J701,'Weekly Log'!$A:$A,"&lt;"&amp;$J701+7)/SUMIFS('Weekly Log'!$E:$E,'Weekly Log'!$A:$A,"&gt;="&amp;$J701,'Weekly Log'!$A:$A,"&lt;"&amp;$J701+7),0))</f>
        <v/>
      </c>
      <c r="G701" t="str">
        <f>IF($J701="","",IFERROR(LOOKUP(2,1/(('Weekly Log'!$A$5:$A$5000&gt;=$J701)*('Weekly Log'!$A$5:$A$5000&lt;$J701+7)*('Weekly Log'!$M$5:$M$5000&lt;&gt;"")),'Weekly Log'!$M$5:$M$5000),0))</f>
        <v/>
      </c>
      <c r="J701" t="str">
        <f>IF(COUNT('Weekly Log'!$A$5:$A$5000)=0,"",IF(MIN('Weekly Log'!$A$5:$A$5000)+7*(ROW()-10)&gt;MAX('Weekly Log'!$A$5:$A$5000),"",MIN('Weekly Log'!$A$5:$A$5000)+7*(ROW()-10)))</f>
        <v/>
      </c>
    </row>
    <row r="702" spans="1:10" x14ac:dyDescent="0.25">
      <c r="A702" t="str">
        <f t="shared" si="10"/>
        <v/>
      </c>
      <c r="B702" t="str">
        <f>IF($J702="","",SUMIFS('Weekly Log'!$C:$C,'Weekly Log'!$A:$A,"&gt;="&amp;$J702,'Weekly Log'!$A:$A,"&lt;"&amp;$J702+7))</f>
        <v/>
      </c>
      <c r="C702" t="str">
        <f>IF($J702="","",IFERROR(COUNTIFS('Weekly Log'!$G:$G,"Y",'Weekly Log'!$A:$A,"&gt;="&amp;$J702,'Weekly Log'!$A:$A,"&lt;"&amp;$J702+7)/COUNTIFS('Weekly Log'!$G:$G,"&lt;&gt;",'Weekly Log'!$A:$A,"&gt;="&amp;$J702,'Weekly Log'!$A:$A,"&lt;"&amp;$J702+7),0))</f>
        <v/>
      </c>
      <c r="D702" t="str">
        <f>IF($J702="","",IFERROR(COUNTIFS('Weekly Log'!$H:$H,"Y",'Weekly Log'!$A:$A,"&gt;="&amp;$J702,'Weekly Log'!$A:$A,"&lt;"&amp;$J702+7)/COUNTIFS('Weekly Log'!$H:$H,"&lt;&gt;",'Weekly Log'!$A:$A,"&gt;="&amp;$J702,'Weekly Log'!$A:$A,"&lt;"&amp;$J702+7),0))</f>
        <v/>
      </c>
      <c r="E702" t="str">
        <f>IF($J702="","",IFERROR(AVERAGEIFS('Weekly Log'!$F:$F,'Weekly Log'!$A:$A,"&gt;="&amp;$J702,'Weekly Log'!$A:$A,"&lt;"&amp;$J702+7),0))</f>
        <v/>
      </c>
      <c r="F702" t="str">
        <f>IF($J702="","",IFERROR(SUMIFS('Weekly Log'!$F:$F,'Weekly Log'!$A:$A,"&gt;="&amp;$J702,'Weekly Log'!$A:$A,"&lt;"&amp;$J702+7)/SUMIFS('Weekly Log'!$E:$E,'Weekly Log'!$A:$A,"&gt;="&amp;$J702,'Weekly Log'!$A:$A,"&lt;"&amp;$J702+7),0))</f>
        <v/>
      </c>
      <c r="G702" t="str">
        <f>IF($J702="","",IFERROR(LOOKUP(2,1/(('Weekly Log'!$A$5:$A$5000&gt;=$J702)*('Weekly Log'!$A$5:$A$5000&lt;$J702+7)*('Weekly Log'!$M$5:$M$5000&lt;&gt;"")),'Weekly Log'!$M$5:$M$5000),0))</f>
        <v/>
      </c>
      <c r="J702" t="str">
        <f>IF(COUNT('Weekly Log'!$A$5:$A$5000)=0,"",IF(MIN('Weekly Log'!$A$5:$A$5000)+7*(ROW()-10)&gt;MAX('Weekly Log'!$A$5:$A$5000),"",MIN('Weekly Log'!$A$5:$A$5000)+7*(ROW()-10)))</f>
        <v/>
      </c>
    </row>
    <row r="703" spans="1:10" x14ac:dyDescent="0.25">
      <c r="A703" t="str">
        <f t="shared" si="10"/>
        <v/>
      </c>
      <c r="B703" t="str">
        <f>IF($J703="","",SUMIFS('Weekly Log'!$C:$C,'Weekly Log'!$A:$A,"&gt;="&amp;$J703,'Weekly Log'!$A:$A,"&lt;"&amp;$J703+7))</f>
        <v/>
      </c>
      <c r="C703" t="str">
        <f>IF($J703="","",IFERROR(COUNTIFS('Weekly Log'!$G:$G,"Y",'Weekly Log'!$A:$A,"&gt;="&amp;$J703,'Weekly Log'!$A:$A,"&lt;"&amp;$J703+7)/COUNTIFS('Weekly Log'!$G:$G,"&lt;&gt;",'Weekly Log'!$A:$A,"&gt;="&amp;$J703,'Weekly Log'!$A:$A,"&lt;"&amp;$J703+7),0))</f>
        <v/>
      </c>
      <c r="D703" t="str">
        <f>IF($J703="","",IFERROR(COUNTIFS('Weekly Log'!$H:$H,"Y",'Weekly Log'!$A:$A,"&gt;="&amp;$J703,'Weekly Log'!$A:$A,"&lt;"&amp;$J703+7)/COUNTIFS('Weekly Log'!$H:$H,"&lt;&gt;",'Weekly Log'!$A:$A,"&gt;="&amp;$J703,'Weekly Log'!$A:$A,"&lt;"&amp;$J703+7),0))</f>
        <v/>
      </c>
      <c r="E703" t="str">
        <f>IF($J703="","",IFERROR(AVERAGEIFS('Weekly Log'!$F:$F,'Weekly Log'!$A:$A,"&gt;="&amp;$J703,'Weekly Log'!$A:$A,"&lt;"&amp;$J703+7),0))</f>
        <v/>
      </c>
      <c r="F703" t="str">
        <f>IF($J703="","",IFERROR(SUMIFS('Weekly Log'!$F:$F,'Weekly Log'!$A:$A,"&gt;="&amp;$J703,'Weekly Log'!$A:$A,"&lt;"&amp;$J703+7)/SUMIFS('Weekly Log'!$E:$E,'Weekly Log'!$A:$A,"&gt;="&amp;$J703,'Weekly Log'!$A:$A,"&lt;"&amp;$J703+7),0))</f>
        <v/>
      </c>
      <c r="G703" t="str">
        <f>IF($J703="","",IFERROR(LOOKUP(2,1/(('Weekly Log'!$A$5:$A$5000&gt;=$J703)*('Weekly Log'!$A$5:$A$5000&lt;$J703+7)*('Weekly Log'!$M$5:$M$5000&lt;&gt;"")),'Weekly Log'!$M$5:$M$5000),0))</f>
        <v/>
      </c>
      <c r="J703" t="str">
        <f>IF(COUNT('Weekly Log'!$A$5:$A$5000)=0,"",IF(MIN('Weekly Log'!$A$5:$A$5000)+7*(ROW()-10)&gt;MAX('Weekly Log'!$A$5:$A$5000),"",MIN('Weekly Log'!$A$5:$A$5000)+7*(ROW()-10)))</f>
        <v/>
      </c>
    </row>
    <row r="704" spans="1:10" x14ac:dyDescent="0.25">
      <c r="A704" t="str">
        <f t="shared" si="10"/>
        <v/>
      </c>
      <c r="B704" t="str">
        <f>IF($J704="","",SUMIFS('Weekly Log'!$C:$C,'Weekly Log'!$A:$A,"&gt;="&amp;$J704,'Weekly Log'!$A:$A,"&lt;"&amp;$J704+7))</f>
        <v/>
      </c>
      <c r="C704" t="str">
        <f>IF($J704="","",IFERROR(COUNTIFS('Weekly Log'!$G:$G,"Y",'Weekly Log'!$A:$A,"&gt;="&amp;$J704,'Weekly Log'!$A:$A,"&lt;"&amp;$J704+7)/COUNTIFS('Weekly Log'!$G:$G,"&lt;&gt;",'Weekly Log'!$A:$A,"&gt;="&amp;$J704,'Weekly Log'!$A:$A,"&lt;"&amp;$J704+7),0))</f>
        <v/>
      </c>
      <c r="D704" t="str">
        <f>IF($J704="","",IFERROR(COUNTIFS('Weekly Log'!$H:$H,"Y",'Weekly Log'!$A:$A,"&gt;="&amp;$J704,'Weekly Log'!$A:$A,"&lt;"&amp;$J704+7)/COUNTIFS('Weekly Log'!$H:$H,"&lt;&gt;",'Weekly Log'!$A:$A,"&gt;="&amp;$J704,'Weekly Log'!$A:$A,"&lt;"&amp;$J704+7),0))</f>
        <v/>
      </c>
      <c r="E704" t="str">
        <f>IF($J704="","",IFERROR(AVERAGEIFS('Weekly Log'!$F:$F,'Weekly Log'!$A:$A,"&gt;="&amp;$J704,'Weekly Log'!$A:$A,"&lt;"&amp;$J704+7),0))</f>
        <v/>
      </c>
      <c r="F704" t="str">
        <f>IF($J704="","",IFERROR(SUMIFS('Weekly Log'!$F:$F,'Weekly Log'!$A:$A,"&gt;="&amp;$J704,'Weekly Log'!$A:$A,"&lt;"&amp;$J704+7)/SUMIFS('Weekly Log'!$E:$E,'Weekly Log'!$A:$A,"&gt;="&amp;$J704,'Weekly Log'!$A:$A,"&lt;"&amp;$J704+7),0))</f>
        <v/>
      </c>
      <c r="G704" t="str">
        <f>IF($J704="","",IFERROR(LOOKUP(2,1/(('Weekly Log'!$A$5:$A$5000&gt;=$J704)*('Weekly Log'!$A$5:$A$5000&lt;$J704+7)*('Weekly Log'!$M$5:$M$5000&lt;&gt;"")),'Weekly Log'!$M$5:$M$5000),0))</f>
        <v/>
      </c>
      <c r="J704" t="str">
        <f>IF(COUNT('Weekly Log'!$A$5:$A$5000)=0,"",IF(MIN('Weekly Log'!$A$5:$A$5000)+7*(ROW()-10)&gt;MAX('Weekly Log'!$A$5:$A$5000),"",MIN('Weekly Log'!$A$5:$A$5000)+7*(ROW()-10)))</f>
        <v/>
      </c>
    </row>
    <row r="705" spans="1:10" x14ac:dyDescent="0.25">
      <c r="A705" t="str">
        <f t="shared" si="10"/>
        <v/>
      </c>
      <c r="B705" t="str">
        <f>IF($J705="","",SUMIFS('Weekly Log'!$C:$C,'Weekly Log'!$A:$A,"&gt;="&amp;$J705,'Weekly Log'!$A:$A,"&lt;"&amp;$J705+7))</f>
        <v/>
      </c>
      <c r="C705" t="str">
        <f>IF($J705="","",IFERROR(COUNTIFS('Weekly Log'!$G:$G,"Y",'Weekly Log'!$A:$A,"&gt;="&amp;$J705,'Weekly Log'!$A:$A,"&lt;"&amp;$J705+7)/COUNTIFS('Weekly Log'!$G:$G,"&lt;&gt;",'Weekly Log'!$A:$A,"&gt;="&amp;$J705,'Weekly Log'!$A:$A,"&lt;"&amp;$J705+7),0))</f>
        <v/>
      </c>
      <c r="D705" t="str">
        <f>IF($J705="","",IFERROR(COUNTIFS('Weekly Log'!$H:$H,"Y",'Weekly Log'!$A:$A,"&gt;="&amp;$J705,'Weekly Log'!$A:$A,"&lt;"&amp;$J705+7)/COUNTIFS('Weekly Log'!$H:$H,"&lt;&gt;",'Weekly Log'!$A:$A,"&gt;="&amp;$J705,'Weekly Log'!$A:$A,"&lt;"&amp;$J705+7),0))</f>
        <v/>
      </c>
      <c r="E705" t="str">
        <f>IF($J705="","",IFERROR(AVERAGEIFS('Weekly Log'!$F:$F,'Weekly Log'!$A:$A,"&gt;="&amp;$J705,'Weekly Log'!$A:$A,"&lt;"&amp;$J705+7),0))</f>
        <v/>
      </c>
      <c r="F705" t="str">
        <f>IF($J705="","",IFERROR(SUMIFS('Weekly Log'!$F:$F,'Weekly Log'!$A:$A,"&gt;="&amp;$J705,'Weekly Log'!$A:$A,"&lt;"&amp;$J705+7)/SUMIFS('Weekly Log'!$E:$E,'Weekly Log'!$A:$A,"&gt;="&amp;$J705,'Weekly Log'!$A:$A,"&lt;"&amp;$J705+7),0))</f>
        <v/>
      </c>
      <c r="G705" t="str">
        <f>IF($J705="","",IFERROR(LOOKUP(2,1/(('Weekly Log'!$A$5:$A$5000&gt;=$J705)*('Weekly Log'!$A$5:$A$5000&lt;$J705+7)*('Weekly Log'!$M$5:$M$5000&lt;&gt;"")),'Weekly Log'!$M$5:$M$5000),0))</f>
        <v/>
      </c>
      <c r="J705" t="str">
        <f>IF(COUNT('Weekly Log'!$A$5:$A$5000)=0,"",IF(MIN('Weekly Log'!$A$5:$A$5000)+7*(ROW()-10)&gt;MAX('Weekly Log'!$A$5:$A$5000),"",MIN('Weekly Log'!$A$5:$A$5000)+7*(ROW()-10)))</f>
        <v/>
      </c>
    </row>
    <row r="706" spans="1:10" x14ac:dyDescent="0.25">
      <c r="A706" t="str">
        <f t="shared" si="10"/>
        <v/>
      </c>
      <c r="B706" t="str">
        <f>IF($J706="","",SUMIFS('Weekly Log'!$C:$C,'Weekly Log'!$A:$A,"&gt;="&amp;$J706,'Weekly Log'!$A:$A,"&lt;"&amp;$J706+7))</f>
        <v/>
      </c>
      <c r="C706" t="str">
        <f>IF($J706="","",IFERROR(COUNTIFS('Weekly Log'!$G:$G,"Y",'Weekly Log'!$A:$A,"&gt;="&amp;$J706,'Weekly Log'!$A:$A,"&lt;"&amp;$J706+7)/COUNTIFS('Weekly Log'!$G:$G,"&lt;&gt;",'Weekly Log'!$A:$A,"&gt;="&amp;$J706,'Weekly Log'!$A:$A,"&lt;"&amp;$J706+7),0))</f>
        <v/>
      </c>
      <c r="D706" t="str">
        <f>IF($J706="","",IFERROR(COUNTIFS('Weekly Log'!$H:$H,"Y",'Weekly Log'!$A:$A,"&gt;="&amp;$J706,'Weekly Log'!$A:$A,"&lt;"&amp;$J706+7)/COUNTIFS('Weekly Log'!$H:$H,"&lt;&gt;",'Weekly Log'!$A:$A,"&gt;="&amp;$J706,'Weekly Log'!$A:$A,"&lt;"&amp;$J706+7),0))</f>
        <v/>
      </c>
      <c r="E706" t="str">
        <f>IF($J706="","",IFERROR(AVERAGEIFS('Weekly Log'!$F:$F,'Weekly Log'!$A:$A,"&gt;="&amp;$J706,'Weekly Log'!$A:$A,"&lt;"&amp;$J706+7),0))</f>
        <v/>
      </c>
      <c r="F706" t="str">
        <f>IF($J706="","",IFERROR(SUMIFS('Weekly Log'!$F:$F,'Weekly Log'!$A:$A,"&gt;="&amp;$J706,'Weekly Log'!$A:$A,"&lt;"&amp;$J706+7)/SUMIFS('Weekly Log'!$E:$E,'Weekly Log'!$A:$A,"&gt;="&amp;$J706,'Weekly Log'!$A:$A,"&lt;"&amp;$J706+7),0))</f>
        <v/>
      </c>
      <c r="G706" t="str">
        <f>IF($J706="","",IFERROR(LOOKUP(2,1/(('Weekly Log'!$A$5:$A$5000&gt;=$J706)*('Weekly Log'!$A$5:$A$5000&lt;$J706+7)*('Weekly Log'!$M$5:$M$5000&lt;&gt;"")),'Weekly Log'!$M$5:$M$5000),0))</f>
        <v/>
      </c>
      <c r="J706" t="str">
        <f>IF(COUNT('Weekly Log'!$A$5:$A$5000)=0,"",IF(MIN('Weekly Log'!$A$5:$A$5000)+7*(ROW()-10)&gt;MAX('Weekly Log'!$A$5:$A$5000),"",MIN('Weekly Log'!$A$5:$A$5000)+7*(ROW()-10)))</f>
        <v/>
      </c>
    </row>
    <row r="707" spans="1:10" x14ac:dyDescent="0.25">
      <c r="A707" t="str">
        <f t="shared" si="10"/>
        <v/>
      </c>
      <c r="B707" t="str">
        <f>IF($J707="","",SUMIFS('Weekly Log'!$C:$C,'Weekly Log'!$A:$A,"&gt;="&amp;$J707,'Weekly Log'!$A:$A,"&lt;"&amp;$J707+7))</f>
        <v/>
      </c>
      <c r="C707" t="str">
        <f>IF($J707="","",IFERROR(COUNTIFS('Weekly Log'!$G:$G,"Y",'Weekly Log'!$A:$A,"&gt;="&amp;$J707,'Weekly Log'!$A:$A,"&lt;"&amp;$J707+7)/COUNTIFS('Weekly Log'!$G:$G,"&lt;&gt;",'Weekly Log'!$A:$A,"&gt;="&amp;$J707,'Weekly Log'!$A:$A,"&lt;"&amp;$J707+7),0))</f>
        <v/>
      </c>
      <c r="D707" t="str">
        <f>IF($J707="","",IFERROR(COUNTIFS('Weekly Log'!$H:$H,"Y",'Weekly Log'!$A:$A,"&gt;="&amp;$J707,'Weekly Log'!$A:$A,"&lt;"&amp;$J707+7)/COUNTIFS('Weekly Log'!$H:$H,"&lt;&gt;",'Weekly Log'!$A:$A,"&gt;="&amp;$J707,'Weekly Log'!$A:$A,"&lt;"&amp;$J707+7),0))</f>
        <v/>
      </c>
      <c r="E707" t="str">
        <f>IF($J707="","",IFERROR(AVERAGEIFS('Weekly Log'!$F:$F,'Weekly Log'!$A:$A,"&gt;="&amp;$J707,'Weekly Log'!$A:$A,"&lt;"&amp;$J707+7),0))</f>
        <v/>
      </c>
      <c r="F707" t="str">
        <f>IF($J707="","",IFERROR(SUMIFS('Weekly Log'!$F:$F,'Weekly Log'!$A:$A,"&gt;="&amp;$J707,'Weekly Log'!$A:$A,"&lt;"&amp;$J707+7)/SUMIFS('Weekly Log'!$E:$E,'Weekly Log'!$A:$A,"&gt;="&amp;$J707,'Weekly Log'!$A:$A,"&lt;"&amp;$J707+7),0))</f>
        <v/>
      </c>
      <c r="G707" t="str">
        <f>IF($J707="","",IFERROR(LOOKUP(2,1/(('Weekly Log'!$A$5:$A$5000&gt;=$J707)*('Weekly Log'!$A$5:$A$5000&lt;$J707+7)*('Weekly Log'!$M$5:$M$5000&lt;&gt;"")),'Weekly Log'!$M$5:$M$5000),0))</f>
        <v/>
      </c>
      <c r="J707" t="str">
        <f>IF(COUNT('Weekly Log'!$A$5:$A$5000)=0,"",IF(MIN('Weekly Log'!$A$5:$A$5000)+7*(ROW()-10)&gt;MAX('Weekly Log'!$A$5:$A$5000),"",MIN('Weekly Log'!$A$5:$A$5000)+7*(ROW()-10)))</f>
        <v/>
      </c>
    </row>
    <row r="708" spans="1:10" x14ac:dyDescent="0.25">
      <c r="A708" t="str">
        <f t="shared" si="10"/>
        <v/>
      </c>
      <c r="B708" t="str">
        <f>IF($J708="","",SUMIFS('Weekly Log'!$C:$C,'Weekly Log'!$A:$A,"&gt;="&amp;$J708,'Weekly Log'!$A:$A,"&lt;"&amp;$J708+7))</f>
        <v/>
      </c>
      <c r="C708" t="str">
        <f>IF($J708="","",IFERROR(COUNTIFS('Weekly Log'!$G:$G,"Y",'Weekly Log'!$A:$A,"&gt;="&amp;$J708,'Weekly Log'!$A:$A,"&lt;"&amp;$J708+7)/COUNTIFS('Weekly Log'!$G:$G,"&lt;&gt;",'Weekly Log'!$A:$A,"&gt;="&amp;$J708,'Weekly Log'!$A:$A,"&lt;"&amp;$J708+7),0))</f>
        <v/>
      </c>
      <c r="D708" t="str">
        <f>IF($J708="","",IFERROR(COUNTIFS('Weekly Log'!$H:$H,"Y",'Weekly Log'!$A:$A,"&gt;="&amp;$J708,'Weekly Log'!$A:$A,"&lt;"&amp;$J708+7)/COUNTIFS('Weekly Log'!$H:$H,"&lt;&gt;",'Weekly Log'!$A:$A,"&gt;="&amp;$J708,'Weekly Log'!$A:$A,"&lt;"&amp;$J708+7),0))</f>
        <v/>
      </c>
      <c r="E708" t="str">
        <f>IF($J708="","",IFERROR(AVERAGEIFS('Weekly Log'!$F:$F,'Weekly Log'!$A:$A,"&gt;="&amp;$J708,'Weekly Log'!$A:$A,"&lt;"&amp;$J708+7),0))</f>
        <v/>
      </c>
      <c r="F708" t="str">
        <f>IF($J708="","",IFERROR(SUMIFS('Weekly Log'!$F:$F,'Weekly Log'!$A:$A,"&gt;="&amp;$J708,'Weekly Log'!$A:$A,"&lt;"&amp;$J708+7)/SUMIFS('Weekly Log'!$E:$E,'Weekly Log'!$A:$A,"&gt;="&amp;$J708,'Weekly Log'!$A:$A,"&lt;"&amp;$J708+7),0))</f>
        <v/>
      </c>
      <c r="G708" t="str">
        <f>IF($J708="","",IFERROR(LOOKUP(2,1/(('Weekly Log'!$A$5:$A$5000&gt;=$J708)*('Weekly Log'!$A$5:$A$5000&lt;$J708+7)*('Weekly Log'!$M$5:$M$5000&lt;&gt;"")),'Weekly Log'!$M$5:$M$5000),0))</f>
        <v/>
      </c>
      <c r="J708" t="str">
        <f>IF(COUNT('Weekly Log'!$A$5:$A$5000)=0,"",IF(MIN('Weekly Log'!$A$5:$A$5000)+7*(ROW()-10)&gt;MAX('Weekly Log'!$A$5:$A$5000),"",MIN('Weekly Log'!$A$5:$A$5000)+7*(ROW()-10)))</f>
        <v/>
      </c>
    </row>
    <row r="709" spans="1:10" x14ac:dyDescent="0.25">
      <c r="A709" t="str">
        <f t="shared" si="10"/>
        <v/>
      </c>
      <c r="B709" t="str">
        <f>IF($J709="","",SUMIFS('Weekly Log'!$C:$C,'Weekly Log'!$A:$A,"&gt;="&amp;$J709,'Weekly Log'!$A:$A,"&lt;"&amp;$J709+7))</f>
        <v/>
      </c>
      <c r="C709" t="str">
        <f>IF($J709="","",IFERROR(COUNTIFS('Weekly Log'!$G:$G,"Y",'Weekly Log'!$A:$A,"&gt;="&amp;$J709,'Weekly Log'!$A:$A,"&lt;"&amp;$J709+7)/COUNTIFS('Weekly Log'!$G:$G,"&lt;&gt;",'Weekly Log'!$A:$A,"&gt;="&amp;$J709,'Weekly Log'!$A:$A,"&lt;"&amp;$J709+7),0))</f>
        <v/>
      </c>
      <c r="D709" t="str">
        <f>IF($J709="","",IFERROR(COUNTIFS('Weekly Log'!$H:$H,"Y",'Weekly Log'!$A:$A,"&gt;="&amp;$J709,'Weekly Log'!$A:$A,"&lt;"&amp;$J709+7)/COUNTIFS('Weekly Log'!$H:$H,"&lt;&gt;",'Weekly Log'!$A:$A,"&gt;="&amp;$J709,'Weekly Log'!$A:$A,"&lt;"&amp;$J709+7),0))</f>
        <v/>
      </c>
      <c r="E709" t="str">
        <f>IF($J709="","",IFERROR(AVERAGEIFS('Weekly Log'!$F:$F,'Weekly Log'!$A:$A,"&gt;="&amp;$J709,'Weekly Log'!$A:$A,"&lt;"&amp;$J709+7),0))</f>
        <v/>
      </c>
      <c r="F709" t="str">
        <f>IF($J709="","",IFERROR(SUMIFS('Weekly Log'!$F:$F,'Weekly Log'!$A:$A,"&gt;="&amp;$J709,'Weekly Log'!$A:$A,"&lt;"&amp;$J709+7)/SUMIFS('Weekly Log'!$E:$E,'Weekly Log'!$A:$A,"&gt;="&amp;$J709,'Weekly Log'!$A:$A,"&lt;"&amp;$J709+7),0))</f>
        <v/>
      </c>
      <c r="G709" t="str">
        <f>IF($J709="","",IFERROR(LOOKUP(2,1/(('Weekly Log'!$A$5:$A$5000&gt;=$J709)*('Weekly Log'!$A$5:$A$5000&lt;$J709+7)*('Weekly Log'!$M$5:$M$5000&lt;&gt;"")),'Weekly Log'!$M$5:$M$5000),0))</f>
        <v/>
      </c>
      <c r="J709" t="str">
        <f>IF(COUNT('Weekly Log'!$A$5:$A$5000)=0,"",IF(MIN('Weekly Log'!$A$5:$A$5000)+7*(ROW()-10)&gt;MAX('Weekly Log'!$A$5:$A$5000),"",MIN('Weekly Log'!$A$5:$A$5000)+7*(ROW()-10)))</f>
        <v/>
      </c>
    </row>
    <row r="710" spans="1:10" x14ac:dyDescent="0.25">
      <c r="A710" t="str">
        <f t="shared" si="10"/>
        <v/>
      </c>
      <c r="B710" t="str">
        <f>IF($J710="","",SUMIFS('Weekly Log'!$C:$C,'Weekly Log'!$A:$A,"&gt;="&amp;$J710,'Weekly Log'!$A:$A,"&lt;"&amp;$J710+7))</f>
        <v/>
      </c>
      <c r="C710" t="str">
        <f>IF($J710="","",IFERROR(COUNTIFS('Weekly Log'!$G:$G,"Y",'Weekly Log'!$A:$A,"&gt;="&amp;$J710,'Weekly Log'!$A:$A,"&lt;"&amp;$J710+7)/COUNTIFS('Weekly Log'!$G:$G,"&lt;&gt;",'Weekly Log'!$A:$A,"&gt;="&amp;$J710,'Weekly Log'!$A:$A,"&lt;"&amp;$J710+7),0))</f>
        <v/>
      </c>
      <c r="D710" t="str">
        <f>IF($J710="","",IFERROR(COUNTIFS('Weekly Log'!$H:$H,"Y",'Weekly Log'!$A:$A,"&gt;="&amp;$J710,'Weekly Log'!$A:$A,"&lt;"&amp;$J710+7)/COUNTIFS('Weekly Log'!$H:$H,"&lt;&gt;",'Weekly Log'!$A:$A,"&gt;="&amp;$J710,'Weekly Log'!$A:$A,"&lt;"&amp;$J710+7),0))</f>
        <v/>
      </c>
      <c r="E710" t="str">
        <f>IF($J710="","",IFERROR(AVERAGEIFS('Weekly Log'!$F:$F,'Weekly Log'!$A:$A,"&gt;="&amp;$J710,'Weekly Log'!$A:$A,"&lt;"&amp;$J710+7),0))</f>
        <v/>
      </c>
      <c r="F710" t="str">
        <f>IF($J710="","",IFERROR(SUMIFS('Weekly Log'!$F:$F,'Weekly Log'!$A:$A,"&gt;="&amp;$J710,'Weekly Log'!$A:$A,"&lt;"&amp;$J710+7)/SUMIFS('Weekly Log'!$E:$E,'Weekly Log'!$A:$A,"&gt;="&amp;$J710,'Weekly Log'!$A:$A,"&lt;"&amp;$J710+7),0))</f>
        <v/>
      </c>
      <c r="G710" t="str">
        <f>IF($J710="","",IFERROR(LOOKUP(2,1/(('Weekly Log'!$A$5:$A$5000&gt;=$J710)*('Weekly Log'!$A$5:$A$5000&lt;$J710+7)*('Weekly Log'!$M$5:$M$5000&lt;&gt;"")),'Weekly Log'!$M$5:$M$5000),0))</f>
        <v/>
      </c>
      <c r="J710" t="str">
        <f>IF(COUNT('Weekly Log'!$A$5:$A$5000)=0,"",IF(MIN('Weekly Log'!$A$5:$A$5000)+7*(ROW()-10)&gt;MAX('Weekly Log'!$A$5:$A$5000),"",MIN('Weekly Log'!$A$5:$A$5000)+7*(ROW()-10)))</f>
        <v/>
      </c>
    </row>
    <row r="711" spans="1:10" x14ac:dyDescent="0.25">
      <c r="A711" t="str">
        <f t="shared" si="10"/>
        <v/>
      </c>
      <c r="B711" t="str">
        <f>IF($J711="","",SUMIFS('Weekly Log'!$C:$C,'Weekly Log'!$A:$A,"&gt;="&amp;$J711,'Weekly Log'!$A:$A,"&lt;"&amp;$J711+7))</f>
        <v/>
      </c>
      <c r="C711" t="str">
        <f>IF($J711="","",IFERROR(COUNTIFS('Weekly Log'!$G:$G,"Y",'Weekly Log'!$A:$A,"&gt;="&amp;$J711,'Weekly Log'!$A:$A,"&lt;"&amp;$J711+7)/COUNTIFS('Weekly Log'!$G:$G,"&lt;&gt;",'Weekly Log'!$A:$A,"&gt;="&amp;$J711,'Weekly Log'!$A:$A,"&lt;"&amp;$J711+7),0))</f>
        <v/>
      </c>
      <c r="D711" t="str">
        <f>IF($J711="","",IFERROR(COUNTIFS('Weekly Log'!$H:$H,"Y",'Weekly Log'!$A:$A,"&gt;="&amp;$J711,'Weekly Log'!$A:$A,"&lt;"&amp;$J711+7)/COUNTIFS('Weekly Log'!$H:$H,"&lt;&gt;",'Weekly Log'!$A:$A,"&gt;="&amp;$J711,'Weekly Log'!$A:$A,"&lt;"&amp;$J711+7),0))</f>
        <v/>
      </c>
      <c r="E711" t="str">
        <f>IF($J711="","",IFERROR(AVERAGEIFS('Weekly Log'!$F:$F,'Weekly Log'!$A:$A,"&gt;="&amp;$J711,'Weekly Log'!$A:$A,"&lt;"&amp;$J711+7),0))</f>
        <v/>
      </c>
      <c r="F711" t="str">
        <f>IF($J711="","",IFERROR(SUMIFS('Weekly Log'!$F:$F,'Weekly Log'!$A:$A,"&gt;="&amp;$J711,'Weekly Log'!$A:$A,"&lt;"&amp;$J711+7)/SUMIFS('Weekly Log'!$E:$E,'Weekly Log'!$A:$A,"&gt;="&amp;$J711,'Weekly Log'!$A:$A,"&lt;"&amp;$J711+7),0))</f>
        <v/>
      </c>
      <c r="G711" t="str">
        <f>IF($J711="","",IFERROR(LOOKUP(2,1/(('Weekly Log'!$A$5:$A$5000&gt;=$J711)*('Weekly Log'!$A$5:$A$5000&lt;$J711+7)*('Weekly Log'!$M$5:$M$5000&lt;&gt;"")),'Weekly Log'!$M$5:$M$5000),0))</f>
        <v/>
      </c>
      <c r="J711" t="str">
        <f>IF(COUNT('Weekly Log'!$A$5:$A$5000)=0,"",IF(MIN('Weekly Log'!$A$5:$A$5000)+7*(ROW()-10)&gt;MAX('Weekly Log'!$A$5:$A$5000),"",MIN('Weekly Log'!$A$5:$A$5000)+7*(ROW()-10)))</f>
        <v/>
      </c>
    </row>
    <row r="712" spans="1:10" x14ac:dyDescent="0.25">
      <c r="A712" t="str">
        <f t="shared" si="10"/>
        <v/>
      </c>
      <c r="B712" t="str">
        <f>IF($J712="","",SUMIFS('Weekly Log'!$C:$C,'Weekly Log'!$A:$A,"&gt;="&amp;$J712,'Weekly Log'!$A:$A,"&lt;"&amp;$J712+7))</f>
        <v/>
      </c>
      <c r="C712" t="str">
        <f>IF($J712="","",IFERROR(COUNTIFS('Weekly Log'!$G:$G,"Y",'Weekly Log'!$A:$A,"&gt;="&amp;$J712,'Weekly Log'!$A:$A,"&lt;"&amp;$J712+7)/COUNTIFS('Weekly Log'!$G:$G,"&lt;&gt;",'Weekly Log'!$A:$A,"&gt;="&amp;$J712,'Weekly Log'!$A:$A,"&lt;"&amp;$J712+7),0))</f>
        <v/>
      </c>
      <c r="D712" t="str">
        <f>IF($J712="","",IFERROR(COUNTIFS('Weekly Log'!$H:$H,"Y",'Weekly Log'!$A:$A,"&gt;="&amp;$J712,'Weekly Log'!$A:$A,"&lt;"&amp;$J712+7)/COUNTIFS('Weekly Log'!$H:$H,"&lt;&gt;",'Weekly Log'!$A:$A,"&gt;="&amp;$J712,'Weekly Log'!$A:$A,"&lt;"&amp;$J712+7),0))</f>
        <v/>
      </c>
      <c r="E712" t="str">
        <f>IF($J712="","",IFERROR(AVERAGEIFS('Weekly Log'!$F:$F,'Weekly Log'!$A:$A,"&gt;="&amp;$J712,'Weekly Log'!$A:$A,"&lt;"&amp;$J712+7),0))</f>
        <v/>
      </c>
      <c r="F712" t="str">
        <f>IF($J712="","",IFERROR(SUMIFS('Weekly Log'!$F:$F,'Weekly Log'!$A:$A,"&gt;="&amp;$J712,'Weekly Log'!$A:$A,"&lt;"&amp;$J712+7)/SUMIFS('Weekly Log'!$E:$E,'Weekly Log'!$A:$A,"&gt;="&amp;$J712,'Weekly Log'!$A:$A,"&lt;"&amp;$J712+7),0))</f>
        <v/>
      </c>
      <c r="G712" t="str">
        <f>IF($J712="","",IFERROR(LOOKUP(2,1/(('Weekly Log'!$A$5:$A$5000&gt;=$J712)*('Weekly Log'!$A$5:$A$5000&lt;$J712+7)*('Weekly Log'!$M$5:$M$5000&lt;&gt;"")),'Weekly Log'!$M$5:$M$5000),0))</f>
        <v/>
      </c>
      <c r="J712" t="str">
        <f>IF(COUNT('Weekly Log'!$A$5:$A$5000)=0,"",IF(MIN('Weekly Log'!$A$5:$A$5000)+7*(ROW()-10)&gt;MAX('Weekly Log'!$A$5:$A$5000),"",MIN('Weekly Log'!$A$5:$A$5000)+7*(ROW()-10)))</f>
        <v/>
      </c>
    </row>
    <row r="713" spans="1:10" x14ac:dyDescent="0.25">
      <c r="A713" t="str">
        <f t="shared" si="10"/>
        <v/>
      </c>
      <c r="B713" t="str">
        <f>IF($J713="","",SUMIFS('Weekly Log'!$C:$C,'Weekly Log'!$A:$A,"&gt;="&amp;$J713,'Weekly Log'!$A:$A,"&lt;"&amp;$J713+7))</f>
        <v/>
      </c>
      <c r="C713" t="str">
        <f>IF($J713="","",IFERROR(COUNTIFS('Weekly Log'!$G:$G,"Y",'Weekly Log'!$A:$A,"&gt;="&amp;$J713,'Weekly Log'!$A:$A,"&lt;"&amp;$J713+7)/COUNTIFS('Weekly Log'!$G:$G,"&lt;&gt;",'Weekly Log'!$A:$A,"&gt;="&amp;$J713,'Weekly Log'!$A:$A,"&lt;"&amp;$J713+7),0))</f>
        <v/>
      </c>
      <c r="D713" t="str">
        <f>IF($J713="","",IFERROR(COUNTIFS('Weekly Log'!$H:$H,"Y",'Weekly Log'!$A:$A,"&gt;="&amp;$J713,'Weekly Log'!$A:$A,"&lt;"&amp;$J713+7)/COUNTIFS('Weekly Log'!$H:$H,"&lt;&gt;",'Weekly Log'!$A:$A,"&gt;="&amp;$J713,'Weekly Log'!$A:$A,"&lt;"&amp;$J713+7),0))</f>
        <v/>
      </c>
      <c r="E713" t="str">
        <f>IF($J713="","",IFERROR(AVERAGEIFS('Weekly Log'!$F:$F,'Weekly Log'!$A:$A,"&gt;="&amp;$J713,'Weekly Log'!$A:$A,"&lt;"&amp;$J713+7),0))</f>
        <v/>
      </c>
      <c r="F713" t="str">
        <f>IF($J713="","",IFERROR(SUMIFS('Weekly Log'!$F:$F,'Weekly Log'!$A:$A,"&gt;="&amp;$J713,'Weekly Log'!$A:$A,"&lt;"&amp;$J713+7)/SUMIFS('Weekly Log'!$E:$E,'Weekly Log'!$A:$A,"&gt;="&amp;$J713,'Weekly Log'!$A:$A,"&lt;"&amp;$J713+7),0))</f>
        <v/>
      </c>
      <c r="G713" t="str">
        <f>IF($J713="","",IFERROR(LOOKUP(2,1/(('Weekly Log'!$A$5:$A$5000&gt;=$J713)*('Weekly Log'!$A$5:$A$5000&lt;$J713+7)*('Weekly Log'!$M$5:$M$5000&lt;&gt;"")),'Weekly Log'!$M$5:$M$5000),0))</f>
        <v/>
      </c>
      <c r="J713" t="str">
        <f>IF(COUNT('Weekly Log'!$A$5:$A$5000)=0,"",IF(MIN('Weekly Log'!$A$5:$A$5000)+7*(ROW()-10)&gt;MAX('Weekly Log'!$A$5:$A$5000),"",MIN('Weekly Log'!$A$5:$A$5000)+7*(ROW()-10)))</f>
        <v/>
      </c>
    </row>
    <row r="714" spans="1:10" x14ac:dyDescent="0.25">
      <c r="A714" t="str">
        <f t="shared" ref="A714:A777" si="11">IF($J714="","",YEAR($J714-WEEKDAY($J714,2)+4)&amp;"-W"&amp;TEXT(WEEKNUM($J714,21),"00"))</f>
        <v/>
      </c>
      <c r="B714" t="str">
        <f>IF($J714="","",SUMIFS('Weekly Log'!$C:$C,'Weekly Log'!$A:$A,"&gt;="&amp;$J714,'Weekly Log'!$A:$A,"&lt;"&amp;$J714+7))</f>
        <v/>
      </c>
      <c r="C714" t="str">
        <f>IF($J714="","",IFERROR(COUNTIFS('Weekly Log'!$G:$G,"Y",'Weekly Log'!$A:$A,"&gt;="&amp;$J714,'Weekly Log'!$A:$A,"&lt;"&amp;$J714+7)/COUNTIFS('Weekly Log'!$G:$G,"&lt;&gt;",'Weekly Log'!$A:$A,"&gt;="&amp;$J714,'Weekly Log'!$A:$A,"&lt;"&amp;$J714+7),0))</f>
        <v/>
      </c>
      <c r="D714" t="str">
        <f>IF($J714="","",IFERROR(COUNTIFS('Weekly Log'!$H:$H,"Y",'Weekly Log'!$A:$A,"&gt;="&amp;$J714,'Weekly Log'!$A:$A,"&lt;"&amp;$J714+7)/COUNTIFS('Weekly Log'!$H:$H,"&lt;&gt;",'Weekly Log'!$A:$A,"&gt;="&amp;$J714,'Weekly Log'!$A:$A,"&lt;"&amp;$J714+7),0))</f>
        <v/>
      </c>
      <c r="E714" t="str">
        <f>IF($J714="","",IFERROR(AVERAGEIFS('Weekly Log'!$F:$F,'Weekly Log'!$A:$A,"&gt;="&amp;$J714,'Weekly Log'!$A:$A,"&lt;"&amp;$J714+7),0))</f>
        <v/>
      </c>
      <c r="F714" t="str">
        <f>IF($J714="","",IFERROR(SUMIFS('Weekly Log'!$F:$F,'Weekly Log'!$A:$A,"&gt;="&amp;$J714,'Weekly Log'!$A:$A,"&lt;"&amp;$J714+7)/SUMIFS('Weekly Log'!$E:$E,'Weekly Log'!$A:$A,"&gt;="&amp;$J714,'Weekly Log'!$A:$A,"&lt;"&amp;$J714+7),0))</f>
        <v/>
      </c>
      <c r="G714" t="str">
        <f>IF($J714="","",IFERROR(LOOKUP(2,1/(('Weekly Log'!$A$5:$A$5000&gt;=$J714)*('Weekly Log'!$A$5:$A$5000&lt;$J714+7)*('Weekly Log'!$M$5:$M$5000&lt;&gt;"")),'Weekly Log'!$M$5:$M$5000),0))</f>
        <v/>
      </c>
      <c r="J714" t="str">
        <f>IF(COUNT('Weekly Log'!$A$5:$A$5000)=0,"",IF(MIN('Weekly Log'!$A$5:$A$5000)+7*(ROW()-10)&gt;MAX('Weekly Log'!$A$5:$A$5000),"",MIN('Weekly Log'!$A$5:$A$5000)+7*(ROW()-10)))</f>
        <v/>
      </c>
    </row>
    <row r="715" spans="1:10" x14ac:dyDescent="0.25">
      <c r="A715" t="str">
        <f t="shared" si="11"/>
        <v/>
      </c>
      <c r="B715" t="str">
        <f>IF($J715="","",SUMIFS('Weekly Log'!$C:$C,'Weekly Log'!$A:$A,"&gt;="&amp;$J715,'Weekly Log'!$A:$A,"&lt;"&amp;$J715+7))</f>
        <v/>
      </c>
      <c r="C715" t="str">
        <f>IF($J715="","",IFERROR(COUNTIFS('Weekly Log'!$G:$G,"Y",'Weekly Log'!$A:$A,"&gt;="&amp;$J715,'Weekly Log'!$A:$A,"&lt;"&amp;$J715+7)/COUNTIFS('Weekly Log'!$G:$G,"&lt;&gt;",'Weekly Log'!$A:$A,"&gt;="&amp;$J715,'Weekly Log'!$A:$A,"&lt;"&amp;$J715+7),0))</f>
        <v/>
      </c>
      <c r="D715" t="str">
        <f>IF($J715="","",IFERROR(COUNTIFS('Weekly Log'!$H:$H,"Y",'Weekly Log'!$A:$A,"&gt;="&amp;$J715,'Weekly Log'!$A:$A,"&lt;"&amp;$J715+7)/COUNTIFS('Weekly Log'!$H:$H,"&lt;&gt;",'Weekly Log'!$A:$A,"&gt;="&amp;$J715,'Weekly Log'!$A:$A,"&lt;"&amp;$J715+7),0))</f>
        <v/>
      </c>
      <c r="E715" t="str">
        <f>IF($J715="","",IFERROR(AVERAGEIFS('Weekly Log'!$F:$F,'Weekly Log'!$A:$A,"&gt;="&amp;$J715,'Weekly Log'!$A:$A,"&lt;"&amp;$J715+7),0))</f>
        <v/>
      </c>
      <c r="F715" t="str">
        <f>IF($J715="","",IFERROR(SUMIFS('Weekly Log'!$F:$F,'Weekly Log'!$A:$A,"&gt;="&amp;$J715,'Weekly Log'!$A:$A,"&lt;"&amp;$J715+7)/SUMIFS('Weekly Log'!$E:$E,'Weekly Log'!$A:$A,"&gt;="&amp;$J715,'Weekly Log'!$A:$A,"&lt;"&amp;$J715+7),0))</f>
        <v/>
      </c>
      <c r="G715" t="str">
        <f>IF($J715="","",IFERROR(LOOKUP(2,1/(('Weekly Log'!$A$5:$A$5000&gt;=$J715)*('Weekly Log'!$A$5:$A$5000&lt;$J715+7)*('Weekly Log'!$M$5:$M$5000&lt;&gt;"")),'Weekly Log'!$M$5:$M$5000),0))</f>
        <v/>
      </c>
      <c r="J715" t="str">
        <f>IF(COUNT('Weekly Log'!$A$5:$A$5000)=0,"",IF(MIN('Weekly Log'!$A$5:$A$5000)+7*(ROW()-10)&gt;MAX('Weekly Log'!$A$5:$A$5000),"",MIN('Weekly Log'!$A$5:$A$5000)+7*(ROW()-10)))</f>
        <v/>
      </c>
    </row>
    <row r="716" spans="1:10" x14ac:dyDescent="0.25">
      <c r="A716" t="str">
        <f t="shared" si="11"/>
        <v/>
      </c>
      <c r="B716" t="str">
        <f>IF($J716="","",SUMIFS('Weekly Log'!$C:$C,'Weekly Log'!$A:$A,"&gt;="&amp;$J716,'Weekly Log'!$A:$A,"&lt;"&amp;$J716+7))</f>
        <v/>
      </c>
      <c r="C716" t="str">
        <f>IF($J716="","",IFERROR(COUNTIFS('Weekly Log'!$G:$G,"Y",'Weekly Log'!$A:$A,"&gt;="&amp;$J716,'Weekly Log'!$A:$A,"&lt;"&amp;$J716+7)/COUNTIFS('Weekly Log'!$G:$G,"&lt;&gt;",'Weekly Log'!$A:$A,"&gt;="&amp;$J716,'Weekly Log'!$A:$A,"&lt;"&amp;$J716+7),0))</f>
        <v/>
      </c>
      <c r="D716" t="str">
        <f>IF($J716="","",IFERROR(COUNTIFS('Weekly Log'!$H:$H,"Y",'Weekly Log'!$A:$A,"&gt;="&amp;$J716,'Weekly Log'!$A:$A,"&lt;"&amp;$J716+7)/COUNTIFS('Weekly Log'!$H:$H,"&lt;&gt;",'Weekly Log'!$A:$A,"&gt;="&amp;$J716,'Weekly Log'!$A:$A,"&lt;"&amp;$J716+7),0))</f>
        <v/>
      </c>
      <c r="E716" t="str">
        <f>IF($J716="","",IFERROR(AVERAGEIFS('Weekly Log'!$F:$F,'Weekly Log'!$A:$A,"&gt;="&amp;$J716,'Weekly Log'!$A:$A,"&lt;"&amp;$J716+7),0))</f>
        <v/>
      </c>
      <c r="F716" t="str">
        <f>IF($J716="","",IFERROR(SUMIFS('Weekly Log'!$F:$F,'Weekly Log'!$A:$A,"&gt;="&amp;$J716,'Weekly Log'!$A:$A,"&lt;"&amp;$J716+7)/SUMIFS('Weekly Log'!$E:$E,'Weekly Log'!$A:$A,"&gt;="&amp;$J716,'Weekly Log'!$A:$A,"&lt;"&amp;$J716+7),0))</f>
        <v/>
      </c>
      <c r="G716" t="str">
        <f>IF($J716="","",IFERROR(LOOKUP(2,1/(('Weekly Log'!$A$5:$A$5000&gt;=$J716)*('Weekly Log'!$A$5:$A$5000&lt;$J716+7)*('Weekly Log'!$M$5:$M$5000&lt;&gt;"")),'Weekly Log'!$M$5:$M$5000),0))</f>
        <v/>
      </c>
      <c r="J716" t="str">
        <f>IF(COUNT('Weekly Log'!$A$5:$A$5000)=0,"",IF(MIN('Weekly Log'!$A$5:$A$5000)+7*(ROW()-10)&gt;MAX('Weekly Log'!$A$5:$A$5000),"",MIN('Weekly Log'!$A$5:$A$5000)+7*(ROW()-10)))</f>
        <v/>
      </c>
    </row>
    <row r="717" spans="1:10" x14ac:dyDescent="0.25">
      <c r="A717" t="str">
        <f t="shared" si="11"/>
        <v/>
      </c>
      <c r="B717" t="str">
        <f>IF($J717="","",SUMIFS('Weekly Log'!$C:$C,'Weekly Log'!$A:$A,"&gt;="&amp;$J717,'Weekly Log'!$A:$A,"&lt;"&amp;$J717+7))</f>
        <v/>
      </c>
      <c r="C717" t="str">
        <f>IF($J717="","",IFERROR(COUNTIFS('Weekly Log'!$G:$G,"Y",'Weekly Log'!$A:$A,"&gt;="&amp;$J717,'Weekly Log'!$A:$A,"&lt;"&amp;$J717+7)/COUNTIFS('Weekly Log'!$G:$G,"&lt;&gt;",'Weekly Log'!$A:$A,"&gt;="&amp;$J717,'Weekly Log'!$A:$A,"&lt;"&amp;$J717+7),0))</f>
        <v/>
      </c>
      <c r="D717" t="str">
        <f>IF($J717="","",IFERROR(COUNTIFS('Weekly Log'!$H:$H,"Y",'Weekly Log'!$A:$A,"&gt;="&amp;$J717,'Weekly Log'!$A:$A,"&lt;"&amp;$J717+7)/COUNTIFS('Weekly Log'!$H:$H,"&lt;&gt;",'Weekly Log'!$A:$A,"&gt;="&amp;$J717,'Weekly Log'!$A:$A,"&lt;"&amp;$J717+7),0))</f>
        <v/>
      </c>
      <c r="E717" t="str">
        <f>IF($J717="","",IFERROR(AVERAGEIFS('Weekly Log'!$F:$F,'Weekly Log'!$A:$A,"&gt;="&amp;$J717,'Weekly Log'!$A:$A,"&lt;"&amp;$J717+7),0))</f>
        <v/>
      </c>
      <c r="F717" t="str">
        <f>IF($J717="","",IFERROR(SUMIFS('Weekly Log'!$F:$F,'Weekly Log'!$A:$A,"&gt;="&amp;$J717,'Weekly Log'!$A:$A,"&lt;"&amp;$J717+7)/SUMIFS('Weekly Log'!$E:$E,'Weekly Log'!$A:$A,"&gt;="&amp;$J717,'Weekly Log'!$A:$A,"&lt;"&amp;$J717+7),0))</f>
        <v/>
      </c>
      <c r="G717" t="str">
        <f>IF($J717="","",IFERROR(LOOKUP(2,1/(('Weekly Log'!$A$5:$A$5000&gt;=$J717)*('Weekly Log'!$A$5:$A$5000&lt;$J717+7)*('Weekly Log'!$M$5:$M$5000&lt;&gt;"")),'Weekly Log'!$M$5:$M$5000),0))</f>
        <v/>
      </c>
      <c r="J717" t="str">
        <f>IF(COUNT('Weekly Log'!$A$5:$A$5000)=0,"",IF(MIN('Weekly Log'!$A$5:$A$5000)+7*(ROW()-10)&gt;MAX('Weekly Log'!$A$5:$A$5000),"",MIN('Weekly Log'!$A$5:$A$5000)+7*(ROW()-10)))</f>
        <v/>
      </c>
    </row>
    <row r="718" spans="1:10" x14ac:dyDescent="0.25">
      <c r="A718" t="str">
        <f t="shared" si="11"/>
        <v/>
      </c>
      <c r="B718" t="str">
        <f>IF($J718="","",SUMIFS('Weekly Log'!$C:$C,'Weekly Log'!$A:$A,"&gt;="&amp;$J718,'Weekly Log'!$A:$A,"&lt;"&amp;$J718+7))</f>
        <v/>
      </c>
      <c r="C718" t="str">
        <f>IF($J718="","",IFERROR(COUNTIFS('Weekly Log'!$G:$G,"Y",'Weekly Log'!$A:$A,"&gt;="&amp;$J718,'Weekly Log'!$A:$A,"&lt;"&amp;$J718+7)/COUNTIFS('Weekly Log'!$G:$G,"&lt;&gt;",'Weekly Log'!$A:$A,"&gt;="&amp;$J718,'Weekly Log'!$A:$A,"&lt;"&amp;$J718+7),0))</f>
        <v/>
      </c>
      <c r="D718" t="str">
        <f>IF($J718="","",IFERROR(COUNTIFS('Weekly Log'!$H:$H,"Y",'Weekly Log'!$A:$A,"&gt;="&amp;$J718,'Weekly Log'!$A:$A,"&lt;"&amp;$J718+7)/COUNTIFS('Weekly Log'!$H:$H,"&lt;&gt;",'Weekly Log'!$A:$A,"&gt;="&amp;$J718,'Weekly Log'!$A:$A,"&lt;"&amp;$J718+7),0))</f>
        <v/>
      </c>
      <c r="E718" t="str">
        <f>IF($J718="","",IFERROR(AVERAGEIFS('Weekly Log'!$F:$F,'Weekly Log'!$A:$A,"&gt;="&amp;$J718,'Weekly Log'!$A:$A,"&lt;"&amp;$J718+7),0))</f>
        <v/>
      </c>
      <c r="F718" t="str">
        <f>IF($J718="","",IFERROR(SUMIFS('Weekly Log'!$F:$F,'Weekly Log'!$A:$A,"&gt;="&amp;$J718,'Weekly Log'!$A:$A,"&lt;"&amp;$J718+7)/SUMIFS('Weekly Log'!$E:$E,'Weekly Log'!$A:$A,"&gt;="&amp;$J718,'Weekly Log'!$A:$A,"&lt;"&amp;$J718+7),0))</f>
        <v/>
      </c>
      <c r="G718" t="str">
        <f>IF($J718="","",IFERROR(LOOKUP(2,1/(('Weekly Log'!$A$5:$A$5000&gt;=$J718)*('Weekly Log'!$A$5:$A$5000&lt;$J718+7)*('Weekly Log'!$M$5:$M$5000&lt;&gt;"")),'Weekly Log'!$M$5:$M$5000),0))</f>
        <v/>
      </c>
      <c r="J718" t="str">
        <f>IF(COUNT('Weekly Log'!$A$5:$A$5000)=0,"",IF(MIN('Weekly Log'!$A$5:$A$5000)+7*(ROW()-10)&gt;MAX('Weekly Log'!$A$5:$A$5000),"",MIN('Weekly Log'!$A$5:$A$5000)+7*(ROW()-10)))</f>
        <v/>
      </c>
    </row>
    <row r="719" spans="1:10" x14ac:dyDescent="0.25">
      <c r="A719" t="str">
        <f t="shared" si="11"/>
        <v/>
      </c>
      <c r="B719" t="str">
        <f>IF($J719="","",SUMIFS('Weekly Log'!$C:$C,'Weekly Log'!$A:$A,"&gt;="&amp;$J719,'Weekly Log'!$A:$A,"&lt;"&amp;$J719+7))</f>
        <v/>
      </c>
      <c r="C719" t="str">
        <f>IF($J719="","",IFERROR(COUNTIFS('Weekly Log'!$G:$G,"Y",'Weekly Log'!$A:$A,"&gt;="&amp;$J719,'Weekly Log'!$A:$A,"&lt;"&amp;$J719+7)/COUNTIFS('Weekly Log'!$G:$G,"&lt;&gt;",'Weekly Log'!$A:$A,"&gt;="&amp;$J719,'Weekly Log'!$A:$A,"&lt;"&amp;$J719+7),0))</f>
        <v/>
      </c>
      <c r="D719" t="str">
        <f>IF($J719="","",IFERROR(COUNTIFS('Weekly Log'!$H:$H,"Y",'Weekly Log'!$A:$A,"&gt;="&amp;$J719,'Weekly Log'!$A:$A,"&lt;"&amp;$J719+7)/COUNTIFS('Weekly Log'!$H:$H,"&lt;&gt;",'Weekly Log'!$A:$A,"&gt;="&amp;$J719,'Weekly Log'!$A:$A,"&lt;"&amp;$J719+7),0))</f>
        <v/>
      </c>
      <c r="E719" t="str">
        <f>IF($J719="","",IFERROR(AVERAGEIFS('Weekly Log'!$F:$F,'Weekly Log'!$A:$A,"&gt;="&amp;$J719,'Weekly Log'!$A:$A,"&lt;"&amp;$J719+7),0))</f>
        <v/>
      </c>
      <c r="F719" t="str">
        <f>IF($J719="","",IFERROR(SUMIFS('Weekly Log'!$F:$F,'Weekly Log'!$A:$A,"&gt;="&amp;$J719,'Weekly Log'!$A:$A,"&lt;"&amp;$J719+7)/SUMIFS('Weekly Log'!$E:$E,'Weekly Log'!$A:$A,"&gt;="&amp;$J719,'Weekly Log'!$A:$A,"&lt;"&amp;$J719+7),0))</f>
        <v/>
      </c>
      <c r="G719" t="str">
        <f>IF($J719="","",IFERROR(LOOKUP(2,1/(('Weekly Log'!$A$5:$A$5000&gt;=$J719)*('Weekly Log'!$A$5:$A$5000&lt;$J719+7)*('Weekly Log'!$M$5:$M$5000&lt;&gt;"")),'Weekly Log'!$M$5:$M$5000),0))</f>
        <v/>
      </c>
      <c r="J719" t="str">
        <f>IF(COUNT('Weekly Log'!$A$5:$A$5000)=0,"",IF(MIN('Weekly Log'!$A$5:$A$5000)+7*(ROW()-10)&gt;MAX('Weekly Log'!$A$5:$A$5000),"",MIN('Weekly Log'!$A$5:$A$5000)+7*(ROW()-10)))</f>
        <v/>
      </c>
    </row>
    <row r="720" spans="1:10" x14ac:dyDescent="0.25">
      <c r="A720" t="str">
        <f t="shared" si="11"/>
        <v/>
      </c>
      <c r="B720" t="str">
        <f>IF($J720="","",SUMIFS('Weekly Log'!$C:$C,'Weekly Log'!$A:$A,"&gt;="&amp;$J720,'Weekly Log'!$A:$A,"&lt;"&amp;$J720+7))</f>
        <v/>
      </c>
      <c r="C720" t="str">
        <f>IF($J720="","",IFERROR(COUNTIFS('Weekly Log'!$G:$G,"Y",'Weekly Log'!$A:$A,"&gt;="&amp;$J720,'Weekly Log'!$A:$A,"&lt;"&amp;$J720+7)/COUNTIFS('Weekly Log'!$G:$G,"&lt;&gt;",'Weekly Log'!$A:$A,"&gt;="&amp;$J720,'Weekly Log'!$A:$A,"&lt;"&amp;$J720+7),0))</f>
        <v/>
      </c>
      <c r="D720" t="str">
        <f>IF($J720="","",IFERROR(COUNTIFS('Weekly Log'!$H:$H,"Y",'Weekly Log'!$A:$A,"&gt;="&amp;$J720,'Weekly Log'!$A:$A,"&lt;"&amp;$J720+7)/COUNTIFS('Weekly Log'!$H:$H,"&lt;&gt;",'Weekly Log'!$A:$A,"&gt;="&amp;$J720,'Weekly Log'!$A:$A,"&lt;"&amp;$J720+7),0))</f>
        <v/>
      </c>
      <c r="E720" t="str">
        <f>IF($J720="","",IFERROR(AVERAGEIFS('Weekly Log'!$F:$F,'Weekly Log'!$A:$A,"&gt;="&amp;$J720,'Weekly Log'!$A:$A,"&lt;"&amp;$J720+7),0))</f>
        <v/>
      </c>
      <c r="F720" t="str">
        <f>IF($J720="","",IFERROR(SUMIFS('Weekly Log'!$F:$F,'Weekly Log'!$A:$A,"&gt;="&amp;$J720,'Weekly Log'!$A:$A,"&lt;"&amp;$J720+7)/SUMIFS('Weekly Log'!$E:$E,'Weekly Log'!$A:$A,"&gt;="&amp;$J720,'Weekly Log'!$A:$A,"&lt;"&amp;$J720+7),0))</f>
        <v/>
      </c>
      <c r="G720" t="str">
        <f>IF($J720="","",IFERROR(LOOKUP(2,1/(('Weekly Log'!$A$5:$A$5000&gt;=$J720)*('Weekly Log'!$A$5:$A$5000&lt;$J720+7)*('Weekly Log'!$M$5:$M$5000&lt;&gt;"")),'Weekly Log'!$M$5:$M$5000),0))</f>
        <v/>
      </c>
      <c r="J720" t="str">
        <f>IF(COUNT('Weekly Log'!$A$5:$A$5000)=0,"",IF(MIN('Weekly Log'!$A$5:$A$5000)+7*(ROW()-10)&gt;MAX('Weekly Log'!$A$5:$A$5000),"",MIN('Weekly Log'!$A$5:$A$5000)+7*(ROW()-10)))</f>
        <v/>
      </c>
    </row>
    <row r="721" spans="1:10" x14ac:dyDescent="0.25">
      <c r="A721" t="str">
        <f t="shared" si="11"/>
        <v/>
      </c>
      <c r="B721" t="str">
        <f>IF($J721="","",SUMIFS('Weekly Log'!$C:$C,'Weekly Log'!$A:$A,"&gt;="&amp;$J721,'Weekly Log'!$A:$A,"&lt;"&amp;$J721+7))</f>
        <v/>
      </c>
      <c r="C721" t="str">
        <f>IF($J721="","",IFERROR(COUNTIFS('Weekly Log'!$G:$G,"Y",'Weekly Log'!$A:$A,"&gt;="&amp;$J721,'Weekly Log'!$A:$A,"&lt;"&amp;$J721+7)/COUNTIFS('Weekly Log'!$G:$G,"&lt;&gt;",'Weekly Log'!$A:$A,"&gt;="&amp;$J721,'Weekly Log'!$A:$A,"&lt;"&amp;$J721+7),0))</f>
        <v/>
      </c>
      <c r="D721" t="str">
        <f>IF($J721="","",IFERROR(COUNTIFS('Weekly Log'!$H:$H,"Y",'Weekly Log'!$A:$A,"&gt;="&amp;$J721,'Weekly Log'!$A:$A,"&lt;"&amp;$J721+7)/COUNTIFS('Weekly Log'!$H:$H,"&lt;&gt;",'Weekly Log'!$A:$A,"&gt;="&amp;$J721,'Weekly Log'!$A:$A,"&lt;"&amp;$J721+7),0))</f>
        <v/>
      </c>
      <c r="E721" t="str">
        <f>IF($J721="","",IFERROR(AVERAGEIFS('Weekly Log'!$F:$F,'Weekly Log'!$A:$A,"&gt;="&amp;$J721,'Weekly Log'!$A:$A,"&lt;"&amp;$J721+7),0))</f>
        <v/>
      </c>
      <c r="F721" t="str">
        <f>IF($J721="","",IFERROR(SUMIFS('Weekly Log'!$F:$F,'Weekly Log'!$A:$A,"&gt;="&amp;$J721,'Weekly Log'!$A:$A,"&lt;"&amp;$J721+7)/SUMIFS('Weekly Log'!$E:$E,'Weekly Log'!$A:$A,"&gt;="&amp;$J721,'Weekly Log'!$A:$A,"&lt;"&amp;$J721+7),0))</f>
        <v/>
      </c>
      <c r="G721" t="str">
        <f>IF($J721="","",IFERROR(LOOKUP(2,1/(('Weekly Log'!$A$5:$A$5000&gt;=$J721)*('Weekly Log'!$A$5:$A$5000&lt;$J721+7)*('Weekly Log'!$M$5:$M$5000&lt;&gt;"")),'Weekly Log'!$M$5:$M$5000),0))</f>
        <v/>
      </c>
      <c r="J721" t="str">
        <f>IF(COUNT('Weekly Log'!$A$5:$A$5000)=0,"",IF(MIN('Weekly Log'!$A$5:$A$5000)+7*(ROW()-10)&gt;MAX('Weekly Log'!$A$5:$A$5000),"",MIN('Weekly Log'!$A$5:$A$5000)+7*(ROW()-10)))</f>
        <v/>
      </c>
    </row>
    <row r="722" spans="1:10" x14ac:dyDescent="0.25">
      <c r="A722" t="str">
        <f t="shared" si="11"/>
        <v/>
      </c>
      <c r="B722" t="str">
        <f>IF($J722="","",SUMIFS('Weekly Log'!$C:$C,'Weekly Log'!$A:$A,"&gt;="&amp;$J722,'Weekly Log'!$A:$A,"&lt;"&amp;$J722+7))</f>
        <v/>
      </c>
      <c r="C722" t="str">
        <f>IF($J722="","",IFERROR(COUNTIFS('Weekly Log'!$G:$G,"Y",'Weekly Log'!$A:$A,"&gt;="&amp;$J722,'Weekly Log'!$A:$A,"&lt;"&amp;$J722+7)/COUNTIFS('Weekly Log'!$G:$G,"&lt;&gt;",'Weekly Log'!$A:$A,"&gt;="&amp;$J722,'Weekly Log'!$A:$A,"&lt;"&amp;$J722+7),0))</f>
        <v/>
      </c>
      <c r="D722" t="str">
        <f>IF($J722="","",IFERROR(COUNTIFS('Weekly Log'!$H:$H,"Y",'Weekly Log'!$A:$A,"&gt;="&amp;$J722,'Weekly Log'!$A:$A,"&lt;"&amp;$J722+7)/COUNTIFS('Weekly Log'!$H:$H,"&lt;&gt;",'Weekly Log'!$A:$A,"&gt;="&amp;$J722,'Weekly Log'!$A:$A,"&lt;"&amp;$J722+7),0))</f>
        <v/>
      </c>
      <c r="E722" t="str">
        <f>IF($J722="","",IFERROR(AVERAGEIFS('Weekly Log'!$F:$F,'Weekly Log'!$A:$A,"&gt;="&amp;$J722,'Weekly Log'!$A:$A,"&lt;"&amp;$J722+7),0))</f>
        <v/>
      </c>
      <c r="F722" t="str">
        <f>IF($J722="","",IFERROR(SUMIFS('Weekly Log'!$F:$F,'Weekly Log'!$A:$A,"&gt;="&amp;$J722,'Weekly Log'!$A:$A,"&lt;"&amp;$J722+7)/SUMIFS('Weekly Log'!$E:$E,'Weekly Log'!$A:$A,"&gt;="&amp;$J722,'Weekly Log'!$A:$A,"&lt;"&amp;$J722+7),0))</f>
        <v/>
      </c>
      <c r="G722" t="str">
        <f>IF($J722="","",IFERROR(LOOKUP(2,1/(('Weekly Log'!$A$5:$A$5000&gt;=$J722)*('Weekly Log'!$A$5:$A$5000&lt;$J722+7)*('Weekly Log'!$M$5:$M$5000&lt;&gt;"")),'Weekly Log'!$M$5:$M$5000),0))</f>
        <v/>
      </c>
      <c r="J722" t="str">
        <f>IF(COUNT('Weekly Log'!$A$5:$A$5000)=0,"",IF(MIN('Weekly Log'!$A$5:$A$5000)+7*(ROW()-10)&gt;MAX('Weekly Log'!$A$5:$A$5000),"",MIN('Weekly Log'!$A$5:$A$5000)+7*(ROW()-10)))</f>
        <v/>
      </c>
    </row>
    <row r="723" spans="1:10" x14ac:dyDescent="0.25">
      <c r="A723" t="str">
        <f t="shared" si="11"/>
        <v/>
      </c>
      <c r="B723" t="str">
        <f>IF($J723="","",SUMIFS('Weekly Log'!$C:$C,'Weekly Log'!$A:$A,"&gt;="&amp;$J723,'Weekly Log'!$A:$A,"&lt;"&amp;$J723+7))</f>
        <v/>
      </c>
      <c r="C723" t="str">
        <f>IF($J723="","",IFERROR(COUNTIFS('Weekly Log'!$G:$G,"Y",'Weekly Log'!$A:$A,"&gt;="&amp;$J723,'Weekly Log'!$A:$A,"&lt;"&amp;$J723+7)/COUNTIFS('Weekly Log'!$G:$G,"&lt;&gt;",'Weekly Log'!$A:$A,"&gt;="&amp;$J723,'Weekly Log'!$A:$A,"&lt;"&amp;$J723+7),0))</f>
        <v/>
      </c>
      <c r="D723" t="str">
        <f>IF($J723="","",IFERROR(COUNTIFS('Weekly Log'!$H:$H,"Y",'Weekly Log'!$A:$A,"&gt;="&amp;$J723,'Weekly Log'!$A:$A,"&lt;"&amp;$J723+7)/COUNTIFS('Weekly Log'!$H:$H,"&lt;&gt;",'Weekly Log'!$A:$A,"&gt;="&amp;$J723,'Weekly Log'!$A:$A,"&lt;"&amp;$J723+7),0))</f>
        <v/>
      </c>
      <c r="E723" t="str">
        <f>IF($J723="","",IFERROR(AVERAGEIFS('Weekly Log'!$F:$F,'Weekly Log'!$A:$A,"&gt;="&amp;$J723,'Weekly Log'!$A:$A,"&lt;"&amp;$J723+7),0))</f>
        <v/>
      </c>
      <c r="F723" t="str">
        <f>IF($J723="","",IFERROR(SUMIFS('Weekly Log'!$F:$F,'Weekly Log'!$A:$A,"&gt;="&amp;$J723,'Weekly Log'!$A:$A,"&lt;"&amp;$J723+7)/SUMIFS('Weekly Log'!$E:$E,'Weekly Log'!$A:$A,"&gt;="&amp;$J723,'Weekly Log'!$A:$A,"&lt;"&amp;$J723+7),0))</f>
        <v/>
      </c>
      <c r="G723" t="str">
        <f>IF($J723="","",IFERROR(LOOKUP(2,1/(('Weekly Log'!$A$5:$A$5000&gt;=$J723)*('Weekly Log'!$A$5:$A$5000&lt;$J723+7)*('Weekly Log'!$M$5:$M$5000&lt;&gt;"")),'Weekly Log'!$M$5:$M$5000),0))</f>
        <v/>
      </c>
      <c r="J723" t="str">
        <f>IF(COUNT('Weekly Log'!$A$5:$A$5000)=0,"",IF(MIN('Weekly Log'!$A$5:$A$5000)+7*(ROW()-10)&gt;MAX('Weekly Log'!$A$5:$A$5000),"",MIN('Weekly Log'!$A$5:$A$5000)+7*(ROW()-10)))</f>
        <v/>
      </c>
    </row>
    <row r="724" spans="1:10" x14ac:dyDescent="0.25">
      <c r="A724" t="str">
        <f t="shared" si="11"/>
        <v/>
      </c>
      <c r="B724" t="str">
        <f>IF($J724="","",SUMIFS('Weekly Log'!$C:$C,'Weekly Log'!$A:$A,"&gt;="&amp;$J724,'Weekly Log'!$A:$A,"&lt;"&amp;$J724+7))</f>
        <v/>
      </c>
      <c r="C724" t="str">
        <f>IF($J724="","",IFERROR(COUNTIFS('Weekly Log'!$G:$G,"Y",'Weekly Log'!$A:$A,"&gt;="&amp;$J724,'Weekly Log'!$A:$A,"&lt;"&amp;$J724+7)/COUNTIFS('Weekly Log'!$G:$G,"&lt;&gt;",'Weekly Log'!$A:$A,"&gt;="&amp;$J724,'Weekly Log'!$A:$A,"&lt;"&amp;$J724+7),0))</f>
        <v/>
      </c>
      <c r="D724" t="str">
        <f>IF($J724="","",IFERROR(COUNTIFS('Weekly Log'!$H:$H,"Y",'Weekly Log'!$A:$A,"&gt;="&amp;$J724,'Weekly Log'!$A:$A,"&lt;"&amp;$J724+7)/COUNTIFS('Weekly Log'!$H:$H,"&lt;&gt;",'Weekly Log'!$A:$A,"&gt;="&amp;$J724,'Weekly Log'!$A:$A,"&lt;"&amp;$J724+7),0))</f>
        <v/>
      </c>
      <c r="E724" t="str">
        <f>IF($J724="","",IFERROR(AVERAGEIFS('Weekly Log'!$F:$F,'Weekly Log'!$A:$A,"&gt;="&amp;$J724,'Weekly Log'!$A:$A,"&lt;"&amp;$J724+7),0))</f>
        <v/>
      </c>
      <c r="F724" t="str">
        <f>IF($J724="","",IFERROR(SUMIFS('Weekly Log'!$F:$F,'Weekly Log'!$A:$A,"&gt;="&amp;$J724,'Weekly Log'!$A:$A,"&lt;"&amp;$J724+7)/SUMIFS('Weekly Log'!$E:$E,'Weekly Log'!$A:$A,"&gt;="&amp;$J724,'Weekly Log'!$A:$A,"&lt;"&amp;$J724+7),0))</f>
        <v/>
      </c>
      <c r="G724" t="str">
        <f>IF($J724="","",IFERROR(LOOKUP(2,1/(('Weekly Log'!$A$5:$A$5000&gt;=$J724)*('Weekly Log'!$A$5:$A$5000&lt;$J724+7)*('Weekly Log'!$M$5:$M$5000&lt;&gt;"")),'Weekly Log'!$M$5:$M$5000),0))</f>
        <v/>
      </c>
      <c r="J724" t="str">
        <f>IF(COUNT('Weekly Log'!$A$5:$A$5000)=0,"",IF(MIN('Weekly Log'!$A$5:$A$5000)+7*(ROW()-10)&gt;MAX('Weekly Log'!$A$5:$A$5000),"",MIN('Weekly Log'!$A$5:$A$5000)+7*(ROW()-10)))</f>
        <v/>
      </c>
    </row>
    <row r="725" spans="1:10" x14ac:dyDescent="0.25">
      <c r="A725" t="str">
        <f t="shared" si="11"/>
        <v/>
      </c>
      <c r="B725" t="str">
        <f>IF($J725="","",SUMIFS('Weekly Log'!$C:$C,'Weekly Log'!$A:$A,"&gt;="&amp;$J725,'Weekly Log'!$A:$A,"&lt;"&amp;$J725+7))</f>
        <v/>
      </c>
      <c r="C725" t="str">
        <f>IF($J725="","",IFERROR(COUNTIFS('Weekly Log'!$G:$G,"Y",'Weekly Log'!$A:$A,"&gt;="&amp;$J725,'Weekly Log'!$A:$A,"&lt;"&amp;$J725+7)/COUNTIFS('Weekly Log'!$G:$G,"&lt;&gt;",'Weekly Log'!$A:$A,"&gt;="&amp;$J725,'Weekly Log'!$A:$A,"&lt;"&amp;$J725+7),0))</f>
        <v/>
      </c>
      <c r="D725" t="str">
        <f>IF($J725="","",IFERROR(COUNTIFS('Weekly Log'!$H:$H,"Y",'Weekly Log'!$A:$A,"&gt;="&amp;$J725,'Weekly Log'!$A:$A,"&lt;"&amp;$J725+7)/COUNTIFS('Weekly Log'!$H:$H,"&lt;&gt;",'Weekly Log'!$A:$A,"&gt;="&amp;$J725,'Weekly Log'!$A:$A,"&lt;"&amp;$J725+7),0))</f>
        <v/>
      </c>
      <c r="E725" t="str">
        <f>IF($J725="","",IFERROR(AVERAGEIFS('Weekly Log'!$F:$F,'Weekly Log'!$A:$A,"&gt;="&amp;$J725,'Weekly Log'!$A:$A,"&lt;"&amp;$J725+7),0))</f>
        <v/>
      </c>
      <c r="F725" t="str">
        <f>IF($J725="","",IFERROR(SUMIFS('Weekly Log'!$F:$F,'Weekly Log'!$A:$A,"&gt;="&amp;$J725,'Weekly Log'!$A:$A,"&lt;"&amp;$J725+7)/SUMIFS('Weekly Log'!$E:$E,'Weekly Log'!$A:$A,"&gt;="&amp;$J725,'Weekly Log'!$A:$A,"&lt;"&amp;$J725+7),0))</f>
        <v/>
      </c>
      <c r="G725" t="str">
        <f>IF($J725="","",IFERROR(LOOKUP(2,1/(('Weekly Log'!$A$5:$A$5000&gt;=$J725)*('Weekly Log'!$A$5:$A$5000&lt;$J725+7)*('Weekly Log'!$M$5:$M$5000&lt;&gt;"")),'Weekly Log'!$M$5:$M$5000),0))</f>
        <v/>
      </c>
      <c r="J725" t="str">
        <f>IF(COUNT('Weekly Log'!$A$5:$A$5000)=0,"",IF(MIN('Weekly Log'!$A$5:$A$5000)+7*(ROW()-10)&gt;MAX('Weekly Log'!$A$5:$A$5000),"",MIN('Weekly Log'!$A$5:$A$5000)+7*(ROW()-10)))</f>
        <v/>
      </c>
    </row>
    <row r="726" spans="1:10" x14ac:dyDescent="0.25">
      <c r="A726" t="str">
        <f t="shared" si="11"/>
        <v/>
      </c>
      <c r="B726" t="str">
        <f>IF($J726="","",SUMIFS('Weekly Log'!$C:$C,'Weekly Log'!$A:$A,"&gt;="&amp;$J726,'Weekly Log'!$A:$A,"&lt;"&amp;$J726+7))</f>
        <v/>
      </c>
      <c r="C726" t="str">
        <f>IF($J726="","",IFERROR(COUNTIFS('Weekly Log'!$G:$G,"Y",'Weekly Log'!$A:$A,"&gt;="&amp;$J726,'Weekly Log'!$A:$A,"&lt;"&amp;$J726+7)/COUNTIFS('Weekly Log'!$G:$G,"&lt;&gt;",'Weekly Log'!$A:$A,"&gt;="&amp;$J726,'Weekly Log'!$A:$A,"&lt;"&amp;$J726+7),0))</f>
        <v/>
      </c>
      <c r="D726" t="str">
        <f>IF($J726="","",IFERROR(COUNTIFS('Weekly Log'!$H:$H,"Y",'Weekly Log'!$A:$A,"&gt;="&amp;$J726,'Weekly Log'!$A:$A,"&lt;"&amp;$J726+7)/COUNTIFS('Weekly Log'!$H:$H,"&lt;&gt;",'Weekly Log'!$A:$A,"&gt;="&amp;$J726,'Weekly Log'!$A:$A,"&lt;"&amp;$J726+7),0))</f>
        <v/>
      </c>
      <c r="E726" t="str">
        <f>IF($J726="","",IFERROR(AVERAGEIFS('Weekly Log'!$F:$F,'Weekly Log'!$A:$A,"&gt;="&amp;$J726,'Weekly Log'!$A:$A,"&lt;"&amp;$J726+7),0))</f>
        <v/>
      </c>
      <c r="F726" t="str">
        <f>IF($J726="","",IFERROR(SUMIFS('Weekly Log'!$F:$F,'Weekly Log'!$A:$A,"&gt;="&amp;$J726,'Weekly Log'!$A:$A,"&lt;"&amp;$J726+7)/SUMIFS('Weekly Log'!$E:$E,'Weekly Log'!$A:$A,"&gt;="&amp;$J726,'Weekly Log'!$A:$A,"&lt;"&amp;$J726+7),0))</f>
        <v/>
      </c>
      <c r="G726" t="str">
        <f>IF($J726="","",IFERROR(LOOKUP(2,1/(('Weekly Log'!$A$5:$A$5000&gt;=$J726)*('Weekly Log'!$A$5:$A$5000&lt;$J726+7)*('Weekly Log'!$M$5:$M$5000&lt;&gt;"")),'Weekly Log'!$M$5:$M$5000),0))</f>
        <v/>
      </c>
      <c r="J726" t="str">
        <f>IF(COUNT('Weekly Log'!$A$5:$A$5000)=0,"",IF(MIN('Weekly Log'!$A$5:$A$5000)+7*(ROW()-10)&gt;MAX('Weekly Log'!$A$5:$A$5000),"",MIN('Weekly Log'!$A$5:$A$5000)+7*(ROW()-10)))</f>
        <v/>
      </c>
    </row>
    <row r="727" spans="1:10" x14ac:dyDescent="0.25">
      <c r="A727" t="str">
        <f t="shared" si="11"/>
        <v/>
      </c>
      <c r="B727" t="str">
        <f>IF($J727="","",SUMIFS('Weekly Log'!$C:$C,'Weekly Log'!$A:$A,"&gt;="&amp;$J727,'Weekly Log'!$A:$A,"&lt;"&amp;$J727+7))</f>
        <v/>
      </c>
      <c r="C727" t="str">
        <f>IF($J727="","",IFERROR(COUNTIFS('Weekly Log'!$G:$G,"Y",'Weekly Log'!$A:$A,"&gt;="&amp;$J727,'Weekly Log'!$A:$A,"&lt;"&amp;$J727+7)/COUNTIFS('Weekly Log'!$G:$G,"&lt;&gt;",'Weekly Log'!$A:$A,"&gt;="&amp;$J727,'Weekly Log'!$A:$A,"&lt;"&amp;$J727+7),0))</f>
        <v/>
      </c>
      <c r="D727" t="str">
        <f>IF($J727="","",IFERROR(COUNTIFS('Weekly Log'!$H:$H,"Y",'Weekly Log'!$A:$A,"&gt;="&amp;$J727,'Weekly Log'!$A:$A,"&lt;"&amp;$J727+7)/COUNTIFS('Weekly Log'!$H:$H,"&lt;&gt;",'Weekly Log'!$A:$A,"&gt;="&amp;$J727,'Weekly Log'!$A:$A,"&lt;"&amp;$J727+7),0))</f>
        <v/>
      </c>
      <c r="E727" t="str">
        <f>IF($J727="","",IFERROR(AVERAGEIFS('Weekly Log'!$F:$F,'Weekly Log'!$A:$A,"&gt;="&amp;$J727,'Weekly Log'!$A:$A,"&lt;"&amp;$J727+7),0))</f>
        <v/>
      </c>
      <c r="F727" t="str">
        <f>IF($J727="","",IFERROR(SUMIFS('Weekly Log'!$F:$F,'Weekly Log'!$A:$A,"&gt;="&amp;$J727,'Weekly Log'!$A:$A,"&lt;"&amp;$J727+7)/SUMIFS('Weekly Log'!$E:$E,'Weekly Log'!$A:$A,"&gt;="&amp;$J727,'Weekly Log'!$A:$A,"&lt;"&amp;$J727+7),0))</f>
        <v/>
      </c>
      <c r="G727" t="str">
        <f>IF($J727="","",IFERROR(LOOKUP(2,1/(('Weekly Log'!$A$5:$A$5000&gt;=$J727)*('Weekly Log'!$A$5:$A$5000&lt;$J727+7)*('Weekly Log'!$M$5:$M$5000&lt;&gt;"")),'Weekly Log'!$M$5:$M$5000),0))</f>
        <v/>
      </c>
      <c r="J727" t="str">
        <f>IF(COUNT('Weekly Log'!$A$5:$A$5000)=0,"",IF(MIN('Weekly Log'!$A$5:$A$5000)+7*(ROW()-10)&gt;MAX('Weekly Log'!$A$5:$A$5000),"",MIN('Weekly Log'!$A$5:$A$5000)+7*(ROW()-10)))</f>
        <v/>
      </c>
    </row>
    <row r="728" spans="1:10" x14ac:dyDescent="0.25">
      <c r="A728" t="str">
        <f t="shared" si="11"/>
        <v/>
      </c>
      <c r="B728" t="str">
        <f>IF($J728="","",SUMIFS('Weekly Log'!$C:$C,'Weekly Log'!$A:$A,"&gt;="&amp;$J728,'Weekly Log'!$A:$A,"&lt;"&amp;$J728+7))</f>
        <v/>
      </c>
      <c r="C728" t="str">
        <f>IF($J728="","",IFERROR(COUNTIFS('Weekly Log'!$G:$G,"Y",'Weekly Log'!$A:$A,"&gt;="&amp;$J728,'Weekly Log'!$A:$A,"&lt;"&amp;$J728+7)/COUNTIFS('Weekly Log'!$G:$G,"&lt;&gt;",'Weekly Log'!$A:$A,"&gt;="&amp;$J728,'Weekly Log'!$A:$A,"&lt;"&amp;$J728+7),0))</f>
        <v/>
      </c>
      <c r="D728" t="str">
        <f>IF($J728="","",IFERROR(COUNTIFS('Weekly Log'!$H:$H,"Y",'Weekly Log'!$A:$A,"&gt;="&amp;$J728,'Weekly Log'!$A:$A,"&lt;"&amp;$J728+7)/COUNTIFS('Weekly Log'!$H:$H,"&lt;&gt;",'Weekly Log'!$A:$A,"&gt;="&amp;$J728,'Weekly Log'!$A:$A,"&lt;"&amp;$J728+7),0))</f>
        <v/>
      </c>
      <c r="E728" t="str">
        <f>IF($J728="","",IFERROR(AVERAGEIFS('Weekly Log'!$F:$F,'Weekly Log'!$A:$A,"&gt;="&amp;$J728,'Weekly Log'!$A:$A,"&lt;"&amp;$J728+7),0))</f>
        <v/>
      </c>
      <c r="F728" t="str">
        <f>IF($J728="","",IFERROR(SUMIFS('Weekly Log'!$F:$F,'Weekly Log'!$A:$A,"&gt;="&amp;$J728,'Weekly Log'!$A:$A,"&lt;"&amp;$J728+7)/SUMIFS('Weekly Log'!$E:$E,'Weekly Log'!$A:$A,"&gt;="&amp;$J728,'Weekly Log'!$A:$A,"&lt;"&amp;$J728+7),0))</f>
        <v/>
      </c>
      <c r="G728" t="str">
        <f>IF($J728="","",IFERROR(LOOKUP(2,1/(('Weekly Log'!$A$5:$A$5000&gt;=$J728)*('Weekly Log'!$A$5:$A$5000&lt;$J728+7)*('Weekly Log'!$M$5:$M$5000&lt;&gt;"")),'Weekly Log'!$M$5:$M$5000),0))</f>
        <v/>
      </c>
      <c r="J728" t="str">
        <f>IF(COUNT('Weekly Log'!$A$5:$A$5000)=0,"",IF(MIN('Weekly Log'!$A$5:$A$5000)+7*(ROW()-10)&gt;MAX('Weekly Log'!$A$5:$A$5000),"",MIN('Weekly Log'!$A$5:$A$5000)+7*(ROW()-10)))</f>
        <v/>
      </c>
    </row>
    <row r="729" spans="1:10" x14ac:dyDescent="0.25">
      <c r="A729" t="str">
        <f t="shared" si="11"/>
        <v/>
      </c>
      <c r="B729" t="str">
        <f>IF($J729="","",SUMIFS('Weekly Log'!$C:$C,'Weekly Log'!$A:$A,"&gt;="&amp;$J729,'Weekly Log'!$A:$A,"&lt;"&amp;$J729+7))</f>
        <v/>
      </c>
      <c r="C729" t="str">
        <f>IF($J729="","",IFERROR(COUNTIFS('Weekly Log'!$G:$G,"Y",'Weekly Log'!$A:$A,"&gt;="&amp;$J729,'Weekly Log'!$A:$A,"&lt;"&amp;$J729+7)/COUNTIFS('Weekly Log'!$G:$G,"&lt;&gt;",'Weekly Log'!$A:$A,"&gt;="&amp;$J729,'Weekly Log'!$A:$A,"&lt;"&amp;$J729+7),0))</f>
        <v/>
      </c>
      <c r="D729" t="str">
        <f>IF($J729="","",IFERROR(COUNTIFS('Weekly Log'!$H:$H,"Y",'Weekly Log'!$A:$A,"&gt;="&amp;$J729,'Weekly Log'!$A:$A,"&lt;"&amp;$J729+7)/COUNTIFS('Weekly Log'!$H:$H,"&lt;&gt;",'Weekly Log'!$A:$A,"&gt;="&amp;$J729,'Weekly Log'!$A:$A,"&lt;"&amp;$J729+7),0))</f>
        <v/>
      </c>
      <c r="E729" t="str">
        <f>IF($J729="","",IFERROR(AVERAGEIFS('Weekly Log'!$F:$F,'Weekly Log'!$A:$A,"&gt;="&amp;$J729,'Weekly Log'!$A:$A,"&lt;"&amp;$J729+7),0))</f>
        <v/>
      </c>
      <c r="F729" t="str">
        <f>IF($J729="","",IFERROR(SUMIFS('Weekly Log'!$F:$F,'Weekly Log'!$A:$A,"&gt;="&amp;$J729,'Weekly Log'!$A:$A,"&lt;"&amp;$J729+7)/SUMIFS('Weekly Log'!$E:$E,'Weekly Log'!$A:$A,"&gt;="&amp;$J729,'Weekly Log'!$A:$A,"&lt;"&amp;$J729+7),0))</f>
        <v/>
      </c>
      <c r="G729" t="str">
        <f>IF($J729="","",IFERROR(LOOKUP(2,1/(('Weekly Log'!$A$5:$A$5000&gt;=$J729)*('Weekly Log'!$A$5:$A$5000&lt;$J729+7)*('Weekly Log'!$M$5:$M$5000&lt;&gt;"")),'Weekly Log'!$M$5:$M$5000),0))</f>
        <v/>
      </c>
      <c r="J729" t="str">
        <f>IF(COUNT('Weekly Log'!$A$5:$A$5000)=0,"",IF(MIN('Weekly Log'!$A$5:$A$5000)+7*(ROW()-10)&gt;MAX('Weekly Log'!$A$5:$A$5000),"",MIN('Weekly Log'!$A$5:$A$5000)+7*(ROW()-10)))</f>
        <v/>
      </c>
    </row>
    <row r="730" spans="1:10" x14ac:dyDescent="0.25">
      <c r="A730" t="str">
        <f t="shared" si="11"/>
        <v/>
      </c>
      <c r="B730" t="str">
        <f>IF($J730="","",SUMIFS('Weekly Log'!$C:$C,'Weekly Log'!$A:$A,"&gt;="&amp;$J730,'Weekly Log'!$A:$A,"&lt;"&amp;$J730+7))</f>
        <v/>
      </c>
      <c r="C730" t="str">
        <f>IF($J730="","",IFERROR(COUNTIFS('Weekly Log'!$G:$G,"Y",'Weekly Log'!$A:$A,"&gt;="&amp;$J730,'Weekly Log'!$A:$A,"&lt;"&amp;$J730+7)/COUNTIFS('Weekly Log'!$G:$G,"&lt;&gt;",'Weekly Log'!$A:$A,"&gt;="&amp;$J730,'Weekly Log'!$A:$A,"&lt;"&amp;$J730+7),0))</f>
        <v/>
      </c>
      <c r="D730" t="str">
        <f>IF($J730="","",IFERROR(COUNTIFS('Weekly Log'!$H:$H,"Y",'Weekly Log'!$A:$A,"&gt;="&amp;$J730,'Weekly Log'!$A:$A,"&lt;"&amp;$J730+7)/COUNTIFS('Weekly Log'!$H:$H,"&lt;&gt;",'Weekly Log'!$A:$A,"&gt;="&amp;$J730,'Weekly Log'!$A:$A,"&lt;"&amp;$J730+7),0))</f>
        <v/>
      </c>
      <c r="E730" t="str">
        <f>IF($J730="","",IFERROR(AVERAGEIFS('Weekly Log'!$F:$F,'Weekly Log'!$A:$A,"&gt;="&amp;$J730,'Weekly Log'!$A:$A,"&lt;"&amp;$J730+7),0))</f>
        <v/>
      </c>
      <c r="F730" t="str">
        <f>IF($J730="","",IFERROR(SUMIFS('Weekly Log'!$F:$F,'Weekly Log'!$A:$A,"&gt;="&amp;$J730,'Weekly Log'!$A:$A,"&lt;"&amp;$J730+7)/SUMIFS('Weekly Log'!$E:$E,'Weekly Log'!$A:$A,"&gt;="&amp;$J730,'Weekly Log'!$A:$A,"&lt;"&amp;$J730+7),0))</f>
        <v/>
      </c>
      <c r="G730" t="str">
        <f>IF($J730="","",IFERROR(LOOKUP(2,1/(('Weekly Log'!$A$5:$A$5000&gt;=$J730)*('Weekly Log'!$A$5:$A$5000&lt;$J730+7)*('Weekly Log'!$M$5:$M$5000&lt;&gt;"")),'Weekly Log'!$M$5:$M$5000),0))</f>
        <v/>
      </c>
      <c r="J730" t="str">
        <f>IF(COUNT('Weekly Log'!$A$5:$A$5000)=0,"",IF(MIN('Weekly Log'!$A$5:$A$5000)+7*(ROW()-10)&gt;MAX('Weekly Log'!$A$5:$A$5000),"",MIN('Weekly Log'!$A$5:$A$5000)+7*(ROW()-10)))</f>
        <v/>
      </c>
    </row>
    <row r="731" spans="1:10" x14ac:dyDescent="0.25">
      <c r="A731" t="str">
        <f t="shared" si="11"/>
        <v/>
      </c>
      <c r="B731" t="str">
        <f>IF($J731="","",SUMIFS('Weekly Log'!$C:$C,'Weekly Log'!$A:$A,"&gt;="&amp;$J731,'Weekly Log'!$A:$A,"&lt;"&amp;$J731+7))</f>
        <v/>
      </c>
      <c r="C731" t="str">
        <f>IF($J731="","",IFERROR(COUNTIFS('Weekly Log'!$G:$G,"Y",'Weekly Log'!$A:$A,"&gt;="&amp;$J731,'Weekly Log'!$A:$A,"&lt;"&amp;$J731+7)/COUNTIFS('Weekly Log'!$G:$G,"&lt;&gt;",'Weekly Log'!$A:$A,"&gt;="&amp;$J731,'Weekly Log'!$A:$A,"&lt;"&amp;$J731+7),0))</f>
        <v/>
      </c>
      <c r="D731" t="str">
        <f>IF($J731="","",IFERROR(COUNTIFS('Weekly Log'!$H:$H,"Y",'Weekly Log'!$A:$A,"&gt;="&amp;$J731,'Weekly Log'!$A:$A,"&lt;"&amp;$J731+7)/COUNTIFS('Weekly Log'!$H:$H,"&lt;&gt;",'Weekly Log'!$A:$A,"&gt;="&amp;$J731,'Weekly Log'!$A:$A,"&lt;"&amp;$J731+7),0))</f>
        <v/>
      </c>
      <c r="E731" t="str">
        <f>IF($J731="","",IFERROR(AVERAGEIFS('Weekly Log'!$F:$F,'Weekly Log'!$A:$A,"&gt;="&amp;$J731,'Weekly Log'!$A:$A,"&lt;"&amp;$J731+7),0))</f>
        <v/>
      </c>
      <c r="F731" t="str">
        <f>IF($J731="","",IFERROR(SUMIFS('Weekly Log'!$F:$F,'Weekly Log'!$A:$A,"&gt;="&amp;$J731,'Weekly Log'!$A:$A,"&lt;"&amp;$J731+7)/SUMIFS('Weekly Log'!$E:$E,'Weekly Log'!$A:$A,"&gt;="&amp;$J731,'Weekly Log'!$A:$A,"&lt;"&amp;$J731+7),0))</f>
        <v/>
      </c>
      <c r="G731" t="str">
        <f>IF($J731="","",IFERROR(LOOKUP(2,1/(('Weekly Log'!$A$5:$A$5000&gt;=$J731)*('Weekly Log'!$A$5:$A$5000&lt;$J731+7)*('Weekly Log'!$M$5:$M$5000&lt;&gt;"")),'Weekly Log'!$M$5:$M$5000),0))</f>
        <v/>
      </c>
      <c r="J731" t="str">
        <f>IF(COUNT('Weekly Log'!$A$5:$A$5000)=0,"",IF(MIN('Weekly Log'!$A$5:$A$5000)+7*(ROW()-10)&gt;MAX('Weekly Log'!$A$5:$A$5000),"",MIN('Weekly Log'!$A$5:$A$5000)+7*(ROW()-10)))</f>
        <v/>
      </c>
    </row>
    <row r="732" spans="1:10" x14ac:dyDescent="0.25">
      <c r="A732" t="str">
        <f t="shared" si="11"/>
        <v/>
      </c>
      <c r="B732" t="str">
        <f>IF($J732="","",SUMIFS('Weekly Log'!$C:$C,'Weekly Log'!$A:$A,"&gt;="&amp;$J732,'Weekly Log'!$A:$A,"&lt;"&amp;$J732+7))</f>
        <v/>
      </c>
      <c r="C732" t="str">
        <f>IF($J732="","",IFERROR(COUNTIFS('Weekly Log'!$G:$G,"Y",'Weekly Log'!$A:$A,"&gt;="&amp;$J732,'Weekly Log'!$A:$A,"&lt;"&amp;$J732+7)/COUNTIFS('Weekly Log'!$G:$G,"&lt;&gt;",'Weekly Log'!$A:$A,"&gt;="&amp;$J732,'Weekly Log'!$A:$A,"&lt;"&amp;$J732+7),0))</f>
        <v/>
      </c>
      <c r="D732" t="str">
        <f>IF($J732="","",IFERROR(COUNTIFS('Weekly Log'!$H:$H,"Y",'Weekly Log'!$A:$A,"&gt;="&amp;$J732,'Weekly Log'!$A:$A,"&lt;"&amp;$J732+7)/COUNTIFS('Weekly Log'!$H:$H,"&lt;&gt;",'Weekly Log'!$A:$A,"&gt;="&amp;$J732,'Weekly Log'!$A:$A,"&lt;"&amp;$J732+7),0))</f>
        <v/>
      </c>
      <c r="E732" t="str">
        <f>IF($J732="","",IFERROR(AVERAGEIFS('Weekly Log'!$F:$F,'Weekly Log'!$A:$A,"&gt;="&amp;$J732,'Weekly Log'!$A:$A,"&lt;"&amp;$J732+7),0))</f>
        <v/>
      </c>
      <c r="F732" t="str">
        <f>IF($J732="","",IFERROR(SUMIFS('Weekly Log'!$F:$F,'Weekly Log'!$A:$A,"&gt;="&amp;$J732,'Weekly Log'!$A:$A,"&lt;"&amp;$J732+7)/SUMIFS('Weekly Log'!$E:$E,'Weekly Log'!$A:$A,"&gt;="&amp;$J732,'Weekly Log'!$A:$A,"&lt;"&amp;$J732+7),0))</f>
        <v/>
      </c>
      <c r="G732" t="str">
        <f>IF($J732="","",IFERROR(LOOKUP(2,1/(('Weekly Log'!$A$5:$A$5000&gt;=$J732)*('Weekly Log'!$A$5:$A$5000&lt;$J732+7)*('Weekly Log'!$M$5:$M$5000&lt;&gt;"")),'Weekly Log'!$M$5:$M$5000),0))</f>
        <v/>
      </c>
      <c r="J732" t="str">
        <f>IF(COUNT('Weekly Log'!$A$5:$A$5000)=0,"",IF(MIN('Weekly Log'!$A$5:$A$5000)+7*(ROW()-10)&gt;MAX('Weekly Log'!$A$5:$A$5000),"",MIN('Weekly Log'!$A$5:$A$5000)+7*(ROW()-10)))</f>
        <v/>
      </c>
    </row>
    <row r="733" spans="1:10" x14ac:dyDescent="0.25">
      <c r="A733" t="str">
        <f t="shared" si="11"/>
        <v/>
      </c>
      <c r="B733" t="str">
        <f>IF($J733="","",SUMIFS('Weekly Log'!$C:$C,'Weekly Log'!$A:$A,"&gt;="&amp;$J733,'Weekly Log'!$A:$A,"&lt;"&amp;$J733+7))</f>
        <v/>
      </c>
      <c r="C733" t="str">
        <f>IF($J733="","",IFERROR(COUNTIFS('Weekly Log'!$G:$G,"Y",'Weekly Log'!$A:$A,"&gt;="&amp;$J733,'Weekly Log'!$A:$A,"&lt;"&amp;$J733+7)/COUNTIFS('Weekly Log'!$G:$G,"&lt;&gt;",'Weekly Log'!$A:$A,"&gt;="&amp;$J733,'Weekly Log'!$A:$A,"&lt;"&amp;$J733+7),0))</f>
        <v/>
      </c>
      <c r="D733" t="str">
        <f>IF($J733="","",IFERROR(COUNTIFS('Weekly Log'!$H:$H,"Y",'Weekly Log'!$A:$A,"&gt;="&amp;$J733,'Weekly Log'!$A:$A,"&lt;"&amp;$J733+7)/COUNTIFS('Weekly Log'!$H:$H,"&lt;&gt;",'Weekly Log'!$A:$A,"&gt;="&amp;$J733,'Weekly Log'!$A:$A,"&lt;"&amp;$J733+7),0))</f>
        <v/>
      </c>
      <c r="E733" t="str">
        <f>IF($J733="","",IFERROR(AVERAGEIFS('Weekly Log'!$F:$F,'Weekly Log'!$A:$A,"&gt;="&amp;$J733,'Weekly Log'!$A:$A,"&lt;"&amp;$J733+7),0))</f>
        <v/>
      </c>
      <c r="F733" t="str">
        <f>IF($J733="","",IFERROR(SUMIFS('Weekly Log'!$F:$F,'Weekly Log'!$A:$A,"&gt;="&amp;$J733,'Weekly Log'!$A:$A,"&lt;"&amp;$J733+7)/SUMIFS('Weekly Log'!$E:$E,'Weekly Log'!$A:$A,"&gt;="&amp;$J733,'Weekly Log'!$A:$A,"&lt;"&amp;$J733+7),0))</f>
        <v/>
      </c>
      <c r="G733" t="str">
        <f>IF($J733="","",IFERROR(LOOKUP(2,1/(('Weekly Log'!$A$5:$A$5000&gt;=$J733)*('Weekly Log'!$A$5:$A$5000&lt;$J733+7)*('Weekly Log'!$M$5:$M$5000&lt;&gt;"")),'Weekly Log'!$M$5:$M$5000),0))</f>
        <v/>
      </c>
      <c r="J733" t="str">
        <f>IF(COUNT('Weekly Log'!$A$5:$A$5000)=0,"",IF(MIN('Weekly Log'!$A$5:$A$5000)+7*(ROW()-10)&gt;MAX('Weekly Log'!$A$5:$A$5000),"",MIN('Weekly Log'!$A$5:$A$5000)+7*(ROW()-10)))</f>
        <v/>
      </c>
    </row>
    <row r="734" spans="1:10" x14ac:dyDescent="0.25">
      <c r="A734" t="str">
        <f t="shared" si="11"/>
        <v/>
      </c>
      <c r="B734" t="str">
        <f>IF($J734="","",SUMIFS('Weekly Log'!$C:$C,'Weekly Log'!$A:$A,"&gt;="&amp;$J734,'Weekly Log'!$A:$A,"&lt;"&amp;$J734+7))</f>
        <v/>
      </c>
      <c r="C734" t="str">
        <f>IF($J734="","",IFERROR(COUNTIFS('Weekly Log'!$G:$G,"Y",'Weekly Log'!$A:$A,"&gt;="&amp;$J734,'Weekly Log'!$A:$A,"&lt;"&amp;$J734+7)/COUNTIFS('Weekly Log'!$G:$G,"&lt;&gt;",'Weekly Log'!$A:$A,"&gt;="&amp;$J734,'Weekly Log'!$A:$A,"&lt;"&amp;$J734+7),0))</f>
        <v/>
      </c>
      <c r="D734" t="str">
        <f>IF($J734="","",IFERROR(COUNTIFS('Weekly Log'!$H:$H,"Y",'Weekly Log'!$A:$A,"&gt;="&amp;$J734,'Weekly Log'!$A:$A,"&lt;"&amp;$J734+7)/COUNTIFS('Weekly Log'!$H:$H,"&lt;&gt;",'Weekly Log'!$A:$A,"&gt;="&amp;$J734,'Weekly Log'!$A:$A,"&lt;"&amp;$J734+7),0))</f>
        <v/>
      </c>
      <c r="E734" t="str">
        <f>IF($J734="","",IFERROR(AVERAGEIFS('Weekly Log'!$F:$F,'Weekly Log'!$A:$A,"&gt;="&amp;$J734,'Weekly Log'!$A:$A,"&lt;"&amp;$J734+7),0))</f>
        <v/>
      </c>
      <c r="F734" t="str">
        <f>IF($J734="","",IFERROR(SUMIFS('Weekly Log'!$F:$F,'Weekly Log'!$A:$A,"&gt;="&amp;$J734,'Weekly Log'!$A:$A,"&lt;"&amp;$J734+7)/SUMIFS('Weekly Log'!$E:$E,'Weekly Log'!$A:$A,"&gt;="&amp;$J734,'Weekly Log'!$A:$A,"&lt;"&amp;$J734+7),0))</f>
        <v/>
      </c>
      <c r="G734" t="str">
        <f>IF($J734="","",IFERROR(LOOKUP(2,1/(('Weekly Log'!$A$5:$A$5000&gt;=$J734)*('Weekly Log'!$A$5:$A$5000&lt;$J734+7)*('Weekly Log'!$M$5:$M$5000&lt;&gt;"")),'Weekly Log'!$M$5:$M$5000),0))</f>
        <v/>
      </c>
      <c r="J734" t="str">
        <f>IF(COUNT('Weekly Log'!$A$5:$A$5000)=0,"",IF(MIN('Weekly Log'!$A$5:$A$5000)+7*(ROW()-10)&gt;MAX('Weekly Log'!$A$5:$A$5000),"",MIN('Weekly Log'!$A$5:$A$5000)+7*(ROW()-10)))</f>
        <v/>
      </c>
    </row>
    <row r="735" spans="1:10" x14ac:dyDescent="0.25">
      <c r="A735" t="str">
        <f t="shared" si="11"/>
        <v/>
      </c>
      <c r="B735" t="str">
        <f>IF($J735="","",SUMIFS('Weekly Log'!$C:$C,'Weekly Log'!$A:$A,"&gt;="&amp;$J735,'Weekly Log'!$A:$A,"&lt;"&amp;$J735+7))</f>
        <v/>
      </c>
      <c r="C735" t="str">
        <f>IF($J735="","",IFERROR(COUNTIFS('Weekly Log'!$G:$G,"Y",'Weekly Log'!$A:$A,"&gt;="&amp;$J735,'Weekly Log'!$A:$A,"&lt;"&amp;$J735+7)/COUNTIFS('Weekly Log'!$G:$G,"&lt;&gt;",'Weekly Log'!$A:$A,"&gt;="&amp;$J735,'Weekly Log'!$A:$A,"&lt;"&amp;$J735+7),0))</f>
        <v/>
      </c>
      <c r="D735" t="str">
        <f>IF($J735="","",IFERROR(COUNTIFS('Weekly Log'!$H:$H,"Y",'Weekly Log'!$A:$A,"&gt;="&amp;$J735,'Weekly Log'!$A:$A,"&lt;"&amp;$J735+7)/COUNTIFS('Weekly Log'!$H:$H,"&lt;&gt;",'Weekly Log'!$A:$A,"&gt;="&amp;$J735,'Weekly Log'!$A:$A,"&lt;"&amp;$J735+7),0))</f>
        <v/>
      </c>
      <c r="E735" t="str">
        <f>IF($J735="","",IFERROR(AVERAGEIFS('Weekly Log'!$F:$F,'Weekly Log'!$A:$A,"&gt;="&amp;$J735,'Weekly Log'!$A:$A,"&lt;"&amp;$J735+7),0))</f>
        <v/>
      </c>
      <c r="F735" t="str">
        <f>IF($J735="","",IFERROR(SUMIFS('Weekly Log'!$F:$F,'Weekly Log'!$A:$A,"&gt;="&amp;$J735,'Weekly Log'!$A:$A,"&lt;"&amp;$J735+7)/SUMIFS('Weekly Log'!$E:$E,'Weekly Log'!$A:$A,"&gt;="&amp;$J735,'Weekly Log'!$A:$A,"&lt;"&amp;$J735+7),0))</f>
        <v/>
      </c>
      <c r="G735" t="str">
        <f>IF($J735="","",IFERROR(LOOKUP(2,1/(('Weekly Log'!$A$5:$A$5000&gt;=$J735)*('Weekly Log'!$A$5:$A$5000&lt;$J735+7)*('Weekly Log'!$M$5:$M$5000&lt;&gt;"")),'Weekly Log'!$M$5:$M$5000),0))</f>
        <v/>
      </c>
      <c r="J735" t="str">
        <f>IF(COUNT('Weekly Log'!$A$5:$A$5000)=0,"",IF(MIN('Weekly Log'!$A$5:$A$5000)+7*(ROW()-10)&gt;MAX('Weekly Log'!$A$5:$A$5000),"",MIN('Weekly Log'!$A$5:$A$5000)+7*(ROW()-10)))</f>
        <v/>
      </c>
    </row>
    <row r="736" spans="1:10" x14ac:dyDescent="0.25">
      <c r="A736" t="str">
        <f t="shared" si="11"/>
        <v/>
      </c>
      <c r="B736" t="str">
        <f>IF($J736="","",SUMIFS('Weekly Log'!$C:$C,'Weekly Log'!$A:$A,"&gt;="&amp;$J736,'Weekly Log'!$A:$A,"&lt;"&amp;$J736+7))</f>
        <v/>
      </c>
      <c r="C736" t="str">
        <f>IF($J736="","",IFERROR(COUNTIFS('Weekly Log'!$G:$G,"Y",'Weekly Log'!$A:$A,"&gt;="&amp;$J736,'Weekly Log'!$A:$A,"&lt;"&amp;$J736+7)/COUNTIFS('Weekly Log'!$G:$G,"&lt;&gt;",'Weekly Log'!$A:$A,"&gt;="&amp;$J736,'Weekly Log'!$A:$A,"&lt;"&amp;$J736+7),0))</f>
        <v/>
      </c>
      <c r="D736" t="str">
        <f>IF($J736="","",IFERROR(COUNTIFS('Weekly Log'!$H:$H,"Y",'Weekly Log'!$A:$A,"&gt;="&amp;$J736,'Weekly Log'!$A:$A,"&lt;"&amp;$J736+7)/COUNTIFS('Weekly Log'!$H:$H,"&lt;&gt;",'Weekly Log'!$A:$A,"&gt;="&amp;$J736,'Weekly Log'!$A:$A,"&lt;"&amp;$J736+7),0))</f>
        <v/>
      </c>
      <c r="E736" t="str">
        <f>IF($J736="","",IFERROR(AVERAGEIFS('Weekly Log'!$F:$F,'Weekly Log'!$A:$A,"&gt;="&amp;$J736,'Weekly Log'!$A:$A,"&lt;"&amp;$J736+7),0))</f>
        <v/>
      </c>
      <c r="F736" t="str">
        <f>IF($J736="","",IFERROR(SUMIFS('Weekly Log'!$F:$F,'Weekly Log'!$A:$A,"&gt;="&amp;$J736,'Weekly Log'!$A:$A,"&lt;"&amp;$J736+7)/SUMIFS('Weekly Log'!$E:$E,'Weekly Log'!$A:$A,"&gt;="&amp;$J736,'Weekly Log'!$A:$A,"&lt;"&amp;$J736+7),0))</f>
        <v/>
      </c>
      <c r="G736" t="str">
        <f>IF($J736="","",IFERROR(LOOKUP(2,1/(('Weekly Log'!$A$5:$A$5000&gt;=$J736)*('Weekly Log'!$A$5:$A$5000&lt;$J736+7)*('Weekly Log'!$M$5:$M$5000&lt;&gt;"")),'Weekly Log'!$M$5:$M$5000),0))</f>
        <v/>
      </c>
      <c r="J736" t="str">
        <f>IF(COUNT('Weekly Log'!$A$5:$A$5000)=0,"",IF(MIN('Weekly Log'!$A$5:$A$5000)+7*(ROW()-10)&gt;MAX('Weekly Log'!$A$5:$A$5000),"",MIN('Weekly Log'!$A$5:$A$5000)+7*(ROW()-10)))</f>
        <v/>
      </c>
    </row>
    <row r="737" spans="1:10" x14ac:dyDescent="0.25">
      <c r="A737" t="str">
        <f t="shared" si="11"/>
        <v/>
      </c>
      <c r="B737" t="str">
        <f>IF($J737="","",SUMIFS('Weekly Log'!$C:$C,'Weekly Log'!$A:$A,"&gt;="&amp;$J737,'Weekly Log'!$A:$A,"&lt;"&amp;$J737+7))</f>
        <v/>
      </c>
      <c r="C737" t="str">
        <f>IF($J737="","",IFERROR(COUNTIFS('Weekly Log'!$G:$G,"Y",'Weekly Log'!$A:$A,"&gt;="&amp;$J737,'Weekly Log'!$A:$A,"&lt;"&amp;$J737+7)/COUNTIFS('Weekly Log'!$G:$G,"&lt;&gt;",'Weekly Log'!$A:$A,"&gt;="&amp;$J737,'Weekly Log'!$A:$A,"&lt;"&amp;$J737+7),0))</f>
        <v/>
      </c>
      <c r="D737" t="str">
        <f>IF($J737="","",IFERROR(COUNTIFS('Weekly Log'!$H:$H,"Y",'Weekly Log'!$A:$A,"&gt;="&amp;$J737,'Weekly Log'!$A:$A,"&lt;"&amp;$J737+7)/COUNTIFS('Weekly Log'!$H:$H,"&lt;&gt;",'Weekly Log'!$A:$A,"&gt;="&amp;$J737,'Weekly Log'!$A:$A,"&lt;"&amp;$J737+7),0))</f>
        <v/>
      </c>
      <c r="E737" t="str">
        <f>IF($J737="","",IFERROR(AVERAGEIFS('Weekly Log'!$F:$F,'Weekly Log'!$A:$A,"&gt;="&amp;$J737,'Weekly Log'!$A:$A,"&lt;"&amp;$J737+7),0))</f>
        <v/>
      </c>
      <c r="F737" t="str">
        <f>IF($J737="","",IFERROR(SUMIFS('Weekly Log'!$F:$F,'Weekly Log'!$A:$A,"&gt;="&amp;$J737,'Weekly Log'!$A:$A,"&lt;"&amp;$J737+7)/SUMIFS('Weekly Log'!$E:$E,'Weekly Log'!$A:$A,"&gt;="&amp;$J737,'Weekly Log'!$A:$A,"&lt;"&amp;$J737+7),0))</f>
        <v/>
      </c>
      <c r="G737" t="str">
        <f>IF($J737="","",IFERROR(LOOKUP(2,1/(('Weekly Log'!$A$5:$A$5000&gt;=$J737)*('Weekly Log'!$A$5:$A$5000&lt;$J737+7)*('Weekly Log'!$M$5:$M$5000&lt;&gt;"")),'Weekly Log'!$M$5:$M$5000),0))</f>
        <v/>
      </c>
      <c r="J737" t="str">
        <f>IF(COUNT('Weekly Log'!$A$5:$A$5000)=0,"",IF(MIN('Weekly Log'!$A$5:$A$5000)+7*(ROW()-10)&gt;MAX('Weekly Log'!$A$5:$A$5000),"",MIN('Weekly Log'!$A$5:$A$5000)+7*(ROW()-10)))</f>
        <v/>
      </c>
    </row>
    <row r="738" spans="1:10" x14ac:dyDescent="0.25">
      <c r="A738" t="str">
        <f t="shared" si="11"/>
        <v/>
      </c>
      <c r="B738" t="str">
        <f>IF($J738="","",SUMIFS('Weekly Log'!$C:$C,'Weekly Log'!$A:$A,"&gt;="&amp;$J738,'Weekly Log'!$A:$A,"&lt;"&amp;$J738+7))</f>
        <v/>
      </c>
      <c r="C738" t="str">
        <f>IF($J738="","",IFERROR(COUNTIFS('Weekly Log'!$G:$G,"Y",'Weekly Log'!$A:$A,"&gt;="&amp;$J738,'Weekly Log'!$A:$A,"&lt;"&amp;$J738+7)/COUNTIFS('Weekly Log'!$G:$G,"&lt;&gt;",'Weekly Log'!$A:$A,"&gt;="&amp;$J738,'Weekly Log'!$A:$A,"&lt;"&amp;$J738+7),0))</f>
        <v/>
      </c>
      <c r="D738" t="str">
        <f>IF($J738="","",IFERROR(COUNTIFS('Weekly Log'!$H:$H,"Y",'Weekly Log'!$A:$A,"&gt;="&amp;$J738,'Weekly Log'!$A:$A,"&lt;"&amp;$J738+7)/COUNTIFS('Weekly Log'!$H:$H,"&lt;&gt;",'Weekly Log'!$A:$A,"&gt;="&amp;$J738,'Weekly Log'!$A:$A,"&lt;"&amp;$J738+7),0))</f>
        <v/>
      </c>
      <c r="E738" t="str">
        <f>IF($J738="","",IFERROR(AVERAGEIFS('Weekly Log'!$F:$F,'Weekly Log'!$A:$A,"&gt;="&amp;$J738,'Weekly Log'!$A:$A,"&lt;"&amp;$J738+7),0))</f>
        <v/>
      </c>
      <c r="F738" t="str">
        <f>IF($J738="","",IFERROR(SUMIFS('Weekly Log'!$F:$F,'Weekly Log'!$A:$A,"&gt;="&amp;$J738,'Weekly Log'!$A:$A,"&lt;"&amp;$J738+7)/SUMIFS('Weekly Log'!$E:$E,'Weekly Log'!$A:$A,"&gt;="&amp;$J738,'Weekly Log'!$A:$A,"&lt;"&amp;$J738+7),0))</f>
        <v/>
      </c>
      <c r="G738" t="str">
        <f>IF($J738="","",IFERROR(LOOKUP(2,1/(('Weekly Log'!$A$5:$A$5000&gt;=$J738)*('Weekly Log'!$A$5:$A$5000&lt;$J738+7)*('Weekly Log'!$M$5:$M$5000&lt;&gt;"")),'Weekly Log'!$M$5:$M$5000),0))</f>
        <v/>
      </c>
      <c r="J738" t="str">
        <f>IF(COUNT('Weekly Log'!$A$5:$A$5000)=0,"",IF(MIN('Weekly Log'!$A$5:$A$5000)+7*(ROW()-10)&gt;MAX('Weekly Log'!$A$5:$A$5000),"",MIN('Weekly Log'!$A$5:$A$5000)+7*(ROW()-10)))</f>
        <v/>
      </c>
    </row>
    <row r="739" spans="1:10" x14ac:dyDescent="0.25">
      <c r="A739" t="str">
        <f t="shared" si="11"/>
        <v/>
      </c>
      <c r="B739" t="str">
        <f>IF($J739="","",SUMIFS('Weekly Log'!$C:$C,'Weekly Log'!$A:$A,"&gt;="&amp;$J739,'Weekly Log'!$A:$A,"&lt;"&amp;$J739+7))</f>
        <v/>
      </c>
      <c r="C739" t="str">
        <f>IF($J739="","",IFERROR(COUNTIFS('Weekly Log'!$G:$G,"Y",'Weekly Log'!$A:$A,"&gt;="&amp;$J739,'Weekly Log'!$A:$A,"&lt;"&amp;$J739+7)/COUNTIFS('Weekly Log'!$G:$G,"&lt;&gt;",'Weekly Log'!$A:$A,"&gt;="&amp;$J739,'Weekly Log'!$A:$A,"&lt;"&amp;$J739+7),0))</f>
        <v/>
      </c>
      <c r="D739" t="str">
        <f>IF($J739="","",IFERROR(COUNTIFS('Weekly Log'!$H:$H,"Y",'Weekly Log'!$A:$A,"&gt;="&amp;$J739,'Weekly Log'!$A:$A,"&lt;"&amp;$J739+7)/COUNTIFS('Weekly Log'!$H:$H,"&lt;&gt;",'Weekly Log'!$A:$A,"&gt;="&amp;$J739,'Weekly Log'!$A:$A,"&lt;"&amp;$J739+7),0))</f>
        <v/>
      </c>
      <c r="E739" t="str">
        <f>IF($J739="","",IFERROR(AVERAGEIFS('Weekly Log'!$F:$F,'Weekly Log'!$A:$A,"&gt;="&amp;$J739,'Weekly Log'!$A:$A,"&lt;"&amp;$J739+7),0))</f>
        <v/>
      </c>
      <c r="F739" t="str">
        <f>IF($J739="","",IFERROR(SUMIFS('Weekly Log'!$F:$F,'Weekly Log'!$A:$A,"&gt;="&amp;$J739,'Weekly Log'!$A:$A,"&lt;"&amp;$J739+7)/SUMIFS('Weekly Log'!$E:$E,'Weekly Log'!$A:$A,"&gt;="&amp;$J739,'Weekly Log'!$A:$A,"&lt;"&amp;$J739+7),0))</f>
        <v/>
      </c>
      <c r="G739" t="str">
        <f>IF($J739="","",IFERROR(LOOKUP(2,1/(('Weekly Log'!$A$5:$A$5000&gt;=$J739)*('Weekly Log'!$A$5:$A$5000&lt;$J739+7)*('Weekly Log'!$M$5:$M$5000&lt;&gt;"")),'Weekly Log'!$M$5:$M$5000),0))</f>
        <v/>
      </c>
      <c r="J739" t="str">
        <f>IF(COUNT('Weekly Log'!$A$5:$A$5000)=0,"",IF(MIN('Weekly Log'!$A$5:$A$5000)+7*(ROW()-10)&gt;MAX('Weekly Log'!$A$5:$A$5000),"",MIN('Weekly Log'!$A$5:$A$5000)+7*(ROW()-10)))</f>
        <v/>
      </c>
    </row>
    <row r="740" spans="1:10" x14ac:dyDescent="0.25">
      <c r="A740" t="str">
        <f t="shared" si="11"/>
        <v/>
      </c>
      <c r="B740" t="str">
        <f>IF($J740="","",SUMIFS('Weekly Log'!$C:$C,'Weekly Log'!$A:$A,"&gt;="&amp;$J740,'Weekly Log'!$A:$A,"&lt;"&amp;$J740+7))</f>
        <v/>
      </c>
      <c r="C740" t="str">
        <f>IF($J740="","",IFERROR(COUNTIFS('Weekly Log'!$G:$G,"Y",'Weekly Log'!$A:$A,"&gt;="&amp;$J740,'Weekly Log'!$A:$A,"&lt;"&amp;$J740+7)/COUNTIFS('Weekly Log'!$G:$G,"&lt;&gt;",'Weekly Log'!$A:$A,"&gt;="&amp;$J740,'Weekly Log'!$A:$A,"&lt;"&amp;$J740+7),0))</f>
        <v/>
      </c>
      <c r="D740" t="str">
        <f>IF($J740="","",IFERROR(COUNTIFS('Weekly Log'!$H:$H,"Y",'Weekly Log'!$A:$A,"&gt;="&amp;$J740,'Weekly Log'!$A:$A,"&lt;"&amp;$J740+7)/COUNTIFS('Weekly Log'!$H:$H,"&lt;&gt;",'Weekly Log'!$A:$A,"&gt;="&amp;$J740,'Weekly Log'!$A:$A,"&lt;"&amp;$J740+7),0))</f>
        <v/>
      </c>
      <c r="E740" t="str">
        <f>IF($J740="","",IFERROR(AVERAGEIFS('Weekly Log'!$F:$F,'Weekly Log'!$A:$A,"&gt;="&amp;$J740,'Weekly Log'!$A:$A,"&lt;"&amp;$J740+7),0))</f>
        <v/>
      </c>
      <c r="F740" t="str">
        <f>IF($J740="","",IFERROR(SUMIFS('Weekly Log'!$F:$F,'Weekly Log'!$A:$A,"&gt;="&amp;$J740,'Weekly Log'!$A:$A,"&lt;"&amp;$J740+7)/SUMIFS('Weekly Log'!$E:$E,'Weekly Log'!$A:$A,"&gt;="&amp;$J740,'Weekly Log'!$A:$A,"&lt;"&amp;$J740+7),0))</f>
        <v/>
      </c>
      <c r="G740" t="str">
        <f>IF($J740="","",IFERROR(LOOKUP(2,1/(('Weekly Log'!$A$5:$A$5000&gt;=$J740)*('Weekly Log'!$A$5:$A$5000&lt;$J740+7)*('Weekly Log'!$M$5:$M$5000&lt;&gt;"")),'Weekly Log'!$M$5:$M$5000),0))</f>
        <v/>
      </c>
      <c r="J740" t="str">
        <f>IF(COUNT('Weekly Log'!$A$5:$A$5000)=0,"",IF(MIN('Weekly Log'!$A$5:$A$5000)+7*(ROW()-10)&gt;MAX('Weekly Log'!$A$5:$A$5000),"",MIN('Weekly Log'!$A$5:$A$5000)+7*(ROW()-10)))</f>
        <v/>
      </c>
    </row>
    <row r="741" spans="1:10" x14ac:dyDescent="0.25">
      <c r="A741" t="str">
        <f t="shared" si="11"/>
        <v/>
      </c>
      <c r="B741" t="str">
        <f>IF($J741="","",SUMIFS('Weekly Log'!$C:$C,'Weekly Log'!$A:$A,"&gt;="&amp;$J741,'Weekly Log'!$A:$A,"&lt;"&amp;$J741+7))</f>
        <v/>
      </c>
      <c r="C741" t="str">
        <f>IF($J741="","",IFERROR(COUNTIFS('Weekly Log'!$G:$G,"Y",'Weekly Log'!$A:$A,"&gt;="&amp;$J741,'Weekly Log'!$A:$A,"&lt;"&amp;$J741+7)/COUNTIFS('Weekly Log'!$G:$G,"&lt;&gt;",'Weekly Log'!$A:$A,"&gt;="&amp;$J741,'Weekly Log'!$A:$A,"&lt;"&amp;$J741+7),0))</f>
        <v/>
      </c>
      <c r="D741" t="str">
        <f>IF($J741="","",IFERROR(COUNTIFS('Weekly Log'!$H:$H,"Y",'Weekly Log'!$A:$A,"&gt;="&amp;$J741,'Weekly Log'!$A:$A,"&lt;"&amp;$J741+7)/COUNTIFS('Weekly Log'!$H:$H,"&lt;&gt;",'Weekly Log'!$A:$A,"&gt;="&amp;$J741,'Weekly Log'!$A:$A,"&lt;"&amp;$J741+7),0))</f>
        <v/>
      </c>
      <c r="E741" t="str">
        <f>IF($J741="","",IFERROR(AVERAGEIFS('Weekly Log'!$F:$F,'Weekly Log'!$A:$A,"&gt;="&amp;$J741,'Weekly Log'!$A:$A,"&lt;"&amp;$J741+7),0))</f>
        <v/>
      </c>
      <c r="F741" t="str">
        <f>IF($J741="","",IFERROR(SUMIFS('Weekly Log'!$F:$F,'Weekly Log'!$A:$A,"&gt;="&amp;$J741,'Weekly Log'!$A:$A,"&lt;"&amp;$J741+7)/SUMIFS('Weekly Log'!$E:$E,'Weekly Log'!$A:$A,"&gt;="&amp;$J741,'Weekly Log'!$A:$A,"&lt;"&amp;$J741+7),0))</f>
        <v/>
      </c>
      <c r="G741" t="str">
        <f>IF($J741="","",IFERROR(LOOKUP(2,1/(('Weekly Log'!$A$5:$A$5000&gt;=$J741)*('Weekly Log'!$A$5:$A$5000&lt;$J741+7)*('Weekly Log'!$M$5:$M$5000&lt;&gt;"")),'Weekly Log'!$M$5:$M$5000),0))</f>
        <v/>
      </c>
      <c r="J741" t="str">
        <f>IF(COUNT('Weekly Log'!$A$5:$A$5000)=0,"",IF(MIN('Weekly Log'!$A$5:$A$5000)+7*(ROW()-10)&gt;MAX('Weekly Log'!$A$5:$A$5000),"",MIN('Weekly Log'!$A$5:$A$5000)+7*(ROW()-10)))</f>
        <v/>
      </c>
    </row>
    <row r="742" spans="1:10" x14ac:dyDescent="0.25">
      <c r="A742" t="str">
        <f t="shared" si="11"/>
        <v/>
      </c>
      <c r="B742" t="str">
        <f>IF($J742="","",SUMIFS('Weekly Log'!$C:$C,'Weekly Log'!$A:$A,"&gt;="&amp;$J742,'Weekly Log'!$A:$A,"&lt;"&amp;$J742+7))</f>
        <v/>
      </c>
      <c r="C742" t="str">
        <f>IF($J742="","",IFERROR(COUNTIFS('Weekly Log'!$G:$G,"Y",'Weekly Log'!$A:$A,"&gt;="&amp;$J742,'Weekly Log'!$A:$A,"&lt;"&amp;$J742+7)/COUNTIFS('Weekly Log'!$G:$G,"&lt;&gt;",'Weekly Log'!$A:$A,"&gt;="&amp;$J742,'Weekly Log'!$A:$A,"&lt;"&amp;$J742+7),0))</f>
        <v/>
      </c>
      <c r="D742" t="str">
        <f>IF($J742="","",IFERROR(COUNTIFS('Weekly Log'!$H:$H,"Y",'Weekly Log'!$A:$A,"&gt;="&amp;$J742,'Weekly Log'!$A:$A,"&lt;"&amp;$J742+7)/COUNTIFS('Weekly Log'!$H:$H,"&lt;&gt;",'Weekly Log'!$A:$A,"&gt;="&amp;$J742,'Weekly Log'!$A:$A,"&lt;"&amp;$J742+7),0))</f>
        <v/>
      </c>
      <c r="E742" t="str">
        <f>IF($J742="","",IFERROR(AVERAGEIFS('Weekly Log'!$F:$F,'Weekly Log'!$A:$A,"&gt;="&amp;$J742,'Weekly Log'!$A:$A,"&lt;"&amp;$J742+7),0))</f>
        <v/>
      </c>
      <c r="F742" t="str">
        <f>IF($J742="","",IFERROR(SUMIFS('Weekly Log'!$F:$F,'Weekly Log'!$A:$A,"&gt;="&amp;$J742,'Weekly Log'!$A:$A,"&lt;"&amp;$J742+7)/SUMIFS('Weekly Log'!$E:$E,'Weekly Log'!$A:$A,"&gt;="&amp;$J742,'Weekly Log'!$A:$A,"&lt;"&amp;$J742+7),0))</f>
        <v/>
      </c>
      <c r="G742" t="str">
        <f>IF($J742="","",IFERROR(LOOKUP(2,1/(('Weekly Log'!$A$5:$A$5000&gt;=$J742)*('Weekly Log'!$A$5:$A$5000&lt;$J742+7)*('Weekly Log'!$M$5:$M$5000&lt;&gt;"")),'Weekly Log'!$M$5:$M$5000),0))</f>
        <v/>
      </c>
      <c r="J742" t="str">
        <f>IF(COUNT('Weekly Log'!$A$5:$A$5000)=0,"",IF(MIN('Weekly Log'!$A$5:$A$5000)+7*(ROW()-10)&gt;MAX('Weekly Log'!$A$5:$A$5000),"",MIN('Weekly Log'!$A$5:$A$5000)+7*(ROW()-10)))</f>
        <v/>
      </c>
    </row>
    <row r="743" spans="1:10" x14ac:dyDescent="0.25">
      <c r="A743" t="str">
        <f t="shared" si="11"/>
        <v/>
      </c>
      <c r="B743" t="str">
        <f>IF($J743="","",SUMIFS('Weekly Log'!$C:$C,'Weekly Log'!$A:$A,"&gt;="&amp;$J743,'Weekly Log'!$A:$A,"&lt;"&amp;$J743+7))</f>
        <v/>
      </c>
      <c r="C743" t="str">
        <f>IF($J743="","",IFERROR(COUNTIFS('Weekly Log'!$G:$G,"Y",'Weekly Log'!$A:$A,"&gt;="&amp;$J743,'Weekly Log'!$A:$A,"&lt;"&amp;$J743+7)/COUNTIFS('Weekly Log'!$G:$G,"&lt;&gt;",'Weekly Log'!$A:$A,"&gt;="&amp;$J743,'Weekly Log'!$A:$A,"&lt;"&amp;$J743+7),0))</f>
        <v/>
      </c>
      <c r="D743" t="str">
        <f>IF($J743="","",IFERROR(COUNTIFS('Weekly Log'!$H:$H,"Y",'Weekly Log'!$A:$A,"&gt;="&amp;$J743,'Weekly Log'!$A:$A,"&lt;"&amp;$J743+7)/COUNTIFS('Weekly Log'!$H:$H,"&lt;&gt;",'Weekly Log'!$A:$A,"&gt;="&amp;$J743,'Weekly Log'!$A:$A,"&lt;"&amp;$J743+7),0))</f>
        <v/>
      </c>
      <c r="E743" t="str">
        <f>IF($J743="","",IFERROR(AVERAGEIFS('Weekly Log'!$F:$F,'Weekly Log'!$A:$A,"&gt;="&amp;$J743,'Weekly Log'!$A:$A,"&lt;"&amp;$J743+7),0))</f>
        <v/>
      </c>
      <c r="F743" t="str">
        <f>IF($J743="","",IFERROR(SUMIFS('Weekly Log'!$F:$F,'Weekly Log'!$A:$A,"&gt;="&amp;$J743,'Weekly Log'!$A:$A,"&lt;"&amp;$J743+7)/SUMIFS('Weekly Log'!$E:$E,'Weekly Log'!$A:$A,"&gt;="&amp;$J743,'Weekly Log'!$A:$A,"&lt;"&amp;$J743+7),0))</f>
        <v/>
      </c>
      <c r="G743" t="str">
        <f>IF($J743="","",IFERROR(LOOKUP(2,1/(('Weekly Log'!$A$5:$A$5000&gt;=$J743)*('Weekly Log'!$A$5:$A$5000&lt;$J743+7)*('Weekly Log'!$M$5:$M$5000&lt;&gt;"")),'Weekly Log'!$M$5:$M$5000),0))</f>
        <v/>
      </c>
      <c r="J743" t="str">
        <f>IF(COUNT('Weekly Log'!$A$5:$A$5000)=0,"",IF(MIN('Weekly Log'!$A$5:$A$5000)+7*(ROW()-10)&gt;MAX('Weekly Log'!$A$5:$A$5000),"",MIN('Weekly Log'!$A$5:$A$5000)+7*(ROW()-10)))</f>
        <v/>
      </c>
    </row>
    <row r="744" spans="1:10" x14ac:dyDescent="0.25">
      <c r="A744" t="str">
        <f t="shared" si="11"/>
        <v/>
      </c>
      <c r="B744" t="str">
        <f>IF($J744="","",SUMIFS('Weekly Log'!$C:$C,'Weekly Log'!$A:$A,"&gt;="&amp;$J744,'Weekly Log'!$A:$A,"&lt;"&amp;$J744+7))</f>
        <v/>
      </c>
      <c r="C744" t="str">
        <f>IF($J744="","",IFERROR(COUNTIFS('Weekly Log'!$G:$G,"Y",'Weekly Log'!$A:$A,"&gt;="&amp;$J744,'Weekly Log'!$A:$A,"&lt;"&amp;$J744+7)/COUNTIFS('Weekly Log'!$G:$G,"&lt;&gt;",'Weekly Log'!$A:$A,"&gt;="&amp;$J744,'Weekly Log'!$A:$A,"&lt;"&amp;$J744+7),0))</f>
        <v/>
      </c>
      <c r="D744" t="str">
        <f>IF($J744="","",IFERROR(COUNTIFS('Weekly Log'!$H:$H,"Y",'Weekly Log'!$A:$A,"&gt;="&amp;$J744,'Weekly Log'!$A:$A,"&lt;"&amp;$J744+7)/COUNTIFS('Weekly Log'!$H:$H,"&lt;&gt;",'Weekly Log'!$A:$A,"&gt;="&amp;$J744,'Weekly Log'!$A:$A,"&lt;"&amp;$J744+7),0))</f>
        <v/>
      </c>
      <c r="E744" t="str">
        <f>IF($J744="","",IFERROR(AVERAGEIFS('Weekly Log'!$F:$F,'Weekly Log'!$A:$A,"&gt;="&amp;$J744,'Weekly Log'!$A:$A,"&lt;"&amp;$J744+7),0))</f>
        <v/>
      </c>
      <c r="F744" t="str">
        <f>IF($J744="","",IFERROR(SUMIFS('Weekly Log'!$F:$F,'Weekly Log'!$A:$A,"&gt;="&amp;$J744,'Weekly Log'!$A:$A,"&lt;"&amp;$J744+7)/SUMIFS('Weekly Log'!$E:$E,'Weekly Log'!$A:$A,"&gt;="&amp;$J744,'Weekly Log'!$A:$A,"&lt;"&amp;$J744+7),0))</f>
        <v/>
      </c>
      <c r="G744" t="str">
        <f>IF($J744="","",IFERROR(LOOKUP(2,1/(('Weekly Log'!$A$5:$A$5000&gt;=$J744)*('Weekly Log'!$A$5:$A$5000&lt;$J744+7)*('Weekly Log'!$M$5:$M$5000&lt;&gt;"")),'Weekly Log'!$M$5:$M$5000),0))</f>
        <v/>
      </c>
      <c r="J744" t="str">
        <f>IF(COUNT('Weekly Log'!$A$5:$A$5000)=0,"",IF(MIN('Weekly Log'!$A$5:$A$5000)+7*(ROW()-10)&gt;MAX('Weekly Log'!$A$5:$A$5000),"",MIN('Weekly Log'!$A$5:$A$5000)+7*(ROW()-10)))</f>
        <v/>
      </c>
    </row>
    <row r="745" spans="1:10" x14ac:dyDescent="0.25">
      <c r="A745" t="str">
        <f t="shared" si="11"/>
        <v/>
      </c>
      <c r="B745" t="str">
        <f>IF($J745="","",SUMIFS('Weekly Log'!$C:$C,'Weekly Log'!$A:$A,"&gt;="&amp;$J745,'Weekly Log'!$A:$A,"&lt;"&amp;$J745+7))</f>
        <v/>
      </c>
      <c r="C745" t="str">
        <f>IF($J745="","",IFERROR(COUNTIFS('Weekly Log'!$G:$G,"Y",'Weekly Log'!$A:$A,"&gt;="&amp;$J745,'Weekly Log'!$A:$A,"&lt;"&amp;$J745+7)/COUNTIFS('Weekly Log'!$G:$G,"&lt;&gt;",'Weekly Log'!$A:$A,"&gt;="&amp;$J745,'Weekly Log'!$A:$A,"&lt;"&amp;$J745+7),0))</f>
        <v/>
      </c>
      <c r="D745" t="str">
        <f>IF($J745="","",IFERROR(COUNTIFS('Weekly Log'!$H:$H,"Y",'Weekly Log'!$A:$A,"&gt;="&amp;$J745,'Weekly Log'!$A:$A,"&lt;"&amp;$J745+7)/COUNTIFS('Weekly Log'!$H:$H,"&lt;&gt;",'Weekly Log'!$A:$A,"&gt;="&amp;$J745,'Weekly Log'!$A:$A,"&lt;"&amp;$J745+7),0))</f>
        <v/>
      </c>
      <c r="E745" t="str">
        <f>IF($J745="","",IFERROR(AVERAGEIFS('Weekly Log'!$F:$F,'Weekly Log'!$A:$A,"&gt;="&amp;$J745,'Weekly Log'!$A:$A,"&lt;"&amp;$J745+7),0))</f>
        <v/>
      </c>
      <c r="F745" t="str">
        <f>IF($J745="","",IFERROR(SUMIFS('Weekly Log'!$F:$F,'Weekly Log'!$A:$A,"&gt;="&amp;$J745,'Weekly Log'!$A:$A,"&lt;"&amp;$J745+7)/SUMIFS('Weekly Log'!$E:$E,'Weekly Log'!$A:$A,"&gt;="&amp;$J745,'Weekly Log'!$A:$A,"&lt;"&amp;$J745+7),0))</f>
        <v/>
      </c>
      <c r="G745" t="str">
        <f>IF($J745="","",IFERROR(LOOKUP(2,1/(('Weekly Log'!$A$5:$A$5000&gt;=$J745)*('Weekly Log'!$A$5:$A$5000&lt;$J745+7)*('Weekly Log'!$M$5:$M$5000&lt;&gt;"")),'Weekly Log'!$M$5:$M$5000),0))</f>
        <v/>
      </c>
      <c r="J745" t="str">
        <f>IF(COUNT('Weekly Log'!$A$5:$A$5000)=0,"",IF(MIN('Weekly Log'!$A$5:$A$5000)+7*(ROW()-10)&gt;MAX('Weekly Log'!$A$5:$A$5000),"",MIN('Weekly Log'!$A$5:$A$5000)+7*(ROW()-10)))</f>
        <v/>
      </c>
    </row>
    <row r="746" spans="1:10" x14ac:dyDescent="0.25">
      <c r="A746" t="str">
        <f t="shared" si="11"/>
        <v/>
      </c>
      <c r="B746" t="str">
        <f>IF($J746="","",SUMIFS('Weekly Log'!$C:$C,'Weekly Log'!$A:$A,"&gt;="&amp;$J746,'Weekly Log'!$A:$A,"&lt;"&amp;$J746+7))</f>
        <v/>
      </c>
      <c r="C746" t="str">
        <f>IF($J746="","",IFERROR(COUNTIFS('Weekly Log'!$G:$G,"Y",'Weekly Log'!$A:$A,"&gt;="&amp;$J746,'Weekly Log'!$A:$A,"&lt;"&amp;$J746+7)/COUNTIFS('Weekly Log'!$G:$G,"&lt;&gt;",'Weekly Log'!$A:$A,"&gt;="&amp;$J746,'Weekly Log'!$A:$A,"&lt;"&amp;$J746+7),0))</f>
        <v/>
      </c>
      <c r="D746" t="str">
        <f>IF($J746="","",IFERROR(COUNTIFS('Weekly Log'!$H:$H,"Y",'Weekly Log'!$A:$A,"&gt;="&amp;$J746,'Weekly Log'!$A:$A,"&lt;"&amp;$J746+7)/COUNTIFS('Weekly Log'!$H:$H,"&lt;&gt;",'Weekly Log'!$A:$A,"&gt;="&amp;$J746,'Weekly Log'!$A:$A,"&lt;"&amp;$J746+7),0))</f>
        <v/>
      </c>
      <c r="E746" t="str">
        <f>IF($J746="","",IFERROR(AVERAGEIFS('Weekly Log'!$F:$F,'Weekly Log'!$A:$A,"&gt;="&amp;$J746,'Weekly Log'!$A:$A,"&lt;"&amp;$J746+7),0))</f>
        <v/>
      </c>
      <c r="F746" t="str">
        <f>IF($J746="","",IFERROR(SUMIFS('Weekly Log'!$F:$F,'Weekly Log'!$A:$A,"&gt;="&amp;$J746,'Weekly Log'!$A:$A,"&lt;"&amp;$J746+7)/SUMIFS('Weekly Log'!$E:$E,'Weekly Log'!$A:$A,"&gt;="&amp;$J746,'Weekly Log'!$A:$A,"&lt;"&amp;$J746+7),0))</f>
        <v/>
      </c>
      <c r="G746" t="str">
        <f>IF($J746="","",IFERROR(LOOKUP(2,1/(('Weekly Log'!$A$5:$A$5000&gt;=$J746)*('Weekly Log'!$A$5:$A$5000&lt;$J746+7)*('Weekly Log'!$M$5:$M$5000&lt;&gt;"")),'Weekly Log'!$M$5:$M$5000),0))</f>
        <v/>
      </c>
      <c r="J746" t="str">
        <f>IF(COUNT('Weekly Log'!$A$5:$A$5000)=0,"",IF(MIN('Weekly Log'!$A$5:$A$5000)+7*(ROW()-10)&gt;MAX('Weekly Log'!$A$5:$A$5000),"",MIN('Weekly Log'!$A$5:$A$5000)+7*(ROW()-10)))</f>
        <v/>
      </c>
    </row>
    <row r="747" spans="1:10" x14ac:dyDescent="0.25">
      <c r="A747" t="str">
        <f t="shared" si="11"/>
        <v/>
      </c>
      <c r="B747" t="str">
        <f>IF($J747="","",SUMIFS('Weekly Log'!$C:$C,'Weekly Log'!$A:$A,"&gt;="&amp;$J747,'Weekly Log'!$A:$A,"&lt;"&amp;$J747+7))</f>
        <v/>
      </c>
      <c r="C747" t="str">
        <f>IF($J747="","",IFERROR(COUNTIFS('Weekly Log'!$G:$G,"Y",'Weekly Log'!$A:$A,"&gt;="&amp;$J747,'Weekly Log'!$A:$A,"&lt;"&amp;$J747+7)/COUNTIFS('Weekly Log'!$G:$G,"&lt;&gt;",'Weekly Log'!$A:$A,"&gt;="&amp;$J747,'Weekly Log'!$A:$A,"&lt;"&amp;$J747+7),0))</f>
        <v/>
      </c>
      <c r="D747" t="str">
        <f>IF($J747="","",IFERROR(COUNTIFS('Weekly Log'!$H:$H,"Y",'Weekly Log'!$A:$A,"&gt;="&amp;$J747,'Weekly Log'!$A:$A,"&lt;"&amp;$J747+7)/COUNTIFS('Weekly Log'!$H:$H,"&lt;&gt;",'Weekly Log'!$A:$A,"&gt;="&amp;$J747,'Weekly Log'!$A:$A,"&lt;"&amp;$J747+7),0))</f>
        <v/>
      </c>
      <c r="E747" t="str">
        <f>IF($J747="","",IFERROR(AVERAGEIFS('Weekly Log'!$F:$F,'Weekly Log'!$A:$A,"&gt;="&amp;$J747,'Weekly Log'!$A:$A,"&lt;"&amp;$J747+7),0))</f>
        <v/>
      </c>
      <c r="F747" t="str">
        <f>IF($J747="","",IFERROR(SUMIFS('Weekly Log'!$F:$F,'Weekly Log'!$A:$A,"&gt;="&amp;$J747,'Weekly Log'!$A:$A,"&lt;"&amp;$J747+7)/SUMIFS('Weekly Log'!$E:$E,'Weekly Log'!$A:$A,"&gt;="&amp;$J747,'Weekly Log'!$A:$A,"&lt;"&amp;$J747+7),0))</f>
        <v/>
      </c>
      <c r="G747" t="str">
        <f>IF($J747="","",IFERROR(LOOKUP(2,1/(('Weekly Log'!$A$5:$A$5000&gt;=$J747)*('Weekly Log'!$A$5:$A$5000&lt;$J747+7)*('Weekly Log'!$M$5:$M$5000&lt;&gt;"")),'Weekly Log'!$M$5:$M$5000),0))</f>
        <v/>
      </c>
      <c r="J747" t="str">
        <f>IF(COUNT('Weekly Log'!$A$5:$A$5000)=0,"",IF(MIN('Weekly Log'!$A$5:$A$5000)+7*(ROW()-10)&gt;MAX('Weekly Log'!$A$5:$A$5000),"",MIN('Weekly Log'!$A$5:$A$5000)+7*(ROW()-10)))</f>
        <v/>
      </c>
    </row>
    <row r="748" spans="1:10" x14ac:dyDescent="0.25">
      <c r="A748" t="str">
        <f t="shared" si="11"/>
        <v/>
      </c>
      <c r="B748" t="str">
        <f>IF($J748="","",SUMIFS('Weekly Log'!$C:$C,'Weekly Log'!$A:$A,"&gt;="&amp;$J748,'Weekly Log'!$A:$A,"&lt;"&amp;$J748+7))</f>
        <v/>
      </c>
      <c r="C748" t="str">
        <f>IF($J748="","",IFERROR(COUNTIFS('Weekly Log'!$G:$G,"Y",'Weekly Log'!$A:$A,"&gt;="&amp;$J748,'Weekly Log'!$A:$A,"&lt;"&amp;$J748+7)/COUNTIFS('Weekly Log'!$G:$G,"&lt;&gt;",'Weekly Log'!$A:$A,"&gt;="&amp;$J748,'Weekly Log'!$A:$A,"&lt;"&amp;$J748+7),0))</f>
        <v/>
      </c>
      <c r="D748" t="str">
        <f>IF($J748="","",IFERROR(COUNTIFS('Weekly Log'!$H:$H,"Y",'Weekly Log'!$A:$A,"&gt;="&amp;$J748,'Weekly Log'!$A:$A,"&lt;"&amp;$J748+7)/COUNTIFS('Weekly Log'!$H:$H,"&lt;&gt;",'Weekly Log'!$A:$A,"&gt;="&amp;$J748,'Weekly Log'!$A:$A,"&lt;"&amp;$J748+7),0))</f>
        <v/>
      </c>
      <c r="E748" t="str">
        <f>IF($J748="","",IFERROR(AVERAGEIFS('Weekly Log'!$F:$F,'Weekly Log'!$A:$A,"&gt;="&amp;$J748,'Weekly Log'!$A:$A,"&lt;"&amp;$J748+7),0))</f>
        <v/>
      </c>
      <c r="F748" t="str">
        <f>IF($J748="","",IFERROR(SUMIFS('Weekly Log'!$F:$F,'Weekly Log'!$A:$A,"&gt;="&amp;$J748,'Weekly Log'!$A:$A,"&lt;"&amp;$J748+7)/SUMIFS('Weekly Log'!$E:$E,'Weekly Log'!$A:$A,"&gt;="&amp;$J748,'Weekly Log'!$A:$A,"&lt;"&amp;$J748+7),0))</f>
        <v/>
      </c>
      <c r="G748" t="str">
        <f>IF($J748="","",IFERROR(LOOKUP(2,1/(('Weekly Log'!$A$5:$A$5000&gt;=$J748)*('Weekly Log'!$A$5:$A$5000&lt;$J748+7)*('Weekly Log'!$M$5:$M$5000&lt;&gt;"")),'Weekly Log'!$M$5:$M$5000),0))</f>
        <v/>
      </c>
      <c r="J748" t="str">
        <f>IF(COUNT('Weekly Log'!$A$5:$A$5000)=0,"",IF(MIN('Weekly Log'!$A$5:$A$5000)+7*(ROW()-10)&gt;MAX('Weekly Log'!$A$5:$A$5000),"",MIN('Weekly Log'!$A$5:$A$5000)+7*(ROW()-10)))</f>
        <v/>
      </c>
    </row>
    <row r="749" spans="1:10" x14ac:dyDescent="0.25">
      <c r="A749" t="str">
        <f t="shared" si="11"/>
        <v/>
      </c>
      <c r="B749" t="str">
        <f>IF($J749="","",SUMIFS('Weekly Log'!$C:$C,'Weekly Log'!$A:$A,"&gt;="&amp;$J749,'Weekly Log'!$A:$A,"&lt;"&amp;$J749+7))</f>
        <v/>
      </c>
      <c r="C749" t="str">
        <f>IF($J749="","",IFERROR(COUNTIFS('Weekly Log'!$G:$G,"Y",'Weekly Log'!$A:$A,"&gt;="&amp;$J749,'Weekly Log'!$A:$A,"&lt;"&amp;$J749+7)/COUNTIFS('Weekly Log'!$G:$G,"&lt;&gt;",'Weekly Log'!$A:$A,"&gt;="&amp;$J749,'Weekly Log'!$A:$A,"&lt;"&amp;$J749+7),0))</f>
        <v/>
      </c>
      <c r="D749" t="str">
        <f>IF($J749="","",IFERROR(COUNTIFS('Weekly Log'!$H:$H,"Y",'Weekly Log'!$A:$A,"&gt;="&amp;$J749,'Weekly Log'!$A:$A,"&lt;"&amp;$J749+7)/COUNTIFS('Weekly Log'!$H:$H,"&lt;&gt;",'Weekly Log'!$A:$A,"&gt;="&amp;$J749,'Weekly Log'!$A:$A,"&lt;"&amp;$J749+7),0))</f>
        <v/>
      </c>
      <c r="E749" t="str">
        <f>IF($J749="","",IFERROR(AVERAGEIFS('Weekly Log'!$F:$F,'Weekly Log'!$A:$A,"&gt;="&amp;$J749,'Weekly Log'!$A:$A,"&lt;"&amp;$J749+7),0))</f>
        <v/>
      </c>
      <c r="F749" t="str">
        <f>IF($J749="","",IFERROR(SUMIFS('Weekly Log'!$F:$F,'Weekly Log'!$A:$A,"&gt;="&amp;$J749,'Weekly Log'!$A:$A,"&lt;"&amp;$J749+7)/SUMIFS('Weekly Log'!$E:$E,'Weekly Log'!$A:$A,"&gt;="&amp;$J749,'Weekly Log'!$A:$A,"&lt;"&amp;$J749+7),0))</f>
        <v/>
      </c>
      <c r="G749" t="str">
        <f>IF($J749="","",IFERROR(LOOKUP(2,1/(('Weekly Log'!$A$5:$A$5000&gt;=$J749)*('Weekly Log'!$A$5:$A$5000&lt;$J749+7)*('Weekly Log'!$M$5:$M$5000&lt;&gt;"")),'Weekly Log'!$M$5:$M$5000),0))</f>
        <v/>
      </c>
      <c r="J749" t="str">
        <f>IF(COUNT('Weekly Log'!$A$5:$A$5000)=0,"",IF(MIN('Weekly Log'!$A$5:$A$5000)+7*(ROW()-10)&gt;MAX('Weekly Log'!$A$5:$A$5000),"",MIN('Weekly Log'!$A$5:$A$5000)+7*(ROW()-10)))</f>
        <v/>
      </c>
    </row>
    <row r="750" spans="1:10" x14ac:dyDescent="0.25">
      <c r="A750" t="str">
        <f t="shared" si="11"/>
        <v/>
      </c>
      <c r="B750" t="str">
        <f>IF($J750="","",SUMIFS('Weekly Log'!$C:$C,'Weekly Log'!$A:$A,"&gt;="&amp;$J750,'Weekly Log'!$A:$A,"&lt;"&amp;$J750+7))</f>
        <v/>
      </c>
      <c r="C750" t="str">
        <f>IF($J750="","",IFERROR(COUNTIFS('Weekly Log'!$G:$G,"Y",'Weekly Log'!$A:$A,"&gt;="&amp;$J750,'Weekly Log'!$A:$A,"&lt;"&amp;$J750+7)/COUNTIFS('Weekly Log'!$G:$G,"&lt;&gt;",'Weekly Log'!$A:$A,"&gt;="&amp;$J750,'Weekly Log'!$A:$A,"&lt;"&amp;$J750+7),0))</f>
        <v/>
      </c>
      <c r="D750" t="str">
        <f>IF($J750="","",IFERROR(COUNTIFS('Weekly Log'!$H:$H,"Y",'Weekly Log'!$A:$A,"&gt;="&amp;$J750,'Weekly Log'!$A:$A,"&lt;"&amp;$J750+7)/COUNTIFS('Weekly Log'!$H:$H,"&lt;&gt;",'Weekly Log'!$A:$A,"&gt;="&amp;$J750,'Weekly Log'!$A:$A,"&lt;"&amp;$J750+7),0))</f>
        <v/>
      </c>
      <c r="E750" t="str">
        <f>IF($J750="","",IFERROR(AVERAGEIFS('Weekly Log'!$F:$F,'Weekly Log'!$A:$A,"&gt;="&amp;$J750,'Weekly Log'!$A:$A,"&lt;"&amp;$J750+7),0))</f>
        <v/>
      </c>
      <c r="F750" t="str">
        <f>IF($J750="","",IFERROR(SUMIFS('Weekly Log'!$F:$F,'Weekly Log'!$A:$A,"&gt;="&amp;$J750,'Weekly Log'!$A:$A,"&lt;"&amp;$J750+7)/SUMIFS('Weekly Log'!$E:$E,'Weekly Log'!$A:$A,"&gt;="&amp;$J750,'Weekly Log'!$A:$A,"&lt;"&amp;$J750+7),0))</f>
        <v/>
      </c>
      <c r="G750" t="str">
        <f>IF($J750="","",IFERROR(LOOKUP(2,1/(('Weekly Log'!$A$5:$A$5000&gt;=$J750)*('Weekly Log'!$A$5:$A$5000&lt;$J750+7)*('Weekly Log'!$M$5:$M$5000&lt;&gt;"")),'Weekly Log'!$M$5:$M$5000),0))</f>
        <v/>
      </c>
      <c r="J750" t="str">
        <f>IF(COUNT('Weekly Log'!$A$5:$A$5000)=0,"",IF(MIN('Weekly Log'!$A$5:$A$5000)+7*(ROW()-10)&gt;MAX('Weekly Log'!$A$5:$A$5000),"",MIN('Weekly Log'!$A$5:$A$5000)+7*(ROW()-10)))</f>
        <v/>
      </c>
    </row>
    <row r="751" spans="1:10" x14ac:dyDescent="0.25">
      <c r="A751" t="str">
        <f t="shared" si="11"/>
        <v/>
      </c>
      <c r="B751" t="str">
        <f>IF($J751="","",SUMIFS('Weekly Log'!$C:$C,'Weekly Log'!$A:$A,"&gt;="&amp;$J751,'Weekly Log'!$A:$A,"&lt;"&amp;$J751+7))</f>
        <v/>
      </c>
      <c r="C751" t="str">
        <f>IF($J751="","",IFERROR(COUNTIFS('Weekly Log'!$G:$G,"Y",'Weekly Log'!$A:$A,"&gt;="&amp;$J751,'Weekly Log'!$A:$A,"&lt;"&amp;$J751+7)/COUNTIFS('Weekly Log'!$G:$G,"&lt;&gt;",'Weekly Log'!$A:$A,"&gt;="&amp;$J751,'Weekly Log'!$A:$A,"&lt;"&amp;$J751+7),0))</f>
        <v/>
      </c>
      <c r="D751" t="str">
        <f>IF($J751="","",IFERROR(COUNTIFS('Weekly Log'!$H:$H,"Y",'Weekly Log'!$A:$A,"&gt;="&amp;$J751,'Weekly Log'!$A:$A,"&lt;"&amp;$J751+7)/COUNTIFS('Weekly Log'!$H:$H,"&lt;&gt;",'Weekly Log'!$A:$A,"&gt;="&amp;$J751,'Weekly Log'!$A:$A,"&lt;"&amp;$J751+7),0))</f>
        <v/>
      </c>
      <c r="E751" t="str">
        <f>IF($J751="","",IFERROR(AVERAGEIFS('Weekly Log'!$F:$F,'Weekly Log'!$A:$A,"&gt;="&amp;$J751,'Weekly Log'!$A:$A,"&lt;"&amp;$J751+7),0))</f>
        <v/>
      </c>
      <c r="F751" t="str">
        <f>IF($J751="","",IFERROR(SUMIFS('Weekly Log'!$F:$F,'Weekly Log'!$A:$A,"&gt;="&amp;$J751,'Weekly Log'!$A:$A,"&lt;"&amp;$J751+7)/SUMIFS('Weekly Log'!$E:$E,'Weekly Log'!$A:$A,"&gt;="&amp;$J751,'Weekly Log'!$A:$A,"&lt;"&amp;$J751+7),0))</f>
        <v/>
      </c>
      <c r="G751" t="str">
        <f>IF($J751="","",IFERROR(LOOKUP(2,1/(('Weekly Log'!$A$5:$A$5000&gt;=$J751)*('Weekly Log'!$A$5:$A$5000&lt;$J751+7)*('Weekly Log'!$M$5:$M$5000&lt;&gt;"")),'Weekly Log'!$M$5:$M$5000),0))</f>
        <v/>
      </c>
      <c r="J751" t="str">
        <f>IF(COUNT('Weekly Log'!$A$5:$A$5000)=0,"",IF(MIN('Weekly Log'!$A$5:$A$5000)+7*(ROW()-10)&gt;MAX('Weekly Log'!$A$5:$A$5000),"",MIN('Weekly Log'!$A$5:$A$5000)+7*(ROW()-10)))</f>
        <v/>
      </c>
    </row>
    <row r="752" spans="1:10" x14ac:dyDescent="0.25">
      <c r="A752" t="str">
        <f t="shared" si="11"/>
        <v/>
      </c>
      <c r="B752" t="str">
        <f>IF($J752="","",SUMIFS('Weekly Log'!$C:$C,'Weekly Log'!$A:$A,"&gt;="&amp;$J752,'Weekly Log'!$A:$A,"&lt;"&amp;$J752+7))</f>
        <v/>
      </c>
      <c r="C752" t="str">
        <f>IF($J752="","",IFERROR(COUNTIFS('Weekly Log'!$G:$G,"Y",'Weekly Log'!$A:$A,"&gt;="&amp;$J752,'Weekly Log'!$A:$A,"&lt;"&amp;$J752+7)/COUNTIFS('Weekly Log'!$G:$G,"&lt;&gt;",'Weekly Log'!$A:$A,"&gt;="&amp;$J752,'Weekly Log'!$A:$A,"&lt;"&amp;$J752+7),0))</f>
        <v/>
      </c>
      <c r="D752" t="str">
        <f>IF($J752="","",IFERROR(COUNTIFS('Weekly Log'!$H:$H,"Y",'Weekly Log'!$A:$A,"&gt;="&amp;$J752,'Weekly Log'!$A:$A,"&lt;"&amp;$J752+7)/COUNTIFS('Weekly Log'!$H:$H,"&lt;&gt;",'Weekly Log'!$A:$A,"&gt;="&amp;$J752,'Weekly Log'!$A:$A,"&lt;"&amp;$J752+7),0))</f>
        <v/>
      </c>
      <c r="E752" t="str">
        <f>IF($J752="","",IFERROR(AVERAGEIFS('Weekly Log'!$F:$F,'Weekly Log'!$A:$A,"&gt;="&amp;$J752,'Weekly Log'!$A:$A,"&lt;"&amp;$J752+7),0))</f>
        <v/>
      </c>
      <c r="F752" t="str">
        <f>IF($J752="","",IFERROR(SUMIFS('Weekly Log'!$F:$F,'Weekly Log'!$A:$A,"&gt;="&amp;$J752,'Weekly Log'!$A:$A,"&lt;"&amp;$J752+7)/SUMIFS('Weekly Log'!$E:$E,'Weekly Log'!$A:$A,"&gt;="&amp;$J752,'Weekly Log'!$A:$A,"&lt;"&amp;$J752+7),0))</f>
        <v/>
      </c>
      <c r="G752" t="str">
        <f>IF($J752="","",IFERROR(LOOKUP(2,1/(('Weekly Log'!$A$5:$A$5000&gt;=$J752)*('Weekly Log'!$A$5:$A$5000&lt;$J752+7)*('Weekly Log'!$M$5:$M$5000&lt;&gt;"")),'Weekly Log'!$M$5:$M$5000),0))</f>
        <v/>
      </c>
      <c r="J752" t="str">
        <f>IF(COUNT('Weekly Log'!$A$5:$A$5000)=0,"",IF(MIN('Weekly Log'!$A$5:$A$5000)+7*(ROW()-10)&gt;MAX('Weekly Log'!$A$5:$A$5000),"",MIN('Weekly Log'!$A$5:$A$5000)+7*(ROW()-10)))</f>
        <v/>
      </c>
    </row>
    <row r="753" spans="1:10" x14ac:dyDescent="0.25">
      <c r="A753" t="str">
        <f t="shared" si="11"/>
        <v/>
      </c>
      <c r="B753" t="str">
        <f>IF($J753="","",SUMIFS('Weekly Log'!$C:$C,'Weekly Log'!$A:$A,"&gt;="&amp;$J753,'Weekly Log'!$A:$A,"&lt;"&amp;$J753+7))</f>
        <v/>
      </c>
      <c r="C753" t="str">
        <f>IF($J753="","",IFERROR(COUNTIFS('Weekly Log'!$G:$G,"Y",'Weekly Log'!$A:$A,"&gt;="&amp;$J753,'Weekly Log'!$A:$A,"&lt;"&amp;$J753+7)/COUNTIFS('Weekly Log'!$G:$G,"&lt;&gt;",'Weekly Log'!$A:$A,"&gt;="&amp;$J753,'Weekly Log'!$A:$A,"&lt;"&amp;$J753+7),0))</f>
        <v/>
      </c>
      <c r="D753" t="str">
        <f>IF($J753="","",IFERROR(COUNTIFS('Weekly Log'!$H:$H,"Y",'Weekly Log'!$A:$A,"&gt;="&amp;$J753,'Weekly Log'!$A:$A,"&lt;"&amp;$J753+7)/COUNTIFS('Weekly Log'!$H:$H,"&lt;&gt;",'Weekly Log'!$A:$A,"&gt;="&amp;$J753,'Weekly Log'!$A:$A,"&lt;"&amp;$J753+7),0))</f>
        <v/>
      </c>
      <c r="E753" t="str">
        <f>IF($J753="","",IFERROR(AVERAGEIFS('Weekly Log'!$F:$F,'Weekly Log'!$A:$A,"&gt;="&amp;$J753,'Weekly Log'!$A:$A,"&lt;"&amp;$J753+7),0))</f>
        <v/>
      </c>
      <c r="F753" t="str">
        <f>IF($J753="","",IFERROR(SUMIFS('Weekly Log'!$F:$F,'Weekly Log'!$A:$A,"&gt;="&amp;$J753,'Weekly Log'!$A:$A,"&lt;"&amp;$J753+7)/SUMIFS('Weekly Log'!$E:$E,'Weekly Log'!$A:$A,"&gt;="&amp;$J753,'Weekly Log'!$A:$A,"&lt;"&amp;$J753+7),0))</f>
        <v/>
      </c>
      <c r="G753" t="str">
        <f>IF($J753="","",IFERROR(LOOKUP(2,1/(('Weekly Log'!$A$5:$A$5000&gt;=$J753)*('Weekly Log'!$A$5:$A$5000&lt;$J753+7)*('Weekly Log'!$M$5:$M$5000&lt;&gt;"")),'Weekly Log'!$M$5:$M$5000),0))</f>
        <v/>
      </c>
      <c r="J753" t="str">
        <f>IF(COUNT('Weekly Log'!$A$5:$A$5000)=0,"",IF(MIN('Weekly Log'!$A$5:$A$5000)+7*(ROW()-10)&gt;MAX('Weekly Log'!$A$5:$A$5000),"",MIN('Weekly Log'!$A$5:$A$5000)+7*(ROW()-10)))</f>
        <v/>
      </c>
    </row>
    <row r="754" spans="1:10" x14ac:dyDescent="0.25">
      <c r="A754" t="str">
        <f t="shared" si="11"/>
        <v/>
      </c>
      <c r="B754" t="str">
        <f>IF($J754="","",SUMIFS('Weekly Log'!$C:$C,'Weekly Log'!$A:$A,"&gt;="&amp;$J754,'Weekly Log'!$A:$A,"&lt;"&amp;$J754+7))</f>
        <v/>
      </c>
      <c r="C754" t="str">
        <f>IF($J754="","",IFERROR(COUNTIFS('Weekly Log'!$G:$G,"Y",'Weekly Log'!$A:$A,"&gt;="&amp;$J754,'Weekly Log'!$A:$A,"&lt;"&amp;$J754+7)/COUNTIFS('Weekly Log'!$G:$G,"&lt;&gt;",'Weekly Log'!$A:$A,"&gt;="&amp;$J754,'Weekly Log'!$A:$A,"&lt;"&amp;$J754+7),0))</f>
        <v/>
      </c>
      <c r="D754" t="str">
        <f>IF($J754="","",IFERROR(COUNTIFS('Weekly Log'!$H:$H,"Y",'Weekly Log'!$A:$A,"&gt;="&amp;$J754,'Weekly Log'!$A:$A,"&lt;"&amp;$J754+7)/COUNTIFS('Weekly Log'!$H:$H,"&lt;&gt;",'Weekly Log'!$A:$A,"&gt;="&amp;$J754,'Weekly Log'!$A:$A,"&lt;"&amp;$J754+7),0))</f>
        <v/>
      </c>
      <c r="E754" t="str">
        <f>IF($J754="","",IFERROR(AVERAGEIFS('Weekly Log'!$F:$F,'Weekly Log'!$A:$A,"&gt;="&amp;$J754,'Weekly Log'!$A:$A,"&lt;"&amp;$J754+7),0))</f>
        <v/>
      </c>
      <c r="F754" t="str">
        <f>IF($J754="","",IFERROR(SUMIFS('Weekly Log'!$F:$F,'Weekly Log'!$A:$A,"&gt;="&amp;$J754,'Weekly Log'!$A:$A,"&lt;"&amp;$J754+7)/SUMIFS('Weekly Log'!$E:$E,'Weekly Log'!$A:$A,"&gt;="&amp;$J754,'Weekly Log'!$A:$A,"&lt;"&amp;$J754+7),0))</f>
        <v/>
      </c>
      <c r="G754" t="str">
        <f>IF($J754="","",IFERROR(LOOKUP(2,1/(('Weekly Log'!$A$5:$A$5000&gt;=$J754)*('Weekly Log'!$A$5:$A$5000&lt;$J754+7)*('Weekly Log'!$M$5:$M$5000&lt;&gt;"")),'Weekly Log'!$M$5:$M$5000),0))</f>
        <v/>
      </c>
      <c r="J754" t="str">
        <f>IF(COUNT('Weekly Log'!$A$5:$A$5000)=0,"",IF(MIN('Weekly Log'!$A$5:$A$5000)+7*(ROW()-10)&gt;MAX('Weekly Log'!$A$5:$A$5000),"",MIN('Weekly Log'!$A$5:$A$5000)+7*(ROW()-10)))</f>
        <v/>
      </c>
    </row>
    <row r="755" spans="1:10" x14ac:dyDescent="0.25">
      <c r="A755" t="str">
        <f t="shared" si="11"/>
        <v/>
      </c>
      <c r="B755" t="str">
        <f>IF($J755="","",SUMIFS('Weekly Log'!$C:$C,'Weekly Log'!$A:$A,"&gt;="&amp;$J755,'Weekly Log'!$A:$A,"&lt;"&amp;$J755+7))</f>
        <v/>
      </c>
      <c r="C755" t="str">
        <f>IF($J755="","",IFERROR(COUNTIFS('Weekly Log'!$G:$G,"Y",'Weekly Log'!$A:$A,"&gt;="&amp;$J755,'Weekly Log'!$A:$A,"&lt;"&amp;$J755+7)/COUNTIFS('Weekly Log'!$G:$G,"&lt;&gt;",'Weekly Log'!$A:$A,"&gt;="&amp;$J755,'Weekly Log'!$A:$A,"&lt;"&amp;$J755+7),0))</f>
        <v/>
      </c>
      <c r="D755" t="str">
        <f>IF($J755="","",IFERROR(COUNTIFS('Weekly Log'!$H:$H,"Y",'Weekly Log'!$A:$A,"&gt;="&amp;$J755,'Weekly Log'!$A:$A,"&lt;"&amp;$J755+7)/COUNTIFS('Weekly Log'!$H:$H,"&lt;&gt;",'Weekly Log'!$A:$A,"&gt;="&amp;$J755,'Weekly Log'!$A:$A,"&lt;"&amp;$J755+7),0))</f>
        <v/>
      </c>
      <c r="E755" t="str">
        <f>IF($J755="","",IFERROR(AVERAGEIFS('Weekly Log'!$F:$F,'Weekly Log'!$A:$A,"&gt;="&amp;$J755,'Weekly Log'!$A:$A,"&lt;"&amp;$J755+7),0))</f>
        <v/>
      </c>
      <c r="F755" t="str">
        <f>IF($J755="","",IFERROR(SUMIFS('Weekly Log'!$F:$F,'Weekly Log'!$A:$A,"&gt;="&amp;$J755,'Weekly Log'!$A:$A,"&lt;"&amp;$J755+7)/SUMIFS('Weekly Log'!$E:$E,'Weekly Log'!$A:$A,"&gt;="&amp;$J755,'Weekly Log'!$A:$A,"&lt;"&amp;$J755+7),0))</f>
        <v/>
      </c>
      <c r="G755" t="str">
        <f>IF($J755="","",IFERROR(LOOKUP(2,1/(('Weekly Log'!$A$5:$A$5000&gt;=$J755)*('Weekly Log'!$A$5:$A$5000&lt;$J755+7)*('Weekly Log'!$M$5:$M$5000&lt;&gt;"")),'Weekly Log'!$M$5:$M$5000),0))</f>
        <v/>
      </c>
      <c r="J755" t="str">
        <f>IF(COUNT('Weekly Log'!$A$5:$A$5000)=0,"",IF(MIN('Weekly Log'!$A$5:$A$5000)+7*(ROW()-10)&gt;MAX('Weekly Log'!$A$5:$A$5000),"",MIN('Weekly Log'!$A$5:$A$5000)+7*(ROW()-10)))</f>
        <v/>
      </c>
    </row>
    <row r="756" spans="1:10" x14ac:dyDescent="0.25">
      <c r="A756" t="str">
        <f t="shared" si="11"/>
        <v/>
      </c>
      <c r="B756" t="str">
        <f>IF($J756="","",SUMIFS('Weekly Log'!$C:$C,'Weekly Log'!$A:$A,"&gt;="&amp;$J756,'Weekly Log'!$A:$A,"&lt;"&amp;$J756+7))</f>
        <v/>
      </c>
      <c r="C756" t="str">
        <f>IF($J756="","",IFERROR(COUNTIFS('Weekly Log'!$G:$G,"Y",'Weekly Log'!$A:$A,"&gt;="&amp;$J756,'Weekly Log'!$A:$A,"&lt;"&amp;$J756+7)/COUNTIFS('Weekly Log'!$G:$G,"&lt;&gt;",'Weekly Log'!$A:$A,"&gt;="&amp;$J756,'Weekly Log'!$A:$A,"&lt;"&amp;$J756+7),0))</f>
        <v/>
      </c>
      <c r="D756" t="str">
        <f>IF($J756="","",IFERROR(COUNTIFS('Weekly Log'!$H:$H,"Y",'Weekly Log'!$A:$A,"&gt;="&amp;$J756,'Weekly Log'!$A:$A,"&lt;"&amp;$J756+7)/COUNTIFS('Weekly Log'!$H:$H,"&lt;&gt;",'Weekly Log'!$A:$A,"&gt;="&amp;$J756,'Weekly Log'!$A:$A,"&lt;"&amp;$J756+7),0))</f>
        <v/>
      </c>
      <c r="E756" t="str">
        <f>IF($J756="","",IFERROR(AVERAGEIFS('Weekly Log'!$F:$F,'Weekly Log'!$A:$A,"&gt;="&amp;$J756,'Weekly Log'!$A:$A,"&lt;"&amp;$J756+7),0))</f>
        <v/>
      </c>
      <c r="F756" t="str">
        <f>IF($J756="","",IFERROR(SUMIFS('Weekly Log'!$F:$F,'Weekly Log'!$A:$A,"&gt;="&amp;$J756,'Weekly Log'!$A:$A,"&lt;"&amp;$J756+7)/SUMIFS('Weekly Log'!$E:$E,'Weekly Log'!$A:$A,"&gt;="&amp;$J756,'Weekly Log'!$A:$A,"&lt;"&amp;$J756+7),0))</f>
        <v/>
      </c>
      <c r="G756" t="str">
        <f>IF($J756="","",IFERROR(LOOKUP(2,1/(('Weekly Log'!$A$5:$A$5000&gt;=$J756)*('Weekly Log'!$A$5:$A$5000&lt;$J756+7)*('Weekly Log'!$M$5:$M$5000&lt;&gt;"")),'Weekly Log'!$M$5:$M$5000),0))</f>
        <v/>
      </c>
      <c r="J756" t="str">
        <f>IF(COUNT('Weekly Log'!$A$5:$A$5000)=0,"",IF(MIN('Weekly Log'!$A$5:$A$5000)+7*(ROW()-10)&gt;MAX('Weekly Log'!$A$5:$A$5000),"",MIN('Weekly Log'!$A$5:$A$5000)+7*(ROW()-10)))</f>
        <v/>
      </c>
    </row>
    <row r="757" spans="1:10" x14ac:dyDescent="0.25">
      <c r="A757" t="str">
        <f t="shared" si="11"/>
        <v/>
      </c>
      <c r="B757" t="str">
        <f>IF($J757="","",SUMIFS('Weekly Log'!$C:$C,'Weekly Log'!$A:$A,"&gt;="&amp;$J757,'Weekly Log'!$A:$A,"&lt;"&amp;$J757+7))</f>
        <v/>
      </c>
      <c r="C757" t="str">
        <f>IF($J757="","",IFERROR(COUNTIFS('Weekly Log'!$G:$G,"Y",'Weekly Log'!$A:$A,"&gt;="&amp;$J757,'Weekly Log'!$A:$A,"&lt;"&amp;$J757+7)/COUNTIFS('Weekly Log'!$G:$G,"&lt;&gt;",'Weekly Log'!$A:$A,"&gt;="&amp;$J757,'Weekly Log'!$A:$A,"&lt;"&amp;$J757+7),0))</f>
        <v/>
      </c>
      <c r="D757" t="str">
        <f>IF($J757="","",IFERROR(COUNTIFS('Weekly Log'!$H:$H,"Y",'Weekly Log'!$A:$A,"&gt;="&amp;$J757,'Weekly Log'!$A:$A,"&lt;"&amp;$J757+7)/COUNTIFS('Weekly Log'!$H:$H,"&lt;&gt;",'Weekly Log'!$A:$A,"&gt;="&amp;$J757,'Weekly Log'!$A:$A,"&lt;"&amp;$J757+7),0))</f>
        <v/>
      </c>
      <c r="E757" t="str">
        <f>IF($J757="","",IFERROR(AVERAGEIFS('Weekly Log'!$F:$F,'Weekly Log'!$A:$A,"&gt;="&amp;$J757,'Weekly Log'!$A:$A,"&lt;"&amp;$J757+7),0))</f>
        <v/>
      </c>
      <c r="F757" t="str">
        <f>IF($J757="","",IFERROR(SUMIFS('Weekly Log'!$F:$F,'Weekly Log'!$A:$A,"&gt;="&amp;$J757,'Weekly Log'!$A:$A,"&lt;"&amp;$J757+7)/SUMIFS('Weekly Log'!$E:$E,'Weekly Log'!$A:$A,"&gt;="&amp;$J757,'Weekly Log'!$A:$A,"&lt;"&amp;$J757+7),0))</f>
        <v/>
      </c>
      <c r="G757" t="str">
        <f>IF($J757="","",IFERROR(LOOKUP(2,1/(('Weekly Log'!$A$5:$A$5000&gt;=$J757)*('Weekly Log'!$A$5:$A$5000&lt;$J757+7)*('Weekly Log'!$M$5:$M$5000&lt;&gt;"")),'Weekly Log'!$M$5:$M$5000),0))</f>
        <v/>
      </c>
      <c r="J757" t="str">
        <f>IF(COUNT('Weekly Log'!$A$5:$A$5000)=0,"",IF(MIN('Weekly Log'!$A$5:$A$5000)+7*(ROW()-10)&gt;MAX('Weekly Log'!$A$5:$A$5000),"",MIN('Weekly Log'!$A$5:$A$5000)+7*(ROW()-10)))</f>
        <v/>
      </c>
    </row>
    <row r="758" spans="1:10" x14ac:dyDescent="0.25">
      <c r="A758" t="str">
        <f t="shared" si="11"/>
        <v/>
      </c>
      <c r="B758" t="str">
        <f>IF($J758="","",SUMIFS('Weekly Log'!$C:$C,'Weekly Log'!$A:$A,"&gt;="&amp;$J758,'Weekly Log'!$A:$A,"&lt;"&amp;$J758+7))</f>
        <v/>
      </c>
      <c r="C758" t="str">
        <f>IF($J758="","",IFERROR(COUNTIFS('Weekly Log'!$G:$G,"Y",'Weekly Log'!$A:$A,"&gt;="&amp;$J758,'Weekly Log'!$A:$A,"&lt;"&amp;$J758+7)/COUNTIFS('Weekly Log'!$G:$G,"&lt;&gt;",'Weekly Log'!$A:$A,"&gt;="&amp;$J758,'Weekly Log'!$A:$A,"&lt;"&amp;$J758+7),0))</f>
        <v/>
      </c>
      <c r="D758" t="str">
        <f>IF($J758="","",IFERROR(COUNTIFS('Weekly Log'!$H:$H,"Y",'Weekly Log'!$A:$A,"&gt;="&amp;$J758,'Weekly Log'!$A:$A,"&lt;"&amp;$J758+7)/COUNTIFS('Weekly Log'!$H:$H,"&lt;&gt;",'Weekly Log'!$A:$A,"&gt;="&amp;$J758,'Weekly Log'!$A:$A,"&lt;"&amp;$J758+7),0))</f>
        <v/>
      </c>
      <c r="E758" t="str">
        <f>IF($J758="","",IFERROR(AVERAGEIFS('Weekly Log'!$F:$F,'Weekly Log'!$A:$A,"&gt;="&amp;$J758,'Weekly Log'!$A:$A,"&lt;"&amp;$J758+7),0))</f>
        <v/>
      </c>
      <c r="F758" t="str">
        <f>IF($J758="","",IFERROR(SUMIFS('Weekly Log'!$F:$F,'Weekly Log'!$A:$A,"&gt;="&amp;$J758,'Weekly Log'!$A:$A,"&lt;"&amp;$J758+7)/SUMIFS('Weekly Log'!$E:$E,'Weekly Log'!$A:$A,"&gt;="&amp;$J758,'Weekly Log'!$A:$A,"&lt;"&amp;$J758+7),0))</f>
        <v/>
      </c>
      <c r="G758" t="str">
        <f>IF($J758="","",IFERROR(LOOKUP(2,1/(('Weekly Log'!$A$5:$A$5000&gt;=$J758)*('Weekly Log'!$A$5:$A$5000&lt;$J758+7)*('Weekly Log'!$M$5:$M$5000&lt;&gt;"")),'Weekly Log'!$M$5:$M$5000),0))</f>
        <v/>
      </c>
      <c r="J758" t="str">
        <f>IF(COUNT('Weekly Log'!$A$5:$A$5000)=0,"",IF(MIN('Weekly Log'!$A$5:$A$5000)+7*(ROW()-10)&gt;MAX('Weekly Log'!$A$5:$A$5000),"",MIN('Weekly Log'!$A$5:$A$5000)+7*(ROW()-10)))</f>
        <v/>
      </c>
    </row>
    <row r="759" spans="1:10" x14ac:dyDescent="0.25">
      <c r="A759" t="str">
        <f t="shared" si="11"/>
        <v/>
      </c>
      <c r="B759" t="str">
        <f>IF($J759="","",SUMIFS('Weekly Log'!$C:$C,'Weekly Log'!$A:$A,"&gt;="&amp;$J759,'Weekly Log'!$A:$A,"&lt;"&amp;$J759+7))</f>
        <v/>
      </c>
      <c r="C759" t="str">
        <f>IF($J759="","",IFERROR(COUNTIFS('Weekly Log'!$G:$G,"Y",'Weekly Log'!$A:$A,"&gt;="&amp;$J759,'Weekly Log'!$A:$A,"&lt;"&amp;$J759+7)/COUNTIFS('Weekly Log'!$G:$G,"&lt;&gt;",'Weekly Log'!$A:$A,"&gt;="&amp;$J759,'Weekly Log'!$A:$A,"&lt;"&amp;$J759+7),0))</f>
        <v/>
      </c>
      <c r="D759" t="str">
        <f>IF($J759="","",IFERROR(COUNTIFS('Weekly Log'!$H:$H,"Y",'Weekly Log'!$A:$A,"&gt;="&amp;$J759,'Weekly Log'!$A:$A,"&lt;"&amp;$J759+7)/COUNTIFS('Weekly Log'!$H:$H,"&lt;&gt;",'Weekly Log'!$A:$A,"&gt;="&amp;$J759,'Weekly Log'!$A:$A,"&lt;"&amp;$J759+7),0))</f>
        <v/>
      </c>
      <c r="E759" t="str">
        <f>IF($J759="","",IFERROR(AVERAGEIFS('Weekly Log'!$F:$F,'Weekly Log'!$A:$A,"&gt;="&amp;$J759,'Weekly Log'!$A:$A,"&lt;"&amp;$J759+7),0))</f>
        <v/>
      </c>
      <c r="F759" t="str">
        <f>IF($J759="","",IFERROR(SUMIFS('Weekly Log'!$F:$F,'Weekly Log'!$A:$A,"&gt;="&amp;$J759,'Weekly Log'!$A:$A,"&lt;"&amp;$J759+7)/SUMIFS('Weekly Log'!$E:$E,'Weekly Log'!$A:$A,"&gt;="&amp;$J759,'Weekly Log'!$A:$A,"&lt;"&amp;$J759+7),0))</f>
        <v/>
      </c>
      <c r="G759" t="str">
        <f>IF($J759="","",IFERROR(LOOKUP(2,1/(('Weekly Log'!$A$5:$A$5000&gt;=$J759)*('Weekly Log'!$A$5:$A$5000&lt;$J759+7)*('Weekly Log'!$M$5:$M$5000&lt;&gt;"")),'Weekly Log'!$M$5:$M$5000),0))</f>
        <v/>
      </c>
      <c r="J759" t="str">
        <f>IF(COUNT('Weekly Log'!$A$5:$A$5000)=0,"",IF(MIN('Weekly Log'!$A$5:$A$5000)+7*(ROW()-10)&gt;MAX('Weekly Log'!$A$5:$A$5000),"",MIN('Weekly Log'!$A$5:$A$5000)+7*(ROW()-10)))</f>
        <v/>
      </c>
    </row>
    <row r="760" spans="1:10" x14ac:dyDescent="0.25">
      <c r="A760" t="str">
        <f t="shared" si="11"/>
        <v/>
      </c>
      <c r="B760" t="str">
        <f>IF($J760="","",SUMIFS('Weekly Log'!$C:$C,'Weekly Log'!$A:$A,"&gt;="&amp;$J760,'Weekly Log'!$A:$A,"&lt;"&amp;$J760+7))</f>
        <v/>
      </c>
      <c r="C760" t="str">
        <f>IF($J760="","",IFERROR(COUNTIFS('Weekly Log'!$G:$G,"Y",'Weekly Log'!$A:$A,"&gt;="&amp;$J760,'Weekly Log'!$A:$A,"&lt;"&amp;$J760+7)/COUNTIFS('Weekly Log'!$G:$G,"&lt;&gt;",'Weekly Log'!$A:$A,"&gt;="&amp;$J760,'Weekly Log'!$A:$A,"&lt;"&amp;$J760+7),0))</f>
        <v/>
      </c>
      <c r="D760" t="str">
        <f>IF($J760="","",IFERROR(COUNTIFS('Weekly Log'!$H:$H,"Y",'Weekly Log'!$A:$A,"&gt;="&amp;$J760,'Weekly Log'!$A:$A,"&lt;"&amp;$J760+7)/COUNTIFS('Weekly Log'!$H:$H,"&lt;&gt;",'Weekly Log'!$A:$A,"&gt;="&amp;$J760,'Weekly Log'!$A:$A,"&lt;"&amp;$J760+7),0))</f>
        <v/>
      </c>
      <c r="E760" t="str">
        <f>IF($J760="","",IFERROR(AVERAGEIFS('Weekly Log'!$F:$F,'Weekly Log'!$A:$A,"&gt;="&amp;$J760,'Weekly Log'!$A:$A,"&lt;"&amp;$J760+7),0))</f>
        <v/>
      </c>
      <c r="F760" t="str">
        <f>IF($J760="","",IFERROR(SUMIFS('Weekly Log'!$F:$F,'Weekly Log'!$A:$A,"&gt;="&amp;$J760,'Weekly Log'!$A:$A,"&lt;"&amp;$J760+7)/SUMIFS('Weekly Log'!$E:$E,'Weekly Log'!$A:$A,"&gt;="&amp;$J760,'Weekly Log'!$A:$A,"&lt;"&amp;$J760+7),0))</f>
        <v/>
      </c>
      <c r="G760" t="str">
        <f>IF($J760="","",IFERROR(LOOKUP(2,1/(('Weekly Log'!$A$5:$A$5000&gt;=$J760)*('Weekly Log'!$A$5:$A$5000&lt;$J760+7)*('Weekly Log'!$M$5:$M$5000&lt;&gt;"")),'Weekly Log'!$M$5:$M$5000),0))</f>
        <v/>
      </c>
      <c r="J760" t="str">
        <f>IF(COUNT('Weekly Log'!$A$5:$A$5000)=0,"",IF(MIN('Weekly Log'!$A$5:$A$5000)+7*(ROW()-10)&gt;MAX('Weekly Log'!$A$5:$A$5000),"",MIN('Weekly Log'!$A$5:$A$5000)+7*(ROW()-10)))</f>
        <v/>
      </c>
    </row>
    <row r="761" spans="1:10" x14ac:dyDescent="0.25">
      <c r="A761" t="str">
        <f t="shared" si="11"/>
        <v/>
      </c>
      <c r="B761" t="str">
        <f>IF($J761="","",SUMIFS('Weekly Log'!$C:$C,'Weekly Log'!$A:$A,"&gt;="&amp;$J761,'Weekly Log'!$A:$A,"&lt;"&amp;$J761+7))</f>
        <v/>
      </c>
      <c r="C761" t="str">
        <f>IF($J761="","",IFERROR(COUNTIFS('Weekly Log'!$G:$G,"Y",'Weekly Log'!$A:$A,"&gt;="&amp;$J761,'Weekly Log'!$A:$A,"&lt;"&amp;$J761+7)/COUNTIFS('Weekly Log'!$G:$G,"&lt;&gt;",'Weekly Log'!$A:$A,"&gt;="&amp;$J761,'Weekly Log'!$A:$A,"&lt;"&amp;$J761+7),0))</f>
        <v/>
      </c>
      <c r="D761" t="str">
        <f>IF($J761="","",IFERROR(COUNTIFS('Weekly Log'!$H:$H,"Y",'Weekly Log'!$A:$A,"&gt;="&amp;$J761,'Weekly Log'!$A:$A,"&lt;"&amp;$J761+7)/COUNTIFS('Weekly Log'!$H:$H,"&lt;&gt;",'Weekly Log'!$A:$A,"&gt;="&amp;$J761,'Weekly Log'!$A:$A,"&lt;"&amp;$J761+7),0))</f>
        <v/>
      </c>
      <c r="E761" t="str">
        <f>IF($J761="","",IFERROR(AVERAGEIFS('Weekly Log'!$F:$F,'Weekly Log'!$A:$A,"&gt;="&amp;$J761,'Weekly Log'!$A:$A,"&lt;"&amp;$J761+7),0))</f>
        <v/>
      </c>
      <c r="F761" t="str">
        <f>IF($J761="","",IFERROR(SUMIFS('Weekly Log'!$F:$F,'Weekly Log'!$A:$A,"&gt;="&amp;$J761,'Weekly Log'!$A:$A,"&lt;"&amp;$J761+7)/SUMIFS('Weekly Log'!$E:$E,'Weekly Log'!$A:$A,"&gt;="&amp;$J761,'Weekly Log'!$A:$A,"&lt;"&amp;$J761+7),0))</f>
        <v/>
      </c>
      <c r="G761" t="str">
        <f>IF($J761="","",IFERROR(LOOKUP(2,1/(('Weekly Log'!$A$5:$A$5000&gt;=$J761)*('Weekly Log'!$A$5:$A$5000&lt;$J761+7)*('Weekly Log'!$M$5:$M$5000&lt;&gt;"")),'Weekly Log'!$M$5:$M$5000),0))</f>
        <v/>
      </c>
      <c r="J761" t="str">
        <f>IF(COUNT('Weekly Log'!$A$5:$A$5000)=0,"",IF(MIN('Weekly Log'!$A$5:$A$5000)+7*(ROW()-10)&gt;MAX('Weekly Log'!$A$5:$A$5000),"",MIN('Weekly Log'!$A$5:$A$5000)+7*(ROW()-10)))</f>
        <v/>
      </c>
    </row>
    <row r="762" spans="1:10" x14ac:dyDescent="0.25">
      <c r="A762" t="str">
        <f t="shared" si="11"/>
        <v/>
      </c>
      <c r="B762" t="str">
        <f>IF($J762="","",SUMIFS('Weekly Log'!$C:$C,'Weekly Log'!$A:$A,"&gt;="&amp;$J762,'Weekly Log'!$A:$A,"&lt;"&amp;$J762+7))</f>
        <v/>
      </c>
      <c r="C762" t="str">
        <f>IF($J762="","",IFERROR(COUNTIFS('Weekly Log'!$G:$G,"Y",'Weekly Log'!$A:$A,"&gt;="&amp;$J762,'Weekly Log'!$A:$A,"&lt;"&amp;$J762+7)/COUNTIFS('Weekly Log'!$G:$G,"&lt;&gt;",'Weekly Log'!$A:$A,"&gt;="&amp;$J762,'Weekly Log'!$A:$A,"&lt;"&amp;$J762+7),0))</f>
        <v/>
      </c>
      <c r="D762" t="str">
        <f>IF($J762="","",IFERROR(COUNTIFS('Weekly Log'!$H:$H,"Y",'Weekly Log'!$A:$A,"&gt;="&amp;$J762,'Weekly Log'!$A:$A,"&lt;"&amp;$J762+7)/COUNTIFS('Weekly Log'!$H:$H,"&lt;&gt;",'Weekly Log'!$A:$A,"&gt;="&amp;$J762,'Weekly Log'!$A:$A,"&lt;"&amp;$J762+7),0))</f>
        <v/>
      </c>
      <c r="E762" t="str">
        <f>IF($J762="","",IFERROR(AVERAGEIFS('Weekly Log'!$F:$F,'Weekly Log'!$A:$A,"&gt;="&amp;$J762,'Weekly Log'!$A:$A,"&lt;"&amp;$J762+7),0))</f>
        <v/>
      </c>
      <c r="F762" t="str">
        <f>IF($J762="","",IFERROR(SUMIFS('Weekly Log'!$F:$F,'Weekly Log'!$A:$A,"&gt;="&amp;$J762,'Weekly Log'!$A:$A,"&lt;"&amp;$J762+7)/SUMIFS('Weekly Log'!$E:$E,'Weekly Log'!$A:$A,"&gt;="&amp;$J762,'Weekly Log'!$A:$A,"&lt;"&amp;$J762+7),0))</f>
        <v/>
      </c>
      <c r="G762" t="str">
        <f>IF($J762="","",IFERROR(LOOKUP(2,1/(('Weekly Log'!$A$5:$A$5000&gt;=$J762)*('Weekly Log'!$A$5:$A$5000&lt;$J762+7)*('Weekly Log'!$M$5:$M$5000&lt;&gt;"")),'Weekly Log'!$M$5:$M$5000),0))</f>
        <v/>
      </c>
      <c r="J762" t="str">
        <f>IF(COUNT('Weekly Log'!$A$5:$A$5000)=0,"",IF(MIN('Weekly Log'!$A$5:$A$5000)+7*(ROW()-10)&gt;MAX('Weekly Log'!$A$5:$A$5000),"",MIN('Weekly Log'!$A$5:$A$5000)+7*(ROW()-10)))</f>
        <v/>
      </c>
    </row>
    <row r="763" spans="1:10" x14ac:dyDescent="0.25">
      <c r="A763" t="str">
        <f t="shared" si="11"/>
        <v/>
      </c>
      <c r="B763" t="str">
        <f>IF($J763="","",SUMIFS('Weekly Log'!$C:$C,'Weekly Log'!$A:$A,"&gt;="&amp;$J763,'Weekly Log'!$A:$A,"&lt;"&amp;$J763+7))</f>
        <v/>
      </c>
      <c r="C763" t="str">
        <f>IF($J763="","",IFERROR(COUNTIFS('Weekly Log'!$G:$G,"Y",'Weekly Log'!$A:$A,"&gt;="&amp;$J763,'Weekly Log'!$A:$A,"&lt;"&amp;$J763+7)/COUNTIFS('Weekly Log'!$G:$G,"&lt;&gt;",'Weekly Log'!$A:$A,"&gt;="&amp;$J763,'Weekly Log'!$A:$A,"&lt;"&amp;$J763+7),0))</f>
        <v/>
      </c>
      <c r="D763" t="str">
        <f>IF($J763="","",IFERROR(COUNTIFS('Weekly Log'!$H:$H,"Y",'Weekly Log'!$A:$A,"&gt;="&amp;$J763,'Weekly Log'!$A:$A,"&lt;"&amp;$J763+7)/COUNTIFS('Weekly Log'!$H:$H,"&lt;&gt;",'Weekly Log'!$A:$A,"&gt;="&amp;$J763,'Weekly Log'!$A:$A,"&lt;"&amp;$J763+7),0))</f>
        <v/>
      </c>
      <c r="E763" t="str">
        <f>IF($J763="","",IFERROR(AVERAGEIFS('Weekly Log'!$F:$F,'Weekly Log'!$A:$A,"&gt;="&amp;$J763,'Weekly Log'!$A:$A,"&lt;"&amp;$J763+7),0))</f>
        <v/>
      </c>
      <c r="F763" t="str">
        <f>IF($J763="","",IFERROR(SUMIFS('Weekly Log'!$F:$F,'Weekly Log'!$A:$A,"&gt;="&amp;$J763,'Weekly Log'!$A:$A,"&lt;"&amp;$J763+7)/SUMIFS('Weekly Log'!$E:$E,'Weekly Log'!$A:$A,"&gt;="&amp;$J763,'Weekly Log'!$A:$A,"&lt;"&amp;$J763+7),0))</f>
        <v/>
      </c>
      <c r="G763" t="str">
        <f>IF($J763="","",IFERROR(LOOKUP(2,1/(('Weekly Log'!$A$5:$A$5000&gt;=$J763)*('Weekly Log'!$A$5:$A$5000&lt;$J763+7)*('Weekly Log'!$M$5:$M$5000&lt;&gt;"")),'Weekly Log'!$M$5:$M$5000),0))</f>
        <v/>
      </c>
      <c r="J763" t="str">
        <f>IF(COUNT('Weekly Log'!$A$5:$A$5000)=0,"",IF(MIN('Weekly Log'!$A$5:$A$5000)+7*(ROW()-10)&gt;MAX('Weekly Log'!$A$5:$A$5000),"",MIN('Weekly Log'!$A$5:$A$5000)+7*(ROW()-10)))</f>
        <v/>
      </c>
    </row>
    <row r="764" spans="1:10" x14ac:dyDescent="0.25">
      <c r="A764" t="str">
        <f t="shared" si="11"/>
        <v/>
      </c>
      <c r="B764" t="str">
        <f>IF($J764="","",SUMIFS('Weekly Log'!$C:$C,'Weekly Log'!$A:$A,"&gt;="&amp;$J764,'Weekly Log'!$A:$A,"&lt;"&amp;$J764+7))</f>
        <v/>
      </c>
      <c r="C764" t="str">
        <f>IF($J764="","",IFERROR(COUNTIFS('Weekly Log'!$G:$G,"Y",'Weekly Log'!$A:$A,"&gt;="&amp;$J764,'Weekly Log'!$A:$A,"&lt;"&amp;$J764+7)/COUNTIFS('Weekly Log'!$G:$G,"&lt;&gt;",'Weekly Log'!$A:$A,"&gt;="&amp;$J764,'Weekly Log'!$A:$A,"&lt;"&amp;$J764+7),0))</f>
        <v/>
      </c>
      <c r="D764" t="str">
        <f>IF($J764="","",IFERROR(COUNTIFS('Weekly Log'!$H:$H,"Y",'Weekly Log'!$A:$A,"&gt;="&amp;$J764,'Weekly Log'!$A:$A,"&lt;"&amp;$J764+7)/COUNTIFS('Weekly Log'!$H:$H,"&lt;&gt;",'Weekly Log'!$A:$A,"&gt;="&amp;$J764,'Weekly Log'!$A:$A,"&lt;"&amp;$J764+7),0))</f>
        <v/>
      </c>
      <c r="E764" t="str">
        <f>IF($J764="","",IFERROR(AVERAGEIFS('Weekly Log'!$F:$F,'Weekly Log'!$A:$A,"&gt;="&amp;$J764,'Weekly Log'!$A:$A,"&lt;"&amp;$J764+7),0))</f>
        <v/>
      </c>
      <c r="F764" t="str">
        <f>IF($J764="","",IFERROR(SUMIFS('Weekly Log'!$F:$F,'Weekly Log'!$A:$A,"&gt;="&amp;$J764,'Weekly Log'!$A:$A,"&lt;"&amp;$J764+7)/SUMIFS('Weekly Log'!$E:$E,'Weekly Log'!$A:$A,"&gt;="&amp;$J764,'Weekly Log'!$A:$A,"&lt;"&amp;$J764+7),0))</f>
        <v/>
      </c>
      <c r="G764" t="str">
        <f>IF($J764="","",IFERROR(LOOKUP(2,1/(('Weekly Log'!$A$5:$A$5000&gt;=$J764)*('Weekly Log'!$A$5:$A$5000&lt;$J764+7)*('Weekly Log'!$M$5:$M$5000&lt;&gt;"")),'Weekly Log'!$M$5:$M$5000),0))</f>
        <v/>
      </c>
      <c r="J764" t="str">
        <f>IF(COUNT('Weekly Log'!$A$5:$A$5000)=0,"",IF(MIN('Weekly Log'!$A$5:$A$5000)+7*(ROW()-10)&gt;MAX('Weekly Log'!$A$5:$A$5000),"",MIN('Weekly Log'!$A$5:$A$5000)+7*(ROW()-10)))</f>
        <v/>
      </c>
    </row>
    <row r="765" spans="1:10" x14ac:dyDescent="0.25">
      <c r="A765" t="str">
        <f t="shared" si="11"/>
        <v/>
      </c>
      <c r="B765" t="str">
        <f>IF($J765="","",SUMIFS('Weekly Log'!$C:$C,'Weekly Log'!$A:$A,"&gt;="&amp;$J765,'Weekly Log'!$A:$A,"&lt;"&amp;$J765+7))</f>
        <v/>
      </c>
      <c r="C765" t="str">
        <f>IF($J765="","",IFERROR(COUNTIFS('Weekly Log'!$G:$G,"Y",'Weekly Log'!$A:$A,"&gt;="&amp;$J765,'Weekly Log'!$A:$A,"&lt;"&amp;$J765+7)/COUNTIFS('Weekly Log'!$G:$G,"&lt;&gt;",'Weekly Log'!$A:$A,"&gt;="&amp;$J765,'Weekly Log'!$A:$A,"&lt;"&amp;$J765+7),0))</f>
        <v/>
      </c>
      <c r="D765" t="str">
        <f>IF($J765="","",IFERROR(COUNTIFS('Weekly Log'!$H:$H,"Y",'Weekly Log'!$A:$A,"&gt;="&amp;$J765,'Weekly Log'!$A:$A,"&lt;"&amp;$J765+7)/COUNTIFS('Weekly Log'!$H:$H,"&lt;&gt;",'Weekly Log'!$A:$A,"&gt;="&amp;$J765,'Weekly Log'!$A:$A,"&lt;"&amp;$J765+7),0))</f>
        <v/>
      </c>
      <c r="E765" t="str">
        <f>IF($J765="","",IFERROR(AVERAGEIFS('Weekly Log'!$F:$F,'Weekly Log'!$A:$A,"&gt;="&amp;$J765,'Weekly Log'!$A:$A,"&lt;"&amp;$J765+7),0))</f>
        <v/>
      </c>
      <c r="F765" t="str">
        <f>IF($J765="","",IFERROR(SUMIFS('Weekly Log'!$F:$F,'Weekly Log'!$A:$A,"&gt;="&amp;$J765,'Weekly Log'!$A:$A,"&lt;"&amp;$J765+7)/SUMIFS('Weekly Log'!$E:$E,'Weekly Log'!$A:$A,"&gt;="&amp;$J765,'Weekly Log'!$A:$A,"&lt;"&amp;$J765+7),0))</f>
        <v/>
      </c>
      <c r="G765" t="str">
        <f>IF($J765="","",IFERROR(LOOKUP(2,1/(('Weekly Log'!$A$5:$A$5000&gt;=$J765)*('Weekly Log'!$A$5:$A$5000&lt;$J765+7)*('Weekly Log'!$M$5:$M$5000&lt;&gt;"")),'Weekly Log'!$M$5:$M$5000),0))</f>
        <v/>
      </c>
      <c r="J765" t="str">
        <f>IF(COUNT('Weekly Log'!$A$5:$A$5000)=0,"",IF(MIN('Weekly Log'!$A$5:$A$5000)+7*(ROW()-10)&gt;MAX('Weekly Log'!$A$5:$A$5000),"",MIN('Weekly Log'!$A$5:$A$5000)+7*(ROW()-10)))</f>
        <v/>
      </c>
    </row>
    <row r="766" spans="1:10" x14ac:dyDescent="0.25">
      <c r="A766" t="str">
        <f t="shared" si="11"/>
        <v/>
      </c>
      <c r="B766" t="str">
        <f>IF($J766="","",SUMIFS('Weekly Log'!$C:$C,'Weekly Log'!$A:$A,"&gt;="&amp;$J766,'Weekly Log'!$A:$A,"&lt;"&amp;$J766+7))</f>
        <v/>
      </c>
      <c r="C766" t="str">
        <f>IF($J766="","",IFERROR(COUNTIFS('Weekly Log'!$G:$G,"Y",'Weekly Log'!$A:$A,"&gt;="&amp;$J766,'Weekly Log'!$A:$A,"&lt;"&amp;$J766+7)/COUNTIFS('Weekly Log'!$G:$G,"&lt;&gt;",'Weekly Log'!$A:$A,"&gt;="&amp;$J766,'Weekly Log'!$A:$A,"&lt;"&amp;$J766+7),0))</f>
        <v/>
      </c>
      <c r="D766" t="str">
        <f>IF($J766="","",IFERROR(COUNTIFS('Weekly Log'!$H:$H,"Y",'Weekly Log'!$A:$A,"&gt;="&amp;$J766,'Weekly Log'!$A:$A,"&lt;"&amp;$J766+7)/COUNTIFS('Weekly Log'!$H:$H,"&lt;&gt;",'Weekly Log'!$A:$A,"&gt;="&amp;$J766,'Weekly Log'!$A:$A,"&lt;"&amp;$J766+7),0))</f>
        <v/>
      </c>
      <c r="E766" t="str">
        <f>IF($J766="","",IFERROR(AVERAGEIFS('Weekly Log'!$F:$F,'Weekly Log'!$A:$A,"&gt;="&amp;$J766,'Weekly Log'!$A:$A,"&lt;"&amp;$J766+7),0))</f>
        <v/>
      </c>
      <c r="F766" t="str">
        <f>IF($J766="","",IFERROR(SUMIFS('Weekly Log'!$F:$F,'Weekly Log'!$A:$A,"&gt;="&amp;$J766,'Weekly Log'!$A:$A,"&lt;"&amp;$J766+7)/SUMIFS('Weekly Log'!$E:$E,'Weekly Log'!$A:$A,"&gt;="&amp;$J766,'Weekly Log'!$A:$A,"&lt;"&amp;$J766+7),0))</f>
        <v/>
      </c>
      <c r="G766" t="str">
        <f>IF($J766="","",IFERROR(LOOKUP(2,1/(('Weekly Log'!$A$5:$A$5000&gt;=$J766)*('Weekly Log'!$A$5:$A$5000&lt;$J766+7)*('Weekly Log'!$M$5:$M$5000&lt;&gt;"")),'Weekly Log'!$M$5:$M$5000),0))</f>
        <v/>
      </c>
      <c r="J766" t="str">
        <f>IF(COUNT('Weekly Log'!$A$5:$A$5000)=0,"",IF(MIN('Weekly Log'!$A$5:$A$5000)+7*(ROW()-10)&gt;MAX('Weekly Log'!$A$5:$A$5000),"",MIN('Weekly Log'!$A$5:$A$5000)+7*(ROW()-10)))</f>
        <v/>
      </c>
    </row>
    <row r="767" spans="1:10" x14ac:dyDescent="0.25">
      <c r="A767" t="str">
        <f t="shared" si="11"/>
        <v/>
      </c>
      <c r="B767" t="str">
        <f>IF($J767="","",SUMIFS('Weekly Log'!$C:$C,'Weekly Log'!$A:$A,"&gt;="&amp;$J767,'Weekly Log'!$A:$A,"&lt;"&amp;$J767+7))</f>
        <v/>
      </c>
      <c r="C767" t="str">
        <f>IF($J767="","",IFERROR(COUNTIFS('Weekly Log'!$G:$G,"Y",'Weekly Log'!$A:$A,"&gt;="&amp;$J767,'Weekly Log'!$A:$A,"&lt;"&amp;$J767+7)/COUNTIFS('Weekly Log'!$G:$G,"&lt;&gt;",'Weekly Log'!$A:$A,"&gt;="&amp;$J767,'Weekly Log'!$A:$A,"&lt;"&amp;$J767+7),0))</f>
        <v/>
      </c>
      <c r="D767" t="str">
        <f>IF($J767="","",IFERROR(COUNTIFS('Weekly Log'!$H:$H,"Y",'Weekly Log'!$A:$A,"&gt;="&amp;$J767,'Weekly Log'!$A:$A,"&lt;"&amp;$J767+7)/COUNTIFS('Weekly Log'!$H:$H,"&lt;&gt;",'Weekly Log'!$A:$A,"&gt;="&amp;$J767,'Weekly Log'!$A:$A,"&lt;"&amp;$J767+7),0))</f>
        <v/>
      </c>
      <c r="E767" t="str">
        <f>IF($J767="","",IFERROR(AVERAGEIFS('Weekly Log'!$F:$F,'Weekly Log'!$A:$A,"&gt;="&amp;$J767,'Weekly Log'!$A:$A,"&lt;"&amp;$J767+7),0))</f>
        <v/>
      </c>
      <c r="F767" t="str">
        <f>IF($J767="","",IFERROR(SUMIFS('Weekly Log'!$F:$F,'Weekly Log'!$A:$A,"&gt;="&amp;$J767,'Weekly Log'!$A:$A,"&lt;"&amp;$J767+7)/SUMIFS('Weekly Log'!$E:$E,'Weekly Log'!$A:$A,"&gt;="&amp;$J767,'Weekly Log'!$A:$A,"&lt;"&amp;$J767+7),0))</f>
        <v/>
      </c>
      <c r="G767" t="str">
        <f>IF($J767="","",IFERROR(LOOKUP(2,1/(('Weekly Log'!$A$5:$A$5000&gt;=$J767)*('Weekly Log'!$A$5:$A$5000&lt;$J767+7)*('Weekly Log'!$M$5:$M$5000&lt;&gt;"")),'Weekly Log'!$M$5:$M$5000),0))</f>
        <v/>
      </c>
      <c r="J767" t="str">
        <f>IF(COUNT('Weekly Log'!$A$5:$A$5000)=0,"",IF(MIN('Weekly Log'!$A$5:$A$5000)+7*(ROW()-10)&gt;MAX('Weekly Log'!$A$5:$A$5000),"",MIN('Weekly Log'!$A$5:$A$5000)+7*(ROW()-10)))</f>
        <v/>
      </c>
    </row>
    <row r="768" spans="1:10" x14ac:dyDescent="0.25">
      <c r="A768" t="str">
        <f t="shared" si="11"/>
        <v/>
      </c>
      <c r="B768" t="str">
        <f>IF($J768="","",SUMIFS('Weekly Log'!$C:$C,'Weekly Log'!$A:$A,"&gt;="&amp;$J768,'Weekly Log'!$A:$A,"&lt;"&amp;$J768+7))</f>
        <v/>
      </c>
      <c r="C768" t="str">
        <f>IF($J768="","",IFERROR(COUNTIFS('Weekly Log'!$G:$G,"Y",'Weekly Log'!$A:$A,"&gt;="&amp;$J768,'Weekly Log'!$A:$A,"&lt;"&amp;$J768+7)/COUNTIFS('Weekly Log'!$G:$G,"&lt;&gt;",'Weekly Log'!$A:$A,"&gt;="&amp;$J768,'Weekly Log'!$A:$A,"&lt;"&amp;$J768+7),0))</f>
        <v/>
      </c>
      <c r="D768" t="str">
        <f>IF($J768="","",IFERROR(COUNTIFS('Weekly Log'!$H:$H,"Y",'Weekly Log'!$A:$A,"&gt;="&amp;$J768,'Weekly Log'!$A:$A,"&lt;"&amp;$J768+7)/COUNTIFS('Weekly Log'!$H:$H,"&lt;&gt;",'Weekly Log'!$A:$A,"&gt;="&amp;$J768,'Weekly Log'!$A:$A,"&lt;"&amp;$J768+7),0))</f>
        <v/>
      </c>
      <c r="E768" t="str">
        <f>IF($J768="","",IFERROR(AVERAGEIFS('Weekly Log'!$F:$F,'Weekly Log'!$A:$A,"&gt;="&amp;$J768,'Weekly Log'!$A:$A,"&lt;"&amp;$J768+7),0))</f>
        <v/>
      </c>
      <c r="F768" t="str">
        <f>IF($J768="","",IFERROR(SUMIFS('Weekly Log'!$F:$F,'Weekly Log'!$A:$A,"&gt;="&amp;$J768,'Weekly Log'!$A:$A,"&lt;"&amp;$J768+7)/SUMIFS('Weekly Log'!$E:$E,'Weekly Log'!$A:$A,"&gt;="&amp;$J768,'Weekly Log'!$A:$A,"&lt;"&amp;$J768+7),0))</f>
        <v/>
      </c>
      <c r="G768" t="str">
        <f>IF($J768="","",IFERROR(LOOKUP(2,1/(('Weekly Log'!$A$5:$A$5000&gt;=$J768)*('Weekly Log'!$A$5:$A$5000&lt;$J768+7)*('Weekly Log'!$M$5:$M$5000&lt;&gt;"")),'Weekly Log'!$M$5:$M$5000),0))</f>
        <v/>
      </c>
      <c r="J768" t="str">
        <f>IF(COUNT('Weekly Log'!$A$5:$A$5000)=0,"",IF(MIN('Weekly Log'!$A$5:$A$5000)+7*(ROW()-10)&gt;MAX('Weekly Log'!$A$5:$A$5000),"",MIN('Weekly Log'!$A$5:$A$5000)+7*(ROW()-10)))</f>
        <v/>
      </c>
    </row>
    <row r="769" spans="1:10" x14ac:dyDescent="0.25">
      <c r="A769" t="str">
        <f t="shared" si="11"/>
        <v/>
      </c>
      <c r="B769" t="str">
        <f>IF($J769="","",SUMIFS('Weekly Log'!$C:$C,'Weekly Log'!$A:$A,"&gt;="&amp;$J769,'Weekly Log'!$A:$A,"&lt;"&amp;$J769+7))</f>
        <v/>
      </c>
      <c r="C769" t="str">
        <f>IF($J769="","",IFERROR(COUNTIFS('Weekly Log'!$G:$G,"Y",'Weekly Log'!$A:$A,"&gt;="&amp;$J769,'Weekly Log'!$A:$A,"&lt;"&amp;$J769+7)/COUNTIFS('Weekly Log'!$G:$G,"&lt;&gt;",'Weekly Log'!$A:$A,"&gt;="&amp;$J769,'Weekly Log'!$A:$A,"&lt;"&amp;$J769+7),0))</f>
        <v/>
      </c>
      <c r="D769" t="str">
        <f>IF($J769="","",IFERROR(COUNTIFS('Weekly Log'!$H:$H,"Y",'Weekly Log'!$A:$A,"&gt;="&amp;$J769,'Weekly Log'!$A:$A,"&lt;"&amp;$J769+7)/COUNTIFS('Weekly Log'!$H:$H,"&lt;&gt;",'Weekly Log'!$A:$A,"&gt;="&amp;$J769,'Weekly Log'!$A:$A,"&lt;"&amp;$J769+7),0))</f>
        <v/>
      </c>
      <c r="E769" t="str">
        <f>IF($J769="","",IFERROR(AVERAGEIFS('Weekly Log'!$F:$F,'Weekly Log'!$A:$A,"&gt;="&amp;$J769,'Weekly Log'!$A:$A,"&lt;"&amp;$J769+7),0))</f>
        <v/>
      </c>
      <c r="F769" t="str">
        <f>IF($J769="","",IFERROR(SUMIFS('Weekly Log'!$F:$F,'Weekly Log'!$A:$A,"&gt;="&amp;$J769,'Weekly Log'!$A:$A,"&lt;"&amp;$J769+7)/SUMIFS('Weekly Log'!$E:$E,'Weekly Log'!$A:$A,"&gt;="&amp;$J769,'Weekly Log'!$A:$A,"&lt;"&amp;$J769+7),0))</f>
        <v/>
      </c>
      <c r="G769" t="str">
        <f>IF($J769="","",IFERROR(LOOKUP(2,1/(('Weekly Log'!$A$5:$A$5000&gt;=$J769)*('Weekly Log'!$A$5:$A$5000&lt;$J769+7)*('Weekly Log'!$M$5:$M$5000&lt;&gt;"")),'Weekly Log'!$M$5:$M$5000),0))</f>
        <v/>
      </c>
      <c r="J769" t="str">
        <f>IF(COUNT('Weekly Log'!$A$5:$A$5000)=0,"",IF(MIN('Weekly Log'!$A$5:$A$5000)+7*(ROW()-10)&gt;MAX('Weekly Log'!$A$5:$A$5000),"",MIN('Weekly Log'!$A$5:$A$5000)+7*(ROW()-10)))</f>
        <v/>
      </c>
    </row>
    <row r="770" spans="1:10" x14ac:dyDescent="0.25">
      <c r="A770" t="str">
        <f t="shared" si="11"/>
        <v/>
      </c>
      <c r="B770" t="str">
        <f>IF($J770="","",SUMIFS('Weekly Log'!$C:$C,'Weekly Log'!$A:$A,"&gt;="&amp;$J770,'Weekly Log'!$A:$A,"&lt;"&amp;$J770+7))</f>
        <v/>
      </c>
      <c r="C770" t="str">
        <f>IF($J770="","",IFERROR(COUNTIFS('Weekly Log'!$G:$G,"Y",'Weekly Log'!$A:$A,"&gt;="&amp;$J770,'Weekly Log'!$A:$A,"&lt;"&amp;$J770+7)/COUNTIFS('Weekly Log'!$G:$G,"&lt;&gt;",'Weekly Log'!$A:$A,"&gt;="&amp;$J770,'Weekly Log'!$A:$A,"&lt;"&amp;$J770+7),0))</f>
        <v/>
      </c>
      <c r="D770" t="str">
        <f>IF($J770="","",IFERROR(COUNTIFS('Weekly Log'!$H:$H,"Y",'Weekly Log'!$A:$A,"&gt;="&amp;$J770,'Weekly Log'!$A:$A,"&lt;"&amp;$J770+7)/COUNTIFS('Weekly Log'!$H:$H,"&lt;&gt;",'Weekly Log'!$A:$A,"&gt;="&amp;$J770,'Weekly Log'!$A:$A,"&lt;"&amp;$J770+7),0))</f>
        <v/>
      </c>
      <c r="E770" t="str">
        <f>IF($J770="","",IFERROR(AVERAGEIFS('Weekly Log'!$F:$F,'Weekly Log'!$A:$A,"&gt;="&amp;$J770,'Weekly Log'!$A:$A,"&lt;"&amp;$J770+7),0))</f>
        <v/>
      </c>
      <c r="F770" t="str">
        <f>IF($J770="","",IFERROR(SUMIFS('Weekly Log'!$F:$F,'Weekly Log'!$A:$A,"&gt;="&amp;$J770,'Weekly Log'!$A:$A,"&lt;"&amp;$J770+7)/SUMIFS('Weekly Log'!$E:$E,'Weekly Log'!$A:$A,"&gt;="&amp;$J770,'Weekly Log'!$A:$A,"&lt;"&amp;$J770+7),0))</f>
        <v/>
      </c>
      <c r="G770" t="str">
        <f>IF($J770="","",IFERROR(LOOKUP(2,1/(('Weekly Log'!$A$5:$A$5000&gt;=$J770)*('Weekly Log'!$A$5:$A$5000&lt;$J770+7)*('Weekly Log'!$M$5:$M$5000&lt;&gt;"")),'Weekly Log'!$M$5:$M$5000),0))</f>
        <v/>
      </c>
      <c r="J770" t="str">
        <f>IF(COUNT('Weekly Log'!$A$5:$A$5000)=0,"",IF(MIN('Weekly Log'!$A$5:$A$5000)+7*(ROW()-10)&gt;MAX('Weekly Log'!$A$5:$A$5000),"",MIN('Weekly Log'!$A$5:$A$5000)+7*(ROW()-10)))</f>
        <v/>
      </c>
    </row>
    <row r="771" spans="1:10" x14ac:dyDescent="0.25">
      <c r="A771" t="str">
        <f t="shared" si="11"/>
        <v/>
      </c>
      <c r="B771" t="str">
        <f>IF($J771="","",SUMIFS('Weekly Log'!$C:$C,'Weekly Log'!$A:$A,"&gt;="&amp;$J771,'Weekly Log'!$A:$A,"&lt;"&amp;$J771+7))</f>
        <v/>
      </c>
      <c r="C771" t="str">
        <f>IF($J771="","",IFERROR(COUNTIFS('Weekly Log'!$G:$G,"Y",'Weekly Log'!$A:$A,"&gt;="&amp;$J771,'Weekly Log'!$A:$A,"&lt;"&amp;$J771+7)/COUNTIFS('Weekly Log'!$G:$G,"&lt;&gt;",'Weekly Log'!$A:$A,"&gt;="&amp;$J771,'Weekly Log'!$A:$A,"&lt;"&amp;$J771+7),0))</f>
        <v/>
      </c>
      <c r="D771" t="str">
        <f>IF($J771="","",IFERROR(COUNTIFS('Weekly Log'!$H:$H,"Y",'Weekly Log'!$A:$A,"&gt;="&amp;$J771,'Weekly Log'!$A:$A,"&lt;"&amp;$J771+7)/COUNTIFS('Weekly Log'!$H:$H,"&lt;&gt;",'Weekly Log'!$A:$A,"&gt;="&amp;$J771,'Weekly Log'!$A:$A,"&lt;"&amp;$J771+7),0))</f>
        <v/>
      </c>
      <c r="E771" t="str">
        <f>IF($J771="","",IFERROR(AVERAGEIFS('Weekly Log'!$F:$F,'Weekly Log'!$A:$A,"&gt;="&amp;$J771,'Weekly Log'!$A:$A,"&lt;"&amp;$J771+7),0))</f>
        <v/>
      </c>
      <c r="F771" t="str">
        <f>IF($J771="","",IFERROR(SUMIFS('Weekly Log'!$F:$F,'Weekly Log'!$A:$A,"&gt;="&amp;$J771,'Weekly Log'!$A:$A,"&lt;"&amp;$J771+7)/SUMIFS('Weekly Log'!$E:$E,'Weekly Log'!$A:$A,"&gt;="&amp;$J771,'Weekly Log'!$A:$A,"&lt;"&amp;$J771+7),0))</f>
        <v/>
      </c>
      <c r="G771" t="str">
        <f>IF($J771="","",IFERROR(LOOKUP(2,1/(('Weekly Log'!$A$5:$A$5000&gt;=$J771)*('Weekly Log'!$A$5:$A$5000&lt;$J771+7)*('Weekly Log'!$M$5:$M$5000&lt;&gt;"")),'Weekly Log'!$M$5:$M$5000),0))</f>
        <v/>
      </c>
      <c r="J771" t="str">
        <f>IF(COUNT('Weekly Log'!$A$5:$A$5000)=0,"",IF(MIN('Weekly Log'!$A$5:$A$5000)+7*(ROW()-10)&gt;MAX('Weekly Log'!$A$5:$A$5000),"",MIN('Weekly Log'!$A$5:$A$5000)+7*(ROW()-10)))</f>
        <v/>
      </c>
    </row>
    <row r="772" spans="1:10" x14ac:dyDescent="0.25">
      <c r="A772" t="str">
        <f t="shared" si="11"/>
        <v/>
      </c>
      <c r="B772" t="str">
        <f>IF($J772="","",SUMIFS('Weekly Log'!$C:$C,'Weekly Log'!$A:$A,"&gt;="&amp;$J772,'Weekly Log'!$A:$A,"&lt;"&amp;$J772+7))</f>
        <v/>
      </c>
      <c r="C772" t="str">
        <f>IF($J772="","",IFERROR(COUNTIFS('Weekly Log'!$G:$G,"Y",'Weekly Log'!$A:$A,"&gt;="&amp;$J772,'Weekly Log'!$A:$A,"&lt;"&amp;$J772+7)/COUNTIFS('Weekly Log'!$G:$G,"&lt;&gt;",'Weekly Log'!$A:$A,"&gt;="&amp;$J772,'Weekly Log'!$A:$A,"&lt;"&amp;$J772+7),0))</f>
        <v/>
      </c>
      <c r="D772" t="str">
        <f>IF($J772="","",IFERROR(COUNTIFS('Weekly Log'!$H:$H,"Y",'Weekly Log'!$A:$A,"&gt;="&amp;$J772,'Weekly Log'!$A:$A,"&lt;"&amp;$J772+7)/COUNTIFS('Weekly Log'!$H:$H,"&lt;&gt;",'Weekly Log'!$A:$A,"&gt;="&amp;$J772,'Weekly Log'!$A:$A,"&lt;"&amp;$J772+7),0))</f>
        <v/>
      </c>
      <c r="E772" t="str">
        <f>IF($J772="","",IFERROR(AVERAGEIFS('Weekly Log'!$F:$F,'Weekly Log'!$A:$A,"&gt;="&amp;$J772,'Weekly Log'!$A:$A,"&lt;"&amp;$J772+7),0))</f>
        <v/>
      </c>
      <c r="F772" t="str">
        <f>IF($J772="","",IFERROR(SUMIFS('Weekly Log'!$F:$F,'Weekly Log'!$A:$A,"&gt;="&amp;$J772,'Weekly Log'!$A:$A,"&lt;"&amp;$J772+7)/SUMIFS('Weekly Log'!$E:$E,'Weekly Log'!$A:$A,"&gt;="&amp;$J772,'Weekly Log'!$A:$A,"&lt;"&amp;$J772+7),0))</f>
        <v/>
      </c>
      <c r="G772" t="str">
        <f>IF($J772="","",IFERROR(LOOKUP(2,1/(('Weekly Log'!$A$5:$A$5000&gt;=$J772)*('Weekly Log'!$A$5:$A$5000&lt;$J772+7)*('Weekly Log'!$M$5:$M$5000&lt;&gt;"")),'Weekly Log'!$M$5:$M$5000),0))</f>
        <v/>
      </c>
      <c r="J772" t="str">
        <f>IF(COUNT('Weekly Log'!$A$5:$A$5000)=0,"",IF(MIN('Weekly Log'!$A$5:$A$5000)+7*(ROW()-10)&gt;MAX('Weekly Log'!$A$5:$A$5000),"",MIN('Weekly Log'!$A$5:$A$5000)+7*(ROW()-10)))</f>
        <v/>
      </c>
    </row>
    <row r="773" spans="1:10" x14ac:dyDescent="0.25">
      <c r="A773" t="str">
        <f t="shared" si="11"/>
        <v/>
      </c>
      <c r="B773" t="str">
        <f>IF($J773="","",SUMIFS('Weekly Log'!$C:$C,'Weekly Log'!$A:$A,"&gt;="&amp;$J773,'Weekly Log'!$A:$A,"&lt;"&amp;$J773+7))</f>
        <v/>
      </c>
      <c r="C773" t="str">
        <f>IF($J773="","",IFERROR(COUNTIFS('Weekly Log'!$G:$G,"Y",'Weekly Log'!$A:$A,"&gt;="&amp;$J773,'Weekly Log'!$A:$A,"&lt;"&amp;$J773+7)/COUNTIFS('Weekly Log'!$G:$G,"&lt;&gt;",'Weekly Log'!$A:$A,"&gt;="&amp;$J773,'Weekly Log'!$A:$A,"&lt;"&amp;$J773+7),0))</f>
        <v/>
      </c>
      <c r="D773" t="str">
        <f>IF($J773="","",IFERROR(COUNTIFS('Weekly Log'!$H:$H,"Y",'Weekly Log'!$A:$A,"&gt;="&amp;$J773,'Weekly Log'!$A:$A,"&lt;"&amp;$J773+7)/COUNTIFS('Weekly Log'!$H:$H,"&lt;&gt;",'Weekly Log'!$A:$A,"&gt;="&amp;$J773,'Weekly Log'!$A:$A,"&lt;"&amp;$J773+7),0))</f>
        <v/>
      </c>
      <c r="E773" t="str">
        <f>IF($J773="","",IFERROR(AVERAGEIFS('Weekly Log'!$F:$F,'Weekly Log'!$A:$A,"&gt;="&amp;$J773,'Weekly Log'!$A:$A,"&lt;"&amp;$J773+7),0))</f>
        <v/>
      </c>
      <c r="F773" t="str">
        <f>IF($J773="","",IFERROR(SUMIFS('Weekly Log'!$F:$F,'Weekly Log'!$A:$A,"&gt;="&amp;$J773,'Weekly Log'!$A:$A,"&lt;"&amp;$J773+7)/SUMIFS('Weekly Log'!$E:$E,'Weekly Log'!$A:$A,"&gt;="&amp;$J773,'Weekly Log'!$A:$A,"&lt;"&amp;$J773+7),0))</f>
        <v/>
      </c>
      <c r="G773" t="str">
        <f>IF($J773="","",IFERROR(LOOKUP(2,1/(('Weekly Log'!$A$5:$A$5000&gt;=$J773)*('Weekly Log'!$A$5:$A$5000&lt;$J773+7)*('Weekly Log'!$M$5:$M$5000&lt;&gt;"")),'Weekly Log'!$M$5:$M$5000),0))</f>
        <v/>
      </c>
      <c r="J773" t="str">
        <f>IF(COUNT('Weekly Log'!$A$5:$A$5000)=0,"",IF(MIN('Weekly Log'!$A$5:$A$5000)+7*(ROW()-10)&gt;MAX('Weekly Log'!$A$5:$A$5000),"",MIN('Weekly Log'!$A$5:$A$5000)+7*(ROW()-10)))</f>
        <v/>
      </c>
    </row>
    <row r="774" spans="1:10" x14ac:dyDescent="0.25">
      <c r="A774" t="str">
        <f t="shared" si="11"/>
        <v/>
      </c>
      <c r="B774" t="str">
        <f>IF($J774="","",SUMIFS('Weekly Log'!$C:$C,'Weekly Log'!$A:$A,"&gt;="&amp;$J774,'Weekly Log'!$A:$A,"&lt;"&amp;$J774+7))</f>
        <v/>
      </c>
      <c r="C774" t="str">
        <f>IF($J774="","",IFERROR(COUNTIFS('Weekly Log'!$G:$G,"Y",'Weekly Log'!$A:$A,"&gt;="&amp;$J774,'Weekly Log'!$A:$A,"&lt;"&amp;$J774+7)/COUNTIFS('Weekly Log'!$G:$G,"&lt;&gt;",'Weekly Log'!$A:$A,"&gt;="&amp;$J774,'Weekly Log'!$A:$A,"&lt;"&amp;$J774+7),0))</f>
        <v/>
      </c>
      <c r="D774" t="str">
        <f>IF($J774="","",IFERROR(COUNTIFS('Weekly Log'!$H:$H,"Y",'Weekly Log'!$A:$A,"&gt;="&amp;$J774,'Weekly Log'!$A:$A,"&lt;"&amp;$J774+7)/COUNTIFS('Weekly Log'!$H:$H,"&lt;&gt;",'Weekly Log'!$A:$A,"&gt;="&amp;$J774,'Weekly Log'!$A:$A,"&lt;"&amp;$J774+7),0))</f>
        <v/>
      </c>
      <c r="E774" t="str">
        <f>IF($J774="","",IFERROR(AVERAGEIFS('Weekly Log'!$F:$F,'Weekly Log'!$A:$A,"&gt;="&amp;$J774,'Weekly Log'!$A:$A,"&lt;"&amp;$J774+7),0))</f>
        <v/>
      </c>
      <c r="F774" t="str">
        <f>IF($J774="","",IFERROR(SUMIFS('Weekly Log'!$F:$F,'Weekly Log'!$A:$A,"&gt;="&amp;$J774,'Weekly Log'!$A:$A,"&lt;"&amp;$J774+7)/SUMIFS('Weekly Log'!$E:$E,'Weekly Log'!$A:$A,"&gt;="&amp;$J774,'Weekly Log'!$A:$A,"&lt;"&amp;$J774+7),0))</f>
        <v/>
      </c>
      <c r="G774" t="str">
        <f>IF($J774="","",IFERROR(LOOKUP(2,1/(('Weekly Log'!$A$5:$A$5000&gt;=$J774)*('Weekly Log'!$A$5:$A$5000&lt;$J774+7)*('Weekly Log'!$M$5:$M$5000&lt;&gt;"")),'Weekly Log'!$M$5:$M$5000),0))</f>
        <v/>
      </c>
      <c r="J774" t="str">
        <f>IF(COUNT('Weekly Log'!$A$5:$A$5000)=0,"",IF(MIN('Weekly Log'!$A$5:$A$5000)+7*(ROW()-10)&gt;MAX('Weekly Log'!$A$5:$A$5000),"",MIN('Weekly Log'!$A$5:$A$5000)+7*(ROW()-10)))</f>
        <v/>
      </c>
    </row>
    <row r="775" spans="1:10" x14ac:dyDescent="0.25">
      <c r="A775" t="str">
        <f t="shared" si="11"/>
        <v/>
      </c>
      <c r="B775" t="str">
        <f>IF($J775="","",SUMIFS('Weekly Log'!$C:$C,'Weekly Log'!$A:$A,"&gt;="&amp;$J775,'Weekly Log'!$A:$A,"&lt;"&amp;$J775+7))</f>
        <v/>
      </c>
      <c r="C775" t="str">
        <f>IF($J775="","",IFERROR(COUNTIFS('Weekly Log'!$G:$G,"Y",'Weekly Log'!$A:$A,"&gt;="&amp;$J775,'Weekly Log'!$A:$A,"&lt;"&amp;$J775+7)/COUNTIFS('Weekly Log'!$G:$G,"&lt;&gt;",'Weekly Log'!$A:$A,"&gt;="&amp;$J775,'Weekly Log'!$A:$A,"&lt;"&amp;$J775+7),0))</f>
        <v/>
      </c>
      <c r="D775" t="str">
        <f>IF($J775="","",IFERROR(COUNTIFS('Weekly Log'!$H:$H,"Y",'Weekly Log'!$A:$A,"&gt;="&amp;$J775,'Weekly Log'!$A:$A,"&lt;"&amp;$J775+7)/COUNTIFS('Weekly Log'!$H:$H,"&lt;&gt;",'Weekly Log'!$A:$A,"&gt;="&amp;$J775,'Weekly Log'!$A:$A,"&lt;"&amp;$J775+7),0))</f>
        <v/>
      </c>
      <c r="E775" t="str">
        <f>IF($J775="","",IFERROR(AVERAGEIFS('Weekly Log'!$F:$F,'Weekly Log'!$A:$A,"&gt;="&amp;$J775,'Weekly Log'!$A:$A,"&lt;"&amp;$J775+7),0))</f>
        <v/>
      </c>
      <c r="F775" t="str">
        <f>IF($J775="","",IFERROR(SUMIFS('Weekly Log'!$F:$F,'Weekly Log'!$A:$A,"&gt;="&amp;$J775,'Weekly Log'!$A:$A,"&lt;"&amp;$J775+7)/SUMIFS('Weekly Log'!$E:$E,'Weekly Log'!$A:$A,"&gt;="&amp;$J775,'Weekly Log'!$A:$A,"&lt;"&amp;$J775+7),0))</f>
        <v/>
      </c>
      <c r="G775" t="str">
        <f>IF($J775="","",IFERROR(LOOKUP(2,1/(('Weekly Log'!$A$5:$A$5000&gt;=$J775)*('Weekly Log'!$A$5:$A$5000&lt;$J775+7)*('Weekly Log'!$M$5:$M$5000&lt;&gt;"")),'Weekly Log'!$M$5:$M$5000),0))</f>
        <v/>
      </c>
      <c r="J775" t="str">
        <f>IF(COUNT('Weekly Log'!$A$5:$A$5000)=0,"",IF(MIN('Weekly Log'!$A$5:$A$5000)+7*(ROW()-10)&gt;MAX('Weekly Log'!$A$5:$A$5000),"",MIN('Weekly Log'!$A$5:$A$5000)+7*(ROW()-10)))</f>
        <v/>
      </c>
    </row>
    <row r="776" spans="1:10" x14ac:dyDescent="0.25">
      <c r="A776" t="str">
        <f t="shared" si="11"/>
        <v/>
      </c>
      <c r="B776" t="str">
        <f>IF($J776="","",SUMIFS('Weekly Log'!$C:$C,'Weekly Log'!$A:$A,"&gt;="&amp;$J776,'Weekly Log'!$A:$A,"&lt;"&amp;$J776+7))</f>
        <v/>
      </c>
      <c r="C776" t="str">
        <f>IF($J776="","",IFERROR(COUNTIFS('Weekly Log'!$G:$G,"Y",'Weekly Log'!$A:$A,"&gt;="&amp;$J776,'Weekly Log'!$A:$A,"&lt;"&amp;$J776+7)/COUNTIFS('Weekly Log'!$G:$G,"&lt;&gt;",'Weekly Log'!$A:$A,"&gt;="&amp;$J776,'Weekly Log'!$A:$A,"&lt;"&amp;$J776+7),0))</f>
        <v/>
      </c>
      <c r="D776" t="str">
        <f>IF($J776="","",IFERROR(COUNTIFS('Weekly Log'!$H:$H,"Y",'Weekly Log'!$A:$A,"&gt;="&amp;$J776,'Weekly Log'!$A:$A,"&lt;"&amp;$J776+7)/COUNTIFS('Weekly Log'!$H:$H,"&lt;&gt;",'Weekly Log'!$A:$A,"&gt;="&amp;$J776,'Weekly Log'!$A:$A,"&lt;"&amp;$J776+7),0))</f>
        <v/>
      </c>
      <c r="E776" t="str">
        <f>IF($J776="","",IFERROR(AVERAGEIFS('Weekly Log'!$F:$F,'Weekly Log'!$A:$A,"&gt;="&amp;$J776,'Weekly Log'!$A:$A,"&lt;"&amp;$J776+7),0))</f>
        <v/>
      </c>
      <c r="F776" t="str">
        <f>IF($J776="","",IFERROR(SUMIFS('Weekly Log'!$F:$F,'Weekly Log'!$A:$A,"&gt;="&amp;$J776,'Weekly Log'!$A:$A,"&lt;"&amp;$J776+7)/SUMIFS('Weekly Log'!$E:$E,'Weekly Log'!$A:$A,"&gt;="&amp;$J776,'Weekly Log'!$A:$A,"&lt;"&amp;$J776+7),0))</f>
        <v/>
      </c>
      <c r="G776" t="str">
        <f>IF($J776="","",IFERROR(LOOKUP(2,1/(('Weekly Log'!$A$5:$A$5000&gt;=$J776)*('Weekly Log'!$A$5:$A$5000&lt;$J776+7)*('Weekly Log'!$M$5:$M$5000&lt;&gt;"")),'Weekly Log'!$M$5:$M$5000),0))</f>
        <v/>
      </c>
      <c r="J776" t="str">
        <f>IF(COUNT('Weekly Log'!$A$5:$A$5000)=0,"",IF(MIN('Weekly Log'!$A$5:$A$5000)+7*(ROW()-10)&gt;MAX('Weekly Log'!$A$5:$A$5000),"",MIN('Weekly Log'!$A$5:$A$5000)+7*(ROW()-10)))</f>
        <v/>
      </c>
    </row>
    <row r="777" spans="1:10" x14ac:dyDescent="0.25">
      <c r="A777" t="str">
        <f t="shared" si="11"/>
        <v/>
      </c>
      <c r="B777" t="str">
        <f>IF($J777="","",SUMIFS('Weekly Log'!$C:$C,'Weekly Log'!$A:$A,"&gt;="&amp;$J777,'Weekly Log'!$A:$A,"&lt;"&amp;$J777+7))</f>
        <v/>
      </c>
      <c r="C777" t="str">
        <f>IF($J777="","",IFERROR(COUNTIFS('Weekly Log'!$G:$G,"Y",'Weekly Log'!$A:$A,"&gt;="&amp;$J777,'Weekly Log'!$A:$A,"&lt;"&amp;$J777+7)/COUNTIFS('Weekly Log'!$G:$G,"&lt;&gt;",'Weekly Log'!$A:$A,"&gt;="&amp;$J777,'Weekly Log'!$A:$A,"&lt;"&amp;$J777+7),0))</f>
        <v/>
      </c>
      <c r="D777" t="str">
        <f>IF($J777="","",IFERROR(COUNTIFS('Weekly Log'!$H:$H,"Y",'Weekly Log'!$A:$A,"&gt;="&amp;$J777,'Weekly Log'!$A:$A,"&lt;"&amp;$J777+7)/COUNTIFS('Weekly Log'!$H:$H,"&lt;&gt;",'Weekly Log'!$A:$A,"&gt;="&amp;$J777,'Weekly Log'!$A:$A,"&lt;"&amp;$J777+7),0))</f>
        <v/>
      </c>
      <c r="E777" t="str">
        <f>IF($J777="","",IFERROR(AVERAGEIFS('Weekly Log'!$F:$F,'Weekly Log'!$A:$A,"&gt;="&amp;$J777,'Weekly Log'!$A:$A,"&lt;"&amp;$J777+7),0))</f>
        <v/>
      </c>
      <c r="F777" t="str">
        <f>IF($J777="","",IFERROR(SUMIFS('Weekly Log'!$F:$F,'Weekly Log'!$A:$A,"&gt;="&amp;$J777,'Weekly Log'!$A:$A,"&lt;"&amp;$J777+7)/SUMIFS('Weekly Log'!$E:$E,'Weekly Log'!$A:$A,"&gt;="&amp;$J777,'Weekly Log'!$A:$A,"&lt;"&amp;$J777+7),0))</f>
        <v/>
      </c>
      <c r="G777" t="str">
        <f>IF($J777="","",IFERROR(LOOKUP(2,1/(('Weekly Log'!$A$5:$A$5000&gt;=$J777)*('Weekly Log'!$A$5:$A$5000&lt;$J777+7)*('Weekly Log'!$M$5:$M$5000&lt;&gt;"")),'Weekly Log'!$M$5:$M$5000),0))</f>
        <v/>
      </c>
      <c r="J777" t="str">
        <f>IF(COUNT('Weekly Log'!$A$5:$A$5000)=0,"",IF(MIN('Weekly Log'!$A$5:$A$5000)+7*(ROW()-10)&gt;MAX('Weekly Log'!$A$5:$A$5000),"",MIN('Weekly Log'!$A$5:$A$5000)+7*(ROW()-10)))</f>
        <v/>
      </c>
    </row>
    <row r="778" spans="1:10" x14ac:dyDescent="0.25">
      <c r="A778" t="str">
        <f t="shared" ref="A778:A841" si="12">IF($J778="","",YEAR($J778-WEEKDAY($J778,2)+4)&amp;"-W"&amp;TEXT(WEEKNUM($J778,21),"00"))</f>
        <v/>
      </c>
      <c r="B778" t="str">
        <f>IF($J778="","",SUMIFS('Weekly Log'!$C:$C,'Weekly Log'!$A:$A,"&gt;="&amp;$J778,'Weekly Log'!$A:$A,"&lt;"&amp;$J778+7))</f>
        <v/>
      </c>
      <c r="C778" t="str">
        <f>IF($J778="","",IFERROR(COUNTIFS('Weekly Log'!$G:$G,"Y",'Weekly Log'!$A:$A,"&gt;="&amp;$J778,'Weekly Log'!$A:$A,"&lt;"&amp;$J778+7)/COUNTIFS('Weekly Log'!$G:$G,"&lt;&gt;",'Weekly Log'!$A:$A,"&gt;="&amp;$J778,'Weekly Log'!$A:$A,"&lt;"&amp;$J778+7),0))</f>
        <v/>
      </c>
      <c r="D778" t="str">
        <f>IF($J778="","",IFERROR(COUNTIFS('Weekly Log'!$H:$H,"Y",'Weekly Log'!$A:$A,"&gt;="&amp;$J778,'Weekly Log'!$A:$A,"&lt;"&amp;$J778+7)/COUNTIFS('Weekly Log'!$H:$H,"&lt;&gt;",'Weekly Log'!$A:$A,"&gt;="&amp;$J778,'Weekly Log'!$A:$A,"&lt;"&amp;$J778+7),0))</f>
        <v/>
      </c>
      <c r="E778" t="str">
        <f>IF($J778="","",IFERROR(AVERAGEIFS('Weekly Log'!$F:$F,'Weekly Log'!$A:$A,"&gt;="&amp;$J778,'Weekly Log'!$A:$A,"&lt;"&amp;$J778+7),0))</f>
        <v/>
      </c>
      <c r="F778" t="str">
        <f>IF($J778="","",IFERROR(SUMIFS('Weekly Log'!$F:$F,'Weekly Log'!$A:$A,"&gt;="&amp;$J778,'Weekly Log'!$A:$A,"&lt;"&amp;$J778+7)/SUMIFS('Weekly Log'!$E:$E,'Weekly Log'!$A:$A,"&gt;="&amp;$J778,'Weekly Log'!$A:$A,"&lt;"&amp;$J778+7),0))</f>
        <v/>
      </c>
      <c r="G778" t="str">
        <f>IF($J778="","",IFERROR(LOOKUP(2,1/(('Weekly Log'!$A$5:$A$5000&gt;=$J778)*('Weekly Log'!$A$5:$A$5000&lt;$J778+7)*('Weekly Log'!$M$5:$M$5000&lt;&gt;"")),'Weekly Log'!$M$5:$M$5000),0))</f>
        <v/>
      </c>
      <c r="J778" t="str">
        <f>IF(COUNT('Weekly Log'!$A$5:$A$5000)=0,"",IF(MIN('Weekly Log'!$A$5:$A$5000)+7*(ROW()-10)&gt;MAX('Weekly Log'!$A$5:$A$5000),"",MIN('Weekly Log'!$A$5:$A$5000)+7*(ROW()-10)))</f>
        <v/>
      </c>
    </row>
    <row r="779" spans="1:10" x14ac:dyDescent="0.25">
      <c r="A779" t="str">
        <f t="shared" si="12"/>
        <v/>
      </c>
      <c r="B779" t="str">
        <f>IF($J779="","",SUMIFS('Weekly Log'!$C:$C,'Weekly Log'!$A:$A,"&gt;="&amp;$J779,'Weekly Log'!$A:$A,"&lt;"&amp;$J779+7))</f>
        <v/>
      </c>
      <c r="C779" t="str">
        <f>IF($J779="","",IFERROR(COUNTIFS('Weekly Log'!$G:$G,"Y",'Weekly Log'!$A:$A,"&gt;="&amp;$J779,'Weekly Log'!$A:$A,"&lt;"&amp;$J779+7)/COUNTIFS('Weekly Log'!$G:$G,"&lt;&gt;",'Weekly Log'!$A:$A,"&gt;="&amp;$J779,'Weekly Log'!$A:$A,"&lt;"&amp;$J779+7),0))</f>
        <v/>
      </c>
      <c r="D779" t="str">
        <f>IF($J779="","",IFERROR(COUNTIFS('Weekly Log'!$H:$H,"Y",'Weekly Log'!$A:$A,"&gt;="&amp;$J779,'Weekly Log'!$A:$A,"&lt;"&amp;$J779+7)/COUNTIFS('Weekly Log'!$H:$H,"&lt;&gt;",'Weekly Log'!$A:$A,"&gt;="&amp;$J779,'Weekly Log'!$A:$A,"&lt;"&amp;$J779+7),0))</f>
        <v/>
      </c>
      <c r="E779" t="str">
        <f>IF($J779="","",IFERROR(AVERAGEIFS('Weekly Log'!$F:$F,'Weekly Log'!$A:$A,"&gt;="&amp;$J779,'Weekly Log'!$A:$A,"&lt;"&amp;$J779+7),0))</f>
        <v/>
      </c>
      <c r="F779" t="str">
        <f>IF($J779="","",IFERROR(SUMIFS('Weekly Log'!$F:$F,'Weekly Log'!$A:$A,"&gt;="&amp;$J779,'Weekly Log'!$A:$A,"&lt;"&amp;$J779+7)/SUMIFS('Weekly Log'!$E:$E,'Weekly Log'!$A:$A,"&gt;="&amp;$J779,'Weekly Log'!$A:$A,"&lt;"&amp;$J779+7),0))</f>
        <v/>
      </c>
      <c r="G779" t="str">
        <f>IF($J779="","",IFERROR(LOOKUP(2,1/(('Weekly Log'!$A$5:$A$5000&gt;=$J779)*('Weekly Log'!$A$5:$A$5000&lt;$J779+7)*('Weekly Log'!$M$5:$M$5000&lt;&gt;"")),'Weekly Log'!$M$5:$M$5000),0))</f>
        <v/>
      </c>
      <c r="J779" t="str">
        <f>IF(COUNT('Weekly Log'!$A$5:$A$5000)=0,"",IF(MIN('Weekly Log'!$A$5:$A$5000)+7*(ROW()-10)&gt;MAX('Weekly Log'!$A$5:$A$5000),"",MIN('Weekly Log'!$A$5:$A$5000)+7*(ROW()-10)))</f>
        <v/>
      </c>
    </row>
    <row r="780" spans="1:10" x14ac:dyDescent="0.25">
      <c r="A780" t="str">
        <f t="shared" si="12"/>
        <v/>
      </c>
      <c r="B780" t="str">
        <f>IF($J780="","",SUMIFS('Weekly Log'!$C:$C,'Weekly Log'!$A:$A,"&gt;="&amp;$J780,'Weekly Log'!$A:$A,"&lt;"&amp;$J780+7))</f>
        <v/>
      </c>
      <c r="C780" t="str">
        <f>IF($J780="","",IFERROR(COUNTIFS('Weekly Log'!$G:$G,"Y",'Weekly Log'!$A:$A,"&gt;="&amp;$J780,'Weekly Log'!$A:$A,"&lt;"&amp;$J780+7)/COUNTIFS('Weekly Log'!$G:$G,"&lt;&gt;",'Weekly Log'!$A:$A,"&gt;="&amp;$J780,'Weekly Log'!$A:$A,"&lt;"&amp;$J780+7),0))</f>
        <v/>
      </c>
      <c r="D780" t="str">
        <f>IF($J780="","",IFERROR(COUNTIFS('Weekly Log'!$H:$H,"Y",'Weekly Log'!$A:$A,"&gt;="&amp;$J780,'Weekly Log'!$A:$A,"&lt;"&amp;$J780+7)/COUNTIFS('Weekly Log'!$H:$H,"&lt;&gt;",'Weekly Log'!$A:$A,"&gt;="&amp;$J780,'Weekly Log'!$A:$A,"&lt;"&amp;$J780+7),0))</f>
        <v/>
      </c>
      <c r="E780" t="str">
        <f>IF($J780="","",IFERROR(AVERAGEIFS('Weekly Log'!$F:$F,'Weekly Log'!$A:$A,"&gt;="&amp;$J780,'Weekly Log'!$A:$A,"&lt;"&amp;$J780+7),0))</f>
        <v/>
      </c>
      <c r="F780" t="str">
        <f>IF($J780="","",IFERROR(SUMIFS('Weekly Log'!$F:$F,'Weekly Log'!$A:$A,"&gt;="&amp;$J780,'Weekly Log'!$A:$A,"&lt;"&amp;$J780+7)/SUMIFS('Weekly Log'!$E:$E,'Weekly Log'!$A:$A,"&gt;="&amp;$J780,'Weekly Log'!$A:$A,"&lt;"&amp;$J780+7),0))</f>
        <v/>
      </c>
      <c r="G780" t="str">
        <f>IF($J780="","",IFERROR(LOOKUP(2,1/(('Weekly Log'!$A$5:$A$5000&gt;=$J780)*('Weekly Log'!$A$5:$A$5000&lt;$J780+7)*('Weekly Log'!$M$5:$M$5000&lt;&gt;"")),'Weekly Log'!$M$5:$M$5000),0))</f>
        <v/>
      </c>
      <c r="J780" t="str">
        <f>IF(COUNT('Weekly Log'!$A$5:$A$5000)=0,"",IF(MIN('Weekly Log'!$A$5:$A$5000)+7*(ROW()-10)&gt;MAX('Weekly Log'!$A$5:$A$5000),"",MIN('Weekly Log'!$A$5:$A$5000)+7*(ROW()-10)))</f>
        <v/>
      </c>
    </row>
    <row r="781" spans="1:10" x14ac:dyDescent="0.25">
      <c r="A781" t="str">
        <f t="shared" si="12"/>
        <v/>
      </c>
      <c r="B781" t="str">
        <f>IF($J781="","",SUMIFS('Weekly Log'!$C:$C,'Weekly Log'!$A:$A,"&gt;="&amp;$J781,'Weekly Log'!$A:$A,"&lt;"&amp;$J781+7))</f>
        <v/>
      </c>
      <c r="C781" t="str">
        <f>IF($J781="","",IFERROR(COUNTIFS('Weekly Log'!$G:$G,"Y",'Weekly Log'!$A:$A,"&gt;="&amp;$J781,'Weekly Log'!$A:$A,"&lt;"&amp;$J781+7)/COUNTIFS('Weekly Log'!$G:$G,"&lt;&gt;",'Weekly Log'!$A:$A,"&gt;="&amp;$J781,'Weekly Log'!$A:$A,"&lt;"&amp;$J781+7),0))</f>
        <v/>
      </c>
      <c r="D781" t="str">
        <f>IF($J781="","",IFERROR(COUNTIFS('Weekly Log'!$H:$H,"Y",'Weekly Log'!$A:$A,"&gt;="&amp;$J781,'Weekly Log'!$A:$A,"&lt;"&amp;$J781+7)/COUNTIFS('Weekly Log'!$H:$H,"&lt;&gt;",'Weekly Log'!$A:$A,"&gt;="&amp;$J781,'Weekly Log'!$A:$A,"&lt;"&amp;$J781+7),0))</f>
        <v/>
      </c>
      <c r="E781" t="str">
        <f>IF($J781="","",IFERROR(AVERAGEIFS('Weekly Log'!$F:$F,'Weekly Log'!$A:$A,"&gt;="&amp;$J781,'Weekly Log'!$A:$A,"&lt;"&amp;$J781+7),0))</f>
        <v/>
      </c>
      <c r="F781" t="str">
        <f>IF($J781="","",IFERROR(SUMIFS('Weekly Log'!$F:$F,'Weekly Log'!$A:$A,"&gt;="&amp;$J781,'Weekly Log'!$A:$A,"&lt;"&amp;$J781+7)/SUMIFS('Weekly Log'!$E:$E,'Weekly Log'!$A:$A,"&gt;="&amp;$J781,'Weekly Log'!$A:$A,"&lt;"&amp;$J781+7),0))</f>
        <v/>
      </c>
      <c r="G781" t="str">
        <f>IF($J781="","",IFERROR(LOOKUP(2,1/(('Weekly Log'!$A$5:$A$5000&gt;=$J781)*('Weekly Log'!$A$5:$A$5000&lt;$J781+7)*('Weekly Log'!$M$5:$M$5000&lt;&gt;"")),'Weekly Log'!$M$5:$M$5000),0))</f>
        <v/>
      </c>
      <c r="J781" t="str">
        <f>IF(COUNT('Weekly Log'!$A$5:$A$5000)=0,"",IF(MIN('Weekly Log'!$A$5:$A$5000)+7*(ROW()-10)&gt;MAX('Weekly Log'!$A$5:$A$5000),"",MIN('Weekly Log'!$A$5:$A$5000)+7*(ROW()-10)))</f>
        <v/>
      </c>
    </row>
    <row r="782" spans="1:10" x14ac:dyDescent="0.25">
      <c r="A782" t="str">
        <f t="shared" si="12"/>
        <v/>
      </c>
      <c r="B782" t="str">
        <f>IF($J782="","",SUMIFS('Weekly Log'!$C:$C,'Weekly Log'!$A:$A,"&gt;="&amp;$J782,'Weekly Log'!$A:$A,"&lt;"&amp;$J782+7))</f>
        <v/>
      </c>
      <c r="C782" t="str">
        <f>IF($J782="","",IFERROR(COUNTIFS('Weekly Log'!$G:$G,"Y",'Weekly Log'!$A:$A,"&gt;="&amp;$J782,'Weekly Log'!$A:$A,"&lt;"&amp;$J782+7)/COUNTIFS('Weekly Log'!$G:$G,"&lt;&gt;",'Weekly Log'!$A:$A,"&gt;="&amp;$J782,'Weekly Log'!$A:$A,"&lt;"&amp;$J782+7),0))</f>
        <v/>
      </c>
      <c r="D782" t="str">
        <f>IF($J782="","",IFERROR(COUNTIFS('Weekly Log'!$H:$H,"Y",'Weekly Log'!$A:$A,"&gt;="&amp;$J782,'Weekly Log'!$A:$A,"&lt;"&amp;$J782+7)/COUNTIFS('Weekly Log'!$H:$H,"&lt;&gt;",'Weekly Log'!$A:$A,"&gt;="&amp;$J782,'Weekly Log'!$A:$A,"&lt;"&amp;$J782+7),0))</f>
        <v/>
      </c>
      <c r="E782" t="str">
        <f>IF($J782="","",IFERROR(AVERAGEIFS('Weekly Log'!$F:$F,'Weekly Log'!$A:$A,"&gt;="&amp;$J782,'Weekly Log'!$A:$A,"&lt;"&amp;$J782+7),0))</f>
        <v/>
      </c>
      <c r="F782" t="str">
        <f>IF($J782="","",IFERROR(SUMIFS('Weekly Log'!$F:$F,'Weekly Log'!$A:$A,"&gt;="&amp;$J782,'Weekly Log'!$A:$A,"&lt;"&amp;$J782+7)/SUMIFS('Weekly Log'!$E:$E,'Weekly Log'!$A:$A,"&gt;="&amp;$J782,'Weekly Log'!$A:$A,"&lt;"&amp;$J782+7),0))</f>
        <v/>
      </c>
      <c r="G782" t="str">
        <f>IF($J782="","",IFERROR(LOOKUP(2,1/(('Weekly Log'!$A$5:$A$5000&gt;=$J782)*('Weekly Log'!$A$5:$A$5000&lt;$J782+7)*('Weekly Log'!$M$5:$M$5000&lt;&gt;"")),'Weekly Log'!$M$5:$M$5000),0))</f>
        <v/>
      </c>
      <c r="J782" t="str">
        <f>IF(COUNT('Weekly Log'!$A$5:$A$5000)=0,"",IF(MIN('Weekly Log'!$A$5:$A$5000)+7*(ROW()-10)&gt;MAX('Weekly Log'!$A$5:$A$5000),"",MIN('Weekly Log'!$A$5:$A$5000)+7*(ROW()-10)))</f>
        <v/>
      </c>
    </row>
    <row r="783" spans="1:10" x14ac:dyDescent="0.25">
      <c r="A783" t="str">
        <f t="shared" si="12"/>
        <v/>
      </c>
      <c r="B783" t="str">
        <f>IF($J783="","",SUMIFS('Weekly Log'!$C:$C,'Weekly Log'!$A:$A,"&gt;="&amp;$J783,'Weekly Log'!$A:$A,"&lt;"&amp;$J783+7))</f>
        <v/>
      </c>
      <c r="C783" t="str">
        <f>IF($J783="","",IFERROR(COUNTIFS('Weekly Log'!$G:$G,"Y",'Weekly Log'!$A:$A,"&gt;="&amp;$J783,'Weekly Log'!$A:$A,"&lt;"&amp;$J783+7)/COUNTIFS('Weekly Log'!$G:$G,"&lt;&gt;",'Weekly Log'!$A:$A,"&gt;="&amp;$J783,'Weekly Log'!$A:$A,"&lt;"&amp;$J783+7),0))</f>
        <v/>
      </c>
      <c r="D783" t="str">
        <f>IF($J783="","",IFERROR(COUNTIFS('Weekly Log'!$H:$H,"Y",'Weekly Log'!$A:$A,"&gt;="&amp;$J783,'Weekly Log'!$A:$A,"&lt;"&amp;$J783+7)/COUNTIFS('Weekly Log'!$H:$H,"&lt;&gt;",'Weekly Log'!$A:$A,"&gt;="&amp;$J783,'Weekly Log'!$A:$A,"&lt;"&amp;$J783+7),0))</f>
        <v/>
      </c>
      <c r="E783" t="str">
        <f>IF($J783="","",IFERROR(AVERAGEIFS('Weekly Log'!$F:$F,'Weekly Log'!$A:$A,"&gt;="&amp;$J783,'Weekly Log'!$A:$A,"&lt;"&amp;$J783+7),0))</f>
        <v/>
      </c>
      <c r="F783" t="str">
        <f>IF($J783="","",IFERROR(SUMIFS('Weekly Log'!$F:$F,'Weekly Log'!$A:$A,"&gt;="&amp;$J783,'Weekly Log'!$A:$A,"&lt;"&amp;$J783+7)/SUMIFS('Weekly Log'!$E:$E,'Weekly Log'!$A:$A,"&gt;="&amp;$J783,'Weekly Log'!$A:$A,"&lt;"&amp;$J783+7),0))</f>
        <v/>
      </c>
      <c r="G783" t="str">
        <f>IF($J783="","",IFERROR(LOOKUP(2,1/(('Weekly Log'!$A$5:$A$5000&gt;=$J783)*('Weekly Log'!$A$5:$A$5000&lt;$J783+7)*('Weekly Log'!$M$5:$M$5000&lt;&gt;"")),'Weekly Log'!$M$5:$M$5000),0))</f>
        <v/>
      </c>
      <c r="J783" t="str">
        <f>IF(COUNT('Weekly Log'!$A$5:$A$5000)=0,"",IF(MIN('Weekly Log'!$A$5:$A$5000)+7*(ROW()-10)&gt;MAX('Weekly Log'!$A$5:$A$5000),"",MIN('Weekly Log'!$A$5:$A$5000)+7*(ROW()-10)))</f>
        <v/>
      </c>
    </row>
    <row r="784" spans="1:10" x14ac:dyDescent="0.25">
      <c r="A784" t="str">
        <f t="shared" si="12"/>
        <v/>
      </c>
      <c r="B784" t="str">
        <f>IF($J784="","",SUMIFS('Weekly Log'!$C:$C,'Weekly Log'!$A:$A,"&gt;="&amp;$J784,'Weekly Log'!$A:$A,"&lt;"&amp;$J784+7))</f>
        <v/>
      </c>
      <c r="C784" t="str">
        <f>IF($J784="","",IFERROR(COUNTIFS('Weekly Log'!$G:$G,"Y",'Weekly Log'!$A:$A,"&gt;="&amp;$J784,'Weekly Log'!$A:$A,"&lt;"&amp;$J784+7)/COUNTIFS('Weekly Log'!$G:$G,"&lt;&gt;",'Weekly Log'!$A:$A,"&gt;="&amp;$J784,'Weekly Log'!$A:$A,"&lt;"&amp;$J784+7),0))</f>
        <v/>
      </c>
      <c r="D784" t="str">
        <f>IF($J784="","",IFERROR(COUNTIFS('Weekly Log'!$H:$H,"Y",'Weekly Log'!$A:$A,"&gt;="&amp;$J784,'Weekly Log'!$A:$A,"&lt;"&amp;$J784+7)/COUNTIFS('Weekly Log'!$H:$H,"&lt;&gt;",'Weekly Log'!$A:$A,"&gt;="&amp;$J784,'Weekly Log'!$A:$A,"&lt;"&amp;$J784+7),0))</f>
        <v/>
      </c>
      <c r="E784" t="str">
        <f>IF($J784="","",IFERROR(AVERAGEIFS('Weekly Log'!$F:$F,'Weekly Log'!$A:$A,"&gt;="&amp;$J784,'Weekly Log'!$A:$A,"&lt;"&amp;$J784+7),0))</f>
        <v/>
      </c>
      <c r="F784" t="str">
        <f>IF($J784="","",IFERROR(SUMIFS('Weekly Log'!$F:$F,'Weekly Log'!$A:$A,"&gt;="&amp;$J784,'Weekly Log'!$A:$A,"&lt;"&amp;$J784+7)/SUMIFS('Weekly Log'!$E:$E,'Weekly Log'!$A:$A,"&gt;="&amp;$J784,'Weekly Log'!$A:$A,"&lt;"&amp;$J784+7),0))</f>
        <v/>
      </c>
      <c r="G784" t="str">
        <f>IF($J784="","",IFERROR(LOOKUP(2,1/(('Weekly Log'!$A$5:$A$5000&gt;=$J784)*('Weekly Log'!$A$5:$A$5000&lt;$J784+7)*('Weekly Log'!$M$5:$M$5000&lt;&gt;"")),'Weekly Log'!$M$5:$M$5000),0))</f>
        <v/>
      </c>
      <c r="J784" t="str">
        <f>IF(COUNT('Weekly Log'!$A$5:$A$5000)=0,"",IF(MIN('Weekly Log'!$A$5:$A$5000)+7*(ROW()-10)&gt;MAX('Weekly Log'!$A$5:$A$5000),"",MIN('Weekly Log'!$A$5:$A$5000)+7*(ROW()-10)))</f>
        <v/>
      </c>
    </row>
    <row r="785" spans="1:10" x14ac:dyDescent="0.25">
      <c r="A785" t="str">
        <f t="shared" si="12"/>
        <v/>
      </c>
      <c r="B785" t="str">
        <f>IF($J785="","",SUMIFS('Weekly Log'!$C:$C,'Weekly Log'!$A:$A,"&gt;="&amp;$J785,'Weekly Log'!$A:$A,"&lt;"&amp;$J785+7))</f>
        <v/>
      </c>
      <c r="C785" t="str">
        <f>IF($J785="","",IFERROR(COUNTIFS('Weekly Log'!$G:$G,"Y",'Weekly Log'!$A:$A,"&gt;="&amp;$J785,'Weekly Log'!$A:$A,"&lt;"&amp;$J785+7)/COUNTIFS('Weekly Log'!$G:$G,"&lt;&gt;",'Weekly Log'!$A:$A,"&gt;="&amp;$J785,'Weekly Log'!$A:$A,"&lt;"&amp;$J785+7),0))</f>
        <v/>
      </c>
      <c r="D785" t="str">
        <f>IF($J785="","",IFERROR(COUNTIFS('Weekly Log'!$H:$H,"Y",'Weekly Log'!$A:$A,"&gt;="&amp;$J785,'Weekly Log'!$A:$A,"&lt;"&amp;$J785+7)/COUNTIFS('Weekly Log'!$H:$H,"&lt;&gt;",'Weekly Log'!$A:$A,"&gt;="&amp;$J785,'Weekly Log'!$A:$A,"&lt;"&amp;$J785+7),0))</f>
        <v/>
      </c>
      <c r="E785" t="str">
        <f>IF($J785="","",IFERROR(AVERAGEIFS('Weekly Log'!$F:$F,'Weekly Log'!$A:$A,"&gt;="&amp;$J785,'Weekly Log'!$A:$A,"&lt;"&amp;$J785+7),0))</f>
        <v/>
      </c>
      <c r="F785" t="str">
        <f>IF($J785="","",IFERROR(SUMIFS('Weekly Log'!$F:$F,'Weekly Log'!$A:$A,"&gt;="&amp;$J785,'Weekly Log'!$A:$A,"&lt;"&amp;$J785+7)/SUMIFS('Weekly Log'!$E:$E,'Weekly Log'!$A:$A,"&gt;="&amp;$J785,'Weekly Log'!$A:$A,"&lt;"&amp;$J785+7),0))</f>
        <v/>
      </c>
      <c r="G785" t="str">
        <f>IF($J785="","",IFERROR(LOOKUP(2,1/(('Weekly Log'!$A$5:$A$5000&gt;=$J785)*('Weekly Log'!$A$5:$A$5000&lt;$J785+7)*('Weekly Log'!$M$5:$M$5000&lt;&gt;"")),'Weekly Log'!$M$5:$M$5000),0))</f>
        <v/>
      </c>
      <c r="J785" t="str">
        <f>IF(COUNT('Weekly Log'!$A$5:$A$5000)=0,"",IF(MIN('Weekly Log'!$A$5:$A$5000)+7*(ROW()-10)&gt;MAX('Weekly Log'!$A$5:$A$5000),"",MIN('Weekly Log'!$A$5:$A$5000)+7*(ROW()-10)))</f>
        <v/>
      </c>
    </row>
    <row r="786" spans="1:10" x14ac:dyDescent="0.25">
      <c r="A786" t="str">
        <f t="shared" si="12"/>
        <v/>
      </c>
      <c r="B786" t="str">
        <f>IF($J786="","",SUMIFS('Weekly Log'!$C:$C,'Weekly Log'!$A:$A,"&gt;="&amp;$J786,'Weekly Log'!$A:$A,"&lt;"&amp;$J786+7))</f>
        <v/>
      </c>
      <c r="C786" t="str">
        <f>IF($J786="","",IFERROR(COUNTIFS('Weekly Log'!$G:$G,"Y",'Weekly Log'!$A:$A,"&gt;="&amp;$J786,'Weekly Log'!$A:$A,"&lt;"&amp;$J786+7)/COUNTIFS('Weekly Log'!$G:$G,"&lt;&gt;",'Weekly Log'!$A:$A,"&gt;="&amp;$J786,'Weekly Log'!$A:$A,"&lt;"&amp;$J786+7),0))</f>
        <v/>
      </c>
      <c r="D786" t="str">
        <f>IF($J786="","",IFERROR(COUNTIFS('Weekly Log'!$H:$H,"Y",'Weekly Log'!$A:$A,"&gt;="&amp;$J786,'Weekly Log'!$A:$A,"&lt;"&amp;$J786+7)/COUNTIFS('Weekly Log'!$H:$H,"&lt;&gt;",'Weekly Log'!$A:$A,"&gt;="&amp;$J786,'Weekly Log'!$A:$A,"&lt;"&amp;$J786+7),0))</f>
        <v/>
      </c>
      <c r="E786" t="str">
        <f>IF($J786="","",IFERROR(AVERAGEIFS('Weekly Log'!$F:$F,'Weekly Log'!$A:$A,"&gt;="&amp;$J786,'Weekly Log'!$A:$A,"&lt;"&amp;$J786+7),0))</f>
        <v/>
      </c>
      <c r="F786" t="str">
        <f>IF($J786="","",IFERROR(SUMIFS('Weekly Log'!$F:$F,'Weekly Log'!$A:$A,"&gt;="&amp;$J786,'Weekly Log'!$A:$A,"&lt;"&amp;$J786+7)/SUMIFS('Weekly Log'!$E:$E,'Weekly Log'!$A:$A,"&gt;="&amp;$J786,'Weekly Log'!$A:$A,"&lt;"&amp;$J786+7),0))</f>
        <v/>
      </c>
      <c r="G786" t="str">
        <f>IF($J786="","",IFERROR(LOOKUP(2,1/(('Weekly Log'!$A$5:$A$5000&gt;=$J786)*('Weekly Log'!$A$5:$A$5000&lt;$J786+7)*('Weekly Log'!$M$5:$M$5000&lt;&gt;"")),'Weekly Log'!$M$5:$M$5000),0))</f>
        <v/>
      </c>
      <c r="J786" t="str">
        <f>IF(COUNT('Weekly Log'!$A$5:$A$5000)=0,"",IF(MIN('Weekly Log'!$A$5:$A$5000)+7*(ROW()-10)&gt;MAX('Weekly Log'!$A$5:$A$5000),"",MIN('Weekly Log'!$A$5:$A$5000)+7*(ROW()-10)))</f>
        <v/>
      </c>
    </row>
    <row r="787" spans="1:10" x14ac:dyDescent="0.25">
      <c r="A787" t="str">
        <f t="shared" si="12"/>
        <v/>
      </c>
      <c r="B787" t="str">
        <f>IF($J787="","",SUMIFS('Weekly Log'!$C:$C,'Weekly Log'!$A:$A,"&gt;="&amp;$J787,'Weekly Log'!$A:$A,"&lt;"&amp;$J787+7))</f>
        <v/>
      </c>
      <c r="C787" t="str">
        <f>IF($J787="","",IFERROR(COUNTIFS('Weekly Log'!$G:$G,"Y",'Weekly Log'!$A:$A,"&gt;="&amp;$J787,'Weekly Log'!$A:$A,"&lt;"&amp;$J787+7)/COUNTIFS('Weekly Log'!$G:$G,"&lt;&gt;",'Weekly Log'!$A:$A,"&gt;="&amp;$J787,'Weekly Log'!$A:$A,"&lt;"&amp;$J787+7),0))</f>
        <v/>
      </c>
      <c r="D787" t="str">
        <f>IF($J787="","",IFERROR(COUNTIFS('Weekly Log'!$H:$H,"Y",'Weekly Log'!$A:$A,"&gt;="&amp;$J787,'Weekly Log'!$A:$A,"&lt;"&amp;$J787+7)/COUNTIFS('Weekly Log'!$H:$H,"&lt;&gt;",'Weekly Log'!$A:$A,"&gt;="&amp;$J787,'Weekly Log'!$A:$A,"&lt;"&amp;$J787+7),0))</f>
        <v/>
      </c>
      <c r="E787" t="str">
        <f>IF($J787="","",IFERROR(AVERAGEIFS('Weekly Log'!$F:$F,'Weekly Log'!$A:$A,"&gt;="&amp;$J787,'Weekly Log'!$A:$A,"&lt;"&amp;$J787+7),0))</f>
        <v/>
      </c>
      <c r="F787" t="str">
        <f>IF($J787="","",IFERROR(SUMIFS('Weekly Log'!$F:$F,'Weekly Log'!$A:$A,"&gt;="&amp;$J787,'Weekly Log'!$A:$A,"&lt;"&amp;$J787+7)/SUMIFS('Weekly Log'!$E:$E,'Weekly Log'!$A:$A,"&gt;="&amp;$J787,'Weekly Log'!$A:$A,"&lt;"&amp;$J787+7),0))</f>
        <v/>
      </c>
      <c r="G787" t="str">
        <f>IF($J787="","",IFERROR(LOOKUP(2,1/(('Weekly Log'!$A$5:$A$5000&gt;=$J787)*('Weekly Log'!$A$5:$A$5000&lt;$J787+7)*('Weekly Log'!$M$5:$M$5000&lt;&gt;"")),'Weekly Log'!$M$5:$M$5000),0))</f>
        <v/>
      </c>
      <c r="J787" t="str">
        <f>IF(COUNT('Weekly Log'!$A$5:$A$5000)=0,"",IF(MIN('Weekly Log'!$A$5:$A$5000)+7*(ROW()-10)&gt;MAX('Weekly Log'!$A$5:$A$5000),"",MIN('Weekly Log'!$A$5:$A$5000)+7*(ROW()-10)))</f>
        <v/>
      </c>
    </row>
    <row r="788" spans="1:10" x14ac:dyDescent="0.25">
      <c r="A788" t="str">
        <f t="shared" si="12"/>
        <v/>
      </c>
      <c r="B788" t="str">
        <f>IF($J788="","",SUMIFS('Weekly Log'!$C:$C,'Weekly Log'!$A:$A,"&gt;="&amp;$J788,'Weekly Log'!$A:$A,"&lt;"&amp;$J788+7))</f>
        <v/>
      </c>
      <c r="C788" t="str">
        <f>IF($J788="","",IFERROR(COUNTIFS('Weekly Log'!$G:$G,"Y",'Weekly Log'!$A:$A,"&gt;="&amp;$J788,'Weekly Log'!$A:$A,"&lt;"&amp;$J788+7)/COUNTIFS('Weekly Log'!$G:$G,"&lt;&gt;",'Weekly Log'!$A:$A,"&gt;="&amp;$J788,'Weekly Log'!$A:$A,"&lt;"&amp;$J788+7),0))</f>
        <v/>
      </c>
      <c r="D788" t="str">
        <f>IF($J788="","",IFERROR(COUNTIFS('Weekly Log'!$H:$H,"Y",'Weekly Log'!$A:$A,"&gt;="&amp;$J788,'Weekly Log'!$A:$A,"&lt;"&amp;$J788+7)/COUNTIFS('Weekly Log'!$H:$H,"&lt;&gt;",'Weekly Log'!$A:$A,"&gt;="&amp;$J788,'Weekly Log'!$A:$A,"&lt;"&amp;$J788+7),0))</f>
        <v/>
      </c>
      <c r="E788" t="str">
        <f>IF($J788="","",IFERROR(AVERAGEIFS('Weekly Log'!$F:$F,'Weekly Log'!$A:$A,"&gt;="&amp;$J788,'Weekly Log'!$A:$A,"&lt;"&amp;$J788+7),0))</f>
        <v/>
      </c>
      <c r="F788" t="str">
        <f>IF($J788="","",IFERROR(SUMIFS('Weekly Log'!$F:$F,'Weekly Log'!$A:$A,"&gt;="&amp;$J788,'Weekly Log'!$A:$A,"&lt;"&amp;$J788+7)/SUMIFS('Weekly Log'!$E:$E,'Weekly Log'!$A:$A,"&gt;="&amp;$J788,'Weekly Log'!$A:$A,"&lt;"&amp;$J788+7),0))</f>
        <v/>
      </c>
      <c r="G788" t="str">
        <f>IF($J788="","",IFERROR(LOOKUP(2,1/(('Weekly Log'!$A$5:$A$5000&gt;=$J788)*('Weekly Log'!$A$5:$A$5000&lt;$J788+7)*('Weekly Log'!$M$5:$M$5000&lt;&gt;"")),'Weekly Log'!$M$5:$M$5000),0))</f>
        <v/>
      </c>
      <c r="J788" t="str">
        <f>IF(COUNT('Weekly Log'!$A$5:$A$5000)=0,"",IF(MIN('Weekly Log'!$A$5:$A$5000)+7*(ROW()-10)&gt;MAX('Weekly Log'!$A$5:$A$5000),"",MIN('Weekly Log'!$A$5:$A$5000)+7*(ROW()-10)))</f>
        <v/>
      </c>
    </row>
    <row r="789" spans="1:10" x14ac:dyDescent="0.25">
      <c r="A789" t="str">
        <f t="shared" si="12"/>
        <v/>
      </c>
      <c r="B789" t="str">
        <f>IF($J789="","",SUMIFS('Weekly Log'!$C:$C,'Weekly Log'!$A:$A,"&gt;="&amp;$J789,'Weekly Log'!$A:$A,"&lt;"&amp;$J789+7))</f>
        <v/>
      </c>
      <c r="C789" t="str">
        <f>IF($J789="","",IFERROR(COUNTIFS('Weekly Log'!$G:$G,"Y",'Weekly Log'!$A:$A,"&gt;="&amp;$J789,'Weekly Log'!$A:$A,"&lt;"&amp;$J789+7)/COUNTIFS('Weekly Log'!$G:$G,"&lt;&gt;",'Weekly Log'!$A:$A,"&gt;="&amp;$J789,'Weekly Log'!$A:$A,"&lt;"&amp;$J789+7),0))</f>
        <v/>
      </c>
      <c r="D789" t="str">
        <f>IF($J789="","",IFERROR(COUNTIFS('Weekly Log'!$H:$H,"Y",'Weekly Log'!$A:$A,"&gt;="&amp;$J789,'Weekly Log'!$A:$A,"&lt;"&amp;$J789+7)/COUNTIFS('Weekly Log'!$H:$H,"&lt;&gt;",'Weekly Log'!$A:$A,"&gt;="&amp;$J789,'Weekly Log'!$A:$A,"&lt;"&amp;$J789+7),0))</f>
        <v/>
      </c>
      <c r="E789" t="str">
        <f>IF($J789="","",IFERROR(AVERAGEIFS('Weekly Log'!$F:$F,'Weekly Log'!$A:$A,"&gt;="&amp;$J789,'Weekly Log'!$A:$A,"&lt;"&amp;$J789+7),0))</f>
        <v/>
      </c>
      <c r="F789" t="str">
        <f>IF($J789="","",IFERROR(SUMIFS('Weekly Log'!$F:$F,'Weekly Log'!$A:$A,"&gt;="&amp;$J789,'Weekly Log'!$A:$A,"&lt;"&amp;$J789+7)/SUMIFS('Weekly Log'!$E:$E,'Weekly Log'!$A:$A,"&gt;="&amp;$J789,'Weekly Log'!$A:$A,"&lt;"&amp;$J789+7),0))</f>
        <v/>
      </c>
      <c r="G789" t="str">
        <f>IF($J789="","",IFERROR(LOOKUP(2,1/(('Weekly Log'!$A$5:$A$5000&gt;=$J789)*('Weekly Log'!$A$5:$A$5000&lt;$J789+7)*('Weekly Log'!$M$5:$M$5000&lt;&gt;"")),'Weekly Log'!$M$5:$M$5000),0))</f>
        <v/>
      </c>
      <c r="J789" t="str">
        <f>IF(COUNT('Weekly Log'!$A$5:$A$5000)=0,"",IF(MIN('Weekly Log'!$A$5:$A$5000)+7*(ROW()-10)&gt;MAX('Weekly Log'!$A$5:$A$5000),"",MIN('Weekly Log'!$A$5:$A$5000)+7*(ROW()-10)))</f>
        <v/>
      </c>
    </row>
    <row r="790" spans="1:10" x14ac:dyDescent="0.25">
      <c r="A790" t="str">
        <f t="shared" si="12"/>
        <v/>
      </c>
      <c r="B790" t="str">
        <f>IF($J790="","",SUMIFS('Weekly Log'!$C:$C,'Weekly Log'!$A:$A,"&gt;="&amp;$J790,'Weekly Log'!$A:$A,"&lt;"&amp;$J790+7))</f>
        <v/>
      </c>
      <c r="C790" t="str">
        <f>IF($J790="","",IFERROR(COUNTIFS('Weekly Log'!$G:$G,"Y",'Weekly Log'!$A:$A,"&gt;="&amp;$J790,'Weekly Log'!$A:$A,"&lt;"&amp;$J790+7)/COUNTIFS('Weekly Log'!$G:$G,"&lt;&gt;",'Weekly Log'!$A:$A,"&gt;="&amp;$J790,'Weekly Log'!$A:$A,"&lt;"&amp;$J790+7),0))</f>
        <v/>
      </c>
      <c r="D790" t="str">
        <f>IF($J790="","",IFERROR(COUNTIFS('Weekly Log'!$H:$H,"Y",'Weekly Log'!$A:$A,"&gt;="&amp;$J790,'Weekly Log'!$A:$A,"&lt;"&amp;$J790+7)/COUNTIFS('Weekly Log'!$H:$H,"&lt;&gt;",'Weekly Log'!$A:$A,"&gt;="&amp;$J790,'Weekly Log'!$A:$A,"&lt;"&amp;$J790+7),0))</f>
        <v/>
      </c>
      <c r="E790" t="str">
        <f>IF($J790="","",IFERROR(AVERAGEIFS('Weekly Log'!$F:$F,'Weekly Log'!$A:$A,"&gt;="&amp;$J790,'Weekly Log'!$A:$A,"&lt;"&amp;$J790+7),0))</f>
        <v/>
      </c>
      <c r="F790" t="str">
        <f>IF($J790="","",IFERROR(SUMIFS('Weekly Log'!$F:$F,'Weekly Log'!$A:$A,"&gt;="&amp;$J790,'Weekly Log'!$A:$A,"&lt;"&amp;$J790+7)/SUMIFS('Weekly Log'!$E:$E,'Weekly Log'!$A:$A,"&gt;="&amp;$J790,'Weekly Log'!$A:$A,"&lt;"&amp;$J790+7),0))</f>
        <v/>
      </c>
      <c r="G790" t="str">
        <f>IF($J790="","",IFERROR(LOOKUP(2,1/(('Weekly Log'!$A$5:$A$5000&gt;=$J790)*('Weekly Log'!$A$5:$A$5000&lt;$J790+7)*('Weekly Log'!$M$5:$M$5000&lt;&gt;"")),'Weekly Log'!$M$5:$M$5000),0))</f>
        <v/>
      </c>
      <c r="J790" t="str">
        <f>IF(COUNT('Weekly Log'!$A$5:$A$5000)=0,"",IF(MIN('Weekly Log'!$A$5:$A$5000)+7*(ROW()-10)&gt;MAX('Weekly Log'!$A$5:$A$5000),"",MIN('Weekly Log'!$A$5:$A$5000)+7*(ROW()-10)))</f>
        <v/>
      </c>
    </row>
    <row r="791" spans="1:10" x14ac:dyDescent="0.25">
      <c r="A791" t="str">
        <f t="shared" si="12"/>
        <v/>
      </c>
      <c r="B791" t="str">
        <f>IF($J791="","",SUMIFS('Weekly Log'!$C:$C,'Weekly Log'!$A:$A,"&gt;="&amp;$J791,'Weekly Log'!$A:$A,"&lt;"&amp;$J791+7))</f>
        <v/>
      </c>
      <c r="C791" t="str">
        <f>IF($J791="","",IFERROR(COUNTIFS('Weekly Log'!$G:$G,"Y",'Weekly Log'!$A:$A,"&gt;="&amp;$J791,'Weekly Log'!$A:$A,"&lt;"&amp;$J791+7)/COUNTIFS('Weekly Log'!$G:$G,"&lt;&gt;",'Weekly Log'!$A:$A,"&gt;="&amp;$J791,'Weekly Log'!$A:$A,"&lt;"&amp;$J791+7),0))</f>
        <v/>
      </c>
      <c r="D791" t="str">
        <f>IF($J791="","",IFERROR(COUNTIFS('Weekly Log'!$H:$H,"Y",'Weekly Log'!$A:$A,"&gt;="&amp;$J791,'Weekly Log'!$A:$A,"&lt;"&amp;$J791+7)/COUNTIFS('Weekly Log'!$H:$H,"&lt;&gt;",'Weekly Log'!$A:$A,"&gt;="&amp;$J791,'Weekly Log'!$A:$A,"&lt;"&amp;$J791+7),0))</f>
        <v/>
      </c>
      <c r="E791" t="str">
        <f>IF($J791="","",IFERROR(AVERAGEIFS('Weekly Log'!$F:$F,'Weekly Log'!$A:$A,"&gt;="&amp;$J791,'Weekly Log'!$A:$A,"&lt;"&amp;$J791+7),0))</f>
        <v/>
      </c>
      <c r="F791" t="str">
        <f>IF($J791="","",IFERROR(SUMIFS('Weekly Log'!$F:$F,'Weekly Log'!$A:$A,"&gt;="&amp;$J791,'Weekly Log'!$A:$A,"&lt;"&amp;$J791+7)/SUMIFS('Weekly Log'!$E:$E,'Weekly Log'!$A:$A,"&gt;="&amp;$J791,'Weekly Log'!$A:$A,"&lt;"&amp;$J791+7),0))</f>
        <v/>
      </c>
      <c r="G791" t="str">
        <f>IF($J791="","",IFERROR(LOOKUP(2,1/(('Weekly Log'!$A$5:$A$5000&gt;=$J791)*('Weekly Log'!$A$5:$A$5000&lt;$J791+7)*('Weekly Log'!$M$5:$M$5000&lt;&gt;"")),'Weekly Log'!$M$5:$M$5000),0))</f>
        <v/>
      </c>
      <c r="J791" t="str">
        <f>IF(COUNT('Weekly Log'!$A$5:$A$5000)=0,"",IF(MIN('Weekly Log'!$A$5:$A$5000)+7*(ROW()-10)&gt;MAX('Weekly Log'!$A$5:$A$5000),"",MIN('Weekly Log'!$A$5:$A$5000)+7*(ROW()-10)))</f>
        <v/>
      </c>
    </row>
    <row r="792" spans="1:10" x14ac:dyDescent="0.25">
      <c r="A792" t="str">
        <f t="shared" si="12"/>
        <v/>
      </c>
      <c r="B792" t="str">
        <f>IF($J792="","",SUMIFS('Weekly Log'!$C:$C,'Weekly Log'!$A:$A,"&gt;="&amp;$J792,'Weekly Log'!$A:$A,"&lt;"&amp;$J792+7))</f>
        <v/>
      </c>
      <c r="C792" t="str">
        <f>IF($J792="","",IFERROR(COUNTIFS('Weekly Log'!$G:$G,"Y",'Weekly Log'!$A:$A,"&gt;="&amp;$J792,'Weekly Log'!$A:$A,"&lt;"&amp;$J792+7)/COUNTIFS('Weekly Log'!$G:$G,"&lt;&gt;",'Weekly Log'!$A:$A,"&gt;="&amp;$J792,'Weekly Log'!$A:$A,"&lt;"&amp;$J792+7),0))</f>
        <v/>
      </c>
      <c r="D792" t="str">
        <f>IF($J792="","",IFERROR(COUNTIFS('Weekly Log'!$H:$H,"Y",'Weekly Log'!$A:$A,"&gt;="&amp;$J792,'Weekly Log'!$A:$A,"&lt;"&amp;$J792+7)/COUNTIFS('Weekly Log'!$H:$H,"&lt;&gt;",'Weekly Log'!$A:$A,"&gt;="&amp;$J792,'Weekly Log'!$A:$A,"&lt;"&amp;$J792+7),0))</f>
        <v/>
      </c>
      <c r="E792" t="str">
        <f>IF($J792="","",IFERROR(AVERAGEIFS('Weekly Log'!$F:$F,'Weekly Log'!$A:$A,"&gt;="&amp;$J792,'Weekly Log'!$A:$A,"&lt;"&amp;$J792+7),0))</f>
        <v/>
      </c>
      <c r="F792" t="str">
        <f>IF($J792="","",IFERROR(SUMIFS('Weekly Log'!$F:$F,'Weekly Log'!$A:$A,"&gt;="&amp;$J792,'Weekly Log'!$A:$A,"&lt;"&amp;$J792+7)/SUMIFS('Weekly Log'!$E:$E,'Weekly Log'!$A:$A,"&gt;="&amp;$J792,'Weekly Log'!$A:$A,"&lt;"&amp;$J792+7),0))</f>
        <v/>
      </c>
      <c r="G792" t="str">
        <f>IF($J792="","",IFERROR(LOOKUP(2,1/(('Weekly Log'!$A$5:$A$5000&gt;=$J792)*('Weekly Log'!$A$5:$A$5000&lt;$J792+7)*('Weekly Log'!$M$5:$M$5000&lt;&gt;"")),'Weekly Log'!$M$5:$M$5000),0))</f>
        <v/>
      </c>
      <c r="J792" t="str">
        <f>IF(COUNT('Weekly Log'!$A$5:$A$5000)=0,"",IF(MIN('Weekly Log'!$A$5:$A$5000)+7*(ROW()-10)&gt;MAX('Weekly Log'!$A$5:$A$5000),"",MIN('Weekly Log'!$A$5:$A$5000)+7*(ROW()-10)))</f>
        <v/>
      </c>
    </row>
    <row r="793" spans="1:10" x14ac:dyDescent="0.25">
      <c r="A793" t="str">
        <f t="shared" si="12"/>
        <v/>
      </c>
      <c r="B793" t="str">
        <f>IF($J793="","",SUMIFS('Weekly Log'!$C:$C,'Weekly Log'!$A:$A,"&gt;="&amp;$J793,'Weekly Log'!$A:$A,"&lt;"&amp;$J793+7))</f>
        <v/>
      </c>
      <c r="C793" t="str">
        <f>IF($J793="","",IFERROR(COUNTIFS('Weekly Log'!$G:$G,"Y",'Weekly Log'!$A:$A,"&gt;="&amp;$J793,'Weekly Log'!$A:$A,"&lt;"&amp;$J793+7)/COUNTIFS('Weekly Log'!$G:$G,"&lt;&gt;",'Weekly Log'!$A:$A,"&gt;="&amp;$J793,'Weekly Log'!$A:$A,"&lt;"&amp;$J793+7),0))</f>
        <v/>
      </c>
      <c r="D793" t="str">
        <f>IF($J793="","",IFERROR(COUNTIFS('Weekly Log'!$H:$H,"Y",'Weekly Log'!$A:$A,"&gt;="&amp;$J793,'Weekly Log'!$A:$A,"&lt;"&amp;$J793+7)/COUNTIFS('Weekly Log'!$H:$H,"&lt;&gt;",'Weekly Log'!$A:$A,"&gt;="&amp;$J793,'Weekly Log'!$A:$A,"&lt;"&amp;$J793+7),0))</f>
        <v/>
      </c>
      <c r="E793" t="str">
        <f>IF($J793="","",IFERROR(AVERAGEIFS('Weekly Log'!$F:$F,'Weekly Log'!$A:$A,"&gt;="&amp;$J793,'Weekly Log'!$A:$A,"&lt;"&amp;$J793+7),0))</f>
        <v/>
      </c>
      <c r="F793" t="str">
        <f>IF($J793="","",IFERROR(SUMIFS('Weekly Log'!$F:$F,'Weekly Log'!$A:$A,"&gt;="&amp;$J793,'Weekly Log'!$A:$A,"&lt;"&amp;$J793+7)/SUMIFS('Weekly Log'!$E:$E,'Weekly Log'!$A:$A,"&gt;="&amp;$J793,'Weekly Log'!$A:$A,"&lt;"&amp;$J793+7),0))</f>
        <v/>
      </c>
      <c r="G793" t="str">
        <f>IF($J793="","",IFERROR(LOOKUP(2,1/(('Weekly Log'!$A$5:$A$5000&gt;=$J793)*('Weekly Log'!$A$5:$A$5000&lt;$J793+7)*('Weekly Log'!$M$5:$M$5000&lt;&gt;"")),'Weekly Log'!$M$5:$M$5000),0))</f>
        <v/>
      </c>
      <c r="J793" t="str">
        <f>IF(COUNT('Weekly Log'!$A$5:$A$5000)=0,"",IF(MIN('Weekly Log'!$A$5:$A$5000)+7*(ROW()-10)&gt;MAX('Weekly Log'!$A$5:$A$5000),"",MIN('Weekly Log'!$A$5:$A$5000)+7*(ROW()-10)))</f>
        <v/>
      </c>
    </row>
    <row r="794" spans="1:10" x14ac:dyDescent="0.25">
      <c r="A794" t="str">
        <f t="shared" si="12"/>
        <v/>
      </c>
      <c r="B794" t="str">
        <f>IF($J794="","",SUMIFS('Weekly Log'!$C:$C,'Weekly Log'!$A:$A,"&gt;="&amp;$J794,'Weekly Log'!$A:$A,"&lt;"&amp;$J794+7))</f>
        <v/>
      </c>
      <c r="C794" t="str">
        <f>IF($J794="","",IFERROR(COUNTIFS('Weekly Log'!$G:$G,"Y",'Weekly Log'!$A:$A,"&gt;="&amp;$J794,'Weekly Log'!$A:$A,"&lt;"&amp;$J794+7)/COUNTIFS('Weekly Log'!$G:$G,"&lt;&gt;",'Weekly Log'!$A:$A,"&gt;="&amp;$J794,'Weekly Log'!$A:$A,"&lt;"&amp;$J794+7),0))</f>
        <v/>
      </c>
      <c r="D794" t="str">
        <f>IF($J794="","",IFERROR(COUNTIFS('Weekly Log'!$H:$H,"Y",'Weekly Log'!$A:$A,"&gt;="&amp;$J794,'Weekly Log'!$A:$A,"&lt;"&amp;$J794+7)/COUNTIFS('Weekly Log'!$H:$H,"&lt;&gt;",'Weekly Log'!$A:$A,"&gt;="&amp;$J794,'Weekly Log'!$A:$A,"&lt;"&amp;$J794+7),0))</f>
        <v/>
      </c>
      <c r="E794" t="str">
        <f>IF($J794="","",IFERROR(AVERAGEIFS('Weekly Log'!$F:$F,'Weekly Log'!$A:$A,"&gt;="&amp;$J794,'Weekly Log'!$A:$A,"&lt;"&amp;$J794+7),0))</f>
        <v/>
      </c>
      <c r="F794" t="str">
        <f>IF($J794="","",IFERROR(SUMIFS('Weekly Log'!$F:$F,'Weekly Log'!$A:$A,"&gt;="&amp;$J794,'Weekly Log'!$A:$A,"&lt;"&amp;$J794+7)/SUMIFS('Weekly Log'!$E:$E,'Weekly Log'!$A:$A,"&gt;="&amp;$J794,'Weekly Log'!$A:$A,"&lt;"&amp;$J794+7),0))</f>
        <v/>
      </c>
      <c r="G794" t="str">
        <f>IF($J794="","",IFERROR(LOOKUP(2,1/(('Weekly Log'!$A$5:$A$5000&gt;=$J794)*('Weekly Log'!$A$5:$A$5000&lt;$J794+7)*('Weekly Log'!$M$5:$M$5000&lt;&gt;"")),'Weekly Log'!$M$5:$M$5000),0))</f>
        <v/>
      </c>
      <c r="J794" t="str">
        <f>IF(COUNT('Weekly Log'!$A$5:$A$5000)=0,"",IF(MIN('Weekly Log'!$A$5:$A$5000)+7*(ROW()-10)&gt;MAX('Weekly Log'!$A$5:$A$5000),"",MIN('Weekly Log'!$A$5:$A$5000)+7*(ROW()-10)))</f>
        <v/>
      </c>
    </row>
    <row r="795" spans="1:10" x14ac:dyDescent="0.25">
      <c r="A795" t="str">
        <f t="shared" si="12"/>
        <v/>
      </c>
      <c r="B795" t="str">
        <f>IF($J795="","",SUMIFS('Weekly Log'!$C:$C,'Weekly Log'!$A:$A,"&gt;="&amp;$J795,'Weekly Log'!$A:$A,"&lt;"&amp;$J795+7))</f>
        <v/>
      </c>
      <c r="C795" t="str">
        <f>IF($J795="","",IFERROR(COUNTIFS('Weekly Log'!$G:$G,"Y",'Weekly Log'!$A:$A,"&gt;="&amp;$J795,'Weekly Log'!$A:$A,"&lt;"&amp;$J795+7)/COUNTIFS('Weekly Log'!$G:$G,"&lt;&gt;",'Weekly Log'!$A:$A,"&gt;="&amp;$J795,'Weekly Log'!$A:$A,"&lt;"&amp;$J795+7),0))</f>
        <v/>
      </c>
      <c r="D795" t="str">
        <f>IF($J795="","",IFERROR(COUNTIFS('Weekly Log'!$H:$H,"Y",'Weekly Log'!$A:$A,"&gt;="&amp;$J795,'Weekly Log'!$A:$A,"&lt;"&amp;$J795+7)/COUNTIFS('Weekly Log'!$H:$H,"&lt;&gt;",'Weekly Log'!$A:$A,"&gt;="&amp;$J795,'Weekly Log'!$A:$A,"&lt;"&amp;$J795+7),0))</f>
        <v/>
      </c>
      <c r="E795" t="str">
        <f>IF($J795="","",IFERROR(AVERAGEIFS('Weekly Log'!$F:$F,'Weekly Log'!$A:$A,"&gt;="&amp;$J795,'Weekly Log'!$A:$A,"&lt;"&amp;$J795+7),0))</f>
        <v/>
      </c>
      <c r="F795" t="str">
        <f>IF($J795="","",IFERROR(SUMIFS('Weekly Log'!$F:$F,'Weekly Log'!$A:$A,"&gt;="&amp;$J795,'Weekly Log'!$A:$A,"&lt;"&amp;$J795+7)/SUMIFS('Weekly Log'!$E:$E,'Weekly Log'!$A:$A,"&gt;="&amp;$J795,'Weekly Log'!$A:$A,"&lt;"&amp;$J795+7),0))</f>
        <v/>
      </c>
      <c r="G795" t="str">
        <f>IF($J795="","",IFERROR(LOOKUP(2,1/(('Weekly Log'!$A$5:$A$5000&gt;=$J795)*('Weekly Log'!$A$5:$A$5000&lt;$J795+7)*('Weekly Log'!$M$5:$M$5000&lt;&gt;"")),'Weekly Log'!$M$5:$M$5000),0))</f>
        <v/>
      </c>
      <c r="J795" t="str">
        <f>IF(COUNT('Weekly Log'!$A$5:$A$5000)=0,"",IF(MIN('Weekly Log'!$A$5:$A$5000)+7*(ROW()-10)&gt;MAX('Weekly Log'!$A$5:$A$5000),"",MIN('Weekly Log'!$A$5:$A$5000)+7*(ROW()-10)))</f>
        <v/>
      </c>
    </row>
    <row r="796" spans="1:10" x14ac:dyDescent="0.25">
      <c r="A796" t="str">
        <f t="shared" si="12"/>
        <v/>
      </c>
      <c r="B796" t="str">
        <f>IF($J796="","",SUMIFS('Weekly Log'!$C:$C,'Weekly Log'!$A:$A,"&gt;="&amp;$J796,'Weekly Log'!$A:$A,"&lt;"&amp;$J796+7))</f>
        <v/>
      </c>
      <c r="C796" t="str">
        <f>IF($J796="","",IFERROR(COUNTIFS('Weekly Log'!$G:$G,"Y",'Weekly Log'!$A:$A,"&gt;="&amp;$J796,'Weekly Log'!$A:$A,"&lt;"&amp;$J796+7)/COUNTIFS('Weekly Log'!$G:$G,"&lt;&gt;",'Weekly Log'!$A:$A,"&gt;="&amp;$J796,'Weekly Log'!$A:$A,"&lt;"&amp;$J796+7),0))</f>
        <v/>
      </c>
      <c r="D796" t="str">
        <f>IF($J796="","",IFERROR(COUNTIFS('Weekly Log'!$H:$H,"Y",'Weekly Log'!$A:$A,"&gt;="&amp;$J796,'Weekly Log'!$A:$A,"&lt;"&amp;$J796+7)/COUNTIFS('Weekly Log'!$H:$H,"&lt;&gt;",'Weekly Log'!$A:$A,"&gt;="&amp;$J796,'Weekly Log'!$A:$A,"&lt;"&amp;$J796+7),0))</f>
        <v/>
      </c>
      <c r="E796" t="str">
        <f>IF($J796="","",IFERROR(AVERAGEIFS('Weekly Log'!$F:$F,'Weekly Log'!$A:$A,"&gt;="&amp;$J796,'Weekly Log'!$A:$A,"&lt;"&amp;$J796+7),0))</f>
        <v/>
      </c>
      <c r="F796" t="str">
        <f>IF($J796="","",IFERROR(SUMIFS('Weekly Log'!$F:$F,'Weekly Log'!$A:$A,"&gt;="&amp;$J796,'Weekly Log'!$A:$A,"&lt;"&amp;$J796+7)/SUMIFS('Weekly Log'!$E:$E,'Weekly Log'!$A:$A,"&gt;="&amp;$J796,'Weekly Log'!$A:$A,"&lt;"&amp;$J796+7),0))</f>
        <v/>
      </c>
      <c r="G796" t="str">
        <f>IF($J796="","",IFERROR(LOOKUP(2,1/(('Weekly Log'!$A$5:$A$5000&gt;=$J796)*('Weekly Log'!$A$5:$A$5000&lt;$J796+7)*('Weekly Log'!$M$5:$M$5000&lt;&gt;"")),'Weekly Log'!$M$5:$M$5000),0))</f>
        <v/>
      </c>
      <c r="J796" t="str">
        <f>IF(COUNT('Weekly Log'!$A$5:$A$5000)=0,"",IF(MIN('Weekly Log'!$A$5:$A$5000)+7*(ROW()-10)&gt;MAX('Weekly Log'!$A$5:$A$5000),"",MIN('Weekly Log'!$A$5:$A$5000)+7*(ROW()-10)))</f>
        <v/>
      </c>
    </row>
    <row r="797" spans="1:10" x14ac:dyDescent="0.25">
      <c r="A797" t="str">
        <f t="shared" si="12"/>
        <v/>
      </c>
      <c r="B797" t="str">
        <f>IF($J797="","",SUMIFS('Weekly Log'!$C:$C,'Weekly Log'!$A:$A,"&gt;="&amp;$J797,'Weekly Log'!$A:$A,"&lt;"&amp;$J797+7))</f>
        <v/>
      </c>
      <c r="C797" t="str">
        <f>IF($J797="","",IFERROR(COUNTIFS('Weekly Log'!$G:$G,"Y",'Weekly Log'!$A:$A,"&gt;="&amp;$J797,'Weekly Log'!$A:$A,"&lt;"&amp;$J797+7)/COUNTIFS('Weekly Log'!$G:$G,"&lt;&gt;",'Weekly Log'!$A:$A,"&gt;="&amp;$J797,'Weekly Log'!$A:$A,"&lt;"&amp;$J797+7),0))</f>
        <v/>
      </c>
      <c r="D797" t="str">
        <f>IF($J797="","",IFERROR(COUNTIFS('Weekly Log'!$H:$H,"Y",'Weekly Log'!$A:$A,"&gt;="&amp;$J797,'Weekly Log'!$A:$A,"&lt;"&amp;$J797+7)/COUNTIFS('Weekly Log'!$H:$H,"&lt;&gt;",'Weekly Log'!$A:$A,"&gt;="&amp;$J797,'Weekly Log'!$A:$A,"&lt;"&amp;$J797+7),0))</f>
        <v/>
      </c>
      <c r="E797" t="str">
        <f>IF($J797="","",IFERROR(AVERAGEIFS('Weekly Log'!$F:$F,'Weekly Log'!$A:$A,"&gt;="&amp;$J797,'Weekly Log'!$A:$A,"&lt;"&amp;$J797+7),0))</f>
        <v/>
      </c>
      <c r="F797" t="str">
        <f>IF($J797="","",IFERROR(SUMIFS('Weekly Log'!$F:$F,'Weekly Log'!$A:$A,"&gt;="&amp;$J797,'Weekly Log'!$A:$A,"&lt;"&amp;$J797+7)/SUMIFS('Weekly Log'!$E:$E,'Weekly Log'!$A:$A,"&gt;="&amp;$J797,'Weekly Log'!$A:$A,"&lt;"&amp;$J797+7),0))</f>
        <v/>
      </c>
      <c r="G797" t="str">
        <f>IF($J797="","",IFERROR(LOOKUP(2,1/(('Weekly Log'!$A$5:$A$5000&gt;=$J797)*('Weekly Log'!$A$5:$A$5000&lt;$J797+7)*('Weekly Log'!$M$5:$M$5000&lt;&gt;"")),'Weekly Log'!$M$5:$M$5000),0))</f>
        <v/>
      </c>
      <c r="J797" t="str">
        <f>IF(COUNT('Weekly Log'!$A$5:$A$5000)=0,"",IF(MIN('Weekly Log'!$A$5:$A$5000)+7*(ROW()-10)&gt;MAX('Weekly Log'!$A$5:$A$5000),"",MIN('Weekly Log'!$A$5:$A$5000)+7*(ROW()-10)))</f>
        <v/>
      </c>
    </row>
    <row r="798" spans="1:10" x14ac:dyDescent="0.25">
      <c r="A798" t="str">
        <f t="shared" si="12"/>
        <v/>
      </c>
      <c r="B798" t="str">
        <f>IF($J798="","",SUMIFS('Weekly Log'!$C:$C,'Weekly Log'!$A:$A,"&gt;="&amp;$J798,'Weekly Log'!$A:$A,"&lt;"&amp;$J798+7))</f>
        <v/>
      </c>
      <c r="C798" t="str">
        <f>IF($J798="","",IFERROR(COUNTIFS('Weekly Log'!$G:$G,"Y",'Weekly Log'!$A:$A,"&gt;="&amp;$J798,'Weekly Log'!$A:$A,"&lt;"&amp;$J798+7)/COUNTIFS('Weekly Log'!$G:$G,"&lt;&gt;",'Weekly Log'!$A:$A,"&gt;="&amp;$J798,'Weekly Log'!$A:$A,"&lt;"&amp;$J798+7),0))</f>
        <v/>
      </c>
      <c r="D798" t="str">
        <f>IF($J798="","",IFERROR(COUNTIFS('Weekly Log'!$H:$H,"Y",'Weekly Log'!$A:$A,"&gt;="&amp;$J798,'Weekly Log'!$A:$A,"&lt;"&amp;$J798+7)/COUNTIFS('Weekly Log'!$H:$H,"&lt;&gt;",'Weekly Log'!$A:$A,"&gt;="&amp;$J798,'Weekly Log'!$A:$A,"&lt;"&amp;$J798+7),0))</f>
        <v/>
      </c>
      <c r="E798" t="str">
        <f>IF($J798="","",IFERROR(AVERAGEIFS('Weekly Log'!$F:$F,'Weekly Log'!$A:$A,"&gt;="&amp;$J798,'Weekly Log'!$A:$A,"&lt;"&amp;$J798+7),0))</f>
        <v/>
      </c>
      <c r="F798" t="str">
        <f>IF($J798="","",IFERROR(SUMIFS('Weekly Log'!$F:$F,'Weekly Log'!$A:$A,"&gt;="&amp;$J798,'Weekly Log'!$A:$A,"&lt;"&amp;$J798+7)/SUMIFS('Weekly Log'!$E:$E,'Weekly Log'!$A:$A,"&gt;="&amp;$J798,'Weekly Log'!$A:$A,"&lt;"&amp;$J798+7),0))</f>
        <v/>
      </c>
      <c r="G798" t="str">
        <f>IF($J798="","",IFERROR(LOOKUP(2,1/(('Weekly Log'!$A$5:$A$5000&gt;=$J798)*('Weekly Log'!$A$5:$A$5000&lt;$J798+7)*('Weekly Log'!$M$5:$M$5000&lt;&gt;"")),'Weekly Log'!$M$5:$M$5000),0))</f>
        <v/>
      </c>
      <c r="J798" t="str">
        <f>IF(COUNT('Weekly Log'!$A$5:$A$5000)=0,"",IF(MIN('Weekly Log'!$A$5:$A$5000)+7*(ROW()-10)&gt;MAX('Weekly Log'!$A$5:$A$5000),"",MIN('Weekly Log'!$A$5:$A$5000)+7*(ROW()-10)))</f>
        <v/>
      </c>
    </row>
    <row r="799" spans="1:10" x14ac:dyDescent="0.25">
      <c r="A799" t="str">
        <f t="shared" si="12"/>
        <v/>
      </c>
      <c r="B799" t="str">
        <f>IF($J799="","",SUMIFS('Weekly Log'!$C:$C,'Weekly Log'!$A:$A,"&gt;="&amp;$J799,'Weekly Log'!$A:$A,"&lt;"&amp;$J799+7))</f>
        <v/>
      </c>
      <c r="C799" t="str">
        <f>IF($J799="","",IFERROR(COUNTIFS('Weekly Log'!$G:$G,"Y",'Weekly Log'!$A:$A,"&gt;="&amp;$J799,'Weekly Log'!$A:$A,"&lt;"&amp;$J799+7)/COUNTIFS('Weekly Log'!$G:$G,"&lt;&gt;",'Weekly Log'!$A:$A,"&gt;="&amp;$J799,'Weekly Log'!$A:$A,"&lt;"&amp;$J799+7),0))</f>
        <v/>
      </c>
      <c r="D799" t="str">
        <f>IF($J799="","",IFERROR(COUNTIFS('Weekly Log'!$H:$H,"Y",'Weekly Log'!$A:$A,"&gt;="&amp;$J799,'Weekly Log'!$A:$A,"&lt;"&amp;$J799+7)/COUNTIFS('Weekly Log'!$H:$H,"&lt;&gt;",'Weekly Log'!$A:$A,"&gt;="&amp;$J799,'Weekly Log'!$A:$A,"&lt;"&amp;$J799+7),0))</f>
        <v/>
      </c>
      <c r="E799" t="str">
        <f>IF($J799="","",IFERROR(AVERAGEIFS('Weekly Log'!$F:$F,'Weekly Log'!$A:$A,"&gt;="&amp;$J799,'Weekly Log'!$A:$A,"&lt;"&amp;$J799+7),0))</f>
        <v/>
      </c>
      <c r="F799" t="str">
        <f>IF($J799="","",IFERROR(SUMIFS('Weekly Log'!$F:$F,'Weekly Log'!$A:$A,"&gt;="&amp;$J799,'Weekly Log'!$A:$A,"&lt;"&amp;$J799+7)/SUMIFS('Weekly Log'!$E:$E,'Weekly Log'!$A:$A,"&gt;="&amp;$J799,'Weekly Log'!$A:$A,"&lt;"&amp;$J799+7),0))</f>
        <v/>
      </c>
      <c r="G799" t="str">
        <f>IF($J799="","",IFERROR(LOOKUP(2,1/(('Weekly Log'!$A$5:$A$5000&gt;=$J799)*('Weekly Log'!$A$5:$A$5000&lt;$J799+7)*('Weekly Log'!$M$5:$M$5000&lt;&gt;"")),'Weekly Log'!$M$5:$M$5000),0))</f>
        <v/>
      </c>
      <c r="J799" t="str">
        <f>IF(COUNT('Weekly Log'!$A$5:$A$5000)=0,"",IF(MIN('Weekly Log'!$A$5:$A$5000)+7*(ROW()-10)&gt;MAX('Weekly Log'!$A$5:$A$5000),"",MIN('Weekly Log'!$A$5:$A$5000)+7*(ROW()-10)))</f>
        <v/>
      </c>
    </row>
    <row r="800" spans="1:10" x14ac:dyDescent="0.25">
      <c r="A800" t="str">
        <f t="shared" si="12"/>
        <v/>
      </c>
      <c r="B800" t="str">
        <f>IF($J800="","",SUMIFS('Weekly Log'!$C:$C,'Weekly Log'!$A:$A,"&gt;="&amp;$J800,'Weekly Log'!$A:$A,"&lt;"&amp;$J800+7))</f>
        <v/>
      </c>
      <c r="C800" t="str">
        <f>IF($J800="","",IFERROR(COUNTIFS('Weekly Log'!$G:$G,"Y",'Weekly Log'!$A:$A,"&gt;="&amp;$J800,'Weekly Log'!$A:$A,"&lt;"&amp;$J800+7)/COUNTIFS('Weekly Log'!$G:$G,"&lt;&gt;",'Weekly Log'!$A:$A,"&gt;="&amp;$J800,'Weekly Log'!$A:$A,"&lt;"&amp;$J800+7),0))</f>
        <v/>
      </c>
      <c r="D800" t="str">
        <f>IF($J800="","",IFERROR(COUNTIFS('Weekly Log'!$H:$H,"Y",'Weekly Log'!$A:$A,"&gt;="&amp;$J800,'Weekly Log'!$A:$A,"&lt;"&amp;$J800+7)/COUNTIFS('Weekly Log'!$H:$H,"&lt;&gt;",'Weekly Log'!$A:$A,"&gt;="&amp;$J800,'Weekly Log'!$A:$A,"&lt;"&amp;$J800+7),0))</f>
        <v/>
      </c>
      <c r="E800" t="str">
        <f>IF($J800="","",IFERROR(AVERAGEIFS('Weekly Log'!$F:$F,'Weekly Log'!$A:$A,"&gt;="&amp;$J800,'Weekly Log'!$A:$A,"&lt;"&amp;$J800+7),0))</f>
        <v/>
      </c>
      <c r="F800" t="str">
        <f>IF($J800="","",IFERROR(SUMIFS('Weekly Log'!$F:$F,'Weekly Log'!$A:$A,"&gt;="&amp;$J800,'Weekly Log'!$A:$A,"&lt;"&amp;$J800+7)/SUMIFS('Weekly Log'!$E:$E,'Weekly Log'!$A:$A,"&gt;="&amp;$J800,'Weekly Log'!$A:$A,"&lt;"&amp;$J800+7),0))</f>
        <v/>
      </c>
      <c r="G800" t="str">
        <f>IF($J800="","",IFERROR(LOOKUP(2,1/(('Weekly Log'!$A$5:$A$5000&gt;=$J800)*('Weekly Log'!$A$5:$A$5000&lt;$J800+7)*('Weekly Log'!$M$5:$M$5000&lt;&gt;"")),'Weekly Log'!$M$5:$M$5000),0))</f>
        <v/>
      </c>
      <c r="J800" t="str">
        <f>IF(COUNT('Weekly Log'!$A$5:$A$5000)=0,"",IF(MIN('Weekly Log'!$A$5:$A$5000)+7*(ROW()-10)&gt;MAX('Weekly Log'!$A$5:$A$5000),"",MIN('Weekly Log'!$A$5:$A$5000)+7*(ROW()-10)))</f>
        <v/>
      </c>
    </row>
    <row r="801" spans="1:10" x14ac:dyDescent="0.25">
      <c r="A801" t="str">
        <f t="shared" si="12"/>
        <v/>
      </c>
      <c r="B801" t="str">
        <f>IF($J801="","",SUMIFS('Weekly Log'!$C:$C,'Weekly Log'!$A:$A,"&gt;="&amp;$J801,'Weekly Log'!$A:$A,"&lt;"&amp;$J801+7))</f>
        <v/>
      </c>
      <c r="C801" t="str">
        <f>IF($J801="","",IFERROR(COUNTIFS('Weekly Log'!$G:$G,"Y",'Weekly Log'!$A:$A,"&gt;="&amp;$J801,'Weekly Log'!$A:$A,"&lt;"&amp;$J801+7)/COUNTIFS('Weekly Log'!$G:$G,"&lt;&gt;",'Weekly Log'!$A:$A,"&gt;="&amp;$J801,'Weekly Log'!$A:$A,"&lt;"&amp;$J801+7),0))</f>
        <v/>
      </c>
      <c r="D801" t="str">
        <f>IF($J801="","",IFERROR(COUNTIFS('Weekly Log'!$H:$H,"Y",'Weekly Log'!$A:$A,"&gt;="&amp;$J801,'Weekly Log'!$A:$A,"&lt;"&amp;$J801+7)/COUNTIFS('Weekly Log'!$H:$H,"&lt;&gt;",'Weekly Log'!$A:$A,"&gt;="&amp;$J801,'Weekly Log'!$A:$A,"&lt;"&amp;$J801+7),0))</f>
        <v/>
      </c>
      <c r="E801" t="str">
        <f>IF($J801="","",IFERROR(AVERAGEIFS('Weekly Log'!$F:$F,'Weekly Log'!$A:$A,"&gt;="&amp;$J801,'Weekly Log'!$A:$A,"&lt;"&amp;$J801+7),0))</f>
        <v/>
      </c>
      <c r="F801" t="str">
        <f>IF($J801="","",IFERROR(SUMIFS('Weekly Log'!$F:$F,'Weekly Log'!$A:$A,"&gt;="&amp;$J801,'Weekly Log'!$A:$A,"&lt;"&amp;$J801+7)/SUMIFS('Weekly Log'!$E:$E,'Weekly Log'!$A:$A,"&gt;="&amp;$J801,'Weekly Log'!$A:$A,"&lt;"&amp;$J801+7),0))</f>
        <v/>
      </c>
      <c r="G801" t="str">
        <f>IF($J801="","",IFERROR(LOOKUP(2,1/(('Weekly Log'!$A$5:$A$5000&gt;=$J801)*('Weekly Log'!$A$5:$A$5000&lt;$J801+7)*('Weekly Log'!$M$5:$M$5000&lt;&gt;"")),'Weekly Log'!$M$5:$M$5000),0))</f>
        <v/>
      </c>
      <c r="J801" t="str">
        <f>IF(COUNT('Weekly Log'!$A$5:$A$5000)=0,"",IF(MIN('Weekly Log'!$A$5:$A$5000)+7*(ROW()-10)&gt;MAX('Weekly Log'!$A$5:$A$5000),"",MIN('Weekly Log'!$A$5:$A$5000)+7*(ROW()-10)))</f>
        <v/>
      </c>
    </row>
    <row r="802" spans="1:10" x14ac:dyDescent="0.25">
      <c r="A802" t="str">
        <f t="shared" si="12"/>
        <v/>
      </c>
      <c r="B802" t="str">
        <f>IF($J802="","",SUMIFS('Weekly Log'!$C:$C,'Weekly Log'!$A:$A,"&gt;="&amp;$J802,'Weekly Log'!$A:$A,"&lt;"&amp;$J802+7))</f>
        <v/>
      </c>
      <c r="C802" t="str">
        <f>IF($J802="","",IFERROR(COUNTIFS('Weekly Log'!$G:$G,"Y",'Weekly Log'!$A:$A,"&gt;="&amp;$J802,'Weekly Log'!$A:$A,"&lt;"&amp;$J802+7)/COUNTIFS('Weekly Log'!$G:$G,"&lt;&gt;",'Weekly Log'!$A:$A,"&gt;="&amp;$J802,'Weekly Log'!$A:$A,"&lt;"&amp;$J802+7),0))</f>
        <v/>
      </c>
      <c r="D802" t="str">
        <f>IF($J802="","",IFERROR(COUNTIFS('Weekly Log'!$H:$H,"Y",'Weekly Log'!$A:$A,"&gt;="&amp;$J802,'Weekly Log'!$A:$A,"&lt;"&amp;$J802+7)/COUNTIFS('Weekly Log'!$H:$H,"&lt;&gt;",'Weekly Log'!$A:$A,"&gt;="&amp;$J802,'Weekly Log'!$A:$A,"&lt;"&amp;$J802+7),0))</f>
        <v/>
      </c>
      <c r="E802" t="str">
        <f>IF($J802="","",IFERROR(AVERAGEIFS('Weekly Log'!$F:$F,'Weekly Log'!$A:$A,"&gt;="&amp;$J802,'Weekly Log'!$A:$A,"&lt;"&amp;$J802+7),0))</f>
        <v/>
      </c>
      <c r="F802" t="str">
        <f>IF($J802="","",IFERROR(SUMIFS('Weekly Log'!$F:$F,'Weekly Log'!$A:$A,"&gt;="&amp;$J802,'Weekly Log'!$A:$A,"&lt;"&amp;$J802+7)/SUMIFS('Weekly Log'!$E:$E,'Weekly Log'!$A:$A,"&gt;="&amp;$J802,'Weekly Log'!$A:$A,"&lt;"&amp;$J802+7),0))</f>
        <v/>
      </c>
      <c r="G802" t="str">
        <f>IF($J802="","",IFERROR(LOOKUP(2,1/(('Weekly Log'!$A$5:$A$5000&gt;=$J802)*('Weekly Log'!$A$5:$A$5000&lt;$J802+7)*('Weekly Log'!$M$5:$M$5000&lt;&gt;"")),'Weekly Log'!$M$5:$M$5000),0))</f>
        <v/>
      </c>
      <c r="J802" t="str">
        <f>IF(COUNT('Weekly Log'!$A$5:$A$5000)=0,"",IF(MIN('Weekly Log'!$A$5:$A$5000)+7*(ROW()-10)&gt;MAX('Weekly Log'!$A$5:$A$5000),"",MIN('Weekly Log'!$A$5:$A$5000)+7*(ROW()-10)))</f>
        <v/>
      </c>
    </row>
    <row r="803" spans="1:10" x14ac:dyDescent="0.25">
      <c r="A803" t="str">
        <f t="shared" si="12"/>
        <v/>
      </c>
      <c r="B803" t="str">
        <f>IF($J803="","",SUMIFS('Weekly Log'!$C:$C,'Weekly Log'!$A:$A,"&gt;="&amp;$J803,'Weekly Log'!$A:$A,"&lt;"&amp;$J803+7))</f>
        <v/>
      </c>
      <c r="C803" t="str">
        <f>IF($J803="","",IFERROR(COUNTIFS('Weekly Log'!$G:$G,"Y",'Weekly Log'!$A:$A,"&gt;="&amp;$J803,'Weekly Log'!$A:$A,"&lt;"&amp;$J803+7)/COUNTIFS('Weekly Log'!$G:$G,"&lt;&gt;",'Weekly Log'!$A:$A,"&gt;="&amp;$J803,'Weekly Log'!$A:$A,"&lt;"&amp;$J803+7),0))</f>
        <v/>
      </c>
      <c r="D803" t="str">
        <f>IF($J803="","",IFERROR(COUNTIFS('Weekly Log'!$H:$H,"Y",'Weekly Log'!$A:$A,"&gt;="&amp;$J803,'Weekly Log'!$A:$A,"&lt;"&amp;$J803+7)/COUNTIFS('Weekly Log'!$H:$H,"&lt;&gt;",'Weekly Log'!$A:$A,"&gt;="&amp;$J803,'Weekly Log'!$A:$A,"&lt;"&amp;$J803+7),0))</f>
        <v/>
      </c>
      <c r="E803" t="str">
        <f>IF($J803="","",IFERROR(AVERAGEIFS('Weekly Log'!$F:$F,'Weekly Log'!$A:$A,"&gt;="&amp;$J803,'Weekly Log'!$A:$A,"&lt;"&amp;$J803+7),0))</f>
        <v/>
      </c>
      <c r="F803" t="str">
        <f>IF($J803="","",IFERROR(SUMIFS('Weekly Log'!$F:$F,'Weekly Log'!$A:$A,"&gt;="&amp;$J803,'Weekly Log'!$A:$A,"&lt;"&amp;$J803+7)/SUMIFS('Weekly Log'!$E:$E,'Weekly Log'!$A:$A,"&gt;="&amp;$J803,'Weekly Log'!$A:$A,"&lt;"&amp;$J803+7),0))</f>
        <v/>
      </c>
      <c r="G803" t="str">
        <f>IF($J803="","",IFERROR(LOOKUP(2,1/(('Weekly Log'!$A$5:$A$5000&gt;=$J803)*('Weekly Log'!$A$5:$A$5000&lt;$J803+7)*('Weekly Log'!$M$5:$M$5000&lt;&gt;"")),'Weekly Log'!$M$5:$M$5000),0))</f>
        <v/>
      </c>
      <c r="J803" t="str">
        <f>IF(COUNT('Weekly Log'!$A$5:$A$5000)=0,"",IF(MIN('Weekly Log'!$A$5:$A$5000)+7*(ROW()-10)&gt;MAX('Weekly Log'!$A$5:$A$5000),"",MIN('Weekly Log'!$A$5:$A$5000)+7*(ROW()-10)))</f>
        <v/>
      </c>
    </row>
    <row r="804" spans="1:10" x14ac:dyDescent="0.25">
      <c r="A804" t="str">
        <f t="shared" si="12"/>
        <v/>
      </c>
      <c r="B804" t="str">
        <f>IF($J804="","",SUMIFS('Weekly Log'!$C:$C,'Weekly Log'!$A:$A,"&gt;="&amp;$J804,'Weekly Log'!$A:$A,"&lt;"&amp;$J804+7))</f>
        <v/>
      </c>
      <c r="C804" t="str">
        <f>IF($J804="","",IFERROR(COUNTIFS('Weekly Log'!$G:$G,"Y",'Weekly Log'!$A:$A,"&gt;="&amp;$J804,'Weekly Log'!$A:$A,"&lt;"&amp;$J804+7)/COUNTIFS('Weekly Log'!$G:$G,"&lt;&gt;",'Weekly Log'!$A:$A,"&gt;="&amp;$J804,'Weekly Log'!$A:$A,"&lt;"&amp;$J804+7),0))</f>
        <v/>
      </c>
      <c r="D804" t="str">
        <f>IF($J804="","",IFERROR(COUNTIFS('Weekly Log'!$H:$H,"Y",'Weekly Log'!$A:$A,"&gt;="&amp;$J804,'Weekly Log'!$A:$A,"&lt;"&amp;$J804+7)/COUNTIFS('Weekly Log'!$H:$H,"&lt;&gt;",'Weekly Log'!$A:$A,"&gt;="&amp;$J804,'Weekly Log'!$A:$A,"&lt;"&amp;$J804+7),0))</f>
        <v/>
      </c>
      <c r="E804" t="str">
        <f>IF($J804="","",IFERROR(AVERAGEIFS('Weekly Log'!$F:$F,'Weekly Log'!$A:$A,"&gt;="&amp;$J804,'Weekly Log'!$A:$A,"&lt;"&amp;$J804+7),0))</f>
        <v/>
      </c>
      <c r="F804" t="str">
        <f>IF($J804="","",IFERROR(SUMIFS('Weekly Log'!$F:$F,'Weekly Log'!$A:$A,"&gt;="&amp;$J804,'Weekly Log'!$A:$A,"&lt;"&amp;$J804+7)/SUMIFS('Weekly Log'!$E:$E,'Weekly Log'!$A:$A,"&gt;="&amp;$J804,'Weekly Log'!$A:$A,"&lt;"&amp;$J804+7),0))</f>
        <v/>
      </c>
      <c r="G804" t="str">
        <f>IF($J804="","",IFERROR(LOOKUP(2,1/(('Weekly Log'!$A$5:$A$5000&gt;=$J804)*('Weekly Log'!$A$5:$A$5000&lt;$J804+7)*('Weekly Log'!$M$5:$M$5000&lt;&gt;"")),'Weekly Log'!$M$5:$M$5000),0))</f>
        <v/>
      </c>
      <c r="J804" t="str">
        <f>IF(COUNT('Weekly Log'!$A$5:$A$5000)=0,"",IF(MIN('Weekly Log'!$A$5:$A$5000)+7*(ROW()-10)&gt;MAX('Weekly Log'!$A$5:$A$5000),"",MIN('Weekly Log'!$A$5:$A$5000)+7*(ROW()-10)))</f>
        <v/>
      </c>
    </row>
    <row r="805" spans="1:10" x14ac:dyDescent="0.25">
      <c r="A805" t="str">
        <f t="shared" si="12"/>
        <v/>
      </c>
      <c r="B805" t="str">
        <f>IF($J805="","",SUMIFS('Weekly Log'!$C:$C,'Weekly Log'!$A:$A,"&gt;="&amp;$J805,'Weekly Log'!$A:$A,"&lt;"&amp;$J805+7))</f>
        <v/>
      </c>
      <c r="C805" t="str">
        <f>IF($J805="","",IFERROR(COUNTIFS('Weekly Log'!$G:$G,"Y",'Weekly Log'!$A:$A,"&gt;="&amp;$J805,'Weekly Log'!$A:$A,"&lt;"&amp;$J805+7)/COUNTIFS('Weekly Log'!$G:$G,"&lt;&gt;",'Weekly Log'!$A:$A,"&gt;="&amp;$J805,'Weekly Log'!$A:$A,"&lt;"&amp;$J805+7),0))</f>
        <v/>
      </c>
      <c r="D805" t="str">
        <f>IF($J805="","",IFERROR(COUNTIFS('Weekly Log'!$H:$H,"Y",'Weekly Log'!$A:$A,"&gt;="&amp;$J805,'Weekly Log'!$A:$A,"&lt;"&amp;$J805+7)/COUNTIFS('Weekly Log'!$H:$H,"&lt;&gt;",'Weekly Log'!$A:$A,"&gt;="&amp;$J805,'Weekly Log'!$A:$A,"&lt;"&amp;$J805+7),0))</f>
        <v/>
      </c>
      <c r="E805" t="str">
        <f>IF($J805="","",IFERROR(AVERAGEIFS('Weekly Log'!$F:$F,'Weekly Log'!$A:$A,"&gt;="&amp;$J805,'Weekly Log'!$A:$A,"&lt;"&amp;$J805+7),0))</f>
        <v/>
      </c>
      <c r="F805" t="str">
        <f>IF($J805="","",IFERROR(SUMIFS('Weekly Log'!$F:$F,'Weekly Log'!$A:$A,"&gt;="&amp;$J805,'Weekly Log'!$A:$A,"&lt;"&amp;$J805+7)/SUMIFS('Weekly Log'!$E:$E,'Weekly Log'!$A:$A,"&gt;="&amp;$J805,'Weekly Log'!$A:$A,"&lt;"&amp;$J805+7),0))</f>
        <v/>
      </c>
      <c r="G805" t="str">
        <f>IF($J805="","",IFERROR(LOOKUP(2,1/(('Weekly Log'!$A$5:$A$5000&gt;=$J805)*('Weekly Log'!$A$5:$A$5000&lt;$J805+7)*('Weekly Log'!$M$5:$M$5000&lt;&gt;"")),'Weekly Log'!$M$5:$M$5000),0))</f>
        <v/>
      </c>
      <c r="J805" t="str">
        <f>IF(COUNT('Weekly Log'!$A$5:$A$5000)=0,"",IF(MIN('Weekly Log'!$A$5:$A$5000)+7*(ROW()-10)&gt;MAX('Weekly Log'!$A$5:$A$5000),"",MIN('Weekly Log'!$A$5:$A$5000)+7*(ROW()-10)))</f>
        <v/>
      </c>
    </row>
    <row r="806" spans="1:10" x14ac:dyDescent="0.25">
      <c r="A806" t="str">
        <f t="shared" si="12"/>
        <v/>
      </c>
      <c r="B806" t="str">
        <f>IF($J806="","",SUMIFS('Weekly Log'!$C:$C,'Weekly Log'!$A:$A,"&gt;="&amp;$J806,'Weekly Log'!$A:$A,"&lt;"&amp;$J806+7))</f>
        <v/>
      </c>
      <c r="C806" t="str">
        <f>IF($J806="","",IFERROR(COUNTIFS('Weekly Log'!$G:$G,"Y",'Weekly Log'!$A:$A,"&gt;="&amp;$J806,'Weekly Log'!$A:$A,"&lt;"&amp;$J806+7)/COUNTIFS('Weekly Log'!$G:$G,"&lt;&gt;",'Weekly Log'!$A:$A,"&gt;="&amp;$J806,'Weekly Log'!$A:$A,"&lt;"&amp;$J806+7),0))</f>
        <v/>
      </c>
      <c r="D806" t="str">
        <f>IF($J806="","",IFERROR(COUNTIFS('Weekly Log'!$H:$H,"Y",'Weekly Log'!$A:$A,"&gt;="&amp;$J806,'Weekly Log'!$A:$A,"&lt;"&amp;$J806+7)/COUNTIFS('Weekly Log'!$H:$H,"&lt;&gt;",'Weekly Log'!$A:$A,"&gt;="&amp;$J806,'Weekly Log'!$A:$A,"&lt;"&amp;$J806+7),0))</f>
        <v/>
      </c>
      <c r="E806" t="str">
        <f>IF($J806="","",IFERROR(AVERAGEIFS('Weekly Log'!$F:$F,'Weekly Log'!$A:$A,"&gt;="&amp;$J806,'Weekly Log'!$A:$A,"&lt;"&amp;$J806+7),0))</f>
        <v/>
      </c>
      <c r="F806" t="str">
        <f>IF($J806="","",IFERROR(SUMIFS('Weekly Log'!$F:$F,'Weekly Log'!$A:$A,"&gt;="&amp;$J806,'Weekly Log'!$A:$A,"&lt;"&amp;$J806+7)/SUMIFS('Weekly Log'!$E:$E,'Weekly Log'!$A:$A,"&gt;="&amp;$J806,'Weekly Log'!$A:$A,"&lt;"&amp;$J806+7),0))</f>
        <v/>
      </c>
      <c r="G806" t="str">
        <f>IF($J806="","",IFERROR(LOOKUP(2,1/(('Weekly Log'!$A$5:$A$5000&gt;=$J806)*('Weekly Log'!$A$5:$A$5000&lt;$J806+7)*('Weekly Log'!$M$5:$M$5000&lt;&gt;"")),'Weekly Log'!$M$5:$M$5000),0))</f>
        <v/>
      </c>
      <c r="J806" t="str">
        <f>IF(COUNT('Weekly Log'!$A$5:$A$5000)=0,"",IF(MIN('Weekly Log'!$A$5:$A$5000)+7*(ROW()-10)&gt;MAX('Weekly Log'!$A$5:$A$5000),"",MIN('Weekly Log'!$A$5:$A$5000)+7*(ROW()-10)))</f>
        <v/>
      </c>
    </row>
    <row r="807" spans="1:10" x14ac:dyDescent="0.25">
      <c r="A807" t="str">
        <f t="shared" si="12"/>
        <v/>
      </c>
      <c r="B807" t="str">
        <f>IF($J807="","",SUMIFS('Weekly Log'!$C:$C,'Weekly Log'!$A:$A,"&gt;="&amp;$J807,'Weekly Log'!$A:$A,"&lt;"&amp;$J807+7))</f>
        <v/>
      </c>
      <c r="C807" t="str">
        <f>IF($J807="","",IFERROR(COUNTIFS('Weekly Log'!$G:$G,"Y",'Weekly Log'!$A:$A,"&gt;="&amp;$J807,'Weekly Log'!$A:$A,"&lt;"&amp;$J807+7)/COUNTIFS('Weekly Log'!$G:$G,"&lt;&gt;",'Weekly Log'!$A:$A,"&gt;="&amp;$J807,'Weekly Log'!$A:$A,"&lt;"&amp;$J807+7),0))</f>
        <v/>
      </c>
      <c r="D807" t="str">
        <f>IF($J807="","",IFERROR(COUNTIFS('Weekly Log'!$H:$H,"Y",'Weekly Log'!$A:$A,"&gt;="&amp;$J807,'Weekly Log'!$A:$A,"&lt;"&amp;$J807+7)/COUNTIFS('Weekly Log'!$H:$H,"&lt;&gt;",'Weekly Log'!$A:$A,"&gt;="&amp;$J807,'Weekly Log'!$A:$A,"&lt;"&amp;$J807+7),0))</f>
        <v/>
      </c>
      <c r="E807" t="str">
        <f>IF($J807="","",IFERROR(AVERAGEIFS('Weekly Log'!$F:$F,'Weekly Log'!$A:$A,"&gt;="&amp;$J807,'Weekly Log'!$A:$A,"&lt;"&amp;$J807+7),0))</f>
        <v/>
      </c>
      <c r="F807" t="str">
        <f>IF($J807="","",IFERROR(SUMIFS('Weekly Log'!$F:$F,'Weekly Log'!$A:$A,"&gt;="&amp;$J807,'Weekly Log'!$A:$A,"&lt;"&amp;$J807+7)/SUMIFS('Weekly Log'!$E:$E,'Weekly Log'!$A:$A,"&gt;="&amp;$J807,'Weekly Log'!$A:$A,"&lt;"&amp;$J807+7),0))</f>
        <v/>
      </c>
      <c r="G807" t="str">
        <f>IF($J807="","",IFERROR(LOOKUP(2,1/(('Weekly Log'!$A$5:$A$5000&gt;=$J807)*('Weekly Log'!$A$5:$A$5000&lt;$J807+7)*('Weekly Log'!$M$5:$M$5000&lt;&gt;"")),'Weekly Log'!$M$5:$M$5000),0))</f>
        <v/>
      </c>
      <c r="J807" t="str">
        <f>IF(COUNT('Weekly Log'!$A$5:$A$5000)=0,"",IF(MIN('Weekly Log'!$A$5:$A$5000)+7*(ROW()-10)&gt;MAX('Weekly Log'!$A$5:$A$5000),"",MIN('Weekly Log'!$A$5:$A$5000)+7*(ROW()-10)))</f>
        <v/>
      </c>
    </row>
    <row r="808" spans="1:10" x14ac:dyDescent="0.25">
      <c r="A808" t="str">
        <f t="shared" si="12"/>
        <v/>
      </c>
      <c r="B808" t="str">
        <f>IF($J808="","",SUMIFS('Weekly Log'!$C:$C,'Weekly Log'!$A:$A,"&gt;="&amp;$J808,'Weekly Log'!$A:$A,"&lt;"&amp;$J808+7))</f>
        <v/>
      </c>
      <c r="C808" t="str">
        <f>IF($J808="","",IFERROR(COUNTIFS('Weekly Log'!$G:$G,"Y",'Weekly Log'!$A:$A,"&gt;="&amp;$J808,'Weekly Log'!$A:$A,"&lt;"&amp;$J808+7)/COUNTIFS('Weekly Log'!$G:$G,"&lt;&gt;",'Weekly Log'!$A:$A,"&gt;="&amp;$J808,'Weekly Log'!$A:$A,"&lt;"&amp;$J808+7),0))</f>
        <v/>
      </c>
      <c r="D808" t="str">
        <f>IF($J808="","",IFERROR(COUNTIFS('Weekly Log'!$H:$H,"Y",'Weekly Log'!$A:$A,"&gt;="&amp;$J808,'Weekly Log'!$A:$A,"&lt;"&amp;$J808+7)/COUNTIFS('Weekly Log'!$H:$H,"&lt;&gt;",'Weekly Log'!$A:$A,"&gt;="&amp;$J808,'Weekly Log'!$A:$A,"&lt;"&amp;$J808+7),0))</f>
        <v/>
      </c>
      <c r="E808" t="str">
        <f>IF($J808="","",IFERROR(AVERAGEIFS('Weekly Log'!$F:$F,'Weekly Log'!$A:$A,"&gt;="&amp;$J808,'Weekly Log'!$A:$A,"&lt;"&amp;$J808+7),0))</f>
        <v/>
      </c>
      <c r="F808" t="str">
        <f>IF($J808="","",IFERROR(SUMIFS('Weekly Log'!$F:$F,'Weekly Log'!$A:$A,"&gt;="&amp;$J808,'Weekly Log'!$A:$A,"&lt;"&amp;$J808+7)/SUMIFS('Weekly Log'!$E:$E,'Weekly Log'!$A:$A,"&gt;="&amp;$J808,'Weekly Log'!$A:$A,"&lt;"&amp;$J808+7),0))</f>
        <v/>
      </c>
      <c r="G808" t="str">
        <f>IF($J808="","",IFERROR(LOOKUP(2,1/(('Weekly Log'!$A$5:$A$5000&gt;=$J808)*('Weekly Log'!$A$5:$A$5000&lt;$J808+7)*('Weekly Log'!$M$5:$M$5000&lt;&gt;"")),'Weekly Log'!$M$5:$M$5000),0))</f>
        <v/>
      </c>
      <c r="J808" t="str">
        <f>IF(COUNT('Weekly Log'!$A$5:$A$5000)=0,"",IF(MIN('Weekly Log'!$A$5:$A$5000)+7*(ROW()-10)&gt;MAX('Weekly Log'!$A$5:$A$5000),"",MIN('Weekly Log'!$A$5:$A$5000)+7*(ROW()-10)))</f>
        <v/>
      </c>
    </row>
    <row r="809" spans="1:10" x14ac:dyDescent="0.25">
      <c r="A809" t="str">
        <f t="shared" si="12"/>
        <v/>
      </c>
      <c r="B809" t="str">
        <f>IF($J809="","",SUMIFS('Weekly Log'!$C:$C,'Weekly Log'!$A:$A,"&gt;="&amp;$J809,'Weekly Log'!$A:$A,"&lt;"&amp;$J809+7))</f>
        <v/>
      </c>
      <c r="C809" t="str">
        <f>IF($J809="","",IFERROR(COUNTIFS('Weekly Log'!$G:$G,"Y",'Weekly Log'!$A:$A,"&gt;="&amp;$J809,'Weekly Log'!$A:$A,"&lt;"&amp;$J809+7)/COUNTIFS('Weekly Log'!$G:$G,"&lt;&gt;",'Weekly Log'!$A:$A,"&gt;="&amp;$J809,'Weekly Log'!$A:$A,"&lt;"&amp;$J809+7),0))</f>
        <v/>
      </c>
      <c r="D809" t="str">
        <f>IF($J809="","",IFERROR(COUNTIFS('Weekly Log'!$H:$H,"Y",'Weekly Log'!$A:$A,"&gt;="&amp;$J809,'Weekly Log'!$A:$A,"&lt;"&amp;$J809+7)/COUNTIFS('Weekly Log'!$H:$H,"&lt;&gt;",'Weekly Log'!$A:$A,"&gt;="&amp;$J809,'Weekly Log'!$A:$A,"&lt;"&amp;$J809+7),0))</f>
        <v/>
      </c>
      <c r="E809" t="str">
        <f>IF($J809="","",IFERROR(AVERAGEIFS('Weekly Log'!$F:$F,'Weekly Log'!$A:$A,"&gt;="&amp;$J809,'Weekly Log'!$A:$A,"&lt;"&amp;$J809+7),0))</f>
        <v/>
      </c>
      <c r="F809" t="str">
        <f>IF($J809="","",IFERROR(SUMIFS('Weekly Log'!$F:$F,'Weekly Log'!$A:$A,"&gt;="&amp;$J809,'Weekly Log'!$A:$A,"&lt;"&amp;$J809+7)/SUMIFS('Weekly Log'!$E:$E,'Weekly Log'!$A:$A,"&gt;="&amp;$J809,'Weekly Log'!$A:$A,"&lt;"&amp;$J809+7),0))</f>
        <v/>
      </c>
      <c r="G809" t="str">
        <f>IF($J809="","",IFERROR(LOOKUP(2,1/(('Weekly Log'!$A$5:$A$5000&gt;=$J809)*('Weekly Log'!$A$5:$A$5000&lt;$J809+7)*('Weekly Log'!$M$5:$M$5000&lt;&gt;"")),'Weekly Log'!$M$5:$M$5000),0))</f>
        <v/>
      </c>
      <c r="J809" t="str">
        <f>IF(COUNT('Weekly Log'!$A$5:$A$5000)=0,"",IF(MIN('Weekly Log'!$A$5:$A$5000)+7*(ROW()-10)&gt;MAX('Weekly Log'!$A$5:$A$5000),"",MIN('Weekly Log'!$A$5:$A$5000)+7*(ROW()-10)))</f>
        <v/>
      </c>
    </row>
    <row r="810" spans="1:10" x14ac:dyDescent="0.25">
      <c r="A810" t="str">
        <f t="shared" si="12"/>
        <v/>
      </c>
      <c r="B810" t="str">
        <f>IF($J810="","",SUMIFS('Weekly Log'!$C:$C,'Weekly Log'!$A:$A,"&gt;="&amp;$J810,'Weekly Log'!$A:$A,"&lt;"&amp;$J810+7))</f>
        <v/>
      </c>
      <c r="C810" t="str">
        <f>IF($J810="","",IFERROR(COUNTIFS('Weekly Log'!$G:$G,"Y",'Weekly Log'!$A:$A,"&gt;="&amp;$J810,'Weekly Log'!$A:$A,"&lt;"&amp;$J810+7)/COUNTIFS('Weekly Log'!$G:$G,"&lt;&gt;",'Weekly Log'!$A:$A,"&gt;="&amp;$J810,'Weekly Log'!$A:$A,"&lt;"&amp;$J810+7),0))</f>
        <v/>
      </c>
      <c r="D810" t="str">
        <f>IF($J810="","",IFERROR(COUNTIFS('Weekly Log'!$H:$H,"Y",'Weekly Log'!$A:$A,"&gt;="&amp;$J810,'Weekly Log'!$A:$A,"&lt;"&amp;$J810+7)/COUNTIFS('Weekly Log'!$H:$H,"&lt;&gt;",'Weekly Log'!$A:$A,"&gt;="&amp;$J810,'Weekly Log'!$A:$A,"&lt;"&amp;$J810+7),0))</f>
        <v/>
      </c>
      <c r="E810" t="str">
        <f>IF($J810="","",IFERROR(AVERAGEIFS('Weekly Log'!$F:$F,'Weekly Log'!$A:$A,"&gt;="&amp;$J810,'Weekly Log'!$A:$A,"&lt;"&amp;$J810+7),0))</f>
        <v/>
      </c>
      <c r="F810" t="str">
        <f>IF($J810="","",IFERROR(SUMIFS('Weekly Log'!$F:$F,'Weekly Log'!$A:$A,"&gt;="&amp;$J810,'Weekly Log'!$A:$A,"&lt;"&amp;$J810+7)/SUMIFS('Weekly Log'!$E:$E,'Weekly Log'!$A:$A,"&gt;="&amp;$J810,'Weekly Log'!$A:$A,"&lt;"&amp;$J810+7),0))</f>
        <v/>
      </c>
      <c r="G810" t="str">
        <f>IF($J810="","",IFERROR(LOOKUP(2,1/(('Weekly Log'!$A$5:$A$5000&gt;=$J810)*('Weekly Log'!$A$5:$A$5000&lt;$J810+7)*('Weekly Log'!$M$5:$M$5000&lt;&gt;"")),'Weekly Log'!$M$5:$M$5000),0))</f>
        <v/>
      </c>
      <c r="J810" t="str">
        <f>IF(COUNT('Weekly Log'!$A$5:$A$5000)=0,"",IF(MIN('Weekly Log'!$A$5:$A$5000)+7*(ROW()-10)&gt;MAX('Weekly Log'!$A$5:$A$5000),"",MIN('Weekly Log'!$A$5:$A$5000)+7*(ROW()-10)))</f>
        <v/>
      </c>
    </row>
    <row r="811" spans="1:10" x14ac:dyDescent="0.25">
      <c r="A811" t="str">
        <f t="shared" si="12"/>
        <v/>
      </c>
      <c r="B811" t="str">
        <f>IF($J811="","",SUMIFS('Weekly Log'!$C:$C,'Weekly Log'!$A:$A,"&gt;="&amp;$J811,'Weekly Log'!$A:$A,"&lt;"&amp;$J811+7))</f>
        <v/>
      </c>
      <c r="C811" t="str">
        <f>IF($J811="","",IFERROR(COUNTIFS('Weekly Log'!$G:$G,"Y",'Weekly Log'!$A:$A,"&gt;="&amp;$J811,'Weekly Log'!$A:$A,"&lt;"&amp;$J811+7)/COUNTIFS('Weekly Log'!$G:$G,"&lt;&gt;",'Weekly Log'!$A:$A,"&gt;="&amp;$J811,'Weekly Log'!$A:$A,"&lt;"&amp;$J811+7),0))</f>
        <v/>
      </c>
      <c r="D811" t="str">
        <f>IF($J811="","",IFERROR(COUNTIFS('Weekly Log'!$H:$H,"Y",'Weekly Log'!$A:$A,"&gt;="&amp;$J811,'Weekly Log'!$A:$A,"&lt;"&amp;$J811+7)/COUNTIFS('Weekly Log'!$H:$H,"&lt;&gt;",'Weekly Log'!$A:$A,"&gt;="&amp;$J811,'Weekly Log'!$A:$A,"&lt;"&amp;$J811+7),0))</f>
        <v/>
      </c>
      <c r="E811" t="str">
        <f>IF($J811="","",IFERROR(AVERAGEIFS('Weekly Log'!$F:$F,'Weekly Log'!$A:$A,"&gt;="&amp;$J811,'Weekly Log'!$A:$A,"&lt;"&amp;$J811+7),0))</f>
        <v/>
      </c>
      <c r="F811" t="str">
        <f>IF($J811="","",IFERROR(SUMIFS('Weekly Log'!$F:$F,'Weekly Log'!$A:$A,"&gt;="&amp;$J811,'Weekly Log'!$A:$A,"&lt;"&amp;$J811+7)/SUMIFS('Weekly Log'!$E:$E,'Weekly Log'!$A:$A,"&gt;="&amp;$J811,'Weekly Log'!$A:$A,"&lt;"&amp;$J811+7),0))</f>
        <v/>
      </c>
      <c r="G811" t="str">
        <f>IF($J811="","",IFERROR(LOOKUP(2,1/(('Weekly Log'!$A$5:$A$5000&gt;=$J811)*('Weekly Log'!$A$5:$A$5000&lt;$J811+7)*('Weekly Log'!$M$5:$M$5000&lt;&gt;"")),'Weekly Log'!$M$5:$M$5000),0))</f>
        <v/>
      </c>
      <c r="J811" t="str">
        <f>IF(COUNT('Weekly Log'!$A$5:$A$5000)=0,"",IF(MIN('Weekly Log'!$A$5:$A$5000)+7*(ROW()-10)&gt;MAX('Weekly Log'!$A$5:$A$5000),"",MIN('Weekly Log'!$A$5:$A$5000)+7*(ROW()-10)))</f>
        <v/>
      </c>
    </row>
    <row r="812" spans="1:10" x14ac:dyDescent="0.25">
      <c r="A812" t="str">
        <f t="shared" si="12"/>
        <v/>
      </c>
      <c r="B812" t="str">
        <f>IF($J812="","",SUMIFS('Weekly Log'!$C:$C,'Weekly Log'!$A:$A,"&gt;="&amp;$J812,'Weekly Log'!$A:$A,"&lt;"&amp;$J812+7))</f>
        <v/>
      </c>
      <c r="C812" t="str">
        <f>IF($J812="","",IFERROR(COUNTIFS('Weekly Log'!$G:$G,"Y",'Weekly Log'!$A:$A,"&gt;="&amp;$J812,'Weekly Log'!$A:$A,"&lt;"&amp;$J812+7)/COUNTIFS('Weekly Log'!$G:$G,"&lt;&gt;",'Weekly Log'!$A:$A,"&gt;="&amp;$J812,'Weekly Log'!$A:$A,"&lt;"&amp;$J812+7),0))</f>
        <v/>
      </c>
      <c r="D812" t="str">
        <f>IF($J812="","",IFERROR(COUNTIFS('Weekly Log'!$H:$H,"Y",'Weekly Log'!$A:$A,"&gt;="&amp;$J812,'Weekly Log'!$A:$A,"&lt;"&amp;$J812+7)/COUNTIFS('Weekly Log'!$H:$H,"&lt;&gt;",'Weekly Log'!$A:$A,"&gt;="&amp;$J812,'Weekly Log'!$A:$A,"&lt;"&amp;$J812+7),0))</f>
        <v/>
      </c>
      <c r="E812" t="str">
        <f>IF($J812="","",IFERROR(AVERAGEIFS('Weekly Log'!$F:$F,'Weekly Log'!$A:$A,"&gt;="&amp;$J812,'Weekly Log'!$A:$A,"&lt;"&amp;$J812+7),0))</f>
        <v/>
      </c>
      <c r="F812" t="str">
        <f>IF($J812="","",IFERROR(SUMIFS('Weekly Log'!$F:$F,'Weekly Log'!$A:$A,"&gt;="&amp;$J812,'Weekly Log'!$A:$A,"&lt;"&amp;$J812+7)/SUMIFS('Weekly Log'!$E:$E,'Weekly Log'!$A:$A,"&gt;="&amp;$J812,'Weekly Log'!$A:$A,"&lt;"&amp;$J812+7),0))</f>
        <v/>
      </c>
      <c r="G812" t="str">
        <f>IF($J812="","",IFERROR(LOOKUP(2,1/(('Weekly Log'!$A$5:$A$5000&gt;=$J812)*('Weekly Log'!$A$5:$A$5000&lt;$J812+7)*('Weekly Log'!$M$5:$M$5000&lt;&gt;"")),'Weekly Log'!$M$5:$M$5000),0))</f>
        <v/>
      </c>
      <c r="J812" t="str">
        <f>IF(COUNT('Weekly Log'!$A$5:$A$5000)=0,"",IF(MIN('Weekly Log'!$A$5:$A$5000)+7*(ROW()-10)&gt;MAX('Weekly Log'!$A$5:$A$5000),"",MIN('Weekly Log'!$A$5:$A$5000)+7*(ROW()-10)))</f>
        <v/>
      </c>
    </row>
    <row r="813" spans="1:10" x14ac:dyDescent="0.25">
      <c r="A813" t="str">
        <f t="shared" si="12"/>
        <v/>
      </c>
      <c r="B813" t="str">
        <f>IF($J813="","",SUMIFS('Weekly Log'!$C:$C,'Weekly Log'!$A:$A,"&gt;="&amp;$J813,'Weekly Log'!$A:$A,"&lt;"&amp;$J813+7))</f>
        <v/>
      </c>
      <c r="C813" t="str">
        <f>IF($J813="","",IFERROR(COUNTIFS('Weekly Log'!$G:$G,"Y",'Weekly Log'!$A:$A,"&gt;="&amp;$J813,'Weekly Log'!$A:$A,"&lt;"&amp;$J813+7)/COUNTIFS('Weekly Log'!$G:$G,"&lt;&gt;",'Weekly Log'!$A:$A,"&gt;="&amp;$J813,'Weekly Log'!$A:$A,"&lt;"&amp;$J813+7),0))</f>
        <v/>
      </c>
      <c r="D813" t="str">
        <f>IF($J813="","",IFERROR(COUNTIFS('Weekly Log'!$H:$H,"Y",'Weekly Log'!$A:$A,"&gt;="&amp;$J813,'Weekly Log'!$A:$A,"&lt;"&amp;$J813+7)/COUNTIFS('Weekly Log'!$H:$H,"&lt;&gt;",'Weekly Log'!$A:$A,"&gt;="&amp;$J813,'Weekly Log'!$A:$A,"&lt;"&amp;$J813+7),0))</f>
        <v/>
      </c>
      <c r="E813" t="str">
        <f>IF($J813="","",IFERROR(AVERAGEIFS('Weekly Log'!$F:$F,'Weekly Log'!$A:$A,"&gt;="&amp;$J813,'Weekly Log'!$A:$A,"&lt;"&amp;$J813+7),0))</f>
        <v/>
      </c>
      <c r="F813" t="str">
        <f>IF($J813="","",IFERROR(SUMIFS('Weekly Log'!$F:$F,'Weekly Log'!$A:$A,"&gt;="&amp;$J813,'Weekly Log'!$A:$A,"&lt;"&amp;$J813+7)/SUMIFS('Weekly Log'!$E:$E,'Weekly Log'!$A:$A,"&gt;="&amp;$J813,'Weekly Log'!$A:$A,"&lt;"&amp;$J813+7),0))</f>
        <v/>
      </c>
      <c r="G813" t="str">
        <f>IF($J813="","",IFERROR(LOOKUP(2,1/(('Weekly Log'!$A$5:$A$5000&gt;=$J813)*('Weekly Log'!$A$5:$A$5000&lt;$J813+7)*('Weekly Log'!$M$5:$M$5000&lt;&gt;"")),'Weekly Log'!$M$5:$M$5000),0))</f>
        <v/>
      </c>
      <c r="J813" t="str">
        <f>IF(COUNT('Weekly Log'!$A$5:$A$5000)=0,"",IF(MIN('Weekly Log'!$A$5:$A$5000)+7*(ROW()-10)&gt;MAX('Weekly Log'!$A$5:$A$5000),"",MIN('Weekly Log'!$A$5:$A$5000)+7*(ROW()-10)))</f>
        <v/>
      </c>
    </row>
    <row r="814" spans="1:10" x14ac:dyDescent="0.25">
      <c r="A814" t="str">
        <f t="shared" si="12"/>
        <v/>
      </c>
      <c r="B814" t="str">
        <f>IF($J814="","",SUMIFS('Weekly Log'!$C:$C,'Weekly Log'!$A:$A,"&gt;="&amp;$J814,'Weekly Log'!$A:$A,"&lt;"&amp;$J814+7))</f>
        <v/>
      </c>
      <c r="C814" t="str">
        <f>IF($J814="","",IFERROR(COUNTIFS('Weekly Log'!$G:$G,"Y",'Weekly Log'!$A:$A,"&gt;="&amp;$J814,'Weekly Log'!$A:$A,"&lt;"&amp;$J814+7)/COUNTIFS('Weekly Log'!$G:$G,"&lt;&gt;",'Weekly Log'!$A:$A,"&gt;="&amp;$J814,'Weekly Log'!$A:$A,"&lt;"&amp;$J814+7),0))</f>
        <v/>
      </c>
      <c r="D814" t="str">
        <f>IF($J814="","",IFERROR(COUNTIFS('Weekly Log'!$H:$H,"Y",'Weekly Log'!$A:$A,"&gt;="&amp;$J814,'Weekly Log'!$A:$A,"&lt;"&amp;$J814+7)/COUNTIFS('Weekly Log'!$H:$H,"&lt;&gt;",'Weekly Log'!$A:$A,"&gt;="&amp;$J814,'Weekly Log'!$A:$A,"&lt;"&amp;$J814+7),0))</f>
        <v/>
      </c>
      <c r="E814" t="str">
        <f>IF($J814="","",IFERROR(AVERAGEIFS('Weekly Log'!$F:$F,'Weekly Log'!$A:$A,"&gt;="&amp;$J814,'Weekly Log'!$A:$A,"&lt;"&amp;$J814+7),0))</f>
        <v/>
      </c>
      <c r="F814" t="str">
        <f>IF($J814="","",IFERROR(SUMIFS('Weekly Log'!$F:$F,'Weekly Log'!$A:$A,"&gt;="&amp;$J814,'Weekly Log'!$A:$A,"&lt;"&amp;$J814+7)/SUMIFS('Weekly Log'!$E:$E,'Weekly Log'!$A:$A,"&gt;="&amp;$J814,'Weekly Log'!$A:$A,"&lt;"&amp;$J814+7),0))</f>
        <v/>
      </c>
      <c r="G814" t="str">
        <f>IF($J814="","",IFERROR(LOOKUP(2,1/(('Weekly Log'!$A$5:$A$5000&gt;=$J814)*('Weekly Log'!$A$5:$A$5000&lt;$J814+7)*('Weekly Log'!$M$5:$M$5000&lt;&gt;"")),'Weekly Log'!$M$5:$M$5000),0))</f>
        <v/>
      </c>
      <c r="J814" t="str">
        <f>IF(COUNT('Weekly Log'!$A$5:$A$5000)=0,"",IF(MIN('Weekly Log'!$A$5:$A$5000)+7*(ROW()-10)&gt;MAX('Weekly Log'!$A$5:$A$5000),"",MIN('Weekly Log'!$A$5:$A$5000)+7*(ROW()-10)))</f>
        <v/>
      </c>
    </row>
    <row r="815" spans="1:10" x14ac:dyDescent="0.25">
      <c r="A815" t="str">
        <f t="shared" si="12"/>
        <v/>
      </c>
      <c r="B815" t="str">
        <f>IF($J815="","",SUMIFS('Weekly Log'!$C:$C,'Weekly Log'!$A:$A,"&gt;="&amp;$J815,'Weekly Log'!$A:$A,"&lt;"&amp;$J815+7))</f>
        <v/>
      </c>
      <c r="C815" t="str">
        <f>IF($J815="","",IFERROR(COUNTIFS('Weekly Log'!$G:$G,"Y",'Weekly Log'!$A:$A,"&gt;="&amp;$J815,'Weekly Log'!$A:$A,"&lt;"&amp;$J815+7)/COUNTIFS('Weekly Log'!$G:$G,"&lt;&gt;",'Weekly Log'!$A:$A,"&gt;="&amp;$J815,'Weekly Log'!$A:$A,"&lt;"&amp;$J815+7),0))</f>
        <v/>
      </c>
      <c r="D815" t="str">
        <f>IF($J815="","",IFERROR(COUNTIFS('Weekly Log'!$H:$H,"Y",'Weekly Log'!$A:$A,"&gt;="&amp;$J815,'Weekly Log'!$A:$A,"&lt;"&amp;$J815+7)/COUNTIFS('Weekly Log'!$H:$H,"&lt;&gt;",'Weekly Log'!$A:$A,"&gt;="&amp;$J815,'Weekly Log'!$A:$A,"&lt;"&amp;$J815+7),0))</f>
        <v/>
      </c>
      <c r="E815" t="str">
        <f>IF($J815="","",IFERROR(AVERAGEIFS('Weekly Log'!$F:$F,'Weekly Log'!$A:$A,"&gt;="&amp;$J815,'Weekly Log'!$A:$A,"&lt;"&amp;$J815+7),0))</f>
        <v/>
      </c>
      <c r="F815" t="str">
        <f>IF($J815="","",IFERROR(SUMIFS('Weekly Log'!$F:$F,'Weekly Log'!$A:$A,"&gt;="&amp;$J815,'Weekly Log'!$A:$A,"&lt;"&amp;$J815+7)/SUMIFS('Weekly Log'!$E:$E,'Weekly Log'!$A:$A,"&gt;="&amp;$J815,'Weekly Log'!$A:$A,"&lt;"&amp;$J815+7),0))</f>
        <v/>
      </c>
      <c r="G815" t="str">
        <f>IF($J815="","",IFERROR(LOOKUP(2,1/(('Weekly Log'!$A$5:$A$5000&gt;=$J815)*('Weekly Log'!$A$5:$A$5000&lt;$J815+7)*('Weekly Log'!$M$5:$M$5000&lt;&gt;"")),'Weekly Log'!$M$5:$M$5000),0))</f>
        <v/>
      </c>
      <c r="J815" t="str">
        <f>IF(COUNT('Weekly Log'!$A$5:$A$5000)=0,"",IF(MIN('Weekly Log'!$A$5:$A$5000)+7*(ROW()-10)&gt;MAX('Weekly Log'!$A$5:$A$5000),"",MIN('Weekly Log'!$A$5:$A$5000)+7*(ROW()-10)))</f>
        <v/>
      </c>
    </row>
    <row r="816" spans="1:10" x14ac:dyDescent="0.25">
      <c r="A816" t="str">
        <f t="shared" si="12"/>
        <v/>
      </c>
      <c r="B816" t="str">
        <f>IF($J816="","",SUMIFS('Weekly Log'!$C:$C,'Weekly Log'!$A:$A,"&gt;="&amp;$J816,'Weekly Log'!$A:$A,"&lt;"&amp;$J816+7))</f>
        <v/>
      </c>
      <c r="C816" t="str">
        <f>IF($J816="","",IFERROR(COUNTIFS('Weekly Log'!$G:$G,"Y",'Weekly Log'!$A:$A,"&gt;="&amp;$J816,'Weekly Log'!$A:$A,"&lt;"&amp;$J816+7)/COUNTIFS('Weekly Log'!$G:$G,"&lt;&gt;",'Weekly Log'!$A:$A,"&gt;="&amp;$J816,'Weekly Log'!$A:$A,"&lt;"&amp;$J816+7),0))</f>
        <v/>
      </c>
      <c r="D816" t="str">
        <f>IF($J816="","",IFERROR(COUNTIFS('Weekly Log'!$H:$H,"Y",'Weekly Log'!$A:$A,"&gt;="&amp;$J816,'Weekly Log'!$A:$A,"&lt;"&amp;$J816+7)/COUNTIFS('Weekly Log'!$H:$H,"&lt;&gt;",'Weekly Log'!$A:$A,"&gt;="&amp;$J816,'Weekly Log'!$A:$A,"&lt;"&amp;$J816+7),0))</f>
        <v/>
      </c>
      <c r="E816" t="str">
        <f>IF($J816="","",IFERROR(AVERAGEIFS('Weekly Log'!$F:$F,'Weekly Log'!$A:$A,"&gt;="&amp;$J816,'Weekly Log'!$A:$A,"&lt;"&amp;$J816+7),0))</f>
        <v/>
      </c>
      <c r="F816" t="str">
        <f>IF($J816="","",IFERROR(SUMIFS('Weekly Log'!$F:$F,'Weekly Log'!$A:$A,"&gt;="&amp;$J816,'Weekly Log'!$A:$A,"&lt;"&amp;$J816+7)/SUMIFS('Weekly Log'!$E:$E,'Weekly Log'!$A:$A,"&gt;="&amp;$J816,'Weekly Log'!$A:$A,"&lt;"&amp;$J816+7),0))</f>
        <v/>
      </c>
      <c r="G816" t="str">
        <f>IF($J816="","",IFERROR(LOOKUP(2,1/(('Weekly Log'!$A$5:$A$5000&gt;=$J816)*('Weekly Log'!$A$5:$A$5000&lt;$J816+7)*('Weekly Log'!$M$5:$M$5000&lt;&gt;"")),'Weekly Log'!$M$5:$M$5000),0))</f>
        <v/>
      </c>
      <c r="J816" t="str">
        <f>IF(COUNT('Weekly Log'!$A$5:$A$5000)=0,"",IF(MIN('Weekly Log'!$A$5:$A$5000)+7*(ROW()-10)&gt;MAX('Weekly Log'!$A$5:$A$5000),"",MIN('Weekly Log'!$A$5:$A$5000)+7*(ROW()-10)))</f>
        <v/>
      </c>
    </row>
    <row r="817" spans="1:10" x14ac:dyDescent="0.25">
      <c r="A817" t="str">
        <f t="shared" si="12"/>
        <v/>
      </c>
      <c r="B817" t="str">
        <f>IF($J817="","",SUMIFS('Weekly Log'!$C:$C,'Weekly Log'!$A:$A,"&gt;="&amp;$J817,'Weekly Log'!$A:$A,"&lt;"&amp;$J817+7))</f>
        <v/>
      </c>
      <c r="C817" t="str">
        <f>IF($J817="","",IFERROR(COUNTIFS('Weekly Log'!$G:$G,"Y",'Weekly Log'!$A:$A,"&gt;="&amp;$J817,'Weekly Log'!$A:$A,"&lt;"&amp;$J817+7)/COUNTIFS('Weekly Log'!$G:$G,"&lt;&gt;",'Weekly Log'!$A:$A,"&gt;="&amp;$J817,'Weekly Log'!$A:$A,"&lt;"&amp;$J817+7),0))</f>
        <v/>
      </c>
      <c r="D817" t="str">
        <f>IF($J817="","",IFERROR(COUNTIFS('Weekly Log'!$H:$H,"Y",'Weekly Log'!$A:$A,"&gt;="&amp;$J817,'Weekly Log'!$A:$A,"&lt;"&amp;$J817+7)/COUNTIFS('Weekly Log'!$H:$H,"&lt;&gt;",'Weekly Log'!$A:$A,"&gt;="&amp;$J817,'Weekly Log'!$A:$A,"&lt;"&amp;$J817+7),0))</f>
        <v/>
      </c>
      <c r="E817" t="str">
        <f>IF($J817="","",IFERROR(AVERAGEIFS('Weekly Log'!$F:$F,'Weekly Log'!$A:$A,"&gt;="&amp;$J817,'Weekly Log'!$A:$A,"&lt;"&amp;$J817+7),0))</f>
        <v/>
      </c>
      <c r="F817" t="str">
        <f>IF($J817="","",IFERROR(SUMIFS('Weekly Log'!$F:$F,'Weekly Log'!$A:$A,"&gt;="&amp;$J817,'Weekly Log'!$A:$A,"&lt;"&amp;$J817+7)/SUMIFS('Weekly Log'!$E:$E,'Weekly Log'!$A:$A,"&gt;="&amp;$J817,'Weekly Log'!$A:$A,"&lt;"&amp;$J817+7),0))</f>
        <v/>
      </c>
      <c r="G817" t="str">
        <f>IF($J817="","",IFERROR(LOOKUP(2,1/(('Weekly Log'!$A$5:$A$5000&gt;=$J817)*('Weekly Log'!$A$5:$A$5000&lt;$J817+7)*('Weekly Log'!$M$5:$M$5000&lt;&gt;"")),'Weekly Log'!$M$5:$M$5000),0))</f>
        <v/>
      </c>
      <c r="J817" t="str">
        <f>IF(COUNT('Weekly Log'!$A$5:$A$5000)=0,"",IF(MIN('Weekly Log'!$A$5:$A$5000)+7*(ROW()-10)&gt;MAX('Weekly Log'!$A$5:$A$5000),"",MIN('Weekly Log'!$A$5:$A$5000)+7*(ROW()-10)))</f>
        <v/>
      </c>
    </row>
    <row r="818" spans="1:10" x14ac:dyDescent="0.25">
      <c r="A818" t="str">
        <f t="shared" si="12"/>
        <v/>
      </c>
      <c r="B818" t="str">
        <f>IF($J818="","",SUMIFS('Weekly Log'!$C:$C,'Weekly Log'!$A:$A,"&gt;="&amp;$J818,'Weekly Log'!$A:$A,"&lt;"&amp;$J818+7))</f>
        <v/>
      </c>
      <c r="C818" t="str">
        <f>IF($J818="","",IFERROR(COUNTIFS('Weekly Log'!$G:$G,"Y",'Weekly Log'!$A:$A,"&gt;="&amp;$J818,'Weekly Log'!$A:$A,"&lt;"&amp;$J818+7)/COUNTIFS('Weekly Log'!$G:$G,"&lt;&gt;",'Weekly Log'!$A:$A,"&gt;="&amp;$J818,'Weekly Log'!$A:$A,"&lt;"&amp;$J818+7),0))</f>
        <v/>
      </c>
      <c r="D818" t="str">
        <f>IF($J818="","",IFERROR(COUNTIFS('Weekly Log'!$H:$H,"Y",'Weekly Log'!$A:$A,"&gt;="&amp;$J818,'Weekly Log'!$A:$A,"&lt;"&amp;$J818+7)/COUNTIFS('Weekly Log'!$H:$H,"&lt;&gt;",'Weekly Log'!$A:$A,"&gt;="&amp;$J818,'Weekly Log'!$A:$A,"&lt;"&amp;$J818+7),0))</f>
        <v/>
      </c>
      <c r="E818" t="str">
        <f>IF($J818="","",IFERROR(AVERAGEIFS('Weekly Log'!$F:$F,'Weekly Log'!$A:$A,"&gt;="&amp;$J818,'Weekly Log'!$A:$A,"&lt;"&amp;$J818+7),0))</f>
        <v/>
      </c>
      <c r="F818" t="str">
        <f>IF($J818="","",IFERROR(SUMIFS('Weekly Log'!$F:$F,'Weekly Log'!$A:$A,"&gt;="&amp;$J818,'Weekly Log'!$A:$A,"&lt;"&amp;$J818+7)/SUMIFS('Weekly Log'!$E:$E,'Weekly Log'!$A:$A,"&gt;="&amp;$J818,'Weekly Log'!$A:$A,"&lt;"&amp;$J818+7),0))</f>
        <v/>
      </c>
      <c r="G818" t="str">
        <f>IF($J818="","",IFERROR(LOOKUP(2,1/(('Weekly Log'!$A$5:$A$5000&gt;=$J818)*('Weekly Log'!$A$5:$A$5000&lt;$J818+7)*('Weekly Log'!$M$5:$M$5000&lt;&gt;"")),'Weekly Log'!$M$5:$M$5000),0))</f>
        <v/>
      </c>
      <c r="J818" t="str">
        <f>IF(COUNT('Weekly Log'!$A$5:$A$5000)=0,"",IF(MIN('Weekly Log'!$A$5:$A$5000)+7*(ROW()-10)&gt;MAX('Weekly Log'!$A$5:$A$5000),"",MIN('Weekly Log'!$A$5:$A$5000)+7*(ROW()-10)))</f>
        <v/>
      </c>
    </row>
    <row r="819" spans="1:10" x14ac:dyDescent="0.25">
      <c r="A819" t="str">
        <f t="shared" si="12"/>
        <v/>
      </c>
      <c r="B819" t="str">
        <f>IF($J819="","",SUMIFS('Weekly Log'!$C:$C,'Weekly Log'!$A:$A,"&gt;="&amp;$J819,'Weekly Log'!$A:$A,"&lt;"&amp;$J819+7))</f>
        <v/>
      </c>
      <c r="C819" t="str">
        <f>IF($J819="","",IFERROR(COUNTIFS('Weekly Log'!$G:$G,"Y",'Weekly Log'!$A:$A,"&gt;="&amp;$J819,'Weekly Log'!$A:$A,"&lt;"&amp;$J819+7)/COUNTIFS('Weekly Log'!$G:$G,"&lt;&gt;",'Weekly Log'!$A:$A,"&gt;="&amp;$J819,'Weekly Log'!$A:$A,"&lt;"&amp;$J819+7),0))</f>
        <v/>
      </c>
      <c r="D819" t="str">
        <f>IF($J819="","",IFERROR(COUNTIFS('Weekly Log'!$H:$H,"Y",'Weekly Log'!$A:$A,"&gt;="&amp;$J819,'Weekly Log'!$A:$A,"&lt;"&amp;$J819+7)/COUNTIFS('Weekly Log'!$H:$H,"&lt;&gt;",'Weekly Log'!$A:$A,"&gt;="&amp;$J819,'Weekly Log'!$A:$A,"&lt;"&amp;$J819+7),0))</f>
        <v/>
      </c>
      <c r="E819" t="str">
        <f>IF($J819="","",IFERROR(AVERAGEIFS('Weekly Log'!$F:$F,'Weekly Log'!$A:$A,"&gt;="&amp;$J819,'Weekly Log'!$A:$A,"&lt;"&amp;$J819+7),0))</f>
        <v/>
      </c>
      <c r="F819" t="str">
        <f>IF($J819="","",IFERROR(SUMIFS('Weekly Log'!$F:$F,'Weekly Log'!$A:$A,"&gt;="&amp;$J819,'Weekly Log'!$A:$A,"&lt;"&amp;$J819+7)/SUMIFS('Weekly Log'!$E:$E,'Weekly Log'!$A:$A,"&gt;="&amp;$J819,'Weekly Log'!$A:$A,"&lt;"&amp;$J819+7),0))</f>
        <v/>
      </c>
      <c r="G819" t="str">
        <f>IF($J819="","",IFERROR(LOOKUP(2,1/(('Weekly Log'!$A$5:$A$5000&gt;=$J819)*('Weekly Log'!$A$5:$A$5000&lt;$J819+7)*('Weekly Log'!$M$5:$M$5000&lt;&gt;"")),'Weekly Log'!$M$5:$M$5000),0))</f>
        <v/>
      </c>
      <c r="J819" t="str">
        <f>IF(COUNT('Weekly Log'!$A$5:$A$5000)=0,"",IF(MIN('Weekly Log'!$A$5:$A$5000)+7*(ROW()-10)&gt;MAX('Weekly Log'!$A$5:$A$5000),"",MIN('Weekly Log'!$A$5:$A$5000)+7*(ROW()-10)))</f>
        <v/>
      </c>
    </row>
    <row r="820" spans="1:10" x14ac:dyDescent="0.25">
      <c r="A820" t="str">
        <f t="shared" si="12"/>
        <v/>
      </c>
      <c r="B820" t="str">
        <f>IF($J820="","",SUMIFS('Weekly Log'!$C:$C,'Weekly Log'!$A:$A,"&gt;="&amp;$J820,'Weekly Log'!$A:$A,"&lt;"&amp;$J820+7))</f>
        <v/>
      </c>
      <c r="C820" t="str">
        <f>IF($J820="","",IFERROR(COUNTIFS('Weekly Log'!$G:$G,"Y",'Weekly Log'!$A:$A,"&gt;="&amp;$J820,'Weekly Log'!$A:$A,"&lt;"&amp;$J820+7)/COUNTIFS('Weekly Log'!$G:$G,"&lt;&gt;",'Weekly Log'!$A:$A,"&gt;="&amp;$J820,'Weekly Log'!$A:$A,"&lt;"&amp;$J820+7),0))</f>
        <v/>
      </c>
      <c r="D820" t="str">
        <f>IF($J820="","",IFERROR(COUNTIFS('Weekly Log'!$H:$H,"Y",'Weekly Log'!$A:$A,"&gt;="&amp;$J820,'Weekly Log'!$A:$A,"&lt;"&amp;$J820+7)/COUNTIFS('Weekly Log'!$H:$H,"&lt;&gt;",'Weekly Log'!$A:$A,"&gt;="&amp;$J820,'Weekly Log'!$A:$A,"&lt;"&amp;$J820+7),0))</f>
        <v/>
      </c>
      <c r="E820" t="str">
        <f>IF($J820="","",IFERROR(AVERAGEIFS('Weekly Log'!$F:$F,'Weekly Log'!$A:$A,"&gt;="&amp;$J820,'Weekly Log'!$A:$A,"&lt;"&amp;$J820+7),0))</f>
        <v/>
      </c>
      <c r="F820" t="str">
        <f>IF($J820="","",IFERROR(SUMIFS('Weekly Log'!$F:$F,'Weekly Log'!$A:$A,"&gt;="&amp;$J820,'Weekly Log'!$A:$A,"&lt;"&amp;$J820+7)/SUMIFS('Weekly Log'!$E:$E,'Weekly Log'!$A:$A,"&gt;="&amp;$J820,'Weekly Log'!$A:$A,"&lt;"&amp;$J820+7),0))</f>
        <v/>
      </c>
      <c r="G820" t="str">
        <f>IF($J820="","",IFERROR(LOOKUP(2,1/(('Weekly Log'!$A$5:$A$5000&gt;=$J820)*('Weekly Log'!$A$5:$A$5000&lt;$J820+7)*('Weekly Log'!$M$5:$M$5000&lt;&gt;"")),'Weekly Log'!$M$5:$M$5000),0))</f>
        <v/>
      </c>
      <c r="J820" t="str">
        <f>IF(COUNT('Weekly Log'!$A$5:$A$5000)=0,"",IF(MIN('Weekly Log'!$A$5:$A$5000)+7*(ROW()-10)&gt;MAX('Weekly Log'!$A$5:$A$5000),"",MIN('Weekly Log'!$A$5:$A$5000)+7*(ROW()-10)))</f>
        <v/>
      </c>
    </row>
    <row r="821" spans="1:10" x14ac:dyDescent="0.25">
      <c r="A821" t="str">
        <f t="shared" si="12"/>
        <v/>
      </c>
      <c r="B821" t="str">
        <f>IF($J821="","",SUMIFS('Weekly Log'!$C:$C,'Weekly Log'!$A:$A,"&gt;="&amp;$J821,'Weekly Log'!$A:$A,"&lt;"&amp;$J821+7))</f>
        <v/>
      </c>
      <c r="C821" t="str">
        <f>IF($J821="","",IFERROR(COUNTIFS('Weekly Log'!$G:$G,"Y",'Weekly Log'!$A:$A,"&gt;="&amp;$J821,'Weekly Log'!$A:$A,"&lt;"&amp;$J821+7)/COUNTIFS('Weekly Log'!$G:$G,"&lt;&gt;",'Weekly Log'!$A:$A,"&gt;="&amp;$J821,'Weekly Log'!$A:$A,"&lt;"&amp;$J821+7),0))</f>
        <v/>
      </c>
      <c r="D821" t="str">
        <f>IF($J821="","",IFERROR(COUNTIFS('Weekly Log'!$H:$H,"Y",'Weekly Log'!$A:$A,"&gt;="&amp;$J821,'Weekly Log'!$A:$A,"&lt;"&amp;$J821+7)/COUNTIFS('Weekly Log'!$H:$H,"&lt;&gt;",'Weekly Log'!$A:$A,"&gt;="&amp;$J821,'Weekly Log'!$A:$A,"&lt;"&amp;$J821+7),0))</f>
        <v/>
      </c>
      <c r="E821" t="str">
        <f>IF($J821="","",IFERROR(AVERAGEIFS('Weekly Log'!$F:$F,'Weekly Log'!$A:$A,"&gt;="&amp;$J821,'Weekly Log'!$A:$A,"&lt;"&amp;$J821+7),0))</f>
        <v/>
      </c>
      <c r="F821" t="str">
        <f>IF($J821="","",IFERROR(SUMIFS('Weekly Log'!$F:$F,'Weekly Log'!$A:$A,"&gt;="&amp;$J821,'Weekly Log'!$A:$A,"&lt;"&amp;$J821+7)/SUMIFS('Weekly Log'!$E:$E,'Weekly Log'!$A:$A,"&gt;="&amp;$J821,'Weekly Log'!$A:$A,"&lt;"&amp;$J821+7),0))</f>
        <v/>
      </c>
      <c r="G821" t="str">
        <f>IF($J821="","",IFERROR(LOOKUP(2,1/(('Weekly Log'!$A$5:$A$5000&gt;=$J821)*('Weekly Log'!$A$5:$A$5000&lt;$J821+7)*('Weekly Log'!$M$5:$M$5000&lt;&gt;"")),'Weekly Log'!$M$5:$M$5000),0))</f>
        <v/>
      </c>
      <c r="J821" t="str">
        <f>IF(COUNT('Weekly Log'!$A$5:$A$5000)=0,"",IF(MIN('Weekly Log'!$A$5:$A$5000)+7*(ROW()-10)&gt;MAX('Weekly Log'!$A$5:$A$5000),"",MIN('Weekly Log'!$A$5:$A$5000)+7*(ROW()-10)))</f>
        <v/>
      </c>
    </row>
    <row r="822" spans="1:10" x14ac:dyDescent="0.25">
      <c r="A822" t="str">
        <f t="shared" si="12"/>
        <v/>
      </c>
      <c r="B822" t="str">
        <f>IF($J822="","",SUMIFS('Weekly Log'!$C:$C,'Weekly Log'!$A:$A,"&gt;="&amp;$J822,'Weekly Log'!$A:$A,"&lt;"&amp;$J822+7))</f>
        <v/>
      </c>
      <c r="C822" t="str">
        <f>IF($J822="","",IFERROR(COUNTIFS('Weekly Log'!$G:$G,"Y",'Weekly Log'!$A:$A,"&gt;="&amp;$J822,'Weekly Log'!$A:$A,"&lt;"&amp;$J822+7)/COUNTIFS('Weekly Log'!$G:$G,"&lt;&gt;",'Weekly Log'!$A:$A,"&gt;="&amp;$J822,'Weekly Log'!$A:$A,"&lt;"&amp;$J822+7),0))</f>
        <v/>
      </c>
      <c r="D822" t="str">
        <f>IF($J822="","",IFERROR(COUNTIFS('Weekly Log'!$H:$H,"Y",'Weekly Log'!$A:$A,"&gt;="&amp;$J822,'Weekly Log'!$A:$A,"&lt;"&amp;$J822+7)/COUNTIFS('Weekly Log'!$H:$H,"&lt;&gt;",'Weekly Log'!$A:$A,"&gt;="&amp;$J822,'Weekly Log'!$A:$A,"&lt;"&amp;$J822+7),0))</f>
        <v/>
      </c>
      <c r="E822" t="str">
        <f>IF($J822="","",IFERROR(AVERAGEIFS('Weekly Log'!$F:$F,'Weekly Log'!$A:$A,"&gt;="&amp;$J822,'Weekly Log'!$A:$A,"&lt;"&amp;$J822+7),0))</f>
        <v/>
      </c>
      <c r="F822" t="str">
        <f>IF($J822="","",IFERROR(SUMIFS('Weekly Log'!$F:$F,'Weekly Log'!$A:$A,"&gt;="&amp;$J822,'Weekly Log'!$A:$A,"&lt;"&amp;$J822+7)/SUMIFS('Weekly Log'!$E:$E,'Weekly Log'!$A:$A,"&gt;="&amp;$J822,'Weekly Log'!$A:$A,"&lt;"&amp;$J822+7),0))</f>
        <v/>
      </c>
      <c r="G822" t="str">
        <f>IF($J822="","",IFERROR(LOOKUP(2,1/(('Weekly Log'!$A$5:$A$5000&gt;=$J822)*('Weekly Log'!$A$5:$A$5000&lt;$J822+7)*('Weekly Log'!$M$5:$M$5000&lt;&gt;"")),'Weekly Log'!$M$5:$M$5000),0))</f>
        <v/>
      </c>
      <c r="J822" t="str">
        <f>IF(COUNT('Weekly Log'!$A$5:$A$5000)=0,"",IF(MIN('Weekly Log'!$A$5:$A$5000)+7*(ROW()-10)&gt;MAX('Weekly Log'!$A$5:$A$5000),"",MIN('Weekly Log'!$A$5:$A$5000)+7*(ROW()-10)))</f>
        <v/>
      </c>
    </row>
    <row r="823" spans="1:10" x14ac:dyDescent="0.25">
      <c r="A823" t="str">
        <f t="shared" si="12"/>
        <v/>
      </c>
      <c r="B823" t="str">
        <f>IF($J823="","",SUMIFS('Weekly Log'!$C:$C,'Weekly Log'!$A:$A,"&gt;="&amp;$J823,'Weekly Log'!$A:$A,"&lt;"&amp;$J823+7))</f>
        <v/>
      </c>
      <c r="C823" t="str">
        <f>IF($J823="","",IFERROR(COUNTIFS('Weekly Log'!$G:$G,"Y",'Weekly Log'!$A:$A,"&gt;="&amp;$J823,'Weekly Log'!$A:$A,"&lt;"&amp;$J823+7)/COUNTIFS('Weekly Log'!$G:$G,"&lt;&gt;",'Weekly Log'!$A:$A,"&gt;="&amp;$J823,'Weekly Log'!$A:$A,"&lt;"&amp;$J823+7),0))</f>
        <v/>
      </c>
      <c r="D823" t="str">
        <f>IF($J823="","",IFERROR(COUNTIFS('Weekly Log'!$H:$H,"Y",'Weekly Log'!$A:$A,"&gt;="&amp;$J823,'Weekly Log'!$A:$A,"&lt;"&amp;$J823+7)/COUNTIFS('Weekly Log'!$H:$H,"&lt;&gt;",'Weekly Log'!$A:$A,"&gt;="&amp;$J823,'Weekly Log'!$A:$A,"&lt;"&amp;$J823+7),0))</f>
        <v/>
      </c>
      <c r="E823" t="str">
        <f>IF($J823="","",IFERROR(AVERAGEIFS('Weekly Log'!$F:$F,'Weekly Log'!$A:$A,"&gt;="&amp;$J823,'Weekly Log'!$A:$A,"&lt;"&amp;$J823+7),0))</f>
        <v/>
      </c>
      <c r="F823" t="str">
        <f>IF($J823="","",IFERROR(SUMIFS('Weekly Log'!$F:$F,'Weekly Log'!$A:$A,"&gt;="&amp;$J823,'Weekly Log'!$A:$A,"&lt;"&amp;$J823+7)/SUMIFS('Weekly Log'!$E:$E,'Weekly Log'!$A:$A,"&gt;="&amp;$J823,'Weekly Log'!$A:$A,"&lt;"&amp;$J823+7),0))</f>
        <v/>
      </c>
      <c r="G823" t="str">
        <f>IF($J823="","",IFERROR(LOOKUP(2,1/(('Weekly Log'!$A$5:$A$5000&gt;=$J823)*('Weekly Log'!$A$5:$A$5000&lt;$J823+7)*('Weekly Log'!$M$5:$M$5000&lt;&gt;"")),'Weekly Log'!$M$5:$M$5000),0))</f>
        <v/>
      </c>
      <c r="J823" t="str">
        <f>IF(COUNT('Weekly Log'!$A$5:$A$5000)=0,"",IF(MIN('Weekly Log'!$A$5:$A$5000)+7*(ROW()-10)&gt;MAX('Weekly Log'!$A$5:$A$5000),"",MIN('Weekly Log'!$A$5:$A$5000)+7*(ROW()-10)))</f>
        <v/>
      </c>
    </row>
    <row r="824" spans="1:10" x14ac:dyDescent="0.25">
      <c r="A824" t="str">
        <f t="shared" si="12"/>
        <v/>
      </c>
      <c r="B824" t="str">
        <f>IF($J824="","",SUMIFS('Weekly Log'!$C:$C,'Weekly Log'!$A:$A,"&gt;="&amp;$J824,'Weekly Log'!$A:$A,"&lt;"&amp;$J824+7))</f>
        <v/>
      </c>
      <c r="C824" t="str">
        <f>IF($J824="","",IFERROR(COUNTIFS('Weekly Log'!$G:$G,"Y",'Weekly Log'!$A:$A,"&gt;="&amp;$J824,'Weekly Log'!$A:$A,"&lt;"&amp;$J824+7)/COUNTIFS('Weekly Log'!$G:$G,"&lt;&gt;",'Weekly Log'!$A:$A,"&gt;="&amp;$J824,'Weekly Log'!$A:$A,"&lt;"&amp;$J824+7),0))</f>
        <v/>
      </c>
      <c r="D824" t="str">
        <f>IF($J824="","",IFERROR(COUNTIFS('Weekly Log'!$H:$H,"Y",'Weekly Log'!$A:$A,"&gt;="&amp;$J824,'Weekly Log'!$A:$A,"&lt;"&amp;$J824+7)/COUNTIFS('Weekly Log'!$H:$H,"&lt;&gt;",'Weekly Log'!$A:$A,"&gt;="&amp;$J824,'Weekly Log'!$A:$A,"&lt;"&amp;$J824+7),0))</f>
        <v/>
      </c>
      <c r="E824" t="str">
        <f>IF($J824="","",IFERROR(AVERAGEIFS('Weekly Log'!$F:$F,'Weekly Log'!$A:$A,"&gt;="&amp;$J824,'Weekly Log'!$A:$A,"&lt;"&amp;$J824+7),0))</f>
        <v/>
      </c>
      <c r="F824" t="str">
        <f>IF($J824="","",IFERROR(SUMIFS('Weekly Log'!$F:$F,'Weekly Log'!$A:$A,"&gt;="&amp;$J824,'Weekly Log'!$A:$A,"&lt;"&amp;$J824+7)/SUMIFS('Weekly Log'!$E:$E,'Weekly Log'!$A:$A,"&gt;="&amp;$J824,'Weekly Log'!$A:$A,"&lt;"&amp;$J824+7),0))</f>
        <v/>
      </c>
      <c r="G824" t="str">
        <f>IF($J824="","",IFERROR(LOOKUP(2,1/(('Weekly Log'!$A$5:$A$5000&gt;=$J824)*('Weekly Log'!$A$5:$A$5000&lt;$J824+7)*('Weekly Log'!$M$5:$M$5000&lt;&gt;"")),'Weekly Log'!$M$5:$M$5000),0))</f>
        <v/>
      </c>
      <c r="J824" t="str">
        <f>IF(COUNT('Weekly Log'!$A$5:$A$5000)=0,"",IF(MIN('Weekly Log'!$A$5:$A$5000)+7*(ROW()-10)&gt;MAX('Weekly Log'!$A$5:$A$5000),"",MIN('Weekly Log'!$A$5:$A$5000)+7*(ROW()-10)))</f>
        <v/>
      </c>
    </row>
    <row r="825" spans="1:10" x14ac:dyDescent="0.25">
      <c r="A825" t="str">
        <f t="shared" si="12"/>
        <v/>
      </c>
      <c r="B825" t="str">
        <f>IF($J825="","",SUMIFS('Weekly Log'!$C:$C,'Weekly Log'!$A:$A,"&gt;="&amp;$J825,'Weekly Log'!$A:$A,"&lt;"&amp;$J825+7))</f>
        <v/>
      </c>
      <c r="C825" t="str">
        <f>IF($J825="","",IFERROR(COUNTIFS('Weekly Log'!$G:$G,"Y",'Weekly Log'!$A:$A,"&gt;="&amp;$J825,'Weekly Log'!$A:$A,"&lt;"&amp;$J825+7)/COUNTIFS('Weekly Log'!$G:$G,"&lt;&gt;",'Weekly Log'!$A:$A,"&gt;="&amp;$J825,'Weekly Log'!$A:$A,"&lt;"&amp;$J825+7),0))</f>
        <v/>
      </c>
      <c r="D825" t="str">
        <f>IF($J825="","",IFERROR(COUNTIFS('Weekly Log'!$H:$H,"Y",'Weekly Log'!$A:$A,"&gt;="&amp;$J825,'Weekly Log'!$A:$A,"&lt;"&amp;$J825+7)/COUNTIFS('Weekly Log'!$H:$H,"&lt;&gt;",'Weekly Log'!$A:$A,"&gt;="&amp;$J825,'Weekly Log'!$A:$A,"&lt;"&amp;$J825+7),0))</f>
        <v/>
      </c>
      <c r="E825" t="str">
        <f>IF($J825="","",IFERROR(AVERAGEIFS('Weekly Log'!$F:$F,'Weekly Log'!$A:$A,"&gt;="&amp;$J825,'Weekly Log'!$A:$A,"&lt;"&amp;$J825+7),0))</f>
        <v/>
      </c>
      <c r="F825" t="str">
        <f>IF($J825="","",IFERROR(SUMIFS('Weekly Log'!$F:$F,'Weekly Log'!$A:$A,"&gt;="&amp;$J825,'Weekly Log'!$A:$A,"&lt;"&amp;$J825+7)/SUMIFS('Weekly Log'!$E:$E,'Weekly Log'!$A:$A,"&gt;="&amp;$J825,'Weekly Log'!$A:$A,"&lt;"&amp;$J825+7),0))</f>
        <v/>
      </c>
      <c r="G825" t="str">
        <f>IF($J825="","",IFERROR(LOOKUP(2,1/(('Weekly Log'!$A$5:$A$5000&gt;=$J825)*('Weekly Log'!$A$5:$A$5000&lt;$J825+7)*('Weekly Log'!$M$5:$M$5000&lt;&gt;"")),'Weekly Log'!$M$5:$M$5000),0))</f>
        <v/>
      </c>
      <c r="J825" t="str">
        <f>IF(COUNT('Weekly Log'!$A$5:$A$5000)=0,"",IF(MIN('Weekly Log'!$A$5:$A$5000)+7*(ROW()-10)&gt;MAX('Weekly Log'!$A$5:$A$5000),"",MIN('Weekly Log'!$A$5:$A$5000)+7*(ROW()-10)))</f>
        <v/>
      </c>
    </row>
    <row r="826" spans="1:10" x14ac:dyDescent="0.25">
      <c r="A826" t="str">
        <f t="shared" si="12"/>
        <v/>
      </c>
      <c r="B826" t="str">
        <f>IF($J826="","",SUMIFS('Weekly Log'!$C:$C,'Weekly Log'!$A:$A,"&gt;="&amp;$J826,'Weekly Log'!$A:$A,"&lt;"&amp;$J826+7))</f>
        <v/>
      </c>
      <c r="C826" t="str">
        <f>IF($J826="","",IFERROR(COUNTIFS('Weekly Log'!$G:$G,"Y",'Weekly Log'!$A:$A,"&gt;="&amp;$J826,'Weekly Log'!$A:$A,"&lt;"&amp;$J826+7)/COUNTIFS('Weekly Log'!$G:$G,"&lt;&gt;",'Weekly Log'!$A:$A,"&gt;="&amp;$J826,'Weekly Log'!$A:$A,"&lt;"&amp;$J826+7),0))</f>
        <v/>
      </c>
      <c r="D826" t="str">
        <f>IF($J826="","",IFERROR(COUNTIFS('Weekly Log'!$H:$H,"Y",'Weekly Log'!$A:$A,"&gt;="&amp;$J826,'Weekly Log'!$A:$A,"&lt;"&amp;$J826+7)/COUNTIFS('Weekly Log'!$H:$H,"&lt;&gt;",'Weekly Log'!$A:$A,"&gt;="&amp;$J826,'Weekly Log'!$A:$A,"&lt;"&amp;$J826+7),0))</f>
        <v/>
      </c>
      <c r="E826" t="str">
        <f>IF($J826="","",IFERROR(AVERAGEIFS('Weekly Log'!$F:$F,'Weekly Log'!$A:$A,"&gt;="&amp;$J826,'Weekly Log'!$A:$A,"&lt;"&amp;$J826+7),0))</f>
        <v/>
      </c>
      <c r="F826" t="str">
        <f>IF($J826="","",IFERROR(SUMIFS('Weekly Log'!$F:$F,'Weekly Log'!$A:$A,"&gt;="&amp;$J826,'Weekly Log'!$A:$A,"&lt;"&amp;$J826+7)/SUMIFS('Weekly Log'!$E:$E,'Weekly Log'!$A:$A,"&gt;="&amp;$J826,'Weekly Log'!$A:$A,"&lt;"&amp;$J826+7),0))</f>
        <v/>
      </c>
      <c r="G826" t="str">
        <f>IF($J826="","",IFERROR(LOOKUP(2,1/(('Weekly Log'!$A$5:$A$5000&gt;=$J826)*('Weekly Log'!$A$5:$A$5000&lt;$J826+7)*('Weekly Log'!$M$5:$M$5000&lt;&gt;"")),'Weekly Log'!$M$5:$M$5000),0))</f>
        <v/>
      </c>
      <c r="J826" t="str">
        <f>IF(COUNT('Weekly Log'!$A$5:$A$5000)=0,"",IF(MIN('Weekly Log'!$A$5:$A$5000)+7*(ROW()-10)&gt;MAX('Weekly Log'!$A$5:$A$5000),"",MIN('Weekly Log'!$A$5:$A$5000)+7*(ROW()-10)))</f>
        <v/>
      </c>
    </row>
    <row r="827" spans="1:10" x14ac:dyDescent="0.25">
      <c r="A827" t="str">
        <f t="shared" si="12"/>
        <v/>
      </c>
      <c r="B827" t="str">
        <f>IF($J827="","",SUMIFS('Weekly Log'!$C:$C,'Weekly Log'!$A:$A,"&gt;="&amp;$J827,'Weekly Log'!$A:$A,"&lt;"&amp;$J827+7))</f>
        <v/>
      </c>
      <c r="C827" t="str">
        <f>IF($J827="","",IFERROR(COUNTIFS('Weekly Log'!$G:$G,"Y",'Weekly Log'!$A:$A,"&gt;="&amp;$J827,'Weekly Log'!$A:$A,"&lt;"&amp;$J827+7)/COUNTIFS('Weekly Log'!$G:$G,"&lt;&gt;",'Weekly Log'!$A:$A,"&gt;="&amp;$J827,'Weekly Log'!$A:$A,"&lt;"&amp;$J827+7),0))</f>
        <v/>
      </c>
      <c r="D827" t="str">
        <f>IF($J827="","",IFERROR(COUNTIFS('Weekly Log'!$H:$H,"Y",'Weekly Log'!$A:$A,"&gt;="&amp;$J827,'Weekly Log'!$A:$A,"&lt;"&amp;$J827+7)/COUNTIFS('Weekly Log'!$H:$H,"&lt;&gt;",'Weekly Log'!$A:$A,"&gt;="&amp;$J827,'Weekly Log'!$A:$A,"&lt;"&amp;$J827+7),0))</f>
        <v/>
      </c>
      <c r="E827" t="str">
        <f>IF($J827="","",IFERROR(AVERAGEIFS('Weekly Log'!$F:$F,'Weekly Log'!$A:$A,"&gt;="&amp;$J827,'Weekly Log'!$A:$A,"&lt;"&amp;$J827+7),0))</f>
        <v/>
      </c>
      <c r="F827" t="str">
        <f>IF($J827="","",IFERROR(SUMIFS('Weekly Log'!$F:$F,'Weekly Log'!$A:$A,"&gt;="&amp;$J827,'Weekly Log'!$A:$A,"&lt;"&amp;$J827+7)/SUMIFS('Weekly Log'!$E:$E,'Weekly Log'!$A:$A,"&gt;="&amp;$J827,'Weekly Log'!$A:$A,"&lt;"&amp;$J827+7),0))</f>
        <v/>
      </c>
      <c r="G827" t="str">
        <f>IF($J827="","",IFERROR(LOOKUP(2,1/(('Weekly Log'!$A$5:$A$5000&gt;=$J827)*('Weekly Log'!$A$5:$A$5000&lt;$J827+7)*('Weekly Log'!$M$5:$M$5000&lt;&gt;"")),'Weekly Log'!$M$5:$M$5000),0))</f>
        <v/>
      </c>
      <c r="J827" t="str">
        <f>IF(COUNT('Weekly Log'!$A$5:$A$5000)=0,"",IF(MIN('Weekly Log'!$A$5:$A$5000)+7*(ROW()-10)&gt;MAX('Weekly Log'!$A$5:$A$5000),"",MIN('Weekly Log'!$A$5:$A$5000)+7*(ROW()-10)))</f>
        <v/>
      </c>
    </row>
    <row r="828" spans="1:10" x14ac:dyDescent="0.25">
      <c r="A828" t="str">
        <f t="shared" si="12"/>
        <v/>
      </c>
      <c r="B828" t="str">
        <f>IF($J828="","",SUMIFS('Weekly Log'!$C:$C,'Weekly Log'!$A:$A,"&gt;="&amp;$J828,'Weekly Log'!$A:$A,"&lt;"&amp;$J828+7))</f>
        <v/>
      </c>
      <c r="C828" t="str">
        <f>IF($J828="","",IFERROR(COUNTIFS('Weekly Log'!$G:$G,"Y",'Weekly Log'!$A:$A,"&gt;="&amp;$J828,'Weekly Log'!$A:$A,"&lt;"&amp;$J828+7)/COUNTIFS('Weekly Log'!$G:$G,"&lt;&gt;",'Weekly Log'!$A:$A,"&gt;="&amp;$J828,'Weekly Log'!$A:$A,"&lt;"&amp;$J828+7),0))</f>
        <v/>
      </c>
      <c r="D828" t="str">
        <f>IF($J828="","",IFERROR(COUNTIFS('Weekly Log'!$H:$H,"Y",'Weekly Log'!$A:$A,"&gt;="&amp;$J828,'Weekly Log'!$A:$A,"&lt;"&amp;$J828+7)/COUNTIFS('Weekly Log'!$H:$H,"&lt;&gt;",'Weekly Log'!$A:$A,"&gt;="&amp;$J828,'Weekly Log'!$A:$A,"&lt;"&amp;$J828+7),0))</f>
        <v/>
      </c>
      <c r="E828" t="str">
        <f>IF($J828="","",IFERROR(AVERAGEIFS('Weekly Log'!$F:$F,'Weekly Log'!$A:$A,"&gt;="&amp;$J828,'Weekly Log'!$A:$A,"&lt;"&amp;$J828+7),0))</f>
        <v/>
      </c>
      <c r="F828" t="str">
        <f>IF($J828="","",IFERROR(SUMIFS('Weekly Log'!$F:$F,'Weekly Log'!$A:$A,"&gt;="&amp;$J828,'Weekly Log'!$A:$A,"&lt;"&amp;$J828+7)/SUMIFS('Weekly Log'!$E:$E,'Weekly Log'!$A:$A,"&gt;="&amp;$J828,'Weekly Log'!$A:$A,"&lt;"&amp;$J828+7),0))</f>
        <v/>
      </c>
      <c r="G828" t="str">
        <f>IF($J828="","",IFERROR(LOOKUP(2,1/(('Weekly Log'!$A$5:$A$5000&gt;=$J828)*('Weekly Log'!$A$5:$A$5000&lt;$J828+7)*('Weekly Log'!$M$5:$M$5000&lt;&gt;"")),'Weekly Log'!$M$5:$M$5000),0))</f>
        <v/>
      </c>
      <c r="J828" t="str">
        <f>IF(COUNT('Weekly Log'!$A$5:$A$5000)=0,"",IF(MIN('Weekly Log'!$A$5:$A$5000)+7*(ROW()-10)&gt;MAX('Weekly Log'!$A$5:$A$5000),"",MIN('Weekly Log'!$A$5:$A$5000)+7*(ROW()-10)))</f>
        <v/>
      </c>
    </row>
    <row r="829" spans="1:10" x14ac:dyDescent="0.25">
      <c r="A829" t="str">
        <f t="shared" si="12"/>
        <v/>
      </c>
      <c r="B829" t="str">
        <f>IF($J829="","",SUMIFS('Weekly Log'!$C:$C,'Weekly Log'!$A:$A,"&gt;="&amp;$J829,'Weekly Log'!$A:$A,"&lt;"&amp;$J829+7))</f>
        <v/>
      </c>
      <c r="C829" t="str">
        <f>IF($J829="","",IFERROR(COUNTIFS('Weekly Log'!$G:$G,"Y",'Weekly Log'!$A:$A,"&gt;="&amp;$J829,'Weekly Log'!$A:$A,"&lt;"&amp;$J829+7)/COUNTIFS('Weekly Log'!$G:$G,"&lt;&gt;",'Weekly Log'!$A:$A,"&gt;="&amp;$J829,'Weekly Log'!$A:$A,"&lt;"&amp;$J829+7),0))</f>
        <v/>
      </c>
      <c r="D829" t="str">
        <f>IF($J829="","",IFERROR(COUNTIFS('Weekly Log'!$H:$H,"Y",'Weekly Log'!$A:$A,"&gt;="&amp;$J829,'Weekly Log'!$A:$A,"&lt;"&amp;$J829+7)/COUNTIFS('Weekly Log'!$H:$H,"&lt;&gt;",'Weekly Log'!$A:$A,"&gt;="&amp;$J829,'Weekly Log'!$A:$A,"&lt;"&amp;$J829+7),0))</f>
        <v/>
      </c>
      <c r="E829" t="str">
        <f>IF($J829="","",IFERROR(AVERAGEIFS('Weekly Log'!$F:$F,'Weekly Log'!$A:$A,"&gt;="&amp;$J829,'Weekly Log'!$A:$A,"&lt;"&amp;$J829+7),0))</f>
        <v/>
      </c>
      <c r="F829" t="str">
        <f>IF($J829="","",IFERROR(SUMIFS('Weekly Log'!$F:$F,'Weekly Log'!$A:$A,"&gt;="&amp;$J829,'Weekly Log'!$A:$A,"&lt;"&amp;$J829+7)/SUMIFS('Weekly Log'!$E:$E,'Weekly Log'!$A:$A,"&gt;="&amp;$J829,'Weekly Log'!$A:$A,"&lt;"&amp;$J829+7),0))</f>
        <v/>
      </c>
      <c r="G829" t="str">
        <f>IF($J829="","",IFERROR(LOOKUP(2,1/(('Weekly Log'!$A$5:$A$5000&gt;=$J829)*('Weekly Log'!$A$5:$A$5000&lt;$J829+7)*('Weekly Log'!$M$5:$M$5000&lt;&gt;"")),'Weekly Log'!$M$5:$M$5000),0))</f>
        <v/>
      </c>
      <c r="J829" t="str">
        <f>IF(COUNT('Weekly Log'!$A$5:$A$5000)=0,"",IF(MIN('Weekly Log'!$A$5:$A$5000)+7*(ROW()-10)&gt;MAX('Weekly Log'!$A$5:$A$5000),"",MIN('Weekly Log'!$A$5:$A$5000)+7*(ROW()-10)))</f>
        <v/>
      </c>
    </row>
    <row r="830" spans="1:10" x14ac:dyDescent="0.25">
      <c r="A830" t="str">
        <f t="shared" si="12"/>
        <v/>
      </c>
      <c r="B830" t="str">
        <f>IF($J830="","",SUMIFS('Weekly Log'!$C:$C,'Weekly Log'!$A:$A,"&gt;="&amp;$J830,'Weekly Log'!$A:$A,"&lt;"&amp;$J830+7))</f>
        <v/>
      </c>
      <c r="C830" t="str">
        <f>IF($J830="","",IFERROR(COUNTIFS('Weekly Log'!$G:$G,"Y",'Weekly Log'!$A:$A,"&gt;="&amp;$J830,'Weekly Log'!$A:$A,"&lt;"&amp;$J830+7)/COUNTIFS('Weekly Log'!$G:$G,"&lt;&gt;",'Weekly Log'!$A:$A,"&gt;="&amp;$J830,'Weekly Log'!$A:$A,"&lt;"&amp;$J830+7),0))</f>
        <v/>
      </c>
      <c r="D830" t="str">
        <f>IF($J830="","",IFERROR(COUNTIFS('Weekly Log'!$H:$H,"Y",'Weekly Log'!$A:$A,"&gt;="&amp;$J830,'Weekly Log'!$A:$A,"&lt;"&amp;$J830+7)/COUNTIFS('Weekly Log'!$H:$H,"&lt;&gt;",'Weekly Log'!$A:$A,"&gt;="&amp;$J830,'Weekly Log'!$A:$A,"&lt;"&amp;$J830+7),0))</f>
        <v/>
      </c>
      <c r="E830" t="str">
        <f>IF($J830="","",IFERROR(AVERAGEIFS('Weekly Log'!$F:$F,'Weekly Log'!$A:$A,"&gt;="&amp;$J830,'Weekly Log'!$A:$A,"&lt;"&amp;$J830+7),0))</f>
        <v/>
      </c>
      <c r="F830" t="str">
        <f>IF($J830="","",IFERROR(SUMIFS('Weekly Log'!$F:$F,'Weekly Log'!$A:$A,"&gt;="&amp;$J830,'Weekly Log'!$A:$A,"&lt;"&amp;$J830+7)/SUMIFS('Weekly Log'!$E:$E,'Weekly Log'!$A:$A,"&gt;="&amp;$J830,'Weekly Log'!$A:$A,"&lt;"&amp;$J830+7),0))</f>
        <v/>
      </c>
      <c r="G830" t="str">
        <f>IF($J830="","",IFERROR(LOOKUP(2,1/(('Weekly Log'!$A$5:$A$5000&gt;=$J830)*('Weekly Log'!$A$5:$A$5000&lt;$J830+7)*('Weekly Log'!$M$5:$M$5000&lt;&gt;"")),'Weekly Log'!$M$5:$M$5000),0))</f>
        <v/>
      </c>
      <c r="J830" t="str">
        <f>IF(COUNT('Weekly Log'!$A$5:$A$5000)=0,"",IF(MIN('Weekly Log'!$A$5:$A$5000)+7*(ROW()-10)&gt;MAX('Weekly Log'!$A$5:$A$5000),"",MIN('Weekly Log'!$A$5:$A$5000)+7*(ROW()-10)))</f>
        <v/>
      </c>
    </row>
    <row r="831" spans="1:10" x14ac:dyDescent="0.25">
      <c r="A831" t="str">
        <f t="shared" si="12"/>
        <v/>
      </c>
      <c r="B831" t="str">
        <f>IF($J831="","",SUMIFS('Weekly Log'!$C:$C,'Weekly Log'!$A:$A,"&gt;="&amp;$J831,'Weekly Log'!$A:$A,"&lt;"&amp;$J831+7))</f>
        <v/>
      </c>
      <c r="C831" t="str">
        <f>IF($J831="","",IFERROR(COUNTIFS('Weekly Log'!$G:$G,"Y",'Weekly Log'!$A:$A,"&gt;="&amp;$J831,'Weekly Log'!$A:$A,"&lt;"&amp;$J831+7)/COUNTIFS('Weekly Log'!$G:$G,"&lt;&gt;",'Weekly Log'!$A:$A,"&gt;="&amp;$J831,'Weekly Log'!$A:$A,"&lt;"&amp;$J831+7),0))</f>
        <v/>
      </c>
      <c r="D831" t="str">
        <f>IF($J831="","",IFERROR(COUNTIFS('Weekly Log'!$H:$H,"Y",'Weekly Log'!$A:$A,"&gt;="&amp;$J831,'Weekly Log'!$A:$A,"&lt;"&amp;$J831+7)/COUNTIFS('Weekly Log'!$H:$H,"&lt;&gt;",'Weekly Log'!$A:$A,"&gt;="&amp;$J831,'Weekly Log'!$A:$A,"&lt;"&amp;$J831+7),0))</f>
        <v/>
      </c>
      <c r="E831" t="str">
        <f>IF($J831="","",IFERROR(AVERAGEIFS('Weekly Log'!$F:$F,'Weekly Log'!$A:$A,"&gt;="&amp;$J831,'Weekly Log'!$A:$A,"&lt;"&amp;$J831+7),0))</f>
        <v/>
      </c>
      <c r="F831" t="str">
        <f>IF($J831="","",IFERROR(SUMIFS('Weekly Log'!$F:$F,'Weekly Log'!$A:$A,"&gt;="&amp;$J831,'Weekly Log'!$A:$A,"&lt;"&amp;$J831+7)/SUMIFS('Weekly Log'!$E:$E,'Weekly Log'!$A:$A,"&gt;="&amp;$J831,'Weekly Log'!$A:$A,"&lt;"&amp;$J831+7),0))</f>
        <v/>
      </c>
      <c r="G831" t="str">
        <f>IF($J831="","",IFERROR(LOOKUP(2,1/(('Weekly Log'!$A$5:$A$5000&gt;=$J831)*('Weekly Log'!$A$5:$A$5000&lt;$J831+7)*('Weekly Log'!$M$5:$M$5000&lt;&gt;"")),'Weekly Log'!$M$5:$M$5000),0))</f>
        <v/>
      </c>
      <c r="J831" t="str">
        <f>IF(COUNT('Weekly Log'!$A$5:$A$5000)=0,"",IF(MIN('Weekly Log'!$A$5:$A$5000)+7*(ROW()-10)&gt;MAX('Weekly Log'!$A$5:$A$5000),"",MIN('Weekly Log'!$A$5:$A$5000)+7*(ROW()-10)))</f>
        <v/>
      </c>
    </row>
    <row r="832" spans="1:10" x14ac:dyDescent="0.25">
      <c r="A832" t="str">
        <f t="shared" si="12"/>
        <v/>
      </c>
      <c r="B832" t="str">
        <f>IF($J832="","",SUMIFS('Weekly Log'!$C:$C,'Weekly Log'!$A:$A,"&gt;="&amp;$J832,'Weekly Log'!$A:$A,"&lt;"&amp;$J832+7))</f>
        <v/>
      </c>
      <c r="C832" t="str">
        <f>IF($J832="","",IFERROR(COUNTIFS('Weekly Log'!$G:$G,"Y",'Weekly Log'!$A:$A,"&gt;="&amp;$J832,'Weekly Log'!$A:$A,"&lt;"&amp;$J832+7)/COUNTIFS('Weekly Log'!$G:$G,"&lt;&gt;",'Weekly Log'!$A:$A,"&gt;="&amp;$J832,'Weekly Log'!$A:$A,"&lt;"&amp;$J832+7),0))</f>
        <v/>
      </c>
      <c r="D832" t="str">
        <f>IF($J832="","",IFERROR(COUNTIFS('Weekly Log'!$H:$H,"Y",'Weekly Log'!$A:$A,"&gt;="&amp;$J832,'Weekly Log'!$A:$A,"&lt;"&amp;$J832+7)/COUNTIFS('Weekly Log'!$H:$H,"&lt;&gt;",'Weekly Log'!$A:$A,"&gt;="&amp;$J832,'Weekly Log'!$A:$A,"&lt;"&amp;$J832+7),0))</f>
        <v/>
      </c>
      <c r="E832" t="str">
        <f>IF($J832="","",IFERROR(AVERAGEIFS('Weekly Log'!$F:$F,'Weekly Log'!$A:$A,"&gt;="&amp;$J832,'Weekly Log'!$A:$A,"&lt;"&amp;$J832+7),0))</f>
        <v/>
      </c>
      <c r="F832" t="str">
        <f>IF($J832="","",IFERROR(SUMIFS('Weekly Log'!$F:$F,'Weekly Log'!$A:$A,"&gt;="&amp;$J832,'Weekly Log'!$A:$A,"&lt;"&amp;$J832+7)/SUMIFS('Weekly Log'!$E:$E,'Weekly Log'!$A:$A,"&gt;="&amp;$J832,'Weekly Log'!$A:$A,"&lt;"&amp;$J832+7),0))</f>
        <v/>
      </c>
      <c r="G832" t="str">
        <f>IF($J832="","",IFERROR(LOOKUP(2,1/(('Weekly Log'!$A$5:$A$5000&gt;=$J832)*('Weekly Log'!$A$5:$A$5000&lt;$J832+7)*('Weekly Log'!$M$5:$M$5000&lt;&gt;"")),'Weekly Log'!$M$5:$M$5000),0))</f>
        <v/>
      </c>
      <c r="J832" t="str">
        <f>IF(COUNT('Weekly Log'!$A$5:$A$5000)=0,"",IF(MIN('Weekly Log'!$A$5:$A$5000)+7*(ROW()-10)&gt;MAX('Weekly Log'!$A$5:$A$5000),"",MIN('Weekly Log'!$A$5:$A$5000)+7*(ROW()-10)))</f>
        <v/>
      </c>
    </row>
    <row r="833" spans="1:10" x14ac:dyDescent="0.25">
      <c r="A833" t="str">
        <f t="shared" si="12"/>
        <v/>
      </c>
      <c r="B833" t="str">
        <f>IF($J833="","",SUMIFS('Weekly Log'!$C:$C,'Weekly Log'!$A:$A,"&gt;="&amp;$J833,'Weekly Log'!$A:$A,"&lt;"&amp;$J833+7))</f>
        <v/>
      </c>
      <c r="C833" t="str">
        <f>IF($J833="","",IFERROR(COUNTIFS('Weekly Log'!$G:$G,"Y",'Weekly Log'!$A:$A,"&gt;="&amp;$J833,'Weekly Log'!$A:$A,"&lt;"&amp;$J833+7)/COUNTIFS('Weekly Log'!$G:$G,"&lt;&gt;",'Weekly Log'!$A:$A,"&gt;="&amp;$J833,'Weekly Log'!$A:$A,"&lt;"&amp;$J833+7),0))</f>
        <v/>
      </c>
      <c r="D833" t="str">
        <f>IF($J833="","",IFERROR(COUNTIFS('Weekly Log'!$H:$H,"Y",'Weekly Log'!$A:$A,"&gt;="&amp;$J833,'Weekly Log'!$A:$A,"&lt;"&amp;$J833+7)/COUNTIFS('Weekly Log'!$H:$H,"&lt;&gt;",'Weekly Log'!$A:$A,"&gt;="&amp;$J833,'Weekly Log'!$A:$A,"&lt;"&amp;$J833+7),0))</f>
        <v/>
      </c>
      <c r="E833" t="str">
        <f>IF($J833="","",IFERROR(AVERAGEIFS('Weekly Log'!$F:$F,'Weekly Log'!$A:$A,"&gt;="&amp;$J833,'Weekly Log'!$A:$A,"&lt;"&amp;$J833+7),0))</f>
        <v/>
      </c>
      <c r="F833" t="str">
        <f>IF($J833="","",IFERROR(SUMIFS('Weekly Log'!$F:$F,'Weekly Log'!$A:$A,"&gt;="&amp;$J833,'Weekly Log'!$A:$A,"&lt;"&amp;$J833+7)/SUMIFS('Weekly Log'!$E:$E,'Weekly Log'!$A:$A,"&gt;="&amp;$J833,'Weekly Log'!$A:$A,"&lt;"&amp;$J833+7),0))</f>
        <v/>
      </c>
      <c r="G833" t="str">
        <f>IF($J833="","",IFERROR(LOOKUP(2,1/(('Weekly Log'!$A$5:$A$5000&gt;=$J833)*('Weekly Log'!$A$5:$A$5000&lt;$J833+7)*('Weekly Log'!$M$5:$M$5000&lt;&gt;"")),'Weekly Log'!$M$5:$M$5000),0))</f>
        <v/>
      </c>
      <c r="J833" t="str">
        <f>IF(COUNT('Weekly Log'!$A$5:$A$5000)=0,"",IF(MIN('Weekly Log'!$A$5:$A$5000)+7*(ROW()-10)&gt;MAX('Weekly Log'!$A$5:$A$5000),"",MIN('Weekly Log'!$A$5:$A$5000)+7*(ROW()-10)))</f>
        <v/>
      </c>
    </row>
    <row r="834" spans="1:10" x14ac:dyDescent="0.25">
      <c r="A834" t="str">
        <f t="shared" si="12"/>
        <v/>
      </c>
      <c r="B834" t="str">
        <f>IF($J834="","",SUMIFS('Weekly Log'!$C:$C,'Weekly Log'!$A:$A,"&gt;="&amp;$J834,'Weekly Log'!$A:$A,"&lt;"&amp;$J834+7))</f>
        <v/>
      </c>
      <c r="C834" t="str">
        <f>IF($J834="","",IFERROR(COUNTIFS('Weekly Log'!$G:$G,"Y",'Weekly Log'!$A:$A,"&gt;="&amp;$J834,'Weekly Log'!$A:$A,"&lt;"&amp;$J834+7)/COUNTIFS('Weekly Log'!$G:$G,"&lt;&gt;",'Weekly Log'!$A:$A,"&gt;="&amp;$J834,'Weekly Log'!$A:$A,"&lt;"&amp;$J834+7),0))</f>
        <v/>
      </c>
      <c r="D834" t="str">
        <f>IF($J834="","",IFERROR(COUNTIFS('Weekly Log'!$H:$H,"Y",'Weekly Log'!$A:$A,"&gt;="&amp;$J834,'Weekly Log'!$A:$A,"&lt;"&amp;$J834+7)/COUNTIFS('Weekly Log'!$H:$H,"&lt;&gt;",'Weekly Log'!$A:$A,"&gt;="&amp;$J834,'Weekly Log'!$A:$A,"&lt;"&amp;$J834+7),0))</f>
        <v/>
      </c>
      <c r="E834" t="str">
        <f>IF($J834="","",IFERROR(AVERAGEIFS('Weekly Log'!$F:$F,'Weekly Log'!$A:$A,"&gt;="&amp;$J834,'Weekly Log'!$A:$A,"&lt;"&amp;$J834+7),0))</f>
        <v/>
      </c>
      <c r="F834" t="str">
        <f>IF($J834="","",IFERROR(SUMIFS('Weekly Log'!$F:$F,'Weekly Log'!$A:$A,"&gt;="&amp;$J834,'Weekly Log'!$A:$A,"&lt;"&amp;$J834+7)/SUMIFS('Weekly Log'!$E:$E,'Weekly Log'!$A:$A,"&gt;="&amp;$J834,'Weekly Log'!$A:$A,"&lt;"&amp;$J834+7),0))</f>
        <v/>
      </c>
      <c r="G834" t="str">
        <f>IF($J834="","",IFERROR(LOOKUP(2,1/(('Weekly Log'!$A$5:$A$5000&gt;=$J834)*('Weekly Log'!$A$5:$A$5000&lt;$J834+7)*('Weekly Log'!$M$5:$M$5000&lt;&gt;"")),'Weekly Log'!$M$5:$M$5000),0))</f>
        <v/>
      </c>
      <c r="J834" t="str">
        <f>IF(COUNT('Weekly Log'!$A$5:$A$5000)=0,"",IF(MIN('Weekly Log'!$A$5:$A$5000)+7*(ROW()-10)&gt;MAX('Weekly Log'!$A$5:$A$5000),"",MIN('Weekly Log'!$A$5:$A$5000)+7*(ROW()-10)))</f>
        <v/>
      </c>
    </row>
    <row r="835" spans="1:10" x14ac:dyDescent="0.25">
      <c r="A835" t="str">
        <f t="shared" si="12"/>
        <v/>
      </c>
      <c r="B835" t="str">
        <f>IF($J835="","",SUMIFS('Weekly Log'!$C:$C,'Weekly Log'!$A:$A,"&gt;="&amp;$J835,'Weekly Log'!$A:$A,"&lt;"&amp;$J835+7))</f>
        <v/>
      </c>
      <c r="C835" t="str">
        <f>IF($J835="","",IFERROR(COUNTIFS('Weekly Log'!$G:$G,"Y",'Weekly Log'!$A:$A,"&gt;="&amp;$J835,'Weekly Log'!$A:$A,"&lt;"&amp;$J835+7)/COUNTIFS('Weekly Log'!$G:$G,"&lt;&gt;",'Weekly Log'!$A:$A,"&gt;="&amp;$J835,'Weekly Log'!$A:$A,"&lt;"&amp;$J835+7),0))</f>
        <v/>
      </c>
      <c r="D835" t="str">
        <f>IF($J835="","",IFERROR(COUNTIFS('Weekly Log'!$H:$H,"Y",'Weekly Log'!$A:$A,"&gt;="&amp;$J835,'Weekly Log'!$A:$A,"&lt;"&amp;$J835+7)/COUNTIFS('Weekly Log'!$H:$H,"&lt;&gt;",'Weekly Log'!$A:$A,"&gt;="&amp;$J835,'Weekly Log'!$A:$A,"&lt;"&amp;$J835+7),0))</f>
        <v/>
      </c>
      <c r="E835" t="str">
        <f>IF($J835="","",IFERROR(AVERAGEIFS('Weekly Log'!$F:$F,'Weekly Log'!$A:$A,"&gt;="&amp;$J835,'Weekly Log'!$A:$A,"&lt;"&amp;$J835+7),0))</f>
        <v/>
      </c>
      <c r="F835" t="str">
        <f>IF($J835="","",IFERROR(SUMIFS('Weekly Log'!$F:$F,'Weekly Log'!$A:$A,"&gt;="&amp;$J835,'Weekly Log'!$A:$A,"&lt;"&amp;$J835+7)/SUMIFS('Weekly Log'!$E:$E,'Weekly Log'!$A:$A,"&gt;="&amp;$J835,'Weekly Log'!$A:$A,"&lt;"&amp;$J835+7),0))</f>
        <v/>
      </c>
      <c r="G835" t="str">
        <f>IF($J835="","",IFERROR(LOOKUP(2,1/(('Weekly Log'!$A$5:$A$5000&gt;=$J835)*('Weekly Log'!$A$5:$A$5000&lt;$J835+7)*('Weekly Log'!$M$5:$M$5000&lt;&gt;"")),'Weekly Log'!$M$5:$M$5000),0))</f>
        <v/>
      </c>
      <c r="J835" t="str">
        <f>IF(COUNT('Weekly Log'!$A$5:$A$5000)=0,"",IF(MIN('Weekly Log'!$A$5:$A$5000)+7*(ROW()-10)&gt;MAX('Weekly Log'!$A$5:$A$5000),"",MIN('Weekly Log'!$A$5:$A$5000)+7*(ROW()-10)))</f>
        <v/>
      </c>
    </row>
    <row r="836" spans="1:10" x14ac:dyDescent="0.25">
      <c r="A836" t="str">
        <f t="shared" si="12"/>
        <v/>
      </c>
      <c r="B836" t="str">
        <f>IF($J836="","",SUMIFS('Weekly Log'!$C:$C,'Weekly Log'!$A:$A,"&gt;="&amp;$J836,'Weekly Log'!$A:$A,"&lt;"&amp;$J836+7))</f>
        <v/>
      </c>
      <c r="C836" t="str">
        <f>IF($J836="","",IFERROR(COUNTIFS('Weekly Log'!$G:$G,"Y",'Weekly Log'!$A:$A,"&gt;="&amp;$J836,'Weekly Log'!$A:$A,"&lt;"&amp;$J836+7)/COUNTIFS('Weekly Log'!$G:$G,"&lt;&gt;",'Weekly Log'!$A:$A,"&gt;="&amp;$J836,'Weekly Log'!$A:$A,"&lt;"&amp;$J836+7),0))</f>
        <v/>
      </c>
      <c r="D836" t="str">
        <f>IF($J836="","",IFERROR(COUNTIFS('Weekly Log'!$H:$H,"Y",'Weekly Log'!$A:$A,"&gt;="&amp;$J836,'Weekly Log'!$A:$A,"&lt;"&amp;$J836+7)/COUNTIFS('Weekly Log'!$H:$H,"&lt;&gt;",'Weekly Log'!$A:$A,"&gt;="&amp;$J836,'Weekly Log'!$A:$A,"&lt;"&amp;$J836+7),0))</f>
        <v/>
      </c>
      <c r="E836" t="str">
        <f>IF($J836="","",IFERROR(AVERAGEIFS('Weekly Log'!$F:$F,'Weekly Log'!$A:$A,"&gt;="&amp;$J836,'Weekly Log'!$A:$A,"&lt;"&amp;$J836+7),0))</f>
        <v/>
      </c>
      <c r="F836" t="str">
        <f>IF($J836="","",IFERROR(SUMIFS('Weekly Log'!$F:$F,'Weekly Log'!$A:$A,"&gt;="&amp;$J836,'Weekly Log'!$A:$A,"&lt;"&amp;$J836+7)/SUMIFS('Weekly Log'!$E:$E,'Weekly Log'!$A:$A,"&gt;="&amp;$J836,'Weekly Log'!$A:$A,"&lt;"&amp;$J836+7),0))</f>
        <v/>
      </c>
      <c r="G836" t="str">
        <f>IF($J836="","",IFERROR(LOOKUP(2,1/(('Weekly Log'!$A$5:$A$5000&gt;=$J836)*('Weekly Log'!$A$5:$A$5000&lt;$J836+7)*('Weekly Log'!$M$5:$M$5000&lt;&gt;"")),'Weekly Log'!$M$5:$M$5000),0))</f>
        <v/>
      </c>
      <c r="J836" t="str">
        <f>IF(COUNT('Weekly Log'!$A$5:$A$5000)=0,"",IF(MIN('Weekly Log'!$A$5:$A$5000)+7*(ROW()-10)&gt;MAX('Weekly Log'!$A$5:$A$5000),"",MIN('Weekly Log'!$A$5:$A$5000)+7*(ROW()-10)))</f>
        <v/>
      </c>
    </row>
    <row r="837" spans="1:10" x14ac:dyDescent="0.25">
      <c r="A837" t="str">
        <f t="shared" si="12"/>
        <v/>
      </c>
      <c r="B837" t="str">
        <f>IF($J837="","",SUMIFS('Weekly Log'!$C:$C,'Weekly Log'!$A:$A,"&gt;="&amp;$J837,'Weekly Log'!$A:$A,"&lt;"&amp;$J837+7))</f>
        <v/>
      </c>
      <c r="C837" t="str">
        <f>IF($J837="","",IFERROR(COUNTIFS('Weekly Log'!$G:$G,"Y",'Weekly Log'!$A:$A,"&gt;="&amp;$J837,'Weekly Log'!$A:$A,"&lt;"&amp;$J837+7)/COUNTIFS('Weekly Log'!$G:$G,"&lt;&gt;",'Weekly Log'!$A:$A,"&gt;="&amp;$J837,'Weekly Log'!$A:$A,"&lt;"&amp;$J837+7),0))</f>
        <v/>
      </c>
      <c r="D837" t="str">
        <f>IF($J837="","",IFERROR(COUNTIFS('Weekly Log'!$H:$H,"Y",'Weekly Log'!$A:$A,"&gt;="&amp;$J837,'Weekly Log'!$A:$A,"&lt;"&amp;$J837+7)/COUNTIFS('Weekly Log'!$H:$H,"&lt;&gt;",'Weekly Log'!$A:$A,"&gt;="&amp;$J837,'Weekly Log'!$A:$A,"&lt;"&amp;$J837+7),0))</f>
        <v/>
      </c>
      <c r="E837" t="str">
        <f>IF($J837="","",IFERROR(AVERAGEIFS('Weekly Log'!$F:$F,'Weekly Log'!$A:$A,"&gt;="&amp;$J837,'Weekly Log'!$A:$A,"&lt;"&amp;$J837+7),0))</f>
        <v/>
      </c>
      <c r="F837" t="str">
        <f>IF($J837="","",IFERROR(SUMIFS('Weekly Log'!$F:$F,'Weekly Log'!$A:$A,"&gt;="&amp;$J837,'Weekly Log'!$A:$A,"&lt;"&amp;$J837+7)/SUMIFS('Weekly Log'!$E:$E,'Weekly Log'!$A:$A,"&gt;="&amp;$J837,'Weekly Log'!$A:$A,"&lt;"&amp;$J837+7),0))</f>
        <v/>
      </c>
      <c r="G837" t="str">
        <f>IF($J837="","",IFERROR(LOOKUP(2,1/(('Weekly Log'!$A$5:$A$5000&gt;=$J837)*('Weekly Log'!$A$5:$A$5000&lt;$J837+7)*('Weekly Log'!$M$5:$M$5000&lt;&gt;"")),'Weekly Log'!$M$5:$M$5000),0))</f>
        <v/>
      </c>
      <c r="J837" t="str">
        <f>IF(COUNT('Weekly Log'!$A$5:$A$5000)=0,"",IF(MIN('Weekly Log'!$A$5:$A$5000)+7*(ROW()-10)&gt;MAX('Weekly Log'!$A$5:$A$5000),"",MIN('Weekly Log'!$A$5:$A$5000)+7*(ROW()-10)))</f>
        <v/>
      </c>
    </row>
    <row r="838" spans="1:10" x14ac:dyDescent="0.25">
      <c r="A838" t="str">
        <f t="shared" si="12"/>
        <v/>
      </c>
      <c r="B838" t="str">
        <f>IF($J838="","",SUMIFS('Weekly Log'!$C:$C,'Weekly Log'!$A:$A,"&gt;="&amp;$J838,'Weekly Log'!$A:$A,"&lt;"&amp;$J838+7))</f>
        <v/>
      </c>
      <c r="C838" t="str">
        <f>IF($J838="","",IFERROR(COUNTIFS('Weekly Log'!$G:$G,"Y",'Weekly Log'!$A:$A,"&gt;="&amp;$J838,'Weekly Log'!$A:$A,"&lt;"&amp;$J838+7)/COUNTIFS('Weekly Log'!$G:$G,"&lt;&gt;",'Weekly Log'!$A:$A,"&gt;="&amp;$J838,'Weekly Log'!$A:$A,"&lt;"&amp;$J838+7),0))</f>
        <v/>
      </c>
      <c r="D838" t="str">
        <f>IF($J838="","",IFERROR(COUNTIFS('Weekly Log'!$H:$H,"Y",'Weekly Log'!$A:$A,"&gt;="&amp;$J838,'Weekly Log'!$A:$A,"&lt;"&amp;$J838+7)/COUNTIFS('Weekly Log'!$H:$H,"&lt;&gt;",'Weekly Log'!$A:$A,"&gt;="&amp;$J838,'Weekly Log'!$A:$A,"&lt;"&amp;$J838+7),0))</f>
        <v/>
      </c>
      <c r="E838" t="str">
        <f>IF($J838="","",IFERROR(AVERAGEIFS('Weekly Log'!$F:$F,'Weekly Log'!$A:$A,"&gt;="&amp;$J838,'Weekly Log'!$A:$A,"&lt;"&amp;$J838+7),0))</f>
        <v/>
      </c>
      <c r="F838" t="str">
        <f>IF($J838="","",IFERROR(SUMIFS('Weekly Log'!$F:$F,'Weekly Log'!$A:$A,"&gt;="&amp;$J838,'Weekly Log'!$A:$A,"&lt;"&amp;$J838+7)/SUMIFS('Weekly Log'!$E:$E,'Weekly Log'!$A:$A,"&gt;="&amp;$J838,'Weekly Log'!$A:$A,"&lt;"&amp;$J838+7),0))</f>
        <v/>
      </c>
      <c r="G838" t="str">
        <f>IF($J838="","",IFERROR(LOOKUP(2,1/(('Weekly Log'!$A$5:$A$5000&gt;=$J838)*('Weekly Log'!$A$5:$A$5000&lt;$J838+7)*('Weekly Log'!$M$5:$M$5000&lt;&gt;"")),'Weekly Log'!$M$5:$M$5000),0))</f>
        <v/>
      </c>
      <c r="J838" t="str">
        <f>IF(COUNT('Weekly Log'!$A$5:$A$5000)=0,"",IF(MIN('Weekly Log'!$A$5:$A$5000)+7*(ROW()-10)&gt;MAX('Weekly Log'!$A$5:$A$5000),"",MIN('Weekly Log'!$A$5:$A$5000)+7*(ROW()-10)))</f>
        <v/>
      </c>
    </row>
    <row r="839" spans="1:10" x14ac:dyDescent="0.25">
      <c r="A839" t="str">
        <f t="shared" si="12"/>
        <v/>
      </c>
      <c r="B839" t="str">
        <f>IF($J839="","",SUMIFS('Weekly Log'!$C:$C,'Weekly Log'!$A:$A,"&gt;="&amp;$J839,'Weekly Log'!$A:$A,"&lt;"&amp;$J839+7))</f>
        <v/>
      </c>
      <c r="C839" t="str">
        <f>IF($J839="","",IFERROR(COUNTIFS('Weekly Log'!$G:$G,"Y",'Weekly Log'!$A:$A,"&gt;="&amp;$J839,'Weekly Log'!$A:$A,"&lt;"&amp;$J839+7)/COUNTIFS('Weekly Log'!$G:$G,"&lt;&gt;",'Weekly Log'!$A:$A,"&gt;="&amp;$J839,'Weekly Log'!$A:$A,"&lt;"&amp;$J839+7),0))</f>
        <v/>
      </c>
      <c r="D839" t="str">
        <f>IF($J839="","",IFERROR(COUNTIFS('Weekly Log'!$H:$H,"Y",'Weekly Log'!$A:$A,"&gt;="&amp;$J839,'Weekly Log'!$A:$A,"&lt;"&amp;$J839+7)/COUNTIFS('Weekly Log'!$H:$H,"&lt;&gt;",'Weekly Log'!$A:$A,"&gt;="&amp;$J839,'Weekly Log'!$A:$A,"&lt;"&amp;$J839+7),0))</f>
        <v/>
      </c>
      <c r="E839" t="str">
        <f>IF($J839="","",IFERROR(AVERAGEIFS('Weekly Log'!$F:$F,'Weekly Log'!$A:$A,"&gt;="&amp;$J839,'Weekly Log'!$A:$A,"&lt;"&amp;$J839+7),0))</f>
        <v/>
      </c>
      <c r="F839" t="str">
        <f>IF($J839="","",IFERROR(SUMIFS('Weekly Log'!$F:$F,'Weekly Log'!$A:$A,"&gt;="&amp;$J839,'Weekly Log'!$A:$A,"&lt;"&amp;$J839+7)/SUMIFS('Weekly Log'!$E:$E,'Weekly Log'!$A:$A,"&gt;="&amp;$J839,'Weekly Log'!$A:$A,"&lt;"&amp;$J839+7),0))</f>
        <v/>
      </c>
      <c r="G839" t="str">
        <f>IF($J839="","",IFERROR(LOOKUP(2,1/(('Weekly Log'!$A$5:$A$5000&gt;=$J839)*('Weekly Log'!$A$5:$A$5000&lt;$J839+7)*('Weekly Log'!$M$5:$M$5000&lt;&gt;"")),'Weekly Log'!$M$5:$M$5000),0))</f>
        <v/>
      </c>
      <c r="J839" t="str">
        <f>IF(COUNT('Weekly Log'!$A$5:$A$5000)=0,"",IF(MIN('Weekly Log'!$A$5:$A$5000)+7*(ROW()-10)&gt;MAX('Weekly Log'!$A$5:$A$5000),"",MIN('Weekly Log'!$A$5:$A$5000)+7*(ROW()-10)))</f>
        <v/>
      </c>
    </row>
    <row r="840" spans="1:10" x14ac:dyDescent="0.25">
      <c r="A840" t="str">
        <f t="shared" si="12"/>
        <v/>
      </c>
      <c r="B840" t="str">
        <f>IF($J840="","",SUMIFS('Weekly Log'!$C:$C,'Weekly Log'!$A:$A,"&gt;="&amp;$J840,'Weekly Log'!$A:$A,"&lt;"&amp;$J840+7))</f>
        <v/>
      </c>
      <c r="C840" t="str">
        <f>IF($J840="","",IFERROR(COUNTIFS('Weekly Log'!$G:$G,"Y",'Weekly Log'!$A:$A,"&gt;="&amp;$J840,'Weekly Log'!$A:$A,"&lt;"&amp;$J840+7)/COUNTIFS('Weekly Log'!$G:$G,"&lt;&gt;",'Weekly Log'!$A:$A,"&gt;="&amp;$J840,'Weekly Log'!$A:$A,"&lt;"&amp;$J840+7),0))</f>
        <v/>
      </c>
      <c r="D840" t="str">
        <f>IF($J840="","",IFERROR(COUNTIFS('Weekly Log'!$H:$H,"Y",'Weekly Log'!$A:$A,"&gt;="&amp;$J840,'Weekly Log'!$A:$A,"&lt;"&amp;$J840+7)/COUNTIFS('Weekly Log'!$H:$H,"&lt;&gt;",'Weekly Log'!$A:$A,"&gt;="&amp;$J840,'Weekly Log'!$A:$A,"&lt;"&amp;$J840+7),0))</f>
        <v/>
      </c>
      <c r="E840" t="str">
        <f>IF($J840="","",IFERROR(AVERAGEIFS('Weekly Log'!$F:$F,'Weekly Log'!$A:$A,"&gt;="&amp;$J840,'Weekly Log'!$A:$A,"&lt;"&amp;$J840+7),0))</f>
        <v/>
      </c>
      <c r="F840" t="str">
        <f>IF($J840="","",IFERROR(SUMIFS('Weekly Log'!$F:$F,'Weekly Log'!$A:$A,"&gt;="&amp;$J840,'Weekly Log'!$A:$A,"&lt;"&amp;$J840+7)/SUMIFS('Weekly Log'!$E:$E,'Weekly Log'!$A:$A,"&gt;="&amp;$J840,'Weekly Log'!$A:$A,"&lt;"&amp;$J840+7),0))</f>
        <v/>
      </c>
      <c r="G840" t="str">
        <f>IF($J840="","",IFERROR(LOOKUP(2,1/(('Weekly Log'!$A$5:$A$5000&gt;=$J840)*('Weekly Log'!$A$5:$A$5000&lt;$J840+7)*('Weekly Log'!$M$5:$M$5000&lt;&gt;"")),'Weekly Log'!$M$5:$M$5000),0))</f>
        <v/>
      </c>
      <c r="J840" t="str">
        <f>IF(COUNT('Weekly Log'!$A$5:$A$5000)=0,"",IF(MIN('Weekly Log'!$A$5:$A$5000)+7*(ROW()-10)&gt;MAX('Weekly Log'!$A$5:$A$5000),"",MIN('Weekly Log'!$A$5:$A$5000)+7*(ROW()-10)))</f>
        <v/>
      </c>
    </row>
    <row r="841" spans="1:10" x14ac:dyDescent="0.25">
      <c r="A841" t="str">
        <f t="shared" si="12"/>
        <v/>
      </c>
      <c r="B841" t="str">
        <f>IF($J841="","",SUMIFS('Weekly Log'!$C:$C,'Weekly Log'!$A:$A,"&gt;="&amp;$J841,'Weekly Log'!$A:$A,"&lt;"&amp;$J841+7))</f>
        <v/>
      </c>
      <c r="C841" t="str">
        <f>IF($J841="","",IFERROR(COUNTIFS('Weekly Log'!$G:$G,"Y",'Weekly Log'!$A:$A,"&gt;="&amp;$J841,'Weekly Log'!$A:$A,"&lt;"&amp;$J841+7)/COUNTIFS('Weekly Log'!$G:$G,"&lt;&gt;",'Weekly Log'!$A:$A,"&gt;="&amp;$J841,'Weekly Log'!$A:$A,"&lt;"&amp;$J841+7),0))</f>
        <v/>
      </c>
      <c r="D841" t="str">
        <f>IF($J841="","",IFERROR(COUNTIFS('Weekly Log'!$H:$H,"Y",'Weekly Log'!$A:$A,"&gt;="&amp;$J841,'Weekly Log'!$A:$A,"&lt;"&amp;$J841+7)/COUNTIFS('Weekly Log'!$H:$H,"&lt;&gt;",'Weekly Log'!$A:$A,"&gt;="&amp;$J841,'Weekly Log'!$A:$A,"&lt;"&amp;$J841+7),0))</f>
        <v/>
      </c>
      <c r="E841" t="str">
        <f>IF($J841="","",IFERROR(AVERAGEIFS('Weekly Log'!$F:$F,'Weekly Log'!$A:$A,"&gt;="&amp;$J841,'Weekly Log'!$A:$A,"&lt;"&amp;$J841+7),0))</f>
        <v/>
      </c>
      <c r="F841" t="str">
        <f>IF($J841="","",IFERROR(SUMIFS('Weekly Log'!$F:$F,'Weekly Log'!$A:$A,"&gt;="&amp;$J841,'Weekly Log'!$A:$A,"&lt;"&amp;$J841+7)/SUMIFS('Weekly Log'!$E:$E,'Weekly Log'!$A:$A,"&gt;="&amp;$J841,'Weekly Log'!$A:$A,"&lt;"&amp;$J841+7),0))</f>
        <v/>
      </c>
      <c r="G841" t="str">
        <f>IF($J841="","",IFERROR(LOOKUP(2,1/(('Weekly Log'!$A$5:$A$5000&gt;=$J841)*('Weekly Log'!$A$5:$A$5000&lt;$J841+7)*('Weekly Log'!$M$5:$M$5000&lt;&gt;"")),'Weekly Log'!$M$5:$M$5000),0))</f>
        <v/>
      </c>
      <c r="J841" t="str">
        <f>IF(COUNT('Weekly Log'!$A$5:$A$5000)=0,"",IF(MIN('Weekly Log'!$A$5:$A$5000)+7*(ROW()-10)&gt;MAX('Weekly Log'!$A$5:$A$5000),"",MIN('Weekly Log'!$A$5:$A$5000)+7*(ROW()-10)))</f>
        <v/>
      </c>
    </row>
    <row r="842" spans="1:10" x14ac:dyDescent="0.25">
      <c r="A842" t="str">
        <f t="shared" ref="A842:A905" si="13">IF($J842="","",YEAR($J842-WEEKDAY($J842,2)+4)&amp;"-W"&amp;TEXT(WEEKNUM($J842,21),"00"))</f>
        <v/>
      </c>
      <c r="B842" t="str">
        <f>IF($J842="","",SUMIFS('Weekly Log'!$C:$C,'Weekly Log'!$A:$A,"&gt;="&amp;$J842,'Weekly Log'!$A:$A,"&lt;"&amp;$J842+7))</f>
        <v/>
      </c>
      <c r="C842" t="str">
        <f>IF($J842="","",IFERROR(COUNTIFS('Weekly Log'!$G:$G,"Y",'Weekly Log'!$A:$A,"&gt;="&amp;$J842,'Weekly Log'!$A:$A,"&lt;"&amp;$J842+7)/COUNTIFS('Weekly Log'!$G:$G,"&lt;&gt;",'Weekly Log'!$A:$A,"&gt;="&amp;$J842,'Weekly Log'!$A:$A,"&lt;"&amp;$J842+7),0))</f>
        <v/>
      </c>
      <c r="D842" t="str">
        <f>IF($J842="","",IFERROR(COUNTIFS('Weekly Log'!$H:$H,"Y",'Weekly Log'!$A:$A,"&gt;="&amp;$J842,'Weekly Log'!$A:$A,"&lt;"&amp;$J842+7)/COUNTIFS('Weekly Log'!$H:$H,"&lt;&gt;",'Weekly Log'!$A:$A,"&gt;="&amp;$J842,'Weekly Log'!$A:$A,"&lt;"&amp;$J842+7),0))</f>
        <v/>
      </c>
      <c r="E842" t="str">
        <f>IF($J842="","",IFERROR(AVERAGEIFS('Weekly Log'!$F:$F,'Weekly Log'!$A:$A,"&gt;="&amp;$J842,'Weekly Log'!$A:$A,"&lt;"&amp;$J842+7),0))</f>
        <v/>
      </c>
      <c r="F842" t="str">
        <f>IF($J842="","",IFERROR(SUMIFS('Weekly Log'!$F:$F,'Weekly Log'!$A:$A,"&gt;="&amp;$J842,'Weekly Log'!$A:$A,"&lt;"&amp;$J842+7)/SUMIFS('Weekly Log'!$E:$E,'Weekly Log'!$A:$A,"&gt;="&amp;$J842,'Weekly Log'!$A:$A,"&lt;"&amp;$J842+7),0))</f>
        <v/>
      </c>
      <c r="G842" t="str">
        <f>IF($J842="","",IFERROR(LOOKUP(2,1/(('Weekly Log'!$A$5:$A$5000&gt;=$J842)*('Weekly Log'!$A$5:$A$5000&lt;$J842+7)*('Weekly Log'!$M$5:$M$5000&lt;&gt;"")),'Weekly Log'!$M$5:$M$5000),0))</f>
        <v/>
      </c>
      <c r="J842" t="str">
        <f>IF(COUNT('Weekly Log'!$A$5:$A$5000)=0,"",IF(MIN('Weekly Log'!$A$5:$A$5000)+7*(ROW()-10)&gt;MAX('Weekly Log'!$A$5:$A$5000),"",MIN('Weekly Log'!$A$5:$A$5000)+7*(ROW()-10)))</f>
        <v/>
      </c>
    </row>
    <row r="843" spans="1:10" x14ac:dyDescent="0.25">
      <c r="A843" t="str">
        <f t="shared" si="13"/>
        <v/>
      </c>
      <c r="B843" t="str">
        <f>IF($J843="","",SUMIFS('Weekly Log'!$C:$C,'Weekly Log'!$A:$A,"&gt;="&amp;$J843,'Weekly Log'!$A:$A,"&lt;"&amp;$J843+7))</f>
        <v/>
      </c>
      <c r="C843" t="str">
        <f>IF($J843="","",IFERROR(COUNTIFS('Weekly Log'!$G:$G,"Y",'Weekly Log'!$A:$A,"&gt;="&amp;$J843,'Weekly Log'!$A:$A,"&lt;"&amp;$J843+7)/COUNTIFS('Weekly Log'!$G:$G,"&lt;&gt;",'Weekly Log'!$A:$A,"&gt;="&amp;$J843,'Weekly Log'!$A:$A,"&lt;"&amp;$J843+7),0))</f>
        <v/>
      </c>
      <c r="D843" t="str">
        <f>IF($J843="","",IFERROR(COUNTIFS('Weekly Log'!$H:$H,"Y",'Weekly Log'!$A:$A,"&gt;="&amp;$J843,'Weekly Log'!$A:$A,"&lt;"&amp;$J843+7)/COUNTIFS('Weekly Log'!$H:$H,"&lt;&gt;",'Weekly Log'!$A:$A,"&gt;="&amp;$J843,'Weekly Log'!$A:$A,"&lt;"&amp;$J843+7),0))</f>
        <v/>
      </c>
      <c r="E843" t="str">
        <f>IF($J843="","",IFERROR(AVERAGEIFS('Weekly Log'!$F:$F,'Weekly Log'!$A:$A,"&gt;="&amp;$J843,'Weekly Log'!$A:$A,"&lt;"&amp;$J843+7),0))</f>
        <v/>
      </c>
      <c r="F843" t="str">
        <f>IF($J843="","",IFERROR(SUMIFS('Weekly Log'!$F:$F,'Weekly Log'!$A:$A,"&gt;="&amp;$J843,'Weekly Log'!$A:$A,"&lt;"&amp;$J843+7)/SUMIFS('Weekly Log'!$E:$E,'Weekly Log'!$A:$A,"&gt;="&amp;$J843,'Weekly Log'!$A:$A,"&lt;"&amp;$J843+7),0))</f>
        <v/>
      </c>
      <c r="G843" t="str">
        <f>IF($J843="","",IFERROR(LOOKUP(2,1/(('Weekly Log'!$A$5:$A$5000&gt;=$J843)*('Weekly Log'!$A$5:$A$5000&lt;$J843+7)*('Weekly Log'!$M$5:$M$5000&lt;&gt;"")),'Weekly Log'!$M$5:$M$5000),0))</f>
        <v/>
      </c>
      <c r="J843" t="str">
        <f>IF(COUNT('Weekly Log'!$A$5:$A$5000)=0,"",IF(MIN('Weekly Log'!$A$5:$A$5000)+7*(ROW()-10)&gt;MAX('Weekly Log'!$A$5:$A$5000),"",MIN('Weekly Log'!$A$5:$A$5000)+7*(ROW()-10)))</f>
        <v/>
      </c>
    </row>
    <row r="844" spans="1:10" x14ac:dyDescent="0.25">
      <c r="A844" t="str">
        <f t="shared" si="13"/>
        <v/>
      </c>
      <c r="B844" t="str">
        <f>IF($J844="","",SUMIFS('Weekly Log'!$C:$C,'Weekly Log'!$A:$A,"&gt;="&amp;$J844,'Weekly Log'!$A:$A,"&lt;"&amp;$J844+7))</f>
        <v/>
      </c>
      <c r="C844" t="str">
        <f>IF($J844="","",IFERROR(COUNTIFS('Weekly Log'!$G:$G,"Y",'Weekly Log'!$A:$A,"&gt;="&amp;$J844,'Weekly Log'!$A:$A,"&lt;"&amp;$J844+7)/COUNTIFS('Weekly Log'!$G:$G,"&lt;&gt;",'Weekly Log'!$A:$A,"&gt;="&amp;$J844,'Weekly Log'!$A:$A,"&lt;"&amp;$J844+7),0))</f>
        <v/>
      </c>
      <c r="D844" t="str">
        <f>IF($J844="","",IFERROR(COUNTIFS('Weekly Log'!$H:$H,"Y",'Weekly Log'!$A:$A,"&gt;="&amp;$J844,'Weekly Log'!$A:$A,"&lt;"&amp;$J844+7)/COUNTIFS('Weekly Log'!$H:$H,"&lt;&gt;",'Weekly Log'!$A:$A,"&gt;="&amp;$J844,'Weekly Log'!$A:$A,"&lt;"&amp;$J844+7),0))</f>
        <v/>
      </c>
      <c r="E844" t="str">
        <f>IF($J844="","",IFERROR(AVERAGEIFS('Weekly Log'!$F:$F,'Weekly Log'!$A:$A,"&gt;="&amp;$J844,'Weekly Log'!$A:$A,"&lt;"&amp;$J844+7),0))</f>
        <v/>
      </c>
      <c r="F844" t="str">
        <f>IF($J844="","",IFERROR(SUMIFS('Weekly Log'!$F:$F,'Weekly Log'!$A:$A,"&gt;="&amp;$J844,'Weekly Log'!$A:$A,"&lt;"&amp;$J844+7)/SUMIFS('Weekly Log'!$E:$E,'Weekly Log'!$A:$A,"&gt;="&amp;$J844,'Weekly Log'!$A:$A,"&lt;"&amp;$J844+7),0))</f>
        <v/>
      </c>
      <c r="G844" t="str">
        <f>IF($J844="","",IFERROR(LOOKUP(2,1/(('Weekly Log'!$A$5:$A$5000&gt;=$J844)*('Weekly Log'!$A$5:$A$5000&lt;$J844+7)*('Weekly Log'!$M$5:$M$5000&lt;&gt;"")),'Weekly Log'!$M$5:$M$5000),0))</f>
        <v/>
      </c>
      <c r="J844" t="str">
        <f>IF(COUNT('Weekly Log'!$A$5:$A$5000)=0,"",IF(MIN('Weekly Log'!$A$5:$A$5000)+7*(ROW()-10)&gt;MAX('Weekly Log'!$A$5:$A$5000),"",MIN('Weekly Log'!$A$5:$A$5000)+7*(ROW()-10)))</f>
        <v/>
      </c>
    </row>
    <row r="845" spans="1:10" x14ac:dyDescent="0.25">
      <c r="A845" t="str">
        <f t="shared" si="13"/>
        <v/>
      </c>
      <c r="B845" t="str">
        <f>IF($J845="","",SUMIFS('Weekly Log'!$C:$C,'Weekly Log'!$A:$A,"&gt;="&amp;$J845,'Weekly Log'!$A:$A,"&lt;"&amp;$J845+7))</f>
        <v/>
      </c>
      <c r="C845" t="str">
        <f>IF($J845="","",IFERROR(COUNTIFS('Weekly Log'!$G:$G,"Y",'Weekly Log'!$A:$A,"&gt;="&amp;$J845,'Weekly Log'!$A:$A,"&lt;"&amp;$J845+7)/COUNTIFS('Weekly Log'!$G:$G,"&lt;&gt;",'Weekly Log'!$A:$A,"&gt;="&amp;$J845,'Weekly Log'!$A:$A,"&lt;"&amp;$J845+7),0))</f>
        <v/>
      </c>
      <c r="D845" t="str">
        <f>IF($J845="","",IFERROR(COUNTIFS('Weekly Log'!$H:$H,"Y",'Weekly Log'!$A:$A,"&gt;="&amp;$J845,'Weekly Log'!$A:$A,"&lt;"&amp;$J845+7)/COUNTIFS('Weekly Log'!$H:$H,"&lt;&gt;",'Weekly Log'!$A:$A,"&gt;="&amp;$J845,'Weekly Log'!$A:$A,"&lt;"&amp;$J845+7),0))</f>
        <v/>
      </c>
      <c r="E845" t="str">
        <f>IF($J845="","",IFERROR(AVERAGEIFS('Weekly Log'!$F:$F,'Weekly Log'!$A:$A,"&gt;="&amp;$J845,'Weekly Log'!$A:$A,"&lt;"&amp;$J845+7),0))</f>
        <v/>
      </c>
      <c r="F845" t="str">
        <f>IF($J845="","",IFERROR(SUMIFS('Weekly Log'!$F:$F,'Weekly Log'!$A:$A,"&gt;="&amp;$J845,'Weekly Log'!$A:$A,"&lt;"&amp;$J845+7)/SUMIFS('Weekly Log'!$E:$E,'Weekly Log'!$A:$A,"&gt;="&amp;$J845,'Weekly Log'!$A:$A,"&lt;"&amp;$J845+7),0))</f>
        <v/>
      </c>
      <c r="G845" t="str">
        <f>IF($J845="","",IFERROR(LOOKUP(2,1/(('Weekly Log'!$A$5:$A$5000&gt;=$J845)*('Weekly Log'!$A$5:$A$5000&lt;$J845+7)*('Weekly Log'!$M$5:$M$5000&lt;&gt;"")),'Weekly Log'!$M$5:$M$5000),0))</f>
        <v/>
      </c>
      <c r="J845" t="str">
        <f>IF(COUNT('Weekly Log'!$A$5:$A$5000)=0,"",IF(MIN('Weekly Log'!$A$5:$A$5000)+7*(ROW()-10)&gt;MAX('Weekly Log'!$A$5:$A$5000),"",MIN('Weekly Log'!$A$5:$A$5000)+7*(ROW()-10)))</f>
        <v/>
      </c>
    </row>
    <row r="846" spans="1:10" x14ac:dyDescent="0.25">
      <c r="A846" t="str">
        <f t="shared" si="13"/>
        <v/>
      </c>
      <c r="B846" t="str">
        <f>IF($J846="","",SUMIFS('Weekly Log'!$C:$C,'Weekly Log'!$A:$A,"&gt;="&amp;$J846,'Weekly Log'!$A:$A,"&lt;"&amp;$J846+7))</f>
        <v/>
      </c>
      <c r="C846" t="str">
        <f>IF($J846="","",IFERROR(COUNTIFS('Weekly Log'!$G:$G,"Y",'Weekly Log'!$A:$A,"&gt;="&amp;$J846,'Weekly Log'!$A:$A,"&lt;"&amp;$J846+7)/COUNTIFS('Weekly Log'!$G:$G,"&lt;&gt;",'Weekly Log'!$A:$A,"&gt;="&amp;$J846,'Weekly Log'!$A:$A,"&lt;"&amp;$J846+7),0))</f>
        <v/>
      </c>
      <c r="D846" t="str">
        <f>IF($J846="","",IFERROR(COUNTIFS('Weekly Log'!$H:$H,"Y",'Weekly Log'!$A:$A,"&gt;="&amp;$J846,'Weekly Log'!$A:$A,"&lt;"&amp;$J846+7)/COUNTIFS('Weekly Log'!$H:$H,"&lt;&gt;",'Weekly Log'!$A:$A,"&gt;="&amp;$J846,'Weekly Log'!$A:$A,"&lt;"&amp;$J846+7),0))</f>
        <v/>
      </c>
      <c r="E846" t="str">
        <f>IF($J846="","",IFERROR(AVERAGEIFS('Weekly Log'!$F:$F,'Weekly Log'!$A:$A,"&gt;="&amp;$J846,'Weekly Log'!$A:$A,"&lt;"&amp;$J846+7),0))</f>
        <v/>
      </c>
      <c r="F846" t="str">
        <f>IF($J846="","",IFERROR(SUMIFS('Weekly Log'!$F:$F,'Weekly Log'!$A:$A,"&gt;="&amp;$J846,'Weekly Log'!$A:$A,"&lt;"&amp;$J846+7)/SUMIFS('Weekly Log'!$E:$E,'Weekly Log'!$A:$A,"&gt;="&amp;$J846,'Weekly Log'!$A:$A,"&lt;"&amp;$J846+7),0))</f>
        <v/>
      </c>
      <c r="G846" t="str">
        <f>IF($J846="","",IFERROR(LOOKUP(2,1/(('Weekly Log'!$A$5:$A$5000&gt;=$J846)*('Weekly Log'!$A$5:$A$5000&lt;$J846+7)*('Weekly Log'!$M$5:$M$5000&lt;&gt;"")),'Weekly Log'!$M$5:$M$5000),0))</f>
        <v/>
      </c>
      <c r="J846" t="str">
        <f>IF(COUNT('Weekly Log'!$A$5:$A$5000)=0,"",IF(MIN('Weekly Log'!$A$5:$A$5000)+7*(ROW()-10)&gt;MAX('Weekly Log'!$A$5:$A$5000),"",MIN('Weekly Log'!$A$5:$A$5000)+7*(ROW()-10)))</f>
        <v/>
      </c>
    </row>
    <row r="847" spans="1:10" x14ac:dyDescent="0.25">
      <c r="A847" t="str">
        <f t="shared" si="13"/>
        <v/>
      </c>
      <c r="B847" t="str">
        <f>IF($J847="","",SUMIFS('Weekly Log'!$C:$C,'Weekly Log'!$A:$A,"&gt;="&amp;$J847,'Weekly Log'!$A:$A,"&lt;"&amp;$J847+7))</f>
        <v/>
      </c>
      <c r="C847" t="str">
        <f>IF($J847="","",IFERROR(COUNTIFS('Weekly Log'!$G:$G,"Y",'Weekly Log'!$A:$A,"&gt;="&amp;$J847,'Weekly Log'!$A:$A,"&lt;"&amp;$J847+7)/COUNTIFS('Weekly Log'!$G:$G,"&lt;&gt;",'Weekly Log'!$A:$A,"&gt;="&amp;$J847,'Weekly Log'!$A:$A,"&lt;"&amp;$J847+7),0))</f>
        <v/>
      </c>
      <c r="D847" t="str">
        <f>IF($J847="","",IFERROR(COUNTIFS('Weekly Log'!$H:$H,"Y",'Weekly Log'!$A:$A,"&gt;="&amp;$J847,'Weekly Log'!$A:$A,"&lt;"&amp;$J847+7)/COUNTIFS('Weekly Log'!$H:$H,"&lt;&gt;",'Weekly Log'!$A:$A,"&gt;="&amp;$J847,'Weekly Log'!$A:$A,"&lt;"&amp;$J847+7),0))</f>
        <v/>
      </c>
      <c r="E847" t="str">
        <f>IF($J847="","",IFERROR(AVERAGEIFS('Weekly Log'!$F:$F,'Weekly Log'!$A:$A,"&gt;="&amp;$J847,'Weekly Log'!$A:$A,"&lt;"&amp;$J847+7),0))</f>
        <v/>
      </c>
      <c r="F847" t="str">
        <f>IF($J847="","",IFERROR(SUMIFS('Weekly Log'!$F:$F,'Weekly Log'!$A:$A,"&gt;="&amp;$J847,'Weekly Log'!$A:$A,"&lt;"&amp;$J847+7)/SUMIFS('Weekly Log'!$E:$E,'Weekly Log'!$A:$A,"&gt;="&amp;$J847,'Weekly Log'!$A:$A,"&lt;"&amp;$J847+7),0))</f>
        <v/>
      </c>
      <c r="G847" t="str">
        <f>IF($J847="","",IFERROR(LOOKUP(2,1/(('Weekly Log'!$A$5:$A$5000&gt;=$J847)*('Weekly Log'!$A$5:$A$5000&lt;$J847+7)*('Weekly Log'!$M$5:$M$5000&lt;&gt;"")),'Weekly Log'!$M$5:$M$5000),0))</f>
        <v/>
      </c>
      <c r="J847" t="str">
        <f>IF(COUNT('Weekly Log'!$A$5:$A$5000)=0,"",IF(MIN('Weekly Log'!$A$5:$A$5000)+7*(ROW()-10)&gt;MAX('Weekly Log'!$A$5:$A$5000),"",MIN('Weekly Log'!$A$5:$A$5000)+7*(ROW()-10)))</f>
        <v/>
      </c>
    </row>
    <row r="848" spans="1:10" x14ac:dyDescent="0.25">
      <c r="A848" t="str">
        <f t="shared" si="13"/>
        <v/>
      </c>
      <c r="B848" t="str">
        <f>IF($J848="","",SUMIFS('Weekly Log'!$C:$C,'Weekly Log'!$A:$A,"&gt;="&amp;$J848,'Weekly Log'!$A:$A,"&lt;"&amp;$J848+7))</f>
        <v/>
      </c>
      <c r="C848" t="str">
        <f>IF($J848="","",IFERROR(COUNTIFS('Weekly Log'!$G:$G,"Y",'Weekly Log'!$A:$A,"&gt;="&amp;$J848,'Weekly Log'!$A:$A,"&lt;"&amp;$J848+7)/COUNTIFS('Weekly Log'!$G:$G,"&lt;&gt;",'Weekly Log'!$A:$A,"&gt;="&amp;$J848,'Weekly Log'!$A:$A,"&lt;"&amp;$J848+7),0))</f>
        <v/>
      </c>
      <c r="D848" t="str">
        <f>IF($J848="","",IFERROR(COUNTIFS('Weekly Log'!$H:$H,"Y",'Weekly Log'!$A:$A,"&gt;="&amp;$J848,'Weekly Log'!$A:$A,"&lt;"&amp;$J848+7)/COUNTIFS('Weekly Log'!$H:$H,"&lt;&gt;",'Weekly Log'!$A:$A,"&gt;="&amp;$J848,'Weekly Log'!$A:$A,"&lt;"&amp;$J848+7),0))</f>
        <v/>
      </c>
      <c r="E848" t="str">
        <f>IF($J848="","",IFERROR(AVERAGEIFS('Weekly Log'!$F:$F,'Weekly Log'!$A:$A,"&gt;="&amp;$J848,'Weekly Log'!$A:$A,"&lt;"&amp;$J848+7),0))</f>
        <v/>
      </c>
      <c r="F848" t="str">
        <f>IF($J848="","",IFERROR(SUMIFS('Weekly Log'!$F:$F,'Weekly Log'!$A:$A,"&gt;="&amp;$J848,'Weekly Log'!$A:$A,"&lt;"&amp;$J848+7)/SUMIFS('Weekly Log'!$E:$E,'Weekly Log'!$A:$A,"&gt;="&amp;$J848,'Weekly Log'!$A:$A,"&lt;"&amp;$J848+7),0))</f>
        <v/>
      </c>
      <c r="G848" t="str">
        <f>IF($J848="","",IFERROR(LOOKUP(2,1/(('Weekly Log'!$A$5:$A$5000&gt;=$J848)*('Weekly Log'!$A$5:$A$5000&lt;$J848+7)*('Weekly Log'!$M$5:$M$5000&lt;&gt;"")),'Weekly Log'!$M$5:$M$5000),0))</f>
        <v/>
      </c>
      <c r="J848" t="str">
        <f>IF(COUNT('Weekly Log'!$A$5:$A$5000)=0,"",IF(MIN('Weekly Log'!$A$5:$A$5000)+7*(ROW()-10)&gt;MAX('Weekly Log'!$A$5:$A$5000),"",MIN('Weekly Log'!$A$5:$A$5000)+7*(ROW()-10)))</f>
        <v/>
      </c>
    </row>
    <row r="849" spans="1:10" x14ac:dyDescent="0.25">
      <c r="A849" t="str">
        <f t="shared" si="13"/>
        <v/>
      </c>
      <c r="B849" t="str">
        <f>IF($J849="","",SUMIFS('Weekly Log'!$C:$C,'Weekly Log'!$A:$A,"&gt;="&amp;$J849,'Weekly Log'!$A:$A,"&lt;"&amp;$J849+7))</f>
        <v/>
      </c>
      <c r="C849" t="str">
        <f>IF($J849="","",IFERROR(COUNTIFS('Weekly Log'!$G:$G,"Y",'Weekly Log'!$A:$A,"&gt;="&amp;$J849,'Weekly Log'!$A:$A,"&lt;"&amp;$J849+7)/COUNTIFS('Weekly Log'!$G:$G,"&lt;&gt;",'Weekly Log'!$A:$A,"&gt;="&amp;$J849,'Weekly Log'!$A:$A,"&lt;"&amp;$J849+7),0))</f>
        <v/>
      </c>
      <c r="D849" t="str">
        <f>IF($J849="","",IFERROR(COUNTIFS('Weekly Log'!$H:$H,"Y",'Weekly Log'!$A:$A,"&gt;="&amp;$J849,'Weekly Log'!$A:$A,"&lt;"&amp;$J849+7)/COUNTIFS('Weekly Log'!$H:$H,"&lt;&gt;",'Weekly Log'!$A:$A,"&gt;="&amp;$J849,'Weekly Log'!$A:$A,"&lt;"&amp;$J849+7),0))</f>
        <v/>
      </c>
      <c r="E849" t="str">
        <f>IF($J849="","",IFERROR(AVERAGEIFS('Weekly Log'!$F:$F,'Weekly Log'!$A:$A,"&gt;="&amp;$J849,'Weekly Log'!$A:$A,"&lt;"&amp;$J849+7),0))</f>
        <v/>
      </c>
      <c r="F849" t="str">
        <f>IF($J849="","",IFERROR(SUMIFS('Weekly Log'!$F:$F,'Weekly Log'!$A:$A,"&gt;="&amp;$J849,'Weekly Log'!$A:$A,"&lt;"&amp;$J849+7)/SUMIFS('Weekly Log'!$E:$E,'Weekly Log'!$A:$A,"&gt;="&amp;$J849,'Weekly Log'!$A:$A,"&lt;"&amp;$J849+7),0))</f>
        <v/>
      </c>
      <c r="G849" t="str">
        <f>IF($J849="","",IFERROR(LOOKUP(2,1/(('Weekly Log'!$A$5:$A$5000&gt;=$J849)*('Weekly Log'!$A$5:$A$5000&lt;$J849+7)*('Weekly Log'!$M$5:$M$5000&lt;&gt;"")),'Weekly Log'!$M$5:$M$5000),0))</f>
        <v/>
      </c>
      <c r="J849" t="str">
        <f>IF(COUNT('Weekly Log'!$A$5:$A$5000)=0,"",IF(MIN('Weekly Log'!$A$5:$A$5000)+7*(ROW()-10)&gt;MAX('Weekly Log'!$A$5:$A$5000),"",MIN('Weekly Log'!$A$5:$A$5000)+7*(ROW()-10)))</f>
        <v/>
      </c>
    </row>
    <row r="850" spans="1:10" x14ac:dyDescent="0.25">
      <c r="A850" t="str">
        <f t="shared" si="13"/>
        <v/>
      </c>
      <c r="B850" t="str">
        <f>IF($J850="","",SUMIFS('Weekly Log'!$C:$C,'Weekly Log'!$A:$A,"&gt;="&amp;$J850,'Weekly Log'!$A:$A,"&lt;"&amp;$J850+7))</f>
        <v/>
      </c>
      <c r="C850" t="str">
        <f>IF($J850="","",IFERROR(COUNTIFS('Weekly Log'!$G:$G,"Y",'Weekly Log'!$A:$A,"&gt;="&amp;$J850,'Weekly Log'!$A:$A,"&lt;"&amp;$J850+7)/COUNTIFS('Weekly Log'!$G:$G,"&lt;&gt;",'Weekly Log'!$A:$A,"&gt;="&amp;$J850,'Weekly Log'!$A:$A,"&lt;"&amp;$J850+7),0))</f>
        <v/>
      </c>
      <c r="D850" t="str">
        <f>IF($J850="","",IFERROR(COUNTIFS('Weekly Log'!$H:$H,"Y",'Weekly Log'!$A:$A,"&gt;="&amp;$J850,'Weekly Log'!$A:$A,"&lt;"&amp;$J850+7)/COUNTIFS('Weekly Log'!$H:$H,"&lt;&gt;",'Weekly Log'!$A:$A,"&gt;="&amp;$J850,'Weekly Log'!$A:$A,"&lt;"&amp;$J850+7),0))</f>
        <v/>
      </c>
      <c r="E850" t="str">
        <f>IF($J850="","",IFERROR(AVERAGEIFS('Weekly Log'!$F:$F,'Weekly Log'!$A:$A,"&gt;="&amp;$J850,'Weekly Log'!$A:$A,"&lt;"&amp;$J850+7),0))</f>
        <v/>
      </c>
      <c r="F850" t="str">
        <f>IF($J850="","",IFERROR(SUMIFS('Weekly Log'!$F:$F,'Weekly Log'!$A:$A,"&gt;="&amp;$J850,'Weekly Log'!$A:$A,"&lt;"&amp;$J850+7)/SUMIFS('Weekly Log'!$E:$E,'Weekly Log'!$A:$A,"&gt;="&amp;$J850,'Weekly Log'!$A:$A,"&lt;"&amp;$J850+7),0))</f>
        <v/>
      </c>
      <c r="G850" t="str">
        <f>IF($J850="","",IFERROR(LOOKUP(2,1/(('Weekly Log'!$A$5:$A$5000&gt;=$J850)*('Weekly Log'!$A$5:$A$5000&lt;$J850+7)*('Weekly Log'!$M$5:$M$5000&lt;&gt;"")),'Weekly Log'!$M$5:$M$5000),0))</f>
        <v/>
      </c>
      <c r="J850" t="str">
        <f>IF(COUNT('Weekly Log'!$A$5:$A$5000)=0,"",IF(MIN('Weekly Log'!$A$5:$A$5000)+7*(ROW()-10)&gt;MAX('Weekly Log'!$A$5:$A$5000),"",MIN('Weekly Log'!$A$5:$A$5000)+7*(ROW()-10)))</f>
        <v/>
      </c>
    </row>
    <row r="851" spans="1:10" x14ac:dyDescent="0.25">
      <c r="A851" t="str">
        <f t="shared" si="13"/>
        <v/>
      </c>
      <c r="B851" t="str">
        <f>IF($J851="","",SUMIFS('Weekly Log'!$C:$C,'Weekly Log'!$A:$A,"&gt;="&amp;$J851,'Weekly Log'!$A:$A,"&lt;"&amp;$J851+7))</f>
        <v/>
      </c>
      <c r="C851" t="str">
        <f>IF($J851="","",IFERROR(COUNTIFS('Weekly Log'!$G:$G,"Y",'Weekly Log'!$A:$A,"&gt;="&amp;$J851,'Weekly Log'!$A:$A,"&lt;"&amp;$J851+7)/COUNTIFS('Weekly Log'!$G:$G,"&lt;&gt;",'Weekly Log'!$A:$A,"&gt;="&amp;$J851,'Weekly Log'!$A:$A,"&lt;"&amp;$J851+7),0))</f>
        <v/>
      </c>
      <c r="D851" t="str">
        <f>IF($J851="","",IFERROR(COUNTIFS('Weekly Log'!$H:$H,"Y",'Weekly Log'!$A:$A,"&gt;="&amp;$J851,'Weekly Log'!$A:$A,"&lt;"&amp;$J851+7)/COUNTIFS('Weekly Log'!$H:$H,"&lt;&gt;",'Weekly Log'!$A:$A,"&gt;="&amp;$J851,'Weekly Log'!$A:$A,"&lt;"&amp;$J851+7),0))</f>
        <v/>
      </c>
      <c r="E851" t="str">
        <f>IF($J851="","",IFERROR(AVERAGEIFS('Weekly Log'!$F:$F,'Weekly Log'!$A:$A,"&gt;="&amp;$J851,'Weekly Log'!$A:$A,"&lt;"&amp;$J851+7),0))</f>
        <v/>
      </c>
      <c r="F851" t="str">
        <f>IF($J851="","",IFERROR(SUMIFS('Weekly Log'!$F:$F,'Weekly Log'!$A:$A,"&gt;="&amp;$J851,'Weekly Log'!$A:$A,"&lt;"&amp;$J851+7)/SUMIFS('Weekly Log'!$E:$E,'Weekly Log'!$A:$A,"&gt;="&amp;$J851,'Weekly Log'!$A:$A,"&lt;"&amp;$J851+7),0))</f>
        <v/>
      </c>
      <c r="G851" t="str">
        <f>IF($J851="","",IFERROR(LOOKUP(2,1/(('Weekly Log'!$A$5:$A$5000&gt;=$J851)*('Weekly Log'!$A$5:$A$5000&lt;$J851+7)*('Weekly Log'!$M$5:$M$5000&lt;&gt;"")),'Weekly Log'!$M$5:$M$5000),0))</f>
        <v/>
      </c>
      <c r="J851" t="str">
        <f>IF(COUNT('Weekly Log'!$A$5:$A$5000)=0,"",IF(MIN('Weekly Log'!$A$5:$A$5000)+7*(ROW()-10)&gt;MAX('Weekly Log'!$A$5:$A$5000),"",MIN('Weekly Log'!$A$5:$A$5000)+7*(ROW()-10)))</f>
        <v/>
      </c>
    </row>
    <row r="852" spans="1:10" x14ac:dyDescent="0.25">
      <c r="A852" t="str">
        <f t="shared" si="13"/>
        <v/>
      </c>
      <c r="B852" t="str">
        <f>IF($J852="","",SUMIFS('Weekly Log'!$C:$C,'Weekly Log'!$A:$A,"&gt;="&amp;$J852,'Weekly Log'!$A:$A,"&lt;"&amp;$J852+7))</f>
        <v/>
      </c>
      <c r="C852" t="str">
        <f>IF($J852="","",IFERROR(COUNTIFS('Weekly Log'!$G:$G,"Y",'Weekly Log'!$A:$A,"&gt;="&amp;$J852,'Weekly Log'!$A:$A,"&lt;"&amp;$J852+7)/COUNTIFS('Weekly Log'!$G:$G,"&lt;&gt;",'Weekly Log'!$A:$A,"&gt;="&amp;$J852,'Weekly Log'!$A:$A,"&lt;"&amp;$J852+7),0))</f>
        <v/>
      </c>
      <c r="D852" t="str">
        <f>IF($J852="","",IFERROR(COUNTIFS('Weekly Log'!$H:$H,"Y",'Weekly Log'!$A:$A,"&gt;="&amp;$J852,'Weekly Log'!$A:$A,"&lt;"&amp;$J852+7)/COUNTIFS('Weekly Log'!$H:$H,"&lt;&gt;",'Weekly Log'!$A:$A,"&gt;="&amp;$J852,'Weekly Log'!$A:$A,"&lt;"&amp;$J852+7),0))</f>
        <v/>
      </c>
      <c r="E852" t="str">
        <f>IF($J852="","",IFERROR(AVERAGEIFS('Weekly Log'!$F:$F,'Weekly Log'!$A:$A,"&gt;="&amp;$J852,'Weekly Log'!$A:$A,"&lt;"&amp;$J852+7),0))</f>
        <v/>
      </c>
      <c r="F852" t="str">
        <f>IF($J852="","",IFERROR(SUMIFS('Weekly Log'!$F:$F,'Weekly Log'!$A:$A,"&gt;="&amp;$J852,'Weekly Log'!$A:$A,"&lt;"&amp;$J852+7)/SUMIFS('Weekly Log'!$E:$E,'Weekly Log'!$A:$A,"&gt;="&amp;$J852,'Weekly Log'!$A:$A,"&lt;"&amp;$J852+7),0))</f>
        <v/>
      </c>
      <c r="G852" t="str">
        <f>IF($J852="","",IFERROR(LOOKUP(2,1/(('Weekly Log'!$A$5:$A$5000&gt;=$J852)*('Weekly Log'!$A$5:$A$5000&lt;$J852+7)*('Weekly Log'!$M$5:$M$5000&lt;&gt;"")),'Weekly Log'!$M$5:$M$5000),0))</f>
        <v/>
      </c>
      <c r="J852" t="str">
        <f>IF(COUNT('Weekly Log'!$A$5:$A$5000)=0,"",IF(MIN('Weekly Log'!$A$5:$A$5000)+7*(ROW()-10)&gt;MAX('Weekly Log'!$A$5:$A$5000),"",MIN('Weekly Log'!$A$5:$A$5000)+7*(ROW()-10)))</f>
        <v/>
      </c>
    </row>
    <row r="853" spans="1:10" x14ac:dyDescent="0.25">
      <c r="A853" t="str">
        <f t="shared" si="13"/>
        <v/>
      </c>
      <c r="B853" t="str">
        <f>IF($J853="","",SUMIFS('Weekly Log'!$C:$C,'Weekly Log'!$A:$A,"&gt;="&amp;$J853,'Weekly Log'!$A:$A,"&lt;"&amp;$J853+7))</f>
        <v/>
      </c>
      <c r="C853" t="str">
        <f>IF($J853="","",IFERROR(COUNTIFS('Weekly Log'!$G:$G,"Y",'Weekly Log'!$A:$A,"&gt;="&amp;$J853,'Weekly Log'!$A:$A,"&lt;"&amp;$J853+7)/COUNTIFS('Weekly Log'!$G:$G,"&lt;&gt;",'Weekly Log'!$A:$A,"&gt;="&amp;$J853,'Weekly Log'!$A:$A,"&lt;"&amp;$J853+7),0))</f>
        <v/>
      </c>
      <c r="D853" t="str">
        <f>IF($J853="","",IFERROR(COUNTIFS('Weekly Log'!$H:$H,"Y",'Weekly Log'!$A:$A,"&gt;="&amp;$J853,'Weekly Log'!$A:$A,"&lt;"&amp;$J853+7)/COUNTIFS('Weekly Log'!$H:$H,"&lt;&gt;",'Weekly Log'!$A:$A,"&gt;="&amp;$J853,'Weekly Log'!$A:$A,"&lt;"&amp;$J853+7),0))</f>
        <v/>
      </c>
      <c r="E853" t="str">
        <f>IF($J853="","",IFERROR(AVERAGEIFS('Weekly Log'!$F:$F,'Weekly Log'!$A:$A,"&gt;="&amp;$J853,'Weekly Log'!$A:$A,"&lt;"&amp;$J853+7),0))</f>
        <v/>
      </c>
      <c r="F853" t="str">
        <f>IF($J853="","",IFERROR(SUMIFS('Weekly Log'!$F:$F,'Weekly Log'!$A:$A,"&gt;="&amp;$J853,'Weekly Log'!$A:$A,"&lt;"&amp;$J853+7)/SUMIFS('Weekly Log'!$E:$E,'Weekly Log'!$A:$A,"&gt;="&amp;$J853,'Weekly Log'!$A:$A,"&lt;"&amp;$J853+7),0))</f>
        <v/>
      </c>
      <c r="G853" t="str">
        <f>IF($J853="","",IFERROR(LOOKUP(2,1/(('Weekly Log'!$A$5:$A$5000&gt;=$J853)*('Weekly Log'!$A$5:$A$5000&lt;$J853+7)*('Weekly Log'!$M$5:$M$5000&lt;&gt;"")),'Weekly Log'!$M$5:$M$5000),0))</f>
        <v/>
      </c>
      <c r="J853" t="str">
        <f>IF(COUNT('Weekly Log'!$A$5:$A$5000)=0,"",IF(MIN('Weekly Log'!$A$5:$A$5000)+7*(ROW()-10)&gt;MAX('Weekly Log'!$A$5:$A$5000),"",MIN('Weekly Log'!$A$5:$A$5000)+7*(ROW()-10)))</f>
        <v/>
      </c>
    </row>
    <row r="854" spans="1:10" x14ac:dyDescent="0.25">
      <c r="A854" t="str">
        <f t="shared" si="13"/>
        <v/>
      </c>
      <c r="B854" t="str">
        <f>IF($J854="","",SUMIFS('Weekly Log'!$C:$C,'Weekly Log'!$A:$A,"&gt;="&amp;$J854,'Weekly Log'!$A:$A,"&lt;"&amp;$J854+7))</f>
        <v/>
      </c>
      <c r="C854" t="str">
        <f>IF($J854="","",IFERROR(COUNTIFS('Weekly Log'!$G:$G,"Y",'Weekly Log'!$A:$A,"&gt;="&amp;$J854,'Weekly Log'!$A:$A,"&lt;"&amp;$J854+7)/COUNTIFS('Weekly Log'!$G:$G,"&lt;&gt;",'Weekly Log'!$A:$A,"&gt;="&amp;$J854,'Weekly Log'!$A:$A,"&lt;"&amp;$J854+7),0))</f>
        <v/>
      </c>
      <c r="D854" t="str">
        <f>IF($J854="","",IFERROR(COUNTIFS('Weekly Log'!$H:$H,"Y",'Weekly Log'!$A:$A,"&gt;="&amp;$J854,'Weekly Log'!$A:$A,"&lt;"&amp;$J854+7)/COUNTIFS('Weekly Log'!$H:$H,"&lt;&gt;",'Weekly Log'!$A:$A,"&gt;="&amp;$J854,'Weekly Log'!$A:$A,"&lt;"&amp;$J854+7),0))</f>
        <v/>
      </c>
      <c r="E854" t="str">
        <f>IF($J854="","",IFERROR(AVERAGEIFS('Weekly Log'!$F:$F,'Weekly Log'!$A:$A,"&gt;="&amp;$J854,'Weekly Log'!$A:$A,"&lt;"&amp;$J854+7),0))</f>
        <v/>
      </c>
      <c r="F854" t="str">
        <f>IF($J854="","",IFERROR(SUMIFS('Weekly Log'!$F:$F,'Weekly Log'!$A:$A,"&gt;="&amp;$J854,'Weekly Log'!$A:$A,"&lt;"&amp;$J854+7)/SUMIFS('Weekly Log'!$E:$E,'Weekly Log'!$A:$A,"&gt;="&amp;$J854,'Weekly Log'!$A:$A,"&lt;"&amp;$J854+7),0))</f>
        <v/>
      </c>
      <c r="G854" t="str">
        <f>IF($J854="","",IFERROR(LOOKUP(2,1/(('Weekly Log'!$A$5:$A$5000&gt;=$J854)*('Weekly Log'!$A$5:$A$5000&lt;$J854+7)*('Weekly Log'!$M$5:$M$5000&lt;&gt;"")),'Weekly Log'!$M$5:$M$5000),0))</f>
        <v/>
      </c>
      <c r="J854" t="str">
        <f>IF(COUNT('Weekly Log'!$A$5:$A$5000)=0,"",IF(MIN('Weekly Log'!$A$5:$A$5000)+7*(ROW()-10)&gt;MAX('Weekly Log'!$A$5:$A$5000),"",MIN('Weekly Log'!$A$5:$A$5000)+7*(ROW()-10)))</f>
        <v/>
      </c>
    </row>
    <row r="855" spans="1:10" x14ac:dyDescent="0.25">
      <c r="A855" t="str">
        <f t="shared" si="13"/>
        <v/>
      </c>
      <c r="B855" t="str">
        <f>IF($J855="","",SUMIFS('Weekly Log'!$C:$C,'Weekly Log'!$A:$A,"&gt;="&amp;$J855,'Weekly Log'!$A:$A,"&lt;"&amp;$J855+7))</f>
        <v/>
      </c>
      <c r="C855" t="str">
        <f>IF($J855="","",IFERROR(COUNTIFS('Weekly Log'!$G:$G,"Y",'Weekly Log'!$A:$A,"&gt;="&amp;$J855,'Weekly Log'!$A:$A,"&lt;"&amp;$J855+7)/COUNTIFS('Weekly Log'!$G:$G,"&lt;&gt;",'Weekly Log'!$A:$A,"&gt;="&amp;$J855,'Weekly Log'!$A:$A,"&lt;"&amp;$J855+7),0))</f>
        <v/>
      </c>
      <c r="D855" t="str">
        <f>IF($J855="","",IFERROR(COUNTIFS('Weekly Log'!$H:$H,"Y",'Weekly Log'!$A:$A,"&gt;="&amp;$J855,'Weekly Log'!$A:$A,"&lt;"&amp;$J855+7)/COUNTIFS('Weekly Log'!$H:$H,"&lt;&gt;",'Weekly Log'!$A:$A,"&gt;="&amp;$J855,'Weekly Log'!$A:$A,"&lt;"&amp;$J855+7),0))</f>
        <v/>
      </c>
      <c r="E855" t="str">
        <f>IF($J855="","",IFERROR(AVERAGEIFS('Weekly Log'!$F:$F,'Weekly Log'!$A:$A,"&gt;="&amp;$J855,'Weekly Log'!$A:$A,"&lt;"&amp;$J855+7),0))</f>
        <v/>
      </c>
      <c r="F855" t="str">
        <f>IF($J855="","",IFERROR(SUMIFS('Weekly Log'!$F:$F,'Weekly Log'!$A:$A,"&gt;="&amp;$J855,'Weekly Log'!$A:$A,"&lt;"&amp;$J855+7)/SUMIFS('Weekly Log'!$E:$E,'Weekly Log'!$A:$A,"&gt;="&amp;$J855,'Weekly Log'!$A:$A,"&lt;"&amp;$J855+7),0))</f>
        <v/>
      </c>
      <c r="G855" t="str">
        <f>IF($J855="","",IFERROR(LOOKUP(2,1/(('Weekly Log'!$A$5:$A$5000&gt;=$J855)*('Weekly Log'!$A$5:$A$5000&lt;$J855+7)*('Weekly Log'!$M$5:$M$5000&lt;&gt;"")),'Weekly Log'!$M$5:$M$5000),0))</f>
        <v/>
      </c>
      <c r="J855" t="str">
        <f>IF(COUNT('Weekly Log'!$A$5:$A$5000)=0,"",IF(MIN('Weekly Log'!$A$5:$A$5000)+7*(ROW()-10)&gt;MAX('Weekly Log'!$A$5:$A$5000),"",MIN('Weekly Log'!$A$5:$A$5000)+7*(ROW()-10)))</f>
        <v/>
      </c>
    </row>
    <row r="856" spans="1:10" x14ac:dyDescent="0.25">
      <c r="A856" t="str">
        <f t="shared" si="13"/>
        <v/>
      </c>
      <c r="B856" t="str">
        <f>IF($J856="","",SUMIFS('Weekly Log'!$C:$C,'Weekly Log'!$A:$A,"&gt;="&amp;$J856,'Weekly Log'!$A:$A,"&lt;"&amp;$J856+7))</f>
        <v/>
      </c>
      <c r="C856" t="str">
        <f>IF($J856="","",IFERROR(COUNTIFS('Weekly Log'!$G:$G,"Y",'Weekly Log'!$A:$A,"&gt;="&amp;$J856,'Weekly Log'!$A:$A,"&lt;"&amp;$J856+7)/COUNTIFS('Weekly Log'!$G:$G,"&lt;&gt;",'Weekly Log'!$A:$A,"&gt;="&amp;$J856,'Weekly Log'!$A:$A,"&lt;"&amp;$J856+7),0))</f>
        <v/>
      </c>
      <c r="D856" t="str">
        <f>IF($J856="","",IFERROR(COUNTIFS('Weekly Log'!$H:$H,"Y",'Weekly Log'!$A:$A,"&gt;="&amp;$J856,'Weekly Log'!$A:$A,"&lt;"&amp;$J856+7)/COUNTIFS('Weekly Log'!$H:$H,"&lt;&gt;",'Weekly Log'!$A:$A,"&gt;="&amp;$J856,'Weekly Log'!$A:$A,"&lt;"&amp;$J856+7),0))</f>
        <v/>
      </c>
      <c r="E856" t="str">
        <f>IF($J856="","",IFERROR(AVERAGEIFS('Weekly Log'!$F:$F,'Weekly Log'!$A:$A,"&gt;="&amp;$J856,'Weekly Log'!$A:$A,"&lt;"&amp;$J856+7),0))</f>
        <v/>
      </c>
      <c r="F856" t="str">
        <f>IF($J856="","",IFERROR(SUMIFS('Weekly Log'!$F:$F,'Weekly Log'!$A:$A,"&gt;="&amp;$J856,'Weekly Log'!$A:$A,"&lt;"&amp;$J856+7)/SUMIFS('Weekly Log'!$E:$E,'Weekly Log'!$A:$A,"&gt;="&amp;$J856,'Weekly Log'!$A:$A,"&lt;"&amp;$J856+7),0))</f>
        <v/>
      </c>
      <c r="G856" t="str">
        <f>IF($J856="","",IFERROR(LOOKUP(2,1/(('Weekly Log'!$A$5:$A$5000&gt;=$J856)*('Weekly Log'!$A$5:$A$5000&lt;$J856+7)*('Weekly Log'!$M$5:$M$5000&lt;&gt;"")),'Weekly Log'!$M$5:$M$5000),0))</f>
        <v/>
      </c>
      <c r="J856" t="str">
        <f>IF(COUNT('Weekly Log'!$A$5:$A$5000)=0,"",IF(MIN('Weekly Log'!$A$5:$A$5000)+7*(ROW()-10)&gt;MAX('Weekly Log'!$A$5:$A$5000),"",MIN('Weekly Log'!$A$5:$A$5000)+7*(ROW()-10)))</f>
        <v/>
      </c>
    </row>
    <row r="857" spans="1:10" x14ac:dyDescent="0.25">
      <c r="A857" t="str">
        <f t="shared" si="13"/>
        <v/>
      </c>
      <c r="B857" t="str">
        <f>IF($J857="","",SUMIFS('Weekly Log'!$C:$C,'Weekly Log'!$A:$A,"&gt;="&amp;$J857,'Weekly Log'!$A:$A,"&lt;"&amp;$J857+7))</f>
        <v/>
      </c>
      <c r="C857" t="str">
        <f>IF($J857="","",IFERROR(COUNTIFS('Weekly Log'!$G:$G,"Y",'Weekly Log'!$A:$A,"&gt;="&amp;$J857,'Weekly Log'!$A:$A,"&lt;"&amp;$J857+7)/COUNTIFS('Weekly Log'!$G:$G,"&lt;&gt;",'Weekly Log'!$A:$A,"&gt;="&amp;$J857,'Weekly Log'!$A:$A,"&lt;"&amp;$J857+7),0))</f>
        <v/>
      </c>
      <c r="D857" t="str">
        <f>IF($J857="","",IFERROR(COUNTIFS('Weekly Log'!$H:$H,"Y",'Weekly Log'!$A:$A,"&gt;="&amp;$J857,'Weekly Log'!$A:$A,"&lt;"&amp;$J857+7)/COUNTIFS('Weekly Log'!$H:$H,"&lt;&gt;",'Weekly Log'!$A:$A,"&gt;="&amp;$J857,'Weekly Log'!$A:$A,"&lt;"&amp;$J857+7),0))</f>
        <v/>
      </c>
      <c r="E857" t="str">
        <f>IF($J857="","",IFERROR(AVERAGEIFS('Weekly Log'!$F:$F,'Weekly Log'!$A:$A,"&gt;="&amp;$J857,'Weekly Log'!$A:$A,"&lt;"&amp;$J857+7),0))</f>
        <v/>
      </c>
      <c r="F857" t="str">
        <f>IF($J857="","",IFERROR(SUMIFS('Weekly Log'!$F:$F,'Weekly Log'!$A:$A,"&gt;="&amp;$J857,'Weekly Log'!$A:$A,"&lt;"&amp;$J857+7)/SUMIFS('Weekly Log'!$E:$E,'Weekly Log'!$A:$A,"&gt;="&amp;$J857,'Weekly Log'!$A:$A,"&lt;"&amp;$J857+7),0))</f>
        <v/>
      </c>
      <c r="G857" t="str">
        <f>IF($J857="","",IFERROR(LOOKUP(2,1/(('Weekly Log'!$A$5:$A$5000&gt;=$J857)*('Weekly Log'!$A$5:$A$5000&lt;$J857+7)*('Weekly Log'!$M$5:$M$5000&lt;&gt;"")),'Weekly Log'!$M$5:$M$5000),0))</f>
        <v/>
      </c>
      <c r="J857" t="str">
        <f>IF(COUNT('Weekly Log'!$A$5:$A$5000)=0,"",IF(MIN('Weekly Log'!$A$5:$A$5000)+7*(ROW()-10)&gt;MAX('Weekly Log'!$A$5:$A$5000),"",MIN('Weekly Log'!$A$5:$A$5000)+7*(ROW()-10)))</f>
        <v/>
      </c>
    </row>
    <row r="858" spans="1:10" x14ac:dyDescent="0.25">
      <c r="A858" t="str">
        <f t="shared" si="13"/>
        <v/>
      </c>
      <c r="B858" t="str">
        <f>IF($J858="","",SUMIFS('Weekly Log'!$C:$C,'Weekly Log'!$A:$A,"&gt;="&amp;$J858,'Weekly Log'!$A:$A,"&lt;"&amp;$J858+7))</f>
        <v/>
      </c>
      <c r="C858" t="str">
        <f>IF($J858="","",IFERROR(COUNTIFS('Weekly Log'!$G:$G,"Y",'Weekly Log'!$A:$A,"&gt;="&amp;$J858,'Weekly Log'!$A:$A,"&lt;"&amp;$J858+7)/COUNTIFS('Weekly Log'!$G:$G,"&lt;&gt;",'Weekly Log'!$A:$A,"&gt;="&amp;$J858,'Weekly Log'!$A:$A,"&lt;"&amp;$J858+7),0))</f>
        <v/>
      </c>
      <c r="D858" t="str">
        <f>IF($J858="","",IFERROR(COUNTIFS('Weekly Log'!$H:$H,"Y",'Weekly Log'!$A:$A,"&gt;="&amp;$J858,'Weekly Log'!$A:$A,"&lt;"&amp;$J858+7)/COUNTIFS('Weekly Log'!$H:$H,"&lt;&gt;",'Weekly Log'!$A:$A,"&gt;="&amp;$J858,'Weekly Log'!$A:$A,"&lt;"&amp;$J858+7),0))</f>
        <v/>
      </c>
      <c r="E858" t="str">
        <f>IF($J858="","",IFERROR(AVERAGEIFS('Weekly Log'!$F:$F,'Weekly Log'!$A:$A,"&gt;="&amp;$J858,'Weekly Log'!$A:$A,"&lt;"&amp;$J858+7),0))</f>
        <v/>
      </c>
      <c r="F858" t="str">
        <f>IF($J858="","",IFERROR(SUMIFS('Weekly Log'!$F:$F,'Weekly Log'!$A:$A,"&gt;="&amp;$J858,'Weekly Log'!$A:$A,"&lt;"&amp;$J858+7)/SUMIFS('Weekly Log'!$E:$E,'Weekly Log'!$A:$A,"&gt;="&amp;$J858,'Weekly Log'!$A:$A,"&lt;"&amp;$J858+7),0))</f>
        <v/>
      </c>
      <c r="G858" t="str">
        <f>IF($J858="","",IFERROR(LOOKUP(2,1/(('Weekly Log'!$A$5:$A$5000&gt;=$J858)*('Weekly Log'!$A$5:$A$5000&lt;$J858+7)*('Weekly Log'!$M$5:$M$5000&lt;&gt;"")),'Weekly Log'!$M$5:$M$5000),0))</f>
        <v/>
      </c>
      <c r="J858" t="str">
        <f>IF(COUNT('Weekly Log'!$A$5:$A$5000)=0,"",IF(MIN('Weekly Log'!$A$5:$A$5000)+7*(ROW()-10)&gt;MAX('Weekly Log'!$A$5:$A$5000),"",MIN('Weekly Log'!$A$5:$A$5000)+7*(ROW()-10)))</f>
        <v/>
      </c>
    </row>
    <row r="859" spans="1:10" x14ac:dyDescent="0.25">
      <c r="A859" t="str">
        <f t="shared" si="13"/>
        <v/>
      </c>
      <c r="B859" t="str">
        <f>IF($J859="","",SUMIFS('Weekly Log'!$C:$C,'Weekly Log'!$A:$A,"&gt;="&amp;$J859,'Weekly Log'!$A:$A,"&lt;"&amp;$J859+7))</f>
        <v/>
      </c>
      <c r="C859" t="str">
        <f>IF($J859="","",IFERROR(COUNTIFS('Weekly Log'!$G:$G,"Y",'Weekly Log'!$A:$A,"&gt;="&amp;$J859,'Weekly Log'!$A:$A,"&lt;"&amp;$J859+7)/COUNTIFS('Weekly Log'!$G:$G,"&lt;&gt;",'Weekly Log'!$A:$A,"&gt;="&amp;$J859,'Weekly Log'!$A:$A,"&lt;"&amp;$J859+7),0))</f>
        <v/>
      </c>
      <c r="D859" t="str">
        <f>IF($J859="","",IFERROR(COUNTIFS('Weekly Log'!$H:$H,"Y",'Weekly Log'!$A:$A,"&gt;="&amp;$J859,'Weekly Log'!$A:$A,"&lt;"&amp;$J859+7)/COUNTIFS('Weekly Log'!$H:$H,"&lt;&gt;",'Weekly Log'!$A:$A,"&gt;="&amp;$J859,'Weekly Log'!$A:$A,"&lt;"&amp;$J859+7),0))</f>
        <v/>
      </c>
      <c r="E859" t="str">
        <f>IF($J859="","",IFERROR(AVERAGEIFS('Weekly Log'!$F:$F,'Weekly Log'!$A:$A,"&gt;="&amp;$J859,'Weekly Log'!$A:$A,"&lt;"&amp;$J859+7),0))</f>
        <v/>
      </c>
      <c r="F859" t="str">
        <f>IF($J859="","",IFERROR(SUMIFS('Weekly Log'!$F:$F,'Weekly Log'!$A:$A,"&gt;="&amp;$J859,'Weekly Log'!$A:$A,"&lt;"&amp;$J859+7)/SUMIFS('Weekly Log'!$E:$E,'Weekly Log'!$A:$A,"&gt;="&amp;$J859,'Weekly Log'!$A:$A,"&lt;"&amp;$J859+7),0))</f>
        <v/>
      </c>
      <c r="G859" t="str">
        <f>IF($J859="","",IFERROR(LOOKUP(2,1/(('Weekly Log'!$A$5:$A$5000&gt;=$J859)*('Weekly Log'!$A$5:$A$5000&lt;$J859+7)*('Weekly Log'!$M$5:$M$5000&lt;&gt;"")),'Weekly Log'!$M$5:$M$5000),0))</f>
        <v/>
      </c>
      <c r="J859" t="str">
        <f>IF(COUNT('Weekly Log'!$A$5:$A$5000)=0,"",IF(MIN('Weekly Log'!$A$5:$A$5000)+7*(ROW()-10)&gt;MAX('Weekly Log'!$A$5:$A$5000),"",MIN('Weekly Log'!$A$5:$A$5000)+7*(ROW()-10)))</f>
        <v/>
      </c>
    </row>
    <row r="860" spans="1:10" x14ac:dyDescent="0.25">
      <c r="A860" t="str">
        <f t="shared" si="13"/>
        <v/>
      </c>
      <c r="B860" t="str">
        <f>IF($J860="","",SUMIFS('Weekly Log'!$C:$C,'Weekly Log'!$A:$A,"&gt;="&amp;$J860,'Weekly Log'!$A:$A,"&lt;"&amp;$J860+7))</f>
        <v/>
      </c>
      <c r="C860" t="str">
        <f>IF($J860="","",IFERROR(COUNTIFS('Weekly Log'!$G:$G,"Y",'Weekly Log'!$A:$A,"&gt;="&amp;$J860,'Weekly Log'!$A:$A,"&lt;"&amp;$J860+7)/COUNTIFS('Weekly Log'!$G:$G,"&lt;&gt;",'Weekly Log'!$A:$A,"&gt;="&amp;$J860,'Weekly Log'!$A:$A,"&lt;"&amp;$J860+7),0))</f>
        <v/>
      </c>
      <c r="D860" t="str">
        <f>IF($J860="","",IFERROR(COUNTIFS('Weekly Log'!$H:$H,"Y",'Weekly Log'!$A:$A,"&gt;="&amp;$J860,'Weekly Log'!$A:$A,"&lt;"&amp;$J860+7)/COUNTIFS('Weekly Log'!$H:$H,"&lt;&gt;",'Weekly Log'!$A:$A,"&gt;="&amp;$J860,'Weekly Log'!$A:$A,"&lt;"&amp;$J860+7),0))</f>
        <v/>
      </c>
      <c r="E860" t="str">
        <f>IF($J860="","",IFERROR(AVERAGEIFS('Weekly Log'!$F:$F,'Weekly Log'!$A:$A,"&gt;="&amp;$J860,'Weekly Log'!$A:$A,"&lt;"&amp;$J860+7),0))</f>
        <v/>
      </c>
      <c r="F860" t="str">
        <f>IF($J860="","",IFERROR(SUMIFS('Weekly Log'!$F:$F,'Weekly Log'!$A:$A,"&gt;="&amp;$J860,'Weekly Log'!$A:$A,"&lt;"&amp;$J860+7)/SUMIFS('Weekly Log'!$E:$E,'Weekly Log'!$A:$A,"&gt;="&amp;$J860,'Weekly Log'!$A:$A,"&lt;"&amp;$J860+7),0))</f>
        <v/>
      </c>
      <c r="G860" t="str">
        <f>IF($J860="","",IFERROR(LOOKUP(2,1/(('Weekly Log'!$A$5:$A$5000&gt;=$J860)*('Weekly Log'!$A$5:$A$5000&lt;$J860+7)*('Weekly Log'!$M$5:$M$5000&lt;&gt;"")),'Weekly Log'!$M$5:$M$5000),0))</f>
        <v/>
      </c>
      <c r="J860" t="str">
        <f>IF(COUNT('Weekly Log'!$A$5:$A$5000)=0,"",IF(MIN('Weekly Log'!$A$5:$A$5000)+7*(ROW()-10)&gt;MAX('Weekly Log'!$A$5:$A$5000),"",MIN('Weekly Log'!$A$5:$A$5000)+7*(ROW()-10)))</f>
        <v/>
      </c>
    </row>
    <row r="861" spans="1:10" x14ac:dyDescent="0.25">
      <c r="A861" t="str">
        <f t="shared" si="13"/>
        <v/>
      </c>
      <c r="B861" t="str">
        <f>IF($J861="","",SUMIFS('Weekly Log'!$C:$C,'Weekly Log'!$A:$A,"&gt;="&amp;$J861,'Weekly Log'!$A:$A,"&lt;"&amp;$J861+7))</f>
        <v/>
      </c>
      <c r="C861" t="str">
        <f>IF($J861="","",IFERROR(COUNTIFS('Weekly Log'!$G:$G,"Y",'Weekly Log'!$A:$A,"&gt;="&amp;$J861,'Weekly Log'!$A:$A,"&lt;"&amp;$J861+7)/COUNTIFS('Weekly Log'!$G:$G,"&lt;&gt;",'Weekly Log'!$A:$A,"&gt;="&amp;$J861,'Weekly Log'!$A:$A,"&lt;"&amp;$J861+7),0))</f>
        <v/>
      </c>
      <c r="D861" t="str">
        <f>IF($J861="","",IFERROR(COUNTIFS('Weekly Log'!$H:$H,"Y",'Weekly Log'!$A:$A,"&gt;="&amp;$J861,'Weekly Log'!$A:$A,"&lt;"&amp;$J861+7)/COUNTIFS('Weekly Log'!$H:$H,"&lt;&gt;",'Weekly Log'!$A:$A,"&gt;="&amp;$J861,'Weekly Log'!$A:$A,"&lt;"&amp;$J861+7),0))</f>
        <v/>
      </c>
      <c r="E861" t="str">
        <f>IF($J861="","",IFERROR(AVERAGEIFS('Weekly Log'!$F:$F,'Weekly Log'!$A:$A,"&gt;="&amp;$J861,'Weekly Log'!$A:$A,"&lt;"&amp;$J861+7),0))</f>
        <v/>
      </c>
      <c r="F861" t="str">
        <f>IF($J861="","",IFERROR(SUMIFS('Weekly Log'!$F:$F,'Weekly Log'!$A:$A,"&gt;="&amp;$J861,'Weekly Log'!$A:$A,"&lt;"&amp;$J861+7)/SUMIFS('Weekly Log'!$E:$E,'Weekly Log'!$A:$A,"&gt;="&amp;$J861,'Weekly Log'!$A:$A,"&lt;"&amp;$J861+7),0))</f>
        <v/>
      </c>
      <c r="G861" t="str">
        <f>IF($J861="","",IFERROR(LOOKUP(2,1/(('Weekly Log'!$A$5:$A$5000&gt;=$J861)*('Weekly Log'!$A$5:$A$5000&lt;$J861+7)*('Weekly Log'!$M$5:$M$5000&lt;&gt;"")),'Weekly Log'!$M$5:$M$5000),0))</f>
        <v/>
      </c>
      <c r="J861" t="str">
        <f>IF(COUNT('Weekly Log'!$A$5:$A$5000)=0,"",IF(MIN('Weekly Log'!$A$5:$A$5000)+7*(ROW()-10)&gt;MAX('Weekly Log'!$A$5:$A$5000),"",MIN('Weekly Log'!$A$5:$A$5000)+7*(ROW()-10)))</f>
        <v/>
      </c>
    </row>
    <row r="862" spans="1:10" x14ac:dyDescent="0.25">
      <c r="A862" t="str">
        <f t="shared" si="13"/>
        <v/>
      </c>
      <c r="B862" t="str">
        <f>IF($J862="","",SUMIFS('Weekly Log'!$C:$C,'Weekly Log'!$A:$A,"&gt;="&amp;$J862,'Weekly Log'!$A:$A,"&lt;"&amp;$J862+7))</f>
        <v/>
      </c>
      <c r="C862" t="str">
        <f>IF($J862="","",IFERROR(COUNTIFS('Weekly Log'!$G:$G,"Y",'Weekly Log'!$A:$A,"&gt;="&amp;$J862,'Weekly Log'!$A:$A,"&lt;"&amp;$J862+7)/COUNTIFS('Weekly Log'!$G:$G,"&lt;&gt;",'Weekly Log'!$A:$A,"&gt;="&amp;$J862,'Weekly Log'!$A:$A,"&lt;"&amp;$J862+7),0))</f>
        <v/>
      </c>
      <c r="D862" t="str">
        <f>IF($J862="","",IFERROR(COUNTIFS('Weekly Log'!$H:$H,"Y",'Weekly Log'!$A:$A,"&gt;="&amp;$J862,'Weekly Log'!$A:$A,"&lt;"&amp;$J862+7)/COUNTIFS('Weekly Log'!$H:$H,"&lt;&gt;",'Weekly Log'!$A:$A,"&gt;="&amp;$J862,'Weekly Log'!$A:$A,"&lt;"&amp;$J862+7),0))</f>
        <v/>
      </c>
      <c r="E862" t="str">
        <f>IF($J862="","",IFERROR(AVERAGEIFS('Weekly Log'!$F:$F,'Weekly Log'!$A:$A,"&gt;="&amp;$J862,'Weekly Log'!$A:$A,"&lt;"&amp;$J862+7),0))</f>
        <v/>
      </c>
      <c r="F862" t="str">
        <f>IF($J862="","",IFERROR(SUMIFS('Weekly Log'!$F:$F,'Weekly Log'!$A:$A,"&gt;="&amp;$J862,'Weekly Log'!$A:$A,"&lt;"&amp;$J862+7)/SUMIFS('Weekly Log'!$E:$E,'Weekly Log'!$A:$A,"&gt;="&amp;$J862,'Weekly Log'!$A:$A,"&lt;"&amp;$J862+7),0))</f>
        <v/>
      </c>
      <c r="G862" t="str">
        <f>IF($J862="","",IFERROR(LOOKUP(2,1/(('Weekly Log'!$A$5:$A$5000&gt;=$J862)*('Weekly Log'!$A$5:$A$5000&lt;$J862+7)*('Weekly Log'!$M$5:$M$5000&lt;&gt;"")),'Weekly Log'!$M$5:$M$5000),0))</f>
        <v/>
      </c>
      <c r="J862" t="str">
        <f>IF(COUNT('Weekly Log'!$A$5:$A$5000)=0,"",IF(MIN('Weekly Log'!$A$5:$A$5000)+7*(ROW()-10)&gt;MAX('Weekly Log'!$A$5:$A$5000),"",MIN('Weekly Log'!$A$5:$A$5000)+7*(ROW()-10)))</f>
        <v/>
      </c>
    </row>
    <row r="863" spans="1:10" x14ac:dyDescent="0.25">
      <c r="A863" t="str">
        <f t="shared" si="13"/>
        <v/>
      </c>
      <c r="B863" t="str">
        <f>IF($J863="","",SUMIFS('Weekly Log'!$C:$C,'Weekly Log'!$A:$A,"&gt;="&amp;$J863,'Weekly Log'!$A:$A,"&lt;"&amp;$J863+7))</f>
        <v/>
      </c>
      <c r="C863" t="str">
        <f>IF($J863="","",IFERROR(COUNTIFS('Weekly Log'!$G:$G,"Y",'Weekly Log'!$A:$A,"&gt;="&amp;$J863,'Weekly Log'!$A:$A,"&lt;"&amp;$J863+7)/COUNTIFS('Weekly Log'!$G:$G,"&lt;&gt;",'Weekly Log'!$A:$A,"&gt;="&amp;$J863,'Weekly Log'!$A:$A,"&lt;"&amp;$J863+7),0))</f>
        <v/>
      </c>
      <c r="D863" t="str">
        <f>IF($J863="","",IFERROR(COUNTIFS('Weekly Log'!$H:$H,"Y",'Weekly Log'!$A:$A,"&gt;="&amp;$J863,'Weekly Log'!$A:$A,"&lt;"&amp;$J863+7)/COUNTIFS('Weekly Log'!$H:$H,"&lt;&gt;",'Weekly Log'!$A:$A,"&gt;="&amp;$J863,'Weekly Log'!$A:$A,"&lt;"&amp;$J863+7),0))</f>
        <v/>
      </c>
      <c r="E863" t="str">
        <f>IF($J863="","",IFERROR(AVERAGEIFS('Weekly Log'!$F:$F,'Weekly Log'!$A:$A,"&gt;="&amp;$J863,'Weekly Log'!$A:$A,"&lt;"&amp;$J863+7),0))</f>
        <v/>
      </c>
      <c r="F863" t="str">
        <f>IF($J863="","",IFERROR(SUMIFS('Weekly Log'!$F:$F,'Weekly Log'!$A:$A,"&gt;="&amp;$J863,'Weekly Log'!$A:$A,"&lt;"&amp;$J863+7)/SUMIFS('Weekly Log'!$E:$E,'Weekly Log'!$A:$A,"&gt;="&amp;$J863,'Weekly Log'!$A:$A,"&lt;"&amp;$J863+7),0))</f>
        <v/>
      </c>
      <c r="G863" t="str">
        <f>IF($J863="","",IFERROR(LOOKUP(2,1/(('Weekly Log'!$A$5:$A$5000&gt;=$J863)*('Weekly Log'!$A$5:$A$5000&lt;$J863+7)*('Weekly Log'!$M$5:$M$5000&lt;&gt;"")),'Weekly Log'!$M$5:$M$5000),0))</f>
        <v/>
      </c>
      <c r="J863" t="str">
        <f>IF(COUNT('Weekly Log'!$A$5:$A$5000)=0,"",IF(MIN('Weekly Log'!$A$5:$A$5000)+7*(ROW()-10)&gt;MAX('Weekly Log'!$A$5:$A$5000),"",MIN('Weekly Log'!$A$5:$A$5000)+7*(ROW()-10)))</f>
        <v/>
      </c>
    </row>
    <row r="864" spans="1:10" x14ac:dyDescent="0.25">
      <c r="A864" t="str">
        <f t="shared" si="13"/>
        <v/>
      </c>
      <c r="B864" t="str">
        <f>IF($J864="","",SUMIFS('Weekly Log'!$C:$C,'Weekly Log'!$A:$A,"&gt;="&amp;$J864,'Weekly Log'!$A:$A,"&lt;"&amp;$J864+7))</f>
        <v/>
      </c>
      <c r="C864" t="str">
        <f>IF($J864="","",IFERROR(COUNTIFS('Weekly Log'!$G:$G,"Y",'Weekly Log'!$A:$A,"&gt;="&amp;$J864,'Weekly Log'!$A:$A,"&lt;"&amp;$J864+7)/COUNTIFS('Weekly Log'!$G:$G,"&lt;&gt;",'Weekly Log'!$A:$A,"&gt;="&amp;$J864,'Weekly Log'!$A:$A,"&lt;"&amp;$J864+7),0))</f>
        <v/>
      </c>
      <c r="D864" t="str">
        <f>IF($J864="","",IFERROR(COUNTIFS('Weekly Log'!$H:$H,"Y",'Weekly Log'!$A:$A,"&gt;="&amp;$J864,'Weekly Log'!$A:$A,"&lt;"&amp;$J864+7)/COUNTIFS('Weekly Log'!$H:$H,"&lt;&gt;",'Weekly Log'!$A:$A,"&gt;="&amp;$J864,'Weekly Log'!$A:$A,"&lt;"&amp;$J864+7),0))</f>
        <v/>
      </c>
      <c r="E864" t="str">
        <f>IF($J864="","",IFERROR(AVERAGEIFS('Weekly Log'!$F:$F,'Weekly Log'!$A:$A,"&gt;="&amp;$J864,'Weekly Log'!$A:$A,"&lt;"&amp;$J864+7),0))</f>
        <v/>
      </c>
      <c r="F864" t="str">
        <f>IF($J864="","",IFERROR(SUMIFS('Weekly Log'!$F:$F,'Weekly Log'!$A:$A,"&gt;="&amp;$J864,'Weekly Log'!$A:$A,"&lt;"&amp;$J864+7)/SUMIFS('Weekly Log'!$E:$E,'Weekly Log'!$A:$A,"&gt;="&amp;$J864,'Weekly Log'!$A:$A,"&lt;"&amp;$J864+7),0))</f>
        <v/>
      </c>
      <c r="G864" t="str">
        <f>IF($J864="","",IFERROR(LOOKUP(2,1/(('Weekly Log'!$A$5:$A$5000&gt;=$J864)*('Weekly Log'!$A$5:$A$5000&lt;$J864+7)*('Weekly Log'!$M$5:$M$5000&lt;&gt;"")),'Weekly Log'!$M$5:$M$5000),0))</f>
        <v/>
      </c>
      <c r="J864" t="str">
        <f>IF(COUNT('Weekly Log'!$A$5:$A$5000)=0,"",IF(MIN('Weekly Log'!$A$5:$A$5000)+7*(ROW()-10)&gt;MAX('Weekly Log'!$A$5:$A$5000),"",MIN('Weekly Log'!$A$5:$A$5000)+7*(ROW()-10)))</f>
        <v/>
      </c>
    </row>
    <row r="865" spans="1:10" x14ac:dyDescent="0.25">
      <c r="A865" t="str">
        <f t="shared" si="13"/>
        <v/>
      </c>
      <c r="B865" t="str">
        <f>IF($J865="","",SUMIFS('Weekly Log'!$C:$C,'Weekly Log'!$A:$A,"&gt;="&amp;$J865,'Weekly Log'!$A:$A,"&lt;"&amp;$J865+7))</f>
        <v/>
      </c>
      <c r="C865" t="str">
        <f>IF($J865="","",IFERROR(COUNTIFS('Weekly Log'!$G:$G,"Y",'Weekly Log'!$A:$A,"&gt;="&amp;$J865,'Weekly Log'!$A:$A,"&lt;"&amp;$J865+7)/COUNTIFS('Weekly Log'!$G:$G,"&lt;&gt;",'Weekly Log'!$A:$A,"&gt;="&amp;$J865,'Weekly Log'!$A:$A,"&lt;"&amp;$J865+7),0))</f>
        <v/>
      </c>
      <c r="D865" t="str">
        <f>IF($J865="","",IFERROR(COUNTIFS('Weekly Log'!$H:$H,"Y",'Weekly Log'!$A:$A,"&gt;="&amp;$J865,'Weekly Log'!$A:$A,"&lt;"&amp;$J865+7)/COUNTIFS('Weekly Log'!$H:$H,"&lt;&gt;",'Weekly Log'!$A:$A,"&gt;="&amp;$J865,'Weekly Log'!$A:$A,"&lt;"&amp;$J865+7),0))</f>
        <v/>
      </c>
      <c r="E865" t="str">
        <f>IF($J865="","",IFERROR(AVERAGEIFS('Weekly Log'!$F:$F,'Weekly Log'!$A:$A,"&gt;="&amp;$J865,'Weekly Log'!$A:$A,"&lt;"&amp;$J865+7),0))</f>
        <v/>
      </c>
      <c r="F865" t="str">
        <f>IF($J865="","",IFERROR(SUMIFS('Weekly Log'!$F:$F,'Weekly Log'!$A:$A,"&gt;="&amp;$J865,'Weekly Log'!$A:$A,"&lt;"&amp;$J865+7)/SUMIFS('Weekly Log'!$E:$E,'Weekly Log'!$A:$A,"&gt;="&amp;$J865,'Weekly Log'!$A:$A,"&lt;"&amp;$J865+7),0))</f>
        <v/>
      </c>
      <c r="G865" t="str">
        <f>IF($J865="","",IFERROR(LOOKUP(2,1/(('Weekly Log'!$A$5:$A$5000&gt;=$J865)*('Weekly Log'!$A$5:$A$5000&lt;$J865+7)*('Weekly Log'!$M$5:$M$5000&lt;&gt;"")),'Weekly Log'!$M$5:$M$5000),0))</f>
        <v/>
      </c>
      <c r="J865" t="str">
        <f>IF(COUNT('Weekly Log'!$A$5:$A$5000)=0,"",IF(MIN('Weekly Log'!$A$5:$A$5000)+7*(ROW()-10)&gt;MAX('Weekly Log'!$A$5:$A$5000),"",MIN('Weekly Log'!$A$5:$A$5000)+7*(ROW()-10)))</f>
        <v/>
      </c>
    </row>
    <row r="866" spans="1:10" x14ac:dyDescent="0.25">
      <c r="A866" t="str">
        <f t="shared" si="13"/>
        <v/>
      </c>
      <c r="B866" t="str">
        <f>IF($J866="","",SUMIFS('Weekly Log'!$C:$C,'Weekly Log'!$A:$A,"&gt;="&amp;$J866,'Weekly Log'!$A:$A,"&lt;"&amp;$J866+7))</f>
        <v/>
      </c>
      <c r="C866" t="str">
        <f>IF($J866="","",IFERROR(COUNTIFS('Weekly Log'!$G:$G,"Y",'Weekly Log'!$A:$A,"&gt;="&amp;$J866,'Weekly Log'!$A:$A,"&lt;"&amp;$J866+7)/COUNTIFS('Weekly Log'!$G:$G,"&lt;&gt;",'Weekly Log'!$A:$A,"&gt;="&amp;$J866,'Weekly Log'!$A:$A,"&lt;"&amp;$J866+7),0))</f>
        <v/>
      </c>
      <c r="D866" t="str">
        <f>IF($J866="","",IFERROR(COUNTIFS('Weekly Log'!$H:$H,"Y",'Weekly Log'!$A:$A,"&gt;="&amp;$J866,'Weekly Log'!$A:$A,"&lt;"&amp;$J866+7)/COUNTIFS('Weekly Log'!$H:$H,"&lt;&gt;",'Weekly Log'!$A:$A,"&gt;="&amp;$J866,'Weekly Log'!$A:$A,"&lt;"&amp;$J866+7),0))</f>
        <v/>
      </c>
      <c r="E866" t="str">
        <f>IF($J866="","",IFERROR(AVERAGEIFS('Weekly Log'!$F:$F,'Weekly Log'!$A:$A,"&gt;="&amp;$J866,'Weekly Log'!$A:$A,"&lt;"&amp;$J866+7),0))</f>
        <v/>
      </c>
      <c r="F866" t="str">
        <f>IF($J866="","",IFERROR(SUMIFS('Weekly Log'!$F:$F,'Weekly Log'!$A:$A,"&gt;="&amp;$J866,'Weekly Log'!$A:$A,"&lt;"&amp;$J866+7)/SUMIFS('Weekly Log'!$E:$E,'Weekly Log'!$A:$A,"&gt;="&amp;$J866,'Weekly Log'!$A:$A,"&lt;"&amp;$J866+7),0))</f>
        <v/>
      </c>
      <c r="G866" t="str">
        <f>IF($J866="","",IFERROR(LOOKUP(2,1/(('Weekly Log'!$A$5:$A$5000&gt;=$J866)*('Weekly Log'!$A$5:$A$5000&lt;$J866+7)*('Weekly Log'!$M$5:$M$5000&lt;&gt;"")),'Weekly Log'!$M$5:$M$5000),0))</f>
        <v/>
      </c>
      <c r="J866" t="str">
        <f>IF(COUNT('Weekly Log'!$A$5:$A$5000)=0,"",IF(MIN('Weekly Log'!$A$5:$A$5000)+7*(ROW()-10)&gt;MAX('Weekly Log'!$A$5:$A$5000),"",MIN('Weekly Log'!$A$5:$A$5000)+7*(ROW()-10)))</f>
        <v/>
      </c>
    </row>
    <row r="867" spans="1:10" x14ac:dyDescent="0.25">
      <c r="A867" t="str">
        <f t="shared" si="13"/>
        <v/>
      </c>
      <c r="B867" t="str">
        <f>IF($J867="","",SUMIFS('Weekly Log'!$C:$C,'Weekly Log'!$A:$A,"&gt;="&amp;$J867,'Weekly Log'!$A:$A,"&lt;"&amp;$J867+7))</f>
        <v/>
      </c>
      <c r="C867" t="str">
        <f>IF($J867="","",IFERROR(COUNTIFS('Weekly Log'!$G:$G,"Y",'Weekly Log'!$A:$A,"&gt;="&amp;$J867,'Weekly Log'!$A:$A,"&lt;"&amp;$J867+7)/COUNTIFS('Weekly Log'!$G:$G,"&lt;&gt;",'Weekly Log'!$A:$A,"&gt;="&amp;$J867,'Weekly Log'!$A:$A,"&lt;"&amp;$J867+7),0))</f>
        <v/>
      </c>
      <c r="D867" t="str">
        <f>IF($J867="","",IFERROR(COUNTIFS('Weekly Log'!$H:$H,"Y",'Weekly Log'!$A:$A,"&gt;="&amp;$J867,'Weekly Log'!$A:$A,"&lt;"&amp;$J867+7)/COUNTIFS('Weekly Log'!$H:$H,"&lt;&gt;",'Weekly Log'!$A:$A,"&gt;="&amp;$J867,'Weekly Log'!$A:$A,"&lt;"&amp;$J867+7),0))</f>
        <v/>
      </c>
      <c r="E867" t="str">
        <f>IF($J867="","",IFERROR(AVERAGEIFS('Weekly Log'!$F:$F,'Weekly Log'!$A:$A,"&gt;="&amp;$J867,'Weekly Log'!$A:$A,"&lt;"&amp;$J867+7),0))</f>
        <v/>
      </c>
      <c r="F867" t="str">
        <f>IF($J867="","",IFERROR(SUMIFS('Weekly Log'!$F:$F,'Weekly Log'!$A:$A,"&gt;="&amp;$J867,'Weekly Log'!$A:$A,"&lt;"&amp;$J867+7)/SUMIFS('Weekly Log'!$E:$E,'Weekly Log'!$A:$A,"&gt;="&amp;$J867,'Weekly Log'!$A:$A,"&lt;"&amp;$J867+7),0))</f>
        <v/>
      </c>
      <c r="G867" t="str">
        <f>IF($J867="","",IFERROR(LOOKUP(2,1/(('Weekly Log'!$A$5:$A$5000&gt;=$J867)*('Weekly Log'!$A$5:$A$5000&lt;$J867+7)*('Weekly Log'!$M$5:$M$5000&lt;&gt;"")),'Weekly Log'!$M$5:$M$5000),0))</f>
        <v/>
      </c>
      <c r="J867" t="str">
        <f>IF(COUNT('Weekly Log'!$A$5:$A$5000)=0,"",IF(MIN('Weekly Log'!$A$5:$A$5000)+7*(ROW()-10)&gt;MAX('Weekly Log'!$A$5:$A$5000),"",MIN('Weekly Log'!$A$5:$A$5000)+7*(ROW()-10)))</f>
        <v/>
      </c>
    </row>
    <row r="868" spans="1:10" x14ac:dyDescent="0.25">
      <c r="A868" t="str">
        <f t="shared" si="13"/>
        <v/>
      </c>
      <c r="B868" t="str">
        <f>IF($J868="","",SUMIFS('Weekly Log'!$C:$C,'Weekly Log'!$A:$A,"&gt;="&amp;$J868,'Weekly Log'!$A:$A,"&lt;"&amp;$J868+7))</f>
        <v/>
      </c>
      <c r="C868" t="str">
        <f>IF($J868="","",IFERROR(COUNTIFS('Weekly Log'!$G:$G,"Y",'Weekly Log'!$A:$A,"&gt;="&amp;$J868,'Weekly Log'!$A:$A,"&lt;"&amp;$J868+7)/COUNTIFS('Weekly Log'!$G:$G,"&lt;&gt;",'Weekly Log'!$A:$A,"&gt;="&amp;$J868,'Weekly Log'!$A:$A,"&lt;"&amp;$J868+7),0))</f>
        <v/>
      </c>
      <c r="D868" t="str">
        <f>IF($J868="","",IFERROR(COUNTIFS('Weekly Log'!$H:$H,"Y",'Weekly Log'!$A:$A,"&gt;="&amp;$J868,'Weekly Log'!$A:$A,"&lt;"&amp;$J868+7)/COUNTIFS('Weekly Log'!$H:$H,"&lt;&gt;",'Weekly Log'!$A:$A,"&gt;="&amp;$J868,'Weekly Log'!$A:$A,"&lt;"&amp;$J868+7),0))</f>
        <v/>
      </c>
      <c r="E868" t="str">
        <f>IF($J868="","",IFERROR(AVERAGEIFS('Weekly Log'!$F:$F,'Weekly Log'!$A:$A,"&gt;="&amp;$J868,'Weekly Log'!$A:$A,"&lt;"&amp;$J868+7),0))</f>
        <v/>
      </c>
      <c r="F868" t="str">
        <f>IF($J868="","",IFERROR(SUMIFS('Weekly Log'!$F:$F,'Weekly Log'!$A:$A,"&gt;="&amp;$J868,'Weekly Log'!$A:$A,"&lt;"&amp;$J868+7)/SUMIFS('Weekly Log'!$E:$E,'Weekly Log'!$A:$A,"&gt;="&amp;$J868,'Weekly Log'!$A:$A,"&lt;"&amp;$J868+7),0))</f>
        <v/>
      </c>
      <c r="G868" t="str">
        <f>IF($J868="","",IFERROR(LOOKUP(2,1/(('Weekly Log'!$A$5:$A$5000&gt;=$J868)*('Weekly Log'!$A$5:$A$5000&lt;$J868+7)*('Weekly Log'!$M$5:$M$5000&lt;&gt;"")),'Weekly Log'!$M$5:$M$5000),0))</f>
        <v/>
      </c>
      <c r="J868" t="str">
        <f>IF(COUNT('Weekly Log'!$A$5:$A$5000)=0,"",IF(MIN('Weekly Log'!$A$5:$A$5000)+7*(ROW()-10)&gt;MAX('Weekly Log'!$A$5:$A$5000),"",MIN('Weekly Log'!$A$5:$A$5000)+7*(ROW()-10)))</f>
        <v/>
      </c>
    </row>
    <row r="869" spans="1:10" x14ac:dyDescent="0.25">
      <c r="A869" t="str">
        <f t="shared" si="13"/>
        <v/>
      </c>
      <c r="B869" t="str">
        <f>IF($J869="","",SUMIFS('Weekly Log'!$C:$C,'Weekly Log'!$A:$A,"&gt;="&amp;$J869,'Weekly Log'!$A:$A,"&lt;"&amp;$J869+7))</f>
        <v/>
      </c>
      <c r="C869" t="str">
        <f>IF($J869="","",IFERROR(COUNTIFS('Weekly Log'!$G:$G,"Y",'Weekly Log'!$A:$A,"&gt;="&amp;$J869,'Weekly Log'!$A:$A,"&lt;"&amp;$J869+7)/COUNTIFS('Weekly Log'!$G:$G,"&lt;&gt;",'Weekly Log'!$A:$A,"&gt;="&amp;$J869,'Weekly Log'!$A:$A,"&lt;"&amp;$J869+7),0))</f>
        <v/>
      </c>
      <c r="D869" t="str">
        <f>IF($J869="","",IFERROR(COUNTIFS('Weekly Log'!$H:$H,"Y",'Weekly Log'!$A:$A,"&gt;="&amp;$J869,'Weekly Log'!$A:$A,"&lt;"&amp;$J869+7)/COUNTIFS('Weekly Log'!$H:$H,"&lt;&gt;",'Weekly Log'!$A:$A,"&gt;="&amp;$J869,'Weekly Log'!$A:$A,"&lt;"&amp;$J869+7),0))</f>
        <v/>
      </c>
      <c r="E869" t="str">
        <f>IF($J869="","",IFERROR(AVERAGEIFS('Weekly Log'!$F:$F,'Weekly Log'!$A:$A,"&gt;="&amp;$J869,'Weekly Log'!$A:$A,"&lt;"&amp;$J869+7),0))</f>
        <v/>
      </c>
      <c r="F869" t="str">
        <f>IF($J869="","",IFERROR(SUMIFS('Weekly Log'!$F:$F,'Weekly Log'!$A:$A,"&gt;="&amp;$J869,'Weekly Log'!$A:$A,"&lt;"&amp;$J869+7)/SUMIFS('Weekly Log'!$E:$E,'Weekly Log'!$A:$A,"&gt;="&amp;$J869,'Weekly Log'!$A:$A,"&lt;"&amp;$J869+7),0))</f>
        <v/>
      </c>
      <c r="G869" t="str">
        <f>IF($J869="","",IFERROR(LOOKUP(2,1/(('Weekly Log'!$A$5:$A$5000&gt;=$J869)*('Weekly Log'!$A$5:$A$5000&lt;$J869+7)*('Weekly Log'!$M$5:$M$5000&lt;&gt;"")),'Weekly Log'!$M$5:$M$5000),0))</f>
        <v/>
      </c>
      <c r="J869" t="str">
        <f>IF(COUNT('Weekly Log'!$A$5:$A$5000)=0,"",IF(MIN('Weekly Log'!$A$5:$A$5000)+7*(ROW()-10)&gt;MAX('Weekly Log'!$A$5:$A$5000),"",MIN('Weekly Log'!$A$5:$A$5000)+7*(ROW()-10)))</f>
        <v/>
      </c>
    </row>
    <row r="870" spans="1:10" x14ac:dyDescent="0.25">
      <c r="A870" t="str">
        <f t="shared" si="13"/>
        <v/>
      </c>
      <c r="B870" t="str">
        <f>IF($J870="","",SUMIFS('Weekly Log'!$C:$C,'Weekly Log'!$A:$A,"&gt;="&amp;$J870,'Weekly Log'!$A:$A,"&lt;"&amp;$J870+7))</f>
        <v/>
      </c>
      <c r="C870" t="str">
        <f>IF($J870="","",IFERROR(COUNTIFS('Weekly Log'!$G:$G,"Y",'Weekly Log'!$A:$A,"&gt;="&amp;$J870,'Weekly Log'!$A:$A,"&lt;"&amp;$J870+7)/COUNTIFS('Weekly Log'!$G:$G,"&lt;&gt;",'Weekly Log'!$A:$A,"&gt;="&amp;$J870,'Weekly Log'!$A:$A,"&lt;"&amp;$J870+7),0))</f>
        <v/>
      </c>
      <c r="D870" t="str">
        <f>IF($J870="","",IFERROR(COUNTIFS('Weekly Log'!$H:$H,"Y",'Weekly Log'!$A:$A,"&gt;="&amp;$J870,'Weekly Log'!$A:$A,"&lt;"&amp;$J870+7)/COUNTIFS('Weekly Log'!$H:$H,"&lt;&gt;",'Weekly Log'!$A:$A,"&gt;="&amp;$J870,'Weekly Log'!$A:$A,"&lt;"&amp;$J870+7),0))</f>
        <v/>
      </c>
      <c r="E870" t="str">
        <f>IF($J870="","",IFERROR(AVERAGEIFS('Weekly Log'!$F:$F,'Weekly Log'!$A:$A,"&gt;="&amp;$J870,'Weekly Log'!$A:$A,"&lt;"&amp;$J870+7),0))</f>
        <v/>
      </c>
      <c r="F870" t="str">
        <f>IF($J870="","",IFERROR(SUMIFS('Weekly Log'!$F:$F,'Weekly Log'!$A:$A,"&gt;="&amp;$J870,'Weekly Log'!$A:$A,"&lt;"&amp;$J870+7)/SUMIFS('Weekly Log'!$E:$E,'Weekly Log'!$A:$A,"&gt;="&amp;$J870,'Weekly Log'!$A:$A,"&lt;"&amp;$J870+7),0))</f>
        <v/>
      </c>
      <c r="G870" t="str">
        <f>IF($J870="","",IFERROR(LOOKUP(2,1/(('Weekly Log'!$A$5:$A$5000&gt;=$J870)*('Weekly Log'!$A$5:$A$5000&lt;$J870+7)*('Weekly Log'!$M$5:$M$5000&lt;&gt;"")),'Weekly Log'!$M$5:$M$5000),0))</f>
        <v/>
      </c>
      <c r="J870" t="str">
        <f>IF(COUNT('Weekly Log'!$A$5:$A$5000)=0,"",IF(MIN('Weekly Log'!$A$5:$A$5000)+7*(ROW()-10)&gt;MAX('Weekly Log'!$A$5:$A$5000),"",MIN('Weekly Log'!$A$5:$A$5000)+7*(ROW()-10)))</f>
        <v/>
      </c>
    </row>
    <row r="871" spans="1:10" x14ac:dyDescent="0.25">
      <c r="A871" t="str">
        <f t="shared" si="13"/>
        <v/>
      </c>
      <c r="B871" t="str">
        <f>IF($J871="","",SUMIFS('Weekly Log'!$C:$C,'Weekly Log'!$A:$A,"&gt;="&amp;$J871,'Weekly Log'!$A:$A,"&lt;"&amp;$J871+7))</f>
        <v/>
      </c>
      <c r="C871" t="str">
        <f>IF($J871="","",IFERROR(COUNTIFS('Weekly Log'!$G:$G,"Y",'Weekly Log'!$A:$A,"&gt;="&amp;$J871,'Weekly Log'!$A:$A,"&lt;"&amp;$J871+7)/COUNTIFS('Weekly Log'!$G:$G,"&lt;&gt;",'Weekly Log'!$A:$A,"&gt;="&amp;$J871,'Weekly Log'!$A:$A,"&lt;"&amp;$J871+7),0))</f>
        <v/>
      </c>
      <c r="D871" t="str">
        <f>IF($J871="","",IFERROR(COUNTIFS('Weekly Log'!$H:$H,"Y",'Weekly Log'!$A:$A,"&gt;="&amp;$J871,'Weekly Log'!$A:$A,"&lt;"&amp;$J871+7)/COUNTIFS('Weekly Log'!$H:$H,"&lt;&gt;",'Weekly Log'!$A:$A,"&gt;="&amp;$J871,'Weekly Log'!$A:$A,"&lt;"&amp;$J871+7),0))</f>
        <v/>
      </c>
      <c r="E871" t="str">
        <f>IF($J871="","",IFERROR(AVERAGEIFS('Weekly Log'!$F:$F,'Weekly Log'!$A:$A,"&gt;="&amp;$J871,'Weekly Log'!$A:$A,"&lt;"&amp;$J871+7),0))</f>
        <v/>
      </c>
      <c r="F871" t="str">
        <f>IF($J871="","",IFERROR(SUMIFS('Weekly Log'!$F:$F,'Weekly Log'!$A:$A,"&gt;="&amp;$J871,'Weekly Log'!$A:$A,"&lt;"&amp;$J871+7)/SUMIFS('Weekly Log'!$E:$E,'Weekly Log'!$A:$A,"&gt;="&amp;$J871,'Weekly Log'!$A:$A,"&lt;"&amp;$J871+7),0))</f>
        <v/>
      </c>
      <c r="G871" t="str">
        <f>IF($J871="","",IFERROR(LOOKUP(2,1/(('Weekly Log'!$A$5:$A$5000&gt;=$J871)*('Weekly Log'!$A$5:$A$5000&lt;$J871+7)*('Weekly Log'!$M$5:$M$5000&lt;&gt;"")),'Weekly Log'!$M$5:$M$5000),0))</f>
        <v/>
      </c>
      <c r="J871" t="str">
        <f>IF(COUNT('Weekly Log'!$A$5:$A$5000)=0,"",IF(MIN('Weekly Log'!$A$5:$A$5000)+7*(ROW()-10)&gt;MAX('Weekly Log'!$A$5:$A$5000),"",MIN('Weekly Log'!$A$5:$A$5000)+7*(ROW()-10)))</f>
        <v/>
      </c>
    </row>
    <row r="872" spans="1:10" x14ac:dyDescent="0.25">
      <c r="A872" t="str">
        <f t="shared" si="13"/>
        <v/>
      </c>
      <c r="B872" t="str">
        <f>IF($J872="","",SUMIFS('Weekly Log'!$C:$C,'Weekly Log'!$A:$A,"&gt;="&amp;$J872,'Weekly Log'!$A:$A,"&lt;"&amp;$J872+7))</f>
        <v/>
      </c>
      <c r="C872" t="str">
        <f>IF($J872="","",IFERROR(COUNTIFS('Weekly Log'!$G:$G,"Y",'Weekly Log'!$A:$A,"&gt;="&amp;$J872,'Weekly Log'!$A:$A,"&lt;"&amp;$J872+7)/COUNTIFS('Weekly Log'!$G:$G,"&lt;&gt;",'Weekly Log'!$A:$A,"&gt;="&amp;$J872,'Weekly Log'!$A:$A,"&lt;"&amp;$J872+7),0))</f>
        <v/>
      </c>
      <c r="D872" t="str">
        <f>IF($J872="","",IFERROR(COUNTIFS('Weekly Log'!$H:$H,"Y",'Weekly Log'!$A:$A,"&gt;="&amp;$J872,'Weekly Log'!$A:$A,"&lt;"&amp;$J872+7)/COUNTIFS('Weekly Log'!$H:$H,"&lt;&gt;",'Weekly Log'!$A:$A,"&gt;="&amp;$J872,'Weekly Log'!$A:$A,"&lt;"&amp;$J872+7),0))</f>
        <v/>
      </c>
      <c r="E872" t="str">
        <f>IF($J872="","",IFERROR(AVERAGEIFS('Weekly Log'!$F:$F,'Weekly Log'!$A:$A,"&gt;="&amp;$J872,'Weekly Log'!$A:$A,"&lt;"&amp;$J872+7),0))</f>
        <v/>
      </c>
      <c r="F872" t="str">
        <f>IF($J872="","",IFERROR(SUMIFS('Weekly Log'!$F:$F,'Weekly Log'!$A:$A,"&gt;="&amp;$J872,'Weekly Log'!$A:$A,"&lt;"&amp;$J872+7)/SUMIFS('Weekly Log'!$E:$E,'Weekly Log'!$A:$A,"&gt;="&amp;$J872,'Weekly Log'!$A:$A,"&lt;"&amp;$J872+7),0))</f>
        <v/>
      </c>
      <c r="G872" t="str">
        <f>IF($J872="","",IFERROR(LOOKUP(2,1/(('Weekly Log'!$A$5:$A$5000&gt;=$J872)*('Weekly Log'!$A$5:$A$5000&lt;$J872+7)*('Weekly Log'!$M$5:$M$5000&lt;&gt;"")),'Weekly Log'!$M$5:$M$5000),0))</f>
        <v/>
      </c>
      <c r="J872" t="str">
        <f>IF(COUNT('Weekly Log'!$A$5:$A$5000)=0,"",IF(MIN('Weekly Log'!$A$5:$A$5000)+7*(ROW()-10)&gt;MAX('Weekly Log'!$A$5:$A$5000),"",MIN('Weekly Log'!$A$5:$A$5000)+7*(ROW()-10)))</f>
        <v/>
      </c>
    </row>
    <row r="873" spans="1:10" x14ac:dyDescent="0.25">
      <c r="A873" t="str">
        <f t="shared" si="13"/>
        <v/>
      </c>
      <c r="B873" t="str">
        <f>IF($J873="","",SUMIFS('Weekly Log'!$C:$C,'Weekly Log'!$A:$A,"&gt;="&amp;$J873,'Weekly Log'!$A:$A,"&lt;"&amp;$J873+7))</f>
        <v/>
      </c>
      <c r="C873" t="str">
        <f>IF($J873="","",IFERROR(COUNTIFS('Weekly Log'!$G:$G,"Y",'Weekly Log'!$A:$A,"&gt;="&amp;$J873,'Weekly Log'!$A:$A,"&lt;"&amp;$J873+7)/COUNTIFS('Weekly Log'!$G:$G,"&lt;&gt;",'Weekly Log'!$A:$A,"&gt;="&amp;$J873,'Weekly Log'!$A:$A,"&lt;"&amp;$J873+7),0))</f>
        <v/>
      </c>
      <c r="D873" t="str">
        <f>IF($J873="","",IFERROR(COUNTIFS('Weekly Log'!$H:$H,"Y",'Weekly Log'!$A:$A,"&gt;="&amp;$J873,'Weekly Log'!$A:$A,"&lt;"&amp;$J873+7)/COUNTIFS('Weekly Log'!$H:$H,"&lt;&gt;",'Weekly Log'!$A:$A,"&gt;="&amp;$J873,'Weekly Log'!$A:$A,"&lt;"&amp;$J873+7),0))</f>
        <v/>
      </c>
      <c r="E873" t="str">
        <f>IF($J873="","",IFERROR(AVERAGEIFS('Weekly Log'!$F:$F,'Weekly Log'!$A:$A,"&gt;="&amp;$J873,'Weekly Log'!$A:$A,"&lt;"&amp;$J873+7),0))</f>
        <v/>
      </c>
      <c r="F873" t="str">
        <f>IF($J873="","",IFERROR(SUMIFS('Weekly Log'!$F:$F,'Weekly Log'!$A:$A,"&gt;="&amp;$J873,'Weekly Log'!$A:$A,"&lt;"&amp;$J873+7)/SUMIFS('Weekly Log'!$E:$E,'Weekly Log'!$A:$A,"&gt;="&amp;$J873,'Weekly Log'!$A:$A,"&lt;"&amp;$J873+7),0))</f>
        <v/>
      </c>
      <c r="G873" t="str">
        <f>IF($J873="","",IFERROR(LOOKUP(2,1/(('Weekly Log'!$A$5:$A$5000&gt;=$J873)*('Weekly Log'!$A$5:$A$5000&lt;$J873+7)*('Weekly Log'!$M$5:$M$5000&lt;&gt;"")),'Weekly Log'!$M$5:$M$5000),0))</f>
        <v/>
      </c>
      <c r="J873" t="str">
        <f>IF(COUNT('Weekly Log'!$A$5:$A$5000)=0,"",IF(MIN('Weekly Log'!$A$5:$A$5000)+7*(ROW()-10)&gt;MAX('Weekly Log'!$A$5:$A$5000),"",MIN('Weekly Log'!$A$5:$A$5000)+7*(ROW()-10)))</f>
        <v/>
      </c>
    </row>
    <row r="874" spans="1:10" x14ac:dyDescent="0.25">
      <c r="A874" t="str">
        <f t="shared" si="13"/>
        <v/>
      </c>
      <c r="B874" t="str">
        <f>IF($J874="","",SUMIFS('Weekly Log'!$C:$C,'Weekly Log'!$A:$A,"&gt;="&amp;$J874,'Weekly Log'!$A:$A,"&lt;"&amp;$J874+7))</f>
        <v/>
      </c>
      <c r="C874" t="str">
        <f>IF($J874="","",IFERROR(COUNTIFS('Weekly Log'!$G:$G,"Y",'Weekly Log'!$A:$A,"&gt;="&amp;$J874,'Weekly Log'!$A:$A,"&lt;"&amp;$J874+7)/COUNTIFS('Weekly Log'!$G:$G,"&lt;&gt;",'Weekly Log'!$A:$A,"&gt;="&amp;$J874,'Weekly Log'!$A:$A,"&lt;"&amp;$J874+7),0))</f>
        <v/>
      </c>
      <c r="D874" t="str">
        <f>IF($J874="","",IFERROR(COUNTIFS('Weekly Log'!$H:$H,"Y",'Weekly Log'!$A:$A,"&gt;="&amp;$J874,'Weekly Log'!$A:$A,"&lt;"&amp;$J874+7)/COUNTIFS('Weekly Log'!$H:$H,"&lt;&gt;",'Weekly Log'!$A:$A,"&gt;="&amp;$J874,'Weekly Log'!$A:$A,"&lt;"&amp;$J874+7),0))</f>
        <v/>
      </c>
      <c r="E874" t="str">
        <f>IF($J874="","",IFERROR(AVERAGEIFS('Weekly Log'!$F:$F,'Weekly Log'!$A:$A,"&gt;="&amp;$J874,'Weekly Log'!$A:$A,"&lt;"&amp;$J874+7),0))</f>
        <v/>
      </c>
      <c r="F874" t="str">
        <f>IF($J874="","",IFERROR(SUMIFS('Weekly Log'!$F:$F,'Weekly Log'!$A:$A,"&gt;="&amp;$J874,'Weekly Log'!$A:$A,"&lt;"&amp;$J874+7)/SUMIFS('Weekly Log'!$E:$E,'Weekly Log'!$A:$A,"&gt;="&amp;$J874,'Weekly Log'!$A:$A,"&lt;"&amp;$J874+7),0))</f>
        <v/>
      </c>
      <c r="G874" t="str">
        <f>IF($J874="","",IFERROR(LOOKUP(2,1/(('Weekly Log'!$A$5:$A$5000&gt;=$J874)*('Weekly Log'!$A$5:$A$5000&lt;$J874+7)*('Weekly Log'!$M$5:$M$5000&lt;&gt;"")),'Weekly Log'!$M$5:$M$5000),0))</f>
        <v/>
      </c>
      <c r="J874" t="str">
        <f>IF(COUNT('Weekly Log'!$A$5:$A$5000)=0,"",IF(MIN('Weekly Log'!$A$5:$A$5000)+7*(ROW()-10)&gt;MAX('Weekly Log'!$A$5:$A$5000),"",MIN('Weekly Log'!$A$5:$A$5000)+7*(ROW()-10)))</f>
        <v/>
      </c>
    </row>
    <row r="875" spans="1:10" x14ac:dyDescent="0.25">
      <c r="A875" t="str">
        <f t="shared" si="13"/>
        <v/>
      </c>
      <c r="B875" t="str">
        <f>IF($J875="","",SUMIFS('Weekly Log'!$C:$C,'Weekly Log'!$A:$A,"&gt;="&amp;$J875,'Weekly Log'!$A:$A,"&lt;"&amp;$J875+7))</f>
        <v/>
      </c>
      <c r="C875" t="str">
        <f>IF($J875="","",IFERROR(COUNTIFS('Weekly Log'!$G:$G,"Y",'Weekly Log'!$A:$A,"&gt;="&amp;$J875,'Weekly Log'!$A:$A,"&lt;"&amp;$J875+7)/COUNTIFS('Weekly Log'!$G:$G,"&lt;&gt;",'Weekly Log'!$A:$A,"&gt;="&amp;$J875,'Weekly Log'!$A:$A,"&lt;"&amp;$J875+7),0))</f>
        <v/>
      </c>
      <c r="D875" t="str">
        <f>IF($J875="","",IFERROR(COUNTIFS('Weekly Log'!$H:$H,"Y",'Weekly Log'!$A:$A,"&gt;="&amp;$J875,'Weekly Log'!$A:$A,"&lt;"&amp;$J875+7)/COUNTIFS('Weekly Log'!$H:$H,"&lt;&gt;",'Weekly Log'!$A:$A,"&gt;="&amp;$J875,'Weekly Log'!$A:$A,"&lt;"&amp;$J875+7),0))</f>
        <v/>
      </c>
      <c r="E875" t="str">
        <f>IF($J875="","",IFERROR(AVERAGEIFS('Weekly Log'!$F:$F,'Weekly Log'!$A:$A,"&gt;="&amp;$J875,'Weekly Log'!$A:$A,"&lt;"&amp;$J875+7),0))</f>
        <v/>
      </c>
      <c r="F875" t="str">
        <f>IF($J875="","",IFERROR(SUMIFS('Weekly Log'!$F:$F,'Weekly Log'!$A:$A,"&gt;="&amp;$J875,'Weekly Log'!$A:$A,"&lt;"&amp;$J875+7)/SUMIFS('Weekly Log'!$E:$E,'Weekly Log'!$A:$A,"&gt;="&amp;$J875,'Weekly Log'!$A:$A,"&lt;"&amp;$J875+7),0))</f>
        <v/>
      </c>
      <c r="G875" t="str">
        <f>IF($J875="","",IFERROR(LOOKUP(2,1/(('Weekly Log'!$A$5:$A$5000&gt;=$J875)*('Weekly Log'!$A$5:$A$5000&lt;$J875+7)*('Weekly Log'!$M$5:$M$5000&lt;&gt;"")),'Weekly Log'!$M$5:$M$5000),0))</f>
        <v/>
      </c>
      <c r="J875" t="str">
        <f>IF(COUNT('Weekly Log'!$A$5:$A$5000)=0,"",IF(MIN('Weekly Log'!$A$5:$A$5000)+7*(ROW()-10)&gt;MAX('Weekly Log'!$A$5:$A$5000),"",MIN('Weekly Log'!$A$5:$A$5000)+7*(ROW()-10)))</f>
        <v/>
      </c>
    </row>
    <row r="876" spans="1:10" x14ac:dyDescent="0.25">
      <c r="A876" t="str">
        <f t="shared" si="13"/>
        <v/>
      </c>
      <c r="B876" t="str">
        <f>IF($J876="","",SUMIFS('Weekly Log'!$C:$C,'Weekly Log'!$A:$A,"&gt;="&amp;$J876,'Weekly Log'!$A:$A,"&lt;"&amp;$J876+7))</f>
        <v/>
      </c>
      <c r="C876" t="str">
        <f>IF($J876="","",IFERROR(COUNTIFS('Weekly Log'!$G:$G,"Y",'Weekly Log'!$A:$A,"&gt;="&amp;$J876,'Weekly Log'!$A:$A,"&lt;"&amp;$J876+7)/COUNTIFS('Weekly Log'!$G:$G,"&lt;&gt;",'Weekly Log'!$A:$A,"&gt;="&amp;$J876,'Weekly Log'!$A:$A,"&lt;"&amp;$J876+7),0))</f>
        <v/>
      </c>
      <c r="D876" t="str">
        <f>IF($J876="","",IFERROR(COUNTIFS('Weekly Log'!$H:$H,"Y",'Weekly Log'!$A:$A,"&gt;="&amp;$J876,'Weekly Log'!$A:$A,"&lt;"&amp;$J876+7)/COUNTIFS('Weekly Log'!$H:$H,"&lt;&gt;",'Weekly Log'!$A:$A,"&gt;="&amp;$J876,'Weekly Log'!$A:$A,"&lt;"&amp;$J876+7),0))</f>
        <v/>
      </c>
      <c r="E876" t="str">
        <f>IF($J876="","",IFERROR(AVERAGEIFS('Weekly Log'!$F:$F,'Weekly Log'!$A:$A,"&gt;="&amp;$J876,'Weekly Log'!$A:$A,"&lt;"&amp;$J876+7),0))</f>
        <v/>
      </c>
      <c r="F876" t="str">
        <f>IF($J876="","",IFERROR(SUMIFS('Weekly Log'!$F:$F,'Weekly Log'!$A:$A,"&gt;="&amp;$J876,'Weekly Log'!$A:$A,"&lt;"&amp;$J876+7)/SUMIFS('Weekly Log'!$E:$E,'Weekly Log'!$A:$A,"&gt;="&amp;$J876,'Weekly Log'!$A:$A,"&lt;"&amp;$J876+7),0))</f>
        <v/>
      </c>
      <c r="G876" t="str">
        <f>IF($J876="","",IFERROR(LOOKUP(2,1/(('Weekly Log'!$A$5:$A$5000&gt;=$J876)*('Weekly Log'!$A$5:$A$5000&lt;$J876+7)*('Weekly Log'!$M$5:$M$5000&lt;&gt;"")),'Weekly Log'!$M$5:$M$5000),0))</f>
        <v/>
      </c>
      <c r="J876" t="str">
        <f>IF(COUNT('Weekly Log'!$A$5:$A$5000)=0,"",IF(MIN('Weekly Log'!$A$5:$A$5000)+7*(ROW()-10)&gt;MAX('Weekly Log'!$A$5:$A$5000),"",MIN('Weekly Log'!$A$5:$A$5000)+7*(ROW()-10)))</f>
        <v/>
      </c>
    </row>
    <row r="877" spans="1:10" x14ac:dyDescent="0.25">
      <c r="A877" t="str">
        <f t="shared" si="13"/>
        <v/>
      </c>
      <c r="B877" t="str">
        <f>IF($J877="","",SUMIFS('Weekly Log'!$C:$C,'Weekly Log'!$A:$A,"&gt;="&amp;$J877,'Weekly Log'!$A:$A,"&lt;"&amp;$J877+7))</f>
        <v/>
      </c>
      <c r="C877" t="str">
        <f>IF($J877="","",IFERROR(COUNTIFS('Weekly Log'!$G:$G,"Y",'Weekly Log'!$A:$A,"&gt;="&amp;$J877,'Weekly Log'!$A:$A,"&lt;"&amp;$J877+7)/COUNTIFS('Weekly Log'!$G:$G,"&lt;&gt;",'Weekly Log'!$A:$A,"&gt;="&amp;$J877,'Weekly Log'!$A:$A,"&lt;"&amp;$J877+7),0))</f>
        <v/>
      </c>
      <c r="D877" t="str">
        <f>IF($J877="","",IFERROR(COUNTIFS('Weekly Log'!$H:$H,"Y",'Weekly Log'!$A:$A,"&gt;="&amp;$J877,'Weekly Log'!$A:$A,"&lt;"&amp;$J877+7)/COUNTIFS('Weekly Log'!$H:$H,"&lt;&gt;",'Weekly Log'!$A:$A,"&gt;="&amp;$J877,'Weekly Log'!$A:$A,"&lt;"&amp;$J877+7),0))</f>
        <v/>
      </c>
      <c r="E877" t="str">
        <f>IF($J877="","",IFERROR(AVERAGEIFS('Weekly Log'!$F:$F,'Weekly Log'!$A:$A,"&gt;="&amp;$J877,'Weekly Log'!$A:$A,"&lt;"&amp;$J877+7),0))</f>
        <v/>
      </c>
      <c r="F877" t="str">
        <f>IF($J877="","",IFERROR(SUMIFS('Weekly Log'!$F:$F,'Weekly Log'!$A:$A,"&gt;="&amp;$J877,'Weekly Log'!$A:$A,"&lt;"&amp;$J877+7)/SUMIFS('Weekly Log'!$E:$E,'Weekly Log'!$A:$A,"&gt;="&amp;$J877,'Weekly Log'!$A:$A,"&lt;"&amp;$J877+7),0))</f>
        <v/>
      </c>
      <c r="G877" t="str">
        <f>IF($J877="","",IFERROR(LOOKUP(2,1/(('Weekly Log'!$A$5:$A$5000&gt;=$J877)*('Weekly Log'!$A$5:$A$5000&lt;$J877+7)*('Weekly Log'!$M$5:$M$5000&lt;&gt;"")),'Weekly Log'!$M$5:$M$5000),0))</f>
        <v/>
      </c>
      <c r="J877" t="str">
        <f>IF(COUNT('Weekly Log'!$A$5:$A$5000)=0,"",IF(MIN('Weekly Log'!$A$5:$A$5000)+7*(ROW()-10)&gt;MAX('Weekly Log'!$A$5:$A$5000),"",MIN('Weekly Log'!$A$5:$A$5000)+7*(ROW()-10)))</f>
        <v/>
      </c>
    </row>
    <row r="878" spans="1:10" x14ac:dyDescent="0.25">
      <c r="A878" t="str">
        <f t="shared" si="13"/>
        <v/>
      </c>
      <c r="B878" t="str">
        <f>IF($J878="","",SUMIFS('Weekly Log'!$C:$C,'Weekly Log'!$A:$A,"&gt;="&amp;$J878,'Weekly Log'!$A:$A,"&lt;"&amp;$J878+7))</f>
        <v/>
      </c>
      <c r="C878" t="str">
        <f>IF($J878="","",IFERROR(COUNTIFS('Weekly Log'!$G:$G,"Y",'Weekly Log'!$A:$A,"&gt;="&amp;$J878,'Weekly Log'!$A:$A,"&lt;"&amp;$J878+7)/COUNTIFS('Weekly Log'!$G:$G,"&lt;&gt;",'Weekly Log'!$A:$A,"&gt;="&amp;$J878,'Weekly Log'!$A:$A,"&lt;"&amp;$J878+7),0))</f>
        <v/>
      </c>
      <c r="D878" t="str">
        <f>IF($J878="","",IFERROR(COUNTIFS('Weekly Log'!$H:$H,"Y",'Weekly Log'!$A:$A,"&gt;="&amp;$J878,'Weekly Log'!$A:$A,"&lt;"&amp;$J878+7)/COUNTIFS('Weekly Log'!$H:$H,"&lt;&gt;",'Weekly Log'!$A:$A,"&gt;="&amp;$J878,'Weekly Log'!$A:$A,"&lt;"&amp;$J878+7),0))</f>
        <v/>
      </c>
      <c r="E878" t="str">
        <f>IF($J878="","",IFERROR(AVERAGEIFS('Weekly Log'!$F:$F,'Weekly Log'!$A:$A,"&gt;="&amp;$J878,'Weekly Log'!$A:$A,"&lt;"&amp;$J878+7),0))</f>
        <v/>
      </c>
      <c r="F878" t="str">
        <f>IF($J878="","",IFERROR(SUMIFS('Weekly Log'!$F:$F,'Weekly Log'!$A:$A,"&gt;="&amp;$J878,'Weekly Log'!$A:$A,"&lt;"&amp;$J878+7)/SUMIFS('Weekly Log'!$E:$E,'Weekly Log'!$A:$A,"&gt;="&amp;$J878,'Weekly Log'!$A:$A,"&lt;"&amp;$J878+7),0))</f>
        <v/>
      </c>
      <c r="G878" t="str">
        <f>IF($J878="","",IFERROR(LOOKUP(2,1/(('Weekly Log'!$A$5:$A$5000&gt;=$J878)*('Weekly Log'!$A$5:$A$5000&lt;$J878+7)*('Weekly Log'!$M$5:$M$5000&lt;&gt;"")),'Weekly Log'!$M$5:$M$5000),0))</f>
        <v/>
      </c>
      <c r="J878" t="str">
        <f>IF(COUNT('Weekly Log'!$A$5:$A$5000)=0,"",IF(MIN('Weekly Log'!$A$5:$A$5000)+7*(ROW()-10)&gt;MAX('Weekly Log'!$A$5:$A$5000),"",MIN('Weekly Log'!$A$5:$A$5000)+7*(ROW()-10)))</f>
        <v/>
      </c>
    </row>
    <row r="879" spans="1:10" x14ac:dyDescent="0.25">
      <c r="A879" t="str">
        <f t="shared" si="13"/>
        <v/>
      </c>
      <c r="B879" t="str">
        <f>IF($J879="","",SUMIFS('Weekly Log'!$C:$C,'Weekly Log'!$A:$A,"&gt;="&amp;$J879,'Weekly Log'!$A:$A,"&lt;"&amp;$J879+7))</f>
        <v/>
      </c>
      <c r="C879" t="str">
        <f>IF($J879="","",IFERROR(COUNTIFS('Weekly Log'!$G:$G,"Y",'Weekly Log'!$A:$A,"&gt;="&amp;$J879,'Weekly Log'!$A:$A,"&lt;"&amp;$J879+7)/COUNTIFS('Weekly Log'!$G:$G,"&lt;&gt;",'Weekly Log'!$A:$A,"&gt;="&amp;$J879,'Weekly Log'!$A:$A,"&lt;"&amp;$J879+7),0))</f>
        <v/>
      </c>
      <c r="D879" t="str">
        <f>IF($J879="","",IFERROR(COUNTIFS('Weekly Log'!$H:$H,"Y",'Weekly Log'!$A:$A,"&gt;="&amp;$J879,'Weekly Log'!$A:$A,"&lt;"&amp;$J879+7)/COUNTIFS('Weekly Log'!$H:$H,"&lt;&gt;",'Weekly Log'!$A:$A,"&gt;="&amp;$J879,'Weekly Log'!$A:$A,"&lt;"&amp;$J879+7),0))</f>
        <v/>
      </c>
      <c r="E879" t="str">
        <f>IF($J879="","",IFERROR(AVERAGEIFS('Weekly Log'!$F:$F,'Weekly Log'!$A:$A,"&gt;="&amp;$J879,'Weekly Log'!$A:$A,"&lt;"&amp;$J879+7),0))</f>
        <v/>
      </c>
      <c r="F879" t="str">
        <f>IF($J879="","",IFERROR(SUMIFS('Weekly Log'!$F:$F,'Weekly Log'!$A:$A,"&gt;="&amp;$J879,'Weekly Log'!$A:$A,"&lt;"&amp;$J879+7)/SUMIFS('Weekly Log'!$E:$E,'Weekly Log'!$A:$A,"&gt;="&amp;$J879,'Weekly Log'!$A:$A,"&lt;"&amp;$J879+7),0))</f>
        <v/>
      </c>
      <c r="G879" t="str">
        <f>IF($J879="","",IFERROR(LOOKUP(2,1/(('Weekly Log'!$A$5:$A$5000&gt;=$J879)*('Weekly Log'!$A$5:$A$5000&lt;$J879+7)*('Weekly Log'!$M$5:$M$5000&lt;&gt;"")),'Weekly Log'!$M$5:$M$5000),0))</f>
        <v/>
      </c>
      <c r="J879" t="str">
        <f>IF(COUNT('Weekly Log'!$A$5:$A$5000)=0,"",IF(MIN('Weekly Log'!$A$5:$A$5000)+7*(ROW()-10)&gt;MAX('Weekly Log'!$A$5:$A$5000),"",MIN('Weekly Log'!$A$5:$A$5000)+7*(ROW()-10)))</f>
        <v/>
      </c>
    </row>
    <row r="880" spans="1:10" x14ac:dyDescent="0.25">
      <c r="A880" t="str">
        <f t="shared" si="13"/>
        <v/>
      </c>
      <c r="B880" t="str">
        <f>IF($J880="","",SUMIFS('Weekly Log'!$C:$C,'Weekly Log'!$A:$A,"&gt;="&amp;$J880,'Weekly Log'!$A:$A,"&lt;"&amp;$J880+7))</f>
        <v/>
      </c>
      <c r="C880" t="str">
        <f>IF($J880="","",IFERROR(COUNTIFS('Weekly Log'!$G:$G,"Y",'Weekly Log'!$A:$A,"&gt;="&amp;$J880,'Weekly Log'!$A:$A,"&lt;"&amp;$J880+7)/COUNTIFS('Weekly Log'!$G:$G,"&lt;&gt;",'Weekly Log'!$A:$A,"&gt;="&amp;$J880,'Weekly Log'!$A:$A,"&lt;"&amp;$J880+7),0))</f>
        <v/>
      </c>
      <c r="D880" t="str">
        <f>IF($J880="","",IFERROR(COUNTIFS('Weekly Log'!$H:$H,"Y",'Weekly Log'!$A:$A,"&gt;="&amp;$J880,'Weekly Log'!$A:$A,"&lt;"&amp;$J880+7)/COUNTIFS('Weekly Log'!$H:$H,"&lt;&gt;",'Weekly Log'!$A:$A,"&gt;="&amp;$J880,'Weekly Log'!$A:$A,"&lt;"&amp;$J880+7),0))</f>
        <v/>
      </c>
      <c r="E880" t="str">
        <f>IF($J880="","",IFERROR(AVERAGEIFS('Weekly Log'!$F:$F,'Weekly Log'!$A:$A,"&gt;="&amp;$J880,'Weekly Log'!$A:$A,"&lt;"&amp;$J880+7),0))</f>
        <v/>
      </c>
      <c r="F880" t="str">
        <f>IF($J880="","",IFERROR(SUMIFS('Weekly Log'!$F:$F,'Weekly Log'!$A:$A,"&gt;="&amp;$J880,'Weekly Log'!$A:$A,"&lt;"&amp;$J880+7)/SUMIFS('Weekly Log'!$E:$E,'Weekly Log'!$A:$A,"&gt;="&amp;$J880,'Weekly Log'!$A:$A,"&lt;"&amp;$J880+7),0))</f>
        <v/>
      </c>
      <c r="G880" t="str">
        <f>IF($J880="","",IFERROR(LOOKUP(2,1/(('Weekly Log'!$A$5:$A$5000&gt;=$J880)*('Weekly Log'!$A$5:$A$5000&lt;$J880+7)*('Weekly Log'!$M$5:$M$5000&lt;&gt;"")),'Weekly Log'!$M$5:$M$5000),0))</f>
        <v/>
      </c>
      <c r="J880" t="str">
        <f>IF(COUNT('Weekly Log'!$A$5:$A$5000)=0,"",IF(MIN('Weekly Log'!$A$5:$A$5000)+7*(ROW()-10)&gt;MAX('Weekly Log'!$A$5:$A$5000),"",MIN('Weekly Log'!$A$5:$A$5000)+7*(ROW()-10)))</f>
        <v/>
      </c>
    </row>
    <row r="881" spans="1:10" x14ac:dyDescent="0.25">
      <c r="A881" t="str">
        <f t="shared" si="13"/>
        <v/>
      </c>
      <c r="B881" t="str">
        <f>IF($J881="","",SUMIFS('Weekly Log'!$C:$C,'Weekly Log'!$A:$A,"&gt;="&amp;$J881,'Weekly Log'!$A:$A,"&lt;"&amp;$J881+7))</f>
        <v/>
      </c>
      <c r="C881" t="str">
        <f>IF($J881="","",IFERROR(COUNTIFS('Weekly Log'!$G:$G,"Y",'Weekly Log'!$A:$A,"&gt;="&amp;$J881,'Weekly Log'!$A:$A,"&lt;"&amp;$J881+7)/COUNTIFS('Weekly Log'!$G:$G,"&lt;&gt;",'Weekly Log'!$A:$A,"&gt;="&amp;$J881,'Weekly Log'!$A:$A,"&lt;"&amp;$J881+7),0))</f>
        <v/>
      </c>
      <c r="D881" t="str">
        <f>IF($J881="","",IFERROR(COUNTIFS('Weekly Log'!$H:$H,"Y",'Weekly Log'!$A:$A,"&gt;="&amp;$J881,'Weekly Log'!$A:$A,"&lt;"&amp;$J881+7)/COUNTIFS('Weekly Log'!$H:$H,"&lt;&gt;",'Weekly Log'!$A:$A,"&gt;="&amp;$J881,'Weekly Log'!$A:$A,"&lt;"&amp;$J881+7),0))</f>
        <v/>
      </c>
      <c r="E881" t="str">
        <f>IF($J881="","",IFERROR(AVERAGEIFS('Weekly Log'!$F:$F,'Weekly Log'!$A:$A,"&gt;="&amp;$J881,'Weekly Log'!$A:$A,"&lt;"&amp;$J881+7),0))</f>
        <v/>
      </c>
      <c r="F881" t="str">
        <f>IF($J881="","",IFERROR(SUMIFS('Weekly Log'!$F:$F,'Weekly Log'!$A:$A,"&gt;="&amp;$J881,'Weekly Log'!$A:$A,"&lt;"&amp;$J881+7)/SUMIFS('Weekly Log'!$E:$E,'Weekly Log'!$A:$A,"&gt;="&amp;$J881,'Weekly Log'!$A:$A,"&lt;"&amp;$J881+7),0))</f>
        <v/>
      </c>
      <c r="G881" t="str">
        <f>IF($J881="","",IFERROR(LOOKUP(2,1/(('Weekly Log'!$A$5:$A$5000&gt;=$J881)*('Weekly Log'!$A$5:$A$5000&lt;$J881+7)*('Weekly Log'!$M$5:$M$5000&lt;&gt;"")),'Weekly Log'!$M$5:$M$5000),0))</f>
        <v/>
      </c>
      <c r="J881" t="str">
        <f>IF(COUNT('Weekly Log'!$A$5:$A$5000)=0,"",IF(MIN('Weekly Log'!$A$5:$A$5000)+7*(ROW()-10)&gt;MAX('Weekly Log'!$A$5:$A$5000),"",MIN('Weekly Log'!$A$5:$A$5000)+7*(ROW()-10)))</f>
        <v/>
      </c>
    </row>
    <row r="882" spans="1:10" x14ac:dyDescent="0.25">
      <c r="A882" t="str">
        <f t="shared" si="13"/>
        <v/>
      </c>
      <c r="B882" t="str">
        <f>IF($J882="","",SUMIFS('Weekly Log'!$C:$C,'Weekly Log'!$A:$A,"&gt;="&amp;$J882,'Weekly Log'!$A:$A,"&lt;"&amp;$J882+7))</f>
        <v/>
      </c>
      <c r="C882" t="str">
        <f>IF($J882="","",IFERROR(COUNTIFS('Weekly Log'!$G:$G,"Y",'Weekly Log'!$A:$A,"&gt;="&amp;$J882,'Weekly Log'!$A:$A,"&lt;"&amp;$J882+7)/COUNTIFS('Weekly Log'!$G:$G,"&lt;&gt;",'Weekly Log'!$A:$A,"&gt;="&amp;$J882,'Weekly Log'!$A:$A,"&lt;"&amp;$J882+7),0))</f>
        <v/>
      </c>
      <c r="D882" t="str">
        <f>IF($J882="","",IFERROR(COUNTIFS('Weekly Log'!$H:$H,"Y",'Weekly Log'!$A:$A,"&gt;="&amp;$J882,'Weekly Log'!$A:$A,"&lt;"&amp;$J882+7)/COUNTIFS('Weekly Log'!$H:$H,"&lt;&gt;",'Weekly Log'!$A:$A,"&gt;="&amp;$J882,'Weekly Log'!$A:$A,"&lt;"&amp;$J882+7),0))</f>
        <v/>
      </c>
      <c r="E882" t="str">
        <f>IF($J882="","",IFERROR(AVERAGEIFS('Weekly Log'!$F:$F,'Weekly Log'!$A:$A,"&gt;="&amp;$J882,'Weekly Log'!$A:$A,"&lt;"&amp;$J882+7),0))</f>
        <v/>
      </c>
      <c r="F882" t="str">
        <f>IF($J882="","",IFERROR(SUMIFS('Weekly Log'!$F:$F,'Weekly Log'!$A:$A,"&gt;="&amp;$J882,'Weekly Log'!$A:$A,"&lt;"&amp;$J882+7)/SUMIFS('Weekly Log'!$E:$E,'Weekly Log'!$A:$A,"&gt;="&amp;$J882,'Weekly Log'!$A:$A,"&lt;"&amp;$J882+7),0))</f>
        <v/>
      </c>
      <c r="G882" t="str">
        <f>IF($J882="","",IFERROR(LOOKUP(2,1/(('Weekly Log'!$A$5:$A$5000&gt;=$J882)*('Weekly Log'!$A$5:$A$5000&lt;$J882+7)*('Weekly Log'!$M$5:$M$5000&lt;&gt;"")),'Weekly Log'!$M$5:$M$5000),0))</f>
        <v/>
      </c>
      <c r="J882" t="str">
        <f>IF(COUNT('Weekly Log'!$A$5:$A$5000)=0,"",IF(MIN('Weekly Log'!$A$5:$A$5000)+7*(ROW()-10)&gt;MAX('Weekly Log'!$A$5:$A$5000),"",MIN('Weekly Log'!$A$5:$A$5000)+7*(ROW()-10)))</f>
        <v/>
      </c>
    </row>
    <row r="883" spans="1:10" x14ac:dyDescent="0.25">
      <c r="A883" t="str">
        <f t="shared" si="13"/>
        <v/>
      </c>
      <c r="B883" t="str">
        <f>IF($J883="","",SUMIFS('Weekly Log'!$C:$C,'Weekly Log'!$A:$A,"&gt;="&amp;$J883,'Weekly Log'!$A:$A,"&lt;"&amp;$J883+7))</f>
        <v/>
      </c>
      <c r="C883" t="str">
        <f>IF($J883="","",IFERROR(COUNTIFS('Weekly Log'!$G:$G,"Y",'Weekly Log'!$A:$A,"&gt;="&amp;$J883,'Weekly Log'!$A:$A,"&lt;"&amp;$J883+7)/COUNTIFS('Weekly Log'!$G:$G,"&lt;&gt;",'Weekly Log'!$A:$A,"&gt;="&amp;$J883,'Weekly Log'!$A:$A,"&lt;"&amp;$J883+7),0))</f>
        <v/>
      </c>
      <c r="D883" t="str">
        <f>IF($J883="","",IFERROR(COUNTIFS('Weekly Log'!$H:$H,"Y",'Weekly Log'!$A:$A,"&gt;="&amp;$J883,'Weekly Log'!$A:$A,"&lt;"&amp;$J883+7)/COUNTIFS('Weekly Log'!$H:$H,"&lt;&gt;",'Weekly Log'!$A:$A,"&gt;="&amp;$J883,'Weekly Log'!$A:$A,"&lt;"&amp;$J883+7),0))</f>
        <v/>
      </c>
      <c r="E883" t="str">
        <f>IF($J883="","",IFERROR(AVERAGEIFS('Weekly Log'!$F:$F,'Weekly Log'!$A:$A,"&gt;="&amp;$J883,'Weekly Log'!$A:$A,"&lt;"&amp;$J883+7),0))</f>
        <v/>
      </c>
      <c r="F883" t="str">
        <f>IF($J883="","",IFERROR(SUMIFS('Weekly Log'!$F:$F,'Weekly Log'!$A:$A,"&gt;="&amp;$J883,'Weekly Log'!$A:$A,"&lt;"&amp;$J883+7)/SUMIFS('Weekly Log'!$E:$E,'Weekly Log'!$A:$A,"&gt;="&amp;$J883,'Weekly Log'!$A:$A,"&lt;"&amp;$J883+7),0))</f>
        <v/>
      </c>
      <c r="G883" t="str">
        <f>IF($J883="","",IFERROR(LOOKUP(2,1/(('Weekly Log'!$A$5:$A$5000&gt;=$J883)*('Weekly Log'!$A$5:$A$5000&lt;$J883+7)*('Weekly Log'!$M$5:$M$5000&lt;&gt;"")),'Weekly Log'!$M$5:$M$5000),0))</f>
        <v/>
      </c>
      <c r="J883" t="str">
        <f>IF(COUNT('Weekly Log'!$A$5:$A$5000)=0,"",IF(MIN('Weekly Log'!$A$5:$A$5000)+7*(ROW()-10)&gt;MAX('Weekly Log'!$A$5:$A$5000),"",MIN('Weekly Log'!$A$5:$A$5000)+7*(ROW()-10)))</f>
        <v/>
      </c>
    </row>
    <row r="884" spans="1:10" x14ac:dyDescent="0.25">
      <c r="A884" t="str">
        <f t="shared" si="13"/>
        <v/>
      </c>
      <c r="B884" t="str">
        <f>IF($J884="","",SUMIFS('Weekly Log'!$C:$C,'Weekly Log'!$A:$A,"&gt;="&amp;$J884,'Weekly Log'!$A:$A,"&lt;"&amp;$J884+7))</f>
        <v/>
      </c>
      <c r="C884" t="str">
        <f>IF($J884="","",IFERROR(COUNTIFS('Weekly Log'!$G:$G,"Y",'Weekly Log'!$A:$A,"&gt;="&amp;$J884,'Weekly Log'!$A:$A,"&lt;"&amp;$J884+7)/COUNTIFS('Weekly Log'!$G:$G,"&lt;&gt;",'Weekly Log'!$A:$A,"&gt;="&amp;$J884,'Weekly Log'!$A:$A,"&lt;"&amp;$J884+7),0))</f>
        <v/>
      </c>
      <c r="D884" t="str">
        <f>IF($J884="","",IFERROR(COUNTIFS('Weekly Log'!$H:$H,"Y",'Weekly Log'!$A:$A,"&gt;="&amp;$J884,'Weekly Log'!$A:$A,"&lt;"&amp;$J884+7)/COUNTIFS('Weekly Log'!$H:$H,"&lt;&gt;",'Weekly Log'!$A:$A,"&gt;="&amp;$J884,'Weekly Log'!$A:$A,"&lt;"&amp;$J884+7),0))</f>
        <v/>
      </c>
      <c r="E884" t="str">
        <f>IF($J884="","",IFERROR(AVERAGEIFS('Weekly Log'!$F:$F,'Weekly Log'!$A:$A,"&gt;="&amp;$J884,'Weekly Log'!$A:$A,"&lt;"&amp;$J884+7),0))</f>
        <v/>
      </c>
      <c r="F884" t="str">
        <f>IF($J884="","",IFERROR(SUMIFS('Weekly Log'!$F:$F,'Weekly Log'!$A:$A,"&gt;="&amp;$J884,'Weekly Log'!$A:$A,"&lt;"&amp;$J884+7)/SUMIFS('Weekly Log'!$E:$E,'Weekly Log'!$A:$A,"&gt;="&amp;$J884,'Weekly Log'!$A:$A,"&lt;"&amp;$J884+7),0))</f>
        <v/>
      </c>
      <c r="G884" t="str">
        <f>IF($J884="","",IFERROR(LOOKUP(2,1/(('Weekly Log'!$A$5:$A$5000&gt;=$J884)*('Weekly Log'!$A$5:$A$5000&lt;$J884+7)*('Weekly Log'!$M$5:$M$5000&lt;&gt;"")),'Weekly Log'!$M$5:$M$5000),0))</f>
        <v/>
      </c>
      <c r="J884" t="str">
        <f>IF(COUNT('Weekly Log'!$A$5:$A$5000)=0,"",IF(MIN('Weekly Log'!$A$5:$A$5000)+7*(ROW()-10)&gt;MAX('Weekly Log'!$A$5:$A$5000),"",MIN('Weekly Log'!$A$5:$A$5000)+7*(ROW()-10)))</f>
        <v/>
      </c>
    </row>
    <row r="885" spans="1:10" x14ac:dyDescent="0.25">
      <c r="A885" t="str">
        <f t="shared" si="13"/>
        <v/>
      </c>
      <c r="B885" t="str">
        <f>IF($J885="","",SUMIFS('Weekly Log'!$C:$C,'Weekly Log'!$A:$A,"&gt;="&amp;$J885,'Weekly Log'!$A:$A,"&lt;"&amp;$J885+7))</f>
        <v/>
      </c>
      <c r="C885" t="str">
        <f>IF($J885="","",IFERROR(COUNTIFS('Weekly Log'!$G:$G,"Y",'Weekly Log'!$A:$A,"&gt;="&amp;$J885,'Weekly Log'!$A:$A,"&lt;"&amp;$J885+7)/COUNTIFS('Weekly Log'!$G:$G,"&lt;&gt;",'Weekly Log'!$A:$A,"&gt;="&amp;$J885,'Weekly Log'!$A:$A,"&lt;"&amp;$J885+7),0))</f>
        <v/>
      </c>
      <c r="D885" t="str">
        <f>IF($J885="","",IFERROR(COUNTIFS('Weekly Log'!$H:$H,"Y",'Weekly Log'!$A:$A,"&gt;="&amp;$J885,'Weekly Log'!$A:$A,"&lt;"&amp;$J885+7)/COUNTIFS('Weekly Log'!$H:$H,"&lt;&gt;",'Weekly Log'!$A:$A,"&gt;="&amp;$J885,'Weekly Log'!$A:$A,"&lt;"&amp;$J885+7),0))</f>
        <v/>
      </c>
      <c r="E885" t="str">
        <f>IF($J885="","",IFERROR(AVERAGEIFS('Weekly Log'!$F:$F,'Weekly Log'!$A:$A,"&gt;="&amp;$J885,'Weekly Log'!$A:$A,"&lt;"&amp;$J885+7),0))</f>
        <v/>
      </c>
      <c r="F885" t="str">
        <f>IF($J885="","",IFERROR(SUMIFS('Weekly Log'!$F:$F,'Weekly Log'!$A:$A,"&gt;="&amp;$J885,'Weekly Log'!$A:$A,"&lt;"&amp;$J885+7)/SUMIFS('Weekly Log'!$E:$E,'Weekly Log'!$A:$A,"&gt;="&amp;$J885,'Weekly Log'!$A:$A,"&lt;"&amp;$J885+7),0))</f>
        <v/>
      </c>
      <c r="G885" t="str">
        <f>IF($J885="","",IFERROR(LOOKUP(2,1/(('Weekly Log'!$A$5:$A$5000&gt;=$J885)*('Weekly Log'!$A$5:$A$5000&lt;$J885+7)*('Weekly Log'!$M$5:$M$5000&lt;&gt;"")),'Weekly Log'!$M$5:$M$5000),0))</f>
        <v/>
      </c>
      <c r="J885" t="str">
        <f>IF(COUNT('Weekly Log'!$A$5:$A$5000)=0,"",IF(MIN('Weekly Log'!$A$5:$A$5000)+7*(ROW()-10)&gt;MAX('Weekly Log'!$A$5:$A$5000),"",MIN('Weekly Log'!$A$5:$A$5000)+7*(ROW()-10)))</f>
        <v/>
      </c>
    </row>
    <row r="886" spans="1:10" x14ac:dyDescent="0.25">
      <c r="A886" t="str">
        <f t="shared" si="13"/>
        <v/>
      </c>
      <c r="B886" t="str">
        <f>IF($J886="","",SUMIFS('Weekly Log'!$C:$C,'Weekly Log'!$A:$A,"&gt;="&amp;$J886,'Weekly Log'!$A:$A,"&lt;"&amp;$J886+7))</f>
        <v/>
      </c>
      <c r="C886" t="str">
        <f>IF($J886="","",IFERROR(COUNTIFS('Weekly Log'!$G:$G,"Y",'Weekly Log'!$A:$A,"&gt;="&amp;$J886,'Weekly Log'!$A:$A,"&lt;"&amp;$J886+7)/COUNTIFS('Weekly Log'!$G:$G,"&lt;&gt;",'Weekly Log'!$A:$A,"&gt;="&amp;$J886,'Weekly Log'!$A:$A,"&lt;"&amp;$J886+7),0))</f>
        <v/>
      </c>
      <c r="D886" t="str">
        <f>IF($J886="","",IFERROR(COUNTIFS('Weekly Log'!$H:$H,"Y",'Weekly Log'!$A:$A,"&gt;="&amp;$J886,'Weekly Log'!$A:$A,"&lt;"&amp;$J886+7)/COUNTIFS('Weekly Log'!$H:$H,"&lt;&gt;",'Weekly Log'!$A:$A,"&gt;="&amp;$J886,'Weekly Log'!$A:$A,"&lt;"&amp;$J886+7),0))</f>
        <v/>
      </c>
      <c r="E886" t="str">
        <f>IF($J886="","",IFERROR(AVERAGEIFS('Weekly Log'!$F:$F,'Weekly Log'!$A:$A,"&gt;="&amp;$J886,'Weekly Log'!$A:$A,"&lt;"&amp;$J886+7),0))</f>
        <v/>
      </c>
      <c r="F886" t="str">
        <f>IF($J886="","",IFERROR(SUMIFS('Weekly Log'!$F:$F,'Weekly Log'!$A:$A,"&gt;="&amp;$J886,'Weekly Log'!$A:$A,"&lt;"&amp;$J886+7)/SUMIFS('Weekly Log'!$E:$E,'Weekly Log'!$A:$A,"&gt;="&amp;$J886,'Weekly Log'!$A:$A,"&lt;"&amp;$J886+7),0))</f>
        <v/>
      </c>
      <c r="G886" t="str">
        <f>IF($J886="","",IFERROR(LOOKUP(2,1/(('Weekly Log'!$A$5:$A$5000&gt;=$J886)*('Weekly Log'!$A$5:$A$5000&lt;$J886+7)*('Weekly Log'!$M$5:$M$5000&lt;&gt;"")),'Weekly Log'!$M$5:$M$5000),0))</f>
        <v/>
      </c>
      <c r="J886" t="str">
        <f>IF(COUNT('Weekly Log'!$A$5:$A$5000)=0,"",IF(MIN('Weekly Log'!$A$5:$A$5000)+7*(ROW()-10)&gt;MAX('Weekly Log'!$A$5:$A$5000),"",MIN('Weekly Log'!$A$5:$A$5000)+7*(ROW()-10)))</f>
        <v/>
      </c>
    </row>
    <row r="887" spans="1:10" x14ac:dyDescent="0.25">
      <c r="A887" t="str">
        <f t="shared" si="13"/>
        <v/>
      </c>
      <c r="B887" t="str">
        <f>IF($J887="","",SUMIFS('Weekly Log'!$C:$C,'Weekly Log'!$A:$A,"&gt;="&amp;$J887,'Weekly Log'!$A:$A,"&lt;"&amp;$J887+7))</f>
        <v/>
      </c>
      <c r="C887" t="str">
        <f>IF($J887="","",IFERROR(COUNTIFS('Weekly Log'!$G:$G,"Y",'Weekly Log'!$A:$A,"&gt;="&amp;$J887,'Weekly Log'!$A:$A,"&lt;"&amp;$J887+7)/COUNTIFS('Weekly Log'!$G:$G,"&lt;&gt;",'Weekly Log'!$A:$A,"&gt;="&amp;$J887,'Weekly Log'!$A:$A,"&lt;"&amp;$J887+7),0))</f>
        <v/>
      </c>
      <c r="D887" t="str">
        <f>IF($J887="","",IFERROR(COUNTIFS('Weekly Log'!$H:$H,"Y",'Weekly Log'!$A:$A,"&gt;="&amp;$J887,'Weekly Log'!$A:$A,"&lt;"&amp;$J887+7)/COUNTIFS('Weekly Log'!$H:$H,"&lt;&gt;",'Weekly Log'!$A:$A,"&gt;="&amp;$J887,'Weekly Log'!$A:$A,"&lt;"&amp;$J887+7),0))</f>
        <v/>
      </c>
      <c r="E887" t="str">
        <f>IF($J887="","",IFERROR(AVERAGEIFS('Weekly Log'!$F:$F,'Weekly Log'!$A:$A,"&gt;="&amp;$J887,'Weekly Log'!$A:$A,"&lt;"&amp;$J887+7),0))</f>
        <v/>
      </c>
      <c r="F887" t="str">
        <f>IF($J887="","",IFERROR(SUMIFS('Weekly Log'!$F:$F,'Weekly Log'!$A:$A,"&gt;="&amp;$J887,'Weekly Log'!$A:$A,"&lt;"&amp;$J887+7)/SUMIFS('Weekly Log'!$E:$E,'Weekly Log'!$A:$A,"&gt;="&amp;$J887,'Weekly Log'!$A:$A,"&lt;"&amp;$J887+7),0))</f>
        <v/>
      </c>
      <c r="G887" t="str">
        <f>IF($J887="","",IFERROR(LOOKUP(2,1/(('Weekly Log'!$A$5:$A$5000&gt;=$J887)*('Weekly Log'!$A$5:$A$5000&lt;$J887+7)*('Weekly Log'!$M$5:$M$5000&lt;&gt;"")),'Weekly Log'!$M$5:$M$5000),0))</f>
        <v/>
      </c>
      <c r="J887" t="str">
        <f>IF(COUNT('Weekly Log'!$A$5:$A$5000)=0,"",IF(MIN('Weekly Log'!$A$5:$A$5000)+7*(ROW()-10)&gt;MAX('Weekly Log'!$A$5:$A$5000),"",MIN('Weekly Log'!$A$5:$A$5000)+7*(ROW()-10)))</f>
        <v/>
      </c>
    </row>
    <row r="888" spans="1:10" x14ac:dyDescent="0.25">
      <c r="A888" t="str">
        <f t="shared" si="13"/>
        <v/>
      </c>
      <c r="B888" t="str">
        <f>IF($J888="","",SUMIFS('Weekly Log'!$C:$C,'Weekly Log'!$A:$A,"&gt;="&amp;$J888,'Weekly Log'!$A:$A,"&lt;"&amp;$J888+7))</f>
        <v/>
      </c>
      <c r="C888" t="str">
        <f>IF($J888="","",IFERROR(COUNTIFS('Weekly Log'!$G:$G,"Y",'Weekly Log'!$A:$A,"&gt;="&amp;$J888,'Weekly Log'!$A:$A,"&lt;"&amp;$J888+7)/COUNTIFS('Weekly Log'!$G:$G,"&lt;&gt;",'Weekly Log'!$A:$A,"&gt;="&amp;$J888,'Weekly Log'!$A:$A,"&lt;"&amp;$J888+7),0))</f>
        <v/>
      </c>
      <c r="D888" t="str">
        <f>IF($J888="","",IFERROR(COUNTIFS('Weekly Log'!$H:$H,"Y",'Weekly Log'!$A:$A,"&gt;="&amp;$J888,'Weekly Log'!$A:$A,"&lt;"&amp;$J888+7)/COUNTIFS('Weekly Log'!$H:$H,"&lt;&gt;",'Weekly Log'!$A:$A,"&gt;="&amp;$J888,'Weekly Log'!$A:$A,"&lt;"&amp;$J888+7),0))</f>
        <v/>
      </c>
      <c r="E888" t="str">
        <f>IF($J888="","",IFERROR(AVERAGEIFS('Weekly Log'!$F:$F,'Weekly Log'!$A:$A,"&gt;="&amp;$J888,'Weekly Log'!$A:$A,"&lt;"&amp;$J888+7),0))</f>
        <v/>
      </c>
      <c r="F888" t="str">
        <f>IF($J888="","",IFERROR(SUMIFS('Weekly Log'!$F:$F,'Weekly Log'!$A:$A,"&gt;="&amp;$J888,'Weekly Log'!$A:$A,"&lt;"&amp;$J888+7)/SUMIFS('Weekly Log'!$E:$E,'Weekly Log'!$A:$A,"&gt;="&amp;$J888,'Weekly Log'!$A:$A,"&lt;"&amp;$J888+7),0))</f>
        <v/>
      </c>
      <c r="G888" t="str">
        <f>IF($J888="","",IFERROR(LOOKUP(2,1/(('Weekly Log'!$A$5:$A$5000&gt;=$J888)*('Weekly Log'!$A$5:$A$5000&lt;$J888+7)*('Weekly Log'!$M$5:$M$5000&lt;&gt;"")),'Weekly Log'!$M$5:$M$5000),0))</f>
        <v/>
      </c>
      <c r="J888" t="str">
        <f>IF(COUNT('Weekly Log'!$A$5:$A$5000)=0,"",IF(MIN('Weekly Log'!$A$5:$A$5000)+7*(ROW()-10)&gt;MAX('Weekly Log'!$A$5:$A$5000),"",MIN('Weekly Log'!$A$5:$A$5000)+7*(ROW()-10)))</f>
        <v/>
      </c>
    </row>
    <row r="889" spans="1:10" x14ac:dyDescent="0.25">
      <c r="A889" t="str">
        <f t="shared" si="13"/>
        <v/>
      </c>
      <c r="B889" t="str">
        <f>IF($J889="","",SUMIFS('Weekly Log'!$C:$C,'Weekly Log'!$A:$A,"&gt;="&amp;$J889,'Weekly Log'!$A:$A,"&lt;"&amp;$J889+7))</f>
        <v/>
      </c>
      <c r="C889" t="str">
        <f>IF($J889="","",IFERROR(COUNTIFS('Weekly Log'!$G:$G,"Y",'Weekly Log'!$A:$A,"&gt;="&amp;$J889,'Weekly Log'!$A:$A,"&lt;"&amp;$J889+7)/COUNTIFS('Weekly Log'!$G:$G,"&lt;&gt;",'Weekly Log'!$A:$A,"&gt;="&amp;$J889,'Weekly Log'!$A:$A,"&lt;"&amp;$J889+7),0))</f>
        <v/>
      </c>
      <c r="D889" t="str">
        <f>IF($J889="","",IFERROR(COUNTIFS('Weekly Log'!$H:$H,"Y",'Weekly Log'!$A:$A,"&gt;="&amp;$J889,'Weekly Log'!$A:$A,"&lt;"&amp;$J889+7)/COUNTIFS('Weekly Log'!$H:$H,"&lt;&gt;",'Weekly Log'!$A:$A,"&gt;="&amp;$J889,'Weekly Log'!$A:$A,"&lt;"&amp;$J889+7),0))</f>
        <v/>
      </c>
      <c r="E889" t="str">
        <f>IF($J889="","",IFERROR(AVERAGEIFS('Weekly Log'!$F:$F,'Weekly Log'!$A:$A,"&gt;="&amp;$J889,'Weekly Log'!$A:$A,"&lt;"&amp;$J889+7),0))</f>
        <v/>
      </c>
      <c r="F889" t="str">
        <f>IF($J889="","",IFERROR(SUMIFS('Weekly Log'!$F:$F,'Weekly Log'!$A:$A,"&gt;="&amp;$J889,'Weekly Log'!$A:$A,"&lt;"&amp;$J889+7)/SUMIFS('Weekly Log'!$E:$E,'Weekly Log'!$A:$A,"&gt;="&amp;$J889,'Weekly Log'!$A:$A,"&lt;"&amp;$J889+7),0))</f>
        <v/>
      </c>
      <c r="G889" t="str">
        <f>IF($J889="","",IFERROR(LOOKUP(2,1/(('Weekly Log'!$A$5:$A$5000&gt;=$J889)*('Weekly Log'!$A$5:$A$5000&lt;$J889+7)*('Weekly Log'!$M$5:$M$5000&lt;&gt;"")),'Weekly Log'!$M$5:$M$5000),0))</f>
        <v/>
      </c>
      <c r="J889" t="str">
        <f>IF(COUNT('Weekly Log'!$A$5:$A$5000)=0,"",IF(MIN('Weekly Log'!$A$5:$A$5000)+7*(ROW()-10)&gt;MAX('Weekly Log'!$A$5:$A$5000),"",MIN('Weekly Log'!$A$5:$A$5000)+7*(ROW()-10)))</f>
        <v/>
      </c>
    </row>
    <row r="890" spans="1:10" x14ac:dyDescent="0.25">
      <c r="A890" t="str">
        <f t="shared" si="13"/>
        <v/>
      </c>
      <c r="B890" t="str">
        <f>IF($J890="","",SUMIFS('Weekly Log'!$C:$C,'Weekly Log'!$A:$A,"&gt;="&amp;$J890,'Weekly Log'!$A:$A,"&lt;"&amp;$J890+7))</f>
        <v/>
      </c>
      <c r="C890" t="str">
        <f>IF($J890="","",IFERROR(COUNTIFS('Weekly Log'!$G:$G,"Y",'Weekly Log'!$A:$A,"&gt;="&amp;$J890,'Weekly Log'!$A:$A,"&lt;"&amp;$J890+7)/COUNTIFS('Weekly Log'!$G:$G,"&lt;&gt;",'Weekly Log'!$A:$A,"&gt;="&amp;$J890,'Weekly Log'!$A:$A,"&lt;"&amp;$J890+7),0))</f>
        <v/>
      </c>
      <c r="D890" t="str">
        <f>IF($J890="","",IFERROR(COUNTIFS('Weekly Log'!$H:$H,"Y",'Weekly Log'!$A:$A,"&gt;="&amp;$J890,'Weekly Log'!$A:$A,"&lt;"&amp;$J890+7)/COUNTIFS('Weekly Log'!$H:$H,"&lt;&gt;",'Weekly Log'!$A:$A,"&gt;="&amp;$J890,'Weekly Log'!$A:$A,"&lt;"&amp;$J890+7),0))</f>
        <v/>
      </c>
      <c r="E890" t="str">
        <f>IF($J890="","",IFERROR(AVERAGEIFS('Weekly Log'!$F:$F,'Weekly Log'!$A:$A,"&gt;="&amp;$J890,'Weekly Log'!$A:$A,"&lt;"&amp;$J890+7),0))</f>
        <v/>
      </c>
      <c r="F890" t="str">
        <f>IF($J890="","",IFERROR(SUMIFS('Weekly Log'!$F:$F,'Weekly Log'!$A:$A,"&gt;="&amp;$J890,'Weekly Log'!$A:$A,"&lt;"&amp;$J890+7)/SUMIFS('Weekly Log'!$E:$E,'Weekly Log'!$A:$A,"&gt;="&amp;$J890,'Weekly Log'!$A:$A,"&lt;"&amp;$J890+7),0))</f>
        <v/>
      </c>
      <c r="G890" t="str">
        <f>IF($J890="","",IFERROR(LOOKUP(2,1/(('Weekly Log'!$A$5:$A$5000&gt;=$J890)*('Weekly Log'!$A$5:$A$5000&lt;$J890+7)*('Weekly Log'!$M$5:$M$5000&lt;&gt;"")),'Weekly Log'!$M$5:$M$5000),0))</f>
        <v/>
      </c>
      <c r="J890" t="str">
        <f>IF(COUNT('Weekly Log'!$A$5:$A$5000)=0,"",IF(MIN('Weekly Log'!$A$5:$A$5000)+7*(ROW()-10)&gt;MAX('Weekly Log'!$A$5:$A$5000),"",MIN('Weekly Log'!$A$5:$A$5000)+7*(ROW()-10)))</f>
        <v/>
      </c>
    </row>
    <row r="891" spans="1:10" x14ac:dyDescent="0.25">
      <c r="A891" t="str">
        <f t="shared" si="13"/>
        <v/>
      </c>
      <c r="B891" t="str">
        <f>IF($J891="","",SUMIFS('Weekly Log'!$C:$C,'Weekly Log'!$A:$A,"&gt;="&amp;$J891,'Weekly Log'!$A:$A,"&lt;"&amp;$J891+7))</f>
        <v/>
      </c>
      <c r="C891" t="str">
        <f>IF($J891="","",IFERROR(COUNTIFS('Weekly Log'!$G:$G,"Y",'Weekly Log'!$A:$A,"&gt;="&amp;$J891,'Weekly Log'!$A:$A,"&lt;"&amp;$J891+7)/COUNTIFS('Weekly Log'!$G:$G,"&lt;&gt;",'Weekly Log'!$A:$A,"&gt;="&amp;$J891,'Weekly Log'!$A:$A,"&lt;"&amp;$J891+7),0))</f>
        <v/>
      </c>
      <c r="D891" t="str">
        <f>IF($J891="","",IFERROR(COUNTIFS('Weekly Log'!$H:$H,"Y",'Weekly Log'!$A:$A,"&gt;="&amp;$J891,'Weekly Log'!$A:$A,"&lt;"&amp;$J891+7)/COUNTIFS('Weekly Log'!$H:$H,"&lt;&gt;",'Weekly Log'!$A:$A,"&gt;="&amp;$J891,'Weekly Log'!$A:$A,"&lt;"&amp;$J891+7),0))</f>
        <v/>
      </c>
      <c r="E891" t="str">
        <f>IF($J891="","",IFERROR(AVERAGEIFS('Weekly Log'!$F:$F,'Weekly Log'!$A:$A,"&gt;="&amp;$J891,'Weekly Log'!$A:$A,"&lt;"&amp;$J891+7),0))</f>
        <v/>
      </c>
      <c r="F891" t="str">
        <f>IF($J891="","",IFERROR(SUMIFS('Weekly Log'!$F:$F,'Weekly Log'!$A:$A,"&gt;="&amp;$J891,'Weekly Log'!$A:$A,"&lt;"&amp;$J891+7)/SUMIFS('Weekly Log'!$E:$E,'Weekly Log'!$A:$A,"&gt;="&amp;$J891,'Weekly Log'!$A:$A,"&lt;"&amp;$J891+7),0))</f>
        <v/>
      </c>
      <c r="G891" t="str">
        <f>IF($J891="","",IFERROR(LOOKUP(2,1/(('Weekly Log'!$A$5:$A$5000&gt;=$J891)*('Weekly Log'!$A$5:$A$5000&lt;$J891+7)*('Weekly Log'!$M$5:$M$5000&lt;&gt;"")),'Weekly Log'!$M$5:$M$5000),0))</f>
        <v/>
      </c>
      <c r="J891" t="str">
        <f>IF(COUNT('Weekly Log'!$A$5:$A$5000)=0,"",IF(MIN('Weekly Log'!$A$5:$A$5000)+7*(ROW()-10)&gt;MAX('Weekly Log'!$A$5:$A$5000),"",MIN('Weekly Log'!$A$5:$A$5000)+7*(ROW()-10)))</f>
        <v/>
      </c>
    </row>
    <row r="892" spans="1:10" x14ac:dyDescent="0.25">
      <c r="A892" t="str">
        <f t="shared" si="13"/>
        <v/>
      </c>
      <c r="B892" t="str">
        <f>IF($J892="","",SUMIFS('Weekly Log'!$C:$C,'Weekly Log'!$A:$A,"&gt;="&amp;$J892,'Weekly Log'!$A:$A,"&lt;"&amp;$J892+7))</f>
        <v/>
      </c>
      <c r="C892" t="str">
        <f>IF($J892="","",IFERROR(COUNTIFS('Weekly Log'!$G:$G,"Y",'Weekly Log'!$A:$A,"&gt;="&amp;$J892,'Weekly Log'!$A:$A,"&lt;"&amp;$J892+7)/COUNTIFS('Weekly Log'!$G:$G,"&lt;&gt;",'Weekly Log'!$A:$A,"&gt;="&amp;$J892,'Weekly Log'!$A:$A,"&lt;"&amp;$J892+7),0))</f>
        <v/>
      </c>
      <c r="D892" t="str">
        <f>IF($J892="","",IFERROR(COUNTIFS('Weekly Log'!$H:$H,"Y",'Weekly Log'!$A:$A,"&gt;="&amp;$J892,'Weekly Log'!$A:$A,"&lt;"&amp;$J892+7)/COUNTIFS('Weekly Log'!$H:$H,"&lt;&gt;",'Weekly Log'!$A:$A,"&gt;="&amp;$J892,'Weekly Log'!$A:$A,"&lt;"&amp;$J892+7),0))</f>
        <v/>
      </c>
      <c r="E892" t="str">
        <f>IF($J892="","",IFERROR(AVERAGEIFS('Weekly Log'!$F:$F,'Weekly Log'!$A:$A,"&gt;="&amp;$J892,'Weekly Log'!$A:$A,"&lt;"&amp;$J892+7),0))</f>
        <v/>
      </c>
      <c r="F892" t="str">
        <f>IF($J892="","",IFERROR(SUMIFS('Weekly Log'!$F:$F,'Weekly Log'!$A:$A,"&gt;="&amp;$J892,'Weekly Log'!$A:$A,"&lt;"&amp;$J892+7)/SUMIFS('Weekly Log'!$E:$E,'Weekly Log'!$A:$A,"&gt;="&amp;$J892,'Weekly Log'!$A:$A,"&lt;"&amp;$J892+7),0))</f>
        <v/>
      </c>
      <c r="G892" t="str">
        <f>IF($J892="","",IFERROR(LOOKUP(2,1/(('Weekly Log'!$A$5:$A$5000&gt;=$J892)*('Weekly Log'!$A$5:$A$5000&lt;$J892+7)*('Weekly Log'!$M$5:$M$5000&lt;&gt;"")),'Weekly Log'!$M$5:$M$5000),0))</f>
        <v/>
      </c>
      <c r="J892" t="str">
        <f>IF(COUNT('Weekly Log'!$A$5:$A$5000)=0,"",IF(MIN('Weekly Log'!$A$5:$A$5000)+7*(ROW()-10)&gt;MAX('Weekly Log'!$A$5:$A$5000),"",MIN('Weekly Log'!$A$5:$A$5000)+7*(ROW()-10)))</f>
        <v/>
      </c>
    </row>
    <row r="893" spans="1:10" x14ac:dyDescent="0.25">
      <c r="A893" t="str">
        <f t="shared" si="13"/>
        <v/>
      </c>
      <c r="B893" t="str">
        <f>IF($J893="","",SUMIFS('Weekly Log'!$C:$C,'Weekly Log'!$A:$A,"&gt;="&amp;$J893,'Weekly Log'!$A:$A,"&lt;"&amp;$J893+7))</f>
        <v/>
      </c>
      <c r="C893" t="str">
        <f>IF($J893="","",IFERROR(COUNTIFS('Weekly Log'!$G:$G,"Y",'Weekly Log'!$A:$A,"&gt;="&amp;$J893,'Weekly Log'!$A:$A,"&lt;"&amp;$J893+7)/COUNTIFS('Weekly Log'!$G:$G,"&lt;&gt;",'Weekly Log'!$A:$A,"&gt;="&amp;$J893,'Weekly Log'!$A:$A,"&lt;"&amp;$J893+7),0))</f>
        <v/>
      </c>
      <c r="D893" t="str">
        <f>IF($J893="","",IFERROR(COUNTIFS('Weekly Log'!$H:$H,"Y",'Weekly Log'!$A:$A,"&gt;="&amp;$J893,'Weekly Log'!$A:$A,"&lt;"&amp;$J893+7)/COUNTIFS('Weekly Log'!$H:$H,"&lt;&gt;",'Weekly Log'!$A:$A,"&gt;="&amp;$J893,'Weekly Log'!$A:$A,"&lt;"&amp;$J893+7),0))</f>
        <v/>
      </c>
      <c r="E893" t="str">
        <f>IF($J893="","",IFERROR(AVERAGEIFS('Weekly Log'!$F:$F,'Weekly Log'!$A:$A,"&gt;="&amp;$J893,'Weekly Log'!$A:$A,"&lt;"&amp;$J893+7),0))</f>
        <v/>
      </c>
      <c r="F893" t="str">
        <f>IF($J893="","",IFERROR(SUMIFS('Weekly Log'!$F:$F,'Weekly Log'!$A:$A,"&gt;="&amp;$J893,'Weekly Log'!$A:$A,"&lt;"&amp;$J893+7)/SUMIFS('Weekly Log'!$E:$E,'Weekly Log'!$A:$A,"&gt;="&amp;$J893,'Weekly Log'!$A:$A,"&lt;"&amp;$J893+7),0))</f>
        <v/>
      </c>
      <c r="G893" t="str">
        <f>IF($J893="","",IFERROR(LOOKUP(2,1/(('Weekly Log'!$A$5:$A$5000&gt;=$J893)*('Weekly Log'!$A$5:$A$5000&lt;$J893+7)*('Weekly Log'!$M$5:$M$5000&lt;&gt;"")),'Weekly Log'!$M$5:$M$5000),0))</f>
        <v/>
      </c>
      <c r="J893" t="str">
        <f>IF(COUNT('Weekly Log'!$A$5:$A$5000)=0,"",IF(MIN('Weekly Log'!$A$5:$A$5000)+7*(ROW()-10)&gt;MAX('Weekly Log'!$A$5:$A$5000),"",MIN('Weekly Log'!$A$5:$A$5000)+7*(ROW()-10)))</f>
        <v/>
      </c>
    </row>
    <row r="894" spans="1:10" x14ac:dyDescent="0.25">
      <c r="A894" t="str">
        <f t="shared" si="13"/>
        <v/>
      </c>
      <c r="B894" t="str">
        <f>IF($J894="","",SUMIFS('Weekly Log'!$C:$C,'Weekly Log'!$A:$A,"&gt;="&amp;$J894,'Weekly Log'!$A:$A,"&lt;"&amp;$J894+7))</f>
        <v/>
      </c>
      <c r="C894" t="str">
        <f>IF($J894="","",IFERROR(COUNTIFS('Weekly Log'!$G:$G,"Y",'Weekly Log'!$A:$A,"&gt;="&amp;$J894,'Weekly Log'!$A:$A,"&lt;"&amp;$J894+7)/COUNTIFS('Weekly Log'!$G:$G,"&lt;&gt;",'Weekly Log'!$A:$A,"&gt;="&amp;$J894,'Weekly Log'!$A:$A,"&lt;"&amp;$J894+7),0))</f>
        <v/>
      </c>
      <c r="D894" t="str">
        <f>IF($J894="","",IFERROR(COUNTIFS('Weekly Log'!$H:$H,"Y",'Weekly Log'!$A:$A,"&gt;="&amp;$J894,'Weekly Log'!$A:$A,"&lt;"&amp;$J894+7)/COUNTIFS('Weekly Log'!$H:$H,"&lt;&gt;",'Weekly Log'!$A:$A,"&gt;="&amp;$J894,'Weekly Log'!$A:$A,"&lt;"&amp;$J894+7),0))</f>
        <v/>
      </c>
      <c r="E894" t="str">
        <f>IF($J894="","",IFERROR(AVERAGEIFS('Weekly Log'!$F:$F,'Weekly Log'!$A:$A,"&gt;="&amp;$J894,'Weekly Log'!$A:$A,"&lt;"&amp;$J894+7),0))</f>
        <v/>
      </c>
      <c r="F894" t="str">
        <f>IF($J894="","",IFERROR(SUMIFS('Weekly Log'!$F:$F,'Weekly Log'!$A:$A,"&gt;="&amp;$J894,'Weekly Log'!$A:$A,"&lt;"&amp;$J894+7)/SUMIFS('Weekly Log'!$E:$E,'Weekly Log'!$A:$A,"&gt;="&amp;$J894,'Weekly Log'!$A:$A,"&lt;"&amp;$J894+7),0))</f>
        <v/>
      </c>
      <c r="G894" t="str">
        <f>IF($J894="","",IFERROR(LOOKUP(2,1/(('Weekly Log'!$A$5:$A$5000&gt;=$J894)*('Weekly Log'!$A$5:$A$5000&lt;$J894+7)*('Weekly Log'!$M$5:$M$5000&lt;&gt;"")),'Weekly Log'!$M$5:$M$5000),0))</f>
        <v/>
      </c>
      <c r="J894" t="str">
        <f>IF(COUNT('Weekly Log'!$A$5:$A$5000)=0,"",IF(MIN('Weekly Log'!$A$5:$A$5000)+7*(ROW()-10)&gt;MAX('Weekly Log'!$A$5:$A$5000),"",MIN('Weekly Log'!$A$5:$A$5000)+7*(ROW()-10)))</f>
        <v/>
      </c>
    </row>
    <row r="895" spans="1:10" x14ac:dyDescent="0.25">
      <c r="A895" t="str">
        <f t="shared" si="13"/>
        <v/>
      </c>
      <c r="B895" t="str">
        <f>IF($J895="","",SUMIFS('Weekly Log'!$C:$C,'Weekly Log'!$A:$A,"&gt;="&amp;$J895,'Weekly Log'!$A:$A,"&lt;"&amp;$J895+7))</f>
        <v/>
      </c>
      <c r="C895" t="str">
        <f>IF($J895="","",IFERROR(COUNTIFS('Weekly Log'!$G:$G,"Y",'Weekly Log'!$A:$A,"&gt;="&amp;$J895,'Weekly Log'!$A:$A,"&lt;"&amp;$J895+7)/COUNTIFS('Weekly Log'!$G:$G,"&lt;&gt;",'Weekly Log'!$A:$A,"&gt;="&amp;$J895,'Weekly Log'!$A:$A,"&lt;"&amp;$J895+7),0))</f>
        <v/>
      </c>
      <c r="D895" t="str">
        <f>IF($J895="","",IFERROR(COUNTIFS('Weekly Log'!$H:$H,"Y",'Weekly Log'!$A:$A,"&gt;="&amp;$J895,'Weekly Log'!$A:$A,"&lt;"&amp;$J895+7)/COUNTIFS('Weekly Log'!$H:$H,"&lt;&gt;",'Weekly Log'!$A:$A,"&gt;="&amp;$J895,'Weekly Log'!$A:$A,"&lt;"&amp;$J895+7),0))</f>
        <v/>
      </c>
      <c r="E895" t="str">
        <f>IF($J895="","",IFERROR(AVERAGEIFS('Weekly Log'!$F:$F,'Weekly Log'!$A:$A,"&gt;="&amp;$J895,'Weekly Log'!$A:$A,"&lt;"&amp;$J895+7),0))</f>
        <v/>
      </c>
      <c r="F895" t="str">
        <f>IF($J895="","",IFERROR(SUMIFS('Weekly Log'!$F:$F,'Weekly Log'!$A:$A,"&gt;="&amp;$J895,'Weekly Log'!$A:$A,"&lt;"&amp;$J895+7)/SUMIFS('Weekly Log'!$E:$E,'Weekly Log'!$A:$A,"&gt;="&amp;$J895,'Weekly Log'!$A:$A,"&lt;"&amp;$J895+7),0))</f>
        <v/>
      </c>
      <c r="G895" t="str">
        <f>IF($J895="","",IFERROR(LOOKUP(2,1/(('Weekly Log'!$A$5:$A$5000&gt;=$J895)*('Weekly Log'!$A$5:$A$5000&lt;$J895+7)*('Weekly Log'!$M$5:$M$5000&lt;&gt;"")),'Weekly Log'!$M$5:$M$5000),0))</f>
        <v/>
      </c>
      <c r="J895" t="str">
        <f>IF(COUNT('Weekly Log'!$A$5:$A$5000)=0,"",IF(MIN('Weekly Log'!$A$5:$A$5000)+7*(ROW()-10)&gt;MAX('Weekly Log'!$A$5:$A$5000),"",MIN('Weekly Log'!$A$5:$A$5000)+7*(ROW()-10)))</f>
        <v/>
      </c>
    </row>
    <row r="896" spans="1:10" x14ac:dyDescent="0.25">
      <c r="A896" t="str">
        <f t="shared" si="13"/>
        <v/>
      </c>
      <c r="B896" t="str">
        <f>IF($J896="","",SUMIFS('Weekly Log'!$C:$C,'Weekly Log'!$A:$A,"&gt;="&amp;$J896,'Weekly Log'!$A:$A,"&lt;"&amp;$J896+7))</f>
        <v/>
      </c>
      <c r="C896" t="str">
        <f>IF($J896="","",IFERROR(COUNTIFS('Weekly Log'!$G:$G,"Y",'Weekly Log'!$A:$A,"&gt;="&amp;$J896,'Weekly Log'!$A:$A,"&lt;"&amp;$J896+7)/COUNTIFS('Weekly Log'!$G:$G,"&lt;&gt;",'Weekly Log'!$A:$A,"&gt;="&amp;$J896,'Weekly Log'!$A:$A,"&lt;"&amp;$J896+7),0))</f>
        <v/>
      </c>
      <c r="D896" t="str">
        <f>IF($J896="","",IFERROR(COUNTIFS('Weekly Log'!$H:$H,"Y",'Weekly Log'!$A:$A,"&gt;="&amp;$J896,'Weekly Log'!$A:$A,"&lt;"&amp;$J896+7)/COUNTIFS('Weekly Log'!$H:$H,"&lt;&gt;",'Weekly Log'!$A:$A,"&gt;="&amp;$J896,'Weekly Log'!$A:$A,"&lt;"&amp;$J896+7),0))</f>
        <v/>
      </c>
      <c r="E896" t="str">
        <f>IF($J896="","",IFERROR(AVERAGEIFS('Weekly Log'!$F:$F,'Weekly Log'!$A:$A,"&gt;="&amp;$J896,'Weekly Log'!$A:$A,"&lt;"&amp;$J896+7),0))</f>
        <v/>
      </c>
      <c r="F896" t="str">
        <f>IF($J896="","",IFERROR(SUMIFS('Weekly Log'!$F:$F,'Weekly Log'!$A:$A,"&gt;="&amp;$J896,'Weekly Log'!$A:$A,"&lt;"&amp;$J896+7)/SUMIFS('Weekly Log'!$E:$E,'Weekly Log'!$A:$A,"&gt;="&amp;$J896,'Weekly Log'!$A:$A,"&lt;"&amp;$J896+7),0))</f>
        <v/>
      </c>
      <c r="G896" t="str">
        <f>IF($J896="","",IFERROR(LOOKUP(2,1/(('Weekly Log'!$A$5:$A$5000&gt;=$J896)*('Weekly Log'!$A$5:$A$5000&lt;$J896+7)*('Weekly Log'!$M$5:$M$5000&lt;&gt;"")),'Weekly Log'!$M$5:$M$5000),0))</f>
        <v/>
      </c>
      <c r="J896" t="str">
        <f>IF(COUNT('Weekly Log'!$A$5:$A$5000)=0,"",IF(MIN('Weekly Log'!$A$5:$A$5000)+7*(ROW()-10)&gt;MAX('Weekly Log'!$A$5:$A$5000),"",MIN('Weekly Log'!$A$5:$A$5000)+7*(ROW()-10)))</f>
        <v/>
      </c>
    </row>
    <row r="897" spans="1:10" x14ac:dyDescent="0.25">
      <c r="A897" t="str">
        <f t="shared" si="13"/>
        <v/>
      </c>
      <c r="B897" t="str">
        <f>IF($J897="","",SUMIFS('Weekly Log'!$C:$C,'Weekly Log'!$A:$A,"&gt;="&amp;$J897,'Weekly Log'!$A:$A,"&lt;"&amp;$J897+7))</f>
        <v/>
      </c>
      <c r="C897" t="str">
        <f>IF($J897="","",IFERROR(COUNTIFS('Weekly Log'!$G:$G,"Y",'Weekly Log'!$A:$A,"&gt;="&amp;$J897,'Weekly Log'!$A:$A,"&lt;"&amp;$J897+7)/COUNTIFS('Weekly Log'!$G:$G,"&lt;&gt;",'Weekly Log'!$A:$A,"&gt;="&amp;$J897,'Weekly Log'!$A:$A,"&lt;"&amp;$J897+7),0))</f>
        <v/>
      </c>
      <c r="D897" t="str">
        <f>IF($J897="","",IFERROR(COUNTIFS('Weekly Log'!$H:$H,"Y",'Weekly Log'!$A:$A,"&gt;="&amp;$J897,'Weekly Log'!$A:$A,"&lt;"&amp;$J897+7)/COUNTIFS('Weekly Log'!$H:$H,"&lt;&gt;",'Weekly Log'!$A:$A,"&gt;="&amp;$J897,'Weekly Log'!$A:$A,"&lt;"&amp;$J897+7),0))</f>
        <v/>
      </c>
      <c r="E897" t="str">
        <f>IF($J897="","",IFERROR(AVERAGEIFS('Weekly Log'!$F:$F,'Weekly Log'!$A:$A,"&gt;="&amp;$J897,'Weekly Log'!$A:$A,"&lt;"&amp;$J897+7),0))</f>
        <v/>
      </c>
      <c r="F897" t="str">
        <f>IF($J897="","",IFERROR(SUMIFS('Weekly Log'!$F:$F,'Weekly Log'!$A:$A,"&gt;="&amp;$J897,'Weekly Log'!$A:$A,"&lt;"&amp;$J897+7)/SUMIFS('Weekly Log'!$E:$E,'Weekly Log'!$A:$A,"&gt;="&amp;$J897,'Weekly Log'!$A:$A,"&lt;"&amp;$J897+7),0))</f>
        <v/>
      </c>
      <c r="G897" t="str">
        <f>IF($J897="","",IFERROR(LOOKUP(2,1/(('Weekly Log'!$A$5:$A$5000&gt;=$J897)*('Weekly Log'!$A$5:$A$5000&lt;$J897+7)*('Weekly Log'!$M$5:$M$5000&lt;&gt;"")),'Weekly Log'!$M$5:$M$5000),0))</f>
        <v/>
      </c>
      <c r="J897" t="str">
        <f>IF(COUNT('Weekly Log'!$A$5:$A$5000)=0,"",IF(MIN('Weekly Log'!$A$5:$A$5000)+7*(ROW()-10)&gt;MAX('Weekly Log'!$A$5:$A$5000),"",MIN('Weekly Log'!$A$5:$A$5000)+7*(ROW()-10)))</f>
        <v/>
      </c>
    </row>
    <row r="898" spans="1:10" x14ac:dyDescent="0.25">
      <c r="A898" t="str">
        <f t="shared" si="13"/>
        <v/>
      </c>
      <c r="B898" t="str">
        <f>IF($J898="","",SUMIFS('Weekly Log'!$C:$C,'Weekly Log'!$A:$A,"&gt;="&amp;$J898,'Weekly Log'!$A:$A,"&lt;"&amp;$J898+7))</f>
        <v/>
      </c>
      <c r="C898" t="str">
        <f>IF($J898="","",IFERROR(COUNTIFS('Weekly Log'!$G:$G,"Y",'Weekly Log'!$A:$A,"&gt;="&amp;$J898,'Weekly Log'!$A:$A,"&lt;"&amp;$J898+7)/COUNTIFS('Weekly Log'!$G:$G,"&lt;&gt;",'Weekly Log'!$A:$A,"&gt;="&amp;$J898,'Weekly Log'!$A:$A,"&lt;"&amp;$J898+7),0))</f>
        <v/>
      </c>
      <c r="D898" t="str">
        <f>IF($J898="","",IFERROR(COUNTIFS('Weekly Log'!$H:$H,"Y",'Weekly Log'!$A:$A,"&gt;="&amp;$J898,'Weekly Log'!$A:$A,"&lt;"&amp;$J898+7)/COUNTIFS('Weekly Log'!$H:$H,"&lt;&gt;",'Weekly Log'!$A:$A,"&gt;="&amp;$J898,'Weekly Log'!$A:$A,"&lt;"&amp;$J898+7),0))</f>
        <v/>
      </c>
      <c r="E898" t="str">
        <f>IF($J898="","",IFERROR(AVERAGEIFS('Weekly Log'!$F:$F,'Weekly Log'!$A:$A,"&gt;="&amp;$J898,'Weekly Log'!$A:$A,"&lt;"&amp;$J898+7),0))</f>
        <v/>
      </c>
      <c r="F898" t="str">
        <f>IF($J898="","",IFERROR(SUMIFS('Weekly Log'!$F:$F,'Weekly Log'!$A:$A,"&gt;="&amp;$J898,'Weekly Log'!$A:$A,"&lt;"&amp;$J898+7)/SUMIFS('Weekly Log'!$E:$E,'Weekly Log'!$A:$A,"&gt;="&amp;$J898,'Weekly Log'!$A:$A,"&lt;"&amp;$J898+7),0))</f>
        <v/>
      </c>
      <c r="G898" t="str">
        <f>IF($J898="","",IFERROR(LOOKUP(2,1/(('Weekly Log'!$A$5:$A$5000&gt;=$J898)*('Weekly Log'!$A$5:$A$5000&lt;$J898+7)*('Weekly Log'!$M$5:$M$5000&lt;&gt;"")),'Weekly Log'!$M$5:$M$5000),0))</f>
        <v/>
      </c>
      <c r="J898" t="str">
        <f>IF(COUNT('Weekly Log'!$A$5:$A$5000)=0,"",IF(MIN('Weekly Log'!$A$5:$A$5000)+7*(ROW()-10)&gt;MAX('Weekly Log'!$A$5:$A$5000),"",MIN('Weekly Log'!$A$5:$A$5000)+7*(ROW()-10)))</f>
        <v/>
      </c>
    </row>
    <row r="899" spans="1:10" x14ac:dyDescent="0.25">
      <c r="A899" t="str">
        <f t="shared" si="13"/>
        <v/>
      </c>
      <c r="B899" t="str">
        <f>IF($J899="","",SUMIFS('Weekly Log'!$C:$C,'Weekly Log'!$A:$A,"&gt;="&amp;$J899,'Weekly Log'!$A:$A,"&lt;"&amp;$J899+7))</f>
        <v/>
      </c>
      <c r="C899" t="str">
        <f>IF($J899="","",IFERROR(COUNTIFS('Weekly Log'!$G:$G,"Y",'Weekly Log'!$A:$A,"&gt;="&amp;$J899,'Weekly Log'!$A:$A,"&lt;"&amp;$J899+7)/COUNTIFS('Weekly Log'!$G:$G,"&lt;&gt;",'Weekly Log'!$A:$A,"&gt;="&amp;$J899,'Weekly Log'!$A:$A,"&lt;"&amp;$J899+7),0))</f>
        <v/>
      </c>
      <c r="D899" t="str">
        <f>IF($J899="","",IFERROR(COUNTIFS('Weekly Log'!$H:$H,"Y",'Weekly Log'!$A:$A,"&gt;="&amp;$J899,'Weekly Log'!$A:$A,"&lt;"&amp;$J899+7)/COUNTIFS('Weekly Log'!$H:$H,"&lt;&gt;",'Weekly Log'!$A:$A,"&gt;="&amp;$J899,'Weekly Log'!$A:$A,"&lt;"&amp;$J899+7),0))</f>
        <v/>
      </c>
      <c r="E899" t="str">
        <f>IF($J899="","",IFERROR(AVERAGEIFS('Weekly Log'!$F:$F,'Weekly Log'!$A:$A,"&gt;="&amp;$J899,'Weekly Log'!$A:$A,"&lt;"&amp;$J899+7),0))</f>
        <v/>
      </c>
      <c r="F899" t="str">
        <f>IF($J899="","",IFERROR(SUMIFS('Weekly Log'!$F:$F,'Weekly Log'!$A:$A,"&gt;="&amp;$J899,'Weekly Log'!$A:$A,"&lt;"&amp;$J899+7)/SUMIFS('Weekly Log'!$E:$E,'Weekly Log'!$A:$A,"&gt;="&amp;$J899,'Weekly Log'!$A:$A,"&lt;"&amp;$J899+7),0))</f>
        <v/>
      </c>
      <c r="G899" t="str">
        <f>IF($J899="","",IFERROR(LOOKUP(2,1/(('Weekly Log'!$A$5:$A$5000&gt;=$J899)*('Weekly Log'!$A$5:$A$5000&lt;$J899+7)*('Weekly Log'!$M$5:$M$5000&lt;&gt;"")),'Weekly Log'!$M$5:$M$5000),0))</f>
        <v/>
      </c>
      <c r="J899" t="str">
        <f>IF(COUNT('Weekly Log'!$A$5:$A$5000)=0,"",IF(MIN('Weekly Log'!$A$5:$A$5000)+7*(ROW()-10)&gt;MAX('Weekly Log'!$A$5:$A$5000),"",MIN('Weekly Log'!$A$5:$A$5000)+7*(ROW()-10)))</f>
        <v/>
      </c>
    </row>
    <row r="900" spans="1:10" x14ac:dyDescent="0.25">
      <c r="A900" t="str">
        <f t="shared" si="13"/>
        <v/>
      </c>
      <c r="B900" t="str">
        <f>IF($J900="","",SUMIFS('Weekly Log'!$C:$C,'Weekly Log'!$A:$A,"&gt;="&amp;$J900,'Weekly Log'!$A:$A,"&lt;"&amp;$J900+7))</f>
        <v/>
      </c>
      <c r="C900" t="str">
        <f>IF($J900="","",IFERROR(COUNTIFS('Weekly Log'!$G:$G,"Y",'Weekly Log'!$A:$A,"&gt;="&amp;$J900,'Weekly Log'!$A:$A,"&lt;"&amp;$J900+7)/COUNTIFS('Weekly Log'!$G:$G,"&lt;&gt;",'Weekly Log'!$A:$A,"&gt;="&amp;$J900,'Weekly Log'!$A:$A,"&lt;"&amp;$J900+7),0))</f>
        <v/>
      </c>
      <c r="D900" t="str">
        <f>IF($J900="","",IFERROR(COUNTIFS('Weekly Log'!$H:$H,"Y",'Weekly Log'!$A:$A,"&gt;="&amp;$J900,'Weekly Log'!$A:$A,"&lt;"&amp;$J900+7)/COUNTIFS('Weekly Log'!$H:$H,"&lt;&gt;",'Weekly Log'!$A:$A,"&gt;="&amp;$J900,'Weekly Log'!$A:$A,"&lt;"&amp;$J900+7),0))</f>
        <v/>
      </c>
      <c r="E900" t="str">
        <f>IF($J900="","",IFERROR(AVERAGEIFS('Weekly Log'!$F:$F,'Weekly Log'!$A:$A,"&gt;="&amp;$J900,'Weekly Log'!$A:$A,"&lt;"&amp;$J900+7),0))</f>
        <v/>
      </c>
      <c r="F900" t="str">
        <f>IF($J900="","",IFERROR(SUMIFS('Weekly Log'!$F:$F,'Weekly Log'!$A:$A,"&gt;="&amp;$J900,'Weekly Log'!$A:$A,"&lt;"&amp;$J900+7)/SUMIFS('Weekly Log'!$E:$E,'Weekly Log'!$A:$A,"&gt;="&amp;$J900,'Weekly Log'!$A:$A,"&lt;"&amp;$J900+7),0))</f>
        <v/>
      </c>
      <c r="G900" t="str">
        <f>IF($J900="","",IFERROR(LOOKUP(2,1/(('Weekly Log'!$A$5:$A$5000&gt;=$J900)*('Weekly Log'!$A$5:$A$5000&lt;$J900+7)*('Weekly Log'!$M$5:$M$5000&lt;&gt;"")),'Weekly Log'!$M$5:$M$5000),0))</f>
        <v/>
      </c>
      <c r="J900" t="str">
        <f>IF(COUNT('Weekly Log'!$A$5:$A$5000)=0,"",IF(MIN('Weekly Log'!$A$5:$A$5000)+7*(ROW()-10)&gt;MAX('Weekly Log'!$A$5:$A$5000),"",MIN('Weekly Log'!$A$5:$A$5000)+7*(ROW()-10)))</f>
        <v/>
      </c>
    </row>
    <row r="901" spans="1:10" x14ac:dyDescent="0.25">
      <c r="A901" t="str">
        <f t="shared" si="13"/>
        <v/>
      </c>
      <c r="B901" t="str">
        <f>IF($J901="","",SUMIFS('Weekly Log'!$C:$C,'Weekly Log'!$A:$A,"&gt;="&amp;$J901,'Weekly Log'!$A:$A,"&lt;"&amp;$J901+7))</f>
        <v/>
      </c>
      <c r="C901" t="str">
        <f>IF($J901="","",IFERROR(COUNTIFS('Weekly Log'!$G:$G,"Y",'Weekly Log'!$A:$A,"&gt;="&amp;$J901,'Weekly Log'!$A:$A,"&lt;"&amp;$J901+7)/COUNTIFS('Weekly Log'!$G:$G,"&lt;&gt;",'Weekly Log'!$A:$A,"&gt;="&amp;$J901,'Weekly Log'!$A:$A,"&lt;"&amp;$J901+7),0))</f>
        <v/>
      </c>
      <c r="D901" t="str">
        <f>IF($J901="","",IFERROR(COUNTIFS('Weekly Log'!$H:$H,"Y",'Weekly Log'!$A:$A,"&gt;="&amp;$J901,'Weekly Log'!$A:$A,"&lt;"&amp;$J901+7)/COUNTIFS('Weekly Log'!$H:$H,"&lt;&gt;",'Weekly Log'!$A:$A,"&gt;="&amp;$J901,'Weekly Log'!$A:$A,"&lt;"&amp;$J901+7),0))</f>
        <v/>
      </c>
      <c r="E901" t="str">
        <f>IF($J901="","",IFERROR(AVERAGEIFS('Weekly Log'!$F:$F,'Weekly Log'!$A:$A,"&gt;="&amp;$J901,'Weekly Log'!$A:$A,"&lt;"&amp;$J901+7),0))</f>
        <v/>
      </c>
      <c r="F901" t="str">
        <f>IF($J901="","",IFERROR(SUMIFS('Weekly Log'!$F:$F,'Weekly Log'!$A:$A,"&gt;="&amp;$J901,'Weekly Log'!$A:$A,"&lt;"&amp;$J901+7)/SUMIFS('Weekly Log'!$E:$E,'Weekly Log'!$A:$A,"&gt;="&amp;$J901,'Weekly Log'!$A:$A,"&lt;"&amp;$J901+7),0))</f>
        <v/>
      </c>
      <c r="G901" t="str">
        <f>IF($J901="","",IFERROR(LOOKUP(2,1/(('Weekly Log'!$A$5:$A$5000&gt;=$J901)*('Weekly Log'!$A$5:$A$5000&lt;$J901+7)*('Weekly Log'!$M$5:$M$5000&lt;&gt;"")),'Weekly Log'!$M$5:$M$5000),0))</f>
        <v/>
      </c>
      <c r="J901" t="str">
        <f>IF(COUNT('Weekly Log'!$A$5:$A$5000)=0,"",IF(MIN('Weekly Log'!$A$5:$A$5000)+7*(ROW()-10)&gt;MAX('Weekly Log'!$A$5:$A$5000),"",MIN('Weekly Log'!$A$5:$A$5000)+7*(ROW()-10)))</f>
        <v/>
      </c>
    </row>
    <row r="902" spans="1:10" x14ac:dyDescent="0.25">
      <c r="A902" t="str">
        <f t="shared" si="13"/>
        <v/>
      </c>
      <c r="B902" t="str">
        <f>IF($J902="","",SUMIFS('Weekly Log'!$C:$C,'Weekly Log'!$A:$A,"&gt;="&amp;$J902,'Weekly Log'!$A:$A,"&lt;"&amp;$J902+7))</f>
        <v/>
      </c>
      <c r="C902" t="str">
        <f>IF($J902="","",IFERROR(COUNTIFS('Weekly Log'!$G:$G,"Y",'Weekly Log'!$A:$A,"&gt;="&amp;$J902,'Weekly Log'!$A:$A,"&lt;"&amp;$J902+7)/COUNTIFS('Weekly Log'!$G:$G,"&lt;&gt;",'Weekly Log'!$A:$A,"&gt;="&amp;$J902,'Weekly Log'!$A:$A,"&lt;"&amp;$J902+7),0))</f>
        <v/>
      </c>
      <c r="D902" t="str">
        <f>IF($J902="","",IFERROR(COUNTIFS('Weekly Log'!$H:$H,"Y",'Weekly Log'!$A:$A,"&gt;="&amp;$J902,'Weekly Log'!$A:$A,"&lt;"&amp;$J902+7)/COUNTIFS('Weekly Log'!$H:$H,"&lt;&gt;",'Weekly Log'!$A:$A,"&gt;="&amp;$J902,'Weekly Log'!$A:$A,"&lt;"&amp;$J902+7),0))</f>
        <v/>
      </c>
      <c r="E902" t="str">
        <f>IF($J902="","",IFERROR(AVERAGEIFS('Weekly Log'!$F:$F,'Weekly Log'!$A:$A,"&gt;="&amp;$J902,'Weekly Log'!$A:$A,"&lt;"&amp;$J902+7),0))</f>
        <v/>
      </c>
      <c r="F902" t="str">
        <f>IF($J902="","",IFERROR(SUMIFS('Weekly Log'!$F:$F,'Weekly Log'!$A:$A,"&gt;="&amp;$J902,'Weekly Log'!$A:$A,"&lt;"&amp;$J902+7)/SUMIFS('Weekly Log'!$E:$E,'Weekly Log'!$A:$A,"&gt;="&amp;$J902,'Weekly Log'!$A:$A,"&lt;"&amp;$J902+7),0))</f>
        <v/>
      </c>
      <c r="G902" t="str">
        <f>IF($J902="","",IFERROR(LOOKUP(2,1/(('Weekly Log'!$A$5:$A$5000&gt;=$J902)*('Weekly Log'!$A$5:$A$5000&lt;$J902+7)*('Weekly Log'!$M$5:$M$5000&lt;&gt;"")),'Weekly Log'!$M$5:$M$5000),0))</f>
        <v/>
      </c>
      <c r="J902" t="str">
        <f>IF(COUNT('Weekly Log'!$A$5:$A$5000)=0,"",IF(MIN('Weekly Log'!$A$5:$A$5000)+7*(ROW()-10)&gt;MAX('Weekly Log'!$A$5:$A$5000),"",MIN('Weekly Log'!$A$5:$A$5000)+7*(ROW()-10)))</f>
        <v/>
      </c>
    </row>
    <row r="903" spans="1:10" x14ac:dyDescent="0.25">
      <c r="A903" t="str">
        <f t="shared" si="13"/>
        <v/>
      </c>
      <c r="B903" t="str">
        <f>IF($J903="","",SUMIFS('Weekly Log'!$C:$C,'Weekly Log'!$A:$A,"&gt;="&amp;$J903,'Weekly Log'!$A:$A,"&lt;"&amp;$J903+7))</f>
        <v/>
      </c>
      <c r="C903" t="str">
        <f>IF($J903="","",IFERROR(COUNTIFS('Weekly Log'!$G:$G,"Y",'Weekly Log'!$A:$A,"&gt;="&amp;$J903,'Weekly Log'!$A:$A,"&lt;"&amp;$J903+7)/COUNTIFS('Weekly Log'!$G:$G,"&lt;&gt;",'Weekly Log'!$A:$A,"&gt;="&amp;$J903,'Weekly Log'!$A:$A,"&lt;"&amp;$J903+7),0))</f>
        <v/>
      </c>
      <c r="D903" t="str">
        <f>IF($J903="","",IFERROR(COUNTIFS('Weekly Log'!$H:$H,"Y",'Weekly Log'!$A:$A,"&gt;="&amp;$J903,'Weekly Log'!$A:$A,"&lt;"&amp;$J903+7)/COUNTIFS('Weekly Log'!$H:$H,"&lt;&gt;",'Weekly Log'!$A:$A,"&gt;="&amp;$J903,'Weekly Log'!$A:$A,"&lt;"&amp;$J903+7),0))</f>
        <v/>
      </c>
      <c r="E903" t="str">
        <f>IF($J903="","",IFERROR(AVERAGEIFS('Weekly Log'!$F:$F,'Weekly Log'!$A:$A,"&gt;="&amp;$J903,'Weekly Log'!$A:$A,"&lt;"&amp;$J903+7),0))</f>
        <v/>
      </c>
      <c r="F903" t="str">
        <f>IF($J903="","",IFERROR(SUMIFS('Weekly Log'!$F:$F,'Weekly Log'!$A:$A,"&gt;="&amp;$J903,'Weekly Log'!$A:$A,"&lt;"&amp;$J903+7)/SUMIFS('Weekly Log'!$E:$E,'Weekly Log'!$A:$A,"&gt;="&amp;$J903,'Weekly Log'!$A:$A,"&lt;"&amp;$J903+7),0))</f>
        <v/>
      </c>
      <c r="G903" t="str">
        <f>IF($J903="","",IFERROR(LOOKUP(2,1/(('Weekly Log'!$A$5:$A$5000&gt;=$J903)*('Weekly Log'!$A$5:$A$5000&lt;$J903+7)*('Weekly Log'!$M$5:$M$5000&lt;&gt;"")),'Weekly Log'!$M$5:$M$5000),0))</f>
        <v/>
      </c>
      <c r="J903" t="str">
        <f>IF(COUNT('Weekly Log'!$A$5:$A$5000)=0,"",IF(MIN('Weekly Log'!$A$5:$A$5000)+7*(ROW()-10)&gt;MAX('Weekly Log'!$A$5:$A$5000),"",MIN('Weekly Log'!$A$5:$A$5000)+7*(ROW()-10)))</f>
        <v/>
      </c>
    </row>
    <row r="904" spans="1:10" x14ac:dyDescent="0.25">
      <c r="A904" t="str">
        <f t="shared" si="13"/>
        <v/>
      </c>
      <c r="B904" t="str">
        <f>IF($J904="","",SUMIFS('Weekly Log'!$C:$C,'Weekly Log'!$A:$A,"&gt;="&amp;$J904,'Weekly Log'!$A:$A,"&lt;"&amp;$J904+7))</f>
        <v/>
      </c>
      <c r="C904" t="str">
        <f>IF($J904="","",IFERROR(COUNTIFS('Weekly Log'!$G:$G,"Y",'Weekly Log'!$A:$A,"&gt;="&amp;$J904,'Weekly Log'!$A:$A,"&lt;"&amp;$J904+7)/COUNTIFS('Weekly Log'!$G:$G,"&lt;&gt;",'Weekly Log'!$A:$A,"&gt;="&amp;$J904,'Weekly Log'!$A:$A,"&lt;"&amp;$J904+7),0))</f>
        <v/>
      </c>
      <c r="D904" t="str">
        <f>IF($J904="","",IFERROR(COUNTIFS('Weekly Log'!$H:$H,"Y",'Weekly Log'!$A:$A,"&gt;="&amp;$J904,'Weekly Log'!$A:$A,"&lt;"&amp;$J904+7)/COUNTIFS('Weekly Log'!$H:$H,"&lt;&gt;",'Weekly Log'!$A:$A,"&gt;="&amp;$J904,'Weekly Log'!$A:$A,"&lt;"&amp;$J904+7),0))</f>
        <v/>
      </c>
      <c r="E904" t="str">
        <f>IF($J904="","",IFERROR(AVERAGEIFS('Weekly Log'!$F:$F,'Weekly Log'!$A:$A,"&gt;="&amp;$J904,'Weekly Log'!$A:$A,"&lt;"&amp;$J904+7),0))</f>
        <v/>
      </c>
      <c r="F904" t="str">
        <f>IF($J904="","",IFERROR(SUMIFS('Weekly Log'!$F:$F,'Weekly Log'!$A:$A,"&gt;="&amp;$J904,'Weekly Log'!$A:$A,"&lt;"&amp;$J904+7)/SUMIFS('Weekly Log'!$E:$E,'Weekly Log'!$A:$A,"&gt;="&amp;$J904,'Weekly Log'!$A:$A,"&lt;"&amp;$J904+7),0))</f>
        <v/>
      </c>
      <c r="G904" t="str">
        <f>IF($J904="","",IFERROR(LOOKUP(2,1/(('Weekly Log'!$A$5:$A$5000&gt;=$J904)*('Weekly Log'!$A$5:$A$5000&lt;$J904+7)*('Weekly Log'!$M$5:$M$5000&lt;&gt;"")),'Weekly Log'!$M$5:$M$5000),0))</f>
        <v/>
      </c>
      <c r="J904" t="str">
        <f>IF(COUNT('Weekly Log'!$A$5:$A$5000)=0,"",IF(MIN('Weekly Log'!$A$5:$A$5000)+7*(ROW()-10)&gt;MAX('Weekly Log'!$A$5:$A$5000),"",MIN('Weekly Log'!$A$5:$A$5000)+7*(ROW()-10)))</f>
        <v/>
      </c>
    </row>
    <row r="905" spans="1:10" x14ac:dyDescent="0.25">
      <c r="A905" t="str">
        <f t="shared" si="13"/>
        <v/>
      </c>
      <c r="B905" t="str">
        <f>IF($J905="","",SUMIFS('Weekly Log'!$C:$C,'Weekly Log'!$A:$A,"&gt;="&amp;$J905,'Weekly Log'!$A:$A,"&lt;"&amp;$J905+7))</f>
        <v/>
      </c>
      <c r="C905" t="str">
        <f>IF($J905="","",IFERROR(COUNTIFS('Weekly Log'!$G:$G,"Y",'Weekly Log'!$A:$A,"&gt;="&amp;$J905,'Weekly Log'!$A:$A,"&lt;"&amp;$J905+7)/COUNTIFS('Weekly Log'!$G:$G,"&lt;&gt;",'Weekly Log'!$A:$A,"&gt;="&amp;$J905,'Weekly Log'!$A:$A,"&lt;"&amp;$J905+7),0))</f>
        <v/>
      </c>
      <c r="D905" t="str">
        <f>IF($J905="","",IFERROR(COUNTIFS('Weekly Log'!$H:$H,"Y",'Weekly Log'!$A:$A,"&gt;="&amp;$J905,'Weekly Log'!$A:$A,"&lt;"&amp;$J905+7)/COUNTIFS('Weekly Log'!$H:$H,"&lt;&gt;",'Weekly Log'!$A:$A,"&gt;="&amp;$J905,'Weekly Log'!$A:$A,"&lt;"&amp;$J905+7),0))</f>
        <v/>
      </c>
      <c r="E905" t="str">
        <f>IF($J905="","",IFERROR(AVERAGEIFS('Weekly Log'!$F:$F,'Weekly Log'!$A:$A,"&gt;="&amp;$J905,'Weekly Log'!$A:$A,"&lt;"&amp;$J905+7),0))</f>
        <v/>
      </c>
      <c r="F905" t="str">
        <f>IF($J905="","",IFERROR(SUMIFS('Weekly Log'!$F:$F,'Weekly Log'!$A:$A,"&gt;="&amp;$J905,'Weekly Log'!$A:$A,"&lt;"&amp;$J905+7)/SUMIFS('Weekly Log'!$E:$E,'Weekly Log'!$A:$A,"&gt;="&amp;$J905,'Weekly Log'!$A:$A,"&lt;"&amp;$J905+7),0))</f>
        <v/>
      </c>
      <c r="G905" t="str">
        <f>IF($J905="","",IFERROR(LOOKUP(2,1/(('Weekly Log'!$A$5:$A$5000&gt;=$J905)*('Weekly Log'!$A$5:$A$5000&lt;$J905+7)*('Weekly Log'!$M$5:$M$5000&lt;&gt;"")),'Weekly Log'!$M$5:$M$5000),0))</f>
        <v/>
      </c>
      <c r="J905" t="str">
        <f>IF(COUNT('Weekly Log'!$A$5:$A$5000)=0,"",IF(MIN('Weekly Log'!$A$5:$A$5000)+7*(ROW()-10)&gt;MAX('Weekly Log'!$A$5:$A$5000),"",MIN('Weekly Log'!$A$5:$A$5000)+7*(ROW()-10)))</f>
        <v/>
      </c>
    </row>
    <row r="906" spans="1:10" x14ac:dyDescent="0.25">
      <c r="A906" t="str">
        <f t="shared" ref="A906:A969" si="14">IF($J906="","",YEAR($J906-WEEKDAY($J906,2)+4)&amp;"-W"&amp;TEXT(WEEKNUM($J906,21),"00"))</f>
        <v/>
      </c>
      <c r="B906" t="str">
        <f>IF($J906="","",SUMIFS('Weekly Log'!$C:$C,'Weekly Log'!$A:$A,"&gt;="&amp;$J906,'Weekly Log'!$A:$A,"&lt;"&amp;$J906+7))</f>
        <v/>
      </c>
      <c r="C906" t="str">
        <f>IF($J906="","",IFERROR(COUNTIFS('Weekly Log'!$G:$G,"Y",'Weekly Log'!$A:$A,"&gt;="&amp;$J906,'Weekly Log'!$A:$A,"&lt;"&amp;$J906+7)/COUNTIFS('Weekly Log'!$G:$G,"&lt;&gt;",'Weekly Log'!$A:$A,"&gt;="&amp;$J906,'Weekly Log'!$A:$A,"&lt;"&amp;$J906+7),0))</f>
        <v/>
      </c>
      <c r="D906" t="str">
        <f>IF($J906="","",IFERROR(COUNTIFS('Weekly Log'!$H:$H,"Y",'Weekly Log'!$A:$A,"&gt;="&amp;$J906,'Weekly Log'!$A:$A,"&lt;"&amp;$J906+7)/COUNTIFS('Weekly Log'!$H:$H,"&lt;&gt;",'Weekly Log'!$A:$A,"&gt;="&amp;$J906,'Weekly Log'!$A:$A,"&lt;"&amp;$J906+7),0))</f>
        <v/>
      </c>
      <c r="E906" t="str">
        <f>IF($J906="","",IFERROR(AVERAGEIFS('Weekly Log'!$F:$F,'Weekly Log'!$A:$A,"&gt;="&amp;$J906,'Weekly Log'!$A:$A,"&lt;"&amp;$J906+7),0))</f>
        <v/>
      </c>
      <c r="F906" t="str">
        <f>IF($J906="","",IFERROR(SUMIFS('Weekly Log'!$F:$F,'Weekly Log'!$A:$A,"&gt;="&amp;$J906,'Weekly Log'!$A:$A,"&lt;"&amp;$J906+7)/SUMIFS('Weekly Log'!$E:$E,'Weekly Log'!$A:$A,"&gt;="&amp;$J906,'Weekly Log'!$A:$A,"&lt;"&amp;$J906+7),0))</f>
        <v/>
      </c>
      <c r="G906" t="str">
        <f>IF($J906="","",IFERROR(LOOKUP(2,1/(('Weekly Log'!$A$5:$A$5000&gt;=$J906)*('Weekly Log'!$A$5:$A$5000&lt;$J906+7)*('Weekly Log'!$M$5:$M$5000&lt;&gt;"")),'Weekly Log'!$M$5:$M$5000),0))</f>
        <v/>
      </c>
      <c r="J906" t="str">
        <f>IF(COUNT('Weekly Log'!$A$5:$A$5000)=0,"",IF(MIN('Weekly Log'!$A$5:$A$5000)+7*(ROW()-10)&gt;MAX('Weekly Log'!$A$5:$A$5000),"",MIN('Weekly Log'!$A$5:$A$5000)+7*(ROW()-10)))</f>
        <v/>
      </c>
    </row>
    <row r="907" spans="1:10" x14ac:dyDescent="0.25">
      <c r="A907" t="str">
        <f t="shared" si="14"/>
        <v/>
      </c>
      <c r="B907" t="str">
        <f>IF($J907="","",SUMIFS('Weekly Log'!$C:$C,'Weekly Log'!$A:$A,"&gt;="&amp;$J907,'Weekly Log'!$A:$A,"&lt;"&amp;$J907+7))</f>
        <v/>
      </c>
      <c r="C907" t="str">
        <f>IF($J907="","",IFERROR(COUNTIFS('Weekly Log'!$G:$G,"Y",'Weekly Log'!$A:$A,"&gt;="&amp;$J907,'Weekly Log'!$A:$A,"&lt;"&amp;$J907+7)/COUNTIFS('Weekly Log'!$G:$G,"&lt;&gt;",'Weekly Log'!$A:$A,"&gt;="&amp;$J907,'Weekly Log'!$A:$A,"&lt;"&amp;$J907+7),0))</f>
        <v/>
      </c>
      <c r="D907" t="str">
        <f>IF($J907="","",IFERROR(COUNTIFS('Weekly Log'!$H:$H,"Y",'Weekly Log'!$A:$A,"&gt;="&amp;$J907,'Weekly Log'!$A:$A,"&lt;"&amp;$J907+7)/COUNTIFS('Weekly Log'!$H:$H,"&lt;&gt;",'Weekly Log'!$A:$A,"&gt;="&amp;$J907,'Weekly Log'!$A:$A,"&lt;"&amp;$J907+7),0))</f>
        <v/>
      </c>
      <c r="E907" t="str">
        <f>IF($J907="","",IFERROR(AVERAGEIFS('Weekly Log'!$F:$F,'Weekly Log'!$A:$A,"&gt;="&amp;$J907,'Weekly Log'!$A:$A,"&lt;"&amp;$J907+7),0))</f>
        <v/>
      </c>
      <c r="F907" t="str">
        <f>IF($J907="","",IFERROR(SUMIFS('Weekly Log'!$F:$F,'Weekly Log'!$A:$A,"&gt;="&amp;$J907,'Weekly Log'!$A:$A,"&lt;"&amp;$J907+7)/SUMIFS('Weekly Log'!$E:$E,'Weekly Log'!$A:$A,"&gt;="&amp;$J907,'Weekly Log'!$A:$A,"&lt;"&amp;$J907+7),0))</f>
        <v/>
      </c>
      <c r="G907" t="str">
        <f>IF($J907="","",IFERROR(LOOKUP(2,1/(('Weekly Log'!$A$5:$A$5000&gt;=$J907)*('Weekly Log'!$A$5:$A$5000&lt;$J907+7)*('Weekly Log'!$M$5:$M$5000&lt;&gt;"")),'Weekly Log'!$M$5:$M$5000),0))</f>
        <v/>
      </c>
      <c r="J907" t="str">
        <f>IF(COUNT('Weekly Log'!$A$5:$A$5000)=0,"",IF(MIN('Weekly Log'!$A$5:$A$5000)+7*(ROW()-10)&gt;MAX('Weekly Log'!$A$5:$A$5000),"",MIN('Weekly Log'!$A$5:$A$5000)+7*(ROW()-10)))</f>
        <v/>
      </c>
    </row>
    <row r="908" spans="1:10" x14ac:dyDescent="0.25">
      <c r="A908" t="str">
        <f t="shared" si="14"/>
        <v/>
      </c>
      <c r="B908" t="str">
        <f>IF($J908="","",SUMIFS('Weekly Log'!$C:$C,'Weekly Log'!$A:$A,"&gt;="&amp;$J908,'Weekly Log'!$A:$A,"&lt;"&amp;$J908+7))</f>
        <v/>
      </c>
      <c r="C908" t="str">
        <f>IF($J908="","",IFERROR(COUNTIFS('Weekly Log'!$G:$G,"Y",'Weekly Log'!$A:$A,"&gt;="&amp;$J908,'Weekly Log'!$A:$A,"&lt;"&amp;$J908+7)/COUNTIFS('Weekly Log'!$G:$G,"&lt;&gt;",'Weekly Log'!$A:$A,"&gt;="&amp;$J908,'Weekly Log'!$A:$A,"&lt;"&amp;$J908+7),0))</f>
        <v/>
      </c>
      <c r="D908" t="str">
        <f>IF($J908="","",IFERROR(COUNTIFS('Weekly Log'!$H:$H,"Y",'Weekly Log'!$A:$A,"&gt;="&amp;$J908,'Weekly Log'!$A:$A,"&lt;"&amp;$J908+7)/COUNTIFS('Weekly Log'!$H:$H,"&lt;&gt;",'Weekly Log'!$A:$A,"&gt;="&amp;$J908,'Weekly Log'!$A:$A,"&lt;"&amp;$J908+7),0))</f>
        <v/>
      </c>
      <c r="E908" t="str">
        <f>IF($J908="","",IFERROR(AVERAGEIFS('Weekly Log'!$F:$F,'Weekly Log'!$A:$A,"&gt;="&amp;$J908,'Weekly Log'!$A:$A,"&lt;"&amp;$J908+7),0))</f>
        <v/>
      </c>
      <c r="F908" t="str">
        <f>IF($J908="","",IFERROR(SUMIFS('Weekly Log'!$F:$F,'Weekly Log'!$A:$A,"&gt;="&amp;$J908,'Weekly Log'!$A:$A,"&lt;"&amp;$J908+7)/SUMIFS('Weekly Log'!$E:$E,'Weekly Log'!$A:$A,"&gt;="&amp;$J908,'Weekly Log'!$A:$A,"&lt;"&amp;$J908+7),0))</f>
        <v/>
      </c>
      <c r="G908" t="str">
        <f>IF($J908="","",IFERROR(LOOKUP(2,1/(('Weekly Log'!$A$5:$A$5000&gt;=$J908)*('Weekly Log'!$A$5:$A$5000&lt;$J908+7)*('Weekly Log'!$M$5:$M$5000&lt;&gt;"")),'Weekly Log'!$M$5:$M$5000),0))</f>
        <v/>
      </c>
      <c r="J908" t="str">
        <f>IF(COUNT('Weekly Log'!$A$5:$A$5000)=0,"",IF(MIN('Weekly Log'!$A$5:$A$5000)+7*(ROW()-10)&gt;MAX('Weekly Log'!$A$5:$A$5000),"",MIN('Weekly Log'!$A$5:$A$5000)+7*(ROW()-10)))</f>
        <v/>
      </c>
    </row>
    <row r="909" spans="1:10" x14ac:dyDescent="0.25">
      <c r="A909" t="str">
        <f t="shared" si="14"/>
        <v/>
      </c>
      <c r="B909" t="str">
        <f>IF($J909="","",SUMIFS('Weekly Log'!$C:$C,'Weekly Log'!$A:$A,"&gt;="&amp;$J909,'Weekly Log'!$A:$A,"&lt;"&amp;$J909+7))</f>
        <v/>
      </c>
      <c r="C909" t="str">
        <f>IF($J909="","",IFERROR(COUNTIFS('Weekly Log'!$G:$G,"Y",'Weekly Log'!$A:$A,"&gt;="&amp;$J909,'Weekly Log'!$A:$A,"&lt;"&amp;$J909+7)/COUNTIFS('Weekly Log'!$G:$G,"&lt;&gt;",'Weekly Log'!$A:$A,"&gt;="&amp;$J909,'Weekly Log'!$A:$A,"&lt;"&amp;$J909+7),0))</f>
        <v/>
      </c>
      <c r="D909" t="str">
        <f>IF($J909="","",IFERROR(COUNTIFS('Weekly Log'!$H:$H,"Y",'Weekly Log'!$A:$A,"&gt;="&amp;$J909,'Weekly Log'!$A:$A,"&lt;"&amp;$J909+7)/COUNTIFS('Weekly Log'!$H:$H,"&lt;&gt;",'Weekly Log'!$A:$A,"&gt;="&amp;$J909,'Weekly Log'!$A:$A,"&lt;"&amp;$J909+7),0))</f>
        <v/>
      </c>
      <c r="E909" t="str">
        <f>IF($J909="","",IFERROR(AVERAGEIFS('Weekly Log'!$F:$F,'Weekly Log'!$A:$A,"&gt;="&amp;$J909,'Weekly Log'!$A:$A,"&lt;"&amp;$J909+7),0))</f>
        <v/>
      </c>
      <c r="F909" t="str">
        <f>IF($J909="","",IFERROR(SUMIFS('Weekly Log'!$F:$F,'Weekly Log'!$A:$A,"&gt;="&amp;$J909,'Weekly Log'!$A:$A,"&lt;"&amp;$J909+7)/SUMIFS('Weekly Log'!$E:$E,'Weekly Log'!$A:$A,"&gt;="&amp;$J909,'Weekly Log'!$A:$A,"&lt;"&amp;$J909+7),0))</f>
        <v/>
      </c>
      <c r="G909" t="str">
        <f>IF($J909="","",IFERROR(LOOKUP(2,1/(('Weekly Log'!$A$5:$A$5000&gt;=$J909)*('Weekly Log'!$A$5:$A$5000&lt;$J909+7)*('Weekly Log'!$M$5:$M$5000&lt;&gt;"")),'Weekly Log'!$M$5:$M$5000),0))</f>
        <v/>
      </c>
      <c r="J909" t="str">
        <f>IF(COUNT('Weekly Log'!$A$5:$A$5000)=0,"",IF(MIN('Weekly Log'!$A$5:$A$5000)+7*(ROW()-10)&gt;MAX('Weekly Log'!$A$5:$A$5000),"",MIN('Weekly Log'!$A$5:$A$5000)+7*(ROW()-10)))</f>
        <v/>
      </c>
    </row>
    <row r="910" spans="1:10" x14ac:dyDescent="0.25">
      <c r="A910" t="str">
        <f t="shared" si="14"/>
        <v/>
      </c>
      <c r="B910" t="str">
        <f>IF($J910="","",SUMIFS('Weekly Log'!$C:$C,'Weekly Log'!$A:$A,"&gt;="&amp;$J910,'Weekly Log'!$A:$A,"&lt;"&amp;$J910+7))</f>
        <v/>
      </c>
      <c r="C910" t="str">
        <f>IF($J910="","",IFERROR(COUNTIFS('Weekly Log'!$G:$G,"Y",'Weekly Log'!$A:$A,"&gt;="&amp;$J910,'Weekly Log'!$A:$A,"&lt;"&amp;$J910+7)/COUNTIFS('Weekly Log'!$G:$G,"&lt;&gt;",'Weekly Log'!$A:$A,"&gt;="&amp;$J910,'Weekly Log'!$A:$A,"&lt;"&amp;$J910+7),0))</f>
        <v/>
      </c>
      <c r="D910" t="str">
        <f>IF($J910="","",IFERROR(COUNTIFS('Weekly Log'!$H:$H,"Y",'Weekly Log'!$A:$A,"&gt;="&amp;$J910,'Weekly Log'!$A:$A,"&lt;"&amp;$J910+7)/COUNTIFS('Weekly Log'!$H:$H,"&lt;&gt;",'Weekly Log'!$A:$A,"&gt;="&amp;$J910,'Weekly Log'!$A:$A,"&lt;"&amp;$J910+7),0))</f>
        <v/>
      </c>
      <c r="E910" t="str">
        <f>IF($J910="","",IFERROR(AVERAGEIFS('Weekly Log'!$F:$F,'Weekly Log'!$A:$A,"&gt;="&amp;$J910,'Weekly Log'!$A:$A,"&lt;"&amp;$J910+7),0))</f>
        <v/>
      </c>
      <c r="F910" t="str">
        <f>IF($J910="","",IFERROR(SUMIFS('Weekly Log'!$F:$F,'Weekly Log'!$A:$A,"&gt;="&amp;$J910,'Weekly Log'!$A:$A,"&lt;"&amp;$J910+7)/SUMIFS('Weekly Log'!$E:$E,'Weekly Log'!$A:$A,"&gt;="&amp;$J910,'Weekly Log'!$A:$A,"&lt;"&amp;$J910+7),0))</f>
        <v/>
      </c>
      <c r="G910" t="str">
        <f>IF($J910="","",IFERROR(LOOKUP(2,1/(('Weekly Log'!$A$5:$A$5000&gt;=$J910)*('Weekly Log'!$A$5:$A$5000&lt;$J910+7)*('Weekly Log'!$M$5:$M$5000&lt;&gt;"")),'Weekly Log'!$M$5:$M$5000),0))</f>
        <v/>
      </c>
      <c r="J910" t="str">
        <f>IF(COUNT('Weekly Log'!$A$5:$A$5000)=0,"",IF(MIN('Weekly Log'!$A$5:$A$5000)+7*(ROW()-10)&gt;MAX('Weekly Log'!$A$5:$A$5000),"",MIN('Weekly Log'!$A$5:$A$5000)+7*(ROW()-10)))</f>
        <v/>
      </c>
    </row>
    <row r="911" spans="1:10" x14ac:dyDescent="0.25">
      <c r="A911" t="str">
        <f t="shared" si="14"/>
        <v/>
      </c>
      <c r="B911" t="str">
        <f>IF($J911="","",SUMIFS('Weekly Log'!$C:$C,'Weekly Log'!$A:$A,"&gt;="&amp;$J911,'Weekly Log'!$A:$A,"&lt;"&amp;$J911+7))</f>
        <v/>
      </c>
      <c r="C911" t="str">
        <f>IF($J911="","",IFERROR(COUNTIFS('Weekly Log'!$G:$G,"Y",'Weekly Log'!$A:$A,"&gt;="&amp;$J911,'Weekly Log'!$A:$A,"&lt;"&amp;$J911+7)/COUNTIFS('Weekly Log'!$G:$G,"&lt;&gt;",'Weekly Log'!$A:$A,"&gt;="&amp;$J911,'Weekly Log'!$A:$A,"&lt;"&amp;$J911+7),0))</f>
        <v/>
      </c>
      <c r="D911" t="str">
        <f>IF($J911="","",IFERROR(COUNTIFS('Weekly Log'!$H:$H,"Y",'Weekly Log'!$A:$A,"&gt;="&amp;$J911,'Weekly Log'!$A:$A,"&lt;"&amp;$J911+7)/COUNTIFS('Weekly Log'!$H:$H,"&lt;&gt;",'Weekly Log'!$A:$A,"&gt;="&amp;$J911,'Weekly Log'!$A:$A,"&lt;"&amp;$J911+7),0))</f>
        <v/>
      </c>
      <c r="E911" t="str">
        <f>IF($J911="","",IFERROR(AVERAGEIFS('Weekly Log'!$F:$F,'Weekly Log'!$A:$A,"&gt;="&amp;$J911,'Weekly Log'!$A:$A,"&lt;"&amp;$J911+7),0))</f>
        <v/>
      </c>
      <c r="F911" t="str">
        <f>IF($J911="","",IFERROR(SUMIFS('Weekly Log'!$F:$F,'Weekly Log'!$A:$A,"&gt;="&amp;$J911,'Weekly Log'!$A:$A,"&lt;"&amp;$J911+7)/SUMIFS('Weekly Log'!$E:$E,'Weekly Log'!$A:$A,"&gt;="&amp;$J911,'Weekly Log'!$A:$A,"&lt;"&amp;$J911+7),0))</f>
        <v/>
      </c>
      <c r="G911" t="str">
        <f>IF($J911="","",IFERROR(LOOKUP(2,1/(('Weekly Log'!$A$5:$A$5000&gt;=$J911)*('Weekly Log'!$A$5:$A$5000&lt;$J911+7)*('Weekly Log'!$M$5:$M$5000&lt;&gt;"")),'Weekly Log'!$M$5:$M$5000),0))</f>
        <v/>
      </c>
      <c r="J911" t="str">
        <f>IF(COUNT('Weekly Log'!$A$5:$A$5000)=0,"",IF(MIN('Weekly Log'!$A$5:$A$5000)+7*(ROW()-10)&gt;MAX('Weekly Log'!$A$5:$A$5000),"",MIN('Weekly Log'!$A$5:$A$5000)+7*(ROW()-10)))</f>
        <v/>
      </c>
    </row>
    <row r="912" spans="1:10" x14ac:dyDescent="0.25">
      <c r="A912" t="str">
        <f t="shared" si="14"/>
        <v/>
      </c>
      <c r="B912" t="str">
        <f>IF($J912="","",SUMIFS('Weekly Log'!$C:$C,'Weekly Log'!$A:$A,"&gt;="&amp;$J912,'Weekly Log'!$A:$A,"&lt;"&amp;$J912+7))</f>
        <v/>
      </c>
      <c r="C912" t="str">
        <f>IF($J912="","",IFERROR(COUNTIFS('Weekly Log'!$G:$G,"Y",'Weekly Log'!$A:$A,"&gt;="&amp;$J912,'Weekly Log'!$A:$A,"&lt;"&amp;$J912+7)/COUNTIFS('Weekly Log'!$G:$G,"&lt;&gt;",'Weekly Log'!$A:$A,"&gt;="&amp;$J912,'Weekly Log'!$A:$A,"&lt;"&amp;$J912+7),0))</f>
        <v/>
      </c>
      <c r="D912" t="str">
        <f>IF($J912="","",IFERROR(COUNTIFS('Weekly Log'!$H:$H,"Y",'Weekly Log'!$A:$A,"&gt;="&amp;$J912,'Weekly Log'!$A:$A,"&lt;"&amp;$J912+7)/COUNTIFS('Weekly Log'!$H:$H,"&lt;&gt;",'Weekly Log'!$A:$A,"&gt;="&amp;$J912,'Weekly Log'!$A:$A,"&lt;"&amp;$J912+7),0))</f>
        <v/>
      </c>
      <c r="E912" t="str">
        <f>IF($J912="","",IFERROR(AVERAGEIFS('Weekly Log'!$F:$F,'Weekly Log'!$A:$A,"&gt;="&amp;$J912,'Weekly Log'!$A:$A,"&lt;"&amp;$J912+7),0))</f>
        <v/>
      </c>
      <c r="F912" t="str">
        <f>IF($J912="","",IFERROR(SUMIFS('Weekly Log'!$F:$F,'Weekly Log'!$A:$A,"&gt;="&amp;$J912,'Weekly Log'!$A:$A,"&lt;"&amp;$J912+7)/SUMIFS('Weekly Log'!$E:$E,'Weekly Log'!$A:$A,"&gt;="&amp;$J912,'Weekly Log'!$A:$A,"&lt;"&amp;$J912+7),0))</f>
        <v/>
      </c>
      <c r="G912" t="str">
        <f>IF($J912="","",IFERROR(LOOKUP(2,1/(('Weekly Log'!$A$5:$A$5000&gt;=$J912)*('Weekly Log'!$A$5:$A$5000&lt;$J912+7)*('Weekly Log'!$M$5:$M$5000&lt;&gt;"")),'Weekly Log'!$M$5:$M$5000),0))</f>
        <v/>
      </c>
      <c r="J912" t="str">
        <f>IF(COUNT('Weekly Log'!$A$5:$A$5000)=0,"",IF(MIN('Weekly Log'!$A$5:$A$5000)+7*(ROW()-10)&gt;MAX('Weekly Log'!$A$5:$A$5000),"",MIN('Weekly Log'!$A$5:$A$5000)+7*(ROW()-10)))</f>
        <v/>
      </c>
    </row>
    <row r="913" spans="1:10" x14ac:dyDescent="0.25">
      <c r="A913" t="str">
        <f t="shared" si="14"/>
        <v/>
      </c>
      <c r="B913" t="str">
        <f>IF($J913="","",SUMIFS('Weekly Log'!$C:$C,'Weekly Log'!$A:$A,"&gt;="&amp;$J913,'Weekly Log'!$A:$A,"&lt;"&amp;$J913+7))</f>
        <v/>
      </c>
      <c r="C913" t="str">
        <f>IF($J913="","",IFERROR(COUNTIFS('Weekly Log'!$G:$G,"Y",'Weekly Log'!$A:$A,"&gt;="&amp;$J913,'Weekly Log'!$A:$A,"&lt;"&amp;$J913+7)/COUNTIFS('Weekly Log'!$G:$G,"&lt;&gt;",'Weekly Log'!$A:$A,"&gt;="&amp;$J913,'Weekly Log'!$A:$A,"&lt;"&amp;$J913+7),0))</f>
        <v/>
      </c>
      <c r="D913" t="str">
        <f>IF($J913="","",IFERROR(COUNTIFS('Weekly Log'!$H:$H,"Y",'Weekly Log'!$A:$A,"&gt;="&amp;$J913,'Weekly Log'!$A:$A,"&lt;"&amp;$J913+7)/COUNTIFS('Weekly Log'!$H:$H,"&lt;&gt;",'Weekly Log'!$A:$A,"&gt;="&amp;$J913,'Weekly Log'!$A:$A,"&lt;"&amp;$J913+7),0))</f>
        <v/>
      </c>
      <c r="E913" t="str">
        <f>IF($J913="","",IFERROR(AVERAGEIFS('Weekly Log'!$F:$F,'Weekly Log'!$A:$A,"&gt;="&amp;$J913,'Weekly Log'!$A:$A,"&lt;"&amp;$J913+7),0))</f>
        <v/>
      </c>
      <c r="F913" t="str">
        <f>IF($J913="","",IFERROR(SUMIFS('Weekly Log'!$F:$F,'Weekly Log'!$A:$A,"&gt;="&amp;$J913,'Weekly Log'!$A:$A,"&lt;"&amp;$J913+7)/SUMIFS('Weekly Log'!$E:$E,'Weekly Log'!$A:$A,"&gt;="&amp;$J913,'Weekly Log'!$A:$A,"&lt;"&amp;$J913+7),0))</f>
        <v/>
      </c>
      <c r="G913" t="str">
        <f>IF($J913="","",IFERROR(LOOKUP(2,1/(('Weekly Log'!$A$5:$A$5000&gt;=$J913)*('Weekly Log'!$A$5:$A$5000&lt;$J913+7)*('Weekly Log'!$M$5:$M$5000&lt;&gt;"")),'Weekly Log'!$M$5:$M$5000),0))</f>
        <v/>
      </c>
      <c r="J913" t="str">
        <f>IF(COUNT('Weekly Log'!$A$5:$A$5000)=0,"",IF(MIN('Weekly Log'!$A$5:$A$5000)+7*(ROW()-10)&gt;MAX('Weekly Log'!$A$5:$A$5000),"",MIN('Weekly Log'!$A$5:$A$5000)+7*(ROW()-10)))</f>
        <v/>
      </c>
    </row>
    <row r="914" spans="1:10" x14ac:dyDescent="0.25">
      <c r="A914" t="str">
        <f t="shared" si="14"/>
        <v/>
      </c>
      <c r="B914" t="str">
        <f>IF($J914="","",SUMIFS('Weekly Log'!$C:$C,'Weekly Log'!$A:$A,"&gt;="&amp;$J914,'Weekly Log'!$A:$A,"&lt;"&amp;$J914+7))</f>
        <v/>
      </c>
      <c r="C914" t="str">
        <f>IF($J914="","",IFERROR(COUNTIFS('Weekly Log'!$G:$G,"Y",'Weekly Log'!$A:$A,"&gt;="&amp;$J914,'Weekly Log'!$A:$A,"&lt;"&amp;$J914+7)/COUNTIFS('Weekly Log'!$G:$G,"&lt;&gt;",'Weekly Log'!$A:$A,"&gt;="&amp;$J914,'Weekly Log'!$A:$A,"&lt;"&amp;$J914+7),0))</f>
        <v/>
      </c>
      <c r="D914" t="str">
        <f>IF($J914="","",IFERROR(COUNTIFS('Weekly Log'!$H:$H,"Y",'Weekly Log'!$A:$A,"&gt;="&amp;$J914,'Weekly Log'!$A:$A,"&lt;"&amp;$J914+7)/COUNTIFS('Weekly Log'!$H:$H,"&lt;&gt;",'Weekly Log'!$A:$A,"&gt;="&amp;$J914,'Weekly Log'!$A:$A,"&lt;"&amp;$J914+7),0))</f>
        <v/>
      </c>
      <c r="E914" t="str">
        <f>IF($J914="","",IFERROR(AVERAGEIFS('Weekly Log'!$F:$F,'Weekly Log'!$A:$A,"&gt;="&amp;$J914,'Weekly Log'!$A:$A,"&lt;"&amp;$J914+7),0))</f>
        <v/>
      </c>
      <c r="F914" t="str">
        <f>IF($J914="","",IFERROR(SUMIFS('Weekly Log'!$F:$F,'Weekly Log'!$A:$A,"&gt;="&amp;$J914,'Weekly Log'!$A:$A,"&lt;"&amp;$J914+7)/SUMIFS('Weekly Log'!$E:$E,'Weekly Log'!$A:$A,"&gt;="&amp;$J914,'Weekly Log'!$A:$A,"&lt;"&amp;$J914+7),0))</f>
        <v/>
      </c>
      <c r="G914" t="str">
        <f>IF($J914="","",IFERROR(LOOKUP(2,1/(('Weekly Log'!$A$5:$A$5000&gt;=$J914)*('Weekly Log'!$A$5:$A$5000&lt;$J914+7)*('Weekly Log'!$M$5:$M$5000&lt;&gt;"")),'Weekly Log'!$M$5:$M$5000),0))</f>
        <v/>
      </c>
      <c r="J914" t="str">
        <f>IF(COUNT('Weekly Log'!$A$5:$A$5000)=0,"",IF(MIN('Weekly Log'!$A$5:$A$5000)+7*(ROW()-10)&gt;MAX('Weekly Log'!$A$5:$A$5000),"",MIN('Weekly Log'!$A$5:$A$5000)+7*(ROW()-10)))</f>
        <v/>
      </c>
    </row>
    <row r="915" spans="1:10" x14ac:dyDescent="0.25">
      <c r="A915" t="str">
        <f t="shared" si="14"/>
        <v/>
      </c>
      <c r="B915" t="str">
        <f>IF($J915="","",SUMIFS('Weekly Log'!$C:$C,'Weekly Log'!$A:$A,"&gt;="&amp;$J915,'Weekly Log'!$A:$A,"&lt;"&amp;$J915+7))</f>
        <v/>
      </c>
      <c r="C915" t="str">
        <f>IF($J915="","",IFERROR(COUNTIFS('Weekly Log'!$G:$G,"Y",'Weekly Log'!$A:$A,"&gt;="&amp;$J915,'Weekly Log'!$A:$A,"&lt;"&amp;$J915+7)/COUNTIFS('Weekly Log'!$G:$G,"&lt;&gt;",'Weekly Log'!$A:$A,"&gt;="&amp;$J915,'Weekly Log'!$A:$A,"&lt;"&amp;$J915+7),0))</f>
        <v/>
      </c>
      <c r="D915" t="str">
        <f>IF($J915="","",IFERROR(COUNTIFS('Weekly Log'!$H:$H,"Y",'Weekly Log'!$A:$A,"&gt;="&amp;$J915,'Weekly Log'!$A:$A,"&lt;"&amp;$J915+7)/COUNTIFS('Weekly Log'!$H:$H,"&lt;&gt;",'Weekly Log'!$A:$A,"&gt;="&amp;$J915,'Weekly Log'!$A:$A,"&lt;"&amp;$J915+7),0))</f>
        <v/>
      </c>
      <c r="E915" t="str">
        <f>IF($J915="","",IFERROR(AVERAGEIFS('Weekly Log'!$F:$F,'Weekly Log'!$A:$A,"&gt;="&amp;$J915,'Weekly Log'!$A:$A,"&lt;"&amp;$J915+7),0))</f>
        <v/>
      </c>
      <c r="F915" t="str">
        <f>IF($J915="","",IFERROR(SUMIFS('Weekly Log'!$F:$F,'Weekly Log'!$A:$A,"&gt;="&amp;$J915,'Weekly Log'!$A:$A,"&lt;"&amp;$J915+7)/SUMIFS('Weekly Log'!$E:$E,'Weekly Log'!$A:$A,"&gt;="&amp;$J915,'Weekly Log'!$A:$A,"&lt;"&amp;$J915+7),0))</f>
        <v/>
      </c>
      <c r="G915" t="str">
        <f>IF($J915="","",IFERROR(LOOKUP(2,1/(('Weekly Log'!$A$5:$A$5000&gt;=$J915)*('Weekly Log'!$A$5:$A$5000&lt;$J915+7)*('Weekly Log'!$M$5:$M$5000&lt;&gt;"")),'Weekly Log'!$M$5:$M$5000),0))</f>
        <v/>
      </c>
      <c r="J915" t="str">
        <f>IF(COUNT('Weekly Log'!$A$5:$A$5000)=0,"",IF(MIN('Weekly Log'!$A$5:$A$5000)+7*(ROW()-10)&gt;MAX('Weekly Log'!$A$5:$A$5000),"",MIN('Weekly Log'!$A$5:$A$5000)+7*(ROW()-10)))</f>
        <v/>
      </c>
    </row>
    <row r="916" spans="1:10" x14ac:dyDescent="0.25">
      <c r="A916" t="str">
        <f t="shared" si="14"/>
        <v/>
      </c>
      <c r="B916" t="str">
        <f>IF($J916="","",SUMIFS('Weekly Log'!$C:$C,'Weekly Log'!$A:$A,"&gt;="&amp;$J916,'Weekly Log'!$A:$A,"&lt;"&amp;$J916+7))</f>
        <v/>
      </c>
      <c r="C916" t="str">
        <f>IF($J916="","",IFERROR(COUNTIFS('Weekly Log'!$G:$G,"Y",'Weekly Log'!$A:$A,"&gt;="&amp;$J916,'Weekly Log'!$A:$A,"&lt;"&amp;$J916+7)/COUNTIFS('Weekly Log'!$G:$G,"&lt;&gt;",'Weekly Log'!$A:$A,"&gt;="&amp;$J916,'Weekly Log'!$A:$A,"&lt;"&amp;$J916+7),0))</f>
        <v/>
      </c>
      <c r="D916" t="str">
        <f>IF($J916="","",IFERROR(COUNTIFS('Weekly Log'!$H:$H,"Y",'Weekly Log'!$A:$A,"&gt;="&amp;$J916,'Weekly Log'!$A:$A,"&lt;"&amp;$J916+7)/COUNTIFS('Weekly Log'!$H:$H,"&lt;&gt;",'Weekly Log'!$A:$A,"&gt;="&amp;$J916,'Weekly Log'!$A:$A,"&lt;"&amp;$J916+7),0))</f>
        <v/>
      </c>
      <c r="E916" t="str">
        <f>IF($J916="","",IFERROR(AVERAGEIFS('Weekly Log'!$F:$F,'Weekly Log'!$A:$A,"&gt;="&amp;$J916,'Weekly Log'!$A:$A,"&lt;"&amp;$J916+7),0))</f>
        <v/>
      </c>
      <c r="F916" t="str">
        <f>IF($J916="","",IFERROR(SUMIFS('Weekly Log'!$F:$F,'Weekly Log'!$A:$A,"&gt;="&amp;$J916,'Weekly Log'!$A:$A,"&lt;"&amp;$J916+7)/SUMIFS('Weekly Log'!$E:$E,'Weekly Log'!$A:$A,"&gt;="&amp;$J916,'Weekly Log'!$A:$A,"&lt;"&amp;$J916+7),0))</f>
        <v/>
      </c>
      <c r="G916" t="str">
        <f>IF($J916="","",IFERROR(LOOKUP(2,1/(('Weekly Log'!$A$5:$A$5000&gt;=$J916)*('Weekly Log'!$A$5:$A$5000&lt;$J916+7)*('Weekly Log'!$M$5:$M$5000&lt;&gt;"")),'Weekly Log'!$M$5:$M$5000),0))</f>
        <v/>
      </c>
      <c r="J916" t="str">
        <f>IF(COUNT('Weekly Log'!$A$5:$A$5000)=0,"",IF(MIN('Weekly Log'!$A$5:$A$5000)+7*(ROW()-10)&gt;MAX('Weekly Log'!$A$5:$A$5000),"",MIN('Weekly Log'!$A$5:$A$5000)+7*(ROW()-10)))</f>
        <v/>
      </c>
    </row>
    <row r="917" spans="1:10" x14ac:dyDescent="0.25">
      <c r="A917" t="str">
        <f t="shared" si="14"/>
        <v/>
      </c>
      <c r="B917" t="str">
        <f>IF($J917="","",SUMIFS('Weekly Log'!$C:$C,'Weekly Log'!$A:$A,"&gt;="&amp;$J917,'Weekly Log'!$A:$A,"&lt;"&amp;$J917+7))</f>
        <v/>
      </c>
      <c r="C917" t="str">
        <f>IF($J917="","",IFERROR(COUNTIFS('Weekly Log'!$G:$G,"Y",'Weekly Log'!$A:$A,"&gt;="&amp;$J917,'Weekly Log'!$A:$A,"&lt;"&amp;$J917+7)/COUNTIFS('Weekly Log'!$G:$G,"&lt;&gt;",'Weekly Log'!$A:$A,"&gt;="&amp;$J917,'Weekly Log'!$A:$A,"&lt;"&amp;$J917+7),0))</f>
        <v/>
      </c>
      <c r="D917" t="str">
        <f>IF($J917="","",IFERROR(COUNTIFS('Weekly Log'!$H:$H,"Y",'Weekly Log'!$A:$A,"&gt;="&amp;$J917,'Weekly Log'!$A:$A,"&lt;"&amp;$J917+7)/COUNTIFS('Weekly Log'!$H:$H,"&lt;&gt;",'Weekly Log'!$A:$A,"&gt;="&amp;$J917,'Weekly Log'!$A:$A,"&lt;"&amp;$J917+7),0))</f>
        <v/>
      </c>
      <c r="E917" t="str">
        <f>IF($J917="","",IFERROR(AVERAGEIFS('Weekly Log'!$F:$F,'Weekly Log'!$A:$A,"&gt;="&amp;$J917,'Weekly Log'!$A:$A,"&lt;"&amp;$J917+7),0))</f>
        <v/>
      </c>
      <c r="F917" t="str">
        <f>IF($J917="","",IFERROR(SUMIFS('Weekly Log'!$F:$F,'Weekly Log'!$A:$A,"&gt;="&amp;$J917,'Weekly Log'!$A:$A,"&lt;"&amp;$J917+7)/SUMIFS('Weekly Log'!$E:$E,'Weekly Log'!$A:$A,"&gt;="&amp;$J917,'Weekly Log'!$A:$A,"&lt;"&amp;$J917+7),0))</f>
        <v/>
      </c>
      <c r="G917" t="str">
        <f>IF($J917="","",IFERROR(LOOKUP(2,1/(('Weekly Log'!$A$5:$A$5000&gt;=$J917)*('Weekly Log'!$A$5:$A$5000&lt;$J917+7)*('Weekly Log'!$M$5:$M$5000&lt;&gt;"")),'Weekly Log'!$M$5:$M$5000),0))</f>
        <v/>
      </c>
      <c r="J917" t="str">
        <f>IF(COUNT('Weekly Log'!$A$5:$A$5000)=0,"",IF(MIN('Weekly Log'!$A$5:$A$5000)+7*(ROW()-10)&gt;MAX('Weekly Log'!$A$5:$A$5000),"",MIN('Weekly Log'!$A$5:$A$5000)+7*(ROW()-10)))</f>
        <v/>
      </c>
    </row>
    <row r="918" spans="1:10" x14ac:dyDescent="0.25">
      <c r="A918" t="str">
        <f t="shared" si="14"/>
        <v/>
      </c>
      <c r="B918" t="str">
        <f>IF($J918="","",SUMIFS('Weekly Log'!$C:$C,'Weekly Log'!$A:$A,"&gt;="&amp;$J918,'Weekly Log'!$A:$A,"&lt;"&amp;$J918+7))</f>
        <v/>
      </c>
      <c r="C918" t="str">
        <f>IF($J918="","",IFERROR(COUNTIFS('Weekly Log'!$G:$G,"Y",'Weekly Log'!$A:$A,"&gt;="&amp;$J918,'Weekly Log'!$A:$A,"&lt;"&amp;$J918+7)/COUNTIFS('Weekly Log'!$G:$G,"&lt;&gt;",'Weekly Log'!$A:$A,"&gt;="&amp;$J918,'Weekly Log'!$A:$A,"&lt;"&amp;$J918+7),0))</f>
        <v/>
      </c>
      <c r="D918" t="str">
        <f>IF($J918="","",IFERROR(COUNTIFS('Weekly Log'!$H:$H,"Y",'Weekly Log'!$A:$A,"&gt;="&amp;$J918,'Weekly Log'!$A:$A,"&lt;"&amp;$J918+7)/COUNTIFS('Weekly Log'!$H:$H,"&lt;&gt;",'Weekly Log'!$A:$A,"&gt;="&amp;$J918,'Weekly Log'!$A:$A,"&lt;"&amp;$J918+7),0))</f>
        <v/>
      </c>
      <c r="E918" t="str">
        <f>IF($J918="","",IFERROR(AVERAGEIFS('Weekly Log'!$F:$F,'Weekly Log'!$A:$A,"&gt;="&amp;$J918,'Weekly Log'!$A:$A,"&lt;"&amp;$J918+7),0))</f>
        <v/>
      </c>
      <c r="F918" t="str">
        <f>IF($J918="","",IFERROR(SUMIFS('Weekly Log'!$F:$F,'Weekly Log'!$A:$A,"&gt;="&amp;$J918,'Weekly Log'!$A:$A,"&lt;"&amp;$J918+7)/SUMIFS('Weekly Log'!$E:$E,'Weekly Log'!$A:$A,"&gt;="&amp;$J918,'Weekly Log'!$A:$A,"&lt;"&amp;$J918+7),0))</f>
        <v/>
      </c>
      <c r="G918" t="str">
        <f>IF($J918="","",IFERROR(LOOKUP(2,1/(('Weekly Log'!$A$5:$A$5000&gt;=$J918)*('Weekly Log'!$A$5:$A$5000&lt;$J918+7)*('Weekly Log'!$M$5:$M$5000&lt;&gt;"")),'Weekly Log'!$M$5:$M$5000),0))</f>
        <v/>
      </c>
      <c r="J918" t="str">
        <f>IF(COUNT('Weekly Log'!$A$5:$A$5000)=0,"",IF(MIN('Weekly Log'!$A$5:$A$5000)+7*(ROW()-10)&gt;MAX('Weekly Log'!$A$5:$A$5000),"",MIN('Weekly Log'!$A$5:$A$5000)+7*(ROW()-10)))</f>
        <v/>
      </c>
    </row>
    <row r="919" spans="1:10" x14ac:dyDescent="0.25">
      <c r="A919" t="str">
        <f t="shared" si="14"/>
        <v/>
      </c>
      <c r="B919" t="str">
        <f>IF($J919="","",SUMIFS('Weekly Log'!$C:$C,'Weekly Log'!$A:$A,"&gt;="&amp;$J919,'Weekly Log'!$A:$A,"&lt;"&amp;$J919+7))</f>
        <v/>
      </c>
      <c r="C919" t="str">
        <f>IF($J919="","",IFERROR(COUNTIFS('Weekly Log'!$G:$G,"Y",'Weekly Log'!$A:$A,"&gt;="&amp;$J919,'Weekly Log'!$A:$A,"&lt;"&amp;$J919+7)/COUNTIFS('Weekly Log'!$G:$G,"&lt;&gt;",'Weekly Log'!$A:$A,"&gt;="&amp;$J919,'Weekly Log'!$A:$A,"&lt;"&amp;$J919+7),0))</f>
        <v/>
      </c>
      <c r="D919" t="str">
        <f>IF($J919="","",IFERROR(COUNTIFS('Weekly Log'!$H:$H,"Y",'Weekly Log'!$A:$A,"&gt;="&amp;$J919,'Weekly Log'!$A:$A,"&lt;"&amp;$J919+7)/COUNTIFS('Weekly Log'!$H:$H,"&lt;&gt;",'Weekly Log'!$A:$A,"&gt;="&amp;$J919,'Weekly Log'!$A:$A,"&lt;"&amp;$J919+7),0))</f>
        <v/>
      </c>
      <c r="E919" t="str">
        <f>IF($J919="","",IFERROR(AVERAGEIFS('Weekly Log'!$F:$F,'Weekly Log'!$A:$A,"&gt;="&amp;$J919,'Weekly Log'!$A:$A,"&lt;"&amp;$J919+7),0))</f>
        <v/>
      </c>
      <c r="F919" t="str">
        <f>IF($J919="","",IFERROR(SUMIFS('Weekly Log'!$F:$F,'Weekly Log'!$A:$A,"&gt;="&amp;$J919,'Weekly Log'!$A:$A,"&lt;"&amp;$J919+7)/SUMIFS('Weekly Log'!$E:$E,'Weekly Log'!$A:$A,"&gt;="&amp;$J919,'Weekly Log'!$A:$A,"&lt;"&amp;$J919+7),0))</f>
        <v/>
      </c>
      <c r="G919" t="str">
        <f>IF($J919="","",IFERROR(LOOKUP(2,1/(('Weekly Log'!$A$5:$A$5000&gt;=$J919)*('Weekly Log'!$A$5:$A$5000&lt;$J919+7)*('Weekly Log'!$M$5:$M$5000&lt;&gt;"")),'Weekly Log'!$M$5:$M$5000),0))</f>
        <v/>
      </c>
      <c r="J919" t="str">
        <f>IF(COUNT('Weekly Log'!$A$5:$A$5000)=0,"",IF(MIN('Weekly Log'!$A$5:$A$5000)+7*(ROW()-10)&gt;MAX('Weekly Log'!$A$5:$A$5000),"",MIN('Weekly Log'!$A$5:$A$5000)+7*(ROW()-10)))</f>
        <v/>
      </c>
    </row>
    <row r="920" spans="1:10" x14ac:dyDescent="0.25">
      <c r="A920" t="str">
        <f t="shared" si="14"/>
        <v/>
      </c>
      <c r="B920" t="str">
        <f>IF($J920="","",SUMIFS('Weekly Log'!$C:$C,'Weekly Log'!$A:$A,"&gt;="&amp;$J920,'Weekly Log'!$A:$A,"&lt;"&amp;$J920+7))</f>
        <v/>
      </c>
      <c r="C920" t="str">
        <f>IF($J920="","",IFERROR(COUNTIFS('Weekly Log'!$G:$G,"Y",'Weekly Log'!$A:$A,"&gt;="&amp;$J920,'Weekly Log'!$A:$A,"&lt;"&amp;$J920+7)/COUNTIFS('Weekly Log'!$G:$G,"&lt;&gt;",'Weekly Log'!$A:$A,"&gt;="&amp;$J920,'Weekly Log'!$A:$A,"&lt;"&amp;$J920+7),0))</f>
        <v/>
      </c>
      <c r="D920" t="str">
        <f>IF($J920="","",IFERROR(COUNTIFS('Weekly Log'!$H:$H,"Y",'Weekly Log'!$A:$A,"&gt;="&amp;$J920,'Weekly Log'!$A:$A,"&lt;"&amp;$J920+7)/COUNTIFS('Weekly Log'!$H:$H,"&lt;&gt;",'Weekly Log'!$A:$A,"&gt;="&amp;$J920,'Weekly Log'!$A:$A,"&lt;"&amp;$J920+7),0))</f>
        <v/>
      </c>
      <c r="E920" t="str">
        <f>IF($J920="","",IFERROR(AVERAGEIFS('Weekly Log'!$F:$F,'Weekly Log'!$A:$A,"&gt;="&amp;$J920,'Weekly Log'!$A:$A,"&lt;"&amp;$J920+7),0))</f>
        <v/>
      </c>
      <c r="F920" t="str">
        <f>IF($J920="","",IFERROR(SUMIFS('Weekly Log'!$F:$F,'Weekly Log'!$A:$A,"&gt;="&amp;$J920,'Weekly Log'!$A:$A,"&lt;"&amp;$J920+7)/SUMIFS('Weekly Log'!$E:$E,'Weekly Log'!$A:$A,"&gt;="&amp;$J920,'Weekly Log'!$A:$A,"&lt;"&amp;$J920+7),0))</f>
        <v/>
      </c>
      <c r="G920" t="str">
        <f>IF($J920="","",IFERROR(LOOKUP(2,1/(('Weekly Log'!$A$5:$A$5000&gt;=$J920)*('Weekly Log'!$A$5:$A$5000&lt;$J920+7)*('Weekly Log'!$M$5:$M$5000&lt;&gt;"")),'Weekly Log'!$M$5:$M$5000),0))</f>
        <v/>
      </c>
      <c r="J920" t="str">
        <f>IF(COUNT('Weekly Log'!$A$5:$A$5000)=0,"",IF(MIN('Weekly Log'!$A$5:$A$5000)+7*(ROW()-10)&gt;MAX('Weekly Log'!$A$5:$A$5000),"",MIN('Weekly Log'!$A$5:$A$5000)+7*(ROW()-10)))</f>
        <v/>
      </c>
    </row>
    <row r="921" spans="1:10" x14ac:dyDescent="0.25">
      <c r="A921" t="str">
        <f t="shared" si="14"/>
        <v/>
      </c>
      <c r="B921" t="str">
        <f>IF($J921="","",SUMIFS('Weekly Log'!$C:$C,'Weekly Log'!$A:$A,"&gt;="&amp;$J921,'Weekly Log'!$A:$A,"&lt;"&amp;$J921+7))</f>
        <v/>
      </c>
      <c r="C921" t="str">
        <f>IF($J921="","",IFERROR(COUNTIFS('Weekly Log'!$G:$G,"Y",'Weekly Log'!$A:$A,"&gt;="&amp;$J921,'Weekly Log'!$A:$A,"&lt;"&amp;$J921+7)/COUNTIFS('Weekly Log'!$G:$G,"&lt;&gt;",'Weekly Log'!$A:$A,"&gt;="&amp;$J921,'Weekly Log'!$A:$A,"&lt;"&amp;$J921+7),0))</f>
        <v/>
      </c>
      <c r="D921" t="str">
        <f>IF($J921="","",IFERROR(COUNTIFS('Weekly Log'!$H:$H,"Y",'Weekly Log'!$A:$A,"&gt;="&amp;$J921,'Weekly Log'!$A:$A,"&lt;"&amp;$J921+7)/COUNTIFS('Weekly Log'!$H:$H,"&lt;&gt;",'Weekly Log'!$A:$A,"&gt;="&amp;$J921,'Weekly Log'!$A:$A,"&lt;"&amp;$J921+7),0))</f>
        <v/>
      </c>
      <c r="E921" t="str">
        <f>IF($J921="","",IFERROR(AVERAGEIFS('Weekly Log'!$F:$F,'Weekly Log'!$A:$A,"&gt;="&amp;$J921,'Weekly Log'!$A:$A,"&lt;"&amp;$J921+7),0))</f>
        <v/>
      </c>
      <c r="F921" t="str">
        <f>IF($J921="","",IFERROR(SUMIFS('Weekly Log'!$F:$F,'Weekly Log'!$A:$A,"&gt;="&amp;$J921,'Weekly Log'!$A:$A,"&lt;"&amp;$J921+7)/SUMIFS('Weekly Log'!$E:$E,'Weekly Log'!$A:$A,"&gt;="&amp;$J921,'Weekly Log'!$A:$A,"&lt;"&amp;$J921+7),0))</f>
        <v/>
      </c>
      <c r="G921" t="str">
        <f>IF($J921="","",IFERROR(LOOKUP(2,1/(('Weekly Log'!$A$5:$A$5000&gt;=$J921)*('Weekly Log'!$A$5:$A$5000&lt;$J921+7)*('Weekly Log'!$M$5:$M$5000&lt;&gt;"")),'Weekly Log'!$M$5:$M$5000),0))</f>
        <v/>
      </c>
      <c r="J921" t="str">
        <f>IF(COUNT('Weekly Log'!$A$5:$A$5000)=0,"",IF(MIN('Weekly Log'!$A$5:$A$5000)+7*(ROW()-10)&gt;MAX('Weekly Log'!$A$5:$A$5000),"",MIN('Weekly Log'!$A$5:$A$5000)+7*(ROW()-10)))</f>
        <v/>
      </c>
    </row>
    <row r="922" spans="1:10" x14ac:dyDescent="0.25">
      <c r="A922" t="str">
        <f t="shared" si="14"/>
        <v/>
      </c>
      <c r="B922" t="str">
        <f>IF($J922="","",SUMIFS('Weekly Log'!$C:$C,'Weekly Log'!$A:$A,"&gt;="&amp;$J922,'Weekly Log'!$A:$A,"&lt;"&amp;$J922+7))</f>
        <v/>
      </c>
      <c r="C922" t="str">
        <f>IF($J922="","",IFERROR(COUNTIFS('Weekly Log'!$G:$G,"Y",'Weekly Log'!$A:$A,"&gt;="&amp;$J922,'Weekly Log'!$A:$A,"&lt;"&amp;$J922+7)/COUNTIFS('Weekly Log'!$G:$G,"&lt;&gt;",'Weekly Log'!$A:$A,"&gt;="&amp;$J922,'Weekly Log'!$A:$A,"&lt;"&amp;$J922+7),0))</f>
        <v/>
      </c>
      <c r="D922" t="str">
        <f>IF($J922="","",IFERROR(COUNTIFS('Weekly Log'!$H:$H,"Y",'Weekly Log'!$A:$A,"&gt;="&amp;$J922,'Weekly Log'!$A:$A,"&lt;"&amp;$J922+7)/COUNTIFS('Weekly Log'!$H:$H,"&lt;&gt;",'Weekly Log'!$A:$A,"&gt;="&amp;$J922,'Weekly Log'!$A:$A,"&lt;"&amp;$J922+7),0))</f>
        <v/>
      </c>
      <c r="E922" t="str">
        <f>IF($J922="","",IFERROR(AVERAGEIFS('Weekly Log'!$F:$F,'Weekly Log'!$A:$A,"&gt;="&amp;$J922,'Weekly Log'!$A:$A,"&lt;"&amp;$J922+7),0))</f>
        <v/>
      </c>
      <c r="F922" t="str">
        <f>IF($J922="","",IFERROR(SUMIFS('Weekly Log'!$F:$F,'Weekly Log'!$A:$A,"&gt;="&amp;$J922,'Weekly Log'!$A:$A,"&lt;"&amp;$J922+7)/SUMIFS('Weekly Log'!$E:$E,'Weekly Log'!$A:$A,"&gt;="&amp;$J922,'Weekly Log'!$A:$A,"&lt;"&amp;$J922+7),0))</f>
        <v/>
      </c>
      <c r="G922" t="str">
        <f>IF($J922="","",IFERROR(LOOKUP(2,1/(('Weekly Log'!$A$5:$A$5000&gt;=$J922)*('Weekly Log'!$A$5:$A$5000&lt;$J922+7)*('Weekly Log'!$M$5:$M$5000&lt;&gt;"")),'Weekly Log'!$M$5:$M$5000),0))</f>
        <v/>
      </c>
      <c r="J922" t="str">
        <f>IF(COUNT('Weekly Log'!$A$5:$A$5000)=0,"",IF(MIN('Weekly Log'!$A$5:$A$5000)+7*(ROW()-10)&gt;MAX('Weekly Log'!$A$5:$A$5000),"",MIN('Weekly Log'!$A$5:$A$5000)+7*(ROW()-10)))</f>
        <v/>
      </c>
    </row>
    <row r="923" spans="1:10" x14ac:dyDescent="0.25">
      <c r="A923" t="str">
        <f t="shared" si="14"/>
        <v/>
      </c>
      <c r="B923" t="str">
        <f>IF($J923="","",SUMIFS('Weekly Log'!$C:$C,'Weekly Log'!$A:$A,"&gt;="&amp;$J923,'Weekly Log'!$A:$A,"&lt;"&amp;$J923+7))</f>
        <v/>
      </c>
      <c r="C923" t="str">
        <f>IF($J923="","",IFERROR(COUNTIFS('Weekly Log'!$G:$G,"Y",'Weekly Log'!$A:$A,"&gt;="&amp;$J923,'Weekly Log'!$A:$A,"&lt;"&amp;$J923+7)/COUNTIFS('Weekly Log'!$G:$G,"&lt;&gt;",'Weekly Log'!$A:$A,"&gt;="&amp;$J923,'Weekly Log'!$A:$A,"&lt;"&amp;$J923+7),0))</f>
        <v/>
      </c>
      <c r="D923" t="str">
        <f>IF($J923="","",IFERROR(COUNTIFS('Weekly Log'!$H:$H,"Y",'Weekly Log'!$A:$A,"&gt;="&amp;$J923,'Weekly Log'!$A:$A,"&lt;"&amp;$J923+7)/COUNTIFS('Weekly Log'!$H:$H,"&lt;&gt;",'Weekly Log'!$A:$A,"&gt;="&amp;$J923,'Weekly Log'!$A:$A,"&lt;"&amp;$J923+7),0))</f>
        <v/>
      </c>
      <c r="E923" t="str">
        <f>IF($J923="","",IFERROR(AVERAGEIFS('Weekly Log'!$F:$F,'Weekly Log'!$A:$A,"&gt;="&amp;$J923,'Weekly Log'!$A:$A,"&lt;"&amp;$J923+7),0))</f>
        <v/>
      </c>
      <c r="F923" t="str">
        <f>IF($J923="","",IFERROR(SUMIFS('Weekly Log'!$F:$F,'Weekly Log'!$A:$A,"&gt;="&amp;$J923,'Weekly Log'!$A:$A,"&lt;"&amp;$J923+7)/SUMIFS('Weekly Log'!$E:$E,'Weekly Log'!$A:$A,"&gt;="&amp;$J923,'Weekly Log'!$A:$A,"&lt;"&amp;$J923+7),0))</f>
        <v/>
      </c>
      <c r="G923" t="str">
        <f>IF($J923="","",IFERROR(LOOKUP(2,1/(('Weekly Log'!$A$5:$A$5000&gt;=$J923)*('Weekly Log'!$A$5:$A$5000&lt;$J923+7)*('Weekly Log'!$M$5:$M$5000&lt;&gt;"")),'Weekly Log'!$M$5:$M$5000),0))</f>
        <v/>
      </c>
      <c r="J923" t="str">
        <f>IF(COUNT('Weekly Log'!$A$5:$A$5000)=0,"",IF(MIN('Weekly Log'!$A$5:$A$5000)+7*(ROW()-10)&gt;MAX('Weekly Log'!$A$5:$A$5000),"",MIN('Weekly Log'!$A$5:$A$5000)+7*(ROW()-10)))</f>
        <v/>
      </c>
    </row>
    <row r="924" spans="1:10" x14ac:dyDescent="0.25">
      <c r="A924" t="str">
        <f t="shared" si="14"/>
        <v/>
      </c>
      <c r="B924" t="str">
        <f>IF($J924="","",SUMIFS('Weekly Log'!$C:$C,'Weekly Log'!$A:$A,"&gt;="&amp;$J924,'Weekly Log'!$A:$A,"&lt;"&amp;$J924+7))</f>
        <v/>
      </c>
      <c r="C924" t="str">
        <f>IF($J924="","",IFERROR(COUNTIFS('Weekly Log'!$G:$G,"Y",'Weekly Log'!$A:$A,"&gt;="&amp;$J924,'Weekly Log'!$A:$A,"&lt;"&amp;$J924+7)/COUNTIFS('Weekly Log'!$G:$G,"&lt;&gt;",'Weekly Log'!$A:$A,"&gt;="&amp;$J924,'Weekly Log'!$A:$A,"&lt;"&amp;$J924+7),0))</f>
        <v/>
      </c>
      <c r="D924" t="str">
        <f>IF($J924="","",IFERROR(COUNTIFS('Weekly Log'!$H:$H,"Y",'Weekly Log'!$A:$A,"&gt;="&amp;$J924,'Weekly Log'!$A:$A,"&lt;"&amp;$J924+7)/COUNTIFS('Weekly Log'!$H:$H,"&lt;&gt;",'Weekly Log'!$A:$A,"&gt;="&amp;$J924,'Weekly Log'!$A:$A,"&lt;"&amp;$J924+7),0))</f>
        <v/>
      </c>
      <c r="E924" t="str">
        <f>IF($J924="","",IFERROR(AVERAGEIFS('Weekly Log'!$F:$F,'Weekly Log'!$A:$A,"&gt;="&amp;$J924,'Weekly Log'!$A:$A,"&lt;"&amp;$J924+7),0))</f>
        <v/>
      </c>
      <c r="F924" t="str">
        <f>IF($J924="","",IFERROR(SUMIFS('Weekly Log'!$F:$F,'Weekly Log'!$A:$A,"&gt;="&amp;$J924,'Weekly Log'!$A:$A,"&lt;"&amp;$J924+7)/SUMIFS('Weekly Log'!$E:$E,'Weekly Log'!$A:$A,"&gt;="&amp;$J924,'Weekly Log'!$A:$A,"&lt;"&amp;$J924+7),0))</f>
        <v/>
      </c>
      <c r="G924" t="str">
        <f>IF($J924="","",IFERROR(LOOKUP(2,1/(('Weekly Log'!$A$5:$A$5000&gt;=$J924)*('Weekly Log'!$A$5:$A$5000&lt;$J924+7)*('Weekly Log'!$M$5:$M$5000&lt;&gt;"")),'Weekly Log'!$M$5:$M$5000),0))</f>
        <v/>
      </c>
      <c r="J924" t="str">
        <f>IF(COUNT('Weekly Log'!$A$5:$A$5000)=0,"",IF(MIN('Weekly Log'!$A$5:$A$5000)+7*(ROW()-10)&gt;MAX('Weekly Log'!$A$5:$A$5000),"",MIN('Weekly Log'!$A$5:$A$5000)+7*(ROW()-10)))</f>
        <v/>
      </c>
    </row>
    <row r="925" spans="1:10" x14ac:dyDescent="0.25">
      <c r="A925" t="str">
        <f t="shared" si="14"/>
        <v/>
      </c>
      <c r="B925" t="str">
        <f>IF($J925="","",SUMIFS('Weekly Log'!$C:$C,'Weekly Log'!$A:$A,"&gt;="&amp;$J925,'Weekly Log'!$A:$A,"&lt;"&amp;$J925+7))</f>
        <v/>
      </c>
      <c r="C925" t="str">
        <f>IF($J925="","",IFERROR(COUNTIFS('Weekly Log'!$G:$G,"Y",'Weekly Log'!$A:$A,"&gt;="&amp;$J925,'Weekly Log'!$A:$A,"&lt;"&amp;$J925+7)/COUNTIFS('Weekly Log'!$G:$G,"&lt;&gt;",'Weekly Log'!$A:$A,"&gt;="&amp;$J925,'Weekly Log'!$A:$A,"&lt;"&amp;$J925+7),0))</f>
        <v/>
      </c>
      <c r="D925" t="str">
        <f>IF($J925="","",IFERROR(COUNTIFS('Weekly Log'!$H:$H,"Y",'Weekly Log'!$A:$A,"&gt;="&amp;$J925,'Weekly Log'!$A:$A,"&lt;"&amp;$J925+7)/COUNTIFS('Weekly Log'!$H:$H,"&lt;&gt;",'Weekly Log'!$A:$A,"&gt;="&amp;$J925,'Weekly Log'!$A:$A,"&lt;"&amp;$J925+7),0))</f>
        <v/>
      </c>
      <c r="E925" t="str">
        <f>IF($J925="","",IFERROR(AVERAGEIFS('Weekly Log'!$F:$F,'Weekly Log'!$A:$A,"&gt;="&amp;$J925,'Weekly Log'!$A:$A,"&lt;"&amp;$J925+7),0))</f>
        <v/>
      </c>
      <c r="F925" t="str">
        <f>IF($J925="","",IFERROR(SUMIFS('Weekly Log'!$F:$F,'Weekly Log'!$A:$A,"&gt;="&amp;$J925,'Weekly Log'!$A:$A,"&lt;"&amp;$J925+7)/SUMIFS('Weekly Log'!$E:$E,'Weekly Log'!$A:$A,"&gt;="&amp;$J925,'Weekly Log'!$A:$A,"&lt;"&amp;$J925+7),0))</f>
        <v/>
      </c>
      <c r="G925" t="str">
        <f>IF($J925="","",IFERROR(LOOKUP(2,1/(('Weekly Log'!$A$5:$A$5000&gt;=$J925)*('Weekly Log'!$A$5:$A$5000&lt;$J925+7)*('Weekly Log'!$M$5:$M$5000&lt;&gt;"")),'Weekly Log'!$M$5:$M$5000),0))</f>
        <v/>
      </c>
      <c r="J925" t="str">
        <f>IF(COUNT('Weekly Log'!$A$5:$A$5000)=0,"",IF(MIN('Weekly Log'!$A$5:$A$5000)+7*(ROW()-10)&gt;MAX('Weekly Log'!$A$5:$A$5000),"",MIN('Weekly Log'!$A$5:$A$5000)+7*(ROW()-10)))</f>
        <v/>
      </c>
    </row>
    <row r="926" spans="1:10" x14ac:dyDescent="0.25">
      <c r="A926" t="str">
        <f t="shared" si="14"/>
        <v/>
      </c>
      <c r="B926" t="str">
        <f>IF($J926="","",SUMIFS('Weekly Log'!$C:$C,'Weekly Log'!$A:$A,"&gt;="&amp;$J926,'Weekly Log'!$A:$A,"&lt;"&amp;$J926+7))</f>
        <v/>
      </c>
      <c r="C926" t="str">
        <f>IF($J926="","",IFERROR(COUNTIFS('Weekly Log'!$G:$G,"Y",'Weekly Log'!$A:$A,"&gt;="&amp;$J926,'Weekly Log'!$A:$A,"&lt;"&amp;$J926+7)/COUNTIFS('Weekly Log'!$G:$G,"&lt;&gt;",'Weekly Log'!$A:$A,"&gt;="&amp;$J926,'Weekly Log'!$A:$A,"&lt;"&amp;$J926+7),0))</f>
        <v/>
      </c>
      <c r="D926" t="str">
        <f>IF($J926="","",IFERROR(COUNTIFS('Weekly Log'!$H:$H,"Y",'Weekly Log'!$A:$A,"&gt;="&amp;$J926,'Weekly Log'!$A:$A,"&lt;"&amp;$J926+7)/COUNTIFS('Weekly Log'!$H:$H,"&lt;&gt;",'Weekly Log'!$A:$A,"&gt;="&amp;$J926,'Weekly Log'!$A:$A,"&lt;"&amp;$J926+7),0))</f>
        <v/>
      </c>
      <c r="E926" t="str">
        <f>IF($J926="","",IFERROR(AVERAGEIFS('Weekly Log'!$F:$F,'Weekly Log'!$A:$A,"&gt;="&amp;$J926,'Weekly Log'!$A:$A,"&lt;"&amp;$J926+7),0))</f>
        <v/>
      </c>
      <c r="F926" t="str">
        <f>IF($J926="","",IFERROR(SUMIFS('Weekly Log'!$F:$F,'Weekly Log'!$A:$A,"&gt;="&amp;$J926,'Weekly Log'!$A:$A,"&lt;"&amp;$J926+7)/SUMIFS('Weekly Log'!$E:$E,'Weekly Log'!$A:$A,"&gt;="&amp;$J926,'Weekly Log'!$A:$A,"&lt;"&amp;$J926+7),0))</f>
        <v/>
      </c>
      <c r="G926" t="str">
        <f>IF($J926="","",IFERROR(LOOKUP(2,1/(('Weekly Log'!$A$5:$A$5000&gt;=$J926)*('Weekly Log'!$A$5:$A$5000&lt;$J926+7)*('Weekly Log'!$M$5:$M$5000&lt;&gt;"")),'Weekly Log'!$M$5:$M$5000),0))</f>
        <v/>
      </c>
      <c r="J926" t="str">
        <f>IF(COUNT('Weekly Log'!$A$5:$A$5000)=0,"",IF(MIN('Weekly Log'!$A$5:$A$5000)+7*(ROW()-10)&gt;MAX('Weekly Log'!$A$5:$A$5000),"",MIN('Weekly Log'!$A$5:$A$5000)+7*(ROW()-10)))</f>
        <v/>
      </c>
    </row>
    <row r="927" spans="1:10" x14ac:dyDescent="0.25">
      <c r="A927" t="str">
        <f t="shared" si="14"/>
        <v/>
      </c>
      <c r="B927" t="str">
        <f>IF($J927="","",SUMIFS('Weekly Log'!$C:$C,'Weekly Log'!$A:$A,"&gt;="&amp;$J927,'Weekly Log'!$A:$A,"&lt;"&amp;$J927+7))</f>
        <v/>
      </c>
      <c r="C927" t="str">
        <f>IF($J927="","",IFERROR(COUNTIFS('Weekly Log'!$G:$G,"Y",'Weekly Log'!$A:$A,"&gt;="&amp;$J927,'Weekly Log'!$A:$A,"&lt;"&amp;$J927+7)/COUNTIFS('Weekly Log'!$G:$G,"&lt;&gt;",'Weekly Log'!$A:$A,"&gt;="&amp;$J927,'Weekly Log'!$A:$A,"&lt;"&amp;$J927+7),0))</f>
        <v/>
      </c>
      <c r="D927" t="str">
        <f>IF($J927="","",IFERROR(COUNTIFS('Weekly Log'!$H:$H,"Y",'Weekly Log'!$A:$A,"&gt;="&amp;$J927,'Weekly Log'!$A:$A,"&lt;"&amp;$J927+7)/COUNTIFS('Weekly Log'!$H:$H,"&lt;&gt;",'Weekly Log'!$A:$A,"&gt;="&amp;$J927,'Weekly Log'!$A:$A,"&lt;"&amp;$J927+7),0))</f>
        <v/>
      </c>
      <c r="E927" t="str">
        <f>IF($J927="","",IFERROR(AVERAGEIFS('Weekly Log'!$F:$F,'Weekly Log'!$A:$A,"&gt;="&amp;$J927,'Weekly Log'!$A:$A,"&lt;"&amp;$J927+7),0))</f>
        <v/>
      </c>
      <c r="F927" t="str">
        <f>IF($J927="","",IFERROR(SUMIFS('Weekly Log'!$F:$F,'Weekly Log'!$A:$A,"&gt;="&amp;$J927,'Weekly Log'!$A:$A,"&lt;"&amp;$J927+7)/SUMIFS('Weekly Log'!$E:$E,'Weekly Log'!$A:$A,"&gt;="&amp;$J927,'Weekly Log'!$A:$A,"&lt;"&amp;$J927+7),0))</f>
        <v/>
      </c>
      <c r="G927" t="str">
        <f>IF($J927="","",IFERROR(LOOKUP(2,1/(('Weekly Log'!$A$5:$A$5000&gt;=$J927)*('Weekly Log'!$A$5:$A$5000&lt;$J927+7)*('Weekly Log'!$M$5:$M$5000&lt;&gt;"")),'Weekly Log'!$M$5:$M$5000),0))</f>
        <v/>
      </c>
      <c r="J927" t="str">
        <f>IF(COUNT('Weekly Log'!$A$5:$A$5000)=0,"",IF(MIN('Weekly Log'!$A$5:$A$5000)+7*(ROW()-10)&gt;MAX('Weekly Log'!$A$5:$A$5000),"",MIN('Weekly Log'!$A$5:$A$5000)+7*(ROW()-10)))</f>
        <v/>
      </c>
    </row>
    <row r="928" spans="1:10" x14ac:dyDescent="0.25">
      <c r="A928" t="str">
        <f t="shared" si="14"/>
        <v/>
      </c>
      <c r="B928" t="str">
        <f>IF($J928="","",SUMIFS('Weekly Log'!$C:$C,'Weekly Log'!$A:$A,"&gt;="&amp;$J928,'Weekly Log'!$A:$A,"&lt;"&amp;$J928+7))</f>
        <v/>
      </c>
      <c r="C928" t="str">
        <f>IF($J928="","",IFERROR(COUNTIFS('Weekly Log'!$G:$G,"Y",'Weekly Log'!$A:$A,"&gt;="&amp;$J928,'Weekly Log'!$A:$A,"&lt;"&amp;$J928+7)/COUNTIFS('Weekly Log'!$G:$G,"&lt;&gt;",'Weekly Log'!$A:$A,"&gt;="&amp;$J928,'Weekly Log'!$A:$A,"&lt;"&amp;$J928+7),0))</f>
        <v/>
      </c>
      <c r="D928" t="str">
        <f>IF($J928="","",IFERROR(COUNTIFS('Weekly Log'!$H:$H,"Y",'Weekly Log'!$A:$A,"&gt;="&amp;$J928,'Weekly Log'!$A:$A,"&lt;"&amp;$J928+7)/COUNTIFS('Weekly Log'!$H:$H,"&lt;&gt;",'Weekly Log'!$A:$A,"&gt;="&amp;$J928,'Weekly Log'!$A:$A,"&lt;"&amp;$J928+7),0))</f>
        <v/>
      </c>
      <c r="E928" t="str">
        <f>IF($J928="","",IFERROR(AVERAGEIFS('Weekly Log'!$F:$F,'Weekly Log'!$A:$A,"&gt;="&amp;$J928,'Weekly Log'!$A:$A,"&lt;"&amp;$J928+7),0))</f>
        <v/>
      </c>
      <c r="F928" t="str">
        <f>IF($J928="","",IFERROR(SUMIFS('Weekly Log'!$F:$F,'Weekly Log'!$A:$A,"&gt;="&amp;$J928,'Weekly Log'!$A:$A,"&lt;"&amp;$J928+7)/SUMIFS('Weekly Log'!$E:$E,'Weekly Log'!$A:$A,"&gt;="&amp;$J928,'Weekly Log'!$A:$A,"&lt;"&amp;$J928+7),0))</f>
        <v/>
      </c>
      <c r="G928" t="str">
        <f>IF($J928="","",IFERROR(LOOKUP(2,1/(('Weekly Log'!$A$5:$A$5000&gt;=$J928)*('Weekly Log'!$A$5:$A$5000&lt;$J928+7)*('Weekly Log'!$M$5:$M$5000&lt;&gt;"")),'Weekly Log'!$M$5:$M$5000),0))</f>
        <v/>
      </c>
      <c r="J928" t="str">
        <f>IF(COUNT('Weekly Log'!$A$5:$A$5000)=0,"",IF(MIN('Weekly Log'!$A$5:$A$5000)+7*(ROW()-10)&gt;MAX('Weekly Log'!$A$5:$A$5000),"",MIN('Weekly Log'!$A$5:$A$5000)+7*(ROW()-10)))</f>
        <v/>
      </c>
    </row>
    <row r="929" spans="1:10" x14ac:dyDescent="0.25">
      <c r="A929" t="str">
        <f t="shared" si="14"/>
        <v/>
      </c>
      <c r="B929" t="str">
        <f>IF($J929="","",SUMIFS('Weekly Log'!$C:$C,'Weekly Log'!$A:$A,"&gt;="&amp;$J929,'Weekly Log'!$A:$A,"&lt;"&amp;$J929+7))</f>
        <v/>
      </c>
      <c r="C929" t="str">
        <f>IF($J929="","",IFERROR(COUNTIFS('Weekly Log'!$G:$G,"Y",'Weekly Log'!$A:$A,"&gt;="&amp;$J929,'Weekly Log'!$A:$A,"&lt;"&amp;$J929+7)/COUNTIFS('Weekly Log'!$G:$G,"&lt;&gt;",'Weekly Log'!$A:$A,"&gt;="&amp;$J929,'Weekly Log'!$A:$A,"&lt;"&amp;$J929+7),0))</f>
        <v/>
      </c>
      <c r="D929" t="str">
        <f>IF($J929="","",IFERROR(COUNTIFS('Weekly Log'!$H:$H,"Y",'Weekly Log'!$A:$A,"&gt;="&amp;$J929,'Weekly Log'!$A:$A,"&lt;"&amp;$J929+7)/COUNTIFS('Weekly Log'!$H:$H,"&lt;&gt;",'Weekly Log'!$A:$A,"&gt;="&amp;$J929,'Weekly Log'!$A:$A,"&lt;"&amp;$J929+7),0))</f>
        <v/>
      </c>
      <c r="E929" t="str">
        <f>IF($J929="","",IFERROR(AVERAGEIFS('Weekly Log'!$F:$F,'Weekly Log'!$A:$A,"&gt;="&amp;$J929,'Weekly Log'!$A:$A,"&lt;"&amp;$J929+7),0))</f>
        <v/>
      </c>
      <c r="F929" t="str">
        <f>IF($J929="","",IFERROR(SUMIFS('Weekly Log'!$F:$F,'Weekly Log'!$A:$A,"&gt;="&amp;$J929,'Weekly Log'!$A:$A,"&lt;"&amp;$J929+7)/SUMIFS('Weekly Log'!$E:$E,'Weekly Log'!$A:$A,"&gt;="&amp;$J929,'Weekly Log'!$A:$A,"&lt;"&amp;$J929+7),0))</f>
        <v/>
      </c>
      <c r="G929" t="str">
        <f>IF($J929="","",IFERROR(LOOKUP(2,1/(('Weekly Log'!$A$5:$A$5000&gt;=$J929)*('Weekly Log'!$A$5:$A$5000&lt;$J929+7)*('Weekly Log'!$M$5:$M$5000&lt;&gt;"")),'Weekly Log'!$M$5:$M$5000),0))</f>
        <v/>
      </c>
      <c r="J929" t="str">
        <f>IF(COUNT('Weekly Log'!$A$5:$A$5000)=0,"",IF(MIN('Weekly Log'!$A$5:$A$5000)+7*(ROW()-10)&gt;MAX('Weekly Log'!$A$5:$A$5000),"",MIN('Weekly Log'!$A$5:$A$5000)+7*(ROW()-10)))</f>
        <v/>
      </c>
    </row>
    <row r="930" spans="1:10" x14ac:dyDescent="0.25">
      <c r="A930" t="str">
        <f t="shared" si="14"/>
        <v/>
      </c>
      <c r="B930" t="str">
        <f>IF($J930="","",SUMIFS('Weekly Log'!$C:$C,'Weekly Log'!$A:$A,"&gt;="&amp;$J930,'Weekly Log'!$A:$A,"&lt;"&amp;$J930+7))</f>
        <v/>
      </c>
      <c r="C930" t="str">
        <f>IF($J930="","",IFERROR(COUNTIFS('Weekly Log'!$G:$G,"Y",'Weekly Log'!$A:$A,"&gt;="&amp;$J930,'Weekly Log'!$A:$A,"&lt;"&amp;$J930+7)/COUNTIFS('Weekly Log'!$G:$G,"&lt;&gt;",'Weekly Log'!$A:$A,"&gt;="&amp;$J930,'Weekly Log'!$A:$A,"&lt;"&amp;$J930+7),0))</f>
        <v/>
      </c>
      <c r="D930" t="str">
        <f>IF($J930="","",IFERROR(COUNTIFS('Weekly Log'!$H:$H,"Y",'Weekly Log'!$A:$A,"&gt;="&amp;$J930,'Weekly Log'!$A:$A,"&lt;"&amp;$J930+7)/COUNTIFS('Weekly Log'!$H:$H,"&lt;&gt;",'Weekly Log'!$A:$A,"&gt;="&amp;$J930,'Weekly Log'!$A:$A,"&lt;"&amp;$J930+7),0))</f>
        <v/>
      </c>
      <c r="E930" t="str">
        <f>IF($J930="","",IFERROR(AVERAGEIFS('Weekly Log'!$F:$F,'Weekly Log'!$A:$A,"&gt;="&amp;$J930,'Weekly Log'!$A:$A,"&lt;"&amp;$J930+7),0))</f>
        <v/>
      </c>
      <c r="F930" t="str">
        <f>IF($J930="","",IFERROR(SUMIFS('Weekly Log'!$F:$F,'Weekly Log'!$A:$A,"&gt;="&amp;$J930,'Weekly Log'!$A:$A,"&lt;"&amp;$J930+7)/SUMIFS('Weekly Log'!$E:$E,'Weekly Log'!$A:$A,"&gt;="&amp;$J930,'Weekly Log'!$A:$A,"&lt;"&amp;$J930+7),0))</f>
        <v/>
      </c>
      <c r="G930" t="str">
        <f>IF($J930="","",IFERROR(LOOKUP(2,1/(('Weekly Log'!$A$5:$A$5000&gt;=$J930)*('Weekly Log'!$A$5:$A$5000&lt;$J930+7)*('Weekly Log'!$M$5:$M$5000&lt;&gt;"")),'Weekly Log'!$M$5:$M$5000),0))</f>
        <v/>
      </c>
      <c r="J930" t="str">
        <f>IF(COUNT('Weekly Log'!$A$5:$A$5000)=0,"",IF(MIN('Weekly Log'!$A$5:$A$5000)+7*(ROW()-10)&gt;MAX('Weekly Log'!$A$5:$A$5000),"",MIN('Weekly Log'!$A$5:$A$5000)+7*(ROW()-10)))</f>
        <v/>
      </c>
    </row>
    <row r="931" spans="1:10" x14ac:dyDescent="0.25">
      <c r="A931" t="str">
        <f t="shared" si="14"/>
        <v/>
      </c>
      <c r="B931" t="str">
        <f>IF($J931="","",SUMIFS('Weekly Log'!$C:$C,'Weekly Log'!$A:$A,"&gt;="&amp;$J931,'Weekly Log'!$A:$A,"&lt;"&amp;$J931+7))</f>
        <v/>
      </c>
      <c r="C931" t="str">
        <f>IF($J931="","",IFERROR(COUNTIFS('Weekly Log'!$G:$G,"Y",'Weekly Log'!$A:$A,"&gt;="&amp;$J931,'Weekly Log'!$A:$A,"&lt;"&amp;$J931+7)/COUNTIFS('Weekly Log'!$G:$G,"&lt;&gt;",'Weekly Log'!$A:$A,"&gt;="&amp;$J931,'Weekly Log'!$A:$A,"&lt;"&amp;$J931+7),0))</f>
        <v/>
      </c>
      <c r="D931" t="str">
        <f>IF($J931="","",IFERROR(COUNTIFS('Weekly Log'!$H:$H,"Y",'Weekly Log'!$A:$A,"&gt;="&amp;$J931,'Weekly Log'!$A:$A,"&lt;"&amp;$J931+7)/COUNTIFS('Weekly Log'!$H:$H,"&lt;&gt;",'Weekly Log'!$A:$A,"&gt;="&amp;$J931,'Weekly Log'!$A:$A,"&lt;"&amp;$J931+7),0))</f>
        <v/>
      </c>
      <c r="E931" t="str">
        <f>IF($J931="","",IFERROR(AVERAGEIFS('Weekly Log'!$F:$F,'Weekly Log'!$A:$A,"&gt;="&amp;$J931,'Weekly Log'!$A:$A,"&lt;"&amp;$J931+7),0))</f>
        <v/>
      </c>
      <c r="F931" t="str">
        <f>IF($J931="","",IFERROR(SUMIFS('Weekly Log'!$F:$F,'Weekly Log'!$A:$A,"&gt;="&amp;$J931,'Weekly Log'!$A:$A,"&lt;"&amp;$J931+7)/SUMIFS('Weekly Log'!$E:$E,'Weekly Log'!$A:$A,"&gt;="&amp;$J931,'Weekly Log'!$A:$A,"&lt;"&amp;$J931+7),0))</f>
        <v/>
      </c>
      <c r="G931" t="str">
        <f>IF($J931="","",IFERROR(LOOKUP(2,1/(('Weekly Log'!$A$5:$A$5000&gt;=$J931)*('Weekly Log'!$A$5:$A$5000&lt;$J931+7)*('Weekly Log'!$M$5:$M$5000&lt;&gt;"")),'Weekly Log'!$M$5:$M$5000),0))</f>
        <v/>
      </c>
      <c r="J931" t="str">
        <f>IF(COUNT('Weekly Log'!$A$5:$A$5000)=0,"",IF(MIN('Weekly Log'!$A$5:$A$5000)+7*(ROW()-10)&gt;MAX('Weekly Log'!$A$5:$A$5000),"",MIN('Weekly Log'!$A$5:$A$5000)+7*(ROW()-10)))</f>
        <v/>
      </c>
    </row>
    <row r="932" spans="1:10" x14ac:dyDescent="0.25">
      <c r="A932" t="str">
        <f t="shared" si="14"/>
        <v/>
      </c>
      <c r="B932" t="str">
        <f>IF($J932="","",SUMIFS('Weekly Log'!$C:$C,'Weekly Log'!$A:$A,"&gt;="&amp;$J932,'Weekly Log'!$A:$A,"&lt;"&amp;$J932+7))</f>
        <v/>
      </c>
      <c r="C932" t="str">
        <f>IF($J932="","",IFERROR(COUNTIFS('Weekly Log'!$G:$G,"Y",'Weekly Log'!$A:$A,"&gt;="&amp;$J932,'Weekly Log'!$A:$A,"&lt;"&amp;$J932+7)/COUNTIFS('Weekly Log'!$G:$G,"&lt;&gt;",'Weekly Log'!$A:$A,"&gt;="&amp;$J932,'Weekly Log'!$A:$A,"&lt;"&amp;$J932+7),0))</f>
        <v/>
      </c>
      <c r="D932" t="str">
        <f>IF($J932="","",IFERROR(COUNTIFS('Weekly Log'!$H:$H,"Y",'Weekly Log'!$A:$A,"&gt;="&amp;$J932,'Weekly Log'!$A:$A,"&lt;"&amp;$J932+7)/COUNTIFS('Weekly Log'!$H:$H,"&lt;&gt;",'Weekly Log'!$A:$A,"&gt;="&amp;$J932,'Weekly Log'!$A:$A,"&lt;"&amp;$J932+7),0))</f>
        <v/>
      </c>
      <c r="E932" t="str">
        <f>IF($J932="","",IFERROR(AVERAGEIFS('Weekly Log'!$F:$F,'Weekly Log'!$A:$A,"&gt;="&amp;$J932,'Weekly Log'!$A:$A,"&lt;"&amp;$J932+7),0))</f>
        <v/>
      </c>
      <c r="F932" t="str">
        <f>IF($J932="","",IFERROR(SUMIFS('Weekly Log'!$F:$F,'Weekly Log'!$A:$A,"&gt;="&amp;$J932,'Weekly Log'!$A:$A,"&lt;"&amp;$J932+7)/SUMIFS('Weekly Log'!$E:$E,'Weekly Log'!$A:$A,"&gt;="&amp;$J932,'Weekly Log'!$A:$A,"&lt;"&amp;$J932+7),0))</f>
        <v/>
      </c>
      <c r="G932" t="str">
        <f>IF($J932="","",IFERROR(LOOKUP(2,1/(('Weekly Log'!$A$5:$A$5000&gt;=$J932)*('Weekly Log'!$A$5:$A$5000&lt;$J932+7)*('Weekly Log'!$M$5:$M$5000&lt;&gt;"")),'Weekly Log'!$M$5:$M$5000),0))</f>
        <v/>
      </c>
      <c r="J932" t="str">
        <f>IF(COUNT('Weekly Log'!$A$5:$A$5000)=0,"",IF(MIN('Weekly Log'!$A$5:$A$5000)+7*(ROW()-10)&gt;MAX('Weekly Log'!$A$5:$A$5000),"",MIN('Weekly Log'!$A$5:$A$5000)+7*(ROW()-10)))</f>
        <v/>
      </c>
    </row>
    <row r="933" spans="1:10" x14ac:dyDescent="0.25">
      <c r="A933" t="str">
        <f t="shared" si="14"/>
        <v/>
      </c>
      <c r="B933" t="str">
        <f>IF($J933="","",SUMIFS('Weekly Log'!$C:$C,'Weekly Log'!$A:$A,"&gt;="&amp;$J933,'Weekly Log'!$A:$A,"&lt;"&amp;$J933+7))</f>
        <v/>
      </c>
      <c r="C933" t="str">
        <f>IF($J933="","",IFERROR(COUNTIFS('Weekly Log'!$G:$G,"Y",'Weekly Log'!$A:$A,"&gt;="&amp;$J933,'Weekly Log'!$A:$A,"&lt;"&amp;$J933+7)/COUNTIFS('Weekly Log'!$G:$G,"&lt;&gt;",'Weekly Log'!$A:$A,"&gt;="&amp;$J933,'Weekly Log'!$A:$A,"&lt;"&amp;$J933+7),0))</f>
        <v/>
      </c>
      <c r="D933" t="str">
        <f>IF($J933="","",IFERROR(COUNTIFS('Weekly Log'!$H:$H,"Y",'Weekly Log'!$A:$A,"&gt;="&amp;$J933,'Weekly Log'!$A:$A,"&lt;"&amp;$J933+7)/COUNTIFS('Weekly Log'!$H:$H,"&lt;&gt;",'Weekly Log'!$A:$A,"&gt;="&amp;$J933,'Weekly Log'!$A:$A,"&lt;"&amp;$J933+7),0))</f>
        <v/>
      </c>
      <c r="E933" t="str">
        <f>IF($J933="","",IFERROR(AVERAGEIFS('Weekly Log'!$F:$F,'Weekly Log'!$A:$A,"&gt;="&amp;$J933,'Weekly Log'!$A:$A,"&lt;"&amp;$J933+7),0))</f>
        <v/>
      </c>
      <c r="F933" t="str">
        <f>IF($J933="","",IFERROR(SUMIFS('Weekly Log'!$F:$F,'Weekly Log'!$A:$A,"&gt;="&amp;$J933,'Weekly Log'!$A:$A,"&lt;"&amp;$J933+7)/SUMIFS('Weekly Log'!$E:$E,'Weekly Log'!$A:$A,"&gt;="&amp;$J933,'Weekly Log'!$A:$A,"&lt;"&amp;$J933+7),0))</f>
        <v/>
      </c>
      <c r="G933" t="str">
        <f>IF($J933="","",IFERROR(LOOKUP(2,1/(('Weekly Log'!$A$5:$A$5000&gt;=$J933)*('Weekly Log'!$A$5:$A$5000&lt;$J933+7)*('Weekly Log'!$M$5:$M$5000&lt;&gt;"")),'Weekly Log'!$M$5:$M$5000),0))</f>
        <v/>
      </c>
      <c r="J933" t="str">
        <f>IF(COUNT('Weekly Log'!$A$5:$A$5000)=0,"",IF(MIN('Weekly Log'!$A$5:$A$5000)+7*(ROW()-10)&gt;MAX('Weekly Log'!$A$5:$A$5000),"",MIN('Weekly Log'!$A$5:$A$5000)+7*(ROW()-10)))</f>
        <v/>
      </c>
    </row>
    <row r="934" spans="1:10" x14ac:dyDescent="0.25">
      <c r="A934" t="str">
        <f t="shared" si="14"/>
        <v/>
      </c>
      <c r="B934" t="str">
        <f>IF($J934="","",SUMIFS('Weekly Log'!$C:$C,'Weekly Log'!$A:$A,"&gt;="&amp;$J934,'Weekly Log'!$A:$A,"&lt;"&amp;$J934+7))</f>
        <v/>
      </c>
      <c r="C934" t="str">
        <f>IF($J934="","",IFERROR(COUNTIFS('Weekly Log'!$G:$G,"Y",'Weekly Log'!$A:$A,"&gt;="&amp;$J934,'Weekly Log'!$A:$A,"&lt;"&amp;$J934+7)/COUNTIFS('Weekly Log'!$G:$G,"&lt;&gt;",'Weekly Log'!$A:$A,"&gt;="&amp;$J934,'Weekly Log'!$A:$A,"&lt;"&amp;$J934+7),0))</f>
        <v/>
      </c>
      <c r="D934" t="str">
        <f>IF($J934="","",IFERROR(COUNTIFS('Weekly Log'!$H:$H,"Y",'Weekly Log'!$A:$A,"&gt;="&amp;$J934,'Weekly Log'!$A:$A,"&lt;"&amp;$J934+7)/COUNTIFS('Weekly Log'!$H:$H,"&lt;&gt;",'Weekly Log'!$A:$A,"&gt;="&amp;$J934,'Weekly Log'!$A:$A,"&lt;"&amp;$J934+7),0))</f>
        <v/>
      </c>
      <c r="E934" t="str">
        <f>IF($J934="","",IFERROR(AVERAGEIFS('Weekly Log'!$F:$F,'Weekly Log'!$A:$A,"&gt;="&amp;$J934,'Weekly Log'!$A:$A,"&lt;"&amp;$J934+7),0))</f>
        <v/>
      </c>
      <c r="F934" t="str">
        <f>IF($J934="","",IFERROR(SUMIFS('Weekly Log'!$F:$F,'Weekly Log'!$A:$A,"&gt;="&amp;$J934,'Weekly Log'!$A:$A,"&lt;"&amp;$J934+7)/SUMIFS('Weekly Log'!$E:$E,'Weekly Log'!$A:$A,"&gt;="&amp;$J934,'Weekly Log'!$A:$A,"&lt;"&amp;$J934+7),0))</f>
        <v/>
      </c>
      <c r="G934" t="str">
        <f>IF($J934="","",IFERROR(LOOKUP(2,1/(('Weekly Log'!$A$5:$A$5000&gt;=$J934)*('Weekly Log'!$A$5:$A$5000&lt;$J934+7)*('Weekly Log'!$M$5:$M$5000&lt;&gt;"")),'Weekly Log'!$M$5:$M$5000),0))</f>
        <v/>
      </c>
      <c r="J934" t="str">
        <f>IF(COUNT('Weekly Log'!$A$5:$A$5000)=0,"",IF(MIN('Weekly Log'!$A$5:$A$5000)+7*(ROW()-10)&gt;MAX('Weekly Log'!$A$5:$A$5000),"",MIN('Weekly Log'!$A$5:$A$5000)+7*(ROW()-10)))</f>
        <v/>
      </c>
    </row>
    <row r="935" spans="1:10" x14ac:dyDescent="0.25">
      <c r="A935" t="str">
        <f t="shared" si="14"/>
        <v/>
      </c>
      <c r="B935" t="str">
        <f>IF($J935="","",SUMIFS('Weekly Log'!$C:$C,'Weekly Log'!$A:$A,"&gt;="&amp;$J935,'Weekly Log'!$A:$A,"&lt;"&amp;$J935+7))</f>
        <v/>
      </c>
      <c r="C935" t="str">
        <f>IF($J935="","",IFERROR(COUNTIFS('Weekly Log'!$G:$G,"Y",'Weekly Log'!$A:$A,"&gt;="&amp;$J935,'Weekly Log'!$A:$A,"&lt;"&amp;$J935+7)/COUNTIFS('Weekly Log'!$G:$G,"&lt;&gt;",'Weekly Log'!$A:$A,"&gt;="&amp;$J935,'Weekly Log'!$A:$A,"&lt;"&amp;$J935+7),0))</f>
        <v/>
      </c>
      <c r="D935" t="str">
        <f>IF($J935="","",IFERROR(COUNTIFS('Weekly Log'!$H:$H,"Y",'Weekly Log'!$A:$A,"&gt;="&amp;$J935,'Weekly Log'!$A:$A,"&lt;"&amp;$J935+7)/COUNTIFS('Weekly Log'!$H:$H,"&lt;&gt;",'Weekly Log'!$A:$A,"&gt;="&amp;$J935,'Weekly Log'!$A:$A,"&lt;"&amp;$J935+7),0))</f>
        <v/>
      </c>
      <c r="E935" t="str">
        <f>IF($J935="","",IFERROR(AVERAGEIFS('Weekly Log'!$F:$F,'Weekly Log'!$A:$A,"&gt;="&amp;$J935,'Weekly Log'!$A:$A,"&lt;"&amp;$J935+7),0))</f>
        <v/>
      </c>
      <c r="F935" t="str">
        <f>IF($J935="","",IFERROR(SUMIFS('Weekly Log'!$F:$F,'Weekly Log'!$A:$A,"&gt;="&amp;$J935,'Weekly Log'!$A:$A,"&lt;"&amp;$J935+7)/SUMIFS('Weekly Log'!$E:$E,'Weekly Log'!$A:$A,"&gt;="&amp;$J935,'Weekly Log'!$A:$A,"&lt;"&amp;$J935+7),0))</f>
        <v/>
      </c>
      <c r="G935" t="str">
        <f>IF($J935="","",IFERROR(LOOKUP(2,1/(('Weekly Log'!$A$5:$A$5000&gt;=$J935)*('Weekly Log'!$A$5:$A$5000&lt;$J935+7)*('Weekly Log'!$M$5:$M$5000&lt;&gt;"")),'Weekly Log'!$M$5:$M$5000),0))</f>
        <v/>
      </c>
      <c r="J935" t="str">
        <f>IF(COUNT('Weekly Log'!$A$5:$A$5000)=0,"",IF(MIN('Weekly Log'!$A$5:$A$5000)+7*(ROW()-10)&gt;MAX('Weekly Log'!$A$5:$A$5000),"",MIN('Weekly Log'!$A$5:$A$5000)+7*(ROW()-10)))</f>
        <v/>
      </c>
    </row>
    <row r="936" spans="1:10" x14ac:dyDescent="0.25">
      <c r="A936" t="str">
        <f t="shared" si="14"/>
        <v/>
      </c>
      <c r="B936" t="str">
        <f>IF($J936="","",SUMIFS('Weekly Log'!$C:$C,'Weekly Log'!$A:$A,"&gt;="&amp;$J936,'Weekly Log'!$A:$A,"&lt;"&amp;$J936+7))</f>
        <v/>
      </c>
      <c r="C936" t="str">
        <f>IF($J936="","",IFERROR(COUNTIFS('Weekly Log'!$G:$G,"Y",'Weekly Log'!$A:$A,"&gt;="&amp;$J936,'Weekly Log'!$A:$A,"&lt;"&amp;$J936+7)/COUNTIFS('Weekly Log'!$G:$G,"&lt;&gt;",'Weekly Log'!$A:$A,"&gt;="&amp;$J936,'Weekly Log'!$A:$A,"&lt;"&amp;$J936+7),0))</f>
        <v/>
      </c>
      <c r="D936" t="str">
        <f>IF($J936="","",IFERROR(COUNTIFS('Weekly Log'!$H:$H,"Y",'Weekly Log'!$A:$A,"&gt;="&amp;$J936,'Weekly Log'!$A:$A,"&lt;"&amp;$J936+7)/COUNTIFS('Weekly Log'!$H:$H,"&lt;&gt;",'Weekly Log'!$A:$A,"&gt;="&amp;$J936,'Weekly Log'!$A:$A,"&lt;"&amp;$J936+7),0))</f>
        <v/>
      </c>
      <c r="E936" t="str">
        <f>IF($J936="","",IFERROR(AVERAGEIFS('Weekly Log'!$F:$F,'Weekly Log'!$A:$A,"&gt;="&amp;$J936,'Weekly Log'!$A:$A,"&lt;"&amp;$J936+7),0))</f>
        <v/>
      </c>
      <c r="F936" t="str">
        <f>IF($J936="","",IFERROR(SUMIFS('Weekly Log'!$F:$F,'Weekly Log'!$A:$A,"&gt;="&amp;$J936,'Weekly Log'!$A:$A,"&lt;"&amp;$J936+7)/SUMIFS('Weekly Log'!$E:$E,'Weekly Log'!$A:$A,"&gt;="&amp;$J936,'Weekly Log'!$A:$A,"&lt;"&amp;$J936+7),0))</f>
        <v/>
      </c>
      <c r="G936" t="str">
        <f>IF($J936="","",IFERROR(LOOKUP(2,1/(('Weekly Log'!$A$5:$A$5000&gt;=$J936)*('Weekly Log'!$A$5:$A$5000&lt;$J936+7)*('Weekly Log'!$M$5:$M$5000&lt;&gt;"")),'Weekly Log'!$M$5:$M$5000),0))</f>
        <v/>
      </c>
      <c r="J936" t="str">
        <f>IF(COUNT('Weekly Log'!$A$5:$A$5000)=0,"",IF(MIN('Weekly Log'!$A$5:$A$5000)+7*(ROW()-10)&gt;MAX('Weekly Log'!$A$5:$A$5000),"",MIN('Weekly Log'!$A$5:$A$5000)+7*(ROW()-10)))</f>
        <v/>
      </c>
    </row>
    <row r="937" spans="1:10" x14ac:dyDescent="0.25">
      <c r="A937" t="str">
        <f t="shared" si="14"/>
        <v/>
      </c>
      <c r="B937" t="str">
        <f>IF($J937="","",SUMIFS('Weekly Log'!$C:$C,'Weekly Log'!$A:$A,"&gt;="&amp;$J937,'Weekly Log'!$A:$A,"&lt;"&amp;$J937+7))</f>
        <v/>
      </c>
      <c r="C937" t="str">
        <f>IF($J937="","",IFERROR(COUNTIFS('Weekly Log'!$G:$G,"Y",'Weekly Log'!$A:$A,"&gt;="&amp;$J937,'Weekly Log'!$A:$A,"&lt;"&amp;$J937+7)/COUNTIFS('Weekly Log'!$G:$G,"&lt;&gt;",'Weekly Log'!$A:$A,"&gt;="&amp;$J937,'Weekly Log'!$A:$A,"&lt;"&amp;$J937+7),0))</f>
        <v/>
      </c>
      <c r="D937" t="str">
        <f>IF($J937="","",IFERROR(COUNTIFS('Weekly Log'!$H:$H,"Y",'Weekly Log'!$A:$A,"&gt;="&amp;$J937,'Weekly Log'!$A:$A,"&lt;"&amp;$J937+7)/COUNTIFS('Weekly Log'!$H:$H,"&lt;&gt;",'Weekly Log'!$A:$A,"&gt;="&amp;$J937,'Weekly Log'!$A:$A,"&lt;"&amp;$J937+7),0))</f>
        <v/>
      </c>
      <c r="E937" t="str">
        <f>IF($J937="","",IFERROR(AVERAGEIFS('Weekly Log'!$F:$F,'Weekly Log'!$A:$A,"&gt;="&amp;$J937,'Weekly Log'!$A:$A,"&lt;"&amp;$J937+7),0))</f>
        <v/>
      </c>
      <c r="F937" t="str">
        <f>IF($J937="","",IFERROR(SUMIFS('Weekly Log'!$F:$F,'Weekly Log'!$A:$A,"&gt;="&amp;$J937,'Weekly Log'!$A:$A,"&lt;"&amp;$J937+7)/SUMIFS('Weekly Log'!$E:$E,'Weekly Log'!$A:$A,"&gt;="&amp;$J937,'Weekly Log'!$A:$A,"&lt;"&amp;$J937+7),0))</f>
        <v/>
      </c>
      <c r="G937" t="str">
        <f>IF($J937="","",IFERROR(LOOKUP(2,1/(('Weekly Log'!$A$5:$A$5000&gt;=$J937)*('Weekly Log'!$A$5:$A$5000&lt;$J937+7)*('Weekly Log'!$M$5:$M$5000&lt;&gt;"")),'Weekly Log'!$M$5:$M$5000),0))</f>
        <v/>
      </c>
      <c r="J937" t="str">
        <f>IF(COUNT('Weekly Log'!$A$5:$A$5000)=0,"",IF(MIN('Weekly Log'!$A$5:$A$5000)+7*(ROW()-10)&gt;MAX('Weekly Log'!$A$5:$A$5000),"",MIN('Weekly Log'!$A$5:$A$5000)+7*(ROW()-10)))</f>
        <v/>
      </c>
    </row>
    <row r="938" spans="1:10" x14ac:dyDescent="0.25">
      <c r="A938" t="str">
        <f t="shared" si="14"/>
        <v/>
      </c>
      <c r="B938" t="str">
        <f>IF($J938="","",SUMIFS('Weekly Log'!$C:$C,'Weekly Log'!$A:$A,"&gt;="&amp;$J938,'Weekly Log'!$A:$A,"&lt;"&amp;$J938+7))</f>
        <v/>
      </c>
      <c r="C938" t="str">
        <f>IF($J938="","",IFERROR(COUNTIFS('Weekly Log'!$G:$G,"Y",'Weekly Log'!$A:$A,"&gt;="&amp;$J938,'Weekly Log'!$A:$A,"&lt;"&amp;$J938+7)/COUNTIFS('Weekly Log'!$G:$G,"&lt;&gt;",'Weekly Log'!$A:$A,"&gt;="&amp;$J938,'Weekly Log'!$A:$A,"&lt;"&amp;$J938+7),0))</f>
        <v/>
      </c>
      <c r="D938" t="str">
        <f>IF($J938="","",IFERROR(COUNTIFS('Weekly Log'!$H:$H,"Y",'Weekly Log'!$A:$A,"&gt;="&amp;$J938,'Weekly Log'!$A:$A,"&lt;"&amp;$J938+7)/COUNTIFS('Weekly Log'!$H:$H,"&lt;&gt;",'Weekly Log'!$A:$A,"&gt;="&amp;$J938,'Weekly Log'!$A:$A,"&lt;"&amp;$J938+7),0))</f>
        <v/>
      </c>
      <c r="E938" t="str">
        <f>IF($J938="","",IFERROR(AVERAGEIFS('Weekly Log'!$F:$F,'Weekly Log'!$A:$A,"&gt;="&amp;$J938,'Weekly Log'!$A:$A,"&lt;"&amp;$J938+7),0))</f>
        <v/>
      </c>
      <c r="F938" t="str">
        <f>IF($J938="","",IFERROR(SUMIFS('Weekly Log'!$F:$F,'Weekly Log'!$A:$A,"&gt;="&amp;$J938,'Weekly Log'!$A:$A,"&lt;"&amp;$J938+7)/SUMIFS('Weekly Log'!$E:$E,'Weekly Log'!$A:$A,"&gt;="&amp;$J938,'Weekly Log'!$A:$A,"&lt;"&amp;$J938+7),0))</f>
        <v/>
      </c>
      <c r="G938" t="str">
        <f>IF($J938="","",IFERROR(LOOKUP(2,1/(('Weekly Log'!$A$5:$A$5000&gt;=$J938)*('Weekly Log'!$A$5:$A$5000&lt;$J938+7)*('Weekly Log'!$M$5:$M$5000&lt;&gt;"")),'Weekly Log'!$M$5:$M$5000),0))</f>
        <v/>
      </c>
      <c r="J938" t="str">
        <f>IF(COUNT('Weekly Log'!$A$5:$A$5000)=0,"",IF(MIN('Weekly Log'!$A$5:$A$5000)+7*(ROW()-10)&gt;MAX('Weekly Log'!$A$5:$A$5000),"",MIN('Weekly Log'!$A$5:$A$5000)+7*(ROW()-10)))</f>
        <v/>
      </c>
    </row>
    <row r="939" spans="1:10" x14ac:dyDescent="0.25">
      <c r="A939" t="str">
        <f t="shared" si="14"/>
        <v/>
      </c>
      <c r="B939" t="str">
        <f>IF($J939="","",SUMIFS('Weekly Log'!$C:$C,'Weekly Log'!$A:$A,"&gt;="&amp;$J939,'Weekly Log'!$A:$A,"&lt;"&amp;$J939+7))</f>
        <v/>
      </c>
      <c r="C939" t="str">
        <f>IF($J939="","",IFERROR(COUNTIFS('Weekly Log'!$G:$G,"Y",'Weekly Log'!$A:$A,"&gt;="&amp;$J939,'Weekly Log'!$A:$A,"&lt;"&amp;$J939+7)/COUNTIFS('Weekly Log'!$G:$G,"&lt;&gt;",'Weekly Log'!$A:$A,"&gt;="&amp;$J939,'Weekly Log'!$A:$A,"&lt;"&amp;$J939+7),0))</f>
        <v/>
      </c>
      <c r="D939" t="str">
        <f>IF($J939="","",IFERROR(COUNTIFS('Weekly Log'!$H:$H,"Y",'Weekly Log'!$A:$A,"&gt;="&amp;$J939,'Weekly Log'!$A:$A,"&lt;"&amp;$J939+7)/COUNTIFS('Weekly Log'!$H:$H,"&lt;&gt;",'Weekly Log'!$A:$A,"&gt;="&amp;$J939,'Weekly Log'!$A:$A,"&lt;"&amp;$J939+7),0))</f>
        <v/>
      </c>
      <c r="E939" t="str">
        <f>IF($J939="","",IFERROR(AVERAGEIFS('Weekly Log'!$F:$F,'Weekly Log'!$A:$A,"&gt;="&amp;$J939,'Weekly Log'!$A:$A,"&lt;"&amp;$J939+7),0))</f>
        <v/>
      </c>
      <c r="F939" t="str">
        <f>IF($J939="","",IFERROR(SUMIFS('Weekly Log'!$F:$F,'Weekly Log'!$A:$A,"&gt;="&amp;$J939,'Weekly Log'!$A:$A,"&lt;"&amp;$J939+7)/SUMIFS('Weekly Log'!$E:$E,'Weekly Log'!$A:$A,"&gt;="&amp;$J939,'Weekly Log'!$A:$A,"&lt;"&amp;$J939+7),0))</f>
        <v/>
      </c>
      <c r="G939" t="str">
        <f>IF($J939="","",IFERROR(LOOKUP(2,1/(('Weekly Log'!$A$5:$A$5000&gt;=$J939)*('Weekly Log'!$A$5:$A$5000&lt;$J939+7)*('Weekly Log'!$M$5:$M$5000&lt;&gt;"")),'Weekly Log'!$M$5:$M$5000),0))</f>
        <v/>
      </c>
      <c r="J939" t="str">
        <f>IF(COUNT('Weekly Log'!$A$5:$A$5000)=0,"",IF(MIN('Weekly Log'!$A$5:$A$5000)+7*(ROW()-10)&gt;MAX('Weekly Log'!$A$5:$A$5000),"",MIN('Weekly Log'!$A$5:$A$5000)+7*(ROW()-10)))</f>
        <v/>
      </c>
    </row>
    <row r="940" spans="1:10" x14ac:dyDescent="0.25">
      <c r="A940" t="str">
        <f t="shared" si="14"/>
        <v/>
      </c>
      <c r="B940" t="str">
        <f>IF($J940="","",SUMIFS('Weekly Log'!$C:$C,'Weekly Log'!$A:$A,"&gt;="&amp;$J940,'Weekly Log'!$A:$A,"&lt;"&amp;$J940+7))</f>
        <v/>
      </c>
      <c r="C940" t="str">
        <f>IF($J940="","",IFERROR(COUNTIFS('Weekly Log'!$G:$G,"Y",'Weekly Log'!$A:$A,"&gt;="&amp;$J940,'Weekly Log'!$A:$A,"&lt;"&amp;$J940+7)/COUNTIFS('Weekly Log'!$G:$G,"&lt;&gt;",'Weekly Log'!$A:$A,"&gt;="&amp;$J940,'Weekly Log'!$A:$A,"&lt;"&amp;$J940+7),0))</f>
        <v/>
      </c>
      <c r="D940" t="str">
        <f>IF($J940="","",IFERROR(COUNTIFS('Weekly Log'!$H:$H,"Y",'Weekly Log'!$A:$A,"&gt;="&amp;$J940,'Weekly Log'!$A:$A,"&lt;"&amp;$J940+7)/COUNTIFS('Weekly Log'!$H:$H,"&lt;&gt;",'Weekly Log'!$A:$A,"&gt;="&amp;$J940,'Weekly Log'!$A:$A,"&lt;"&amp;$J940+7),0))</f>
        <v/>
      </c>
      <c r="E940" t="str">
        <f>IF($J940="","",IFERROR(AVERAGEIFS('Weekly Log'!$F:$F,'Weekly Log'!$A:$A,"&gt;="&amp;$J940,'Weekly Log'!$A:$A,"&lt;"&amp;$J940+7),0))</f>
        <v/>
      </c>
      <c r="F940" t="str">
        <f>IF($J940="","",IFERROR(SUMIFS('Weekly Log'!$F:$F,'Weekly Log'!$A:$A,"&gt;="&amp;$J940,'Weekly Log'!$A:$A,"&lt;"&amp;$J940+7)/SUMIFS('Weekly Log'!$E:$E,'Weekly Log'!$A:$A,"&gt;="&amp;$J940,'Weekly Log'!$A:$A,"&lt;"&amp;$J940+7),0))</f>
        <v/>
      </c>
      <c r="G940" t="str">
        <f>IF($J940="","",IFERROR(LOOKUP(2,1/(('Weekly Log'!$A$5:$A$5000&gt;=$J940)*('Weekly Log'!$A$5:$A$5000&lt;$J940+7)*('Weekly Log'!$M$5:$M$5000&lt;&gt;"")),'Weekly Log'!$M$5:$M$5000),0))</f>
        <v/>
      </c>
      <c r="J940" t="str">
        <f>IF(COUNT('Weekly Log'!$A$5:$A$5000)=0,"",IF(MIN('Weekly Log'!$A$5:$A$5000)+7*(ROW()-10)&gt;MAX('Weekly Log'!$A$5:$A$5000),"",MIN('Weekly Log'!$A$5:$A$5000)+7*(ROW()-10)))</f>
        <v/>
      </c>
    </row>
    <row r="941" spans="1:10" x14ac:dyDescent="0.25">
      <c r="A941" t="str">
        <f t="shared" si="14"/>
        <v/>
      </c>
      <c r="B941" t="str">
        <f>IF($J941="","",SUMIFS('Weekly Log'!$C:$C,'Weekly Log'!$A:$A,"&gt;="&amp;$J941,'Weekly Log'!$A:$A,"&lt;"&amp;$J941+7))</f>
        <v/>
      </c>
      <c r="C941" t="str">
        <f>IF($J941="","",IFERROR(COUNTIFS('Weekly Log'!$G:$G,"Y",'Weekly Log'!$A:$A,"&gt;="&amp;$J941,'Weekly Log'!$A:$A,"&lt;"&amp;$J941+7)/COUNTIFS('Weekly Log'!$G:$G,"&lt;&gt;",'Weekly Log'!$A:$A,"&gt;="&amp;$J941,'Weekly Log'!$A:$A,"&lt;"&amp;$J941+7),0))</f>
        <v/>
      </c>
      <c r="D941" t="str">
        <f>IF($J941="","",IFERROR(COUNTIFS('Weekly Log'!$H:$H,"Y",'Weekly Log'!$A:$A,"&gt;="&amp;$J941,'Weekly Log'!$A:$A,"&lt;"&amp;$J941+7)/COUNTIFS('Weekly Log'!$H:$H,"&lt;&gt;",'Weekly Log'!$A:$A,"&gt;="&amp;$J941,'Weekly Log'!$A:$A,"&lt;"&amp;$J941+7),0))</f>
        <v/>
      </c>
      <c r="E941" t="str">
        <f>IF($J941="","",IFERROR(AVERAGEIFS('Weekly Log'!$F:$F,'Weekly Log'!$A:$A,"&gt;="&amp;$J941,'Weekly Log'!$A:$A,"&lt;"&amp;$J941+7),0))</f>
        <v/>
      </c>
      <c r="F941" t="str">
        <f>IF($J941="","",IFERROR(SUMIFS('Weekly Log'!$F:$F,'Weekly Log'!$A:$A,"&gt;="&amp;$J941,'Weekly Log'!$A:$A,"&lt;"&amp;$J941+7)/SUMIFS('Weekly Log'!$E:$E,'Weekly Log'!$A:$A,"&gt;="&amp;$J941,'Weekly Log'!$A:$A,"&lt;"&amp;$J941+7),0))</f>
        <v/>
      </c>
      <c r="G941" t="str">
        <f>IF($J941="","",IFERROR(LOOKUP(2,1/(('Weekly Log'!$A$5:$A$5000&gt;=$J941)*('Weekly Log'!$A$5:$A$5000&lt;$J941+7)*('Weekly Log'!$M$5:$M$5000&lt;&gt;"")),'Weekly Log'!$M$5:$M$5000),0))</f>
        <v/>
      </c>
      <c r="J941" t="str">
        <f>IF(COUNT('Weekly Log'!$A$5:$A$5000)=0,"",IF(MIN('Weekly Log'!$A$5:$A$5000)+7*(ROW()-10)&gt;MAX('Weekly Log'!$A$5:$A$5000),"",MIN('Weekly Log'!$A$5:$A$5000)+7*(ROW()-10)))</f>
        <v/>
      </c>
    </row>
    <row r="942" spans="1:10" x14ac:dyDescent="0.25">
      <c r="A942" t="str">
        <f t="shared" si="14"/>
        <v/>
      </c>
      <c r="B942" t="str">
        <f>IF($J942="","",SUMIFS('Weekly Log'!$C:$C,'Weekly Log'!$A:$A,"&gt;="&amp;$J942,'Weekly Log'!$A:$A,"&lt;"&amp;$J942+7))</f>
        <v/>
      </c>
      <c r="C942" t="str">
        <f>IF($J942="","",IFERROR(COUNTIFS('Weekly Log'!$G:$G,"Y",'Weekly Log'!$A:$A,"&gt;="&amp;$J942,'Weekly Log'!$A:$A,"&lt;"&amp;$J942+7)/COUNTIFS('Weekly Log'!$G:$G,"&lt;&gt;",'Weekly Log'!$A:$A,"&gt;="&amp;$J942,'Weekly Log'!$A:$A,"&lt;"&amp;$J942+7),0))</f>
        <v/>
      </c>
      <c r="D942" t="str">
        <f>IF($J942="","",IFERROR(COUNTIFS('Weekly Log'!$H:$H,"Y",'Weekly Log'!$A:$A,"&gt;="&amp;$J942,'Weekly Log'!$A:$A,"&lt;"&amp;$J942+7)/COUNTIFS('Weekly Log'!$H:$H,"&lt;&gt;",'Weekly Log'!$A:$A,"&gt;="&amp;$J942,'Weekly Log'!$A:$A,"&lt;"&amp;$J942+7),0))</f>
        <v/>
      </c>
      <c r="E942" t="str">
        <f>IF($J942="","",IFERROR(AVERAGEIFS('Weekly Log'!$F:$F,'Weekly Log'!$A:$A,"&gt;="&amp;$J942,'Weekly Log'!$A:$A,"&lt;"&amp;$J942+7),0))</f>
        <v/>
      </c>
      <c r="F942" t="str">
        <f>IF($J942="","",IFERROR(SUMIFS('Weekly Log'!$F:$F,'Weekly Log'!$A:$A,"&gt;="&amp;$J942,'Weekly Log'!$A:$A,"&lt;"&amp;$J942+7)/SUMIFS('Weekly Log'!$E:$E,'Weekly Log'!$A:$A,"&gt;="&amp;$J942,'Weekly Log'!$A:$A,"&lt;"&amp;$J942+7),0))</f>
        <v/>
      </c>
      <c r="G942" t="str">
        <f>IF($J942="","",IFERROR(LOOKUP(2,1/(('Weekly Log'!$A$5:$A$5000&gt;=$J942)*('Weekly Log'!$A$5:$A$5000&lt;$J942+7)*('Weekly Log'!$M$5:$M$5000&lt;&gt;"")),'Weekly Log'!$M$5:$M$5000),0))</f>
        <v/>
      </c>
      <c r="J942" t="str">
        <f>IF(COUNT('Weekly Log'!$A$5:$A$5000)=0,"",IF(MIN('Weekly Log'!$A$5:$A$5000)+7*(ROW()-10)&gt;MAX('Weekly Log'!$A$5:$A$5000),"",MIN('Weekly Log'!$A$5:$A$5000)+7*(ROW()-10)))</f>
        <v/>
      </c>
    </row>
    <row r="943" spans="1:10" x14ac:dyDescent="0.25">
      <c r="A943" t="str">
        <f t="shared" si="14"/>
        <v/>
      </c>
      <c r="B943" t="str">
        <f>IF($J943="","",SUMIFS('Weekly Log'!$C:$C,'Weekly Log'!$A:$A,"&gt;="&amp;$J943,'Weekly Log'!$A:$A,"&lt;"&amp;$J943+7))</f>
        <v/>
      </c>
      <c r="C943" t="str">
        <f>IF($J943="","",IFERROR(COUNTIFS('Weekly Log'!$G:$G,"Y",'Weekly Log'!$A:$A,"&gt;="&amp;$J943,'Weekly Log'!$A:$A,"&lt;"&amp;$J943+7)/COUNTIFS('Weekly Log'!$G:$G,"&lt;&gt;",'Weekly Log'!$A:$A,"&gt;="&amp;$J943,'Weekly Log'!$A:$A,"&lt;"&amp;$J943+7),0))</f>
        <v/>
      </c>
      <c r="D943" t="str">
        <f>IF($J943="","",IFERROR(COUNTIFS('Weekly Log'!$H:$H,"Y",'Weekly Log'!$A:$A,"&gt;="&amp;$J943,'Weekly Log'!$A:$A,"&lt;"&amp;$J943+7)/COUNTIFS('Weekly Log'!$H:$H,"&lt;&gt;",'Weekly Log'!$A:$A,"&gt;="&amp;$J943,'Weekly Log'!$A:$A,"&lt;"&amp;$J943+7),0))</f>
        <v/>
      </c>
      <c r="E943" t="str">
        <f>IF($J943="","",IFERROR(AVERAGEIFS('Weekly Log'!$F:$F,'Weekly Log'!$A:$A,"&gt;="&amp;$J943,'Weekly Log'!$A:$A,"&lt;"&amp;$J943+7),0))</f>
        <v/>
      </c>
      <c r="F943" t="str">
        <f>IF($J943="","",IFERROR(SUMIFS('Weekly Log'!$F:$F,'Weekly Log'!$A:$A,"&gt;="&amp;$J943,'Weekly Log'!$A:$A,"&lt;"&amp;$J943+7)/SUMIFS('Weekly Log'!$E:$E,'Weekly Log'!$A:$A,"&gt;="&amp;$J943,'Weekly Log'!$A:$A,"&lt;"&amp;$J943+7),0))</f>
        <v/>
      </c>
      <c r="G943" t="str">
        <f>IF($J943="","",IFERROR(LOOKUP(2,1/(('Weekly Log'!$A$5:$A$5000&gt;=$J943)*('Weekly Log'!$A$5:$A$5000&lt;$J943+7)*('Weekly Log'!$M$5:$M$5000&lt;&gt;"")),'Weekly Log'!$M$5:$M$5000),0))</f>
        <v/>
      </c>
      <c r="J943" t="str">
        <f>IF(COUNT('Weekly Log'!$A$5:$A$5000)=0,"",IF(MIN('Weekly Log'!$A$5:$A$5000)+7*(ROW()-10)&gt;MAX('Weekly Log'!$A$5:$A$5000),"",MIN('Weekly Log'!$A$5:$A$5000)+7*(ROW()-10)))</f>
        <v/>
      </c>
    </row>
    <row r="944" spans="1:10" x14ac:dyDescent="0.25">
      <c r="A944" t="str">
        <f t="shared" si="14"/>
        <v/>
      </c>
      <c r="B944" t="str">
        <f>IF($J944="","",SUMIFS('Weekly Log'!$C:$C,'Weekly Log'!$A:$A,"&gt;="&amp;$J944,'Weekly Log'!$A:$A,"&lt;"&amp;$J944+7))</f>
        <v/>
      </c>
      <c r="C944" t="str">
        <f>IF($J944="","",IFERROR(COUNTIFS('Weekly Log'!$G:$G,"Y",'Weekly Log'!$A:$A,"&gt;="&amp;$J944,'Weekly Log'!$A:$A,"&lt;"&amp;$J944+7)/COUNTIFS('Weekly Log'!$G:$G,"&lt;&gt;",'Weekly Log'!$A:$A,"&gt;="&amp;$J944,'Weekly Log'!$A:$A,"&lt;"&amp;$J944+7),0))</f>
        <v/>
      </c>
      <c r="D944" t="str">
        <f>IF($J944="","",IFERROR(COUNTIFS('Weekly Log'!$H:$H,"Y",'Weekly Log'!$A:$A,"&gt;="&amp;$J944,'Weekly Log'!$A:$A,"&lt;"&amp;$J944+7)/COUNTIFS('Weekly Log'!$H:$H,"&lt;&gt;",'Weekly Log'!$A:$A,"&gt;="&amp;$J944,'Weekly Log'!$A:$A,"&lt;"&amp;$J944+7),0))</f>
        <v/>
      </c>
      <c r="E944" t="str">
        <f>IF($J944="","",IFERROR(AVERAGEIFS('Weekly Log'!$F:$F,'Weekly Log'!$A:$A,"&gt;="&amp;$J944,'Weekly Log'!$A:$A,"&lt;"&amp;$J944+7),0))</f>
        <v/>
      </c>
      <c r="F944" t="str">
        <f>IF($J944="","",IFERROR(SUMIFS('Weekly Log'!$F:$F,'Weekly Log'!$A:$A,"&gt;="&amp;$J944,'Weekly Log'!$A:$A,"&lt;"&amp;$J944+7)/SUMIFS('Weekly Log'!$E:$E,'Weekly Log'!$A:$A,"&gt;="&amp;$J944,'Weekly Log'!$A:$A,"&lt;"&amp;$J944+7),0))</f>
        <v/>
      </c>
      <c r="G944" t="str">
        <f>IF($J944="","",IFERROR(LOOKUP(2,1/(('Weekly Log'!$A$5:$A$5000&gt;=$J944)*('Weekly Log'!$A$5:$A$5000&lt;$J944+7)*('Weekly Log'!$M$5:$M$5000&lt;&gt;"")),'Weekly Log'!$M$5:$M$5000),0))</f>
        <v/>
      </c>
      <c r="J944" t="str">
        <f>IF(COUNT('Weekly Log'!$A$5:$A$5000)=0,"",IF(MIN('Weekly Log'!$A$5:$A$5000)+7*(ROW()-10)&gt;MAX('Weekly Log'!$A$5:$A$5000),"",MIN('Weekly Log'!$A$5:$A$5000)+7*(ROW()-10)))</f>
        <v/>
      </c>
    </row>
    <row r="945" spans="1:10" x14ac:dyDescent="0.25">
      <c r="A945" t="str">
        <f t="shared" si="14"/>
        <v/>
      </c>
      <c r="B945" t="str">
        <f>IF($J945="","",SUMIFS('Weekly Log'!$C:$C,'Weekly Log'!$A:$A,"&gt;="&amp;$J945,'Weekly Log'!$A:$A,"&lt;"&amp;$J945+7))</f>
        <v/>
      </c>
      <c r="C945" t="str">
        <f>IF($J945="","",IFERROR(COUNTIFS('Weekly Log'!$G:$G,"Y",'Weekly Log'!$A:$A,"&gt;="&amp;$J945,'Weekly Log'!$A:$A,"&lt;"&amp;$J945+7)/COUNTIFS('Weekly Log'!$G:$G,"&lt;&gt;",'Weekly Log'!$A:$A,"&gt;="&amp;$J945,'Weekly Log'!$A:$A,"&lt;"&amp;$J945+7),0))</f>
        <v/>
      </c>
      <c r="D945" t="str">
        <f>IF($J945="","",IFERROR(COUNTIFS('Weekly Log'!$H:$H,"Y",'Weekly Log'!$A:$A,"&gt;="&amp;$J945,'Weekly Log'!$A:$A,"&lt;"&amp;$J945+7)/COUNTIFS('Weekly Log'!$H:$H,"&lt;&gt;",'Weekly Log'!$A:$A,"&gt;="&amp;$J945,'Weekly Log'!$A:$A,"&lt;"&amp;$J945+7),0))</f>
        <v/>
      </c>
      <c r="E945" t="str">
        <f>IF($J945="","",IFERROR(AVERAGEIFS('Weekly Log'!$F:$F,'Weekly Log'!$A:$A,"&gt;="&amp;$J945,'Weekly Log'!$A:$A,"&lt;"&amp;$J945+7),0))</f>
        <v/>
      </c>
      <c r="F945" t="str">
        <f>IF($J945="","",IFERROR(SUMIFS('Weekly Log'!$F:$F,'Weekly Log'!$A:$A,"&gt;="&amp;$J945,'Weekly Log'!$A:$A,"&lt;"&amp;$J945+7)/SUMIFS('Weekly Log'!$E:$E,'Weekly Log'!$A:$A,"&gt;="&amp;$J945,'Weekly Log'!$A:$A,"&lt;"&amp;$J945+7),0))</f>
        <v/>
      </c>
      <c r="G945" t="str">
        <f>IF($J945="","",IFERROR(LOOKUP(2,1/(('Weekly Log'!$A$5:$A$5000&gt;=$J945)*('Weekly Log'!$A$5:$A$5000&lt;$J945+7)*('Weekly Log'!$M$5:$M$5000&lt;&gt;"")),'Weekly Log'!$M$5:$M$5000),0))</f>
        <v/>
      </c>
      <c r="J945" t="str">
        <f>IF(COUNT('Weekly Log'!$A$5:$A$5000)=0,"",IF(MIN('Weekly Log'!$A$5:$A$5000)+7*(ROW()-10)&gt;MAX('Weekly Log'!$A$5:$A$5000),"",MIN('Weekly Log'!$A$5:$A$5000)+7*(ROW()-10)))</f>
        <v/>
      </c>
    </row>
    <row r="946" spans="1:10" x14ac:dyDescent="0.25">
      <c r="A946" t="str">
        <f t="shared" si="14"/>
        <v/>
      </c>
      <c r="B946" t="str">
        <f>IF($J946="","",SUMIFS('Weekly Log'!$C:$C,'Weekly Log'!$A:$A,"&gt;="&amp;$J946,'Weekly Log'!$A:$A,"&lt;"&amp;$J946+7))</f>
        <v/>
      </c>
      <c r="C946" t="str">
        <f>IF($J946="","",IFERROR(COUNTIFS('Weekly Log'!$G:$G,"Y",'Weekly Log'!$A:$A,"&gt;="&amp;$J946,'Weekly Log'!$A:$A,"&lt;"&amp;$J946+7)/COUNTIFS('Weekly Log'!$G:$G,"&lt;&gt;",'Weekly Log'!$A:$A,"&gt;="&amp;$J946,'Weekly Log'!$A:$A,"&lt;"&amp;$J946+7),0))</f>
        <v/>
      </c>
      <c r="D946" t="str">
        <f>IF($J946="","",IFERROR(COUNTIFS('Weekly Log'!$H:$H,"Y",'Weekly Log'!$A:$A,"&gt;="&amp;$J946,'Weekly Log'!$A:$A,"&lt;"&amp;$J946+7)/COUNTIFS('Weekly Log'!$H:$H,"&lt;&gt;",'Weekly Log'!$A:$A,"&gt;="&amp;$J946,'Weekly Log'!$A:$A,"&lt;"&amp;$J946+7),0))</f>
        <v/>
      </c>
      <c r="E946" t="str">
        <f>IF($J946="","",IFERROR(AVERAGEIFS('Weekly Log'!$F:$F,'Weekly Log'!$A:$A,"&gt;="&amp;$J946,'Weekly Log'!$A:$A,"&lt;"&amp;$J946+7),0))</f>
        <v/>
      </c>
      <c r="F946" t="str">
        <f>IF($J946="","",IFERROR(SUMIFS('Weekly Log'!$F:$F,'Weekly Log'!$A:$A,"&gt;="&amp;$J946,'Weekly Log'!$A:$A,"&lt;"&amp;$J946+7)/SUMIFS('Weekly Log'!$E:$E,'Weekly Log'!$A:$A,"&gt;="&amp;$J946,'Weekly Log'!$A:$A,"&lt;"&amp;$J946+7),0))</f>
        <v/>
      </c>
      <c r="G946" t="str">
        <f>IF($J946="","",IFERROR(LOOKUP(2,1/(('Weekly Log'!$A$5:$A$5000&gt;=$J946)*('Weekly Log'!$A$5:$A$5000&lt;$J946+7)*('Weekly Log'!$M$5:$M$5000&lt;&gt;"")),'Weekly Log'!$M$5:$M$5000),0))</f>
        <v/>
      </c>
      <c r="J946" t="str">
        <f>IF(COUNT('Weekly Log'!$A$5:$A$5000)=0,"",IF(MIN('Weekly Log'!$A$5:$A$5000)+7*(ROW()-10)&gt;MAX('Weekly Log'!$A$5:$A$5000),"",MIN('Weekly Log'!$A$5:$A$5000)+7*(ROW()-10)))</f>
        <v/>
      </c>
    </row>
    <row r="947" spans="1:10" x14ac:dyDescent="0.25">
      <c r="A947" t="str">
        <f t="shared" si="14"/>
        <v/>
      </c>
      <c r="B947" t="str">
        <f>IF($J947="","",SUMIFS('Weekly Log'!$C:$C,'Weekly Log'!$A:$A,"&gt;="&amp;$J947,'Weekly Log'!$A:$A,"&lt;"&amp;$J947+7))</f>
        <v/>
      </c>
      <c r="C947" t="str">
        <f>IF($J947="","",IFERROR(COUNTIFS('Weekly Log'!$G:$G,"Y",'Weekly Log'!$A:$A,"&gt;="&amp;$J947,'Weekly Log'!$A:$A,"&lt;"&amp;$J947+7)/COUNTIFS('Weekly Log'!$G:$G,"&lt;&gt;",'Weekly Log'!$A:$A,"&gt;="&amp;$J947,'Weekly Log'!$A:$A,"&lt;"&amp;$J947+7),0))</f>
        <v/>
      </c>
      <c r="D947" t="str">
        <f>IF($J947="","",IFERROR(COUNTIFS('Weekly Log'!$H:$H,"Y",'Weekly Log'!$A:$A,"&gt;="&amp;$J947,'Weekly Log'!$A:$A,"&lt;"&amp;$J947+7)/COUNTIFS('Weekly Log'!$H:$H,"&lt;&gt;",'Weekly Log'!$A:$A,"&gt;="&amp;$J947,'Weekly Log'!$A:$A,"&lt;"&amp;$J947+7),0))</f>
        <v/>
      </c>
      <c r="E947" t="str">
        <f>IF($J947="","",IFERROR(AVERAGEIFS('Weekly Log'!$F:$F,'Weekly Log'!$A:$A,"&gt;="&amp;$J947,'Weekly Log'!$A:$A,"&lt;"&amp;$J947+7),0))</f>
        <v/>
      </c>
      <c r="F947" t="str">
        <f>IF($J947="","",IFERROR(SUMIFS('Weekly Log'!$F:$F,'Weekly Log'!$A:$A,"&gt;="&amp;$J947,'Weekly Log'!$A:$A,"&lt;"&amp;$J947+7)/SUMIFS('Weekly Log'!$E:$E,'Weekly Log'!$A:$A,"&gt;="&amp;$J947,'Weekly Log'!$A:$A,"&lt;"&amp;$J947+7),0))</f>
        <v/>
      </c>
      <c r="G947" t="str">
        <f>IF($J947="","",IFERROR(LOOKUP(2,1/(('Weekly Log'!$A$5:$A$5000&gt;=$J947)*('Weekly Log'!$A$5:$A$5000&lt;$J947+7)*('Weekly Log'!$M$5:$M$5000&lt;&gt;"")),'Weekly Log'!$M$5:$M$5000),0))</f>
        <v/>
      </c>
      <c r="J947" t="str">
        <f>IF(COUNT('Weekly Log'!$A$5:$A$5000)=0,"",IF(MIN('Weekly Log'!$A$5:$A$5000)+7*(ROW()-10)&gt;MAX('Weekly Log'!$A$5:$A$5000),"",MIN('Weekly Log'!$A$5:$A$5000)+7*(ROW()-10)))</f>
        <v/>
      </c>
    </row>
    <row r="948" spans="1:10" x14ac:dyDescent="0.25">
      <c r="A948" t="str">
        <f t="shared" si="14"/>
        <v/>
      </c>
      <c r="B948" t="str">
        <f>IF($J948="","",SUMIFS('Weekly Log'!$C:$C,'Weekly Log'!$A:$A,"&gt;="&amp;$J948,'Weekly Log'!$A:$A,"&lt;"&amp;$J948+7))</f>
        <v/>
      </c>
      <c r="C948" t="str">
        <f>IF($J948="","",IFERROR(COUNTIFS('Weekly Log'!$G:$G,"Y",'Weekly Log'!$A:$A,"&gt;="&amp;$J948,'Weekly Log'!$A:$A,"&lt;"&amp;$J948+7)/COUNTIFS('Weekly Log'!$G:$G,"&lt;&gt;",'Weekly Log'!$A:$A,"&gt;="&amp;$J948,'Weekly Log'!$A:$A,"&lt;"&amp;$J948+7),0))</f>
        <v/>
      </c>
      <c r="D948" t="str">
        <f>IF($J948="","",IFERROR(COUNTIFS('Weekly Log'!$H:$H,"Y",'Weekly Log'!$A:$A,"&gt;="&amp;$J948,'Weekly Log'!$A:$A,"&lt;"&amp;$J948+7)/COUNTIFS('Weekly Log'!$H:$H,"&lt;&gt;",'Weekly Log'!$A:$A,"&gt;="&amp;$J948,'Weekly Log'!$A:$A,"&lt;"&amp;$J948+7),0))</f>
        <v/>
      </c>
      <c r="E948" t="str">
        <f>IF($J948="","",IFERROR(AVERAGEIFS('Weekly Log'!$F:$F,'Weekly Log'!$A:$A,"&gt;="&amp;$J948,'Weekly Log'!$A:$A,"&lt;"&amp;$J948+7),0))</f>
        <v/>
      </c>
      <c r="F948" t="str">
        <f>IF($J948="","",IFERROR(SUMIFS('Weekly Log'!$F:$F,'Weekly Log'!$A:$A,"&gt;="&amp;$J948,'Weekly Log'!$A:$A,"&lt;"&amp;$J948+7)/SUMIFS('Weekly Log'!$E:$E,'Weekly Log'!$A:$A,"&gt;="&amp;$J948,'Weekly Log'!$A:$A,"&lt;"&amp;$J948+7),0))</f>
        <v/>
      </c>
      <c r="G948" t="str">
        <f>IF($J948="","",IFERROR(LOOKUP(2,1/(('Weekly Log'!$A$5:$A$5000&gt;=$J948)*('Weekly Log'!$A$5:$A$5000&lt;$J948+7)*('Weekly Log'!$M$5:$M$5000&lt;&gt;"")),'Weekly Log'!$M$5:$M$5000),0))</f>
        <v/>
      </c>
      <c r="J948" t="str">
        <f>IF(COUNT('Weekly Log'!$A$5:$A$5000)=0,"",IF(MIN('Weekly Log'!$A$5:$A$5000)+7*(ROW()-10)&gt;MAX('Weekly Log'!$A$5:$A$5000),"",MIN('Weekly Log'!$A$5:$A$5000)+7*(ROW()-10)))</f>
        <v/>
      </c>
    </row>
    <row r="949" spans="1:10" x14ac:dyDescent="0.25">
      <c r="A949" t="str">
        <f t="shared" si="14"/>
        <v/>
      </c>
      <c r="B949" t="str">
        <f>IF($J949="","",SUMIFS('Weekly Log'!$C:$C,'Weekly Log'!$A:$A,"&gt;="&amp;$J949,'Weekly Log'!$A:$A,"&lt;"&amp;$J949+7))</f>
        <v/>
      </c>
      <c r="C949" t="str">
        <f>IF($J949="","",IFERROR(COUNTIFS('Weekly Log'!$G:$G,"Y",'Weekly Log'!$A:$A,"&gt;="&amp;$J949,'Weekly Log'!$A:$A,"&lt;"&amp;$J949+7)/COUNTIFS('Weekly Log'!$G:$G,"&lt;&gt;",'Weekly Log'!$A:$A,"&gt;="&amp;$J949,'Weekly Log'!$A:$A,"&lt;"&amp;$J949+7),0))</f>
        <v/>
      </c>
      <c r="D949" t="str">
        <f>IF($J949="","",IFERROR(COUNTIFS('Weekly Log'!$H:$H,"Y",'Weekly Log'!$A:$A,"&gt;="&amp;$J949,'Weekly Log'!$A:$A,"&lt;"&amp;$J949+7)/COUNTIFS('Weekly Log'!$H:$H,"&lt;&gt;",'Weekly Log'!$A:$A,"&gt;="&amp;$J949,'Weekly Log'!$A:$A,"&lt;"&amp;$J949+7),0))</f>
        <v/>
      </c>
      <c r="E949" t="str">
        <f>IF($J949="","",IFERROR(AVERAGEIFS('Weekly Log'!$F:$F,'Weekly Log'!$A:$A,"&gt;="&amp;$J949,'Weekly Log'!$A:$A,"&lt;"&amp;$J949+7),0))</f>
        <v/>
      </c>
      <c r="F949" t="str">
        <f>IF($J949="","",IFERROR(SUMIFS('Weekly Log'!$F:$F,'Weekly Log'!$A:$A,"&gt;="&amp;$J949,'Weekly Log'!$A:$A,"&lt;"&amp;$J949+7)/SUMIFS('Weekly Log'!$E:$E,'Weekly Log'!$A:$A,"&gt;="&amp;$J949,'Weekly Log'!$A:$A,"&lt;"&amp;$J949+7),0))</f>
        <v/>
      </c>
      <c r="G949" t="str">
        <f>IF($J949="","",IFERROR(LOOKUP(2,1/(('Weekly Log'!$A$5:$A$5000&gt;=$J949)*('Weekly Log'!$A$5:$A$5000&lt;$J949+7)*('Weekly Log'!$M$5:$M$5000&lt;&gt;"")),'Weekly Log'!$M$5:$M$5000),0))</f>
        <v/>
      </c>
      <c r="J949" t="str">
        <f>IF(COUNT('Weekly Log'!$A$5:$A$5000)=0,"",IF(MIN('Weekly Log'!$A$5:$A$5000)+7*(ROW()-10)&gt;MAX('Weekly Log'!$A$5:$A$5000),"",MIN('Weekly Log'!$A$5:$A$5000)+7*(ROW()-10)))</f>
        <v/>
      </c>
    </row>
    <row r="950" spans="1:10" x14ac:dyDescent="0.25">
      <c r="A950" t="str">
        <f t="shared" si="14"/>
        <v/>
      </c>
      <c r="B950" t="str">
        <f>IF($J950="","",SUMIFS('Weekly Log'!$C:$C,'Weekly Log'!$A:$A,"&gt;="&amp;$J950,'Weekly Log'!$A:$A,"&lt;"&amp;$J950+7))</f>
        <v/>
      </c>
      <c r="C950" t="str">
        <f>IF($J950="","",IFERROR(COUNTIFS('Weekly Log'!$G:$G,"Y",'Weekly Log'!$A:$A,"&gt;="&amp;$J950,'Weekly Log'!$A:$A,"&lt;"&amp;$J950+7)/COUNTIFS('Weekly Log'!$G:$G,"&lt;&gt;",'Weekly Log'!$A:$A,"&gt;="&amp;$J950,'Weekly Log'!$A:$A,"&lt;"&amp;$J950+7),0))</f>
        <v/>
      </c>
      <c r="D950" t="str">
        <f>IF($J950="","",IFERROR(COUNTIFS('Weekly Log'!$H:$H,"Y",'Weekly Log'!$A:$A,"&gt;="&amp;$J950,'Weekly Log'!$A:$A,"&lt;"&amp;$J950+7)/COUNTIFS('Weekly Log'!$H:$H,"&lt;&gt;",'Weekly Log'!$A:$A,"&gt;="&amp;$J950,'Weekly Log'!$A:$A,"&lt;"&amp;$J950+7),0))</f>
        <v/>
      </c>
      <c r="E950" t="str">
        <f>IF($J950="","",IFERROR(AVERAGEIFS('Weekly Log'!$F:$F,'Weekly Log'!$A:$A,"&gt;="&amp;$J950,'Weekly Log'!$A:$A,"&lt;"&amp;$J950+7),0))</f>
        <v/>
      </c>
      <c r="F950" t="str">
        <f>IF($J950="","",IFERROR(SUMIFS('Weekly Log'!$F:$F,'Weekly Log'!$A:$A,"&gt;="&amp;$J950,'Weekly Log'!$A:$A,"&lt;"&amp;$J950+7)/SUMIFS('Weekly Log'!$E:$E,'Weekly Log'!$A:$A,"&gt;="&amp;$J950,'Weekly Log'!$A:$A,"&lt;"&amp;$J950+7),0))</f>
        <v/>
      </c>
      <c r="G950" t="str">
        <f>IF($J950="","",IFERROR(LOOKUP(2,1/(('Weekly Log'!$A$5:$A$5000&gt;=$J950)*('Weekly Log'!$A$5:$A$5000&lt;$J950+7)*('Weekly Log'!$M$5:$M$5000&lt;&gt;"")),'Weekly Log'!$M$5:$M$5000),0))</f>
        <v/>
      </c>
      <c r="J950" t="str">
        <f>IF(COUNT('Weekly Log'!$A$5:$A$5000)=0,"",IF(MIN('Weekly Log'!$A$5:$A$5000)+7*(ROW()-10)&gt;MAX('Weekly Log'!$A$5:$A$5000),"",MIN('Weekly Log'!$A$5:$A$5000)+7*(ROW()-10)))</f>
        <v/>
      </c>
    </row>
    <row r="951" spans="1:10" x14ac:dyDescent="0.25">
      <c r="A951" t="str">
        <f t="shared" si="14"/>
        <v/>
      </c>
      <c r="B951" t="str">
        <f>IF($J951="","",SUMIFS('Weekly Log'!$C:$C,'Weekly Log'!$A:$A,"&gt;="&amp;$J951,'Weekly Log'!$A:$A,"&lt;"&amp;$J951+7))</f>
        <v/>
      </c>
      <c r="C951" t="str">
        <f>IF($J951="","",IFERROR(COUNTIFS('Weekly Log'!$G:$G,"Y",'Weekly Log'!$A:$A,"&gt;="&amp;$J951,'Weekly Log'!$A:$A,"&lt;"&amp;$J951+7)/COUNTIFS('Weekly Log'!$G:$G,"&lt;&gt;",'Weekly Log'!$A:$A,"&gt;="&amp;$J951,'Weekly Log'!$A:$A,"&lt;"&amp;$J951+7),0))</f>
        <v/>
      </c>
      <c r="D951" t="str">
        <f>IF($J951="","",IFERROR(COUNTIFS('Weekly Log'!$H:$H,"Y",'Weekly Log'!$A:$A,"&gt;="&amp;$J951,'Weekly Log'!$A:$A,"&lt;"&amp;$J951+7)/COUNTIFS('Weekly Log'!$H:$H,"&lt;&gt;",'Weekly Log'!$A:$A,"&gt;="&amp;$J951,'Weekly Log'!$A:$A,"&lt;"&amp;$J951+7),0))</f>
        <v/>
      </c>
      <c r="E951" t="str">
        <f>IF($J951="","",IFERROR(AVERAGEIFS('Weekly Log'!$F:$F,'Weekly Log'!$A:$A,"&gt;="&amp;$J951,'Weekly Log'!$A:$A,"&lt;"&amp;$J951+7),0))</f>
        <v/>
      </c>
      <c r="F951" t="str">
        <f>IF($J951="","",IFERROR(SUMIFS('Weekly Log'!$F:$F,'Weekly Log'!$A:$A,"&gt;="&amp;$J951,'Weekly Log'!$A:$A,"&lt;"&amp;$J951+7)/SUMIFS('Weekly Log'!$E:$E,'Weekly Log'!$A:$A,"&gt;="&amp;$J951,'Weekly Log'!$A:$A,"&lt;"&amp;$J951+7),0))</f>
        <v/>
      </c>
      <c r="G951" t="str">
        <f>IF($J951="","",IFERROR(LOOKUP(2,1/(('Weekly Log'!$A$5:$A$5000&gt;=$J951)*('Weekly Log'!$A$5:$A$5000&lt;$J951+7)*('Weekly Log'!$M$5:$M$5000&lt;&gt;"")),'Weekly Log'!$M$5:$M$5000),0))</f>
        <v/>
      </c>
      <c r="J951" t="str">
        <f>IF(COUNT('Weekly Log'!$A$5:$A$5000)=0,"",IF(MIN('Weekly Log'!$A$5:$A$5000)+7*(ROW()-10)&gt;MAX('Weekly Log'!$A$5:$A$5000),"",MIN('Weekly Log'!$A$5:$A$5000)+7*(ROW()-10)))</f>
        <v/>
      </c>
    </row>
    <row r="952" spans="1:10" x14ac:dyDescent="0.25">
      <c r="A952" t="str">
        <f t="shared" si="14"/>
        <v/>
      </c>
      <c r="B952" t="str">
        <f>IF($J952="","",SUMIFS('Weekly Log'!$C:$C,'Weekly Log'!$A:$A,"&gt;="&amp;$J952,'Weekly Log'!$A:$A,"&lt;"&amp;$J952+7))</f>
        <v/>
      </c>
      <c r="C952" t="str">
        <f>IF($J952="","",IFERROR(COUNTIFS('Weekly Log'!$G:$G,"Y",'Weekly Log'!$A:$A,"&gt;="&amp;$J952,'Weekly Log'!$A:$A,"&lt;"&amp;$J952+7)/COUNTIFS('Weekly Log'!$G:$G,"&lt;&gt;",'Weekly Log'!$A:$A,"&gt;="&amp;$J952,'Weekly Log'!$A:$A,"&lt;"&amp;$J952+7),0))</f>
        <v/>
      </c>
      <c r="D952" t="str">
        <f>IF($J952="","",IFERROR(COUNTIFS('Weekly Log'!$H:$H,"Y",'Weekly Log'!$A:$A,"&gt;="&amp;$J952,'Weekly Log'!$A:$A,"&lt;"&amp;$J952+7)/COUNTIFS('Weekly Log'!$H:$H,"&lt;&gt;",'Weekly Log'!$A:$A,"&gt;="&amp;$J952,'Weekly Log'!$A:$A,"&lt;"&amp;$J952+7),0))</f>
        <v/>
      </c>
      <c r="E952" t="str">
        <f>IF($J952="","",IFERROR(AVERAGEIFS('Weekly Log'!$F:$F,'Weekly Log'!$A:$A,"&gt;="&amp;$J952,'Weekly Log'!$A:$A,"&lt;"&amp;$J952+7),0))</f>
        <v/>
      </c>
      <c r="F952" t="str">
        <f>IF($J952="","",IFERROR(SUMIFS('Weekly Log'!$F:$F,'Weekly Log'!$A:$A,"&gt;="&amp;$J952,'Weekly Log'!$A:$A,"&lt;"&amp;$J952+7)/SUMIFS('Weekly Log'!$E:$E,'Weekly Log'!$A:$A,"&gt;="&amp;$J952,'Weekly Log'!$A:$A,"&lt;"&amp;$J952+7),0))</f>
        <v/>
      </c>
      <c r="G952" t="str">
        <f>IF($J952="","",IFERROR(LOOKUP(2,1/(('Weekly Log'!$A$5:$A$5000&gt;=$J952)*('Weekly Log'!$A$5:$A$5000&lt;$J952+7)*('Weekly Log'!$M$5:$M$5000&lt;&gt;"")),'Weekly Log'!$M$5:$M$5000),0))</f>
        <v/>
      </c>
      <c r="J952" t="str">
        <f>IF(COUNT('Weekly Log'!$A$5:$A$5000)=0,"",IF(MIN('Weekly Log'!$A$5:$A$5000)+7*(ROW()-10)&gt;MAX('Weekly Log'!$A$5:$A$5000),"",MIN('Weekly Log'!$A$5:$A$5000)+7*(ROW()-10)))</f>
        <v/>
      </c>
    </row>
    <row r="953" spans="1:10" x14ac:dyDescent="0.25">
      <c r="A953" t="str">
        <f t="shared" si="14"/>
        <v/>
      </c>
      <c r="B953" t="str">
        <f>IF($J953="","",SUMIFS('Weekly Log'!$C:$C,'Weekly Log'!$A:$A,"&gt;="&amp;$J953,'Weekly Log'!$A:$A,"&lt;"&amp;$J953+7))</f>
        <v/>
      </c>
      <c r="C953" t="str">
        <f>IF($J953="","",IFERROR(COUNTIFS('Weekly Log'!$G:$G,"Y",'Weekly Log'!$A:$A,"&gt;="&amp;$J953,'Weekly Log'!$A:$A,"&lt;"&amp;$J953+7)/COUNTIFS('Weekly Log'!$G:$G,"&lt;&gt;",'Weekly Log'!$A:$A,"&gt;="&amp;$J953,'Weekly Log'!$A:$A,"&lt;"&amp;$J953+7),0))</f>
        <v/>
      </c>
      <c r="D953" t="str">
        <f>IF($J953="","",IFERROR(COUNTIFS('Weekly Log'!$H:$H,"Y",'Weekly Log'!$A:$A,"&gt;="&amp;$J953,'Weekly Log'!$A:$A,"&lt;"&amp;$J953+7)/COUNTIFS('Weekly Log'!$H:$H,"&lt;&gt;",'Weekly Log'!$A:$A,"&gt;="&amp;$J953,'Weekly Log'!$A:$A,"&lt;"&amp;$J953+7),0))</f>
        <v/>
      </c>
      <c r="E953" t="str">
        <f>IF($J953="","",IFERROR(AVERAGEIFS('Weekly Log'!$F:$F,'Weekly Log'!$A:$A,"&gt;="&amp;$J953,'Weekly Log'!$A:$A,"&lt;"&amp;$J953+7),0))</f>
        <v/>
      </c>
      <c r="F953" t="str">
        <f>IF($J953="","",IFERROR(SUMIFS('Weekly Log'!$F:$F,'Weekly Log'!$A:$A,"&gt;="&amp;$J953,'Weekly Log'!$A:$A,"&lt;"&amp;$J953+7)/SUMIFS('Weekly Log'!$E:$E,'Weekly Log'!$A:$A,"&gt;="&amp;$J953,'Weekly Log'!$A:$A,"&lt;"&amp;$J953+7),0))</f>
        <v/>
      </c>
      <c r="G953" t="str">
        <f>IF($J953="","",IFERROR(LOOKUP(2,1/(('Weekly Log'!$A$5:$A$5000&gt;=$J953)*('Weekly Log'!$A$5:$A$5000&lt;$J953+7)*('Weekly Log'!$M$5:$M$5000&lt;&gt;"")),'Weekly Log'!$M$5:$M$5000),0))</f>
        <v/>
      </c>
      <c r="J953" t="str">
        <f>IF(COUNT('Weekly Log'!$A$5:$A$5000)=0,"",IF(MIN('Weekly Log'!$A$5:$A$5000)+7*(ROW()-10)&gt;MAX('Weekly Log'!$A$5:$A$5000),"",MIN('Weekly Log'!$A$5:$A$5000)+7*(ROW()-10)))</f>
        <v/>
      </c>
    </row>
    <row r="954" spans="1:10" x14ac:dyDescent="0.25">
      <c r="A954" t="str">
        <f t="shared" si="14"/>
        <v/>
      </c>
      <c r="B954" t="str">
        <f>IF($J954="","",SUMIFS('Weekly Log'!$C:$C,'Weekly Log'!$A:$A,"&gt;="&amp;$J954,'Weekly Log'!$A:$A,"&lt;"&amp;$J954+7))</f>
        <v/>
      </c>
      <c r="C954" t="str">
        <f>IF($J954="","",IFERROR(COUNTIFS('Weekly Log'!$G:$G,"Y",'Weekly Log'!$A:$A,"&gt;="&amp;$J954,'Weekly Log'!$A:$A,"&lt;"&amp;$J954+7)/COUNTIFS('Weekly Log'!$G:$G,"&lt;&gt;",'Weekly Log'!$A:$A,"&gt;="&amp;$J954,'Weekly Log'!$A:$A,"&lt;"&amp;$J954+7),0))</f>
        <v/>
      </c>
      <c r="D954" t="str">
        <f>IF($J954="","",IFERROR(COUNTIFS('Weekly Log'!$H:$H,"Y",'Weekly Log'!$A:$A,"&gt;="&amp;$J954,'Weekly Log'!$A:$A,"&lt;"&amp;$J954+7)/COUNTIFS('Weekly Log'!$H:$H,"&lt;&gt;",'Weekly Log'!$A:$A,"&gt;="&amp;$J954,'Weekly Log'!$A:$A,"&lt;"&amp;$J954+7),0))</f>
        <v/>
      </c>
      <c r="E954" t="str">
        <f>IF($J954="","",IFERROR(AVERAGEIFS('Weekly Log'!$F:$F,'Weekly Log'!$A:$A,"&gt;="&amp;$J954,'Weekly Log'!$A:$A,"&lt;"&amp;$J954+7),0))</f>
        <v/>
      </c>
      <c r="F954" t="str">
        <f>IF($J954="","",IFERROR(SUMIFS('Weekly Log'!$F:$F,'Weekly Log'!$A:$A,"&gt;="&amp;$J954,'Weekly Log'!$A:$A,"&lt;"&amp;$J954+7)/SUMIFS('Weekly Log'!$E:$E,'Weekly Log'!$A:$A,"&gt;="&amp;$J954,'Weekly Log'!$A:$A,"&lt;"&amp;$J954+7),0))</f>
        <v/>
      </c>
      <c r="G954" t="str">
        <f>IF($J954="","",IFERROR(LOOKUP(2,1/(('Weekly Log'!$A$5:$A$5000&gt;=$J954)*('Weekly Log'!$A$5:$A$5000&lt;$J954+7)*('Weekly Log'!$M$5:$M$5000&lt;&gt;"")),'Weekly Log'!$M$5:$M$5000),0))</f>
        <v/>
      </c>
      <c r="J954" t="str">
        <f>IF(COUNT('Weekly Log'!$A$5:$A$5000)=0,"",IF(MIN('Weekly Log'!$A$5:$A$5000)+7*(ROW()-10)&gt;MAX('Weekly Log'!$A$5:$A$5000),"",MIN('Weekly Log'!$A$5:$A$5000)+7*(ROW()-10)))</f>
        <v/>
      </c>
    </row>
    <row r="955" spans="1:10" x14ac:dyDescent="0.25">
      <c r="A955" t="str">
        <f t="shared" si="14"/>
        <v/>
      </c>
      <c r="B955" t="str">
        <f>IF($J955="","",SUMIFS('Weekly Log'!$C:$C,'Weekly Log'!$A:$A,"&gt;="&amp;$J955,'Weekly Log'!$A:$A,"&lt;"&amp;$J955+7))</f>
        <v/>
      </c>
      <c r="C955" t="str">
        <f>IF($J955="","",IFERROR(COUNTIFS('Weekly Log'!$G:$G,"Y",'Weekly Log'!$A:$A,"&gt;="&amp;$J955,'Weekly Log'!$A:$A,"&lt;"&amp;$J955+7)/COUNTIFS('Weekly Log'!$G:$G,"&lt;&gt;",'Weekly Log'!$A:$A,"&gt;="&amp;$J955,'Weekly Log'!$A:$A,"&lt;"&amp;$J955+7),0))</f>
        <v/>
      </c>
      <c r="D955" t="str">
        <f>IF($J955="","",IFERROR(COUNTIFS('Weekly Log'!$H:$H,"Y",'Weekly Log'!$A:$A,"&gt;="&amp;$J955,'Weekly Log'!$A:$A,"&lt;"&amp;$J955+7)/COUNTIFS('Weekly Log'!$H:$H,"&lt;&gt;",'Weekly Log'!$A:$A,"&gt;="&amp;$J955,'Weekly Log'!$A:$A,"&lt;"&amp;$J955+7),0))</f>
        <v/>
      </c>
      <c r="E955" t="str">
        <f>IF($J955="","",IFERROR(AVERAGEIFS('Weekly Log'!$F:$F,'Weekly Log'!$A:$A,"&gt;="&amp;$J955,'Weekly Log'!$A:$A,"&lt;"&amp;$J955+7),0))</f>
        <v/>
      </c>
      <c r="F955" t="str">
        <f>IF($J955="","",IFERROR(SUMIFS('Weekly Log'!$F:$F,'Weekly Log'!$A:$A,"&gt;="&amp;$J955,'Weekly Log'!$A:$A,"&lt;"&amp;$J955+7)/SUMIFS('Weekly Log'!$E:$E,'Weekly Log'!$A:$A,"&gt;="&amp;$J955,'Weekly Log'!$A:$A,"&lt;"&amp;$J955+7),0))</f>
        <v/>
      </c>
      <c r="G955" t="str">
        <f>IF($J955="","",IFERROR(LOOKUP(2,1/(('Weekly Log'!$A$5:$A$5000&gt;=$J955)*('Weekly Log'!$A$5:$A$5000&lt;$J955+7)*('Weekly Log'!$M$5:$M$5000&lt;&gt;"")),'Weekly Log'!$M$5:$M$5000),0))</f>
        <v/>
      </c>
      <c r="J955" t="str">
        <f>IF(COUNT('Weekly Log'!$A$5:$A$5000)=0,"",IF(MIN('Weekly Log'!$A$5:$A$5000)+7*(ROW()-10)&gt;MAX('Weekly Log'!$A$5:$A$5000),"",MIN('Weekly Log'!$A$5:$A$5000)+7*(ROW()-10)))</f>
        <v/>
      </c>
    </row>
    <row r="956" spans="1:10" x14ac:dyDescent="0.25">
      <c r="A956" t="str">
        <f t="shared" si="14"/>
        <v/>
      </c>
      <c r="B956" t="str">
        <f>IF($J956="","",SUMIFS('Weekly Log'!$C:$C,'Weekly Log'!$A:$A,"&gt;="&amp;$J956,'Weekly Log'!$A:$A,"&lt;"&amp;$J956+7))</f>
        <v/>
      </c>
      <c r="C956" t="str">
        <f>IF($J956="","",IFERROR(COUNTIFS('Weekly Log'!$G:$G,"Y",'Weekly Log'!$A:$A,"&gt;="&amp;$J956,'Weekly Log'!$A:$A,"&lt;"&amp;$J956+7)/COUNTIFS('Weekly Log'!$G:$G,"&lt;&gt;",'Weekly Log'!$A:$A,"&gt;="&amp;$J956,'Weekly Log'!$A:$A,"&lt;"&amp;$J956+7),0))</f>
        <v/>
      </c>
      <c r="D956" t="str">
        <f>IF($J956="","",IFERROR(COUNTIFS('Weekly Log'!$H:$H,"Y",'Weekly Log'!$A:$A,"&gt;="&amp;$J956,'Weekly Log'!$A:$A,"&lt;"&amp;$J956+7)/COUNTIFS('Weekly Log'!$H:$H,"&lt;&gt;",'Weekly Log'!$A:$A,"&gt;="&amp;$J956,'Weekly Log'!$A:$A,"&lt;"&amp;$J956+7),0))</f>
        <v/>
      </c>
      <c r="E956" t="str">
        <f>IF($J956="","",IFERROR(AVERAGEIFS('Weekly Log'!$F:$F,'Weekly Log'!$A:$A,"&gt;="&amp;$J956,'Weekly Log'!$A:$A,"&lt;"&amp;$J956+7),0))</f>
        <v/>
      </c>
      <c r="F956" t="str">
        <f>IF($J956="","",IFERROR(SUMIFS('Weekly Log'!$F:$F,'Weekly Log'!$A:$A,"&gt;="&amp;$J956,'Weekly Log'!$A:$A,"&lt;"&amp;$J956+7)/SUMIFS('Weekly Log'!$E:$E,'Weekly Log'!$A:$A,"&gt;="&amp;$J956,'Weekly Log'!$A:$A,"&lt;"&amp;$J956+7),0))</f>
        <v/>
      </c>
      <c r="G956" t="str">
        <f>IF($J956="","",IFERROR(LOOKUP(2,1/(('Weekly Log'!$A$5:$A$5000&gt;=$J956)*('Weekly Log'!$A$5:$A$5000&lt;$J956+7)*('Weekly Log'!$M$5:$M$5000&lt;&gt;"")),'Weekly Log'!$M$5:$M$5000),0))</f>
        <v/>
      </c>
      <c r="J956" t="str">
        <f>IF(COUNT('Weekly Log'!$A$5:$A$5000)=0,"",IF(MIN('Weekly Log'!$A$5:$A$5000)+7*(ROW()-10)&gt;MAX('Weekly Log'!$A$5:$A$5000),"",MIN('Weekly Log'!$A$5:$A$5000)+7*(ROW()-10)))</f>
        <v/>
      </c>
    </row>
    <row r="957" spans="1:10" x14ac:dyDescent="0.25">
      <c r="A957" t="str">
        <f t="shared" si="14"/>
        <v/>
      </c>
      <c r="B957" t="str">
        <f>IF($J957="","",SUMIFS('Weekly Log'!$C:$C,'Weekly Log'!$A:$A,"&gt;="&amp;$J957,'Weekly Log'!$A:$A,"&lt;"&amp;$J957+7))</f>
        <v/>
      </c>
      <c r="C957" t="str">
        <f>IF($J957="","",IFERROR(COUNTIFS('Weekly Log'!$G:$G,"Y",'Weekly Log'!$A:$A,"&gt;="&amp;$J957,'Weekly Log'!$A:$A,"&lt;"&amp;$J957+7)/COUNTIFS('Weekly Log'!$G:$G,"&lt;&gt;",'Weekly Log'!$A:$A,"&gt;="&amp;$J957,'Weekly Log'!$A:$A,"&lt;"&amp;$J957+7),0))</f>
        <v/>
      </c>
      <c r="D957" t="str">
        <f>IF($J957="","",IFERROR(COUNTIFS('Weekly Log'!$H:$H,"Y",'Weekly Log'!$A:$A,"&gt;="&amp;$J957,'Weekly Log'!$A:$A,"&lt;"&amp;$J957+7)/COUNTIFS('Weekly Log'!$H:$H,"&lt;&gt;",'Weekly Log'!$A:$A,"&gt;="&amp;$J957,'Weekly Log'!$A:$A,"&lt;"&amp;$J957+7),0))</f>
        <v/>
      </c>
      <c r="E957" t="str">
        <f>IF($J957="","",IFERROR(AVERAGEIFS('Weekly Log'!$F:$F,'Weekly Log'!$A:$A,"&gt;="&amp;$J957,'Weekly Log'!$A:$A,"&lt;"&amp;$J957+7),0))</f>
        <v/>
      </c>
      <c r="F957" t="str">
        <f>IF($J957="","",IFERROR(SUMIFS('Weekly Log'!$F:$F,'Weekly Log'!$A:$A,"&gt;="&amp;$J957,'Weekly Log'!$A:$A,"&lt;"&amp;$J957+7)/SUMIFS('Weekly Log'!$E:$E,'Weekly Log'!$A:$A,"&gt;="&amp;$J957,'Weekly Log'!$A:$A,"&lt;"&amp;$J957+7),0))</f>
        <v/>
      </c>
      <c r="G957" t="str">
        <f>IF($J957="","",IFERROR(LOOKUP(2,1/(('Weekly Log'!$A$5:$A$5000&gt;=$J957)*('Weekly Log'!$A$5:$A$5000&lt;$J957+7)*('Weekly Log'!$M$5:$M$5000&lt;&gt;"")),'Weekly Log'!$M$5:$M$5000),0))</f>
        <v/>
      </c>
      <c r="J957" t="str">
        <f>IF(COUNT('Weekly Log'!$A$5:$A$5000)=0,"",IF(MIN('Weekly Log'!$A$5:$A$5000)+7*(ROW()-10)&gt;MAX('Weekly Log'!$A$5:$A$5000),"",MIN('Weekly Log'!$A$5:$A$5000)+7*(ROW()-10)))</f>
        <v/>
      </c>
    </row>
    <row r="958" spans="1:10" x14ac:dyDescent="0.25">
      <c r="A958" t="str">
        <f t="shared" si="14"/>
        <v/>
      </c>
      <c r="B958" t="str">
        <f>IF($J958="","",SUMIFS('Weekly Log'!$C:$C,'Weekly Log'!$A:$A,"&gt;="&amp;$J958,'Weekly Log'!$A:$A,"&lt;"&amp;$J958+7))</f>
        <v/>
      </c>
      <c r="C958" t="str">
        <f>IF($J958="","",IFERROR(COUNTIFS('Weekly Log'!$G:$G,"Y",'Weekly Log'!$A:$A,"&gt;="&amp;$J958,'Weekly Log'!$A:$A,"&lt;"&amp;$J958+7)/COUNTIFS('Weekly Log'!$G:$G,"&lt;&gt;",'Weekly Log'!$A:$A,"&gt;="&amp;$J958,'Weekly Log'!$A:$A,"&lt;"&amp;$J958+7),0))</f>
        <v/>
      </c>
      <c r="D958" t="str">
        <f>IF($J958="","",IFERROR(COUNTIFS('Weekly Log'!$H:$H,"Y",'Weekly Log'!$A:$A,"&gt;="&amp;$J958,'Weekly Log'!$A:$A,"&lt;"&amp;$J958+7)/COUNTIFS('Weekly Log'!$H:$H,"&lt;&gt;",'Weekly Log'!$A:$A,"&gt;="&amp;$J958,'Weekly Log'!$A:$A,"&lt;"&amp;$J958+7),0))</f>
        <v/>
      </c>
      <c r="E958" t="str">
        <f>IF($J958="","",IFERROR(AVERAGEIFS('Weekly Log'!$F:$F,'Weekly Log'!$A:$A,"&gt;="&amp;$J958,'Weekly Log'!$A:$A,"&lt;"&amp;$J958+7),0))</f>
        <v/>
      </c>
      <c r="F958" t="str">
        <f>IF($J958="","",IFERROR(SUMIFS('Weekly Log'!$F:$F,'Weekly Log'!$A:$A,"&gt;="&amp;$J958,'Weekly Log'!$A:$A,"&lt;"&amp;$J958+7)/SUMIFS('Weekly Log'!$E:$E,'Weekly Log'!$A:$A,"&gt;="&amp;$J958,'Weekly Log'!$A:$A,"&lt;"&amp;$J958+7),0))</f>
        <v/>
      </c>
      <c r="G958" t="str">
        <f>IF($J958="","",IFERROR(LOOKUP(2,1/(('Weekly Log'!$A$5:$A$5000&gt;=$J958)*('Weekly Log'!$A$5:$A$5000&lt;$J958+7)*('Weekly Log'!$M$5:$M$5000&lt;&gt;"")),'Weekly Log'!$M$5:$M$5000),0))</f>
        <v/>
      </c>
      <c r="J958" t="str">
        <f>IF(COUNT('Weekly Log'!$A$5:$A$5000)=0,"",IF(MIN('Weekly Log'!$A$5:$A$5000)+7*(ROW()-10)&gt;MAX('Weekly Log'!$A$5:$A$5000),"",MIN('Weekly Log'!$A$5:$A$5000)+7*(ROW()-10)))</f>
        <v/>
      </c>
    </row>
    <row r="959" spans="1:10" x14ac:dyDescent="0.25">
      <c r="A959" t="str">
        <f t="shared" si="14"/>
        <v/>
      </c>
      <c r="B959" t="str">
        <f>IF($J959="","",SUMIFS('Weekly Log'!$C:$C,'Weekly Log'!$A:$A,"&gt;="&amp;$J959,'Weekly Log'!$A:$A,"&lt;"&amp;$J959+7))</f>
        <v/>
      </c>
      <c r="C959" t="str">
        <f>IF($J959="","",IFERROR(COUNTIFS('Weekly Log'!$G:$G,"Y",'Weekly Log'!$A:$A,"&gt;="&amp;$J959,'Weekly Log'!$A:$A,"&lt;"&amp;$J959+7)/COUNTIFS('Weekly Log'!$G:$G,"&lt;&gt;",'Weekly Log'!$A:$A,"&gt;="&amp;$J959,'Weekly Log'!$A:$A,"&lt;"&amp;$J959+7),0))</f>
        <v/>
      </c>
      <c r="D959" t="str">
        <f>IF($J959="","",IFERROR(COUNTIFS('Weekly Log'!$H:$H,"Y",'Weekly Log'!$A:$A,"&gt;="&amp;$J959,'Weekly Log'!$A:$A,"&lt;"&amp;$J959+7)/COUNTIFS('Weekly Log'!$H:$H,"&lt;&gt;",'Weekly Log'!$A:$A,"&gt;="&amp;$J959,'Weekly Log'!$A:$A,"&lt;"&amp;$J959+7),0))</f>
        <v/>
      </c>
      <c r="E959" t="str">
        <f>IF($J959="","",IFERROR(AVERAGEIFS('Weekly Log'!$F:$F,'Weekly Log'!$A:$A,"&gt;="&amp;$J959,'Weekly Log'!$A:$A,"&lt;"&amp;$J959+7),0))</f>
        <v/>
      </c>
      <c r="F959" t="str">
        <f>IF($J959="","",IFERROR(SUMIFS('Weekly Log'!$F:$F,'Weekly Log'!$A:$A,"&gt;="&amp;$J959,'Weekly Log'!$A:$A,"&lt;"&amp;$J959+7)/SUMIFS('Weekly Log'!$E:$E,'Weekly Log'!$A:$A,"&gt;="&amp;$J959,'Weekly Log'!$A:$A,"&lt;"&amp;$J959+7),0))</f>
        <v/>
      </c>
      <c r="G959" t="str">
        <f>IF($J959="","",IFERROR(LOOKUP(2,1/(('Weekly Log'!$A$5:$A$5000&gt;=$J959)*('Weekly Log'!$A$5:$A$5000&lt;$J959+7)*('Weekly Log'!$M$5:$M$5000&lt;&gt;"")),'Weekly Log'!$M$5:$M$5000),0))</f>
        <v/>
      </c>
      <c r="J959" t="str">
        <f>IF(COUNT('Weekly Log'!$A$5:$A$5000)=0,"",IF(MIN('Weekly Log'!$A$5:$A$5000)+7*(ROW()-10)&gt;MAX('Weekly Log'!$A$5:$A$5000),"",MIN('Weekly Log'!$A$5:$A$5000)+7*(ROW()-10)))</f>
        <v/>
      </c>
    </row>
    <row r="960" spans="1:10" x14ac:dyDescent="0.25">
      <c r="A960" t="str">
        <f t="shared" si="14"/>
        <v/>
      </c>
      <c r="B960" t="str">
        <f>IF($J960="","",SUMIFS('Weekly Log'!$C:$C,'Weekly Log'!$A:$A,"&gt;="&amp;$J960,'Weekly Log'!$A:$A,"&lt;"&amp;$J960+7))</f>
        <v/>
      </c>
      <c r="C960" t="str">
        <f>IF($J960="","",IFERROR(COUNTIFS('Weekly Log'!$G:$G,"Y",'Weekly Log'!$A:$A,"&gt;="&amp;$J960,'Weekly Log'!$A:$A,"&lt;"&amp;$J960+7)/COUNTIFS('Weekly Log'!$G:$G,"&lt;&gt;",'Weekly Log'!$A:$A,"&gt;="&amp;$J960,'Weekly Log'!$A:$A,"&lt;"&amp;$J960+7),0))</f>
        <v/>
      </c>
      <c r="D960" t="str">
        <f>IF($J960="","",IFERROR(COUNTIFS('Weekly Log'!$H:$H,"Y",'Weekly Log'!$A:$A,"&gt;="&amp;$J960,'Weekly Log'!$A:$A,"&lt;"&amp;$J960+7)/COUNTIFS('Weekly Log'!$H:$H,"&lt;&gt;",'Weekly Log'!$A:$A,"&gt;="&amp;$J960,'Weekly Log'!$A:$A,"&lt;"&amp;$J960+7),0))</f>
        <v/>
      </c>
      <c r="E960" t="str">
        <f>IF($J960="","",IFERROR(AVERAGEIFS('Weekly Log'!$F:$F,'Weekly Log'!$A:$A,"&gt;="&amp;$J960,'Weekly Log'!$A:$A,"&lt;"&amp;$J960+7),0))</f>
        <v/>
      </c>
      <c r="F960" t="str">
        <f>IF($J960="","",IFERROR(SUMIFS('Weekly Log'!$F:$F,'Weekly Log'!$A:$A,"&gt;="&amp;$J960,'Weekly Log'!$A:$A,"&lt;"&amp;$J960+7)/SUMIFS('Weekly Log'!$E:$E,'Weekly Log'!$A:$A,"&gt;="&amp;$J960,'Weekly Log'!$A:$A,"&lt;"&amp;$J960+7),0))</f>
        <v/>
      </c>
      <c r="G960" t="str">
        <f>IF($J960="","",IFERROR(LOOKUP(2,1/(('Weekly Log'!$A$5:$A$5000&gt;=$J960)*('Weekly Log'!$A$5:$A$5000&lt;$J960+7)*('Weekly Log'!$M$5:$M$5000&lt;&gt;"")),'Weekly Log'!$M$5:$M$5000),0))</f>
        <v/>
      </c>
      <c r="J960" t="str">
        <f>IF(COUNT('Weekly Log'!$A$5:$A$5000)=0,"",IF(MIN('Weekly Log'!$A$5:$A$5000)+7*(ROW()-10)&gt;MAX('Weekly Log'!$A$5:$A$5000),"",MIN('Weekly Log'!$A$5:$A$5000)+7*(ROW()-10)))</f>
        <v/>
      </c>
    </row>
    <row r="961" spans="1:10" x14ac:dyDescent="0.25">
      <c r="A961" t="str">
        <f t="shared" si="14"/>
        <v/>
      </c>
      <c r="B961" t="str">
        <f>IF($J961="","",SUMIFS('Weekly Log'!$C:$C,'Weekly Log'!$A:$A,"&gt;="&amp;$J961,'Weekly Log'!$A:$A,"&lt;"&amp;$J961+7))</f>
        <v/>
      </c>
      <c r="C961" t="str">
        <f>IF($J961="","",IFERROR(COUNTIFS('Weekly Log'!$G:$G,"Y",'Weekly Log'!$A:$A,"&gt;="&amp;$J961,'Weekly Log'!$A:$A,"&lt;"&amp;$J961+7)/COUNTIFS('Weekly Log'!$G:$G,"&lt;&gt;",'Weekly Log'!$A:$A,"&gt;="&amp;$J961,'Weekly Log'!$A:$A,"&lt;"&amp;$J961+7),0))</f>
        <v/>
      </c>
      <c r="D961" t="str">
        <f>IF($J961="","",IFERROR(COUNTIFS('Weekly Log'!$H:$H,"Y",'Weekly Log'!$A:$A,"&gt;="&amp;$J961,'Weekly Log'!$A:$A,"&lt;"&amp;$J961+7)/COUNTIFS('Weekly Log'!$H:$H,"&lt;&gt;",'Weekly Log'!$A:$A,"&gt;="&amp;$J961,'Weekly Log'!$A:$A,"&lt;"&amp;$J961+7),0))</f>
        <v/>
      </c>
      <c r="E961" t="str">
        <f>IF($J961="","",IFERROR(AVERAGEIFS('Weekly Log'!$F:$F,'Weekly Log'!$A:$A,"&gt;="&amp;$J961,'Weekly Log'!$A:$A,"&lt;"&amp;$J961+7),0))</f>
        <v/>
      </c>
      <c r="F961" t="str">
        <f>IF($J961="","",IFERROR(SUMIFS('Weekly Log'!$F:$F,'Weekly Log'!$A:$A,"&gt;="&amp;$J961,'Weekly Log'!$A:$A,"&lt;"&amp;$J961+7)/SUMIFS('Weekly Log'!$E:$E,'Weekly Log'!$A:$A,"&gt;="&amp;$J961,'Weekly Log'!$A:$A,"&lt;"&amp;$J961+7),0))</f>
        <v/>
      </c>
      <c r="G961" t="str">
        <f>IF($J961="","",IFERROR(LOOKUP(2,1/(('Weekly Log'!$A$5:$A$5000&gt;=$J961)*('Weekly Log'!$A$5:$A$5000&lt;$J961+7)*('Weekly Log'!$M$5:$M$5000&lt;&gt;"")),'Weekly Log'!$M$5:$M$5000),0))</f>
        <v/>
      </c>
      <c r="J961" t="str">
        <f>IF(COUNT('Weekly Log'!$A$5:$A$5000)=0,"",IF(MIN('Weekly Log'!$A$5:$A$5000)+7*(ROW()-10)&gt;MAX('Weekly Log'!$A$5:$A$5000),"",MIN('Weekly Log'!$A$5:$A$5000)+7*(ROW()-10)))</f>
        <v/>
      </c>
    </row>
    <row r="962" spans="1:10" x14ac:dyDescent="0.25">
      <c r="A962" t="str">
        <f t="shared" si="14"/>
        <v/>
      </c>
      <c r="B962" t="str">
        <f>IF($J962="","",SUMIFS('Weekly Log'!$C:$C,'Weekly Log'!$A:$A,"&gt;="&amp;$J962,'Weekly Log'!$A:$A,"&lt;"&amp;$J962+7))</f>
        <v/>
      </c>
      <c r="C962" t="str">
        <f>IF($J962="","",IFERROR(COUNTIFS('Weekly Log'!$G:$G,"Y",'Weekly Log'!$A:$A,"&gt;="&amp;$J962,'Weekly Log'!$A:$A,"&lt;"&amp;$J962+7)/COUNTIFS('Weekly Log'!$G:$G,"&lt;&gt;",'Weekly Log'!$A:$A,"&gt;="&amp;$J962,'Weekly Log'!$A:$A,"&lt;"&amp;$J962+7),0))</f>
        <v/>
      </c>
      <c r="D962" t="str">
        <f>IF($J962="","",IFERROR(COUNTIFS('Weekly Log'!$H:$H,"Y",'Weekly Log'!$A:$A,"&gt;="&amp;$J962,'Weekly Log'!$A:$A,"&lt;"&amp;$J962+7)/COUNTIFS('Weekly Log'!$H:$H,"&lt;&gt;",'Weekly Log'!$A:$A,"&gt;="&amp;$J962,'Weekly Log'!$A:$A,"&lt;"&amp;$J962+7),0))</f>
        <v/>
      </c>
      <c r="E962" t="str">
        <f>IF($J962="","",IFERROR(AVERAGEIFS('Weekly Log'!$F:$F,'Weekly Log'!$A:$A,"&gt;="&amp;$J962,'Weekly Log'!$A:$A,"&lt;"&amp;$J962+7),0))</f>
        <v/>
      </c>
      <c r="F962" t="str">
        <f>IF($J962="","",IFERROR(SUMIFS('Weekly Log'!$F:$F,'Weekly Log'!$A:$A,"&gt;="&amp;$J962,'Weekly Log'!$A:$A,"&lt;"&amp;$J962+7)/SUMIFS('Weekly Log'!$E:$E,'Weekly Log'!$A:$A,"&gt;="&amp;$J962,'Weekly Log'!$A:$A,"&lt;"&amp;$J962+7),0))</f>
        <v/>
      </c>
      <c r="G962" t="str">
        <f>IF($J962="","",IFERROR(LOOKUP(2,1/(('Weekly Log'!$A$5:$A$5000&gt;=$J962)*('Weekly Log'!$A$5:$A$5000&lt;$J962+7)*('Weekly Log'!$M$5:$M$5000&lt;&gt;"")),'Weekly Log'!$M$5:$M$5000),0))</f>
        <v/>
      </c>
      <c r="J962" t="str">
        <f>IF(COUNT('Weekly Log'!$A$5:$A$5000)=0,"",IF(MIN('Weekly Log'!$A$5:$A$5000)+7*(ROW()-10)&gt;MAX('Weekly Log'!$A$5:$A$5000),"",MIN('Weekly Log'!$A$5:$A$5000)+7*(ROW()-10)))</f>
        <v/>
      </c>
    </row>
    <row r="963" spans="1:10" x14ac:dyDescent="0.25">
      <c r="A963" t="str">
        <f t="shared" si="14"/>
        <v/>
      </c>
      <c r="B963" t="str">
        <f>IF($J963="","",SUMIFS('Weekly Log'!$C:$C,'Weekly Log'!$A:$A,"&gt;="&amp;$J963,'Weekly Log'!$A:$A,"&lt;"&amp;$J963+7))</f>
        <v/>
      </c>
      <c r="C963" t="str">
        <f>IF($J963="","",IFERROR(COUNTIFS('Weekly Log'!$G:$G,"Y",'Weekly Log'!$A:$A,"&gt;="&amp;$J963,'Weekly Log'!$A:$A,"&lt;"&amp;$J963+7)/COUNTIFS('Weekly Log'!$G:$G,"&lt;&gt;",'Weekly Log'!$A:$A,"&gt;="&amp;$J963,'Weekly Log'!$A:$A,"&lt;"&amp;$J963+7),0))</f>
        <v/>
      </c>
      <c r="D963" t="str">
        <f>IF($J963="","",IFERROR(COUNTIFS('Weekly Log'!$H:$H,"Y",'Weekly Log'!$A:$A,"&gt;="&amp;$J963,'Weekly Log'!$A:$A,"&lt;"&amp;$J963+7)/COUNTIFS('Weekly Log'!$H:$H,"&lt;&gt;",'Weekly Log'!$A:$A,"&gt;="&amp;$J963,'Weekly Log'!$A:$A,"&lt;"&amp;$J963+7),0))</f>
        <v/>
      </c>
      <c r="E963" t="str">
        <f>IF($J963="","",IFERROR(AVERAGEIFS('Weekly Log'!$F:$F,'Weekly Log'!$A:$A,"&gt;="&amp;$J963,'Weekly Log'!$A:$A,"&lt;"&amp;$J963+7),0))</f>
        <v/>
      </c>
      <c r="F963" t="str">
        <f>IF($J963="","",IFERROR(SUMIFS('Weekly Log'!$F:$F,'Weekly Log'!$A:$A,"&gt;="&amp;$J963,'Weekly Log'!$A:$A,"&lt;"&amp;$J963+7)/SUMIFS('Weekly Log'!$E:$E,'Weekly Log'!$A:$A,"&gt;="&amp;$J963,'Weekly Log'!$A:$A,"&lt;"&amp;$J963+7),0))</f>
        <v/>
      </c>
      <c r="G963" t="str">
        <f>IF($J963="","",IFERROR(LOOKUP(2,1/(('Weekly Log'!$A$5:$A$5000&gt;=$J963)*('Weekly Log'!$A$5:$A$5000&lt;$J963+7)*('Weekly Log'!$M$5:$M$5000&lt;&gt;"")),'Weekly Log'!$M$5:$M$5000),0))</f>
        <v/>
      </c>
      <c r="J963" t="str">
        <f>IF(COUNT('Weekly Log'!$A$5:$A$5000)=0,"",IF(MIN('Weekly Log'!$A$5:$A$5000)+7*(ROW()-10)&gt;MAX('Weekly Log'!$A$5:$A$5000),"",MIN('Weekly Log'!$A$5:$A$5000)+7*(ROW()-10)))</f>
        <v/>
      </c>
    </row>
    <row r="964" spans="1:10" x14ac:dyDescent="0.25">
      <c r="A964" t="str">
        <f t="shared" si="14"/>
        <v/>
      </c>
      <c r="B964" t="str">
        <f>IF($J964="","",SUMIFS('Weekly Log'!$C:$C,'Weekly Log'!$A:$A,"&gt;="&amp;$J964,'Weekly Log'!$A:$A,"&lt;"&amp;$J964+7))</f>
        <v/>
      </c>
      <c r="C964" t="str">
        <f>IF($J964="","",IFERROR(COUNTIFS('Weekly Log'!$G:$G,"Y",'Weekly Log'!$A:$A,"&gt;="&amp;$J964,'Weekly Log'!$A:$A,"&lt;"&amp;$J964+7)/COUNTIFS('Weekly Log'!$G:$G,"&lt;&gt;",'Weekly Log'!$A:$A,"&gt;="&amp;$J964,'Weekly Log'!$A:$A,"&lt;"&amp;$J964+7),0))</f>
        <v/>
      </c>
      <c r="D964" t="str">
        <f>IF($J964="","",IFERROR(COUNTIFS('Weekly Log'!$H:$H,"Y",'Weekly Log'!$A:$A,"&gt;="&amp;$J964,'Weekly Log'!$A:$A,"&lt;"&amp;$J964+7)/COUNTIFS('Weekly Log'!$H:$H,"&lt;&gt;",'Weekly Log'!$A:$A,"&gt;="&amp;$J964,'Weekly Log'!$A:$A,"&lt;"&amp;$J964+7),0))</f>
        <v/>
      </c>
      <c r="E964" t="str">
        <f>IF($J964="","",IFERROR(AVERAGEIFS('Weekly Log'!$F:$F,'Weekly Log'!$A:$A,"&gt;="&amp;$J964,'Weekly Log'!$A:$A,"&lt;"&amp;$J964+7),0))</f>
        <v/>
      </c>
      <c r="F964" t="str">
        <f>IF($J964="","",IFERROR(SUMIFS('Weekly Log'!$F:$F,'Weekly Log'!$A:$A,"&gt;="&amp;$J964,'Weekly Log'!$A:$A,"&lt;"&amp;$J964+7)/SUMIFS('Weekly Log'!$E:$E,'Weekly Log'!$A:$A,"&gt;="&amp;$J964,'Weekly Log'!$A:$A,"&lt;"&amp;$J964+7),0))</f>
        <v/>
      </c>
      <c r="G964" t="str">
        <f>IF($J964="","",IFERROR(LOOKUP(2,1/(('Weekly Log'!$A$5:$A$5000&gt;=$J964)*('Weekly Log'!$A$5:$A$5000&lt;$J964+7)*('Weekly Log'!$M$5:$M$5000&lt;&gt;"")),'Weekly Log'!$M$5:$M$5000),0))</f>
        <v/>
      </c>
      <c r="J964" t="str">
        <f>IF(COUNT('Weekly Log'!$A$5:$A$5000)=0,"",IF(MIN('Weekly Log'!$A$5:$A$5000)+7*(ROW()-10)&gt;MAX('Weekly Log'!$A$5:$A$5000),"",MIN('Weekly Log'!$A$5:$A$5000)+7*(ROW()-10)))</f>
        <v/>
      </c>
    </row>
    <row r="965" spans="1:10" x14ac:dyDescent="0.25">
      <c r="A965" t="str">
        <f t="shared" si="14"/>
        <v/>
      </c>
      <c r="B965" t="str">
        <f>IF($J965="","",SUMIFS('Weekly Log'!$C:$C,'Weekly Log'!$A:$A,"&gt;="&amp;$J965,'Weekly Log'!$A:$A,"&lt;"&amp;$J965+7))</f>
        <v/>
      </c>
      <c r="C965" t="str">
        <f>IF($J965="","",IFERROR(COUNTIFS('Weekly Log'!$G:$G,"Y",'Weekly Log'!$A:$A,"&gt;="&amp;$J965,'Weekly Log'!$A:$A,"&lt;"&amp;$J965+7)/COUNTIFS('Weekly Log'!$G:$G,"&lt;&gt;",'Weekly Log'!$A:$A,"&gt;="&amp;$J965,'Weekly Log'!$A:$A,"&lt;"&amp;$J965+7),0))</f>
        <v/>
      </c>
      <c r="D965" t="str">
        <f>IF($J965="","",IFERROR(COUNTIFS('Weekly Log'!$H:$H,"Y",'Weekly Log'!$A:$A,"&gt;="&amp;$J965,'Weekly Log'!$A:$A,"&lt;"&amp;$J965+7)/COUNTIFS('Weekly Log'!$H:$H,"&lt;&gt;",'Weekly Log'!$A:$A,"&gt;="&amp;$J965,'Weekly Log'!$A:$A,"&lt;"&amp;$J965+7),0))</f>
        <v/>
      </c>
      <c r="E965" t="str">
        <f>IF($J965="","",IFERROR(AVERAGEIFS('Weekly Log'!$F:$F,'Weekly Log'!$A:$A,"&gt;="&amp;$J965,'Weekly Log'!$A:$A,"&lt;"&amp;$J965+7),0))</f>
        <v/>
      </c>
      <c r="F965" t="str">
        <f>IF($J965="","",IFERROR(SUMIFS('Weekly Log'!$F:$F,'Weekly Log'!$A:$A,"&gt;="&amp;$J965,'Weekly Log'!$A:$A,"&lt;"&amp;$J965+7)/SUMIFS('Weekly Log'!$E:$E,'Weekly Log'!$A:$A,"&gt;="&amp;$J965,'Weekly Log'!$A:$A,"&lt;"&amp;$J965+7),0))</f>
        <v/>
      </c>
      <c r="G965" t="str">
        <f>IF($J965="","",IFERROR(LOOKUP(2,1/(('Weekly Log'!$A$5:$A$5000&gt;=$J965)*('Weekly Log'!$A$5:$A$5000&lt;$J965+7)*('Weekly Log'!$M$5:$M$5000&lt;&gt;"")),'Weekly Log'!$M$5:$M$5000),0))</f>
        <v/>
      </c>
      <c r="J965" t="str">
        <f>IF(COUNT('Weekly Log'!$A$5:$A$5000)=0,"",IF(MIN('Weekly Log'!$A$5:$A$5000)+7*(ROW()-10)&gt;MAX('Weekly Log'!$A$5:$A$5000),"",MIN('Weekly Log'!$A$5:$A$5000)+7*(ROW()-10)))</f>
        <v/>
      </c>
    </row>
    <row r="966" spans="1:10" x14ac:dyDescent="0.25">
      <c r="A966" t="str">
        <f t="shared" si="14"/>
        <v/>
      </c>
      <c r="B966" t="str">
        <f>IF($J966="","",SUMIFS('Weekly Log'!$C:$C,'Weekly Log'!$A:$A,"&gt;="&amp;$J966,'Weekly Log'!$A:$A,"&lt;"&amp;$J966+7))</f>
        <v/>
      </c>
      <c r="C966" t="str">
        <f>IF($J966="","",IFERROR(COUNTIFS('Weekly Log'!$G:$G,"Y",'Weekly Log'!$A:$A,"&gt;="&amp;$J966,'Weekly Log'!$A:$A,"&lt;"&amp;$J966+7)/COUNTIFS('Weekly Log'!$G:$G,"&lt;&gt;",'Weekly Log'!$A:$A,"&gt;="&amp;$J966,'Weekly Log'!$A:$A,"&lt;"&amp;$J966+7),0))</f>
        <v/>
      </c>
      <c r="D966" t="str">
        <f>IF($J966="","",IFERROR(COUNTIFS('Weekly Log'!$H:$H,"Y",'Weekly Log'!$A:$A,"&gt;="&amp;$J966,'Weekly Log'!$A:$A,"&lt;"&amp;$J966+7)/COUNTIFS('Weekly Log'!$H:$H,"&lt;&gt;",'Weekly Log'!$A:$A,"&gt;="&amp;$J966,'Weekly Log'!$A:$A,"&lt;"&amp;$J966+7),0))</f>
        <v/>
      </c>
      <c r="E966" t="str">
        <f>IF($J966="","",IFERROR(AVERAGEIFS('Weekly Log'!$F:$F,'Weekly Log'!$A:$A,"&gt;="&amp;$J966,'Weekly Log'!$A:$A,"&lt;"&amp;$J966+7),0))</f>
        <v/>
      </c>
      <c r="F966" t="str">
        <f>IF($J966="","",IFERROR(SUMIFS('Weekly Log'!$F:$F,'Weekly Log'!$A:$A,"&gt;="&amp;$J966,'Weekly Log'!$A:$A,"&lt;"&amp;$J966+7)/SUMIFS('Weekly Log'!$E:$E,'Weekly Log'!$A:$A,"&gt;="&amp;$J966,'Weekly Log'!$A:$A,"&lt;"&amp;$J966+7),0))</f>
        <v/>
      </c>
      <c r="G966" t="str">
        <f>IF($J966="","",IFERROR(LOOKUP(2,1/(('Weekly Log'!$A$5:$A$5000&gt;=$J966)*('Weekly Log'!$A$5:$A$5000&lt;$J966+7)*('Weekly Log'!$M$5:$M$5000&lt;&gt;"")),'Weekly Log'!$M$5:$M$5000),0))</f>
        <v/>
      </c>
      <c r="J966" t="str">
        <f>IF(COUNT('Weekly Log'!$A$5:$A$5000)=0,"",IF(MIN('Weekly Log'!$A$5:$A$5000)+7*(ROW()-10)&gt;MAX('Weekly Log'!$A$5:$A$5000),"",MIN('Weekly Log'!$A$5:$A$5000)+7*(ROW()-10)))</f>
        <v/>
      </c>
    </row>
    <row r="967" spans="1:10" x14ac:dyDescent="0.25">
      <c r="A967" t="str">
        <f t="shared" si="14"/>
        <v/>
      </c>
      <c r="B967" t="str">
        <f>IF($J967="","",SUMIFS('Weekly Log'!$C:$C,'Weekly Log'!$A:$A,"&gt;="&amp;$J967,'Weekly Log'!$A:$A,"&lt;"&amp;$J967+7))</f>
        <v/>
      </c>
      <c r="C967" t="str">
        <f>IF($J967="","",IFERROR(COUNTIFS('Weekly Log'!$G:$G,"Y",'Weekly Log'!$A:$A,"&gt;="&amp;$J967,'Weekly Log'!$A:$A,"&lt;"&amp;$J967+7)/COUNTIFS('Weekly Log'!$G:$G,"&lt;&gt;",'Weekly Log'!$A:$A,"&gt;="&amp;$J967,'Weekly Log'!$A:$A,"&lt;"&amp;$J967+7),0))</f>
        <v/>
      </c>
      <c r="D967" t="str">
        <f>IF($J967="","",IFERROR(COUNTIFS('Weekly Log'!$H:$H,"Y",'Weekly Log'!$A:$A,"&gt;="&amp;$J967,'Weekly Log'!$A:$A,"&lt;"&amp;$J967+7)/COUNTIFS('Weekly Log'!$H:$H,"&lt;&gt;",'Weekly Log'!$A:$A,"&gt;="&amp;$J967,'Weekly Log'!$A:$A,"&lt;"&amp;$J967+7),0))</f>
        <v/>
      </c>
      <c r="E967" t="str">
        <f>IF($J967="","",IFERROR(AVERAGEIFS('Weekly Log'!$F:$F,'Weekly Log'!$A:$A,"&gt;="&amp;$J967,'Weekly Log'!$A:$A,"&lt;"&amp;$J967+7),0))</f>
        <v/>
      </c>
      <c r="F967" t="str">
        <f>IF($J967="","",IFERROR(SUMIFS('Weekly Log'!$F:$F,'Weekly Log'!$A:$A,"&gt;="&amp;$J967,'Weekly Log'!$A:$A,"&lt;"&amp;$J967+7)/SUMIFS('Weekly Log'!$E:$E,'Weekly Log'!$A:$A,"&gt;="&amp;$J967,'Weekly Log'!$A:$A,"&lt;"&amp;$J967+7),0))</f>
        <v/>
      </c>
      <c r="G967" t="str">
        <f>IF($J967="","",IFERROR(LOOKUP(2,1/(('Weekly Log'!$A$5:$A$5000&gt;=$J967)*('Weekly Log'!$A$5:$A$5000&lt;$J967+7)*('Weekly Log'!$M$5:$M$5000&lt;&gt;"")),'Weekly Log'!$M$5:$M$5000),0))</f>
        <v/>
      </c>
      <c r="J967" t="str">
        <f>IF(COUNT('Weekly Log'!$A$5:$A$5000)=0,"",IF(MIN('Weekly Log'!$A$5:$A$5000)+7*(ROW()-10)&gt;MAX('Weekly Log'!$A$5:$A$5000),"",MIN('Weekly Log'!$A$5:$A$5000)+7*(ROW()-10)))</f>
        <v/>
      </c>
    </row>
    <row r="968" spans="1:10" x14ac:dyDescent="0.25">
      <c r="A968" t="str">
        <f t="shared" si="14"/>
        <v/>
      </c>
      <c r="B968" t="str">
        <f>IF($J968="","",SUMIFS('Weekly Log'!$C:$C,'Weekly Log'!$A:$A,"&gt;="&amp;$J968,'Weekly Log'!$A:$A,"&lt;"&amp;$J968+7))</f>
        <v/>
      </c>
      <c r="C968" t="str">
        <f>IF($J968="","",IFERROR(COUNTIFS('Weekly Log'!$G:$G,"Y",'Weekly Log'!$A:$A,"&gt;="&amp;$J968,'Weekly Log'!$A:$A,"&lt;"&amp;$J968+7)/COUNTIFS('Weekly Log'!$G:$G,"&lt;&gt;",'Weekly Log'!$A:$A,"&gt;="&amp;$J968,'Weekly Log'!$A:$A,"&lt;"&amp;$J968+7),0))</f>
        <v/>
      </c>
      <c r="D968" t="str">
        <f>IF($J968="","",IFERROR(COUNTIFS('Weekly Log'!$H:$H,"Y",'Weekly Log'!$A:$A,"&gt;="&amp;$J968,'Weekly Log'!$A:$A,"&lt;"&amp;$J968+7)/COUNTIFS('Weekly Log'!$H:$H,"&lt;&gt;",'Weekly Log'!$A:$A,"&gt;="&amp;$J968,'Weekly Log'!$A:$A,"&lt;"&amp;$J968+7),0))</f>
        <v/>
      </c>
      <c r="E968" t="str">
        <f>IF($J968="","",IFERROR(AVERAGEIFS('Weekly Log'!$F:$F,'Weekly Log'!$A:$A,"&gt;="&amp;$J968,'Weekly Log'!$A:$A,"&lt;"&amp;$J968+7),0))</f>
        <v/>
      </c>
      <c r="F968" t="str">
        <f>IF($J968="","",IFERROR(SUMIFS('Weekly Log'!$F:$F,'Weekly Log'!$A:$A,"&gt;="&amp;$J968,'Weekly Log'!$A:$A,"&lt;"&amp;$J968+7)/SUMIFS('Weekly Log'!$E:$E,'Weekly Log'!$A:$A,"&gt;="&amp;$J968,'Weekly Log'!$A:$A,"&lt;"&amp;$J968+7),0))</f>
        <v/>
      </c>
      <c r="G968" t="str">
        <f>IF($J968="","",IFERROR(LOOKUP(2,1/(('Weekly Log'!$A$5:$A$5000&gt;=$J968)*('Weekly Log'!$A$5:$A$5000&lt;$J968+7)*('Weekly Log'!$M$5:$M$5000&lt;&gt;"")),'Weekly Log'!$M$5:$M$5000),0))</f>
        <v/>
      </c>
      <c r="J968" t="str">
        <f>IF(COUNT('Weekly Log'!$A$5:$A$5000)=0,"",IF(MIN('Weekly Log'!$A$5:$A$5000)+7*(ROW()-10)&gt;MAX('Weekly Log'!$A$5:$A$5000),"",MIN('Weekly Log'!$A$5:$A$5000)+7*(ROW()-10)))</f>
        <v/>
      </c>
    </row>
    <row r="969" spans="1:10" x14ac:dyDescent="0.25">
      <c r="A969" t="str">
        <f t="shared" si="14"/>
        <v/>
      </c>
      <c r="B969" t="str">
        <f>IF($J969="","",SUMIFS('Weekly Log'!$C:$C,'Weekly Log'!$A:$A,"&gt;="&amp;$J969,'Weekly Log'!$A:$A,"&lt;"&amp;$J969+7))</f>
        <v/>
      </c>
      <c r="C969" t="str">
        <f>IF($J969="","",IFERROR(COUNTIFS('Weekly Log'!$G:$G,"Y",'Weekly Log'!$A:$A,"&gt;="&amp;$J969,'Weekly Log'!$A:$A,"&lt;"&amp;$J969+7)/COUNTIFS('Weekly Log'!$G:$G,"&lt;&gt;",'Weekly Log'!$A:$A,"&gt;="&amp;$J969,'Weekly Log'!$A:$A,"&lt;"&amp;$J969+7),0))</f>
        <v/>
      </c>
      <c r="D969" t="str">
        <f>IF($J969="","",IFERROR(COUNTIFS('Weekly Log'!$H:$H,"Y",'Weekly Log'!$A:$A,"&gt;="&amp;$J969,'Weekly Log'!$A:$A,"&lt;"&amp;$J969+7)/COUNTIFS('Weekly Log'!$H:$H,"&lt;&gt;",'Weekly Log'!$A:$A,"&gt;="&amp;$J969,'Weekly Log'!$A:$A,"&lt;"&amp;$J969+7),0))</f>
        <v/>
      </c>
      <c r="E969" t="str">
        <f>IF($J969="","",IFERROR(AVERAGEIFS('Weekly Log'!$F:$F,'Weekly Log'!$A:$A,"&gt;="&amp;$J969,'Weekly Log'!$A:$A,"&lt;"&amp;$J969+7),0))</f>
        <v/>
      </c>
      <c r="F969" t="str">
        <f>IF($J969="","",IFERROR(SUMIFS('Weekly Log'!$F:$F,'Weekly Log'!$A:$A,"&gt;="&amp;$J969,'Weekly Log'!$A:$A,"&lt;"&amp;$J969+7)/SUMIFS('Weekly Log'!$E:$E,'Weekly Log'!$A:$A,"&gt;="&amp;$J969,'Weekly Log'!$A:$A,"&lt;"&amp;$J969+7),0))</f>
        <v/>
      </c>
      <c r="G969" t="str">
        <f>IF($J969="","",IFERROR(LOOKUP(2,1/(('Weekly Log'!$A$5:$A$5000&gt;=$J969)*('Weekly Log'!$A$5:$A$5000&lt;$J969+7)*('Weekly Log'!$M$5:$M$5000&lt;&gt;"")),'Weekly Log'!$M$5:$M$5000),0))</f>
        <v/>
      </c>
      <c r="J969" t="str">
        <f>IF(COUNT('Weekly Log'!$A$5:$A$5000)=0,"",IF(MIN('Weekly Log'!$A$5:$A$5000)+7*(ROW()-10)&gt;MAX('Weekly Log'!$A$5:$A$5000),"",MIN('Weekly Log'!$A$5:$A$5000)+7*(ROW()-10)))</f>
        <v/>
      </c>
    </row>
    <row r="970" spans="1:10" x14ac:dyDescent="0.25">
      <c r="A970" t="str">
        <f t="shared" ref="A970:A1033" si="15">IF($J970="","",YEAR($J970-WEEKDAY($J970,2)+4)&amp;"-W"&amp;TEXT(WEEKNUM($J970,21),"00"))</f>
        <v/>
      </c>
      <c r="B970" t="str">
        <f>IF($J970="","",SUMIFS('Weekly Log'!$C:$C,'Weekly Log'!$A:$A,"&gt;="&amp;$J970,'Weekly Log'!$A:$A,"&lt;"&amp;$J970+7))</f>
        <v/>
      </c>
      <c r="C970" t="str">
        <f>IF($J970="","",IFERROR(COUNTIFS('Weekly Log'!$G:$G,"Y",'Weekly Log'!$A:$A,"&gt;="&amp;$J970,'Weekly Log'!$A:$A,"&lt;"&amp;$J970+7)/COUNTIFS('Weekly Log'!$G:$G,"&lt;&gt;",'Weekly Log'!$A:$A,"&gt;="&amp;$J970,'Weekly Log'!$A:$A,"&lt;"&amp;$J970+7),0))</f>
        <v/>
      </c>
      <c r="D970" t="str">
        <f>IF($J970="","",IFERROR(COUNTIFS('Weekly Log'!$H:$H,"Y",'Weekly Log'!$A:$A,"&gt;="&amp;$J970,'Weekly Log'!$A:$A,"&lt;"&amp;$J970+7)/COUNTIFS('Weekly Log'!$H:$H,"&lt;&gt;",'Weekly Log'!$A:$A,"&gt;="&amp;$J970,'Weekly Log'!$A:$A,"&lt;"&amp;$J970+7),0))</f>
        <v/>
      </c>
      <c r="E970" t="str">
        <f>IF($J970="","",IFERROR(AVERAGEIFS('Weekly Log'!$F:$F,'Weekly Log'!$A:$A,"&gt;="&amp;$J970,'Weekly Log'!$A:$A,"&lt;"&amp;$J970+7),0))</f>
        <v/>
      </c>
      <c r="F970" t="str">
        <f>IF($J970="","",IFERROR(SUMIFS('Weekly Log'!$F:$F,'Weekly Log'!$A:$A,"&gt;="&amp;$J970,'Weekly Log'!$A:$A,"&lt;"&amp;$J970+7)/SUMIFS('Weekly Log'!$E:$E,'Weekly Log'!$A:$A,"&gt;="&amp;$J970,'Weekly Log'!$A:$A,"&lt;"&amp;$J970+7),0))</f>
        <v/>
      </c>
      <c r="G970" t="str">
        <f>IF($J970="","",IFERROR(LOOKUP(2,1/(('Weekly Log'!$A$5:$A$5000&gt;=$J970)*('Weekly Log'!$A$5:$A$5000&lt;$J970+7)*('Weekly Log'!$M$5:$M$5000&lt;&gt;"")),'Weekly Log'!$M$5:$M$5000),0))</f>
        <v/>
      </c>
      <c r="J970" t="str">
        <f>IF(COUNT('Weekly Log'!$A$5:$A$5000)=0,"",IF(MIN('Weekly Log'!$A$5:$A$5000)+7*(ROW()-10)&gt;MAX('Weekly Log'!$A$5:$A$5000),"",MIN('Weekly Log'!$A$5:$A$5000)+7*(ROW()-10)))</f>
        <v/>
      </c>
    </row>
    <row r="971" spans="1:10" x14ac:dyDescent="0.25">
      <c r="A971" t="str">
        <f t="shared" si="15"/>
        <v/>
      </c>
      <c r="B971" t="str">
        <f>IF($J971="","",SUMIFS('Weekly Log'!$C:$C,'Weekly Log'!$A:$A,"&gt;="&amp;$J971,'Weekly Log'!$A:$A,"&lt;"&amp;$J971+7))</f>
        <v/>
      </c>
      <c r="C971" t="str">
        <f>IF($J971="","",IFERROR(COUNTIFS('Weekly Log'!$G:$G,"Y",'Weekly Log'!$A:$A,"&gt;="&amp;$J971,'Weekly Log'!$A:$A,"&lt;"&amp;$J971+7)/COUNTIFS('Weekly Log'!$G:$G,"&lt;&gt;",'Weekly Log'!$A:$A,"&gt;="&amp;$J971,'Weekly Log'!$A:$A,"&lt;"&amp;$J971+7),0))</f>
        <v/>
      </c>
      <c r="D971" t="str">
        <f>IF($J971="","",IFERROR(COUNTIFS('Weekly Log'!$H:$H,"Y",'Weekly Log'!$A:$A,"&gt;="&amp;$J971,'Weekly Log'!$A:$A,"&lt;"&amp;$J971+7)/COUNTIFS('Weekly Log'!$H:$H,"&lt;&gt;",'Weekly Log'!$A:$A,"&gt;="&amp;$J971,'Weekly Log'!$A:$A,"&lt;"&amp;$J971+7),0))</f>
        <v/>
      </c>
      <c r="E971" t="str">
        <f>IF($J971="","",IFERROR(AVERAGEIFS('Weekly Log'!$F:$F,'Weekly Log'!$A:$A,"&gt;="&amp;$J971,'Weekly Log'!$A:$A,"&lt;"&amp;$J971+7),0))</f>
        <v/>
      </c>
      <c r="F971" t="str">
        <f>IF($J971="","",IFERROR(SUMIFS('Weekly Log'!$F:$F,'Weekly Log'!$A:$A,"&gt;="&amp;$J971,'Weekly Log'!$A:$A,"&lt;"&amp;$J971+7)/SUMIFS('Weekly Log'!$E:$E,'Weekly Log'!$A:$A,"&gt;="&amp;$J971,'Weekly Log'!$A:$A,"&lt;"&amp;$J971+7),0))</f>
        <v/>
      </c>
      <c r="G971" t="str">
        <f>IF($J971="","",IFERROR(LOOKUP(2,1/(('Weekly Log'!$A$5:$A$5000&gt;=$J971)*('Weekly Log'!$A$5:$A$5000&lt;$J971+7)*('Weekly Log'!$M$5:$M$5000&lt;&gt;"")),'Weekly Log'!$M$5:$M$5000),0))</f>
        <v/>
      </c>
      <c r="J971" t="str">
        <f>IF(COUNT('Weekly Log'!$A$5:$A$5000)=0,"",IF(MIN('Weekly Log'!$A$5:$A$5000)+7*(ROW()-10)&gt;MAX('Weekly Log'!$A$5:$A$5000),"",MIN('Weekly Log'!$A$5:$A$5000)+7*(ROW()-10)))</f>
        <v/>
      </c>
    </row>
    <row r="972" spans="1:10" x14ac:dyDescent="0.25">
      <c r="A972" t="str">
        <f t="shared" si="15"/>
        <v/>
      </c>
      <c r="B972" t="str">
        <f>IF($J972="","",SUMIFS('Weekly Log'!$C:$C,'Weekly Log'!$A:$A,"&gt;="&amp;$J972,'Weekly Log'!$A:$A,"&lt;"&amp;$J972+7))</f>
        <v/>
      </c>
      <c r="C972" t="str">
        <f>IF($J972="","",IFERROR(COUNTIFS('Weekly Log'!$G:$G,"Y",'Weekly Log'!$A:$A,"&gt;="&amp;$J972,'Weekly Log'!$A:$A,"&lt;"&amp;$J972+7)/COUNTIFS('Weekly Log'!$G:$G,"&lt;&gt;",'Weekly Log'!$A:$A,"&gt;="&amp;$J972,'Weekly Log'!$A:$A,"&lt;"&amp;$J972+7),0))</f>
        <v/>
      </c>
      <c r="D972" t="str">
        <f>IF($J972="","",IFERROR(COUNTIFS('Weekly Log'!$H:$H,"Y",'Weekly Log'!$A:$A,"&gt;="&amp;$J972,'Weekly Log'!$A:$A,"&lt;"&amp;$J972+7)/COUNTIFS('Weekly Log'!$H:$H,"&lt;&gt;",'Weekly Log'!$A:$A,"&gt;="&amp;$J972,'Weekly Log'!$A:$A,"&lt;"&amp;$J972+7),0))</f>
        <v/>
      </c>
      <c r="E972" t="str">
        <f>IF($J972="","",IFERROR(AVERAGEIFS('Weekly Log'!$F:$F,'Weekly Log'!$A:$A,"&gt;="&amp;$J972,'Weekly Log'!$A:$A,"&lt;"&amp;$J972+7),0))</f>
        <v/>
      </c>
      <c r="F972" t="str">
        <f>IF($J972="","",IFERROR(SUMIFS('Weekly Log'!$F:$F,'Weekly Log'!$A:$A,"&gt;="&amp;$J972,'Weekly Log'!$A:$A,"&lt;"&amp;$J972+7)/SUMIFS('Weekly Log'!$E:$E,'Weekly Log'!$A:$A,"&gt;="&amp;$J972,'Weekly Log'!$A:$A,"&lt;"&amp;$J972+7),0))</f>
        <v/>
      </c>
      <c r="G972" t="str">
        <f>IF($J972="","",IFERROR(LOOKUP(2,1/(('Weekly Log'!$A$5:$A$5000&gt;=$J972)*('Weekly Log'!$A$5:$A$5000&lt;$J972+7)*('Weekly Log'!$M$5:$M$5000&lt;&gt;"")),'Weekly Log'!$M$5:$M$5000),0))</f>
        <v/>
      </c>
      <c r="J972" t="str">
        <f>IF(COUNT('Weekly Log'!$A$5:$A$5000)=0,"",IF(MIN('Weekly Log'!$A$5:$A$5000)+7*(ROW()-10)&gt;MAX('Weekly Log'!$A$5:$A$5000),"",MIN('Weekly Log'!$A$5:$A$5000)+7*(ROW()-10)))</f>
        <v/>
      </c>
    </row>
    <row r="973" spans="1:10" x14ac:dyDescent="0.25">
      <c r="A973" t="str">
        <f t="shared" si="15"/>
        <v/>
      </c>
      <c r="B973" t="str">
        <f>IF($J973="","",SUMIFS('Weekly Log'!$C:$C,'Weekly Log'!$A:$A,"&gt;="&amp;$J973,'Weekly Log'!$A:$A,"&lt;"&amp;$J973+7))</f>
        <v/>
      </c>
      <c r="C973" t="str">
        <f>IF($J973="","",IFERROR(COUNTIFS('Weekly Log'!$G:$G,"Y",'Weekly Log'!$A:$A,"&gt;="&amp;$J973,'Weekly Log'!$A:$A,"&lt;"&amp;$J973+7)/COUNTIFS('Weekly Log'!$G:$G,"&lt;&gt;",'Weekly Log'!$A:$A,"&gt;="&amp;$J973,'Weekly Log'!$A:$A,"&lt;"&amp;$J973+7),0))</f>
        <v/>
      </c>
      <c r="D973" t="str">
        <f>IF($J973="","",IFERROR(COUNTIFS('Weekly Log'!$H:$H,"Y",'Weekly Log'!$A:$A,"&gt;="&amp;$J973,'Weekly Log'!$A:$A,"&lt;"&amp;$J973+7)/COUNTIFS('Weekly Log'!$H:$H,"&lt;&gt;",'Weekly Log'!$A:$A,"&gt;="&amp;$J973,'Weekly Log'!$A:$A,"&lt;"&amp;$J973+7),0))</f>
        <v/>
      </c>
      <c r="E973" t="str">
        <f>IF($J973="","",IFERROR(AVERAGEIFS('Weekly Log'!$F:$F,'Weekly Log'!$A:$A,"&gt;="&amp;$J973,'Weekly Log'!$A:$A,"&lt;"&amp;$J973+7),0))</f>
        <v/>
      </c>
      <c r="F973" t="str">
        <f>IF($J973="","",IFERROR(SUMIFS('Weekly Log'!$F:$F,'Weekly Log'!$A:$A,"&gt;="&amp;$J973,'Weekly Log'!$A:$A,"&lt;"&amp;$J973+7)/SUMIFS('Weekly Log'!$E:$E,'Weekly Log'!$A:$A,"&gt;="&amp;$J973,'Weekly Log'!$A:$A,"&lt;"&amp;$J973+7),0))</f>
        <v/>
      </c>
      <c r="G973" t="str">
        <f>IF($J973="","",IFERROR(LOOKUP(2,1/(('Weekly Log'!$A$5:$A$5000&gt;=$J973)*('Weekly Log'!$A$5:$A$5000&lt;$J973+7)*('Weekly Log'!$M$5:$M$5000&lt;&gt;"")),'Weekly Log'!$M$5:$M$5000),0))</f>
        <v/>
      </c>
      <c r="J973" t="str">
        <f>IF(COUNT('Weekly Log'!$A$5:$A$5000)=0,"",IF(MIN('Weekly Log'!$A$5:$A$5000)+7*(ROW()-10)&gt;MAX('Weekly Log'!$A$5:$A$5000),"",MIN('Weekly Log'!$A$5:$A$5000)+7*(ROW()-10)))</f>
        <v/>
      </c>
    </row>
    <row r="974" spans="1:10" x14ac:dyDescent="0.25">
      <c r="A974" t="str">
        <f t="shared" si="15"/>
        <v/>
      </c>
      <c r="B974" t="str">
        <f>IF($J974="","",SUMIFS('Weekly Log'!$C:$C,'Weekly Log'!$A:$A,"&gt;="&amp;$J974,'Weekly Log'!$A:$A,"&lt;"&amp;$J974+7))</f>
        <v/>
      </c>
      <c r="C974" t="str">
        <f>IF($J974="","",IFERROR(COUNTIFS('Weekly Log'!$G:$G,"Y",'Weekly Log'!$A:$A,"&gt;="&amp;$J974,'Weekly Log'!$A:$A,"&lt;"&amp;$J974+7)/COUNTIFS('Weekly Log'!$G:$G,"&lt;&gt;",'Weekly Log'!$A:$A,"&gt;="&amp;$J974,'Weekly Log'!$A:$A,"&lt;"&amp;$J974+7),0))</f>
        <v/>
      </c>
      <c r="D974" t="str">
        <f>IF($J974="","",IFERROR(COUNTIFS('Weekly Log'!$H:$H,"Y",'Weekly Log'!$A:$A,"&gt;="&amp;$J974,'Weekly Log'!$A:$A,"&lt;"&amp;$J974+7)/COUNTIFS('Weekly Log'!$H:$H,"&lt;&gt;",'Weekly Log'!$A:$A,"&gt;="&amp;$J974,'Weekly Log'!$A:$A,"&lt;"&amp;$J974+7),0))</f>
        <v/>
      </c>
      <c r="E974" t="str">
        <f>IF($J974="","",IFERROR(AVERAGEIFS('Weekly Log'!$F:$F,'Weekly Log'!$A:$A,"&gt;="&amp;$J974,'Weekly Log'!$A:$A,"&lt;"&amp;$J974+7),0))</f>
        <v/>
      </c>
      <c r="F974" t="str">
        <f>IF($J974="","",IFERROR(SUMIFS('Weekly Log'!$F:$F,'Weekly Log'!$A:$A,"&gt;="&amp;$J974,'Weekly Log'!$A:$A,"&lt;"&amp;$J974+7)/SUMIFS('Weekly Log'!$E:$E,'Weekly Log'!$A:$A,"&gt;="&amp;$J974,'Weekly Log'!$A:$A,"&lt;"&amp;$J974+7),0))</f>
        <v/>
      </c>
      <c r="G974" t="str">
        <f>IF($J974="","",IFERROR(LOOKUP(2,1/(('Weekly Log'!$A$5:$A$5000&gt;=$J974)*('Weekly Log'!$A$5:$A$5000&lt;$J974+7)*('Weekly Log'!$M$5:$M$5000&lt;&gt;"")),'Weekly Log'!$M$5:$M$5000),0))</f>
        <v/>
      </c>
      <c r="J974" t="str">
        <f>IF(COUNT('Weekly Log'!$A$5:$A$5000)=0,"",IF(MIN('Weekly Log'!$A$5:$A$5000)+7*(ROW()-10)&gt;MAX('Weekly Log'!$A$5:$A$5000),"",MIN('Weekly Log'!$A$5:$A$5000)+7*(ROW()-10)))</f>
        <v/>
      </c>
    </row>
    <row r="975" spans="1:10" x14ac:dyDescent="0.25">
      <c r="A975" t="str">
        <f t="shared" si="15"/>
        <v/>
      </c>
      <c r="B975" t="str">
        <f>IF($J975="","",SUMIFS('Weekly Log'!$C:$C,'Weekly Log'!$A:$A,"&gt;="&amp;$J975,'Weekly Log'!$A:$A,"&lt;"&amp;$J975+7))</f>
        <v/>
      </c>
      <c r="C975" t="str">
        <f>IF($J975="","",IFERROR(COUNTIFS('Weekly Log'!$G:$G,"Y",'Weekly Log'!$A:$A,"&gt;="&amp;$J975,'Weekly Log'!$A:$A,"&lt;"&amp;$J975+7)/COUNTIFS('Weekly Log'!$G:$G,"&lt;&gt;",'Weekly Log'!$A:$A,"&gt;="&amp;$J975,'Weekly Log'!$A:$A,"&lt;"&amp;$J975+7),0))</f>
        <v/>
      </c>
      <c r="D975" t="str">
        <f>IF($J975="","",IFERROR(COUNTIFS('Weekly Log'!$H:$H,"Y",'Weekly Log'!$A:$A,"&gt;="&amp;$J975,'Weekly Log'!$A:$A,"&lt;"&amp;$J975+7)/COUNTIFS('Weekly Log'!$H:$H,"&lt;&gt;",'Weekly Log'!$A:$A,"&gt;="&amp;$J975,'Weekly Log'!$A:$A,"&lt;"&amp;$J975+7),0))</f>
        <v/>
      </c>
      <c r="E975" t="str">
        <f>IF($J975="","",IFERROR(AVERAGEIFS('Weekly Log'!$F:$F,'Weekly Log'!$A:$A,"&gt;="&amp;$J975,'Weekly Log'!$A:$A,"&lt;"&amp;$J975+7),0))</f>
        <v/>
      </c>
      <c r="F975" t="str">
        <f>IF($J975="","",IFERROR(SUMIFS('Weekly Log'!$F:$F,'Weekly Log'!$A:$A,"&gt;="&amp;$J975,'Weekly Log'!$A:$A,"&lt;"&amp;$J975+7)/SUMIFS('Weekly Log'!$E:$E,'Weekly Log'!$A:$A,"&gt;="&amp;$J975,'Weekly Log'!$A:$A,"&lt;"&amp;$J975+7),0))</f>
        <v/>
      </c>
      <c r="G975" t="str">
        <f>IF($J975="","",IFERROR(LOOKUP(2,1/(('Weekly Log'!$A$5:$A$5000&gt;=$J975)*('Weekly Log'!$A$5:$A$5000&lt;$J975+7)*('Weekly Log'!$M$5:$M$5000&lt;&gt;"")),'Weekly Log'!$M$5:$M$5000),0))</f>
        <v/>
      </c>
      <c r="J975" t="str">
        <f>IF(COUNT('Weekly Log'!$A$5:$A$5000)=0,"",IF(MIN('Weekly Log'!$A$5:$A$5000)+7*(ROW()-10)&gt;MAX('Weekly Log'!$A$5:$A$5000),"",MIN('Weekly Log'!$A$5:$A$5000)+7*(ROW()-10)))</f>
        <v/>
      </c>
    </row>
    <row r="976" spans="1:10" x14ac:dyDescent="0.25">
      <c r="A976" t="str">
        <f t="shared" si="15"/>
        <v/>
      </c>
      <c r="B976" t="str">
        <f>IF($J976="","",SUMIFS('Weekly Log'!$C:$C,'Weekly Log'!$A:$A,"&gt;="&amp;$J976,'Weekly Log'!$A:$A,"&lt;"&amp;$J976+7))</f>
        <v/>
      </c>
      <c r="C976" t="str">
        <f>IF($J976="","",IFERROR(COUNTIFS('Weekly Log'!$G:$G,"Y",'Weekly Log'!$A:$A,"&gt;="&amp;$J976,'Weekly Log'!$A:$A,"&lt;"&amp;$J976+7)/COUNTIFS('Weekly Log'!$G:$G,"&lt;&gt;",'Weekly Log'!$A:$A,"&gt;="&amp;$J976,'Weekly Log'!$A:$A,"&lt;"&amp;$J976+7),0))</f>
        <v/>
      </c>
      <c r="D976" t="str">
        <f>IF($J976="","",IFERROR(COUNTIFS('Weekly Log'!$H:$H,"Y",'Weekly Log'!$A:$A,"&gt;="&amp;$J976,'Weekly Log'!$A:$A,"&lt;"&amp;$J976+7)/COUNTIFS('Weekly Log'!$H:$H,"&lt;&gt;",'Weekly Log'!$A:$A,"&gt;="&amp;$J976,'Weekly Log'!$A:$A,"&lt;"&amp;$J976+7),0))</f>
        <v/>
      </c>
      <c r="E976" t="str">
        <f>IF($J976="","",IFERROR(AVERAGEIFS('Weekly Log'!$F:$F,'Weekly Log'!$A:$A,"&gt;="&amp;$J976,'Weekly Log'!$A:$A,"&lt;"&amp;$J976+7),0))</f>
        <v/>
      </c>
      <c r="F976" t="str">
        <f>IF($J976="","",IFERROR(SUMIFS('Weekly Log'!$F:$F,'Weekly Log'!$A:$A,"&gt;="&amp;$J976,'Weekly Log'!$A:$A,"&lt;"&amp;$J976+7)/SUMIFS('Weekly Log'!$E:$E,'Weekly Log'!$A:$A,"&gt;="&amp;$J976,'Weekly Log'!$A:$A,"&lt;"&amp;$J976+7),0))</f>
        <v/>
      </c>
      <c r="G976" t="str">
        <f>IF($J976="","",IFERROR(LOOKUP(2,1/(('Weekly Log'!$A$5:$A$5000&gt;=$J976)*('Weekly Log'!$A$5:$A$5000&lt;$J976+7)*('Weekly Log'!$M$5:$M$5000&lt;&gt;"")),'Weekly Log'!$M$5:$M$5000),0))</f>
        <v/>
      </c>
      <c r="J976" t="str">
        <f>IF(COUNT('Weekly Log'!$A$5:$A$5000)=0,"",IF(MIN('Weekly Log'!$A$5:$A$5000)+7*(ROW()-10)&gt;MAX('Weekly Log'!$A$5:$A$5000),"",MIN('Weekly Log'!$A$5:$A$5000)+7*(ROW()-10)))</f>
        <v/>
      </c>
    </row>
    <row r="977" spans="1:10" x14ac:dyDescent="0.25">
      <c r="A977" t="str">
        <f t="shared" si="15"/>
        <v/>
      </c>
      <c r="B977" t="str">
        <f>IF($J977="","",SUMIFS('Weekly Log'!$C:$C,'Weekly Log'!$A:$A,"&gt;="&amp;$J977,'Weekly Log'!$A:$A,"&lt;"&amp;$J977+7))</f>
        <v/>
      </c>
      <c r="C977" t="str">
        <f>IF($J977="","",IFERROR(COUNTIFS('Weekly Log'!$G:$G,"Y",'Weekly Log'!$A:$A,"&gt;="&amp;$J977,'Weekly Log'!$A:$A,"&lt;"&amp;$J977+7)/COUNTIFS('Weekly Log'!$G:$G,"&lt;&gt;",'Weekly Log'!$A:$A,"&gt;="&amp;$J977,'Weekly Log'!$A:$A,"&lt;"&amp;$J977+7),0))</f>
        <v/>
      </c>
      <c r="D977" t="str">
        <f>IF($J977="","",IFERROR(COUNTIFS('Weekly Log'!$H:$H,"Y",'Weekly Log'!$A:$A,"&gt;="&amp;$J977,'Weekly Log'!$A:$A,"&lt;"&amp;$J977+7)/COUNTIFS('Weekly Log'!$H:$H,"&lt;&gt;",'Weekly Log'!$A:$A,"&gt;="&amp;$J977,'Weekly Log'!$A:$A,"&lt;"&amp;$J977+7),0))</f>
        <v/>
      </c>
      <c r="E977" t="str">
        <f>IF($J977="","",IFERROR(AVERAGEIFS('Weekly Log'!$F:$F,'Weekly Log'!$A:$A,"&gt;="&amp;$J977,'Weekly Log'!$A:$A,"&lt;"&amp;$J977+7),0))</f>
        <v/>
      </c>
      <c r="F977" t="str">
        <f>IF($J977="","",IFERROR(SUMIFS('Weekly Log'!$F:$F,'Weekly Log'!$A:$A,"&gt;="&amp;$J977,'Weekly Log'!$A:$A,"&lt;"&amp;$J977+7)/SUMIFS('Weekly Log'!$E:$E,'Weekly Log'!$A:$A,"&gt;="&amp;$J977,'Weekly Log'!$A:$A,"&lt;"&amp;$J977+7),0))</f>
        <v/>
      </c>
      <c r="G977" t="str">
        <f>IF($J977="","",IFERROR(LOOKUP(2,1/(('Weekly Log'!$A$5:$A$5000&gt;=$J977)*('Weekly Log'!$A$5:$A$5000&lt;$J977+7)*('Weekly Log'!$M$5:$M$5000&lt;&gt;"")),'Weekly Log'!$M$5:$M$5000),0))</f>
        <v/>
      </c>
      <c r="J977" t="str">
        <f>IF(COUNT('Weekly Log'!$A$5:$A$5000)=0,"",IF(MIN('Weekly Log'!$A$5:$A$5000)+7*(ROW()-10)&gt;MAX('Weekly Log'!$A$5:$A$5000),"",MIN('Weekly Log'!$A$5:$A$5000)+7*(ROW()-10)))</f>
        <v/>
      </c>
    </row>
    <row r="978" spans="1:10" x14ac:dyDescent="0.25">
      <c r="A978" t="str">
        <f t="shared" si="15"/>
        <v/>
      </c>
      <c r="B978" t="str">
        <f>IF($J978="","",SUMIFS('Weekly Log'!$C:$C,'Weekly Log'!$A:$A,"&gt;="&amp;$J978,'Weekly Log'!$A:$A,"&lt;"&amp;$J978+7))</f>
        <v/>
      </c>
      <c r="C978" t="str">
        <f>IF($J978="","",IFERROR(COUNTIFS('Weekly Log'!$G:$G,"Y",'Weekly Log'!$A:$A,"&gt;="&amp;$J978,'Weekly Log'!$A:$A,"&lt;"&amp;$J978+7)/COUNTIFS('Weekly Log'!$G:$G,"&lt;&gt;",'Weekly Log'!$A:$A,"&gt;="&amp;$J978,'Weekly Log'!$A:$A,"&lt;"&amp;$J978+7),0))</f>
        <v/>
      </c>
      <c r="D978" t="str">
        <f>IF($J978="","",IFERROR(COUNTIFS('Weekly Log'!$H:$H,"Y",'Weekly Log'!$A:$A,"&gt;="&amp;$J978,'Weekly Log'!$A:$A,"&lt;"&amp;$J978+7)/COUNTIFS('Weekly Log'!$H:$H,"&lt;&gt;",'Weekly Log'!$A:$A,"&gt;="&amp;$J978,'Weekly Log'!$A:$A,"&lt;"&amp;$J978+7),0))</f>
        <v/>
      </c>
      <c r="E978" t="str">
        <f>IF($J978="","",IFERROR(AVERAGEIFS('Weekly Log'!$F:$F,'Weekly Log'!$A:$A,"&gt;="&amp;$J978,'Weekly Log'!$A:$A,"&lt;"&amp;$J978+7),0))</f>
        <v/>
      </c>
      <c r="F978" t="str">
        <f>IF($J978="","",IFERROR(SUMIFS('Weekly Log'!$F:$F,'Weekly Log'!$A:$A,"&gt;="&amp;$J978,'Weekly Log'!$A:$A,"&lt;"&amp;$J978+7)/SUMIFS('Weekly Log'!$E:$E,'Weekly Log'!$A:$A,"&gt;="&amp;$J978,'Weekly Log'!$A:$A,"&lt;"&amp;$J978+7),0))</f>
        <v/>
      </c>
      <c r="G978" t="str">
        <f>IF($J978="","",IFERROR(LOOKUP(2,1/(('Weekly Log'!$A$5:$A$5000&gt;=$J978)*('Weekly Log'!$A$5:$A$5000&lt;$J978+7)*('Weekly Log'!$M$5:$M$5000&lt;&gt;"")),'Weekly Log'!$M$5:$M$5000),0))</f>
        <v/>
      </c>
      <c r="J978" t="str">
        <f>IF(COUNT('Weekly Log'!$A$5:$A$5000)=0,"",IF(MIN('Weekly Log'!$A$5:$A$5000)+7*(ROW()-10)&gt;MAX('Weekly Log'!$A$5:$A$5000),"",MIN('Weekly Log'!$A$5:$A$5000)+7*(ROW()-10)))</f>
        <v/>
      </c>
    </row>
    <row r="979" spans="1:10" x14ac:dyDescent="0.25">
      <c r="A979" t="str">
        <f t="shared" si="15"/>
        <v/>
      </c>
      <c r="B979" t="str">
        <f>IF($J979="","",SUMIFS('Weekly Log'!$C:$C,'Weekly Log'!$A:$A,"&gt;="&amp;$J979,'Weekly Log'!$A:$A,"&lt;"&amp;$J979+7))</f>
        <v/>
      </c>
      <c r="C979" t="str">
        <f>IF($J979="","",IFERROR(COUNTIFS('Weekly Log'!$G:$G,"Y",'Weekly Log'!$A:$A,"&gt;="&amp;$J979,'Weekly Log'!$A:$A,"&lt;"&amp;$J979+7)/COUNTIFS('Weekly Log'!$G:$G,"&lt;&gt;",'Weekly Log'!$A:$A,"&gt;="&amp;$J979,'Weekly Log'!$A:$A,"&lt;"&amp;$J979+7),0))</f>
        <v/>
      </c>
      <c r="D979" t="str">
        <f>IF($J979="","",IFERROR(COUNTIFS('Weekly Log'!$H:$H,"Y",'Weekly Log'!$A:$A,"&gt;="&amp;$J979,'Weekly Log'!$A:$A,"&lt;"&amp;$J979+7)/COUNTIFS('Weekly Log'!$H:$H,"&lt;&gt;",'Weekly Log'!$A:$A,"&gt;="&amp;$J979,'Weekly Log'!$A:$A,"&lt;"&amp;$J979+7),0))</f>
        <v/>
      </c>
      <c r="E979" t="str">
        <f>IF($J979="","",IFERROR(AVERAGEIFS('Weekly Log'!$F:$F,'Weekly Log'!$A:$A,"&gt;="&amp;$J979,'Weekly Log'!$A:$A,"&lt;"&amp;$J979+7),0))</f>
        <v/>
      </c>
      <c r="F979" t="str">
        <f>IF($J979="","",IFERROR(SUMIFS('Weekly Log'!$F:$F,'Weekly Log'!$A:$A,"&gt;="&amp;$J979,'Weekly Log'!$A:$A,"&lt;"&amp;$J979+7)/SUMIFS('Weekly Log'!$E:$E,'Weekly Log'!$A:$A,"&gt;="&amp;$J979,'Weekly Log'!$A:$A,"&lt;"&amp;$J979+7),0))</f>
        <v/>
      </c>
      <c r="G979" t="str">
        <f>IF($J979="","",IFERROR(LOOKUP(2,1/(('Weekly Log'!$A$5:$A$5000&gt;=$J979)*('Weekly Log'!$A$5:$A$5000&lt;$J979+7)*('Weekly Log'!$M$5:$M$5000&lt;&gt;"")),'Weekly Log'!$M$5:$M$5000),0))</f>
        <v/>
      </c>
      <c r="J979" t="str">
        <f>IF(COUNT('Weekly Log'!$A$5:$A$5000)=0,"",IF(MIN('Weekly Log'!$A$5:$A$5000)+7*(ROW()-10)&gt;MAX('Weekly Log'!$A$5:$A$5000),"",MIN('Weekly Log'!$A$5:$A$5000)+7*(ROW()-10)))</f>
        <v/>
      </c>
    </row>
    <row r="980" spans="1:10" x14ac:dyDescent="0.25">
      <c r="A980" t="str">
        <f t="shared" si="15"/>
        <v/>
      </c>
      <c r="B980" t="str">
        <f>IF($J980="","",SUMIFS('Weekly Log'!$C:$C,'Weekly Log'!$A:$A,"&gt;="&amp;$J980,'Weekly Log'!$A:$A,"&lt;"&amp;$J980+7))</f>
        <v/>
      </c>
      <c r="C980" t="str">
        <f>IF($J980="","",IFERROR(COUNTIFS('Weekly Log'!$G:$G,"Y",'Weekly Log'!$A:$A,"&gt;="&amp;$J980,'Weekly Log'!$A:$A,"&lt;"&amp;$J980+7)/COUNTIFS('Weekly Log'!$G:$G,"&lt;&gt;",'Weekly Log'!$A:$A,"&gt;="&amp;$J980,'Weekly Log'!$A:$A,"&lt;"&amp;$J980+7),0))</f>
        <v/>
      </c>
      <c r="D980" t="str">
        <f>IF($J980="","",IFERROR(COUNTIFS('Weekly Log'!$H:$H,"Y",'Weekly Log'!$A:$A,"&gt;="&amp;$J980,'Weekly Log'!$A:$A,"&lt;"&amp;$J980+7)/COUNTIFS('Weekly Log'!$H:$H,"&lt;&gt;",'Weekly Log'!$A:$A,"&gt;="&amp;$J980,'Weekly Log'!$A:$A,"&lt;"&amp;$J980+7),0))</f>
        <v/>
      </c>
      <c r="E980" t="str">
        <f>IF($J980="","",IFERROR(AVERAGEIFS('Weekly Log'!$F:$F,'Weekly Log'!$A:$A,"&gt;="&amp;$J980,'Weekly Log'!$A:$A,"&lt;"&amp;$J980+7),0))</f>
        <v/>
      </c>
      <c r="F980" t="str">
        <f>IF($J980="","",IFERROR(SUMIFS('Weekly Log'!$F:$F,'Weekly Log'!$A:$A,"&gt;="&amp;$J980,'Weekly Log'!$A:$A,"&lt;"&amp;$J980+7)/SUMIFS('Weekly Log'!$E:$E,'Weekly Log'!$A:$A,"&gt;="&amp;$J980,'Weekly Log'!$A:$A,"&lt;"&amp;$J980+7),0))</f>
        <v/>
      </c>
      <c r="G980" t="str">
        <f>IF($J980="","",IFERROR(LOOKUP(2,1/(('Weekly Log'!$A$5:$A$5000&gt;=$J980)*('Weekly Log'!$A$5:$A$5000&lt;$J980+7)*('Weekly Log'!$M$5:$M$5000&lt;&gt;"")),'Weekly Log'!$M$5:$M$5000),0))</f>
        <v/>
      </c>
      <c r="J980" t="str">
        <f>IF(COUNT('Weekly Log'!$A$5:$A$5000)=0,"",IF(MIN('Weekly Log'!$A$5:$A$5000)+7*(ROW()-10)&gt;MAX('Weekly Log'!$A$5:$A$5000),"",MIN('Weekly Log'!$A$5:$A$5000)+7*(ROW()-10)))</f>
        <v/>
      </c>
    </row>
    <row r="981" spans="1:10" x14ac:dyDescent="0.25">
      <c r="A981" t="str">
        <f t="shared" si="15"/>
        <v/>
      </c>
      <c r="B981" t="str">
        <f>IF($J981="","",SUMIFS('Weekly Log'!$C:$C,'Weekly Log'!$A:$A,"&gt;="&amp;$J981,'Weekly Log'!$A:$A,"&lt;"&amp;$J981+7))</f>
        <v/>
      </c>
      <c r="C981" t="str">
        <f>IF($J981="","",IFERROR(COUNTIFS('Weekly Log'!$G:$G,"Y",'Weekly Log'!$A:$A,"&gt;="&amp;$J981,'Weekly Log'!$A:$A,"&lt;"&amp;$J981+7)/COUNTIFS('Weekly Log'!$G:$G,"&lt;&gt;",'Weekly Log'!$A:$A,"&gt;="&amp;$J981,'Weekly Log'!$A:$A,"&lt;"&amp;$J981+7),0))</f>
        <v/>
      </c>
      <c r="D981" t="str">
        <f>IF($J981="","",IFERROR(COUNTIFS('Weekly Log'!$H:$H,"Y",'Weekly Log'!$A:$A,"&gt;="&amp;$J981,'Weekly Log'!$A:$A,"&lt;"&amp;$J981+7)/COUNTIFS('Weekly Log'!$H:$H,"&lt;&gt;",'Weekly Log'!$A:$A,"&gt;="&amp;$J981,'Weekly Log'!$A:$A,"&lt;"&amp;$J981+7),0))</f>
        <v/>
      </c>
      <c r="E981" t="str">
        <f>IF($J981="","",IFERROR(AVERAGEIFS('Weekly Log'!$F:$F,'Weekly Log'!$A:$A,"&gt;="&amp;$J981,'Weekly Log'!$A:$A,"&lt;"&amp;$J981+7),0))</f>
        <v/>
      </c>
      <c r="F981" t="str">
        <f>IF($J981="","",IFERROR(SUMIFS('Weekly Log'!$F:$F,'Weekly Log'!$A:$A,"&gt;="&amp;$J981,'Weekly Log'!$A:$A,"&lt;"&amp;$J981+7)/SUMIFS('Weekly Log'!$E:$E,'Weekly Log'!$A:$A,"&gt;="&amp;$J981,'Weekly Log'!$A:$A,"&lt;"&amp;$J981+7),0))</f>
        <v/>
      </c>
      <c r="G981" t="str">
        <f>IF($J981="","",IFERROR(LOOKUP(2,1/(('Weekly Log'!$A$5:$A$5000&gt;=$J981)*('Weekly Log'!$A$5:$A$5000&lt;$J981+7)*('Weekly Log'!$M$5:$M$5000&lt;&gt;"")),'Weekly Log'!$M$5:$M$5000),0))</f>
        <v/>
      </c>
      <c r="J981" t="str">
        <f>IF(COUNT('Weekly Log'!$A$5:$A$5000)=0,"",IF(MIN('Weekly Log'!$A$5:$A$5000)+7*(ROW()-10)&gt;MAX('Weekly Log'!$A$5:$A$5000),"",MIN('Weekly Log'!$A$5:$A$5000)+7*(ROW()-10)))</f>
        <v/>
      </c>
    </row>
    <row r="982" spans="1:10" x14ac:dyDescent="0.25">
      <c r="A982" t="str">
        <f t="shared" si="15"/>
        <v/>
      </c>
      <c r="B982" t="str">
        <f>IF($J982="","",SUMIFS('Weekly Log'!$C:$C,'Weekly Log'!$A:$A,"&gt;="&amp;$J982,'Weekly Log'!$A:$A,"&lt;"&amp;$J982+7))</f>
        <v/>
      </c>
      <c r="C982" t="str">
        <f>IF($J982="","",IFERROR(COUNTIFS('Weekly Log'!$G:$G,"Y",'Weekly Log'!$A:$A,"&gt;="&amp;$J982,'Weekly Log'!$A:$A,"&lt;"&amp;$J982+7)/COUNTIFS('Weekly Log'!$G:$G,"&lt;&gt;",'Weekly Log'!$A:$A,"&gt;="&amp;$J982,'Weekly Log'!$A:$A,"&lt;"&amp;$J982+7),0))</f>
        <v/>
      </c>
      <c r="D982" t="str">
        <f>IF($J982="","",IFERROR(COUNTIFS('Weekly Log'!$H:$H,"Y",'Weekly Log'!$A:$A,"&gt;="&amp;$J982,'Weekly Log'!$A:$A,"&lt;"&amp;$J982+7)/COUNTIFS('Weekly Log'!$H:$H,"&lt;&gt;",'Weekly Log'!$A:$A,"&gt;="&amp;$J982,'Weekly Log'!$A:$A,"&lt;"&amp;$J982+7),0))</f>
        <v/>
      </c>
      <c r="E982" t="str">
        <f>IF($J982="","",IFERROR(AVERAGEIFS('Weekly Log'!$F:$F,'Weekly Log'!$A:$A,"&gt;="&amp;$J982,'Weekly Log'!$A:$A,"&lt;"&amp;$J982+7),0))</f>
        <v/>
      </c>
      <c r="F982" t="str">
        <f>IF($J982="","",IFERROR(SUMIFS('Weekly Log'!$F:$F,'Weekly Log'!$A:$A,"&gt;="&amp;$J982,'Weekly Log'!$A:$A,"&lt;"&amp;$J982+7)/SUMIFS('Weekly Log'!$E:$E,'Weekly Log'!$A:$A,"&gt;="&amp;$J982,'Weekly Log'!$A:$A,"&lt;"&amp;$J982+7),0))</f>
        <v/>
      </c>
      <c r="G982" t="str">
        <f>IF($J982="","",IFERROR(LOOKUP(2,1/(('Weekly Log'!$A$5:$A$5000&gt;=$J982)*('Weekly Log'!$A$5:$A$5000&lt;$J982+7)*('Weekly Log'!$M$5:$M$5000&lt;&gt;"")),'Weekly Log'!$M$5:$M$5000),0))</f>
        <v/>
      </c>
      <c r="J982" t="str">
        <f>IF(COUNT('Weekly Log'!$A$5:$A$5000)=0,"",IF(MIN('Weekly Log'!$A$5:$A$5000)+7*(ROW()-10)&gt;MAX('Weekly Log'!$A$5:$A$5000),"",MIN('Weekly Log'!$A$5:$A$5000)+7*(ROW()-10)))</f>
        <v/>
      </c>
    </row>
    <row r="983" spans="1:10" x14ac:dyDescent="0.25">
      <c r="A983" t="str">
        <f t="shared" si="15"/>
        <v/>
      </c>
      <c r="B983" t="str">
        <f>IF($J983="","",SUMIFS('Weekly Log'!$C:$C,'Weekly Log'!$A:$A,"&gt;="&amp;$J983,'Weekly Log'!$A:$A,"&lt;"&amp;$J983+7))</f>
        <v/>
      </c>
      <c r="C983" t="str">
        <f>IF($J983="","",IFERROR(COUNTIFS('Weekly Log'!$G:$G,"Y",'Weekly Log'!$A:$A,"&gt;="&amp;$J983,'Weekly Log'!$A:$A,"&lt;"&amp;$J983+7)/COUNTIFS('Weekly Log'!$G:$G,"&lt;&gt;",'Weekly Log'!$A:$A,"&gt;="&amp;$J983,'Weekly Log'!$A:$A,"&lt;"&amp;$J983+7),0))</f>
        <v/>
      </c>
      <c r="D983" t="str">
        <f>IF($J983="","",IFERROR(COUNTIFS('Weekly Log'!$H:$H,"Y",'Weekly Log'!$A:$A,"&gt;="&amp;$J983,'Weekly Log'!$A:$A,"&lt;"&amp;$J983+7)/COUNTIFS('Weekly Log'!$H:$H,"&lt;&gt;",'Weekly Log'!$A:$A,"&gt;="&amp;$J983,'Weekly Log'!$A:$A,"&lt;"&amp;$J983+7),0))</f>
        <v/>
      </c>
      <c r="E983" t="str">
        <f>IF($J983="","",IFERROR(AVERAGEIFS('Weekly Log'!$F:$F,'Weekly Log'!$A:$A,"&gt;="&amp;$J983,'Weekly Log'!$A:$A,"&lt;"&amp;$J983+7),0))</f>
        <v/>
      </c>
      <c r="F983" t="str">
        <f>IF($J983="","",IFERROR(SUMIFS('Weekly Log'!$F:$F,'Weekly Log'!$A:$A,"&gt;="&amp;$J983,'Weekly Log'!$A:$A,"&lt;"&amp;$J983+7)/SUMIFS('Weekly Log'!$E:$E,'Weekly Log'!$A:$A,"&gt;="&amp;$J983,'Weekly Log'!$A:$A,"&lt;"&amp;$J983+7),0))</f>
        <v/>
      </c>
      <c r="G983" t="str">
        <f>IF($J983="","",IFERROR(LOOKUP(2,1/(('Weekly Log'!$A$5:$A$5000&gt;=$J983)*('Weekly Log'!$A$5:$A$5000&lt;$J983+7)*('Weekly Log'!$M$5:$M$5000&lt;&gt;"")),'Weekly Log'!$M$5:$M$5000),0))</f>
        <v/>
      </c>
      <c r="J983" t="str">
        <f>IF(COUNT('Weekly Log'!$A$5:$A$5000)=0,"",IF(MIN('Weekly Log'!$A$5:$A$5000)+7*(ROW()-10)&gt;MAX('Weekly Log'!$A$5:$A$5000),"",MIN('Weekly Log'!$A$5:$A$5000)+7*(ROW()-10)))</f>
        <v/>
      </c>
    </row>
    <row r="984" spans="1:10" x14ac:dyDescent="0.25">
      <c r="A984" t="str">
        <f t="shared" si="15"/>
        <v/>
      </c>
      <c r="B984" t="str">
        <f>IF($J984="","",SUMIFS('Weekly Log'!$C:$C,'Weekly Log'!$A:$A,"&gt;="&amp;$J984,'Weekly Log'!$A:$A,"&lt;"&amp;$J984+7))</f>
        <v/>
      </c>
      <c r="C984" t="str">
        <f>IF($J984="","",IFERROR(COUNTIFS('Weekly Log'!$G:$G,"Y",'Weekly Log'!$A:$A,"&gt;="&amp;$J984,'Weekly Log'!$A:$A,"&lt;"&amp;$J984+7)/COUNTIFS('Weekly Log'!$G:$G,"&lt;&gt;",'Weekly Log'!$A:$A,"&gt;="&amp;$J984,'Weekly Log'!$A:$A,"&lt;"&amp;$J984+7),0))</f>
        <v/>
      </c>
      <c r="D984" t="str">
        <f>IF($J984="","",IFERROR(COUNTIFS('Weekly Log'!$H:$H,"Y",'Weekly Log'!$A:$A,"&gt;="&amp;$J984,'Weekly Log'!$A:$A,"&lt;"&amp;$J984+7)/COUNTIFS('Weekly Log'!$H:$H,"&lt;&gt;",'Weekly Log'!$A:$A,"&gt;="&amp;$J984,'Weekly Log'!$A:$A,"&lt;"&amp;$J984+7),0))</f>
        <v/>
      </c>
      <c r="E984" t="str">
        <f>IF($J984="","",IFERROR(AVERAGEIFS('Weekly Log'!$F:$F,'Weekly Log'!$A:$A,"&gt;="&amp;$J984,'Weekly Log'!$A:$A,"&lt;"&amp;$J984+7),0))</f>
        <v/>
      </c>
      <c r="F984" t="str">
        <f>IF($J984="","",IFERROR(SUMIFS('Weekly Log'!$F:$F,'Weekly Log'!$A:$A,"&gt;="&amp;$J984,'Weekly Log'!$A:$A,"&lt;"&amp;$J984+7)/SUMIFS('Weekly Log'!$E:$E,'Weekly Log'!$A:$A,"&gt;="&amp;$J984,'Weekly Log'!$A:$A,"&lt;"&amp;$J984+7),0))</f>
        <v/>
      </c>
      <c r="G984" t="str">
        <f>IF($J984="","",IFERROR(LOOKUP(2,1/(('Weekly Log'!$A$5:$A$5000&gt;=$J984)*('Weekly Log'!$A$5:$A$5000&lt;$J984+7)*('Weekly Log'!$M$5:$M$5000&lt;&gt;"")),'Weekly Log'!$M$5:$M$5000),0))</f>
        <v/>
      </c>
      <c r="J984" t="str">
        <f>IF(COUNT('Weekly Log'!$A$5:$A$5000)=0,"",IF(MIN('Weekly Log'!$A$5:$A$5000)+7*(ROW()-10)&gt;MAX('Weekly Log'!$A$5:$A$5000),"",MIN('Weekly Log'!$A$5:$A$5000)+7*(ROW()-10)))</f>
        <v/>
      </c>
    </row>
    <row r="985" spans="1:10" x14ac:dyDescent="0.25">
      <c r="A985" t="str">
        <f t="shared" si="15"/>
        <v/>
      </c>
      <c r="B985" t="str">
        <f>IF($J985="","",SUMIFS('Weekly Log'!$C:$C,'Weekly Log'!$A:$A,"&gt;="&amp;$J985,'Weekly Log'!$A:$A,"&lt;"&amp;$J985+7))</f>
        <v/>
      </c>
      <c r="C985" t="str">
        <f>IF($J985="","",IFERROR(COUNTIFS('Weekly Log'!$G:$G,"Y",'Weekly Log'!$A:$A,"&gt;="&amp;$J985,'Weekly Log'!$A:$A,"&lt;"&amp;$J985+7)/COUNTIFS('Weekly Log'!$G:$G,"&lt;&gt;",'Weekly Log'!$A:$A,"&gt;="&amp;$J985,'Weekly Log'!$A:$A,"&lt;"&amp;$J985+7),0))</f>
        <v/>
      </c>
      <c r="D985" t="str">
        <f>IF($J985="","",IFERROR(COUNTIFS('Weekly Log'!$H:$H,"Y",'Weekly Log'!$A:$A,"&gt;="&amp;$J985,'Weekly Log'!$A:$A,"&lt;"&amp;$J985+7)/COUNTIFS('Weekly Log'!$H:$H,"&lt;&gt;",'Weekly Log'!$A:$A,"&gt;="&amp;$J985,'Weekly Log'!$A:$A,"&lt;"&amp;$J985+7),0))</f>
        <v/>
      </c>
      <c r="E985" t="str">
        <f>IF($J985="","",IFERROR(AVERAGEIFS('Weekly Log'!$F:$F,'Weekly Log'!$A:$A,"&gt;="&amp;$J985,'Weekly Log'!$A:$A,"&lt;"&amp;$J985+7),0))</f>
        <v/>
      </c>
      <c r="F985" t="str">
        <f>IF($J985="","",IFERROR(SUMIFS('Weekly Log'!$F:$F,'Weekly Log'!$A:$A,"&gt;="&amp;$J985,'Weekly Log'!$A:$A,"&lt;"&amp;$J985+7)/SUMIFS('Weekly Log'!$E:$E,'Weekly Log'!$A:$A,"&gt;="&amp;$J985,'Weekly Log'!$A:$A,"&lt;"&amp;$J985+7),0))</f>
        <v/>
      </c>
      <c r="G985" t="str">
        <f>IF($J985="","",IFERROR(LOOKUP(2,1/(('Weekly Log'!$A$5:$A$5000&gt;=$J985)*('Weekly Log'!$A$5:$A$5000&lt;$J985+7)*('Weekly Log'!$M$5:$M$5000&lt;&gt;"")),'Weekly Log'!$M$5:$M$5000),0))</f>
        <v/>
      </c>
      <c r="J985" t="str">
        <f>IF(COUNT('Weekly Log'!$A$5:$A$5000)=0,"",IF(MIN('Weekly Log'!$A$5:$A$5000)+7*(ROW()-10)&gt;MAX('Weekly Log'!$A$5:$A$5000),"",MIN('Weekly Log'!$A$5:$A$5000)+7*(ROW()-10)))</f>
        <v/>
      </c>
    </row>
    <row r="986" spans="1:10" x14ac:dyDescent="0.25">
      <c r="A986" t="str">
        <f t="shared" si="15"/>
        <v/>
      </c>
      <c r="B986" t="str">
        <f>IF($J986="","",SUMIFS('Weekly Log'!$C:$C,'Weekly Log'!$A:$A,"&gt;="&amp;$J986,'Weekly Log'!$A:$A,"&lt;"&amp;$J986+7))</f>
        <v/>
      </c>
      <c r="C986" t="str">
        <f>IF($J986="","",IFERROR(COUNTIFS('Weekly Log'!$G:$G,"Y",'Weekly Log'!$A:$A,"&gt;="&amp;$J986,'Weekly Log'!$A:$A,"&lt;"&amp;$J986+7)/COUNTIFS('Weekly Log'!$G:$G,"&lt;&gt;",'Weekly Log'!$A:$A,"&gt;="&amp;$J986,'Weekly Log'!$A:$A,"&lt;"&amp;$J986+7),0))</f>
        <v/>
      </c>
      <c r="D986" t="str">
        <f>IF($J986="","",IFERROR(COUNTIFS('Weekly Log'!$H:$H,"Y",'Weekly Log'!$A:$A,"&gt;="&amp;$J986,'Weekly Log'!$A:$A,"&lt;"&amp;$J986+7)/COUNTIFS('Weekly Log'!$H:$H,"&lt;&gt;",'Weekly Log'!$A:$A,"&gt;="&amp;$J986,'Weekly Log'!$A:$A,"&lt;"&amp;$J986+7),0))</f>
        <v/>
      </c>
      <c r="E986" t="str">
        <f>IF($J986="","",IFERROR(AVERAGEIFS('Weekly Log'!$F:$F,'Weekly Log'!$A:$A,"&gt;="&amp;$J986,'Weekly Log'!$A:$A,"&lt;"&amp;$J986+7),0))</f>
        <v/>
      </c>
      <c r="F986" t="str">
        <f>IF($J986="","",IFERROR(SUMIFS('Weekly Log'!$F:$F,'Weekly Log'!$A:$A,"&gt;="&amp;$J986,'Weekly Log'!$A:$A,"&lt;"&amp;$J986+7)/SUMIFS('Weekly Log'!$E:$E,'Weekly Log'!$A:$A,"&gt;="&amp;$J986,'Weekly Log'!$A:$A,"&lt;"&amp;$J986+7),0))</f>
        <v/>
      </c>
      <c r="G986" t="str">
        <f>IF($J986="","",IFERROR(LOOKUP(2,1/(('Weekly Log'!$A$5:$A$5000&gt;=$J986)*('Weekly Log'!$A$5:$A$5000&lt;$J986+7)*('Weekly Log'!$M$5:$M$5000&lt;&gt;"")),'Weekly Log'!$M$5:$M$5000),0))</f>
        <v/>
      </c>
      <c r="J986" t="str">
        <f>IF(COUNT('Weekly Log'!$A$5:$A$5000)=0,"",IF(MIN('Weekly Log'!$A$5:$A$5000)+7*(ROW()-10)&gt;MAX('Weekly Log'!$A$5:$A$5000),"",MIN('Weekly Log'!$A$5:$A$5000)+7*(ROW()-10)))</f>
        <v/>
      </c>
    </row>
    <row r="987" spans="1:10" x14ac:dyDescent="0.25">
      <c r="A987" t="str">
        <f t="shared" si="15"/>
        <v/>
      </c>
      <c r="B987" t="str">
        <f>IF($J987="","",SUMIFS('Weekly Log'!$C:$C,'Weekly Log'!$A:$A,"&gt;="&amp;$J987,'Weekly Log'!$A:$A,"&lt;"&amp;$J987+7))</f>
        <v/>
      </c>
      <c r="C987" t="str">
        <f>IF($J987="","",IFERROR(COUNTIFS('Weekly Log'!$G:$G,"Y",'Weekly Log'!$A:$A,"&gt;="&amp;$J987,'Weekly Log'!$A:$A,"&lt;"&amp;$J987+7)/COUNTIFS('Weekly Log'!$G:$G,"&lt;&gt;",'Weekly Log'!$A:$A,"&gt;="&amp;$J987,'Weekly Log'!$A:$A,"&lt;"&amp;$J987+7),0))</f>
        <v/>
      </c>
      <c r="D987" t="str">
        <f>IF($J987="","",IFERROR(COUNTIFS('Weekly Log'!$H:$H,"Y",'Weekly Log'!$A:$A,"&gt;="&amp;$J987,'Weekly Log'!$A:$A,"&lt;"&amp;$J987+7)/COUNTIFS('Weekly Log'!$H:$H,"&lt;&gt;",'Weekly Log'!$A:$A,"&gt;="&amp;$J987,'Weekly Log'!$A:$A,"&lt;"&amp;$J987+7),0))</f>
        <v/>
      </c>
      <c r="E987" t="str">
        <f>IF($J987="","",IFERROR(AVERAGEIFS('Weekly Log'!$F:$F,'Weekly Log'!$A:$A,"&gt;="&amp;$J987,'Weekly Log'!$A:$A,"&lt;"&amp;$J987+7),0))</f>
        <v/>
      </c>
      <c r="F987" t="str">
        <f>IF($J987="","",IFERROR(SUMIFS('Weekly Log'!$F:$F,'Weekly Log'!$A:$A,"&gt;="&amp;$J987,'Weekly Log'!$A:$A,"&lt;"&amp;$J987+7)/SUMIFS('Weekly Log'!$E:$E,'Weekly Log'!$A:$A,"&gt;="&amp;$J987,'Weekly Log'!$A:$A,"&lt;"&amp;$J987+7),0))</f>
        <v/>
      </c>
      <c r="G987" t="str">
        <f>IF($J987="","",IFERROR(LOOKUP(2,1/(('Weekly Log'!$A$5:$A$5000&gt;=$J987)*('Weekly Log'!$A$5:$A$5000&lt;$J987+7)*('Weekly Log'!$M$5:$M$5000&lt;&gt;"")),'Weekly Log'!$M$5:$M$5000),0))</f>
        <v/>
      </c>
      <c r="J987" t="str">
        <f>IF(COUNT('Weekly Log'!$A$5:$A$5000)=0,"",IF(MIN('Weekly Log'!$A$5:$A$5000)+7*(ROW()-10)&gt;MAX('Weekly Log'!$A$5:$A$5000),"",MIN('Weekly Log'!$A$5:$A$5000)+7*(ROW()-10)))</f>
        <v/>
      </c>
    </row>
    <row r="988" spans="1:10" x14ac:dyDescent="0.25">
      <c r="A988" t="str">
        <f t="shared" si="15"/>
        <v/>
      </c>
      <c r="B988" t="str">
        <f>IF($J988="","",SUMIFS('Weekly Log'!$C:$C,'Weekly Log'!$A:$A,"&gt;="&amp;$J988,'Weekly Log'!$A:$A,"&lt;"&amp;$J988+7))</f>
        <v/>
      </c>
      <c r="C988" t="str">
        <f>IF($J988="","",IFERROR(COUNTIFS('Weekly Log'!$G:$G,"Y",'Weekly Log'!$A:$A,"&gt;="&amp;$J988,'Weekly Log'!$A:$A,"&lt;"&amp;$J988+7)/COUNTIFS('Weekly Log'!$G:$G,"&lt;&gt;",'Weekly Log'!$A:$A,"&gt;="&amp;$J988,'Weekly Log'!$A:$A,"&lt;"&amp;$J988+7),0))</f>
        <v/>
      </c>
      <c r="D988" t="str">
        <f>IF($J988="","",IFERROR(COUNTIFS('Weekly Log'!$H:$H,"Y",'Weekly Log'!$A:$A,"&gt;="&amp;$J988,'Weekly Log'!$A:$A,"&lt;"&amp;$J988+7)/COUNTIFS('Weekly Log'!$H:$H,"&lt;&gt;",'Weekly Log'!$A:$A,"&gt;="&amp;$J988,'Weekly Log'!$A:$A,"&lt;"&amp;$J988+7),0))</f>
        <v/>
      </c>
      <c r="E988" t="str">
        <f>IF($J988="","",IFERROR(AVERAGEIFS('Weekly Log'!$F:$F,'Weekly Log'!$A:$A,"&gt;="&amp;$J988,'Weekly Log'!$A:$A,"&lt;"&amp;$J988+7),0))</f>
        <v/>
      </c>
      <c r="F988" t="str">
        <f>IF($J988="","",IFERROR(SUMIFS('Weekly Log'!$F:$F,'Weekly Log'!$A:$A,"&gt;="&amp;$J988,'Weekly Log'!$A:$A,"&lt;"&amp;$J988+7)/SUMIFS('Weekly Log'!$E:$E,'Weekly Log'!$A:$A,"&gt;="&amp;$J988,'Weekly Log'!$A:$A,"&lt;"&amp;$J988+7),0))</f>
        <v/>
      </c>
      <c r="G988" t="str">
        <f>IF($J988="","",IFERROR(LOOKUP(2,1/(('Weekly Log'!$A$5:$A$5000&gt;=$J988)*('Weekly Log'!$A$5:$A$5000&lt;$J988+7)*('Weekly Log'!$M$5:$M$5000&lt;&gt;"")),'Weekly Log'!$M$5:$M$5000),0))</f>
        <v/>
      </c>
      <c r="J988" t="str">
        <f>IF(COUNT('Weekly Log'!$A$5:$A$5000)=0,"",IF(MIN('Weekly Log'!$A$5:$A$5000)+7*(ROW()-10)&gt;MAX('Weekly Log'!$A$5:$A$5000),"",MIN('Weekly Log'!$A$5:$A$5000)+7*(ROW()-10)))</f>
        <v/>
      </c>
    </row>
    <row r="989" spans="1:10" x14ac:dyDescent="0.25">
      <c r="A989" t="str">
        <f t="shared" si="15"/>
        <v/>
      </c>
      <c r="B989" t="str">
        <f>IF($J989="","",SUMIFS('Weekly Log'!$C:$C,'Weekly Log'!$A:$A,"&gt;="&amp;$J989,'Weekly Log'!$A:$A,"&lt;"&amp;$J989+7))</f>
        <v/>
      </c>
      <c r="C989" t="str">
        <f>IF($J989="","",IFERROR(COUNTIFS('Weekly Log'!$G:$G,"Y",'Weekly Log'!$A:$A,"&gt;="&amp;$J989,'Weekly Log'!$A:$A,"&lt;"&amp;$J989+7)/COUNTIFS('Weekly Log'!$G:$G,"&lt;&gt;",'Weekly Log'!$A:$A,"&gt;="&amp;$J989,'Weekly Log'!$A:$A,"&lt;"&amp;$J989+7),0))</f>
        <v/>
      </c>
      <c r="D989" t="str">
        <f>IF($J989="","",IFERROR(COUNTIFS('Weekly Log'!$H:$H,"Y",'Weekly Log'!$A:$A,"&gt;="&amp;$J989,'Weekly Log'!$A:$A,"&lt;"&amp;$J989+7)/COUNTIFS('Weekly Log'!$H:$H,"&lt;&gt;",'Weekly Log'!$A:$A,"&gt;="&amp;$J989,'Weekly Log'!$A:$A,"&lt;"&amp;$J989+7),0))</f>
        <v/>
      </c>
      <c r="E989" t="str">
        <f>IF($J989="","",IFERROR(AVERAGEIFS('Weekly Log'!$F:$F,'Weekly Log'!$A:$A,"&gt;="&amp;$J989,'Weekly Log'!$A:$A,"&lt;"&amp;$J989+7),0))</f>
        <v/>
      </c>
      <c r="F989" t="str">
        <f>IF($J989="","",IFERROR(SUMIFS('Weekly Log'!$F:$F,'Weekly Log'!$A:$A,"&gt;="&amp;$J989,'Weekly Log'!$A:$A,"&lt;"&amp;$J989+7)/SUMIFS('Weekly Log'!$E:$E,'Weekly Log'!$A:$A,"&gt;="&amp;$J989,'Weekly Log'!$A:$A,"&lt;"&amp;$J989+7),0))</f>
        <v/>
      </c>
      <c r="G989" t="str">
        <f>IF($J989="","",IFERROR(LOOKUP(2,1/(('Weekly Log'!$A$5:$A$5000&gt;=$J989)*('Weekly Log'!$A$5:$A$5000&lt;$J989+7)*('Weekly Log'!$M$5:$M$5000&lt;&gt;"")),'Weekly Log'!$M$5:$M$5000),0))</f>
        <v/>
      </c>
      <c r="J989" t="str">
        <f>IF(COUNT('Weekly Log'!$A$5:$A$5000)=0,"",IF(MIN('Weekly Log'!$A$5:$A$5000)+7*(ROW()-10)&gt;MAX('Weekly Log'!$A$5:$A$5000),"",MIN('Weekly Log'!$A$5:$A$5000)+7*(ROW()-10)))</f>
        <v/>
      </c>
    </row>
    <row r="990" spans="1:10" x14ac:dyDescent="0.25">
      <c r="A990" t="str">
        <f t="shared" si="15"/>
        <v/>
      </c>
      <c r="B990" t="str">
        <f>IF($J990="","",SUMIFS('Weekly Log'!$C:$C,'Weekly Log'!$A:$A,"&gt;="&amp;$J990,'Weekly Log'!$A:$A,"&lt;"&amp;$J990+7))</f>
        <v/>
      </c>
      <c r="C990" t="str">
        <f>IF($J990="","",IFERROR(COUNTIFS('Weekly Log'!$G:$G,"Y",'Weekly Log'!$A:$A,"&gt;="&amp;$J990,'Weekly Log'!$A:$A,"&lt;"&amp;$J990+7)/COUNTIFS('Weekly Log'!$G:$G,"&lt;&gt;",'Weekly Log'!$A:$A,"&gt;="&amp;$J990,'Weekly Log'!$A:$A,"&lt;"&amp;$J990+7),0))</f>
        <v/>
      </c>
      <c r="D990" t="str">
        <f>IF($J990="","",IFERROR(COUNTIFS('Weekly Log'!$H:$H,"Y",'Weekly Log'!$A:$A,"&gt;="&amp;$J990,'Weekly Log'!$A:$A,"&lt;"&amp;$J990+7)/COUNTIFS('Weekly Log'!$H:$H,"&lt;&gt;",'Weekly Log'!$A:$A,"&gt;="&amp;$J990,'Weekly Log'!$A:$A,"&lt;"&amp;$J990+7),0))</f>
        <v/>
      </c>
      <c r="E990" t="str">
        <f>IF($J990="","",IFERROR(AVERAGEIFS('Weekly Log'!$F:$F,'Weekly Log'!$A:$A,"&gt;="&amp;$J990,'Weekly Log'!$A:$A,"&lt;"&amp;$J990+7),0))</f>
        <v/>
      </c>
      <c r="F990" t="str">
        <f>IF($J990="","",IFERROR(SUMIFS('Weekly Log'!$F:$F,'Weekly Log'!$A:$A,"&gt;="&amp;$J990,'Weekly Log'!$A:$A,"&lt;"&amp;$J990+7)/SUMIFS('Weekly Log'!$E:$E,'Weekly Log'!$A:$A,"&gt;="&amp;$J990,'Weekly Log'!$A:$A,"&lt;"&amp;$J990+7),0))</f>
        <v/>
      </c>
      <c r="G990" t="str">
        <f>IF($J990="","",IFERROR(LOOKUP(2,1/(('Weekly Log'!$A$5:$A$5000&gt;=$J990)*('Weekly Log'!$A$5:$A$5000&lt;$J990+7)*('Weekly Log'!$M$5:$M$5000&lt;&gt;"")),'Weekly Log'!$M$5:$M$5000),0))</f>
        <v/>
      </c>
      <c r="J990" t="str">
        <f>IF(COUNT('Weekly Log'!$A$5:$A$5000)=0,"",IF(MIN('Weekly Log'!$A$5:$A$5000)+7*(ROW()-10)&gt;MAX('Weekly Log'!$A$5:$A$5000),"",MIN('Weekly Log'!$A$5:$A$5000)+7*(ROW()-10)))</f>
        <v/>
      </c>
    </row>
    <row r="991" spans="1:10" x14ac:dyDescent="0.25">
      <c r="A991" t="str">
        <f t="shared" si="15"/>
        <v/>
      </c>
      <c r="B991" t="str">
        <f>IF($J991="","",SUMIFS('Weekly Log'!$C:$C,'Weekly Log'!$A:$A,"&gt;="&amp;$J991,'Weekly Log'!$A:$A,"&lt;"&amp;$J991+7))</f>
        <v/>
      </c>
      <c r="C991" t="str">
        <f>IF($J991="","",IFERROR(COUNTIFS('Weekly Log'!$G:$G,"Y",'Weekly Log'!$A:$A,"&gt;="&amp;$J991,'Weekly Log'!$A:$A,"&lt;"&amp;$J991+7)/COUNTIFS('Weekly Log'!$G:$G,"&lt;&gt;",'Weekly Log'!$A:$A,"&gt;="&amp;$J991,'Weekly Log'!$A:$A,"&lt;"&amp;$J991+7),0))</f>
        <v/>
      </c>
      <c r="D991" t="str">
        <f>IF($J991="","",IFERROR(COUNTIFS('Weekly Log'!$H:$H,"Y",'Weekly Log'!$A:$A,"&gt;="&amp;$J991,'Weekly Log'!$A:$A,"&lt;"&amp;$J991+7)/COUNTIFS('Weekly Log'!$H:$H,"&lt;&gt;",'Weekly Log'!$A:$A,"&gt;="&amp;$J991,'Weekly Log'!$A:$A,"&lt;"&amp;$J991+7),0))</f>
        <v/>
      </c>
      <c r="E991" t="str">
        <f>IF($J991="","",IFERROR(AVERAGEIFS('Weekly Log'!$F:$F,'Weekly Log'!$A:$A,"&gt;="&amp;$J991,'Weekly Log'!$A:$A,"&lt;"&amp;$J991+7),0))</f>
        <v/>
      </c>
      <c r="F991" t="str">
        <f>IF($J991="","",IFERROR(SUMIFS('Weekly Log'!$F:$F,'Weekly Log'!$A:$A,"&gt;="&amp;$J991,'Weekly Log'!$A:$A,"&lt;"&amp;$J991+7)/SUMIFS('Weekly Log'!$E:$E,'Weekly Log'!$A:$A,"&gt;="&amp;$J991,'Weekly Log'!$A:$A,"&lt;"&amp;$J991+7),0))</f>
        <v/>
      </c>
      <c r="G991" t="str">
        <f>IF($J991="","",IFERROR(LOOKUP(2,1/(('Weekly Log'!$A$5:$A$5000&gt;=$J991)*('Weekly Log'!$A$5:$A$5000&lt;$J991+7)*('Weekly Log'!$M$5:$M$5000&lt;&gt;"")),'Weekly Log'!$M$5:$M$5000),0))</f>
        <v/>
      </c>
      <c r="J991" t="str">
        <f>IF(COUNT('Weekly Log'!$A$5:$A$5000)=0,"",IF(MIN('Weekly Log'!$A$5:$A$5000)+7*(ROW()-10)&gt;MAX('Weekly Log'!$A$5:$A$5000),"",MIN('Weekly Log'!$A$5:$A$5000)+7*(ROW()-10)))</f>
        <v/>
      </c>
    </row>
    <row r="992" spans="1:10" x14ac:dyDescent="0.25">
      <c r="A992" t="str">
        <f t="shared" si="15"/>
        <v/>
      </c>
      <c r="B992" t="str">
        <f>IF($J992="","",SUMIFS('Weekly Log'!$C:$C,'Weekly Log'!$A:$A,"&gt;="&amp;$J992,'Weekly Log'!$A:$A,"&lt;"&amp;$J992+7))</f>
        <v/>
      </c>
      <c r="C992" t="str">
        <f>IF($J992="","",IFERROR(COUNTIFS('Weekly Log'!$G:$G,"Y",'Weekly Log'!$A:$A,"&gt;="&amp;$J992,'Weekly Log'!$A:$A,"&lt;"&amp;$J992+7)/COUNTIFS('Weekly Log'!$G:$G,"&lt;&gt;",'Weekly Log'!$A:$A,"&gt;="&amp;$J992,'Weekly Log'!$A:$A,"&lt;"&amp;$J992+7),0))</f>
        <v/>
      </c>
      <c r="D992" t="str">
        <f>IF($J992="","",IFERROR(COUNTIFS('Weekly Log'!$H:$H,"Y",'Weekly Log'!$A:$A,"&gt;="&amp;$J992,'Weekly Log'!$A:$A,"&lt;"&amp;$J992+7)/COUNTIFS('Weekly Log'!$H:$H,"&lt;&gt;",'Weekly Log'!$A:$A,"&gt;="&amp;$J992,'Weekly Log'!$A:$A,"&lt;"&amp;$J992+7),0))</f>
        <v/>
      </c>
      <c r="E992" t="str">
        <f>IF($J992="","",IFERROR(AVERAGEIFS('Weekly Log'!$F:$F,'Weekly Log'!$A:$A,"&gt;="&amp;$J992,'Weekly Log'!$A:$A,"&lt;"&amp;$J992+7),0))</f>
        <v/>
      </c>
      <c r="F992" t="str">
        <f>IF($J992="","",IFERROR(SUMIFS('Weekly Log'!$F:$F,'Weekly Log'!$A:$A,"&gt;="&amp;$J992,'Weekly Log'!$A:$A,"&lt;"&amp;$J992+7)/SUMIFS('Weekly Log'!$E:$E,'Weekly Log'!$A:$A,"&gt;="&amp;$J992,'Weekly Log'!$A:$A,"&lt;"&amp;$J992+7),0))</f>
        <v/>
      </c>
      <c r="G992" t="str">
        <f>IF($J992="","",IFERROR(LOOKUP(2,1/(('Weekly Log'!$A$5:$A$5000&gt;=$J992)*('Weekly Log'!$A$5:$A$5000&lt;$J992+7)*('Weekly Log'!$M$5:$M$5000&lt;&gt;"")),'Weekly Log'!$M$5:$M$5000),0))</f>
        <v/>
      </c>
      <c r="J992" t="str">
        <f>IF(COUNT('Weekly Log'!$A$5:$A$5000)=0,"",IF(MIN('Weekly Log'!$A$5:$A$5000)+7*(ROW()-10)&gt;MAX('Weekly Log'!$A$5:$A$5000),"",MIN('Weekly Log'!$A$5:$A$5000)+7*(ROW()-10)))</f>
        <v/>
      </c>
    </row>
    <row r="993" spans="1:10" x14ac:dyDescent="0.25">
      <c r="A993" t="str">
        <f t="shared" si="15"/>
        <v/>
      </c>
      <c r="B993" t="str">
        <f>IF($J993="","",SUMIFS('Weekly Log'!$C:$C,'Weekly Log'!$A:$A,"&gt;="&amp;$J993,'Weekly Log'!$A:$A,"&lt;"&amp;$J993+7))</f>
        <v/>
      </c>
      <c r="C993" t="str">
        <f>IF($J993="","",IFERROR(COUNTIFS('Weekly Log'!$G:$G,"Y",'Weekly Log'!$A:$A,"&gt;="&amp;$J993,'Weekly Log'!$A:$A,"&lt;"&amp;$J993+7)/COUNTIFS('Weekly Log'!$G:$G,"&lt;&gt;",'Weekly Log'!$A:$A,"&gt;="&amp;$J993,'Weekly Log'!$A:$A,"&lt;"&amp;$J993+7),0))</f>
        <v/>
      </c>
      <c r="D993" t="str">
        <f>IF($J993="","",IFERROR(COUNTIFS('Weekly Log'!$H:$H,"Y",'Weekly Log'!$A:$A,"&gt;="&amp;$J993,'Weekly Log'!$A:$A,"&lt;"&amp;$J993+7)/COUNTIFS('Weekly Log'!$H:$H,"&lt;&gt;",'Weekly Log'!$A:$A,"&gt;="&amp;$J993,'Weekly Log'!$A:$A,"&lt;"&amp;$J993+7),0))</f>
        <v/>
      </c>
      <c r="E993" t="str">
        <f>IF($J993="","",IFERROR(AVERAGEIFS('Weekly Log'!$F:$F,'Weekly Log'!$A:$A,"&gt;="&amp;$J993,'Weekly Log'!$A:$A,"&lt;"&amp;$J993+7),0))</f>
        <v/>
      </c>
      <c r="F993" t="str">
        <f>IF($J993="","",IFERROR(SUMIFS('Weekly Log'!$F:$F,'Weekly Log'!$A:$A,"&gt;="&amp;$J993,'Weekly Log'!$A:$A,"&lt;"&amp;$J993+7)/SUMIFS('Weekly Log'!$E:$E,'Weekly Log'!$A:$A,"&gt;="&amp;$J993,'Weekly Log'!$A:$A,"&lt;"&amp;$J993+7),0))</f>
        <v/>
      </c>
      <c r="G993" t="str">
        <f>IF($J993="","",IFERROR(LOOKUP(2,1/(('Weekly Log'!$A$5:$A$5000&gt;=$J993)*('Weekly Log'!$A$5:$A$5000&lt;$J993+7)*('Weekly Log'!$M$5:$M$5000&lt;&gt;"")),'Weekly Log'!$M$5:$M$5000),0))</f>
        <v/>
      </c>
      <c r="J993" t="str">
        <f>IF(COUNT('Weekly Log'!$A$5:$A$5000)=0,"",IF(MIN('Weekly Log'!$A$5:$A$5000)+7*(ROW()-10)&gt;MAX('Weekly Log'!$A$5:$A$5000),"",MIN('Weekly Log'!$A$5:$A$5000)+7*(ROW()-10)))</f>
        <v/>
      </c>
    </row>
    <row r="994" spans="1:10" x14ac:dyDescent="0.25">
      <c r="A994" t="str">
        <f t="shared" si="15"/>
        <v/>
      </c>
      <c r="B994" t="str">
        <f>IF($J994="","",SUMIFS('Weekly Log'!$C:$C,'Weekly Log'!$A:$A,"&gt;="&amp;$J994,'Weekly Log'!$A:$A,"&lt;"&amp;$J994+7))</f>
        <v/>
      </c>
      <c r="C994" t="str">
        <f>IF($J994="","",IFERROR(COUNTIFS('Weekly Log'!$G:$G,"Y",'Weekly Log'!$A:$A,"&gt;="&amp;$J994,'Weekly Log'!$A:$A,"&lt;"&amp;$J994+7)/COUNTIFS('Weekly Log'!$G:$G,"&lt;&gt;",'Weekly Log'!$A:$A,"&gt;="&amp;$J994,'Weekly Log'!$A:$A,"&lt;"&amp;$J994+7),0))</f>
        <v/>
      </c>
      <c r="D994" t="str">
        <f>IF($J994="","",IFERROR(COUNTIFS('Weekly Log'!$H:$H,"Y",'Weekly Log'!$A:$A,"&gt;="&amp;$J994,'Weekly Log'!$A:$A,"&lt;"&amp;$J994+7)/COUNTIFS('Weekly Log'!$H:$H,"&lt;&gt;",'Weekly Log'!$A:$A,"&gt;="&amp;$J994,'Weekly Log'!$A:$A,"&lt;"&amp;$J994+7),0))</f>
        <v/>
      </c>
      <c r="E994" t="str">
        <f>IF($J994="","",IFERROR(AVERAGEIFS('Weekly Log'!$F:$F,'Weekly Log'!$A:$A,"&gt;="&amp;$J994,'Weekly Log'!$A:$A,"&lt;"&amp;$J994+7),0))</f>
        <v/>
      </c>
      <c r="F994" t="str">
        <f>IF($J994="","",IFERROR(SUMIFS('Weekly Log'!$F:$F,'Weekly Log'!$A:$A,"&gt;="&amp;$J994,'Weekly Log'!$A:$A,"&lt;"&amp;$J994+7)/SUMIFS('Weekly Log'!$E:$E,'Weekly Log'!$A:$A,"&gt;="&amp;$J994,'Weekly Log'!$A:$A,"&lt;"&amp;$J994+7),0))</f>
        <v/>
      </c>
      <c r="G994" t="str">
        <f>IF($J994="","",IFERROR(LOOKUP(2,1/(('Weekly Log'!$A$5:$A$5000&gt;=$J994)*('Weekly Log'!$A$5:$A$5000&lt;$J994+7)*('Weekly Log'!$M$5:$M$5000&lt;&gt;"")),'Weekly Log'!$M$5:$M$5000),0))</f>
        <v/>
      </c>
      <c r="J994" t="str">
        <f>IF(COUNT('Weekly Log'!$A$5:$A$5000)=0,"",IF(MIN('Weekly Log'!$A$5:$A$5000)+7*(ROW()-10)&gt;MAX('Weekly Log'!$A$5:$A$5000),"",MIN('Weekly Log'!$A$5:$A$5000)+7*(ROW()-10)))</f>
        <v/>
      </c>
    </row>
    <row r="995" spans="1:10" x14ac:dyDescent="0.25">
      <c r="A995" t="str">
        <f t="shared" si="15"/>
        <v/>
      </c>
      <c r="B995" t="str">
        <f>IF($J995="","",SUMIFS('Weekly Log'!$C:$C,'Weekly Log'!$A:$A,"&gt;="&amp;$J995,'Weekly Log'!$A:$A,"&lt;"&amp;$J995+7))</f>
        <v/>
      </c>
      <c r="C995" t="str">
        <f>IF($J995="","",IFERROR(COUNTIFS('Weekly Log'!$G:$G,"Y",'Weekly Log'!$A:$A,"&gt;="&amp;$J995,'Weekly Log'!$A:$A,"&lt;"&amp;$J995+7)/COUNTIFS('Weekly Log'!$G:$G,"&lt;&gt;",'Weekly Log'!$A:$A,"&gt;="&amp;$J995,'Weekly Log'!$A:$A,"&lt;"&amp;$J995+7),0))</f>
        <v/>
      </c>
      <c r="D995" t="str">
        <f>IF($J995="","",IFERROR(COUNTIFS('Weekly Log'!$H:$H,"Y",'Weekly Log'!$A:$A,"&gt;="&amp;$J995,'Weekly Log'!$A:$A,"&lt;"&amp;$J995+7)/COUNTIFS('Weekly Log'!$H:$H,"&lt;&gt;",'Weekly Log'!$A:$A,"&gt;="&amp;$J995,'Weekly Log'!$A:$A,"&lt;"&amp;$J995+7),0))</f>
        <v/>
      </c>
      <c r="E995" t="str">
        <f>IF($J995="","",IFERROR(AVERAGEIFS('Weekly Log'!$F:$F,'Weekly Log'!$A:$A,"&gt;="&amp;$J995,'Weekly Log'!$A:$A,"&lt;"&amp;$J995+7),0))</f>
        <v/>
      </c>
      <c r="F995" t="str">
        <f>IF($J995="","",IFERROR(SUMIFS('Weekly Log'!$F:$F,'Weekly Log'!$A:$A,"&gt;="&amp;$J995,'Weekly Log'!$A:$A,"&lt;"&amp;$J995+7)/SUMIFS('Weekly Log'!$E:$E,'Weekly Log'!$A:$A,"&gt;="&amp;$J995,'Weekly Log'!$A:$A,"&lt;"&amp;$J995+7),0))</f>
        <v/>
      </c>
      <c r="G995" t="str">
        <f>IF($J995="","",IFERROR(LOOKUP(2,1/(('Weekly Log'!$A$5:$A$5000&gt;=$J995)*('Weekly Log'!$A$5:$A$5000&lt;$J995+7)*('Weekly Log'!$M$5:$M$5000&lt;&gt;"")),'Weekly Log'!$M$5:$M$5000),0))</f>
        <v/>
      </c>
      <c r="J995" t="str">
        <f>IF(COUNT('Weekly Log'!$A$5:$A$5000)=0,"",IF(MIN('Weekly Log'!$A$5:$A$5000)+7*(ROW()-10)&gt;MAX('Weekly Log'!$A$5:$A$5000),"",MIN('Weekly Log'!$A$5:$A$5000)+7*(ROW()-10)))</f>
        <v/>
      </c>
    </row>
    <row r="996" spans="1:10" x14ac:dyDescent="0.25">
      <c r="A996" t="str">
        <f t="shared" si="15"/>
        <v/>
      </c>
      <c r="B996" t="str">
        <f>IF($J996="","",SUMIFS('Weekly Log'!$C:$C,'Weekly Log'!$A:$A,"&gt;="&amp;$J996,'Weekly Log'!$A:$A,"&lt;"&amp;$J996+7))</f>
        <v/>
      </c>
      <c r="C996" t="str">
        <f>IF($J996="","",IFERROR(COUNTIFS('Weekly Log'!$G:$G,"Y",'Weekly Log'!$A:$A,"&gt;="&amp;$J996,'Weekly Log'!$A:$A,"&lt;"&amp;$J996+7)/COUNTIFS('Weekly Log'!$G:$G,"&lt;&gt;",'Weekly Log'!$A:$A,"&gt;="&amp;$J996,'Weekly Log'!$A:$A,"&lt;"&amp;$J996+7),0))</f>
        <v/>
      </c>
      <c r="D996" t="str">
        <f>IF($J996="","",IFERROR(COUNTIFS('Weekly Log'!$H:$H,"Y",'Weekly Log'!$A:$A,"&gt;="&amp;$J996,'Weekly Log'!$A:$A,"&lt;"&amp;$J996+7)/COUNTIFS('Weekly Log'!$H:$H,"&lt;&gt;",'Weekly Log'!$A:$A,"&gt;="&amp;$J996,'Weekly Log'!$A:$A,"&lt;"&amp;$J996+7),0))</f>
        <v/>
      </c>
      <c r="E996" t="str">
        <f>IF($J996="","",IFERROR(AVERAGEIFS('Weekly Log'!$F:$F,'Weekly Log'!$A:$A,"&gt;="&amp;$J996,'Weekly Log'!$A:$A,"&lt;"&amp;$J996+7),0))</f>
        <v/>
      </c>
      <c r="F996" t="str">
        <f>IF($J996="","",IFERROR(SUMIFS('Weekly Log'!$F:$F,'Weekly Log'!$A:$A,"&gt;="&amp;$J996,'Weekly Log'!$A:$A,"&lt;"&amp;$J996+7)/SUMIFS('Weekly Log'!$E:$E,'Weekly Log'!$A:$A,"&gt;="&amp;$J996,'Weekly Log'!$A:$A,"&lt;"&amp;$J996+7),0))</f>
        <v/>
      </c>
      <c r="G996" t="str">
        <f>IF($J996="","",IFERROR(LOOKUP(2,1/(('Weekly Log'!$A$5:$A$5000&gt;=$J996)*('Weekly Log'!$A$5:$A$5000&lt;$J996+7)*('Weekly Log'!$M$5:$M$5000&lt;&gt;"")),'Weekly Log'!$M$5:$M$5000),0))</f>
        <v/>
      </c>
      <c r="J996" t="str">
        <f>IF(COUNT('Weekly Log'!$A$5:$A$5000)=0,"",IF(MIN('Weekly Log'!$A$5:$A$5000)+7*(ROW()-10)&gt;MAX('Weekly Log'!$A$5:$A$5000),"",MIN('Weekly Log'!$A$5:$A$5000)+7*(ROW()-10)))</f>
        <v/>
      </c>
    </row>
    <row r="997" spans="1:10" x14ac:dyDescent="0.25">
      <c r="A997" t="str">
        <f t="shared" si="15"/>
        <v/>
      </c>
      <c r="B997" t="str">
        <f>IF($J997="","",SUMIFS('Weekly Log'!$C:$C,'Weekly Log'!$A:$A,"&gt;="&amp;$J997,'Weekly Log'!$A:$A,"&lt;"&amp;$J997+7))</f>
        <v/>
      </c>
      <c r="C997" t="str">
        <f>IF($J997="","",IFERROR(COUNTIFS('Weekly Log'!$G:$G,"Y",'Weekly Log'!$A:$A,"&gt;="&amp;$J997,'Weekly Log'!$A:$A,"&lt;"&amp;$J997+7)/COUNTIFS('Weekly Log'!$G:$G,"&lt;&gt;",'Weekly Log'!$A:$A,"&gt;="&amp;$J997,'Weekly Log'!$A:$A,"&lt;"&amp;$J997+7),0))</f>
        <v/>
      </c>
      <c r="D997" t="str">
        <f>IF($J997="","",IFERROR(COUNTIFS('Weekly Log'!$H:$H,"Y",'Weekly Log'!$A:$A,"&gt;="&amp;$J997,'Weekly Log'!$A:$A,"&lt;"&amp;$J997+7)/COUNTIFS('Weekly Log'!$H:$H,"&lt;&gt;",'Weekly Log'!$A:$A,"&gt;="&amp;$J997,'Weekly Log'!$A:$A,"&lt;"&amp;$J997+7),0))</f>
        <v/>
      </c>
      <c r="E997" t="str">
        <f>IF($J997="","",IFERROR(AVERAGEIFS('Weekly Log'!$F:$F,'Weekly Log'!$A:$A,"&gt;="&amp;$J997,'Weekly Log'!$A:$A,"&lt;"&amp;$J997+7),0))</f>
        <v/>
      </c>
      <c r="F997" t="str">
        <f>IF($J997="","",IFERROR(SUMIFS('Weekly Log'!$F:$F,'Weekly Log'!$A:$A,"&gt;="&amp;$J997,'Weekly Log'!$A:$A,"&lt;"&amp;$J997+7)/SUMIFS('Weekly Log'!$E:$E,'Weekly Log'!$A:$A,"&gt;="&amp;$J997,'Weekly Log'!$A:$A,"&lt;"&amp;$J997+7),0))</f>
        <v/>
      </c>
      <c r="G997" t="str">
        <f>IF($J997="","",IFERROR(LOOKUP(2,1/(('Weekly Log'!$A$5:$A$5000&gt;=$J997)*('Weekly Log'!$A$5:$A$5000&lt;$J997+7)*('Weekly Log'!$M$5:$M$5000&lt;&gt;"")),'Weekly Log'!$M$5:$M$5000),0))</f>
        <v/>
      </c>
      <c r="J997" t="str">
        <f>IF(COUNT('Weekly Log'!$A$5:$A$5000)=0,"",IF(MIN('Weekly Log'!$A$5:$A$5000)+7*(ROW()-10)&gt;MAX('Weekly Log'!$A$5:$A$5000),"",MIN('Weekly Log'!$A$5:$A$5000)+7*(ROW()-10)))</f>
        <v/>
      </c>
    </row>
    <row r="998" spans="1:10" x14ac:dyDescent="0.25">
      <c r="A998" t="str">
        <f t="shared" si="15"/>
        <v/>
      </c>
      <c r="B998" t="str">
        <f>IF($J998="","",SUMIFS('Weekly Log'!$C:$C,'Weekly Log'!$A:$A,"&gt;="&amp;$J998,'Weekly Log'!$A:$A,"&lt;"&amp;$J998+7))</f>
        <v/>
      </c>
      <c r="C998" t="str">
        <f>IF($J998="","",IFERROR(COUNTIFS('Weekly Log'!$G:$G,"Y",'Weekly Log'!$A:$A,"&gt;="&amp;$J998,'Weekly Log'!$A:$A,"&lt;"&amp;$J998+7)/COUNTIFS('Weekly Log'!$G:$G,"&lt;&gt;",'Weekly Log'!$A:$A,"&gt;="&amp;$J998,'Weekly Log'!$A:$A,"&lt;"&amp;$J998+7),0))</f>
        <v/>
      </c>
      <c r="D998" t="str">
        <f>IF($J998="","",IFERROR(COUNTIFS('Weekly Log'!$H:$H,"Y",'Weekly Log'!$A:$A,"&gt;="&amp;$J998,'Weekly Log'!$A:$A,"&lt;"&amp;$J998+7)/COUNTIFS('Weekly Log'!$H:$H,"&lt;&gt;",'Weekly Log'!$A:$A,"&gt;="&amp;$J998,'Weekly Log'!$A:$A,"&lt;"&amp;$J998+7),0))</f>
        <v/>
      </c>
      <c r="E998" t="str">
        <f>IF($J998="","",IFERROR(AVERAGEIFS('Weekly Log'!$F:$F,'Weekly Log'!$A:$A,"&gt;="&amp;$J998,'Weekly Log'!$A:$A,"&lt;"&amp;$J998+7),0))</f>
        <v/>
      </c>
      <c r="F998" t="str">
        <f>IF($J998="","",IFERROR(SUMIFS('Weekly Log'!$F:$F,'Weekly Log'!$A:$A,"&gt;="&amp;$J998,'Weekly Log'!$A:$A,"&lt;"&amp;$J998+7)/SUMIFS('Weekly Log'!$E:$E,'Weekly Log'!$A:$A,"&gt;="&amp;$J998,'Weekly Log'!$A:$A,"&lt;"&amp;$J998+7),0))</f>
        <v/>
      </c>
      <c r="G998" t="str">
        <f>IF($J998="","",IFERROR(LOOKUP(2,1/(('Weekly Log'!$A$5:$A$5000&gt;=$J998)*('Weekly Log'!$A$5:$A$5000&lt;$J998+7)*('Weekly Log'!$M$5:$M$5000&lt;&gt;"")),'Weekly Log'!$M$5:$M$5000),0))</f>
        <v/>
      </c>
      <c r="J998" t="str">
        <f>IF(COUNT('Weekly Log'!$A$5:$A$5000)=0,"",IF(MIN('Weekly Log'!$A$5:$A$5000)+7*(ROW()-10)&gt;MAX('Weekly Log'!$A$5:$A$5000),"",MIN('Weekly Log'!$A$5:$A$5000)+7*(ROW()-10)))</f>
        <v/>
      </c>
    </row>
    <row r="999" spans="1:10" x14ac:dyDescent="0.25">
      <c r="A999" t="str">
        <f t="shared" si="15"/>
        <v/>
      </c>
      <c r="B999" t="str">
        <f>IF($J999="","",SUMIFS('Weekly Log'!$C:$C,'Weekly Log'!$A:$A,"&gt;="&amp;$J999,'Weekly Log'!$A:$A,"&lt;"&amp;$J999+7))</f>
        <v/>
      </c>
      <c r="C999" t="str">
        <f>IF($J999="","",IFERROR(COUNTIFS('Weekly Log'!$G:$G,"Y",'Weekly Log'!$A:$A,"&gt;="&amp;$J999,'Weekly Log'!$A:$A,"&lt;"&amp;$J999+7)/COUNTIFS('Weekly Log'!$G:$G,"&lt;&gt;",'Weekly Log'!$A:$A,"&gt;="&amp;$J999,'Weekly Log'!$A:$A,"&lt;"&amp;$J999+7),0))</f>
        <v/>
      </c>
      <c r="D999" t="str">
        <f>IF($J999="","",IFERROR(COUNTIFS('Weekly Log'!$H:$H,"Y",'Weekly Log'!$A:$A,"&gt;="&amp;$J999,'Weekly Log'!$A:$A,"&lt;"&amp;$J999+7)/COUNTIFS('Weekly Log'!$H:$H,"&lt;&gt;",'Weekly Log'!$A:$A,"&gt;="&amp;$J999,'Weekly Log'!$A:$A,"&lt;"&amp;$J999+7),0))</f>
        <v/>
      </c>
      <c r="E999" t="str">
        <f>IF($J999="","",IFERROR(AVERAGEIFS('Weekly Log'!$F:$F,'Weekly Log'!$A:$A,"&gt;="&amp;$J999,'Weekly Log'!$A:$A,"&lt;"&amp;$J999+7),0))</f>
        <v/>
      </c>
      <c r="F999" t="str">
        <f>IF($J999="","",IFERROR(SUMIFS('Weekly Log'!$F:$F,'Weekly Log'!$A:$A,"&gt;="&amp;$J999,'Weekly Log'!$A:$A,"&lt;"&amp;$J999+7)/SUMIFS('Weekly Log'!$E:$E,'Weekly Log'!$A:$A,"&gt;="&amp;$J999,'Weekly Log'!$A:$A,"&lt;"&amp;$J999+7),0))</f>
        <v/>
      </c>
      <c r="G999" t="str">
        <f>IF($J999="","",IFERROR(LOOKUP(2,1/(('Weekly Log'!$A$5:$A$5000&gt;=$J999)*('Weekly Log'!$A$5:$A$5000&lt;$J999+7)*('Weekly Log'!$M$5:$M$5000&lt;&gt;"")),'Weekly Log'!$M$5:$M$5000),0))</f>
        <v/>
      </c>
      <c r="J999" t="str">
        <f>IF(COUNT('Weekly Log'!$A$5:$A$5000)=0,"",IF(MIN('Weekly Log'!$A$5:$A$5000)+7*(ROW()-10)&gt;MAX('Weekly Log'!$A$5:$A$5000),"",MIN('Weekly Log'!$A$5:$A$5000)+7*(ROW()-10)))</f>
        <v/>
      </c>
    </row>
    <row r="1000" spans="1:10" x14ac:dyDescent="0.25">
      <c r="A1000" t="str">
        <f t="shared" si="15"/>
        <v/>
      </c>
      <c r="B1000" t="str">
        <f>IF($J1000="","",SUMIFS('Weekly Log'!$C:$C,'Weekly Log'!$A:$A,"&gt;="&amp;$J1000,'Weekly Log'!$A:$A,"&lt;"&amp;$J1000+7))</f>
        <v/>
      </c>
      <c r="C1000" t="str">
        <f>IF($J1000="","",IFERROR(COUNTIFS('Weekly Log'!$G:$G,"Y",'Weekly Log'!$A:$A,"&gt;="&amp;$J1000,'Weekly Log'!$A:$A,"&lt;"&amp;$J1000+7)/COUNTIFS('Weekly Log'!$G:$G,"&lt;&gt;",'Weekly Log'!$A:$A,"&gt;="&amp;$J1000,'Weekly Log'!$A:$A,"&lt;"&amp;$J1000+7),0))</f>
        <v/>
      </c>
      <c r="D1000" t="str">
        <f>IF($J1000="","",IFERROR(COUNTIFS('Weekly Log'!$H:$H,"Y",'Weekly Log'!$A:$A,"&gt;="&amp;$J1000,'Weekly Log'!$A:$A,"&lt;"&amp;$J1000+7)/COUNTIFS('Weekly Log'!$H:$H,"&lt;&gt;",'Weekly Log'!$A:$A,"&gt;="&amp;$J1000,'Weekly Log'!$A:$A,"&lt;"&amp;$J1000+7),0))</f>
        <v/>
      </c>
      <c r="E1000" t="str">
        <f>IF($J1000="","",IFERROR(AVERAGEIFS('Weekly Log'!$F:$F,'Weekly Log'!$A:$A,"&gt;="&amp;$J1000,'Weekly Log'!$A:$A,"&lt;"&amp;$J1000+7),0))</f>
        <v/>
      </c>
      <c r="F1000" t="str">
        <f>IF($J1000="","",IFERROR(SUMIFS('Weekly Log'!$F:$F,'Weekly Log'!$A:$A,"&gt;="&amp;$J1000,'Weekly Log'!$A:$A,"&lt;"&amp;$J1000+7)/SUMIFS('Weekly Log'!$E:$E,'Weekly Log'!$A:$A,"&gt;="&amp;$J1000,'Weekly Log'!$A:$A,"&lt;"&amp;$J1000+7),0))</f>
        <v/>
      </c>
      <c r="G1000" t="str">
        <f>IF($J1000="","",IFERROR(LOOKUP(2,1/(('Weekly Log'!$A$5:$A$5000&gt;=$J1000)*('Weekly Log'!$A$5:$A$5000&lt;$J1000+7)*('Weekly Log'!$M$5:$M$5000&lt;&gt;"")),'Weekly Log'!$M$5:$M$5000),0))</f>
        <v/>
      </c>
      <c r="J1000" t="str">
        <f>IF(COUNT('Weekly Log'!$A$5:$A$5000)=0,"",IF(MIN('Weekly Log'!$A$5:$A$5000)+7*(ROW()-10)&gt;MAX('Weekly Log'!$A$5:$A$5000),"",MIN('Weekly Log'!$A$5:$A$5000)+7*(ROW()-10)))</f>
        <v/>
      </c>
    </row>
    <row r="1001" spans="1:10" x14ac:dyDescent="0.25">
      <c r="A1001" t="str">
        <f t="shared" si="15"/>
        <v/>
      </c>
      <c r="B1001" t="str">
        <f>IF($J1001="","",SUMIFS('Weekly Log'!$C:$C,'Weekly Log'!$A:$A,"&gt;="&amp;$J1001,'Weekly Log'!$A:$A,"&lt;"&amp;$J1001+7))</f>
        <v/>
      </c>
      <c r="C1001" t="str">
        <f>IF($J1001="","",IFERROR(COUNTIFS('Weekly Log'!$G:$G,"Y",'Weekly Log'!$A:$A,"&gt;="&amp;$J1001,'Weekly Log'!$A:$A,"&lt;"&amp;$J1001+7)/COUNTIFS('Weekly Log'!$G:$G,"&lt;&gt;",'Weekly Log'!$A:$A,"&gt;="&amp;$J1001,'Weekly Log'!$A:$A,"&lt;"&amp;$J1001+7),0))</f>
        <v/>
      </c>
      <c r="D1001" t="str">
        <f>IF($J1001="","",IFERROR(COUNTIFS('Weekly Log'!$H:$H,"Y",'Weekly Log'!$A:$A,"&gt;="&amp;$J1001,'Weekly Log'!$A:$A,"&lt;"&amp;$J1001+7)/COUNTIFS('Weekly Log'!$H:$H,"&lt;&gt;",'Weekly Log'!$A:$A,"&gt;="&amp;$J1001,'Weekly Log'!$A:$A,"&lt;"&amp;$J1001+7),0))</f>
        <v/>
      </c>
      <c r="E1001" t="str">
        <f>IF($J1001="","",IFERROR(AVERAGEIFS('Weekly Log'!$F:$F,'Weekly Log'!$A:$A,"&gt;="&amp;$J1001,'Weekly Log'!$A:$A,"&lt;"&amp;$J1001+7),0))</f>
        <v/>
      </c>
      <c r="F1001" t="str">
        <f>IF($J1001="","",IFERROR(SUMIFS('Weekly Log'!$F:$F,'Weekly Log'!$A:$A,"&gt;="&amp;$J1001,'Weekly Log'!$A:$A,"&lt;"&amp;$J1001+7)/SUMIFS('Weekly Log'!$E:$E,'Weekly Log'!$A:$A,"&gt;="&amp;$J1001,'Weekly Log'!$A:$A,"&lt;"&amp;$J1001+7),0))</f>
        <v/>
      </c>
      <c r="G1001" t="str">
        <f>IF($J1001="","",IFERROR(LOOKUP(2,1/(('Weekly Log'!$A$5:$A$5000&gt;=$J1001)*('Weekly Log'!$A$5:$A$5000&lt;$J1001+7)*('Weekly Log'!$M$5:$M$5000&lt;&gt;"")),'Weekly Log'!$M$5:$M$5000),0))</f>
        <v/>
      </c>
      <c r="J1001" t="str">
        <f>IF(COUNT('Weekly Log'!$A$5:$A$5000)=0,"",IF(MIN('Weekly Log'!$A$5:$A$5000)+7*(ROW()-10)&gt;MAX('Weekly Log'!$A$5:$A$5000),"",MIN('Weekly Log'!$A$5:$A$5000)+7*(ROW()-10)))</f>
        <v/>
      </c>
    </row>
    <row r="1002" spans="1:10" x14ac:dyDescent="0.25">
      <c r="A1002" t="str">
        <f t="shared" si="15"/>
        <v/>
      </c>
      <c r="B1002" t="str">
        <f>IF($J1002="","",SUMIFS('Weekly Log'!$C:$C,'Weekly Log'!$A:$A,"&gt;="&amp;$J1002,'Weekly Log'!$A:$A,"&lt;"&amp;$J1002+7))</f>
        <v/>
      </c>
      <c r="C1002" t="str">
        <f>IF($J1002="","",IFERROR(COUNTIFS('Weekly Log'!$G:$G,"Y",'Weekly Log'!$A:$A,"&gt;="&amp;$J1002,'Weekly Log'!$A:$A,"&lt;"&amp;$J1002+7)/COUNTIFS('Weekly Log'!$G:$G,"&lt;&gt;",'Weekly Log'!$A:$A,"&gt;="&amp;$J1002,'Weekly Log'!$A:$A,"&lt;"&amp;$J1002+7),0))</f>
        <v/>
      </c>
      <c r="D1002" t="str">
        <f>IF($J1002="","",IFERROR(COUNTIFS('Weekly Log'!$H:$H,"Y",'Weekly Log'!$A:$A,"&gt;="&amp;$J1002,'Weekly Log'!$A:$A,"&lt;"&amp;$J1002+7)/COUNTIFS('Weekly Log'!$H:$H,"&lt;&gt;",'Weekly Log'!$A:$A,"&gt;="&amp;$J1002,'Weekly Log'!$A:$A,"&lt;"&amp;$J1002+7),0))</f>
        <v/>
      </c>
      <c r="E1002" t="str">
        <f>IF($J1002="","",IFERROR(AVERAGEIFS('Weekly Log'!$F:$F,'Weekly Log'!$A:$A,"&gt;="&amp;$J1002,'Weekly Log'!$A:$A,"&lt;"&amp;$J1002+7),0))</f>
        <v/>
      </c>
      <c r="F1002" t="str">
        <f>IF($J1002="","",IFERROR(SUMIFS('Weekly Log'!$F:$F,'Weekly Log'!$A:$A,"&gt;="&amp;$J1002,'Weekly Log'!$A:$A,"&lt;"&amp;$J1002+7)/SUMIFS('Weekly Log'!$E:$E,'Weekly Log'!$A:$A,"&gt;="&amp;$J1002,'Weekly Log'!$A:$A,"&lt;"&amp;$J1002+7),0))</f>
        <v/>
      </c>
      <c r="G1002" t="str">
        <f>IF($J1002="","",IFERROR(LOOKUP(2,1/(('Weekly Log'!$A$5:$A$5000&gt;=$J1002)*('Weekly Log'!$A$5:$A$5000&lt;$J1002+7)*('Weekly Log'!$M$5:$M$5000&lt;&gt;"")),'Weekly Log'!$M$5:$M$5000),0))</f>
        <v/>
      </c>
      <c r="J1002" t="str">
        <f>IF(COUNT('Weekly Log'!$A$5:$A$5000)=0,"",IF(MIN('Weekly Log'!$A$5:$A$5000)+7*(ROW()-10)&gt;MAX('Weekly Log'!$A$5:$A$5000),"",MIN('Weekly Log'!$A$5:$A$5000)+7*(ROW()-10)))</f>
        <v/>
      </c>
    </row>
    <row r="1003" spans="1:10" x14ac:dyDescent="0.25">
      <c r="A1003" t="str">
        <f t="shared" si="15"/>
        <v/>
      </c>
      <c r="B1003" t="str">
        <f>IF($J1003="","",SUMIFS('Weekly Log'!$C:$C,'Weekly Log'!$A:$A,"&gt;="&amp;$J1003,'Weekly Log'!$A:$A,"&lt;"&amp;$J1003+7))</f>
        <v/>
      </c>
      <c r="C1003" t="str">
        <f>IF($J1003="","",IFERROR(COUNTIFS('Weekly Log'!$G:$G,"Y",'Weekly Log'!$A:$A,"&gt;="&amp;$J1003,'Weekly Log'!$A:$A,"&lt;"&amp;$J1003+7)/COUNTIFS('Weekly Log'!$G:$G,"&lt;&gt;",'Weekly Log'!$A:$A,"&gt;="&amp;$J1003,'Weekly Log'!$A:$A,"&lt;"&amp;$J1003+7),0))</f>
        <v/>
      </c>
      <c r="D1003" t="str">
        <f>IF($J1003="","",IFERROR(COUNTIFS('Weekly Log'!$H:$H,"Y",'Weekly Log'!$A:$A,"&gt;="&amp;$J1003,'Weekly Log'!$A:$A,"&lt;"&amp;$J1003+7)/COUNTIFS('Weekly Log'!$H:$H,"&lt;&gt;",'Weekly Log'!$A:$A,"&gt;="&amp;$J1003,'Weekly Log'!$A:$A,"&lt;"&amp;$J1003+7),0))</f>
        <v/>
      </c>
      <c r="E1003" t="str">
        <f>IF($J1003="","",IFERROR(AVERAGEIFS('Weekly Log'!$F:$F,'Weekly Log'!$A:$A,"&gt;="&amp;$J1003,'Weekly Log'!$A:$A,"&lt;"&amp;$J1003+7),0))</f>
        <v/>
      </c>
      <c r="F1003" t="str">
        <f>IF($J1003="","",IFERROR(SUMIFS('Weekly Log'!$F:$F,'Weekly Log'!$A:$A,"&gt;="&amp;$J1003,'Weekly Log'!$A:$A,"&lt;"&amp;$J1003+7)/SUMIFS('Weekly Log'!$E:$E,'Weekly Log'!$A:$A,"&gt;="&amp;$J1003,'Weekly Log'!$A:$A,"&lt;"&amp;$J1003+7),0))</f>
        <v/>
      </c>
      <c r="G1003" t="str">
        <f>IF($J1003="","",IFERROR(LOOKUP(2,1/(('Weekly Log'!$A$5:$A$5000&gt;=$J1003)*('Weekly Log'!$A$5:$A$5000&lt;$J1003+7)*('Weekly Log'!$M$5:$M$5000&lt;&gt;"")),'Weekly Log'!$M$5:$M$5000),0))</f>
        <v/>
      </c>
      <c r="J1003" t="str">
        <f>IF(COUNT('Weekly Log'!$A$5:$A$5000)=0,"",IF(MIN('Weekly Log'!$A$5:$A$5000)+7*(ROW()-10)&gt;MAX('Weekly Log'!$A$5:$A$5000),"",MIN('Weekly Log'!$A$5:$A$5000)+7*(ROW()-10)))</f>
        <v/>
      </c>
    </row>
    <row r="1004" spans="1:10" x14ac:dyDescent="0.25">
      <c r="A1004" t="str">
        <f t="shared" si="15"/>
        <v/>
      </c>
      <c r="B1004" t="str">
        <f>IF($J1004="","",SUMIFS('Weekly Log'!$C:$C,'Weekly Log'!$A:$A,"&gt;="&amp;$J1004,'Weekly Log'!$A:$A,"&lt;"&amp;$J1004+7))</f>
        <v/>
      </c>
      <c r="C1004" t="str">
        <f>IF($J1004="","",IFERROR(COUNTIFS('Weekly Log'!$G:$G,"Y",'Weekly Log'!$A:$A,"&gt;="&amp;$J1004,'Weekly Log'!$A:$A,"&lt;"&amp;$J1004+7)/COUNTIFS('Weekly Log'!$G:$G,"&lt;&gt;",'Weekly Log'!$A:$A,"&gt;="&amp;$J1004,'Weekly Log'!$A:$A,"&lt;"&amp;$J1004+7),0))</f>
        <v/>
      </c>
      <c r="D1004" t="str">
        <f>IF($J1004="","",IFERROR(COUNTIFS('Weekly Log'!$H:$H,"Y",'Weekly Log'!$A:$A,"&gt;="&amp;$J1004,'Weekly Log'!$A:$A,"&lt;"&amp;$J1004+7)/COUNTIFS('Weekly Log'!$H:$H,"&lt;&gt;",'Weekly Log'!$A:$A,"&gt;="&amp;$J1004,'Weekly Log'!$A:$A,"&lt;"&amp;$J1004+7),0))</f>
        <v/>
      </c>
      <c r="E1004" t="str">
        <f>IF($J1004="","",IFERROR(AVERAGEIFS('Weekly Log'!$F:$F,'Weekly Log'!$A:$A,"&gt;="&amp;$J1004,'Weekly Log'!$A:$A,"&lt;"&amp;$J1004+7),0))</f>
        <v/>
      </c>
      <c r="F1004" t="str">
        <f>IF($J1004="","",IFERROR(SUMIFS('Weekly Log'!$F:$F,'Weekly Log'!$A:$A,"&gt;="&amp;$J1004,'Weekly Log'!$A:$A,"&lt;"&amp;$J1004+7)/SUMIFS('Weekly Log'!$E:$E,'Weekly Log'!$A:$A,"&gt;="&amp;$J1004,'Weekly Log'!$A:$A,"&lt;"&amp;$J1004+7),0))</f>
        <v/>
      </c>
      <c r="G1004" t="str">
        <f>IF($J1004="","",IFERROR(LOOKUP(2,1/(('Weekly Log'!$A$5:$A$5000&gt;=$J1004)*('Weekly Log'!$A$5:$A$5000&lt;$J1004+7)*('Weekly Log'!$M$5:$M$5000&lt;&gt;"")),'Weekly Log'!$M$5:$M$5000),0))</f>
        <v/>
      </c>
      <c r="J1004" t="str">
        <f>IF(COUNT('Weekly Log'!$A$5:$A$5000)=0,"",IF(MIN('Weekly Log'!$A$5:$A$5000)+7*(ROW()-10)&gt;MAX('Weekly Log'!$A$5:$A$5000),"",MIN('Weekly Log'!$A$5:$A$5000)+7*(ROW()-10)))</f>
        <v/>
      </c>
    </row>
    <row r="1005" spans="1:10" x14ac:dyDescent="0.25">
      <c r="A1005" t="str">
        <f t="shared" si="15"/>
        <v/>
      </c>
      <c r="B1005" t="str">
        <f>IF($J1005="","",SUMIFS('Weekly Log'!$C:$C,'Weekly Log'!$A:$A,"&gt;="&amp;$J1005,'Weekly Log'!$A:$A,"&lt;"&amp;$J1005+7))</f>
        <v/>
      </c>
      <c r="C1005" t="str">
        <f>IF($J1005="","",IFERROR(COUNTIFS('Weekly Log'!$G:$G,"Y",'Weekly Log'!$A:$A,"&gt;="&amp;$J1005,'Weekly Log'!$A:$A,"&lt;"&amp;$J1005+7)/COUNTIFS('Weekly Log'!$G:$G,"&lt;&gt;",'Weekly Log'!$A:$A,"&gt;="&amp;$J1005,'Weekly Log'!$A:$A,"&lt;"&amp;$J1005+7),0))</f>
        <v/>
      </c>
      <c r="D1005" t="str">
        <f>IF($J1005="","",IFERROR(COUNTIFS('Weekly Log'!$H:$H,"Y",'Weekly Log'!$A:$A,"&gt;="&amp;$J1005,'Weekly Log'!$A:$A,"&lt;"&amp;$J1005+7)/COUNTIFS('Weekly Log'!$H:$H,"&lt;&gt;",'Weekly Log'!$A:$A,"&gt;="&amp;$J1005,'Weekly Log'!$A:$A,"&lt;"&amp;$J1005+7),0))</f>
        <v/>
      </c>
      <c r="E1005" t="str">
        <f>IF($J1005="","",IFERROR(AVERAGEIFS('Weekly Log'!$F:$F,'Weekly Log'!$A:$A,"&gt;="&amp;$J1005,'Weekly Log'!$A:$A,"&lt;"&amp;$J1005+7),0))</f>
        <v/>
      </c>
      <c r="F1005" t="str">
        <f>IF($J1005="","",IFERROR(SUMIFS('Weekly Log'!$F:$F,'Weekly Log'!$A:$A,"&gt;="&amp;$J1005,'Weekly Log'!$A:$A,"&lt;"&amp;$J1005+7)/SUMIFS('Weekly Log'!$E:$E,'Weekly Log'!$A:$A,"&gt;="&amp;$J1005,'Weekly Log'!$A:$A,"&lt;"&amp;$J1005+7),0))</f>
        <v/>
      </c>
      <c r="G1005" t="str">
        <f>IF($J1005="","",IFERROR(LOOKUP(2,1/(('Weekly Log'!$A$5:$A$5000&gt;=$J1005)*('Weekly Log'!$A$5:$A$5000&lt;$J1005+7)*('Weekly Log'!$M$5:$M$5000&lt;&gt;"")),'Weekly Log'!$M$5:$M$5000),0))</f>
        <v/>
      </c>
      <c r="J1005" t="str">
        <f>IF(COUNT('Weekly Log'!$A$5:$A$5000)=0,"",IF(MIN('Weekly Log'!$A$5:$A$5000)+7*(ROW()-10)&gt;MAX('Weekly Log'!$A$5:$A$5000),"",MIN('Weekly Log'!$A$5:$A$5000)+7*(ROW()-10)))</f>
        <v/>
      </c>
    </row>
    <row r="1006" spans="1:10" x14ac:dyDescent="0.25">
      <c r="A1006" t="str">
        <f t="shared" si="15"/>
        <v/>
      </c>
      <c r="B1006" t="str">
        <f>IF($J1006="","",SUMIFS('Weekly Log'!$C:$C,'Weekly Log'!$A:$A,"&gt;="&amp;$J1006,'Weekly Log'!$A:$A,"&lt;"&amp;$J1006+7))</f>
        <v/>
      </c>
      <c r="C1006" t="str">
        <f>IF($J1006="","",IFERROR(COUNTIFS('Weekly Log'!$G:$G,"Y",'Weekly Log'!$A:$A,"&gt;="&amp;$J1006,'Weekly Log'!$A:$A,"&lt;"&amp;$J1006+7)/COUNTIFS('Weekly Log'!$G:$G,"&lt;&gt;",'Weekly Log'!$A:$A,"&gt;="&amp;$J1006,'Weekly Log'!$A:$A,"&lt;"&amp;$J1006+7),0))</f>
        <v/>
      </c>
      <c r="D1006" t="str">
        <f>IF($J1006="","",IFERROR(COUNTIFS('Weekly Log'!$H:$H,"Y",'Weekly Log'!$A:$A,"&gt;="&amp;$J1006,'Weekly Log'!$A:$A,"&lt;"&amp;$J1006+7)/COUNTIFS('Weekly Log'!$H:$H,"&lt;&gt;",'Weekly Log'!$A:$A,"&gt;="&amp;$J1006,'Weekly Log'!$A:$A,"&lt;"&amp;$J1006+7),0))</f>
        <v/>
      </c>
      <c r="E1006" t="str">
        <f>IF($J1006="","",IFERROR(AVERAGEIFS('Weekly Log'!$F:$F,'Weekly Log'!$A:$A,"&gt;="&amp;$J1006,'Weekly Log'!$A:$A,"&lt;"&amp;$J1006+7),0))</f>
        <v/>
      </c>
      <c r="F1006" t="str">
        <f>IF($J1006="","",IFERROR(SUMIFS('Weekly Log'!$F:$F,'Weekly Log'!$A:$A,"&gt;="&amp;$J1006,'Weekly Log'!$A:$A,"&lt;"&amp;$J1006+7)/SUMIFS('Weekly Log'!$E:$E,'Weekly Log'!$A:$A,"&gt;="&amp;$J1006,'Weekly Log'!$A:$A,"&lt;"&amp;$J1006+7),0))</f>
        <v/>
      </c>
      <c r="G1006" t="str">
        <f>IF($J1006="","",IFERROR(LOOKUP(2,1/(('Weekly Log'!$A$5:$A$5000&gt;=$J1006)*('Weekly Log'!$A$5:$A$5000&lt;$J1006+7)*('Weekly Log'!$M$5:$M$5000&lt;&gt;"")),'Weekly Log'!$M$5:$M$5000),0))</f>
        <v/>
      </c>
      <c r="J1006" t="str">
        <f>IF(COUNT('Weekly Log'!$A$5:$A$5000)=0,"",IF(MIN('Weekly Log'!$A$5:$A$5000)+7*(ROW()-10)&gt;MAX('Weekly Log'!$A$5:$A$5000),"",MIN('Weekly Log'!$A$5:$A$5000)+7*(ROW()-10)))</f>
        <v/>
      </c>
    </row>
    <row r="1007" spans="1:10" x14ac:dyDescent="0.25">
      <c r="A1007" t="str">
        <f t="shared" si="15"/>
        <v/>
      </c>
      <c r="B1007" t="str">
        <f>IF($J1007="","",SUMIFS('Weekly Log'!$C:$C,'Weekly Log'!$A:$A,"&gt;="&amp;$J1007,'Weekly Log'!$A:$A,"&lt;"&amp;$J1007+7))</f>
        <v/>
      </c>
      <c r="C1007" t="str">
        <f>IF($J1007="","",IFERROR(COUNTIFS('Weekly Log'!$G:$G,"Y",'Weekly Log'!$A:$A,"&gt;="&amp;$J1007,'Weekly Log'!$A:$A,"&lt;"&amp;$J1007+7)/COUNTIFS('Weekly Log'!$G:$G,"&lt;&gt;",'Weekly Log'!$A:$A,"&gt;="&amp;$J1007,'Weekly Log'!$A:$A,"&lt;"&amp;$J1007+7),0))</f>
        <v/>
      </c>
      <c r="D1007" t="str">
        <f>IF($J1007="","",IFERROR(COUNTIFS('Weekly Log'!$H:$H,"Y",'Weekly Log'!$A:$A,"&gt;="&amp;$J1007,'Weekly Log'!$A:$A,"&lt;"&amp;$J1007+7)/COUNTIFS('Weekly Log'!$H:$H,"&lt;&gt;",'Weekly Log'!$A:$A,"&gt;="&amp;$J1007,'Weekly Log'!$A:$A,"&lt;"&amp;$J1007+7),0))</f>
        <v/>
      </c>
      <c r="E1007" t="str">
        <f>IF($J1007="","",IFERROR(AVERAGEIFS('Weekly Log'!$F:$F,'Weekly Log'!$A:$A,"&gt;="&amp;$J1007,'Weekly Log'!$A:$A,"&lt;"&amp;$J1007+7),0))</f>
        <v/>
      </c>
      <c r="F1007" t="str">
        <f>IF($J1007="","",IFERROR(SUMIFS('Weekly Log'!$F:$F,'Weekly Log'!$A:$A,"&gt;="&amp;$J1007,'Weekly Log'!$A:$A,"&lt;"&amp;$J1007+7)/SUMIFS('Weekly Log'!$E:$E,'Weekly Log'!$A:$A,"&gt;="&amp;$J1007,'Weekly Log'!$A:$A,"&lt;"&amp;$J1007+7),0))</f>
        <v/>
      </c>
      <c r="G1007" t="str">
        <f>IF($J1007="","",IFERROR(LOOKUP(2,1/(('Weekly Log'!$A$5:$A$5000&gt;=$J1007)*('Weekly Log'!$A$5:$A$5000&lt;$J1007+7)*('Weekly Log'!$M$5:$M$5000&lt;&gt;"")),'Weekly Log'!$M$5:$M$5000),0))</f>
        <v/>
      </c>
      <c r="J1007" t="str">
        <f>IF(COUNT('Weekly Log'!$A$5:$A$5000)=0,"",IF(MIN('Weekly Log'!$A$5:$A$5000)+7*(ROW()-10)&gt;MAX('Weekly Log'!$A$5:$A$5000),"",MIN('Weekly Log'!$A$5:$A$5000)+7*(ROW()-10)))</f>
        <v/>
      </c>
    </row>
    <row r="1008" spans="1:10" x14ac:dyDescent="0.25">
      <c r="A1008" t="str">
        <f t="shared" si="15"/>
        <v/>
      </c>
      <c r="B1008" t="str">
        <f>IF($J1008="","",SUMIFS('Weekly Log'!$C:$C,'Weekly Log'!$A:$A,"&gt;="&amp;$J1008,'Weekly Log'!$A:$A,"&lt;"&amp;$J1008+7))</f>
        <v/>
      </c>
      <c r="C1008" t="str">
        <f>IF($J1008="","",IFERROR(COUNTIFS('Weekly Log'!$G:$G,"Y",'Weekly Log'!$A:$A,"&gt;="&amp;$J1008,'Weekly Log'!$A:$A,"&lt;"&amp;$J1008+7)/COUNTIFS('Weekly Log'!$G:$G,"&lt;&gt;",'Weekly Log'!$A:$A,"&gt;="&amp;$J1008,'Weekly Log'!$A:$A,"&lt;"&amp;$J1008+7),0))</f>
        <v/>
      </c>
      <c r="D1008" t="str">
        <f>IF($J1008="","",IFERROR(COUNTIFS('Weekly Log'!$H:$H,"Y",'Weekly Log'!$A:$A,"&gt;="&amp;$J1008,'Weekly Log'!$A:$A,"&lt;"&amp;$J1008+7)/COUNTIFS('Weekly Log'!$H:$H,"&lt;&gt;",'Weekly Log'!$A:$A,"&gt;="&amp;$J1008,'Weekly Log'!$A:$A,"&lt;"&amp;$J1008+7),0))</f>
        <v/>
      </c>
      <c r="E1008" t="str">
        <f>IF($J1008="","",IFERROR(AVERAGEIFS('Weekly Log'!$F:$F,'Weekly Log'!$A:$A,"&gt;="&amp;$J1008,'Weekly Log'!$A:$A,"&lt;"&amp;$J1008+7),0))</f>
        <v/>
      </c>
      <c r="F1008" t="str">
        <f>IF($J1008="","",IFERROR(SUMIFS('Weekly Log'!$F:$F,'Weekly Log'!$A:$A,"&gt;="&amp;$J1008,'Weekly Log'!$A:$A,"&lt;"&amp;$J1008+7)/SUMIFS('Weekly Log'!$E:$E,'Weekly Log'!$A:$A,"&gt;="&amp;$J1008,'Weekly Log'!$A:$A,"&lt;"&amp;$J1008+7),0))</f>
        <v/>
      </c>
      <c r="G1008" t="str">
        <f>IF($J1008="","",IFERROR(LOOKUP(2,1/(('Weekly Log'!$A$5:$A$5000&gt;=$J1008)*('Weekly Log'!$A$5:$A$5000&lt;$J1008+7)*('Weekly Log'!$M$5:$M$5000&lt;&gt;"")),'Weekly Log'!$M$5:$M$5000),0))</f>
        <v/>
      </c>
      <c r="J1008" t="str">
        <f>IF(COUNT('Weekly Log'!$A$5:$A$5000)=0,"",IF(MIN('Weekly Log'!$A$5:$A$5000)+7*(ROW()-10)&gt;MAX('Weekly Log'!$A$5:$A$5000),"",MIN('Weekly Log'!$A$5:$A$5000)+7*(ROW()-10)))</f>
        <v/>
      </c>
    </row>
    <row r="1009" spans="1:10" x14ac:dyDescent="0.25">
      <c r="A1009" t="str">
        <f t="shared" si="15"/>
        <v/>
      </c>
      <c r="B1009" t="str">
        <f>IF($J1009="","",SUMIFS('Weekly Log'!$C:$C,'Weekly Log'!$A:$A,"&gt;="&amp;$J1009,'Weekly Log'!$A:$A,"&lt;"&amp;$J1009+7))</f>
        <v/>
      </c>
      <c r="C1009" t="str">
        <f>IF($J1009="","",IFERROR(COUNTIFS('Weekly Log'!$G:$G,"Y",'Weekly Log'!$A:$A,"&gt;="&amp;$J1009,'Weekly Log'!$A:$A,"&lt;"&amp;$J1009+7)/COUNTIFS('Weekly Log'!$G:$G,"&lt;&gt;",'Weekly Log'!$A:$A,"&gt;="&amp;$J1009,'Weekly Log'!$A:$A,"&lt;"&amp;$J1009+7),0))</f>
        <v/>
      </c>
      <c r="D1009" t="str">
        <f>IF($J1009="","",IFERROR(COUNTIFS('Weekly Log'!$H:$H,"Y",'Weekly Log'!$A:$A,"&gt;="&amp;$J1009,'Weekly Log'!$A:$A,"&lt;"&amp;$J1009+7)/COUNTIFS('Weekly Log'!$H:$H,"&lt;&gt;",'Weekly Log'!$A:$A,"&gt;="&amp;$J1009,'Weekly Log'!$A:$A,"&lt;"&amp;$J1009+7),0))</f>
        <v/>
      </c>
      <c r="E1009" t="str">
        <f>IF($J1009="","",IFERROR(AVERAGEIFS('Weekly Log'!$F:$F,'Weekly Log'!$A:$A,"&gt;="&amp;$J1009,'Weekly Log'!$A:$A,"&lt;"&amp;$J1009+7),0))</f>
        <v/>
      </c>
      <c r="F1009" t="str">
        <f>IF($J1009="","",IFERROR(SUMIFS('Weekly Log'!$F:$F,'Weekly Log'!$A:$A,"&gt;="&amp;$J1009,'Weekly Log'!$A:$A,"&lt;"&amp;$J1009+7)/SUMIFS('Weekly Log'!$E:$E,'Weekly Log'!$A:$A,"&gt;="&amp;$J1009,'Weekly Log'!$A:$A,"&lt;"&amp;$J1009+7),0))</f>
        <v/>
      </c>
      <c r="G1009" t="str">
        <f>IF($J1009="","",IFERROR(LOOKUP(2,1/(('Weekly Log'!$A$5:$A$5000&gt;=$J1009)*('Weekly Log'!$A$5:$A$5000&lt;$J1009+7)*('Weekly Log'!$M$5:$M$5000&lt;&gt;"")),'Weekly Log'!$M$5:$M$5000),0))</f>
        <v/>
      </c>
      <c r="J1009" t="str">
        <f>IF(COUNT('Weekly Log'!$A$5:$A$5000)=0,"",IF(MIN('Weekly Log'!$A$5:$A$5000)+7*(ROW()-10)&gt;MAX('Weekly Log'!$A$5:$A$5000),"",MIN('Weekly Log'!$A$5:$A$5000)+7*(ROW()-10)))</f>
        <v/>
      </c>
    </row>
    <row r="1010" spans="1:10" x14ac:dyDescent="0.25">
      <c r="A1010" t="str">
        <f t="shared" si="15"/>
        <v/>
      </c>
      <c r="B1010" t="str">
        <f>IF($J1010="","",SUMIFS('Weekly Log'!$C:$C,'Weekly Log'!$A:$A,"&gt;="&amp;$J1010,'Weekly Log'!$A:$A,"&lt;"&amp;$J1010+7))</f>
        <v/>
      </c>
      <c r="C1010" t="str">
        <f>IF($J1010="","",IFERROR(COUNTIFS('Weekly Log'!$G:$G,"Y",'Weekly Log'!$A:$A,"&gt;="&amp;$J1010,'Weekly Log'!$A:$A,"&lt;"&amp;$J1010+7)/COUNTIFS('Weekly Log'!$G:$G,"&lt;&gt;",'Weekly Log'!$A:$A,"&gt;="&amp;$J1010,'Weekly Log'!$A:$A,"&lt;"&amp;$J1010+7),0))</f>
        <v/>
      </c>
      <c r="D1010" t="str">
        <f>IF($J1010="","",IFERROR(COUNTIFS('Weekly Log'!$H:$H,"Y",'Weekly Log'!$A:$A,"&gt;="&amp;$J1010,'Weekly Log'!$A:$A,"&lt;"&amp;$J1010+7)/COUNTIFS('Weekly Log'!$H:$H,"&lt;&gt;",'Weekly Log'!$A:$A,"&gt;="&amp;$J1010,'Weekly Log'!$A:$A,"&lt;"&amp;$J1010+7),0))</f>
        <v/>
      </c>
      <c r="E1010" t="str">
        <f>IF($J1010="","",IFERROR(AVERAGEIFS('Weekly Log'!$F:$F,'Weekly Log'!$A:$A,"&gt;="&amp;$J1010,'Weekly Log'!$A:$A,"&lt;"&amp;$J1010+7),0))</f>
        <v/>
      </c>
      <c r="F1010" t="str">
        <f>IF($J1010="","",IFERROR(SUMIFS('Weekly Log'!$F:$F,'Weekly Log'!$A:$A,"&gt;="&amp;$J1010,'Weekly Log'!$A:$A,"&lt;"&amp;$J1010+7)/SUMIFS('Weekly Log'!$E:$E,'Weekly Log'!$A:$A,"&gt;="&amp;$J1010,'Weekly Log'!$A:$A,"&lt;"&amp;$J1010+7),0))</f>
        <v/>
      </c>
      <c r="G1010" t="str">
        <f>IF($J1010="","",IFERROR(LOOKUP(2,1/(('Weekly Log'!$A$5:$A$5000&gt;=$J1010)*('Weekly Log'!$A$5:$A$5000&lt;$J1010+7)*('Weekly Log'!$M$5:$M$5000&lt;&gt;"")),'Weekly Log'!$M$5:$M$5000),0))</f>
        <v/>
      </c>
      <c r="J1010" t="str">
        <f>IF(COUNT('Weekly Log'!$A$5:$A$5000)=0,"",IF(MIN('Weekly Log'!$A$5:$A$5000)+7*(ROW()-10)&gt;MAX('Weekly Log'!$A$5:$A$5000),"",MIN('Weekly Log'!$A$5:$A$5000)+7*(ROW()-10)))</f>
        <v/>
      </c>
    </row>
    <row r="1011" spans="1:10" x14ac:dyDescent="0.25">
      <c r="A1011" t="str">
        <f t="shared" si="15"/>
        <v/>
      </c>
      <c r="B1011" t="str">
        <f>IF($J1011="","",SUMIFS('Weekly Log'!$C:$C,'Weekly Log'!$A:$A,"&gt;="&amp;$J1011,'Weekly Log'!$A:$A,"&lt;"&amp;$J1011+7))</f>
        <v/>
      </c>
      <c r="C1011" t="str">
        <f>IF($J1011="","",IFERROR(COUNTIFS('Weekly Log'!$G:$G,"Y",'Weekly Log'!$A:$A,"&gt;="&amp;$J1011,'Weekly Log'!$A:$A,"&lt;"&amp;$J1011+7)/COUNTIFS('Weekly Log'!$G:$G,"&lt;&gt;",'Weekly Log'!$A:$A,"&gt;="&amp;$J1011,'Weekly Log'!$A:$A,"&lt;"&amp;$J1011+7),0))</f>
        <v/>
      </c>
      <c r="D1011" t="str">
        <f>IF($J1011="","",IFERROR(COUNTIFS('Weekly Log'!$H:$H,"Y",'Weekly Log'!$A:$A,"&gt;="&amp;$J1011,'Weekly Log'!$A:$A,"&lt;"&amp;$J1011+7)/COUNTIFS('Weekly Log'!$H:$H,"&lt;&gt;",'Weekly Log'!$A:$A,"&gt;="&amp;$J1011,'Weekly Log'!$A:$A,"&lt;"&amp;$J1011+7),0))</f>
        <v/>
      </c>
      <c r="E1011" t="str">
        <f>IF($J1011="","",IFERROR(AVERAGEIFS('Weekly Log'!$F:$F,'Weekly Log'!$A:$A,"&gt;="&amp;$J1011,'Weekly Log'!$A:$A,"&lt;"&amp;$J1011+7),0))</f>
        <v/>
      </c>
      <c r="F1011" t="str">
        <f>IF($J1011="","",IFERROR(SUMIFS('Weekly Log'!$F:$F,'Weekly Log'!$A:$A,"&gt;="&amp;$J1011,'Weekly Log'!$A:$A,"&lt;"&amp;$J1011+7)/SUMIFS('Weekly Log'!$E:$E,'Weekly Log'!$A:$A,"&gt;="&amp;$J1011,'Weekly Log'!$A:$A,"&lt;"&amp;$J1011+7),0))</f>
        <v/>
      </c>
      <c r="G1011" t="str">
        <f>IF($J1011="","",IFERROR(LOOKUP(2,1/(('Weekly Log'!$A$5:$A$5000&gt;=$J1011)*('Weekly Log'!$A$5:$A$5000&lt;$J1011+7)*('Weekly Log'!$M$5:$M$5000&lt;&gt;"")),'Weekly Log'!$M$5:$M$5000),0))</f>
        <v/>
      </c>
      <c r="J1011" t="str">
        <f>IF(COUNT('Weekly Log'!$A$5:$A$5000)=0,"",IF(MIN('Weekly Log'!$A$5:$A$5000)+7*(ROW()-10)&gt;MAX('Weekly Log'!$A$5:$A$5000),"",MIN('Weekly Log'!$A$5:$A$5000)+7*(ROW()-10)))</f>
        <v/>
      </c>
    </row>
    <row r="1012" spans="1:10" x14ac:dyDescent="0.25">
      <c r="A1012" t="str">
        <f t="shared" si="15"/>
        <v/>
      </c>
      <c r="B1012" t="str">
        <f>IF($J1012="","",SUMIFS('Weekly Log'!$C:$C,'Weekly Log'!$A:$A,"&gt;="&amp;$J1012,'Weekly Log'!$A:$A,"&lt;"&amp;$J1012+7))</f>
        <v/>
      </c>
      <c r="C1012" t="str">
        <f>IF($J1012="","",IFERROR(COUNTIFS('Weekly Log'!$G:$G,"Y",'Weekly Log'!$A:$A,"&gt;="&amp;$J1012,'Weekly Log'!$A:$A,"&lt;"&amp;$J1012+7)/COUNTIFS('Weekly Log'!$G:$G,"&lt;&gt;",'Weekly Log'!$A:$A,"&gt;="&amp;$J1012,'Weekly Log'!$A:$A,"&lt;"&amp;$J1012+7),0))</f>
        <v/>
      </c>
      <c r="D1012" t="str">
        <f>IF($J1012="","",IFERROR(COUNTIFS('Weekly Log'!$H:$H,"Y",'Weekly Log'!$A:$A,"&gt;="&amp;$J1012,'Weekly Log'!$A:$A,"&lt;"&amp;$J1012+7)/COUNTIFS('Weekly Log'!$H:$H,"&lt;&gt;",'Weekly Log'!$A:$A,"&gt;="&amp;$J1012,'Weekly Log'!$A:$A,"&lt;"&amp;$J1012+7),0))</f>
        <v/>
      </c>
      <c r="E1012" t="str">
        <f>IF($J1012="","",IFERROR(AVERAGEIFS('Weekly Log'!$F:$F,'Weekly Log'!$A:$A,"&gt;="&amp;$J1012,'Weekly Log'!$A:$A,"&lt;"&amp;$J1012+7),0))</f>
        <v/>
      </c>
      <c r="F1012" t="str">
        <f>IF($J1012="","",IFERROR(SUMIFS('Weekly Log'!$F:$F,'Weekly Log'!$A:$A,"&gt;="&amp;$J1012,'Weekly Log'!$A:$A,"&lt;"&amp;$J1012+7)/SUMIFS('Weekly Log'!$E:$E,'Weekly Log'!$A:$A,"&gt;="&amp;$J1012,'Weekly Log'!$A:$A,"&lt;"&amp;$J1012+7),0))</f>
        <v/>
      </c>
      <c r="G1012" t="str">
        <f>IF($J1012="","",IFERROR(LOOKUP(2,1/(('Weekly Log'!$A$5:$A$5000&gt;=$J1012)*('Weekly Log'!$A$5:$A$5000&lt;$J1012+7)*('Weekly Log'!$M$5:$M$5000&lt;&gt;"")),'Weekly Log'!$M$5:$M$5000),0))</f>
        <v/>
      </c>
      <c r="J1012" t="str">
        <f>IF(COUNT('Weekly Log'!$A$5:$A$5000)=0,"",IF(MIN('Weekly Log'!$A$5:$A$5000)+7*(ROW()-10)&gt;MAX('Weekly Log'!$A$5:$A$5000),"",MIN('Weekly Log'!$A$5:$A$5000)+7*(ROW()-10)))</f>
        <v/>
      </c>
    </row>
    <row r="1013" spans="1:10" x14ac:dyDescent="0.25">
      <c r="A1013" t="str">
        <f t="shared" si="15"/>
        <v/>
      </c>
      <c r="B1013" t="str">
        <f>IF($J1013="","",SUMIFS('Weekly Log'!$C:$C,'Weekly Log'!$A:$A,"&gt;="&amp;$J1013,'Weekly Log'!$A:$A,"&lt;"&amp;$J1013+7))</f>
        <v/>
      </c>
      <c r="C1013" t="str">
        <f>IF($J1013="","",IFERROR(COUNTIFS('Weekly Log'!$G:$G,"Y",'Weekly Log'!$A:$A,"&gt;="&amp;$J1013,'Weekly Log'!$A:$A,"&lt;"&amp;$J1013+7)/COUNTIFS('Weekly Log'!$G:$G,"&lt;&gt;",'Weekly Log'!$A:$A,"&gt;="&amp;$J1013,'Weekly Log'!$A:$A,"&lt;"&amp;$J1013+7),0))</f>
        <v/>
      </c>
      <c r="D1013" t="str">
        <f>IF($J1013="","",IFERROR(COUNTIFS('Weekly Log'!$H:$H,"Y",'Weekly Log'!$A:$A,"&gt;="&amp;$J1013,'Weekly Log'!$A:$A,"&lt;"&amp;$J1013+7)/COUNTIFS('Weekly Log'!$H:$H,"&lt;&gt;",'Weekly Log'!$A:$A,"&gt;="&amp;$J1013,'Weekly Log'!$A:$A,"&lt;"&amp;$J1013+7),0))</f>
        <v/>
      </c>
      <c r="E1013" t="str">
        <f>IF($J1013="","",IFERROR(AVERAGEIFS('Weekly Log'!$F:$F,'Weekly Log'!$A:$A,"&gt;="&amp;$J1013,'Weekly Log'!$A:$A,"&lt;"&amp;$J1013+7),0))</f>
        <v/>
      </c>
      <c r="F1013" t="str">
        <f>IF($J1013="","",IFERROR(SUMIFS('Weekly Log'!$F:$F,'Weekly Log'!$A:$A,"&gt;="&amp;$J1013,'Weekly Log'!$A:$A,"&lt;"&amp;$J1013+7)/SUMIFS('Weekly Log'!$E:$E,'Weekly Log'!$A:$A,"&gt;="&amp;$J1013,'Weekly Log'!$A:$A,"&lt;"&amp;$J1013+7),0))</f>
        <v/>
      </c>
      <c r="G1013" t="str">
        <f>IF($J1013="","",IFERROR(LOOKUP(2,1/(('Weekly Log'!$A$5:$A$5000&gt;=$J1013)*('Weekly Log'!$A$5:$A$5000&lt;$J1013+7)*('Weekly Log'!$M$5:$M$5000&lt;&gt;"")),'Weekly Log'!$M$5:$M$5000),0))</f>
        <v/>
      </c>
      <c r="J1013" t="str">
        <f>IF(COUNT('Weekly Log'!$A$5:$A$5000)=0,"",IF(MIN('Weekly Log'!$A$5:$A$5000)+7*(ROW()-10)&gt;MAX('Weekly Log'!$A$5:$A$5000),"",MIN('Weekly Log'!$A$5:$A$5000)+7*(ROW()-10)))</f>
        <v/>
      </c>
    </row>
    <row r="1014" spans="1:10" x14ac:dyDescent="0.25">
      <c r="A1014" t="str">
        <f t="shared" si="15"/>
        <v/>
      </c>
      <c r="B1014" t="str">
        <f>IF($J1014="","",SUMIFS('Weekly Log'!$C:$C,'Weekly Log'!$A:$A,"&gt;="&amp;$J1014,'Weekly Log'!$A:$A,"&lt;"&amp;$J1014+7))</f>
        <v/>
      </c>
      <c r="C1014" t="str">
        <f>IF($J1014="","",IFERROR(COUNTIFS('Weekly Log'!$G:$G,"Y",'Weekly Log'!$A:$A,"&gt;="&amp;$J1014,'Weekly Log'!$A:$A,"&lt;"&amp;$J1014+7)/COUNTIFS('Weekly Log'!$G:$G,"&lt;&gt;",'Weekly Log'!$A:$A,"&gt;="&amp;$J1014,'Weekly Log'!$A:$A,"&lt;"&amp;$J1014+7),0))</f>
        <v/>
      </c>
      <c r="D1014" t="str">
        <f>IF($J1014="","",IFERROR(COUNTIFS('Weekly Log'!$H:$H,"Y",'Weekly Log'!$A:$A,"&gt;="&amp;$J1014,'Weekly Log'!$A:$A,"&lt;"&amp;$J1014+7)/COUNTIFS('Weekly Log'!$H:$H,"&lt;&gt;",'Weekly Log'!$A:$A,"&gt;="&amp;$J1014,'Weekly Log'!$A:$A,"&lt;"&amp;$J1014+7),0))</f>
        <v/>
      </c>
      <c r="E1014" t="str">
        <f>IF($J1014="","",IFERROR(AVERAGEIFS('Weekly Log'!$F:$F,'Weekly Log'!$A:$A,"&gt;="&amp;$J1014,'Weekly Log'!$A:$A,"&lt;"&amp;$J1014+7),0))</f>
        <v/>
      </c>
      <c r="F1014" t="str">
        <f>IF($J1014="","",IFERROR(SUMIFS('Weekly Log'!$F:$F,'Weekly Log'!$A:$A,"&gt;="&amp;$J1014,'Weekly Log'!$A:$A,"&lt;"&amp;$J1014+7)/SUMIFS('Weekly Log'!$E:$E,'Weekly Log'!$A:$A,"&gt;="&amp;$J1014,'Weekly Log'!$A:$A,"&lt;"&amp;$J1014+7),0))</f>
        <v/>
      </c>
      <c r="G1014" t="str">
        <f>IF($J1014="","",IFERROR(LOOKUP(2,1/(('Weekly Log'!$A$5:$A$5000&gt;=$J1014)*('Weekly Log'!$A$5:$A$5000&lt;$J1014+7)*('Weekly Log'!$M$5:$M$5000&lt;&gt;"")),'Weekly Log'!$M$5:$M$5000),0))</f>
        <v/>
      </c>
      <c r="J1014" t="str">
        <f>IF(COUNT('Weekly Log'!$A$5:$A$5000)=0,"",IF(MIN('Weekly Log'!$A$5:$A$5000)+7*(ROW()-10)&gt;MAX('Weekly Log'!$A$5:$A$5000),"",MIN('Weekly Log'!$A$5:$A$5000)+7*(ROW()-10)))</f>
        <v/>
      </c>
    </row>
    <row r="1015" spans="1:10" x14ac:dyDescent="0.25">
      <c r="A1015" t="str">
        <f t="shared" si="15"/>
        <v/>
      </c>
      <c r="B1015" t="str">
        <f>IF($J1015="","",SUMIFS('Weekly Log'!$C:$C,'Weekly Log'!$A:$A,"&gt;="&amp;$J1015,'Weekly Log'!$A:$A,"&lt;"&amp;$J1015+7))</f>
        <v/>
      </c>
      <c r="C1015" t="str">
        <f>IF($J1015="","",IFERROR(COUNTIFS('Weekly Log'!$G:$G,"Y",'Weekly Log'!$A:$A,"&gt;="&amp;$J1015,'Weekly Log'!$A:$A,"&lt;"&amp;$J1015+7)/COUNTIFS('Weekly Log'!$G:$G,"&lt;&gt;",'Weekly Log'!$A:$A,"&gt;="&amp;$J1015,'Weekly Log'!$A:$A,"&lt;"&amp;$J1015+7),0))</f>
        <v/>
      </c>
      <c r="D1015" t="str">
        <f>IF($J1015="","",IFERROR(COUNTIFS('Weekly Log'!$H:$H,"Y",'Weekly Log'!$A:$A,"&gt;="&amp;$J1015,'Weekly Log'!$A:$A,"&lt;"&amp;$J1015+7)/COUNTIFS('Weekly Log'!$H:$H,"&lt;&gt;",'Weekly Log'!$A:$A,"&gt;="&amp;$J1015,'Weekly Log'!$A:$A,"&lt;"&amp;$J1015+7),0))</f>
        <v/>
      </c>
      <c r="E1015" t="str">
        <f>IF($J1015="","",IFERROR(AVERAGEIFS('Weekly Log'!$F:$F,'Weekly Log'!$A:$A,"&gt;="&amp;$J1015,'Weekly Log'!$A:$A,"&lt;"&amp;$J1015+7),0))</f>
        <v/>
      </c>
      <c r="F1015" t="str">
        <f>IF($J1015="","",IFERROR(SUMIFS('Weekly Log'!$F:$F,'Weekly Log'!$A:$A,"&gt;="&amp;$J1015,'Weekly Log'!$A:$A,"&lt;"&amp;$J1015+7)/SUMIFS('Weekly Log'!$E:$E,'Weekly Log'!$A:$A,"&gt;="&amp;$J1015,'Weekly Log'!$A:$A,"&lt;"&amp;$J1015+7),0))</f>
        <v/>
      </c>
      <c r="G1015" t="str">
        <f>IF($J1015="","",IFERROR(LOOKUP(2,1/(('Weekly Log'!$A$5:$A$5000&gt;=$J1015)*('Weekly Log'!$A$5:$A$5000&lt;$J1015+7)*('Weekly Log'!$M$5:$M$5000&lt;&gt;"")),'Weekly Log'!$M$5:$M$5000),0))</f>
        <v/>
      </c>
      <c r="J1015" t="str">
        <f>IF(COUNT('Weekly Log'!$A$5:$A$5000)=0,"",IF(MIN('Weekly Log'!$A$5:$A$5000)+7*(ROW()-10)&gt;MAX('Weekly Log'!$A$5:$A$5000),"",MIN('Weekly Log'!$A$5:$A$5000)+7*(ROW()-10)))</f>
        <v/>
      </c>
    </row>
    <row r="1016" spans="1:10" x14ac:dyDescent="0.25">
      <c r="A1016" t="str">
        <f t="shared" si="15"/>
        <v/>
      </c>
      <c r="B1016" t="str">
        <f>IF($J1016="","",SUMIFS('Weekly Log'!$C:$C,'Weekly Log'!$A:$A,"&gt;="&amp;$J1016,'Weekly Log'!$A:$A,"&lt;"&amp;$J1016+7))</f>
        <v/>
      </c>
      <c r="C1016" t="str">
        <f>IF($J1016="","",IFERROR(COUNTIFS('Weekly Log'!$G:$G,"Y",'Weekly Log'!$A:$A,"&gt;="&amp;$J1016,'Weekly Log'!$A:$A,"&lt;"&amp;$J1016+7)/COUNTIFS('Weekly Log'!$G:$G,"&lt;&gt;",'Weekly Log'!$A:$A,"&gt;="&amp;$J1016,'Weekly Log'!$A:$A,"&lt;"&amp;$J1016+7),0))</f>
        <v/>
      </c>
      <c r="D1016" t="str">
        <f>IF($J1016="","",IFERROR(COUNTIFS('Weekly Log'!$H:$H,"Y",'Weekly Log'!$A:$A,"&gt;="&amp;$J1016,'Weekly Log'!$A:$A,"&lt;"&amp;$J1016+7)/COUNTIFS('Weekly Log'!$H:$H,"&lt;&gt;",'Weekly Log'!$A:$A,"&gt;="&amp;$J1016,'Weekly Log'!$A:$A,"&lt;"&amp;$J1016+7),0))</f>
        <v/>
      </c>
      <c r="E1016" t="str">
        <f>IF($J1016="","",IFERROR(AVERAGEIFS('Weekly Log'!$F:$F,'Weekly Log'!$A:$A,"&gt;="&amp;$J1016,'Weekly Log'!$A:$A,"&lt;"&amp;$J1016+7),0))</f>
        <v/>
      </c>
      <c r="F1016" t="str">
        <f>IF($J1016="","",IFERROR(SUMIFS('Weekly Log'!$F:$F,'Weekly Log'!$A:$A,"&gt;="&amp;$J1016,'Weekly Log'!$A:$A,"&lt;"&amp;$J1016+7)/SUMIFS('Weekly Log'!$E:$E,'Weekly Log'!$A:$A,"&gt;="&amp;$J1016,'Weekly Log'!$A:$A,"&lt;"&amp;$J1016+7),0))</f>
        <v/>
      </c>
      <c r="G1016" t="str">
        <f>IF($J1016="","",IFERROR(LOOKUP(2,1/(('Weekly Log'!$A$5:$A$5000&gt;=$J1016)*('Weekly Log'!$A$5:$A$5000&lt;$J1016+7)*('Weekly Log'!$M$5:$M$5000&lt;&gt;"")),'Weekly Log'!$M$5:$M$5000),0))</f>
        <v/>
      </c>
      <c r="J1016" t="str">
        <f>IF(COUNT('Weekly Log'!$A$5:$A$5000)=0,"",IF(MIN('Weekly Log'!$A$5:$A$5000)+7*(ROW()-10)&gt;MAX('Weekly Log'!$A$5:$A$5000),"",MIN('Weekly Log'!$A$5:$A$5000)+7*(ROW()-10)))</f>
        <v/>
      </c>
    </row>
    <row r="1017" spans="1:10" x14ac:dyDescent="0.25">
      <c r="A1017" t="str">
        <f t="shared" si="15"/>
        <v/>
      </c>
      <c r="B1017" t="str">
        <f>IF($J1017="","",SUMIFS('Weekly Log'!$C:$C,'Weekly Log'!$A:$A,"&gt;="&amp;$J1017,'Weekly Log'!$A:$A,"&lt;"&amp;$J1017+7))</f>
        <v/>
      </c>
      <c r="C1017" t="str">
        <f>IF($J1017="","",IFERROR(COUNTIFS('Weekly Log'!$G:$G,"Y",'Weekly Log'!$A:$A,"&gt;="&amp;$J1017,'Weekly Log'!$A:$A,"&lt;"&amp;$J1017+7)/COUNTIFS('Weekly Log'!$G:$G,"&lt;&gt;",'Weekly Log'!$A:$A,"&gt;="&amp;$J1017,'Weekly Log'!$A:$A,"&lt;"&amp;$J1017+7),0))</f>
        <v/>
      </c>
      <c r="D1017" t="str">
        <f>IF($J1017="","",IFERROR(COUNTIFS('Weekly Log'!$H:$H,"Y",'Weekly Log'!$A:$A,"&gt;="&amp;$J1017,'Weekly Log'!$A:$A,"&lt;"&amp;$J1017+7)/COUNTIFS('Weekly Log'!$H:$H,"&lt;&gt;",'Weekly Log'!$A:$A,"&gt;="&amp;$J1017,'Weekly Log'!$A:$A,"&lt;"&amp;$J1017+7),0))</f>
        <v/>
      </c>
      <c r="E1017" t="str">
        <f>IF($J1017="","",IFERROR(AVERAGEIFS('Weekly Log'!$F:$F,'Weekly Log'!$A:$A,"&gt;="&amp;$J1017,'Weekly Log'!$A:$A,"&lt;"&amp;$J1017+7),0))</f>
        <v/>
      </c>
      <c r="F1017" t="str">
        <f>IF($J1017="","",IFERROR(SUMIFS('Weekly Log'!$F:$F,'Weekly Log'!$A:$A,"&gt;="&amp;$J1017,'Weekly Log'!$A:$A,"&lt;"&amp;$J1017+7)/SUMIFS('Weekly Log'!$E:$E,'Weekly Log'!$A:$A,"&gt;="&amp;$J1017,'Weekly Log'!$A:$A,"&lt;"&amp;$J1017+7),0))</f>
        <v/>
      </c>
      <c r="G1017" t="str">
        <f>IF($J1017="","",IFERROR(LOOKUP(2,1/(('Weekly Log'!$A$5:$A$5000&gt;=$J1017)*('Weekly Log'!$A$5:$A$5000&lt;$J1017+7)*('Weekly Log'!$M$5:$M$5000&lt;&gt;"")),'Weekly Log'!$M$5:$M$5000),0))</f>
        <v/>
      </c>
      <c r="J1017" t="str">
        <f>IF(COUNT('Weekly Log'!$A$5:$A$5000)=0,"",IF(MIN('Weekly Log'!$A$5:$A$5000)+7*(ROW()-10)&gt;MAX('Weekly Log'!$A$5:$A$5000),"",MIN('Weekly Log'!$A$5:$A$5000)+7*(ROW()-10)))</f>
        <v/>
      </c>
    </row>
    <row r="1018" spans="1:10" x14ac:dyDescent="0.25">
      <c r="A1018" t="str">
        <f t="shared" si="15"/>
        <v/>
      </c>
      <c r="B1018" t="str">
        <f>IF($J1018="","",SUMIFS('Weekly Log'!$C:$C,'Weekly Log'!$A:$A,"&gt;="&amp;$J1018,'Weekly Log'!$A:$A,"&lt;"&amp;$J1018+7))</f>
        <v/>
      </c>
      <c r="C1018" t="str">
        <f>IF($J1018="","",IFERROR(COUNTIFS('Weekly Log'!$G:$G,"Y",'Weekly Log'!$A:$A,"&gt;="&amp;$J1018,'Weekly Log'!$A:$A,"&lt;"&amp;$J1018+7)/COUNTIFS('Weekly Log'!$G:$G,"&lt;&gt;",'Weekly Log'!$A:$A,"&gt;="&amp;$J1018,'Weekly Log'!$A:$A,"&lt;"&amp;$J1018+7),0))</f>
        <v/>
      </c>
      <c r="D1018" t="str">
        <f>IF($J1018="","",IFERROR(COUNTIFS('Weekly Log'!$H:$H,"Y",'Weekly Log'!$A:$A,"&gt;="&amp;$J1018,'Weekly Log'!$A:$A,"&lt;"&amp;$J1018+7)/COUNTIFS('Weekly Log'!$H:$H,"&lt;&gt;",'Weekly Log'!$A:$A,"&gt;="&amp;$J1018,'Weekly Log'!$A:$A,"&lt;"&amp;$J1018+7),0))</f>
        <v/>
      </c>
      <c r="E1018" t="str">
        <f>IF($J1018="","",IFERROR(AVERAGEIFS('Weekly Log'!$F:$F,'Weekly Log'!$A:$A,"&gt;="&amp;$J1018,'Weekly Log'!$A:$A,"&lt;"&amp;$J1018+7),0))</f>
        <v/>
      </c>
      <c r="F1018" t="str">
        <f>IF($J1018="","",IFERROR(SUMIFS('Weekly Log'!$F:$F,'Weekly Log'!$A:$A,"&gt;="&amp;$J1018,'Weekly Log'!$A:$A,"&lt;"&amp;$J1018+7)/SUMIFS('Weekly Log'!$E:$E,'Weekly Log'!$A:$A,"&gt;="&amp;$J1018,'Weekly Log'!$A:$A,"&lt;"&amp;$J1018+7),0))</f>
        <v/>
      </c>
      <c r="G1018" t="str">
        <f>IF($J1018="","",IFERROR(LOOKUP(2,1/(('Weekly Log'!$A$5:$A$5000&gt;=$J1018)*('Weekly Log'!$A$5:$A$5000&lt;$J1018+7)*('Weekly Log'!$M$5:$M$5000&lt;&gt;"")),'Weekly Log'!$M$5:$M$5000),0))</f>
        <v/>
      </c>
      <c r="J1018" t="str">
        <f>IF(COUNT('Weekly Log'!$A$5:$A$5000)=0,"",IF(MIN('Weekly Log'!$A$5:$A$5000)+7*(ROW()-10)&gt;MAX('Weekly Log'!$A$5:$A$5000),"",MIN('Weekly Log'!$A$5:$A$5000)+7*(ROW()-10)))</f>
        <v/>
      </c>
    </row>
    <row r="1019" spans="1:10" x14ac:dyDescent="0.25">
      <c r="A1019" t="str">
        <f t="shared" si="15"/>
        <v/>
      </c>
      <c r="B1019" t="str">
        <f>IF($J1019="","",SUMIFS('Weekly Log'!$C:$C,'Weekly Log'!$A:$A,"&gt;="&amp;$J1019,'Weekly Log'!$A:$A,"&lt;"&amp;$J1019+7))</f>
        <v/>
      </c>
      <c r="C1019" t="str">
        <f>IF($J1019="","",IFERROR(COUNTIFS('Weekly Log'!$G:$G,"Y",'Weekly Log'!$A:$A,"&gt;="&amp;$J1019,'Weekly Log'!$A:$A,"&lt;"&amp;$J1019+7)/COUNTIFS('Weekly Log'!$G:$G,"&lt;&gt;",'Weekly Log'!$A:$A,"&gt;="&amp;$J1019,'Weekly Log'!$A:$A,"&lt;"&amp;$J1019+7),0))</f>
        <v/>
      </c>
      <c r="D1019" t="str">
        <f>IF($J1019="","",IFERROR(COUNTIFS('Weekly Log'!$H:$H,"Y",'Weekly Log'!$A:$A,"&gt;="&amp;$J1019,'Weekly Log'!$A:$A,"&lt;"&amp;$J1019+7)/COUNTIFS('Weekly Log'!$H:$H,"&lt;&gt;",'Weekly Log'!$A:$A,"&gt;="&amp;$J1019,'Weekly Log'!$A:$A,"&lt;"&amp;$J1019+7),0))</f>
        <v/>
      </c>
      <c r="E1019" t="str">
        <f>IF($J1019="","",IFERROR(AVERAGEIFS('Weekly Log'!$F:$F,'Weekly Log'!$A:$A,"&gt;="&amp;$J1019,'Weekly Log'!$A:$A,"&lt;"&amp;$J1019+7),0))</f>
        <v/>
      </c>
      <c r="F1019" t="str">
        <f>IF($J1019="","",IFERROR(SUMIFS('Weekly Log'!$F:$F,'Weekly Log'!$A:$A,"&gt;="&amp;$J1019,'Weekly Log'!$A:$A,"&lt;"&amp;$J1019+7)/SUMIFS('Weekly Log'!$E:$E,'Weekly Log'!$A:$A,"&gt;="&amp;$J1019,'Weekly Log'!$A:$A,"&lt;"&amp;$J1019+7),0))</f>
        <v/>
      </c>
      <c r="G1019" t="str">
        <f>IF($J1019="","",IFERROR(LOOKUP(2,1/(('Weekly Log'!$A$5:$A$5000&gt;=$J1019)*('Weekly Log'!$A$5:$A$5000&lt;$J1019+7)*('Weekly Log'!$M$5:$M$5000&lt;&gt;"")),'Weekly Log'!$M$5:$M$5000),0))</f>
        <v/>
      </c>
      <c r="J1019" t="str">
        <f>IF(COUNT('Weekly Log'!$A$5:$A$5000)=0,"",IF(MIN('Weekly Log'!$A$5:$A$5000)+7*(ROW()-10)&gt;MAX('Weekly Log'!$A$5:$A$5000),"",MIN('Weekly Log'!$A$5:$A$5000)+7*(ROW()-10)))</f>
        <v/>
      </c>
    </row>
    <row r="1020" spans="1:10" x14ac:dyDescent="0.25">
      <c r="A1020" t="str">
        <f t="shared" si="15"/>
        <v/>
      </c>
      <c r="B1020" t="str">
        <f>IF($J1020="","",SUMIFS('Weekly Log'!$C:$C,'Weekly Log'!$A:$A,"&gt;="&amp;$J1020,'Weekly Log'!$A:$A,"&lt;"&amp;$J1020+7))</f>
        <v/>
      </c>
      <c r="C1020" t="str">
        <f>IF($J1020="","",IFERROR(COUNTIFS('Weekly Log'!$G:$G,"Y",'Weekly Log'!$A:$A,"&gt;="&amp;$J1020,'Weekly Log'!$A:$A,"&lt;"&amp;$J1020+7)/COUNTIFS('Weekly Log'!$G:$G,"&lt;&gt;",'Weekly Log'!$A:$A,"&gt;="&amp;$J1020,'Weekly Log'!$A:$A,"&lt;"&amp;$J1020+7),0))</f>
        <v/>
      </c>
      <c r="D1020" t="str">
        <f>IF($J1020="","",IFERROR(COUNTIFS('Weekly Log'!$H:$H,"Y",'Weekly Log'!$A:$A,"&gt;="&amp;$J1020,'Weekly Log'!$A:$A,"&lt;"&amp;$J1020+7)/COUNTIFS('Weekly Log'!$H:$H,"&lt;&gt;",'Weekly Log'!$A:$A,"&gt;="&amp;$J1020,'Weekly Log'!$A:$A,"&lt;"&amp;$J1020+7),0))</f>
        <v/>
      </c>
      <c r="E1020" t="str">
        <f>IF($J1020="","",IFERROR(AVERAGEIFS('Weekly Log'!$F:$F,'Weekly Log'!$A:$A,"&gt;="&amp;$J1020,'Weekly Log'!$A:$A,"&lt;"&amp;$J1020+7),0))</f>
        <v/>
      </c>
      <c r="F1020" t="str">
        <f>IF($J1020="","",IFERROR(SUMIFS('Weekly Log'!$F:$F,'Weekly Log'!$A:$A,"&gt;="&amp;$J1020,'Weekly Log'!$A:$A,"&lt;"&amp;$J1020+7)/SUMIFS('Weekly Log'!$E:$E,'Weekly Log'!$A:$A,"&gt;="&amp;$J1020,'Weekly Log'!$A:$A,"&lt;"&amp;$J1020+7),0))</f>
        <v/>
      </c>
      <c r="G1020" t="str">
        <f>IF($J1020="","",IFERROR(LOOKUP(2,1/(('Weekly Log'!$A$5:$A$5000&gt;=$J1020)*('Weekly Log'!$A$5:$A$5000&lt;$J1020+7)*('Weekly Log'!$M$5:$M$5000&lt;&gt;"")),'Weekly Log'!$M$5:$M$5000),0))</f>
        <v/>
      </c>
      <c r="J1020" t="str">
        <f>IF(COUNT('Weekly Log'!$A$5:$A$5000)=0,"",IF(MIN('Weekly Log'!$A$5:$A$5000)+7*(ROW()-10)&gt;MAX('Weekly Log'!$A$5:$A$5000),"",MIN('Weekly Log'!$A$5:$A$5000)+7*(ROW()-10)))</f>
        <v/>
      </c>
    </row>
    <row r="1021" spans="1:10" x14ac:dyDescent="0.25">
      <c r="A1021" t="str">
        <f t="shared" si="15"/>
        <v/>
      </c>
      <c r="B1021" t="str">
        <f>IF($J1021="","",SUMIFS('Weekly Log'!$C:$C,'Weekly Log'!$A:$A,"&gt;="&amp;$J1021,'Weekly Log'!$A:$A,"&lt;"&amp;$J1021+7))</f>
        <v/>
      </c>
      <c r="C1021" t="str">
        <f>IF($J1021="","",IFERROR(COUNTIFS('Weekly Log'!$G:$G,"Y",'Weekly Log'!$A:$A,"&gt;="&amp;$J1021,'Weekly Log'!$A:$A,"&lt;"&amp;$J1021+7)/COUNTIFS('Weekly Log'!$G:$G,"&lt;&gt;",'Weekly Log'!$A:$A,"&gt;="&amp;$J1021,'Weekly Log'!$A:$A,"&lt;"&amp;$J1021+7),0))</f>
        <v/>
      </c>
      <c r="D1021" t="str">
        <f>IF($J1021="","",IFERROR(COUNTIFS('Weekly Log'!$H:$H,"Y",'Weekly Log'!$A:$A,"&gt;="&amp;$J1021,'Weekly Log'!$A:$A,"&lt;"&amp;$J1021+7)/COUNTIFS('Weekly Log'!$H:$H,"&lt;&gt;",'Weekly Log'!$A:$A,"&gt;="&amp;$J1021,'Weekly Log'!$A:$A,"&lt;"&amp;$J1021+7),0))</f>
        <v/>
      </c>
      <c r="E1021" t="str">
        <f>IF($J1021="","",IFERROR(AVERAGEIFS('Weekly Log'!$F:$F,'Weekly Log'!$A:$A,"&gt;="&amp;$J1021,'Weekly Log'!$A:$A,"&lt;"&amp;$J1021+7),0))</f>
        <v/>
      </c>
      <c r="F1021" t="str">
        <f>IF($J1021="","",IFERROR(SUMIFS('Weekly Log'!$F:$F,'Weekly Log'!$A:$A,"&gt;="&amp;$J1021,'Weekly Log'!$A:$A,"&lt;"&amp;$J1021+7)/SUMIFS('Weekly Log'!$E:$E,'Weekly Log'!$A:$A,"&gt;="&amp;$J1021,'Weekly Log'!$A:$A,"&lt;"&amp;$J1021+7),0))</f>
        <v/>
      </c>
      <c r="G1021" t="str">
        <f>IF($J1021="","",IFERROR(LOOKUP(2,1/(('Weekly Log'!$A$5:$A$5000&gt;=$J1021)*('Weekly Log'!$A$5:$A$5000&lt;$J1021+7)*('Weekly Log'!$M$5:$M$5000&lt;&gt;"")),'Weekly Log'!$M$5:$M$5000),0))</f>
        <v/>
      </c>
      <c r="J1021" t="str">
        <f>IF(COUNT('Weekly Log'!$A$5:$A$5000)=0,"",IF(MIN('Weekly Log'!$A$5:$A$5000)+7*(ROW()-10)&gt;MAX('Weekly Log'!$A$5:$A$5000),"",MIN('Weekly Log'!$A$5:$A$5000)+7*(ROW()-10)))</f>
        <v/>
      </c>
    </row>
    <row r="1022" spans="1:10" x14ac:dyDescent="0.25">
      <c r="A1022" t="str">
        <f t="shared" si="15"/>
        <v/>
      </c>
      <c r="B1022" t="str">
        <f>IF($J1022="","",SUMIFS('Weekly Log'!$C:$C,'Weekly Log'!$A:$A,"&gt;="&amp;$J1022,'Weekly Log'!$A:$A,"&lt;"&amp;$J1022+7))</f>
        <v/>
      </c>
      <c r="C1022" t="str">
        <f>IF($J1022="","",IFERROR(COUNTIFS('Weekly Log'!$G:$G,"Y",'Weekly Log'!$A:$A,"&gt;="&amp;$J1022,'Weekly Log'!$A:$A,"&lt;"&amp;$J1022+7)/COUNTIFS('Weekly Log'!$G:$G,"&lt;&gt;",'Weekly Log'!$A:$A,"&gt;="&amp;$J1022,'Weekly Log'!$A:$A,"&lt;"&amp;$J1022+7),0))</f>
        <v/>
      </c>
      <c r="D1022" t="str">
        <f>IF($J1022="","",IFERROR(COUNTIFS('Weekly Log'!$H:$H,"Y",'Weekly Log'!$A:$A,"&gt;="&amp;$J1022,'Weekly Log'!$A:$A,"&lt;"&amp;$J1022+7)/COUNTIFS('Weekly Log'!$H:$H,"&lt;&gt;",'Weekly Log'!$A:$A,"&gt;="&amp;$J1022,'Weekly Log'!$A:$A,"&lt;"&amp;$J1022+7),0))</f>
        <v/>
      </c>
      <c r="E1022" t="str">
        <f>IF($J1022="","",IFERROR(AVERAGEIFS('Weekly Log'!$F:$F,'Weekly Log'!$A:$A,"&gt;="&amp;$J1022,'Weekly Log'!$A:$A,"&lt;"&amp;$J1022+7),0))</f>
        <v/>
      </c>
      <c r="F1022" t="str">
        <f>IF($J1022="","",IFERROR(SUMIFS('Weekly Log'!$F:$F,'Weekly Log'!$A:$A,"&gt;="&amp;$J1022,'Weekly Log'!$A:$A,"&lt;"&amp;$J1022+7)/SUMIFS('Weekly Log'!$E:$E,'Weekly Log'!$A:$A,"&gt;="&amp;$J1022,'Weekly Log'!$A:$A,"&lt;"&amp;$J1022+7),0))</f>
        <v/>
      </c>
      <c r="G1022" t="str">
        <f>IF($J1022="","",IFERROR(LOOKUP(2,1/(('Weekly Log'!$A$5:$A$5000&gt;=$J1022)*('Weekly Log'!$A$5:$A$5000&lt;$J1022+7)*('Weekly Log'!$M$5:$M$5000&lt;&gt;"")),'Weekly Log'!$M$5:$M$5000),0))</f>
        <v/>
      </c>
      <c r="J1022" t="str">
        <f>IF(COUNT('Weekly Log'!$A$5:$A$5000)=0,"",IF(MIN('Weekly Log'!$A$5:$A$5000)+7*(ROW()-10)&gt;MAX('Weekly Log'!$A$5:$A$5000),"",MIN('Weekly Log'!$A$5:$A$5000)+7*(ROW()-10)))</f>
        <v/>
      </c>
    </row>
    <row r="1023" spans="1:10" x14ac:dyDescent="0.25">
      <c r="A1023" t="str">
        <f t="shared" si="15"/>
        <v/>
      </c>
      <c r="B1023" t="str">
        <f>IF($J1023="","",SUMIFS('Weekly Log'!$C:$C,'Weekly Log'!$A:$A,"&gt;="&amp;$J1023,'Weekly Log'!$A:$A,"&lt;"&amp;$J1023+7))</f>
        <v/>
      </c>
      <c r="C1023" t="str">
        <f>IF($J1023="","",IFERROR(COUNTIFS('Weekly Log'!$G:$G,"Y",'Weekly Log'!$A:$A,"&gt;="&amp;$J1023,'Weekly Log'!$A:$A,"&lt;"&amp;$J1023+7)/COUNTIFS('Weekly Log'!$G:$G,"&lt;&gt;",'Weekly Log'!$A:$A,"&gt;="&amp;$J1023,'Weekly Log'!$A:$A,"&lt;"&amp;$J1023+7),0))</f>
        <v/>
      </c>
      <c r="D1023" t="str">
        <f>IF($J1023="","",IFERROR(COUNTIFS('Weekly Log'!$H:$H,"Y",'Weekly Log'!$A:$A,"&gt;="&amp;$J1023,'Weekly Log'!$A:$A,"&lt;"&amp;$J1023+7)/COUNTIFS('Weekly Log'!$H:$H,"&lt;&gt;",'Weekly Log'!$A:$A,"&gt;="&amp;$J1023,'Weekly Log'!$A:$A,"&lt;"&amp;$J1023+7),0))</f>
        <v/>
      </c>
      <c r="E1023" t="str">
        <f>IF($J1023="","",IFERROR(AVERAGEIFS('Weekly Log'!$F:$F,'Weekly Log'!$A:$A,"&gt;="&amp;$J1023,'Weekly Log'!$A:$A,"&lt;"&amp;$J1023+7),0))</f>
        <v/>
      </c>
      <c r="F1023" t="str">
        <f>IF($J1023="","",IFERROR(SUMIFS('Weekly Log'!$F:$F,'Weekly Log'!$A:$A,"&gt;="&amp;$J1023,'Weekly Log'!$A:$A,"&lt;"&amp;$J1023+7)/SUMIFS('Weekly Log'!$E:$E,'Weekly Log'!$A:$A,"&gt;="&amp;$J1023,'Weekly Log'!$A:$A,"&lt;"&amp;$J1023+7),0))</f>
        <v/>
      </c>
      <c r="G1023" t="str">
        <f>IF($J1023="","",IFERROR(LOOKUP(2,1/(('Weekly Log'!$A$5:$A$5000&gt;=$J1023)*('Weekly Log'!$A$5:$A$5000&lt;$J1023+7)*('Weekly Log'!$M$5:$M$5000&lt;&gt;"")),'Weekly Log'!$M$5:$M$5000),0))</f>
        <v/>
      </c>
      <c r="J1023" t="str">
        <f>IF(COUNT('Weekly Log'!$A$5:$A$5000)=0,"",IF(MIN('Weekly Log'!$A$5:$A$5000)+7*(ROW()-10)&gt;MAX('Weekly Log'!$A$5:$A$5000),"",MIN('Weekly Log'!$A$5:$A$5000)+7*(ROW()-10)))</f>
        <v/>
      </c>
    </row>
    <row r="1024" spans="1:10" x14ac:dyDescent="0.25">
      <c r="A1024" t="str">
        <f t="shared" si="15"/>
        <v/>
      </c>
      <c r="B1024" t="str">
        <f>IF($J1024="","",SUMIFS('Weekly Log'!$C:$C,'Weekly Log'!$A:$A,"&gt;="&amp;$J1024,'Weekly Log'!$A:$A,"&lt;"&amp;$J1024+7))</f>
        <v/>
      </c>
      <c r="C1024" t="str">
        <f>IF($J1024="","",IFERROR(COUNTIFS('Weekly Log'!$G:$G,"Y",'Weekly Log'!$A:$A,"&gt;="&amp;$J1024,'Weekly Log'!$A:$A,"&lt;"&amp;$J1024+7)/COUNTIFS('Weekly Log'!$G:$G,"&lt;&gt;",'Weekly Log'!$A:$A,"&gt;="&amp;$J1024,'Weekly Log'!$A:$A,"&lt;"&amp;$J1024+7),0))</f>
        <v/>
      </c>
      <c r="D1024" t="str">
        <f>IF($J1024="","",IFERROR(COUNTIFS('Weekly Log'!$H:$H,"Y",'Weekly Log'!$A:$A,"&gt;="&amp;$J1024,'Weekly Log'!$A:$A,"&lt;"&amp;$J1024+7)/COUNTIFS('Weekly Log'!$H:$H,"&lt;&gt;",'Weekly Log'!$A:$A,"&gt;="&amp;$J1024,'Weekly Log'!$A:$A,"&lt;"&amp;$J1024+7),0))</f>
        <v/>
      </c>
      <c r="E1024" t="str">
        <f>IF($J1024="","",IFERROR(AVERAGEIFS('Weekly Log'!$F:$F,'Weekly Log'!$A:$A,"&gt;="&amp;$J1024,'Weekly Log'!$A:$A,"&lt;"&amp;$J1024+7),0))</f>
        <v/>
      </c>
      <c r="F1024" t="str">
        <f>IF($J1024="","",IFERROR(SUMIFS('Weekly Log'!$F:$F,'Weekly Log'!$A:$A,"&gt;="&amp;$J1024,'Weekly Log'!$A:$A,"&lt;"&amp;$J1024+7)/SUMIFS('Weekly Log'!$E:$E,'Weekly Log'!$A:$A,"&gt;="&amp;$J1024,'Weekly Log'!$A:$A,"&lt;"&amp;$J1024+7),0))</f>
        <v/>
      </c>
      <c r="G1024" t="str">
        <f>IF($J1024="","",IFERROR(LOOKUP(2,1/(('Weekly Log'!$A$5:$A$5000&gt;=$J1024)*('Weekly Log'!$A$5:$A$5000&lt;$J1024+7)*('Weekly Log'!$M$5:$M$5000&lt;&gt;"")),'Weekly Log'!$M$5:$M$5000),0))</f>
        <v/>
      </c>
      <c r="J1024" t="str">
        <f>IF(COUNT('Weekly Log'!$A$5:$A$5000)=0,"",IF(MIN('Weekly Log'!$A$5:$A$5000)+7*(ROW()-10)&gt;MAX('Weekly Log'!$A$5:$A$5000),"",MIN('Weekly Log'!$A$5:$A$5000)+7*(ROW()-10)))</f>
        <v/>
      </c>
    </row>
    <row r="1025" spans="1:10" x14ac:dyDescent="0.25">
      <c r="A1025" t="str">
        <f t="shared" si="15"/>
        <v/>
      </c>
      <c r="B1025" t="str">
        <f>IF($J1025="","",SUMIFS('Weekly Log'!$C:$C,'Weekly Log'!$A:$A,"&gt;="&amp;$J1025,'Weekly Log'!$A:$A,"&lt;"&amp;$J1025+7))</f>
        <v/>
      </c>
      <c r="C1025" t="str">
        <f>IF($J1025="","",IFERROR(COUNTIFS('Weekly Log'!$G:$G,"Y",'Weekly Log'!$A:$A,"&gt;="&amp;$J1025,'Weekly Log'!$A:$A,"&lt;"&amp;$J1025+7)/COUNTIFS('Weekly Log'!$G:$G,"&lt;&gt;",'Weekly Log'!$A:$A,"&gt;="&amp;$J1025,'Weekly Log'!$A:$A,"&lt;"&amp;$J1025+7),0))</f>
        <v/>
      </c>
      <c r="D1025" t="str">
        <f>IF($J1025="","",IFERROR(COUNTIFS('Weekly Log'!$H:$H,"Y",'Weekly Log'!$A:$A,"&gt;="&amp;$J1025,'Weekly Log'!$A:$A,"&lt;"&amp;$J1025+7)/COUNTIFS('Weekly Log'!$H:$H,"&lt;&gt;",'Weekly Log'!$A:$A,"&gt;="&amp;$J1025,'Weekly Log'!$A:$A,"&lt;"&amp;$J1025+7),0))</f>
        <v/>
      </c>
      <c r="E1025" t="str">
        <f>IF($J1025="","",IFERROR(AVERAGEIFS('Weekly Log'!$F:$F,'Weekly Log'!$A:$A,"&gt;="&amp;$J1025,'Weekly Log'!$A:$A,"&lt;"&amp;$J1025+7),0))</f>
        <v/>
      </c>
      <c r="F1025" t="str">
        <f>IF($J1025="","",IFERROR(SUMIFS('Weekly Log'!$F:$F,'Weekly Log'!$A:$A,"&gt;="&amp;$J1025,'Weekly Log'!$A:$A,"&lt;"&amp;$J1025+7)/SUMIFS('Weekly Log'!$E:$E,'Weekly Log'!$A:$A,"&gt;="&amp;$J1025,'Weekly Log'!$A:$A,"&lt;"&amp;$J1025+7),0))</f>
        <v/>
      </c>
      <c r="G1025" t="str">
        <f>IF($J1025="","",IFERROR(LOOKUP(2,1/(('Weekly Log'!$A$5:$A$5000&gt;=$J1025)*('Weekly Log'!$A$5:$A$5000&lt;$J1025+7)*('Weekly Log'!$M$5:$M$5000&lt;&gt;"")),'Weekly Log'!$M$5:$M$5000),0))</f>
        <v/>
      </c>
      <c r="J1025" t="str">
        <f>IF(COUNT('Weekly Log'!$A$5:$A$5000)=0,"",IF(MIN('Weekly Log'!$A$5:$A$5000)+7*(ROW()-10)&gt;MAX('Weekly Log'!$A$5:$A$5000),"",MIN('Weekly Log'!$A$5:$A$5000)+7*(ROW()-10)))</f>
        <v/>
      </c>
    </row>
    <row r="1026" spans="1:10" x14ac:dyDescent="0.25">
      <c r="A1026" t="str">
        <f t="shared" si="15"/>
        <v/>
      </c>
      <c r="B1026" t="str">
        <f>IF($J1026="","",SUMIFS('Weekly Log'!$C:$C,'Weekly Log'!$A:$A,"&gt;="&amp;$J1026,'Weekly Log'!$A:$A,"&lt;"&amp;$J1026+7))</f>
        <v/>
      </c>
      <c r="C1026" t="str">
        <f>IF($J1026="","",IFERROR(COUNTIFS('Weekly Log'!$G:$G,"Y",'Weekly Log'!$A:$A,"&gt;="&amp;$J1026,'Weekly Log'!$A:$A,"&lt;"&amp;$J1026+7)/COUNTIFS('Weekly Log'!$G:$G,"&lt;&gt;",'Weekly Log'!$A:$A,"&gt;="&amp;$J1026,'Weekly Log'!$A:$A,"&lt;"&amp;$J1026+7),0))</f>
        <v/>
      </c>
      <c r="D1026" t="str">
        <f>IF($J1026="","",IFERROR(COUNTIFS('Weekly Log'!$H:$H,"Y",'Weekly Log'!$A:$A,"&gt;="&amp;$J1026,'Weekly Log'!$A:$A,"&lt;"&amp;$J1026+7)/COUNTIFS('Weekly Log'!$H:$H,"&lt;&gt;",'Weekly Log'!$A:$A,"&gt;="&amp;$J1026,'Weekly Log'!$A:$A,"&lt;"&amp;$J1026+7),0))</f>
        <v/>
      </c>
      <c r="E1026" t="str">
        <f>IF($J1026="","",IFERROR(AVERAGEIFS('Weekly Log'!$F:$F,'Weekly Log'!$A:$A,"&gt;="&amp;$J1026,'Weekly Log'!$A:$A,"&lt;"&amp;$J1026+7),0))</f>
        <v/>
      </c>
      <c r="F1026" t="str">
        <f>IF($J1026="","",IFERROR(SUMIFS('Weekly Log'!$F:$F,'Weekly Log'!$A:$A,"&gt;="&amp;$J1026,'Weekly Log'!$A:$A,"&lt;"&amp;$J1026+7)/SUMIFS('Weekly Log'!$E:$E,'Weekly Log'!$A:$A,"&gt;="&amp;$J1026,'Weekly Log'!$A:$A,"&lt;"&amp;$J1026+7),0))</f>
        <v/>
      </c>
      <c r="G1026" t="str">
        <f>IF($J1026="","",IFERROR(LOOKUP(2,1/(('Weekly Log'!$A$5:$A$5000&gt;=$J1026)*('Weekly Log'!$A$5:$A$5000&lt;$J1026+7)*('Weekly Log'!$M$5:$M$5000&lt;&gt;"")),'Weekly Log'!$M$5:$M$5000),0))</f>
        <v/>
      </c>
      <c r="J1026" t="str">
        <f>IF(COUNT('Weekly Log'!$A$5:$A$5000)=0,"",IF(MIN('Weekly Log'!$A$5:$A$5000)+7*(ROW()-10)&gt;MAX('Weekly Log'!$A$5:$A$5000),"",MIN('Weekly Log'!$A$5:$A$5000)+7*(ROW()-10)))</f>
        <v/>
      </c>
    </row>
    <row r="1027" spans="1:10" x14ac:dyDescent="0.25">
      <c r="A1027" t="str">
        <f t="shared" si="15"/>
        <v/>
      </c>
      <c r="B1027" t="str">
        <f>IF($J1027="","",SUMIFS('Weekly Log'!$C:$C,'Weekly Log'!$A:$A,"&gt;="&amp;$J1027,'Weekly Log'!$A:$A,"&lt;"&amp;$J1027+7))</f>
        <v/>
      </c>
      <c r="C1027" t="str">
        <f>IF($J1027="","",IFERROR(COUNTIFS('Weekly Log'!$G:$G,"Y",'Weekly Log'!$A:$A,"&gt;="&amp;$J1027,'Weekly Log'!$A:$A,"&lt;"&amp;$J1027+7)/COUNTIFS('Weekly Log'!$G:$G,"&lt;&gt;",'Weekly Log'!$A:$A,"&gt;="&amp;$J1027,'Weekly Log'!$A:$A,"&lt;"&amp;$J1027+7),0))</f>
        <v/>
      </c>
      <c r="D1027" t="str">
        <f>IF($J1027="","",IFERROR(COUNTIFS('Weekly Log'!$H:$H,"Y",'Weekly Log'!$A:$A,"&gt;="&amp;$J1027,'Weekly Log'!$A:$A,"&lt;"&amp;$J1027+7)/COUNTIFS('Weekly Log'!$H:$H,"&lt;&gt;",'Weekly Log'!$A:$A,"&gt;="&amp;$J1027,'Weekly Log'!$A:$A,"&lt;"&amp;$J1027+7),0))</f>
        <v/>
      </c>
      <c r="E1027" t="str">
        <f>IF($J1027="","",IFERROR(AVERAGEIFS('Weekly Log'!$F:$F,'Weekly Log'!$A:$A,"&gt;="&amp;$J1027,'Weekly Log'!$A:$A,"&lt;"&amp;$J1027+7),0))</f>
        <v/>
      </c>
      <c r="F1027" t="str">
        <f>IF($J1027="","",IFERROR(SUMIFS('Weekly Log'!$F:$F,'Weekly Log'!$A:$A,"&gt;="&amp;$J1027,'Weekly Log'!$A:$A,"&lt;"&amp;$J1027+7)/SUMIFS('Weekly Log'!$E:$E,'Weekly Log'!$A:$A,"&gt;="&amp;$J1027,'Weekly Log'!$A:$A,"&lt;"&amp;$J1027+7),0))</f>
        <v/>
      </c>
      <c r="G1027" t="str">
        <f>IF($J1027="","",IFERROR(LOOKUP(2,1/(('Weekly Log'!$A$5:$A$5000&gt;=$J1027)*('Weekly Log'!$A$5:$A$5000&lt;$J1027+7)*('Weekly Log'!$M$5:$M$5000&lt;&gt;"")),'Weekly Log'!$M$5:$M$5000),0))</f>
        <v/>
      </c>
      <c r="J1027" t="str">
        <f>IF(COUNT('Weekly Log'!$A$5:$A$5000)=0,"",IF(MIN('Weekly Log'!$A$5:$A$5000)+7*(ROW()-10)&gt;MAX('Weekly Log'!$A$5:$A$5000),"",MIN('Weekly Log'!$A$5:$A$5000)+7*(ROW()-10)))</f>
        <v/>
      </c>
    </row>
    <row r="1028" spans="1:10" x14ac:dyDescent="0.25">
      <c r="A1028" t="str">
        <f t="shared" si="15"/>
        <v/>
      </c>
      <c r="B1028" t="str">
        <f>IF($J1028="","",SUMIFS('Weekly Log'!$C:$C,'Weekly Log'!$A:$A,"&gt;="&amp;$J1028,'Weekly Log'!$A:$A,"&lt;"&amp;$J1028+7))</f>
        <v/>
      </c>
      <c r="C1028" t="str">
        <f>IF($J1028="","",IFERROR(COUNTIFS('Weekly Log'!$G:$G,"Y",'Weekly Log'!$A:$A,"&gt;="&amp;$J1028,'Weekly Log'!$A:$A,"&lt;"&amp;$J1028+7)/COUNTIFS('Weekly Log'!$G:$G,"&lt;&gt;",'Weekly Log'!$A:$A,"&gt;="&amp;$J1028,'Weekly Log'!$A:$A,"&lt;"&amp;$J1028+7),0))</f>
        <v/>
      </c>
      <c r="D1028" t="str">
        <f>IF($J1028="","",IFERROR(COUNTIFS('Weekly Log'!$H:$H,"Y",'Weekly Log'!$A:$A,"&gt;="&amp;$J1028,'Weekly Log'!$A:$A,"&lt;"&amp;$J1028+7)/COUNTIFS('Weekly Log'!$H:$H,"&lt;&gt;",'Weekly Log'!$A:$A,"&gt;="&amp;$J1028,'Weekly Log'!$A:$A,"&lt;"&amp;$J1028+7),0))</f>
        <v/>
      </c>
      <c r="E1028" t="str">
        <f>IF($J1028="","",IFERROR(AVERAGEIFS('Weekly Log'!$F:$F,'Weekly Log'!$A:$A,"&gt;="&amp;$J1028,'Weekly Log'!$A:$A,"&lt;"&amp;$J1028+7),0))</f>
        <v/>
      </c>
      <c r="F1028" t="str">
        <f>IF($J1028="","",IFERROR(SUMIFS('Weekly Log'!$F:$F,'Weekly Log'!$A:$A,"&gt;="&amp;$J1028,'Weekly Log'!$A:$A,"&lt;"&amp;$J1028+7)/SUMIFS('Weekly Log'!$E:$E,'Weekly Log'!$A:$A,"&gt;="&amp;$J1028,'Weekly Log'!$A:$A,"&lt;"&amp;$J1028+7),0))</f>
        <v/>
      </c>
      <c r="G1028" t="str">
        <f>IF($J1028="","",IFERROR(LOOKUP(2,1/(('Weekly Log'!$A$5:$A$5000&gt;=$J1028)*('Weekly Log'!$A$5:$A$5000&lt;$J1028+7)*('Weekly Log'!$M$5:$M$5000&lt;&gt;"")),'Weekly Log'!$M$5:$M$5000),0))</f>
        <v/>
      </c>
      <c r="J1028" t="str">
        <f>IF(COUNT('Weekly Log'!$A$5:$A$5000)=0,"",IF(MIN('Weekly Log'!$A$5:$A$5000)+7*(ROW()-10)&gt;MAX('Weekly Log'!$A$5:$A$5000),"",MIN('Weekly Log'!$A$5:$A$5000)+7*(ROW()-10)))</f>
        <v/>
      </c>
    </row>
    <row r="1029" spans="1:10" x14ac:dyDescent="0.25">
      <c r="A1029" t="str">
        <f t="shared" si="15"/>
        <v/>
      </c>
      <c r="B1029" t="str">
        <f>IF($J1029="","",SUMIFS('Weekly Log'!$C:$C,'Weekly Log'!$A:$A,"&gt;="&amp;$J1029,'Weekly Log'!$A:$A,"&lt;"&amp;$J1029+7))</f>
        <v/>
      </c>
      <c r="C1029" t="str">
        <f>IF($J1029="","",IFERROR(COUNTIFS('Weekly Log'!$G:$G,"Y",'Weekly Log'!$A:$A,"&gt;="&amp;$J1029,'Weekly Log'!$A:$A,"&lt;"&amp;$J1029+7)/COUNTIFS('Weekly Log'!$G:$G,"&lt;&gt;",'Weekly Log'!$A:$A,"&gt;="&amp;$J1029,'Weekly Log'!$A:$A,"&lt;"&amp;$J1029+7),0))</f>
        <v/>
      </c>
      <c r="D1029" t="str">
        <f>IF($J1029="","",IFERROR(COUNTIFS('Weekly Log'!$H:$H,"Y",'Weekly Log'!$A:$A,"&gt;="&amp;$J1029,'Weekly Log'!$A:$A,"&lt;"&amp;$J1029+7)/COUNTIFS('Weekly Log'!$H:$H,"&lt;&gt;",'Weekly Log'!$A:$A,"&gt;="&amp;$J1029,'Weekly Log'!$A:$A,"&lt;"&amp;$J1029+7),0))</f>
        <v/>
      </c>
      <c r="E1029" t="str">
        <f>IF($J1029="","",IFERROR(AVERAGEIFS('Weekly Log'!$F:$F,'Weekly Log'!$A:$A,"&gt;="&amp;$J1029,'Weekly Log'!$A:$A,"&lt;"&amp;$J1029+7),0))</f>
        <v/>
      </c>
      <c r="F1029" t="str">
        <f>IF($J1029="","",IFERROR(SUMIFS('Weekly Log'!$F:$F,'Weekly Log'!$A:$A,"&gt;="&amp;$J1029,'Weekly Log'!$A:$A,"&lt;"&amp;$J1029+7)/SUMIFS('Weekly Log'!$E:$E,'Weekly Log'!$A:$A,"&gt;="&amp;$J1029,'Weekly Log'!$A:$A,"&lt;"&amp;$J1029+7),0))</f>
        <v/>
      </c>
      <c r="G1029" t="str">
        <f>IF($J1029="","",IFERROR(LOOKUP(2,1/(('Weekly Log'!$A$5:$A$5000&gt;=$J1029)*('Weekly Log'!$A$5:$A$5000&lt;$J1029+7)*('Weekly Log'!$M$5:$M$5000&lt;&gt;"")),'Weekly Log'!$M$5:$M$5000),0))</f>
        <v/>
      </c>
      <c r="J1029" t="str">
        <f>IF(COUNT('Weekly Log'!$A$5:$A$5000)=0,"",IF(MIN('Weekly Log'!$A$5:$A$5000)+7*(ROW()-10)&gt;MAX('Weekly Log'!$A$5:$A$5000),"",MIN('Weekly Log'!$A$5:$A$5000)+7*(ROW()-10)))</f>
        <v/>
      </c>
    </row>
    <row r="1030" spans="1:10" x14ac:dyDescent="0.25">
      <c r="A1030" t="str">
        <f t="shared" si="15"/>
        <v/>
      </c>
      <c r="B1030" t="str">
        <f>IF($J1030="","",SUMIFS('Weekly Log'!$C:$C,'Weekly Log'!$A:$A,"&gt;="&amp;$J1030,'Weekly Log'!$A:$A,"&lt;"&amp;$J1030+7))</f>
        <v/>
      </c>
      <c r="C1030" t="str">
        <f>IF($J1030="","",IFERROR(COUNTIFS('Weekly Log'!$G:$G,"Y",'Weekly Log'!$A:$A,"&gt;="&amp;$J1030,'Weekly Log'!$A:$A,"&lt;"&amp;$J1030+7)/COUNTIFS('Weekly Log'!$G:$G,"&lt;&gt;",'Weekly Log'!$A:$A,"&gt;="&amp;$J1030,'Weekly Log'!$A:$A,"&lt;"&amp;$J1030+7),0))</f>
        <v/>
      </c>
      <c r="D1030" t="str">
        <f>IF($J1030="","",IFERROR(COUNTIFS('Weekly Log'!$H:$H,"Y",'Weekly Log'!$A:$A,"&gt;="&amp;$J1030,'Weekly Log'!$A:$A,"&lt;"&amp;$J1030+7)/COUNTIFS('Weekly Log'!$H:$H,"&lt;&gt;",'Weekly Log'!$A:$A,"&gt;="&amp;$J1030,'Weekly Log'!$A:$A,"&lt;"&amp;$J1030+7),0))</f>
        <v/>
      </c>
      <c r="E1030" t="str">
        <f>IF($J1030="","",IFERROR(AVERAGEIFS('Weekly Log'!$F:$F,'Weekly Log'!$A:$A,"&gt;="&amp;$J1030,'Weekly Log'!$A:$A,"&lt;"&amp;$J1030+7),0))</f>
        <v/>
      </c>
      <c r="F1030" t="str">
        <f>IF($J1030="","",IFERROR(SUMIFS('Weekly Log'!$F:$F,'Weekly Log'!$A:$A,"&gt;="&amp;$J1030,'Weekly Log'!$A:$A,"&lt;"&amp;$J1030+7)/SUMIFS('Weekly Log'!$E:$E,'Weekly Log'!$A:$A,"&gt;="&amp;$J1030,'Weekly Log'!$A:$A,"&lt;"&amp;$J1030+7),0))</f>
        <v/>
      </c>
      <c r="G1030" t="str">
        <f>IF($J1030="","",IFERROR(LOOKUP(2,1/(('Weekly Log'!$A$5:$A$5000&gt;=$J1030)*('Weekly Log'!$A$5:$A$5000&lt;$J1030+7)*('Weekly Log'!$M$5:$M$5000&lt;&gt;"")),'Weekly Log'!$M$5:$M$5000),0))</f>
        <v/>
      </c>
      <c r="J1030" t="str">
        <f>IF(COUNT('Weekly Log'!$A$5:$A$5000)=0,"",IF(MIN('Weekly Log'!$A$5:$A$5000)+7*(ROW()-10)&gt;MAX('Weekly Log'!$A$5:$A$5000),"",MIN('Weekly Log'!$A$5:$A$5000)+7*(ROW()-10)))</f>
        <v/>
      </c>
    </row>
    <row r="1031" spans="1:10" x14ac:dyDescent="0.25">
      <c r="A1031" t="str">
        <f t="shared" si="15"/>
        <v/>
      </c>
      <c r="B1031" t="str">
        <f>IF($J1031="","",SUMIFS('Weekly Log'!$C:$C,'Weekly Log'!$A:$A,"&gt;="&amp;$J1031,'Weekly Log'!$A:$A,"&lt;"&amp;$J1031+7))</f>
        <v/>
      </c>
      <c r="C1031" t="str">
        <f>IF($J1031="","",IFERROR(COUNTIFS('Weekly Log'!$G:$G,"Y",'Weekly Log'!$A:$A,"&gt;="&amp;$J1031,'Weekly Log'!$A:$A,"&lt;"&amp;$J1031+7)/COUNTIFS('Weekly Log'!$G:$G,"&lt;&gt;",'Weekly Log'!$A:$A,"&gt;="&amp;$J1031,'Weekly Log'!$A:$A,"&lt;"&amp;$J1031+7),0))</f>
        <v/>
      </c>
      <c r="D1031" t="str">
        <f>IF($J1031="","",IFERROR(COUNTIFS('Weekly Log'!$H:$H,"Y",'Weekly Log'!$A:$A,"&gt;="&amp;$J1031,'Weekly Log'!$A:$A,"&lt;"&amp;$J1031+7)/COUNTIFS('Weekly Log'!$H:$H,"&lt;&gt;",'Weekly Log'!$A:$A,"&gt;="&amp;$J1031,'Weekly Log'!$A:$A,"&lt;"&amp;$J1031+7),0))</f>
        <v/>
      </c>
      <c r="E1031" t="str">
        <f>IF($J1031="","",IFERROR(AVERAGEIFS('Weekly Log'!$F:$F,'Weekly Log'!$A:$A,"&gt;="&amp;$J1031,'Weekly Log'!$A:$A,"&lt;"&amp;$J1031+7),0))</f>
        <v/>
      </c>
      <c r="F1031" t="str">
        <f>IF($J1031="","",IFERROR(SUMIFS('Weekly Log'!$F:$F,'Weekly Log'!$A:$A,"&gt;="&amp;$J1031,'Weekly Log'!$A:$A,"&lt;"&amp;$J1031+7)/SUMIFS('Weekly Log'!$E:$E,'Weekly Log'!$A:$A,"&gt;="&amp;$J1031,'Weekly Log'!$A:$A,"&lt;"&amp;$J1031+7),0))</f>
        <v/>
      </c>
      <c r="G1031" t="str">
        <f>IF($J1031="","",IFERROR(LOOKUP(2,1/(('Weekly Log'!$A$5:$A$5000&gt;=$J1031)*('Weekly Log'!$A$5:$A$5000&lt;$J1031+7)*('Weekly Log'!$M$5:$M$5000&lt;&gt;"")),'Weekly Log'!$M$5:$M$5000),0))</f>
        <v/>
      </c>
      <c r="J1031" t="str">
        <f>IF(COUNT('Weekly Log'!$A$5:$A$5000)=0,"",IF(MIN('Weekly Log'!$A$5:$A$5000)+7*(ROW()-10)&gt;MAX('Weekly Log'!$A$5:$A$5000),"",MIN('Weekly Log'!$A$5:$A$5000)+7*(ROW()-10)))</f>
        <v/>
      </c>
    </row>
    <row r="1032" spans="1:10" x14ac:dyDescent="0.25">
      <c r="A1032" t="str">
        <f t="shared" si="15"/>
        <v/>
      </c>
      <c r="B1032" t="str">
        <f>IF($J1032="","",SUMIFS('Weekly Log'!$C:$C,'Weekly Log'!$A:$A,"&gt;="&amp;$J1032,'Weekly Log'!$A:$A,"&lt;"&amp;$J1032+7))</f>
        <v/>
      </c>
      <c r="C1032" t="str">
        <f>IF($J1032="","",IFERROR(COUNTIFS('Weekly Log'!$G:$G,"Y",'Weekly Log'!$A:$A,"&gt;="&amp;$J1032,'Weekly Log'!$A:$A,"&lt;"&amp;$J1032+7)/COUNTIFS('Weekly Log'!$G:$G,"&lt;&gt;",'Weekly Log'!$A:$A,"&gt;="&amp;$J1032,'Weekly Log'!$A:$A,"&lt;"&amp;$J1032+7),0))</f>
        <v/>
      </c>
      <c r="D1032" t="str">
        <f>IF($J1032="","",IFERROR(COUNTIFS('Weekly Log'!$H:$H,"Y",'Weekly Log'!$A:$A,"&gt;="&amp;$J1032,'Weekly Log'!$A:$A,"&lt;"&amp;$J1032+7)/COUNTIFS('Weekly Log'!$H:$H,"&lt;&gt;",'Weekly Log'!$A:$A,"&gt;="&amp;$J1032,'Weekly Log'!$A:$A,"&lt;"&amp;$J1032+7),0))</f>
        <v/>
      </c>
      <c r="E1032" t="str">
        <f>IF($J1032="","",IFERROR(AVERAGEIFS('Weekly Log'!$F:$F,'Weekly Log'!$A:$A,"&gt;="&amp;$J1032,'Weekly Log'!$A:$A,"&lt;"&amp;$J1032+7),0))</f>
        <v/>
      </c>
      <c r="F1032" t="str">
        <f>IF($J1032="","",IFERROR(SUMIFS('Weekly Log'!$F:$F,'Weekly Log'!$A:$A,"&gt;="&amp;$J1032,'Weekly Log'!$A:$A,"&lt;"&amp;$J1032+7)/SUMIFS('Weekly Log'!$E:$E,'Weekly Log'!$A:$A,"&gt;="&amp;$J1032,'Weekly Log'!$A:$A,"&lt;"&amp;$J1032+7),0))</f>
        <v/>
      </c>
      <c r="G1032" t="str">
        <f>IF($J1032="","",IFERROR(LOOKUP(2,1/(('Weekly Log'!$A$5:$A$5000&gt;=$J1032)*('Weekly Log'!$A$5:$A$5000&lt;$J1032+7)*('Weekly Log'!$M$5:$M$5000&lt;&gt;"")),'Weekly Log'!$M$5:$M$5000),0))</f>
        <v/>
      </c>
      <c r="J1032" t="str">
        <f>IF(COUNT('Weekly Log'!$A$5:$A$5000)=0,"",IF(MIN('Weekly Log'!$A$5:$A$5000)+7*(ROW()-10)&gt;MAX('Weekly Log'!$A$5:$A$5000),"",MIN('Weekly Log'!$A$5:$A$5000)+7*(ROW()-10)))</f>
        <v/>
      </c>
    </row>
    <row r="1033" spans="1:10" x14ac:dyDescent="0.25">
      <c r="A1033" t="str">
        <f t="shared" si="15"/>
        <v/>
      </c>
      <c r="B1033" t="str">
        <f>IF($J1033="","",SUMIFS('Weekly Log'!$C:$C,'Weekly Log'!$A:$A,"&gt;="&amp;$J1033,'Weekly Log'!$A:$A,"&lt;"&amp;$J1033+7))</f>
        <v/>
      </c>
      <c r="C1033" t="str">
        <f>IF($J1033="","",IFERROR(COUNTIFS('Weekly Log'!$G:$G,"Y",'Weekly Log'!$A:$A,"&gt;="&amp;$J1033,'Weekly Log'!$A:$A,"&lt;"&amp;$J1033+7)/COUNTIFS('Weekly Log'!$G:$G,"&lt;&gt;",'Weekly Log'!$A:$A,"&gt;="&amp;$J1033,'Weekly Log'!$A:$A,"&lt;"&amp;$J1033+7),0))</f>
        <v/>
      </c>
      <c r="D1033" t="str">
        <f>IF($J1033="","",IFERROR(COUNTIFS('Weekly Log'!$H:$H,"Y",'Weekly Log'!$A:$A,"&gt;="&amp;$J1033,'Weekly Log'!$A:$A,"&lt;"&amp;$J1033+7)/COUNTIFS('Weekly Log'!$H:$H,"&lt;&gt;",'Weekly Log'!$A:$A,"&gt;="&amp;$J1033,'Weekly Log'!$A:$A,"&lt;"&amp;$J1033+7),0))</f>
        <v/>
      </c>
      <c r="E1033" t="str">
        <f>IF($J1033="","",IFERROR(AVERAGEIFS('Weekly Log'!$F:$F,'Weekly Log'!$A:$A,"&gt;="&amp;$J1033,'Weekly Log'!$A:$A,"&lt;"&amp;$J1033+7),0))</f>
        <v/>
      </c>
      <c r="F1033" t="str">
        <f>IF($J1033="","",IFERROR(SUMIFS('Weekly Log'!$F:$F,'Weekly Log'!$A:$A,"&gt;="&amp;$J1033,'Weekly Log'!$A:$A,"&lt;"&amp;$J1033+7)/SUMIFS('Weekly Log'!$E:$E,'Weekly Log'!$A:$A,"&gt;="&amp;$J1033,'Weekly Log'!$A:$A,"&lt;"&amp;$J1033+7),0))</f>
        <v/>
      </c>
      <c r="G1033" t="str">
        <f>IF($J1033="","",IFERROR(LOOKUP(2,1/(('Weekly Log'!$A$5:$A$5000&gt;=$J1033)*('Weekly Log'!$A$5:$A$5000&lt;$J1033+7)*('Weekly Log'!$M$5:$M$5000&lt;&gt;"")),'Weekly Log'!$M$5:$M$5000),0))</f>
        <v/>
      </c>
      <c r="J1033" t="str">
        <f>IF(COUNT('Weekly Log'!$A$5:$A$5000)=0,"",IF(MIN('Weekly Log'!$A$5:$A$5000)+7*(ROW()-10)&gt;MAX('Weekly Log'!$A$5:$A$5000),"",MIN('Weekly Log'!$A$5:$A$5000)+7*(ROW()-10)))</f>
        <v/>
      </c>
    </row>
    <row r="1034" spans="1:10" x14ac:dyDescent="0.25">
      <c r="A1034" t="str">
        <f t="shared" ref="A1034:A1097" si="16">IF($J1034="","",YEAR($J1034-WEEKDAY($J1034,2)+4)&amp;"-W"&amp;TEXT(WEEKNUM($J1034,21),"00"))</f>
        <v/>
      </c>
      <c r="B1034" t="str">
        <f>IF($J1034="","",SUMIFS('Weekly Log'!$C:$C,'Weekly Log'!$A:$A,"&gt;="&amp;$J1034,'Weekly Log'!$A:$A,"&lt;"&amp;$J1034+7))</f>
        <v/>
      </c>
      <c r="C1034" t="str">
        <f>IF($J1034="","",IFERROR(COUNTIFS('Weekly Log'!$G:$G,"Y",'Weekly Log'!$A:$A,"&gt;="&amp;$J1034,'Weekly Log'!$A:$A,"&lt;"&amp;$J1034+7)/COUNTIFS('Weekly Log'!$G:$G,"&lt;&gt;",'Weekly Log'!$A:$A,"&gt;="&amp;$J1034,'Weekly Log'!$A:$A,"&lt;"&amp;$J1034+7),0))</f>
        <v/>
      </c>
      <c r="D1034" t="str">
        <f>IF($J1034="","",IFERROR(COUNTIFS('Weekly Log'!$H:$H,"Y",'Weekly Log'!$A:$A,"&gt;="&amp;$J1034,'Weekly Log'!$A:$A,"&lt;"&amp;$J1034+7)/COUNTIFS('Weekly Log'!$H:$H,"&lt;&gt;",'Weekly Log'!$A:$A,"&gt;="&amp;$J1034,'Weekly Log'!$A:$A,"&lt;"&amp;$J1034+7),0))</f>
        <v/>
      </c>
      <c r="E1034" t="str">
        <f>IF($J1034="","",IFERROR(AVERAGEIFS('Weekly Log'!$F:$F,'Weekly Log'!$A:$A,"&gt;="&amp;$J1034,'Weekly Log'!$A:$A,"&lt;"&amp;$J1034+7),0))</f>
        <v/>
      </c>
      <c r="F1034" t="str">
        <f>IF($J1034="","",IFERROR(SUMIFS('Weekly Log'!$F:$F,'Weekly Log'!$A:$A,"&gt;="&amp;$J1034,'Weekly Log'!$A:$A,"&lt;"&amp;$J1034+7)/SUMIFS('Weekly Log'!$E:$E,'Weekly Log'!$A:$A,"&gt;="&amp;$J1034,'Weekly Log'!$A:$A,"&lt;"&amp;$J1034+7),0))</f>
        <v/>
      </c>
      <c r="G1034" t="str">
        <f>IF($J1034="","",IFERROR(LOOKUP(2,1/(('Weekly Log'!$A$5:$A$5000&gt;=$J1034)*('Weekly Log'!$A$5:$A$5000&lt;$J1034+7)*('Weekly Log'!$M$5:$M$5000&lt;&gt;"")),'Weekly Log'!$M$5:$M$5000),0))</f>
        <v/>
      </c>
      <c r="J1034" t="str">
        <f>IF(COUNT('Weekly Log'!$A$5:$A$5000)=0,"",IF(MIN('Weekly Log'!$A$5:$A$5000)+7*(ROW()-10)&gt;MAX('Weekly Log'!$A$5:$A$5000),"",MIN('Weekly Log'!$A$5:$A$5000)+7*(ROW()-10)))</f>
        <v/>
      </c>
    </row>
    <row r="1035" spans="1:10" x14ac:dyDescent="0.25">
      <c r="A1035" t="str">
        <f t="shared" si="16"/>
        <v/>
      </c>
      <c r="B1035" t="str">
        <f>IF($J1035="","",SUMIFS('Weekly Log'!$C:$C,'Weekly Log'!$A:$A,"&gt;="&amp;$J1035,'Weekly Log'!$A:$A,"&lt;"&amp;$J1035+7))</f>
        <v/>
      </c>
      <c r="C1035" t="str">
        <f>IF($J1035="","",IFERROR(COUNTIFS('Weekly Log'!$G:$G,"Y",'Weekly Log'!$A:$A,"&gt;="&amp;$J1035,'Weekly Log'!$A:$A,"&lt;"&amp;$J1035+7)/COUNTIFS('Weekly Log'!$G:$G,"&lt;&gt;",'Weekly Log'!$A:$A,"&gt;="&amp;$J1035,'Weekly Log'!$A:$A,"&lt;"&amp;$J1035+7),0))</f>
        <v/>
      </c>
      <c r="D1035" t="str">
        <f>IF($J1035="","",IFERROR(COUNTIFS('Weekly Log'!$H:$H,"Y",'Weekly Log'!$A:$A,"&gt;="&amp;$J1035,'Weekly Log'!$A:$A,"&lt;"&amp;$J1035+7)/COUNTIFS('Weekly Log'!$H:$H,"&lt;&gt;",'Weekly Log'!$A:$A,"&gt;="&amp;$J1035,'Weekly Log'!$A:$A,"&lt;"&amp;$J1035+7),0))</f>
        <v/>
      </c>
      <c r="E1035" t="str">
        <f>IF($J1035="","",IFERROR(AVERAGEIFS('Weekly Log'!$F:$F,'Weekly Log'!$A:$A,"&gt;="&amp;$J1035,'Weekly Log'!$A:$A,"&lt;"&amp;$J1035+7),0))</f>
        <v/>
      </c>
      <c r="F1035" t="str">
        <f>IF($J1035="","",IFERROR(SUMIFS('Weekly Log'!$F:$F,'Weekly Log'!$A:$A,"&gt;="&amp;$J1035,'Weekly Log'!$A:$A,"&lt;"&amp;$J1035+7)/SUMIFS('Weekly Log'!$E:$E,'Weekly Log'!$A:$A,"&gt;="&amp;$J1035,'Weekly Log'!$A:$A,"&lt;"&amp;$J1035+7),0))</f>
        <v/>
      </c>
      <c r="G1035" t="str">
        <f>IF($J1035="","",IFERROR(LOOKUP(2,1/(('Weekly Log'!$A$5:$A$5000&gt;=$J1035)*('Weekly Log'!$A$5:$A$5000&lt;$J1035+7)*('Weekly Log'!$M$5:$M$5000&lt;&gt;"")),'Weekly Log'!$M$5:$M$5000),0))</f>
        <v/>
      </c>
      <c r="J1035" t="str">
        <f>IF(COUNT('Weekly Log'!$A$5:$A$5000)=0,"",IF(MIN('Weekly Log'!$A$5:$A$5000)+7*(ROW()-10)&gt;MAX('Weekly Log'!$A$5:$A$5000),"",MIN('Weekly Log'!$A$5:$A$5000)+7*(ROW()-10)))</f>
        <v/>
      </c>
    </row>
    <row r="1036" spans="1:10" x14ac:dyDescent="0.25">
      <c r="A1036" t="str">
        <f t="shared" si="16"/>
        <v/>
      </c>
      <c r="B1036" t="str">
        <f>IF($J1036="","",SUMIFS('Weekly Log'!$C:$C,'Weekly Log'!$A:$A,"&gt;="&amp;$J1036,'Weekly Log'!$A:$A,"&lt;"&amp;$J1036+7))</f>
        <v/>
      </c>
      <c r="C1036" t="str">
        <f>IF($J1036="","",IFERROR(COUNTIFS('Weekly Log'!$G:$G,"Y",'Weekly Log'!$A:$A,"&gt;="&amp;$J1036,'Weekly Log'!$A:$A,"&lt;"&amp;$J1036+7)/COUNTIFS('Weekly Log'!$G:$G,"&lt;&gt;",'Weekly Log'!$A:$A,"&gt;="&amp;$J1036,'Weekly Log'!$A:$A,"&lt;"&amp;$J1036+7),0))</f>
        <v/>
      </c>
      <c r="D1036" t="str">
        <f>IF($J1036="","",IFERROR(COUNTIFS('Weekly Log'!$H:$H,"Y",'Weekly Log'!$A:$A,"&gt;="&amp;$J1036,'Weekly Log'!$A:$A,"&lt;"&amp;$J1036+7)/COUNTIFS('Weekly Log'!$H:$H,"&lt;&gt;",'Weekly Log'!$A:$A,"&gt;="&amp;$J1036,'Weekly Log'!$A:$A,"&lt;"&amp;$J1036+7),0))</f>
        <v/>
      </c>
      <c r="E1036" t="str">
        <f>IF($J1036="","",IFERROR(AVERAGEIFS('Weekly Log'!$F:$F,'Weekly Log'!$A:$A,"&gt;="&amp;$J1036,'Weekly Log'!$A:$A,"&lt;"&amp;$J1036+7),0))</f>
        <v/>
      </c>
      <c r="F1036" t="str">
        <f>IF($J1036="","",IFERROR(SUMIFS('Weekly Log'!$F:$F,'Weekly Log'!$A:$A,"&gt;="&amp;$J1036,'Weekly Log'!$A:$A,"&lt;"&amp;$J1036+7)/SUMIFS('Weekly Log'!$E:$E,'Weekly Log'!$A:$A,"&gt;="&amp;$J1036,'Weekly Log'!$A:$A,"&lt;"&amp;$J1036+7),0))</f>
        <v/>
      </c>
      <c r="G1036" t="str">
        <f>IF($J1036="","",IFERROR(LOOKUP(2,1/(('Weekly Log'!$A$5:$A$5000&gt;=$J1036)*('Weekly Log'!$A$5:$A$5000&lt;$J1036+7)*('Weekly Log'!$M$5:$M$5000&lt;&gt;"")),'Weekly Log'!$M$5:$M$5000),0))</f>
        <v/>
      </c>
      <c r="J1036" t="str">
        <f>IF(COUNT('Weekly Log'!$A$5:$A$5000)=0,"",IF(MIN('Weekly Log'!$A$5:$A$5000)+7*(ROW()-10)&gt;MAX('Weekly Log'!$A$5:$A$5000),"",MIN('Weekly Log'!$A$5:$A$5000)+7*(ROW()-10)))</f>
        <v/>
      </c>
    </row>
    <row r="1037" spans="1:10" x14ac:dyDescent="0.25">
      <c r="A1037" t="str">
        <f t="shared" si="16"/>
        <v/>
      </c>
      <c r="B1037" t="str">
        <f>IF($J1037="","",SUMIFS('Weekly Log'!$C:$C,'Weekly Log'!$A:$A,"&gt;="&amp;$J1037,'Weekly Log'!$A:$A,"&lt;"&amp;$J1037+7))</f>
        <v/>
      </c>
      <c r="C1037" t="str">
        <f>IF($J1037="","",IFERROR(COUNTIFS('Weekly Log'!$G:$G,"Y",'Weekly Log'!$A:$A,"&gt;="&amp;$J1037,'Weekly Log'!$A:$A,"&lt;"&amp;$J1037+7)/COUNTIFS('Weekly Log'!$G:$G,"&lt;&gt;",'Weekly Log'!$A:$A,"&gt;="&amp;$J1037,'Weekly Log'!$A:$A,"&lt;"&amp;$J1037+7),0))</f>
        <v/>
      </c>
      <c r="D1037" t="str">
        <f>IF($J1037="","",IFERROR(COUNTIFS('Weekly Log'!$H:$H,"Y",'Weekly Log'!$A:$A,"&gt;="&amp;$J1037,'Weekly Log'!$A:$A,"&lt;"&amp;$J1037+7)/COUNTIFS('Weekly Log'!$H:$H,"&lt;&gt;",'Weekly Log'!$A:$A,"&gt;="&amp;$J1037,'Weekly Log'!$A:$A,"&lt;"&amp;$J1037+7),0))</f>
        <v/>
      </c>
      <c r="E1037" t="str">
        <f>IF($J1037="","",IFERROR(AVERAGEIFS('Weekly Log'!$F:$F,'Weekly Log'!$A:$A,"&gt;="&amp;$J1037,'Weekly Log'!$A:$A,"&lt;"&amp;$J1037+7),0))</f>
        <v/>
      </c>
      <c r="F1037" t="str">
        <f>IF($J1037="","",IFERROR(SUMIFS('Weekly Log'!$F:$F,'Weekly Log'!$A:$A,"&gt;="&amp;$J1037,'Weekly Log'!$A:$A,"&lt;"&amp;$J1037+7)/SUMIFS('Weekly Log'!$E:$E,'Weekly Log'!$A:$A,"&gt;="&amp;$J1037,'Weekly Log'!$A:$A,"&lt;"&amp;$J1037+7),0))</f>
        <v/>
      </c>
      <c r="G1037" t="str">
        <f>IF($J1037="","",IFERROR(LOOKUP(2,1/(('Weekly Log'!$A$5:$A$5000&gt;=$J1037)*('Weekly Log'!$A$5:$A$5000&lt;$J1037+7)*('Weekly Log'!$M$5:$M$5000&lt;&gt;"")),'Weekly Log'!$M$5:$M$5000),0))</f>
        <v/>
      </c>
      <c r="J1037" t="str">
        <f>IF(COUNT('Weekly Log'!$A$5:$A$5000)=0,"",IF(MIN('Weekly Log'!$A$5:$A$5000)+7*(ROW()-10)&gt;MAX('Weekly Log'!$A$5:$A$5000),"",MIN('Weekly Log'!$A$5:$A$5000)+7*(ROW()-10)))</f>
        <v/>
      </c>
    </row>
    <row r="1038" spans="1:10" x14ac:dyDescent="0.25">
      <c r="A1038" t="str">
        <f t="shared" si="16"/>
        <v/>
      </c>
      <c r="B1038" t="str">
        <f>IF($J1038="","",SUMIFS('Weekly Log'!$C:$C,'Weekly Log'!$A:$A,"&gt;="&amp;$J1038,'Weekly Log'!$A:$A,"&lt;"&amp;$J1038+7))</f>
        <v/>
      </c>
      <c r="C1038" t="str">
        <f>IF($J1038="","",IFERROR(COUNTIFS('Weekly Log'!$G:$G,"Y",'Weekly Log'!$A:$A,"&gt;="&amp;$J1038,'Weekly Log'!$A:$A,"&lt;"&amp;$J1038+7)/COUNTIFS('Weekly Log'!$G:$G,"&lt;&gt;",'Weekly Log'!$A:$A,"&gt;="&amp;$J1038,'Weekly Log'!$A:$A,"&lt;"&amp;$J1038+7),0))</f>
        <v/>
      </c>
      <c r="D1038" t="str">
        <f>IF($J1038="","",IFERROR(COUNTIFS('Weekly Log'!$H:$H,"Y",'Weekly Log'!$A:$A,"&gt;="&amp;$J1038,'Weekly Log'!$A:$A,"&lt;"&amp;$J1038+7)/COUNTIFS('Weekly Log'!$H:$H,"&lt;&gt;",'Weekly Log'!$A:$A,"&gt;="&amp;$J1038,'Weekly Log'!$A:$A,"&lt;"&amp;$J1038+7),0))</f>
        <v/>
      </c>
      <c r="E1038" t="str">
        <f>IF($J1038="","",IFERROR(AVERAGEIFS('Weekly Log'!$F:$F,'Weekly Log'!$A:$A,"&gt;="&amp;$J1038,'Weekly Log'!$A:$A,"&lt;"&amp;$J1038+7),0))</f>
        <v/>
      </c>
      <c r="F1038" t="str">
        <f>IF($J1038="","",IFERROR(SUMIFS('Weekly Log'!$F:$F,'Weekly Log'!$A:$A,"&gt;="&amp;$J1038,'Weekly Log'!$A:$A,"&lt;"&amp;$J1038+7)/SUMIFS('Weekly Log'!$E:$E,'Weekly Log'!$A:$A,"&gt;="&amp;$J1038,'Weekly Log'!$A:$A,"&lt;"&amp;$J1038+7),0))</f>
        <v/>
      </c>
      <c r="G1038" t="str">
        <f>IF($J1038="","",IFERROR(LOOKUP(2,1/(('Weekly Log'!$A$5:$A$5000&gt;=$J1038)*('Weekly Log'!$A$5:$A$5000&lt;$J1038+7)*('Weekly Log'!$M$5:$M$5000&lt;&gt;"")),'Weekly Log'!$M$5:$M$5000),0))</f>
        <v/>
      </c>
      <c r="J1038" t="str">
        <f>IF(COUNT('Weekly Log'!$A$5:$A$5000)=0,"",IF(MIN('Weekly Log'!$A$5:$A$5000)+7*(ROW()-10)&gt;MAX('Weekly Log'!$A$5:$A$5000),"",MIN('Weekly Log'!$A$5:$A$5000)+7*(ROW()-10)))</f>
        <v/>
      </c>
    </row>
    <row r="1039" spans="1:10" x14ac:dyDescent="0.25">
      <c r="A1039" t="str">
        <f t="shared" si="16"/>
        <v/>
      </c>
      <c r="B1039" t="str">
        <f>IF($J1039="","",SUMIFS('Weekly Log'!$C:$C,'Weekly Log'!$A:$A,"&gt;="&amp;$J1039,'Weekly Log'!$A:$A,"&lt;"&amp;$J1039+7))</f>
        <v/>
      </c>
      <c r="C1039" t="str">
        <f>IF($J1039="","",IFERROR(COUNTIFS('Weekly Log'!$G:$G,"Y",'Weekly Log'!$A:$A,"&gt;="&amp;$J1039,'Weekly Log'!$A:$A,"&lt;"&amp;$J1039+7)/COUNTIFS('Weekly Log'!$G:$G,"&lt;&gt;",'Weekly Log'!$A:$A,"&gt;="&amp;$J1039,'Weekly Log'!$A:$A,"&lt;"&amp;$J1039+7),0))</f>
        <v/>
      </c>
      <c r="D1039" t="str">
        <f>IF($J1039="","",IFERROR(COUNTIFS('Weekly Log'!$H:$H,"Y",'Weekly Log'!$A:$A,"&gt;="&amp;$J1039,'Weekly Log'!$A:$A,"&lt;"&amp;$J1039+7)/COUNTIFS('Weekly Log'!$H:$H,"&lt;&gt;",'Weekly Log'!$A:$A,"&gt;="&amp;$J1039,'Weekly Log'!$A:$A,"&lt;"&amp;$J1039+7),0))</f>
        <v/>
      </c>
      <c r="E1039" t="str">
        <f>IF($J1039="","",IFERROR(AVERAGEIFS('Weekly Log'!$F:$F,'Weekly Log'!$A:$A,"&gt;="&amp;$J1039,'Weekly Log'!$A:$A,"&lt;"&amp;$J1039+7),0))</f>
        <v/>
      </c>
      <c r="F1039" t="str">
        <f>IF($J1039="","",IFERROR(SUMIFS('Weekly Log'!$F:$F,'Weekly Log'!$A:$A,"&gt;="&amp;$J1039,'Weekly Log'!$A:$A,"&lt;"&amp;$J1039+7)/SUMIFS('Weekly Log'!$E:$E,'Weekly Log'!$A:$A,"&gt;="&amp;$J1039,'Weekly Log'!$A:$A,"&lt;"&amp;$J1039+7),0))</f>
        <v/>
      </c>
      <c r="G1039" t="str">
        <f>IF($J1039="","",IFERROR(LOOKUP(2,1/(('Weekly Log'!$A$5:$A$5000&gt;=$J1039)*('Weekly Log'!$A$5:$A$5000&lt;$J1039+7)*('Weekly Log'!$M$5:$M$5000&lt;&gt;"")),'Weekly Log'!$M$5:$M$5000),0))</f>
        <v/>
      </c>
      <c r="J1039" t="str">
        <f>IF(COUNT('Weekly Log'!$A$5:$A$5000)=0,"",IF(MIN('Weekly Log'!$A$5:$A$5000)+7*(ROW()-10)&gt;MAX('Weekly Log'!$A$5:$A$5000),"",MIN('Weekly Log'!$A$5:$A$5000)+7*(ROW()-10)))</f>
        <v/>
      </c>
    </row>
    <row r="1040" spans="1:10" x14ac:dyDescent="0.25">
      <c r="A1040" t="str">
        <f t="shared" si="16"/>
        <v/>
      </c>
      <c r="B1040" t="str">
        <f>IF($J1040="","",SUMIFS('Weekly Log'!$C:$C,'Weekly Log'!$A:$A,"&gt;="&amp;$J1040,'Weekly Log'!$A:$A,"&lt;"&amp;$J1040+7))</f>
        <v/>
      </c>
      <c r="C1040" t="str">
        <f>IF($J1040="","",IFERROR(COUNTIFS('Weekly Log'!$G:$G,"Y",'Weekly Log'!$A:$A,"&gt;="&amp;$J1040,'Weekly Log'!$A:$A,"&lt;"&amp;$J1040+7)/COUNTIFS('Weekly Log'!$G:$G,"&lt;&gt;",'Weekly Log'!$A:$A,"&gt;="&amp;$J1040,'Weekly Log'!$A:$A,"&lt;"&amp;$J1040+7),0))</f>
        <v/>
      </c>
      <c r="D1040" t="str">
        <f>IF($J1040="","",IFERROR(COUNTIFS('Weekly Log'!$H:$H,"Y",'Weekly Log'!$A:$A,"&gt;="&amp;$J1040,'Weekly Log'!$A:$A,"&lt;"&amp;$J1040+7)/COUNTIFS('Weekly Log'!$H:$H,"&lt;&gt;",'Weekly Log'!$A:$A,"&gt;="&amp;$J1040,'Weekly Log'!$A:$A,"&lt;"&amp;$J1040+7),0))</f>
        <v/>
      </c>
      <c r="E1040" t="str">
        <f>IF($J1040="","",IFERROR(AVERAGEIFS('Weekly Log'!$F:$F,'Weekly Log'!$A:$A,"&gt;="&amp;$J1040,'Weekly Log'!$A:$A,"&lt;"&amp;$J1040+7),0))</f>
        <v/>
      </c>
      <c r="F1040" t="str">
        <f>IF($J1040="","",IFERROR(SUMIFS('Weekly Log'!$F:$F,'Weekly Log'!$A:$A,"&gt;="&amp;$J1040,'Weekly Log'!$A:$A,"&lt;"&amp;$J1040+7)/SUMIFS('Weekly Log'!$E:$E,'Weekly Log'!$A:$A,"&gt;="&amp;$J1040,'Weekly Log'!$A:$A,"&lt;"&amp;$J1040+7),0))</f>
        <v/>
      </c>
      <c r="G1040" t="str">
        <f>IF($J1040="","",IFERROR(LOOKUP(2,1/(('Weekly Log'!$A$5:$A$5000&gt;=$J1040)*('Weekly Log'!$A$5:$A$5000&lt;$J1040+7)*('Weekly Log'!$M$5:$M$5000&lt;&gt;"")),'Weekly Log'!$M$5:$M$5000),0))</f>
        <v/>
      </c>
      <c r="J1040" t="str">
        <f>IF(COUNT('Weekly Log'!$A$5:$A$5000)=0,"",IF(MIN('Weekly Log'!$A$5:$A$5000)+7*(ROW()-10)&gt;MAX('Weekly Log'!$A$5:$A$5000),"",MIN('Weekly Log'!$A$5:$A$5000)+7*(ROW()-10)))</f>
        <v/>
      </c>
    </row>
    <row r="1041" spans="1:10" x14ac:dyDescent="0.25">
      <c r="A1041" t="str">
        <f t="shared" si="16"/>
        <v/>
      </c>
      <c r="B1041" t="str">
        <f>IF($J1041="","",SUMIFS('Weekly Log'!$C:$C,'Weekly Log'!$A:$A,"&gt;="&amp;$J1041,'Weekly Log'!$A:$A,"&lt;"&amp;$J1041+7))</f>
        <v/>
      </c>
      <c r="C1041" t="str">
        <f>IF($J1041="","",IFERROR(COUNTIFS('Weekly Log'!$G:$G,"Y",'Weekly Log'!$A:$A,"&gt;="&amp;$J1041,'Weekly Log'!$A:$A,"&lt;"&amp;$J1041+7)/COUNTIFS('Weekly Log'!$G:$G,"&lt;&gt;",'Weekly Log'!$A:$A,"&gt;="&amp;$J1041,'Weekly Log'!$A:$A,"&lt;"&amp;$J1041+7),0))</f>
        <v/>
      </c>
      <c r="D1041" t="str">
        <f>IF($J1041="","",IFERROR(COUNTIFS('Weekly Log'!$H:$H,"Y",'Weekly Log'!$A:$A,"&gt;="&amp;$J1041,'Weekly Log'!$A:$A,"&lt;"&amp;$J1041+7)/COUNTIFS('Weekly Log'!$H:$H,"&lt;&gt;",'Weekly Log'!$A:$A,"&gt;="&amp;$J1041,'Weekly Log'!$A:$A,"&lt;"&amp;$J1041+7),0))</f>
        <v/>
      </c>
      <c r="E1041" t="str">
        <f>IF($J1041="","",IFERROR(AVERAGEIFS('Weekly Log'!$F:$F,'Weekly Log'!$A:$A,"&gt;="&amp;$J1041,'Weekly Log'!$A:$A,"&lt;"&amp;$J1041+7),0))</f>
        <v/>
      </c>
      <c r="F1041" t="str">
        <f>IF($J1041="","",IFERROR(SUMIFS('Weekly Log'!$F:$F,'Weekly Log'!$A:$A,"&gt;="&amp;$J1041,'Weekly Log'!$A:$A,"&lt;"&amp;$J1041+7)/SUMIFS('Weekly Log'!$E:$E,'Weekly Log'!$A:$A,"&gt;="&amp;$J1041,'Weekly Log'!$A:$A,"&lt;"&amp;$J1041+7),0))</f>
        <v/>
      </c>
      <c r="G1041" t="str">
        <f>IF($J1041="","",IFERROR(LOOKUP(2,1/(('Weekly Log'!$A$5:$A$5000&gt;=$J1041)*('Weekly Log'!$A$5:$A$5000&lt;$J1041+7)*('Weekly Log'!$M$5:$M$5000&lt;&gt;"")),'Weekly Log'!$M$5:$M$5000),0))</f>
        <v/>
      </c>
      <c r="J1041" t="str">
        <f>IF(COUNT('Weekly Log'!$A$5:$A$5000)=0,"",IF(MIN('Weekly Log'!$A$5:$A$5000)+7*(ROW()-10)&gt;MAX('Weekly Log'!$A$5:$A$5000),"",MIN('Weekly Log'!$A$5:$A$5000)+7*(ROW()-10)))</f>
        <v/>
      </c>
    </row>
    <row r="1042" spans="1:10" x14ac:dyDescent="0.25">
      <c r="A1042" t="str">
        <f t="shared" si="16"/>
        <v/>
      </c>
      <c r="B1042" t="str">
        <f>IF($J1042="","",SUMIFS('Weekly Log'!$C:$C,'Weekly Log'!$A:$A,"&gt;="&amp;$J1042,'Weekly Log'!$A:$A,"&lt;"&amp;$J1042+7))</f>
        <v/>
      </c>
      <c r="C1042" t="str">
        <f>IF($J1042="","",IFERROR(COUNTIFS('Weekly Log'!$G:$G,"Y",'Weekly Log'!$A:$A,"&gt;="&amp;$J1042,'Weekly Log'!$A:$A,"&lt;"&amp;$J1042+7)/COUNTIFS('Weekly Log'!$G:$G,"&lt;&gt;",'Weekly Log'!$A:$A,"&gt;="&amp;$J1042,'Weekly Log'!$A:$A,"&lt;"&amp;$J1042+7),0))</f>
        <v/>
      </c>
      <c r="D1042" t="str">
        <f>IF($J1042="","",IFERROR(COUNTIFS('Weekly Log'!$H:$H,"Y",'Weekly Log'!$A:$A,"&gt;="&amp;$J1042,'Weekly Log'!$A:$A,"&lt;"&amp;$J1042+7)/COUNTIFS('Weekly Log'!$H:$H,"&lt;&gt;",'Weekly Log'!$A:$A,"&gt;="&amp;$J1042,'Weekly Log'!$A:$A,"&lt;"&amp;$J1042+7),0))</f>
        <v/>
      </c>
      <c r="E1042" t="str">
        <f>IF($J1042="","",IFERROR(AVERAGEIFS('Weekly Log'!$F:$F,'Weekly Log'!$A:$A,"&gt;="&amp;$J1042,'Weekly Log'!$A:$A,"&lt;"&amp;$J1042+7),0))</f>
        <v/>
      </c>
      <c r="F1042" t="str">
        <f>IF($J1042="","",IFERROR(SUMIFS('Weekly Log'!$F:$F,'Weekly Log'!$A:$A,"&gt;="&amp;$J1042,'Weekly Log'!$A:$A,"&lt;"&amp;$J1042+7)/SUMIFS('Weekly Log'!$E:$E,'Weekly Log'!$A:$A,"&gt;="&amp;$J1042,'Weekly Log'!$A:$A,"&lt;"&amp;$J1042+7),0))</f>
        <v/>
      </c>
      <c r="G1042" t="str">
        <f>IF($J1042="","",IFERROR(LOOKUP(2,1/(('Weekly Log'!$A$5:$A$5000&gt;=$J1042)*('Weekly Log'!$A$5:$A$5000&lt;$J1042+7)*('Weekly Log'!$M$5:$M$5000&lt;&gt;"")),'Weekly Log'!$M$5:$M$5000),0))</f>
        <v/>
      </c>
      <c r="J1042" t="str">
        <f>IF(COUNT('Weekly Log'!$A$5:$A$5000)=0,"",IF(MIN('Weekly Log'!$A$5:$A$5000)+7*(ROW()-10)&gt;MAX('Weekly Log'!$A$5:$A$5000),"",MIN('Weekly Log'!$A$5:$A$5000)+7*(ROW()-10)))</f>
        <v/>
      </c>
    </row>
    <row r="1043" spans="1:10" x14ac:dyDescent="0.25">
      <c r="A1043" t="str">
        <f t="shared" si="16"/>
        <v/>
      </c>
      <c r="B1043" t="str">
        <f>IF($J1043="","",SUMIFS('Weekly Log'!$C:$C,'Weekly Log'!$A:$A,"&gt;="&amp;$J1043,'Weekly Log'!$A:$A,"&lt;"&amp;$J1043+7))</f>
        <v/>
      </c>
      <c r="C1043" t="str">
        <f>IF($J1043="","",IFERROR(COUNTIFS('Weekly Log'!$G:$G,"Y",'Weekly Log'!$A:$A,"&gt;="&amp;$J1043,'Weekly Log'!$A:$A,"&lt;"&amp;$J1043+7)/COUNTIFS('Weekly Log'!$G:$G,"&lt;&gt;",'Weekly Log'!$A:$A,"&gt;="&amp;$J1043,'Weekly Log'!$A:$A,"&lt;"&amp;$J1043+7),0))</f>
        <v/>
      </c>
      <c r="D1043" t="str">
        <f>IF($J1043="","",IFERROR(COUNTIFS('Weekly Log'!$H:$H,"Y",'Weekly Log'!$A:$A,"&gt;="&amp;$J1043,'Weekly Log'!$A:$A,"&lt;"&amp;$J1043+7)/COUNTIFS('Weekly Log'!$H:$H,"&lt;&gt;",'Weekly Log'!$A:$A,"&gt;="&amp;$J1043,'Weekly Log'!$A:$A,"&lt;"&amp;$J1043+7),0))</f>
        <v/>
      </c>
      <c r="E1043" t="str">
        <f>IF($J1043="","",IFERROR(AVERAGEIFS('Weekly Log'!$F:$F,'Weekly Log'!$A:$A,"&gt;="&amp;$J1043,'Weekly Log'!$A:$A,"&lt;"&amp;$J1043+7),0))</f>
        <v/>
      </c>
      <c r="F1043" t="str">
        <f>IF($J1043="","",IFERROR(SUMIFS('Weekly Log'!$F:$F,'Weekly Log'!$A:$A,"&gt;="&amp;$J1043,'Weekly Log'!$A:$A,"&lt;"&amp;$J1043+7)/SUMIFS('Weekly Log'!$E:$E,'Weekly Log'!$A:$A,"&gt;="&amp;$J1043,'Weekly Log'!$A:$A,"&lt;"&amp;$J1043+7),0))</f>
        <v/>
      </c>
      <c r="G1043" t="str">
        <f>IF($J1043="","",IFERROR(LOOKUP(2,1/(('Weekly Log'!$A$5:$A$5000&gt;=$J1043)*('Weekly Log'!$A$5:$A$5000&lt;$J1043+7)*('Weekly Log'!$M$5:$M$5000&lt;&gt;"")),'Weekly Log'!$M$5:$M$5000),0))</f>
        <v/>
      </c>
      <c r="J1043" t="str">
        <f>IF(COUNT('Weekly Log'!$A$5:$A$5000)=0,"",IF(MIN('Weekly Log'!$A$5:$A$5000)+7*(ROW()-10)&gt;MAX('Weekly Log'!$A$5:$A$5000),"",MIN('Weekly Log'!$A$5:$A$5000)+7*(ROW()-10)))</f>
        <v/>
      </c>
    </row>
    <row r="1044" spans="1:10" x14ac:dyDescent="0.25">
      <c r="A1044" t="str">
        <f t="shared" si="16"/>
        <v/>
      </c>
      <c r="B1044" t="str">
        <f>IF($J1044="","",SUMIFS('Weekly Log'!$C:$C,'Weekly Log'!$A:$A,"&gt;="&amp;$J1044,'Weekly Log'!$A:$A,"&lt;"&amp;$J1044+7))</f>
        <v/>
      </c>
      <c r="C1044" t="str">
        <f>IF($J1044="","",IFERROR(COUNTIFS('Weekly Log'!$G:$G,"Y",'Weekly Log'!$A:$A,"&gt;="&amp;$J1044,'Weekly Log'!$A:$A,"&lt;"&amp;$J1044+7)/COUNTIFS('Weekly Log'!$G:$G,"&lt;&gt;",'Weekly Log'!$A:$A,"&gt;="&amp;$J1044,'Weekly Log'!$A:$A,"&lt;"&amp;$J1044+7),0))</f>
        <v/>
      </c>
      <c r="D1044" t="str">
        <f>IF($J1044="","",IFERROR(COUNTIFS('Weekly Log'!$H:$H,"Y",'Weekly Log'!$A:$A,"&gt;="&amp;$J1044,'Weekly Log'!$A:$A,"&lt;"&amp;$J1044+7)/COUNTIFS('Weekly Log'!$H:$H,"&lt;&gt;",'Weekly Log'!$A:$A,"&gt;="&amp;$J1044,'Weekly Log'!$A:$A,"&lt;"&amp;$J1044+7),0))</f>
        <v/>
      </c>
      <c r="E1044" t="str">
        <f>IF($J1044="","",IFERROR(AVERAGEIFS('Weekly Log'!$F:$F,'Weekly Log'!$A:$A,"&gt;="&amp;$J1044,'Weekly Log'!$A:$A,"&lt;"&amp;$J1044+7),0))</f>
        <v/>
      </c>
      <c r="F1044" t="str">
        <f>IF($J1044="","",IFERROR(SUMIFS('Weekly Log'!$F:$F,'Weekly Log'!$A:$A,"&gt;="&amp;$J1044,'Weekly Log'!$A:$A,"&lt;"&amp;$J1044+7)/SUMIFS('Weekly Log'!$E:$E,'Weekly Log'!$A:$A,"&gt;="&amp;$J1044,'Weekly Log'!$A:$A,"&lt;"&amp;$J1044+7),0))</f>
        <v/>
      </c>
      <c r="G1044" t="str">
        <f>IF($J1044="","",IFERROR(LOOKUP(2,1/(('Weekly Log'!$A$5:$A$5000&gt;=$J1044)*('Weekly Log'!$A$5:$A$5000&lt;$J1044+7)*('Weekly Log'!$M$5:$M$5000&lt;&gt;"")),'Weekly Log'!$M$5:$M$5000),0))</f>
        <v/>
      </c>
      <c r="J1044" t="str">
        <f>IF(COUNT('Weekly Log'!$A$5:$A$5000)=0,"",IF(MIN('Weekly Log'!$A$5:$A$5000)+7*(ROW()-10)&gt;MAX('Weekly Log'!$A$5:$A$5000),"",MIN('Weekly Log'!$A$5:$A$5000)+7*(ROW()-10)))</f>
        <v/>
      </c>
    </row>
    <row r="1045" spans="1:10" x14ac:dyDescent="0.25">
      <c r="A1045" t="str">
        <f t="shared" si="16"/>
        <v/>
      </c>
      <c r="B1045" t="str">
        <f>IF($J1045="","",SUMIFS('Weekly Log'!$C:$C,'Weekly Log'!$A:$A,"&gt;="&amp;$J1045,'Weekly Log'!$A:$A,"&lt;"&amp;$J1045+7))</f>
        <v/>
      </c>
      <c r="C1045" t="str">
        <f>IF($J1045="","",IFERROR(COUNTIFS('Weekly Log'!$G:$G,"Y",'Weekly Log'!$A:$A,"&gt;="&amp;$J1045,'Weekly Log'!$A:$A,"&lt;"&amp;$J1045+7)/COUNTIFS('Weekly Log'!$G:$G,"&lt;&gt;",'Weekly Log'!$A:$A,"&gt;="&amp;$J1045,'Weekly Log'!$A:$A,"&lt;"&amp;$J1045+7),0))</f>
        <v/>
      </c>
      <c r="D1045" t="str">
        <f>IF($J1045="","",IFERROR(COUNTIFS('Weekly Log'!$H:$H,"Y",'Weekly Log'!$A:$A,"&gt;="&amp;$J1045,'Weekly Log'!$A:$A,"&lt;"&amp;$J1045+7)/COUNTIFS('Weekly Log'!$H:$H,"&lt;&gt;",'Weekly Log'!$A:$A,"&gt;="&amp;$J1045,'Weekly Log'!$A:$A,"&lt;"&amp;$J1045+7),0))</f>
        <v/>
      </c>
      <c r="E1045" t="str">
        <f>IF($J1045="","",IFERROR(AVERAGEIFS('Weekly Log'!$F:$F,'Weekly Log'!$A:$A,"&gt;="&amp;$J1045,'Weekly Log'!$A:$A,"&lt;"&amp;$J1045+7),0))</f>
        <v/>
      </c>
      <c r="F1045" t="str">
        <f>IF($J1045="","",IFERROR(SUMIFS('Weekly Log'!$F:$F,'Weekly Log'!$A:$A,"&gt;="&amp;$J1045,'Weekly Log'!$A:$A,"&lt;"&amp;$J1045+7)/SUMIFS('Weekly Log'!$E:$E,'Weekly Log'!$A:$A,"&gt;="&amp;$J1045,'Weekly Log'!$A:$A,"&lt;"&amp;$J1045+7),0))</f>
        <v/>
      </c>
      <c r="G1045" t="str">
        <f>IF($J1045="","",IFERROR(LOOKUP(2,1/(('Weekly Log'!$A$5:$A$5000&gt;=$J1045)*('Weekly Log'!$A$5:$A$5000&lt;$J1045+7)*('Weekly Log'!$M$5:$M$5000&lt;&gt;"")),'Weekly Log'!$M$5:$M$5000),0))</f>
        <v/>
      </c>
      <c r="J1045" t="str">
        <f>IF(COUNT('Weekly Log'!$A$5:$A$5000)=0,"",IF(MIN('Weekly Log'!$A$5:$A$5000)+7*(ROW()-10)&gt;MAX('Weekly Log'!$A$5:$A$5000),"",MIN('Weekly Log'!$A$5:$A$5000)+7*(ROW()-10)))</f>
        <v/>
      </c>
    </row>
    <row r="1046" spans="1:10" x14ac:dyDescent="0.25">
      <c r="A1046" t="str">
        <f t="shared" si="16"/>
        <v/>
      </c>
      <c r="B1046" t="str">
        <f>IF($J1046="","",SUMIFS('Weekly Log'!$C:$C,'Weekly Log'!$A:$A,"&gt;="&amp;$J1046,'Weekly Log'!$A:$A,"&lt;"&amp;$J1046+7))</f>
        <v/>
      </c>
      <c r="C1046" t="str">
        <f>IF($J1046="","",IFERROR(COUNTIFS('Weekly Log'!$G:$G,"Y",'Weekly Log'!$A:$A,"&gt;="&amp;$J1046,'Weekly Log'!$A:$A,"&lt;"&amp;$J1046+7)/COUNTIFS('Weekly Log'!$G:$G,"&lt;&gt;",'Weekly Log'!$A:$A,"&gt;="&amp;$J1046,'Weekly Log'!$A:$A,"&lt;"&amp;$J1046+7),0))</f>
        <v/>
      </c>
      <c r="D1046" t="str">
        <f>IF($J1046="","",IFERROR(COUNTIFS('Weekly Log'!$H:$H,"Y",'Weekly Log'!$A:$A,"&gt;="&amp;$J1046,'Weekly Log'!$A:$A,"&lt;"&amp;$J1046+7)/COUNTIFS('Weekly Log'!$H:$H,"&lt;&gt;",'Weekly Log'!$A:$A,"&gt;="&amp;$J1046,'Weekly Log'!$A:$A,"&lt;"&amp;$J1046+7),0))</f>
        <v/>
      </c>
      <c r="E1046" t="str">
        <f>IF($J1046="","",IFERROR(AVERAGEIFS('Weekly Log'!$F:$F,'Weekly Log'!$A:$A,"&gt;="&amp;$J1046,'Weekly Log'!$A:$A,"&lt;"&amp;$J1046+7),0))</f>
        <v/>
      </c>
      <c r="F1046" t="str">
        <f>IF($J1046="","",IFERROR(SUMIFS('Weekly Log'!$F:$F,'Weekly Log'!$A:$A,"&gt;="&amp;$J1046,'Weekly Log'!$A:$A,"&lt;"&amp;$J1046+7)/SUMIFS('Weekly Log'!$E:$E,'Weekly Log'!$A:$A,"&gt;="&amp;$J1046,'Weekly Log'!$A:$A,"&lt;"&amp;$J1046+7),0))</f>
        <v/>
      </c>
      <c r="G1046" t="str">
        <f>IF($J1046="","",IFERROR(LOOKUP(2,1/(('Weekly Log'!$A$5:$A$5000&gt;=$J1046)*('Weekly Log'!$A$5:$A$5000&lt;$J1046+7)*('Weekly Log'!$M$5:$M$5000&lt;&gt;"")),'Weekly Log'!$M$5:$M$5000),0))</f>
        <v/>
      </c>
      <c r="J1046" t="str">
        <f>IF(COUNT('Weekly Log'!$A$5:$A$5000)=0,"",IF(MIN('Weekly Log'!$A$5:$A$5000)+7*(ROW()-10)&gt;MAX('Weekly Log'!$A$5:$A$5000),"",MIN('Weekly Log'!$A$5:$A$5000)+7*(ROW()-10)))</f>
        <v/>
      </c>
    </row>
    <row r="1047" spans="1:10" x14ac:dyDescent="0.25">
      <c r="A1047" t="str">
        <f t="shared" si="16"/>
        <v/>
      </c>
      <c r="B1047" t="str">
        <f>IF($J1047="","",SUMIFS('Weekly Log'!$C:$C,'Weekly Log'!$A:$A,"&gt;="&amp;$J1047,'Weekly Log'!$A:$A,"&lt;"&amp;$J1047+7))</f>
        <v/>
      </c>
      <c r="C1047" t="str">
        <f>IF($J1047="","",IFERROR(COUNTIFS('Weekly Log'!$G:$G,"Y",'Weekly Log'!$A:$A,"&gt;="&amp;$J1047,'Weekly Log'!$A:$A,"&lt;"&amp;$J1047+7)/COUNTIFS('Weekly Log'!$G:$G,"&lt;&gt;",'Weekly Log'!$A:$A,"&gt;="&amp;$J1047,'Weekly Log'!$A:$A,"&lt;"&amp;$J1047+7),0))</f>
        <v/>
      </c>
      <c r="D1047" t="str">
        <f>IF($J1047="","",IFERROR(COUNTIFS('Weekly Log'!$H:$H,"Y",'Weekly Log'!$A:$A,"&gt;="&amp;$J1047,'Weekly Log'!$A:$A,"&lt;"&amp;$J1047+7)/COUNTIFS('Weekly Log'!$H:$H,"&lt;&gt;",'Weekly Log'!$A:$A,"&gt;="&amp;$J1047,'Weekly Log'!$A:$A,"&lt;"&amp;$J1047+7),0))</f>
        <v/>
      </c>
      <c r="E1047" t="str">
        <f>IF($J1047="","",IFERROR(AVERAGEIFS('Weekly Log'!$F:$F,'Weekly Log'!$A:$A,"&gt;="&amp;$J1047,'Weekly Log'!$A:$A,"&lt;"&amp;$J1047+7),0))</f>
        <v/>
      </c>
      <c r="F1047" t="str">
        <f>IF($J1047="","",IFERROR(SUMIFS('Weekly Log'!$F:$F,'Weekly Log'!$A:$A,"&gt;="&amp;$J1047,'Weekly Log'!$A:$A,"&lt;"&amp;$J1047+7)/SUMIFS('Weekly Log'!$E:$E,'Weekly Log'!$A:$A,"&gt;="&amp;$J1047,'Weekly Log'!$A:$A,"&lt;"&amp;$J1047+7),0))</f>
        <v/>
      </c>
      <c r="G1047" t="str">
        <f>IF($J1047="","",IFERROR(LOOKUP(2,1/(('Weekly Log'!$A$5:$A$5000&gt;=$J1047)*('Weekly Log'!$A$5:$A$5000&lt;$J1047+7)*('Weekly Log'!$M$5:$M$5000&lt;&gt;"")),'Weekly Log'!$M$5:$M$5000),0))</f>
        <v/>
      </c>
      <c r="J1047" t="str">
        <f>IF(COUNT('Weekly Log'!$A$5:$A$5000)=0,"",IF(MIN('Weekly Log'!$A$5:$A$5000)+7*(ROW()-10)&gt;MAX('Weekly Log'!$A$5:$A$5000),"",MIN('Weekly Log'!$A$5:$A$5000)+7*(ROW()-10)))</f>
        <v/>
      </c>
    </row>
    <row r="1048" spans="1:10" x14ac:dyDescent="0.25">
      <c r="A1048" t="str">
        <f t="shared" si="16"/>
        <v/>
      </c>
      <c r="B1048" t="str">
        <f>IF($J1048="","",SUMIFS('Weekly Log'!$C:$C,'Weekly Log'!$A:$A,"&gt;="&amp;$J1048,'Weekly Log'!$A:$A,"&lt;"&amp;$J1048+7))</f>
        <v/>
      </c>
      <c r="C1048" t="str">
        <f>IF($J1048="","",IFERROR(COUNTIFS('Weekly Log'!$G:$G,"Y",'Weekly Log'!$A:$A,"&gt;="&amp;$J1048,'Weekly Log'!$A:$A,"&lt;"&amp;$J1048+7)/COUNTIFS('Weekly Log'!$G:$G,"&lt;&gt;",'Weekly Log'!$A:$A,"&gt;="&amp;$J1048,'Weekly Log'!$A:$A,"&lt;"&amp;$J1048+7),0))</f>
        <v/>
      </c>
      <c r="D1048" t="str">
        <f>IF($J1048="","",IFERROR(COUNTIFS('Weekly Log'!$H:$H,"Y",'Weekly Log'!$A:$A,"&gt;="&amp;$J1048,'Weekly Log'!$A:$A,"&lt;"&amp;$J1048+7)/COUNTIFS('Weekly Log'!$H:$H,"&lt;&gt;",'Weekly Log'!$A:$A,"&gt;="&amp;$J1048,'Weekly Log'!$A:$A,"&lt;"&amp;$J1048+7),0))</f>
        <v/>
      </c>
      <c r="E1048" t="str">
        <f>IF($J1048="","",IFERROR(AVERAGEIFS('Weekly Log'!$F:$F,'Weekly Log'!$A:$A,"&gt;="&amp;$J1048,'Weekly Log'!$A:$A,"&lt;"&amp;$J1048+7),0))</f>
        <v/>
      </c>
      <c r="F1048" t="str">
        <f>IF($J1048="","",IFERROR(SUMIFS('Weekly Log'!$F:$F,'Weekly Log'!$A:$A,"&gt;="&amp;$J1048,'Weekly Log'!$A:$A,"&lt;"&amp;$J1048+7)/SUMIFS('Weekly Log'!$E:$E,'Weekly Log'!$A:$A,"&gt;="&amp;$J1048,'Weekly Log'!$A:$A,"&lt;"&amp;$J1048+7),0))</f>
        <v/>
      </c>
      <c r="G1048" t="str">
        <f>IF($J1048="","",IFERROR(LOOKUP(2,1/(('Weekly Log'!$A$5:$A$5000&gt;=$J1048)*('Weekly Log'!$A$5:$A$5000&lt;$J1048+7)*('Weekly Log'!$M$5:$M$5000&lt;&gt;"")),'Weekly Log'!$M$5:$M$5000),0))</f>
        <v/>
      </c>
      <c r="J1048" t="str">
        <f>IF(COUNT('Weekly Log'!$A$5:$A$5000)=0,"",IF(MIN('Weekly Log'!$A$5:$A$5000)+7*(ROW()-10)&gt;MAX('Weekly Log'!$A$5:$A$5000),"",MIN('Weekly Log'!$A$5:$A$5000)+7*(ROW()-10)))</f>
        <v/>
      </c>
    </row>
    <row r="1049" spans="1:10" x14ac:dyDescent="0.25">
      <c r="A1049" t="str">
        <f t="shared" si="16"/>
        <v/>
      </c>
      <c r="B1049" t="str">
        <f>IF($J1049="","",SUMIFS('Weekly Log'!$C:$C,'Weekly Log'!$A:$A,"&gt;="&amp;$J1049,'Weekly Log'!$A:$A,"&lt;"&amp;$J1049+7))</f>
        <v/>
      </c>
      <c r="C1049" t="str">
        <f>IF($J1049="","",IFERROR(COUNTIFS('Weekly Log'!$G:$G,"Y",'Weekly Log'!$A:$A,"&gt;="&amp;$J1049,'Weekly Log'!$A:$A,"&lt;"&amp;$J1049+7)/COUNTIFS('Weekly Log'!$G:$G,"&lt;&gt;",'Weekly Log'!$A:$A,"&gt;="&amp;$J1049,'Weekly Log'!$A:$A,"&lt;"&amp;$J1049+7),0))</f>
        <v/>
      </c>
      <c r="D1049" t="str">
        <f>IF($J1049="","",IFERROR(COUNTIFS('Weekly Log'!$H:$H,"Y",'Weekly Log'!$A:$A,"&gt;="&amp;$J1049,'Weekly Log'!$A:$A,"&lt;"&amp;$J1049+7)/COUNTIFS('Weekly Log'!$H:$H,"&lt;&gt;",'Weekly Log'!$A:$A,"&gt;="&amp;$J1049,'Weekly Log'!$A:$A,"&lt;"&amp;$J1049+7),0))</f>
        <v/>
      </c>
      <c r="E1049" t="str">
        <f>IF($J1049="","",IFERROR(AVERAGEIFS('Weekly Log'!$F:$F,'Weekly Log'!$A:$A,"&gt;="&amp;$J1049,'Weekly Log'!$A:$A,"&lt;"&amp;$J1049+7),0))</f>
        <v/>
      </c>
      <c r="F1049" t="str">
        <f>IF($J1049="","",IFERROR(SUMIFS('Weekly Log'!$F:$F,'Weekly Log'!$A:$A,"&gt;="&amp;$J1049,'Weekly Log'!$A:$A,"&lt;"&amp;$J1049+7)/SUMIFS('Weekly Log'!$E:$E,'Weekly Log'!$A:$A,"&gt;="&amp;$J1049,'Weekly Log'!$A:$A,"&lt;"&amp;$J1049+7),0))</f>
        <v/>
      </c>
      <c r="G1049" t="str">
        <f>IF($J1049="","",IFERROR(LOOKUP(2,1/(('Weekly Log'!$A$5:$A$5000&gt;=$J1049)*('Weekly Log'!$A$5:$A$5000&lt;$J1049+7)*('Weekly Log'!$M$5:$M$5000&lt;&gt;"")),'Weekly Log'!$M$5:$M$5000),0))</f>
        <v/>
      </c>
      <c r="J1049" t="str">
        <f>IF(COUNT('Weekly Log'!$A$5:$A$5000)=0,"",IF(MIN('Weekly Log'!$A$5:$A$5000)+7*(ROW()-10)&gt;MAX('Weekly Log'!$A$5:$A$5000),"",MIN('Weekly Log'!$A$5:$A$5000)+7*(ROW()-10)))</f>
        <v/>
      </c>
    </row>
    <row r="1050" spans="1:10" x14ac:dyDescent="0.25">
      <c r="A1050" t="str">
        <f t="shared" si="16"/>
        <v/>
      </c>
      <c r="B1050" t="str">
        <f>IF($J1050="","",SUMIFS('Weekly Log'!$C:$C,'Weekly Log'!$A:$A,"&gt;="&amp;$J1050,'Weekly Log'!$A:$A,"&lt;"&amp;$J1050+7))</f>
        <v/>
      </c>
      <c r="C1050" t="str">
        <f>IF($J1050="","",IFERROR(COUNTIFS('Weekly Log'!$G:$G,"Y",'Weekly Log'!$A:$A,"&gt;="&amp;$J1050,'Weekly Log'!$A:$A,"&lt;"&amp;$J1050+7)/COUNTIFS('Weekly Log'!$G:$G,"&lt;&gt;",'Weekly Log'!$A:$A,"&gt;="&amp;$J1050,'Weekly Log'!$A:$A,"&lt;"&amp;$J1050+7),0))</f>
        <v/>
      </c>
      <c r="D1050" t="str">
        <f>IF($J1050="","",IFERROR(COUNTIFS('Weekly Log'!$H:$H,"Y",'Weekly Log'!$A:$A,"&gt;="&amp;$J1050,'Weekly Log'!$A:$A,"&lt;"&amp;$J1050+7)/COUNTIFS('Weekly Log'!$H:$H,"&lt;&gt;",'Weekly Log'!$A:$A,"&gt;="&amp;$J1050,'Weekly Log'!$A:$A,"&lt;"&amp;$J1050+7),0))</f>
        <v/>
      </c>
      <c r="E1050" t="str">
        <f>IF($J1050="","",IFERROR(AVERAGEIFS('Weekly Log'!$F:$F,'Weekly Log'!$A:$A,"&gt;="&amp;$J1050,'Weekly Log'!$A:$A,"&lt;"&amp;$J1050+7),0))</f>
        <v/>
      </c>
      <c r="F1050" t="str">
        <f>IF($J1050="","",IFERROR(SUMIFS('Weekly Log'!$F:$F,'Weekly Log'!$A:$A,"&gt;="&amp;$J1050,'Weekly Log'!$A:$A,"&lt;"&amp;$J1050+7)/SUMIFS('Weekly Log'!$E:$E,'Weekly Log'!$A:$A,"&gt;="&amp;$J1050,'Weekly Log'!$A:$A,"&lt;"&amp;$J1050+7),0))</f>
        <v/>
      </c>
      <c r="G1050" t="str">
        <f>IF($J1050="","",IFERROR(LOOKUP(2,1/(('Weekly Log'!$A$5:$A$5000&gt;=$J1050)*('Weekly Log'!$A$5:$A$5000&lt;$J1050+7)*('Weekly Log'!$M$5:$M$5000&lt;&gt;"")),'Weekly Log'!$M$5:$M$5000),0))</f>
        <v/>
      </c>
      <c r="J1050" t="str">
        <f>IF(COUNT('Weekly Log'!$A$5:$A$5000)=0,"",IF(MIN('Weekly Log'!$A$5:$A$5000)+7*(ROW()-10)&gt;MAX('Weekly Log'!$A$5:$A$5000),"",MIN('Weekly Log'!$A$5:$A$5000)+7*(ROW()-10)))</f>
        <v/>
      </c>
    </row>
    <row r="1051" spans="1:10" x14ac:dyDescent="0.25">
      <c r="A1051" t="str">
        <f t="shared" si="16"/>
        <v/>
      </c>
      <c r="B1051" t="str">
        <f>IF($J1051="","",SUMIFS('Weekly Log'!$C:$C,'Weekly Log'!$A:$A,"&gt;="&amp;$J1051,'Weekly Log'!$A:$A,"&lt;"&amp;$J1051+7))</f>
        <v/>
      </c>
      <c r="C1051" t="str">
        <f>IF($J1051="","",IFERROR(COUNTIFS('Weekly Log'!$G:$G,"Y",'Weekly Log'!$A:$A,"&gt;="&amp;$J1051,'Weekly Log'!$A:$A,"&lt;"&amp;$J1051+7)/COUNTIFS('Weekly Log'!$G:$G,"&lt;&gt;",'Weekly Log'!$A:$A,"&gt;="&amp;$J1051,'Weekly Log'!$A:$A,"&lt;"&amp;$J1051+7),0))</f>
        <v/>
      </c>
      <c r="D1051" t="str">
        <f>IF($J1051="","",IFERROR(COUNTIFS('Weekly Log'!$H:$H,"Y",'Weekly Log'!$A:$A,"&gt;="&amp;$J1051,'Weekly Log'!$A:$A,"&lt;"&amp;$J1051+7)/COUNTIFS('Weekly Log'!$H:$H,"&lt;&gt;",'Weekly Log'!$A:$A,"&gt;="&amp;$J1051,'Weekly Log'!$A:$A,"&lt;"&amp;$J1051+7),0))</f>
        <v/>
      </c>
      <c r="E1051" t="str">
        <f>IF($J1051="","",IFERROR(AVERAGEIFS('Weekly Log'!$F:$F,'Weekly Log'!$A:$A,"&gt;="&amp;$J1051,'Weekly Log'!$A:$A,"&lt;"&amp;$J1051+7),0))</f>
        <v/>
      </c>
      <c r="F1051" t="str">
        <f>IF($J1051="","",IFERROR(SUMIFS('Weekly Log'!$F:$F,'Weekly Log'!$A:$A,"&gt;="&amp;$J1051,'Weekly Log'!$A:$A,"&lt;"&amp;$J1051+7)/SUMIFS('Weekly Log'!$E:$E,'Weekly Log'!$A:$A,"&gt;="&amp;$J1051,'Weekly Log'!$A:$A,"&lt;"&amp;$J1051+7),0))</f>
        <v/>
      </c>
      <c r="G1051" t="str">
        <f>IF($J1051="","",IFERROR(LOOKUP(2,1/(('Weekly Log'!$A$5:$A$5000&gt;=$J1051)*('Weekly Log'!$A$5:$A$5000&lt;$J1051+7)*('Weekly Log'!$M$5:$M$5000&lt;&gt;"")),'Weekly Log'!$M$5:$M$5000),0))</f>
        <v/>
      </c>
      <c r="J1051" t="str">
        <f>IF(COUNT('Weekly Log'!$A$5:$A$5000)=0,"",IF(MIN('Weekly Log'!$A$5:$A$5000)+7*(ROW()-10)&gt;MAX('Weekly Log'!$A$5:$A$5000),"",MIN('Weekly Log'!$A$5:$A$5000)+7*(ROW()-10)))</f>
        <v/>
      </c>
    </row>
    <row r="1052" spans="1:10" x14ac:dyDescent="0.25">
      <c r="A1052" t="str">
        <f t="shared" si="16"/>
        <v/>
      </c>
      <c r="B1052" t="str">
        <f>IF($J1052="","",SUMIFS('Weekly Log'!$C:$C,'Weekly Log'!$A:$A,"&gt;="&amp;$J1052,'Weekly Log'!$A:$A,"&lt;"&amp;$J1052+7))</f>
        <v/>
      </c>
      <c r="C1052" t="str">
        <f>IF($J1052="","",IFERROR(COUNTIFS('Weekly Log'!$G:$G,"Y",'Weekly Log'!$A:$A,"&gt;="&amp;$J1052,'Weekly Log'!$A:$A,"&lt;"&amp;$J1052+7)/COUNTIFS('Weekly Log'!$G:$G,"&lt;&gt;",'Weekly Log'!$A:$A,"&gt;="&amp;$J1052,'Weekly Log'!$A:$A,"&lt;"&amp;$J1052+7),0))</f>
        <v/>
      </c>
      <c r="D1052" t="str">
        <f>IF($J1052="","",IFERROR(COUNTIFS('Weekly Log'!$H:$H,"Y",'Weekly Log'!$A:$A,"&gt;="&amp;$J1052,'Weekly Log'!$A:$A,"&lt;"&amp;$J1052+7)/COUNTIFS('Weekly Log'!$H:$H,"&lt;&gt;",'Weekly Log'!$A:$A,"&gt;="&amp;$J1052,'Weekly Log'!$A:$A,"&lt;"&amp;$J1052+7),0))</f>
        <v/>
      </c>
      <c r="E1052" t="str">
        <f>IF($J1052="","",IFERROR(AVERAGEIFS('Weekly Log'!$F:$F,'Weekly Log'!$A:$A,"&gt;="&amp;$J1052,'Weekly Log'!$A:$A,"&lt;"&amp;$J1052+7),0))</f>
        <v/>
      </c>
      <c r="F1052" t="str">
        <f>IF($J1052="","",IFERROR(SUMIFS('Weekly Log'!$F:$F,'Weekly Log'!$A:$A,"&gt;="&amp;$J1052,'Weekly Log'!$A:$A,"&lt;"&amp;$J1052+7)/SUMIFS('Weekly Log'!$E:$E,'Weekly Log'!$A:$A,"&gt;="&amp;$J1052,'Weekly Log'!$A:$A,"&lt;"&amp;$J1052+7),0))</f>
        <v/>
      </c>
      <c r="G1052" t="str">
        <f>IF($J1052="","",IFERROR(LOOKUP(2,1/(('Weekly Log'!$A$5:$A$5000&gt;=$J1052)*('Weekly Log'!$A$5:$A$5000&lt;$J1052+7)*('Weekly Log'!$M$5:$M$5000&lt;&gt;"")),'Weekly Log'!$M$5:$M$5000),0))</f>
        <v/>
      </c>
      <c r="J1052" t="str">
        <f>IF(COUNT('Weekly Log'!$A$5:$A$5000)=0,"",IF(MIN('Weekly Log'!$A$5:$A$5000)+7*(ROW()-10)&gt;MAX('Weekly Log'!$A$5:$A$5000),"",MIN('Weekly Log'!$A$5:$A$5000)+7*(ROW()-10)))</f>
        <v/>
      </c>
    </row>
    <row r="1053" spans="1:10" x14ac:dyDescent="0.25">
      <c r="A1053" t="str">
        <f t="shared" si="16"/>
        <v/>
      </c>
      <c r="B1053" t="str">
        <f>IF($J1053="","",SUMIFS('Weekly Log'!$C:$C,'Weekly Log'!$A:$A,"&gt;="&amp;$J1053,'Weekly Log'!$A:$A,"&lt;"&amp;$J1053+7))</f>
        <v/>
      </c>
      <c r="C1053" t="str">
        <f>IF($J1053="","",IFERROR(COUNTIFS('Weekly Log'!$G:$G,"Y",'Weekly Log'!$A:$A,"&gt;="&amp;$J1053,'Weekly Log'!$A:$A,"&lt;"&amp;$J1053+7)/COUNTIFS('Weekly Log'!$G:$G,"&lt;&gt;",'Weekly Log'!$A:$A,"&gt;="&amp;$J1053,'Weekly Log'!$A:$A,"&lt;"&amp;$J1053+7),0))</f>
        <v/>
      </c>
      <c r="D1053" t="str">
        <f>IF($J1053="","",IFERROR(COUNTIFS('Weekly Log'!$H:$H,"Y",'Weekly Log'!$A:$A,"&gt;="&amp;$J1053,'Weekly Log'!$A:$A,"&lt;"&amp;$J1053+7)/COUNTIFS('Weekly Log'!$H:$H,"&lt;&gt;",'Weekly Log'!$A:$A,"&gt;="&amp;$J1053,'Weekly Log'!$A:$A,"&lt;"&amp;$J1053+7),0))</f>
        <v/>
      </c>
      <c r="E1053" t="str">
        <f>IF($J1053="","",IFERROR(AVERAGEIFS('Weekly Log'!$F:$F,'Weekly Log'!$A:$A,"&gt;="&amp;$J1053,'Weekly Log'!$A:$A,"&lt;"&amp;$J1053+7),0))</f>
        <v/>
      </c>
      <c r="F1053" t="str">
        <f>IF($J1053="","",IFERROR(SUMIFS('Weekly Log'!$F:$F,'Weekly Log'!$A:$A,"&gt;="&amp;$J1053,'Weekly Log'!$A:$A,"&lt;"&amp;$J1053+7)/SUMIFS('Weekly Log'!$E:$E,'Weekly Log'!$A:$A,"&gt;="&amp;$J1053,'Weekly Log'!$A:$A,"&lt;"&amp;$J1053+7),0))</f>
        <v/>
      </c>
      <c r="G1053" t="str">
        <f>IF($J1053="","",IFERROR(LOOKUP(2,1/(('Weekly Log'!$A$5:$A$5000&gt;=$J1053)*('Weekly Log'!$A$5:$A$5000&lt;$J1053+7)*('Weekly Log'!$M$5:$M$5000&lt;&gt;"")),'Weekly Log'!$M$5:$M$5000),0))</f>
        <v/>
      </c>
      <c r="J1053" t="str">
        <f>IF(COUNT('Weekly Log'!$A$5:$A$5000)=0,"",IF(MIN('Weekly Log'!$A$5:$A$5000)+7*(ROW()-10)&gt;MAX('Weekly Log'!$A$5:$A$5000),"",MIN('Weekly Log'!$A$5:$A$5000)+7*(ROW()-10)))</f>
        <v/>
      </c>
    </row>
    <row r="1054" spans="1:10" x14ac:dyDescent="0.25">
      <c r="A1054" t="str">
        <f t="shared" si="16"/>
        <v/>
      </c>
      <c r="B1054" t="str">
        <f>IF($J1054="","",SUMIFS('Weekly Log'!$C:$C,'Weekly Log'!$A:$A,"&gt;="&amp;$J1054,'Weekly Log'!$A:$A,"&lt;"&amp;$J1054+7))</f>
        <v/>
      </c>
      <c r="C1054" t="str">
        <f>IF($J1054="","",IFERROR(COUNTIFS('Weekly Log'!$G:$G,"Y",'Weekly Log'!$A:$A,"&gt;="&amp;$J1054,'Weekly Log'!$A:$A,"&lt;"&amp;$J1054+7)/COUNTIFS('Weekly Log'!$G:$G,"&lt;&gt;",'Weekly Log'!$A:$A,"&gt;="&amp;$J1054,'Weekly Log'!$A:$A,"&lt;"&amp;$J1054+7),0))</f>
        <v/>
      </c>
      <c r="D1054" t="str">
        <f>IF($J1054="","",IFERROR(COUNTIFS('Weekly Log'!$H:$H,"Y",'Weekly Log'!$A:$A,"&gt;="&amp;$J1054,'Weekly Log'!$A:$A,"&lt;"&amp;$J1054+7)/COUNTIFS('Weekly Log'!$H:$H,"&lt;&gt;",'Weekly Log'!$A:$A,"&gt;="&amp;$J1054,'Weekly Log'!$A:$A,"&lt;"&amp;$J1054+7),0))</f>
        <v/>
      </c>
      <c r="E1054" t="str">
        <f>IF($J1054="","",IFERROR(AVERAGEIFS('Weekly Log'!$F:$F,'Weekly Log'!$A:$A,"&gt;="&amp;$J1054,'Weekly Log'!$A:$A,"&lt;"&amp;$J1054+7),0))</f>
        <v/>
      </c>
      <c r="F1054" t="str">
        <f>IF($J1054="","",IFERROR(SUMIFS('Weekly Log'!$F:$F,'Weekly Log'!$A:$A,"&gt;="&amp;$J1054,'Weekly Log'!$A:$A,"&lt;"&amp;$J1054+7)/SUMIFS('Weekly Log'!$E:$E,'Weekly Log'!$A:$A,"&gt;="&amp;$J1054,'Weekly Log'!$A:$A,"&lt;"&amp;$J1054+7),0))</f>
        <v/>
      </c>
      <c r="G1054" t="str">
        <f>IF($J1054="","",IFERROR(LOOKUP(2,1/(('Weekly Log'!$A$5:$A$5000&gt;=$J1054)*('Weekly Log'!$A$5:$A$5000&lt;$J1054+7)*('Weekly Log'!$M$5:$M$5000&lt;&gt;"")),'Weekly Log'!$M$5:$M$5000),0))</f>
        <v/>
      </c>
      <c r="J1054" t="str">
        <f>IF(COUNT('Weekly Log'!$A$5:$A$5000)=0,"",IF(MIN('Weekly Log'!$A$5:$A$5000)+7*(ROW()-10)&gt;MAX('Weekly Log'!$A$5:$A$5000),"",MIN('Weekly Log'!$A$5:$A$5000)+7*(ROW()-10)))</f>
        <v/>
      </c>
    </row>
    <row r="1055" spans="1:10" x14ac:dyDescent="0.25">
      <c r="A1055" t="str">
        <f t="shared" si="16"/>
        <v/>
      </c>
      <c r="B1055" t="str">
        <f>IF($J1055="","",SUMIFS('Weekly Log'!$C:$C,'Weekly Log'!$A:$A,"&gt;="&amp;$J1055,'Weekly Log'!$A:$A,"&lt;"&amp;$J1055+7))</f>
        <v/>
      </c>
      <c r="C1055" t="str">
        <f>IF($J1055="","",IFERROR(COUNTIFS('Weekly Log'!$G:$G,"Y",'Weekly Log'!$A:$A,"&gt;="&amp;$J1055,'Weekly Log'!$A:$A,"&lt;"&amp;$J1055+7)/COUNTIFS('Weekly Log'!$G:$G,"&lt;&gt;",'Weekly Log'!$A:$A,"&gt;="&amp;$J1055,'Weekly Log'!$A:$A,"&lt;"&amp;$J1055+7),0))</f>
        <v/>
      </c>
      <c r="D1055" t="str">
        <f>IF($J1055="","",IFERROR(COUNTIFS('Weekly Log'!$H:$H,"Y",'Weekly Log'!$A:$A,"&gt;="&amp;$J1055,'Weekly Log'!$A:$A,"&lt;"&amp;$J1055+7)/COUNTIFS('Weekly Log'!$H:$H,"&lt;&gt;",'Weekly Log'!$A:$A,"&gt;="&amp;$J1055,'Weekly Log'!$A:$A,"&lt;"&amp;$J1055+7),0))</f>
        <v/>
      </c>
      <c r="E1055" t="str">
        <f>IF($J1055="","",IFERROR(AVERAGEIFS('Weekly Log'!$F:$F,'Weekly Log'!$A:$A,"&gt;="&amp;$J1055,'Weekly Log'!$A:$A,"&lt;"&amp;$J1055+7),0))</f>
        <v/>
      </c>
      <c r="F1055" t="str">
        <f>IF($J1055="","",IFERROR(SUMIFS('Weekly Log'!$F:$F,'Weekly Log'!$A:$A,"&gt;="&amp;$J1055,'Weekly Log'!$A:$A,"&lt;"&amp;$J1055+7)/SUMIFS('Weekly Log'!$E:$E,'Weekly Log'!$A:$A,"&gt;="&amp;$J1055,'Weekly Log'!$A:$A,"&lt;"&amp;$J1055+7),0))</f>
        <v/>
      </c>
      <c r="G1055" t="str">
        <f>IF($J1055="","",IFERROR(LOOKUP(2,1/(('Weekly Log'!$A$5:$A$5000&gt;=$J1055)*('Weekly Log'!$A$5:$A$5000&lt;$J1055+7)*('Weekly Log'!$M$5:$M$5000&lt;&gt;"")),'Weekly Log'!$M$5:$M$5000),0))</f>
        <v/>
      </c>
      <c r="J1055" t="str">
        <f>IF(COUNT('Weekly Log'!$A$5:$A$5000)=0,"",IF(MIN('Weekly Log'!$A$5:$A$5000)+7*(ROW()-10)&gt;MAX('Weekly Log'!$A$5:$A$5000),"",MIN('Weekly Log'!$A$5:$A$5000)+7*(ROW()-10)))</f>
        <v/>
      </c>
    </row>
    <row r="1056" spans="1:10" x14ac:dyDescent="0.25">
      <c r="A1056" t="str">
        <f t="shared" si="16"/>
        <v/>
      </c>
      <c r="B1056" t="str">
        <f>IF($J1056="","",SUMIFS('Weekly Log'!$C:$C,'Weekly Log'!$A:$A,"&gt;="&amp;$J1056,'Weekly Log'!$A:$A,"&lt;"&amp;$J1056+7))</f>
        <v/>
      </c>
      <c r="C1056" t="str">
        <f>IF($J1056="","",IFERROR(COUNTIFS('Weekly Log'!$G:$G,"Y",'Weekly Log'!$A:$A,"&gt;="&amp;$J1056,'Weekly Log'!$A:$A,"&lt;"&amp;$J1056+7)/COUNTIFS('Weekly Log'!$G:$G,"&lt;&gt;",'Weekly Log'!$A:$A,"&gt;="&amp;$J1056,'Weekly Log'!$A:$A,"&lt;"&amp;$J1056+7),0))</f>
        <v/>
      </c>
      <c r="D1056" t="str">
        <f>IF($J1056="","",IFERROR(COUNTIFS('Weekly Log'!$H:$H,"Y",'Weekly Log'!$A:$A,"&gt;="&amp;$J1056,'Weekly Log'!$A:$A,"&lt;"&amp;$J1056+7)/COUNTIFS('Weekly Log'!$H:$H,"&lt;&gt;",'Weekly Log'!$A:$A,"&gt;="&amp;$J1056,'Weekly Log'!$A:$A,"&lt;"&amp;$J1056+7),0))</f>
        <v/>
      </c>
      <c r="E1056" t="str">
        <f>IF($J1056="","",IFERROR(AVERAGEIFS('Weekly Log'!$F:$F,'Weekly Log'!$A:$A,"&gt;="&amp;$J1056,'Weekly Log'!$A:$A,"&lt;"&amp;$J1056+7),0))</f>
        <v/>
      </c>
      <c r="F1056" t="str">
        <f>IF($J1056="","",IFERROR(SUMIFS('Weekly Log'!$F:$F,'Weekly Log'!$A:$A,"&gt;="&amp;$J1056,'Weekly Log'!$A:$A,"&lt;"&amp;$J1056+7)/SUMIFS('Weekly Log'!$E:$E,'Weekly Log'!$A:$A,"&gt;="&amp;$J1056,'Weekly Log'!$A:$A,"&lt;"&amp;$J1056+7),0))</f>
        <v/>
      </c>
      <c r="G1056" t="str">
        <f>IF($J1056="","",IFERROR(LOOKUP(2,1/(('Weekly Log'!$A$5:$A$5000&gt;=$J1056)*('Weekly Log'!$A$5:$A$5000&lt;$J1056+7)*('Weekly Log'!$M$5:$M$5000&lt;&gt;"")),'Weekly Log'!$M$5:$M$5000),0))</f>
        <v/>
      </c>
      <c r="J1056" t="str">
        <f>IF(COUNT('Weekly Log'!$A$5:$A$5000)=0,"",IF(MIN('Weekly Log'!$A$5:$A$5000)+7*(ROW()-10)&gt;MAX('Weekly Log'!$A$5:$A$5000),"",MIN('Weekly Log'!$A$5:$A$5000)+7*(ROW()-10)))</f>
        <v/>
      </c>
    </row>
    <row r="1057" spans="1:10" x14ac:dyDescent="0.25">
      <c r="A1057" t="str">
        <f t="shared" si="16"/>
        <v/>
      </c>
      <c r="B1057" t="str">
        <f>IF($J1057="","",SUMIFS('Weekly Log'!$C:$C,'Weekly Log'!$A:$A,"&gt;="&amp;$J1057,'Weekly Log'!$A:$A,"&lt;"&amp;$J1057+7))</f>
        <v/>
      </c>
      <c r="C1057" t="str">
        <f>IF($J1057="","",IFERROR(COUNTIFS('Weekly Log'!$G:$G,"Y",'Weekly Log'!$A:$A,"&gt;="&amp;$J1057,'Weekly Log'!$A:$A,"&lt;"&amp;$J1057+7)/COUNTIFS('Weekly Log'!$G:$G,"&lt;&gt;",'Weekly Log'!$A:$A,"&gt;="&amp;$J1057,'Weekly Log'!$A:$A,"&lt;"&amp;$J1057+7),0))</f>
        <v/>
      </c>
      <c r="D1057" t="str">
        <f>IF($J1057="","",IFERROR(COUNTIFS('Weekly Log'!$H:$H,"Y",'Weekly Log'!$A:$A,"&gt;="&amp;$J1057,'Weekly Log'!$A:$A,"&lt;"&amp;$J1057+7)/COUNTIFS('Weekly Log'!$H:$H,"&lt;&gt;",'Weekly Log'!$A:$A,"&gt;="&amp;$J1057,'Weekly Log'!$A:$A,"&lt;"&amp;$J1057+7),0))</f>
        <v/>
      </c>
      <c r="E1057" t="str">
        <f>IF($J1057="","",IFERROR(AVERAGEIFS('Weekly Log'!$F:$F,'Weekly Log'!$A:$A,"&gt;="&amp;$J1057,'Weekly Log'!$A:$A,"&lt;"&amp;$J1057+7),0))</f>
        <v/>
      </c>
      <c r="F1057" t="str">
        <f>IF($J1057="","",IFERROR(SUMIFS('Weekly Log'!$F:$F,'Weekly Log'!$A:$A,"&gt;="&amp;$J1057,'Weekly Log'!$A:$A,"&lt;"&amp;$J1057+7)/SUMIFS('Weekly Log'!$E:$E,'Weekly Log'!$A:$A,"&gt;="&amp;$J1057,'Weekly Log'!$A:$A,"&lt;"&amp;$J1057+7),0))</f>
        <v/>
      </c>
      <c r="G1057" t="str">
        <f>IF($J1057="","",IFERROR(LOOKUP(2,1/(('Weekly Log'!$A$5:$A$5000&gt;=$J1057)*('Weekly Log'!$A$5:$A$5000&lt;$J1057+7)*('Weekly Log'!$M$5:$M$5000&lt;&gt;"")),'Weekly Log'!$M$5:$M$5000),0))</f>
        <v/>
      </c>
      <c r="J1057" t="str">
        <f>IF(COUNT('Weekly Log'!$A$5:$A$5000)=0,"",IF(MIN('Weekly Log'!$A$5:$A$5000)+7*(ROW()-10)&gt;MAX('Weekly Log'!$A$5:$A$5000),"",MIN('Weekly Log'!$A$5:$A$5000)+7*(ROW()-10)))</f>
        <v/>
      </c>
    </row>
    <row r="1058" spans="1:10" x14ac:dyDescent="0.25">
      <c r="A1058" t="str">
        <f t="shared" si="16"/>
        <v/>
      </c>
      <c r="B1058" t="str">
        <f>IF($J1058="","",SUMIFS('Weekly Log'!$C:$C,'Weekly Log'!$A:$A,"&gt;="&amp;$J1058,'Weekly Log'!$A:$A,"&lt;"&amp;$J1058+7))</f>
        <v/>
      </c>
      <c r="C1058" t="str">
        <f>IF($J1058="","",IFERROR(COUNTIFS('Weekly Log'!$G:$G,"Y",'Weekly Log'!$A:$A,"&gt;="&amp;$J1058,'Weekly Log'!$A:$A,"&lt;"&amp;$J1058+7)/COUNTIFS('Weekly Log'!$G:$G,"&lt;&gt;",'Weekly Log'!$A:$A,"&gt;="&amp;$J1058,'Weekly Log'!$A:$A,"&lt;"&amp;$J1058+7),0))</f>
        <v/>
      </c>
      <c r="D1058" t="str">
        <f>IF($J1058="","",IFERROR(COUNTIFS('Weekly Log'!$H:$H,"Y",'Weekly Log'!$A:$A,"&gt;="&amp;$J1058,'Weekly Log'!$A:$A,"&lt;"&amp;$J1058+7)/COUNTIFS('Weekly Log'!$H:$H,"&lt;&gt;",'Weekly Log'!$A:$A,"&gt;="&amp;$J1058,'Weekly Log'!$A:$A,"&lt;"&amp;$J1058+7),0))</f>
        <v/>
      </c>
      <c r="E1058" t="str">
        <f>IF($J1058="","",IFERROR(AVERAGEIFS('Weekly Log'!$F:$F,'Weekly Log'!$A:$A,"&gt;="&amp;$J1058,'Weekly Log'!$A:$A,"&lt;"&amp;$J1058+7),0))</f>
        <v/>
      </c>
      <c r="F1058" t="str">
        <f>IF($J1058="","",IFERROR(SUMIFS('Weekly Log'!$F:$F,'Weekly Log'!$A:$A,"&gt;="&amp;$J1058,'Weekly Log'!$A:$A,"&lt;"&amp;$J1058+7)/SUMIFS('Weekly Log'!$E:$E,'Weekly Log'!$A:$A,"&gt;="&amp;$J1058,'Weekly Log'!$A:$A,"&lt;"&amp;$J1058+7),0))</f>
        <v/>
      </c>
      <c r="G1058" t="str">
        <f>IF($J1058="","",IFERROR(LOOKUP(2,1/(('Weekly Log'!$A$5:$A$5000&gt;=$J1058)*('Weekly Log'!$A$5:$A$5000&lt;$J1058+7)*('Weekly Log'!$M$5:$M$5000&lt;&gt;"")),'Weekly Log'!$M$5:$M$5000),0))</f>
        <v/>
      </c>
      <c r="J1058" t="str">
        <f>IF(COUNT('Weekly Log'!$A$5:$A$5000)=0,"",IF(MIN('Weekly Log'!$A$5:$A$5000)+7*(ROW()-10)&gt;MAX('Weekly Log'!$A$5:$A$5000),"",MIN('Weekly Log'!$A$5:$A$5000)+7*(ROW()-10)))</f>
        <v/>
      </c>
    </row>
    <row r="1059" spans="1:10" x14ac:dyDescent="0.25">
      <c r="A1059" t="str">
        <f t="shared" si="16"/>
        <v/>
      </c>
      <c r="B1059" t="str">
        <f>IF($J1059="","",SUMIFS('Weekly Log'!$C:$C,'Weekly Log'!$A:$A,"&gt;="&amp;$J1059,'Weekly Log'!$A:$A,"&lt;"&amp;$J1059+7))</f>
        <v/>
      </c>
      <c r="C1059" t="str">
        <f>IF($J1059="","",IFERROR(COUNTIFS('Weekly Log'!$G:$G,"Y",'Weekly Log'!$A:$A,"&gt;="&amp;$J1059,'Weekly Log'!$A:$A,"&lt;"&amp;$J1059+7)/COUNTIFS('Weekly Log'!$G:$G,"&lt;&gt;",'Weekly Log'!$A:$A,"&gt;="&amp;$J1059,'Weekly Log'!$A:$A,"&lt;"&amp;$J1059+7),0))</f>
        <v/>
      </c>
      <c r="D1059" t="str">
        <f>IF($J1059="","",IFERROR(COUNTIFS('Weekly Log'!$H:$H,"Y",'Weekly Log'!$A:$A,"&gt;="&amp;$J1059,'Weekly Log'!$A:$A,"&lt;"&amp;$J1059+7)/COUNTIFS('Weekly Log'!$H:$H,"&lt;&gt;",'Weekly Log'!$A:$A,"&gt;="&amp;$J1059,'Weekly Log'!$A:$A,"&lt;"&amp;$J1059+7),0))</f>
        <v/>
      </c>
      <c r="E1059" t="str">
        <f>IF($J1059="","",IFERROR(AVERAGEIFS('Weekly Log'!$F:$F,'Weekly Log'!$A:$A,"&gt;="&amp;$J1059,'Weekly Log'!$A:$A,"&lt;"&amp;$J1059+7),0))</f>
        <v/>
      </c>
      <c r="F1059" t="str">
        <f>IF($J1059="","",IFERROR(SUMIFS('Weekly Log'!$F:$F,'Weekly Log'!$A:$A,"&gt;="&amp;$J1059,'Weekly Log'!$A:$A,"&lt;"&amp;$J1059+7)/SUMIFS('Weekly Log'!$E:$E,'Weekly Log'!$A:$A,"&gt;="&amp;$J1059,'Weekly Log'!$A:$A,"&lt;"&amp;$J1059+7),0))</f>
        <v/>
      </c>
      <c r="G1059" t="str">
        <f>IF($J1059="","",IFERROR(LOOKUP(2,1/(('Weekly Log'!$A$5:$A$5000&gt;=$J1059)*('Weekly Log'!$A$5:$A$5000&lt;$J1059+7)*('Weekly Log'!$M$5:$M$5000&lt;&gt;"")),'Weekly Log'!$M$5:$M$5000),0))</f>
        <v/>
      </c>
      <c r="J1059" t="str">
        <f>IF(COUNT('Weekly Log'!$A$5:$A$5000)=0,"",IF(MIN('Weekly Log'!$A$5:$A$5000)+7*(ROW()-10)&gt;MAX('Weekly Log'!$A$5:$A$5000),"",MIN('Weekly Log'!$A$5:$A$5000)+7*(ROW()-10)))</f>
        <v/>
      </c>
    </row>
    <row r="1060" spans="1:10" x14ac:dyDescent="0.25">
      <c r="A1060" t="str">
        <f t="shared" si="16"/>
        <v/>
      </c>
      <c r="B1060" t="str">
        <f>IF($J1060="","",SUMIFS('Weekly Log'!$C:$C,'Weekly Log'!$A:$A,"&gt;="&amp;$J1060,'Weekly Log'!$A:$A,"&lt;"&amp;$J1060+7))</f>
        <v/>
      </c>
      <c r="C1060" t="str">
        <f>IF($J1060="","",IFERROR(COUNTIFS('Weekly Log'!$G:$G,"Y",'Weekly Log'!$A:$A,"&gt;="&amp;$J1060,'Weekly Log'!$A:$A,"&lt;"&amp;$J1060+7)/COUNTIFS('Weekly Log'!$G:$G,"&lt;&gt;",'Weekly Log'!$A:$A,"&gt;="&amp;$J1060,'Weekly Log'!$A:$A,"&lt;"&amp;$J1060+7),0))</f>
        <v/>
      </c>
      <c r="D1060" t="str">
        <f>IF($J1060="","",IFERROR(COUNTIFS('Weekly Log'!$H:$H,"Y",'Weekly Log'!$A:$A,"&gt;="&amp;$J1060,'Weekly Log'!$A:$A,"&lt;"&amp;$J1060+7)/COUNTIFS('Weekly Log'!$H:$H,"&lt;&gt;",'Weekly Log'!$A:$A,"&gt;="&amp;$J1060,'Weekly Log'!$A:$A,"&lt;"&amp;$J1060+7),0))</f>
        <v/>
      </c>
      <c r="E1060" t="str">
        <f>IF($J1060="","",IFERROR(AVERAGEIFS('Weekly Log'!$F:$F,'Weekly Log'!$A:$A,"&gt;="&amp;$J1060,'Weekly Log'!$A:$A,"&lt;"&amp;$J1060+7),0))</f>
        <v/>
      </c>
      <c r="F1060" t="str">
        <f>IF($J1060="","",IFERROR(SUMIFS('Weekly Log'!$F:$F,'Weekly Log'!$A:$A,"&gt;="&amp;$J1060,'Weekly Log'!$A:$A,"&lt;"&amp;$J1060+7)/SUMIFS('Weekly Log'!$E:$E,'Weekly Log'!$A:$A,"&gt;="&amp;$J1060,'Weekly Log'!$A:$A,"&lt;"&amp;$J1060+7),0))</f>
        <v/>
      </c>
      <c r="G1060" t="str">
        <f>IF($J1060="","",IFERROR(LOOKUP(2,1/(('Weekly Log'!$A$5:$A$5000&gt;=$J1060)*('Weekly Log'!$A$5:$A$5000&lt;$J1060+7)*('Weekly Log'!$M$5:$M$5000&lt;&gt;"")),'Weekly Log'!$M$5:$M$5000),0))</f>
        <v/>
      </c>
      <c r="J1060" t="str">
        <f>IF(COUNT('Weekly Log'!$A$5:$A$5000)=0,"",IF(MIN('Weekly Log'!$A$5:$A$5000)+7*(ROW()-10)&gt;MAX('Weekly Log'!$A$5:$A$5000),"",MIN('Weekly Log'!$A$5:$A$5000)+7*(ROW()-10)))</f>
        <v/>
      </c>
    </row>
    <row r="1061" spans="1:10" x14ac:dyDescent="0.25">
      <c r="A1061" t="str">
        <f t="shared" si="16"/>
        <v/>
      </c>
      <c r="B1061" t="str">
        <f>IF($J1061="","",SUMIFS('Weekly Log'!$C:$C,'Weekly Log'!$A:$A,"&gt;="&amp;$J1061,'Weekly Log'!$A:$A,"&lt;"&amp;$J1061+7))</f>
        <v/>
      </c>
      <c r="C1061" t="str">
        <f>IF($J1061="","",IFERROR(COUNTIFS('Weekly Log'!$G:$G,"Y",'Weekly Log'!$A:$A,"&gt;="&amp;$J1061,'Weekly Log'!$A:$A,"&lt;"&amp;$J1061+7)/COUNTIFS('Weekly Log'!$G:$G,"&lt;&gt;",'Weekly Log'!$A:$A,"&gt;="&amp;$J1061,'Weekly Log'!$A:$A,"&lt;"&amp;$J1061+7),0))</f>
        <v/>
      </c>
      <c r="D1061" t="str">
        <f>IF($J1061="","",IFERROR(COUNTIFS('Weekly Log'!$H:$H,"Y",'Weekly Log'!$A:$A,"&gt;="&amp;$J1061,'Weekly Log'!$A:$A,"&lt;"&amp;$J1061+7)/COUNTIFS('Weekly Log'!$H:$H,"&lt;&gt;",'Weekly Log'!$A:$A,"&gt;="&amp;$J1061,'Weekly Log'!$A:$A,"&lt;"&amp;$J1061+7),0))</f>
        <v/>
      </c>
      <c r="E1061" t="str">
        <f>IF($J1061="","",IFERROR(AVERAGEIFS('Weekly Log'!$F:$F,'Weekly Log'!$A:$A,"&gt;="&amp;$J1061,'Weekly Log'!$A:$A,"&lt;"&amp;$J1061+7),0))</f>
        <v/>
      </c>
      <c r="F1061" t="str">
        <f>IF($J1061="","",IFERROR(SUMIFS('Weekly Log'!$F:$F,'Weekly Log'!$A:$A,"&gt;="&amp;$J1061,'Weekly Log'!$A:$A,"&lt;"&amp;$J1061+7)/SUMIFS('Weekly Log'!$E:$E,'Weekly Log'!$A:$A,"&gt;="&amp;$J1061,'Weekly Log'!$A:$A,"&lt;"&amp;$J1061+7),0))</f>
        <v/>
      </c>
      <c r="G1061" t="str">
        <f>IF($J1061="","",IFERROR(LOOKUP(2,1/(('Weekly Log'!$A$5:$A$5000&gt;=$J1061)*('Weekly Log'!$A$5:$A$5000&lt;$J1061+7)*('Weekly Log'!$M$5:$M$5000&lt;&gt;"")),'Weekly Log'!$M$5:$M$5000),0))</f>
        <v/>
      </c>
      <c r="J1061" t="str">
        <f>IF(COUNT('Weekly Log'!$A$5:$A$5000)=0,"",IF(MIN('Weekly Log'!$A$5:$A$5000)+7*(ROW()-10)&gt;MAX('Weekly Log'!$A$5:$A$5000),"",MIN('Weekly Log'!$A$5:$A$5000)+7*(ROW()-10)))</f>
        <v/>
      </c>
    </row>
    <row r="1062" spans="1:10" x14ac:dyDescent="0.25">
      <c r="A1062" t="str">
        <f t="shared" si="16"/>
        <v/>
      </c>
      <c r="B1062" t="str">
        <f>IF($J1062="","",SUMIFS('Weekly Log'!$C:$C,'Weekly Log'!$A:$A,"&gt;="&amp;$J1062,'Weekly Log'!$A:$A,"&lt;"&amp;$J1062+7))</f>
        <v/>
      </c>
      <c r="C1062" t="str">
        <f>IF($J1062="","",IFERROR(COUNTIFS('Weekly Log'!$G:$G,"Y",'Weekly Log'!$A:$A,"&gt;="&amp;$J1062,'Weekly Log'!$A:$A,"&lt;"&amp;$J1062+7)/COUNTIFS('Weekly Log'!$G:$G,"&lt;&gt;",'Weekly Log'!$A:$A,"&gt;="&amp;$J1062,'Weekly Log'!$A:$A,"&lt;"&amp;$J1062+7),0))</f>
        <v/>
      </c>
      <c r="D1062" t="str">
        <f>IF($J1062="","",IFERROR(COUNTIFS('Weekly Log'!$H:$H,"Y",'Weekly Log'!$A:$A,"&gt;="&amp;$J1062,'Weekly Log'!$A:$A,"&lt;"&amp;$J1062+7)/COUNTIFS('Weekly Log'!$H:$H,"&lt;&gt;",'Weekly Log'!$A:$A,"&gt;="&amp;$J1062,'Weekly Log'!$A:$A,"&lt;"&amp;$J1062+7),0))</f>
        <v/>
      </c>
      <c r="E1062" t="str">
        <f>IF($J1062="","",IFERROR(AVERAGEIFS('Weekly Log'!$F:$F,'Weekly Log'!$A:$A,"&gt;="&amp;$J1062,'Weekly Log'!$A:$A,"&lt;"&amp;$J1062+7),0))</f>
        <v/>
      </c>
      <c r="F1062" t="str">
        <f>IF($J1062="","",IFERROR(SUMIFS('Weekly Log'!$F:$F,'Weekly Log'!$A:$A,"&gt;="&amp;$J1062,'Weekly Log'!$A:$A,"&lt;"&amp;$J1062+7)/SUMIFS('Weekly Log'!$E:$E,'Weekly Log'!$A:$A,"&gt;="&amp;$J1062,'Weekly Log'!$A:$A,"&lt;"&amp;$J1062+7),0))</f>
        <v/>
      </c>
      <c r="G1062" t="str">
        <f>IF($J1062="","",IFERROR(LOOKUP(2,1/(('Weekly Log'!$A$5:$A$5000&gt;=$J1062)*('Weekly Log'!$A$5:$A$5000&lt;$J1062+7)*('Weekly Log'!$M$5:$M$5000&lt;&gt;"")),'Weekly Log'!$M$5:$M$5000),0))</f>
        <v/>
      </c>
      <c r="J1062" t="str">
        <f>IF(COUNT('Weekly Log'!$A$5:$A$5000)=0,"",IF(MIN('Weekly Log'!$A$5:$A$5000)+7*(ROW()-10)&gt;MAX('Weekly Log'!$A$5:$A$5000),"",MIN('Weekly Log'!$A$5:$A$5000)+7*(ROW()-10)))</f>
        <v/>
      </c>
    </row>
    <row r="1063" spans="1:10" x14ac:dyDescent="0.25">
      <c r="A1063" t="str">
        <f t="shared" si="16"/>
        <v/>
      </c>
      <c r="B1063" t="str">
        <f>IF($J1063="","",SUMIFS('Weekly Log'!$C:$C,'Weekly Log'!$A:$A,"&gt;="&amp;$J1063,'Weekly Log'!$A:$A,"&lt;"&amp;$J1063+7))</f>
        <v/>
      </c>
      <c r="C1063" t="str">
        <f>IF($J1063="","",IFERROR(COUNTIFS('Weekly Log'!$G:$G,"Y",'Weekly Log'!$A:$A,"&gt;="&amp;$J1063,'Weekly Log'!$A:$A,"&lt;"&amp;$J1063+7)/COUNTIFS('Weekly Log'!$G:$G,"&lt;&gt;",'Weekly Log'!$A:$A,"&gt;="&amp;$J1063,'Weekly Log'!$A:$A,"&lt;"&amp;$J1063+7),0))</f>
        <v/>
      </c>
      <c r="D1063" t="str">
        <f>IF($J1063="","",IFERROR(COUNTIFS('Weekly Log'!$H:$H,"Y",'Weekly Log'!$A:$A,"&gt;="&amp;$J1063,'Weekly Log'!$A:$A,"&lt;"&amp;$J1063+7)/COUNTIFS('Weekly Log'!$H:$H,"&lt;&gt;",'Weekly Log'!$A:$A,"&gt;="&amp;$J1063,'Weekly Log'!$A:$A,"&lt;"&amp;$J1063+7),0))</f>
        <v/>
      </c>
      <c r="E1063" t="str">
        <f>IF($J1063="","",IFERROR(AVERAGEIFS('Weekly Log'!$F:$F,'Weekly Log'!$A:$A,"&gt;="&amp;$J1063,'Weekly Log'!$A:$A,"&lt;"&amp;$J1063+7),0))</f>
        <v/>
      </c>
      <c r="F1063" t="str">
        <f>IF($J1063="","",IFERROR(SUMIFS('Weekly Log'!$F:$F,'Weekly Log'!$A:$A,"&gt;="&amp;$J1063,'Weekly Log'!$A:$A,"&lt;"&amp;$J1063+7)/SUMIFS('Weekly Log'!$E:$E,'Weekly Log'!$A:$A,"&gt;="&amp;$J1063,'Weekly Log'!$A:$A,"&lt;"&amp;$J1063+7),0))</f>
        <v/>
      </c>
      <c r="G1063" t="str">
        <f>IF($J1063="","",IFERROR(LOOKUP(2,1/(('Weekly Log'!$A$5:$A$5000&gt;=$J1063)*('Weekly Log'!$A$5:$A$5000&lt;$J1063+7)*('Weekly Log'!$M$5:$M$5000&lt;&gt;"")),'Weekly Log'!$M$5:$M$5000),0))</f>
        <v/>
      </c>
      <c r="J1063" t="str">
        <f>IF(COUNT('Weekly Log'!$A$5:$A$5000)=0,"",IF(MIN('Weekly Log'!$A$5:$A$5000)+7*(ROW()-10)&gt;MAX('Weekly Log'!$A$5:$A$5000),"",MIN('Weekly Log'!$A$5:$A$5000)+7*(ROW()-10)))</f>
        <v/>
      </c>
    </row>
    <row r="1064" spans="1:10" x14ac:dyDescent="0.25">
      <c r="A1064" t="str">
        <f t="shared" si="16"/>
        <v/>
      </c>
      <c r="B1064" t="str">
        <f>IF($J1064="","",SUMIFS('Weekly Log'!$C:$C,'Weekly Log'!$A:$A,"&gt;="&amp;$J1064,'Weekly Log'!$A:$A,"&lt;"&amp;$J1064+7))</f>
        <v/>
      </c>
      <c r="C1064" t="str">
        <f>IF($J1064="","",IFERROR(COUNTIFS('Weekly Log'!$G:$G,"Y",'Weekly Log'!$A:$A,"&gt;="&amp;$J1064,'Weekly Log'!$A:$A,"&lt;"&amp;$J1064+7)/COUNTIFS('Weekly Log'!$G:$G,"&lt;&gt;",'Weekly Log'!$A:$A,"&gt;="&amp;$J1064,'Weekly Log'!$A:$A,"&lt;"&amp;$J1064+7),0))</f>
        <v/>
      </c>
      <c r="D1064" t="str">
        <f>IF($J1064="","",IFERROR(COUNTIFS('Weekly Log'!$H:$H,"Y",'Weekly Log'!$A:$A,"&gt;="&amp;$J1064,'Weekly Log'!$A:$A,"&lt;"&amp;$J1064+7)/COUNTIFS('Weekly Log'!$H:$H,"&lt;&gt;",'Weekly Log'!$A:$A,"&gt;="&amp;$J1064,'Weekly Log'!$A:$A,"&lt;"&amp;$J1064+7),0))</f>
        <v/>
      </c>
      <c r="E1064" t="str">
        <f>IF($J1064="","",IFERROR(AVERAGEIFS('Weekly Log'!$F:$F,'Weekly Log'!$A:$A,"&gt;="&amp;$J1064,'Weekly Log'!$A:$A,"&lt;"&amp;$J1064+7),0))</f>
        <v/>
      </c>
      <c r="F1064" t="str">
        <f>IF($J1064="","",IFERROR(SUMIFS('Weekly Log'!$F:$F,'Weekly Log'!$A:$A,"&gt;="&amp;$J1064,'Weekly Log'!$A:$A,"&lt;"&amp;$J1064+7)/SUMIFS('Weekly Log'!$E:$E,'Weekly Log'!$A:$A,"&gt;="&amp;$J1064,'Weekly Log'!$A:$A,"&lt;"&amp;$J1064+7),0))</f>
        <v/>
      </c>
      <c r="G1064" t="str">
        <f>IF($J1064="","",IFERROR(LOOKUP(2,1/(('Weekly Log'!$A$5:$A$5000&gt;=$J1064)*('Weekly Log'!$A$5:$A$5000&lt;$J1064+7)*('Weekly Log'!$M$5:$M$5000&lt;&gt;"")),'Weekly Log'!$M$5:$M$5000),0))</f>
        <v/>
      </c>
      <c r="J1064" t="str">
        <f>IF(COUNT('Weekly Log'!$A$5:$A$5000)=0,"",IF(MIN('Weekly Log'!$A$5:$A$5000)+7*(ROW()-10)&gt;MAX('Weekly Log'!$A$5:$A$5000),"",MIN('Weekly Log'!$A$5:$A$5000)+7*(ROW()-10)))</f>
        <v/>
      </c>
    </row>
    <row r="1065" spans="1:10" x14ac:dyDescent="0.25">
      <c r="A1065" t="str">
        <f t="shared" si="16"/>
        <v/>
      </c>
      <c r="B1065" t="str">
        <f>IF($J1065="","",SUMIFS('Weekly Log'!$C:$C,'Weekly Log'!$A:$A,"&gt;="&amp;$J1065,'Weekly Log'!$A:$A,"&lt;"&amp;$J1065+7))</f>
        <v/>
      </c>
      <c r="C1065" t="str">
        <f>IF($J1065="","",IFERROR(COUNTIFS('Weekly Log'!$G:$G,"Y",'Weekly Log'!$A:$A,"&gt;="&amp;$J1065,'Weekly Log'!$A:$A,"&lt;"&amp;$J1065+7)/COUNTIFS('Weekly Log'!$G:$G,"&lt;&gt;",'Weekly Log'!$A:$A,"&gt;="&amp;$J1065,'Weekly Log'!$A:$A,"&lt;"&amp;$J1065+7),0))</f>
        <v/>
      </c>
      <c r="D1065" t="str">
        <f>IF($J1065="","",IFERROR(COUNTIFS('Weekly Log'!$H:$H,"Y",'Weekly Log'!$A:$A,"&gt;="&amp;$J1065,'Weekly Log'!$A:$A,"&lt;"&amp;$J1065+7)/COUNTIFS('Weekly Log'!$H:$H,"&lt;&gt;",'Weekly Log'!$A:$A,"&gt;="&amp;$J1065,'Weekly Log'!$A:$A,"&lt;"&amp;$J1065+7),0))</f>
        <v/>
      </c>
      <c r="E1065" t="str">
        <f>IF($J1065="","",IFERROR(AVERAGEIFS('Weekly Log'!$F:$F,'Weekly Log'!$A:$A,"&gt;="&amp;$J1065,'Weekly Log'!$A:$A,"&lt;"&amp;$J1065+7),0))</f>
        <v/>
      </c>
      <c r="F1065" t="str">
        <f>IF($J1065="","",IFERROR(SUMIFS('Weekly Log'!$F:$F,'Weekly Log'!$A:$A,"&gt;="&amp;$J1065,'Weekly Log'!$A:$A,"&lt;"&amp;$J1065+7)/SUMIFS('Weekly Log'!$E:$E,'Weekly Log'!$A:$A,"&gt;="&amp;$J1065,'Weekly Log'!$A:$A,"&lt;"&amp;$J1065+7),0))</f>
        <v/>
      </c>
      <c r="G1065" t="str">
        <f>IF($J1065="","",IFERROR(LOOKUP(2,1/(('Weekly Log'!$A$5:$A$5000&gt;=$J1065)*('Weekly Log'!$A$5:$A$5000&lt;$J1065+7)*('Weekly Log'!$M$5:$M$5000&lt;&gt;"")),'Weekly Log'!$M$5:$M$5000),0))</f>
        <v/>
      </c>
      <c r="J1065" t="str">
        <f>IF(COUNT('Weekly Log'!$A$5:$A$5000)=0,"",IF(MIN('Weekly Log'!$A$5:$A$5000)+7*(ROW()-10)&gt;MAX('Weekly Log'!$A$5:$A$5000),"",MIN('Weekly Log'!$A$5:$A$5000)+7*(ROW()-10)))</f>
        <v/>
      </c>
    </row>
    <row r="1066" spans="1:10" x14ac:dyDescent="0.25">
      <c r="A1066" t="str">
        <f t="shared" si="16"/>
        <v/>
      </c>
      <c r="B1066" t="str">
        <f>IF($J1066="","",SUMIFS('Weekly Log'!$C:$C,'Weekly Log'!$A:$A,"&gt;="&amp;$J1066,'Weekly Log'!$A:$A,"&lt;"&amp;$J1066+7))</f>
        <v/>
      </c>
      <c r="C1066" t="str">
        <f>IF($J1066="","",IFERROR(COUNTIFS('Weekly Log'!$G:$G,"Y",'Weekly Log'!$A:$A,"&gt;="&amp;$J1066,'Weekly Log'!$A:$A,"&lt;"&amp;$J1066+7)/COUNTIFS('Weekly Log'!$G:$G,"&lt;&gt;",'Weekly Log'!$A:$A,"&gt;="&amp;$J1066,'Weekly Log'!$A:$A,"&lt;"&amp;$J1066+7),0))</f>
        <v/>
      </c>
      <c r="D1066" t="str">
        <f>IF($J1066="","",IFERROR(COUNTIFS('Weekly Log'!$H:$H,"Y",'Weekly Log'!$A:$A,"&gt;="&amp;$J1066,'Weekly Log'!$A:$A,"&lt;"&amp;$J1066+7)/COUNTIFS('Weekly Log'!$H:$H,"&lt;&gt;",'Weekly Log'!$A:$A,"&gt;="&amp;$J1066,'Weekly Log'!$A:$A,"&lt;"&amp;$J1066+7),0))</f>
        <v/>
      </c>
      <c r="E1066" t="str">
        <f>IF($J1066="","",IFERROR(AVERAGEIFS('Weekly Log'!$F:$F,'Weekly Log'!$A:$A,"&gt;="&amp;$J1066,'Weekly Log'!$A:$A,"&lt;"&amp;$J1066+7),0))</f>
        <v/>
      </c>
      <c r="F1066" t="str">
        <f>IF($J1066="","",IFERROR(SUMIFS('Weekly Log'!$F:$F,'Weekly Log'!$A:$A,"&gt;="&amp;$J1066,'Weekly Log'!$A:$A,"&lt;"&amp;$J1066+7)/SUMIFS('Weekly Log'!$E:$E,'Weekly Log'!$A:$A,"&gt;="&amp;$J1066,'Weekly Log'!$A:$A,"&lt;"&amp;$J1066+7),0))</f>
        <v/>
      </c>
      <c r="G1066" t="str">
        <f>IF($J1066="","",IFERROR(LOOKUP(2,1/(('Weekly Log'!$A$5:$A$5000&gt;=$J1066)*('Weekly Log'!$A$5:$A$5000&lt;$J1066+7)*('Weekly Log'!$M$5:$M$5000&lt;&gt;"")),'Weekly Log'!$M$5:$M$5000),0))</f>
        <v/>
      </c>
      <c r="J1066" t="str">
        <f>IF(COUNT('Weekly Log'!$A$5:$A$5000)=0,"",IF(MIN('Weekly Log'!$A$5:$A$5000)+7*(ROW()-10)&gt;MAX('Weekly Log'!$A$5:$A$5000),"",MIN('Weekly Log'!$A$5:$A$5000)+7*(ROW()-10)))</f>
        <v/>
      </c>
    </row>
    <row r="1067" spans="1:10" x14ac:dyDescent="0.25">
      <c r="A1067" t="str">
        <f t="shared" si="16"/>
        <v/>
      </c>
      <c r="B1067" t="str">
        <f>IF($J1067="","",SUMIFS('Weekly Log'!$C:$C,'Weekly Log'!$A:$A,"&gt;="&amp;$J1067,'Weekly Log'!$A:$A,"&lt;"&amp;$J1067+7))</f>
        <v/>
      </c>
      <c r="C1067" t="str">
        <f>IF($J1067="","",IFERROR(COUNTIFS('Weekly Log'!$G:$G,"Y",'Weekly Log'!$A:$A,"&gt;="&amp;$J1067,'Weekly Log'!$A:$A,"&lt;"&amp;$J1067+7)/COUNTIFS('Weekly Log'!$G:$G,"&lt;&gt;",'Weekly Log'!$A:$A,"&gt;="&amp;$J1067,'Weekly Log'!$A:$A,"&lt;"&amp;$J1067+7),0))</f>
        <v/>
      </c>
      <c r="D1067" t="str">
        <f>IF($J1067="","",IFERROR(COUNTIFS('Weekly Log'!$H:$H,"Y",'Weekly Log'!$A:$A,"&gt;="&amp;$J1067,'Weekly Log'!$A:$A,"&lt;"&amp;$J1067+7)/COUNTIFS('Weekly Log'!$H:$H,"&lt;&gt;",'Weekly Log'!$A:$A,"&gt;="&amp;$J1067,'Weekly Log'!$A:$A,"&lt;"&amp;$J1067+7),0))</f>
        <v/>
      </c>
      <c r="E1067" t="str">
        <f>IF($J1067="","",IFERROR(AVERAGEIFS('Weekly Log'!$F:$F,'Weekly Log'!$A:$A,"&gt;="&amp;$J1067,'Weekly Log'!$A:$A,"&lt;"&amp;$J1067+7),0))</f>
        <v/>
      </c>
      <c r="F1067" t="str">
        <f>IF($J1067="","",IFERROR(SUMIFS('Weekly Log'!$F:$F,'Weekly Log'!$A:$A,"&gt;="&amp;$J1067,'Weekly Log'!$A:$A,"&lt;"&amp;$J1067+7)/SUMIFS('Weekly Log'!$E:$E,'Weekly Log'!$A:$A,"&gt;="&amp;$J1067,'Weekly Log'!$A:$A,"&lt;"&amp;$J1067+7),0))</f>
        <v/>
      </c>
      <c r="G1067" t="str">
        <f>IF($J1067="","",IFERROR(LOOKUP(2,1/(('Weekly Log'!$A$5:$A$5000&gt;=$J1067)*('Weekly Log'!$A$5:$A$5000&lt;$J1067+7)*('Weekly Log'!$M$5:$M$5000&lt;&gt;"")),'Weekly Log'!$M$5:$M$5000),0))</f>
        <v/>
      </c>
      <c r="J1067" t="str">
        <f>IF(COUNT('Weekly Log'!$A$5:$A$5000)=0,"",IF(MIN('Weekly Log'!$A$5:$A$5000)+7*(ROW()-10)&gt;MAX('Weekly Log'!$A$5:$A$5000),"",MIN('Weekly Log'!$A$5:$A$5000)+7*(ROW()-10)))</f>
        <v/>
      </c>
    </row>
    <row r="1068" spans="1:10" x14ac:dyDescent="0.25">
      <c r="A1068" t="str">
        <f t="shared" si="16"/>
        <v/>
      </c>
      <c r="B1068" t="str">
        <f>IF($J1068="","",SUMIFS('Weekly Log'!$C:$C,'Weekly Log'!$A:$A,"&gt;="&amp;$J1068,'Weekly Log'!$A:$A,"&lt;"&amp;$J1068+7))</f>
        <v/>
      </c>
      <c r="C1068" t="str">
        <f>IF($J1068="","",IFERROR(COUNTIFS('Weekly Log'!$G:$G,"Y",'Weekly Log'!$A:$A,"&gt;="&amp;$J1068,'Weekly Log'!$A:$A,"&lt;"&amp;$J1068+7)/COUNTIFS('Weekly Log'!$G:$G,"&lt;&gt;",'Weekly Log'!$A:$A,"&gt;="&amp;$J1068,'Weekly Log'!$A:$A,"&lt;"&amp;$J1068+7),0))</f>
        <v/>
      </c>
      <c r="D1068" t="str">
        <f>IF($J1068="","",IFERROR(COUNTIFS('Weekly Log'!$H:$H,"Y",'Weekly Log'!$A:$A,"&gt;="&amp;$J1068,'Weekly Log'!$A:$A,"&lt;"&amp;$J1068+7)/COUNTIFS('Weekly Log'!$H:$H,"&lt;&gt;",'Weekly Log'!$A:$A,"&gt;="&amp;$J1068,'Weekly Log'!$A:$A,"&lt;"&amp;$J1068+7),0))</f>
        <v/>
      </c>
      <c r="E1068" t="str">
        <f>IF($J1068="","",IFERROR(AVERAGEIFS('Weekly Log'!$F:$F,'Weekly Log'!$A:$A,"&gt;="&amp;$J1068,'Weekly Log'!$A:$A,"&lt;"&amp;$J1068+7),0))</f>
        <v/>
      </c>
      <c r="F1068" t="str">
        <f>IF($J1068="","",IFERROR(SUMIFS('Weekly Log'!$F:$F,'Weekly Log'!$A:$A,"&gt;="&amp;$J1068,'Weekly Log'!$A:$A,"&lt;"&amp;$J1068+7)/SUMIFS('Weekly Log'!$E:$E,'Weekly Log'!$A:$A,"&gt;="&amp;$J1068,'Weekly Log'!$A:$A,"&lt;"&amp;$J1068+7),0))</f>
        <v/>
      </c>
      <c r="G1068" t="str">
        <f>IF($J1068="","",IFERROR(LOOKUP(2,1/(('Weekly Log'!$A$5:$A$5000&gt;=$J1068)*('Weekly Log'!$A$5:$A$5000&lt;$J1068+7)*('Weekly Log'!$M$5:$M$5000&lt;&gt;"")),'Weekly Log'!$M$5:$M$5000),0))</f>
        <v/>
      </c>
      <c r="J1068" t="str">
        <f>IF(COUNT('Weekly Log'!$A$5:$A$5000)=0,"",IF(MIN('Weekly Log'!$A$5:$A$5000)+7*(ROW()-10)&gt;MAX('Weekly Log'!$A$5:$A$5000),"",MIN('Weekly Log'!$A$5:$A$5000)+7*(ROW()-10)))</f>
        <v/>
      </c>
    </row>
    <row r="1069" spans="1:10" x14ac:dyDescent="0.25">
      <c r="A1069" t="str">
        <f t="shared" si="16"/>
        <v/>
      </c>
      <c r="B1069" t="str">
        <f>IF($J1069="","",SUMIFS('Weekly Log'!$C:$C,'Weekly Log'!$A:$A,"&gt;="&amp;$J1069,'Weekly Log'!$A:$A,"&lt;"&amp;$J1069+7))</f>
        <v/>
      </c>
      <c r="C1069" t="str">
        <f>IF($J1069="","",IFERROR(COUNTIFS('Weekly Log'!$G:$G,"Y",'Weekly Log'!$A:$A,"&gt;="&amp;$J1069,'Weekly Log'!$A:$A,"&lt;"&amp;$J1069+7)/COUNTIFS('Weekly Log'!$G:$G,"&lt;&gt;",'Weekly Log'!$A:$A,"&gt;="&amp;$J1069,'Weekly Log'!$A:$A,"&lt;"&amp;$J1069+7),0))</f>
        <v/>
      </c>
      <c r="D1069" t="str">
        <f>IF($J1069="","",IFERROR(COUNTIFS('Weekly Log'!$H:$H,"Y",'Weekly Log'!$A:$A,"&gt;="&amp;$J1069,'Weekly Log'!$A:$A,"&lt;"&amp;$J1069+7)/COUNTIFS('Weekly Log'!$H:$H,"&lt;&gt;",'Weekly Log'!$A:$A,"&gt;="&amp;$J1069,'Weekly Log'!$A:$A,"&lt;"&amp;$J1069+7),0))</f>
        <v/>
      </c>
      <c r="E1069" t="str">
        <f>IF($J1069="","",IFERROR(AVERAGEIFS('Weekly Log'!$F:$F,'Weekly Log'!$A:$A,"&gt;="&amp;$J1069,'Weekly Log'!$A:$A,"&lt;"&amp;$J1069+7),0))</f>
        <v/>
      </c>
      <c r="F1069" t="str">
        <f>IF($J1069="","",IFERROR(SUMIFS('Weekly Log'!$F:$F,'Weekly Log'!$A:$A,"&gt;="&amp;$J1069,'Weekly Log'!$A:$A,"&lt;"&amp;$J1069+7)/SUMIFS('Weekly Log'!$E:$E,'Weekly Log'!$A:$A,"&gt;="&amp;$J1069,'Weekly Log'!$A:$A,"&lt;"&amp;$J1069+7),0))</f>
        <v/>
      </c>
      <c r="G1069" t="str">
        <f>IF($J1069="","",IFERROR(LOOKUP(2,1/(('Weekly Log'!$A$5:$A$5000&gt;=$J1069)*('Weekly Log'!$A$5:$A$5000&lt;$J1069+7)*('Weekly Log'!$M$5:$M$5000&lt;&gt;"")),'Weekly Log'!$M$5:$M$5000),0))</f>
        <v/>
      </c>
      <c r="J1069" t="str">
        <f>IF(COUNT('Weekly Log'!$A$5:$A$5000)=0,"",IF(MIN('Weekly Log'!$A$5:$A$5000)+7*(ROW()-10)&gt;MAX('Weekly Log'!$A$5:$A$5000),"",MIN('Weekly Log'!$A$5:$A$5000)+7*(ROW()-10)))</f>
        <v/>
      </c>
    </row>
    <row r="1070" spans="1:10" x14ac:dyDescent="0.25">
      <c r="A1070" t="str">
        <f t="shared" si="16"/>
        <v/>
      </c>
      <c r="B1070" t="str">
        <f>IF($J1070="","",SUMIFS('Weekly Log'!$C:$C,'Weekly Log'!$A:$A,"&gt;="&amp;$J1070,'Weekly Log'!$A:$A,"&lt;"&amp;$J1070+7))</f>
        <v/>
      </c>
      <c r="C1070" t="str">
        <f>IF($J1070="","",IFERROR(COUNTIFS('Weekly Log'!$G:$G,"Y",'Weekly Log'!$A:$A,"&gt;="&amp;$J1070,'Weekly Log'!$A:$A,"&lt;"&amp;$J1070+7)/COUNTIFS('Weekly Log'!$G:$G,"&lt;&gt;",'Weekly Log'!$A:$A,"&gt;="&amp;$J1070,'Weekly Log'!$A:$A,"&lt;"&amp;$J1070+7),0))</f>
        <v/>
      </c>
      <c r="D1070" t="str">
        <f>IF($J1070="","",IFERROR(COUNTIFS('Weekly Log'!$H:$H,"Y",'Weekly Log'!$A:$A,"&gt;="&amp;$J1070,'Weekly Log'!$A:$A,"&lt;"&amp;$J1070+7)/COUNTIFS('Weekly Log'!$H:$H,"&lt;&gt;",'Weekly Log'!$A:$A,"&gt;="&amp;$J1070,'Weekly Log'!$A:$A,"&lt;"&amp;$J1070+7),0))</f>
        <v/>
      </c>
      <c r="E1070" t="str">
        <f>IF($J1070="","",IFERROR(AVERAGEIFS('Weekly Log'!$F:$F,'Weekly Log'!$A:$A,"&gt;="&amp;$J1070,'Weekly Log'!$A:$A,"&lt;"&amp;$J1070+7),0))</f>
        <v/>
      </c>
      <c r="F1070" t="str">
        <f>IF($J1070="","",IFERROR(SUMIFS('Weekly Log'!$F:$F,'Weekly Log'!$A:$A,"&gt;="&amp;$J1070,'Weekly Log'!$A:$A,"&lt;"&amp;$J1070+7)/SUMIFS('Weekly Log'!$E:$E,'Weekly Log'!$A:$A,"&gt;="&amp;$J1070,'Weekly Log'!$A:$A,"&lt;"&amp;$J1070+7),0))</f>
        <v/>
      </c>
      <c r="G1070" t="str">
        <f>IF($J1070="","",IFERROR(LOOKUP(2,1/(('Weekly Log'!$A$5:$A$5000&gt;=$J1070)*('Weekly Log'!$A$5:$A$5000&lt;$J1070+7)*('Weekly Log'!$M$5:$M$5000&lt;&gt;"")),'Weekly Log'!$M$5:$M$5000),0))</f>
        <v/>
      </c>
      <c r="J1070" t="str">
        <f>IF(COUNT('Weekly Log'!$A$5:$A$5000)=0,"",IF(MIN('Weekly Log'!$A$5:$A$5000)+7*(ROW()-10)&gt;MAX('Weekly Log'!$A$5:$A$5000),"",MIN('Weekly Log'!$A$5:$A$5000)+7*(ROW()-10)))</f>
        <v/>
      </c>
    </row>
    <row r="1071" spans="1:10" x14ac:dyDescent="0.25">
      <c r="A1071" t="str">
        <f t="shared" si="16"/>
        <v/>
      </c>
      <c r="B1071" t="str">
        <f>IF($J1071="","",SUMIFS('Weekly Log'!$C:$C,'Weekly Log'!$A:$A,"&gt;="&amp;$J1071,'Weekly Log'!$A:$A,"&lt;"&amp;$J1071+7))</f>
        <v/>
      </c>
      <c r="C1071" t="str">
        <f>IF($J1071="","",IFERROR(COUNTIFS('Weekly Log'!$G:$G,"Y",'Weekly Log'!$A:$A,"&gt;="&amp;$J1071,'Weekly Log'!$A:$A,"&lt;"&amp;$J1071+7)/COUNTIFS('Weekly Log'!$G:$G,"&lt;&gt;",'Weekly Log'!$A:$A,"&gt;="&amp;$J1071,'Weekly Log'!$A:$A,"&lt;"&amp;$J1071+7),0))</f>
        <v/>
      </c>
      <c r="D1071" t="str">
        <f>IF($J1071="","",IFERROR(COUNTIFS('Weekly Log'!$H:$H,"Y",'Weekly Log'!$A:$A,"&gt;="&amp;$J1071,'Weekly Log'!$A:$A,"&lt;"&amp;$J1071+7)/COUNTIFS('Weekly Log'!$H:$H,"&lt;&gt;",'Weekly Log'!$A:$A,"&gt;="&amp;$J1071,'Weekly Log'!$A:$A,"&lt;"&amp;$J1071+7),0))</f>
        <v/>
      </c>
      <c r="E1071" t="str">
        <f>IF($J1071="","",IFERROR(AVERAGEIFS('Weekly Log'!$F:$F,'Weekly Log'!$A:$A,"&gt;="&amp;$J1071,'Weekly Log'!$A:$A,"&lt;"&amp;$J1071+7),0))</f>
        <v/>
      </c>
      <c r="F1071" t="str">
        <f>IF($J1071="","",IFERROR(SUMIFS('Weekly Log'!$F:$F,'Weekly Log'!$A:$A,"&gt;="&amp;$J1071,'Weekly Log'!$A:$A,"&lt;"&amp;$J1071+7)/SUMIFS('Weekly Log'!$E:$E,'Weekly Log'!$A:$A,"&gt;="&amp;$J1071,'Weekly Log'!$A:$A,"&lt;"&amp;$J1071+7),0))</f>
        <v/>
      </c>
      <c r="G1071" t="str">
        <f>IF($J1071="","",IFERROR(LOOKUP(2,1/(('Weekly Log'!$A$5:$A$5000&gt;=$J1071)*('Weekly Log'!$A$5:$A$5000&lt;$J1071+7)*('Weekly Log'!$M$5:$M$5000&lt;&gt;"")),'Weekly Log'!$M$5:$M$5000),0))</f>
        <v/>
      </c>
      <c r="J1071" t="str">
        <f>IF(COUNT('Weekly Log'!$A$5:$A$5000)=0,"",IF(MIN('Weekly Log'!$A$5:$A$5000)+7*(ROW()-10)&gt;MAX('Weekly Log'!$A$5:$A$5000),"",MIN('Weekly Log'!$A$5:$A$5000)+7*(ROW()-10)))</f>
        <v/>
      </c>
    </row>
    <row r="1072" spans="1:10" x14ac:dyDescent="0.25">
      <c r="A1072" t="str">
        <f t="shared" si="16"/>
        <v/>
      </c>
      <c r="B1072" t="str">
        <f>IF($J1072="","",SUMIFS('Weekly Log'!$C:$C,'Weekly Log'!$A:$A,"&gt;="&amp;$J1072,'Weekly Log'!$A:$A,"&lt;"&amp;$J1072+7))</f>
        <v/>
      </c>
      <c r="C1072" t="str">
        <f>IF($J1072="","",IFERROR(COUNTIFS('Weekly Log'!$G:$G,"Y",'Weekly Log'!$A:$A,"&gt;="&amp;$J1072,'Weekly Log'!$A:$A,"&lt;"&amp;$J1072+7)/COUNTIFS('Weekly Log'!$G:$G,"&lt;&gt;",'Weekly Log'!$A:$A,"&gt;="&amp;$J1072,'Weekly Log'!$A:$A,"&lt;"&amp;$J1072+7),0))</f>
        <v/>
      </c>
      <c r="D1072" t="str">
        <f>IF($J1072="","",IFERROR(COUNTIFS('Weekly Log'!$H:$H,"Y",'Weekly Log'!$A:$A,"&gt;="&amp;$J1072,'Weekly Log'!$A:$A,"&lt;"&amp;$J1072+7)/COUNTIFS('Weekly Log'!$H:$H,"&lt;&gt;",'Weekly Log'!$A:$A,"&gt;="&amp;$J1072,'Weekly Log'!$A:$A,"&lt;"&amp;$J1072+7),0))</f>
        <v/>
      </c>
      <c r="E1072" t="str">
        <f>IF($J1072="","",IFERROR(AVERAGEIFS('Weekly Log'!$F:$F,'Weekly Log'!$A:$A,"&gt;="&amp;$J1072,'Weekly Log'!$A:$A,"&lt;"&amp;$J1072+7),0))</f>
        <v/>
      </c>
      <c r="F1072" t="str">
        <f>IF($J1072="","",IFERROR(SUMIFS('Weekly Log'!$F:$F,'Weekly Log'!$A:$A,"&gt;="&amp;$J1072,'Weekly Log'!$A:$A,"&lt;"&amp;$J1072+7)/SUMIFS('Weekly Log'!$E:$E,'Weekly Log'!$A:$A,"&gt;="&amp;$J1072,'Weekly Log'!$A:$A,"&lt;"&amp;$J1072+7),0))</f>
        <v/>
      </c>
      <c r="G1072" t="str">
        <f>IF($J1072="","",IFERROR(LOOKUP(2,1/(('Weekly Log'!$A$5:$A$5000&gt;=$J1072)*('Weekly Log'!$A$5:$A$5000&lt;$J1072+7)*('Weekly Log'!$M$5:$M$5000&lt;&gt;"")),'Weekly Log'!$M$5:$M$5000),0))</f>
        <v/>
      </c>
      <c r="J1072" t="str">
        <f>IF(COUNT('Weekly Log'!$A$5:$A$5000)=0,"",IF(MIN('Weekly Log'!$A$5:$A$5000)+7*(ROW()-10)&gt;MAX('Weekly Log'!$A$5:$A$5000),"",MIN('Weekly Log'!$A$5:$A$5000)+7*(ROW()-10)))</f>
        <v/>
      </c>
    </row>
    <row r="1073" spans="1:10" x14ac:dyDescent="0.25">
      <c r="A1073" t="str">
        <f t="shared" si="16"/>
        <v/>
      </c>
      <c r="B1073" t="str">
        <f>IF($J1073="","",SUMIFS('Weekly Log'!$C:$C,'Weekly Log'!$A:$A,"&gt;="&amp;$J1073,'Weekly Log'!$A:$A,"&lt;"&amp;$J1073+7))</f>
        <v/>
      </c>
      <c r="C1073" t="str">
        <f>IF($J1073="","",IFERROR(COUNTIFS('Weekly Log'!$G:$G,"Y",'Weekly Log'!$A:$A,"&gt;="&amp;$J1073,'Weekly Log'!$A:$A,"&lt;"&amp;$J1073+7)/COUNTIFS('Weekly Log'!$G:$G,"&lt;&gt;",'Weekly Log'!$A:$A,"&gt;="&amp;$J1073,'Weekly Log'!$A:$A,"&lt;"&amp;$J1073+7),0))</f>
        <v/>
      </c>
      <c r="D1073" t="str">
        <f>IF($J1073="","",IFERROR(COUNTIFS('Weekly Log'!$H:$H,"Y",'Weekly Log'!$A:$A,"&gt;="&amp;$J1073,'Weekly Log'!$A:$A,"&lt;"&amp;$J1073+7)/COUNTIFS('Weekly Log'!$H:$H,"&lt;&gt;",'Weekly Log'!$A:$A,"&gt;="&amp;$J1073,'Weekly Log'!$A:$A,"&lt;"&amp;$J1073+7),0))</f>
        <v/>
      </c>
      <c r="E1073" t="str">
        <f>IF($J1073="","",IFERROR(AVERAGEIFS('Weekly Log'!$F:$F,'Weekly Log'!$A:$A,"&gt;="&amp;$J1073,'Weekly Log'!$A:$A,"&lt;"&amp;$J1073+7),0))</f>
        <v/>
      </c>
      <c r="F1073" t="str">
        <f>IF($J1073="","",IFERROR(SUMIFS('Weekly Log'!$F:$F,'Weekly Log'!$A:$A,"&gt;="&amp;$J1073,'Weekly Log'!$A:$A,"&lt;"&amp;$J1073+7)/SUMIFS('Weekly Log'!$E:$E,'Weekly Log'!$A:$A,"&gt;="&amp;$J1073,'Weekly Log'!$A:$A,"&lt;"&amp;$J1073+7),0))</f>
        <v/>
      </c>
      <c r="G1073" t="str">
        <f>IF($J1073="","",IFERROR(LOOKUP(2,1/(('Weekly Log'!$A$5:$A$5000&gt;=$J1073)*('Weekly Log'!$A$5:$A$5000&lt;$J1073+7)*('Weekly Log'!$M$5:$M$5000&lt;&gt;"")),'Weekly Log'!$M$5:$M$5000),0))</f>
        <v/>
      </c>
      <c r="J1073" t="str">
        <f>IF(COUNT('Weekly Log'!$A$5:$A$5000)=0,"",IF(MIN('Weekly Log'!$A$5:$A$5000)+7*(ROW()-10)&gt;MAX('Weekly Log'!$A$5:$A$5000),"",MIN('Weekly Log'!$A$5:$A$5000)+7*(ROW()-10)))</f>
        <v/>
      </c>
    </row>
    <row r="1074" spans="1:10" x14ac:dyDescent="0.25">
      <c r="A1074" t="str">
        <f t="shared" si="16"/>
        <v/>
      </c>
      <c r="B1074" t="str">
        <f>IF($J1074="","",SUMIFS('Weekly Log'!$C:$C,'Weekly Log'!$A:$A,"&gt;="&amp;$J1074,'Weekly Log'!$A:$A,"&lt;"&amp;$J1074+7))</f>
        <v/>
      </c>
      <c r="C1074" t="str">
        <f>IF($J1074="","",IFERROR(COUNTIFS('Weekly Log'!$G:$G,"Y",'Weekly Log'!$A:$A,"&gt;="&amp;$J1074,'Weekly Log'!$A:$A,"&lt;"&amp;$J1074+7)/COUNTIFS('Weekly Log'!$G:$G,"&lt;&gt;",'Weekly Log'!$A:$A,"&gt;="&amp;$J1074,'Weekly Log'!$A:$A,"&lt;"&amp;$J1074+7),0))</f>
        <v/>
      </c>
      <c r="D1074" t="str">
        <f>IF($J1074="","",IFERROR(COUNTIFS('Weekly Log'!$H:$H,"Y",'Weekly Log'!$A:$A,"&gt;="&amp;$J1074,'Weekly Log'!$A:$A,"&lt;"&amp;$J1074+7)/COUNTIFS('Weekly Log'!$H:$H,"&lt;&gt;",'Weekly Log'!$A:$A,"&gt;="&amp;$J1074,'Weekly Log'!$A:$A,"&lt;"&amp;$J1074+7),0))</f>
        <v/>
      </c>
      <c r="E1074" t="str">
        <f>IF($J1074="","",IFERROR(AVERAGEIFS('Weekly Log'!$F:$F,'Weekly Log'!$A:$A,"&gt;="&amp;$J1074,'Weekly Log'!$A:$A,"&lt;"&amp;$J1074+7),0))</f>
        <v/>
      </c>
      <c r="F1074" t="str">
        <f>IF($J1074="","",IFERROR(SUMIFS('Weekly Log'!$F:$F,'Weekly Log'!$A:$A,"&gt;="&amp;$J1074,'Weekly Log'!$A:$A,"&lt;"&amp;$J1074+7)/SUMIFS('Weekly Log'!$E:$E,'Weekly Log'!$A:$A,"&gt;="&amp;$J1074,'Weekly Log'!$A:$A,"&lt;"&amp;$J1074+7),0))</f>
        <v/>
      </c>
      <c r="G1074" t="str">
        <f>IF($J1074="","",IFERROR(LOOKUP(2,1/(('Weekly Log'!$A$5:$A$5000&gt;=$J1074)*('Weekly Log'!$A$5:$A$5000&lt;$J1074+7)*('Weekly Log'!$M$5:$M$5000&lt;&gt;"")),'Weekly Log'!$M$5:$M$5000),0))</f>
        <v/>
      </c>
      <c r="J1074" t="str">
        <f>IF(COUNT('Weekly Log'!$A$5:$A$5000)=0,"",IF(MIN('Weekly Log'!$A$5:$A$5000)+7*(ROW()-10)&gt;MAX('Weekly Log'!$A$5:$A$5000),"",MIN('Weekly Log'!$A$5:$A$5000)+7*(ROW()-10)))</f>
        <v/>
      </c>
    </row>
    <row r="1075" spans="1:10" x14ac:dyDescent="0.25">
      <c r="A1075" t="str">
        <f t="shared" si="16"/>
        <v/>
      </c>
      <c r="B1075" t="str">
        <f>IF($J1075="","",SUMIFS('Weekly Log'!$C:$C,'Weekly Log'!$A:$A,"&gt;="&amp;$J1075,'Weekly Log'!$A:$A,"&lt;"&amp;$J1075+7))</f>
        <v/>
      </c>
      <c r="C1075" t="str">
        <f>IF($J1075="","",IFERROR(COUNTIFS('Weekly Log'!$G:$G,"Y",'Weekly Log'!$A:$A,"&gt;="&amp;$J1075,'Weekly Log'!$A:$A,"&lt;"&amp;$J1075+7)/COUNTIFS('Weekly Log'!$G:$G,"&lt;&gt;",'Weekly Log'!$A:$A,"&gt;="&amp;$J1075,'Weekly Log'!$A:$A,"&lt;"&amp;$J1075+7),0))</f>
        <v/>
      </c>
      <c r="D1075" t="str">
        <f>IF($J1075="","",IFERROR(COUNTIFS('Weekly Log'!$H:$H,"Y",'Weekly Log'!$A:$A,"&gt;="&amp;$J1075,'Weekly Log'!$A:$A,"&lt;"&amp;$J1075+7)/COUNTIFS('Weekly Log'!$H:$H,"&lt;&gt;",'Weekly Log'!$A:$A,"&gt;="&amp;$J1075,'Weekly Log'!$A:$A,"&lt;"&amp;$J1075+7),0))</f>
        <v/>
      </c>
      <c r="E1075" t="str">
        <f>IF($J1075="","",IFERROR(AVERAGEIFS('Weekly Log'!$F:$F,'Weekly Log'!$A:$A,"&gt;="&amp;$J1075,'Weekly Log'!$A:$A,"&lt;"&amp;$J1075+7),0))</f>
        <v/>
      </c>
      <c r="F1075" t="str">
        <f>IF($J1075="","",IFERROR(SUMIFS('Weekly Log'!$F:$F,'Weekly Log'!$A:$A,"&gt;="&amp;$J1075,'Weekly Log'!$A:$A,"&lt;"&amp;$J1075+7)/SUMIFS('Weekly Log'!$E:$E,'Weekly Log'!$A:$A,"&gt;="&amp;$J1075,'Weekly Log'!$A:$A,"&lt;"&amp;$J1075+7),0))</f>
        <v/>
      </c>
      <c r="G1075" t="str">
        <f>IF($J1075="","",IFERROR(LOOKUP(2,1/(('Weekly Log'!$A$5:$A$5000&gt;=$J1075)*('Weekly Log'!$A$5:$A$5000&lt;$J1075+7)*('Weekly Log'!$M$5:$M$5000&lt;&gt;"")),'Weekly Log'!$M$5:$M$5000),0))</f>
        <v/>
      </c>
      <c r="J1075" t="str">
        <f>IF(COUNT('Weekly Log'!$A$5:$A$5000)=0,"",IF(MIN('Weekly Log'!$A$5:$A$5000)+7*(ROW()-10)&gt;MAX('Weekly Log'!$A$5:$A$5000),"",MIN('Weekly Log'!$A$5:$A$5000)+7*(ROW()-10)))</f>
        <v/>
      </c>
    </row>
    <row r="1076" spans="1:10" x14ac:dyDescent="0.25">
      <c r="A1076" t="str">
        <f t="shared" si="16"/>
        <v/>
      </c>
      <c r="B1076" t="str">
        <f>IF($J1076="","",SUMIFS('Weekly Log'!$C:$C,'Weekly Log'!$A:$A,"&gt;="&amp;$J1076,'Weekly Log'!$A:$A,"&lt;"&amp;$J1076+7))</f>
        <v/>
      </c>
      <c r="C1076" t="str">
        <f>IF($J1076="","",IFERROR(COUNTIFS('Weekly Log'!$G:$G,"Y",'Weekly Log'!$A:$A,"&gt;="&amp;$J1076,'Weekly Log'!$A:$A,"&lt;"&amp;$J1076+7)/COUNTIFS('Weekly Log'!$G:$G,"&lt;&gt;",'Weekly Log'!$A:$A,"&gt;="&amp;$J1076,'Weekly Log'!$A:$A,"&lt;"&amp;$J1076+7),0))</f>
        <v/>
      </c>
      <c r="D1076" t="str">
        <f>IF($J1076="","",IFERROR(COUNTIFS('Weekly Log'!$H:$H,"Y",'Weekly Log'!$A:$A,"&gt;="&amp;$J1076,'Weekly Log'!$A:$A,"&lt;"&amp;$J1076+7)/COUNTIFS('Weekly Log'!$H:$H,"&lt;&gt;",'Weekly Log'!$A:$A,"&gt;="&amp;$J1076,'Weekly Log'!$A:$A,"&lt;"&amp;$J1076+7),0))</f>
        <v/>
      </c>
      <c r="E1076" t="str">
        <f>IF($J1076="","",IFERROR(AVERAGEIFS('Weekly Log'!$F:$F,'Weekly Log'!$A:$A,"&gt;="&amp;$J1076,'Weekly Log'!$A:$A,"&lt;"&amp;$J1076+7),0))</f>
        <v/>
      </c>
      <c r="F1076" t="str">
        <f>IF($J1076="","",IFERROR(SUMIFS('Weekly Log'!$F:$F,'Weekly Log'!$A:$A,"&gt;="&amp;$J1076,'Weekly Log'!$A:$A,"&lt;"&amp;$J1076+7)/SUMIFS('Weekly Log'!$E:$E,'Weekly Log'!$A:$A,"&gt;="&amp;$J1076,'Weekly Log'!$A:$A,"&lt;"&amp;$J1076+7),0))</f>
        <v/>
      </c>
      <c r="G1076" t="str">
        <f>IF($J1076="","",IFERROR(LOOKUP(2,1/(('Weekly Log'!$A$5:$A$5000&gt;=$J1076)*('Weekly Log'!$A$5:$A$5000&lt;$J1076+7)*('Weekly Log'!$M$5:$M$5000&lt;&gt;"")),'Weekly Log'!$M$5:$M$5000),0))</f>
        <v/>
      </c>
      <c r="J1076" t="str">
        <f>IF(COUNT('Weekly Log'!$A$5:$A$5000)=0,"",IF(MIN('Weekly Log'!$A$5:$A$5000)+7*(ROW()-10)&gt;MAX('Weekly Log'!$A$5:$A$5000),"",MIN('Weekly Log'!$A$5:$A$5000)+7*(ROW()-10)))</f>
        <v/>
      </c>
    </row>
    <row r="1077" spans="1:10" x14ac:dyDescent="0.25">
      <c r="A1077" t="str">
        <f t="shared" si="16"/>
        <v/>
      </c>
      <c r="B1077" t="str">
        <f>IF($J1077="","",SUMIFS('Weekly Log'!$C:$C,'Weekly Log'!$A:$A,"&gt;="&amp;$J1077,'Weekly Log'!$A:$A,"&lt;"&amp;$J1077+7))</f>
        <v/>
      </c>
      <c r="C1077" t="str">
        <f>IF($J1077="","",IFERROR(COUNTIFS('Weekly Log'!$G:$G,"Y",'Weekly Log'!$A:$A,"&gt;="&amp;$J1077,'Weekly Log'!$A:$A,"&lt;"&amp;$J1077+7)/COUNTIFS('Weekly Log'!$G:$G,"&lt;&gt;",'Weekly Log'!$A:$A,"&gt;="&amp;$J1077,'Weekly Log'!$A:$A,"&lt;"&amp;$J1077+7),0))</f>
        <v/>
      </c>
      <c r="D1077" t="str">
        <f>IF($J1077="","",IFERROR(COUNTIFS('Weekly Log'!$H:$H,"Y",'Weekly Log'!$A:$A,"&gt;="&amp;$J1077,'Weekly Log'!$A:$A,"&lt;"&amp;$J1077+7)/COUNTIFS('Weekly Log'!$H:$H,"&lt;&gt;",'Weekly Log'!$A:$A,"&gt;="&amp;$J1077,'Weekly Log'!$A:$A,"&lt;"&amp;$J1077+7),0))</f>
        <v/>
      </c>
      <c r="E1077" t="str">
        <f>IF($J1077="","",IFERROR(AVERAGEIFS('Weekly Log'!$F:$F,'Weekly Log'!$A:$A,"&gt;="&amp;$J1077,'Weekly Log'!$A:$A,"&lt;"&amp;$J1077+7),0))</f>
        <v/>
      </c>
      <c r="F1077" t="str">
        <f>IF($J1077="","",IFERROR(SUMIFS('Weekly Log'!$F:$F,'Weekly Log'!$A:$A,"&gt;="&amp;$J1077,'Weekly Log'!$A:$A,"&lt;"&amp;$J1077+7)/SUMIFS('Weekly Log'!$E:$E,'Weekly Log'!$A:$A,"&gt;="&amp;$J1077,'Weekly Log'!$A:$A,"&lt;"&amp;$J1077+7),0))</f>
        <v/>
      </c>
      <c r="G1077" t="str">
        <f>IF($J1077="","",IFERROR(LOOKUP(2,1/(('Weekly Log'!$A$5:$A$5000&gt;=$J1077)*('Weekly Log'!$A$5:$A$5000&lt;$J1077+7)*('Weekly Log'!$M$5:$M$5000&lt;&gt;"")),'Weekly Log'!$M$5:$M$5000),0))</f>
        <v/>
      </c>
      <c r="J1077" t="str">
        <f>IF(COUNT('Weekly Log'!$A$5:$A$5000)=0,"",IF(MIN('Weekly Log'!$A$5:$A$5000)+7*(ROW()-10)&gt;MAX('Weekly Log'!$A$5:$A$5000),"",MIN('Weekly Log'!$A$5:$A$5000)+7*(ROW()-10)))</f>
        <v/>
      </c>
    </row>
    <row r="1078" spans="1:10" x14ac:dyDescent="0.25">
      <c r="A1078" t="str">
        <f t="shared" si="16"/>
        <v/>
      </c>
      <c r="B1078" t="str">
        <f>IF($J1078="","",SUMIFS('Weekly Log'!$C:$C,'Weekly Log'!$A:$A,"&gt;="&amp;$J1078,'Weekly Log'!$A:$A,"&lt;"&amp;$J1078+7))</f>
        <v/>
      </c>
      <c r="C1078" t="str">
        <f>IF($J1078="","",IFERROR(COUNTIFS('Weekly Log'!$G:$G,"Y",'Weekly Log'!$A:$A,"&gt;="&amp;$J1078,'Weekly Log'!$A:$A,"&lt;"&amp;$J1078+7)/COUNTIFS('Weekly Log'!$G:$G,"&lt;&gt;",'Weekly Log'!$A:$A,"&gt;="&amp;$J1078,'Weekly Log'!$A:$A,"&lt;"&amp;$J1078+7),0))</f>
        <v/>
      </c>
      <c r="D1078" t="str">
        <f>IF($J1078="","",IFERROR(COUNTIFS('Weekly Log'!$H:$H,"Y",'Weekly Log'!$A:$A,"&gt;="&amp;$J1078,'Weekly Log'!$A:$A,"&lt;"&amp;$J1078+7)/COUNTIFS('Weekly Log'!$H:$H,"&lt;&gt;",'Weekly Log'!$A:$A,"&gt;="&amp;$J1078,'Weekly Log'!$A:$A,"&lt;"&amp;$J1078+7),0))</f>
        <v/>
      </c>
      <c r="E1078" t="str">
        <f>IF($J1078="","",IFERROR(AVERAGEIFS('Weekly Log'!$F:$F,'Weekly Log'!$A:$A,"&gt;="&amp;$J1078,'Weekly Log'!$A:$A,"&lt;"&amp;$J1078+7),0))</f>
        <v/>
      </c>
      <c r="F1078" t="str">
        <f>IF($J1078="","",IFERROR(SUMIFS('Weekly Log'!$F:$F,'Weekly Log'!$A:$A,"&gt;="&amp;$J1078,'Weekly Log'!$A:$A,"&lt;"&amp;$J1078+7)/SUMIFS('Weekly Log'!$E:$E,'Weekly Log'!$A:$A,"&gt;="&amp;$J1078,'Weekly Log'!$A:$A,"&lt;"&amp;$J1078+7),0))</f>
        <v/>
      </c>
      <c r="G1078" t="str">
        <f>IF($J1078="","",IFERROR(LOOKUP(2,1/(('Weekly Log'!$A$5:$A$5000&gt;=$J1078)*('Weekly Log'!$A$5:$A$5000&lt;$J1078+7)*('Weekly Log'!$M$5:$M$5000&lt;&gt;"")),'Weekly Log'!$M$5:$M$5000),0))</f>
        <v/>
      </c>
      <c r="J1078" t="str">
        <f>IF(COUNT('Weekly Log'!$A$5:$A$5000)=0,"",IF(MIN('Weekly Log'!$A$5:$A$5000)+7*(ROW()-10)&gt;MAX('Weekly Log'!$A$5:$A$5000),"",MIN('Weekly Log'!$A$5:$A$5000)+7*(ROW()-10)))</f>
        <v/>
      </c>
    </row>
    <row r="1079" spans="1:10" x14ac:dyDescent="0.25">
      <c r="A1079" t="str">
        <f t="shared" si="16"/>
        <v/>
      </c>
      <c r="B1079" t="str">
        <f>IF($J1079="","",SUMIFS('Weekly Log'!$C:$C,'Weekly Log'!$A:$A,"&gt;="&amp;$J1079,'Weekly Log'!$A:$A,"&lt;"&amp;$J1079+7))</f>
        <v/>
      </c>
      <c r="C1079" t="str">
        <f>IF($J1079="","",IFERROR(COUNTIFS('Weekly Log'!$G:$G,"Y",'Weekly Log'!$A:$A,"&gt;="&amp;$J1079,'Weekly Log'!$A:$A,"&lt;"&amp;$J1079+7)/COUNTIFS('Weekly Log'!$G:$G,"&lt;&gt;",'Weekly Log'!$A:$A,"&gt;="&amp;$J1079,'Weekly Log'!$A:$A,"&lt;"&amp;$J1079+7),0))</f>
        <v/>
      </c>
      <c r="D1079" t="str">
        <f>IF($J1079="","",IFERROR(COUNTIFS('Weekly Log'!$H:$H,"Y",'Weekly Log'!$A:$A,"&gt;="&amp;$J1079,'Weekly Log'!$A:$A,"&lt;"&amp;$J1079+7)/COUNTIFS('Weekly Log'!$H:$H,"&lt;&gt;",'Weekly Log'!$A:$A,"&gt;="&amp;$J1079,'Weekly Log'!$A:$A,"&lt;"&amp;$J1079+7),0))</f>
        <v/>
      </c>
      <c r="E1079" t="str">
        <f>IF($J1079="","",IFERROR(AVERAGEIFS('Weekly Log'!$F:$F,'Weekly Log'!$A:$A,"&gt;="&amp;$J1079,'Weekly Log'!$A:$A,"&lt;"&amp;$J1079+7),0))</f>
        <v/>
      </c>
      <c r="F1079" t="str">
        <f>IF($J1079="","",IFERROR(SUMIFS('Weekly Log'!$F:$F,'Weekly Log'!$A:$A,"&gt;="&amp;$J1079,'Weekly Log'!$A:$A,"&lt;"&amp;$J1079+7)/SUMIFS('Weekly Log'!$E:$E,'Weekly Log'!$A:$A,"&gt;="&amp;$J1079,'Weekly Log'!$A:$A,"&lt;"&amp;$J1079+7),0))</f>
        <v/>
      </c>
      <c r="G1079" t="str">
        <f>IF($J1079="","",IFERROR(LOOKUP(2,1/(('Weekly Log'!$A$5:$A$5000&gt;=$J1079)*('Weekly Log'!$A$5:$A$5000&lt;$J1079+7)*('Weekly Log'!$M$5:$M$5000&lt;&gt;"")),'Weekly Log'!$M$5:$M$5000),0))</f>
        <v/>
      </c>
      <c r="J1079" t="str">
        <f>IF(COUNT('Weekly Log'!$A$5:$A$5000)=0,"",IF(MIN('Weekly Log'!$A$5:$A$5000)+7*(ROW()-10)&gt;MAX('Weekly Log'!$A$5:$A$5000),"",MIN('Weekly Log'!$A$5:$A$5000)+7*(ROW()-10)))</f>
        <v/>
      </c>
    </row>
    <row r="1080" spans="1:10" x14ac:dyDescent="0.25">
      <c r="A1080" t="str">
        <f t="shared" si="16"/>
        <v/>
      </c>
      <c r="B1080" t="str">
        <f>IF($J1080="","",SUMIFS('Weekly Log'!$C:$C,'Weekly Log'!$A:$A,"&gt;="&amp;$J1080,'Weekly Log'!$A:$A,"&lt;"&amp;$J1080+7))</f>
        <v/>
      </c>
      <c r="C1080" t="str">
        <f>IF($J1080="","",IFERROR(COUNTIFS('Weekly Log'!$G:$G,"Y",'Weekly Log'!$A:$A,"&gt;="&amp;$J1080,'Weekly Log'!$A:$A,"&lt;"&amp;$J1080+7)/COUNTIFS('Weekly Log'!$G:$G,"&lt;&gt;",'Weekly Log'!$A:$A,"&gt;="&amp;$J1080,'Weekly Log'!$A:$A,"&lt;"&amp;$J1080+7),0))</f>
        <v/>
      </c>
      <c r="D1080" t="str">
        <f>IF($J1080="","",IFERROR(COUNTIFS('Weekly Log'!$H:$H,"Y",'Weekly Log'!$A:$A,"&gt;="&amp;$J1080,'Weekly Log'!$A:$A,"&lt;"&amp;$J1080+7)/COUNTIFS('Weekly Log'!$H:$H,"&lt;&gt;",'Weekly Log'!$A:$A,"&gt;="&amp;$J1080,'Weekly Log'!$A:$A,"&lt;"&amp;$J1080+7),0))</f>
        <v/>
      </c>
      <c r="E1080" t="str">
        <f>IF($J1080="","",IFERROR(AVERAGEIFS('Weekly Log'!$F:$F,'Weekly Log'!$A:$A,"&gt;="&amp;$J1080,'Weekly Log'!$A:$A,"&lt;"&amp;$J1080+7),0))</f>
        <v/>
      </c>
      <c r="F1080" t="str">
        <f>IF($J1080="","",IFERROR(SUMIFS('Weekly Log'!$F:$F,'Weekly Log'!$A:$A,"&gt;="&amp;$J1080,'Weekly Log'!$A:$A,"&lt;"&amp;$J1080+7)/SUMIFS('Weekly Log'!$E:$E,'Weekly Log'!$A:$A,"&gt;="&amp;$J1080,'Weekly Log'!$A:$A,"&lt;"&amp;$J1080+7),0))</f>
        <v/>
      </c>
      <c r="G1080" t="str">
        <f>IF($J1080="","",IFERROR(LOOKUP(2,1/(('Weekly Log'!$A$5:$A$5000&gt;=$J1080)*('Weekly Log'!$A$5:$A$5000&lt;$J1080+7)*('Weekly Log'!$M$5:$M$5000&lt;&gt;"")),'Weekly Log'!$M$5:$M$5000),0))</f>
        <v/>
      </c>
      <c r="J1080" t="str">
        <f>IF(COUNT('Weekly Log'!$A$5:$A$5000)=0,"",IF(MIN('Weekly Log'!$A$5:$A$5000)+7*(ROW()-10)&gt;MAX('Weekly Log'!$A$5:$A$5000),"",MIN('Weekly Log'!$A$5:$A$5000)+7*(ROW()-10)))</f>
        <v/>
      </c>
    </row>
    <row r="1081" spans="1:10" x14ac:dyDescent="0.25">
      <c r="A1081" t="str">
        <f t="shared" si="16"/>
        <v/>
      </c>
      <c r="B1081" t="str">
        <f>IF($J1081="","",SUMIFS('Weekly Log'!$C:$C,'Weekly Log'!$A:$A,"&gt;="&amp;$J1081,'Weekly Log'!$A:$A,"&lt;"&amp;$J1081+7))</f>
        <v/>
      </c>
      <c r="C1081" t="str">
        <f>IF($J1081="","",IFERROR(COUNTIFS('Weekly Log'!$G:$G,"Y",'Weekly Log'!$A:$A,"&gt;="&amp;$J1081,'Weekly Log'!$A:$A,"&lt;"&amp;$J1081+7)/COUNTIFS('Weekly Log'!$G:$G,"&lt;&gt;",'Weekly Log'!$A:$A,"&gt;="&amp;$J1081,'Weekly Log'!$A:$A,"&lt;"&amp;$J1081+7),0))</f>
        <v/>
      </c>
      <c r="D1081" t="str">
        <f>IF($J1081="","",IFERROR(COUNTIFS('Weekly Log'!$H:$H,"Y",'Weekly Log'!$A:$A,"&gt;="&amp;$J1081,'Weekly Log'!$A:$A,"&lt;"&amp;$J1081+7)/COUNTIFS('Weekly Log'!$H:$H,"&lt;&gt;",'Weekly Log'!$A:$A,"&gt;="&amp;$J1081,'Weekly Log'!$A:$A,"&lt;"&amp;$J1081+7),0))</f>
        <v/>
      </c>
      <c r="E1081" t="str">
        <f>IF($J1081="","",IFERROR(AVERAGEIFS('Weekly Log'!$F:$F,'Weekly Log'!$A:$A,"&gt;="&amp;$J1081,'Weekly Log'!$A:$A,"&lt;"&amp;$J1081+7),0))</f>
        <v/>
      </c>
      <c r="F1081" t="str">
        <f>IF($J1081="","",IFERROR(SUMIFS('Weekly Log'!$F:$F,'Weekly Log'!$A:$A,"&gt;="&amp;$J1081,'Weekly Log'!$A:$A,"&lt;"&amp;$J1081+7)/SUMIFS('Weekly Log'!$E:$E,'Weekly Log'!$A:$A,"&gt;="&amp;$J1081,'Weekly Log'!$A:$A,"&lt;"&amp;$J1081+7),0))</f>
        <v/>
      </c>
      <c r="G1081" t="str">
        <f>IF($J1081="","",IFERROR(LOOKUP(2,1/(('Weekly Log'!$A$5:$A$5000&gt;=$J1081)*('Weekly Log'!$A$5:$A$5000&lt;$J1081+7)*('Weekly Log'!$M$5:$M$5000&lt;&gt;"")),'Weekly Log'!$M$5:$M$5000),0))</f>
        <v/>
      </c>
      <c r="J1081" t="str">
        <f>IF(COUNT('Weekly Log'!$A$5:$A$5000)=0,"",IF(MIN('Weekly Log'!$A$5:$A$5000)+7*(ROW()-10)&gt;MAX('Weekly Log'!$A$5:$A$5000),"",MIN('Weekly Log'!$A$5:$A$5000)+7*(ROW()-10)))</f>
        <v/>
      </c>
    </row>
    <row r="1082" spans="1:10" x14ac:dyDescent="0.25">
      <c r="A1082" t="str">
        <f t="shared" si="16"/>
        <v/>
      </c>
      <c r="B1082" t="str">
        <f>IF($J1082="","",SUMIFS('Weekly Log'!$C:$C,'Weekly Log'!$A:$A,"&gt;="&amp;$J1082,'Weekly Log'!$A:$A,"&lt;"&amp;$J1082+7))</f>
        <v/>
      </c>
      <c r="C1082" t="str">
        <f>IF($J1082="","",IFERROR(COUNTIFS('Weekly Log'!$G:$G,"Y",'Weekly Log'!$A:$A,"&gt;="&amp;$J1082,'Weekly Log'!$A:$A,"&lt;"&amp;$J1082+7)/COUNTIFS('Weekly Log'!$G:$G,"&lt;&gt;",'Weekly Log'!$A:$A,"&gt;="&amp;$J1082,'Weekly Log'!$A:$A,"&lt;"&amp;$J1082+7),0))</f>
        <v/>
      </c>
      <c r="D1082" t="str">
        <f>IF($J1082="","",IFERROR(COUNTIFS('Weekly Log'!$H:$H,"Y",'Weekly Log'!$A:$A,"&gt;="&amp;$J1082,'Weekly Log'!$A:$A,"&lt;"&amp;$J1082+7)/COUNTIFS('Weekly Log'!$H:$H,"&lt;&gt;",'Weekly Log'!$A:$A,"&gt;="&amp;$J1082,'Weekly Log'!$A:$A,"&lt;"&amp;$J1082+7),0))</f>
        <v/>
      </c>
      <c r="E1082" t="str">
        <f>IF($J1082="","",IFERROR(AVERAGEIFS('Weekly Log'!$F:$F,'Weekly Log'!$A:$A,"&gt;="&amp;$J1082,'Weekly Log'!$A:$A,"&lt;"&amp;$J1082+7),0))</f>
        <v/>
      </c>
      <c r="F1082" t="str">
        <f>IF($J1082="","",IFERROR(SUMIFS('Weekly Log'!$F:$F,'Weekly Log'!$A:$A,"&gt;="&amp;$J1082,'Weekly Log'!$A:$A,"&lt;"&amp;$J1082+7)/SUMIFS('Weekly Log'!$E:$E,'Weekly Log'!$A:$A,"&gt;="&amp;$J1082,'Weekly Log'!$A:$A,"&lt;"&amp;$J1082+7),0))</f>
        <v/>
      </c>
      <c r="G1082" t="str">
        <f>IF($J1082="","",IFERROR(LOOKUP(2,1/(('Weekly Log'!$A$5:$A$5000&gt;=$J1082)*('Weekly Log'!$A$5:$A$5000&lt;$J1082+7)*('Weekly Log'!$M$5:$M$5000&lt;&gt;"")),'Weekly Log'!$M$5:$M$5000),0))</f>
        <v/>
      </c>
      <c r="J1082" t="str">
        <f>IF(COUNT('Weekly Log'!$A$5:$A$5000)=0,"",IF(MIN('Weekly Log'!$A$5:$A$5000)+7*(ROW()-10)&gt;MAX('Weekly Log'!$A$5:$A$5000),"",MIN('Weekly Log'!$A$5:$A$5000)+7*(ROW()-10)))</f>
        <v/>
      </c>
    </row>
    <row r="1083" spans="1:10" x14ac:dyDescent="0.25">
      <c r="A1083" t="str">
        <f t="shared" si="16"/>
        <v/>
      </c>
      <c r="B1083" t="str">
        <f>IF($J1083="","",SUMIFS('Weekly Log'!$C:$C,'Weekly Log'!$A:$A,"&gt;="&amp;$J1083,'Weekly Log'!$A:$A,"&lt;"&amp;$J1083+7))</f>
        <v/>
      </c>
      <c r="C1083" t="str">
        <f>IF($J1083="","",IFERROR(COUNTIFS('Weekly Log'!$G:$G,"Y",'Weekly Log'!$A:$A,"&gt;="&amp;$J1083,'Weekly Log'!$A:$A,"&lt;"&amp;$J1083+7)/COUNTIFS('Weekly Log'!$G:$G,"&lt;&gt;",'Weekly Log'!$A:$A,"&gt;="&amp;$J1083,'Weekly Log'!$A:$A,"&lt;"&amp;$J1083+7),0))</f>
        <v/>
      </c>
      <c r="D1083" t="str">
        <f>IF($J1083="","",IFERROR(COUNTIFS('Weekly Log'!$H:$H,"Y",'Weekly Log'!$A:$A,"&gt;="&amp;$J1083,'Weekly Log'!$A:$A,"&lt;"&amp;$J1083+7)/COUNTIFS('Weekly Log'!$H:$H,"&lt;&gt;",'Weekly Log'!$A:$A,"&gt;="&amp;$J1083,'Weekly Log'!$A:$A,"&lt;"&amp;$J1083+7),0))</f>
        <v/>
      </c>
      <c r="E1083" t="str">
        <f>IF($J1083="","",IFERROR(AVERAGEIFS('Weekly Log'!$F:$F,'Weekly Log'!$A:$A,"&gt;="&amp;$J1083,'Weekly Log'!$A:$A,"&lt;"&amp;$J1083+7),0))</f>
        <v/>
      </c>
      <c r="F1083" t="str">
        <f>IF($J1083="","",IFERROR(SUMIFS('Weekly Log'!$F:$F,'Weekly Log'!$A:$A,"&gt;="&amp;$J1083,'Weekly Log'!$A:$A,"&lt;"&amp;$J1083+7)/SUMIFS('Weekly Log'!$E:$E,'Weekly Log'!$A:$A,"&gt;="&amp;$J1083,'Weekly Log'!$A:$A,"&lt;"&amp;$J1083+7),0))</f>
        <v/>
      </c>
      <c r="G1083" t="str">
        <f>IF($J1083="","",IFERROR(LOOKUP(2,1/(('Weekly Log'!$A$5:$A$5000&gt;=$J1083)*('Weekly Log'!$A$5:$A$5000&lt;$J1083+7)*('Weekly Log'!$M$5:$M$5000&lt;&gt;"")),'Weekly Log'!$M$5:$M$5000),0))</f>
        <v/>
      </c>
      <c r="J1083" t="str">
        <f>IF(COUNT('Weekly Log'!$A$5:$A$5000)=0,"",IF(MIN('Weekly Log'!$A$5:$A$5000)+7*(ROW()-10)&gt;MAX('Weekly Log'!$A$5:$A$5000),"",MIN('Weekly Log'!$A$5:$A$5000)+7*(ROW()-10)))</f>
        <v/>
      </c>
    </row>
    <row r="1084" spans="1:10" x14ac:dyDescent="0.25">
      <c r="A1084" t="str">
        <f t="shared" si="16"/>
        <v/>
      </c>
      <c r="B1084" t="str">
        <f>IF($J1084="","",SUMIFS('Weekly Log'!$C:$C,'Weekly Log'!$A:$A,"&gt;="&amp;$J1084,'Weekly Log'!$A:$A,"&lt;"&amp;$J1084+7))</f>
        <v/>
      </c>
      <c r="C1084" t="str">
        <f>IF($J1084="","",IFERROR(COUNTIFS('Weekly Log'!$G:$G,"Y",'Weekly Log'!$A:$A,"&gt;="&amp;$J1084,'Weekly Log'!$A:$A,"&lt;"&amp;$J1084+7)/COUNTIFS('Weekly Log'!$G:$G,"&lt;&gt;",'Weekly Log'!$A:$A,"&gt;="&amp;$J1084,'Weekly Log'!$A:$A,"&lt;"&amp;$J1084+7),0))</f>
        <v/>
      </c>
      <c r="D1084" t="str">
        <f>IF($J1084="","",IFERROR(COUNTIFS('Weekly Log'!$H:$H,"Y",'Weekly Log'!$A:$A,"&gt;="&amp;$J1084,'Weekly Log'!$A:$A,"&lt;"&amp;$J1084+7)/COUNTIFS('Weekly Log'!$H:$H,"&lt;&gt;",'Weekly Log'!$A:$A,"&gt;="&amp;$J1084,'Weekly Log'!$A:$A,"&lt;"&amp;$J1084+7),0))</f>
        <v/>
      </c>
      <c r="E1084" t="str">
        <f>IF($J1084="","",IFERROR(AVERAGEIFS('Weekly Log'!$F:$F,'Weekly Log'!$A:$A,"&gt;="&amp;$J1084,'Weekly Log'!$A:$A,"&lt;"&amp;$J1084+7),0))</f>
        <v/>
      </c>
      <c r="F1084" t="str">
        <f>IF($J1084="","",IFERROR(SUMIFS('Weekly Log'!$F:$F,'Weekly Log'!$A:$A,"&gt;="&amp;$J1084,'Weekly Log'!$A:$A,"&lt;"&amp;$J1084+7)/SUMIFS('Weekly Log'!$E:$E,'Weekly Log'!$A:$A,"&gt;="&amp;$J1084,'Weekly Log'!$A:$A,"&lt;"&amp;$J1084+7),0))</f>
        <v/>
      </c>
      <c r="G1084" t="str">
        <f>IF($J1084="","",IFERROR(LOOKUP(2,1/(('Weekly Log'!$A$5:$A$5000&gt;=$J1084)*('Weekly Log'!$A$5:$A$5000&lt;$J1084+7)*('Weekly Log'!$M$5:$M$5000&lt;&gt;"")),'Weekly Log'!$M$5:$M$5000),0))</f>
        <v/>
      </c>
      <c r="J1084" t="str">
        <f>IF(COUNT('Weekly Log'!$A$5:$A$5000)=0,"",IF(MIN('Weekly Log'!$A$5:$A$5000)+7*(ROW()-10)&gt;MAX('Weekly Log'!$A$5:$A$5000),"",MIN('Weekly Log'!$A$5:$A$5000)+7*(ROW()-10)))</f>
        <v/>
      </c>
    </row>
    <row r="1085" spans="1:10" x14ac:dyDescent="0.25">
      <c r="A1085" t="str">
        <f t="shared" si="16"/>
        <v/>
      </c>
      <c r="B1085" t="str">
        <f>IF($J1085="","",SUMIFS('Weekly Log'!$C:$C,'Weekly Log'!$A:$A,"&gt;="&amp;$J1085,'Weekly Log'!$A:$A,"&lt;"&amp;$J1085+7))</f>
        <v/>
      </c>
      <c r="C1085" t="str">
        <f>IF($J1085="","",IFERROR(COUNTIFS('Weekly Log'!$G:$G,"Y",'Weekly Log'!$A:$A,"&gt;="&amp;$J1085,'Weekly Log'!$A:$A,"&lt;"&amp;$J1085+7)/COUNTIFS('Weekly Log'!$G:$G,"&lt;&gt;",'Weekly Log'!$A:$A,"&gt;="&amp;$J1085,'Weekly Log'!$A:$A,"&lt;"&amp;$J1085+7),0))</f>
        <v/>
      </c>
      <c r="D1085" t="str">
        <f>IF($J1085="","",IFERROR(COUNTIFS('Weekly Log'!$H:$H,"Y",'Weekly Log'!$A:$A,"&gt;="&amp;$J1085,'Weekly Log'!$A:$A,"&lt;"&amp;$J1085+7)/COUNTIFS('Weekly Log'!$H:$H,"&lt;&gt;",'Weekly Log'!$A:$A,"&gt;="&amp;$J1085,'Weekly Log'!$A:$A,"&lt;"&amp;$J1085+7),0))</f>
        <v/>
      </c>
      <c r="E1085" t="str">
        <f>IF($J1085="","",IFERROR(AVERAGEIFS('Weekly Log'!$F:$F,'Weekly Log'!$A:$A,"&gt;="&amp;$J1085,'Weekly Log'!$A:$A,"&lt;"&amp;$J1085+7),0))</f>
        <v/>
      </c>
      <c r="F1085" t="str">
        <f>IF($J1085="","",IFERROR(SUMIFS('Weekly Log'!$F:$F,'Weekly Log'!$A:$A,"&gt;="&amp;$J1085,'Weekly Log'!$A:$A,"&lt;"&amp;$J1085+7)/SUMIFS('Weekly Log'!$E:$E,'Weekly Log'!$A:$A,"&gt;="&amp;$J1085,'Weekly Log'!$A:$A,"&lt;"&amp;$J1085+7),0))</f>
        <v/>
      </c>
      <c r="G1085" t="str">
        <f>IF($J1085="","",IFERROR(LOOKUP(2,1/(('Weekly Log'!$A$5:$A$5000&gt;=$J1085)*('Weekly Log'!$A$5:$A$5000&lt;$J1085+7)*('Weekly Log'!$M$5:$M$5000&lt;&gt;"")),'Weekly Log'!$M$5:$M$5000),0))</f>
        <v/>
      </c>
      <c r="J1085" t="str">
        <f>IF(COUNT('Weekly Log'!$A$5:$A$5000)=0,"",IF(MIN('Weekly Log'!$A$5:$A$5000)+7*(ROW()-10)&gt;MAX('Weekly Log'!$A$5:$A$5000),"",MIN('Weekly Log'!$A$5:$A$5000)+7*(ROW()-10)))</f>
        <v/>
      </c>
    </row>
    <row r="1086" spans="1:10" x14ac:dyDescent="0.25">
      <c r="A1086" t="str">
        <f t="shared" si="16"/>
        <v/>
      </c>
      <c r="B1086" t="str">
        <f>IF($J1086="","",SUMIFS('Weekly Log'!$C:$C,'Weekly Log'!$A:$A,"&gt;="&amp;$J1086,'Weekly Log'!$A:$A,"&lt;"&amp;$J1086+7))</f>
        <v/>
      </c>
      <c r="C1086" t="str">
        <f>IF($J1086="","",IFERROR(COUNTIFS('Weekly Log'!$G:$G,"Y",'Weekly Log'!$A:$A,"&gt;="&amp;$J1086,'Weekly Log'!$A:$A,"&lt;"&amp;$J1086+7)/COUNTIFS('Weekly Log'!$G:$G,"&lt;&gt;",'Weekly Log'!$A:$A,"&gt;="&amp;$J1086,'Weekly Log'!$A:$A,"&lt;"&amp;$J1086+7),0))</f>
        <v/>
      </c>
      <c r="D1086" t="str">
        <f>IF($J1086="","",IFERROR(COUNTIFS('Weekly Log'!$H:$H,"Y",'Weekly Log'!$A:$A,"&gt;="&amp;$J1086,'Weekly Log'!$A:$A,"&lt;"&amp;$J1086+7)/COUNTIFS('Weekly Log'!$H:$H,"&lt;&gt;",'Weekly Log'!$A:$A,"&gt;="&amp;$J1086,'Weekly Log'!$A:$A,"&lt;"&amp;$J1086+7),0))</f>
        <v/>
      </c>
      <c r="E1086" t="str">
        <f>IF($J1086="","",IFERROR(AVERAGEIFS('Weekly Log'!$F:$F,'Weekly Log'!$A:$A,"&gt;="&amp;$J1086,'Weekly Log'!$A:$A,"&lt;"&amp;$J1086+7),0))</f>
        <v/>
      </c>
      <c r="F1086" t="str">
        <f>IF($J1086="","",IFERROR(SUMIFS('Weekly Log'!$F:$F,'Weekly Log'!$A:$A,"&gt;="&amp;$J1086,'Weekly Log'!$A:$A,"&lt;"&amp;$J1086+7)/SUMIFS('Weekly Log'!$E:$E,'Weekly Log'!$A:$A,"&gt;="&amp;$J1086,'Weekly Log'!$A:$A,"&lt;"&amp;$J1086+7),0))</f>
        <v/>
      </c>
      <c r="G1086" t="str">
        <f>IF($J1086="","",IFERROR(LOOKUP(2,1/(('Weekly Log'!$A$5:$A$5000&gt;=$J1086)*('Weekly Log'!$A$5:$A$5000&lt;$J1086+7)*('Weekly Log'!$M$5:$M$5000&lt;&gt;"")),'Weekly Log'!$M$5:$M$5000),0))</f>
        <v/>
      </c>
      <c r="J1086" t="str">
        <f>IF(COUNT('Weekly Log'!$A$5:$A$5000)=0,"",IF(MIN('Weekly Log'!$A$5:$A$5000)+7*(ROW()-10)&gt;MAX('Weekly Log'!$A$5:$A$5000),"",MIN('Weekly Log'!$A$5:$A$5000)+7*(ROW()-10)))</f>
        <v/>
      </c>
    </row>
    <row r="1087" spans="1:10" x14ac:dyDescent="0.25">
      <c r="A1087" t="str">
        <f t="shared" si="16"/>
        <v/>
      </c>
      <c r="B1087" t="str">
        <f>IF($J1087="","",SUMIFS('Weekly Log'!$C:$C,'Weekly Log'!$A:$A,"&gt;="&amp;$J1087,'Weekly Log'!$A:$A,"&lt;"&amp;$J1087+7))</f>
        <v/>
      </c>
      <c r="C1087" t="str">
        <f>IF($J1087="","",IFERROR(COUNTIFS('Weekly Log'!$G:$G,"Y",'Weekly Log'!$A:$A,"&gt;="&amp;$J1087,'Weekly Log'!$A:$A,"&lt;"&amp;$J1087+7)/COUNTIFS('Weekly Log'!$G:$G,"&lt;&gt;",'Weekly Log'!$A:$A,"&gt;="&amp;$J1087,'Weekly Log'!$A:$A,"&lt;"&amp;$J1087+7),0))</f>
        <v/>
      </c>
      <c r="D1087" t="str">
        <f>IF($J1087="","",IFERROR(COUNTIFS('Weekly Log'!$H:$H,"Y",'Weekly Log'!$A:$A,"&gt;="&amp;$J1087,'Weekly Log'!$A:$A,"&lt;"&amp;$J1087+7)/COUNTIFS('Weekly Log'!$H:$H,"&lt;&gt;",'Weekly Log'!$A:$A,"&gt;="&amp;$J1087,'Weekly Log'!$A:$A,"&lt;"&amp;$J1087+7),0))</f>
        <v/>
      </c>
      <c r="E1087" t="str">
        <f>IF($J1087="","",IFERROR(AVERAGEIFS('Weekly Log'!$F:$F,'Weekly Log'!$A:$A,"&gt;="&amp;$J1087,'Weekly Log'!$A:$A,"&lt;"&amp;$J1087+7),0))</f>
        <v/>
      </c>
      <c r="F1087" t="str">
        <f>IF($J1087="","",IFERROR(SUMIFS('Weekly Log'!$F:$F,'Weekly Log'!$A:$A,"&gt;="&amp;$J1087,'Weekly Log'!$A:$A,"&lt;"&amp;$J1087+7)/SUMIFS('Weekly Log'!$E:$E,'Weekly Log'!$A:$A,"&gt;="&amp;$J1087,'Weekly Log'!$A:$A,"&lt;"&amp;$J1087+7),0))</f>
        <v/>
      </c>
      <c r="G1087" t="str">
        <f>IF($J1087="","",IFERROR(LOOKUP(2,1/(('Weekly Log'!$A$5:$A$5000&gt;=$J1087)*('Weekly Log'!$A$5:$A$5000&lt;$J1087+7)*('Weekly Log'!$M$5:$M$5000&lt;&gt;"")),'Weekly Log'!$M$5:$M$5000),0))</f>
        <v/>
      </c>
      <c r="J1087" t="str">
        <f>IF(COUNT('Weekly Log'!$A$5:$A$5000)=0,"",IF(MIN('Weekly Log'!$A$5:$A$5000)+7*(ROW()-10)&gt;MAX('Weekly Log'!$A$5:$A$5000),"",MIN('Weekly Log'!$A$5:$A$5000)+7*(ROW()-10)))</f>
        <v/>
      </c>
    </row>
    <row r="1088" spans="1:10" x14ac:dyDescent="0.25">
      <c r="A1088" t="str">
        <f t="shared" si="16"/>
        <v/>
      </c>
      <c r="B1088" t="str">
        <f>IF($J1088="","",SUMIFS('Weekly Log'!$C:$C,'Weekly Log'!$A:$A,"&gt;="&amp;$J1088,'Weekly Log'!$A:$A,"&lt;"&amp;$J1088+7))</f>
        <v/>
      </c>
      <c r="C1088" t="str">
        <f>IF($J1088="","",IFERROR(COUNTIFS('Weekly Log'!$G:$G,"Y",'Weekly Log'!$A:$A,"&gt;="&amp;$J1088,'Weekly Log'!$A:$A,"&lt;"&amp;$J1088+7)/COUNTIFS('Weekly Log'!$G:$G,"&lt;&gt;",'Weekly Log'!$A:$A,"&gt;="&amp;$J1088,'Weekly Log'!$A:$A,"&lt;"&amp;$J1088+7),0))</f>
        <v/>
      </c>
      <c r="D1088" t="str">
        <f>IF($J1088="","",IFERROR(COUNTIFS('Weekly Log'!$H:$H,"Y",'Weekly Log'!$A:$A,"&gt;="&amp;$J1088,'Weekly Log'!$A:$A,"&lt;"&amp;$J1088+7)/COUNTIFS('Weekly Log'!$H:$H,"&lt;&gt;",'Weekly Log'!$A:$A,"&gt;="&amp;$J1088,'Weekly Log'!$A:$A,"&lt;"&amp;$J1088+7),0))</f>
        <v/>
      </c>
      <c r="E1088" t="str">
        <f>IF($J1088="","",IFERROR(AVERAGEIFS('Weekly Log'!$F:$F,'Weekly Log'!$A:$A,"&gt;="&amp;$J1088,'Weekly Log'!$A:$A,"&lt;"&amp;$J1088+7),0))</f>
        <v/>
      </c>
      <c r="F1088" t="str">
        <f>IF($J1088="","",IFERROR(SUMIFS('Weekly Log'!$F:$F,'Weekly Log'!$A:$A,"&gt;="&amp;$J1088,'Weekly Log'!$A:$A,"&lt;"&amp;$J1088+7)/SUMIFS('Weekly Log'!$E:$E,'Weekly Log'!$A:$A,"&gt;="&amp;$J1088,'Weekly Log'!$A:$A,"&lt;"&amp;$J1088+7),0))</f>
        <v/>
      </c>
      <c r="G1088" t="str">
        <f>IF($J1088="","",IFERROR(LOOKUP(2,1/(('Weekly Log'!$A$5:$A$5000&gt;=$J1088)*('Weekly Log'!$A$5:$A$5000&lt;$J1088+7)*('Weekly Log'!$M$5:$M$5000&lt;&gt;"")),'Weekly Log'!$M$5:$M$5000),0))</f>
        <v/>
      </c>
      <c r="J1088" t="str">
        <f>IF(COUNT('Weekly Log'!$A$5:$A$5000)=0,"",IF(MIN('Weekly Log'!$A$5:$A$5000)+7*(ROW()-10)&gt;MAX('Weekly Log'!$A$5:$A$5000),"",MIN('Weekly Log'!$A$5:$A$5000)+7*(ROW()-10)))</f>
        <v/>
      </c>
    </row>
    <row r="1089" spans="1:10" x14ac:dyDescent="0.25">
      <c r="A1089" t="str">
        <f t="shared" si="16"/>
        <v/>
      </c>
      <c r="B1089" t="str">
        <f>IF($J1089="","",SUMIFS('Weekly Log'!$C:$C,'Weekly Log'!$A:$A,"&gt;="&amp;$J1089,'Weekly Log'!$A:$A,"&lt;"&amp;$J1089+7))</f>
        <v/>
      </c>
      <c r="C1089" t="str">
        <f>IF($J1089="","",IFERROR(COUNTIFS('Weekly Log'!$G:$G,"Y",'Weekly Log'!$A:$A,"&gt;="&amp;$J1089,'Weekly Log'!$A:$A,"&lt;"&amp;$J1089+7)/COUNTIFS('Weekly Log'!$G:$G,"&lt;&gt;",'Weekly Log'!$A:$A,"&gt;="&amp;$J1089,'Weekly Log'!$A:$A,"&lt;"&amp;$J1089+7),0))</f>
        <v/>
      </c>
      <c r="D1089" t="str">
        <f>IF($J1089="","",IFERROR(COUNTIFS('Weekly Log'!$H:$H,"Y",'Weekly Log'!$A:$A,"&gt;="&amp;$J1089,'Weekly Log'!$A:$A,"&lt;"&amp;$J1089+7)/COUNTIFS('Weekly Log'!$H:$H,"&lt;&gt;",'Weekly Log'!$A:$A,"&gt;="&amp;$J1089,'Weekly Log'!$A:$A,"&lt;"&amp;$J1089+7),0))</f>
        <v/>
      </c>
      <c r="E1089" t="str">
        <f>IF($J1089="","",IFERROR(AVERAGEIFS('Weekly Log'!$F:$F,'Weekly Log'!$A:$A,"&gt;="&amp;$J1089,'Weekly Log'!$A:$A,"&lt;"&amp;$J1089+7),0))</f>
        <v/>
      </c>
      <c r="F1089" t="str">
        <f>IF($J1089="","",IFERROR(SUMIFS('Weekly Log'!$F:$F,'Weekly Log'!$A:$A,"&gt;="&amp;$J1089,'Weekly Log'!$A:$A,"&lt;"&amp;$J1089+7)/SUMIFS('Weekly Log'!$E:$E,'Weekly Log'!$A:$A,"&gt;="&amp;$J1089,'Weekly Log'!$A:$A,"&lt;"&amp;$J1089+7),0))</f>
        <v/>
      </c>
      <c r="G1089" t="str">
        <f>IF($J1089="","",IFERROR(LOOKUP(2,1/(('Weekly Log'!$A$5:$A$5000&gt;=$J1089)*('Weekly Log'!$A$5:$A$5000&lt;$J1089+7)*('Weekly Log'!$M$5:$M$5000&lt;&gt;"")),'Weekly Log'!$M$5:$M$5000),0))</f>
        <v/>
      </c>
      <c r="J1089" t="str">
        <f>IF(COUNT('Weekly Log'!$A$5:$A$5000)=0,"",IF(MIN('Weekly Log'!$A$5:$A$5000)+7*(ROW()-10)&gt;MAX('Weekly Log'!$A$5:$A$5000),"",MIN('Weekly Log'!$A$5:$A$5000)+7*(ROW()-10)))</f>
        <v/>
      </c>
    </row>
    <row r="1090" spans="1:10" x14ac:dyDescent="0.25">
      <c r="A1090" t="str">
        <f t="shared" si="16"/>
        <v/>
      </c>
      <c r="B1090" t="str">
        <f>IF($J1090="","",SUMIFS('Weekly Log'!$C:$C,'Weekly Log'!$A:$A,"&gt;="&amp;$J1090,'Weekly Log'!$A:$A,"&lt;"&amp;$J1090+7))</f>
        <v/>
      </c>
      <c r="C1090" t="str">
        <f>IF($J1090="","",IFERROR(COUNTIFS('Weekly Log'!$G:$G,"Y",'Weekly Log'!$A:$A,"&gt;="&amp;$J1090,'Weekly Log'!$A:$A,"&lt;"&amp;$J1090+7)/COUNTIFS('Weekly Log'!$G:$G,"&lt;&gt;",'Weekly Log'!$A:$A,"&gt;="&amp;$J1090,'Weekly Log'!$A:$A,"&lt;"&amp;$J1090+7),0))</f>
        <v/>
      </c>
      <c r="D1090" t="str">
        <f>IF($J1090="","",IFERROR(COUNTIFS('Weekly Log'!$H:$H,"Y",'Weekly Log'!$A:$A,"&gt;="&amp;$J1090,'Weekly Log'!$A:$A,"&lt;"&amp;$J1090+7)/COUNTIFS('Weekly Log'!$H:$H,"&lt;&gt;",'Weekly Log'!$A:$A,"&gt;="&amp;$J1090,'Weekly Log'!$A:$A,"&lt;"&amp;$J1090+7),0))</f>
        <v/>
      </c>
      <c r="E1090" t="str">
        <f>IF($J1090="","",IFERROR(AVERAGEIFS('Weekly Log'!$F:$F,'Weekly Log'!$A:$A,"&gt;="&amp;$J1090,'Weekly Log'!$A:$A,"&lt;"&amp;$J1090+7),0))</f>
        <v/>
      </c>
      <c r="F1090" t="str">
        <f>IF($J1090="","",IFERROR(SUMIFS('Weekly Log'!$F:$F,'Weekly Log'!$A:$A,"&gt;="&amp;$J1090,'Weekly Log'!$A:$A,"&lt;"&amp;$J1090+7)/SUMIFS('Weekly Log'!$E:$E,'Weekly Log'!$A:$A,"&gt;="&amp;$J1090,'Weekly Log'!$A:$A,"&lt;"&amp;$J1090+7),0))</f>
        <v/>
      </c>
      <c r="G1090" t="str">
        <f>IF($J1090="","",IFERROR(LOOKUP(2,1/(('Weekly Log'!$A$5:$A$5000&gt;=$J1090)*('Weekly Log'!$A$5:$A$5000&lt;$J1090+7)*('Weekly Log'!$M$5:$M$5000&lt;&gt;"")),'Weekly Log'!$M$5:$M$5000),0))</f>
        <v/>
      </c>
      <c r="J1090" t="str">
        <f>IF(COUNT('Weekly Log'!$A$5:$A$5000)=0,"",IF(MIN('Weekly Log'!$A$5:$A$5000)+7*(ROW()-10)&gt;MAX('Weekly Log'!$A$5:$A$5000),"",MIN('Weekly Log'!$A$5:$A$5000)+7*(ROW()-10)))</f>
        <v/>
      </c>
    </row>
    <row r="1091" spans="1:10" x14ac:dyDescent="0.25">
      <c r="A1091" t="str">
        <f t="shared" si="16"/>
        <v/>
      </c>
      <c r="B1091" t="str">
        <f>IF($J1091="","",SUMIFS('Weekly Log'!$C:$C,'Weekly Log'!$A:$A,"&gt;="&amp;$J1091,'Weekly Log'!$A:$A,"&lt;"&amp;$J1091+7))</f>
        <v/>
      </c>
      <c r="C1091" t="str">
        <f>IF($J1091="","",IFERROR(COUNTIFS('Weekly Log'!$G:$G,"Y",'Weekly Log'!$A:$A,"&gt;="&amp;$J1091,'Weekly Log'!$A:$A,"&lt;"&amp;$J1091+7)/COUNTIFS('Weekly Log'!$G:$G,"&lt;&gt;",'Weekly Log'!$A:$A,"&gt;="&amp;$J1091,'Weekly Log'!$A:$A,"&lt;"&amp;$J1091+7),0))</f>
        <v/>
      </c>
      <c r="D1091" t="str">
        <f>IF($J1091="","",IFERROR(COUNTIFS('Weekly Log'!$H:$H,"Y",'Weekly Log'!$A:$A,"&gt;="&amp;$J1091,'Weekly Log'!$A:$A,"&lt;"&amp;$J1091+7)/COUNTIFS('Weekly Log'!$H:$H,"&lt;&gt;",'Weekly Log'!$A:$A,"&gt;="&amp;$J1091,'Weekly Log'!$A:$A,"&lt;"&amp;$J1091+7),0))</f>
        <v/>
      </c>
      <c r="E1091" t="str">
        <f>IF($J1091="","",IFERROR(AVERAGEIFS('Weekly Log'!$F:$F,'Weekly Log'!$A:$A,"&gt;="&amp;$J1091,'Weekly Log'!$A:$A,"&lt;"&amp;$J1091+7),0))</f>
        <v/>
      </c>
      <c r="F1091" t="str">
        <f>IF($J1091="","",IFERROR(SUMIFS('Weekly Log'!$F:$F,'Weekly Log'!$A:$A,"&gt;="&amp;$J1091,'Weekly Log'!$A:$A,"&lt;"&amp;$J1091+7)/SUMIFS('Weekly Log'!$E:$E,'Weekly Log'!$A:$A,"&gt;="&amp;$J1091,'Weekly Log'!$A:$A,"&lt;"&amp;$J1091+7),0))</f>
        <v/>
      </c>
      <c r="G1091" t="str">
        <f>IF($J1091="","",IFERROR(LOOKUP(2,1/(('Weekly Log'!$A$5:$A$5000&gt;=$J1091)*('Weekly Log'!$A$5:$A$5000&lt;$J1091+7)*('Weekly Log'!$M$5:$M$5000&lt;&gt;"")),'Weekly Log'!$M$5:$M$5000),0))</f>
        <v/>
      </c>
      <c r="J1091" t="str">
        <f>IF(COUNT('Weekly Log'!$A$5:$A$5000)=0,"",IF(MIN('Weekly Log'!$A$5:$A$5000)+7*(ROW()-10)&gt;MAX('Weekly Log'!$A$5:$A$5000),"",MIN('Weekly Log'!$A$5:$A$5000)+7*(ROW()-10)))</f>
        <v/>
      </c>
    </row>
    <row r="1092" spans="1:10" x14ac:dyDescent="0.25">
      <c r="A1092" t="str">
        <f t="shared" si="16"/>
        <v/>
      </c>
      <c r="B1092" t="str">
        <f>IF($J1092="","",SUMIFS('Weekly Log'!$C:$C,'Weekly Log'!$A:$A,"&gt;="&amp;$J1092,'Weekly Log'!$A:$A,"&lt;"&amp;$J1092+7))</f>
        <v/>
      </c>
      <c r="C1092" t="str">
        <f>IF($J1092="","",IFERROR(COUNTIFS('Weekly Log'!$G:$G,"Y",'Weekly Log'!$A:$A,"&gt;="&amp;$J1092,'Weekly Log'!$A:$A,"&lt;"&amp;$J1092+7)/COUNTIFS('Weekly Log'!$G:$G,"&lt;&gt;",'Weekly Log'!$A:$A,"&gt;="&amp;$J1092,'Weekly Log'!$A:$A,"&lt;"&amp;$J1092+7),0))</f>
        <v/>
      </c>
      <c r="D1092" t="str">
        <f>IF($J1092="","",IFERROR(COUNTIFS('Weekly Log'!$H:$H,"Y",'Weekly Log'!$A:$A,"&gt;="&amp;$J1092,'Weekly Log'!$A:$A,"&lt;"&amp;$J1092+7)/COUNTIFS('Weekly Log'!$H:$H,"&lt;&gt;",'Weekly Log'!$A:$A,"&gt;="&amp;$J1092,'Weekly Log'!$A:$A,"&lt;"&amp;$J1092+7),0))</f>
        <v/>
      </c>
      <c r="E1092" t="str">
        <f>IF($J1092="","",IFERROR(AVERAGEIFS('Weekly Log'!$F:$F,'Weekly Log'!$A:$A,"&gt;="&amp;$J1092,'Weekly Log'!$A:$A,"&lt;"&amp;$J1092+7),0))</f>
        <v/>
      </c>
      <c r="F1092" t="str">
        <f>IF($J1092="","",IFERROR(SUMIFS('Weekly Log'!$F:$F,'Weekly Log'!$A:$A,"&gt;="&amp;$J1092,'Weekly Log'!$A:$A,"&lt;"&amp;$J1092+7)/SUMIFS('Weekly Log'!$E:$E,'Weekly Log'!$A:$A,"&gt;="&amp;$J1092,'Weekly Log'!$A:$A,"&lt;"&amp;$J1092+7),0))</f>
        <v/>
      </c>
      <c r="G1092" t="str">
        <f>IF($J1092="","",IFERROR(LOOKUP(2,1/(('Weekly Log'!$A$5:$A$5000&gt;=$J1092)*('Weekly Log'!$A$5:$A$5000&lt;$J1092+7)*('Weekly Log'!$M$5:$M$5000&lt;&gt;"")),'Weekly Log'!$M$5:$M$5000),0))</f>
        <v/>
      </c>
      <c r="J1092" t="str">
        <f>IF(COUNT('Weekly Log'!$A$5:$A$5000)=0,"",IF(MIN('Weekly Log'!$A$5:$A$5000)+7*(ROW()-10)&gt;MAX('Weekly Log'!$A$5:$A$5000),"",MIN('Weekly Log'!$A$5:$A$5000)+7*(ROW()-10)))</f>
        <v/>
      </c>
    </row>
    <row r="1093" spans="1:10" x14ac:dyDescent="0.25">
      <c r="A1093" t="str">
        <f t="shared" si="16"/>
        <v/>
      </c>
      <c r="B1093" t="str">
        <f>IF($J1093="","",SUMIFS('Weekly Log'!$C:$C,'Weekly Log'!$A:$A,"&gt;="&amp;$J1093,'Weekly Log'!$A:$A,"&lt;"&amp;$J1093+7))</f>
        <v/>
      </c>
      <c r="C1093" t="str">
        <f>IF($J1093="","",IFERROR(COUNTIFS('Weekly Log'!$G:$G,"Y",'Weekly Log'!$A:$A,"&gt;="&amp;$J1093,'Weekly Log'!$A:$A,"&lt;"&amp;$J1093+7)/COUNTIFS('Weekly Log'!$G:$G,"&lt;&gt;",'Weekly Log'!$A:$A,"&gt;="&amp;$J1093,'Weekly Log'!$A:$A,"&lt;"&amp;$J1093+7),0))</f>
        <v/>
      </c>
      <c r="D1093" t="str">
        <f>IF($J1093="","",IFERROR(COUNTIFS('Weekly Log'!$H:$H,"Y",'Weekly Log'!$A:$A,"&gt;="&amp;$J1093,'Weekly Log'!$A:$A,"&lt;"&amp;$J1093+7)/COUNTIFS('Weekly Log'!$H:$H,"&lt;&gt;",'Weekly Log'!$A:$A,"&gt;="&amp;$J1093,'Weekly Log'!$A:$A,"&lt;"&amp;$J1093+7),0))</f>
        <v/>
      </c>
      <c r="E1093" t="str">
        <f>IF($J1093="","",IFERROR(AVERAGEIFS('Weekly Log'!$F:$F,'Weekly Log'!$A:$A,"&gt;="&amp;$J1093,'Weekly Log'!$A:$A,"&lt;"&amp;$J1093+7),0))</f>
        <v/>
      </c>
      <c r="F1093" t="str">
        <f>IF($J1093="","",IFERROR(SUMIFS('Weekly Log'!$F:$F,'Weekly Log'!$A:$A,"&gt;="&amp;$J1093,'Weekly Log'!$A:$A,"&lt;"&amp;$J1093+7)/SUMIFS('Weekly Log'!$E:$E,'Weekly Log'!$A:$A,"&gt;="&amp;$J1093,'Weekly Log'!$A:$A,"&lt;"&amp;$J1093+7),0))</f>
        <v/>
      </c>
      <c r="G1093" t="str">
        <f>IF($J1093="","",IFERROR(LOOKUP(2,1/(('Weekly Log'!$A$5:$A$5000&gt;=$J1093)*('Weekly Log'!$A$5:$A$5000&lt;$J1093+7)*('Weekly Log'!$M$5:$M$5000&lt;&gt;"")),'Weekly Log'!$M$5:$M$5000),0))</f>
        <v/>
      </c>
      <c r="J1093" t="str">
        <f>IF(COUNT('Weekly Log'!$A$5:$A$5000)=0,"",IF(MIN('Weekly Log'!$A$5:$A$5000)+7*(ROW()-10)&gt;MAX('Weekly Log'!$A$5:$A$5000),"",MIN('Weekly Log'!$A$5:$A$5000)+7*(ROW()-10)))</f>
        <v/>
      </c>
    </row>
    <row r="1094" spans="1:10" x14ac:dyDescent="0.25">
      <c r="A1094" t="str">
        <f t="shared" si="16"/>
        <v/>
      </c>
      <c r="B1094" t="str">
        <f>IF($J1094="","",SUMIFS('Weekly Log'!$C:$C,'Weekly Log'!$A:$A,"&gt;="&amp;$J1094,'Weekly Log'!$A:$A,"&lt;"&amp;$J1094+7))</f>
        <v/>
      </c>
      <c r="C1094" t="str">
        <f>IF($J1094="","",IFERROR(COUNTIFS('Weekly Log'!$G:$G,"Y",'Weekly Log'!$A:$A,"&gt;="&amp;$J1094,'Weekly Log'!$A:$A,"&lt;"&amp;$J1094+7)/COUNTIFS('Weekly Log'!$G:$G,"&lt;&gt;",'Weekly Log'!$A:$A,"&gt;="&amp;$J1094,'Weekly Log'!$A:$A,"&lt;"&amp;$J1094+7),0))</f>
        <v/>
      </c>
      <c r="D1094" t="str">
        <f>IF($J1094="","",IFERROR(COUNTIFS('Weekly Log'!$H:$H,"Y",'Weekly Log'!$A:$A,"&gt;="&amp;$J1094,'Weekly Log'!$A:$A,"&lt;"&amp;$J1094+7)/COUNTIFS('Weekly Log'!$H:$H,"&lt;&gt;",'Weekly Log'!$A:$A,"&gt;="&amp;$J1094,'Weekly Log'!$A:$A,"&lt;"&amp;$J1094+7),0))</f>
        <v/>
      </c>
      <c r="E1094" t="str">
        <f>IF($J1094="","",IFERROR(AVERAGEIFS('Weekly Log'!$F:$F,'Weekly Log'!$A:$A,"&gt;="&amp;$J1094,'Weekly Log'!$A:$A,"&lt;"&amp;$J1094+7),0))</f>
        <v/>
      </c>
      <c r="F1094" t="str">
        <f>IF($J1094="","",IFERROR(SUMIFS('Weekly Log'!$F:$F,'Weekly Log'!$A:$A,"&gt;="&amp;$J1094,'Weekly Log'!$A:$A,"&lt;"&amp;$J1094+7)/SUMIFS('Weekly Log'!$E:$E,'Weekly Log'!$A:$A,"&gt;="&amp;$J1094,'Weekly Log'!$A:$A,"&lt;"&amp;$J1094+7),0))</f>
        <v/>
      </c>
      <c r="G1094" t="str">
        <f>IF($J1094="","",IFERROR(LOOKUP(2,1/(('Weekly Log'!$A$5:$A$5000&gt;=$J1094)*('Weekly Log'!$A$5:$A$5000&lt;$J1094+7)*('Weekly Log'!$M$5:$M$5000&lt;&gt;"")),'Weekly Log'!$M$5:$M$5000),0))</f>
        <v/>
      </c>
      <c r="J1094" t="str">
        <f>IF(COUNT('Weekly Log'!$A$5:$A$5000)=0,"",IF(MIN('Weekly Log'!$A$5:$A$5000)+7*(ROW()-10)&gt;MAX('Weekly Log'!$A$5:$A$5000),"",MIN('Weekly Log'!$A$5:$A$5000)+7*(ROW()-10)))</f>
        <v/>
      </c>
    </row>
    <row r="1095" spans="1:10" x14ac:dyDescent="0.25">
      <c r="A1095" t="str">
        <f t="shared" si="16"/>
        <v/>
      </c>
      <c r="B1095" t="str">
        <f>IF($J1095="","",SUMIFS('Weekly Log'!$C:$C,'Weekly Log'!$A:$A,"&gt;="&amp;$J1095,'Weekly Log'!$A:$A,"&lt;"&amp;$J1095+7))</f>
        <v/>
      </c>
      <c r="C1095" t="str">
        <f>IF($J1095="","",IFERROR(COUNTIFS('Weekly Log'!$G:$G,"Y",'Weekly Log'!$A:$A,"&gt;="&amp;$J1095,'Weekly Log'!$A:$A,"&lt;"&amp;$J1095+7)/COUNTIFS('Weekly Log'!$G:$G,"&lt;&gt;",'Weekly Log'!$A:$A,"&gt;="&amp;$J1095,'Weekly Log'!$A:$A,"&lt;"&amp;$J1095+7),0))</f>
        <v/>
      </c>
      <c r="D1095" t="str">
        <f>IF($J1095="","",IFERROR(COUNTIFS('Weekly Log'!$H:$H,"Y",'Weekly Log'!$A:$A,"&gt;="&amp;$J1095,'Weekly Log'!$A:$A,"&lt;"&amp;$J1095+7)/COUNTIFS('Weekly Log'!$H:$H,"&lt;&gt;",'Weekly Log'!$A:$A,"&gt;="&amp;$J1095,'Weekly Log'!$A:$A,"&lt;"&amp;$J1095+7),0))</f>
        <v/>
      </c>
      <c r="E1095" t="str">
        <f>IF($J1095="","",IFERROR(AVERAGEIFS('Weekly Log'!$F:$F,'Weekly Log'!$A:$A,"&gt;="&amp;$J1095,'Weekly Log'!$A:$A,"&lt;"&amp;$J1095+7),0))</f>
        <v/>
      </c>
      <c r="F1095" t="str">
        <f>IF($J1095="","",IFERROR(SUMIFS('Weekly Log'!$F:$F,'Weekly Log'!$A:$A,"&gt;="&amp;$J1095,'Weekly Log'!$A:$A,"&lt;"&amp;$J1095+7)/SUMIFS('Weekly Log'!$E:$E,'Weekly Log'!$A:$A,"&gt;="&amp;$J1095,'Weekly Log'!$A:$A,"&lt;"&amp;$J1095+7),0))</f>
        <v/>
      </c>
      <c r="G1095" t="str">
        <f>IF($J1095="","",IFERROR(LOOKUP(2,1/(('Weekly Log'!$A$5:$A$5000&gt;=$J1095)*('Weekly Log'!$A$5:$A$5000&lt;$J1095+7)*('Weekly Log'!$M$5:$M$5000&lt;&gt;"")),'Weekly Log'!$M$5:$M$5000),0))</f>
        <v/>
      </c>
      <c r="J1095" t="str">
        <f>IF(COUNT('Weekly Log'!$A$5:$A$5000)=0,"",IF(MIN('Weekly Log'!$A$5:$A$5000)+7*(ROW()-10)&gt;MAX('Weekly Log'!$A$5:$A$5000),"",MIN('Weekly Log'!$A$5:$A$5000)+7*(ROW()-10)))</f>
        <v/>
      </c>
    </row>
    <row r="1096" spans="1:10" x14ac:dyDescent="0.25">
      <c r="A1096" t="str">
        <f t="shared" si="16"/>
        <v/>
      </c>
      <c r="B1096" t="str">
        <f>IF($J1096="","",SUMIFS('Weekly Log'!$C:$C,'Weekly Log'!$A:$A,"&gt;="&amp;$J1096,'Weekly Log'!$A:$A,"&lt;"&amp;$J1096+7))</f>
        <v/>
      </c>
      <c r="C1096" t="str">
        <f>IF($J1096="","",IFERROR(COUNTIFS('Weekly Log'!$G:$G,"Y",'Weekly Log'!$A:$A,"&gt;="&amp;$J1096,'Weekly Log'!$A:$A,"&lt;"&amp;$J1096+7)/COUNTIFS('Weekly Log'!$G:$G,"&lt;&gt;",'Weekly Log'!$A:$A,"&gt;="&amp;$J1096,'Weekly Log'!$A:$A,"&lt;"&amp;$J1096+7),0))</f>
        <v/>
      </c>
      <c r="D1096" t="str">
        <f>IF($J1096="","",IFERROR(COUNTIFS('Weekly Log'!$H:$H,"Y",'Weekly Log'!$A:$A,"&gt;="&amp;$J1096,'Weekly Log'!$A:$A,"&lt;"&amp;$J1096+7)/COUNTIFS('Weekly Log'!$H:$H,"&lt;&gt;",'Weekly Log'!$A:$A,"&gt;="&amp;$J1096,'Weekly Log'!$A:$A,"&lt;"&amp;$J1096+7),0))</f>
        <v/>
      </c>
      <c r="E1096" t="str">
        <f>IF($J1096="","",IFERROR(AVERAGEIFS('Weekly Log'!$F:$F,'Weekly Log'!$A:$A,"&gt;="&amp;$J1096,'Weekly Log'!$A:$A,"&lt;"&amp;$J1096+7),0))</f>
        <v/>
      </c>
      <c r="F1096" t="str">
        <f>IF($J1096="","",IFERROR(SUMIFS('Weekly Log'!$F:$F,'Weekly Log'!$A:$A,"&gt;="&amp;$J1096,'Weekly Log'!$A:$A,"&lt;"&amp;$J1096+7)/SUMIFS('Weekly Log'!$E:$E,'Weekly Log'!$A:$A,"&gt;="&amp;$J1096,'Weekly Log'!$A:$A,"&lt;"&amp;$J1096+7),0))</f>
        <v/>
      </c>
      <c r="G1096" t="str">
        <f>IF($J1096="","",IFERROR(LOOKUP(2,1/(('Weekly Log'!$A$5:$A$5000&gt;=$J1096)*('Weekly Log'!$A$5:$A$5000&lt;$J1096+7)*('Weekly Log'!$M$5:$M$5000&lt;&gt;"")),'Weekly Log'!$M$5:$M$5000),0))</f>
        <v/>
      </c>
      <c r="J1096" t="str">
        <f>IF(COUNT('Weekly Log'!$A$5:$A$5000)=0,"",IF(MIN('Weekly Log'!$A$5:$A$5000)+7*(ROW()-10)&gt;MAX('Weekly Log'!$A$5:$A$5000),"",MIN('Weekly Log'!$A$5:$A$5000)+7*(ROW()-10)))</f>
        <v/>
      </c>
    </row>
    <row r="1097" spans="1:10" x14ac:dyDescent="0.25">
      <c r="A1097" t="str">
        <f t="shared" si="16"/>
        <v/>
      </c>
      <c r="B1097" t="str">
        <f>IF($J1097="","",SUMIFS('Weekly Log'!$C:$C,'Weekly Log'!$A:$A,"&gt;="&amp;$J1097,'Weekly Log'!$A:$A,"&lt;"&amp;$J1097+7))</f>
        <v/>
      </c>
      <c r="C1097" t="str">
        <f>IF($J1097="","",IFERROR(COUNTIFS('Weekly Log'!$G:$G,"Y",'Weekly Log'!$A:$A,"&gt;="&amp;$J1097,'Weekly Log'!$A:$A,"&lt;"&amp;$J1097+7)/COUNTIFS('Weekly Log'!$G:$G,"&lt;&gt;",'Weekly Log'!$A:$A,"&gt;="&amp;$J1097,'Weekly Log'!$A:$A,"&lt;"&amp;$J1097+7),0))</f>
        <v/>
      </c>
      <c r="D1097" t="str">
        <f>IF($J1097="","",IFERROR(COUNTIFS('Weekly Log'!$H:$H,"Y",'Weekly Log'!$A:$A,"&gt;="&amp;$J1097,'Weekly Log'!$A:$A,"&lt;"&amp;$J1097+7)/COUNTIFS('Weekly Log'!$H:$H,"&lt;&gt;",'Weekly Log'!$A:$A,"&gt;="&amp;$J1097,'Weekly Log'!$A:$A,"&lt;"&amp;$J1097+7),0))</f>
        <v/>
      </c>
      <c r="E1097" t="str">
        <f>IF($J1097="","",IFERROR(AVERAGEIFS('Weekly Log'!$F:$F,'Weekly Log'!$A:$A,"&gt;="&amp;$J1097,'Weekly Log'!$A:$A,"&lt;"&amp;$J1097+7),0))</f>
        <v/>
      </c>
      <c r="F1097" t="str">
        <f>IF($J1097="","",IFERROR(SUMIFS('Weekly Log'!$F:$F,'Weekly Log'!$A:$A,"&gt;="&amp;$J1097,'Weekly Log'!$A:$A,"&lt;"&amp;$J1097+7)/SUMIFS('Weekly Log'!$E:$E,'Weekly Log'!$A:$A,"&gt;="&amp;$J1097,'Weekly Log'!$A:$A,"&lt;"&amp;$J1097+7),0))</f>
        <v/>
      </c>
      <c r="G1097" t="str">
        <f>IF($J1097="","",IFERROR(LOOKUP(2,1/(('Weekly Log'!$A$5:$A$5000&gt;=$J1097)*('Weekly Log'!$A$5:$A$5000&lt;$J1097+7)*('Weekly Log'!$M$5:$M$5000&lt;&gt;"")),'Weekly Log'!$M$5:$M$5000),0))</f>
        <v/>
      </c>
      <c r="J1097" t="str">
        <f>IF(COUNT('Weekly Log'!$A$5:$A$5000)=0,"",IF(MIN('Weekly Log'!$A$5:$A$5000)+7*(ROW()-10)&gt;MAX('Weekly Log'!$A$5:$A$5000),"",MIN('Weekly Log'!$A$5:$A$5000)+7*(ROW()-10)))</f>
        <v/>
      </c>
    </row>
    <row r="1098" spans="1:10" x14ac:dyDescent="0.25">
      <c r="A1098" t="str">
        <f t="shared" ref="A1098:A1161" si="17">IF($J1098="","",YEAR($J1098-WEEKDAY($J1098,2)+4)&amp;"-W"&amp;TEXT(WEEKNUM($J1098,21),"00"))</f>
        <v/>
      </c>
      <c r="B1098" t="str">
        <f>IF($J1098="","",SUMIFS('Weekly Log'!$C:$C,'Weekly Log'!$A:$A,"&gt;="&amp;$J1098,'Weekly Log'!$A:$A,"&lt;"&amp;$J1098+7))</f>
        <v/>
      </c>
      <c r="C1098" t="str">
        <f>IF($J1098="","",IFERROR(COUNTIFS('Weekly Log'!$G:$G,"Y",'Weekly Log'!$A:$A,"&gt;="&amp;$J1098,'Weekly Log'!$A:$A,"&lt;"&amp;$J1098+7)/COUNTIFS('Weekly Log'!$G:$G,"&lt;&gt;",'Weekly Log'!$A:$A,"&gt;="&amp;$J1098,'Weekly Log'!$A:$A,"&lt;"&amp;$J1098+7),0))</f>
        <v/>
      </c>
      <c r="D1098" t="str">
        <f>IF($J1098="","",IFERROR(COUNTIFS('Weekly Log'!$H:$H,"Y",'Weekly Log'!$A:$A,"&gt;="&amp;$J1098,'Weekly Log'!$A:$A,"&lt;"&amp;$J1098+7)/COUNTIFS('Weekly Log'!$H:$H,"&lt;&gt;",'Weekly Log'!$A:$A,"&gt;="&amp;$J1098,'Weekly Log'!$A:$A,"&lt;"&amp;$J1098+7),0))</f>
        <v/>
      </c>
      <c r="E1098" t="str">
        <f>IF($J1098="","",IFERROR(AVERAGEIFS('Weekly Log'!$F:$F,'Weekly Log'!$A:$A,"&gt;="&amp;$J1098,'Weekly Log'!$A:$A,"&lt;"&amp;$J1098+7),0))</f>
        <v/>
      </c>
      <c r="F1098" t="str">
        <f>IF($J1098="","",IFERROR(SUMIFS('Weekly Log'!$F:$F,'Weekly Log'!$A:$A,"&gt;="&amp;$J1098,'Weekly Log'!$A:$A,"&lt;"&amp;$J1098+7)/SUMIFS('Weekly Log'!$E:$E,'Weekly Log'!$A:$A,"&gt;="&amp;$J1098,'Weekly Log'!$A:$A,"&lt;"&amp;$J1098+7),0))</f>
        <v/>
      </c>
      <c r="G1098" t="str">
        <f>IF($J1098="","",IFERROR(LOOKUP(2,1/(('Weekly Log'!$A$5:$A$5000&gt;=$J1098)*('Weekly Log'!$A$5:$A$5000&lt;$J1098+7)*('Weekly Log'!$M$5:$M$5000&lt;&gt;"")),'Weekly Log'!$M$5:$M$5000),0))</f>
        <v/>
      </c>
      <c r="J1098" t="str">
        <f>IF(COUNT('Weekly Log'!$A$5:$A$5000)=0,"",IF(MIN('Weekly Log'!$A$5:$A$5000)+7*(ROW()-10)&gt;MAX('Weekly Log'!$A$5:$A$5000),"",MIN('Weekly Log'!$A$5:$A$5000)+7*(ROW()-10)))</f>
        <v/>
      </c>
    </row>
    <row r="1099" spans="1:10" x14ac:dyDescent="0.25">
      <c r="A1099" t="str">
        <f t="shared" si="17"/>
        <v/>
      </c>
      <c r="B1099" t="str">
        <f>IF($J1099="","",SUMIFS('Weekly Log'!$C:$C,'Weekly Log'!$A:$A,"&gt;="&amp;$J1099,'Weekly Log'!$A:$A,"&lt;"&amp;$J1099+7))</f>
        <v/>
      </c>
      <c r="C1099" t="str">
        <f>IF($J1099="","",IFERROR(COUNTIFS('Weekly Log'!$G:$G,"Y",'Weekly Log'!$A:$A,"&gt;="&amp;$J1099,'Weekly Log'!$A:$A,"&lt;"&amp;$J1099+7)/COUNTIFS('Weekly Log'!$G:$G,"&lt;&gt;",'Weekly Log'!$A:$A,"&gt;="&amp;$J1099,'Weekly Log'!$A:$A,"&lt;"&amp;$J1099+7),0))</f>
        <v/>
      </c>
      <c r="D1099" t="str">
        <f>IF($J1099="","",IFERROR(COUNTIFS('Weekly Log'!$H:$H,"Y",'Weekly Log'!$A:$A,"&gt;="&amp;$J1099,'Weekly Log'!$A:$A,"&lt;"&amp;$J1099+7)/COUNTIFS('Weekly Log'!$H:$H,"&lt;&gt;",'Weekly Log'!$A:$A,"&gt;="&amp;$J1099,'Weekly Log'!$A:$A,"&lt;"&amp;$J1099+7),0))</f>
        <v/>
      </c>
      <c r="E1099" t="str">
        <f>IF($J1099="","",IFERROR(AVERAGEIFS('Weekly Log'!$F:$F,'Weekly Log'!$A:$A,"&gt;="&amp;$J1099,'Weekly Log'!$A:$A,"&lt;"&amp;$J1099+7),0))</f>
        <v/>
      </c>
      <c r="F1099" t="str">
        <f>IF($J1099="","",IFERROR(SUMIFS('Weekly Log'!$F:$F,'Weekly Log'!$A:$A,"&gt;="&amp;$J1099,'Weekly Log'!$A:$A,"&lt;"&amp;$J1099+7)/SUMIFS('Weekly Log'!$E:$E,'Weekly Log'!$A:$A,"&gt;="&amp;$J1099,'Weekly Log'!$A:$A,"&lt;"&amp;$J1099+7),0))</f>
        <v/>
      </c>
      <c r="G1099" t="str">
        <f>IF($J1099="","",IFERROR(LOOKUP(2,1/(('Weekly Log'!$A$5:$A$5000&gt;=$J1099)*('Weekly Log'!$A$5:$A$5000&lt;$J1099+7)*('Weekly Log'!$M$5:$M$5000&lt;&gt;"")),'Weekly Log'!$M$5:$M$5000),0))</f>
        <v/>
      </c>
      <c r="J1099" t="str">
        <f>IF(COUNT('Weekly Log'!$A$5:$A$5000)=0,"",IF(MIN('Weekly Log'!$A$5:$A$5000)+7*(ROW()-10)&gt;MAX('Weekly Log'!$A$5:$A$5000),"",MIN('Weekly Log'!$A$5:$A$5000)+7*(ROW()-10)))</f>
        <v/>
      </c>
    </row>
    <row r="1100" spans="1:10" x14ac:dyDescent="0.25">
      <c r="A1100" t="str">
        <f t="shared" si="17"/>
        <v/>
      </c>
      <c r="B1100" t="str">
        <f>IF($J1100="","",SUMIFS('Weekly Log'!$C:$C,'Weekly Log'!$A:$A,"&gt;="&amp;$J1100,'Weekly Log'!$A:$A,"&lt;"&amp;$J1100+7))</f>
        <v/>
      </c>
      <c r="C1100" t="str">
        <f>IF($J1100="","",IFERROR(COUNTIFS('Weekly Log'!$G:$G,"Y",'Weekly Log'!$A:$A,"&gt;="&amp;$J1100,'Weekly Log'!$A:$A,"&lt;"&amp;$J1100+7)/COUNTIFS('Weekly Log'!$G:$G,"&lt;&gt;",'Weekly Log'!$A:$A,"&gt;="&amp;$J1100,'Weekly Log'!$A:$A,"&lt;"&amp;$J1100+7),0))</f>
        <v/>
      </c>
      <c r="D1100" t="str">
        <f>IF($J1100="","",IFERROR(COUNTIFS('Weekly Log'!$H:$H,"Y",'Weekly Log'!$A:$A,"&gt;="&amp;$J1100,'Weekly Log'!$A:$A,"&lt;"&amp;$J1100+7)/COUNTIFS('Weekly Log'!$H:$H,"&lt;&gt;",'Weekly Log'!$A:$A,"&gt;="&amp;$J1100,'Weekly Log'!$A:$A,"&lt;"&amp;$J1100+7),0))</f>
        <v/>
      </c>
      <c r="E1100" t="str">
        <f>IF($J1100="","",IFERROR(AVERAGEIFS('Weekly Log'!$F:$F,'Weekly Log'!$A:$A,"&gt;="&amp;$J1100,'Weekly Log'!$A:$A,"&lt;"&amp;$J1100+7),0))</f>
        <v/>
      </c>
      <c r="F1100" t="str">
        <f>IF($J1100="","",IFERROR(SUMIFS('Weekly Log'!$F:$F,'Weekly Log'!$A:$A,"&gt;="&amp;$J1100,'Weekly Log'!$A:$A,"&lt;"&amp;$J1100+7)/SUMIFS('Weekly Log'!$E:$E,'Weekly Log'!$A:$A,"&gt;="&amp;$J1100,'Weekly Log'!$A:$A,"&lt;"&amp;$J1100+7),0))</f>
        <v/>
      </c>
      <c r="G1100" t="str">
        <f>IF($J1100="","",IFERROR(LOOKUP(2,1/(('Weekly Log'!$A$5:$A$5000&gt;=$J1100)*('Weekly Log'!$A$5:$A$5000&lt;$J1100+7)*('Weekly Log'!$M$5:$M$5000&lt;&gt;"")),'Weekly Log'!$M$5:$M$5000),0))</f>
        <v/>
      </c>
      <c r="J1100" t="str">
        <f>IF(COUNT('Weekly Log'!$A$5:$A$5000)=0,"",IF(MIN('Weekly Log'!$A$5:$A$5000)+7*(ROW()-10)&gt;MAX('Weekly Log'!$A$5:$A$5000),"",MIN('Weekly Log'!$A$5:$A$5000)+7*(ROW()-10)))</f>
        <v/>
      </c>
    </row>
    <row r="1101" spans="1:10" x14ac:dyDescent="0.25">
      <c r="A1101" t="str">
        <f t="shared" si="17"/>
        <v/>
      </c>
      <c r="B1101" t="str">
        <f>IF($J1101="","",SUMIFS('Weekly Log'!$C:$C,'Weekly Log'!$A:$A,"&gt;="&amp;$J1101,'Weekly Log'!$A:$A,"&lt;"&amp;$J1101+7))</f>
        <v/>
      </c>
      <c r="C1101" t="str">
        <f>IF($J1101="","",IFERROR(COUNTIFS('Weekly Log'!$G:$G,"Y",'Weekly Log'!$A:$A,"&gt;="&amp;$J1101,'Weekly Log'!$A:$A,"&lt;"&amp;$J1101+7)/COUNTIFS('Weekly Log'!$G:$G,"&lt;&gt;",'Weekly Log'!$A:$A,"&gt;="&amp;$J1101,'Weekly Log'!$A:$A,"&lt;"&amp;$J1101+7),0))</f>
        <v/>
      </c>
      <c r="D1101" t="str">
        <f>IF($J1101="","",IFERROR(COUNTIFS('Weekly Log'!$H:$H,"Y",'Weekly Log'!$A:$A,"&gt;="&amp;$J1101,'Weekly Log'!$A:$A,"&lt;"&amp;$J1101+7)/COUNTIFS('Weekly Log'!$H:$H,"&lt;&gt;",'Weekly Log'!$A:$A,"&gt;="&amp;$J1101,'Weekly Log'!$A:$A,"&lt;"&amp;$J1101+7),0))</f>
        <v/>
      </c>
      <c r="E1101" t="str">
        <f>IF($J1101="","",IFERROR(AVERAGEIFS('Weekly Log'!$F:$F,'Weekly Log'!$A:$A,"&gt;="&amp;$J1101,'Weekly Log'!$A:$A,"&lt;"&amp;$J1101+7),0))</f>
        <v/>
      </c>
      <c r="F1101" t="str">
        <f>IF($J1101="","",IFERROR(SUMIFS('Weekly Log'!$F:$F,'Weekly Log'!$A:$A,"&gt;="&amp;$J1101,'Weekly Log'!$A:$A,"&lt;"&amp;$J1101+7)/SUMIFS('Weekly Log'!$E:$E,'Weekly Log'!$A:$A,"&gt;="&amp;$J1101,'Weekly Log'!$A:$A,"&lt;"&amp;$J1101+7),0))</f>
        <v/>
      </c>
      <c r="G1101" t="str">
        <f>IF($J1101="","",IFERROR(LOOKUP(2,1/(('Weekly Log'!$A$5:$A$5000&gt;=$J1101)*('Weekly Log'!$A$5:$A$5000&lt;$J1101+7)*('Weekly Log'!$M$5:$M$5000&lt;&gt;"")),'Weekly Log'!$M$5:$M$5000),0))</f>
        <v/>
      </c>
      <c r="J1101" t="str">
        <f>IF(COUNT('Weekly Log'!$A$5:$A$5000)=0,"",IF(MIN('Weekly Log'!$A$5:$A$5000)+7*(ROW()-10)&gt;MAX('Weekly Log'!$A$5:$A$5000),"",MIN('Weekly Log'!$A$5:$A$5000)+7*(ROW()-10)))</f>
        <v/>
      </c>
    </row>
    <row r="1102" spans="1:10" x14ac:dyDescent="0.25">
      <c r="A1102" t="str">
        <f t="shared" si="17"/>
        <v/>
      </c>
      <c r="B1102" t="str">
        <f>IF($J1102="","",SUMIFS('Weekly Log'!$C:$C,'Weekly Log'!$A:$A,"&gt;="&amp;$J1102,'Weekly Log'!$A:$A,"&lt;"&amp;$J1102+7))</f>
        <v/>
      </c>
      <c r="C1102" t="str">
        <f>IF($J1102="","",IFERROR(COUNTIFS('Weekly Log'!$G:$G,"Y",'Weekly Log'!$A:$A,"&gt;="&amp;$J1102,'Weekly Log'!$A:$A,"&lt;"&amp;$J1102+7)/COUNTIFS('Weekly Log'!$G:$G,"&lt;&gt;",'Weekly Log'!$A:$A,"&gt;="&amp;$J1102,'Weekly Log'!$A:$A,"&lt;"&amp;$J1102+7),0))</f>
        <v/>
      </c>
      <c r="D1102" t="str">
        <f>IF($J1102="","",IFERROR(COUNTIFS('Weekly Log'!$H:$H,"Y",'Weekly Log'!$A:$A,"&gt;="&amp;$J1102,'Weekly Log'!$A:$A,"&lt;"&amp;$J1102+7)/COUNTIFS('Weekly Log'!$H:$H,"&lt;&gt;",'Weekly Log'!$A:$A,"&gt;="&amp;$J1102,'Weekly Log'!$A:$A,"&lt;"&amp;$J1102+7),0))</f>
        <v/>
      </c>
      <c r="E1102" t="str">
        <f>IF($J1102="","",IFERROR(AVERAGEIFS('Weekly Log'!$F:$F,'Weekly Log'!$A:$A,"&gt;="&amp;$J1102,'Weekly Log'!$A:$A,"&lt;"&amp;$J1102+7),0))</f>
        <v/>
      </c>
      <c r="F1102" t="str">
        <f>IF($J1102="","",IFERROR(SUMIFS('Weekly Log'!$F:$F,'Weekly Log'!$A:$A,"&gt;="&amp;$J1102,'Weekly Log'!$A:$A,"&lt;"&amp;$J1102+7)/SUMIFS('Weekly Log'!$E:$E,'Weekly Log'!$A:$A,"&gt;="&amp;$J1102,'Weekly Log'!$A:$A,"&lt;"&amp;$J1102+7),0))</f>
        <v/>
      </c>
      <c r="G1102" t="str">
        <f>IF($J1102="","",IFERROR(LOOKUP(2,1/(('Weekly Log'!$A$5:$A$5000&gt;=$J1102)*('Weekly Log'!$A$5:$A$5000&lt;$J1102+7)*('Weekly Log'!$M$5:$M$5000&lt;&gt;"")),'Weekly Log'!$M$5:$M$5000),0))</f>
        <v/>
      </c>
      <c r="J1102" t="str">
        <f>IF(COUNT('Weekly Log'!$A$5:$A$5000)=0,"",IF(MIN('Weekly Log'!$A$5:$A$5000)+7*(ROW()-10)&gt;MAX('Weekly Log'!$A$5:$A$5000),"",MIN('Weekly Log'!$A$5:$A$5000)+7*(ROW()-10)))</f>
        <v/>
      </c>
    </row>
    <row r="1103" spans="1:10" x14ac:dyDescent="0.25">
      <c r="A1103" t="str">
        <f t="shared" si="17"/>
        <v/>
      </c>
      <c r="B1103" t="str">
        <f>IF($J1103="","",SUMIFS('Weekly Log'!$C:$C,'Weekly Log'!$A:$A,"&gt;="&amp;$J1103,'Weekly Log'!$A:$A,"&lt;"&amp;$J1103+7))</f>
        <v/>
      </c>
      <c r="C1103" t="str">
        <f>IF($J1103="","",IFERROR(COUNTIFS('Weekly Log'!$G:$G,"Y",'Weekly Log'!$A:$A,"&gt;="&amp;$J1103,'Weekly Log'!$A:$A,"&lt;"&amp;$J1103+7)/COUNTIFS('Weekly Log'!$G:$G,"&lt;&gt;",'Weekly Log'!$A:$A,"&gt;="&amp;$J1103,'Weekly Log'!$A:$A,"&lt;"&amp;$J1103+7),0))</f>
        <v/>
      </c>
      <c r="D1103" t="str">
        <f>IF($J1103="","",IFERROR(COUNTIFS('Weekly Log'!$H:$H,"Y",'Weekly Log'!$A:$A,"&gt;="&amp;$J1103,'Weekly Log'!$A:$A,"&lt;"&amp;$J1103+7)/COUNTIFS('Weekly Log'!$H:$H,"&lt;&gt;",'Weekly Log'!$A:$A,"&gt;="&amp;$J1103,'Weekly Log'!$A:$A,"&lt;"&amp;$J1103+7),0))</f>
        <v/>
      </c>
      <c r="E1103" t="str">
        <f>IF($J1103="","",IFERROR(AVERAGEIFS('Weekly Log'!$F:$F,'Weekly Log'!$A:$A,"&gt;="&amp;$J1103,'Weekly Log'!$A:$A,"&lt;"&amp;$J1103+7),0))</f>
        <v/>
      </c>
      <c r="F1103" t="str">
        <f>IF($J1103="","",IFERROR(SUMIFS('Weekly Log'!$F:$F,'Weekly Log'!$A:$A,"&gt;="&amp;$J1103,'Weekly Log'!$A:$A,"&lt;"&amp;$J1103+7)/SUMIFS('Weekly Log'!$E:$E,'Weekly Log'!$A:$A,"&gt;="&amp;$J1103,'Weekly Log'!$A:$A,"&lt;"&amp;$J1103+7),0))</f>
        <v/>
      </c>
      <c r="G1103" t="str">
        <f>IF($J1103="","",IFERROR(LOOKUP(2,1/(('Weekly Log'!$A$5:$A$5000&gt;=$J1103)*('Weekly Log'!$A$5:$A$5000&lt;$J1103+7)*('Weekly Log'!$M$5:$M$5000&lt;&gt;"")),'Weekly Log'!$M$5:$M$5000),0))</f>
        <v/>
      </c>
      <c r="J1103" t="str">
        <f>IF(COUNT('Weekly Log'!$A$5:$A$5000)=0,"",IF(MIN('Weekly Log'!$A$5:$A$5000)+7*(ROW()-10)&gt;MAX('Weekly Log'!$A$5:$A$5000),"",MIN('Weekly Log'!$A$5:$A$5000)+7*(ROW()-10)))</f>
        <v/>
      </c>
    </row>
    <row r="1104" spans="1:10" x14ac:dyDescent="0.25">
      <c r="A1104" t="str">
        <f t="shared" si="17"/>
        <v/>
      </c>
      <c r="B1104" t="str">
        <f>IF($J1104="","",SUMIFS('Weekly Log'!$C:$C,'Weekly Log'!$A:$A,"&gt;="&amp;$J1104,'Weekly Log'!$A:$A,"&lt;"&amp;$J1104+7))</f>
        <v/>
      </c>
      <c r="C1104" t="str">
        <f>IF($J1104="","",IFERROR(COUNTIFS('Weekly Log'!$G:$G,"Y",'Weekly Log'!$A:$A,"&gt;="&amp;$J1104,'Weekly Log'!$A:$A,"&lt;"&amp;$J1104+7)/COUNTIFS('Weekly Log'!$G:$G,"&lt;&gt;",'Weekly Log'!$A:$A,"&gt;="&amp;$J1104,'Weekly Log'!$A:$A,"&lt;"&amp;$J1104+7),0))</f>
        <v/>
      </c>
      <c r="D1104" t="str">
        <f>IF($J1104="","",IFERROR(COUNTIFS('Weekly Log'!$H:$H,"Y",'Weekly Log'!$A:$A,"&gt;="&amp;$J1104,'Weekly Log'!$A:$A,"&lt;"&amp;$J1104+7)/COUNTIFS('Weekly Log'!$H:$H,"&lt;&gt;",'Weekly Log'!$A:$A,"&gt;="&amp;$J1104,'Weekly Log'!$A:$A,"&lt;"&amp;$J1104+7),0))</f>
        <v/>
      </c>
      <c r="E1104" t="str">
        <f>IF($J1104="","",IFERROR(AVERAGEIFS('Weekly Log'!$F:$F,'Weekly Log'!$A:$A,"&gt;="&amp;$J1104,'Weekly Log'!$A:$A,"&lt;"&amp;$J1104+7),0))</f>
        <v/>
      </c>
      <c r="F1104" t="str">
        <f>IF($J1104="","",IFERROR(SUMIFS('Weekly Log'!$F:$F,'Weekly Log'!$A:$A,"&gt;="&amp;$J1104,'Weekly Log'!$A:$A,"&lt;"&amp;$J1104+7)/SUMIFS('Weekly Log'!$E:$E,'Weekly Log'!$A:$A,"&gt;="&amp;$J1104,'Weekly Log'!$A:$A,"&lt;"&amp;$J1104+7),0))</f>
        <v/>
      </c>
      <c r="G1104" t="str">
        <f>IF($J1104="","",IFERROR(LOOKUP(2,1/(('Weekly Log'!$A$5:$A$5000&gt;=$J1104)*('Weekly Log'!$A$5:$A$5000&lt;$J1104+7)*('Weekly Log'!$M$5:$M$5000&lt;&gt;"")),'Weekly Log'!$M$5:$M$5000),0))</f>
        <v/>
      </c>
      <c r="J1104" t="str">
        <f>IF(COUNT('Weekly Log'!$A$5:$A$5000)=0,"",IF(MIN('Weekly Log'!$A$5:$A$5000)+7*(ROW()-10)&gt;MAX('Weekly Log'!$A$5:$A$5000),"",MIN('Weekly Log'!$A$5:$A$5000)+7*(ROW()-10)))</f>
        <v/>
      </c>
    </row>
    <row r="1105" spans="1:10" x14ac:dyDescent="0.25">
      <c r="A1105" t="str">
        <f t="shared" si="17"/>
        <v/>
      </c>
      <c r="B1105" t="str">
        <f>IF($J1105="","",SUMIFS('Weekly Log'!$C:$C,'Weekly Log'!$A:$A,"&gt;="&amp;$J1105,'Weekly Log'!$A:$A,"&lt;"&amp;$J1105+7))</f>
        <v/>
      </c>
      <c r="C1105" t="str">
        <f>IF($J1105="","",IFERROR(COUNTIFS('Weekly Log'!$G:$G,"Y",'Weekly Log'!$A:$A,"&gt;="&amp;$J1105,'Weekly Log'!$A:$A,"&lt;"&amp;$J1105+7)/COUNTIFS('Weekly Log'!$G:$G,"&lt;&gt;",'Weekly Log'!$A:$A,"&gt;="&amp;$J1105,'Weekly Log'!$A:$A,"&lt;"&amp;$J1105+7),0))</f>
        <v/>
      </c>
      <c r="D1105" t="str">
        <f>IF($J1105="","",IFERROR(COUNTIFS('Weekly Log'!$H:$H,"Y",'Weekly Log'!$A:$A,"&gt;="&amp;$J1105,'Weekly Log'!$A:$A,"&lt;"&amp;$J1105+7)/COUNTIFS('Weekly Log'!$H:$H,"&lt;&gt;",'Weekly Log'!$A:$A,"&gt;="&amp;$J1105,'Weekly Log'!$A:$A,"&lt;"&amp;$J1105+7),0))</f>
        <v/>
      </c>
      <c r="E1105" t="str">
        <f>IF($J1105="","",IFERROR(AVERAGEIFS('Weekly Log'!$F:$F,'Weekly Log'!$A:$A,"&gt;="&amp;$J1105,'Weekly Log'!$A:$A,"&lt;"&amp;$J1105+7),0))</f>
        <v/>
      </c>
      <c r="F1105" t="str">
        <f>IF($J1105="","",IFERROR(SUMIFS('Weekly Log'!$F:$F,'Weekly Log'!$A:$A,"&gt;="&amp;$J1105,'Weekly Log'!$A:$A,"&lt;"&amp;$J1105+7)/SUMIFS('Weekly Log'!$E:$E,'Weekly Log'!$A:$A,"&gt;="&amp;$J1105,'Weekly Log'!$A:$A,"&lt;"&amp;$J1105+7),0))</f>
        <v/>
      </c>
      <c r="G1105" t="str">
        <f>IF($J1105="","",IFERROR(LOOKUP(2,1/(('Weekly Log'!$A$5:$A$5000&gt;=$J1105)*('Weekly Log'!$A$5:$A$5000&lt;$J1105+7)*('Weekly Log'!$M$5:$M$5000&lt;&gt;"")),'Weekly Log'!$M$5:$M$5000),0))</f>
        <v/>
      </c>
      <c r="J1105" t="str">
        <f>IF(COUNT('Weekly Log'!$A$5:$A$5000)=0,"",IF(MIN('Weekly Log'!$A$5:$A$5000)+7*(ROW()-10)&gt;MAX('Weekly Log'!$A$5:$A$5000),"",MIN('Weekly Log'!$A$5:$A$5000)+7*(ROW()-10)))</f>
        <v/>
      </c>
    </row>
    <row r="1106" spans="1:10" x14ac:dyDescent="0.25">
      <c r="A1106" t="str">
        <f t="shared" si="17"/>
        <v/>
      </c>
      <c r="B1106" t="str">
        <f>IF($J1106="","",SUMIFS('Weekly Log'!$C:$C,'Weekly Log'!$A:$A,"&gt;="&amp;$J1106,'Weekly Log'!$A:$A,"&lt;"&amp;$J1106+7))</f>
        <v/>
      </c>
      <c r="C1106" t="str">
        <f>IF($J1106="","",IFERROR(COUNTIFS('Weekly Log'!$G:$G,"Y",'Weekly Log'!$A:$A,"&gt;="&amp;$J1106,'Weekly Log'!$A:$A,"&lt;"&amp;$J1106+7)/COUNTIFS('Weekly Log'!$G:$G,"&lt;&gt;",'Weekly Log'!$A:$A,"&gt;="&amp;$J1106,'Weekly Log'!$A:$A,"&lt;"&amp;$J1106+7),0))</f>
        <v/>
      </c>
      <c r="D1106" t="str">
        <f>IF($J1106="","",IFERROR(COUNTIFS('Weekly Log'!$H:$H,"Y",'Weekly Log'!$A:$A,"&gt;="&amp;$J1106,'Weekly Log'!$A:$A,"&lt;"&amp;$J1106+7)/COUNTIFS('Weekly Log'!$H:$H,"&lt;&gt;",'Weekly Log'!$A:$A,"&gt;="&amp;$J1106,'Weekly Log'!$A:$A,"&lt;"&amp;$J1106+7),0))</f>
        <v/>
      </c>
      <c r="E1106" t="str">
        <f>IF($J1106="","",IFERROR(AVERAGEIFS('Weekly Log'!$F:$F,'Weekly Log'!$A:$A,"&gt;="&amp;$J1106,'Weekly Log'!$A:$A,"&lt;"&amp;$J1106+7),0))</f>
        <v/>
      </c>
      <c r="F1106" t="str">
        <f>IF($J1106="","",IFERROR(SUMIFS('Weekly Log'!$F:$F,'Weekly Log'!$A:$A,"&gt;="&amp;$J1106,'Weekly Log'!$A:$A,"&lt;"&amp;$J1106+7)/SUMIFS('Weekly Log'!$E:$E,'Weekly Log'!$A:$A,"&gt;="&amp;$J1106,'Weekly Log'!$A:$A,"&lt;"&amp;$J1106+7),0))</f>
        <v/>
      </c>
      <c r="G1106" t="str">
        <f>IF($J1106="","",IFERROR(LOOKUP(2,1/(('Weekly Log'!$A$5:$A$5000&gt;=$J1106)*('Weekly Log'!$A$5:$A$5000&lt;$J1106+7)*('Weekly Log'!$M$5:$M$5000&lt;&gt;"")),'Weekly Log'!$M$5:$M$5000),0))</f>
        <v/>
      </c>
      <c r="J1106" t="str">
        <f>IF(COUNT('Weekly Log'!$A$5:$A$5000)=0,"",IF(MIN('Weekly Log'!$A$5:$A$5000)+7*(ROW()-10)&gt;MAX('Weekly Log'!$A$5:$A$5000),"",MIN('Weekly Log'!$A$5:$A$5000)+7*(ROW()-10)))</f>
        <v/>
      </c>
    </row>
    <row r="1107" spans="1:10" x14ac:dyDescent="0.25">
      <c r="A1107" t="str">
        <f t="shared" si="17"/>
        <v/>
      </c>
      <c r="B1107" t="str">
        <f>IF($J1107="","",SUMIFS('Weekly Log'!$C:$C,'Weekly Log'!$A:$A,"&gt;="&amp;$J1107,'Weekly Log'!$A:$A,"&lt;"&amp;$J1107+7))</f>
        <v/>
      </c>
      <c r="C1107" t="str">
        <f>IF($J1107="","",IFERROR(COUNTIFS('Weekly Log'!$G:$G,"Y",'Weekly Log'!$A:$A,"&gt;="&amp;$J1107,'Weekly Log'!$A:$A,"&lt;"&amp;$J1107+7)/COUNTIFS('Weekly Log'!$G:$G,"&lt;&gt;",'Weekly Log'!$A:$A,"&gt;="&amp;$J1107,'Weekly Log'!$A:$A,"&lt;"&amp;$J1107+7),0))</f>
        <v/>
      </c>
      <c r="D1107" t="str">
        <f>IF($J1107="","",IFERROR(COUNTIFS('Weekly Log'!$H:$H,"Y",'Weekly Log'!$A:$A,"&gt;="&amp;$J1107,'Weekly Log'!$A:$A,"&lt;"&amp;$J1107+7)/COUNTIFS('Weekly Log'!$H:$H,"&lt;&gt;",'Weekly Log'!$A:$A,"&gt;="&amp;$J1107,'Weekly Log'!$A:$A,"&lt;"&amp;$J1107+7),0))</f>
        <v/>
      </c>
      <c r="E1107" t="str">
        <f>IF($J1107="","",IFERROR(AVERAGEIFS('Weekly Log'!$F:$F,'Weekly Log'!$A:$A,"&gt;="&amp;$J1107,'Weekly Log'!$A:$A,"&lt;"&amp;$J1107+7),0))</f>
        <v/>
      </c>
      <c r="F1107" t="str">
        <f>IF($J1107="","",IFERROR(SUMIFS('Weekly Log'!$F:$F,'Weekly Log'!$A:$A,"&gt;="&amp;$J1107,'Weekly Log'!$A:$A,"&lt;"&amp;$J1107+7)/SUMIFS('Weekly Log'!$E:$E,'Weekly Log'!$A:$A,"&gt;="&amp;$J1107,'Weekly Log'!$A:$A,"&lt;"&amp;$J1107+7),0))</f>
        <v/>
      </c>
      <c r="G1107" t="str">
        <f>IF($J1107="","",IFERROR(LOOKUP(2,1/(('Weekly Log'!$A$5:$A$5000&gt;=$J1107)*('Weekly Log'!$A$5:$A$5000&lt;$J1107+7)*('Weekly Log'!$M$5:$M$5000&lt;&gt;"")),'Weekly Log'!$M$5:$M$5000),0))</f>
        <v/>
      </c>
      <c r="J1107" t="str">
        <f>IF(COUNT('Weekly Log'!$A$5:$A$5000)=0,"",IF(MIN('Weekly Log'!$A$5:$A$5000)+7*(ROW()-10)&gt;MAX('Weekly Log'!$A$5:$A$5000),"",MIN('Weekly Log'!$A$5:$A$5000)+7*(ROW()-10)))</f>
        <v/>
      </c>
    </row>
    <row r="1108" spans="1:10" x14ac:dyDescent="0.25">
      <c r="A1108" t="str">
        <f t="shared" si="17"/>
        <v/>
      </c>
      <c r="B1108" t="str">
        <f>IF($J1108="","",SUMIFS('Weekly Log'!$C:$C,'Weekly Log'!$A:$A,"&gt;="&amp;$J1108,'Weekly Log'!$A:$A,"&lt;"&amp;$J1108+7))</f>
        <v/>
      </c>
      <c r="C1108" t="str">
        <f>IF($J1108="","",IFERROR(COUNTIFS('Weekly Log'!$G:$G,"Y",'Weekly Log'!$A:$A,"&gt;="&amp;$J1108,'Weekly Log'!$A:$A,"&lt;"&amp;$J1108+7)/COUNTIFS('Weekly Log'!$G:$G,"&lt;&gt;",'Weekly Log'!$A:$A,"&gt;="&amp;$J1108,'Weekly Log'!$A:$A,"&lt;"&amp;$J1108+7),0))</f>
        <v/>
      </c>
      <c r="D1108" t="str">
        <f>IF($J1108="","",IFERROR(COUNTIFS('Weekly Log'!$H:$H,"Y",'Weekly Log'!$A:$A,"&gt;="&amp;$J1108,'Weekly Log'!$A:$A,"&lt;"&amp;$J1108+7)/COUNTIFS('Weekly Log'!$H:$H,"&lt;&gt;",'Weekly Log'!$A:$A,"&gt;="&amp;$J1108,'Weekly Log'!$A:$A,"&lt;"&amp;$J1108+7),0))</f>
        <v/>
      </c>
      <c r="E1108" t="str">
        <f>IF($J1108="","",IFERROR(AVERAGEIFS('Weekly Log'!$F:$F,'Weekly Log'!$A:$A,"&gt;="&amp;$J1108,'Weekly Log'!$A:$A,"&lt;"&amp;$J1108+7),0))</f>
        <v/>
      </c>
      <c r="F1108" t="str">
        <f>IF($J1108="","",IFERROR(SUMIFS('Weekly Log'!$F:$F,'Weekly Log'!$A:$A,"&gt;="&amp;$J1108,'Weekly Log'!$A:$A,"&lt;"&amp;$J1108+7)/SUMIFS('Weekly Log'!$E:$E,'Weekly Log'!$A:$A,"&gt;="&amp;$J1108,'Weekly Log'!$A:$A,"&lt;"&amp;$J1108+7),0))</f>
        <v/>
      </c>
      <c r="G1108" t="str">
        <f>IF($J1108="","",IFERROR(LOOKUP(2,1/(('Weekly Log'!$A$5:$A$5000&gt;=$J1108)*('Weekly Log'!$A$5:$A$5000&lt;$J1108+7)*('Weekly Log'!$M$5:$M$5000&lt;&gt;"")),'Weekly Log'!$M$5:$M$5000),0))</f>
        <v/>
      </c>
      <c r="J1108" t="str">
        <f>IF(COUNT('Weekly Log'!$A$5:$A$5000)=0,"",IF(MIN('Weekly Log'!$A$5:$A$5000)+7*(ROW()-10)&gt;MAX('Weekly Log'!$A$5:$A$5000),"",MIN('Weekly Log'!$A$5:$A$5000)+7*(ROW()-10)))</f>
        <v/>
      </c>
    </row>
    <row r="1109" spans="1:10" x14ac:dyDescent="0.25">
      <c r="A1109" t="str">
        <f t="shared" si="17"/>
        <v/>
      </c>
      <c r="B1109" t="str">
        <f>IF($J1109="","",SUMIFS('Weekly Log'!$C:$C,'Weekly Log'!$A:$A,"&gt;="&amp;$J1109,'Weekly Log'!$A:$A,"&lt;"&amp;$J1109+7))</f>
        <v/>
      </c>
      <c r="C1109" t="str">
        <f>IF($J1109="","",IFERROR(COUNTIFS('Weekly Log'!$G:$G,"Y",'Weekly Log'!$A:$A,"&gt;="&amp;$J1109,'Weekly Log'!$A:$A,"&lt;"&amp;$J1109+7)/COUNTIFS('Weekly Log'!$G:$G,"&lt;&gt;",'Weekly Log'!$A:$A,"&gt;="&amp;$J1109,'Weekly Log'!$A:$A,"&lt;"&amp;$J1109+7),0))</f>
        <v/>
      </c>
      <c r="D1109" t="str">
        <f>IF($J1109="","",IFERROR(COUNTIFS('Weekly Log'!$H:$H,"Y",'Weekly Log'!$A:$A,"&gt;="&amp;$J1109,'Weekly Log'!$A:$A,"&lt;"&amp;$J1109+7)/COUNTIFS('Weekly Log'!$H:$H,"&lt;&gt;",'Weekly Log'!$A:$A,"&gt;="&amp;$J1109,'Weekly Log'!$A:$A,"&lt;"&amp;$J1109+7),0))</f>
        <v/>
      </c>
      <c r="E1109" t="str">
        <f>IF($J1109="","",IFERROR(AVERAGEIFS('Weekly Log'!$F:$F,'Weekly Log'!$A:$A,"&gt;="&amp;$J1109,'Weekly Log'!$A:$A,"&lt;"&amp;$J1109+7),0))</f>
        <v/>
      </c>
      <c r="F1109" t="str">
        <f>IF($J1109="","",IFERROR(SUMIFS('Weekly Log'!$F:$F,'Weekly Log'!$A:$A,"&gt;="&amp;$J1109,'Weekly Log'!$A:$A,"&lt;"&amp;$J1109+7)/SUMIFS('Weekly Log'!$E:$E,'Weekly Log'!$A:$A,"&gt;="&amp;$J1109,'Weekly Log'!$A:$A,"&lt;"&amp;$J1109+7),0))</f>
        <v/>
      </c>
      <c r="G1109" t="str">
        <f>IF($J1109="","",IFERROR(LOOKUP(2,1/(('Weekly Log'!$A$5:$A$5000&gt;=$J1109)*('Weekly Log'!$A$5:$A$5000&lt;$J1109+7)*('Weekly Log'!$M$5:$M$5000&lt;&gt;"")),'Weekly Log'!$M$5:$M$5000),0))</f>
        <v/>
      </c>
      <c r="J1109" t="str">
        <f>IF(COUNT('Weekly Log'!$A$5:$A$5000)=0,"",IF(MIN('Weekly Log'!$A$5:$A$5000)+7*(ROW()-10)&gt;MAX('Weekly Log'!$A$5:$A$5000),"",MIN('Weekly Log'!$A$5:$A$5000)+7*(ROW()-10)))</f>
        <v/>
      </c>
    </row>
    <row r="1110" spans="1:10" x14ac:dyDescent="0.25">
      <c r="A1110" t="str">
        <f t="shared" si="17"/>
        <v/>
      </c>
      <c r="B1110" t="str">
        <f>IF($J1110="","",SUMIFS('Weekly Log'!$C:$C,'Weekly Log'!$A:$A,"&gt;="&amp;$J1110,'Weekly Log'!$A:$A,"&lt;"&amp;$J1110+7))</f>
        <v/>
      </c>
      <c r="C1110" t="str">
        <f>IF($J1110="","",IFERROR(COUNTIFS('Weekly Log'!$G:$G,"Y",'Weekly Log'!$A:$A,"&gt;="&amp;$J1110,'Weekly Log'!$A:$A,"&lt;"&amp;$J1110+7)/COUNTIFS('Weekly Log'!$G:$G,"&lt;&gt;",'Weekly Log'!$A:$A,"&gt;="&amp;$J1110,'Weekly Log'!$A:$A,"&lt;"&amp;$J1110+7),0))</f>
        <v/>
      </c>
      <c r="D1110" t="str">
        <f>IF($J1110="","",IFERROR(COUNTIFS('Weekly Log'!$H:$H,"Y",'Weekly Log'!$A:$A,"&gt;="&amp;$J1110,'Weekly Log'!$A:$A,"&lt;"&amp;$J1110+7)/COUNTIFS('Weekly Log'!$H:$H,"&lt;&gt;",'Weekly Log'!$A:$A,"&gt;="&amp;$J1110,'Weekly Log'!$A:$A,"&lt;"&amp;$J1110+7),0))</f>
        <v/>
      </c>
      <c r="E1110" t="str">
        <f>IF($J1110="","",IFERROR(AVERAGEIFS('Weekly Log'!$F:$F,'Weekly Log'!$A:$A,"&gt;="&amp;$J1110,'Weekly Log'!$A:$A,"&lt;"&amp;$J1110+7),0))</f>
        <v/>
      </c>
      <c r="F1110" t="str">
        <f>IF($J1110="","",IFERROR(SUMIFS('Weekly Log'!$F:$F,'Weekly Log'!$A:$A,"&gt;="&amp;$J1110,'Weekly Log'!$A:$A,"&lt;"&amp;$J1110+7)/SUMIFS('Weekly Log'!$E:$E,'Weekly Log'!$A:$A,"&gt;="&amp;$J1110,'Weekly Log'!$A:$A,"&lt;"&amp;$J1110+7),0))</f>
        <v/>
      </c>
      <c r="G1110" t="str">
        <f>IF($J1110="","",IFERROR(LOOKUP(2,1/(('Weekly Log'!$A$5:$A$5000&gt;=$J1110)*('Weekly Log'!$A$5:$A$5000&lt;$J1110+7)*('Weekly Log'!$M$5:$M$5000&lt;&gt;"")),'Weekly Log'!$M$5:$M$5000),0))</f>
        <v/>
      </c>
      <c r="J1110" t="str">
        <f>IF(COUNT('Weekly Log'!$A$5:$A$5000)=0,"",IF(MIN('Weekly Log'!$A$5:$A$5000)+7*(ROW()-10)&gt;MAX('Weekly Log'!$A$5:$A$5000),"",MIN('Weekly Log'!$A$5:$A$5000)+7*(ROW()-10)))</f>
        <v/>
      </c>
    </row>
    <row r="1111" spans="1:10" x14ac:dyDescent="0.25">
      <c r="A1111" t="str">
        <f t="shared" si="17"/>
        <v/>
      </c>
      <c r="B1111" t="str">
        <f>IF($J1111="","",SUMIFS('Weekly Log'!$C:$C,'Weekly Log'!$A:$A,"&gt;="&amp;$J1111,'Weekly Log'!$A:$A,"&lt;"&amp;$J1111+7))</f>
        <v/>
      </c>
      <c r="C1111" t="str">
        <f>IF($J1111="","",IFERROR(COUNTIFS('Weekly Log'!$G:$G,"Y",'Weekly Log'!$A:$A,"&gt;="&amp;$J1111,'Weekly Log'!$A:$A,"&lt;"&amp;$J1111+7)/COUNTIFS('Weekly Log'!$G:$G,"&lt;&gt;",'Weekly Log'!$A:$A,"&gt;="&amp;$J1111,'Weekly Log'!$A:$A,"&lt;"&amp;$J1111+7),0))</f>
        <v/>
      </c>
      <c r="D1111" t="str">
        <f>IF($J1111="","",IFERROR(COUNTIFS('Weekly Log'!$H:$H,"Y",'Weekly Log'!$A:$A,"&gt;="&amp;$J1111,'Weekly Log'!$A:$A,"&lt;"&amp;$J1111+7)/COUNTIFS('Weekly Log'!$H:$H,"&lt;&gt;",'Weekly Log'!$A:$A,"&gt;="&amp;$J1111,'Weekly Log'!$A:$A,"&lt;"&amp;$J1111+7),0))</f>
        <v/>
      </c>
      <c r="E1111" t="str">
        <f>IF($J1111="","",IFERROR(AVERAGEIFS('Weekly Log'!$F:$F,'Weekly Log'!$A:$A,"&gt;="&amp;$J1111,'Weekly Log'!$A:$A,"&lt;"&amp;$J1111+7),0))</f>
        <v/>
      </c>
      <c r="F1111" t="str">
        <f>IF($J1111="","",IFERROR(SUMIFS('Weekly Log'!$F:$F,'Weekly Log'!$A:$A,"&gt;="&amp;$J1111,'Weekly Log'!$A:$A,"&lt;"&amp;$J1111+7)/SUMIFS('Weekly Log'!$E:$E,'Weekly Log'!$A:$A,"&gt;="&amp;$J1111,'Weekly Log'!$A:$A,"&lt;"&amp;$J1111+7),0))</f>
        <v/>
      </c>
      <c r="G1111" t="str">
        <f>IF($J1111="","",IFERROR(LOOKUP(2,1/(('Weekly Log'!$A$5:$A$5000&gt;=$J1111)*('Weekly Log'!$A$5:$A$5000&lt;$J1111+7)*('Weekly Log'!$M$5:$M$5000&lt;&gt;"")),'Weekly Log'!$M$5:$M$5000),0))</f>
        <v/>
      </c>
      <c r="J1111" t="str">
        <f>IF(COUNT('Weekly Log'!$A$5:$A$5000)=0,"",IF(MIN('Weekly Log'!$A$5:$A$5000)+7*(ROW()-10)&gt;MAX('Weekly Log'!$A$5:$A$5000),"",MIN('Weekly Log'!$A$5:$A$5000)+7*(ROW()-10)))</f>
        <v/>
      </c>
    </row>
    <row r="1112" spans="1:10" x14ac:dyDescent="0.25">
      <c r="A1112" t="str">
        <f t="shared" si="17"/>
        <v/>
      </c>
      <c r="B1112" t="str">
        <f>IF($J1112="","",SUMIFS('Weekly Log'!$C:$C,'Weekly Log'!$A:$A,"&gt;="&amp;$J1112,'Weekly Log'!$A:$A,"&lt;"&amp;$J1112+7))</f>
        <v/>
      </c>
      <c r="C1112" t="str">
        <f>IF($J1112="","",IFERROR(COUNTIFS('Weekly Log'!$G:$G,"Y",'Weekly Log'!$A:$A,"&gt;="&amp;$J1112,'Weekly Log'!$A:$A,"&lt;"&amp;$J1112+7)/COUNTIFS('Weekly Log'!$G:$G,"&lt;&gt;",'Weekly Log'!$A:$A,"&gt;="&amp;$J1112,'Weekly Log'!$A:$A,"&lt;"&amp;$J1112+7),0))</f>
        <v/>
      </c>
      <c r="D1112" t="str">
        <f>IF($J1112="","",IFERROR(COUNTIFS('Weekly Log'!$H:$H,"Y",'Weekly Log'!$A:$A,"&gt;="&amp;$J1112,'Weekly Log'!$A:$A,"&lt;"&amp;$J1112+7)/COUNTIFS('Weekly Log'!$H:$H,"&lt;&gt;",'Weekly Log'!$A:$A,"&gt;="&amp;$J1112,'Weekly Log'!$A:$A,"&lt;"&amp;$J1112+7),0))</f>
        <v/>
      </c>
      <c r="E1112" t="str">
        <f>IF($J1112="","",IFERROR(AVERAGEIFS('Weekly Log'!$F:$F,'Weekly Log'!$A:$A,"&gt;="&amp;$J1112,'Weekly Log'!$A:$A,"&lt;"&amp;$J1112+7),0))</f>
        <v/>
      </c>
      <c r="F1112" t="str">
        <f>IF($J1112="","",IFERROR(SUMIFS('Weekly Log'!$F:$F,'Weekly Log'!$A:$A,"&gt;="&amp;$J1112,'Weekly Log'!$A:$A,"&lt;"&amp;$J1112+7)/SUMIFS('Weekly Log'!$E:$E,'Weekly Log'!$A:$A,"&gt;="&amp;$J1112,'Weekly Log'!$A:$A,"&lt;"&amp;$J1112+7),0))</f>
        <v/>
      </c>
      <c r="G1112" t="str">
        <f>IF($J1112="","",IFERROR(LOOKUP(2,1/(('Weekly Log'!$A$5:$A$5000&gt;=$J1112)*('Weekly Log'!$A$5:$A$5000&lt;$J1112+7)*('Weekly Log'!$M$5:$M$5000&lt;&gt;"")),'Weekly Log'!$M$5:$M$5000),0))</f>
        <v/>
      </c>
      <c r="J1112" t="str">
        <f>IF(COUNT('Weekly Log'!$A$5:$A$5000)=0,"",IF(MIN('Weekly Log'!$A$5:$A$5000)+7*(ROW()-10)&gt;MAX('Weekly Log'!$A$5:$A$5000),"",MIN('Weekly Log'!$A$5:$A$5000)+7*(ROW()-10)))</f>
        <v/>
      </c>
    </row>
    <row r="1113" spans="1:10" x14ac:dyDescent="0.25">
      <c r="A1113" t="str">
        <f t="shared" si="17"/>
        <v/>
      </c>
      <c r="B1113" t="str">
        <f>IF($J1113="","",SUMIFS('Weekly Log'!$C:$C,'Weekly Log'!$A:$A,"&gt;="&amp;$J1113,'Weekly Log'!$A:$A,"&lt;"&amp;$J1113+7))</f>
        <v/>
      </c>
      <c r="C1113" t="str">
        <f>IF($J1113="","",IFERROR(COUNTIFS('Weekly Log'!$G:$G,"Y",'Weekly Log'!$A:$A,"&gt;="&amp;$J1113,'Weekly Log'!$A:$A,"&lt;"&amp;$J1113+7)/COUNTIFS('Weekly Log'!$G:$G,"&lt;&gt;",'Weekly Log'!$A:$A,"&gt;="&amp;$J1113,'Weekly Log'!$A:$A,"&lt;"&amp;$J1113+7),0))</f>
        <v/>
      </c>
      <c r="D1113" t="str">
        <f>IF($J1113="","",IFERROR(COUNTIFS('Weekly Log'!$H:$H,"Y",'Weekly Log'!$A:$A,"&gt;="&amp;$J1113,'Weekly Log'!$A:$A,"&lt;"&amp;$J1113+7)/COUNTIFS('Weekly Log'!$H:$H,"&lt;&gt;",'Weekly Log'!$A:$A,"&gt;="&amp;$J1113,'Weekly Log'!$A:$A,"&lt;"&amp;$J1113+7),0))</f>
        <v/>
      </c>
      <c r="E1113" t="str">
        <f>IF($J1113="","",IFERROR(AVERAGEIFS('Weekly Log'!$F:$F,'Weekly Log'!$A:$A,"&gt;="&amp;$J1113,'Weekly Log'!$A:$A,"&lt;"&amp;$J1113+7),0))</f>
        <v/>
      </c>
      <c r="F1113" t="str">
        <f>IF($J1113="","",IFERROR(SUMIFS('Weekly Log'!$F:$F,'Weekly Log'!$A:$A,"&gt;="&amp;$J1113,'Weekly Log'!$A:$A,"&lt;"&amp;$J1113+7)/SUMIFS('Weekly Log'!$E:$E,'Weekly Log'!$A:$A,"&gt;="&amp;$J1113,'Weekly Log'!$A:$A,"&lt;"&amp;$J1113+7),0))</f>
        <v/>
      </c>
      <c r="G1113" t="str">
        <f>IF($J1113="","",IFERROR(LOOKUP(2,1/(('Weekly Log'!$A$5:$A$5000&gt;=$J1113)*('Weekly Log'!$A$5:$A$5000&lt;$J1113+7)*('Weekly Log'!$M$5:$M$5000&lt;&gt;"")),'Weekly Log'!$M$5:$M$5000),0))</f>
        <v/>
      </c>
      <c r="J1113" t="str">
        <f>IF(COUNT('Weekly Log'!$A$5:$A$5000)=0,"",IF(MIN('Weekly Log'!$A$5:$A$5000)+7*(ROW()-10)&gt;MAX('Weekly Log'!$A$5:$A$5000),"",MIN('Weekly Log'!$A$5:$A$5000)+7*(ROW()-10)))</f>
        <v/>
      </c>
    </row>
    <row r="1114" spans="1:10" x14ac:dyDescent="0.25">
      <c r="A1114" t="str">
        <f t="shared" si="17"/>
        <v/>
      </c>
      <c r="B1114" t="str">
        <f>IF($J1114="","",SUMIFS('Weekly Log'!$C:$C,'Weekly Log'!$A:$A,"&gt;="&amp;$J1114,'Weekly Log'!$A:$A,"&lt;"&amp;$J1114+7))</f>
        <v/>
      </c>
      <c r="C1114" t="str">
        <f>IF($J1114="","",IFERROR(COUNTIFS('Weekly Log'!$G:$G,"Y",'Weekly Log'!$A:$A,"&gt;="&amp;$J1114,'Weekly Log'!$A:$A,"&lt;"&amp;$J1114+7)/COUNTIFS('Weekly Log'!$G:$G,"&lt;&gt;",'Weekly Log'!$A:$A,"&gt;="&amp;$J1114,'Weekly Log'!$A:$A,"&lt;"&amp;$J1114+7),0))</f>
        <v/>
      </c>
      <c r="D1114" t="str">
        <f>IF($J1114="","",IFERROR(COUNTIFS('Weekly Log'!$H:$H,"Y",'Weekly Log'!$A:$A,"&gt;="&amp;$J1114,'Weekly Log'!$A:$A,"&lt;"&amp;$J1114+7)/COUNTIFS('Weekly Log'!$H:$H,"&lt;&gt;",'Weekly Log'!$A:$A,"&gt;="&amp;$J1114,'Weekly Log'!$A:$A,"&lt;"&amp;$J1114+7),0))</f>
        <v/>
      </c>
      <c r="E1114" t="str">
        <f>IF($J1114="","",IFERROR(AVERAGEIFS('Weekly Log'!$F:$F,'Weekly Log'!$A:$A,"&gt;="&amp;$J1114,'Weekly Log'!$A:$A,"&lt;"&amp;$J1114+7),0))</f>
        <v/>
      </c>
      <c r="F1114" t="str">
        <f>IF($J1114="","",IFERROR(SUMIFS('Weekly Log'!$F:$F,'Weekly Log'!$A:$A,"&gt;="&amp;$J1114,'Weekly Log'!$A:$A,"&lt;"&amp;$J1114+7)/SUMIFS('Weekly Log'!$E:$E,'Weekly Log'!$A:$A,"&gt;="&amp;$J1114,'Weekly Log'!$A:$A,"&lt;"&amp;$J1114+7),0))</f>
        <v/>
      </c>
      <c r="G1114" t="str">
        <f>IF($J1114="","",IFERROR(LOOKUP(2,1/(('Weekly Log'!$A$5:$A$5000&gt;=$J1114)*('Weekly Log'!$A$5:$A$5000&lt;$J1114+7)*('Weekly Log'!$M$5:$M$5000&lt;&gt;"")),'Weekly Log'!$M$5:$M$5000),0))</f>
        <v/>
      </c>
      <c r="J1114" t="str">
        <f>IF(COUNT('Weekly Log'!$A$5:$A$5000)=0,"",IF(MIN('Weekly Log'!$A$5:$A$5000)+7*(ROW()-10)&gt;MAX('Weekly Log'!$A$5:$A$5000),"",MIN('Weekly Log'!$A$5:$A$5000)+7*(ROW()-10)))</f>
        <v/>
      </c>
    </row>
    <row r="1115" spans="1:10" x14ac:dyDescent="0.25">
      <c r="A1115" t="str">
        <f t="shared" si="17"/>
        <v/>
      </c>
      <c r="B1115" t="str">
        <f>IF($J1115="","",SUMIFS('Weekly Log'!$C:$C,'Weekly Log'!$A:$A,"&gt;="&amp;$J1115,'Weekly Log'!$A:$A,"&lt;"&amp;$J1115+7))</f>
        <v/>
      </c>
      <c r="C1115" t="str">
        <f>IF($J1115="","",IFERROR(COUNTIFS('Weekly Log'!$G:$G,"Y",'Weekly Log'!$A:$A,"&gt;="&amp;$J1115,'Weekly Log'!$A:$A,"&lt;"&amp;$J1115+7)/COUNTIFS('Weekly Log'!$G:$G,"&lt;&gt;",'Weekly Log'!$A:$A,"&gt;="&amp;$J1115,'Weekly Log'!$A:$A,"&lt;"&amp;$J1115+7),0))</f>
        <v/>
      </c>
      <c r="D1115" t="str">
        <f>IF($J1115="","",IFERROR(COUNTIFS('Weekly Log'!$H:$H,"Y",'Weekly Log'!$A:$A,"&gt;="&amp;$J1115,'Weekly Log'!$A:$A,"&lt;"&amp;$J1115+7)/COUNTIFS('Weekly Log'!$H:$H,"&lt;&gt;",'Weekly Log'!$A:$A,"&gt;="&amp;$J1115,'Weekly Log'!$A:$A,"&lt;"&amp;$J1115+7),0))</f>
        <v/>
      </c>
      <c r="E1115" t="str">
        <f>IF($J1115="","",IFERROR(AVERAGEIFS('Weekly Log'!$F:$F,'Weekly Log'!$A:$A,"&gt;="&amp;$J1115,'Weekly Log'!$A:$A,"&lt;"&amp;$J1115+7),0))</f>
        <v/>
      </c>
      <c r="F1115" t="str">
        <f>IF($J1115="","",IFERROR(SUMIFS('Weekly Log'!$F:$F,'Weekly Log'!$A:$A,"&gt;="&amp;$J1115,'Weekly Log'!$A:$A,"&lt;"&amp;$J1115+7)/SUMIFS('Weekly Log'!$E:$E,'Weekly Log'!$A:$A,"&gt;="&amp;$J1115,'Weekly Log'!$A:$A,"&lt;"&amp;$J1115+7),0))</f>
        <v/>
      </c>
      <c r="G1115" t="str">
        <f>IF($J1115="","",IFERROR(LOOKUP(2,1/(('Weekly Log'!$A$5:$A$5000&gt;=$J1115)*('Weekly Log'!$A$5:$A$5000&lt;$J1115+7)*('Weekly Log'!$M$5:$M$5000&lt;&gt;"")),'Weekly Log'!$M$5:$M$5000),0))</f>
        <v/>
      </c>
      <c r="J1115" t="str">
        <f>IF(COUNT('Weekly Log'!$A$5:$A$5000)=0,"",IF(MIN('Weekly Log'!$A$5:$A$5000)+7*(ROW()-10)&gt;MAX('Weekly Log'!$A$5:$A$5000),"",MIN('Weekly Log'!$A$5:$A$5000)+7*(ROW()-10)))</f>
        <v/>
      </c>
    </row>
    <row r="1116" spans="1:10" x14ac:dyDescent="0.25">
      <c r="A1116" t="str">
        <f t="shared" si="17"/>
        <v/>
      </c>
      <c r="B1116" t="str">
        <f>IF($J1116="","",SUMIFS('Weekly Log'!$C:$C,'Weekly Log'!$A:$A,"&gt;="&amp;$J1116,'Weekly Log'!$A:$A,"&lt;"&amp;$J1116+7))</f>
        <v/>
      </c>
      <c r="C1116" t="str">
        <f>IF($J1116="","",IFERROR(COUNTIFS('Weekly Log'!$G:$G,"Y",'Weekly Log'!$A:$A,"&gt;="&amp;$J1116,'Weekly Log'!$A:$A,"&lt;"&amp;$J1116+7)/COUNTIFS('Weekly Log'!$G:$G,"&lt;&gt;",'Weekly Log'!$A:$A,"&gt;="&amp;$J1116,'Weekly Log'!$A:$A,"&lt;"&amp;$J1116+7),0))</f>
        <v/>
      </c>
      <c r="D1116" t="str">
        <f>IF($J1116="","",IFERROR(COUNTIFS('Weekly Log'!$H:$H,"Y",'Weekly Log'!$A:$A,"&gt;="&amp;$J1116,'Weekly Log'!$A:$A,"&lt;"&amp;$J1116+7)/COUNTIFS('Weekly Log'!$H:$H,"&lt;&gt;",'Weekly Log'!$A:$A,"&gt;="&amp;$J1116,'Weekly Log'!$A:$A,"&lt;"&amp;$J1116+7),0))</f>
        <v/>
      </c>
      <c r="E1116" t="str">
        <f>IF($J1116="","",IFERROR(AVERAGEIFS('Weekly Log'!$F:$F,'Weekly Log'!$A:$A,"&gt;="&amp;$J1116,'Weekly Log'!$A:$A,"&lt;"&amp;$J1116+7),0))</f>
        <v/>
      </c>
      <c r="F1116" t="str">
        <f>IF($J1116="","",IFERROR(SUMIFS('Weekly Log'!$F:$F,'Weekly Log'!$A:$A,"&gt;="&amp;$J1116,'Weekly Log'!$A:$A,"&lt;"&amp;$J1116+7)/SUMIFS('Weekly Log'!$E:$E,'Weekly Log'!$A:$A,"&gt;="&amp;$J1116,'Weekly Log'!$A:$A,"&lt;"&amp;$J1116+7),0))</f>
        <v/>
      </c>
      <c r="G1116" t="str">
        <f>IF($J1116="","",IFERROR(LOOKUP(2,1/(('Weekly Log'!$A$5:$A$5000&gt;=$J1116)*('Weekly Log'!$A$5:$A$5000&lt;$J1116+7)*('Weekly Log'!$M$5:$M$5000&lt;&gt;"")),'Weekly Log'!$M$5:$M$5000),0))</f>
        <v/>
      </c>
      <c r="J1116" t="str">
        <f>IF(COUNT('Weekly Log'!$A$5:$A$5000)=0,"",IF(MIN('Weekly Log'!$A$5:$A$5000)+7*(ROW()-10)&gt;MAX('Weekly Log'!$A$5:$A$5000),"",MIN('Weekly Log'!$A$5:$A$5000)+7*(ROW()-10)))</f>
        <v/>
      </c>
    </row>
    <row r="1117" spans="1:10" x14ac:dyDescent="0.25">
      <c r="A1117" t="str">
        <f t="shared" si="17"/>
        <v/>
      </c>
      <c r="B1117" t="str">
        <f>IF($J1117="","",SUMIFS('Weekly Log'!$C:$C,'Weekly Log'!$A:$A,"&gt;="&amp;$J1117,'Weekly Log'!$A:$A,"&lt;"&amp;$J1117+7))</f>
        <v/>
      </c>
      <c r="C1117" t="str">
        <f>IF($J1117="","",IFERROR(COUNTIFS('Weekly Log'!$G:$G,"Y",'Weekly Log'!$A:$A,"&gt;="&amp;$J1117,'Weekly Log'!$A:$A,"&lt;"&amp;$J1117+7)/COUNTIFS('Weekly Log'!$G:$G,"&lt;&gt;",'Weekly Log'!$A:$A,"&gt;="&amp;$J1117,'Weekly Log'!$A:$A,"&lt;"&amp;$J1117+7),0))</f>
        <v/>
      </c>
      <c r="D1117" t="str">
        <f>IF($J1117="","",IFERROR(COUNTIFS('Weekly Log'!$H:$H,"Y",'Weekly Log'!$A:$A,"&gt;="&amp;$J1117,'Weekly Log'!$A:$A,"&lt;"&amp;$J1117+7)/COUNTIFS('Weekly Log'!$H:$H,"&lt;&gt;",'Weekly Log'!$A:$A,"&gt;="&amp;$J1117,'Weekly Log'!$A:$A,"&lt;"&amp;$J1117+7),0))</f>
        <v/>
      </c>
      <c r="E1117" t="str">
        <f>IF($J1117="","",IFERROR(AVERAGEIFS('Weekly Log'!$F:$F,'Weekly Log'!$A:$A,"&gt;="&amp;$J1117,'Weekly Log'!$A:$A,"&lt;"&amp;$J1117+7),0))</f>
        <v/>
      </c>
      <c r="F1117" t="str">
        <f>IF($J1117="","",IFERROR(SUMIFS('Weekly Log'!$F:$F,'Weekly Log'!$A:$A,"&gt;="&amp;$J1117,'Weekly Log'!$A:$A,"&lt;"&amp;$J1117+7)/SUMIFS('Weekly Log'!$E:$E,'Weekly Log'!$A:$A,"&gt;="&amp;$J1117,'Weekly Log'!$A:$A,"&lt;"&amp;$J1117+7),0))</f>
        <v/>
      </c>
      <c r="G1117" t="str">
        <f>IF($J1117="","",IFERROR(LOOKUP(2,1/(('Weekly Log'!$A$5:$A$5000&gt;=$J1117)*('Weekly Log'!$A$5:$A$5000&lt;$J1117+7)*('Weekly Log'!$M$5:$M$5000&lt;&gt;"")),'Weekly Log'!$M$5:$M$5000),0))</f>
        <v/>
      </c>
      <c r="J1117" t="str">
        <f>IF(COUNT('Weekly Log'!$A$5:$A$5000)=0,"",IF(MIN('Weekly Log'!$A$5:$A$5000)+7*(ROW()-10)&gt;MAX('Weekly Log'!$A$5:$A$5000),"",MIN('Weekly Log'!$A$5:$A$5000)+7*(ROW()-10)))</f>
        <v/>
      </c>
    </row>
    <row r="1118" spans="1:10" x14ac:dyDescent="0.25">
      <c r="A1118" t="str">
        <f t="shared" si="17"/>
        <v/>
      </c>
      <c r="B1118" t="str">
        <f>IF($J1118="","",SUMIFS('Weekly Log'!$C:$C,'Weekly Log'!$A:$A,"&gt;="&amp;$J1118,'Weekly Log'!$A:$A,"&lt;"&amp;$J1118+7))</f>
        <v/>
      </c>
      <c r="C1118" t="str">
        <f>IF($J1118="","",IFERROR(COUNTIFS('Weekly Log'!$G:$G,"Y",'Weekly Log'!$A:$A,"&gt;="&amp;$J1118,'Weekly Log'!$A:$A,"&lt;"&amp;$J1118+7)/COUNTIFS('Weekly Log'!$G:$G,"&lt;&gt;",'Weekly Log'!$A:$A,"&gt;="&amp;$J1118,'Weekly Log'!$A:$A,"&lt;"&amp;$J1118+7),0))</f>
        <v/>
      </c>
      <c r="D1118" t="str">
        <f>IF($J1118="","",IFERROR(COUNTIFS('Weekly Log'!$H:$H,"Y",'Weekly Log'!$A:$A,"&gt;="&amp;$J1118,'Weekly Log'!$A:$A,"&lt;"&amp;$J1118+7)/COUNTIFS('Weekly Log'!$H:$H,"&lt;&gt;",'Weekly Log'!$A:$A,"&gt;="&amp;$J1118,'Weekly Log'!$A:$A,"&lt;"&amp;$J1118+7),0))</f>
        <v/>
      </c>
      <c r="E1118" t="str">
        <f>IF($J1118="","",IFERROR(AVERAGEIFS('Weekly Log'!$F:$F,'Weekly Log'!$A:$A,"&gt;="&amp;$J1118,'Weekly Log'!$A:$A,"&lt;"&amp;$J1118+7),0))</f>
        <v/>
      </c>
      <c r="F1118" t="str">
        <f>IF($J1118="","",IFERROR(SUMIFS('Weekly Log'!$F:$F,'Weekly Log'!$A:$A,"&gt;="&amp;$J1118,'Weekly Log'!$A:$A,"&lt;"&amp;$J1118+7)/SUMIFS('Weekly Log'!$E:$E,'Weekly Log'!$A:$A,"&gt;="&amp;$J1118,'Weekly Log'!$A:$A,"&lt;"&amp;$J1118+7),0))</f>
        <v/>
      </c>
      <c r="G1118" t="str">
        <f>IF($J1118="","",IFERROR(LOOKUP(2,1/(('Weekly Log'!$A$5:$A$5000&gt;=$J1118)*('Weekly Log'!$A$5:$A$5000&lt;$J1118+7)*('Weekly Log'!$M$5:$M$5000&lt;&gt;"")),'Weekly Log'!$M$5:$M$5000),0))</f>
        <v/>
      </c>
      <c r="J1118" t="str">
        <f>IF(COUNT('Weekly Log'!$A$5:$A$5000)=0,"",IF(MIN('Weekly Log'!$A$5:$A$5000)+7*(ROW()-10)&gt;MAX('Weekly Log'!$A$5:$A$5000),"",MIN('Weekly Log'!$A$5:$A$5000)+7*(ROW()-10)))</f>
        <v/>
      </c>
    </row>
    <row r="1119" spans="1:10" x14ac:dyDescent="0.25">
      <c r="A1119" t="str">
        <f t="shared" si="17"/>
        <v/>
      </c>
      <c r="B1119" t="str">
        <f>IF($J1119="","",SUMIFS('Weekly Log'!$C:$C,'Weekly Log'!$A:$A,"&gt;="&amp;$J1119,'Weekly Log'!$A:$A,"&lt;"&amp;$J1119+7))</f>
        <v/>
      </c>
      <c r="C1119" t="str">
        <f>IF($J1119="","",IFERROR(COUNTIFS('Weekly Log'!$G:$G,"Y",'Weekly Log'!$A:$A,"&gt;="&amp;$J1119,'Weekly Log'!$A:$A,"&lt;"&amp;$J1119+7)/COUNTIFS('Weekly Log'!$G:$G,"&lt;&gt;",'Weekly Log'!$A:$A,"&gt;="&amp;$J1119,'Weekly Log'!$A:$A,"&lt;"&amp;$J1119+7),0))</f>
        <v/>
      </c>
      <c r="D1119" t="str">
        <f>IF($J1119="","",IFERROR(COUNTIFS('Weekly Log'!$H:$H,"Y",'Weekly Log'!$A:$A,"&gt;="&amp;$J1119,'Weekly Log'!$A:$A,"&lt;"&amp;$J1119+7)/COUNTIFS('Weekly Log'!$H:$H,"&lt;&gt;",'Weekly Log'!$A:$A,"&gt;="&amp;$J1119,'Weekly Log'!$A:$A,"&lt;"&amp;$J1119+7),0))</f>
        <v/>
      </c>
      <c r="E1119" t="str">
        <f>IF($J1119="","",IFERROR(AVERAGEIFS('Weekly Log'!$F:$F,'Weekly Log'!$A:$A,"&gt;="&amp;$J1119,'Weekly Log'!$A:$A,"&lt;"&amp;$J1119+7),0))</f>
        <v/>
      </c>
      <c r="F1119" t="str">
        <f>IF($J1119="","",IFERROR(SUMIFS('Weekly Log'!$F:$F,'Weekly Log'!$A:$A,"&gt;="&amp;$J1119,'Weekly Log'!$A:$A,"&lt;"&amp;$J1119+7)/SUMIFS('Weekly Log'!$E:$E,'Weekly Log'!$A:$A,"&gt;="&amp;$J1119,'Weekly Log'!$A:$A,"&lt;"&amp;$J1119+7),0))</f>
        <v/>
      </c>
      <c r="G1119" t="str">
        <f>IF($J1119="","",IFERROR(LOOKUP(2,1/(('Weekly Log'!$A$5:$A$5000&gt;=$J1119)*('Weekly Log'!$A$5:$A$5000&lt;$J1119+7)*('Weekly Log'!$M$5:$M$5000&lt;&gt;"")),'Weekly Log'!$M$5:$M$5000),0))</f>
        <v/>
      </c>
      <c r="J1119" t="str">
        <f>IF(COUNT('Weekly Log'!$A$5:$A$5000)=0,"",IF(MIN('Weekly Log'!$A$5:$A$5000)+7*(ROW()-10)&gt;MAX('Weekly Log'!$A$5:$A$5000),"",MIN('Weekly Log'!$A$5:$A$5000)+7*(ROW()-10)))</f>
        <v/>
      </c>
    </row>
    <row r="1120" spans="1:10" x14ac:dyDescent="0.25">
      <c r="A1120" t="str">
        <f t="shared" si="17"/>
        <v/>
      </c>
      <c r="B1120" t="str">
        <f>IF($J1120="","",SUMIFS('Weekly Log'!$C:$C,'Weekly Log'!$A:$A,"&gt;="&amp;$J1120,'Weekly Log'!$A:$A,"&lt;"&amp;$J1120+7))</f>
        <v/>
      </c>
      <c r="C1120" t="str">
        <f>IF($J1120="","",IFERROR(COUNTIFS('Weekly Log'!$G:$G,"Y",'Weekly Log'!$A:$A,"&gt;="&amp;$J1120,'Weekly Log'!$A:$A,"&lt;"&amp;$J1120+7)/COUNTIFS('Weekly Log'!$G:$G,"&lt;&gt;",'Weekly Log'!$A:$A,"&gt;="&amp;$J1120,'Weekly Log'!$A:$A,"&lt;"&amp;$J1120+7),0))</f>
        <v/>
      </c>
      <c r="D1120" t="str">
        <f>IF($J1120="","",IFERROR(COUNTIFS('Weekly Log'!$H:$H,"Y",'Weekly Log'!$A:$A,"&gt;="&amp;$J1120,'Weekly Log'!$A:$A,"&lt;"&amp;$J1120+7)/COUNTIFS('Weekly Log'!$H:$H,"&lt;&gt;",'Weekly Log'!$A:$A,"&gt;="&amp;$J1120,'Weekly Log'!$A:$A,"&lt;"&amp;$J1120+7),0))</f>
        <v/>
      </c>
      <c r="E1120" t="str">
        <f>IF($J1120="","",IFERROR(AVERAGEIFS('Weekly Log'!$F:$F,'Weekly Log'!$A:$A,"&gt;="&amp;$J1120,'Weekly Log'!$A:$A,"&lt;"&amp;$J1120+7),0))</f>
        <v/>
      </c>
      <c r="F1120" t="str">
        <f>IF($J1120="","",IFERROR(SUMIFS('Weekly Log'!$F:$F,'Weekly Log'!$A:$A,"&gt;="&amp;$J1120,'Weekly Log'!$A:$A,"&lt;"&amp;$J1120+7)/SUMIFS('Weekly Log'!$E:$E,'Weekly Log'!$A:$A,"&gt;="&amp;$J1120,'Weekly Log'!$A:$A,"&lt;"&amp;$J1120+7),0))</f>
        <v/>
      </c>
      <c r="G1120" t="str">
        <f>IF($J1120="","",IFERROR(LOOKUP(2,1/(('Weekly Log'!$A$5:$A$5000&gt;=$J1120)*('Weekly Log'!$A$5:$A$5000&lt;$J1120+7)*('Weekly Log'!$M$5:$M$5000&lt;&gt;"")),'Weekly Log'!$M$5:$M$5000),0))</f>
        <v/>
      </c>
      <c r="J1120" t="str">
        <f>IF(COUNT('Weekly Log'!$A$5:$A$5000)=0,"",IF(MIN('Weekly Log'!$A$5:$A$5000)+7*(ROW()-10)&gt;MAX('Weekly Log'!$A$5:$A$5000),"",MIN('Weekly Log'!$A$5:$A$5000)+7*(ROW()-10)))</f>
        <v/>
      </c>
    </row>
    <row r="1121" spans="1:10" x14ac:dyDescent="0.25">
      <c r="A1121" t="str">
        <f t="shared" si="17"/>
        <v/>
      </c>
      <c r="B1121" t="str">
        <f>IF($J1121="","",SUMIFS('Weekly Log'!$C:$C,'Weekly Log'!$A:$A,"&gt;="&amp;$J1121,'Weekly Log'!$A:$A,"&lt;"&amp;$J1121+7))</f>
        <v/>
      </c>
      <c r="C1121" t="str">
        <f>IF($J1121="","",IFERROR(COUNTIFS('Weekly Log'!$G:$G,"Y",'Weekly Log'!$A:$A,"&gt;="&amp;$J1121,'Weekly Log'!$A:$A,"&lt;"&amp;$J1121+7)/COUNTIFS('Weekly Log'!$G:$G,"&lt;&gt;",'Weekly Log'!$A:$A,"&gt;="&amp;$J1121,'Weekly Log'!$A:$A,"&lt;"&amp;$J1121+7),0))</f>
        <v/>
      </c>
      <c r="D1121" t="str">
        <f>IF($J1121="","",IFERROR(COUNTIFS('Weekly Log'!$H:$H,"Y",'Weekly Log'!$A:$A,"&gt;="&amp;$J1121,'Weekly Log'!$A:$A,"&lt;"&amp;$J1121+7)/COUNTIFS('Weekly Log'!$H:$H,"&lt;&gt;",'Weekly Log'!$A:$A,"&gt;="&amp;$J1121,'Weekly Log'!$A:$A,"&lt;"&amp;$J1121+7),0))</f>
        <v/>
      </c>
      <c r="E1121" t="str">
        <f>IF($J1121="","",IFERROR(AVERAGEIFS('Weekly Log'!$F:$F,'Weekly Log'!$A:$A,"&gt;="&amp;$J1121,'Weekly Log'!$A:$A,"&lt;"&amp;$J1121+7),0))</f>
        <v/>
      </c>
      <c r="F1121" t="str">
        <f>IF($J1121="","",IFERROR(SUMIFS('Weekly Log'!$F:$F,'Weekly Log'!$A:$A,"&gt;="&amp;$J1121,'Weekly Log'!$A:$A,"&lt;"&amp;$J1121+7)/SUMIFS('Weekly Log'!$E:$E,'Weekly Log'!$A:$A,"&gt;="&amp;$J1121,'Weekly Log'!$A:$A,"&lt;"&amp;$J1121+7),0))</f>
        <v/>
      </c>
      <c r="G1121" t="str">
        <f>IF($J1121="","",IFERROR(LOOKUP(2,1/(('Weekly Log'!$A$5:$A$5000&gt;=$J1121)*('Weekly Log'!$A$5:$A$5000&lt;$J1121+7)*('Weekly Log'!$M$5:$M$5000&lt;&gt;"")),'Weekly Log'!$M$5:$M$5000),0))</f>
        <v/>
      </c>
      <c r="J1121" t="str">
        <f>IF(COUNT('Weekly Log'!$A$5:$A$5000)=0,"",IF(MIN('Weekly Log'!$A$5:$A$5000)+7*(ROW()-10)&gt;MAX('Weekly Log'!$A$5:$A$5000),"",MIN('Weekly Log'!$A$5:$A$5000)+7*(ROW()-10)))</f>
        <v/>
      </c>
    </row>
    <row r="1122" spans="1:10" x14ac:dyDescent="0.25">
      <c r="A1122" t="str">
        <f t="shared" si="17"/>
        <v/>
      </c>
      <c r="B1122" t="str">
        <f>IF($J1122="","",SUMIFS('Weekly Log'!$C:$C,'Weekly Log'!$A:$A,"&gt;="&amp;$J1122,'Weekly Log'!$A:$A,"&lt;"&amp;$J1122+7))</f>
        <v/>
      </c>
      <c r="C1122" t="str">
        <f>IF($J1122="","",IFERROR(COUNTIFS('Weekly Log'!$G:$G,"Y",'Weekly Log'!$A:$A,"&gt;="&amp;$J1122,'Weekly Log'!$A:$A,"&lt;"&amp;$J1122+7)/COUNTIFS('Weekly Log'!$G:$G,"&lt;&gt;",'Weekly Log'!$A:$A,"&gt;="&amp;$J1122,'Weekly Log'!$A:$A,"&lt;"&amp;$J1122+7),0))</f>
        <v/>
      </c>
      <c r="D1122" t="str">
        <f>IF($J1122="","",IFERROR(COUNTIFS('Weekly Log'!$H:$H,"Y",'Weekly Log'!$A:$A,"&gt;="&amp;$J1122,'Weekly Log'!$A:$A,"&lt;"&amp;$J1122+7)/COUNTIFS('Weekly Log'!$H:$H,"&lt;&gt;",'Weekly Log'!$A:$A,"&gt;="&amp;$J1122,'Weekly Log'!$A:$A,"&lt;"&amp;$J1122+7),0))</f>
        <v/>
      </c>
      <c r="E1122" t="str">
        <f>IF($J1122="","",IFERROR(AVERAGEIFS('Weekly Log'!$F:$F,'Weekly Log'!$A:$A,"&gt;="&amp;$J1122,'Weekly Log'!$A:$A,"&lt;"&amp;$J1122+7),0))</f>
        <v/>
      </c>
      <c r="F1122" t="str">
        <f>IF($J1122="","",IFERROR(SUMIFS('Weekly Log'!$F:$F,'Weekly Log'!$A:$A,"&gt;="&amp;$J1122,'Weekly Log'!$A:$A,"&lt;"&amp;$J1122+7)/SUMIFS('Weekly Log'!$E:$E,'Weekly Log'!$A:$A,"&gt;="&amp;$J1122,'Weekly Log'!$A:$A,"&lt;"&amp;$J1122+7),0))</f>
        <v/>
      </c>
      <c r="G1122" t="str">
        <f>IF($J1122="","",IFERROR(LOOKUP(2,1/(('Weekly Log'!$A$5:$A$5000&gt;=$J1122)*('Weekly Log'!$A$5:$A$5000&lt;$J1122+7)*('Weekly Log'!$M$5:$M$5000&lt;&gt;"")),'Weekly Log'!$M$5:$M$5000),0))</f>
        <v/>
      </c>
      <c r="J1122" t="str">
        <f>IF(COUNT('Weekly Log'!$A$5:$A$5000)=0,"",IF(MIN('Weekly Log'!$A$5:$A$5000)+7*(ROW()-10)&gt;MAX('Weekly Log'!$A$5:$A$5000),"",MIN('Weekly Log'!$A$5:$A$5000)+7*(ROW()-10)))</f>
        <v/>
      </c>
    </row>
    <row r="1123" spans="1:10" x14ac:dyDescent="0.25">
      <c r="A1123" t="str">
        <f t="shared" si="17"/>
        <v/>
      </c>
      <c r="B1123" t="str">
        <f>IF($J1123="","",SUMIFS('Weekly Log'!$C:$C,'Weekly Log'!$A:$A,"&gt;="&amp;$J1123,'Weekly Log'!$A:$A,"&lt;"&amp;$J1123+7))</f>
        <v/>
      </c>
      <c r="C1123" t="str">
        <f>IF($J1123="","",IFERROR(COUNTIFS('Weekly Log'!$G:$G,"Y",'Weekly Log'!$A:$A,"&gt;="&amp;$J1123,'Weekly Log'!$A:$A,"&lt;"&amp;$J1123+7)/COUNTIFS('Weekly Log'!$G:$G,"&lt;&gt;",'Weekly Log'!$A:$A,"&gt;="&amp;$J1123,'Weekly Log'!$A:$A,"&lt;"&amp;$J1123+7),0))</f>
        <v/>
      </c>
      <c r="D1123" t="str">
        <f>IF($J1123="","",IFERROR(COUNTIFS('Weekly Log'!$H:$H,"Y",'Weekly Log'!$A:$A,"&gt;="&amp;$J1123,'Weekly Log'!$A:$A,"&lt;"&amp;$J1123+7)/COUNTIFS('Weekly Log'!$H:$H,"&lt;&gt;",'Weekly Log'!$A:$A,"&gt;="&amp;$J1123,'Weekly Log'!$A:$A,"&lt;"&amp;$J1123+7),0))</f>
        <v/>
      </c>
      <c r="E1123" t="str">
        <f>IF($J1123="","",IFERROR(AVERAGEIFS('Weekly Log'!$F:$F,'Weekly Log'!$A:$A,"&gt;="&amp;$J1123,'Weekly Log'!$A:$A,"&lt;"&amp;$J1123+7),0))</f>
        <v/>
      </c>
      <c r="F1123" t="str">
        <f>IF($J1123="","",IFERROR(SUMIFS('Weekly Log'!$F:$F,'Weekly Log'!$A:$A,"&gt;="&amp;$J1123,'Weekly Log'!$A:$A,"&lt;"&amp;$J1123+7)/SUMIFS('Weekly Log'!$E:$E,'Weekly Log'!$A:$A,"&gt;="&amp;$J1123,'Weekly Log'!$A:$A,"&lt;"&amp;$J1123+7),0))</f>
        <v/>
      </c>
      <c r="G1123" t="str">
        <f>IF($J1123="","",IFERROR(LOOKUP(2,1/(('Weekly Log'!$A$5:$A$5000&gt;=$J1123)*('Weekly Log'!$A$5:$A$5000&lt;$J1123+7)*('Weekly Log'!$M$5:$M$5000&lt;&gt;"")),'Weekly Log'!$M$5:$M$5000),0))</f>
        <v/>
      </c>
      <c r="J1123" t="str">
        <f>IF(COUNT('Weekly Log'!$A$5:$A$5000)=0,"",IF(MIN('Weekly Log'!$A$5:$A$5000)+7*(ROW()-10)&gt;MAX('Weekly Log'!$A$5:$A$5000),"",MIN('Weekly Log'!$A$5:$A$5000)+7*(ROW()-10)))</f>
        <v/>
      </c>
    </row>
    <row r="1124" spans="1:10" x14ac:dyDescent="0.25">
      <c r="A1124" t="str">
        <f t="shared" si="17"/>
        <v/>
      </c>
      <c r="B1124" t="str">
        <f>IF($J1124="","",SUMIFS('Weekly Log'!$C:$C,'Weekly Log'!$A:$A,"&gt;="&amp;$J1124,'Weekly Log'!$A:$A,"&lt;"&amp;$J1124+7))</f>
        <v/>
      </c>
      <c r="C1124" t="str">
        <f>IF($J1124="","",IFERROR(COUNTIFS('Weekly Log'!$G:$G,"Y",'Weekly Log'!$A:$A,"&gt;="&amp;$J1124,'Weekly Log'!$A:$A,"&lt;"&amp;$J1124+7)/COUNTIFS('Weekly Log'!$G:$G,"&lt;&gt;",'Weekly Log'!$A:$A,"&gt;="&amp;$J1124,'Weekly Log'!$A:$A,"&lt;"&amp;$J1124+7),0))</f>
        <v/>
      </c>
      <c r="D1124" t="str">
        <f>IF($J1124="","",IFERROR(COUNTIFS('Weekly Log'!$H:$H,"Y",'Weekly Log'!$A:$A,"&gt;="&amp;$J1124,'Weekly Log'!$A:$A,"&lt;"&amp;$J1124+7)/COUNTIFS('Weekly Log'!$H:$H,"&lt;&gt;",'Weekly Log'!$A:$A,"&gt;="&amp;$J1124,'Weekly Log'!$A:$A,"&lt;"&amp;$J1124+7),0))</f>
        <v/>
      </c>
      <c r="E1124" t="str">
        <f>IF($J1124="","",IFERROR(AVERAGEIFS('Weekly Log'!$F:$F,'Weekly Log'!$A:$A,"&gt;="&amp;$J1124,'Weekly Log'!$A:$A,"&lt;"&amp;$J1124+7),0))</f>
        <v/>
      </c>
      <c r="F1124" t="str">
        <f>IF($J1124="","",IFERROR(SUMIFS('Weekly Log'!$F:$F,'Weekly Log'!$A:$A,"&gt;="&amp;$J1124,'Weekly Log'!$A:$A,"&lt;"&amp;$J1124+7)/SUMIFS('Weekly Log'!$E:$E,'Weekly Log'!$A:$A,"&gt;="&amp;$J1124,'Weekly Log'!$A:$A,"&lt;"&amp;$J1124+7),0))</f>
        <v/>
      </c>
      <c r="G1124" t="str">
        <f>IF($J1124="","",IFERROR(LOOKUP(2,1/(('Weekly Log'!$A$5:$A$5000&gt;=$J1124)*('Weekly Log'!$A$5:$A$5000&lt;$J1124+7)*('Weekly Log'!$M$5:$M$5000&lt;&gt;"")),'Weekly Log'!$M$5:$M$5000),0))</f>
        <v/>
      </c>
      <c r="J1124" t="str">
        <f>IF(COUNT('Weekly Log'!$A$5:$A$5000)=0,"",IF(MIN('Weekly Log'!$A$5:$A$5000)+7*(ROW()-10)&gt;MAX('Weekly Log'!$A$5:$A$5000),"",MIN('Weekly Log'!$A$5:$A$5000)+7*(ROW()-10)))</f>
        <v/>
      </c>
    </row>
    <row r="1125" spans="1:10" x14ac:dyDescent="0.25">
      <c r="A1125" t="str">
        <f t="shared" si="17"/>
        <v/>
      </c>
      <c r="B1125" t="str">
        <f>IF($J1125="","",SUMIFS('Weekly Log'!$C:$C,'Weekly Log'!$A:$A,"&gt;="&amp;$J1125,'Weekly Log'!$A:$A,"&lt;"&amp;$J1125+7))</f>
        <v/>
      </c>
      <c r="C1125" t="str">
        <f>IF($J1125="","",IFERROR(COUNTIFS('Weekly Log'!$G:$G,"Y",'Weekly Log'!$A:$A,"&gt;="&amp;$J1125,'Weekly Log'!$A:$A,"&lt;"&amp;$J1125+7)/COUNTIFS('Weekly Log'!$G:$G,"&lt;&gt;",'Weekly Log'!$A:$A,"&gt;="&amp;$J1125,'Weekly Log'!$A:$A,"&lt;"&amp;$J1125+7),0))</f>
        <v/>
      </c>
      <c r="D1125" t="str">
        <f>IF($J1125="","",IFERROR(COUNTIFS('Weekly Log'!$H:$H,"Y",'Weekly Log'!$A:$A,"&gt;="&amp;$J1125,'Weekly Log'!$A:$A,"&lt;"&amp;$J1125+7)/COUNTIFS('Weekly Log'!$H:$H,"&lt;&gt;",'Weekly Log'!$A:$A,"&gt;="&amp;$J1125,'Weekly Log'!$A:$A,"&lt;"&amp;$J1125+7),0))</f>
        <v/>
      </c>
      <c r="E1125" t="str">
        <f>IF($J1125="","",IFERROR(AVERAGEIFS('Weekly Log'!$F:$F,'Weekly Log'!$A:$A,"&gt;="&amp;$J1125,'Weekly Log'!$A:$A,"&lt;"&amp;$J1125+7),0))</f>
        <v/>
      </c>
      <c r="F1125" t="str">
        <f>IF($J1125="","",IFERROR(SUMIFS('Weekly Log'!$F:$F,'Weekly Log'!$A:$A,"&gt;="&amp;$J1125,'Weekly Log'!$A:$A,"&lt;"&amp;$J1125+7)/SUMIFS('Weekly Log'!$E:$E,'Weekly Log'!$A:$A,"&gt;="&amp;$J1125,'Weekly Log'!$A:$A,"&lt;"&amp;$J1125+7),0))</f>
        <v/>
      </c>
      <c r="G1125" t="str">
        <f>IF($J1125="","",IFERROR(LOOKUP(2,1/(('Weekly Log'!$A$5:$A$5000&gt;=$J1125)*('Weekly Log'!$A$5:$A$5000&lt;$J1125+7)*('Weekly Log'!$M$5:$M$5000&lt;&gt;"")),'Weekly Log'!$M$5:$M$5000),0))</f>
        <v/>
      </c>
      <c r="J1125" t="str">
        <f>IF(COUNT('Weekly Log'!$A$5:$A$5000)=0,"",IF(MIN('Weekly Log'!$A$5:$A$5000)+7*(ROW()-10)&gt;MAX('Weekly Log'!$A$5:$A$5000),"",MIN('Weekly Log'!$A$5:$A$5000)+7*(ROW()-10)))</f>
        <v/>
      </c>
    </row>
    <row r="1126" spans="1:10" x14ac:dyDescent="0.25">
      <c r="A1126" t="str">
        <f t="shared" si="17"/>
        <v/>
      </c>
      <c r="B1126" t="str">
        <f>IF($J1126="","",SUMIFS('Weekly Log'!$C:$C,'Weekly Log'!$A:$A,"&gt;="&amp;$J1126,'Weekly Log'!$A:$A,"&lt;"&amp;$J1126+7))</f>
        <v/>
      </c>
      <c r="C1126" t="str">
        <f>IF($J1126="","",IFERROR(COUNTIFS('Weekly Log'!$G:$G,"Y",'Weekly Log'!$A:$A,"&gt;="&amp;$J1126,'Weekly Log'!$A:$A,"&lt;"&amp;$J1126+7)/COUNTIFS('Weekly Log'!$G:$G,"&lt;&gt;",'Weekly Log'!$A:$A,"&gt;="&amp;$J1126,'Weekly Log'!$A:$A,"&lt;"&amp;$J1126+7),0))</f>
        <v/>
      </c>
      <c r="D1126" t="str">
        <f>IF($J1126="","",IFERROR(COUNTIFS('Weekly Log'!$H:$H,"Y",'Weekly Log'!$A:$A,"&gt;="&amp;$J1126,'Weekly Log'!$A:$A,"&lt;"&amp;$J1126+7)/COUNTIFS('Weekly Log'!$H:$H,"&lt;&gt;",'Weekly Log'!$A:$A,"&gt;="&amp;$J1126,'Weekly Log'!$A:$A,"&lt;"&amp;$J1126+7),0))</f>
        <v/>
      </c>
      <c r="E1126" t="str">
        <f>IF($J1126="","",IFERROR(AVERAGEIFS('Weekly Log'!$F:$F,'Weekly Log'!$A:$A,"&gt;="&amp;$J1126,'Weekly Log'!$A:$A,"&lt;"&amp;$J1126+7),0))</f>
        <v/>
      </c>
      <c r="F1126" t="str">
        <f>IF($J1126="","",IFERROR(SUMIFS('Weekly Log'!$F:$F,'Weekly Log'!$A:$A,"&gt;="&amp;$J1126,'Weekly Log'!$A:$A,"&lt;"&amp;$J1126+7)/SUMIFS('Weekly Log'!$E:$E,'Weekly Log'!$A:$A,"&gt;="&amp;$J1126,'Weekly Log'!$A:$A,"&lt;"&amp;$J1126+7),0))</f>
        <v/>
      </c>
      <c r="G1126" t="str">
        <f>IF($J1126="","",IFERROR(LOOKUP(2,1/(('Weekly Log'!$A$5:$A$5000&gt;=$J1126)*('Weekly Log'!$A$5:$A$5000&lt;$J1126+7)*('Weekly Log'!$M$5:$M$5000&lt;&gt;"")),'Weekly Log'!$M$5:$M$5000),0))</f>
        <v/>
      </c>
      <c r="J1126" t="str">
        <f>IF(COUNT('Weekly Log'!$A$5:$A$5000)=0,"",IF(MIN('Weekly Log'!$A$5:$A$5000)+7*(ROW()-10)&gt;MAX('Weekly Log'!$A$5:$A$5000),"",MIN('Weekly Log'!$A$5:$A$5000)+7*(ROW()-10)))</f>
        <v/>
      </c>
    </row>
    <row r="1127" spans="1:10" x14ac:dyDescent="0.25">
      <c r="A1127" t="str">
        <f t="shared" si="17"/>
        <v/>
      </c>
      <c r="B1127" t="str">
        <f>IF($J1127="","",SUMIFS('Weekly Log'!$C:$C,'Weekly Log'!$A:$A,"&gt;="&amp;$J1127,'Weekly Log'!$A:$A,"&lt;"&amp;$J1127+7))</f>
        <v/>
      </c>
      <c r="C1127" t="str">
        <f>IF($J1127="","",IFERROR(COUNTIFS('Weekly Log'!$G:$G,"Y",'Weekly Log'!$A:$A,"&gt;="&amp;$J1127,'Weekly Log'!$A:$A,"&lt;"&amp;$J1127+7)/COUNTIFS('Weekly Log'!$G:$G,"&lt;&gt;",'Weekly Log'!$A:$A,"&gt;="&amp;$J1127,'Weekly Log'!$A:$A,"&lt;"&amp;$J1127+7),0))</f>
        <v/>
      </c>
      <c r="D1127" t="str">
        <f>IF($J1127="","",IFERROR(COUNTIFS('Weekly Log'!$H:$H,"Y",'Weekly Log'!$A:$A,"&gt;="&amp;$J1127,'Weekly Log'!$A:$A,"&lt;"&amp;$J1127+7)/COUNTIFS('Weekly Log'!$H:$H,"&lt;&gt;",'Weekly Log'!$A:$A,"&gt;="&amp;$J1127,'Weekly Log'!$A:$A,"&lt;"&amp;$J1127+7),0))</f>
        <v/>
      </c>
      <c r="E1127" t="str">
        <f>IF($J1127="","",IFERROR(AVERAGEIFS('Weekly Log'!$F:$F,'Weekly Log'!$A:$A,"&gt;="&amp;$J1127,'Weekly Log'!$A:$A,"&lt;"&amp;$J1127+7),0))</f>
        <v/>
      </c>
      <c r="F1127" t="str">
        <f>IF($J1127="","",IFERROR(SUMIFS('Weekly Log'!$F:$F,'Weekly Log'!$A:$A,"&gt;="&amp;$J1127,'Weekly Log'!$A:$A,"&lt;"&amp;$J1127+7)/SUMIFS('Weekly Log'!$E:$E,'Weekly Log'!$A:$A,"&gt;="&amp;$J1127,'Weekly Log'!$A:$A,"&lt;"&amp;$J1127+7),0))</f>
        <v/>
      </c>
      <c r="G1127" t="str">
        <f>IF($J1127="","",IFERROR(LOOKUP(2,1/(('Weekly Log'!$A$5:$A$5000&gt;=$J1127)*('Weekly Log'!$A$5:$A$5000&lt;$J1127+7)*('Weekly Log'!$M$5:$M$5000&lt;&gt;"")),'Weekly Log'!$M$5:$M$5000),0))</f>
        <v/>
      </c>
      <c r="J1127" t="str">
        <f>IF(COUNT('Weekly Log'!$A$5:$A$5000)=0,"",IF(MIN('Weekly Log'!$A$5:$A$5000)+7*(ROW()-10)&gt;MAX('Weekly Log'!$A$5:$A$5000),"",MIN('Weekly Log'!$A$5:$A$5000)+7*(ROW()-10)))</f>
        <v/>
      </c>
    </row>
    <row r="1128" spans="1:10" x14ac:dyDescent="0.25">
      <c r="A1128" t="str">
        <f t="shared" si="17"/>
        <v/>
      </c>
      <c r="B1128" t="str">
        <f>IF($J1128="","",SUMIFS('Weekly Log'!$C:$C,'Weekly Log'!$A:$A,"&gt;="&amp;$J1128,'Weekly Log'!$A:$A,"&lt;"&amp;$J1128+7))</f>
        <v/>
      </c>
      <c r="C1128" t="str">
        <f>IF($J1128="","",IFERROR(COUNTIFS('Weekly Log'!$G:$G,"Y",'Weekly Log'!$A:$A,"&gt;="&amp;$J1128,'Weekly Log'!$A:$A,"&lt;"&amp;$J1128+7)/COUNTIFS('Weekly Log'!$G:$G,"&lt;&gt;",'Weekly Log'!$A:$A,"&gt;="&amp;$J1128,'Weekly Log'!$A:$A,"&lt;"&amp;$J1128+7),0))</f>
        <v/>
      </c>
      <c r="D1128" t="str">
        <f>IF($J1128="","",IFERROR(COUNTIFS('Weekly Log'!$H:$H,"Y",'Weekly Log'!$A:$A,"&gt;="&amp;$J1128,'Weekly Log'!$A:$A,"&lt;"&amp;$J1128+7)/COUNTIFS('Weekly Log'!$H:$H,"&lt;&gt;",'Weekly Log'!$A:$A,"&gt;="&amp;$J1128,'Weekly Log'!$A:$A,"&lt;"&amp;$J1128+7),0))</f>
        <v/>
      </c>
      <c r="E1128" t="str">
        <f>IF($J1128="","",IFERROR(AVERAGEIFS('Weekly Log'!$F:$F,'Weekly Log'!$A:$A,"&gt;="&amp;$J1128,'Weekly Log'!$A:$A,"&lt;"&amp;$J1128+7),0))</f>
        <v/>
      </c>
      <c r="F1128" t="str">
        <f>IF($J1128="","",IFERROR(SUMIFS('Weekly Log'!$F:$F,'Weekly Log'!$A:$A,"&gt;="&amp;$J1128,'Weekly Log'!$A:$A,"&lt;"&amp;$J1128+7)/SUMIFS('Weekly Log'!$E:$E,'Weekly Log'!$A:$A,"&gt;="&amp;$J1128,'Weekly Log'!$A:$A,"&lt;"&amp;$J1128+7),0))</f>
        <v/>
      </c>
      <c r="G1128" t="str">
        <f>IF($J1128="","",IFERROR(LOOKUP(2,1/(('Weekly Log'!$A$5:$A$5000&gt;=$J1128)*('Weekly Log'!$A$5:$A$5000&lt;$J1128+7)*('Weekly Log'!$M$5:$M$5000&lt;&gt;"")),'Weekly Log'!$M$5:$M$5000),0))</f>
        <v/>
      </c>
      <c r="J1128" t="str">
        <f>IF(COUNT('Weekly Log'!$A$5:$A$5000)=0,"",IF(MIN('Weekly Log'!$A$5:$A$5000)+7*(ROW()-10)&gt;MAX('Weekly Log'!$A$5:$A$5000),"",MIN('Weekly Log'!$A$5:$A$5000)+7*(ROW()-10)))</f>
        <v/>
      </c>
    </row>
    <row r="1129" spans="1:10" x14ac:dyDescent="0.25">
      <c r="A1129" t="str">
        <f t="shared" si="17"/>
        <v/>
      </c>
      <c r="B1129" t="str">
        <f>IF($J1129="","",SUMIFS('Weekly Log'!$C:$C,'Weekly Log'!$A:$A,"&gt;="&amp;$J1129,'Weekly Log'!$A:$A,"&lt;"&amp;$J1129+7))</f>
        <v/>
      </c>
      <c r="C1129" t="str">
        <f>IF($J1129="","",IFERROR(COUNTIFS('Weekly Log'!$G:$G,"Y",'Weekly Log'!$A:$A,"&gt;="&amp;$J1129,'Weekly Log'!$A:$A,"&lt;"&amp;$J1129+7)/COUNTIFS('Weekly Log'!$G:$G,"&lt;&gt;",'Weekly Log'!$A:$A,"&gt;="&amp;$J1129,'Weekly Log'!$A:$A,"&lt;"&amp;$J1129+7),0))</f>
        <v/>
      </c>
      <c r="D1129" t="str">
        <f>IF($J1129="","",IFERROR(COUNTIFS('Weekly Log'!$H:$H,"Y",'Weekly Log'!$A:$A,"&gt;="&amp;$J1129,'Weekly Log'!$A:$A,"&lt;"&amp;$J1129+7)/COUNTIFS('Weekly Log'!$H:$H,"&lt;&gt;",'Weekly Log'!$A:$A,"&gt;="&amp;$J1129,'Weekly Log'!$A:$A,"&lt;"&amp;$J1129+7),0))</f>
        <v/>
      </c>
      <c r="E1129" t="str">
        <f>IF($J1129="","",IFERROR(AVERAGEIFS('Weekly Log'!$F:$F,'Weekly Log'!$A:$A,"&gt;="&amp;$J1129,'Weekly Log'!$A:$A,"&lt;"&amp;$J1129+7),0))</f>
        <v/>
      </c>
      <c r="F1129" t="str">
        <f>IF($J1129="","",IFERROR(SUMIFS('Weekly Log'!$F:$F,'Weekly Log'!$A:$A,"&gt;="&amp;$J1129,'Weekly Log'!$A:$A,"&lt;"&amp;$J1129+7)/SUMIFS('Weekly Log'!$E:$E,'Weekly Log'!$A:$A,"&gt;="&amp;$J1129,'Weekly Log'!$A:$A,"&lt;"&amp;$J1129+7),0))</f>
        <v/>
      </c>
      <c r="G1129" t="str">
        <f>IF($J1129="","",IFERROR(LOOKUP(2,1/(('Weekly Log'!$A$5:$A$5000&gt;=$J1129)*('Weekly Log'!$A$5:$A$5000&lt;$J1129+7)*('Weekly Log'!$M$5:$M$5000&lt;&gt;"")),'Weekly Log'!$M$5:$M$5000),0))</f>
        <v/>
      </c>
      <c r="J1129" t="str">
        <f>IF(COUNT('Weekly Log'!$A$5:$A$5000)=0,"",IF(MIN('Weekly Log'!$A$5:$A$5000)+7*(ROW()-10)&gt;MAX('Weekly Log'!$A$5:$A$5000),"",MIN('Weekly Log'!$A$5:$A$5000)+7*(ROW()-10)))</f>
        <v/>
      </c>
    </row>
    <row r="1130" spans="1:10" x14ac:dyDescent="0.25">
      <c r="A1130" t="str">
        <f t="shared" si="17"/>
        <v/>
      </c>
      <c r="B1130" t="str">
        <f>IF($J1130="","",SUMIFS('Weekly Log'!$C:$C,'Weekly Log'!$A:$A,"&gt;="&amp;$J1130,'Weekly Log'!$A:$A,"&lt;"&amp;$J1130+7))</f>
        <v/>
      </c>
      <c r="C1130" t="str">
        <f>IF($J1130="","",IFERROR(COUNTIFS('Weekly Log'!$G:$G,"Y",'Weekly Log'!$A:$A,"&gt;="&amp;$J1130,'Weekly Log'!$A:$A,"&lt;"&amp;$J1130+7)/COUNTIFS('Weekly Log'!$G:$G,"&lt;&gt;",'Weekly Log'!$A:$A,"&gt;="&amp;$J1130,'Weekly Log'!$A:$A,"&lt;"&amp;$J1130+7),0))</f>
        <v/>
      </c>
      <c r="D1130" t="str">
        <f>IF($J1130="","",IFERROR(COUNTIFS('Weekly Log'!$H:$H,"Y",'Weekly Log'!$A:$A,"&gt;="&amp;$J1130,'Weekly Log'!$A:$A,"&lt;"&amp;$J1130+7)/COUNTIFS('Weekly Log'!$H:$H,"&lt;&gt;",'Weekly Log'!$A:$A,"&gt;="&amp;$J1130,'Weekly Log'!$A:$A,"&lt;"&amp;$J1130+7),0))</f>
        <v/>
      </c>
      <c r="E1130" t="str">
        <f>IF($J1130="","",IFERROR(AVERAGEIFS('Weekly Log'!$F:$F,'Weekly Log'!$A:$A,"&gt;="&amp;$J1130,'Weekly Log'!$A:$A,"&lt;"&amp;$J1130+7),0))</f>
        <v/>
      </c>
      <c r="F1130" t="str">
        <f>IF($J1130="","",IFERROR(SUMIFS('Weekly Log'!$F:$F,'Weekly Log'!$A:$A,"&gt;="&amp;$J1130,'Weekly Log'!$A:$A,"&lt;"&amp;$J1130+7)/SUMIFS('Weekly Log'!$E:$E,'Weekly Log'!$A:$A,"&gt;="&amp;$J1130,'Weekly Log'!$A:$A,"&lt;"&amp;$J1130+7),0))</f>
        <v/>
      </c>
      <c r="G1130" t="str">
        <f>IF($J1130="","",IFERROR(LOOKUP(2,1/(('Weekly Log'!$A$5:$A$5000&gt;=$J1130)*('Weekly Log'!$A$5:$A$5000&lt;$J1130+7)*('Weekly Log'!$M$5:$M$5000&lt;&gt;"")),'Weekly Log'!$M$5:$M$5000),0))</f>
        <v/>
      </c>
      <c r="J1130" t="str">
        <f>IF(COUNT('Weekly Log'!$A$5:$A$5000)=0,"",IF(MIN('Weekly Log'!$A$5:$A$5000)+7*(ROW()-10)&gt;MAX('Weekly Log'!$A$5:$A$5000),"",MIN('Weekly Log'!$A$5:$A$5000)+7*(ROW()-10)))</f>
        <v/>
      </c>
    </row>
    <row r="1131" spans="1:10" x14ac:dyDescent="0.25">
      <c r="A1131" t="str">
        <f t="shared" si="17"/>
        <v/>
      </c>
      <c r="B1131" t="str">
        <f>IF($J1131="","",SUMIFS('Weekly Log'!$C:$C,'Weekly Log'!$A:$A,"&gt;="&amp;$J1131,'Weekly Log'!$A:$A,"&lt;"&amp;$J1131+7))</f>
        <v/>
      </c>
      <c r="C1131" t="str">
        <f>IF($J1131="","",IFERROR(COUNTIFS('Weekly Log'!$G:$G,"Y",'Weekly Log'!$A:$A,"&gt;="&amp;$J1131,'Weekly Log'!$A:$A,"&lt;"&amp;$J1131+7)/COUNTIFS('Weekly Log'!$G:$G,"&lt;&gt;",'Weekly Log'!$A:$A,"&gt;="&amp;$J1131,'Weekly Log'!$A:$A,"&lt;"&amp;$J1131+7),0))</f>
        <v/>
      </c>
      <c r="D1131" t="str">
        <f>IF($J1131="","",IFERROR(COUNTIFS('Weekly Log'!$H:$H,"Y",'Weekly Log'!$A:$A,"&gt;="&amp;$J1131,'Weekly Log'!$A:$A,"&lt;"&amp;$J1131+7)/COUNTIFS('Weekly Log'!$H:$H,"&lt;&gt;",'Weekly Log'!$A:$A,"&gt;="&amp;$J1131,'Weekly Log'!$A:$A,"&lt;"&amp;$J1131+7),0))</f>
        <v/>
      </c>
      <c r="E1131" t="str">
        <f>IF($J1131="","",IFERROR(AVERAGEIFS('Weekly Log'!$F:$F,'Weekly Log'!$A:$A,"&gt;="&amp;$J1131,'Weekly Log'!$A:$A,"&lt;"&amp;$J1131+7),0))</f>
        <v/>
      </c>
      <c r="F1131" t="str">
        <f>IF($J1131="","",IFERROR(SUMIFS('Weekly Log'!$F:$F,'Weekly Log'!$A:$A,"&gt;="&amp;$J1131,'Weekly Log'!$A:$A,"&lt;"&amp;$J1131+7)/SUMIFS('Weekly Log'!$E:$E,'Weekly Log'!$A:$A,"&gt;="&amp;$J1131,'Weekly Log'!$A:$A,"&lt;"&amp;$J1131+7),0))</f>
        <v/>
      </c>
      <c r="G1131" t="str">
        <f>IF($J1131="","",IFERROR(LOOKUP(2,1/(('Weekly Log'!$A$5:$A$5000&gt;=$J1131)*('Weekly Log'!$A$5:$A$5000&lt;$J1131+7)*('Weekly Log'!$M$5:$M$5000&lt;&gt;"")),'Weekly Log'!$M$5:$M$5000),0))</f>
        <v/>
      </c>
      <c r="J1131" t="str">
        <f>IF(COUNT('Weekly Log'!$A$5:$A$5000)=0,"",IF(MIN('Weekly Log'!$A$5:$A$5000)+7*(ROW()-10)&gt;MAX('Weekly Log'!$A$5:$A$5000),"",MIN('Weekly Log'!$A$5:$A$5000)+7*(ROW()-10)))</f>
        <v/>
      </c>
    </row>
    <row r="1132" spans="1:10" x14ac:dyDescent="0.25">
      <c r="A1132" t="str">
        <f t="shared" si="17"/>
        <v/>
      </c>
      <c r="B1132" t="str">
        <f>IF($J1132="","",SUMIFS('Weekly Log'!$C:$C,'Weekly Log'!$A:$A,"&gt;="&amp;$J1132,'Weekly Log'!$A:$A,"&lt;"&amp;$J1132+7))</f>
        <v/>
      </c>
      <c r="C1132" t="str">
        <f>IF($J1132="","",IFERROR(COUNTIFS('Weekly Log'!$G:$G,"Y",'Weekly Log'!$A:$A,"&gt;="&amp;$J1132,'Weekly Log'!$A:$A,"&lt;"&amp;$J1132+7)/COUNTIFS('Weekly Log'!$G:$G,"&lt;&gt;",'Weekly Log'!$A:$A,"&gt;="&amp;$J1132,'Weekly Log'!$A:$A,"&lt;"&amp;$J1132+7),0))</f>
        <v/>
      </c>
      <c r="D1132" t="str">
        <f>IF($J1132="","",IFERROR(COUNTIFS('Weekly Log'!$H:$H,"Y",'Weekly Log'!$A:$A,"&gt;="&amp;$J1132,'Weekly Log'!$A:$A,"&lt;"&amp;$J1132+7)/COUNTIFS('Weekly Log'!$H:$H,"&lt;&gt;",'Weekly Log'!$A:$A,"&gt;="&amp;$J1132,'Weekly Log'!$A:$A,"&lt;"&amp;$J1132+7),0))</f>
        <v/>
      </c>
      <c r="E1132" t="str">
        <f>IF($J1132="","",IFERROR(AVERAGEIFS('Weekly Log'!$F:$F,'Weekly Log'!$A:$A,"&gt;="&amp;$J1132,'Weekly Log'!$A:$A,"&lt;"&amp;$J1132+7),0))</f>
        <v/>
      </c>
      <c r="F1132" t="str">
        <f>IF($J1132="","",IFERROR(SUMIFS('Weekly Log'!$F:$F,'Weekly Log'!$A:$A,"&gt;="&amp;$J1132,'Weekly Log'!$A:$A,"&lt;"&amp;$J1132+7)/SUMIFS('Weekly Log'!$E:$E,'Weekly Log'!$A:$A,"&gt;="&amp;$J1132,'Weekly Log'!$A:$A,"&lt;"&amp;$J1132+7),0))</f>
        <v/>
      </c>
      <c r="G1132" t="str">
        <f>IF($J1132="","",IFERROR(LOOKUP(2,1/(('Weekly Log'!$A$5:$A$5000&gt;=$J1132)*('Weekly Log'!$A$5:$A$5000&lt;$J1132+7)*('Weekly Log'!$M$5:$M$5000&lt;&gt;"")),'Weekly Log'!$M$5:$M$5000),0))</f>
        <v/>
      </c>
      <c r="J1132" t="str">
        <f>IF(COUNT('Weekly Log'!$A$5:$A$5000)=0,"",IF(MIN('Weekly Log'!$A$5:$A$5000)+7*(ROW()-10)&gt;MAX('Weekly Log'!$A$5:$A$5000),"",MIN('Weekly Log'!$A$5:$A$5000)+7*(ROW()-10)))</f>
        <v/>
      </c>
    </row>
    <row r="1133" spans="1:10" x14ac:dyDescent="0.25">
      <c r="A1133" t="str">
        <f t="shared" si="17"/>
        <v/>
      </c>
      <c r="B1133" t="str">
        <f>IF($J1133="","",SUMIFS('Weekly Log'!$C:$C,'Weekly Log'!$A:$A,"&gt;="&amp;$J1133,'Weekly Log'!$A:$A,"&lt;"&amp;$J1133+7))</f>
        <v/>
      </c>
      <c r="C1133" t="str">
        <f>IF($J1133="","",IFERROR(COUNTIFS('Weekly Log'!$G:$G,"Y",'Weekly Log'!$A:$A,"&gt;="&amp;$J1133,'Weekly Log'!$A:$A,"&lt;"&amp;$J1133+7)/COUNTIFS('Weekly Log'!$G:$G,"&lt;&gt;",'Weekly Log'!$A:$A,"&gt;="&amp;$J1133,'Weekly Log'!$A:$A,"&lt;"&amp;$J1133+7),0))</f>
        <v/>
      </c>
      <c r="D1133" t="str">
        <f>IF($J1133="","",IFERROR(COUNTIFS('Weekly Log'!$H:$H,"Y",'Weekly Log'!$A:$A,"&gt;="&amp;$J1133,'Weekly Log'!$A:$A,"&lt;"&amp;$J1133+7)/COUNTIFS('Weekly Log'!$H:$H,"&lt;&gt;",'Weekly Log'!$A:$A,"&gt;="&amp;$J1133,'Weekly Log'!$A:$A,"&lt;"&amp;$J1133+7),0))</f>
        <v/>
      </c>
      <c r="E1133" t="str">
        <f>IF($J1133="","",IFERROR(AVERAGEIFS('Weekly Log'!$F:$F,'Weekly Log'!$A:$A,"&gt;="&amp;$J1133,'Weekly Log'!$A:$A,"&lt;"&amp;$J1133+7),0))</f>
        <v/>
      </c>
      <c r="F1133" t="str">
        <f>IF($J1133="","",IFERROR(SUMIFS('Weekly Log'!$F:$F,'Weekly Log'!$A:$A,"&gt;="&amp;$J1133,'Weekly Log'!$A:$A,"&lt;"&amp;$J1133+7)/SUMIFS('Weekly Log'!$E:$E,'Weekly Log'!$A:$A,"&gt;="&amp;$J1133,'Weekly Log'!$A:$A,"&lt;"&amp;$J1133+7),0))</f>
        <v/>
      </c>
      <c r="G1133" t="str">
        <f>IF($J1133="","",IFERROR(LOOKUP(2,1/(('Weekly Log'!$A$5:$A$5000&gt;=$J1133)*('Weekly Log'!$A$5:$A$5000&lt;$J1133+7)*('Weekly Log'!$M$5:$M$5000&lt;&gt;"")),'Weekly Log'!$M$5:$M$5000),0))</f>
        <v/>
      </c>
      <c r="J1133" t="str">
        <f>IF(COUNT('Weekly Log'!$A$5:$A$5000)=0,"",IF(MIN('Weekly Log'!$A$5:$A$5000)+7*(ROW()-10)&gt;MAX('Weekly Log'!$A$5:$A$5000),"",MIN('Weekly Log'!$A$5:$A$5000)+7*(ROW()-10)))</f>
        <v/>
      </c>
    </row>
    <row r="1134" spans="1:10" x14ac:dyDescent="0.25">
      <c r="A1134" t="str">
        <f t="shared" si="17"/>
        <v/>
      </c>
      <c r="B1134" t="str">
        <f>IF($J1134="","",SUMIFS('Weekly Log'!$C:$C,'Weekly Log'!$A:$A,"&gt;="&amp;$J1134,'Weekly Log'!$A:$A,"&lt;"&amp;$J1134+7))</f>
        <v/>
      </c>
      <c r="C1134" t="str">
        <f>IF($J1134="","",IFERROR(COUNTIFS('Weekly Log'!$G:$G,"Y",'Weekly Log'!$A:$A,"&gt;="&amp;$J1134,'Weekly Log'!$A:$A,"&lt;"&amp;$J1134+7)/COUNTIFS('Weekly Log'!$G:$G,"&lt;&gt;",'Weekly Log'!$A:$A,"&gt;="&amp;$J1134,'Weekly Log'!$A:$A,"&lt;"&amp;$J1134+7),0))</f>
        <v/>
      </c>
      <c r="D1134" t="str">
        <f>IF($J1134="","",IFERROR(COUNTIFS('Weekly Log'!$H:$H,"Y",'Weekly Log'!$A:$A,"&gt;="&amp;$J1134,'Weekly Log'!$A:$A,"&lt;"&amp;$J1134+7)/COUNTIFS('Weekly Log'!$H:$H,"&lt;&gt;",'Weekly Log'!$A:$A,"&gt;="&amp;$J1134,'Weekly Log'!$A:$A,"&lt;"&amp;$J1134+7),0))</f>
        <v/>
      </c>
      <c r="E1134" t="str">
        <f>IF($J1134="","",IFERROR(AVERAGEIFS('Weekly Log'!$F:$F,'Weekly Log'!$A:$A,"&gt;="&amp;$J1134,'Weekly Log'!$A:$A,"&lt;"&amp;$J1134+7),0))</f>
        <v/>
      </c>
      <c r="F1134" t="str">
        <f>IF($J1134="","",IFERROR(SUMIFS('Weekly Log'!$F:$F,'Weekly Log'!$A:$A,"&gt;="&amp;$J1134,'Weekly Log'!$A:$A,"&lt;"&amp;$J1134+7)/SUMIFS('Weekly Log'!$E:$E,'Weekly Log'!$A:$A,"&gt;="&amp;$J1134,'Weekly Log'!$A:$A,"&lt;"&amp;$J1134+7),0))</f>
        <v/>
      </c>
      <c r="G1134" t="str">
        <f>IF($J1134="","",IFERROR(LOOKUP(2,1/(('Weekly Log'!$A$5:$A$5000&gt;=$J1134)*('Weekly Log'!$A$5:$A$5000&lt;$J1134+7)*('Weekly Log'!$M$5:$M$5000&lt;&gt;"")),'Weekly Log'!$M$5:$M$5000),0))</f>
        <v/>
      </c>
      <c r="J1134" t="str">
        <f>IF(COUNT('Weekly Log'!$A$5:$A$5000)=0,"",IF(MIN('Weekly Log'!$A$5:$A$5000)+7*(ROW()-10)&gt;MAX('Weekly Log'!$A$5:$A$5000),"",MIN('Weekly Log'!$A$5:$A$5000)+7*(ROW()-10)))</f>
        <v/>
      </c>
    </row>
    <row r="1135" spans="1:10" x14ac:dyDescent="0.25">
      <c r="A1135" t="str">
        <f t="shared" si="17"/>
        <v/>
      </c>
      <c r="B1135" t="str">
        <f>IF($J1135="","",SUMIFS('Weekly Log'!$C:$C,'Weekly Log'!$A:$A,"&gt;="&amp;$J1135,'Weekly Log'!$A:$A,"&lt;"&amp;$J1135+7))</f>
        <v/>
      </c>
      <c r="C1135" t="str">
        <f>IF($J1135="","",IFERROR(COUNTIFS('Weekly Log'!$G:$G,"Y",'Weekly Log'!$A:$A,"&gt;="&amp;$J1135,'Weekly Log'!$A:$A,"&lt;"&amp;$J1135+7)/COUNTIFS('Weekly Log'!$G:$G,"&lt;&gt;",'Weekly Log'!$A:$A,"&gt;="&amp;$J1135,'Weekly Log'!$A:$A,"&lt;"&amp;$J1135+7),0))</f>
        <v/>
      </c>
      <c r="D1135" t="str">
        <f>IF($J1135="","",IFERROR(COUNTIFS('Weekly Log'!$H:$H,"Y",'Weekly Log'!$A:$A,"&gt;="&amp;$J1135,'Weekly Log'!$A:$A,"&lt;"&amp;$J1135+7)/COUNTIFS('Weekly Log'!$H:$H,"&lt;&gt;",'Weekly Log'!$A:$A,"&gt;="&amp;$J1135,'Weekly Log'!$A:$A,"&lt;"&amp;$J1135+7),0))</f>
        <v/>
      </c>
      <c r="E1135" t="str">
        <f>IF($J1135="","",IFERROR(AVERAGEIFS('Weekly Log'!$F:$F,'Weekly Log'!$A:$A,"&gt;="&amp;$J1135,'Weekly Log'!$A:$A,"&lt;"&amp;$J1135+7),0))</f>
        <v/>
      </c>
      <c r="F1135" t="str">
        <f>IF($J1135="","",IFERROR(SUMIFS('Weekly Log'!$F:$F,'Weekly Log'!$A:$A,"&gt;="&amp;$J1135,'Weekly Log'!$A:$A,"&lt;"&amp;$J1135+7)/SUMIFS('Weekly Log'!$E:$E,'Weekly Log'!$A:$A,"&gt;="&amp;$J1135,'Weekly Log'!$A:$A,"&lt;"&amp;$J1135+7),0))</f>
        <v/>
      </c>
      <c r="G1135" t="str">
        <f>IF($J1135="","",IFERROR(LOOKUP(2,1/(('Weekly Log'!$A$5:$A$5000&gt;=$J1135)*('Weekly Log'!$A$5:$A$5000&lt;$J1135+7)*('Weekly Log'!$M$5:$M$5000&lt;&gt;"")),'Weekly Log'!$M$5:$M$5000),0))</f>
        <v/>
      </c>
      <c r="J1135" t="str">
        <f>IF(COUNT('Weekly Log'!$A$5:$A$5000)=0,"",IF(MIN('Weekly Log'!$A$5:$A$5000)+7*(ROW()-10)&gt;MAX('Weekly Log'!$A$5:$A$5000),"",MIN('Weekly Log'!$A$5:$A$5000)+7*(ROW()-10)))</f>
        <v/>
      </c>
    </row>
    <row r="1136" spans="1:10" x14ac:dyDescent="0.25">
      <c r="A1136" t="str">
        <f t="shared" si="17"/>
        <v/>
      </c>
      <c r="B1136" t="str">
        <f>IF($J1136="","",SUMIFS('Weekly Log'!$C:$C,'Weekly Log'!$A:$A,"&gt;="&amp;$J1136,'Weekly Log'!$A:$A,"&lt;"&amp;$J1136+7))</f>
        <v/>
      </c>
      <c r="C1136" t="str">
        <f>IF($J1136="","",IFERROR(COUNTIFS('Weekly Log'!$G:$G,"Y",'Weekly Log'!$A:$A,"&gt;="&amp;$J1136,'Weekly Log'!$A:$A,"&lt;"&amp;$J1136+7)/COUNTIFS('Weekly Log'!$G:$G,"&lt;&gt;",'Weekly Log'!$A:$A,"&gt;="&amp;$J1136,'Weekly Log'!$A:$A,"&lt;"&amp;$J1136+7),0))</f>
        <v/>
      </c>
      <c r="D1136" t="str">
        <f>IF($J1136="","",IFERROR(COUNTIFS('Weekly Log'!$H:$H,"Y",'Weekly Log'!$A:$A,"&gt;="&amp;$J1136,'Weekly Log'!$A:$A,"&lt;"&amp;$J1136+7)/COUNTIFS('Weekly Log'!$H:$H,"&lt;&gt;",'Weekly Log'!$A:$A,"&gt;="&amp;$J1136,'Weekly Log'!$A:$A,"&lt;"&amp;$J1136+7),0))</f>
        <v/>
      </c>
      <c r="E1136" t="str">
        <f>IF($J1136="","",IFERROR(AVERAGEIFS('Weekly Log'!$F:$F,'Weekly Log'!$A:$A,"&gt;="&amp;$J1136,'Weekly Log'!$A:$A,"&lt;"&amp;$J1136+7),0))</f>
        <v/>
      </c>
      <c r="F1136" t="str">
        <f>IF($J1136="","",IFERROR(SUMIFS('Weekly Log'!$F:$F,'Weekly Log'!$A:$A,"&gt;="&amp;$J1136,'Weekly Log'!$A:$A,"&lt;"&amp;$J1136+7)/SUMIFS('Weekly Log'!$E:$E,'Weekly Log'!$A:$A,"&gt;="&amp;$J1136,'Weekly Log'!$A:$A,"&lt;"&amp;$J1136+7),0))</f>
        <v/>
      </c>
      <c r="G1136" t="str">
        <f>IF($J1136="","",IFERROR(LOOKUP(2,1/(('Weekly Log'!$A$5:$A$5000&gt;=$J1136)*('Weekly Log'!$A$5:$A$5000&lt;$J1136+7)*('Weekly Log'!$M$5:$M$5000&lt;&gt;"")),'Weekly Log'!$M$5:$M$5000),0))</f>
        <v/>
      </c>
      <c r="J1136" t="str">
        <f>IF(COUNT('Weekly Log'!$A$5:$A$5000)=0,"",IF(MIN('Weekly Log'!$A$5:$A$5000)+7*(ROW()-10)&gt;MAX('Weekly Log'!$A$5:$A$5000),"",MIN('Weekly Log'!$A$5:$A$5000)+7*(ROW()-10)))</f>
        <v/>
      </c>
    </row>
    <row r="1137" spans="1:10" x14ac:dyDescent="0.25">
      <c r="A1137" t="str">
        <f t="shared" si="17"/>
        <v/>
      </c>
      <c r="B1137" t="str">
        <f>IF($J1137="","",SUMIFS('Weekly Log'!$C:$C,'Weekly Log'!$A:$A,"&gt;="&amp;$J1137,'Weekly Log'!$A:$A,"&lt;"&amp;$J1137+7))</f>
        <v/>
      </c>
      <c r="C1137" t="str">
        <f>IF($J1137="","",IFERROR(COUNTIFS('Weekly Log'!$G:$G,"Y",'Weekly Log'!$A:$A,"&gt;="&amp;$J1137,'Weekly Log'!$A:$A,"&lt;"&amp;$J1137+7)/COUNTIFS('Weekly Log'!$G:$G,"&lt;&gt;",'Weekly Log'!$A:$A,"&gt;="&amp;$J1137,'Weekly Log'!$A:$A,"&lt;"&amp;$J1137+7),0))</f>
        <v/>
      </c>
      <c r="D1137" t="str">
        <f>IF($J1137="","",IFERROR(COUNTIFS('Weekly Log'!$H:$H,"Y",'Weekly Log'!$A:$A,"&gt;="&amp;$J1137,'Weekly Log'!$A:$A,"&lt;"&amp;$J1137+7)/COUNTIFS('Weekly Log'!$H:$H,"&lt;&gt;",'Weekly Log'!$A:$A,"&gt;="&amp;$J1137,'Weekly Log'!$A:$A,"&lt;"&amp;$J1137+7),0))</f>
        <v/>
      </c>
      <c r="E1137" t="str">
        <f>IF($J1137="","",IFERROR(AVERAGEIFS('Weekly Log'!$F:$F,'Weekly Log'!$A:$A,"&gt;="&amp;$J1137,'Weekly Log'!$A:$A,"&lt;"&amp;$J1137+7),0))</f>
        <v/>
      </c>
      <c r="F1137" t="str">
        <f>IF($J1137="","",IFERROR(SUMIFS('Weekly Log'!$F:$F,'Weekly Log'!$A:$A,"&gt;="&amp;$J1137,'Weekly Log'!$A:$A,"&lt;"&amp;$J1137+7)/SUMIFS('Weekly Log'!$E:$E,'Weekly Log'!$A:$A,"&gt;="&amp;$J1137,'Weekly Log'!$A:$A,"&lt;"&amp;$J1137+7),0))</f>
        <v/>
      </c>
      <c r="G1137" t="str">
        <f>IF($J1137="","",IFERROR(LOOKUP(2,1/(('Weekly Log'!$A$5:$A$5000&gt;=$J1137)*('Weekly Log'!$A$5:$A$5000&lt;$J1137+7)*('Weekly Log'!$M$5:$M$5000&lt;&gt;"")),'Weekly Log'!$M$5:$M$5000),0))</f>
        <v/>
      </c>
      <c r="J1137" t="str">
        <f>IF(COUNT('Weekly Log'!$A$5:$A$5000)=0,"",IF(MIN('Weekly Log'!$A$5:$A$5000)+7*(ROW()-10)&gt;MAX('Weekly Log'!$A$5:$A$5000),"",MIN('Weekly Log'!$A$5:$A$5000)+7*(ROW()-10)))</f>
        <v/>
      </c>
    </row>
    <row r="1138" spans="1:10" x14ac:dyDescent="0.25">
      <c r="A1138" t="str">
        <f t="shared" si="17"/>
        <v/>
      </c>
      <c r="B1138" t="str">
        <f>IF($J1138="","",SUMIFS('Weekly Log'!$C:$C,'Weekly Log'!$A:$A,"&gt;="&amp;$J1138,'Weekly Log'!$A:$A,"&lt;"&amp;$J1138+7))</f>
        <v/>
      </c>
      <c r="C1138" t="str">
        <f>IF($J1138="","",IFERROR(COUNTIFS('Weekly Log'!$G:$G,"Y",'Weekly Log'!$A:$A,"&gt;="&amp;$J1138,'Weekly Log'!$A:$A,"&lt;"&amp;$J1138+7)/COUNTIFS('Weekly Log'!$G:$G,"&lt;&gt;",'Weekly Log'!$A:$A,"&gt;="&amp;$J1138,'Weekly Log'!$A:$A,"&lt;"&amp;$J1138+7),0))</f>
        <v/>
      </c>
      <c r="D1138" t="str">
        <f>IF($J1138="","",IFERROR(COUNTIFS('Weekly Log'!$H:$H,"Y",'Weekly Log'!$A:$A,"&gt;="&amp;$J1138,'Weekly Log'!$A:$A,"&lt;"&amp;$J1138+7)/COUNTIFS('Weekly Log'!$H:$H,"&lt;&gt;",'Weekly Log'!$A:$A,"&gt;="&amp;$J1138,'Weekly Log'!$A:$A,"&lt;"&amp;$J1138+7),0))</f>
        <v/>
      </c>
      <c r="E1138" t="str">
        <f>IF($J1138="","",IFERROR(AVERAGEIFS('Weekly Log'!$F:$F,'Weekly Log'!$A:$A,"&gt;="&amp;$J1138,'Weekly Log'!$A:$A,"&lt;"&amp;$J1138+7),0))</f>
        <v/>
      </c>
      <c r="F1138" t="str">
        <f>IF($J1138="","",IFERROR(SUMIFS('Weekly Log'!$F:$F,'Weekly Log'!$A:$A,"&gt;="&amp;$J1138,'Weekly Log'!$A:$A,"&lt;"&amp;$J1138+7)/SUMIFS('Weekly Log'!$E:$E,'Weekly Log'!$A:$A,"&gt;="&amp;$J1138,'Weekly Log'!$A:$A,"&lt;"&amp;$J1138+7),0))</f>
        <v/>
      </c>
      <c r="G1138" t="str">
        <f>IF($J1138="","",IFERROR(LOOKUP(2,1/(('Weekly Log'!$A$5:$A$5000&gt;=$J1138)*('Weekly Log'!$A$5:$A$5000&lt;$J1138+7)*('Weekly Log'!$M$5:$M$5000&lt;&gt;"")),'Weekly Log'!$M$5:$M$5000),0))</f>
        <v/>
      </c>
      <c r="J1138" t="str">
        <f>IF(COUNT('Weekly Log'!$A$5:$A$5000)=0,"",IF(MIN('Weekly Log'!$A$5:$A$5000)+7*(ROW()-10)&gt;MAX('Weekly Log'!$A$5:$A$5000),"",MIN('Weekly Log'!$A$5:$A$5000)+7*(ROW()-10)))</f>
        <v/>
      </c>
    </row>
    <row r="1139" spans="1:10" x14ac:dyDescent="0.25">
      <c r="A1139" t="str">
        <f t="shared" si="17"/>
        <v/>
      </c>
      <c r="B1139" t="str">
        <f>IF($J1139="","",SUMIFS('Weekly Log'!$C:$C,'Weekly Log'!$A:$A,"&gt;="&amp;$J1139,'Weekly Log'!$A:$A,"&lt;"&amp;$J1139+7))</f>
        <v/>
      </c>
      <c r="C1139" t="str">
        <f>IF($J1139="","",IFERROR(COUNTIFS('Weekly Log'!$G:$G,"Y",'Weekly Log'!$A:$A,"&gt;="&amp;$J1139,'Weekly Log'!$A:$A,"&lt;"&amp;$J1139+7)/COUNTIFS('Weekly Log'!$G:$G,"&lt;&gt;",'Weekly Log'!$A:$A,"&gt;="&amp;$J1139,'Weekly Log'!$A:$A,"&lt;"&amp;$J1139+7),0))</f>
        <v/>
      </c>
      <c r="D1139" t="str">
        <f>IF($J1139="","",IFERROR(COUNTIFS('Weekly Log'!$H:$H,"Y",'Weekly Log'!$A:$A,"&gt;="&amp;$J1139,'Weekly Log'!$A:$A,"&lt;"&amp;$J1139+7)/COUNTIFS('Weekly Log'!$H:$H,"&lt;&gt;",'Weekly Log'!$A:$A,"&gt;="&amp;$J1139,'Weekly Log'!$A:$A,"&lt;"&amp;$J1139+7),0))</f>
        <v/>
      </c>
      <c r="E1139" t="str">
        <f>IF($J1139="","",IFERROR(AVERAGEIFS('Weekly Log'!$F:$F,'Weekly Log'!$A:$A,"&gt;="&amp;$J1139,'Weekly Log'!$A:$A,"&lt;"&amp;$J1139+7),0))</f>
        <v/>
      </c>
      <c r="F1139" t="str">
        <f>IF($J1139="","",IFERROR(SUMIFS('Weekly Log'!$F:$F,'Weekly Log'!$A:$A,"&gt;="&amp;$J1139,'Weekly Log'!$A:$A,"&lt;"&amp;$J1139+7)/SUMIFS('Weekly Log'!$E:$E,'Weekly Log'!$A:$A,"&gt;="&amp;$J1139,'Weekly Log'!$A:$A,"&lt;"&amp;$J1139+7),0))</f>
        <v/>
      </c>
      <c r="G1139" t="str">
        <f>IF($J1139="","",IFERROR(LOOKUP(2,1/(('Weekly Log'!$A$5:$A$5000&gt;=$J1139)*('Weekly Log'!$A$5:$A$5000&lt;$J1139+7)*('Weekly Log'!$M$5:$M$5000&lt;&gt;"")),'Weekly Log'!$M$5:$M$5000),0))</f>
        <v/>
      </c>
      <c r="J1139" t="str">
        <f>IF(COUNT('Weekly Log'!$A$5:$A$5000)=0,"",IF(MIN('Weekly Log'!$A$5:$A$5000)+7*(ROW()-10)&gt;MAX('Weekly Log'!$A$5:$A$5000),"",MIN('Weekly Log'!$A$5:$A$5000)+7*(ROW()-10)))</f>
        <v/>
      </c>
    </row>
    <row r="1140" spans="1:10" x14ac:dyDescent="0.25">
      <c r="A1140" t="str">
        <f t="shared" si="17"/>
        <v/>
      </c>
      <c r="B1140" t="str">
        <f>IF($J1140="","",SUMIFS('Weekly Log'!$C:$C,'Weekly Log'!$A:$A,"&gt;="&amp;$J1140,'Weekly Log'!$A:$A,"&lt;"&amp;$J1140+7))</f>
        <v/>
      </c>
      <c r="C1140" t="str">
        <f>IF($J1140="","",IFERROR(COUNTIFS('Weekly Log'!$G:$G,"Y",'Weekly Log'!$A:$A,"&gt;="&amp;$J1140,'Weekly Log'!$A:$A,"&lt;"&amp;$J1140+7)/COUNTIFS('Weekly Log'!$G:$G,"&lt;&gt;",'Weekly Log'!$A:$A,"&gt;="&amp;$J1140,'Weekly Log'!$A:$A,"&lt;"&amp;$J1140+7),0))</f>
        <v/>
      </c>
      <c r="D1140" t="str">
        <f>IF($J1140="","",IFERROR(COUNTIFS('Weekly Log'!$H:$H,"Y",'Weekly Log'!$A:$A,"&gt;="&amp;$J1140,'Weekly Log'!$A:$A,"&lt;"&amp;$J1140+7)/COUNTIFS('Weekly Log'!$H:$H,"&lt;&gt;",'Weekly Log'!$A:$A,"&gt;="&amp;$J1140,'Weekly Log'!$A:$A,"&lt;"&amp;$J1140+7),0))</f>
        <v/>
      </c>
      <c r="E1140" t="str">
        <f>IF($J1140="","",IFERROR(AVERAGEIFS('Weekly Log'!$F:$F,'Weekly Log'!$A:$A,"&gt;="&amp;$J1140,'Weekly Log'!$A:$A,"&lt;"&amp;$J1140+7),0))</f>
        <v/>
      </c>
      <c r="F1140" t="str">
        <f>IF($J1140="","",IFERROR(SUMIFS('Weekly Log'!$F:$F,'Weekly Log'!$A:$A,"&gt;="&amp;$J1140,'Weekly Log'!$A:$A,"&lt;"&amp;$J1140+7)/SUMIFS('Weekly Log'!$E:$E,'Weekly Log'!$A:$A,"&gt;="&amp;$J1140,'Weekly Log'!$A:$A,"&lt;"&amp;$J1140+7),0))</f>
        <v/>
      </c>
      <c r="G1140" t="str">
        <f>IF($J1140="","",IFERROR(LOOKUP(2,1/(('Weekly Log'!$A$5:$A$5000&gt;=$J1140)*('Weekly Log'!$A$5:$A$5000&lt;$J1140+7)*('Weekly Log'!$M$5:$M$5000&lt;&gt;"")),'Weekly Log'!$M$5:$M$5000),0))</f>
        <v/>
      </c>
      <c r="J1140" t="str">
        <f>IF(COUNT('Weekly Log'!$A$5:$A$5000)=0,"",IF(MIN('Weekly Log'!$A$5:$A$5000)+7*(ROW()-10)&gt;MAX('Weekly Log'!$A$5:$A$5000),"",MIN('Weekly Log'!$A$5:$A$5000)+7*(ROW()-10)))</f>
        <v/>
      </c>
    </row>
    <row r="1141" spans="1:10" x14ac:dyDescent="0.25">
      <c r="A1141" t="str">
        <f t="shared" si="17"/>
        <v/>
      </c>
      <c r="B1141" t="str">
        <f>IF($J1141="","",SUMIFS('Weekly Log'!$C:$C,'Weekly Log'!$A:$A,"&gt;="&amp;$J1141,'Weekly Log'!$A:$A,"&lt;"&amp;$J1141+7))</f>
        <v/>
      </c>
      <c r="C1141" t="str">
        <f>IF($J1141="","",IFERROR(COUNTIFS('Weekly Log'!$G:$G,"Y",'Weekly Log'!$A:$A,"&gt;="&amp;$J1141,'Weekly Log'!$A:$A,"&lt;"&amp;$J1141+7)/COUNTIFS('Weekly Log'!$G:$G,"&lt;&gt;",'Weekly Log'!$A:$A,"&gt;="&amp;$J1141,'Weekly Log'!$A:$A,"&lt;"&amp;$J1141+7),0))</f>
        <v/>
      </c>
      <c r="D1141" t="str">
        <f>IF($J1141="","",IFERROR(COUNTIFS('Weekly Log'!$H:$H,"Y",'Weekly Log'!$A:$A,"&gt;="&amp;$J1141,'Weekly Log'!$A:$A,"&lt;"&amp;$J1141+7)/COUNTIFS('Weekly Log'!$H:$H,"&lt;&gt;",'Weekly Log'!$A:$A,"&gt;="&amp;$J1141,'Weekly Log'!$A:$A,"&lt;"&amp;$J1141+7),0))</f>
        <v/>
      </c>
      <c r="E1141" t="str">
        <f>IF($J1141="","",IFERROR(AVERAGEIFS('Weekly Log'!$F:$F,'Weekly Log'!$A:$A,"&gt;="&amp;$J1141,'Weekly Log'!$A:$A,"&lt;"&amp;$J1141+7),0))</f>
        <v/>
      </c>
      <c r="F1141" t="str">
        <f>IF($J1141="","",IFERROR(SUMIFS('Weekly Log'!$F:$F,'Weekly Log'!$A:$A,"&gt;="&amp;$J1141,'Weekly Log'!$A:$A,"&lt;"&amp;$J1141+7)/SUMIFS('Weekly Log'!$E:$E,'Weekly Log'!$A:$A,"&gt;="&amp;$J1141,'Weekly Log'!$A:$A,"&lt;"&amp;$J1141+7),0))</f>
        <v/>
      </c>
      <c r="G1141" t="str">
        <f>IF($J1141="","",IFERROR(LOOKUP(2,1/(('Weekly Log'!$A$5:$A$5000&gt;=$J1141)*('Weekly Log'!$A$5:$A$5000&lt;$J1141+7)*('Weekly Log'!$M$5:$M$5000&lt;&gt;"")),'Weekly Log'!$M$5:$M$5000),0))</f>
        <v/>
      </c>
      <c r="J1141" t="str">
        <f>IF(COUNT('Weekly Log'!$A$5:$A$5000)=0,"",IF(MIN('Weekly Log'!$A$5:$A$5000)+7*(ROW()-10)&gt;MAX('Weekly Log'!$A$5:$A$5000),"",MIN('Weekly Log'!$A$5:$A$5000)+7*(ROW()-10)))</f>
        <v/>
      </c>
    </row>
    <row r="1142" spans="1:10" x14ac:dyDescent="0.25">
      <c r="A1142" t="str">
        <f t="shared" si="17"/>
        <v/>
      </c>
      <c r="B1142" t="str">
        <f>IF($J1142="","",SUMIFS('Weekly Log'!$C:$C,'Weekly Log'!$A:$A,"&gt;="&amp;$J1142,'Weekly Log'!$A:$A,"&lt;"&amp;$J1142+7))</f>
        <v/>
      </c>
      <c r="C1142" t="str">
        <f>IF($J1142="","",IFERROR(COUNTIFS('Weekly Log'!$G:$G,"Y",'Weekly Log'!$A:$A,"&gt;="&amp;$J1142,'Weekly Log'!$A:$A,"&lt;"&amp;$J1142+7)/COUNTIFS('Weekly Log'!$G:$G,"&lt;&gt;",'Weekly Log'!$A:$A,"&gt;="&amp;$J1142,'Weekly Log'!$A:$A,"&lt;"&amp;$J1142+7),0))</f>
        <v/>
      </c>
      <c r="D1142" t="str">
        <f>IF($J1142="","",IFERROR(COUNTIFS('Weekly Log'!$H:$H,"Y",'Weekly Log'!$A:$A,"&gt;="&amp;$J1142,'Weekly Log'!$A:$A,"&lt;"&amp;$J1142+7)/COUNTIFS('Weekly Log'!$H:$H,"&lt;&gt;",'Weekly Log'!$A:$A,"&gt;="&amp;$J1142,'Weekly Log'!$A:$A,"&lt;"&amp;$J1142+7),0))</f>
        <v/>
      </c>
      <c r="E1142" t="str">
        <f>IF($J1142="","",IFERROR(AVERAGEIFS('Weekly Log'!$F:$F,'Weekly Log'!$A:$A,"&gt;="&amp;$J1142,'Weekly Log'!$A:$A,"&lt;"&amp;$J1142+7),0))</f>
        <v/>
      </c>
      <c r="F1142" t="str">
        <f>IF($J1142="","",IFERROR(SUMIFS('Weekly Log'!$F:$F,'Weekly Log'!$A:$A,"&gt;="&amp;$J1142,'Weekly Log'!$A:$A,"&lt;"&amp;$J1142+7)/SUMIFS('Weekly Log'!$E:$E,'Weekly Log'!$A:$A,"&gt;="&amp;$J1142,'Weekly Log'!$A:$A,"&lt;"&amp;$J1142+7),0))</f>
        <v/>
      </c>
      <c r="G1142" t="str">
        <f>IF($J1142="","",IFERROR(LOOKUP(2,1/(('Weekly Log'!$A$5:$A$5000&gt;=$J1142)*('Weekly Log'!$A$5:$A$5000&lt;$J1142+7)*('Weekly Log'!$M$5:$M$5000&lt;&gt;"")),'Weekly Log'!$M$5:$M$5000),0))</f>
        <v/>
      </c>
      <c r="J1142" t="str">
        <f>IF(COUNT('Weekly Log'!$A$5:$A$5000)=0,"",IF(MIN('Weekly Log'!$A$5:$A$5000)+7*(ROW()-10)&gt;MAX('Weekly Log'!$A$5:$A$5000),"",MIN('Weekly Log'!$A$5:$A$5000)+7*(ROW()-10)))</f>
        <v/>
      </c>
    </row>
    <row r="1143" spans="1:10" x14ac:dyDescent="0.25">
      <c r="A1143" t="str">
        <f t="shared" si="17"/>
        <v/>
      </c>
      <c r="B1143" t="str">
        <f>IF($J1143="","",SUMIFS('Weekly Log'!$C:$C,'Weekly Log'!$A:$A,"&gt;="&amp;$J1143,'Weekly Log'!$A:$A,"&lt;"&amp;$J1143+7))</f>
        <v/>
      </c>
      <c r="C1143" t="str">
        <f>IF($J1143="","",IFERROR(COUNTIFS('Weekly Log'!$G:$G,"Y",'Weekly Log'!$A:$A,"&gt;="&amp;$J1143,'Weekly Log'!$A:$A,"&lt;"&amp;$J1143+7)/COUNTIFS('Weekly Log'!$G:$G,"&lt;&gt;",'Weekly Log'!$A:$A,"&gt;="&amp;$J1143,'Weekly Log'!$A:$A,"&lt;"&amp;$J1143+7),0))</f>
        <v/>
      </c>
      <c r="D1143" t="str">
        <f>IF($J1143="","",IFERROR(COUNTIFS('Weekly Log'!$H:$H,"Y",'Weekly Log'!$A:$A,"&gt;="&amp;$J1143,'Weekly Log'!$A:$A,"&lt;"&amp;$J1143+7)/COUNTIFS('Weekly Log'!$H:$H,"&lt;&gt;",'Weekly Log'!$A:$A,"&gt;="&amp;$J1143,'Weekly Log'!$A:$A,"&lt;"&amp;$J1143+7),0))</f>
        <v/>
      </c>
      <c r="E1143" t="str">
        <f>IF($J1143="","",IFERROR(AVERAGEIFS('Weekly Log'!$F:$F,'Weekly Log'!$A:$A,"&gt;="&amp;$J1143,'Weekly Log'!$A:$A,"&lt;"&amp;$J1143+7),0))</f>
        <v/>
      </c>
      <c r="F1143" t="str">
        <f>IF($J1143="","",IFERROR(SUMIFS('Weekly Log'!$F:$F,'Weekly Log'!$A:$A,"&gt;="&amp;$J1143,'Weekly Log'!$A:$A,"&lt;"&amp;$J1143+7)/SUMIFS('Weekly Log'!$E:$E,'Weekly Log'!$A:$A,"&gt;="&amp;$J1143,'Weekly Log'!$A:$A,"&lt;"&amp;$J1143+7),0))</f>
        <v/>
      </c>
      <c r="G1143" t="str">
        <f>IF($J1143="","",IFERROR(LOOKUP(2,1/(('Weekly Log'!$A$5:$A$5000&gt;=$J1143)*('Weekly Log'!$A$5:$A$5000&lt;$J1143+7)*('Weekly Log'!$M$5:$M$5000&lt;&gt;"")),'Weekly Log'!$M$5:$M$5000),0))</f>
        <v/>
      </c>
      <c r="J1143" t="str">
        <f>IF(COUNT('Weekly Log'!$A$5:$A$5000)=0,"",IF(MIN('Weekly Log'!$A$5:$A$5000)+7*(ROW()-10)&gt;MAX('Weekly Log'!$A$5:$A$5000),"",MIN('Weekly Log'!$A$5:$A$5000)+7*(ROW()-10)))</f>
        <v/>
      </c>
    </row>
    <row r="1144" spans="1:10" x14ac:dyDescent="0.25">
      <c r="A1144" t="str">
        <f t="shared" si="17"/>
        <v/>
      </c>
      <c r="B1144" t="str">
        <f>IF($J1144="","",SUMIFS('Weekly Log'!$C:$C,'Weekly Log'!$A:$A,"&gt;="&amp;$J1144,'Weekly Log'!$A:$A,"&lt;"&amp;$J1144+7))</f>
        <v/>
      </c>
      <c r="C1144" t="str">
        <f>IF($J1144="","",IFERROR(COUNTIFS('Weekly Log'!$G:$G,"Y",'Weekly Log'!$A:$A,"&gt;="&amp;$J1144,'Weekly Log'!$A:$A,"&lt;"&amp;$J1144+7)/COUNTIFS('Weekly Log'!$G:$G,"&lt;&gt;",'Weekly Log'!$A:$A,"&gt;="&amp;$J1144,'Weekly Log'!$A:$A,"&lt;"&amp;$J1144+7),0))</f>
        <v/>
      </c>
      <c r="D1144" t="str">
        <f>IF($J1144="","",IFERROR(COUNTIFS('Weekly Log'!$H:$H,"Y",'Weekly Log'!$A:$A,"&gt;="&amp;$J1144,'Weekly Log'!$A:$A,"&lt;"&amp;$J1144+7)/COUNTIFS('Weekly Log'!$H:$H,"&lt;&gt;",'Weekly Log'!$A:$A,"&gt;="&amp;$J1144,'Weekly Log'!$A:$A,"&lt;"&amp;$J1144+7),0))</f>
        <v/>
      </c>
      <c r="E1144" t="str">
        <f>IF($J1144="","",IFERROR(AVERAGEIFS('Weekly Log'!$F:$F,'Weekly Log'!$A:$A,"&gt;="&amp;$J1144,'Weekly Log'!$A:$A,"&lt;"&amp;$J1144+7),0))</f>
        <v/>
      </c>
      <c r="F1144" t="str">
        <f>IF($J1144="","",IFERROR(SUMIFS('Weekly Log'!$F:$F,'Weekly Log'!$A:$A,"&gt;="&amp;$J1144,'Weekly Log'!$A:$A,"&lt;"&amp;$J1144+7)/SUMIFS('Weekly Log'!$E:$E,'Weekly Log'!$A:$A,"&gt;="&amp;$J1144,'Weekly Log'!$A:$A,"&lt;"&amp;$J1144+7),0))</f>
        <v/>
      </c>
      <c r="G1144" t="str">
        <f>IF($J1144="","",IFERROR(LOOKUP(2,1/(('Weekly Log'!$A$5:$A$5000&gt;=$J1144)*('Weekly Log'!$A$5:$A$5000&lt;$J1144+7)*('Weekly Log'!$M$5:$M$5000&lt;&gt;"")),'Weekly Log'!$M$5:$M$5000),0))</f>
        <v/>
      </c>
      <c r="J1144" t="str">
        <f>IF(COUNT('Weekly Log'!$A$5:$A$5000)=0,"",IF(MIN('Weekly Log'!$A$5:$A$5000)+7*(ROW()-10)&gt;MAX('Weekly Log'!$A$5:$A$5000),"",MIN('Weekly Log'!$A$5:$A$5000)+7*(ROW()-10)))</f>
        <v/>
      </c>
    </row>
    <row r="1145" spans="1:10" x14ac:dyDescent="0.25">
      <c r="A1145" t="str">
        <f t="shared" si="17"/>
        <v/>
      </c>
      <c r="B1145" t="str">
        <f>IF($J1145="","",SUMIFS('Weekly Log'!$C:$C,'Weekly Log'!$A:$A,"&gt;="&amp;$J1145,'Weekly Log'!$A:$A,"&lt;"&amp;$J1145+7))</f>
        <v/>
      </c>
      <c r="C1145" t="str">
        <f>IF($J1145="","",IFERROR(COUNTIFS('Weekly Log'!$G:$G,"Y",'Weekly Log'!$A:$A,"&gt;="&amp;$J1145,'Weekly Log'!$A:$A,"&lt;"&amp;$J1145+7)/COUNTIFS('Weekly Log'!$G:$G,"&lt;&gt;",'Weekly Log'!$A:$A,"&gt;="&amp;$J1145,'Weekly Log'!$A:$A,"&lt;"&amp;$J1145+7),0))</f>
        <v/>
      </c>
      <c r="D1145" t="str">
        <f>IF($J1145="","",IFERROR(COUNTIFS('Weekly Log'!$H:$H,"Y",'Weekly Log'!$A:$A,"&gt;="&amp;$J1145,'Weekly Log'!$A:$A,"&lt;"&amp;$J1145+7)/COUNTIFS('Weekly Log'!$H:$H,"&lt;&gt;",'Weekly Log'!$A:$A,"&gt;="&amp;$J1145,'Weekly Log'!$A:$A,"&lt;"&amp;$J1145+7),0))</f>
        <v/>
      </c>
      <c r="E1145" t="str">
        <f>IF($J1145="","",IFERROR(AVERAGEIFS('Weekly Log'!$F:$F,'Weekly Log'!$A:$A,"&gt;="&amp;$J1145,'Weekly Log'!$A:$A,"&lt;"&amp;$J1145+7),0))</f>
        <v/>
      </c>
      <c r="F1145" t="str">
        <f>IF($J1145="","",IFERROR(SUMIFS('Weekly Log'!$F:$F,'Weekly Log'!$A:$A,"&gt;="&amp;$J1145,'Weekly Log'!$A:$A,"&lt;"&amp;$J1145+7)/SUMIFS('Weekly Log'!$E:$E,'Weekly Log'!$A:$A,"&gt;="&amp;$J1145,'Weekly Log'!$A:$A,"&lt;"&amp;$J1145+7),0))</f>
        <v/>
      </c>
      <c r="G1145" t="str">
        <f>IF($J1145="","",IFERROR(LOOKUP(2,1/(('Weekly Log'!$A$5:$A$5000&gt;=$J1145)*('Weekly Log'!$A$5:$A$5000&lt;$J1145+7)*('Weekly Log'!$M$5:$M$5000&lt;&gt;"")),'Weekly Log'!$M$5:$M$5000),0))</f>
        <v/>
      </c>
      <c r="J1145" t="str">
        <f>IF(COUNT('Weekly Log'!$A$5:$A$5000)=0,"",IF(MIN('Weekly Log'!$A$5:$A$5000)+7*(ROW()-10)&gt;MAX('Weekly Log'!$A$5:$A$5000),"",MIN('Weekly Log'!$A$5:$A$5000)+7*(ROW()-10)))</f>
        <v/>
      </c>
    </row>
    <row r="1146" spans="1:10" x14ac:dyDescent="0.25">
      <c r="A1146" t="str">
        <f t="shared" si="17"/>
        <v/>
      </c>
      <c r="B1146" t="str">
        <f>IF($J1146="","",SUMIFS('Weekly Log'!$C:$C,'Weekly Log'!$A:$A,"&gt;="&amp;$J1146,'Weekly Log'!$A:$A,"&lt;"&amp;$J1146+7))</f>
        <v/>
      </c>
      <c r="C1146" t="str">
        <f>IF($J1146="","",IFERROR(COUNTIFS('Weekly Log'!$G:$G,"Y",'Weekly Log'!$A:$A,"&gt;="&amp;$J1146,'Weekly Log'!$A:$A,"&lt;"&amp;$J1146+7)/COUNTIFS('Weekly Log'!$G:$G,"&lt;&gt;",'Weekly Log'!$A:$A,"&gt;="&amp;$J1146,'Weekly Log'!$A:$A,"&lt;"&amp;$J1146+7),0))</f>
        <v/>
      </c>
      <c r="D1146" t="str">
        <f>IF($J1146="","",IFERROR(COUNTIFS('Weekly Log'!$H:$H,"Y",'Weekly Log'!$A:$A,"&gt;="&amp;$J1146,'Weekly Log'!$A:$A,"&lt;"&amp;$J1146+7)/COUNTIFS('Weekly Log'!$H:$H,"&lt;&gt;",'Weekly Log'!$A:$A,"&gt;="&amp;$J1146,'Weekly Log'!$A:$A,"&lt;"&amp;$J1146+7),0))</f>
        <v/>
      </c>
      <c r="E1146" t="str">
        <f>IF($J1146="","",IFERROR(AVERAGEIFS('Weekly Log'!$F:$F,'Weekly Log'!$A:$A,"&gt;="&amp;$J1146,'Weekly Log'!$A:$A,"&lt;"&amp;$J1146+7),0))</f>
        <v/>
      </c>
      <c r="F1146" t="str">
        <f>IF($J1146="","",IFERROR(SUMIFS('Weekly Log'!$F:$F,'Weekly Log'!$A:$A,"&gt;="&amp;$J1146,'Weekly Log'!$A:$A,"&lt;"&amp;$J1146+7)/SUMIFS('Weekly Log'!$E:$E,'Weekly Log'!$A:$A,"&gt;="&amp;$J1146,'Weekly Log'!$A:$A,"&lt;"&amp;$J1146+7),0))</f>
        <v/>
      </c>
      <c r="G1146" t="str">
        <f>IF($J1146="","",IFERROR(LOOKUP(2,1/(('Weekly Log'!$A$5:$A$5000&gt;=$J1146)*('Weekly Log'!$A$5:$A$5000&lt;$J1146+7)*('Weekly Log'!$M$5:$M$5000&lt;&gt;"")),'Weekly Log'!$M$5:$M$5000),0))</f>
        <v/>
      </c>
      <c r="J1146" t="str">
        <f>IF(COUNT('Weekly Log'!$A$5:$A$5000)=0,"",IF(MIN('Weekly Log'!$A$5:$A$5000)+7*(ROW()-10)&gt;MAX('Weekly Log'!$A$5:$A$5000),"",MIN('Weekly Log'!$A$5:$A$5000)+7*(ROW()-10)))</f>
        <v/>
      </c>
    </row>
    <row r="1147" spans="1:10" x14ac:dyDescent="0.25">
      <c r="A1147" t="str">
        <f t="shared" si="17"/>
        <v/>
      </c>
      <c r="B1147" t="str">
        <f>IF($J1147="","",SUMIFS('Weekly Log'!$C:$C,'Weekly Log'!$A:$A,"&gt;="&amp;$J1147,'Weekly Log'!$A:$A,"&lt;"&amp;$J1147+7))</f>
        <v/>
      </c>
      <c r="C1147" t="str">
        <f>IF($J1147="","",IFERROR(COUNTIFS('Weekly Log'!$G:$G,"Y",'Weekly Log'!$A:$A,"&gt;="&amp;$J1147,'Weekly Log'!$A:$A,"&lt;"&amp;$J1147+7)/COUNTIFS('Weekly Log'!$G:$G,"&lt;&gt;",'Weekly Log'!$A:$A,"&gt;="&amp;$J1147,'Weekly Log'!$A:$A,"&lt;"&amp;$J1147+7),0))</f>
        <v/>
      </c>
      <c r="D1147" t="str">
        <f>IF($J1147="","",IFERROR(COUNTIFS('Weekly Log'!$H:$H,"Y",'Weekly Log'!$A:$A,"&gt;="&amp;$J1147,'Weekly Log'!$A:$A,"&lt;"&amp;$J1147+7)/COUNTIFS('Weekly Log'!$H:$H,"&lt;&gt;",'Weekly Log'!$A:$A,"&gt;="&amp;$J1147,'Weekly Log'!$A:$A,"&lt;"&amp;$J1147+7),0))</f>
        <v/>
      </c>
      <c r="E1147" t="str">
        <f>IF($J1147="","",IFERROR(AVERAGEIFS('Weekly Log'!$F:$F,'Weekly Log'!$A:$A,"&gt;="&amp;$J1147,'Weekly Log'!$A:$A,"&lt;"&amp;$J1147+7),0))</f>
        <v/>
      </c>
      <c r="F1147" t="str">
        <f>IF($J1147="","",IFERROR(SUMIFS('Weekly Log'!$F:$F,'Weekly Log'!$A:$A,"&gt;="&amp;$J1147,'Weekly Log'!$A:$A,"&lt;"&amp;$J1147+7)/SUMIFS('Weekly Log'!$E:$E,'Weekly Log'!$A:$A,"&gt;="&amp;$J1147,'Weekly Log'!$A:$A,"&lt;"&amp;$J1147+7),0))</f>
        <v/>
      </c>
      <c r="G1147" t="str">
        <f>IF($J1147="","",IFERROR(LOOKUP(2,1/(('Weekly Log'!$A$5:$A$5000&gt;=$J1147)*('Weekly Log'!$A$5:$A$5000&lt;$J1147+7)*('Weekly Log'!$M$5:$M$5000&lt;&gt;"")),'Weekly Log'!$M$5:$M$5000),0))</f>
        <v/>
      </c>
      <c r="J1147" t="str">
        <f>IF(COUNT('Weekly Log'!$A$5:$A$5000)=0,"",IF(MIN('Weekly Log'!$A$5:$A$5000)+7*(ROW()-10)&gt;MAX('Weekly Log'!$A$5:$A$5000),"",MIN('Weekly Log'!$A$5:$A$5000)+7*(ROW()-10)))</f>
        <v/>
      </c>
    </row>
    <row r="1148" spans="1:10" x14ac:dyDescent="0.25">
      <c r="A1148" t="str">
        <f t="shared" si="17"/>
        <v/>
      </c>
      <c r="B1148" t="str">
        <f>IF($J1148="","",SUMIFS('Weekly Log'!$C:$C,'Weekly Log'!$A:$A,"&gt;="&amp;$J1148,'Weekly Log'!$A:$A,"&lt;"&amp;$J1148+7))</f>
        <v/>
      </c>
      <c r="C1148" t="str">
        <f>IF($J1148="","",IFERROR(COUNTIFS('Weekly Log'!$G:$G,"Y",'Weekly Log'!$A:$A,"&gt;="&amp;$J1148,'Weekly Log'!$A:$A,"&lt;"&amp;$J1148+7)/COUNTIFS('Weekly Log'!$G:$G,"&lt;&gt;",'Weekly Log'!$A:$A,"&gt;="&amp;$J1148,'Weekly Log'!$A:$A,"&lt;"&amp;$J1148+7),0))</f>
        <v/>
      </c>
      <c r="D1148" t="str">
        <f>IF($J1148="","",IFERROR(COUNTIFS('Weekly Log'!$H:$H,"Y",'Weekly Log'!$A:$A,"&gt;="&amp;$J1148,'Weekly Log'!$A:$A,"&lt;"&amp;$J1148+7)/COUNTIFS('Weekly Log'!$H:$H,"&lt;&gt;",'Weekly Log'!$A:$A,"&gt;="&amp;$J1148,'Weekly Log'!$A:$A,"&lt;"&amp;$J1148+7),0))</f>
        <v/>
      </c>
      <c r="E1148" t="str">
        <f>IF($J1148="","",IFERROR(AVERAGEIFS('Weekly Log'!$F:$F,'Weekly Log'!$A:$A,"&gt;="&amp;$J1148,'Weekly Log'!$A:$A,"&lt;"&amp;$J1148+7),0))</f>
        <v/>
      </c>
      <c r="F1148" t="str">
        <f>IF($J1148="","",IFERROR(SUMIFS('Weekly Log'!$F:$F,'Weekly Log'!$A:$A,"&gt;="&amp;$J1148,'Weekly Log'!$A:$A,"&lt;"&amp;$J1148+7)/SUMIFS('Weekly Log'!$E:$E,'Weekly Log'!$A:$A,"&gt;="&amp;$J1148,'Weekly Log'!$A:$A,"&lt;"&amp;$J1148+7),0))</f>
        <v/>
      </c>
      <c r="G1148" t="str">
        <f>IF($J1148="","",IFERROR(LOOKUP(2,1/(('Weekly Log'!$A$5:$A$5000&gt;=$J1148)*('Weekly Log'!$A$5:$A$5000&lt;$J1148+7)*('Weekly Log'!$M$5:$M$5000&lt;&gt;"")),'Weekly Log'!$M$5:$M$5000),0))</f>
        <v/>
      </c>
      <c r="J1148" t="str">
        <f>IF(COUNT('Weekly Log'!$A$5:$A$5000)=0,"",IF(MIN('Weekly Log'!$A$5:$A$5000)+7*(ROW()-10)&gt;MAX('Weekly Log'!$A$5:$A$5000),"",MIN('Weekly Log'!$A$5:$A$5000)+7*(ROW()-10)))</f>
        <v/>
      </c>
    </row>
    <row r="1149" spans="1:10" x14ac:dyDescent="0.25">
      <c r="A1149" t="str">
        <f t="shared" si="17"/>
        <v/>
      </c>
      <c r="B1149" t="str">
        <f>IF($J1149="","",SUMIFS('Weekly Log'!$C:$C,'Weekly Log'!$A:$A,"&gt;="&amp;$J1149,'Weekly Log'!$A:$A,"&lt;"&amp;$J1149+7))</f>
        <v/>
      </c>
      <c r="C1149" t="str">
        <f>IF($J1149="","",IFERROR(COUNTIFS('Weekly Log'!$G:$G,"Y",'Weekly Log'!$A:$A,"&gt;="&amp;$J1149,'Weekly Log'!$A:$A,"&lt;"&amp;$J1149+7)/COUNTIFS('Weekly Log'!$G:$G,"&lt;&gt;",'Weekly Log'!$A:$A,"&gt;="&amp;$J1149,'Weekly Log'!$A:$A,"&lt;"&amp;$J1149+7),0))</f>
        <v/>
      </c>
      <c r="D1149" t="str">
        <f>IF($J1149="","",IFERROR(COUNTIFS('Weekly Log'!$H:$H,"Y",'Weekly Log'!$A:$A,"&gt;="&amp;$J1149,'Weekly Log'!$A:$A,"&lt;"&amp;$J1149+7)/COUNTIFS('Weekly Log'!$H:$H,"&lt;&gt;",'Weekly Log'!$A:$A,"&gt;="&amp;$J1149,'Weekly Log'!$A:$A,"&lt;"&amp;$J1149+7),0))</f>
        <v/>
      </c>
      <c r="E1149" t="str">
        <f>IF($J1149="","",IFERROR(AVERAGEIFS('Weekly Log'!$F:$F,'Weekly Log'!$A:$A,"&gt;="&amp;$J1149,'Weekly Log'!$A:$A,"&lt;"&amp;$J1149+7),0))</f>
        <v/>
      </c>
      <c r="F1149" t="str">
        <f>IF($J1149="","",IFERROR(SUMIFS('Weekly Log'!$F:$F,'Weekly Log'!$A:$A,"&gt;="&amp;$J1149,'Weekly Log'!$A:$A,"&lt;"&amp;$J1149+7)/SUMIFS('Weekly Log'!$E:$E,'Weekly Log'!$A:$A,"&gt;="&amp;$J1149,'Weekly Log'!$A:$A,"&lt;"&amp;$J1149+7),0))</f>
        <v/>
      </c>
      <c r="G1149" t="str">
        <f>IF($J1149="","",IFERROR(LOOKUP(2,1/(('Weekly Log'!$A$5:$A$5000&gt;=$J1149)*('Weekly Log'!$A$5:$A$5000&lt;$J1149+7)*('Weekly Log'!$M$5:$M$5000&lt;&gt;"")),'Weekly Log'!$M$5:$M$5000),0))</f>
        <v/>
      </c>
      <c r="J1149" t="str">
        <f>IF(COUNT('Weekly Log'!$A$5:$A$5000)=0,"",IF(MIN('Weekly Log'!$A$5:$A$5000)+7*(ROW()-10)&gt;MAX('Weekly Log'!$A$5:$A$5000),"",MIN('Weekly Log'!$A$5:$A$5000)+7*(ROW()-10)))</f>
        <v/>
      </c>
    </row>
    <row r="1150" spans="1:10" x14ac:dyDescent="0.25">
      <c r="A1150" t="str">
        <f t="shared" si="17"/>
        <v/>
      </c>
      <c r="B1150" t="str">
        <f>IF($J1150="","",SUMIFS('Weekly Log'!$C:$C,'Weekly Log'!$A:$A,"&gt;="&amp;$J1150,'Weekly Log'!$A:$A,"&lt;"&amp;$J1150+7))</f>
        <v/>
      </c>
      <c r="C1150" t="str">
        <f>IF($J1150="","",IFERROR(COUNTIFS('Weekly Log'!$G:$G,"Y",'Weekly Log'!$A:$A,"&gt;="&amp;$J1150,'Weekly Log'!$A:$A,"&lt;"&amp;$J1150+7)/COUNTIFS('Weekly Log'!$G:$G,"&lt;&gt;",'Weekly Log'!$A:$A,"&gt;="&amp;$J1150,'Weekly Log'!$A:$A,"&lt;"&amp;$J1150+7),0))</f>
        <v/>
      </c>
      <c r="D1150" t="str">
        <f>IF($J1150="","",IFERROR(COUNTIFS('Weekly Log'!$H:$H,"Y",'Weekly Log'!$A:$A,"&gt;="&amp;$J1150,'Weekly Log'!$A:$A,"&lt;"&amp;$J1150+7)/COUNTIFS('Weekly Log'!$H:$H,"&lt;&gt;",'Weekly Log'!$A:$A,"&gt;="&amp;$J1150,'Weekly Log'!$A:$A,"&lt;"&amp;$J1150+7),0))</f>
        <v/>
      </c>
      <c r="E1150" t="str">
        <f>IF($J1150="","",IFERROR(AVERAGEIFS('Weekly Log'!$F:$F,'Weekly Log'!$A:$A,"&gt;="&amp;$J1150,'Weekly Log'!$A:$A,"&lt;"&amp;$J1150+7),0))</f>
        <v/>
      </c>
      <c r="F1150" t="str">
        <f>IF($J1150="","",IFERROR(SUMIFS('Weekly Log'!$F:$F,'Weekly Log'!$A:$A,"&gt;="&amp;$J1150,'Weekly Log'!$A:$A,"&lt;"&amp;$J1150+7)/SUMIFS('Weekly Log'!$E:$E,'Weekly Log'!$A:$A,"&gt;="&amp;$J1150,'Weekly Log'!$A:$A,"&lt;"&amp;$J1150+7),0))</f>
        <v/>
      </c>
      <c r="G1150" t="str">
        <f>IF($J1150="","",IFERROR(LOOKUP(2,1/(('Weekly Log'!$A$5:$A$5000&gt;=$J1150)*('Weekly Log'!$A$5:$A$5000&lt;$J1150+7)*('Weekly Log'!$M$5:$M$5000&lt;&gt;"")),'Weekly Log'!$M$5:$M$5000),0))</f>
        <v/>
      </c>
      <c r="J1150" t="str">
        <f>IF(COUNT('Weekly Log'!$A$5:$A$5000)=0,"",IF(MIN('Weekly Log'!$A$5:$A$5000)+7*(ROW()-10)&gt;MAX('Weekly Log'!$A$5:$A$5000),"",MIN('Weekly Log'!$A$5:$A$5000)+7*(ROW()-10)))</f>
        <v/>
      </c>
    </row>
    <row r="1151" spans="1:10" x14ac:dyDescent="0.25">
      <c r="A1151" t="str">
        <f t="shared" si="17"/>
        <v/>
      </c>
      <c r="B1151" t="str">
        <f>IF($J1151="","",SUMIFS('Weekly Log'!$C:$C,'Weekly Log'!$A:$A,"&gt;="&amp;$J1151,'Weekly Log'!$A:$A,"&lt;"&amp;$J1151+7))</f>
        <v/>
      </c>
      <c r="C1151" t="str">
        <f>IF($J1151="","",IFERROR(COUNTIFS('Weekly Log'!$G:$G,"Y",'Weekly Log'!$A:$A,"&gt;="&amp;$J1151,'Weekly Log'!$A:$A,"&lt;"&amp;$J1151+7)/COUNTIFS('Weekly Log'!$G:$G,"&lt;&gt;",'Weekly Log'!$A:$A,"&gt;="&amp;$J1151,'Weekly Log'!$A:$A,"&lt;"&amp;$J1151+7),0))</f>
        <v/>
      </c>
      <c r="D1151" t="str">
        <f>IF($J1151="","",IFERROR(COUNTIFS('Weekly Log'!$H:$H,"Y",'Weekly Log'!$A:$A,"&gt;="&amp;$J1151,'Weekly Log'!$A:$A,"&lt;"&amp;$J1151+7)/COUNTIFS('Weekly Log'!$H:$H,"&lt;&gt;",'Weekly Log'!$A:$A,"&gt;="&amp;$J1151,'Weekly Log'!$A:$A,"&lt;"&amp;$J1151+7),0))</f>
        <v/>
      </c>
      <c r="E1151" t="str">
        <f>IF($J1151="","",IFERROR(AVERAGEIFS('Weekly Log'!$F:$F,'Weekly Log'!$A:$A,"&gt;="&amp;$J1151,'Weekly Log'!$A:$A,"&lt;"&amp;$J1151+7),0))</f>
        <v/>
      </c>
      <c r="F1151" t="str">
        <f>IF($J1151="","",IFERROR(SUMIFS('Weekly Log'!$F:$F,'Weekly Log'!$A:$A,"&gt;="&amp;$J1151,'Weekly Log'!$A:$A,"&lt;"&amp;$J1151+7)/SUMIFS('Weekly Log'!$E:$E,'Weekly Log'!$A:$A,"&gt;="&amp;$J1151,'Weekly Log'!$A:$A,"&lt;"&amp;$J1151+7),0))</f>
        <v/>
      </c>
      <c r="G1151" t="str">
        <f>IF($J1151="","",IFERROR(LOOKUP(2,1/(('Weekly Log'!$A$5:$A$5000&gt;=$J1151)*('Weekly Log'!$A$5:$A$5000&lt;$J1151+7)*('Weekly Log'!$M$5:$M$5000&lt;&gt;"")),'Weekly Log'!$M$5:$M$5000),0))</f>
        <v/>
      </c>
      <c r="J1151" t="str">
        <f>IF(COUNT('Weekly Log'!$A$5:$A$5000)=0,"",IF(MIN('Weekly Log'!$A$5:$A$5000)+7*(ROW()-10)&gt;MAX('Weekly Log'!$A$5:$A$5000),"",MIN('Weekly Log'!$A$5:$A$5000)+7*(ROW()-10)))</f>
        <v/>
      </c>
    </row>
    <row r="1152" spans="1:10" x14ac:dyDescent="0.25">
      <c r="A1152" t="str">
        <f t="shared" si="17"/>
        <v/>
      </c>
      <c r="B1152" t="str">
        <f>IF($J1152="","",SUMIFS('Weekly Log'!$C:$C,'Weekly Log'!$A:$A,"&gt;="&amp;$J1152,'Weekly Log'!$A:$A,"&lt;"&amp;$J1152+7))</f>
        <v/>
      </c>
      <c r="C1152" t="str">
        <f>IF($J1152="","",IFERROR(COUNTIFS('Weekly Log'!$G:$G,"Y",'Weekly Log'!$A:$A,"&gt;="&amp;$J1152,'Weekly Log'!$A:$A,"&lt;"&amp;$J1152+7)/COUNTIFS('Weekly Log'!$G:$G,"&lt;&gt;",'Weekly Log'!$A:$A,"&gt;="&amp;$J1152,'Weekly Log'!$A:$A,"&lt;"&amp;$J1152+7),0))</f>
        <v/>
      </c>
      <c r="D1152" t="str">
        <f>IF($J1152="","",IFERROR(COUNTIFS('Weekly Log'!$H:$H,"Y",'Weekly Log'!$A:$A,"&gt;="&amp;$J1152,'Weekly Log'!$A:$A,"&lt;"&amp;$J1152+7)/COUNTIFS('Weekly Log'!$H:$H,"&lt;&gt;",'Weekly Log'!$A:$A,"&gt;="&amp;$J1152,'Weekly Log'!$A:$A,"&lt;"&amp;$J1152+7),0))</f>
        <v/>
      </c>
      <c r="E1152" t="str">
        <f>IF($J1152="","",IFERROR(AVERAGEIFS('Weekly Log'!$F:$F,'Weekly Log'!$A:$A,"&gt;="&amp;$J1152,'Weekly Log'!$A:$A,"&lt;"&amp;$J1152+7),0))</f>
        <v/>
      </c>
      <c r="F1152" t="str">
        <f>IF($J1152="","",IFERROR(SUMIFS('Weekly Log'!$F:$F,'Weekly Log'!$A:$A,"&gt;="&amp;$J1152,'Weekly Log'!$A:$A,"&lt;"&amp;$J1152+7)/SUMIFS('Weekly Log'!$E:$E,'Weekly Log'!$A:$A,"&gt;="&amp;$J1152,'Weekly Log'!$A:$A,"&lt;"&amp;$J1152+7),0))</f>
        <v/>
      </c>
      <c r="G1152" t="str">
        <f>IF($J1152="","",IFERROR(LOOKUP(2,1/(('Weekly Log'!$A$5:$A$5000&gt;=$J1152)*('Weekly Log'!$A$5:$A$5000&lt;$J1152+7)*('Weekly Log'!$M$5:$M$5000&lt;&gt;"")),'Weekly Log'!$M$5:$M$5000),0))</f>
        <v/>
      </c>
      <c r="J1152" t="str">
        <f>IF(COUNT('Weekly Log'!$A$5:$A$5000)=0,"",IF(MIN('Weekly Log'!$A$5:$A$5000)+7*(ROW()-10)&gt;MAX('Weekly Log'!$A$5:$A$5000),"",MIN('Weekly Log'!$A$5:$A$5000)+7*(ROW()-10)))</f>
        <v/>
      </c>
    </row>
    <row r="1153" spans="1:10" x14ac:dyDescent="0.25">
      <c r="A1153" t="str">
        <f t="shared" si="17"/>
        <v/>
      </c>
      <c r="B1153" t="str">
        <f>IF($J1153="","",SUMIFS('Weekly Log'!$C:$C,'Weekly Log'!$A:$A,"&gt;="&amp;$J1153,'Weekly Log'!$A:$A,"&lt;"&amp;$J1153+7))</f>
        <v/>
      </c>
      <c r="C1153" t="str">
        <f>IF($J1153="","",IFERROR(COUNTIFS('Weekly Log'!$G:$G,"Y",'Weekly Log'!$A:$A,"&gt;="&amp;$J1153,'Weekly Log'!$A:$A,"&lt;"&amp;$J1153+7)/COUNTIFS('Weekly Log'!$G:$G,"&lt;&gt;",'Weekly Log'!$A:$A,"&gt;="&amp;$J1153,'Weekly Log'!$A:$A,"&lt;"&amp;$J1153+7),0))</f>
        <v/>
      </c>
      <c r="D1153" t="str">
        <f>IF($J1153="","",IFERROR(COUNTIFS('Weekly Log'!$H:$H,"Y",'Weekly Log'!$A:$A,"&gt;="&amp;$J1153,'Weekly Log'!$A:$A,"&lt;"&amp;$J1153+7)/COUNTIFS('Weekly Log'!$H:$H,"&lt;&gt;",'Weekly Log'!$A:$A,"&gt;="&amp;$J1153,'Weekly Log'!$A:$A,"&lt;"&amp;$J1153+7),0))</f>
        <v/>
      </c>
      <c r="E1153" t="str">
        <f>IF($J1153="","",IFERROR(AVERAGEIFS('Weekly Log'!$F:$F,'Weekly Log'!$A:$A,"&gt;="&amp;$J1153,'Weekly Log'!$A:$A,"&lt;"&amp;$J1153+7),0))</f>
        <v/>
      </c>
      <c r="F1153" t="str">
        <f>IF($J1153="","",IFERROR(SUMIFS('Weekly Log'!$F:$F,'Weekly Log'!$A:$A,"&gt;="&amp;$J1153,'Weekly Log'!$A:$A,"&lt;"&amp;$J1153+7)/SUMIFS('Weekly Log'!$E:$E,'Weekly Log'!$A:$A,"&gt;="&amp;$J1153,'Weekly Log'!$A:$A,"&lt;"&amp;$J1153+7),0))</f>
        <v/>
      </c>
      <c r="G1153" t="str">
        <f>IF($J1153="","",IFERROR(LOOKUP(2,1/(('Weekly Log'!$A$5:$A$5000&gt;=$J1153)*('Weekly Log'!$A$5:$A$5000&lt;$J1153+7)*('Weekly Log'!$M$5:$M$5000&lt;&gt;"")),'Weekly Log'!$M$5:$M$5000),0))</f>
        <v/>
      </c>
      <c r="J1153" t="str">
        <f>IF(COUNT('Weekly Log'!$A$5:$A$5000)=0,"",IF(MIN('Weekly Log'!$A$5:$A$5000)+7*(ROW()-10)&gt;MAX('Weekly Log'!$A$5:$A$5000),"",MIN('Weekly Log'!$A$5:$A$5000)+7*(ROW()-10)))</f>
        <v/>
      </c>
    </row>
    <row r="1154" spans="1:10" x14ac:dyDescent="0.25">
      <c r="A1154" t="str">
        <f t="shared" si="17"/>
        <v/>
      </c>
      <c r="B1154" t="str">
        <f>IF($J1154="","",SUMIFS('Weekly Log'!$C:$C,'Weekly Log'!$A:$A,"&gt;="&amp;$J1154,'Weekly Log'!$A:$A,"&lt;"&amp;$J1154+7))</f>
        <v/>
      </c>
      <c r="C1154" t="str">
        <f>IF($J1154="","",IFERROR(COUNTIFS('Weekly Log'!$G:$G,"Y",'Weekly Log'!$A:$A,"&gt;="&amp;$J1154,'Weekly Log'!$A:$A,"&lt;"&amp;$J1154+7)/COUNTIFS('Weekly Log'!$G:$G,"&lt;&gt;",'Weekly Log'!$A:$A,"&gt;="&amp;$J1154,'Weekly Log'!$A:$A,"&lt;"&amp;$J1154+7),0))</f>
        <v/>
      </c>
      <c r="D1154" t="str">
        <f>IF($J1154="","",IFERROR(COUNTIFS('Weekly Log'!$H:$H,"Y",'Weekly Log'!$A:$A,"&gt;="&amp;$J1154,'Weekly Log'!$A:$A,"&lt;"&amp;$J1154+7)/COUNTIFS('Weekly Log'!$H:$H,"&lt;&gt;",'Weekly Log'!$A:$A,"&gt;="&amp;$J1154,'Weekly Log'!$A:$A,"&lt;"&amp;$J1154+7),0))</f>
        <v/>
      </c>
      <c r="E1154" t="str">
        <f>IF($J1154="","",IFERROR(AVERAGEIFS('Weekly Log'!$F:$F,'Weekly Log'!$A:$A,"&gt;="&amp;$J1154,'Weekly Log'!$A:$A,"&lt;"&amp;$J1154+7),0))</f>
        <v/>
      </c>
      <c r="F1154" t="str">
        <f>IF($J1154="","",IFERROR(SUMIFS('Weekly Log'!$F:$F,'Weekly Log'!$A:$A,"&gt;="&amp;$J1154,'Weekly Log'!$A:$A,"&lt;"&amp;$J1154+7)/SUMIFS('Weekly Log'!$E:$E,'Weekly Log'!$A:$A,"&gt;="&amp;$J1154,'Weekly Log'!$A:$A,"&lt;"&amp;$J1154+7),0))</f>
        <v/>
      </c>
      <c r="G1154" t="str">
        <f>IF($J1154="","",IFERROR(LOOKUP(2,1/(('Weekly Log'!$A$5:$A$5000&gt;=$J1154)*('Weekly Log'!$A$5:$A$5000&lt;$J1154+7)*('Weekly Log'!$M$5:$M$5000&lt;&gt;"")),'Weekly Log'!$M$5:$M$5000),0))</f>
        <v/>
      </c>
      <c r="J1154" t="str">
        <f>IF(COUNT('Weekly Log'!$A$5:$A$5000)=0,"",IF(MIN('Weekly Log'!$A$5:$A$5000)+7*(ROW()-10)&gt;MAX('Weekly Log'!$A$5:$A$5000),"",MIN('Weekly Log'!$A$5:$A$5000)+7*(ROW()-10)))</f>
        <v/>
      </c>
    </row>
    <row r="1155" spans="1:10" x14ac:dyDescent="0.25">
      <c r="A1155" t="str">
        <f t="shared" si="17"/>
        <v/>
      </c>
      <c r="B1155" t="str">
        <f>IF($J1155="","",SUMIFS('Weekly Log'!$C:$C,'Weekly Log'!$A:$A,"&gt;="&amp;$J1155,'Weekly Log'!$A:$A,"&lt;"&amp;$J1155+7))</f>
        <v/>
      </c>
      <c r="C1155" t="str">
        <f>IF($J1155="","",IFERROR(COUNTIFS('Weekly Log'!$G:$G,"Y",'Weekly Log'!$A:$A,"&gt;="&amp;$J1155,'Weekly Log'!$A:$A,"&lt;"&amp;$J1155+7)/COUNTIFS('Weekly Log'!$G:$G,"&lt;&gt;",'Weekly Log'!$A:$A,"&gt;="&amp;$J1155,'Weekly Log'!$A:$A,"&lt;"&amp;$J1155+7),0))</f>
        <v/>
      </c>
      <c r="D1155" t="str">
        <f>IF($J1155="","",IFERROR(COUNTIFS('Weekly Log'!$H:$H,"Y",'Weekly Log'!$A:$A,"&gt;="&amp;$J1155,'Weekly Log'!$A:$A,"&lt;"&amp;$J1155+7)/COUNTIFS('Weekly Log'!$H:$H,"&lt;&gt;",'Weekly Log'!$A:$A,"&gt;="&amp;$J1155,'Weekly Log'!$A:$A,"&lt;"&amp;$J1155+7),0))</f>
        <v/>
      </c>
      <c r="E1155" t="str">
        <f>IF($J1155="","",IFERROR(AVERAGEIFS('Weekly Log'!$F:$F,'Weekly Log'!$A:$A,"&gt;="&amp;$J1155,'Weekly Log'!$A:$A,"&lt;"&amp;$J1155+7),0))</f>
        <v/>
      </c>
      <c r="F1155" t="str">
        <f>IF($J1155="","",IFERROR(SUMIFS('Weekly Log'!$F:$F,'Weekly Log'!$A:$A,"&gt;="&amp;$J1155,'Weekly Log'!$A:$A,"&lt;"&amp;$J1155+7)/SUMIFS('Weekly Log'!$E:$E,'Weekly Log'!$A:$A,"&gt;="&amp;$J1155,'Weekly Log'!$A:$A,"&lt;"&amp;$J1155+7),0))</f>
        <v/>
      </c>
      <c r="G1155" t="str">
        <f>IF($J1155="","",IFERROR(LOOKUP(2,1/(('Weekly Log'!$A$5:$A$5000&gt;=$J1155)*('Weekly Log'!$A$5:$A$5000&lt;$J1155+7)*('Weekly Log'!$M$5:$M$5000&lt;&gt;"")),'Weekly Log'!$M$5:$M$5000),0))</f>
        <v/>
      </c>
      <c r="J1155" t="str">
        <f>IF(COUNT('Weekly Log'!$A$5:$A$5000)=0,"",IF(MIN('Weekly Log'!$A$5:$A$5000)+7*(ROW()-10)&gt;MAX('Weekly Log'!$A$5:$A$5000),"",MIN('Weekly Log'!$A$5:$A$5000)+7*(ROW()-10)))</f>
        <v/>
      </c>
    </row>
    <row r="1156" spans="1:10" x14ac:dyDescent="0.25">
      <c r="A1156" t="str">
        <f t="shared" si="17"/>
        <v/>
      </c>
      <c r="B1156" t="str">
        <f>IF($J1156="","",SUMIFS('Weekly Log'!$C:$C,'Weekly Log'!$A:$A,"&gt;="&amp;$J1156,'Weekly Log'!$A:$A,"&lt;"&amp;$J1156+7))</f>
        <v/>
      </c>
      <c r="C1156" t="str">
        <f>IF($J1156="","",IFERROR(COUNTIFS('Weekly Log'!$G:$G,"Y",'Weekly Log'!$A:$A,"&gt;="&amp;$J1156,'Weekly Log'!$A:$A,"&lt;"&amp;$J1156+7)/COUNTIFS('Weekly Log'!$G:$G,"&lt;&gt;",'Weekly Log'!$A:$A,"&gt;="&amp;$J1156,'Weekly Log'!$A:$A,"&lt;"&amp;$J1156+7),0))</f>
        <v/>
      </c>
      <c r="D1156" t="str">
        <f>IF($J1156="","",IFERROR(COUNTIFS('Weekly Log'!$H:$H,"Y",'Weekly Log'!$A:$A,"&gt;="&amp;$J1156,'Weekly Log'!$A:$A,"&lt;"&amp;$J1156+7)/COUNTIFS('Weekly Log'!$H:$H,"&lt;&gt;",'Weekly Log'!$A:$A,"&gt;="&amp;$J1156,'Weekly Log'!$A:$A,"&lt;"&amp;$J1156+7),0))</f>
        <v/>
      </c>
      <c r="E1156" t="str">
        <f>IF($J1156="","",IFERROR(AVERAGEIFS('Weekly Log'!$F:$F,'Weekly Log'!$A:$A,"&gt;="&amp;$J1156,'Weekly Log'!$A:$A,"&lt;"&amp;$J1156+7),0))</f>
        <v/>
      </c>
      <c r="F1156" t="str">
        <f>IF($J1156="","",IFERROR(SUMIFS('Weekly Log'!$F:$F,'Weekly Log'!$A:$A,"&gt;="&amp;$J1156,'Weekly Log'!$A:$A,"&lt;"&amp;$J1156+7)/SUMIFS('Weekly Log'!$E:$E,'Weekly Log'!$A:$A,"&gt;="&amp;$J1156,'Weekly Log'!$A:$A,"&lt;"&amp;$J1156+7),0))</f>
        <v/>
      </c>
      <c r="G1156" t="str">
        <f>IF($J1156="","",IFERROR(LOOKUP(2,1/(('Weekly Log'!$A$5:$A$5000&gt;=$J1156)*('Weekly Log'!$A$5:$A$5000&lt;$J1156+7)*('Weekly Log'!$M$5:$M$5000&lt;&gt;"")),'Weekly Log'!$M$5:$M$5000),0))</f>
        <v/>
      </c>
      <c r="J1156" t="str">
        <f>IF(COUNT('Weekly Log'!$A$5:$A$5000)=0,"",IF(MIN('Weekly Log'!$A$5:$A$5000)+7*(ROW()-10)&gt;MAX('Weekly Log'!$A$5:$A$5000),"",MIN('Weekly Log'!$A$5:$A$5000)+7*(ROW()-10)))</f>
        <v/>
      </c>
    </row>
    <row r="1157" spans="1:10" x14ac:dyDescent="0.25">
      <c r="A1157" t="str">
        <f t="shared" si="17"/>
        <v/>
      </c>
      <c r="B1157" t="str">
        <f>IF($J1157="","",SUMIFS('Weekly Log'!$C:$C,'Weekly Log'!$A:$A,"&gt;="&amp;$J1157,'Weekly Log'!$A:$A,"&lt;"&amp;$J1157+7))</f>
        <v/>
      </c>
      <c r="C1157" t="str">
        <f>IF($J1157="","",IFERROR(COUNTIFS('Weekly Log'!$G:$G,"Y",'Weekly Log'!$A:$A,"&gt;="&amp;$J1157,'Weekly Log'!$A:$A,"&lt;"&amp;$J1157+7)/COUNTIFS('Weekly Log'!$G:$G,"&lt;&gt;",'Weekly Log'!$A:$A,"&gt;="&amp;$J1157,'Weekly Log'!$A:$A,"&lt;"&amp;$J1157+7),0))</f>
        <v/>
      </c>
      <c r="D1157" t="str">
        <f>IF($J1157="","",IFERROR(COUNTIFS('Weekly Log'!$H:$H,"Y",'Weekly Log'!$A:$A,"&gt;="&amp;$J1157,'Weekly Log'!$A:$A,"&lt;"&amp;$J1157+7)/COUNTIFS('Weekly Log'!$H:$H,"&lt;&gt;",'Weekly Log'!$A:$A,"&gt;="&amp;$J1157,'Weekly Log'!$A:$A,"&lt;"&amp;$J1157+7),0))</f>
        <v/>
      </c>
      <c r="E1157" t="str">
        <f>IF($J1157="","",IFERROR(AVERAGEIFS('Weekly Log'!$F:$F,'Weekly Log'!$A:$A,"&gt;="&amp;$J1157,'Weekly Log'!$A:$A,"&lt;"&amp;$J1157+7),0))</f>
        <v/>
      </c>
      <c r="F1157" t="str">
        <f>IF($J1157="","",IFERROR(SUMIFS('Weekly Log'!$F:$F,'Weekly Log'!$A:$A,"&gt;="&amp;$J1157,'Weekly Log'!$A:$A,"&lt;"&amp;$J1157+7)/SUMIFS('Weekly Log'!$E:$E,'Weekly Log'!$A:$A,"&gt;="&amp;$J1157,'Weekly Log'!$A:$A,"&lt;"&amp;$J1157+7),0))</f>
        <v/>
      </c>
      <c r="G1157" t="str">
        <f>IF($J1157="","",IFERROR(LOOKUP(2,1/(('Weekly Log'!$A$5:$A$5000&gt;=$J1157)*('Weekly Log'!$A$5:$A$5000&lt;$J1157+7)*('Weekly Log'!$M$5:$M$5000&lt;&gt;"")),'Weekly Log'!$M$5:$M$5000),0))</f>
        <v/>
      </c>
      <c r="J1157" t="str">
        <f>IF(COUNT('Weekly Log'!$A$5:$A$5000)=0,"",IF(MIN('Weekly Log'!$A$5:$A$5000)+7*(ROW()-10)&gt;MAX('Weekly Log'!$A$5:$A$5000),"",MIN('Weekly Log'!$A$5:$A$5000)+7*(ROW()-10)))</f>
        <v/>
      </c>
    </row>
    <row r="1158" spans="1:10" x14ac:dyDescent="0.25">
      <c r="A1158" t="str">
        <f t="shared" si="17"/>
        <v/>
      </c>
      <c r="B1158" t="str">
        <f>IF($J1158="","",SUMIFS('Weekly Log'!$C:$C,'Weekly Log'!$A:$A,"&gt;="&amp;$J1158,'Weekly Log'!$A:$A,"&lt;"&amp;$J1158+7))</f>
        <v/>
      </c>
      <c r="C1158" t="str">
        <f>IF($J1158="","",IFERROR(COUNTIFS('Weekly Log'!$G:$G,"Y",'Weekly Log'!$A:$A,"&gt;="&amp;$J1158,'Weekly Log'!$A:$A,"&lt;"&amp;$J1158+7)/COUNTIFS('Weekly Log'!$G:$G,"&lt;&gt;",'Weekly Log'!$A:$A,"&gt;="&amp;$J1158,'Weekly Log'!$A:$A,"&lt;"&amp;$J1158+7),0))</f>
        <v/>
      </c>
      <c r="D1158" t="str">
        <f>IF($J1158="","",IFERROR(COUNTIFS('Weekly Log'!$H:$H,"Y",'Weekly Log'!$A:$A,"&gt;="&amp;$J1158,'Weekly Log'!$A:$A,"&lt;"&amp;$J1158+7)/COUNTIFS('Weekly Log'!$H:$H,"&lt;&gt;",'Weekly Log'!$A:$A,"&gt;="&amp;$J1158,'Weekly Log'!$A:$A,"&lt;"&amp;$J1158+7),0))</f>
        <v/>
      </c>
      <c r="E1158" t="str">
        <f>IF($J1158="","",IFERROR(AVERAGEIFS('Weekly Log'!$F:$F,'Weekly Log'!$A:$A,"&gt;="&amp;$J1158,'Weekly Log'!$A:$A,"&lt;"&amp;$J1158+7),0))</f>
        <v/>
      </c>
      <c r="F1158" t="str">
        <f>IF($J1158="","",IFERROR(SUMIFS('Weekly Log'!$F:$F,'Weekly Log'!$A:$A,"&gt;="&amp;$J1158,'Weekly Log'!$A:$A,"&lt;"&amp;$J1158+7)/SUMIFS('Weekly Log'!$E:$E,'Weekly Log'!$A:$A,"&gt;="&amp;$J1158,'Weekly Log'!$A:$A,"&lt;"&amp;$J1158+7),0))</f>
        <v/>
      </c>
      <c r="G1158" t="str">
        <f>IF($J1158="","",IFERROR(LOOKUP(2,1/(('Weekly Log'!$A$5:$A$5000&gt;=$J1158)*('Weekly Log'!$A$5:$A$5000&lt;$J1158+7)*('Weekly Log'!$M$5:$M$5000&lt;&gt;"")),'Weekly Log'!$M$5:$M$5000),0))</f>
        <v/>
      </c>
      <c r="J1158" t="str">
        <f>IF(COUNT('Weekly Log'!$A$5:$A$5000)=0,"",IF(MIN('Weekly Log'!$A$5:$A$5000)+7*(ROW()-10)&gt;MAX('Weekly Log'!$A$5:$A$5000),"",MIN('Weekly Log'!$A$5:$A$5000)+7*(ROW()-10)))</f>
        <v/>
      </c>
    </row>
    <row r="1159" spans="1:10" x14ac:dyDescent="0.25">
      <c r="A1159" t="str">
        <f t="shared" si="17"/>
        <v/>
      </c>
      <c r="B1159" t="str">
        <f>IF($J1159="","",SUMIFS('Weekly Log'!$C:$C,'Weekly Log'!$A:$A,"&gt;="&amp;$J1159,'Weekly Log'!$A:$A,"&lt;"&amp;$J1159+7))</f>
        <v/>
      </c>
      <c r="C1159" t="str">
        <f>IF($J1159="","",IFERROR(COUNTIFS('Weekly Log'!$G:$G,"Y",'Weekly Log'!$A:$A,"&gt;="&amp;$J1159,'Weekly Log'!$A:$A,"&lt;"&amp;$J1159+7)/COUNTIFS('Weekly Log'!$G:$G,"&lt;&gt;",'Weekly Log'!$A:$A,"&gt;="&amp;$J1159,'Weekly Log'!$A:$A,"&lt;"&amp;$J1159+7),0))</f>
        <v/>
      </c>
      <c r="D1159" t="str">
        <f>IF($J1159="","",IFERROR(COUNTIFS('Weekly Log'!$H:$H,"Y",'Weekly Log'!$A:$A,"&gt;="&amp;$J1159,'Weekly Log'!$A:$A,"&lt;"&amp;$J1159+7)/COUNTIFS('Weekly Log'!$H:$H,"&lt;&gt;",'Weekly Log'!$A:$A,"&gt;="&amp;$J1159,'Weekly Log'!$A:$A,"&lt;"&amp;$J1159+7),0))</f>
        <v/>
      </c>
      <c r="E1159" t="str">
        <f>IF($J1159="","",IFERROR(AVERAGEIFS('Weekly Log'!$F:$F,'Weekly Log'!$A:$A,"&gt;="&amp;$J1159,'Weekly Log'!$A:$A,"&lt;"&amp;$J1159+7),0))</f>
        <v/>
      </c>
      <c r="F1159" t="str">
        <f>IF($J1159="","",IFERROR(SUMIFS('Weekly Log'!$F:$F,'Weekly Log'!$A:$A,"&gt;="&amp;$J1159,'Weekly Log'!$A:$A,"&lt;"&amp;$J1159+7)/SUMIFS('Weekly Log'!$E:$E,'Weekly Log'!$A:$A,"&gt;="&amp;$J1159,'Weekly Log'!$A:$A,"&lt;"&amp;$J1159+7),0))</f>
        <v/>
      </c>
      <c r="G1159" t="str">
        <f>IF($J1159="","",IFERROR(LOOKUP(2,1/(('Weekly Log'!$A$5:$A$5000&gt;=$J1159)*('Weekly Log'!$A$5:$A$5000&lt;$J1159+7)*('Weekly Log'!$M$5:$M$5000&lt;&gt;"")),'Weekly Log'!$M$5:$M$5000),0))</f>
        <v/>
      </c>
      <c r="J1159" t="str">
        <f>IF(COUNT('Weekly Log'!$A$5:$A$5000)=0,"",IF(MIN('Weekly Log'!$A$5:$A$5000)+7*(ROW()-10)&gt;MAX('Weekly Log'!$A$5:$A$5000),"",MIN('Weekly Log'!$A$5:$A$5000)+7*(ROW()-10)))</f>
        <v/>
      </c>
    </row>
    <row r="1160" spans="1:10" x14ac:dyDescent="0.25">
      <c r="A1160" t="str">
        <f t="shared" si="17"/>
        <v/>
      </c>
      <c r="B1160" t="str">
        <f>IF($J1160="","",SUMIFS('Weekly Log'!$C:$C,'Weekly Log'!$A:$A,"&gt;="&amp;$J1160,'Weekly Log'!$A:$A,"&lt;"&amp;$J1160+7))</f>
        <v/>
      </c>
      <c r="C1160" t="str">
        <f>IF($J1160="","",IFERROR(COUNTIFS('Weekly Log'!$G:$G,"Y",'Weekly Log'!$A:$A,"&gt;="&amp;$J1160,'Weekly Log'!$A:$A,"&lt;"&amp;$J1160+7)/COUNTIFS('Weekly Log'!$G:$G,"&lt;&gt;",'Weekly Log'!$A:$A,"&gt;="&amp;$J1160,'Weekly Log'!$A:$A,"&lt;"&amp;$J1160+7),0))</f>
        <v/>
      </c>
      <c r="D1160" t="str">
        <f>IF($J1160="","",IFERROR(COUNTIFS('Weekly Log'!$H:$H,"Y",'Weekly Log'!$A:$A,"&gt;="&amp;$J1160,'Weekly Log'!$A:$A,"&lt;"&amp;$J1160+7)/COUNTIFS('Weekly Log'!$H:$H,"&lt;&gt;",'Weekly Log'!$A:$A,"&gt;="&amp;$J1160,'Weekly Log'!$A:$A,"&lt;"&amp;$J1160+7),0))</f>
        <v/>
      </c>
      <c r="E1160" t="str">
        <f>IF($J1160="","",IFERROR(AVERAGEIFS('Weekly Log'!$F:$F,'Weekly Log'!$A:$A,"&gt;="&amp;$J1160,'Weekly Log'!$A:$A,"&lt;"&amp;$J1160+7),0))</f>
        <v/>
      </c>
      <c r="F1160" t="str">
        <f>IF($J1160="","",IFERROR(SUMIFS('Weekly Log'!$F:$F,'Weekly Log'!$A:$A,"&gt;="&amp;$J1160,'Weekly Log'!$A:$A,"&lt;"&amp;$J1160+7)/SUMIFS('Weekly Log'!$E:$E,'Weekly Log'!$A:$A,"&gt;="&amp;$J1160,'Weekly Log'!$A:$A,"&lt;"&amp;$J1160+7),0))</f>
        <v/>
      </c>
      <c r="G1160" t="str">
        <f>IF($J1160="","",IFERROR(LOOKUP(2,1/(('Weekly Log'!$A$5:$A$5000&gt;=$J1160)*('Weekly Log'!$A$5:$A$5000&lt;$J1160+7)*('Weekly Log'!$M$5:$M$5000&lt;&gt;"")),'Weekly Log'!$M$5:$M$5000),0))</f>
        <v/>
      </c>
      <c r="J1160" t="str">
        <f>IF(COUNT('Weekly Log'!$A$5:$A$5000)=0,"",IF(MIN('Weekly Log'!$A$5:$A$5000)+7*(ROW()-10)&gt;MAX('Weekly Log'!$A$5:$A$5000),"",MIN('Weekly Log'!$A$5:$A$5000)+7*(ROW()-10)))</f>
        <v/>
      </c>
    </row>
    <row r="1161" spans="1:10" x14ac:dyDescent="0.25">
      <c r="A1161" t="str">
        <f t="shared" si="17"/>
        <v/>
      </c>
      <c r="B1161" t="str">
        <f>IF($J1161="","",SUMIFS('Weekly Log'!$C:$C,'Weekly Log'!$A:$A,"&gt;="&amp;$J1161,'Weekly Log'!$A:$A,"&lt;"&amp;$J1161+7))</f>
        <v/>
      </c>
      <c r="C1161" t="str">
        <f>IF($J1161="","",IFERROR(COUNTIFS('Weekly Log'!$G:$G,"Y",'Weekly Log'!$A:$A,"&gt;="&amp;$J1161,'Weekly Log'!$A:$A,"&lt;"&amp;$J1161+7)/COUNTIFS('Weekly Log'!$G:$G,"&lt;&gt;",'Weekly Log'!$A:$A,"&gt;="&amp;$J1161,'Weekly Log'!$A:$A,"&lt;"&amp;$J1161+7),0))</f>
        <v/>
      </c>
      <c r="D1161" t="str">
        <f>IF($J1161="","",IFERROR(COUNTIFS('Weekly Log'!$H:$H,"Y",'Weekly Log'!$A:$A,"&gt;="&amp;$J1161,'Weekly Log'!$A:$A,"&lt;"&amp;$J1161+7)/COUNTIFS('Weekly Log'!$H:$H,"&lt;&gt;",'Weekly Log'!$A:$A,"&gt;="&amp;$J1161,'Weekly Log'!$A:$A,"&lt;"&amp;$J1161+7),0))</f>
        <v/>
      </c>
      <c r="E1161" t="str">
        <f>IF($J1161="","",IFERROR(AVERAGEIFS('Weekly Log'!$F:$F,'Weekly Log'!$A:$A,"&gt;="&amp;$J1161,'Weekly Log'!$A:$A,"&lt;"&amp;$J1161+7),0))</f>
        <v/>
      </c>
      <c r="F1161" t="str">
        <f>IF($J1161="","",IFERROR(SUMIFS('Weekly Log'!$F:$F,'Weekly Log'!$A:$A,"&gt;="&amp;$J1161,'Weekly Log'!$A:$A,"&lt;"&amp;$J1161+7)/SUMIFS('Weekly Log'!$E:$E,'Weekly Log'!$A:$A,"&gt;="&amp;$J1161,'Weekly Log'!$A:$A,"&lt;"&amp;$J1161+7),0))</f>
        <v/>
      </c>
      <c r="G1161" t="str">
        <f>IF($J1161="","",IFERROR(LOOKUP(2,1/(('Weekly Log'!$A$5:$A$5000&gt;=$J1161)*('Weekly Log'!$A$5:$A$5000&lt;$J1161+7)*('Weekly Log'!$M$5:$M$5000&lt;&gt;"")),'Weekly Log'!$M$5:$M$5000),0))</f>
        <v/>
      </c>
      <c r="J1161" t="str">
        <f>IF(COUNT('Weekly Log'!$A$5:$A$5000)=0,"",IF(MIN('Weekly Log'!$A$5:$A$5000)+7*(ROW()-10)&gt;MAX('Weekly Log'!$A$5:$A$5000),"",MIN('Weekly Log'!$A$5:$A$5000)+7*(ROW()-10)))</f>
        <v/>
      </c>
    </row>
    <row r="1162" spans="1:10" x14ac:dyDescent="0.25">
      <c r="A1162" t="str">
        <f t="shared" ref="A1162:A1225" si="18">IF($J1162="","",YEAR($J1162-WEEKDAY($J1162,2)+4)&amp;"-W"&amp;TEXT(WEEKNUM($J1162,21),"00"))</f>
        <v/>
      </c>
      <c r="B1162" t="str">
        <f>IF($J1162="","",SUMIFS('Weekly Log'!$C:$C,'Weekly Log'!$A:$A,"&gt;="&amp;$J1162,'Weekly Log'!$A:$A,"&lt;"&amp;$J1162+7))</f>
        <v/>
      </c>
      <c r="C1162" t="str">
        <f>IF($J1162="","",IFERROR(COUNTIFS('Weekly Log'!$G:$G,"Y",'Weekly Log'!$A:$A,"&gt;="&amp;$J1162,'Weekly Log'!$A:$A,"&lt;"&amp;$J1162+7)/COUNTIFS('Weekly Log'!$G:$G,"&lt;&gt;",'Weekly Log'!$A:$A,"&gt;="&amp;$J1162,'Weekly Log'!$A:$A,"&lt;"&amp;$J1162+7),0))</f>
        <v/>
      </c>
      <c r="D1162" t="str">
        <f>IF($J1162="","",IFERROR(COUNTIFS('Weekly Log'!$H:$H,"Y",'Weekly Log'!$A:$A,"&gt;="&amp;$J1162,'Weekly Log'!$A:$A,"&lt;"&amp;$J1162+7)/COUNTIFS('Weekly Log'!$H:$H,"&lt;&gt;",'Weekly Log'!$A:$A,"&gt;="&amp;$J1162,'Weekly Log'!$A:$A,"&lt;"&amp;$J1162+7),0))</f>
        <v/>
      </c>
      <c r="E1162" t="str">
        <f>IF($J1162="","",IFERROR(AVERAGEIFS('Weekly Log'!$F:$F,'Weekly Log'!$A:$A,"&gt;="&amp;$J1162,'Weekly Log'!$A:$A,"&lt;"&amp;$J1162+7),0))</f>
        <v/>
      </c>
      <c r="F1162" t="str">
        <f>IF($J1162="","",IFERROR(SUMIFS('Weekly Log'!$F:$F,'Weekly Log'!$A:$A,"&gt;="&amp;$J1162,'Weekly Log'!$A:$A,"&lt;"&amp;$J1162+7)/SUMIFS('Weekly Log'!$E:$E,'Weekly Log'!$A:$A,"&gt;="&amp;$J1162,'Weekly Log'!$A:$A,"&lt;"&amp;$J1162+7),0))</f>
        <v/>
      </c>
      <c r="G1162" t="str">
        <f>IF($J1162="","",IFERROR(LOOKUP(2,1/(('Weekly Log'!$A$5:$A$5000&gt;=$J1162)*('Weekly Log'!$A$5:$A$5000&lt;$J1162+7)*('Weekly Log'!$M$5:$M$5000&lt;&gt;"")),'Weekly Log'!$M$5:$M$5000),0))</f>
        <v/>
      </c>
      <c r="J1162" t="str">
        <f>IF(COUNT('Weekly Log'!$A$5:$A$5000)=0,"",IF(MIN('Weekly Log'!$A$5:$A$5000)+7*(ROW()-10)&gt;MAX('Weekly Log'!$A$5:$A$5000),"",MIN('Weekly Log'!$A$5:$A$5000)+7*(ROW()-10)))</f>
        <v/>
      </c>
    </row>
    <row r="1163" spans="1:10" x14ac:dyDescent="0.25">
      <c r="A1163" t="str">
        <f t="shared" si="18"/>
        <v/>
      </c>
      <c r="B1163" t="str">
        <f>IF($J1163="","",SUMIFS('Weekly Log'!$C:$C,'Weekly Log'!$A:$A,"&gt;="&amp;$J1163,'Weekly Log'!$A:$A,"&lt;"&amp;$J1163+7))</f>
        <v/>
      </c>
      <c r="C1163" t="str">
        <f>IF($J1163="","",IFERROR(COUNTIFS('Weekly Log'!$G:$G,"Y",'Weekly Log'!$A:$A,"&gt;="&amp;$J1163,'Weekly Log'!$A:$A,"&lt;"&amp;$J1163+7)/COUNTIFS('Weekly Log'!$G:$G,"&lt;&gt;",'Weekly Log'!$A:$A,"&gt;="&amp;$J1163,'Weekly Log'!$A:$A,"&lt;"&amp;$J1163+7),0))</f>
        <v/>
      </c>
      <c r="D1163" t="str">
        <f>IF($J1163="","",IFERROR(COUNTIFS('Weekly Log'!$H:$H,"Y",'Weekly Log'!$A:$A,"&gt;="&amp;$J1163,'Weekly Log'!$A:$A,"&lt;"&amp;$J1163+7)/COUNTIFS('Weekly Log'!$H:$H,"&lt;&gt;",'Weekly Log'!$A:$A,"&gt;="&amp;$J1163,'Weekly Log'!$A:$A,"&lt;"&amp;$J1163+7),0))</f>
        <v/>
      </c>
      <c r="E1163" t="str">
        <f>IF($J1163="","",IFERROR(AVERAGEIFS('Weekly Log'!$F:$F,'Weekly Log'!$A:$A,"&gt;="&amp;$J1163,'Weekly Log'!$A:$A,"&lt;"&amp;$J1163+7),0))</f>
        <v/>
      </c>
      <c r="F1163" t="str">
        <f>IF($J1163="","",IFERROR(SUMIFS('Weekly Log'!$F:$F,'Weekly Log'!$A:$A,"&gt;="&amp;$J1163,'Weekly Log'!$A:$A,"&lt;"&amp;$J1163+7)/SUMIFS('Weekly Log'!$E:$E,'Weekly Log'!$A:$A,"&gt;="&amp;$J1163,'Weekly Log'!$A:$A,"&lt;"&amp;$J1163+7),0))</f>
        <v/>
      </c>
      <c r="G1163" t="str">
        <f>IF($J1163="","",IFERROR(LOOKUP(2,1/(('Weekly Log'!$A$5:$A$5000&gt;=$J1163)*('Weekly Log'!$A$5:$A$5000&lt;$J1163+7)*('Weekly Log'!$M$5:$M$5000&lt;&gt;"")),'Weekly Log'!$M$5:$M$5000),0))</f>
        <v/>
      </c>
      <c r="J1163" t="str">
        <f>IF(COUNT('Weekly Log'!$A$5:$A$5000)=0,"",IF(MIN('Weekly Log'!$A$5:$A$5000)+7*(ROW()-10)&gt;MAX('Weekly Log'!$A$5:$A$5000),"",MIN('Weekly Log'!$A$5:$A$5000)+7*(ROW()-10)))</f>
        <v/>
      </c>
    </row>
    <row r="1164" spans="1:10" x14ac:dyDescent="0.25">
      <c r="A1164" t="str">
        <f t="shared" si="18"/>
        <v/>
      </c>
      <c r="B1164" t="str">
        <f>IF($J1164="","",SUMIFS('Weekly Log'!$C:$C,'Weekly Log'!$A:$A,"&gt;="&amp;$J1164,'Weekly Log'!$A:$A,"&lt;"&amp;$J1164+7))</f>
        <v/>
      </c>
      <c r="C1164" t="str">
        <f>IF($J1164="","",IFERROR(COUNTIFS('Weekly Log'!$G:$G,"Y",'Weekly Log'!$A:$A,"&gt;="&amp;$J1164,'Weekly Log'!$A:$A,"&lt;"&amp;$J1164+7)/COUNTIFS('Weekly Log'!$G:$G,"&lt;&gt;",'Weekly Log'!$A:$A,"&gt;="&amp;$J1164,'Weekly Log'!$A:$A,"&lt;"&amp;$J1164+7),0))</f>
        <v/>
      </c>
      <c r="D1164" t="str">
        <f>IF($J1164="","",IFERROR(COUNTIFS('Weekly Log'!$H:$H,"Y",'Weekly Log'!$A:$A,"&gt;="&amp;$J1164,'Weekly Log'!$A:$A,"&lt;"&amp;$J1164+7)/COUNTIFS('Weekly Log'!$H:$H,"&lt;&gt;",'Weekly Log'!$A:$A,"&gt;="&amp;$J1164,'Weekly Log'!$A:$A,"&lt;"&amp;$J1164+7),0))</f>
        <v/>
      </c>
      <c r="E1164" t="str">
        <f>IF($J1164="","",IFERROR(AVERAGEIFS('Weekly Log'!$F:$F,'Weekly Log'!$A:$A,"&gt;="&amp;$J1164,'Weekly Log'!$A:$A,"&lt;"&amp;$J1164+7),0))</f>
        <v/>
      </c>
      <c r="F1164" t="str">
        <f>IF($J1164="","",IFERROR(SUMIFS('Weekly Log'!$F:$F,'Weekly Log'!$A:$A,"&gt;="&amp;$J1164,'Weekly Log'!$A:$A,"&lt;"&amp;$J1164+7)/SUMIFS('Weekly Log'!$E:$E,'Weekly Log'!$A:$A,"&gt;="&amp;$J1164,'Weekly Log'!$A:$A,"&lt;"&amp;$J1164+7),0))</f>
        <v/>
      </c>
      <c r="G1164" t="str">
        <f>IF($J1164="","",IFERROR(LOOKUP(2,1/(('Weekly Log'!$A$5:$A$5000&gt;=$J1164)*('Weekly Log'!$A$5:$A$5000&lt;$J1164+7)*('Weekly Log'!$M$5:$M$5000&lt;&gt;"")),'Weekly Log'!$M$5:$M$5000),0))</f>
        <v/>
      </c>
      <c r="J1164" t="str">
        <f>IF(COUNT('Weekly Log'!$A$5:$A$5000)=0,"",IF(MIN('Weekly Log'!$A$5:$A$5000)+7*(ROW()-10)&gt;MAX('Weekly Log'!$A$5:$A$5000),"",MIN('Weekly Log'!$A$5:$A$5000)+7*(ROW()-10)))</f>
        <v/>
      </c>
    </row>
    <row r="1165" spans="1:10" x14ac:dyDescent="0.25">
      <c r="A1165" t="str">
        <f t="shared" si="18"/>
        <v/>
      </c>
      <c r="B1165" t="str">
        <f>IF($J1165="","",SUMIFS('Weekly Log'!$C:$C,'Weekly Log'!$A:$A,"&gt;="&amp;$J1165,'Weekly Log'!$A:$A,"&lt;"&amp;$J1165+7))</f>
        <v/>
      </c>
      <c r="C1165" t="str">
        <f>IF($J1165="","",IFERROR(COUNTIFS('Weekly Log'!$G:$G,"Y",'Weekly Log'!$A:$A,"&gt;="&amp;$J1165,'Weekly Log'!$A:$A,"&lt;"&amp;$J1165+7)/COUNTIFS('Weekly Log'!$G:$G,"&lt;&gt;",'Weekly Log'!$A:$A,"&gt;="&amp;$J1165,'Weekly Log'!$A:$A,"&lt;"&amp;$J1165+7),0))</f>
        <v/>
      </c>
      <c r="D1165" t="str">
        <f>IF($J1165="","",IFERROR(COUNTIFS('Weekly Log'!$H:$H,"Y",'Weekly Log'!$A:$A,"&gt;="&amp;$J1165,'Weekly Log'!$A:$A,"&lt;"&amp;$J1165+7)/COUNTIFS('Weekly Log'!$H:$H,"&lt;&gt;",'Weekly Log'!$A:$A,"&gt;="&amp;$J1165,'Weekly Log'!$A:$A,"&lt;"&amp;$J1165+7),0))</f>
        <v/>
      </c>
      <c r="E1165" t="str">
        <f>IF($J1165="","",IFERROR(AVERAGEIFS('Weekly Log'!$F:$F,'Weekly Log'!$A:$A,"&gt;="&amp;$J1165,'Weekly Log'!$A:$A,"&lt;"&amp;$J1165+7),0))</f>
        <v/>
      </c>
      <c r="F1165" t="str">
        <f>IF($J1165="","",IFERROR(SUMIFS('Weekly Log'!$F:$F,'Weekly Log'!$A:$A,"&gt;="&amp;$J1165,'Weekly Log'!$A:$A,"&lt;"&amp;$J1165+7)/SUMIFS('Weekly Log'!$E:$E,'Weekly Log'!$A:$A,"&gt;="&amp;$J1165,'Weekly Log'!$A:$A,"&lt;"&amp;$J1165+7),0))</f>
        <v/>
      </c>
      <c r="G1165" t="str">
        <f>IF($J1165="","",IFERROR(LOOKUP(2,1/(('Weekly Log'!$A$5:$A$5000&gt;=$J1165)*('Weekly Log'!$A$5:$A$5000&lt;$J1165+7)*('Weekly Log'!$M$5:$M$5000&lt;&gt;"")),'Weekly Log'!$M$5:$M$5000),0))</f>
        <v/>
      </c>
      <c r="J1165" t="str">
        <f>IF(COUNT('Weekly Log'!$A$5:$A$5000)=0,"",IF(MIN('Weekly Log'!$A$5:$A$5000)+7*(ROW()-10)&gt;MAX('Weekly Log'!$A$5:$A$5000),"",MIN('Weekly Log'!$A$5:$A$5000)+7*(ROW()-10)))</f>
        <v/>
      </c>
    </row>
    <row r="1166" spans="1:10" x14ac:dyDescent="0.25">
      <c r="A1166" t="str">
        <f t="shared" si="18"/>
        <v/>
      </c>
      <c r="B1166" t="str">
        <f>IF($J1166="","",SUMIFS('Weekly Log'!$C:$C,'Weekly Log'!$A:$A,"&gt;="&amp;$J1166,'Weekly Log'!$A:$A,"&lt;"&amp;$J1166+7))</f>
        <v/>
      </c>
      <c r="C1166" t="str">
        <f>IF($J1166="","",IFERROR(COUNTIFS('Weekly Log'!$G:$G,"Y",'Weekly Log'!$A:$A,"&gt;="&amp;$J1166,'Weekly Log'!$A:$A,"&lt;"&amp;$J1166+7)/COUNTIFS('Weekly Log'!$G:$G,"&lt;&gt;",'Weekly Log'!$A:$A,"&gt;="&amp;$J1166,'Weekly Log'!$A:$A,"&lt;"&amp;$J1166+7),0))</f>
        <v/>
      </c>
      <c r="D1166" t="str">
        <f>IF($J1166="","",IFERROR(COUNTIFS('Weekly Log'!$H:$H,"Y",'Weekly Log'!$A:$A,"&gt;="&amp;$J1166,'Weekly Log'!$A:$A,"&lt;"&amp;$J1166+7)/COUNTIFS('Weekly Log'!$H:$H,"&lt;&gt;",'Weekly Log'!$A:$A,"&gt;="&amp;$J1166,'Weekly Log'!$A:$A,"&lt;"&amp;$J1166+7),0))</f>
        <v/>
      </c>
      <c r="E1166" t="str">
        <f>IF($J1166="","",IFERROR(AVERAGEIFS('Weekly Log'!$F:$F,'Weekly Log'!$A:$A,"&gt;="&amp;$J1166,'Weekly Log'!$A:$A,"&lt;"&amp;$J1166+7),0))</f>
        <v/>
      </c>
      <c r="F1166" t="str">
        <f>IF($J1166="","",IFERROR(SUMIFS('Weekly Log'!$F:$F,'Weekly Log'!$A:$A,"&gt;="&amp;$J1166,'Weekly Log'!$A:$A,"&lt;"&amp;$J1166+7)/SUMIFS('Weekly Log'!$E:$E,'Weekly Log'!$A:$A,"&gt;="&amp;$J1166,'Weekly Log'!$A:$A,"&lt;"&amp;$J1166+7),0))</f>
        <v/>
      </c>
      <c r="G1166" t="str">
        <f>IF($J1166="","",IFERROR(LOOKUP(2,1/(('Weekly Log'!$A$5:$A$5000&gt;=$J1166)*('Weekly Log'!$A$5:$A$5000&lt;$J1166+7)*('Weekly Log'!$M$5:$M$5000&lt;&gt;"")),'Weekly Log'!$M$5:$M$5000),0))</f>
        <v/>
      </c>
      <c r="J1166" t="str">
        <f>IF(COUNT('Weekly Log'!$A$5:$A$5000)=0,"",IF(MIN('Weekly Log'!$A$5:$A$5000)+7*(ROW()-10)&gt;MAX('Weekly Log'!$A$5:$A$5000),"",MIN('Weekly Log'!$A$5:$A$5000)+7*(ROW()-10)))</f>
        <v/>
      </c>
    </row>
    <row r="1167" spans="1:10" x14ac:dyDescent="0.25">
      <c r="A1167" t="str">
        <f t="shared" si="18"/>
        <v/>
      </c>
      <c r="B1167" t="str">
        <f>IF($J1167="","",SUMIFS('Weekly Log'!$C:$C,'Weekly Log'!$A:$A,"&gt;="&amp;$J1167,'Weekly Log'!$A:$A,"&lt;"&amp;$J1167+7))</f>
        <v/>
      </c>
      <c r="C1167" t="str">
        <f>IF($J1167="","",IFERROR(COUNTIFS('Weekly Log'!$G:$G,"Y",'Weekly Log'!$A:$A,"&gt;="&amp;$J1167,'Weekly Log'!$A:$A,"&lt;"&amp;$J1167+7)/COUNTIFS('Weekly Log'!$G:$G,"&lt;&gt;",'Weekly Log'!$A:$A,"&gt;="&amp;$J1167,'Weekly Log'!$A:$A,"&lt;"&amp;$J1167+7),0))</f>
        <v/>
      </c>
      <c r="D1167" t="str">
        <f>IF($J1167="","",IFERROR(COUNTIFS('Weekly Log'!$H:$H,"Y",'Weekly Log'!$A:$A,"&gt;="&amp;$J1167,'Weekly Log'!$A:$A,"&lt;"&amp;$J1167+7)/COUNTIFS('Weekly Log'!$H:$H,"&lt;&gt;",'Weekly Log'!$A:$A,"&gt;="&amp;$J1167,'Weekly Log'!$A:$A,"&lt;"&amp;$J1167+7),0))</f>
        <v/>
      </c>
      <c r="E1167" t="str">
        <f>IF($J1167="","",IFERROR(AVERAGEIFS('Weekly Log'!$F:$F,'Weekly Log'!$A:$A,"&gt;="&amp;$J1167,'Weekly Log'!$A:$A,"&lt;"&amp;$J1167+7),0))</f>
        <v/>
      </c>
      <c r="F1167" t="str">
        <f>IF($J1167="","",IFERROR(SUMIFS('Weekly Log'!$F:$F,'Weekly Log'!$A:$A,"&gt;="&amp;$J1167,'Weekly Log'!$A:$A,"&lt;"&amp;$J1167+7)/SUMIFS('Weekly Log'!$E:$E,'Weekly Log'!$A:$A,"&gt;="&amp;$J1167,'Weekly Log'!$A:$A,"&lt;"&amp;$J1167+7),0))</f>
        <v/>
      </c>
      <c r="G1167" t="str">
        <f>IF($J1167="","",IFERROR(LOOKUP(2,1/(('Weekly Log'!$A$5:$A$5000&gt;=$J1167)*('Weekly Log'!$A$5:$A$5000&lt;$J1167+7)*('Weekly Log'!$M$5:$M$5000&lt;&gt;"")),'Weekly Log'!$M$5:$M$5000),0))</f>
        <v/>
      </c>
      <c r="J1167" t="str">
        <f>IF(COUNT('Weekly Log'!$A$5:$A$5000)=0,"",IF(MIN('Weekly Log'!$A$5:$A$5000)+7*(ROW()-10)&gt;MAX('Weekly Log'!$A$5:$A$5000),"",MIN('Weekly Log'!$A$5:$A$5000)+7*(ROW()-10)))</f>
        <v/>
      </c>
    </row>
    <row r="1168" spans="1:10" x14ac:dyDescent="0.25">
      <c r="A1168" t="str">
        <f t="shared" si="18"/>
        <v/>
      </c>
      <c r="B1168" t="str">
        <f>IF($J1168="","",SUMIFS('Weekly Log'!$C:$C,'Weekly Log'!$A:$A,"&gt;="&amp;$J1168,'Weekly Log'!$A:$A,"&lt;"&amp;$J1168+7))</f>
        <v/>
      </c>
      <c r="C1168" t="str">
        <f>IF($J1168="","",IFERROR(COUNTIFS('Weekly Log'!$G:$G,"Y",'Weekly Log'!$A:$A,"&gt;="&amp;$J1168,'Weekly Log'!$A:$A,"&lt;"&amp;$J1168+7)/COUNTIFS('Weekly Log'!$G:$G,"&lt;&gt;",'Weekly Log'!$A:$A,"&gt;="&amp;$J1168,'Weekly Log'!$A:$A,"&lt;"&amp;$J1168+7),0))</f>
        <v/>
      </c>
      <c r="D1168" t="str">
        <f>IF($J1168="","",IFERROR(COUNTIFS('Weekly Log'!$H:$H,"Y",'Weekly Log'!$A:$A,"&gt;="&amp;$J1168,'Weekly Log'!$A:$A,"&lt;"&amp;$J1168+7)/COUNTIFS('Weekly Log'!$H:$H,"&lt;&gt;",'Weekly Log'!$A:$A,"&gt;="&amp;$J1168,'Weekly Log'!$A:$A,"&lt;"&amp;$J1168+7),0))</f>
        <v/>
      </c>
      <c r="E1168" t="str">
        <f>IF($J1168="","",IFERROR(AVERAGEIFS('Weekly Log'!$F:$F,'Weekly Log'!$A:$A,"&gt;="&amp;$J1168,'Weekly Log'!$A:$A,"&lt;"&amp;$J1168+7),0))</f>
        <v/>
      </c>
      <c r="F1168" t="str">
        <f>IF($J1168="","",IFERROR(SUMIFS('Weekly Log'!$F:$F,'Weekly Log'!$A:$A,"&gt;="&amp;$J1168,'Weekly Log'!$A:$A,"&lt;"&amp;$J1168+7)/SUMIFS('Weekly Log'!$E:$E,'Weekly Log'!$A:$A,"&gt;="&amp;$J1168,'Weekly Log'!$A:$A,"&lt;"&amp;$J1168+7),0))</f>
        <v/>
      </c>
      <c r="G1168" t="str">
        <f>IF($J1168="","",IFERROR(LOOKUP(2,1/(('Weekly Log'!$A$5:$A$5000&gt;=$J1168)*('Weekly Log'!$A$5:$A$5000&lt;$J1168+7)*('Weekly Log'!$M$5:$M$5000&lt;&gt;"")),'Weekly Log'!$M$5:$M$5000),0))</f>
        <v/>
      </c>
      <c r="J1168" t="str">
        <f>IF(COUNT('Weekly Log'!$A$5:$A$5000)=0,"",IF(MIN('Weekly Log'!$A$5:$A$5000)+7*(ROW()-10)&gt;MAX('Weekly Log'!$A$5:$A$5000),"",MIN('Weekly Log'!$A$5:$A$5000)+7*(ROW()-10)))</f>
        <v/>
      </c>
    </row>
    <row r="1169" spans="1:10" x14ac:dyDescent="0.25">
      <c r="A1169" t="str">
        <f t="shared" si="18"/>
        <v/>
      </c>
      <c r="B1169" t="str">
        <f>IF($J1169="","",SUMIFS('Weekly Log'!$C:$C,'Weekly Log'!$A:$A,"&gt;="&amp;$J1169,'Weekly Log'!$A:$A,"&lt;"&amp;$J1169+7))</f>
        <v/>
      </c>
      <c r="C1169" t="str">
        <f>IF($J1169="","",IFERROR(COUNTIFS('Weekly Log'!$G:$G,"Y",'Weekly Log'!$A:$A,"&gt;="&amp;$J1169,'Weekly Log'!$A:$A,"&lt;"&amp;$J1169+7)/COUNTIFS('Weekly Log'!$G:$G,"&lt;&gt;",'Weekly Log'!$A:$A,"&gt;="&amp;$J1169,'Weekly Log'!$A:$A,"&lt;"&amp;$J1169+7),0))</f>
        <v/>
      </c>
      <c r="D1169" t="str">
        <f>IF($J1169="","",IFERROR(COUNTIFS('Weekly Log'!$H:$H,"Y",'Weekly Log'!$A:$A,"&gt;="&amp;$J1169,'Weekly Log'!$A:$A,"&lt;"&amp;$J1169+7)/COUNTIFS('Weekly Log'!$H:$H,"&lt;&gt;",'Weekly Log'!$A:$A,"&gt;="&amp;$J1169,'Weekly Log'!$A:$A,"&lt;"&amp;$J1169+7),0))</f>
        <v/>
      </c>
      <c r="E1169" t="str">
        <f>IF($J1169="","",IFERROR(AVERAGEIFS('Weekly Log'!$F:$F,'Weekly Log'!$A:$A,"&gt;="&amp;$J1169,'Weekly Log'!$A:$A,"&lt;"&amp;$J1169+7),0))</f>
        <v/>
      </c>
      <c r="F1169" t="str">
        <f>IF($J1169="","",IFERROR(SUMIFS('Weekly Log'!$F:$F,'Weekly Log'!$A:$A,"&gt;="&amp;$J1169,'Weekly Log'!$A:$A,"&lt;"&amp;$J1169+7)/SUMIFS('Weekly Log'!$E:$E,'Weekly Log'!$A:$A,"&gt;="&amp;$J1169,'Weekly Log'!$A:$A,"&lt;"&amp;$J1169+7),0))</f>
        <v/>
      </c>
      <c r="G1169" t="str">
        <f>IF($J1169="","",IFERROR(LOOKUP(2,1/(('Weekly Log'!$A$5:$A$5000&gt;=$J1169)*('Weekly Log'!$A$5:$A$5000&lt;$J1169+7)*('Weekly Log'!$M$5:$M$5000&lt;&gt;"")),'Weekly Log'!$M$5:$M$5000),0))</f>
        <v/>
      </c>
      <c r="J1169" t="str">
        <f>IF(COUNT('Weekly Log'!$A$5:$A$5000)=0,"",IF(MIN('Weekly Log'!$A$5:$A$5000)+7*(ROW()-10)&gt;MAX('Weekly Log'!$A$5:$A$5000),"",MIN('Weekly Log'!$A$5:$A$5000)+7*(ROW()-10)))</f>
        <v/>
      </c>
    </row>
    <row r="1170" spans="1:10" x14ac:dyDescent="0.25">
      <c r="A1170" t="str">
        <f t="shared" si="18"/>
        <v/>
      </c>
      <c r="B1170" t="str">
        <f>IF($J1170="","",SUMIFS('Weekly Log'!$C:$C,'Weekly Log'!$A:$A,"&gt;="&amp;$J1170,'Weekly Log'!$A:$A,"&lt;"&amp;$J1170+7))</f>
        <v/>
      </c>
      <c r="C1170" t="str">
        <f>IF($J1170="","",IFERROR(COUNTIFS('Weekly Log'!$G:$G,"Y",'Weekly Log'!$A:$A,"&gt;="&amp;$J1170,'Weekly Log'!$A:$A,"&lt;"&amp;$J1170+7)/COUNTIFS('Weekly Log'!$G:$G,"&lt;&gt;",'Weekly Log'!$A:$A,"&gt;="&amp;$J1170,'Weekly Log'!$A:$A,"&lt;"&amp;$J1170+7),0))</f>
        <v/>
      </c>
      <c r="D1170" t="str">
        <f>IF($J1170="","",IFERROR(COUNTIFS('Weekly Log'!$H:$H,"Y",'Weekly Log'!$A:$A,"&gt;="&amp;$J1170,'Weekly Log'!$A:$A,"&lt;"&amp;$J1170+7)/COUNTIFS('Weekly Log'!$H:$H,"&lt;&gt;",'Weekly Log'!$A:$A,"&gt;="&amp;$J1170,'Weekly Log'!$A:$A,"&lt;"&amp;$J1170+7),0))</f>
        <v/>
      </c>
      <c r="E1170" t="str">
        <f>IF($J1170="","",IFERROR(AVERAGEIFS('Weekly Log'!$F:$F,'Weekly Log'!$A:$A,"&gt;="&amp;$J1170,'Weekly Log'!$A:$A,"&lt;"&amp;$J1170+7),0))</f>
        <v/>
      </c>
      <c r="F1170" t="str">
        <f>IF($J1170="","",IFERROR(SUMIFS('Weekly Log'!$F:$F,'Weekly Log'!$A:$A,"&gt;="&amp;$J1170,'Weekly Log'!$A:$A,"&lt;"&amp;$J1170+7)/SUMIFS('Weekly Log'!$E:$E,'Weekly Log'!$A:$A,"&gt;="&amp;$J1170,'Weekly Log'!$A:$A,"&lt;"&amp;$J1170+7),0))</f>
        <v/>
      </c>
      <c r="G1170" t="str">
        <f>IF($J1170="","",IFERROR(LOOKUP(2,1/(('Weekly Log'!$A$5:$A$5000&gt;=$J1170)*('Weekly Log'!$A$5:$A$5000&lt;$J1170+7)*('Weekly Log'!$M$5:$M$5000&lt;&gt;"")),'Weekly Log'!$M$5:$M$5000),0))</f>
        <v/>
      </c>
      <c r="J1170" t="str">
        <f>IF(COUNT('Weekly Log'!$A$5:$A$5000)=0,"",IF(MIN('Weekly Log'!$A$5:$A$5000)+7*(ROW()-10)&gt;MAX('Weekly Log'!$A$5:$A$5000),"",MIN('Weekly Log'!$A$5:$A$5000)+7*(ROW()-10)))</f>
        <v/>
      </c>
    </row>
    <row r="1171" spans="1:10" x14ac:dyDescent="0.25">
      <c r="A1171" t="str">
        <f t="shared" si="18"/>
        <v/>
      </c>
      <c r="B1171" t="str">
        <f>IF($J1171="","",SUMIFS('Weekly Log'!$C:$C,'Weekly Log'!$A:$A,"&gt;="&amp;$J1171,'Weekly Log'!$A:$A,"&lt;"&amp;$J1171+7))</f>
        <v/>
      </c>
      <c r="C1171" t="str">
        <f>IF($J1171="","",IFERROR(COUNTIFS('Weekly Log'!$G:$G,"Y",'Weekly Log'!$A:$A,"&gt;="&amp;$J1171,'Weekly Log'!$A:$A,"&lt;"&amp;$J1171+7)/COUNTIFS('Weekly Log'!$G:$G,"&lt;&gt;",'Weekly Log'!$A:$A,"&gt;="&amp;$J1171,'Weekly Log'!$A:$A,"&lt;"&amp;$J1171+7),0))</f>
        <v/>
      </c>
      <c r="D1171" t="str">
        <f>IF($J1171="","",IFERROR(COUNTIFS('Weekly Log'!$H:$H,"Y",'Weekly Log'!$A:$A,"&gt;="&amp;$J1171,'Weekly Log'!$A:$A,"&lt;"&amp;$J1171+7)/COUNTIFS('Weekly Log'!$H:$H,"&lt;&gt;",'Weekly Log'!$A:$A,"&gt;="&amp;$J1171,'Weekly Log'!$A:$A,"&lt;"&amp;$J1171+7),0))</f>
        <v/>
      </c>
      <c r="E1171" t="str">
        <f>IF($J1171="","",IFERROR(AVERAGEIFS('Weekly Log'!$F:$F,'Weekly Log'!$A:$A,"&gt;="&amp;$J1171,'Weekly Log'!$A:$A,"&lt;"&amp;$J1171+7),0))</f>
        <v/>
      </c>
      <c r="F1171" t="str">
        <f>IF($J1171="","",IFERROR(SUMIFS('Weekly Log'!$F:$F,'Weekly Log'!$A:$A,"&gt;="&amp;$J1171,'Weekly Log'!$A:$A,"&lt;"&amp;$J1171+7)/SUMIFS('Weekly Log'!$E:$E,'Weekly Log'!$A:$A,"&gt;="&amp;$J1171,'Weekly Log'!$A:$A,"&lt;"&amp;$J1171+7),0))</f>
        <v/>
      </c>
      <c r="G1171" t="str">
        <f>IF($J1171="","",IFERROR(LOOKUP(2,1/(('Weekly Log'!$A$5:$A$5000&gt;=$J1171)*('Weekly Log'!$A$5:$A$5000&lt;$J1171+7)*('Weekly Log'!$M$5:$M$5000&lt;&gt;"")),'Weekly Log'!$M$5:$M$5000),0))</f>
        <v/>
      </c>
      <c r="J1171" t="str">
        <f>IF(COUNT('Weekly Log'!$A$5:$A$5000)=0,"",IF(MIN('Weekly Log'!$A$5:$A$5000)+7*(ROW()-10)&gt;MAX('Weekly Log'!$A$5:$A$5000),"",MIN('Weekly Log'!$A$5:$A$5000)+7*(ROW()-10)))</f>
        <v/>
      </c>
    </row>
    <row r="1172" spans="1:10" x14ac:dyDescent="0.25">
      <c r="A1172" t="str">
        <f t="shared" si="18"/>
        <v/>
      </c>
      <c r="B1172" t="str">
        <f>IF($J1172="","",SUMIFS('Weekly Log'!$C:$C,'Weekly Log'!$A:$A,"&gt;="&amp;$J1172,'Weekly Log'!$A:$A,"&lt;"&amp;$J1172+7))</f>
        <v/>
      </c>
      <c r="C1172" t="str">
        <f>IF($J1172="","",IFERROR(COUNTIFS('Weekly Log'!$G:$G,"Y",'Weekly Log'!$A:$A,"&gt;="&amp;$J1172,'Weekly Log'!$A:$A,"&lt;"&amp;$J1172+7)/COUNTIFS('Weekly Log'!$G:$G,"&lt;&gt;",'Weekly Log'!$A:$A,"&gt;="&amp;$J1172,'Weekly Log'!$A:$A,"&lt;"&amp;$J1172+7),0))</f>
        <v/>
      </c>
      <c r="D1172" t="str">
        <f>IF($J1172="","",IFERROR(COUNTIFS('Weekly Log'!$H:$H,"Y",'Weekly Log'!$A:$A,"&gt;="&amp;$J1172,'Weekly Log'!$A:$A,"&lt;"&amp;$J1172+7)/COUNTIFS('Weekly Log'!$H:$H,"&lt;&gt;",'Weekly Log'!$A:$A,"&gt;="&amp;$J1172,'Weekly Log'!$A:$A,"&lt;"&amp;$J1172+7),0))</f>
        <v/>
      </c>
      <c r="E1172" t="str">
        <f>IF($J1172="","",IFERROR(AVERAGEIFS('Weekly Log'!$F:$F,'Weekly Log'!$A:$A,"&gt;="&amp;$J1172,'Weekly Log'!$A:$A,"&lt;"&amp;$J1172+7),0))</f>
        <v/>
      </c>
      <c r="F1172" t="str">
        <f>IF($J1172="","",IFERROR(SUMIFS('Weekly Log'!$F:$F,'Weekly Log'!$A:$A,"&gt;="&amp;$J1172,'Weekly Log'!$A:$A,"&lt;"&amp;$J1172+7)/SUMIFS('Weekly Log'!$E:$E,'Weekly Log'!$A:$A,"&gt;="&amp;$J1172,'Weekly Log'!$A:$A,"&lt;"&amp;$J1172+7),0))</f>
        <v/>
      </c>
      <c r="G1172" t="str">
        <f>IF($J1172="","",IFERROR(LOOKUP(2,1/(('Weekly Log'!$A$5:$A$5000&gt;=$J1172)*('Weekly Log'!$A$5:$A$5000&lt;$J1172+7)*('Weekly Log'!$M$5:$M$5000&lt;&gt;"")),'Weekly Log'!$M$5:$M$5000),0))</f>
        <v/>
      </c>
      <c r="J1172" t="str">
        <f>IF(COUNT('Weekly Log'!$A$5:$A$5000)=0,"",IF(MIN('Weekly Log'!$A$5:$A$5000)+7*(ROW()-10)&gt;MAX('Weekly Log'!$A$5:$A$5000),"",MIN('Weekly Log'!$A$5:$A$5000)+7*(ROW()-10)))</f>
        <v/>
      </c>
    </row>
    <row r="1173" spans="1:10" x14ac:dyDescent="0.25">
      <c r="A1173" t="str">
        <f t="shared" si="18"/>
        <v/>
      </c>
      <c r="B1173" t="str">
        <f>IF($J1173="","",SUMIFS('Weekly Log'!$C:$C,'Weekly Log'!$A:$A,"&gt;="&amp;$J1173,'Weekly Log'!$A:$A,"&lt;"&amp;$J1173+7))</f>
        <v/>
      </c>
      <c r="C1173" t="str">
        <f>IF($J1173="","",IFERROR(COUNTIFS('Weekly Log'!$G:$G,"Y",'Weekly Log'!$A:$A,"&gt;="&amp;$J1173,'Weekly Log'!$A:$A,"&lt;"&amp;$J1173+7)/COUNTIFS('Weekly Log'!$G:$G,"&lt;&gt;",'Weekly Log'!$A:$A,"&gt;="&amp;$J1173,'Weekly Log'!$A:$A,"&lt;"&amp;$J1173+7),0))</f>
        <v/>
      </c>
      <c r="D1173" t="str">
        <f>IF($J1173="","",IFERROR(COUNTIFS('Weekly Log'!$H:$H,"Y",'Weekly Log'!$A:$A,"&gt;="&amp;$J1173,'Weekly Log'!$A:$A,"&lt;"&amp;$J1173+7)/COUNTIFS('Weekly Log'!$H:$H,"&lt;&gt;",'Weekly Log'!$A:$A,"&gt;="&amp;$J1173,'Weekly Log'!$A:$A,"&lt;"&amp;$J1173+7),0))</f>
        <v/>
      </c>
      <c r="E1173" t="str">
        <f>IF($J1173="","",IFERROR(AVERAGEIFS('Weekly Log'!$F:$F,'Weekly Log'!$A:$A,"&gt;="&amp;$J1173,'Weekly Log'!$A:$A,"&lt;"&amp;$J1173+7),0))</f>
        <v/>
      </c>
      <c r="F1173" t="str">
        <f>IF($J1173="","",IFERROR(SUMIFS('Weekly Log'!$F:$F,'Weekly Log'!$A:$A,"&gt;="&amp;$J1173,'Weekly Log'!$A:$A,"&lt;"&amp;$J1173+7)/SUMIFS('Weekly Log'!$E:$E,'Weekly Log'!$A:$A,"&gt;="&amp;$J1173,'Weekly Log'!$A:$A,"&lt;"&amp;$J1173+7),0))</f>
        <v/>
      </c>
      <c r="G1173" t="str">
        <f>IF($J1173="","",IFERROR(LOOKUP(2,1/(('Weekly Log'!$A$5:$A$5000&gt;=$J1173)*('Weekly Log'!$A$5:$A$5000&lt;$J1173+7)*('Weekly Log'!$M$5:$M$5000&lt;&gt;"")),'Weekly Log'!$M$5:$M$5000),0))</f>
        <v/>
      </c>
      <c r="J1173" t="str">
        <f>IF(COUNT('Weekly Log'!$A$5:$A$5000)=0,"",IF(MIN('Weekly Log'!$A$5:$A$5000)+7*(ROW()-10)&gt;MAX('Weekly Log'!$A$5:$A$5000),"",MIN('Weekly Log'!$A$5:$A$5000)+7*(ROW()-10)))</f>
        <v/>
      </c>
    </row>
    <row r="1174" spans="1:10" x14ac:dyDescent="0.25">
      <c r="A1174" t="str">
        <f t="shared" si="18"/>
        <v/>
      </c>
      <c r="B1174" t="str">
        <f>IF($J1174="","",SUMIFS('Weekly Log'!$C:$C,'Weekly Log'!$A:$A,"&gt;="&amp;$J1174,'Weekly Log'!$A:$A,"&lt;"&amp;$J1174+7))</f>
        <v/>
      </c>
      <c r="C1174" t="str">
        <f>IF($J1174="","",IFERROR(COUNTIFS('Weekly Log'!$G:$G,"Y",'Weekly Log'!$A:$A,"&gt;="&amp;$J1174,'Weekly Log'!$A:$A,"&lt;"&amp;$J1174+7)/COUNTIFS('Weekly Log'!$G:$G,"&lt;&gt;",'Weekly Log'!$A:$A,"&gt;="&amp;$J1174,'Weekly Log'!$A:$A,"&lt;"&amp;$J1174+7),0))</f>
        <v/>
      </c>
      <c r="D1174" t="str">
        <f>IF($J1174="","",IFERROR(COUNTIFS('Weekly Log'!$H:$H,"Y",'Weekly Log'!$A:$A,"&gt;="&amp;$J1174,'Weekly Log'!$A:$A,"&lt;"&amp;$J1174+7)/COUNTIFS('Weekly Log'!$H:$H,"&lt;&gt;",'Weekly Log'!$A:$A,"&gt;="&amp;$J1174,'Weekly Log'!$A:$A,"&lt;"&amp;$J1174+7),0))</f>
        <v/>
      </c>
      <c r="E1174" t="str">
        <f>IF($J1174="","",IFERROR(AVERAGEIFS('Weekly Log'!$F:$F,'Weekly Log'!$A:$A,"&gt;="&amp;$J1174,'Weekly Log'!$A:$A,"&lt;"&amp;$J1174+7),0))</f>
        <v/>
      </c>
      <c r="F1174" t="str">
        <f>IF($J1174="","",IFERROR(SUMIFS('Weekly Log'!$F:$F,'Weekly Log'!$A:$A,"&gt;="&amp;$J1174,'Weekly Log'!$A:$A,"&lt;"&amp;$J1174+7)/SUMIFS('Weekly Log'!$E:$E,'Weekly Log'!$A:$A,"&gt;="&amp;$J1174,'Weekly Log'!$A:$A,"&lt;"&amp;$J1174+7),0))</f>
        <v/>
      </c>
      <c r="G1174" t="str">
        <f>IF($J1174="","",IFERROR(LOOKUP(2,1/(('Weekly Log'!$A$5:$A$5000&gt;=$J1174)*('Weekly Log'!$A$5:$A$5000&lt;$J1174+7)*('Weekly Log'!$M$5:$M$5000&lt;&gt;"")),'Weekly Log'!$M$5:$M$5000),0))</f>
        <v/>
      </c>
      <c r="J1174" t="str">
        <f>IF(COUNT('Weekly Log'!$A$5:$A$5000)=0,"",IF(MIN('Weekly Log'!$A$5:$A$5000)+7*(ROW()-10)&gt;MAX('Weekly Log'!$A$5:$A$5000),"",MIN('Weekly Log'!$A$5:$A$5000)+7*(ROW()-10)))</f>
        <v/>
      </c>
    </row>
    <row r="1175" spans="1:10" x14ac:dyDescent="0.25">
      <c r="A1175" t="str">
        <f t="shared" si="18"/>
        <v/>
      </c>
      <c r="B1175" t="str">
        <f>IF($J1175="","",SUMIFS('Weekly Log'!$C:$C,'Weekly Log'!$A:$A,"&gt;="&amp;$J1175,'Weekly Log'!$A:$A,"&lt;"&amp;$J1175+7))</f>
        <v/>
      </c>
      <c r="C1175" t="str">
        <f>IF($J1175="","",IFERROR(COUNTIFS('Weekly Log'!$G:$G,"Y",'Weekly Log'!$A:$A,"&gt;="&amp;$J1175,'Weekly Log'!$A:$A,"&lt;"&amp;$J1175+7)/COUNTIFS('Weekly Log'!$G:$G,"&lt;&gt;",'Weekly Log'!$A:$A,"&gt;="&amp;$J1175,'Weekly Log'!$A:$A,"&lt;"&amp;$J1175+7),0))</f>
        <v/>
      </c>
      <c r="D1175" t="str">
        <f>IF($J1175="","",IFERROR(COUNTIFS('Weekly Log'!$H:$H,"Y",'Weekly Log'!$A:$A,"&gt;="&amp;$J1175,'Weekly Log'!$A:$A,"&lt;"&amp;$J1175+7)/COUNTIFS('Weekly Log'!$H:$H,"&lt;&gt;",'Weekly Log'!$A:$A,"&gt;="&amp;$J1175,'Weekly Log'!$A:$A,"&lt;"&amp;$J1175+7),0))</f>
        <v/>
      </c>
      <c r="E1175" t="str">
        <f>IF($J1175="","",IFERROR(AVERAGEIFS('Weekly Log'!$F:$F,'Weekly Log'!$A:$A,"&gt;="&amp;$J1175,'Weekly Log'!$A:$A,"&lt;"&amp;$J1175+7),0))</f>
        <v/>
      </c>
      <c r="F1175" t="str">
        <f>IF($J1175="","",IFERROR(SUMIFS('Weekly Log'!$F:$F,'Weekly Log'!$A:$A,"&gt;="&amp;$J1175,'Weekly Log'!$A:$A,"&lt;"&amp;$J1175+7)/SUMIFS('Weekly Log'!$E:$E,'Weekly Log'!$A:$A,"&gt;="&amp;$J1175,'Weekly Log'!$A:$A,"&lt;"&amp;$J1175+7),0))</f>
        <v/>
      </c>
      <c r="G1175" t="str">
        <f>IF($J1175="","",IFERROR(LOOKUP(2,1/(('Weekly Log'!$A$5:$A$5000&gt;=$J1175)*('Weekly Log'!$A$5:$A$5000&lt;$J1175+7)*('Weekly Log'!$M$5:$M$5000&lt;&gt;"")),'Weekly Log'!$M$5:$M$5000),0))</f>
        <v/>
      </c>
      <c r="J1175" t="str">
        <f>IF(COUNT('Weekly Log'!$A$5:$A$5000)=0,"",IF(MIN('Weekly Log'!$A$5:$A$5000)+7*(ROW()-10)&gt;MAX('Weekly Log'!$A$5:$A$5000),"",MIN('Weekly Log'!$A$5:$A$5000)+7*(ROW()-10)))</f>
        <v/>
      </c>
    </row>
    <row r="1176" spans="1:10" x14ac:dyDescent="0.25">
      <c r="A1176" t="str">
        <f t="shared" si="18"/>
        <v/>
      </c>
      <c r="B1176" t="str">
        <f>IF($J1176="","",SUMIFS('Weekly Log'!$C:$C,'Weekly Log'!$A:$A,"&gt;="&amp;$J1176,'Weekly Log'!$A:$A,"&lt;"&amp;$J1176+7))</f>
        <v/>
      </c>
      <c r="C1176" t="str">
        <f>IF($J1176="","",IFERROR(COUNTIFS('Weekly Log'!$G:$G,"Y",'Weekly Log'!$A:$A,"&gt;="&amp;$J1176,'Weekly Log'!$A:$A,"&lt;"&amp;$J1176+7)/COUNTIFS('Weekly Log'!$G:$G,"&lt;&gt;",'Weekly Log'!$A:$A,"&gt;="&amp;$J1176,'Weekly Log'!$A:$A,"&lt;"&amp;$J1176+7),0))</f>
        <v/>
      </c>
      <c r="D1176" t="str">
        <f>IF($J1176="","",IFERROR(COUNTIFS('Weekly Log'!$H:$H,"Y",'Weekly Log'!$A:$A,"&gt;="&amp;$J1176,'Weekly Log'!$A:$A,"&lt;"&amp;$J1176+7)/COUNTIFS('Weekly Log'!$H:$H,"&lt;&gt;",'Weekly Log'!$A:$A,"&gt;="&amp;$J1176,'Weekly Log'!$A:$A,"&lt;"&amp;$J1176+7),0))</f>
        <v/>
      </c>
      <c r="E1176" t="str">
        <f>IF($J1176="","",IFERROR(AVERAGEIFS('Weekly Log'!$F:$F,'Weekly Log'!$A:$A,"&gt;="&amp;$J1176,'Weekly Log'!$A:$A,"&lt;"&amp;$J1176+7),0))</f>
        <v/>
      </c>
      <c r="F1176" t="str">
        <f>IF($J1176="","",IFERROR(SUMIFS('Weekly Log'!$F:$F,'Weekly Log'!$A:$A,"&gt;="&amp;$J1176,'Weekly Log'!$A:$A,"&lt;"&amp;$J1176+7)/SUMIFS('Weekly Log'!$E:$E,'Weekly Log'!$A:$A,"&gt;="&amp;$J1176,'Weekly Log'!$A:$A,"&lt;"&amp;$J1176+7),0))</f>
        <v/>
      </c>
      <c r="G1176" t="str">
        <f>IF($J1176="","",IFERROR(LOOKUP(2,1/(('Weekly Log'!$A$5:$A$5000&gt;=$J1176)*('Weekly Log'!$A$5:$A$5000&lt;$J1176+7)*('Weekly Log'!$M$5:$M$5000&lt;&gt;"")),'Weekly Log'!$M$5:$M$5000),0))</f>
        <v/>
      </c>
      <c r="J1176" t="str">
        <f>IF(COUNT('Weekly Log'!$A$5:$A$5000)=0,"",IF(MIN('Weekly Log'!$A$5:$A$5000)+7*(ROW()-10)&gt;MAX('Weekly Log'!$A$5:$A$5000),"",MIN('Weekly Log'!$A$5:$A$5000)+7*(ROW()-10)))</f>
        <v/>
      </c>
    </row>
    <row r="1177" spans="1:10" x14ac:dyDescent="0.25">
      <c r="A1177" t="str">
        <f t="shared" si="18"/>
        <v/>
      </c>
      <c r="B1177" t="str">
        <f>IF($J1177="","",SUMIFS('Weekly Log'!$C:$C,'Weekly Log'!$A:$A,"&gt;="&amp;$J1177,'Weekly Log'!$A:$A,"&lt;"&amp;$J1177+7))</f>
        <v/>
      </c>
      <c r="C1177" t="str">
        <f>IF($J1177="","",IFERROR(COUNTIFS('Weekly Log'!$G:$G,"Y",'Weekly Log'!$A:$A,"&gt;="&amp;$J1177,'Weekly Log'!$A:$A,"&lt;"&amp;$J1177+7)/COUNTIFS('Weekly Log'!$G:$G,"&lt;&gt;",'Weekly Log'!$A:$A,"&gt;="&amp;$J1177,'Weekly Log'!$A:$A,"&lt;"&amp;$J1177+7),0))</f>
        <v/>
      </c>
      <c r="D1177" t="str">
        <f>IF($J1177="","",IFERROR(COUNTIFS('Weekly Log'!$H:$H,"Y",'Weekly Log'!$A:$A,"&gt;="&amp;$J1177,'Weekly Log'!$A:$A,"&lt;"&amp;$J1177+7)/COUNTIFS('Weekly Log'!$H:$H,"&lt;&gt;",'Weekly Log'!$A:$A,"&gt;="&amp;$J1177,'Weekly Log'!$A:$A,"&lt;"&amp;$J1177+7),0))</f>
        <v/>
      </c>
      <c r="E1177" t="str">
        <f>IF($J1177="","",IFERROR(AVERAGEIFS('Weekly Log'!$F:$F,'Weekly Log'!$A:$A,"&gt;="&amp;$J1177,'Weekly Log'!$A:$A,"&lt;"&amp;$J1177+7),0))</f>
        <v/>
      </c>
      <c r="F1177" t="str">
        <f>IF($J1177="","",IFERROR(SUMIFS('Weekly Log'!$F:$F,'Weekly Log'!$A:$A,"&gt;="&amp;$J1177,'Weekly Log'!$A:$A,"&lt;"&amp;$J1177+7)/SUMIFS('Weekly Log'!$E:$E,'Weekly Log'!$A:$A,"&gt;="&amp;$J1177,'Weekly Log'!$A:$A,"&lt;"&amp;$J1177+7),0))</f>
        <v/>
      </c>
      <c r="G1177" t="str">
        <f>IF($J1177="","",IFERROR(LOOKUP(2,1/(('Weekly Log'!$A$5:$A$5000&gt;=$J1177)*('Weekly Log'!$A$5:$A$5000&lt;$J1177+7)*('Weekly Log'!$M$5:$M$5000&lt;&gt;"")),'Weekly Log'!$M$5:$M$5000),0))</f>
        <v/>
      </c>
      <c r="J1177" t="str">
        <f>IF(COUNT('Weekly Log'!$A$5:$A$5000)=0,"",IF(MIN('Weekly Log'!$A$5:$A$5000)+7*(ROW()-10)&gt;MAX('Weekly Log'!$A$5:$A$5000),"",MIN('Weekly Log'!$A$5:$A$5000)+7*(ROW()-10)))</f>
        <v/>
      </c>
    </row>
    <row r="1178" spans="1:10" x14ac:dyDescent="0.25">
      <c r="A1178" t="str">
        <f t="shared" si="18"/>
        <v/>
      </c>
      <c r="B1178" t="str">
        <f>IF($J1178="","",SUMIFS('Weekly Log'!$C:$C,'Weekly Log'!$A:$A,"&gt;="&amp;$J1178,'Weekly Log'!$A:$A,"&lt;"&amp;$J1178+7))</f>
        <v/>
      </c>
      <c r="C1178" t="str">
        <f>IF($J1178="","",IFERROR(COUNTIFS('Weekly Log'!$G:$G,"Y",'Weekly Log'!$A:$A,"&gt;="&amp;$J1178,'Weekly Log'!$A:$A,"&lt;"&amp;$J1178+7)/COUNTIFS('Weekly Log'!$G:$G,"&lt;&gt;",'Weekly Log'!$A:$A,"&gt;="&amp;$J1178,'Weekly Log'!$A:$A,"&lt;"&amp;$J1178+7),0))</f>
        <v/>
      </c>
      <c r="D1178" t="str">
        <f>IF($J1178="","",IFERROR(COUNTIFS('Weekly Log'!$H:$H,"Y",'Weekly Log'!$A:$A,"&gt;="&amp;$J1178,'Weekly Log'!$A:$A,"&lt;"&amp;$J1178+7)/COUNTIFS('Weekly Log'!$H:$H,"&lt;&gt;",'Weekly Log'!$A:$A,"&gt;="&amp;$J1178,'Weekly Log'!$A:$A,"&lt;"&amp;$J1178+7),0))</f>
        <v/>
      </c>
      <c r="E1178" t="str">
        <f>IF($J1178="","",IFERROR(AVERAGEIFS('Weekly Log'!$F:$F,'Weekly Log'!$A:$A,"&gt;="&amp;$J1178,'Weekly Log'!$A:$A,"&lt;"&amp;$J1178+7),0))</f>
        <v/>
      </c>
      <c r="F1178" t="str">
        <f>IF($J1178="","",IFERROR(SUMIFS('Weekly Log'!$F:$F,'Weekly Log'!$A:$A,"&gt;="&amp;$J1178,'Weekly Log'!$A:$A,"&lt;"&amp;$J1178+7)/SUMIFS('Weekly Log'!$E:$E,'Weekly Log'!$A:$A,"&gt;="&amp;$J1178,'Weekly Log'!$A:$A,"&lt;"&amp;$J1178+7),0))</f>
        <v/>
      </c>
      <c r="G1178" t="str">
        <f>IF($J1178="","",IFERROR(LOOKUP(2,1/(('Weekly Log'!$A$5:$A$5000&gt;=$J1178)*('Weekly Log'!$A$5:$A$5000&lt;$J1178+7)*('Weekly Log'!$M$5:$M$5000&lt;&gt;"")),'Weekly Log'!$M$5:$M$5000),0))</f>
        <v/>
      </c>
      <c r="J1178" t="str">
        <f>IF(COUNT('Weekly Log'!$A$5:$A$5000)=0,"",IF(MIN('Weekly Log'!$A$5:$A$5000)+7*(ROW()-10)&gt;MAX('Weekly Log'!$A$5:$A$5000),"",MIN('Weekly Log'!$A$5:$A$5000)+7*(ROW()-10)))</f>
        <v/>
      </c>
    </row>
    <row r="1179" spans="1:10" x14ac:dyDescent="0.25">
      <c r="A1179" t="str">
        <f t="shared" si="18"/>
        <v/>
      </c>
      <c r="B1179" t="str">
        <f>IF($J1179="","",SUMIFS('Weekly Log'!$C:$C,'Weekly Log'!$A:$A,"&gt;="&amp;$J1179,'Weekly Log'!$A:$A,"&lt;"&amp;$J1179+7))</f>
        <v/>
      </c>
      <c r="C1179" t="str">
        <f>IF($J1179="","",IFERROR(COUNTIFS('Weekly Log'!$G:$G,"Y",'Weekly Log'!$A:$A,"&gt;="&amp;$J1179,'Weekly Log'!$A:$A,"&lt;"&amp;$J1179+7)/COUNTIFS('Weekly Log'!$G:$G,"&lt;&gt;",'Weekly Log'!$A:$A,"&gt;="&amp;$J1179,'Weekly Log'!$A:$A,"&lt;"&amp;$J1179+7),0))</f>
        <v/>
      </c>
      <c r="D1179" t="str">
        <f>IF($J1179="","",IFERROR(COUNTIFS('Weekly Log'!$H:$H,"Y",'Weekly Log'!$A:$A,"&gt;="&amp;$J1179,'Weekly Log'!$A:$A,"&lt;"&amp;$J1179+7)/COUNTIFS('Weekly Log'!$H:$H,"&lt;&gt;",'Weekly Log'!$A:$A,"&gt;="&amp;$J1179,'Weekly Log'!$A:$A,"&lt;"&amp;$J1179+7),0))</f>
        <v/>
      </c>
      <c r="E1179" t="str">
        <f>IF($J1179="","",IFERROR(AVERAGEIFS('Weekly Log'!$F:$F,'Weekly Log'!$A:$A,"&gt;="&amp;$J1179,'Weekly Log'!$A:$A,"&lt;"&amp;$J1179+7),0))</f>
        <v/>
      </c>
      <c r="F1179" t="str">
        <f>IF($J1179="","",IFERROR(SUMIFS('Weekly Log'!$F:$F,'Weekly Log'!$A:$A,"&gt;="&amp;$J1179,'Weekly Log'!$A:$A,"&lt;"&amp;$J1179+7)/SUMIFS('Weekly Log'!$E:$E,'Weekly Log'!$A:$A,"&gt;="&amp;$J1179,'Weekly Log'!$A:$A,"&lt;"&amp;$J1179+7),0))</f>
        <v/>
      </c>
      <c r="G1179" t="str">
        <f>IF($J1179="","",IFERROR(LOOKUP(2,1/(('Weekly Log'!$A$5:$A$5000&gt;=$J1179)*('Weekly Log'!$A$5:$A$5000&lt;$J1179+7)*('Weekly Log'!$M$5:$M$5000&lt;&gt;"")),'Weekly Log'!$M$5:$M$5000),0))</f>
        <v/>
      </c>
      <c r="J1179" t="str">
        <f>IF(COUNT('Weekly Log'!$A$5:$A$5000)=0,"",IF(MIN('Weekly Log'!$A$5:$A$5000)+7*(ROW()-10)&gt;MAX('Weekly Log'!$A$5:$A$5000),"",MIN('Weekly Log'!$A$5:$A$5000)+7*(ROW()-10)))</f>
        <v/>
      </c>
    </row>
    <row r="1180" spans="1:10" x14ac:dyDescent="0.25">
      <c r="A1180" t="str">
        <f t="shared" si="18"/>
        <v/>
      </c>
      <c r="B1180" t="str">
        <f>IF($J1180="","",SUMIFS('Weekly Log'!$C:$C,'Weekly Log'!$A:$A,"&gt;="&amp;$J1180,'Weekly Log'!$A:$A,"&lt;"&amp;$J1180+7))</f>
        <v/>
      </c>
      <c r="C1180" t="str">
        <f>IF($J1180="","",IFERROR(COUNTIFS('Weekly Log'!$G:$G,"Y",'Weekly Log'!$A:$A,"&gt;="&amp;$J1180,'Weekly Log'!$A:$A,"&lt;"&amp;$J1180+7)/COUNTIFS('Weekly Log'!$G:$G,"&lt;&gt;",'Weekly Log'!$A:$A,"&gt;="&amp;$J1180,'Weekly Log'!$A:$A,"&lt;"&amp;$J1180+7),0))</f>
        <v/>
      </c>
      <c r="D1180" t="str">
        <f>IF($J1180="","",IFERROR(COUNTIFS('Weekly Log'!$H:$H,"Y",'Weekly Log'!$A:$A,"&gt;="&amp;$J1180,'Weekly Log'!$A:$A,"&lt;"&amp;$J1180+7)/COUNTIFS('Weekly Log'!$H:$H,"&lt;&gt;",'Weekly Log'!$A:$A,"&gt;="&amp;$J1180,'Weekly Log'!$A:$A,"&lt;"&amp;$J1180+7),0))</f>
        <v/>
      </c>
      <c r="E1180" t="str">
        <f>IF($J1180="","",IFERROR(AVERAGEIFS('Weekly Log'!$F:$F,'Weekly Log'!$A:$A,"&gt;="&amp;$J1180,'Weekly Log'!$A:$A,"&lt;"&amp;$J1180+7),0))</f>
        <v/>
      </c>
      <c r="F1180" t="str">
        <f>IF($J1180="","",IFERROR(SUMIFS('Weekly Log'!$F:$F,'Weekly Log'!$A:$A,"&gt;="&amp;$J1180,'Weekly Log'!$A:$A,"&lt;"&amp;$J1180+7)/SUMIFS('Weekly Log'!$E:$E,'Weekly Log'!$A:$A,"&gt;="&amp;$J1180,'Weekly Log'!$A:$A,"&lt;"&amp;$J1180+7),0))</f>
        <v/>
      </c>
      <c r="G1180" t="str">
        <f>IF($J1180="","",IFERROR(LOOKUP(2,1/(('Weekly Log'!$A$5:$A$5000&gt;=$J1180)*('Weekly Log'!$A$5:$A$5000&lt;$J1180+7)*('Weekly Log'!$M$5:$M$5000&lt;&gt;"")),'Weekly Log'!$M$5:$M$5000),0))</f>
        <v/>
      </c>
      <c r="J1180" t="str">
        <f>IF(COUNT('Weekly Log'!$A$5:$A$5000)=0,"",IF(MIN('Weekly Log'!$A$5:$A$5000)+7*(ROW()-10)&gt;MAX('Weekly Log'!$A$5:$A$5000),"",MIN('Weekly Log'!$A$5:$A$5000)+7*(ROW()-10)))</f>
        <v/>
      </c>
    </row>
    <row r="1181" spans="1:10" x14ac:dyDescent="0.25">
      <c r="A1181" t="str">
        <f t="shared" si="18"/>
        <v/>
      </c>
      <c r="B1181" t="str">
        <f>IF($J1181="","",SUMIFS('Weekly Log'!$C:$C,'Weekly Log'!$A:$A,"&gt;="&amp;$J1181,'Weekly Log'!$A:$A,"&lt;"&amp;$J1181+7))</f>
        <v/>
      </c>
      <c r="C1181" t="str">
        <f>IF($J1181="","",IFERROR(COUNTIFS('Weekly Log'!$G:$G,"Y",'Weekly Log'!$A:$A,"&gt;="&amp;$J1181,'Weekly Log'!$A:$A,"&lt;"&amp;$J1181+7)/COUNTIFS('Weekly Log'!$G:$G,"&lt;&gt;",'Weekly Log'!$A:$A,"&gt;="&amp;$J1181,'Weekly Log'!$A:$A,"&lt;"&amp;$J1181+7),0))</f>
        <v/>
      </c>
      <c r="D1181" t="str">
        <f>IF($J1181="","",IFERROR(COUNTIFS('Weekly Log'!$H:$H,"Y",'Weekly Log'!$A:$A,"&gt;="&amp;$J1181,'Weekly Log'!$A:$A,"&lt;"&amp;$J1181+7)/COUNTIFS('Weekly Log'!$H:$H,"&lt;&gt;",'Weekly Log'!$A:$A,"&gt;="&amp;$J1181,'Weekly Log'!$A:$A,"&lt;"&amp;$J1181+7),0))</f>
        <v/>
      </c>
      <c r="E1181" t="str">
        <f>IF($J1181="","",IFERROR(AVERAGEIFS('Weekly Log'!$F:$F,'Weekly Log'!$A:$A,"&gt;="&amp;$J1181,'Weekly Log'!$A:$A,"&lt;"&amp;$J1181+7),0))</f>
        <v/>
      </c>
      <c r="F1181" t="str">
        <f>IF($J1181="","",IFERROR(SUMIFS('Weekly Log'!$F:$F,'Weekly Log'!$A:$A,"&gt;="&amp;$J1181,'Weekly Log'!$A:$A,"&lt;"&amp;$J1181+7)/SUMIFS('Weekly Log'!$E:$E,'Weekly Log'!$A:$A,"&gt;="&amp;$J1181,'Weekly Log'!$A:$A,"&lt;"&amp;$J1181+7),0))</f>
        <v/>
      </c>
      <c r="G1181" t="str">
        <f>IF($J1181="","",IFERROR(LOOKUP(2,1/(('Weekly Log'!$A$5:$A$5000&gt;=$J1181)*('Weekly Log'!$A$5:$A$5000&lt;$J1181+7)*('Weekly Log'!$M$5:$M$5000&lt;&gt;"")),'Weekly Log'!$M$5:$M$5000),0))</f>
        <v/>
      </c>
      <c r="J1181" t="str">
        <f>IF(COUNT('Weekly Log'!$A$5:$A$5000)=0,"",IF(MIN('Weekly Log'!$A$5:$A$5000)+7*(ROW()-10)&gt;MAX('Weekly Log'!$A$5:$A$5000),"",MIN('Weekly Log'!$A$5:$A$5000)+7*(ROW()-10)))</f>
        <v/>
      </c>
    </row>
    <row r="1182" spans="1:10" x14ac:dyDescent="0.25">
      <c r="A1182" t="str">
        <f t="shared" si="18"/>
        <v/>
      </c>
      <c r="B1182" t="str">
        <f>IF($J1182="","",SUMIFS('Weekly Log'!$C:$C,'Weekly Log'!$A:$A,"&gt;="&amp;$J1182,'Weekly Log'!$A:$A,"&lt;"&amp;$J1182+7))</f>
        <v/>
      </c>
      <c r="C1182" t="str">
        <f>IF($J1182="","",IFERROR(COUNTIFS('Weekly Log'!$G:$G,"Y",'Weekly Log'!$A:$A,"&gt;="&amp;$J1182,'Weekly Log'!$A:$A,"&lt;"&amp;$J1182+7)/COUNTIFS('Weekly Log'!$G:$G,"&lt;&gt;",'Weekly Log'!$A:$A,"&gt;="&amp;$J1182,'Weekly Log'!$A:$A,"&lt;"&amp;$J1182+7),0))</f>
        <v/>
      </c>
      <c r="D1182" t="str">
        <f>IF($J1182="","",IFERROR(COUNTIFS('Weekly Log'!$H:$H,"Y",'Weekly Log'!$A:$A,"&gt;="&amp;$J1182,'Weekly Log'!$A:$A,"&lt;"&amp;$J1182+7)/COUNTIFS('Weekly Log'!$H:$H,"&lt;&gt;",'Weekly Log'!$A:$A,"&gt;="&amp;$J1182,'Weekly Log'!$A:$A,"&lt;"&amp;$J1182+7),0))</f>
        <v/>
      </c>
      <c r="E1182" t="str">
        <f>IF($J1182="","",IFERROR(AVERAGEIFS('Weekly Log'!$F:$F,'Weekly Log'!$A:$A,"&gt;="&amp;$J1182,'Weekly Log'!$A:$A,"&lt;"&amp;$J1182+7),0))</f>
        <v/>
      </c>
      <c r="F1182" t="str">
        <f>IF($J1182="","",IFERROR(SUMIFS('Weekly Log'!$F:$F,'Weekly Log'!$A:$A,"&gt;="&amp;$J1182,'Weekly Log'!$A:$A,"&lt;"&amp;$J1182+7)/SUMIFS('Weekly Log'!$E:$E,'Weekly Log'!$A:$A,"&gt;="&amp;$J1182,'Weekly Log'!$A:$A,"&lt;"&amp;$J1182+7),0))</f>
        <v/>
      </c>
      <c r="G1182" t="str">
        <f>IF($J1182="","",IFERROR(LOOKUP(2,1/(('Weekly Log'!$A$5:$A$5000&gt;=$J1182)*('Weekly Log'!$A$5:$A$5000&lt;$J1182+7)*('Weekly Log'!$M$5:$M$5000&lt;&gt;"")),'Weekly Log'!$M$5:$M$5000),0))</f>
        <v/>
      </c>
      <c r="J1182" t="str">
        <f>IF(COUNT('Weekly Log'!$A$5:$A$5000)=0,"",IF(MIN('Weekly Log'!$A$5:$A$5000)+7*(ROW()-10)&gt;MAX('Weekly Log'!$A$5:$A$5000),"",MIN('Weekly Log'!$A$5:$A$5000)+7*(ROW()-10)))</f>
        <v/>
      </c>
    </row>
    <row r="1183" spans="1:10" x14ac:dyDescent="0.25">
      <c r="A1183" t="str">
        <f t="shared" si="18"/>
        <v/>
      </c>
      <c r="B1183" t="str">
        <f>IF($J1183="","",SUMIFS('Weekly Log'!$C:$C,'Weekly Log'!$A:$A,"&gt;="&amp;$J1183,'Weekly Log'!$A:$A,"&lt;"&amp;$J1183+7))</f>
        <v/>
      </c>
      <c r="C1183" t="str">
        <f>IF($J1183="","",IFERROR(COUNTIFS('Weekly Log'!$G:$G,"Y",'Weekly Log'!$A:$A,"&gt;="&amp;$J1183,'Weekly Log'!$A:$A,"&lt;"&amp;$J1183+7)/COUNTIFS('Weekly Log'!$G:$G,"&lt;&gt;",'Weekly Log'!$A:$A,"&gt;="&amp;$J1183,'Weekly Log'!$A:$A,"&lt;"&amp;$J1183+7),0))</f>
        <v/>
      </c>
      <c r="D1183" t="str">
        <f>IF($J1183="","",IFERROR(COUNTIFS('Weekly Log'!$H:$H,"Y",'Weekly Log'!$A:$A,"&gt;="&amp;$J1183,'Weekly Log'!$A:$A,"&lt;"&amp;$J1183+7)/COUNTIFS('Weekly Log'!$H:$H,"&lt;&gt;",'Weekly Log'!$A:$A,"&gt;="&amp;$J1183,'Weekly Log'!$A:$A,"&lt;"&amp;$J1183+7),0))</f>
        <v/>
      </c>
      <c r="E1183" t="str">
        <f>IF($J1183="","",IFERROR(AVERAGEIFS('Weekly Log'!$F:$F,'Weekly Log'!$A:$A,"&gt;="&amp;$J1183,'Weekly Log'!$A:$A,"&lt;"&amp;$J1183+7),0))</f>
        <v/>
      </c>
      <c r="F1183" t="str">
        <f>IF($J1183="","",IFERROR(SUMIFS('Weekly Log'!$F:$F,'Weekly Log'!$A:$A,"&gt;="&amp;$J1183,'Weekly Log'!$A:$A,"&lt;"&amp;$J1183+7)/SUMIFS('Weekly Log'!$E:$E,'Weekly Log'!$A:$A,"&gt;="&amp;$J1183,'Weekly Log'!$A:$A,"&lt;"&amp;$J1183+7),0))</f>
        <v/>
      </c>
      <c r="G1183" t="str">
        <f>IF($J1183="","",IFERROR(LOOKUP(2,1/(('Weekly Log'!$A$5:$A$5000&gt;=$J1183)*('Weekly Log'!$A$5:$A$5000&lt;$J1183+7)*('Weekly Log'!$M$5:$M$5000&lt;&gt;"")),'Weekly Log'!$M$5:$M$5000),0))</f>
        <v/>
      </c>
      <c r="J1183" t="str">
        <f>IF(COUNT('Weekly Log'!$A$5:$A$5000)=0,"",IF(MIN('Weekly Log'!$A$5:$A$5000)+7*(ROW()-10)&gt;MAX('Weekly Log'!$A$5:$A$5000),"",MIN('Weekly Log'!$A$5:$A$5000)+7*(ROW()-10)))</f>
        <v/>
      </c>
    </row>
    <row r="1184" spans="1:10" x14ac:dyDescent="0.25">
      <c r="A1184" t="str">
        <f t="shared" si="18"/>
        <v/>
      </c>
      <c r="B1184" t="str">
        <f>IF($J1184="","",SUMIFS('Weekly Log'!$C:$C,'Weekly Log'!$A:$A,"&gt;="&amp;$J1184,'Weekly Log'!$A:$A,"&lt;"&amp;$J1184+7))</f>
        <v/>
      </c>
      <c r="C1184" t="str">
        <f>IF($J1184="","",IFERROR(COUNTIFS('Weekly Log'!$G:$G,"Y",'Weekly Log'!$A:$A,"&gt;="&amp;$J1184,'Weekly Log'!$A:$A,"&lt;"&amp;$J1184+7)/COUNTIFS('Weekly Log'!$G:$G,"&lt;&gt;",'Weekly Log'!$A:$A,"&gt;="&amp;$J1184,'Weekly Log'!$A:$A,"&lt;"&amp;$J1184+7),0))</f>
        <v/>
      </c>
      <c r="D1184" t="str">
        <f>IF($J1184="","",IFERROR(COUNTIFS('Weekly Log'!$H:$H,"Y",'Weekly Log'!$A:$A,"&gt;="&amp;$J1184,'Weekly Log'!$A:$A,"&lt;"&amp;$J1184+7)/COUNTIFS('Weekly Log'!$H:$H,"&lt;&gt;",'Weekly Log'!$A:$A,"&gt;="&amp;$J1184,'Weekly Log'!$A:$A,"&lt;"&amp;$J1184+7),0))</f>
        <v/>
      </c>
      <c r="E1184" t="str">
        <f>IF($J1184="","",IFERROR(AVERAGEIFS('Weekly Log'!$F:$F,'Weekly Log'!$A:$A,"&gt;="&amp;$J1184,'Weekly Log'!$A:$A,"&lt;"&amp;$J1184+7),0))</f>
        <v/>
      </c>
      <c r="F1184" t="str">
        <f>IF($J1184="","",IFERROR(SUMIFS('Weekly Log'!$F:$F,'Weekly Log'!$A:$A,"&gt;="&amp;$J1184,'Weekly Log'!$A:$A,"&lt;"&amp;$J1184+7)/SUMIFS('Weekly Log'!$E:$E,'Weekly Log'!$A:$A,"&gt;="&amp;$J1184,'Weekly Log'!$A:$A,"&lt;"&amp;$J1184+7),0))</f>
        <v/>
      </c>
      <c r="G1184" t="str">
        <f>IF($J1184="","",IFERROR(LOOKUP(2,1/(('Weekly Log'!$A$5:$A$5000&gt;=$J1184)*('Weekly Log'!$A$5:$A$5000&lt;$J1184+7)*('Weekly Log'!$M$5:$M$5000&lt;&gt;"")),'Weekly Log'!$M$5:$M$5000),0))</f>
        <v/>
      </c>
      <c r="J1184" t="str">
        <f>IF(COUNT('Weekly Log'!$A$5:$A$5000)=0,"",IF(MIN('Weekly Log'!$A$5:$A$5000)+7*(ROW()-10)&gt;MAX('Weekly Log'!$A$5:$A$5000),"",MIN('Weekly Log'!$A$5:$A$5000)+7*(ROW()-10)))</f>
        <v/>
      </c>
    </row>
    <row r="1185" spans="1:10" x14ac:dyDescent="0.25">
      <c r="A1185" t="str">
        <f t="shared" si="18"/>
        <v/>
      </c>
      <c r="B1185" t="str">
        <f>IF($J1185="","",SUMIFS('Weekly Log'!$C:$C,'Weekly Log'!$A:$A,"&gt;="&amp;$J1185,'Weekly Log'!$A:$A,"&lt;"&amp;$J1185+7))</f>
        <v/>
      </c>
      <c r="C1185" t="str">
        <f>IF($J1185="","",IFERROR(COUNTIFS('Weekly Log'!$G:$G,"Y",'Weekly Log'!$A:$A,"&gt;="&amp;$J1185,'Weekly Log'!$A:$A,"&lt;"&amp;$J1185+7)/COUNTIFS('Weekly Log'!$G:$G,"&lt;&gt;",'Weekly Log'!$A:$A,"&gt;="&amp;$J1185,'Weekly Log'!$A:$A,"&lt;"&amp;$J1185+7),0))</f>
        <v/>
      </c>
      <c r="D1185" t="str">
        <f>IF($J1185="","",IFERROR(COUNTIFS('Weekly Log'!$H:$H,"Y",'Weekly Log'!$A:$A,"&gt;="&amp;$J1185,'Weekly Log'!$A:$A,"&lt;"&amp;$J1185+7)/COUNTIFS('Weekly Log'!$H:$H,"&lt;&gt;",'Weekly Log'!$A:$A,"&gt;="&amp;$J1185,'Weekly Log'!$A:$A,"&lt;"&amp;$J1185+7),0))</f>
        <v/>
      </c>
      <c r="E1185" t="str">
        <f>IF($J1185="","",IFERROR(AVERAGEIFS('Weekly Log'!$F:$F,'Weekly Log'!$A:$A,"&gt;="&amp;$J1185,'Weekly Log'!$A:$A,"&lt;"&amp;$J1185+7),0))</f>
        <v/>
      </c>
      <c r="F1185" t="str">
        <f>IF($J1185="","",IFERROR(SUMIFS('Weekly Log'!$F:$F,'Weekly Log'!$A:$A,"&gt;="&amp;$J1185,'Weekly Log'!$A:$A,"&lt;"&amp;$J1185+7)/SUMIFS('Weekly Log'!$E:$E,'Weekly Log'!$A:$A,"&gt;="&amp;$J1185,'Weekly Log'!$A:$A,"&lt;"&amp;$J1185+7),0))</f>
        <v/>
      </c>
      <c r="G1185" t="str">
        <f>IF($J1185="","",IFERROR(LOOKUP(2,1/(('Weekly Log'!$A$5:$A$5000&gt;=$J1185)*('Weekly Log'!$A$5:$A$5000&lt;$J1185+7)*('Weekly Log'!$M$5:$M$5000&lt;&gt;"")),'Weekly Log'!$M$5:$M$5000),0))</f>
        <v/>
      </c>
      <c r="J1185" t="str">
        <f>IF(COUNT('Weekly Log'!$A$5:$A$5000)=0,"",IF(MIN('Weekly Log'!$A$5:$A$5000)+7*(ROW()-10)&gt;MAX('Weekly Log'!$A$5:$A$5000),"",MIN('Weekly Log'!$A$5:$A$5000)+7*(ROW()-10)))</f>
        <v/>
      </c>
    </row>
    <row r="1186" spans="1:10" x14ac:dyDescent="0.25">
      <c r="A1186" t="str">
        <f t="shared" si="18"/>
        <v/>
      </c>
      <c r="B1186" t="str">
        <f>IF($J1186="","",SUMIFS('Weekly Log'!$C:$C,'Weekly Log'!$A:$A,"&gt;="&amp;$J1186,'Weekly Log'!$A:$A,"&lt;"&amp;$J1186+7))</f>
        <v/>
      </c>
      <c r="C1186" t="str">
        <f>IF($J1186="","",IFERROR(COUNTIFS('Weekly Log'!$G:$G,"Y",'Weekly Log'!$A:$A,"&gt;="&amp;$J1186,'Weekly Log'!$A:$A,"&lt;"&amp;$J1186+7)/COUNTIFS('Weekly Log'!$G:$G,"&lt;&gt;",'Weekly Log'!$A:$A,"&gt;="&amp;$J1186,'Weekly Log'!$A:$A,"&lt;"&amp;$J1186+7),0))</f>
        <v/>
      </c>
      <c r="D1186" t="str">
        <f>IF($J1186="","",IFERROR(COUNTIFS('Weekly Log'!$H:$H,"Y",'Weekly Log'!$A:$A,"&gt;="&amp;$J1186,'Weekly Log'!$A:$A,"&lt;"&amp;$J1186+7)/COUNTIFS('Weekly Log'!$H:$H,"&lt;&gt;",'Weekly Log'!$A:$A,"&gt;="&amp;$J1186,'Weekly Log'!$A:$A,"&lt;"&amp;$J1186+7),0))</f>
        <v/>
      </c>
      <c r="E1186" t="str">
        <f>IF($J1186="","",IFERROR(AVERAGEIFS('Weekly Log'!$F:$F,'Weekly Log'!$A:$A,"&gt;="&amp;$J1186,'Weekly Log'!$A:$A,"&lt;"&amp;$J1186+7),0))</f>
        <v/>
      </c>
      <c r="F1186" t="str">
        <f>IF($J1186="","",IFERROR(SUMIFS('Weekly Log'!$F:$F,'Weekly Log'!$A:$A,"&gt;="&amp;$J1186,'Weekly Log'!$A:$A,"&lt;"&amp;$J1186+7)/SUMIFS('Weekly Log'!$E:$E,'Weekly Log'!$A:$A,"&gt;="&amp;$J1186,'Weekly Log'!$A:$A,"&lt;"&amp;$J1186+7),0))</f>
        <v/>
      </c>
      <c r="G1186" t="str">
        <f>IF($J1186="","",IFERROR(LOOKUP(2,1/(('Weekly Log'!$A$5:$A$5000&gt;=$J1186)*('Weekly Log'!$A$5:$A$5000&lt;$J1186+7)*('Weekly Log'!$M$5:$M$5000&lt;&gt;"")),'Weekly Log'!$M$5:$M$5000),0))</f>
        <v/>
      </c>
      <c r="J1186" t="str">
        <f>IF(COUNT('Weekly Log'!$A$5:$A$5000)=0,"",IF(MIN('Weekly Log'!$A$5:$A$5000)+7*(ROW()-10)&gt;MAX('Weekly Log'!$A$5:$A$5000),"",MIN('Weekly Log'!$A$5:$A$5000)+7*(ROW()-10)))</f>
        <v/>
      </c>
    </row>
    <row r="1187" spans="1:10" x14ac:dyDescent="0.25">
      <c r="A1187" t="str">
        <f t="shared" si="18"/>
        <v/>
      </c>
      <c r="B1187" t="str">
        <f>IF($J1187="","",SUMIFS('Weekly Log'!$C:$C,'Weekly Log'!$A:$A,"&gt;="&amp;$J1187,'Weekly Log'!$A:$A,"&lt;"&amp;$J1187+7))</f>
        <v/>
      </c>
      <c r="C1187" t="str">
        <f>IF($J1187="","",IFERROR(COUNTIFS('Weekly Log'!$G:$G,"Y",'Weekly Log'!$A:$A,"&gt;="&amp;$J1187,'Weekly Log'!$A:$A,"&lt;"&amp;$J1187+7)/COUNTIFS('Weekly Log'!$G:$G,"&lt;&gt;",'Weekly Log'!$A:$A,"&gt;="&amp;$J1187,'Weekly Log'!$A:$A,"&lt;"&amp;$J1187+7),0))</f>
        <v/>
      </c>
      <c r="D1187" t="str">
        <f>IF($J1187="","",IFERROR(COUNTIFS('Weekly Log'!$H:$H,"Y",'Weekly Log'!$A:$A,"&gt;="&amp;$J1187,'Weekly Log'!$A:$A,"&lt;"&amp;$J1187+7)/COUNTIFS('Weekly Log'!$H:$H,"&lt;&gt;",'Weekly Log'!$A:$A,"&gt;="&amp;$J1187,'Weekly Log'!$A:$A,"&lt;"&amp;$J1187+7),0))</f>
        <v/>
      </c>
      <c r="E1187" t="str">
        <f>IF($J1187="","",IFERROR(AVERAGEIFS('Weekly Log'!$F:$F,'Weekly Log'!$A:$A,"&gt;="&amp;$J1187,'Weekly Log'!$A:$A,"&lt;"&amp;$J1187+7),0))</f>
        <v/>
      </c>
      <c r="F1187" t="str">
        <f>IF($J1187="","",IFERROR(SUMIFS('Weekly Log'!$F:$F,'Weekly Log'!$A:$A,"&gt;="&amp;$J1187,'Weekly Log'!$A:$A,"&lt;"&amp;$J1187+7)/SUMIFS('Weekly Log'!$E:$E,'Weekly Log'!$A:$A,"&gt;="&amp;$J1187,'Weekly Log'!$A:$A,"&lt;"&amp;$J1187+7),0))</f>
        <v/>
      </c>
      <c r="G1187" t="str">
        <f>IF($J1187="","",IFERROR(LOOKUP(2,1/(('Weekly Log'!$A$5:$A$5000&gt;=$J1187)*('Weekly Log'!$A$5:$A$5000&lt;$J1187+7)*('Weekly Log'!$M$5:$M$5000&lt;&gt;"")),'Weekly Log'!$M$5:$M$5000),0))</f>
        <v/>
      </c>
      <c r="J1187" t="str">
        <f>IF(COUNT('Weekly Log'!$A$5:$A$5000)=0,"",IF(MIN('Weekly Log'!$A$5:$A$5000)+7*(ROW()-10)&gt;MAX('Weekly Log'!$A$5:$A$5000),"",MIN('Weekly Log'!$A$5:$A$5000)+7*(ROW()-10)))</f>
        <v/>
      </c>
    </row>
    <row r="1188" spans="1:10" x14ac:dyDescent="0.25">
      <c r="A1188" t="str">
        <f t="shared" si="18"/>
        <v/>
      </c>
      <c r="B1188" t="str">
        <f>IF($J1188="","",SUMIFS('Weekly Log'!$C:$C,'Weekly Log'!$A:$A,"&gt;="&amp;$J1188,'Weekly Log'!$A:$A,"&lt;"&amp;$J1188+7))</f>
        <v/>
      </c>
      <c r="C1188" t="str">
        <f>IF($J1188="","",IFERROR(COUNTIFS('Weekly Log'!$G:$G,"Y",'Weekly Log'!$A:$A,"&gt;="&amp;$J1188,'Weekly Log'!$A:$A,"&lt;"&amp;$J1188+7)/COUNTIFS('Weekly Log'!$G:$G,"&lt;&gt;",'Weekly Log'!$A:$A,"&gt;="&amp;$J1188,'Weekly Log'!$A:$A,"&lt;"&amp;$J1188+7),0))</f>
        <v/>
      </c>
      <c r="D1188" t="str">
        <f>IF($J1188="","",IFERROR(COUNTIFS('Weekly Log'!$H:$H,"Y",'Weekly Log'!$A:$A,"&gt;="&amp;$J1188,'Weekly Log'!$A:$A,"&lt;"&amp;$J1188+7)/COUNTIFS('Weekly Log'!$H:$H,"&lt;&gt;",'Weekly Log'!$A:$A,"&gt;="&amp;$J1188,'Weekly Log'!$A:$A,"&lt;"&amp;$J1188+7),0))</f>
        <v/>
      </c>
      <c r="E1188" t="str">
        <f>IF($J1188="","",IFERROR(AVERAGEIFS('Weekly Log'!$F:$F,'Weekly Log'!$A:$A,"&gt;="&amp;$J1188,'Weekly Log'!$A:$A,"&lt;"&amp;$J1188+7),0))</f>
        <v/>
      </c>
      <c r="F1188" t="str">
        <f>IF($J1188="","",IFERROR(SUMIFS('Weekly Log'!$F:$F,'Weekly Log'!$A:$A,"&gt;="&amp;$J1188,'Weekly Log'!$A:$A,"&lt;"&amp;$J1188+7)/SUMIFS('Weekly Log'!$E:$E,'Weekly Log'!$A:$A,"&gt;="&amp;$J1188,'Weekly Log'!$A:$A,"&lt;"&amp;$J1188+7),0))</f>
        <v/>
      </c>
      <c r="G1188" t="str">
        <f>IF($J1188="","",IFERROR(LOOKUP(2,1/(('Weekly Log'!$A$5:$A$5000&gt;=$J1188)*('Weekly Log'!$A$5:$A$5000&lt;$J1188+7)*('Weekly Log'!$M$5:$M$5000&lt;&gt;"")),'Weekly Log'!$M$5:$M$5000),0))</f>
        <v/>
      </c>
      <c r="J1188" t="str">
        <f>IF(COUNT('Weekly Log'!$A$5:$A$5000)=0,"",IF(MIN('Weekly Log'!$A$5:$A$5000)+7*(ROW()-10)&gt;MAX('Weekly Log'!$A$5:$A$5000),"",MIN('Weekly Log'!$A$5:$A$5000)+7*(ROW()-10)))</f>
        <v/>
      </c>
    </row>
    <row r="1189" spans="1:10" x14ac:dyDescent="0.25">
      <c r="A1189" t="str">
        <f t="shared" si="18"/>
        <v/>
      </c>
      <c r="B1189" t="str">
        <f>IF($J1189="","",SUMIFS('Weekly Log'!$C:$C,'Weekly Log'!$A:$A,"&gt;="&amp;$J1189,'Weekly Log'!$A:$A,"&lt;"&amp;$J1189+7))</f>
        <v/>
      </c>
      <c r="C1189" t="str">
        <f>IF($J1189="","",IFERROR(COUNTIFS('Weekly Log'!$G:$G,"Y",'Weekly Log'!$A:$A,"&gt;="&amp;$J1189,'Weekly Log'!$A:$A,"&lt;"&amp;$J1189+7)/COUNTIFS('Weekly Log'!$G:$G,"&lt;&gt;",'Weekly Log'!$A:$A,"&gt;="&amp;$J1189,'Weekly Log'!$A:$A,"&lt;"&amp;$J1189+7),0))</f>
        <v/>
      </c>
      <c r="D1189" t="str">
        <f>IF($J1189="","",IFERROR(COUNTIFS('Weekly Log'!$H:$H,"Y",'Weekly Log'!$A:$A,"&gt;="&amp;$J1189,'Weekly Log'!$A:$A,"&lt;"&amp;$J1189+7)/COUNTIFS('Weekly Log'!$H:$H,"&lt;&gt;",'Weekly Log'!$A:$A,"&gt;="&amp;$J1189,'Weekly Log'!$A:$A,"&lt;"&amp;$J1189+7),0))</f>
        <v/>
      </c>
      <c r="E1189" t="str">
        <f>IF($J1189="","",IFERROR(AVERAGEIFS('Weekly Log'!$F:$F,'Weekly Log'!$A:$A,"&gt;="&amp;$J1189,'Weekly Log'!$A:$A,"&lt;"&amp;$J1189+7),0))</f>
        <v/>
      </c>
      <c r="F1189" t="str">
        <f>IF($J1189="","",IFERROR(SUMIFS('Weekly Log'!$F:$F,'Weekly Log'!$A:$A,"&gt;="&amp;$J1189,'Weekly Log'!$A:$A,"&lt;"&amp;$J1189+7)/SUMIFS('Weekly Log'!$E:$E,'Weekly Log'!$A:$A,"&gt;="&amp;$J1189,'Weekly Log'!$A:$A,"&lt;"&amp;$J1189+7),0))</f>
        <v/>
      </c>
      <c r="G1189" t="str">
        <f>IF($J1189="","",IFERROR(LOOKUP(2,1/(('Weekly Log'!$A$5:$A$5000&gt;=$J1189)*('Weekly Log'!$A$5:$A$5000&lt;$J1189+7)*('Weekly Log'!$M$5:$M$5000&lt;&gt;"")),'Weekly Log'!$M$5:$M$5000),0))</f>
        <v/>
      </c>
      <c r="J1189" t="str">
        <f>IF(COUNT('Weekly Log'!$A$5:$A$5000)=0,"",IF(MIN('Weekly Log'!$A$5:$A$5000)+7*(ROW()-10)&gt;MAX('Weekly Log'!$A$5:$A$5000),"",MIN('Weekly Log'!$A$5:$A$5000)+7*(ROW()-10)))</f>
        <v/>
      </c>
    </row>
    <row r="1190" spans="1:10" x14ac:dyDescent="0.25">
      <c r="A1190" t="str">
        <f t="shared" si="18"/>
        <v/>
      </c>
      <c r="B1190" t="str">
        <f>IF($J1190="","",SUMIFS('Weekly Log'!$C:$C,'Weekly Log'!$A:$A,"&gt;="&amp;$J1190,'Weekly Log'!$A:$A,"&lt;"&amp;$J1190+7))</f>
        <v/>
      </c>
      <c r="C1190" t="str">
        <f>IF($J1190="","",IFERROR(COUNTIFS('Weekly Log'!$G:$G,"Y",'Weekly Log'!$A:$A,"&gt;="&amp;$J1190,'Weekly Log'!$A:$A,"&lt;"&amp;$J1190+7)/COUNTIFS('Weekly Log'!$G:$G,"&lt;&gt;",'Weekly Log'!$A:$A,"&gt;="&amp;$J1190,'Weekly Log'!$A:$A,"&lt;"&amp;$J1190+7),0))</f>
        <v/>
      </c>
      <c r="D1190" t="str">
        <f>IF($J1190="","",IFERROR(COUNTIFS('Weekly Log'!$H:$H,"Y",'Weekly Log'!$A:$A,"&gt;="&amp;$J1190,'Weekly Log'!$A:$A,"&lt;"&amp;$J1190+7)/COUNTIFS('Weekly Log'!$H:$H,"&lt;&gt;",'Weekly Log'!$A:$A,"&gt;="&amp;$J1190,'Weekly Log'!$A:$A,"&lt;"&amp;$J1190+7),0))</f>
        <v/>
      </c>
      <c r="E1190" t="str">
        <f>IF($J1190="","",IFERROR(AVERAGEIFS('Weekly Log'!$F:$F,'Weekly Log'!$A:$A,"&gt;="&amp;$J1190,'Weekly Log'!$A:$A,"&lt;"&amp;$J1190+7),0))</f>
        <v/>
      </c>
      <c r="F1190" t="str">
        <f>IF($J1190="","",IFERROR(SUMIFS('Weekly Log'!$F:$F,'Weekly Log'!$A:$A,"&gt;="&amp;$J1190,'Weekly Log'!$A:$A,"&lt;"&amp;$J1190+7)/SUMIFS('Weekly Log'!$E:$E,'Weekly Log'!$A:$A,"&gt;="&amp;$J1190,'Weekly Log'!$A:$A,"&lt;"&amp;$J1190+7),0))</f>
        <v/>
      </c>
      <c r="G1190" t="str">
        <f>IF($J1190="","",IFERROR(LOOKUP(2,1/(('Weekly Log'!$A$5:$A$5000&gt;=$J1190)*('Weekly Log'!$A$5:$A$5000&lt;$J1190+7)*('Weekly Log'!$M$5:$M$5000&lt;&gt;"")),'Weekly Log'!$M$5:$M$5000),0))</f>
        <v/>
      </c>
      <c r="J1190" t="str">
        <f>IF(COUNT('Weekly Log'!$A$5:$A$5000)=0,"",IF(MIN('Weekly Log'!$A$5:$A$5000)+7*(ROW()-10)&gt;MAX('Weekly Log'!$A$5:$A$5000),"",MIN('Weekly Log'!$A$5:$A$5000)+7*(ROW()-10)))</f>
        <v/>
      </c>
    </row>
    <row r="1191" spans="1:10" x14ac:dyDescent="0.25">
      <c r="A1191" t="str">
        <f t="shared" si="18"/>
        <v/>
      </c>
      <c r="B1191" t="str">
        <f>IF($J1191="","",SUMIFS('Weekly Log'!$C:$C,'Weekly Log'!$A:$A,"&gt;="&amp;$J1191,'Weekly Log'!$A:$A,"&lt;"&amp;$J1191+7))</f>
        <v/>
      </c>
      <c r="C1191" t="str">
        <f>IF($J1191="","",IFERROR(COUNTIFS('Weekly Log'!$G:$G,"Y",'Weekly Log'!$A:$A,"&gt;="&amp;$J1191,'Weekly Log'!$A:$A,"&lt;"&amp;$J1191+7)/COUNTIFS('Weekly Log'!$G:$G,"&lt;&gt;",'Weekly Log'!$A:$A,"&gt;="&amp;$J1191,'Weekly Log'!$A:$A,"&lt;"&amp;$J1191+7),0))</f>
        <v/>
      </c>
      <c r="D1191" t="str">
        <f>IF($J1191="","",IFERROR(COUNTIFS('Weekly Log'!$H:$H,"Y",'Weekly Log'!$A:$A,"&gt;="&amp;$J1191,'Weekly Log'!$A:$A,"&lt;"&amp;$J1191+7)/COUNTIFS('Weekly Log'!$H:$H,"&lt;&gt;",'Weekly Log'!$A:$A,"&gt;="&amp;$J1191,'Weekly Log'!$A:$A,"&lt;"&amp;$J1191+7),0))</f>
        <v/>
      </c>
      <c r="E1191" t="str">
        <f>IF($J1191="","",IFERROR(AVERAGEIFS('Weekly Log'!$F:$F,'Weekly Log'!$A:$A,"&gt;="&amp;$J1191,'Weekly Log'!$A:$A,"&lt;"&amp;$J1191+7),0))</f>
        <v/>
      </c>
      <c r="F1191" t="str">
        <f>IF($J1191="","",IFERROR(SUMIFS('Weekly Log'!$F:$F,'Weekly Log'!$A:$A,"&gt;="&amp;$J1191,'Weekly Log'!$A:$A,"&lt;"&amp;$J1191+7)/SUMIFS('Weekly Log'!$E:$E,'Weekly Log'!$A:$A,"&gt;="&amp;$J1191,'Weekly Log'!$A:$A,"&lt;"&amp;$J1191+7),0))</f>
        <v/>
      </c>
      <c r="G1191" t="str">
        <f>IF($J1191="","",IFERROR(LOOKUP(2,1/(('Weekly Log'!$A$5:$A$5000&gt;=$J1191)*('Weekly Log'!$A$5:$A$5000&lt;$J1191+7)*('Weekly Log'!$M$5:$M$5000&lt;&gt;"")),'Weekly Log'!$M$5:$M$5000),0))</f>
        <v/>
      </c>
      <c r="J1191" t="str">
        <f>IF(COUNT('Weekly Log'!$A$5:$A$5000)=0,"",IF(MIN('Weekly Log'!$A$5:$A$5000)+7*(ROW()-10)&gt;MAX('Weekly Log'!$A$5:$A$5000),"",MIN('Weekly Log'!$A$5:$A$5000)+7*(ROW()-10)))</f>
        <v/>
      </c>
    </row>
    <row r="1192" spans="1:10" x14ac:dyDescent="0.25">
      <c r="A1192" t="str">
        <f t="shared" si="18"/>
        <v/>
      </c>
      <c r="B1192" t="str">
        <f>IF($J1192="","",SUMIFS('Weekly Log'!$C:$C,'Weekly Log'!$A:$A,"&gt;="&amp;$J1192,'Weekly Log'!$A:$A,"&lt;"&amp;$J1192+7))</f>
        <v/>
      </c>
      <c r="C1192" t="str">
        <f>IF($J1192="","",IFERROR(COUNTIFS('Weekly Log'!$G:$G,"Y",'Weekly Log'!$A:$A,"&gt;="&amp;$J1192,'Weekly Log'!$A:$A,"&lt;"&amp;$J1192+7)/COUNTIFS('Weekly Log'!$G:$G,"&lt;&gt;",'Weekly Log'!$A:$A,"&gt;="&amp;$J1192,'Weekly Log'!$A:$A,"&lt;"&amp;$J1192+7),0))</f>
        <v/>
      </c>
      <c r="D1192" t="str">
        <f>IF($J1192="","",IFERROR(COUNTIFS('Weekly Log'!$H:$H,"Y",'Weekly Log'!$A:$A,"&gt;="&amp;$J1192,'Weekly Log'!$A:$A,"&lt;"&amp;$J1192+7)/COUNTIFS('Weekly Log'!$H:$H,"&lt;&gt;",'Weekly Log'!$A:$A,"&gt;="&amp;$J1192,'Weekly Log'!$A:$A,"&lt;"&amp;$J1192+7),0))</f>
        <v/>
      </c>
      <c r="E1192" t="str">
        <f>IF($J1192="","",IFERROR(AVERAGEIFS('Weekly Log'!$F:$F,'Weekly Log'!$A:$A,"&gt;="&amp;$J1192,'Weekly Log'!$A:$A,"&lt;"&amp;$J1192+7),0))</f>
        <v/>
      </c>
      <c r="F1192" t="str">
        <f>IF($J1192="","",IFERROR(SUMIFS('Weekly Log'!$F:$F,'Weekly Log'!$A:$A,"&gt;="&amp;$J1192,'Weekly Log'!$A:$A,"&lt;"&amp;$J1192+7)/SUMIFS('Weekly Log'!$E:$E,'Weekly Log'!$A:$A,"&gt;="&amp;$J1192,'Weekly Log'!$A:$A,"&lt;"&amp;$J1192+7),0))</f>
        <v/>
      </c>
      <c r="G1192" t="str">
        <f>IF($J1192="","",IFERROR(LOOKUP(2,1/(('Weekly Log'!$A$5:$A$5000&gt;=$J1192)*('Weekly Log'!$A$5:$A$5000&lt;$J1192+7)*('Weekly Log'!$M$5:$M$5000&lt;&gt;"")),'Weekly Log'!$M$5:$M$5000),0))</f>
        <v/>
      </c>
      <c r="J1192" t="str">
        <f>IF(COUNT('Weekly Log'!$A$5:$A$5000)=0,"",IF(MIN('Weekly Log'!$A$5:$A$5000)+7*(ROW()-10)&gt;MAX('Weekly Log'!$A$5:$A$5000),"",MIN('Weekly Log'!$A$5:$A$5000)+7*(ROW()-10)))</f>
        <v/>
      </c>
    </row>
    <row r="1193" spans="1:10" x14ac:dyDescent="0.25">
      <c r="A1193" t="str">
        <f t="shared" si="18"/>
        <v/>
      </c>
      <c r="B1193" t="str">
        <f>IF($J1193="","",SUMIFS('Weekly Log'!$C:$C,'Weekly Log'!$A:$A,"&gt;="&amp;$J1193,'Weekly Log'!$A:$A,"&lt;"&amp;$J1193+7))</f>
        <v/>
      </c>
      <c r="C1193" t="str">
        <f>IF($J1193="","",IFERROR(COUNTIFS('Weekly Log'!$G:$G,"Y",'Weekly Log'!$A:$A,"&gt;="&amp;$J1193,'Weekly Log'!$A:$A,"&lt;"&amp;$J1193+7)/COUNTIFS('Weekly Log'!$G:$G,"&lt;&gt;",'Weekly Log'!$A:$A,"&gt;="&amp;$J1193,'Weekly Log'!$A:$A,"&lt;"&amp;$J1193+7),0))</f>
        <v/>
      </c>
      <c r="D1193" t="str">
        <f>IF($J1193="","",IFERROR(COUNTIFS('Weekly Log'!$H:$H,"Y",'Weekly Log'!$A:$A,"&gt;="&amp;$J1193,'Weekly Log'!$A:$A,"&lt;"&amp;$J1193+7)/COUNTIFS('Weekly Log'!$H:$H,"&lt;&gt;",'Weekly Log'!$A:$A,"&gt;="&amp;$J1193,'Weekly Log'!$A:$A,"&lt;"&amp;$J1193+7),0))</f>
        <v/>
      </c>
      <c r="E1193" t="str">
        <f>IF($J1193="","",IFERROR(AVERAGEIFS('Weekly Log'!$F:$F,'Weekly Log'!$A:$A,"&gt;="&amp;$J1193,'Weekly Log'!$A:$A,"&lt;"&amp;$J1193+7),0))</f>
        <v/>
      </c>
      <c r="F1193" t="str">
        <f>IF($J1193="","",IFERROR(SUMIFS('Weekly Log'!$F:$F,'Weekly Log'!$A:$A,"&gt;="&amp;$J1193,'Weekly Log'!$A:$A,"&lt;"&amp;$J1193+7)/SUMIFS('Weekly Log'!$E:$E,'Weekly Log'!$A:$A,"&gt;="&amp;$J1193,'Weekly Log'!$A:$A,"&lt;"&amp;$J1193+7),0))</f>
        <v/>
      </c>
      <c r="G1193" t="str">
        <f>IF($J1193="","",IFERROR(LOOKUP(2,1/(('Weekly Log'!$A$5:$A$5000&gt;=$J1193)*('Weekly Log'!$A$5:$A$5000&lt;$J1193+7)*('Weekly Log'!$M$5:$M$5000&lt;&gt;"")),'Weekly Log'!$M$5:$M$5000),0))</f>
        <v/>
      </c>
      <c r="J1193" t="str">
        <f>IF(COUNT('Weekly Log'!$A$5:$A$5000)=0,"",IF(MIN('Weekly Log'!$A$5:$A$5000)+7*(ROW()-10)&gt;MAX('Weekly Log'!$A$5:$A$5000),"",MIN('Weekly Log'!$A$5:$A$5000)+7*(ROW()-10)))</f>
        <v/>
      </c>
    </row>
    <row r="1194" spans="1:10" x14ac:dyDescent="0.25">
      <c r="A1194" t="str">
        <f t="shared" si="18"/>
        <v/>
      </c>
      <c r="B1194" t="str">
        <f>IF($J1194="","",SUMIFS('Weekly Log'!$C:$C,'Weekly Log'!$A:$A,"&gt;="&amp;$J1194,'Weekly Log'!$A:$A,"&lt;"&amp;$J1194+7))</f>
        <v/>
      </c>
      <c r="C1194" t="str">
        <f>IF($J1194="","",IFERROR(COUNTIFS('Weekly Log'!$G:$G,"Y",'Weekly Log'!$A:$A,"&gt;="&amp;$J1194,'Weekly Log'!$A:$A,"&lt;"&amp;$J1194+7)/COUNTIFS('Weekly Log'!$G:$G,"&lt;&gt;",'Weekly Log'!$A:$A,"&gt;="&amp;$J1194,'Weekly Log'!$A:$A,"&lt;"&amp;$J1194+7),0))</f>
        <v/>
      </c>
      <c r="D1194" t="str">
        <f>IF($J1194="","",IFERROR(COUNTIFS('Weekly Log'!$H:$H,"Y",'Weekly Log'!$A:$A,"&gt;="&amp;$J1194,'Weekly Log'!$A:$A,"&lt;"&amp;$J1194+7)/COUNTIFS('Weekly Log'!$H:$H,"&lt;&gt;",'Weekly Log'!$A:$A,"&gt;="&amp;$J1194,'Weekly Log'!$A:$A,"&lt;"&amp;$J1194+7),0))</f>
        <v/>
      </c>
      <c r="E1194" t="str">
        <f>IF($J1194="","",IFERROR(AVERAGEIFS('Weekly Log'!$F:$F,'Weekly Log'!$A:$A,"&gt;="&amp;$J1194,'Weekly Log'!$A:$A,"&lt;"&amp;$J1194+7),0))</f>
        <v/>
      </c>
      <c r="F1194" t="str">
        <f>IF($J1194="","",IFERROR(SUMIFS('Weekly Log'!$F:$F,'Weekly Log'!$A:$A,"&gt;="&amp;$J1194,'Weekly Log'!$A:$A,"&lt;"&amp;$J1194+7)/SUMIFS('Weekly Log'!$E:$E,'Weekly Log'!$A:$A,"&gt;="&amp;$J1194,'Weekly Log'!$A:$A,"&lt;"&amp;$J1194+7),0))</f>
        <v/>
      </c>
      <c r="G1194" t="str">
        <f>IF($J1194="","",IFERROR(LOOKUP(2,1/(('Weekly Log'!$A$5:$A$5000&gt;=$J1194)*('Weekly Log'!$A$5:$A$5000&lt;$J1194+7)*('Weekly Log'!$M$5:$M$5000&lt;&gt;"")),'Weekly Log'!$M$5:$M$5000),0))</f>
        <v/>
      </c>
      <c r="J1194" t="str">
        <f>IF(COUNT('Weekly Log'!$A$5:$A$5000)=0,"",IF(MIN('Weekly Log'!$A$5:$A$5000)+7*(ROW()-10)&gt;MAX('Weekly Log'!$A$5:$A$5000),"",MIN('Weekly Log'!$A$5:$A$5000)+7*(ROW()-10)))</f>
        <v/>
      </c>
    </row>
    <row r="1195" spans="1:10" x14ac:dyDescent="0.25">
      <c r="A1195" t="str">
        <f t="shared" si="18"/>
        <v/>
      </c>
      <c r="B1195" t="str">
        <f>IF($J1195="","",SUMIFS('Weekly Log'!$C:$C,'Weekly Log'!$A:$A,"&gt;="&amp;$J1195,'Weekly Log'!$A:$A,"&lt;"&amp;$J1195+7))</f>
        <v/>
      </c>
      <c r="C1195" t="str">
        <f>IF($J1195="","",IFERROR(COUNTIFS('Weekly Log'!$G:$G,"Y",'Weekly Log'!$A:$A,"&gt;="&amp;$J1195,'Weekly Log'!$A:$A,"&lt;"&amp;$J1195+7)/COUNTIFS('Weekly Log'!$G:$G,"&lt;&gt;",'Weekly Log'!$A:$A,"&gt;="&amp;$J1195,'Weekly Log'!$A:$A,"&lt;"&amp;$J1195+7),0))</f>
        <v/>
      </c>
      <c r="D1195" t="str">
        <f>IF($J1195="","",IFERROR(COUNTIFS('Weekly Log'!$H:$H,"Y",'Weekly Log'!$A:$A,"&gt;="&amp;$J1195,'Weekly Log'!$A:$A,"&lt;"&amp;$J1195+7)/COUNTIFS('Weekly Log'!$H:$H,"&lt;&gt;",'Weekly Log'!$A:$A,"&gt;="&amp;$J1195,'Weekly Log'!$A:$A,"&lt;"&amp;$J1195+7),0))</f>
        <v/>
      </c>
      <c r="E1195" t="str">
        <f>IF($J1195="","",IFERROR(AVERAGEIFS('Weekly Log'!$F:$F,'Weekly Log'!$A:$A,"&gt;="&amp;$J1195,'Weekly Log'!$A:$A,"&lt;"&amp;$J1195+7),0))</f>
        <v/>
      </c>
      <c r="F1195" t="str">
        <f>IF($J1195="","",IFERROR(SUMIFS('Weekly Log'!$F:$F,'Weekly Log'!$A:$A,"&gt;="&amp;$J1195,'Weekly Log'!$A:$A,"&lt;"&amp;$J1195+7)/SUMIFS('Weekly Log'!$E:$E,'Weekly Log'!$A:$A,"&gt;="&amp;$J1195,'Weekly Log'!$A:$A,"&lt;"&amp;$J1195+7),0))</f>
        <v/>
      </c>
      <c r="G1195" t="str">
        <f>IF($J1195="","",IFERROR(LOOKUP(2,1/(('Weekly Log'!$A$5:$A$5000&gt;=$J1195)*('Weekly Log'!$A$5:$A$5000&lt;$J1195+7)*('Weekly Log'!$M$5:$M$5000&lt;&gt;"")),'Weekly Log'!$M$5:$M$5000),0))</f>
        <v/>
      </c>
      <c r="J1195" t="str">
        <f>IF(COUNT('Weekly Log'!$A$5:$A$5000)=0,"",IF(MIN('Weekly Log'!$A$5:$A$5000)+7*(ROW()-10)&gt;MAX('Weekly Log'!$A$5:$A$5000),"",MIN('Weekly Log'!$A$5:$A$5000)+7*(ROW()-10)))</f>
        <v/>
      </c>
    </row>
    <row r="1196" spans="1:10" x14ac:dyDescent="0.25">
      <c r="A1196" t="str">
        <f t="shared" si="18"/>
        <v/>
      </c>
      <c r="B1196" t="str">
        <f>IF($J1196="","",SUMIFS('Weekly Log'!$C:$C,'Weekly Log'!$A:$A,"&gt;="&amp;$J1196,'Weekly Log'!$A:$A,"&lt;"&amp;$J1196+7))</f>
        <v/>
      </c>
      <c r="C1196" t="str">
        <f>IF($J1196="","",IFERROR(COUNTIFS('Weekly Log'!$G:$G,"Y",'Weekly Log'!$A:$A,"&gt;="&amp;$J1196,'Weekly Log'!$A:$A,"&lt;"&amp;$J1196+7)/COUNTIFS('Weekly Log'!$G:$G,"&lt;&gt;",'Weekly Log'!$A:$A,"&gt;="&amp;$J1196,'Weekly Log'!$A:$A,"&lt;"&amp;$J1196+7),0))</f>
        <v/>
      </c>
      <c r="D1196" t="str">
        <f>IF($J1196="","",IFERROR(COUNTIFS('Weekly Log'!$H:$H,"Y",'Weekly Log'!$A:$A,"&gt;="&amp;$J1196,'Weekly Log'!$A:$A,"&lt;"&amp;$J1196+7)/COUNTIFS('Weekly Log'!$H:$H,"&lt;&gt;",'Weekly Log'!$A:$A,"&gt;="&amp;$J1196,'Weekly Log'!$A:$A,"&lt;"&amp;$J1196+7),0))</f>
        <v/>
      </c>
      <c r="E1196" t="str">
        <f>IF($J1196="","",IFERROR(AVERAGEIFS('Weekly Log'!$F:$F,'Weekly Log'!$A:$A,"&gt;="&amp;$J1196,'Weekly Log'!$A:$A,"&lt;"&amp;$J1196+7),0))</f>
        <v/>
      </c>
      <c r="F1196" t="str">
        <f>IF($J1196="","",IFERROR(SUMIFS('Weekly Log'!$F:$F,'Weekly Log'!$A:$A,"&gt;="&amp;$J1196,'Weekly Log'!$A:$A,"&lt;"&amp;$J1196+7)/SUMIFS('Weekly Log'!$E:$E,'Weekly Log'!$A:$A,"&gt;="&amp;$J1196,'Weekly Log'!$A:$A,"&lt;"&amp;$J1196+7),0))</f>
        <v/>
      </c>
      <c r="G1196" t="str">
        <f>IF($J1196="","",IFERROR(LOOKUP(2,1/(('Weekly Log'!$A$5:$A$5000&gt;=$J1196)*('Weekly Log'!$A$5:$A$5000&lt;$J1196+7)*('Weekly Log'!$M$5:$M$5000&lt;&gt;"")),'Weekly Log'!$M$5:$M$5000),0))</f>
        <v/>
      </c>
      <c r="J1196" t="str">
        <f>IF(COUNT('Weekly Log'!$A$5:$A$5000)=0,"",IF(MIN('Weekly Log'!$A$5:$A$5000)+7*(ROW()-10)&gt;MAX('Weekly Log'!$A$5:$A$5000),"",MIN('Weekly Log'!$A$5:$A$5000)+7*(ROW()-10)))</f>
        <v/>
      </c>
    </row>
    <row r="1197" spans="1:10" x14ac:dyDescent="0.25">
      <c r="A1197" t="str">
        <f t="shared" si="18"/>
        <v/>
      </c>
      <c r="B1197" t="str">
        <f>IF($J1197="","",SUMIFS('Weekly Log'!$C:$C,'Weekly Log'!$A:$A,"&gt;="&amp;$J1197,'Weekly Log'!$A:$A,"&lt;"&amp;$J1197+7))</f>
        <v/>
      </c>
      <c r="C1197" t="str">
        <f>IF($J1197="","",IFERROR(COUNTIFS('Weekly Log'!$G:$G,"Y",'Weekly Log'!$A:$A,"&gt;="&amp;$J1197,'Weekly Log'!$A:$A,"&lt;"&amp;$J1197+7)/COUNTIFS('Weekly Log'!$G:$G,"&lt;&gt;",'Weekly Log'!$A:$A,"&gt;="&amp;$J1197,'Weekly Log'!$A:$A,"&lt;"&amp;$J1197+7),0))</f>
        <v/>
      </c>
      <c r="D1197" t="str">
        <f>IF($J1197="","",IFERROR(COUNTIFS('Weekly Log'!$H:$H,"Y",'Weekly Log'!$A:$A,"&gt;="&amp;$J1197,'Weekly Log'!$A:$A,"&lt;"&amp;$J1197+7)/COUNTIFS('Weekly Log'!$H:$H,"&lt;&gt;",'Weekly Log'!$A:$A,"&gt;="&amp;$J1197,'Weekly Log'!$A:$A,"&lt;"&amp;$J1197+7),0))</f>
        <v/>
      </c>
      <c r="E1197" t="str">
        <f>IF($J1197="","",IFERROR(AVERAGEIFS('Weekly Log'!$F:$F,'Weekly Log'!$A:$A,"&gt;="&amp;$J1197,'Weekly Log'!$A:$A,"&lt;"&amp;$J1197+7),0))</f>
        <v/>
      </c>
      <c r="F1197" t="str">
        <f>IF($J1197="","",IFERROR(SUMIFS('Weekly Log'!$F:$F,'Weekly Log'!$A:$A,"&gt;="&amp;$J1197,'Weekly Log'!$A:$A,"&lt;"&amp;$J1197+7)/SUMIFS('Weekly Log'!$E:$E,'Weekly Log'!$A:$A,"&gt;="&amp;$J1197,'Weekly Log'!$A:$A,"&lt;"&amp;$J1197+7),0))</f>
        <v/>
      </c>
      <c r="G1197" t="str">
        <f>IF($J1197="","",IFERROR(LOOKUP(2,1/(('Weekly Log'!$A$5:$A$5000&gt;=$J1197)*('Weekly Log'!$A$5:$A$5000&lt;$J1197+7)*('Weekly Log'!$M$5:$M$5000&lt;&gt;"")),'Weekly Log'!$M$5:$M$5000),0))</f>
        <v/>
      </c>
      <c r="J1197" t="str">
        <f>IF(COUNT('Weekly Log'!$A$5:$A$5000)=0,"",IF(MIN('Weekly Log'!$A$5:$A$5000)+7*(ROW()-10)&gt;MAX('Weekly Log'!$A$5:$A$5000),"",MIN('Weekly Log'!$A$5:$A$5000)+7*(ROW()-10)))</f>
        <v/>
      </c>
    </row>
    <row r="1198" spans="1:10" x14ac:dyDescent="0.25">
      <c r="A1198" t="str">
        <f t="shared" si="18"/>
        <v/>
      </c>
      <c r="B1198" t="str">
        <f>IF($J1198="","",SUMIFS('Weekly Log'!$C:$C,'Weekly Log'!$A:$A,"&gt;="&amp;$J1198,'Weekly Log'!$A:$A,"&lt;"&amp;$J1198+7))</f>
        <v/>
      </c>
      <c r="C1198" t="str">
        <f>IF($J1198="","",IFERROR(COUNTIFS('Weekly Log'!$G:$G,"Y",'Weekly Log'!$A:$A,"&gt;="&amp;$J1198,'Weekly Log'!$A:$A,"&lt;"&amp;$J1198+7)/COUNTIFS('Weekly Log'!$G:$G,"&lt;&gt;",'Weekly Log'!$A:$A,"&gt;="&amp;$J1198,'Weekly Log'!$A:$A,"&lt;"&amp;$J1198+7),0))</f>
        <v/>
      </c>
      <c r="D1198" t="str">
        <f>IF($J1198="","",IFERROR(COUNTIFS('Weekly Log'!$H:$H,"Y",'Weekly Log'!$A:$A,"&gt;="&amp;$J1198,'Weekly Log'!$A:$A,"&lt;"&amp;$J1198+7)/COUNTIFS('Weekly Log'!$H:$H,"&lt;&gt;",'Weekly Log'!$A:$A,"&gt;="&amp;$J1198,'Weekly Log'!$A:$A,"&lt;"&amp;$J1198+7),0))</f>
        <v/>
      </c>
      <c r="E1198" t="str">
        <f>IF($J1198="","",IFERROR(AVERAGEIFS('Weekly Log'!$F:$F,'Weekly Log'!$A:$A,"&gt;="&amp;$J1198,'Weekly Log'!$A:$A,"&lt;"&amp;$J1198+7),0))</f>
        <v/>
      </c>
      <c r="F1198" t="str">
        <f>IF($J1198="","",IFERROR(SUMIFS('Weekly Log'!$F:$F,'Weekly Log'!$A:$A,"&gt;="&amp;$J1198,'Weekly Log'!$A:$A,"&lt;"&amp;$J1198+7)/SUMIFS('Weekly Log'!$E:$E,'Weekly Log'!$A:$A,"&gt;="&amp;$J1198,'Weekly Log'!$A:$A,"&lt;"&amp;$J1198+7),0))</f>
        <v/>
      </c>
      <c r="G1198" t="str">
        <f>IF($J1198="","",IFERROR(LOOKUP(2,1/(('Weekly Log'!$A$5:$A$5000&gt;=$J1198)*('Weekly Log'!$A$5:$A$5000&lt;$J1198+7)*('Weekly Log'!$M$5:$M$5000&lt;&gt;"")),'Weekly Log'!$M$5:$M$5000),0))</f>
        <v/>
      </c>
      <c r="J1198" t="str">
        <f>IF(COUNT('Weekly Log'!$A$5:$A$5000)=0,"",IF(MIN('Weekly Log'!$A$5:$A$5000)+7*(ROW()-10)&gt;MAX('Weekly Log'!$A$5:$A$5000),"",MIN('Weekly Log'!$A$5:$A$5000)+7*(ROW()-10)))</f>
        <v/>
      </c>
    </row>
    <row r="1199" spans="1:10" x14ac:dyDescent="0.25">
      <c r="A1199" t="str">
        <f t="shared" si="18"/>
        <v/>
      </c>
      <c r="B1199" t="str">
        <f>IF($J1199="","",SUMIFS('Weekly Log'!$C:$C,'Weekly Log'!$A:$A,"&gt;="&amp;$J1199,'Weekly Log'!$A:$A,"&lt;"&amp;$J1199+7))</f>
        <v/>
      </c>
      <c r="C1199" t="str">
        <f>IF($J1199="","",IFERROR(COUNTIFS('Weekly Log'!$G:$G,"Y",'Weekly Log'!$A:$A,"&gt;="&amp;$J1199,'Weekly Log'!$A:$A,"&lt;"&amp;$J1199+7)/COUNTIFS('Weekly Log'!$G:$G,"&lt;&gt;",'Weekly Log'!$A:$A,"&gt;="&amp;$J1199,'Weekly Log'!$A:$A,"&lt;"&amp;$J1199+7),0))</f>
        <v/>
      </c>
      <c r="D1199" t="str">
        <f>IF($J1199="","",IFERROR(COUNTIFS('Weekly Log'!$H:$H,"Y",'Weekly Log'!$A:$A,"&gt;="&amp;$J1199,'Weekly Log'!$A:$A,"&lt;"&amp;$J1199+7)/COUNTIFS('Weekly Log'!$H:$H,"&lt;&gt;",'Weekly Log'!$A:$A,"&gt;="&amp;$J1199,'Weekly Log'!$A:$A,"&lt;"&amp;$J1199+7),0))</f>
        <v/>
      </c>
      <c r="E1199" t="str">
        <f>IF($J1199="","",IFERROR(AVERAGEIFS('Weekly Log'!$F:$F,'Weekly Log'!$A:$A,"&gt;="&amp;$J1199,'Weekly Log'!$A:$A,"&lt;"&amp;$J1199+7),0))</f>
        <v/>
      </c>
      <c r="F1199" t="str">
        <f>IF($J1199="","",IFERROR(SUMIFS('Weekly Log'!$F:$F,'Weekly Log'!$A:$A,"&gt;="&amp;$J1199,'Weekly Log'!$A:$A,"&lt;"&amp;$J1199+7)/SUMIFS('Weekly Log'!$E:$E,'Weekly Log'!$A:$A,"&gt;="&amp;$J1199,'Weekly Log'!$A:$A,"&lt;"&amp;$J1199+7),0))</f>
        <v/>
      </c>
      <c r="G1199" t="str">
        <f>IF($J1199="","",IFERROR(LOOKUP(2,1/(('Weekly Log'!$A$5:$A$5000&gt;=$J1199)*('Weekly Log'!$A$5:$A$5000&lt;$J1199+7)*('Weekly Log'!$M$5:$M$5000&lt;&gt;"")),'Weekly Log'!$M$5:$M$5000),0))</f>
        <v/>
      </c>
      <c r="J1199" t="str">
        <f>IF(COUNT('Weekly Log'!$A$5:$A$5000)=0,"",IF(MIN('Weekly Log'!$A$5:$A$5000)+7*(ROW()-10)&gt;MAX('Weekly Log'!$A$5:$A$5000),"",MIN('Weekly Log'!$A$5:$A$5000)+7*(ROW()-10)))</f>
        <v/>
      </c>
    </row>
    <row r="1200" spans="1:10" x14ac:dyDescent="0.25">
      <c r="A1200" t="str">
        <f t="shared" si="18"/>
        <v/>
      </c>
      <c r="B1200" t="str">
        <f>IF($J1200="","",SUMIFS('Weekly Log'!$C:$C,'Weekly Log'!$A:$A,"&gt;="&amp;$J1200,'Weekly Log'!$A:$A,"&lt;"&amp;$J1200+7))</f>
        <v/>
      </c>
      <c r="C1200" t="str">
        <f>IF($J1200="","",IFERROR(COUNTIFS('Weekly Log'!$G:$G,"Y",'Weekly Log'!$A:$A,"&gt;="&amp;$J1200,'Weekly Log'!$A:$A,"&lt;"&amp;$J1200+7)/COUNTIFS('Weekly Log'!$G:$G,"&lt;&gt;",'Weekly Log'!$A:$A,"&gt;="&amp;$J1200,'Weekly Log'!$A:$A,"&lt;"&amp;$J1200+7),0))</f>
        <v/>
      </c>
      <c r="D1200" t="str">
        <f>IF($J1200="","",IFERROR(COUNTIFS('Weekly Log'!$H:$H,"Y",'Weekly Log'!$A:$A,"&gt;="&amp;$J1200,'Weekly Log'!$A:$A,"&lt;"&amp;$J1200+7)/COUNTIFS('Weekly Log'!$H:$H,"&lt;&gt;",'Weekly Log'!$A:$A,"&gt;="&amp;$J1200,'Weekly Log'!$A:$A,"&lt;"&amp;$J1200+7),0))</f>
        <v/>
      </c>
      <c r="E1200" t="str">
        <f>IF($J1200="","",IFERROR(AVERAGEIFS('Weekly Log'!$F:$F,'Weekly Log'!$A:$A,"&gt;="&amp;$J1200,'Weekly Log'!$A:$A,"&lt;"&amp;$J1200+7),0))</f>
        <v/>
      </c>
      <c r="F1200" t="str">
        <f>IF($J1200="","",IFERROR(SUMIFS('Weekly Log'!$F:$F,'Weekly Log'!$A:$A,"&gt;="&amp;$J1200,'Weekly Log'!$A:$A,"&lt;"&amp;$J1200+7)/SUMIFS('Weekly Log'!$E:$E,'Weekly Log'!$A:$A,"&gt;="&amp;$J1200,'Weekly Log'!$A:$A,"&lt;"&amp;$J1200+7),0))</f>
        <v/>
      </c>
      <c r="G1200" t="str">
        <f>IF($J1200="","",IFERROR(LOOKUP(2,1/(('Weekly Log'!$A$5:$A$5000&gt;=$J1200)*('Weekly Log'!$A$5:$A$5000&lt;$J1200+7)*('Weekly Log'!$M$5:$M$5000&lt;&gt;"")),'Weekly Log'!$M$5:$M$5000),0))</f>
        <v/>
      </c>
      <c r="J1200" t="str">
        <f>IF(COUNT('Weekly Log'!$A$5:$A$5000)=0,"",IF(MIN('Weekly Log'!$A$5:$A$5000)+7*(ROW()-10)&gt;MAX('Weekly Log'!$A$5:$A$5000),"",MIN('Weekly Log'!$A$5:$A$5000)+7*(ROW()-10)))</f>
        <v/>
      </c>
    </row>
    <row r="1201" spans="1:10" x14ac:dyDescent="0.25">
      <c r="A1201" t="str">
        <f t="shared" si="18"/>
        <v/>
      </c>
      <c r="B1201" t="str">
        <f>IF($J1201="","",SUMIFS('Weekly Log'!$C:$C,'Weekly Log'!$A:$A,"&gt;="&amp;$J1201,'Weekly Log'!$A:$A,"&lt;"&amp;$J1201+7))</f>
        <v/>
      </c>
      <c r="C1201" t="str">
        <f>IF($J1201="","",IFERROR(COUNTIFS('Weekly Log'!$G:$G,"Y",'Weekly Log'!$A:$A,"&gt;="&amp;$J1201,'Weekly Log'!$A:$A,"&lt;"&amp;$J1201+7)/COUNTIFS('Weekly Log'!$G:$G,"&lt;&gt;",'Weekly Log'!$A:$A,"&gt;="&amp;$J1201,'Weekly Log'!$A:$A,"&lt;"&amp;$J1201+7),0))</f>
        <v/>
      </c>
      <c r="D1201" t="str">
        <f>IF($J1201="","",IFERROR(COUNTIFS('Weekly Log'!$H:$H,"Y",'Weekly Log'!$A:$A,"&gt;="&amp;$J1201,'Weekly Log'!$A:$A,"&lt;"&amp;$J1201+7)/COUNTIFS('Weekly Log'!$H:$H,"&lt;&gt;",'Weekly Log'!$A:$A,"&gt;="&amp;$J1201,'Weekly Log'!$A:$A,"&lt;"&amp;$J1201+7),0))</f>
        <v/>
      </c>
      <c r="E1201" t="str">
        <f>IF($J1201="","",IFERROR(AVERAGEIFS('Weekly Log'!$F:$F,'Weekly Log'!$A:$A,"&gt;="&amp;$J1201,'Weekly Log'!$A:$A,"&lt;"&amp;$J1201+7),0))</f>
        <v/>
      </c>
      <c r="F1201" t="str">
        <f>IF($J1201="","",IFERROR(SUMIFS('Weekly Log'!$F:$F,'Weekly Log'!$A:$A,"&gt;="&amp;$J1201,'Weekly Log'!$A:$A,"&lt;"&amp;$J1201+7)/SUMIFS('Weekly Log'!$E:$E,'Weekly Log'!$A:$A,"&gt;="&amp;$J1201,'Weekly Log'!$A:$A,"&lt;"&amp;$J1201+7),0))</f>
        <v/>
      </c>
      <c r="G1201" t="str">
        <f>IF($J1201="","",IFERROR(LOOKUP(2,1/(('Weekly Log'!$A$5:$A$5000&gt;=$J1201)*('Weekly Log'!$A$5:$A$5000&lt;$J1201+7)*('Weekly Log'!$M$5:$M$5000&lt;&gt;"")),'Weekly Log'!$M$5:$M$5000),0))</f>
        <v/>
      </c>
      <c r="J1201" t="str">
        <f>IF(COUNT('Weekly Log'!$A$5:$A$5000)=0,"",IF(MIN('Weekly Log'!$A$5:$A$5000)+7*(ROW()-10)&gt;MAX('Weekly Log'!$A$5:$A$5000),"",MIN('Weekly Log'!$A$5:$A$5000)+7*(ROW()-10)))</f>
        <v/>
      </c>
    </row>
    <row r="1202" spans="1:10" x14ac:dyDescent="0.25">
      <c r="A1202" t="str">
        <f t="shared" si="18"/>
        <v/>
      </c>
      <c r="B1202" t="str">
        <f>IF($J1202="","",SUMIFS('Weekly Log'!$C:$C,'Weekly Log'!$A:$A,"&gt;="&amp;$J1202,'Weekly Log'!$A:$A,"&lt;"&amp;$J1202+7))</f>
        <v/>
      </c>
      <c r="C1202" t="str">
        <f>IF($J1202="","",IFERROR(COUNTIFS('Weekly Log'!$G:$G,"Y",'Weekly Log'!$A:$A,"&gt;="&amp;$J1202,'Weekly Log'!$A:$A,"&lt;"&amp;$J1202+7)/COUNTIFS('Weekly Log'!$G:$G,"&lt;&gt;",'Weekly Log'!$A:$A,"&gt;="&amp;$J1202,'Weekly Log'!$A:$A,"&lt;"&amp;$J1202+7),0))</f>
        <v/>
      </c>
      <c r="D1202" t="str">
        <f>IF($J1202="","",IFERROR(COUNTIFS('Weekly Log'!$H:$H,"Y",'Weekly Log'!$A:$A,"&gt;="&amp;$J1202,'Weekly Log'!$A:$A,"&lt;"&amp;$J1202+7)/COUNTIFS('Weekly Log'!$H:$H,"&lt;&gt;",'Weekly Log'!$A:$A,"&gt;="&amp;$J1202,'Weekly Log'!$A:$A,"&lt;"&amp;$J1202+7),0))</f>
        <v/>
      </c>
      <c r="E1202" t="str">
        <f>IF($J1202="","",IFERROR(AVERAGEIFS('Weekly Log'!$F:$F,'Weekly Log'!$A:$A,"&gt;="&amp;$J1202,'Weekly Log'!$A:$A,"&lt;"&amp;$J1202+7),0))</f>
        <v/>
      </c>
      <c r="F1202" t="str">
        <f>IF($J1202="","",IFERROR(SUMIFS('Weekly Log'!$F:$F,'Weekly Log'!$A:$A,"&gt;="&amp;$J1202,'Weekly Log'!$A:$A,"&lt;"&amp;$J1202+7)/SUMIFS('Weekly Log'!$E:$E,'Weekly Log'!$A:$A,"&gt;="&amp;$J1202,'Weekly Log'!$A:$A,"&lt;"&amp;$J1202+7),0))</f>
        <v/>
      </c>
      <c r="G1202" t="str">
        <f>IF($J1202="","",IFERROR(LOOKUP(2,1/(('Weekly Log'!$A$5:$A$5000&gt;=$J1202)*('Weekly Log'!$A$5:$A$5000&lt;$J1202+7)*('Weekly Log'!$M$5:$M$5000&lt;&gt;"")),'Weekly Log'!$M$5:$M$5000),0))</f>
        <v/>
      </c>
      <c r="J1202" t="str">
        <f>IF(COUNT('Weekly Log'!$A$5:$A$5000)=0,"",IF(MIN('Weekly Log'!$A$5:$A$5000)+7*(ROW()-10)&gt;MAX('Weekly Log'!$A$5:$A$5000),"",MIN('Weekly Log'!$A$5:$A$5000)+7*(ROW()-10)))</f>
        <v/>
      </c>
    </row>
    <row r="1203" spans="1:10" x14ac:dyDescent="0.25">
      <c r="A1203" t="str">
        <f t="shared" si="18"/>
        <v/>
      </c>
      <c r="B1203" t="str">
        <f>IF($J1203="","",SUMIFS('Weekly Log'!$C:$C,'Weekly Log'!$A:$A,"&gt;="&amp;$J1203,'Weekly Log'!$A:$A,"&lt;"&amp;$J1203+7))</f>
        <v/>
      </c>
      <c r="C1203" t="str">
        <f>IF($J1203="","",IFERROR(COUNTIFS('Weekly Log'!$G:$G,"Y",'Weekly Log'!$A:$A,"&gt;="&amp;$J1203,'Weekly Log'!$A:$A,"&lt;"&amp;$J1203+7)/COUNTIFS('Weekly Log'!$G:$G,"&lt;&gt;",'Weekly Log'!$A:$A,"&gt;="&amp;$J1203,'Weekly Log'!$A:$A,"&lt;"&amp;$J1203+7),0))</f>
        <v/>
      </c>
      <c r="D1203" t="str">
        <f>IF($J1203="","",IFERROR(COUNTIFS('Weekly Log'!$H:$H,"Y",'Weekly Log'!$A:$A,"&gt;="&amp;$J1203,'Weekly Log'!$A:$A,"&lt;"&amp;$J1203+7)/COUNTIFS('Weekly Log'!$H:$H,"&lt;&gt;",'Weekly Log'!$A:$A,"&gt;="&amp;$J1203,'Weekly Log'!$A:$A,"&lt;"&amp;$J1203+7),0))</f>
        <v/>
      </c>
      <c r="E1203" t="str">
        <f>IF($J1203="","",IFERROR(AVERAGEIFS('Weekly Log'!$F:$F,'Weekly Log'!$A:$A,"&gt;="&amp;$J1203,'Weekly Log'!$A:$A,"&lt;"&amp;$J1203+7),0))</f>
        <v/>
      </c>
      <c r="F1203" t="str">
        <f>IF($J1203="","",IFERROR(SUMIFS('Weekly Log'!$F:$F,'Weekly Log'!$A:$A,"&gt;="&amp;$J1203,'Weekly Log'!$A:$A,"&lt;"&amp;$J1203+7)/SUMIFS('Weekly Log'!$E:$E,'Weekly Log'!$A:$A,"&gt;="&amp;$J1203,'Weekly Log'!$A:$A,"&lt;"&amp;$J1203+7),0))</f>
        <v/>
      </c>
      <c r="G1203" t="str">
        <f>IF($J1203="","",IFERROR(LOOKUP(2,1/(('Weekly Log'!$A$5:$A$5000&gt;=$J1203)*('Weekly Log'!$A$5:$A$5000&lt;$J1203+7)*('Weekly Log'!$M$5:$M$5000&lt;&gt;"")),'Weekly Log'!$M$5:$M$5000),0))</f>
        <v/>
      </c>
      <c r="J1203" t="str">
        <f>IF(COUNT('Weekly Log'!$A$5:$A$5000)=0,"",IF(MIN('Weekly Log'!$A$5:$A$5000)+7*(ROW()-10)&gt;MAX('Weekly Log'!$A$5:$A$5000),"",MIN('Weekly Log'!$A$5:$A$5000)+7*(ROW()-10)))</f>
        <v/>
      </c>
    </row>
    <row r="1204" spans="1:10" x14ac:dyDescent="0.25">
      <c r="A1204" t="str">
        <f t="shared" si="18"/>
        <v/>
      </c>
      <c r="B1204" t="str">
        <f>IF($J1204="","",SUMIFS('Weekly Log'!$C:$C,'Weekly Log'!$A:$A,"&gt;="&amp;$J1204,'Weekly Log'!$A:$A,"&lt;"&amp;$J1204+7))</f>
        <v/>
      </c>
      <c r="C1204" t="str">
        <f>IF($J1204="","",IFERROR(COUNTIFS('Weekly Log'!$G:$G,"Y",'Weekly Log'!$A:$A,"&gt;="&amp;$J1204,'Weekly Log'!$A:$A,"&lt;"&amp;$J1204+7)/COUNTIFS('Weekly Log'!$G:$G,"&lt;&gt;",'Weekly Log'!$A:$A,"&gt;="&amp;$J1204,'Weekly Log'!$A:$A,"&lt;"&amp;$J1204+7),0))</f>
        <v/>
      </c>
      <c r="D1204" t="str">
        <f>IF($J1204="","",IFERROR(COUNTIFS('Weekly Log'!$H:$H,"Y",'Weekly Log'!$A:$A,"&gt;="&amp;$J1204,'Weekly Log'!$A:$A,"&lt;"&amp;$J1204+7)/COUNTIFS('Weekly Log'!$H:$H,"&lt;&gt;",'Weekly Log'!$A:$A,"&gt;="&amp;$J1204,'Weekly Log'!$A:$A,"&lt;"&amp;$J1204+7),0))</f>
        <v/>
      </c>
      <c r="E1204" t="str">
        <f>IF($J1204="","",IFERROR(AVERAGEIFS('Weekly Log'!$F:$F,'Weekly Log'!$A:$A,"&gt;="&amp;$J1204,'Weekly Log'!$A:$A,"&lt;"&amp;$J1204+7),0))</f>
        <v/>
      </c>
      <c r="F1204" t="str">
        <f>IF($J1204="","",IFERROR(SUMIFS('Weekly Log'!$F:$F,'Weekly Log'!$A:$A,"&gt;="&amp;$J1204,'Weekly Log'!$A:$A,"&lt;"&amp;$J1204+7)/SUMIFS('Weekly Log'!$E:$E,'Weekly Log'!$A:$A,"&gt;="&amp;$J1204,'Weekly Log'!$A:$A,"&lt;"&amp;$J1204+7),0))</f>
        <v/>
      </c>
      <c r="G1204" t="str">
        <f>IF($J1204="","",IFERROR(LOOKUP(2,1/(('Weekly Log'!$A$5:$A$5000&gt;=$J1204)*('Weekly Log'!$A$5:$A$5000&lt;$J1204+7)*('Weekly Log'!$M$5:$M$5000&lt;&gt;"")),'Weekly Log'!$M$5:$M$5000),0))</f>
        <v/>
      </c>
      <c r="J1204" t="str">
        <f>IF(COUNT('Weekly Log'!$A$5:$A$5000)=0,"",IF(MIN('Weekly Log'!$A$5:$A$5000)+7*(ROW()-10)&gt;MAX('Weekly Log'!$A$5:$A$5000),"",MIN('Weekly Log'!$A$5:$A$5000)+7*(ROW()-10)))</f>
        <v/>
      </c>
    </row>
    <row r="1205" spans="1:10" x14ac:dyDescent="0.25">
      <c r="A1205" t="str">
        <f t="shared" si="18"/>
        <v/>
      </c>
      <c r="B1205" t="str">
        <f>IF($J1205="","",SUMIFS('Weekly Log'!$C:$C,'Weekly Log'!$A:$A,"&gt;="&amp;$J1205,'Weekly Log'!$A:$A,"&lt;"&amp;$J1205+7))</f>
        <v/>
      </c>
      <c r="C1205" t="str">
        <f>IF($J1205="","",IFERROR(COUNTIFS('Weekly Log'!$G:$G,"Y",'Weekly Log'!$A:$A,"&gt;="&amp;$J1205,'Weekly Log'!$A:$A,"&lt;"&amp;$J1205+7)/COUNTIFS('Weekly Log'!$G:$G,"&lt;&gt;",'Weekly Log'!$A:$A,"&gt;="&amp;$J1205,'Weekly Log'!$A:$A,"&lt;"&amp;$J1205+7),0))</f>
        <v/>
      </c>
      <c r="D1205" t="str">
        <f>IF($J1205="","",IFERROR(COUNTIFS('Weekly Log'!$H:$H,"Y",'Weekly Log'!$A:$A,"&gt;="&amp;$J1205,'Weekly Log'!$A:$A,"&lt;"&amp;$J1205+7)/COUNTIFS('Weekly Log'!$H:$H,"&lt;&gt;",'Weekly Log'!$A:$A,"&gt;="&amp;$J1205,'Weekly Log'!$A:$A,"&lt;"&amp;$J1205+7),0))</f>
        <v/>
      </c>
      <c r="E1205" t="str">
        <f>IF($J1205="","",IFERROR(AVERAGEIFS('Weekly Log'!$F:$F,'Weekly Log'!$A:$A,"&gt;="&amp;$J1205,'Weekly Log'!$A:$A,"&lt;"&amp;$J1205+7),0))</f>
        <v/>
      </c>
      <c r="F1205" t="str">
        <f>IF($J1205="","",IFERROR(SUMIFS('Weekly Log'!$F:$F,'Weekly Log'!$A:$A,"&gt;="&amp;$J1205,'Weekly Log'!$A:$A,"&lt;"&amp;$J1205+7)/SUMIFS('Weekly Log'!$E:$E,'Weekly Log'!$A:$A,"&gt;="&amp;$J1205,'Weekly Log'!$A:$A,"&lt;"&amp;$J1205+7),0))</f>
        <v/>
      </c>
      <c r="G1205" t="str">
        <f>IF($J1205="","",IFERROR(LOOKUP(2,1/(('Weekly Log'!$A$5:$A$5000&gt;=$J1205)*('Weekly Log'!$A$5:$A$5000&lt;$J1205+7)*('Weekly Log'!$M$5:$M$5000&lt;&gt;"")),'Weekly Log'!$M$5:$M$5000),0))</f>
        <v/>
      </c>
      <c r="J1205" t="str">
        <f>IF(COUNT('Weekly Log'!$A$5:$A$5000)=0,"",IF(MIN('Weekly Log'!$A$5:$A$5000)+7*(ROW()-10)&gt;MAX('Weekly Log'!$A$5:$A$5000),"",MIN('Weekly Log'!$A$5:$A$5000)+7*(ROW()-10)))</f>
        <v/>
      </c>
    </row>
    <row r="1206" spans="1:10" x14ac:dyDescent="0.25">
      <c r="A1206" t="str">
        <f t="shared" si="18"/>
        <v/>
      </c>
      <c r="B1206" t="str">
        <f>IF($J1206="","",SUMIFS('Weekly Log'!$C:$C,'Weekly Log'!$A:$A,"&gt;="&amp;$J1206,'Weekly Log'!$A:$A,"&lt;"&amp;$J1206+7))</f>
        <v/>
      </c>
      <c r="C1206" t="str">
        <f>IF($J1206="","",IFERROR(COUNTIFS('Weekly Log'!$G:$G,"Y",'Weekly Log'!$A:$A,"&gt;="&amp;$J1206,'Weekly Log'!$A:$A,"&lt;"&amp;$J1206+7)/COUNTIFS('Weekly Log'!$G:$G,"&lt;&gt;",'Weekly Log'!$A:$A,"&gt;="&amp;$J1206,'Weekly Log'!$A:$A,"&lt;"&amp;$J1206+7),0))</f>
        <v/>
      </c>
      <c r="D1206" t="str">
        <f>IF($J1206="","",IFERROR(COUNTIFS('Weekly Log'!$H:$H,"Y",'Weekly Log'!$A:$A,"&gt;="&amp;$J1206,'Weekly Log'!$A:$A,"&lt;"&amp;$J1206+7)/COUNTIFS('Weekly Log'!$H:$H,"&lt;&gt;",'Weekly Log'!$A:$A,"&gt;="&amp;$J1206,'Weekly Log'!$A:$A,"&lt;"&amp;$J1206+7),0))</f>
        <v/>
      </c>
      <c r="E1206" t="str">
        <f>IF($J1206="","",IFERROR(AVERAGEIFS('Weekly Log'!$F:$F,'Weekly Log'!$A:$A,"&gt;="&amp;$J1206,'Weekly Log'!$A:$A,"&lt;"&amp;$J1206+7),0))</f>
        <v/>
      </c>
      <c r="F1206" t="str">
        <f>IF($J1206="","",IFERROR(SUMIFS('Weekly Log'!$F:$F,'Weekly Log'!$A:$A,"&gt;="&amp;$J1206,'Weekly Log'!$A:$A,"&lt;"&amp;$J1206+7)/SUMIFS('Weekly Log'!$E:$E,'Weekly Log'!$A:$A,"&gt;="&amp;$J1206,'Weekly Log'!$A:$A,"&lt;"&amp;$J1206+7),0))</f>
        <v/>
      </c>
      <c r="G1206" t="str">
        <f>IF($J1206="","",IFERROR(LOOKUP(2,1/(('Weekly Log'!$A$5:$A$5000&gt;=$J1206)*('Weekly Log'!$A$5:$A$5000&lt;$J1206+7)*('Weekly Log'!$M$5:$M$5000&lt;&gt;"")),'Weekly Log'!$M$5:$M$5000),0))</f>
        <v/>
      </c>
      <c r="J1206" t="str">
        <f>IF(COUNT('Weekly Log'!$A$5:$A$5000)=0,"",IF(MIN('Weekly Log'!$A$5:$A$5000)+7*(ROW()-10)&gt;MAX('Weekly Log'!$A$5:$A$5000),"",MIN('Weekly Log'!$A$5:$A$5000)+7*(ROW()-10)))</f>
        <v/>
      </c>
    </row>
    <row r="1207" spans="1:10" x14ac:dyDescent="0.25">
      <c r="A1207" t="str">
        <f t="shared" si="18"/>
        <v/>
      </c>
      <c r="B1207" t="str">
        <f>IF($J1207="","",SUMIFS('Weekly Log'!$C:$C,'Weekly Log'!$A:$A,"&gt;="&amp;$J1207,'Weekly Log'!$A:$A,"&lt;"&amp;$J1207+7))</f>
        <v/>
      </c>
      <c r="C1207" t="str">
        <f>IF($J1207="","",IFERROR(COUNTIFS('Weekly Log'!$G:$G,"Y",'Weekly Log'!$A:$A,"&gt;="&amp;$J1207,'Weekly Log'!$A:$A,"&lt;"&amp;$J1207+7)/COUNTIFS('Weekly Log'!$G:$G,"&lt;&gt;",'Weekly Log'!$A:$A,"&gt;="&amp;$J1207,'Weekly Log'!$A:$A,"&lt;"&amp;$J1207+7),0))</f>
        <v/>
      </c>
      <c r="D1207" t="str">
        <f>IF($J1207="","",IFERROR(COUNTIFS('Weekly Log'!$H:$H,"Y",'Weekly Log'!$A:$A,"&gt;="&amp;$J1207,'Weekly Log'!$A:$A,"&lt;"&amp;$J1207+7)/COUNTIFS('Weekly Log'!$H:$H,"&lt;&gt;",'Weekly Log'!$A:$A,"&gt;="&amp;$J1207,'Weekly Log'!$A:$A,"&lt;"&amp;$J1207+7),0))</f>
        <v/>
      </c>
      <c r="E1207" t="str">
        <f>IF($J1207="","",IFERROR(AVERAGEIFS('Weekly Log'!$F:$F,'Weekly Log'!$A:$A,"&gt;="&amp;$J1207,'Weekly Log'!$A:$A,"&lt;"&amp;$J1207+7),0))</f>
        <v/>
      </c>
      <c r="F1207" t="str">
        <f>IF($J1207="","",IFERROR(SUMIFS('Weekly Log'!$F:$F,'Weekly Log'!$A:$A,"&gt;="&amp;$J1207,'Weekly Log'!$A:$A,"&lt;"&amp;$J1207+7)/SUMIFS('Weekly Log'!$E:$E,'Weekly Log'!$A:$A,"&gt;="&amp;$J1207,'Weekly Log'!$A:$A,"&lt;"&amp;$J1207+7),0))</f>
        <v/>
      </c>
      <c r="G1207" t="str">
        <f>IF($J1207="","",IFERROR(LOOKUP(2,1/(('Weekly Log'!$A$5:$A$5000&gt;=$J1207)*('Weekly Log'!$A$5:$A$5000&lt;$J1207+7)*('Weekly Log'!$M$5:$M$5000&lt;&gt;"")),'Weekly Log'!$M$5:$M$5000),0))</f>
        <v/>
      </c>
      <c r="J1207" t="str">
        <f>IF(COUNT('Weekly Log'!$A$5:$A$5000)=0,"",IF(MIN('Weekly Log'!$A$5:$A$5000)+7*(ROW()-10)&gt;MAX('Weekly Log'!$A$5:$A$5000),"",MIN('Weekly Log'!$A$5:$A$5000)+7*(ROW()-10)))</f>
        <v/>
      </c>
    </row>
    <row r="1208" spans="1:10" x14ac:dyDescent="0.25">
      <c r="A1208" t="str">
        <f t="shared" si="18"/>
        <v/>
      </c>
      <c r="B1208" t="str">
        <f>IF($J1208="","",SUMIFS('Weekly Log'!$C:$C,'Weekly Log'!$A:$A,"&gt;="&amp;$J1208,'Weekly Log'!$A:$A,"&lt;"&amp;$J1208+7))</f>
        <v/>
      </c>
      <c r="C1208" t="str">
        <f>IF($J1208="","",IFERROR(COUNTIFS('Weekly Log'!$G:$G,"Y",'Weekly Log'!$A:$A,"&gt;="&amp;$J1208,'Weekly Log'!$A:$A,"&lt;"&amp;$J1208+7)/COUNTIFS('Weekly Log'!$G:$G,"&lt;&gt;",'Weekly Log'!$A:$A,"&gt;="&amp;$J1208,'Weekly Log'!$A:$A,"&lt;"&amp;$J1208+7),0))</f>
        <v/>
      </c>
      <c r="D1208" t="str">
        <f>IF($J1208="","",IFERROR(COUNTIFS('Weekly Log'!$H:$H,"Y",'Weekly Log'!$A:$A,"&gt;="&amp;$J1208,'Weekly Log'!$A:$A,"&lt;"&amp;$J1208+7)/COUNTIFS('Weekly Log'!$H:$H,"&lt;&gt;",'Weekly Log'!$A:$A,"&gt;="&amp;$J1208,'Weekly Log'!$A:$A,"&lt;"&amp;$J1208+7),0))</f>
        <v/>
      </c>
      <c r="E1208" t="str">
        <f>IF($J1208="","",IFERROR(AVERAGEIFS('Weekly Log'!$F:$F,'Weekly Log'!$A:$A,"&gt;="&amp;$J1208,'Weekly Log'!$A:$A,"&lt;"&amp;$J1208+7),0))</f>
        <v/>
      </c>
      <c r="F1208" t="str">
        <f>IF($J1208="","",IFERROR(SUMIFS('Weekly Log'!$F:$F,'Weekly Log'!$A:$A,"&gt;="&amp;$J1208,'Weekly Log'!$A:$A,"&lt;"&amp;$J1208+7)/SUMIFS('Weekly Log'!$E:$E,'Weekly Log'!$A:$A,"&gt;="&amp;$J1208,'Weekly Log'!$A:$A,"&lt;"&amp;$J1208+7),0))</f>
        <v/>
      </c>
      <c r="G1208" t="str">
        <f>IF($J1208="","",IFERROR(LOOKUP(2,1/(('Weekly Log'!$A$5:$A$5000&gt;=$J1208)*('Weekly Log'!$A$5:$A$5000&lt;$J1208+7)*('Weekly Log'!$M$5:$M$5000&lt;&gt;"")),'Weekly Log'!$M$5:$M$5000),0))</f>
        <v/>
      </c>
      <c r="J1208" t="str">
        <f>IF(COUNT('Weekly Log'!$A$5:$A$5000)=0,"",IF(MIN('Weekly Log'!$A$5:$A$5000)+7*(ROW()-10)&gt;MAX('Weekly Log'!$A$5:$A$5000),"",MIN('Weekly Log'!$A$5:$A$5000)+7*(ROW()-10)))</f>
        <v/>
      </c>
    </row>
    <row r="1209" spans="1:10" x14ac:dyDescent="0.25">
      <c r="A1209" t="str">
        <f t="shared" si="18"/>
        <v/>
      </c>
      <c r="B1209" t="str">
        <f>IF($J1209="","",SUMIFS('Weekly Log'!$C:$C,'Weekly Log'!$A:$A,"&gt;="&amp;$J1209,'Weekly Log'!$A:$A,"&lt;"&amp;$J1209+7))</f>
        <v/>
      </c>
      <c r="C1209" t="str">
        <f>IF($J1209="","",IFERROR(COUNTIFS('Weekly Log'!$G:$G,"Y",'Weekly Log'!$A:$A,"&gt;="&amp;$J1209,'Weekly Log'!$A:$A,"&lt;"&amp;$J1209+7)/COUNTIFS('Weekly Log'!$G:$G,"&lt;&gt;",'Weekly Log'!$A:$A,"&gt;="&amp;$J1209,'Weekly Log'!$A:$A,"&lt;"&amp;$J1209+7),0))</f>
        <v/>
      </c>
      <c r="D1209" t="str">
        <f>IF($J1209="","",IFERROR(COUNTIFS('Weekly Log'!$H:$H,"Y",'Weekly Log'!$A:$A,"&gt;="&amp;$J1209,'Weekly Log'!$A:$A,"&lt;"&amp;$J1209+7)/COUNTIFS('Weekly Log'!$H:$H,"&lt;&gt;",'Weekly Log'!$A:$A,"&gt;="&amp;$J1209,'Weekly Log'!$A:$A,"&lt;"&amp;$J1209+7),0))</f>
        <v/>
      </c>
      <c r="E1209" t="str">
        <f>IF($J1209="","",IFERROR(AVERAGEIFS('Weekly Log'!$F:$F,'Weekly Log'!$A:$A,"&gt;="&amp;$J1209,'Weekly Log'!$A:$A,"&lt;"&amp;$J1209+7),0))</f>
        <v/>
      </c>
      <c r="F1209" t="str">
        <f>IF($J1209="","",IFERROR(SUMIFS('Weekly Log'!$F:$F,'Weekly Log'!$A:$A,"&gt;="&amp;$J1209,'Weekly Log'!$A:$A,"&lt;"&amp;$J1209+7)/SUMIFS('Weekly Log'!$E:$E,'Weekly Log'!$A:$A,"&gt;="&amp;$J1209,'Weekly Log'!$A:$A,"&lt;"&amp;$J1209+7),0))</f>
        <v/>
      </c>
      <c r="G1209" t="str">
        <f>IF($J1209="","",IFERROR(LOOKUP(2,1/(('Weekly Log'!$A$5:$A$5000&gt;=$J1209)*('Weekly Log'!$A$5:$A$5000&lt;$J1209+7)*('Weekly Log'!$M$5:$M$5000&lt;&gt;"")),'Weekly Log'!$M$5:$M$5000),0))</f>
        <v/>
      </c>
      <c r="J1209" t="str">
        <f>IF(COUNT('Weekly Log'!$A$5:$A$5000)=0,"",IF(MIN('Weekly Log'!$A$5:$A$5000)+7*(ROW()-10)&gt;MAX('Weekly Log'!$A$5:$A$5000),"",MIN('Weekly Log'!$A$5:$A$5000)+7*(ROW()-10)))</f>
        <v/>
      </c>
    </row>
    <row r="1210" spans="1:10" x14ac:dyDescent="0.25">
      <c r="A1210" t="str">
        <f t="shared" si="18"/>
        <v/>
      </c>
      <c r="B1210" t="str">
        <f>IF($J1210="","",SUMIFS('Weekly Log'!$C:$C,'Weekly Log'!$A:$A,"&gt;="&amp;$J1210,'Weekly Log'!$A:$A,"&lt;"&amp;$J1210+7))</f>
        <v/>
      </c>
      <c r="C1210" t="str">
        <f>IF($J1210="","",IFERROR(COUNTIFS('Weekly Log'!$G:$G,"Y",'Weekly Log'!$A:$A,"&gt;="&amp;$J1210,'Weekly Log'!$A:$A,"&lt;"&amp;$J1210+7)/COUNTIFS('Weekly Log'!$G:$G,"&lt;&gt;",'Weekly Log'!$A:$A,"&gt;="&amp;$J1210,'Weekly Log'!$A:$A,"&lt;"&amp;$J1210+7),0))</f>
        <v/>
      </c>
      <c r="D1210" t="str">
        <f>IF($J1210="","",IFERROR(COUNTIFS('Weekly Log'!$H:$H,"Y",'Weekly Log'!$A:$A,"&gt;="&amp;$J1210,'Weekly Log'!$A:$A,"&lt;"&amp;$J1210+7)/COUNTIFS('Weekly Log'!$H:$H,"&lt;&gt;",'Weekly Log'!$A:$A,"&gt;="&amp;$J1210,'Weekly Log'!$A:$A,"&lt;"&amp;$J1210+7),0))</f>
        <v/>
      </c>
      <c r="E1210" t="str">
        <f>IF($J1210="","",IFERROR(AVERAGEIFS('Weekly Log'!$F:$F,'Weekly Log'!$A:$A,"&gt;="&amp;$J1210,'Weekly Log'!$A:$A,"&lt;"&amp;$J1210+7),0))</f>
        <v/>
      </c>
      <c r="F1210" t="str">
        <f>IF($J1210="","",IFERROR(SUMIFS('Weekly Log'!$F:$F,'Weekly Log'!$A:$A,"&gt;="&amp;$J1210,'Weekly Log'!$A:$A,"&lt;"&amp;$J1210+7)/SUMIFS('Weekly Log'!$E:$E,'Weekly Log'!$A:$A,"&gt;="&amp;$J1210,'Weekly Log'!$A:$A,"&lt;"&amp;$J1210+7),0))</f>
        <v/>
      </c>
      <c r="G1210" t="str">
        <f>IF($J1210="","",IFERROR(LOOKUP(2,1/(('Weekly Log'!$A$5:$A$5000&gt;=$J1210)*('Weekly Log'!$A$5:$A$5000&lt;$J1210+7)*('Weekly Log'!$M$5:$M$5000&lt;&gt;"")),'Weekly Log'!$M$5:$M$5000),0))</f>
        <v/>
      </c>
      <c r="J1210" t="str">
        <f>IF(COUNT('Weekly Log'!$A$5:$A$5000)=0,"",IF(MIN('Weekly Log'!$A$5:$A$5000)+7*(ROW()-10)&gt;MAX('Weekly Log'!$A$5:$A$5000),"",MIN('Weekly Log'!$A$5:$A$5000)+7*(ROW()-10)))</f>
        <v/>
      </c>
    </row>
    <row r="1211" spans="1:10" x14ac:dyDescent="0.25">
      <c r="A1211" t="str">
        <f t="shared" si="18"/>
        <v/>
      </c>
      <c r="B1211" t="str">
        <f>IF($J1211="","",SUMIFS('Weekly Log'!$C:$C,'Weekly Log'!$A:$A,"&gt;="&amp;$J1211,'Weekly Log'!$A:$A,"&lt;"&amp;$J1211+7))</f>
        <v/>
      </c>
      <c r="C1211" t="str">
        <f>IF($J1211="","",IFERROR(COUNTIFS('Weekly Log'!$G:$G,"Y",'Weekly Log'!$A:$A,"&gt;="&amp;$J1211,'Weekly Log'!$A:$A,"&lt;"&amp;$J1211+7)/COUNTIFS('Weekly Log'!$G:$G,"&lt;&gt;",'Weekly Log'!$A:$A,"&gt;="&amp;$J1211,'Weekly Log'!$A:$A,"&lt;"&amp;$J1211+7),0))</f>
        <v/>
      </c>
      <c r="D1211" t="str">
        <f>IF($J1211="","",IFERROR(COUNTIFS('Weekly Log'!$H:$H,"Y",'Weekly Log'!$A:$A,"&gt;="&amp;$J1211,'Weekly Log'!$A:$A,"&lt;"&amp;$J1211+7)/COUNTIFS('Weekly Log'!$H:$H,"&lt;&gt;",'Weekly Log'!$A:$A,"&gt;="&amp;$J1211,'Weekly Log'!$A:$A,"&lt;"&amp;$J1211+7),0))</f>
        <v/>
      </c>
      <c r="E1211" t="str">
        <f>IF($J1211="","",IFERROR(AVERAGEIFS('Weekly Log'!$F:$F,'Weekly Log'!$A:$A,"&gt;="&amp;$J1211,'Weekly Log'!$A:$A,"&lt;"&amp;$J1211+7),0))</f>
        <v/>
      </c>
      <c r="F1211" t="str">
        <f>IF($J1211="","",IFERROR(SUMIFS('Weekly Log'!$F:$F,'Weekly Log'!$A:$A,"&gt;="&amp;$J1211,'Weekly Log'!$A:$A,"&lt;"&amp;$J1211+7)/SUMIFS('Weekly Log'!$E:$E,'Weekly Log'!$A:$A,"&gt;="&amp;$J1211,'Weekly Log'!$A:$A,"&lt;"&amp;$J1211+7),0))</f>
        <v/>
      </c>
      <c r="G1211" t="str">
        <f>IF($J1211="","",IFERROR(LOOKUP(2,1/(('Weekly Log'!$A$5:$A$5000&gt;=$J1211)*('Weekly Log'!$A$5:$A$5000&lt;$J1211+7)*('Weekly Log'!$M$5:$M$5000&lt;&gt;"")),'Weekly Log'!$M$5:$M$5000),0))</f>
        <v/>
      </c>
      <c r="J1211" t="str">
        <f>IF(COUNT('Weekly Log'!$A$5:$A$5000)=0,"",IF(MIN('Weekly Log'!$A$5:$A$5000)+7*(ROW()-10)&gt;MAX('Weekly Log'!$A$5:$A$5000),"",MIN('Weekly Log'!$A$5:$A$5000)+7*(ROW()-10)))</f>
        <v/>
      </c>
    </row>
    <row r="1212" spans="1:10" x14ac:dyDescent="0.25">
      <c r="A1212" t="str">
        <f t="shared" si="18"/>
        <v/>
      </c>
      <c r="B1212" t="str">
        <f>IF($J1212="","",SUMIFS('Weekly Log'!$C:$C,'Weekly Log'!$A:$A,"&gt;="&amp;$J1212,'Weekly Log'!$A:$A,"&lt;"&amp;$J1212+7))</f>
        <v/>
      </c>
      <c r="C1212" t="str">
        <f>IF($J1212="","",IFERROR(COUNTIFS('Weekly Log'!$G:$G,"Y",'Weekly Log'!$A:$A,"&gt;="&amp;$J1212,'Weekly Log'!$A:$A,"&lt;"&amp;$J1212+7)/COUNTIFS('Weekly Log'!$G:$G,"&lt;&gt;",'Weekly Log'!$A:$A,"&gt;="&amp;$J1212,'Weekly Log'!$A:$A,"&lt;"&amp;$J1212+7),0))</f>
        <v/>
      </c>
      <c r="D1212" t="str">
        <f>IF($J1212="","",IFERROR(COUNTIFS('Weekly Log'!$H:$H,"Y",'Weekly Log'!$A:$A,"&gt;="&amp;$J1212,'Weekly Log'!$A:$A,"&lt;"&amp;$J1212+7)/COUNTIFS('Weekly Log'!$H:$H,"&lt;&gt;",'Weekly Log'!$A:$A,"&gt;="&amp;$J1212,'Weekly Log'!$A:$A,"&lt;"&amp;$J1212+7),0))</f>
        <v/>
      </c>
      <c r="E1212" t="str">
        <f>IF($J1212="","",IFERROR(AVERAGEIFS('Weekly Log'!$F:$F,'Weekly Log'!$A:$A,"&gt;="&amp;$J1212,'Weekly Log'!$A:$A,"&lt;"&amp;$J1212+7),0))</f>
        <v/>
      </c>
      <c r="F1212" t="str">
        <f>IF($J1212="","",IFERROR(SUMIFS('Weekly Log'!$F:$F,'Weekly Log'!$A:$A,"&gt;="&amp;$J1212,'Weekly Log'!$A:$A,"&lt;"&amp;$J1212+7)/SUMIFS('Weekly Log'!$E:$E,'Weekly Log'!$A:$A,"&gt;="&amp;$J1212,'Weekly Log'!$A:$A,"&lt;"&amp;$J1212+7),0))</f>
        <v/>
      </c>
      <c r="G1212" t="str">
        <f>IF($J1212="","",IFERROR(LOOKUP(2,1/(('Weekly Log'!$A$5:$A$5000&gt;=$J1212)*('Weekly Log'!$A$5:$A$5000&lt;$J1212+7)*('Weekly Log'!$M$5:$M$5000&lt;&gt;"")),'Weekly Log'!$M$5:$M$5000),0))</f>
        <v/>
      </c>
      <c r="J1212" t="str">
        <f>IF(COUNT('Weekly Log'!$A$5:$A$5000)=0,"",IF(MIN('Weekly Log'!$A$5:$A$5000)+7*(ROW()-10)&gt;MAX('Weekly Log'!$A$5:$A$5000),"",MIN('Weekly Log'!$A$5:$A$5000)+7*(ROW()-10)))</f>
        <v/>
      </c>
    </row>
    <row r="1213" spans="1:10" x14ac:dyDescent="0.25">
      <c r="A1213" t="str">
        <f t="shared" si="18"/>
        <v/>
      </c>
      <c r="B1213" t="str">
        <f>IF($J1213="","",SUMIFS('Weekly Log'!$C:$C,'Weekly Log'!$A:$A,"&gt;="&amp;$J1213,'Weekly Log'!$A:$A,"&lt;"&amp;$J1213+7))</f>
        <v/>
      </c>
      <c r="C1213" t="str">
        <f>IF($J1213="","",IFERROR(COUNTIFS('Weekly Log'!$G:$G,"Y",'Weekly Log'!$A:$A,"&gt;="&amp;$J1213,'Weekly Log'!$A:$A,"&lt;"&amp;$J1213+7)/COUNTIFS('Weekly Log'!$G:$G,"&lt;&gt;",'Weekly Log'!$A:$A,"&gt;="&amp;$J1213,'Weekly Log'!$A:$A,"&lt;"&amp;$J1213+7),0))</f>
        <v/>
      </c>
      <c r="D1213" t="str">
        <f>IF($J1213="","",IFERROR(COUNTIFS('Weekly Log'!$H:$H,"Y",'Weekly Log'!$A:$A,"&gt;="&amp;$J1213,'Weekly Log'!$A:$A,"&lt;"&amp;$J1213+7)/COUNTIFS('Weekly Log'!$H:$H,"&lt;&gt;",'Weekly Log'!$A:$A,"&gt;="&amp;$J1213,'Weekly Log'!$A:$A,"&lt;"&amp;$J1213+7),0))</f>
        <v/>
      </c>
      <c r="E1213" t="str">
        <f>IF($J1213="","",IFERROR(AVERAGEIFS('Weekly Log'!$F:$F,'Weekly Log'!$A:$A,"&gt;="&amp;$J1213,'Weekly Log'!$A:$A,"&lt;"&amp;$J1213+7),0))</f>
        <v/>
      </c>
      <c r="F1213" t="str">
        <f>IF($J1213="","",IFERROR(SUMIFS('Weekly Log'!$F:$F,'Weekly Log'!$A:$A,"&gt;="&amp;$J1213,'Weekly Log'!$A:$A,"&lt;"&amp;$J1213+7)/SUMIFS('Weekly Log'!$E:$E,'Weekly Log'!$A:$A,"&gt;="&amp;$J1213,'Weekly Log'!$A:$A,"&lt;"&amp;$J1213+7),0))</f>
        <v/>
      </c>
      <c r="G1213" t="str">
        <f>IF($J1213="","",IFERROR(LOOKUP(2,1/(('Weekly Log'!$A$5:$A$5000&gt;=$J1213)*('Weekly Log'!$A$5:$A$5000&lt;$J1213+7)*('Weekly Log'!$M$5:$M$5000&lt;&gt;"")),'Weekly Log'!$M$5:$M$5000),0))</f>
        <v/>
      </c>
      <c r="J1213" t="str">
        <f>IF(COUNT('Weekly Log'!$A$5:$A$5000)=0,"",IF(MIN('Weekly Log'!$A$5:$A$5000)+7*(ROW()-10)&gt;MAX('Weekly Log'!$A$5:$A$5000),"",MIN('Weekly Log'!$A$5:$A$5000)+7*(ROW()-10)))</f>
        <v/>
      </c>
    </row>
    <row r="1214" spans="1:10" x14ac:dyDescent="0.25">
      <c r="A1214" t="str">
        <f t="shared" si="18"/>
        <v/>
      </c>
      <c r="B1214" t="str">
        <f>IF($J1214="","",SUMIFS('Weekly Log'!$C:$C,'Weekly Log'!$A:$A,"&gt;="&amp;$J1214,'Weekly Log'!$A:$A,"&lt;"&amp;$J1214+7))</f>
        <v/>
      </c>
      <c r="C1214" t="str">
        <f>IF($J1214="","",IFERROR(COUNTIFS('Weekly Log'!$G:$G,"Y",'Weekly Log'!$A:$A,"&gt;="&amp;$J1214,'Weekly Log'!$A:$A,"&lt;"&amp;$J1214+7)/COUNTIFS('Weekly Log'!$G:$G,"&lt;&gt;",'Weekly Log'!$A:$A,"&gt;="&amp;$J1214,'Weekly Log'!$A:$A,"&lt;"&amp;$J1214+7),0))</f>
        <v/>
      </c>
      <c r="D1214" t="str">
        <f>IF($J1214="","",IFERROR(COUNTIFS('Weekly Log'!$H:$H,"Y",'Weekly Log'!$A:$A,"&gt;="&amp;$J1214,'Weekly Log'!$A:$A,"&lt;"&amp;$J1214+7)/COUNTIFS('Weekly Log'!$H:$H,"&lt;&gt;",'Weekly Log'!$A:$A,"&gt;="&amp;$J1214,'Weekly Log'!$A:$A,"&lt;"&amp;$J1214+7),0))</f>
        <v/>
      </c>
      <c r="E1214" t="str">
        <f>IF($J1214="","",IFERROR(AVERAGEIFS('Weekly Log'!$F:$F,'Weekly Log'!$A:$A,"&gt;="&amp;$J1214,'Weekly Log'!$A:$A,"&lt;"&amp;$J1214+7),0))</f>
        <v/>
      </c>
      <c r="F1214" t="str">
        <f>IF($J1214="","",IFERROR(SUMIFS('Weekly Log'!$F:$F,'Weekly Log'!$A:$A,"&gt;="&amp;$J1214,'Weekly Log'!$A:$A,"&lt;"&amp;$J1214+7)/SUMIFS('Weekly Log'!$E:$E,'Weekly Log'!$A:$A,"&gt;="&amp;$J1214,'Weekly Log'!$A:$A,"&lt;"&amp;$J1214+7),0))</f>
        <v/>
      </c>
      <c r="G1214" t="str">
        <f>IF($J1214="","",IFERROR(LOOKUP(2,1/(('Weekly Log'!$A$5:$A$5000&gt;=$J1214)*('Weekly Log'!$A$5:$A$5000&lt;$J1214+7)*('Weekly Log'!$M$5:$M$5000&lt;&gt;"")),'Weekly Log'!$M$5:$M$5000),0))</f>
        <v/>
      </c>
      <c r="J1214" t="str">
        <f>IF(COUNT('Weekly Log'!$A$5:$A$5000)=0,"",IF(MIN('Weekly Log'!$A$5:$A$5000)+7*(ROW()-10)&gt;MAX('Weekly Log'!$A$5:$A$5000),"",MIN('Weekly Log'!$A$5:$A$5000)+7*(ROW()-10)))</f>
        <v/>
      </c>
    </row>
    <row r="1215" spans="1:10" x14ac:dyDescent="0.25">
      <c r="A1215" t="str">
        <f t="shared" si="18"/>
        <v/>
      </c>
      <c r="B1215" t="str">
        <f>IF($J1215="","",SUMIFS('Weekly Log'!$C:$C,'Weekly Log'!$A:$A,"&gt;="&amp;$J1215,'Weekly Log'!$A:$A,"&lt;"&amp;$J1215+7))</f>
        <v/>
      </c>
      <c r="C1215" t="str">
        <f>IF($J1215="","",IFERROR(COUNTIFS('Weekly Log'!$G:$G,"Y",'Weekly Log'!$A:$A,"&gt;="&amp;$J1215,'Weekly Log'!$A:$A,"&lt;"&amp;$J1215+7)/COUNTIFS('Weekly Log'!$G:$G,"&lt;&gt;",'Weekly Log'!$A:$A,"&gt;="&amp;$J1215,'Weekly Log'!$A:$A,"&lt;"&amp;$J1215+7),0))</f>
        <v/>
      </c>
      <c r="D1215" t="str">
        <f>IF($J1215="","",IFERROR(COUNTIFS('Weekly Log'!$H:$H,"Y",'Weekly Log'!$A:$A,"&gt;="&amp;$J1215,'Weekly Log'!$A:$A,"&lt;"&amp;$J1215+7)/COUNTIFS('Weekly Log'!$H:$H,"&lt;&gt;",'Weekly Log'!$A:$A,"&gt;="&amp;$J1215,'Weekly Log'!$A:$A,"&lt;"&amp;$J1215+7),0))</f>
        <v/>
      </c>
      <c r="E1215" t="str">
        <f>IF($J1215="","",IFERROR(AVERAGEIFS('Weekly Log'!$F:$F,'Weekly Log'!$A:$A,"&gt;="&amp;$J1215,'Weekly Log'!$A:$A,"&lt;"&amp;$J1215+7),0))</f>
        <v/>
      </c>
      <c r="F1215" t="str">
        <f>IF($J1215="","",IFERROR(SUMIFS('Weekly Log'!$F:$F,'Weekly Log'!$A:$A,"&gt;="&amp;$J1215,'Weekly Log'!$A:$A,"&lt;"&amp;$J1215+7)/SUMIFS('Weekly Log'!$E:$E,'Weekly Log'!$A:$A,"&gt;="&amp;$J1215,'Weekly Log'!$A:$A,"&lt;"&amp;$J1215+7),0))</f>
        <v/>
      </c>
      <c r="G1215" t="str">
        <f>IF($J1215="","",IFERROR(LOOKUP(2,1/(('Weekly Log'!$A$5:$A$5000&gt;=$J1215)*('Weekly Log'!$A$5:$A$5000&lt;$J1215+7)*('Weekly Log'!$M$5:$M$5000&lt;&gt;"")),'Weekly Log'!$M$5:$M$5000),0))</f>
        <v/>
      </c>
      <c r="J1215" t="str">
        <f>IF(COUNT('Weekly Log'!$A$5:$A$5000)=0,"",IF(MIN('Weekly Log'!$A$5:$A$5000)+7*(ROW()-10)&gt;MAX('Weekly Log'!$A$5:$A$5000),"",MIN('Weekly Log'!$A$5:$A$5000)+7*(ROW()-10)))</f>
        <v/>
      </c>
    </row>
    <row r="1216" spans="1:10" x14ac:dyDescent="0.25">
      <c r="A1216" t="str">
        <f t="shared" si="18"/>
        <v/>
      </c>
      <c r="B1216" t="str">
        <f>IF($J1216="","",SUMIFS('Weekly Log'!$C:$C,'Weekly Log'!$A:$A,"&gt;="&amp;$J1216,'Weekly Log'!$A:$A,"&lt;"&amp;$J1216+7))</f>
        <v/>
      </c>
      <c r="C1216" t="str">
        <f>IF($J1216="","",IFERROR(COUNTIFS('Weekly Log'!$G:$G,"Y",'Weekly Log'!$A:$A,"&gt;="&amp;$J1216,'Weekly Log'!$A:$A,"&lt;"&amp;$J1216+7)/COUNTIFS('Weekly Log'!$G:$G,"&lt;&gt;",'Weekly Log'!$A:$A,"&gt;="&amp;$J1216,'Weekly Log'!$A:$A,"&lt;"&amp;$J1216+7),0))</f>
        <v/>
      </c>
      <c r="D1216" t="str">
        <f>IF($J1216="","",IFERROR(COUNTIFS('Weekly Log'!$H:$H,"Y",'Weekly Log'!$A:$A,"&gt;="&amp;$J1216,'Weekly Log'!$A:$A,"&lt;"&amp;$J1216+7)/COUNTIFS('Weekly Log'!$H:$H,"&lt;&gt;",'Weekly Log'!$A:$A,"&gt;="&amp;$J1216,'Weekly Log'!$A:$A,"&lt;"&amp;$J1216+7),0))</f>
        <v/>
      </c>
      <c r="E1216" t="str">
        <f>IF($J1216="","",IFERROR(AVERAGEIFS('Weekly Log'!$F:$F,'Weekly Log'!$A:$A,"&gt;="&amp;$J1216,'Weekly Log'!$A:$A,"&lt;"&amp;$J1216+7),0))</f>
        <v/>
      </c>
      <c r="F1216" t="str">
        <f>IF($J1216="","",IFERROR(SUMIFS('Weekly Log'!$F:$F,'Weekly Log'!$A:$A,"&gt;="&amp;$J1216,'Weekly Log'!$A:$A,"&lt;"&amp;$J1216+7)/SUMIFS('Weekly Log'!$E:$E,'Weekly Log'!$A:$A,"&gt;="&amp;$J1216,'Weekly Log'!$A:$A,"&lt;"&amp;$J1216+7),0))</f>
        <v/>
      </c>
      <c r="G1216" t="str">
        <f>IF($J1216="","",IFERROR(LOOKUP(2,1/(('Weekly Log'!$A$5:$A$5000&gt;=$J1216)*('Weekly Log'!$A$5:$A$5000&lt;$J1216+7)*('Weekly Log'!$M$5:$M$5000&lt;&gt;"")),'Weekly Log'!$M$5:$M$5000),0))</f>
        <v/>
      </c>
      <c r="J1216" t="str">
        <f>IF(COUNT('Weekly Log'!$A$5:$A$5000)=0,"",IF(MIN('Weekly Log'!$A$5:$A$5000)+7*(ROW()-10)&gt;MAX('Weekly Log'!$A$5:$A$5000),"",MIN('Weekly Log'!$A$5:$A$5000)+7*(ROW()-10)))</f>
        <v/>
      </c>
    </row>
    <row r="1217" spans="1:10" x14ac:dyDescent="0.25">
      <c r="A1217" t="str">
        <f t="shared" si="18"/>
        <v/>
      </c>
      <c r="B1217" t="str">
        <f>IF($J1217="","",SUMIFS('Weekly Log'!$C:$C,'Weekly Log'!$A:$A,"&gt;="&amp;$J1217,'Weekly Log'!$A:$A,"&lt;"&amp;$J1217+7))</f>
        <v/>
      </c>
      <c r="C1217" t="str">
        <f>IF($J1217="","",IFERROR(COUNTIFS('Weekly Log'!$G:$G,"Y",'Weekly Log'!$A:$A,"&gt;="&amp;$J1217,'Weekly Log'!$A:$A,"&lt;"&amp;$J1217+7)/COUNTIFS('Weekly Log'!$G:$G,"&lt;&gt;",'Weekly Log'!$A:$A,"&gt;="&amp;$J1217,'Weekly Log'!$A:$A,"&lt;"&amp;$J1217+7),0))</f>
        <v/>
      </c>
      <c r="D1217" t="str">
        <f>IF($J1217="","",IFERROR(COUNTIFS('Weekly Log'!$H:$H,"Y",'Weekly Log'!$A:$A,"&gt;="&amp;$J1217,'Weekly Log'!$A:$A,"&lt;"&amp;$J1217+7)/COUNTIFS('Weekly Log'!$H:$H,"&lt;&gt;",'Weekly Log'!$A:$A,"&gt;="&amp;$J1217,'Weekly Log'!$A:$A,"&lt;"&amp;$J1217+7),0))</f>
        <v/>
      </c>
      <c r="E1217" t="str">
        <f>IF($J1217="","",IFERROR(AVERAGEIFS('Weekly Log'!$F:$F,'Weekly Log'!$A:$A,"&gt;="&amp;$J1217,'Weekly Log'!$A:$A,"&lt;"&amp;$J1217+7),0))</f>
        <v/>
      </c>
      <c r="F1217" t="str">
        <f>IF($J1217="","",IFERROR(SUMIFS('Weekly Log'!$F:$F,'Weekly Log'!$A:$A,"&gt;="&amp;$J1217,'Weekly Log'!$A:$A,"&lt;"&amp;$J1217+7)/SUMIFS('Weekly Log'!$E:$E,'Weekly Log'!$A:$A,"&gt;="&amp;$J1217,'Weekly Log'!$A:$A,"&lt;"&amp;$J1217+7),0))</f>
        <v/>
      </c>
      <c r="G1217" t="str">
        <f>IF($J1217="","",IFERROR(LOOKUP(2,1/(('Weekly Log'!$A$5:$A$5000&gt;=$J1217)*('Weekly Log'!$A$5:$A$5000&lt;$J1217+7)*('Weekly Log'!$M$5:$M$5000&lt;&gt;"")),'Weekly Log'!$M$5:$M$5000),0))</f>
        <v/>
      </c>
      <c r="J1217" t="str">
        <f>IF(COUNT('Weekly Log'!$A$5:$A$5000)=0,"",IF(MIN('Weekly Log'!$A$5:$A$5000)+7*(ROW()-10)&gt;MAX('Weekly Log'!$A$5:$A$5000),"",MIN('Weekly Log'!$A$5:$A$5000)+7*(ROW()-10)))</f>
        <v/>
      </c>
    </row>
    <row r="1218" spans="1:10" x14ac:dyDescent="0.25">
      <c r="A1218" t="str">
        <f t="shared" si="18"/>
        <v/>
      </c>
      <c r="B1218" t="str">
        <f>IF($J1218="","",SUMIFS('Weekly Log'!$C:$C,'Weekly Log'!$A:$A,"&gt;="&amp;$J1218,'Weekly Log'!$A:$A,"&lt;"&amp;$J1218+7))</f>
        <v/>
      </c>
      <c r="C1218" t="str">
        <f>IF($J1218="","",IFERROR(COUNTIFS('Weekly Log'!$G:$G,"Y",'Weekly Log'!$A:$A,"&gt;="&amp;$J1218,'Weekly Log'!$A:$A,"&lt;"&amp;$J1218+7)/COUNTIFS('Weekly Log'!$G:$G,"&lt;&gt;",'Weekly Log'!$A:$A,"&gt;="&amp;$J1218,'Weekly Log'!$A:$A,"&lt;"&amp;$J1218+7),0))</f>
        <v/>
      </c>
      <c r="D1218" t="str">
        <f>IF($J1218="","",IFERROR(COUNTIFS('Weekly Log'!$H:$H,"Y",'Weekly Log'!$A:$A,"&gt;="&amp;$J1218,'Weekly Log'!$A:$A,"&lt;"&amp;$J1218+7)/COUNTIFS('Weekly Log'!$H:$H,"&lt;&gt;",'Weekly Log'!$A:$A,"&gt;="&amp;$J1218,'Weekly Log'!$A:$A,"&lt;"&amp;$J1218+7),0))</f>
        <v/>
      </c>
      <c r="E1218" t="str">
        <f>IF($J1218="","",IFERROR(AVERAGEIFS('Weekly Log'!$F:$F,'Weekly Log'!$A:$A,"&gt;="&amp;$J1218,'Weekly Log'!$A:$A,"&lt;"&amp;$J1218+7),0))</f>
        <v/>
      </c>
      <c r="F1218" t="str">
        <f>IF($J1218="","",IFERROR(SUMIFS('Weekly Log'!$F:$F,'Weekly Log'!$A:$A,"&gt;="&amp;$J1218,'Weekly Log'!$A:$A,"&lt;"&amp;$J1218+7)/SUMIFS('Weekly Log'!$E:$E,'Weekly Log'!$A:$A,"&gt;="&amp;$J1218,'Weekly Log'!$A:$A,"&lt;"&amp;$J1218+7),0))</f>
        <v/>
      </c>
      <c r="G1218" t="str">
        <f>IF($J1218="","",IFERROR(LOOKUP(2,1/(('Weekly Log'!$A$5:$A$5000&gt;=$J1218)*('Weekly Log'!$A$5:$A$5000&lt;$J1218+7)*('Weekly Log'!$M$5:$M$5000&lt;&gt;"")),'Weekly Log'!$M$5:$M$5000),0))</f>
        <v/>
      </c>
      <c r="J1218" t="str">
        <f>IF(COUNT('Weekly Log'!$A$5:$A$5000)=0,"",IF(MIN('Weekly Log'!$A$5:$A$5000)+7*(ROW()-10)&gt;MAX('Weekly Log'!$A$5:$A$5000),"",MIN('Weekly Log'!$A$5:$A$5000)+7*(ROW()-10)))</f>
        <v/>
      </c>
    </row>
    <row r="1219" spans="1:10" x14ac:dyDescent="0.25">
      <c r="A1219" t="str">
        <f t="shared" si="18"/>
        <v/>
      </c>
      <c r="B1219" t="str">
        <f>IF($J1219="","",SUMIFS('Weekly Log'!$C:$C,'Weekly Log'!$A:$A,"&gt;="&amp;$J1219,'Weekly Log'!$A:$A,"&lt;"&amp;$J1219+7))</f>
        <v/>
      </c>
      <c r="C1219" t="str">
        <f>IF($J1219="","",IFERROR(COUNTIFS('Weekly Log'!$G:$G,"Y",'Weekly Log'!$A:$A,"&gt;="&amp;$J1219,'Weekly Log'!$A:$A,"&lt;"&amp;$J1219+7)/COUNTIFS('Weekly Log'!$G:$G,"&lt;&gt;",'Weekly Log'!$A:$A,"&gt;="&amp;$J1219,'Weekly Log'!$A:$A,"&lt;"&amp;$J1219+7),0))</f>
        <v/>
      </c>
      <c r="D1219" t="str">
        <f>IF($J1219="","",IFERROR(COUNTIFS('Weekly Log'!$H:$H,"Y",'Weekly Log'!$A:$A,"&gt;="&amp;$J1219,'Weekly Log'!$A:$A,"&lt;"&amp;$J1219+7)/COUNTIFS('Weekly Log'!$H:$H,"&lt;&gt;",'Weekly Log'!$A:$A,"&gt;="&amp;$J1219,'Weekly Log'!$A:$A,"&lt;"&amp;$J1219+7),0))</f>
        <v/>
      </c>
      <c r="E1219" t="str">
        <f>IF($J1219="","",IFERROR(AVERAGEIFS('Weekly Log'!$F:$F,'Weekly Log'!$A:$A,"&gt;="&amp;$J1219,'Weekly Log'!$A:$A,"&lt;"&amp;$J1219+7),0))</f>
        <v/>
      </c>
      <c r="F1219" t="str">
        <f>IF($J1219="","",IFERROR(SUMIFS('Weekly Log'!$F:$F,'Weekly Log'!$A:$A,"&gt;="&amp;$J1219,'Weekly Log'!$A:$A,"&lt;"&amp;$J1219+7)/SUMIFS('Weekly Log'!$E:$E,'Weekly Log'!$A:$A,"&gt;="&amp;$J1219,'Weekly Log'!$A:$A,"&lt;"&amp;$J1219+7),0))</f>
        <v/>
      </c>
      <c r="G1219" t="str">
        <f>IF($J1219="","",IFERROR(LOOKUP(2,1/(('Weekly Log'!$A$5:$A$5000&gt;=$J1219)*('Weekly Log'!$A$5:$A$5000&lt;$J1219+7)*('Weekly Log'!$M$5:$M$5000&lt;&gt;"")),'Weekly Log'!$M$5:$M$5000),0))</f>
        <v/>
      </c>
      <c r="J1219" t="str">
        <f>IF(COUNT('Weekly Log'!$A$5:$A$5000)=0,"",IF(MIN('Weekly Log'!$A$5:$A$5000)+7*(ROW()-10)&gt;MAX('Weekly Log'!$A$5:$A$5000),"",MIN('Weekly Log'!$A$5:$A$5000)+7*(ROW()-10)))</f>
        <v/>
      </c>
    </row>
    <row r="1220" spans="1:10" x14ac:dyDescent="0.25">
      <c r="A1220" t="str">
        <f t="shared" si="18"/>
        <v/>
      </c>
      <c r="B1220" t="str">
        <f>IF($J1220="","",SUMIFS('Weekly Log'!$C:$C,'Weekly Log'!$A:$A,"&gt;="&amp;$J1220,'Weekly Log'!$A:$A,"&lt;"&amp;$J1220+7))</f>
        <v/>
      </c>
      <c r="C1220" t="str">
        <f>IF($J1220="","",IFERROR(COUNTIFS('Weekly Log'!$G:$G,"Y",'Weekly Log'!$A:$A,"&gt;="&amp;$J1220,'Weekly Log'!$A:$A,"&lt;"&amp;$J1220+7)/COUNTIFS('Weekly Log'!$G:$G,"&lt;&gt;",'Weekly Log'!$A:$A,"&gt;="&amp;$J1220,'Weekly Log'!$A:$A,"&lt;"&amp;$J1220+7),0))</f>
        <v/>
      </c>
      <c r="D1220" t="str">
        <f>IF($J1220="","",IFERROR(COUNTIFS('Weekly Log'!$H:$H,"Y",'Weekly Log'!$A:$A,"&gt;="&amp;$J1220,'Weekly Log'!$A:$A,"&lt;"&amp;$J1220+7)/COUNTIFS('Weekly Log'!$H:$H,"&lt;&gt;",'Weekly Log'!$A:$A,"&gt;="&amp;$J1220,'Weekly Log'!$A:$A,"&lt;"&amp;$J1220+7),0))</f>
        <v/>
      </c>
      <c r="E1220" t="str">
        <f>IF($J1220="","",IFERROR(AVERAGEIFS('Weekly Log'!$F:$F,'Weekly Log'!$A:$A,"&gt;="&amp;$J1220,'Weekly Log'!$A:$A,"&lt;"&amp;$J1220+7),0))</f>
        <v/>
      </c>
      <c r="F1220" t="str">
        <f>IF($J1220="","",IFERROR(SUMIFS('Weekly Log'!$F:$F,'Weekly Log'!$A:$A,"&gt;="&amp;$J1220,'Weekly Log'!$A:$A,"&lt;"&amp;$J1220+7)/SUMIFS('Weekly Log'!$E:$E,'Weekly Log'!$A:$A,"&gt;="&amp;$J1220,'Weekly Log'!$A:$A,"&lt;"&amp;$J1220+7),0))</f>
        <v/>
      </c>
      <c r="G1220" t="str">
        <f>IF($J1220="","",IFERROR(LOOKUP(2,1/(('Weekly Log'!$A$5:$A$5000&gt;=$J1220)*('Weekly Log'!$A$5:$A$5000&lt;$J1220+7)*('Weekly Log'!$M$5:$M$5000&lt;&gt;"")),'Weekly Log'!$M$5:$M$5000),0))</f>
        <v/>
      </c>
      <c r="J1220" t="str">
        <f>IF(COUNT('Weekly Log'!$A$5:$A$5000)=0,"",IF(MIN('Weekly Log'!$A$5:$A$5000)+7*(ROW()-10)&gt;MAX('Weekly Log'!$A$5:$A$5000),"",MIN('Weekly Log'!$A$5:$A$5000)+7*(ROW()-10)))</f>
        <v/>
      </c>
    </row>
    <row r="1221" spans="1:10" x14ac:dyDescent="0.25">
      <c r="A1221" t="str">
        <f t="shared" si="18"/>
        <v/>
      </c>
      <c r="B1221" t="str">
        <f>IF($J1221="","",SUMIFS('Weekly Log'!$C:$C,'Weekly Log'!$A:$A,"&gt;="&amp;$J1221,'Weekly Log'!$A:$A,"&lt;"&amp;$J1221+7))</f>
        <v/>
      </c>
      <c r="C1221" t="str">
        <f>IF($J1221="","",IFERROR(COUNTIFS('Weekly Log'!$G:$G,"Y",'Weekly Log'!$A:$A,"&gt;="&amp;$J1221,'Weekly Log'!$A:$A,"&lt;"&amp;$J1221+7)/COUNTIFS('Weekly Log'!$G:$G,"&lt;&gt;",'Weekly Log'!$A:$A,"&gt;="&amp;$J1221,'Weekly Log'!$A:$A,"&lt;"&amp;$J1221+7),0))</f>
        <v/>
      </c>
      <c r="D1221" t="str">
        <f>IF($J1221="","",IFERROR(COUNTIFS('Weekly Log'!$H:$H,"Y",'Weekly Log'!$A:$A,"&gt;="&amp;$J1221,'Weekly Log'!$A:$A,"&lt;"&amp;$J1221+7)/COUNTIFS('Weekly Log'!$H:$H,"&lt;&gt;",'Weekly Log'!$A:$A,"&gt;="&amp;$J1221,'Weekly Log'!$A:$A,"&lt;"&amp;$J1221+7),0))</f>
        <v/>
      </c>
      <c r="E1221" t="str">
        <f>IF($J1221="","",IFERROR(AVERAGEIFS('Weekly Log'!$F:$F,'Weekly Log'!$A:$A,"&gt;="&amp;$J1221,'Weekly Log'!$A:$A,"&lt;"&amp;$J1221+7),0))</f>
        <v/>
      </c>
      <c r="F1221" t="str">
        <f>IF($J1221="","",IFERROR(SUMIFS('Weekly Log'!$F:$F,'Weekly Log'!$A:$A,"&gt;="&amp;$J1221,'Weekly Log'!$A:$A,"&lt;"&amp;$J1221+7)/SUMIFS('Weekly Log'!$E:$E,'Weekly Log'!$A:$A,"&gt;="&amp;$J1221,'Weekly Log'!$A:$A,"&lt;"&amp;$J1221+7),0))</f>
        <v/>
      </c>
      <c r="G1221" t="str">
        <f>IF($J1221="","",IFERROR(LOOKUP(2,1/(('Weekly Log'!$A$5:$A$5000&gt;=$J1221)*('Weekly Log'!$A$5:$A$5000&lt;$J1221+7)*('Weekly Log'!$M$5:$M$5000&lt;&gt;"")),'Weekly Log'!$M$5:$M$5000),0))</f>
        <v/>
      </c>
      <c r="J1221" t="str">
        <f>IF(COUNT('Weekly Log'!$A$5:$A$5000)=0,"",IF(MIN('Weekly Log'!$A$5:$A$5000)+7*(ROW()-10)&gt;MAX('Weekly Log'!$A$5:$A$5000),"",MIN('Weekly Log'!$A$5:$A$5000)+7*(ROW()-10)))</f>
        <v/>
      </c>
    </row>
    <row r="1222" spans="1:10" x14ac:dyDescent="0.25">
      <c r="A1222" t="str">
        <f t="shared" si="18"/>
        <v/>
      </c>
      <c r="B1222" t="str">
        <f>IF($J1222="","",SUMIFS('Weekly Log'!$C:$C,'Weekly Log'!$A:$A,"&gt;="&amp;$J1222,'Weekly Log'!$A:$A,"&lt;"&amp;$J1222+7))</f>
        <v/>
      </c>
      <c r="C1222" t="str">
        <f>IF($J1222="","",IFERROR(COUNTIFS('Weekly Log'!$G:$G,"Y",'Weekly Log'!$A:$A,"&gt;="&amp;$J1222,'Weekly Log'!$A:$A,"&lt;"&amp;$J1222+7)/COUNTIFS('Weekly Log'!$G:$G,"&lt;&gt;",'Weekly Log'!$A:$A,"&gt;="&amp;$J1222,'Weekly Log'!$A:$A,"&lt;"&amp;$J1222+7),0))</f>
        <v/>
      </c>
      <c r="D1222" t="str">
        <f>IF($J1222="","",IFERROR(COUNTIFS('Weekly Log'!$H:$H,"Y",'Weekly Log'!$A:$A,"&gt;="&amp;$J1222,'Weekly Log'!$A:$A,"&lt;"&amp;$J1222+7)/COUNTIFS('Weekly Log'!$H:$H,"&lt;&gt;",'Weekly Log'!$A:$A,"&gt;="&amp;$J1222,'Weekly Log'!$A:$A,"&lt;"&amp;$J1222+7),0))</f>
        <v/>
      </c>
      <c r="E1222" t="str">
        <f>IF($J1222="","",IFERROR(AVERAGEIFS('Weekly Log'!$F:$F,'Weekly Log'!$A:$A,"&gt;="&amp;$J1222,'Weekly Log'!$A:$A,"&lt;"&amp;$J1222+7),0))</f>
        <v/>
      </c>
      <c r="F1222" t="str">
        <f>IF($J1222="","",IFERROR(SUMIFS('Weekly Log'!$F:$F,'Weekly Log'!$A:$A,"&gt;="&amp;$J1222,'Weekly Log'!$A:$A,"&lt;"&amp;$J1222+7)/SUMIFS('Weekly Log'!$E:$E,'Weekly Log'!$A:$A,"&gt;="&amp;$J1222,'Weekly Log'!$A:$A,"&lt;"&amp;$J1222+7),0))</f>
        <v/>
      </c>
      <c r="G1222" t="str">
        <f>IF($J1222="","",IFERROR(LOOKUP(2,1/(('Weekly Log'!$A$5:$A$5000&gt;=$J1222)*('Weekly Log'!$A$5:$A$5000&lt;$J1222+7)*('Weekly Log'!$M$5:$M$5000&lt;&gt;"")),'Weekly Log'!$M$5:$M$5000),0))</f>
        <v/>
      </c>
      <c r="J1222" t="str">
        <f>IF(COUNT('Weekly Log'!$A$5:$A$5000)=0,"",IF(MIN('Weekly Log'!$A$5:$A$5000)+7*(ROW()-10)&gt;MAX('Weekly Log'!$A$5:$A$5000),"",MIN('Weekly Log'!$A$5:$A$5000)+7*(ROW()-10)))</f>
        <v/>
      </c>
    </row>
    <row r="1223" spans="1:10" x14ac:dyDescent="0.25">
      <c r="A1223" t="str">
        <f t="shared" si="18"/>
        <v/>
      </c>
      <c r="B1223" t="str">
        <f>IF($J1223="","",SUMIFS('Weekly Log'!$C:$C,'Weekly Log'!$A:$A,"&gt;="&amp;$J1223,'Weekly Log'!$A:$A,"&lt;"&amp;$J1223+7))</f>
        <v/>
      </c>
      <c r="C1223" t="str">
        <f>IF($J1223="","",IFERROR(COUNTIFS('Weekly Log'!$G:$G,"Y",'Weekly Log'!$A:$A,"&gt;="&amp;$J1223,'Weekly Log'!$A:$A,"&lt;"&amp;$J1223+7)/COUNTIFS('Weekly Log'!$G:$G,"&lt;&gt;",'Weekly Log'!$A:$A,"&gt;="&amp;$J1223,'Weekly Log'!$A:$A,"&lt;"&amp;$J1223+7),0))</f>
        <v/>
      </c>
      <c r="D1223" t="str">
        <f>IF($J1223="","",IFERROR(COUNTIFS('Weekly Log'!$H:$H,"Y",'Weekly Log'!$A:$A,"&gt;="&amp;$J1223,'Weekly Log'!$A:$A,"&lt;"&amp;$J1223+7)/COUNTIFS('Weekly Log'!$H:$H,"&lt;&gt;",'Weekly Log'!$A:$A,"&gt;="&amp;$J1223,'Weekly Log'!$A:$A,"&lt;"&amp;$J1223+7),0))</f>
        <v/>
      </c>
      <c r="E1223" t="str">
        <f>IF($J1223="","",IFERROR(AVERAGEIFS('Weekly Log'!$F:$F,'Weekly Log'!$A:$A,"&gt;="&amp;$J1223,'Weekly Log'!$A:$A,"&lt;"&amp;$J1223+7),0))</f>
        <v/>
      </c>
      <c r="F1223" t="str">
        <f>IF($J1223="","",IFERROR(SUMIFS('Weekly Log'!$F:$F,'Weekly Log'!$A:$A,"&gt;="&amp;$J1223,'Weekly Log'!$A:$A,"&lt;"&amp;$J1223+7)/SUMIFS('Weekly Log'!$E:$E,'Weekly Log'!$A:$A,"&gt;="&amp;$J1223,'Weekly Log'!$A:$A,"&lt;"&amp;$J1223+7),0))</f>
        <v/>
      </c>
      <c r="G1223" t="str">
        <f>IF($J1223="","",IFERROR(LOOKUP(2,1/(('Weekly Log'!$A$5:$A$5000&gt;=$J1223)*('Weekly Log'!$A$5:$A$5000&lt;$J1223+7)*('Weekly Log'!$M$5:$M$5000&lt;&gt;"")),'Weekly Log'!$M$5:$M$5000),0))</f>
        <v/>
      </c>
      <c r="J1223" t="str">
        <f>IF(COUNT('Weekly Log'!$A$5:$A$5000)=0,"",IF(MIN('Weekly Log'!$A$5:$A$5000)+7*(ROW()-10)&gt;MAX('Weekly Log'!$A$5:$A$5000),"",MIN('Weekly Log'!$A$5:$A$5000)+7*(ROW()-10)))</f>
        <v/>
      </c>
    </row>
    <row r="1224" spans="1:10" x14ac:dyDescent="0.25">
      <c r="A1224" t="str">
        <f t="shared" si="18"/>
        <v/>
      </c>
      <c r="B1224" t="str">
        <f>IF($J1224="","",SUMIFS('Weekly Log'!$C:$C,'Weekly Log'!$A:$A,"&gt;="&amp;$J1224,'Weekly Log'!$A:$A,"&lt;"&amp;$J1224+7))</f>
        <v/>
      </c>
      <c r="C1224" t="str">
        <f>IF($J1224="","",IFERROR(COUNTIFS('Weekly Log'!$G:$G,"Y",'Weekly Log'!$A:$A,"&gt;="&amp;$J1224,'Weekly Log'!$A:$A,"&lt;"&amp;$J1224+7)/COUNTIFS('Weekly Log'!$G:$G,"&lt;&gt;",'Weekly Log'!$A:$A,"&gt;="&amp;$J1224,'Weekly Log'!$A:$A,"&lt;"&amp;$J1224+7),0))</f>
        <v/>
      </c>
      <c r="D1224" t="str">
        <f>IF($J1224="","",IFERROR(COUNTIFS('Weekly Log'!$H:$H,"Y",'Weekly Log'!$A:$A,"&gt;="&amp;$J1224,'Weekly Log'!$A:$A,"&lt;"&amp;$J1224+7)/COUNTIFS('Weekly Log'!$H:$H,"&lt;&gt;",'Weekly Log'!$A:$A,"&gt;="&amp;$J1224,'Weekly Log'!$A:$A,"&lt;"&amp;$J1224+7),0))</f>
        <v/>
      </c>
      <c r="E1224" t="str">
        <f>IF($J1224="","",IFERROR(AVERAGEIFS('Weekly Log'!$F:$F,'Weekly Log'!$A:$A,"&gt;="&amp;$J1224,'Weekly Log'!$A:$A,"&lt;"&amp;$J1224+7),0))</f>
        <v/>
      </c>
      <c r="F1224" t="str">
        <f>IF($J1224="","",IFERROR(SUMIFS('Weekly Log'!$F:$F,'Weekly Log'!$A:$A,"&gt;="&amp;$J1224,'Weekly Log'!$A:$A,"&lt;"&amp;$J1224+7)/SUMIFS('Weekly Log'!$E:$E,'Weekly Log'!$A:$A,"&gt;="&amp;$J1224,'Weekly Log'!$A:$A,"&lt;"&amp;$J1224+7),0))</f>
        <v/>
      </c>
      <c r="G1224" t="str">
        <f>IF($J1224="","",IFERROR(LOOKUP(2,1/(('Weekly Log'!$A$5:$A$5000&gt;=$J1224)*('Weekly Log'!$A$5:$A$5000&lt;$J1224+7)*('Weekly Log'!$M$5:$M$5000&lt;&gt;"")),'Weekly Log'!$M$5:$M$5000),0))</f>
        <v/>
      </c>
      <c r="J1224" t="str">
        <f>IF(COUNT('Weekly Log'!$A$5:$A$5000)=0,"",IF(MIN('Weekly Log'!$A$5:$A$5000)+7*(ROW()-10)&gt;MAX('Weekly Log'!$A$5:$A$5000),"",MIN('Weekly Log'!$A$5:$A$5000)+7*(ROW()-10)))</f>
        <v/>
      </c>
    </row>
    <row r="1225" spans="1:10" x14ac:dyDescent="0.25">
      <c r="A1225" t="str">
        <f t="shared" si="18"/>
        <v/>
      </c>
      <c r="B1225" t="str">
        <f>IF($J1225="","",SUMIFS('Weekly Log'!$C:$C,'Weekly Log'!$A:$A,"&gt;="&amp;$J1225,'Weekly Log'!$A:$A,"&lt;"&amp;$J1225+7))</f>
        <v/>
      </c>
      <c r="C1225" t="str">
        <f>IF($J1225="","",IFERROR(COUNTIFS('Weekly Log'!$G:$G,"Y",'Weekly Log'!$A:$A,"&gt;="&amp;$J1225,'Weekly Log'!$A:$A,"&lt;"&amp;$J1225+7)/COUNTIFS('Weekly Log'!$G:$G,"&lt;&gt;",'Weekly Log'!$A:$A,"&gt;="&amp;$J1225,'Weekly Log'!$A:$A,"&lt;"&amp;$J1225+7),0))</f>
        <v/>
      </c>
      <c r="D1225" t="str">
        <f>IF($J1225="","",IFERROR(COUNTIFS('Weekly Log'!$H:$H,"Y",'Weekly Log'!$A:$A,"&gt;="&amp;$J1225,'Weekly Log'!$A:$A,"&lt;"&amp;$J1225+7)/COUNTIFS('Weekly Log'!$H:$H,"&lt;&gt;",'Weekly Log'!$A:$A,"&gt;="&amp;$J1225,'Weekly Log'!$A:$A,"&lt;"&amp;$J1225+7),0))</f>
        <v/>
      </c>
      <c r="E1225" t="str">
        <f>IF($J1225="","",IFERROR(AVERAGEIFS('Weekly Log'!$F:$F,'Weekly Log'!$A:$A,"&gt;="&amp;$J1225,'Weekly Log'!$A:$A,"&lt;"&amp;$J1225+7),0))</f>
        <v/>
      </c>
      <c r="F1225" t="str">
        <f>IF($J1225="","",IFERROR(SUMIFS('Weekly Log'!$F:$F,'Weekly Log'!$A:$A,"&gt;="&amp;$J1225,'Weekly Log'!$A:$A,"&lt;"&amp;$J1225+7)/SUMIFS('Weekly Log'!$E:$E,'Weekly Log'!$A:$A,"&gt;="&amp;$J1225,'Weekly Log'!$A:$A,"&lt;"&amp;$J1225+7),0))</f>
        <v/>
      </c>
      <c r="G1225" t="str">
        <f>IF($J1225="","",IFERROR(LOOKUP(2,1/(('Weekly Log'!$A$5:$A$5000&gt;=$J1225)*('Weekly Log'!$A$5:$A$5000&lt;$J1225+7)*('Weekly Log'!$M$5:$M$5000&lt;&gt;"")),'Weekly Log'!$M$5:$M$5000),0))</f>
        <v/>
      </c>
      <c r="J1225" t="str">
        <f>IF(COUNT('Weekly Log'!$A$5:$A$5000)=0,"",IF(MIN('Weekly Log'!$A$5:$A$5000)+7*(ROW()-10)&gt;MAX('Weekly Log'!$A$5:$A$5000),"",MIN('Weekly Log'!$A$5:$A$5000)+7*(ROW()-10)))</f>
        <v/>
      </c>
    </row>
    <row r="1226" spans="1:10" x14ac:dyDescent="0.25">
      <c r="A1226" t="str">
        <f t="shared" ref="A1226:A1289" si="19">IF($J1226="","",YEAR($J1226-WEEKDAY($J1226,2)+4)&amp;"-W"&amp;TEXT(WEEKNUM($J1226,21),"00"))</f>
        <v/>
      </c>
      <c r="B1226" t="str">
        <f>IF($J1226="","",SUMIFS('Weekly Log'!$C:$C,'Weekly Log'!$A:$A,"&gt;="&amp;$J1226,'Weekly Log'!$A:$A,"&lt;"&amp;$J1226+7))</f>
        <v/>
      </c>
      <c r="C1226" t="str">
        <f>IF($J1226="","",IFERROR(COUNTIFS('Weekly Log'!$G:$G,"Y",'Weekly Log'!$A:$A,"&gt;="&amp;$J1226,'Weekly Log'!$A:$A,"&lt;"&amp;$J1226+7)/COUNTIFS('Weekly Log'!$G:$G,"&lt;&gt;",'Weekly Log'!$A:$A,"&gt;="&amp;$J1226,'Weekly Log'!$A:$A,"&lt;"&amp;$J1226+7),0))</f>
        <v/>
      </c>
      <c r="D1226" t="str">
        <f>IF($J1226="","",IFERROR(COUNTIFS('Weekly Log'!$H:$H,"Y",'Weekly Log'!$A:$A,"&gt;="&amp;$J1226,'Weekly Log'!$A:$A,"&lt;"&amp;$J1226+7)/COUNTIFS('Weekly Log'!$H:$H,"&lt;&gt;",'Weekly Log'!$A:$A,"&gt;="&amp;$J1226,'Weekly Log'!$A:$A,"&lt;"&amp;$J1226+7),0))</f>
        <v/>
      </c>
      <c r="E1226" t="str">
        <f>IF($J1226="","",IFERROR(AVERAGEIFS('Weekly Log'!$F:$F,'Weekly Log'!$A:$A,"&gt;="&amp;$J1226,'Weekly Log'!$A:$A,"&lt;"&amp;$J1226+7),0))</f>
        <v/>
      </c>
      <c r="F1226" t="str">
        <f>IF($J1226="","",IFERROR(SUMIFS('Weekly Log'!$F:$F,'Weekly Log'!$A:$A,"&gt;="&amp;$J1226,'Weekly Log'!$A:$A,"&lt;"&amp;$J1226+7)/SUMIFS('Weekly Log'!$E:$E,'Weekly Log'!$A:$A,"&gt;="&amp;$J1226,'Weekly Log'!$A:$A,"&lt;"&amp;$J1226+7),0))</f>
        <v/>
      </c>
      <c r="G1226" t="str">
        <f>IF($J1226="","",IFERROR(LOOKUP(2,1/(('Weekly Log'!$A$5:$A$5000&gt;=$J1226)*('Weekly Log'!$A$5:$A$5000&lt;$J1226+7)*('Weekly Log'!$M$5:$M$5000&lt;&gt;"")),'Weekly Log'!$M$5:$M$5000),0))</f>
        <v/>
      </c>
      <c r="J1226" t="str">
        <f>IF(COUNT('Weekly Log'!$A$5:$A$5000)=0,"",IF(MIN('Weekly Log'!$A$5:$A$5000)+7*(ROW()-10)&gt;MAX('Weekly Log'!$A$5:$A$5000),"",MIN('Weekly Log'!$A$5:$A$5000)+7*(ROW()-10)))</f>
        <v/>
      </c>
    </row>
    <row r="1227" spans="1:10" x14ac:dyDescent="0.25">
      <c r="A1227" t="str">
        <f t="shared" si="19"/>
        <v/>
      </c>
      <c r="B1227" t="str">
        <f>IF($J1227="","",SUMIFS('Weekly Log'!$C:$C,'Weekly Log'!$A:$A,"&gt;="&amp;$J1227,'Weekly Log'!$A:$A,"&lt;"&amp;$J1227+7))</f>
        <v/>
      </c>
      <c r="C1227" t="str">
        <f>IF($J1227="","",IFERROR(COUNTIFS('Weekly Log'!$G:$G,"Y",'Weekly Log'!$A:$A,"&gt;="&amp;$J1227,'Weekly Log'!$A:$A,"&lt;"&amp;$J1227+7)/COUNTIFS('Weekly Log'!$G:$G,"&lt;&gt;",'Weekly Log'!$A:$A,"&gt;="&amp;$J1227,'Weekly Log'!$A:$A,"&lt;"&amp;$J1227+7),0))</f>
        <v/>
      </c>
      <c r="D1227" t="str">
        <f>IF($J1227="","",IFERROR(COUNTIFS('Weekly Log'!$H:$H,"Y",'Weekly Log'!$A:$A,"&gt;="&amp;$J1227,'Weekly Log'!$A:$A,"&lt;"&amp;$J1227+7)/COUNTIFS('Weekly Log'!$H:$H,"&lt;&gt;",'Weekly Log'!$A:$A,"&gt;="&amp;$J1227,'Weekly Log'!$A:$A,"&lt;"&amp;$J1227+7),0))</f>
        <v/>
      </c>
      <c r="E1227" t="str">
        <f>IF($J1227="","",IFERROR(AVERAGEIFS('Weekly Log'!$F:$F,'Weekly Log'!$A:$A,"&gt;="&amp;$J1227,'Weekly Log'!$A:$A,"&lt;"&amp;$J1227+7),0))</f>
        <v/>
      </c>
      <c r="F1227" t="str">
        <f>IF($J1227="","",IFERROR(SUMIFS('Weekly Log'!$F:$F,'Weekly Log'!$A:$A,"&gt;="&amp;$J1227,'Weekly Log'!$A:$A,"&lt;"&amp;$J1227+7)/SUMIFS('Weekly Log'!$E:$E,'Weekly Log'!$A:$A,"&gt;="&amp;$J1227,'Weekly Log'!$A:$A,"&lt;"&amp;$J1227+7),0))</f>
        <v/>
      </c>
      <c r="G1227" t="str">
        <f>IF($J1227="","",IFERROR(LOOKUP(2,1/(('Weekly Log'!$A$5:$A$5000&gt;=$J1227)*('Weekly Log'!$A$5:$A$5000&lt;$J1227+7)*('Weekly Log'!$M$5:$M$5000&lt;&gt;"")),'Weekly Log'!$M$5:$M$5000),0))</f>
        <v/>
      </c>
      <c r="J1227" t="str">
        <f>IF(COUNT('Weekly Log'!$A$5:$A$5000)=0,"",IF(MIN('Weekly Log'!$A$5:$A$5000)+7*(ROW()-10)&gt;MAX('Weekly Log'!$A$5:$A$5000),"",MIN('Weekly Log'!$A$5:$A$5000)+7*(ROW()-10)))</f>
        <v/>
      </c>
    </row>
    <row r="1228" spans="1:10" x14ac:dyDescent="0.25">
      <c r="A1228" t="str">
        <f t="shared" si="19"/>
        <v/>
      </c>
      <c r="B1228" t="str">
        <f>IF($J1228="","",SUMIFS('Weekly Log'!$C:$C,'Weekly Log'!$A:$A,"&gt;="&amp;$J1228,'Weekly Log'!$A:$A,"&lt;"&amp;$J1228+7))</f>
        <v/>
      </c>
      <c r="C1228" t="str">
        <f>IF($J1228="","",IFERROR(COUNTIFS('Weekly Log'!$G:$G,"Y",'Weekly Log'!$A:$A,"&gt;="&amp;$J1228,'Weekly Log'!$A:$A,"&lt;"&amp;$J1228+7)/COUNTIFS('Weekly Log'!$G:$G,"&lt;&gt;",'Weekly Log'!$A:$A,"&gt;="&amp;$J1228,'Weekly Log'!$A:$A,"&lt;"&amp;$J1228+7),0))</f>
        <v/>
      </c>
      <c r="D1228" t="str">
        <f>IF($J1228="","",IFERROR(COUNTIFS('Weekly Log'!$H:$H,"Y",'Weekly Log'!$A:$A,"&gt;="&amp;$J1228,'Weekly Log'!$A:$A,"&lt;"&amp;$J1228+7)/COUNTIFS('Weekly Log'!$H:$H,"&lt;&gt;",'Weekly Log'!$A:$A,"&gt;="&amp;$J1228,'Weekly Log'!$A:$A,"&lt;"&amp;$J1228+7),0))</f>
        <v/>
      </c>
      <c r="E1228" t="str">
        <f>IF($J1228="","",IFERROR(AVERAGEIFS('Weekly Log'!$F:$F,'Weekly Log'!$A:$A,"&gt;="&amp;$J1228,'Weekly Log'!$A:$A,"&lt;"&amp;$J1228+7),0))</f>
        <v/>
      </c>
      <c r="F1228" t="str">
        <f>IF($J1228="","",IFERROR(SUMIFS('Weekly Log'!$F:$F,'Weekly Log'!$A:$A,"&gt;="&amp;$J1228,'Weekly Log'!$A:$A,"&lt;"&amp;$J1228+7)/SUMIFS('Weekly Log'!$E:$E,'Weekly Log'!$A:$A,"&gt;="&amp;$J1228,'Weekly Log'!$A:$A,"&lt;"&amp;$J1228+7),0))</f>
        <v/>
      </c>
      <c r="G1228" t="str">
        <f>IF($J1228="","",IFERROR(LOOKUP(2,1/(('Weekly Log'!$A$5:$A$5000&gt;=$J1228)*('Weekly Log'!$A$5:$A$5000&lt;$J1228+7)*('Weekly Log'!$M$5:$M$5000&lt;&gt;"")),'Weekly Log'!$M$5:$M$5000),0))</f>
        <v/>
      </c>
      <c r="J1228" t="str">
        <f>IF(COUNT('Weekly Log'!$A$5:$A$5000)=0,"",IF(MIN('Weekly Log'!$A$5:$A$5000)+7*(ROW()-10)&gt;MAX('Weekly Log'!$A$5:$A$5000),"",MIN('Weekly Log'!$A$5:$A$5000)+7*(ROW()-10)))</f>
        <v/>
      </c>
    </row>
    <row r="1229" spans="1:10" x14ac:dyDescent="0.25">
      <c r="A1229" t="str">
        <f t="shared" si="19"/>
        <v/>
      </c>
      <c r="B1229" t="str">
        <f>IF($J1229="","",SUMIFS('Weekly Log'!$C:$C,'Weekly Log'!$A:$A,"&gt;="&amp;$J1229,'Weekly Log'!$A:$A,"&lt;"&amp;$J1229+7))</f>
        <v/>
      </c>
      <c r="C1229" t="str">
        <f>IF($J1229="","",IFERROR(COUNTIFS('Weekly Log'!$G:$G,"Y",'Weekly Log'!$A:$A,"&gt;="&amp;$J1229,'Weekly Log'!$A:$A,"&lt;"&amp;$J1229+7)/COUNTIFS('Weekly Log'!$G:$G,"&lt;&gt;",'Weekly Log'!$A:$A,"&gt;="&amp;$J1229,'Weekly Log'!$A:$A,"&lt;"&amp;$J1229+7),0))</f>
        <v/>
      </c>
      <c r="D1229" t="str">
        <f>IF($J1229="","",IFERROR(COUNTIFS('Weekly Log'!$H:$H,"Y",'Weekly Log'!$A:$A,"&gt;="&amp;$J1229,'Weekly Log'!$A:$A,"&lt;"&amp;$J1229+7)/COUNTIFS('Weekly Log'!$H:$H,"&lt;&gt;",'Weekly Log'!$A:$A,"&gt;="&amp;$J1229,'Weekly Log'!$A:$A,"&lt;"&amp;$J1229+7),0))</f>
        <v/>
      </c>
      <c r="E1229" t="str">
        <f>IF($J1229="","",IFERROR(AVERAGEIFS('Weekly Log'!$F:$F,'Weekly Log'!$A:$A,"&gt;="&amp;$J1229,'Weekly Log'!$A:$A,"&lt;"&amp;$J1229+7),0))</f>
        <v/>
      </c>
      <c r="F1229" t="str">
        <f>IF($J1229="","",IFERROR(SUMIFS('Weekly Log'!$F:$F,'Weekly Log'!$A:$A,"&gt;="&amp;$J1229,'Weekly Log'!$A:$A,"&lt;"&amp;$J1229+7)/SUMIFS('Weekly Log'!$E:$E,'Weekly Log'!$A:$A,"&gt;="&amp;$J1229,'Weekly Log'!$A:$A,"&lt;"&amp;$J1229+7),0))</f>
        <v/>
      </c>
      <c r="G1229" t="str">
        <f>IF($J1229="","",IFERROR(LOOKUP(2,1/(('Weekly Log'!$A$5:$A$5000&gt;=$J1229)*('Weekly Log'!$A$5:$A$5000&lt;$J1229+7)*('Weekly Log'!$M$5:$M$5000&lt;&gt;"")),'Weekly Log'!$M$5:$M$5000),0))</f>
        <v/>
      </c>
      <c r="J1229" t="str">
        <f>IF(COUNT('Weekly Log'!$A$5:$A$5000)=0,"",IF(MIN('Weekly Log'!$A$5:$A$5000)+7*(ROW()-10)&gt;MAX('Weekly Log'!$A$5:$A$5000),"",MIN('Weekly Log'!$A$5:$A$5000)+7*(ROW()-10)))</f>
        <v/>
      </c>
    </row>
    <row r="1230" spans="1:10" x14ac:dyDescent="0.25">
      <c r="A1230" t="str">
        <f t="shared" si="19"/>
        <v/>
      </c>
      <c r="B1230" t="str">
        <f>IF($J1230="","",SUMIFS('Weekly Log'!$C:$C,'Weekly Log'!$A:$A,"&gt;="&amp;$J1230,'Weekly Log'!$A:$A,"&lt;"&amp;$J1230+7))</f>
        <v/>
      </c>
      <c r="C1230" t="str">
        <f>IF($J1230="","",IFERROR(COUNTIFS('Weekly Log'!$G:$G,"Y",'Weekly Log'!$A:$A,"&gt;="&amp;$J1230,'Weekly Log'!$A:$A,"&lt;"&amp;$J1230+7)/COUNTIFS('Weekly Log'!$G:$G,"&lt;&gt;",'Weekly Log'!$A:$A,"&gt;="&amp;$J1230,'Weekly Log'!$A:$A,"&lt;"&amp;$J1230+7),0))</f>
        <v/>
      </c>
      <c r="D1230" t="str">
        <f>IF($J1230="","",IFERROR(COUNTIFS('Weekly Log'!$H:$H,"Y",'Weekly Log'!$A:$A,"&gt;="&amp;$J1230,'Weekly Log'!$A:$A,"&lt;"&amp;$J1230+7)/COUNTIFS('Weekly Log'!$H:$H,"&lt;&gt;",'Weekly Log'!$A:$A,"&gt;="&amp;$J1230,'Weekly Log'!$A:$A,"&lt;"&amp;$J1230+7),0))</f>
        <v/>
      </c>
      <c r="E1230" t="str">
        <f>IF($J1230="","",IFERROR(AVERAGEIFS('Weekly Log'!$F:$F,'Weekly Log'!$A:$A,"&gt;="&amp;$J1230,'Weekly Log'!$A:$A,"&lt;"&amp;$J1230+7),0))</f>
        <v/>
      </c>
      <c r="F1230" t="str">
        <f>IF($J1230="","",IFERROR(SUMIFS('Weekly Log'!$F:$F,'Weekly Log'!$A:$A,"&gt;="&amp;$J1230,'Weekly Log'!$A:$A,"&lt;"&amp;$J1230+7)/SUMIFS('Weekly Log'!$E:$E,'Weekly Log'!$A:$A,"&gt;="&amp;$J1230,'Weekly Log'!$A:$A,"&lt;"&amp;$J1230+7),0))</f>
        <v/>
      </c>
      <c r="G1230" t="str">
        <f>IF($J1230="","",IFERROR(LOOKUP(2,1/(('Weekly Log'!$A$5:$A$5000&gt;=$J1230)*('Weekly Log'!$A$5:$A$5000&lt;$J1230+7)*('Weekly Log'!$M$5:$M$5000&lt;&gt;"")),'Weekly Log'!$M$5:$M$5000),0))</f>
        <v/>
      </c>
      <c r="J1230" t="str">
        <f>IF(COUNT('Weekly Log'!$A$5:$A$5000)=0,"",IF(MIN('Weekly Log'!$A$5:$A$5000)+7*(ROW()-10)&gt;MAX('Weekly Log'!$A$5:$A$5000),"",MIN('Weekly Log'!$A$5:$A$5000)+7*(ROW()-10)))</f>
        <v/>
      </c>
    </row>
    <row r="1231" spans="1:10" x14ac:dyDescent="0.25">
      <c r="A1231" t="str">
        <f t="shared" si="19"/>
        <v/>
      </c>
      <c r="B1231" t="str">
        <f>IF($J1231="","",SUMIFS('Weekly Log'!$C:$C,'Weekly Log'!$A:$A,"&gt;="&amp;$J1231,'Weekly Log'!$A:$A,"&lt;"&amp;$J1231+7))</f>
        <v/>
      </c>
      <c r="C1231" t="str">
        <f>IF($J1231="","",IFERROR(COUNTIFS('Weekly Log'!$G:$G,"Y",'Weekly Log'!$A:$A,"&gt;="&amp;$J1231,'Weekly Log'!$A:$A,"&lt;"&amp;$J1231+7)/COUNTIFS('Weekly Log'!$G:$G,"&lt;&gt;",'Weekly Log'!$A:$A,"&gt;="&amp;$J1231,'Weekly Log'!$A:$A,"&lt;"&amp;$J1231+7),0))</f>
        <v/>
      </c>
      <c r="D1231" t="str">
        <f>IF($J1231="","",IFERROR(COUNTIFS('Weekly Log'!$H:$H,"Y",'Weekly Log'!$A:$A,"&gt;="&amp;$J1231,'Weekly Log'!$A:$A,"&lt;"&amp;$J1231+7)/COUNTIFS('Weekly Log'!$H:$H,"&lt;&gt;",'Weekly Log'!$A:$A,"&gt;="&amp;$J1231,'Weekly Log'!$A:$A,"&lt;"&amp;$J1231+7),0))</f>
        <v/>
      </c>
      <c r="E1231" t="str">
        <f>IF($J1231="","",IFERROR(AVERAGEIFS('Weekly Log'!$F:$F,'Weekly Log'!$A:$A,"&gt;="&amp;$J1231,'Weekly Log'!$A:$A,"&lt;"&amp;$J1231+7),0))</f>
        <v/>
      </c>
      <c r="F1231" t="str">
        <f>IF($J1231="","",IFERROR(SUMIFS('Weekly Log'!$F:$F,'Weekly Log'!$A:$A,"&gt;="&amp;$J1231,'Weekly Log'!$A:$A,"&lt;"&amp;$J1231+7)/SUMIFS('Weekly Log'!$E:$E,'Weekly Log'!$A:$A,"&gt;="&amp;$J1231,'Weekly Log'!$A:$A,"&lt;"&amp;$J1231+7),0))</f>
        <v/>
      </c>
      <c r="G1231" t="str">
        <f>IF($J1231="","",IFERROR(LOOKUP(2,1/(('Weekly Log'!$A$5:$A$5000&gt;=$J1231)*('Weekly Log'!$A$5:$A$5000&lt;$J1231+7)*('Weekly Log'!$M$5:$M$5000&lt;&gt;"")),'Weekly Log'!$M$5:$M$5000),0))</f>
        <v/>
      </c>
      <c r="J1231" t="str">
        <f>IF(COUNT('Weekly Log'!$A$5:$A$5000)=0,"",IF(MIN('Weekly Log'!$A$5:$A$5000)+7*(ROW()-10)&gt;MAX('Weekly Log'!$A$5:$A$5000),"",MIN('Weekly Log'!$A$5:$A$5000)+7*(ROW()-10)))</f>
        <v/>
      </c>
    </row>
    <row r="1232" spans="1:10" x14ac:dyDescent="0.25">
      <c r="A1232" t="str">
        <f t="shared" si="19"/>
        <v/>
      </c>
      <c r="B1232" t="str">
        <f>IF($J1232="","",SUMIFS('Weekly Log'!$C:$C,'Weekly Log'!$A:$A,"&gt;="&amp;$J1232,'Weekly Log'!$A:$A,"&lt;"&amp;$J1232+7))</f>
        <v/>
      </c>
      <c r="C1232" t="str">
        <f>IF($J1232="","",IFERROR(COUNTIFS('Weekly Log'!$G:$G,"Y",'Weekly Log'!$A:$A,"&gt;="&amp;$J1232,'Weekly Log'!$A:$A,"&lt;"&amp;$J1232+7)/COUNTIFS('Weekly Log'!$G:$G,"&lt;&gt;",'Weekly Log'!$A:$A,"&gt;="&amp;$J1232,'Weekly Log'!$A:$A,"&lt;"&amp;$J1232+7),0))</f>
        <v/>
      </c>
      <c r="D1232" t="str">
        <f>IF($J1232="","",IFERROR(COUNTIFS('Weekly Log'!$H:$H,"Y",'Weekly Log'!$A:$A,"&gt;="&amp;$J1232,'Weekly Log'!$A:$A,"&lt;"&amp;$J1232+7)/COUNTIFS('Weekly Log'!$H:$H,"&lt;&gt;",'Weekly Log'!$A:$A,"&gt;="&amp;$J1232,'Weekly Log'!$A:$A,"&lt;"&amp;$J1232+7),0))</f>
        <v/>
      </c>
      <c r="E1232" t="str">
        <f>IF($J1232="","",IFERROR(AVERAGEIFS('Weekly Log'!$F:$F,'Weekly Log'!$A:$A,"&gt;="&amp;$J1232,'Weekly Log'!$A:$A,"&lt;"&amp;$J1232+7),0))</f>
        <v/>
      </c>
      <c r="F1232" t="str">
        <f>IF($J1232="","",IFERROR(SUMIFS('Weekly Log'!$F:$F,'Weekly Log'!$A:$A,"&gt;="&amp;$J1232,'Weekly Log'!$A:$A,"&lt;"&amp;$J1232+7)/SUMIFS('Weekly Log'!$E:$E,'Weekly Log'!$A:$A,"&gt;="&amp;$J1232,'Weekly Log'!$A:$A,"&lt;"&amp;$J1232+7),0))</f>
        <v/>
      </c>
      <c r="G1232" t="str">
        <f>IF($J1232="","",IFERROR(LOOKUP(2,1/(('Weekly Log'!$A$5:$A$5000&gt;=$J1232)*('Weekly Log'!$A$5:$A$5000&lt;$J1232+7)*('Weekly Log'!$M$5:$M$5000&lt;&gt;"")),'Weekly Log'!$M$5:$M$5000),0))</f>
        <v/>
      </c>
      <c r="J1232" t="str">
        <f>IF(COUNT('Weekly Log'!$A$5:$A$5000)=0,"",IF(MIN('Weekly Log'!$A$5:$A$5000)+7*(ROW()-10)&gt;MAX('Weekly Log'!$A$5:$A$5000),"",MIN('Weekly Log'!$A$5:$A$5000)+7*(ROW()-10)))</f>
        <v/>
      </c>
    </row>
    <row r="1233" spans="1:10" x14ac:dyDescent="0.25">
      <c r="A1233" t="str">
        <f t="shared" si="19"/>
        <v/>
      </c>
      <c r="B1233" t="str">
        <f>IF($J1233="","",SUMIFS('Weekly Log'!$C:$C,'Weekly Log'!$A:$A,"&gt;="&amp;$J1233,'Weekly Log'!$A:$A,"&lt;"&amp;$J1233+7))</f>
        <v/>
      </c>
      <c r="C1233" t="str">
        <f>IF($J1233="","",IFERROR(COUNTIFS('Weekly Log'!$G:$G,"Y",'Weekly Log'!$A:$A,"&gt;="&amp;$J1233,'Weekly Log'!$A:$A,"&lt;"&amp;$J1233+7)/COUNTIFS('Weekly Log'!$G:$G,"&lt;&gt;",'Weekly Log'!$A:$A,"&gt;="&amp;$J1233,'Weekly Log'!$A:$A,"&lt;"&amp;$J1233+7),0))</f>
        <v/>
      </c>
      <c r="D1233" t="str">
        <f>IF($J1233="","",IFERROR(COUNTIFS('Weekly Log'!$H:$H,"Y",'Weekly Log'!$A:$A,"&gt;="&amp;$J1233,'Weekly Log'!$A:$A,"&lt;"&amp;$J1233+7)/COUNTIFS('Weekly Log'!$H:$H,"&lt;&gt;",'Weekly Log'!$A:$A,"&gt;="&amp;$J1233,'Weekly Log'!$A:$A,"&lt;"&amp;$J1233+7),0))</f>
        <v/>
      </c>
      <c r="E1233" t="str">
        <f>IF($J1233="","",IFERROR(AVERAGEIFS('Weekly Log'!$F:$F,'Weekly Log'!$A:$A,"&gt;="&amp;$J1233,'Weekly Log'!$A:$A,"&lt;"&amp;$J1233+7),0))</f>
        <v/>
      </c>
      <c r="F1233" t="str">
        <f>IF($J1233="","",IFERROR(SUMIFS('Weekly Log'!$F:$F,'Weekly Log'!$A:$A,"&gt;="&amp;$J1233,'Weekly Log'!$A:$A,"&lt;"&amp;$J1233+7)/SUMIFS('Weekly Log'!$E:$E,'Weekly Log'!$A:$A,"&gt;="&amp;$J1233,'Weekly Log'!$A:$A,"&lt;"&amp;$J1233+7),0))</f>
        <v/>
      </c>
      <c r="G1233" t="str">
        <f>IF($J1233="","",IFERROR(LOOKUP(2,1/(('Weekly Log'!$A$5:$A$5000&gt;=$J1233)*('Weekly Log'!$A$5:$A$5000&lt;$J1233+7)*('Weekly Log'!$M$5:$M$5000&lt;&gt;"")),'Weekly Log'!$M$5:$M$5000),0))</f>
        <v/>
      </c>
      <c r="J1233" t="str">
        <f>IF(COUNT('Weekly Log'!$A$5:$A$5000)=0,"",IF(MIN('Weekly Log'!$A$5:$A$5000)+7*(ROW()-10)&gt;MAX('Weekly Log'!$A$5:$A$5000),"",MIN('Weekly Log'!$A$5:$A$5000)+7*(ROW()-10)))</f>
        <v/>
      </c>
    </row>
    <row r="1234" spans="1:10" x14ac:dyDescent="0.25">
      <c r="A1234" t="str">
        <f t="shared" si="19"/>
        <v/>
      </c>
      <c r="B1234" t="str">
        <f>IF($J1234="","",SUMIFS('Weekly Log'!$C:$C,'Weekly Log'!$A:$A,"&gt;="&amp;$J1234,'Weekly Log'!$A:$A,"&lt;"&amp;$J1234+7))</f>
        <v/>
      </c>
      <c r="C1234" t="str">
        <f>IF($J1234="","",IFERROR(COUNTIFS('Weekly Log'!$G:$G,"Y",'Weekly Log'!$A:$A,"&gt;="&amp;$J1234,'Weekly Log'!$A:$A,"&lt;"&amp;$J1234+7)/COUNTIFS('Weekly Log'!$G:$G,"&lt;&gt;",'Weekly Log'!$A:$A,"&gt;="&amp;$J1234,'Weekly Log'!$A:$A,"&lt;"&amp;$J1234+7),0))</f>
        <v/>
      </c>
      <c r="D1234" t="str">
        <f>IF($J1234="","",IFERROR(COUNTIFS('Weekly Log'!$H:$H,"Y",'Weekly Log'!$A:$A,"&gt;="&amp;$J1234,'Weekly Log'!$A:$A,"&lt;"&amp;$J1234+7)/COUNTIFS('Weekly Log'!$H:$H,"&lt;&gt;",'Weekly Log'!$A:$A,"&gt;="&amp;$J1234,'Weekly Log'!$A:$A,"&lt;"&amp;$J1234+7),0))</f>
        <v/>
      </c>
      <c r="E1234" t="str">
        <f>IF($J1234="","",IFERROR(AVERAGEIFS('Weekly Log'!$F:$F,'Weekly Log'!$A:$A,"&gt;="&amp;$J1234,'Weekly Log'!$A:$A,"&lt;"&amp;$J1234+7),0))</f>
        <v/>
      </c>
      <c r="F1234" t="str">
        <f>IF($J1234="","",IFERROR(SUMIFS('Weekly Log'!$F:$F,'Weekly Log'!$A:$A,"&gt;="&amp;$J1234,'Weekly Log'!$A:$A,"&lt;"&amp;$J1234+7)/SUMIFS('Weekly Log'!$E:$E,'Weekly Log'!$A:$A,"&gt;="&amp;$J1234,'Weekly Log'!$A:$A,"&lt;"&amp;$J1234+7),0))</f>
        <v/>
      </c>
      <c r="G1234" t="str">
        <f>IF($J1234="","",IFERROR(LOOKUP(2,1/(('Weekly Log'!$A$5:$A$5000&gt;=$J1234)*('Weekly Log'!$A$5:$A$5000&lt;$J1234+7)*('Weekly Log'!$M$5:$M$5000&lt;&gt;"")),'Weekly Log'!$M$5:$M$5000),0))</f>
        <v/>
      </c>
      <c r="J1234" t="str">
        <f>IF(COUNT('Weekly Log'!$A$5:$A$5000)=0,"",IF(MIN('Weekly Log'!$A$5:$A$5000)+7*(ROW()-10)&gt;MAX('Weekly Log'!$A$5:$A$5000),"",MIN('Weekly Log'!$A$5:$A$5000)+7*(ROW()-10)))</f>
        <v/>
      </c>
    </row>
    <row r="1235" spans="1:10" x14ac:dyDescent="0.25">
      <c r="A1235" t="str">
        <f t="shared" si="19"/>
        <v/>
      </c>
      <c r="B1235" t="str">
        <f>IF($J1235="","",SUMIFS('Weekly Log'!$C:$C,'Weekly Log'!$A:$A,"&gt;="&amp;$J1235,'Weekly Log'!$A:$A,"&lt;"&amp;$J1235+7))</f>
        <v/>
      </c>
      <c r="C1235" t="str">
        <f>IF($J1235="","",IFERROR(COUNTIFS('Weekly Log'!$G:$G,"Y",'Weekly Log'!$A:$A,"&gt;="&amp;$J1235,'Weekly Log'!$A:$A,"&lt;"&amp;$J1235+7)/COUNTIFS('Weekly Log'!$G:$G,"&lt;&gt;",'Weekly Log'!$A:$A,"&gt;="&amp;$J1235,'Weekly Log'!$A:$A,"&lt;"&amp;$J1235+7),0))</f>
        <v/>
      </c>
      <c r="D1235" t="str">
        <f>IF($J1235="","",IFERROR(COUNTIFS('Weekly Log'!$H:$H,"Y",'Weekly Log'!$A:$A,"&gt;="&amp;$J1235,'Weekly Log'!$A:$A,"&lt;"&amp;$J1235+7)/COUNTIFS('Weekly Log'!$H:$H,"&lt;&gt;",'Weekly Log'!$A:$A,"&gt;="&amp;$J1235,'Weekly Log'!$A:$A,"&lt;"&amp;$J1235+7),0))</f>
        <v/>
      </c>
      <c r="E1235" t="str">
        <f>IF($J1235="","",IFERROR(AVERAGEIFS('Weekly Log'!$F:$F,'Weekly Log'!$A:$A,"&gt;="&amp;$J1235,'Weekly Log'!$A:$A,"&lt;"&amp;$J1235+7),0))</f>
        <v/>
      </c>
      <c r="F1235" t="str">
        <f>IF($J1235="","",IFERROR(SUMIFS('Weekly Log'!$F:$F,'Weekly Log'!$A:$A,"&gt;="&amp;$J1235,'Weekly Log'!$A:$A,"&lt;"&amp;$J1235+7)/SUMIFS('Weekly Log'!$E:$E,'Weekly Log'!$A:$A,"&gt;="&amp;$J1235,'Weekly Log'!$A:$A,"&lt;"&amp;$J1235+7),0))</f>
        <v/>
      </c>
      <c r="G1235" t="str">
        <f>IF($J1235="","",IFERROR(LOOKUP(2,1/(('Weekly Log'!$A$5:$A$5000&gt;=$J1235)*('Weekly Log'!$A$5:$A$5000&lt;$J1235+7)*('Weekly Log'!$M$5:$M$5000&lt;&gt;"")),'Weekly Log'!$M$5:$M$5000),0))</f>
        <v/>
      </c>
      <c r="J1235" t="str">
        <f>IF(COUNT('Weekly Log'!$A$5:$A$5000)=0,"",IF(MIN('Weekly Log'!$A$5:$A$5000)+7*(ROW()-10)&gt;MAX('Weekly Log'!$A$5:$A$5000),"",MIN('Weekly Log'!$A$5:$A$5000)+7*(ROW()-10)))</f>
        <v/>
      </c>
    </row>
    <row r="1236" spans="1:10" x14ac:dyDescent="0.25">
      <c r="A1236" t="str">
        <f t="shared" si="19"/>
        <v/>
      </c>
      <c r="B1236" t="str">
        <f>IF($J1236="","",SUMIFS('Weekly Log'!$C:$C,'Weekly Log'!$A:$A,"&gt;="&amp;$J1236,'Weekly Log'!$A:$A,"&lt;"&amp;$J1236+7))</f>
        <v/>
      </c>
      <c r="C1236" t="str">
        <f>IF($J1236="","",IFERROR(COUNTIFS('Weekly Log'!$G:$G,"Y",'Weekly Log'!$A:$A,"&gt;="&amp;$J1236,'Weekly Log'!$A:$A,"&lt;"&amp;$J1236+7)/COUNTIFS('Weekly Log'!$G:$G,"&lt;&gt;",'Weekly Log'!$A:$A,"&gt;="&amp;$J1236,'Weekly Log'!$A:$A,"&lt;"&amp;$J1236+7),0))</f>
        <v/>
      </c>
      <c r="D1236" t="str">
        <f>IF($J1236="","",IFERROR(COUNTIFS('Weekly Log'!$H:$H,"Y",'Weekly Log'!$A:$A,"&gt;="&amp;$J1236,'Weekly Log'!$A:$A,"&lt;"&amp;$J1236+7)/COUNTIFS('Weekly Log'!$H:$H,"&lt;&gt;",'Weekly Log'!$A:$A,"&gt;="&amp;$J1236,'Weekly Log'!$A:$A,"&lt;"&amp;$J1236+7),0))</f>
        <v/>
      </c>
      <c r="E1236" t="str">
        <f>IF($J1236="","",IFERROR(AVERAGEIFS('Weekly Log'!$F:$F,'Weekly Log'!$A:$A,"&gt;="&amp;$J1236,'Weekly Log'!$A:$A,"&lt;"&amp;$J1236+7),0))</f>
        <v/>
      </c>
      <c r="F1236" t="str">
        <f>IF($J1236="","",IFERROR(SUMIFS('Weekly Log'!$F:$F,'Weekly Log'!$A:$A,"&gt;="&amp;$J1236,'Weekly Log'!$A:$A,"&lt;"&amp;$J1236+7)/SUMIFS('Weekly Log'!$E:$E,'Weekly Log'!$A:$A,"&gt;="&amp;$J1236,'Weekly Log'!$A:$A,"&lt;"&amp;$J1236+7),0))</f>
        <v/>
      </c>
      <c r="G1236" t="str">
        <f>IF($J1236="","",IFERROR(LOOKUP(2,1/(('Weekly Log'!$A$5:$A$5000&gt;=$J1236)*('Weekly Log'!$A$5:$A$5000&lt;$J1236+7)*('Weekly Log'!$M$5:$M$5000&lt;&gt;"")),'Weekly Log'!$M$5:$M$5000),0))</f>
        <v/>
      </c>
      <c r="J1236" t="str">
        <f>IF(COUNT('Weekly Log'!$A$5:$A$5000)=0,"",IF(MIN('Weekly Log'!$A$5:$A$5000)+7*(ROW()-10)&gt;MAX('Weekly Log'!$A$5:$A$5000),"",MIN('Weekly Log'!$A$5:$A$5000)+7*(ROW()-10)))</f>
        <v/>
      </c>
    </row>
    <row r="1237" spans="1:10" x14ac:dyDescent="0.25">
      <c r="A1237" t="str">
        <f t="shared" si="19"/>
        <v/>
      </c>
      <c r="B1237" t="str">
        <f>IF($J1237="","",SUMIFS('Weekly Log'!$C:$C,'Weekly Log'!$A:$A,"&gt;="&amp;$J1237,'Weekly Log'!$A:$A,"&lt;"&amp;$J1237+7))</f>
        <v/>
      </c>
      <c r="C1237" t="str">
        <f>IF($J1237="","",IFERROR(COUNTIFS('Weekly Log'!$G:$G,"Y",'Weekly Log'!$A:$A,"&gt;="&amp;$J1237,'Weekly Log'!$A:$A,"&lt;"&amp;$J1237+7)/COUNTIFS('Weekly Log'!$G:$G,"&lt;&gt;",'Weekly Log'!$A:$A,"&gt;="&amp;$J1237,'Weekly Log'!$A:$A,"&lt;"&amp;$J1237+7),0))</f>
        <v/>
      </c>
      <c r="D1237" t="str">
        <f>IF($J1237="","",IFERROR(COUNTIFS('Weekly Log'!$H:$H,"Y",'Weekly Log'!$A:$A,"&gt;="&amp;$J1237,'Weekly Log'!$A:$A,"&lt;"&amp;$J1237+7)/COUNTIFS('Weekly Log'!$H:$H,"&lt;&gt;",'Weekly Log'!$A:$A,"&gt;="&amp;$J1237,'Weekly Log'!$A:$A,"&lt;"&amp;$J1237+7),0))</f>
        <v/>
      </c>
      <c r="E1237" t="str">
        <f>IF($J1237="","",IFERROR(AVERAGEIFS('Weekly Log'!$F:$F,'Weekly Log'!$A:$A,"&gt;="&amp;$J1237,'Weekly Log'!$A:$A,"&lt;"&amp;$J1237+7),0))</f>
        <v/>
      </c>
      <c r="F1237" t="str">
        <f>IF($J1237="","",IFERROR(SUMIFS('Weekly Log'!$F:$F,'Weekly Log'!$A:$A,"&gt;="&amp;$J1237,'Weekly Log'!$A:$A,"&lt;"&amp;$J1237+7)/SUMIFS('Weekly Log'!$E:$E,'Weekly Log'!$A:$A,"&gt;="&amp;$J1237,'Weekly Log'!$A:$A,"&lt;"&amp;$J1237+7),0))</f>
        <v/>
      </c>
      <c r="G1237" t="str">
        <f>IF($J1237="","",IFERROR(LOOKUP(2,1/(('Weekly Log'!$A$5:$A$5000&gt;=$J1237)*('Weekly Log'!$A$5:$A$5000&lt;$J1237+7)*('Weekly Log'!$M$5:$M$5000&lt;&gt;"")),'Weekly Log'!$M$5:$M$5000),0))</f>
        <v/>
      </c>
      <c r="J1237" t="str">
        <f>IF(COUNT('Weekly Log'!$A$5:$A$5000)=0,"",IF(MIN('Weekly Log'!$A$5:$A$5000)+7*(ROW()-10)&gt;MAX('Weekly Log'!$A$5:$A$5000),"",MIN('Weekly Log'!$A$5:$A$5000)+7*(ROW()-10)))</f>
        <v/>
      </c>
    </row>
    <row r="1238" spans="1:10" x14ac:dyDescent="0.25">
      <c r="A1238" t="str">
        <f t="shared" si="19"/>
        <v/>
      </c>
      <c r="B1238" t="str">
        <f>IF($J1238="","",SUMIFS('Weekly Log'!$C:$C,'Weekly Log'!$A:$A,"&gt;="&amp;$J1238,'Weekly Log'!$A:$A,"&lt;"&amp;$J1238+7))</f>
        <v/>
      </c>
      <c r="C1238" t="str">
        <f>IF($J1238="","",IFERROR(COUNTIFS('Weekly Log'!$G:$G,"Y",'Weekly Log'!$A:$A,"&gt;="&amp;$J1238,'Weekly Log'!$A:$A,"&lt;"&amp;$J1238+7)/COUNTIFS('Weekly Log'!$G:$G,"&lt;&gt;",'Weekly Log'!$A:$A,"&gt;="&amp;$J1238,'Weekly Log'!$A:$A,"&lt;"&amp;$J1238+7),0))</f>
        <v/>
      </c>
      <c r="D1238" t="str">
        <f>IF($J1238="","",IFERROR(COUNTIFS('Weekly Log'!$H:$H,"Y",'Weekly Log'!$A:$A,"&gt;="&amp;$J1238,'Weekly Log'!$A:$A,"&lt;"&amp;$J1238+7)/COUNTIFS('Weekly Log'!$H:$H,"&lt;&gt;",'Weekly Log'!$A:$A,"&gt;="&amp;$J1238,'Weekly Log'!$A:$A,"&lt;"&amp;$J1238+7),0))</f>
        <v/>
      </c>
      <c r="E1238" t="str">
        <f>IF($J1238="","",IFERROR(AVERAGEIFS('Weekly Log'!$F:$F,'Weekly Log'!$A:$A,"&gt;="&amp;$J1238,'Weekly Log'!$A:$A,"&lt;"&amp;$J1238+7),0))</f>
        <v/>
      </c>
      <c r="F1238" t="str">
        <f>IF($J1238="","",IFERROR(SUMIFS('Weekly Log'!$F:$F,'Weekly Log'!$A:$A,"&gt;="&amp;$J1238,'Weekly Log'!$A:$A,"&lt;"&amp;$J1238+7)/SUMIFS('Weekly Log'!$E:$E,'Weekly Log'!$A:$A,"&gt;="&amp;$J1238,'Weekly Log'!$A:$A,"&lt;"&amp;$J1238+7),0))</f>
        <v/>
      </c>
      <c r="G1238" t="str">
        <f>IF($J1238="","",IFERROR(LOOKUP(2,1/(('Weekly Log'!$A$5:$A$5000&gt;=$J1238)*('Weekly Log'!$A$5:$A$5000&lt;$J1238+7)*('Weekly Log'!$M$5:$M$5000&lt;&gt;"")),'Weekly Log'!$M$5:$M$5000),0))</f>
        <v/>
      </c>
      <c r="J1238" t="str">
        <f>IF(COUNT('Weekly Log'!$A$5:$A$5000)=0,"",IF(MIN('Weekly Log'!$A$5:$A$5000)+7*(ROW()-10)&gt;MAX('Weekly Log'!$A$5:$A$5000),"",MIN('Weekly Log'!$A$5:$A$5000)+7*(ROW()-10)))</f>
        <v/>
      </c>
    </row>
    <row r="1239" spans="1:10" x14ac:dyDescent="0.25">
      <c r="A1239" t="str">
        <f t="shared" si="19"/>
        <v/>
      </c>
      <c r="B1239" t="str">
        <f>IF($J1239="","",SUMIFS('Weekly Log'!$C:$C,'Weekly Log'!$A:$A,"&gt;="&amp;$J1239,'Weekly Log'!$A:$A,"&lt;"&amp;$J1239+7))</f>
        <v/>
      </c>
      <c r="C1239" t="str">
        <f>IF($J1239="","",IFERROR(COUNTIFS('Weekly Log'!$G:$G,"Y",'Weekly Log'!$A:$A,"&gt;="&amp;$J1239,'Weekly Log'!$A:$A,"&lt;"&amp;$J1239+7)/COUNTIFS('Weekly Log'!$G:$G,"&lt;&gt;",'Weekly Log'!$A:$A,"&gt;="&amp;$J1239,'Weekly Log'!$A:$A,"&lt;"&amp;$J1239+7),0))</f>
        <v/>
      </c>
      <c r="D1239" t="str">
        <f>IF($J1239="","",IFERROR(COUNTIFS('Weekly Log'!$H:$H,"Y",'Weekly Log'!$A:$A,"&gt;="&amp;$J1239,'Weekly Log'!$A:$A,"&lt;"&amp;$J1239+7)/COUNTIFS('Weekly Log'!$H:$H,"&lt;&gt;",'Weekly Log'!$A:$A,"&gt;="&amp;$J1239,'Weekly Log'!$A:$A,"&lt;"&amp;$J1239+7),0))</f>
        <v/>
      </c>
      <c r="E1239" t="str">
        <f>IF($J1239="","",IFERROR(AVERAGEIFS('Weekly Log'!$F:$F,'Weekly Log'!$A:$A,"&gt;="&amp;$J1239,'Weekly Log'!$A:$A,"&lt;"&amp;$J1239+7),0))</f>
        <v/>
      </c>
      <c r="F1239" t="str">
        <f>IF($J1239="","",IFERROR(SUMIFS('Weekly Log'!$F:$F,'Weekly Log'!$A:$A,"&gt;="&amp;$J1239,'Weekly Log'!$A:$A,"&lt;"&amp;$J1239+7)/SUMIFS('Weekly Log'!$E:$E,'Weekly Log'!$A:$A,"&gt;="&amp;$J1239,'Weekly Log'!$A:$A,"&lt;"&amp;$J1239+7),0))</f>
        <v/>
      </c>
      <c r="G1239" t="str">
        <f>IF($J1239="","",IFERROR(LOOKUP(2,1/(('Weekly Log'!$A$5:$A$5000&gt;=$J1239)*('Weekly Log'!$A$5:$A$5000&lt;$J1239+7)*('Weekly Log'!$M$5:$M$5000&lt;&gt;"")),'Weekly Log'!$M$5:$M$5000),0))</f>
        <v/>
      </c>
      <c r="J1239" t="str">
        <f>IF(COUNT('Weekly Log'!$A$5:$A$5000)=0,"",IF(MIN('Weekly Log'!$A$5:$A$5000)+7*(ROW()-10)&gt;MAX('Weekly Log'!$A$5:$A$5000),"",MIN('Weekly Log'!$A$5:$A$5000)+7*(ROW()-10)))</f>
        <v/>
      </c>
    </row>
    <row r="1240" spans="1:10" x14ac:dyDescent="0.25">
      <c r="A1240" t="str">
        <f t="shared" si="19"/>
        <v/>
      </c>
      <c r="B1240" t="str">
        <f>IF($J1240="","",SUMIFS('Weekly Log'!$C:$C,'Weekly Log'!$A:$A,"&gt;="&amp;$J1240,'Weekly Log'!$A:$A,"&lt;"&amp;$J1240+7))</f>
        <v/>
      </c>
      <c r="C1240" t="str">
        <f>IF($J1240="","",IFERROR(COUNTIFS('Weekly Log'!$G:$G,"Y",'Weekly Log'!$A:$A,"&gt;="&amp;$J1240,'Weekly Log'!$A:$A,"&lt;"&amp;$J1240+7)/COUNTIFS('Weekly Log'!$G:$G,"&lt;&gt;",'Weekly Log'!$A:$A,"&gt;="&amp;$J1240,'Weekly Log'!$A:$A,"&lt;"&amp;$J1240+7),0))</f>
        <v/>
      </c>
      <c r="D1240" t="str">
        <f>IF($J1240="","",IFERROR(COUNTIFS('Weekly Log'!$H:$H,"Y",'Weekly Log'!$A:$A,"&gt;="&amp;$J1240,'Weekly Log'!$A:$A,"&lt;"&amp;$J1240+7)/COUNTIFS('Weekly Log'!$H:$H,"&lt;&gt;",'Weekly Log'!$A:$A,"&gt;="&amp;$J1240,'Weekly Log'!$A:$A,"&lt;"&amp;$J1240+7),0))</f>
        <v/>
      </c>
      <c r="E1240" t="str">
        <f>IF($J1240="","",IFERROR(AVERAGEIFS('Weekly Log'!$F:$F,'Weekly Log'!$A:$A,"&gt;="&amp;$J1240,'Weekly Log'!$A:$A,"&lt;"&amp;$J1240+7),0))</f>
        <v/>
      </c>
      <c r="F1240" t="str">
        <f>IF($J1240="","",IFERROR(SUMIFS('Weekly Log'!$F:$F,'Weekly Log'!$A:$A,"&gt;="&amp;$J1240,'Weekly Log'!$A:$A,"&lt;"&amp;$J1240+7)/SUMIFS('Weekly Log'!$E:$E,'Weekly Log'!$A:$A,"&gt;="&amp;$J1240,'Weekly Log'!$A:$A,"&lt;"&amp;$J1240+7),0))</f>
        <v/>
      </c>
      <c r="G1240" t="str">
        <f>IF($J1240="","",IFERROR(LOOKUP(2,1/(('Weekly Log'!$A$5:$A$5000&gt;=$J1240)*('Weekly Log'!$A$5:$A$5000&lt;$J1240+7)*('Weekly Log'!$M$5:$M$5000&lt;&gt;"")),'Weekly Log'!$M$5:$M$5000),0))</f>
        <v/>
      </c>
      <c r="J1240" t="str">
        <f>IF(COUNT('Weekly Log'!$A$5:$A$5000)=0,"",IF(MIN('Weekly Log'!$A$5:$A$5000)+7*(ROW()-10)&gt;MAX('Weekly Log'!$A$5:$A$5000),"",MIN('Weekly Log'!$A$5:$A$5000)+7*(ROW()-10)))</f>
        <v/>
      </c>
    </row>
    <row r="1241" spans="1:10" x14ac:dyDescent="0.25">
      <c r="A1241" t="str">
        <f t="shared" si="19"/>
        <v/>
      </c>
      <c r="B1241" t="str">
        <f>IF($J1241="","",SUMIFS('Weekly Log'!$C:$C,'Weekly Log'!$A:$A,"&gt;="&amp;$J1241,'Weekly Log'!$A:$A,"&lt;"&amp;$J1241+7))</f>
        <v/>
      </c>
      <c r="C1241" t="str">
        <f>IF($J1241="","",IFERROR(COUNTIFS('Weekly Log'!$G:$G,"Y",'Weekly Log'!$A:$A,"&gt;="&amp;$J1241,'Weekly Log'!$A:$A,"&lt;"&amp;$J1241+7)/COUNTIFS('Weekly Log'!$G:$G,"&lt;&gt;",'Weekly Log'!$A:$A,"&gt;="&amp;$J1241,'Weekly Log'!$A:$A,"&lt;"&amp;$J1241+7),0))</f>
        <v/>
      </c>
      <c r="D1241" t="str">
        <f>IF($J1241="","",IFERROR(COUNTIFS('Weekly Log'!$H:$H,"Y",'Weekly Log'!$A:$A,"&gt;="&amp;$J1241,'Weekly Log'!$A:$A,"&lt;"&amp;$J1241+7)/COUNTIFS('Weekly Log'!$H:$H,"&lt;&gt;",'Weekly Log'!$A:$A,"&gt;="&amp;$J1241,'Weekly Log'!$A:$A,"&lt;"&amp;$J1241+7),0))</f>
        <v/>
      </c>
      <c r="E1241" t="str">
        <f>IF($J1241="","",IFERROR(AVERAGEIFS('Weekly Log'!$F:$F,'Weekly Log'!$A:$A,"&gt;="&amp;$J1241,'Weekly Log'!$A:$A,"&lt;"&amp;$J1241+7),0))</f>
        <v/>
      </c>
      <c r="F1241" t="str">
        <f>IF($J1241="","",IFERROR(SUMIFS('Weekly Log'!$F:$F,'Weekly Log'!$A:$A,"&gt;="&amp;$J1241,'Weekly Log'!$A:$A,"&lt;"&amp;$J1241+7)/SUMIFS('Weekly Log'!$E:$E,'Weekly Log'!$A:$A,"&gt;="&amp;$J1241,'Weekly Log'!$A:$A,"&lt;"&amp;$J1241+7),0))</f>
        <v/>
      </c>
      <c r="G1241" t="str">
        <f>IF($J1241="","",IFERROR(LOOKUP(2,1/(('Weekly Log'!$A$5:$A$5000&gt;=$J1241)*('Weekly Log'!$A$5:$A$5000&lt;$J1241+7)*('Weekly Log'!$M$5:$M$5000&lt;&gt;"")),'Weekly Log'!$M$5:$M$5000),0))</f>
        <v/>
      </c>
      <c r="J1241" t="str">
        <f>IF(COUNT('Weekly Log'!$A$5:$A$5000)=0,"",IF(MIN('Weekly Log'!$A$5:$A$5000)+7*(ROW()-10)&gt;MAX('Weekly Log'!$A$5:$A$5000),"",MIN('Weekly Log'!$A$5:$A$5000)+7*(ROW()-10)))</f>
        <v/>
      </c>
    </row>
    <row r="1242" spans="1:10" x14ac:dyDescent="0.25">
      <c r="A1242" t="str">
        <f t="shared" si="19"/>
        <v/>
      </c>
      <c r="B1242" t="str">
        <f>IF($J1242="","",SUMIFS('Weekly Log'!$C:$C,'Weekly Log'!$A:$A,"&gt;="&amp;$J1242,'Weekly Log'!$A:$A,"&lt;"&amp;$J1242+7))</f>
        <v/>
      </c>
      <c r="C1242" t="str">
        <f>IF($J1242="","",IFERROR(COUNTIFS('Weekly Log'!$G:$G,"Y",'Weekly Log'!$A:$A,"&gt;="&amp;$J1242,'Weekly Log'!$A:$A,"&lt;"&amp;$J1242+7)/COUNTIFS('Weekly Log'!$G:$G,"&lt;&gt;",'Weekly Log'!$A:$A,"&gt;="&amp;$J1242,'Weekly Log'!$A:$A,"&lt;"&amp;$J1242+7),0))</f>
        <v/>
      </c>
      <c r="D1242" t="str">
        <f>IF($J1242="","",IFERROR(COUNTIFS('Weekly Log'!$H:$H,"Y",'Weekly Log'!$A:$A,"&gt;="&amp;$J1242,'Weekly Log'!$A:$A,"&lt;"&amp;$J1242+7)/COUNTIFS('Weekly Log'!$H:$H,"&lt;&gt;",'Weekly Log'!$A:$A,"&gt;="&amp;$J1242,'Weekly Log'!$A:$A,"&lt;"&amp;$J1242+7),0))</f>
        <v/>
      </c>
      <c r="E1242" t="str">
        <f>IF($J1242="","",IFERROR(AVERAGEIFS('Weekly Log'!$F:$F,'Weekly Log'!$A:$A,"&gt;="&amp;$J1242,'Weekly Log'!$A:$A,"&lt;"&amp;$J1242+7),0))</f>
        <v/>
      </c>
      <c r="F1242" t="str">
        <f>IF($J1242="","",IFERROR(SUMIFS('Weekly Log'!$F:$F,'Weekly Log'!$A:$A,"&gt;="&amp;$J1242,'Weekly Log'!$A:$A,"&lt;"&amp;$J1242+7)/SUMIFS('Weekly Log'!$E:$E,'Weekly Log'!$A:$A,"&gt;="&amp;$J1242,'Weekly Log'!$A:$A,"&lt;"&amp;$J1242+7),0))</f>
        <v/>
      </c>
      <c r="G1242" t="str">
        <f>IF($J1242="","",IFERROR(LOOKUP(2,1/(('Weekly Log'!$A$5:$A$5000&gt;=$J1242)*('Weekly Log'!$A$5:$A$5000&lt;$J1242+7)*('Weekly Log'!$M$5:$M$5000&lt;&gt;"")),'Weekly Log'!$M$5:$M$5000),0))</f>
        <v/>
      </c>
      <c r="J1242" t="str">
        <f>IF(COUNT('Weekly Log'!$A$5:$A$5000)=0,"",IF(MIN('Weekly Log'!$A$5:$A$5000)+7*(ROW()-10)&gt;MAX('Weekly Log'!$A$5:$A$5000),"",MIN('Weekly Log'!$A$5:$A$5000)+7*(ROW()-10)))</f>
        <v/>
      </c>
    </row>
    <row r="1243" spans="1:10" x14ac:dyDescent="0.25">
      <c r="A1243" t="str">
        <f t="shared" si="19"/>
        <v/>
      </c>
      <c r="B1243" t="str">
        <f>IF($J1243="","",SUMIFS('Weekly Log'!$C:$C,'Weekly Log'!$A:$A,"&gt;="&amp;$J1243,'Weekly Log'!$A:$A,"&lt;"&amp;$J1243+7))</f>
        <v/>
      </c>
      <c r="C1243" t="str">
        <f>IF($J1243="","",IFERROR(COUNTIFS('Weekly Log'!$G:$G,"Y",'Weekly Log'!$A:$A,"&gt;="&amp;$J1243,'Weekly Log'!$A:$A,"&lt;"&amp;$J1243+7)/COUNTIFS('Weekly Log'!$G:$G,"&lt;&gt;",'Weekly Log'!$A:$A,"&gt;="&amp;$J1243,'Weekly Log'!$A:$A,"&lt;"&amp;$J1243+7),0))</f>
        <v/>
      </c>
      <c r="D1243" t="str">
        <f>IF($J1243="","",IFERROR(COUNTIFS('Weekly Log'!$H:$H,"Y",'Weekly Log'!$A:$A,"&gt;="&amp;$J1243,'Weekly Log'!$A:$A,"&lt;"&amp;$J1243+7)/COUNTIFS('Weekly Log'!$H:$H,"&lt;&gt;",'Weekly Log'!$A:$A,"&gt;="&amp;$J1243,'Weekly Log'!$A:$A,"&lt;"&amp;$J1243+7),0))</f>
        <v/>
      </c>
      <c r="E1243" t="str">
        <f>IF($J1243="","",IFERROR(AVERAGEIFS('Weekly Log'!$F:$F,'Weekly Log'!$A:$A,"&gt;="&amp;$J1243,'Weekly Log'!$A:$A,"&lt;"&amp;$J1243+7),0))</f>
        <v/>
      </c>
      <c r="F1243" t="str">
        <f>IF($J1243="","",IFERROR(SUMIFS('Weekly Log'!$F:$F,'Weekly Log'!$A:$A,"&gt;="&amp;$J1243,'Weekly Log'!$A:$A,"&lt;"&amp;$J1243+7)/SUMIFS('Weekly Log'!$E:$E,'Weekly Log'!$A:$A,"&gt;="&amp;$J1243,'Weekly Log'!$A:$A,"&lt;"&amp;$J1243+7),0))</f>
        <v/>
      </c>
      <c r="G1243" t="str">
        <f>IF($J1243="","",IFERROR(LOOKUP(2,1/(('Weekly Log'!$A$5:$A$5000&gt;=$J1243)*('Weekly Log'!$A$5:$A$5000&lt;$J1243+7)*('Weekly Log'!$M$5:$M$5000&lt;&gt;"")),'Weekly Log'!$M$5:$M$5000),0))</f>
        <v/>
      </c>
      <c r="J1243" t="str">
        <f>IF(COUNT('Weekly Log'!$A$5:$A$5000)=0,"",IF(MIN('Weekly Log'!$A$5:$A$5000)+7*(ROW()-10)&gt;MAX('Weekly Log'!$A$5:$A$5000),"",MIN('Weekly Log'!$A$5:$A$5000)+7*(ROW()-10)))</f>
        <v/>
      </c>
    </row>
    <row r="1244" spans="1:10" x14ac:dyDescent="0.25">
      <c r="A1244" t="str">
        <f t="shared" si="19"/>
        <v/>
      </c>
      <c r="B1244" t="str">
        <f>IF($J1244="","",SUMIFS('Weekly Log'!$C:$C,'Weekly Log'!$A:$A,"&gt;="&amp;$J1244,'Weekly Log'!$A:$A,"&lt;"&amp;$J1244+7))</f>
        <v/>
      </c>
      <c r="C1244" t="str">
        <f>IF($J1244="","",IFERROR(COUNTIFS('Weekly Log'!$G:$G,"Y",'Weekly Log'!$A:$A,"&gt;="&amp;$J1244,'Weekly Log'!$A:$A,"&lt;"&amp;$J1244+7)/COUNTIFS('Weekly Log'!$G:$G,"&lt;&gt;",'Weekly Log'!$A:$A,"&gt;="&amp;$J1244,'Weekly Log'!$A:$A,"&lt;"&amp;$J1244+7),0))</f>
        <v/>
      </c>
      <c r="D1244" t="str">
        <f>IF($J1244="","",IFERROR(COUNTIFS('Weekly Log'!$H:$H,"Y",'Weekly Log'!$A:$A,"&gt;="&amp;$J1244,'Weekly Log'!$A:$A,"&lt;"&amp;$J1244+7)/COUNTIFS('Weekly Log'!$H:$H,"&lt;&gt;",'Weekly Log'!$A:$A,"&gt;="&amp;$J1244,'Weekly Log'!$A:$A,"&lt;"&amp;$J1244+7),0))</f>
        <v/>
      </c>
      <c r="E1244" t="str">
        <f>IF($J1244="","",IFERROR(AVERAGEIFS('Weekly Log'!$F:$F,'Weekly Log'!$A:$A,"&gt;="&amp;$J1244,'Weekly Log'!$A:$A,"&lt;"&amp;$J1244+7),0))</f>
        <v/>
      </c>
      <c r="F1244" t="str">
        <f>IF($J1244="","",IFERROR(SUMIFS('Weekly Log'!$F:$F,'Weekly Log'!$A:$A,"&gt;="&amp;$J1244,'Weekly Log'!$A:$A,"&lt;"&amp;$J1244+7)/SUMIFS('Weekly Log'!$E:$E,'Weekly Log'!$A:$A,"&gt;="&amp;$J1244,'Weekly Log'!$A:$A,"&lt;"&amp;$J1244+7),0))</f>
        <v/>
      </c>
      <c r="G1244" t="str">
        <f>IF($J1244="","",IFERROR(LOOKUP(2,1/(('Weekly Log'!$A$5:$A$5000&gt;=$J1244)*('Weekly Log'!$A$5:$A$5000&lt;$J1244+7)*('Weekly Log'!$M$5:$M$5000&lt;&gt;"")),'Weekly Log'!$M$5:$M$5000),0))</f>
        <v/>
      </c>
      <c r="J1244" t="str">
        <f>IF(COUNT('Weekly Log'!$A$5:$A$5000)=0,"",IF(MIN('Weekly Log'!$A$5:$A$5000)+7*(ROW()-10)&gt;MAX('Weekly Log'!$A$5:$A$5000),"",MIN('Weekly Log'!$A$5:$A$5000)+7*(ROW()-10)))</f>
        <v/>
      </c>
    </row>
    <row r="1245" spans="1:10" x14ac:dyDescent="0.25">
      <c r="A1245" t="str">
        <f t="shared" si="19"/>
        <v/>
      </c>
      <c r="B1245" t="str">
        <f>IF($J1245="","",SUMIFS('Weekly Log'!$C:$C,'Weekly Log'!$A:$A,"&gt;="&amp;$J1245,'Weekly Log'!$A:$A,"&lt;"&amp;$J1245+7))</f>
        <v/>
      </c>
      <c r="C1245" t="str">
        <f>IF($J1245="","",IFERROR(COUNTIFS('Weekly Log'!$G:$G,"Y",'Weekly Log'!$A:$A,"&gt;="&amp;$J1245,'Weekly Log'!$A:$A,"&lt;"&amp;$J1245+7)/COUNTIFS('Weekly Log'!$G:$G,"&lt;&gt;",'Weekly Log'!$A:$A,"&gt;="&amp;$J1245,'Weekly Log'!$A:$A,"&lt;"&amp;$J1245+7),0))</f>
        <v/>
      </c>
      <c r="D1245" t="str">
        <f>IF($J1245="","",IFERROR(COUNTIFS('Weekly Log'!$H:$H,"Y",'Weekly Log'!$A:$A,"&gt;="&amp;$J1245,'Weekly Log'!$A:$A,"&lt;"&amp;$J1245+7)/COUNTIFS('Weekly Log'!$H:$H,"&lt;&gt;",'Weekly Log'!$A:$A,"&gt;="&amp;$J1245,'Weekly Log'!$A:$A,"&lt;"&amp;$J1245+7),0))</f>
        <v/>
      </c>
      <c r="E1245" t="str">
        <f>IF($J1245="","",IFERROR(AVERAGEIFS('Weekly Log'!$F:$F,'Weekly Log'!$A:$A,"&gt;="&amp;$J1245,'Weekly Log'!$A:$A,"&lt;"&amp;$J1245+7),0))</f>
        <v/>
      </c>
      <c r="F1245" t="str">
        <f>IF($J1245="","",IFERROR(SUMIFS('Weekly Log'!$F:$F,'Weekly Log'!$A:$A,"&gt;="&amp;$J1245,'Weekly Log'!$A:$A,"&lt;"&amp;$J1245+7)/SUMIFS('Weekly Log'!$E:$E,'Weekly Log'!$A:$A,"&gt;="&amp;$J1245,'Weekly Log'!$A:$A,"&lt;"&amp;$J1245+7),0))</f>
        <v/>
      </c>
      <c r="G1245" t="str">
        <f>IF($J1245="","",IFERROR(LOOKUP(2,1/(('Weekly Log'!$A$5:$A$5000&gt;=$J1245)*('Weekly Log'!$A$5:$A$5000&lt;$J1245+7)*('Weekly Log'!$M$5:$M$5000&lt;&gt;"")),'Weekly Log'!$M$5:$M$5000),0))</f>
        <v/>
      </c>
      <c r="J1245" t="str">
        <f>IF(COUNT('Weekly Log'!$A$5:$A$5000)=0,"",IF(MIN('Weekly Log'!$A$5:$A$5000)+7*(ROW()-10)&gt;MAX('Weekly Log'!$A$5:$A$5000),"",MIN('Weekly Log'!$A$5:$A$5000)+7*(ROW()-10)))</f>
        <v/>
      </c>
    </row>
    <row r="1246" spans="1:10" x14ac:dyDescent="0.25">
      <c r="A1246" t="str">
        <f t="shared" si="19"/>
        <v/>
      </c>
      <c r="B1246" t="str">
        <f>IF($J1246="","",SUMIFS('Weekly Log'!$C:$C,'Weekly Log'!$A:$A,"&gt;="&amp;$J1246,'Weekly Log'!$A:$A,"&lt;"&amp;$J1246+7))</f>
        <v/>
      </c>
      <c r="C1246" t="str">
        <f>IF($J1246="","",IFERROR(COUNTIFS('Weekly Log'!$G:$G,"Y",'Weekly Log'!$A:$A,"&gt;="&amp;$J1246,'Weekly Log'!$A:$A,"&lt;"&amp;$J1246+7)/COUNTIFS('Weekly Log'!$G:$G,"&lt;&gt;",'Weekly Log'!$A:$A,"&gt;="&amp;$J1246,'Weekly Log'!$A:$A,"&lt;"&amp;$J1246+7),0))</f>
        <v/>
      </c>
      <c r="D1246" t="str">
        <f>IF($J1246="","",IFERROR(COUNTIFS('Weekly Log'!$H:$H,"Y",'Weekly Log'!$A:$A,"&gt;="&amp;$J1246,'Weekly Log'!$A:$A,"&lt;"&amp;$J1246+7)/COUNTIFS('Weekly Log'!$H:$H,"&lt;&gt;",'Weekly Log'!$A:$A,"&gt;="&amp;$J1246,'Weekly Log'!$A:$A,"&lt;"&amp;$J1246+7),0))</f>
        <v/>
      </c>
      <c r="E1246" t="str">
        <f>IF($J1246="","",IFERROR(AVERAGEIFS('Weekly Log'!$F:$F,'Weekly Log'!$A:$A,"&gt;="&amp;$J1246,'Weekly Log'!$A:$A,"&lt;"&amp;$J1246+7),0))</f>
        <v/>
      </c>
      <c r="F1246" t="str">
        <f>IF($J1246="","",IFERROR(SUMIFS('Weekly Log'!$F:$F,'Weekly Log'!$A:$A,"&gt;="&amp;$J1246,'Weekly Log'!$A:$A,"&lt;"&amp;$J1246+7)/SUMIFS('Weekly Log'!$E:$E,'Weekly Log'!$A:$A,"&gt;="&amp;$J1246,'Weekly Log'!$A:$A,"&lt;"&amp;$J1246+7),0))</f>
        <v/>
      </c>
      <c r="G1246" t="str">
        <f>IF($J1246="","",IFERROR(LOOKUP(2,1/(('Weekly Log'!$A$5:$A$5000&gt;=$J1246)*('Weekly Log'!$A$5:$A$5000&lt;$J1246+7)*('Weekly Log'!$M$5:$M$5000&lt;&gt;"")),'Weekly Log'!$M$5:$M$5000),0))</f>
        <v/>
      </c>
      <c r="J1246" t="str">
        <f>IF(COUNT('Weekly Log'!$A$5:$A$5000)=0,"",IF(MIN('Weekly Log'!$A$5:$A$5000)+7*(ROW()-10)&gt;MAX('Weekly Log'!$A$5:$A$5000),"",MIN('Weekly Log'!$A$5:$A$5000)+7*(ROW()-10)))</f>
        <v/>
      </c>
    </row>
    <row r="1247" spans="1:10" x14ac:dyDescent="0.25">
      <c r="A1247" t="str">
        <f t="shared" si="19"/>
        <v/>
      </c>
      <c r="B1247" t="str">
        <f>IF($J1247="","",SUMIFS('Weekly Log'!$C:$C,'Weekly Log'!$A:$A,"&gt;="&amp;$J1247,'Weekly Log'!$A:$A,"&lt;"&amp;$J1247+7))</f>
        <v/>
      </c>
      <c r="C1247" t="str">
        <f>IF($J1247="","",IFERROR(COUNTIFS('Weekly Log'!$G:$G,"Y",'Weekly Log'!$A:$A,"&gt;="&amp;$J1247,'Weekly Log'!$A:$A,"&lt;"&amp;$J1247+7)/COUNTIFS('Weekly Log'!$G:$G,"&lt;&gt;",'Weekly Log'!$A:$A,"&gt;="&amp;$J1247,'Weekly Log'!$A:$A,"&lt;"&amp;$J1247+7),0))</f>
        <v/>
      </c>
      <c r="D1247" t="str">
        <f>IF($J1247="","",IFERROR(COUNTIFS('Weekly Log'!$H:$H,"Y",'Weekly Log'!$A:$A,"&gt;="&amp;$J1247,'Weekly Log'!$A:$A,"&lt;"&amp;$J1247+7)/COUNTIFS('Weekly Log'!$H:$H,"&lt;&gt;",'Weekly Log'!$A:$A,"&gt;="&amp;$J1247,'Weekly Log'!$A:$A,"&lt;"&amp;$J1247+7),0))</f>
        <v/>
      </c>
      <c r="E1247" t="str">
        <f>IF($J1247="","",IFERROR(AVERAGEIFS('Weekly Log'!$F:$F,'Weekly Log'!$A:$A,"&gt;="&amp;$J1247,'Weekly Log'!$A:$A,"&lt;"&amp;$J1247+7),0))</f>
        <v/>
      </c>
      <c r="F1247" t="str">
        <f>IF($J1247="","",IFERROR(SUMIFS('Weekly Log'!$F:$F,'Weekly Log'!$A:$A,"&gt;="&amp;$J1247,'Weekly Log'!$A:$A,"&lt;"&amp;$J1247+7)/SUMIFS('Weekly Log'!$E:$E,'Weekly Log'!$A:$A,"&gt;="&amp;$J1247,'Weekly Log'!$A:$A,"&lt;"&amp;$J1247+7),0))</f>
        <v/>
      </c>
      <c r="G1247" t="str">
        <f>IF($J1247="","",IFERROR(LOOKUP(2,1/(('Weekly Log'!$A$5:$A$5000&gt;=$J1247)*('Weekly Log'!$A$5:$A$5000&lt;$J1247+7)*('Weekly Log'!$M$5:$M$5000&lt;&gt;"")),'Weekly Log'!$M$5:$M$5000),0))</f>
        <v/>
      </c>
      <c r="J1247" t="str">
        <f>IF(COUNT('Weekly Log'!$A$5:$A$5000)=0,"",IF(MIN('Weekly Log'!$A$5:$A$5000)+7*(ROW()-10)&gt;MAX('Weekly Log'!$A$5:$A$5000),"",MIN('Weekly Log'!$A$5:$A$5000)+7*(ROW()-10)))</f>
        <v/>
      </c>
    </row>
    <row r="1248" spans="1:10" x14ac:dyDescent="0.25">
      <c r="A1248" t="str">
        <f t="shared" si="19"/>
        <v/>
      </c>
      <c r="B1248" t="str">
        <f>IF($J1248="","",SUMIFS('Weekly Log'!$C:$C,'Weekly Log'!$A:$A,"&gt;="&amp;$J1248,'Weekly Log'!$A:$A,"&lt;"&amp;$J1248+7))</f>
        <v/>
      </c>
      <c r="C1248" t="str">
        <f>IF($J1248="","",IFERROR(COUNTIFS('Weekly Log'!$G:$G,"Y",'Weekly Log'!$A:$A,"&gt;="&amp;$J1248,'Weekly Log'!$A:$A,"&lt;"&amp;$J1248+7)/COUNTIFS('Weekly Log'!$G:$G,"&lt;&gt;",'Weekly Log'!$A:$A,"&gt;="&amp;$J1248,'Weekly Log'!$A:$A,"&lt;"&amp;$J1248+7),0))</f>
        <v/>
      </c>
      <c r="D1248" t="str">
        <f>IF($J1248="","",IFERROR(COUNTIFS('Weekly Log'!$H:$H,"Y",'Weekly Log'!$A:$A,"&gt;="&amp;$J1248,'Weekly Log'!$A:$A,"&lt;"&amp;$J1248+7)/COUNTIFS('Weekly Log'!$H:$H,"&lt;&gt;",'Weekly Log'!$A:$A,"&gt;="&amp;$J1248,'Weekly Log'!$A:$A,"&lt;"&amp;$J1248+7),0))</f>
        <v/>
      </c>
      <c r="E1248" t="str">
        <f>IF($J1248="","",IFERROR(AVERAGEIFS('Weekly Log'!$F:$F,'Weekly Log'!$A:$A,"&gt;="&amp;$J1248,'Weekly Log'!$A:$A,"&lt;"&amp;$J1248+7),0))</f>
        <v/>
      </c>
      <c r="F1248" t="str">
        <f>IF($J1248="","",IFERROR(SUMIFS('Weekly Log'!$F:$F,'Weekly Log'!$A:$A,"&gt;="&amp;$J1248,'Weekly Log'!$A:$A,"&lt;"&amp;$J1248+7)/SUMIFS('Weekly Log'!$E:$E,'Weekly Log'!$A:$A,"&gt;="&amp;$J1248,'Weekly Log'!$A:$A,"&lt;"&amp;$J1248+7),0))</f>
        <v/>
      </c>
      <c r="G1248" t="str">
        <f>IF($J1248="","",IFERROR(LOOKUP(2,1/(('Weekly Log'!$A$5:$A$5000&gt;=$J1248)*('Weekly Log'!$A$5:$A$5000&lt;$J1248+7)*('Weekly Log'!$M$5:$M$5000&lt;&gt;"")),'Weekly Log'!$M$5:$M$5000),0))</f>
        <v/>
      </c>
      <c r="J1248" t="str">
        <f>IF(COUNT('Weekly Log'!$A$5:$A$5000)=0,"",IF(MIN('Weekly Log'!$A$5:$A$5000)+7*(ROW()-10)&gt;MAX('Weekly Log'!$A$5:$A$5000),"",MIN('Weekly Log'!$A$5:$A$5000)+7*(ROW()-10)))</f>
        <v/>
      </c>
    </row>
    <row r="1249" spans="1:10" x14ac:dyDescent="0.25">
      <c r="A1249" t="str">
        <f t="shared" si="19"/>
        <v/>
      </c>
      <c r="B1249" t="str">
        <f>IF($J1249="","",SUMIFS('Weekly Log'!$C:$C,'Weekly Log'!$A:$A,"&gt;="&amp;$J1249,'Weekly Log'!$A:$A,"&lt;"&amp;$J1249+7))</f>
        <v/>
      </c>
      <c r="C1249" t="str">
        <f>IF($J1249="","",IFERROR(COUNTIFS('Weekly Log'!$G:$G,"Y",'Weekly Log'!$A:$A,"&gt;="&amp;$J1249,'Weekly Log'!$A:$A,"&lt;"&amp;$J1249+7)/COUNTIFS('Weekly Log'!$G:$G,"&lt;&gt;",'Weekly Log'!$A:$A,"&gt;="&amp;$J1249,'Weekly Log'!$A:$A,"&lt;"&amp;$J1249+7),0))</f>
        <v/>
      </c>
      <c r="D1249" t="str">
        <f>IF($J1249="","",IFERROR(COUNTIFS('Weekly Log'!$H:$H,"Y",'Weekly Log'!$A:$A,"&gt;="&amp;$J1249,'Weekly Log'!$A:$A,"&lt;"&amp;$J1249+7)/COUNTIFS('Weekly Log'!$H:$H,"&lt;&gt;",'Weekly Log'!$A:$A,"&gt;="&amp;$J1249,'Weekly Log'!$A:$A,"&lt;"&amp;$J1249+7),0))</f>
        <v/>
      </c>
      <c r="E1249" t="str">
        <f>IF($J1249="","",IFERROR(AVERAGEIFS('Weekly Log'!$F:$F,'Weekly Log'!$A:$A,"&gt;="&amp;$J1249,'Weekly Log'!$A:$A,"&lt;"&amp;$J1249+7),0))</f>
        <v/>
      </c>
      <c r="F1249" t="str">
        <f>IF($J1249="","",IFERROR(SUMIFS('Weekly Log'!$F:$F,'Weekly Log'!$A:$A,"&gt;="&amp;$J1249,'Weekly Log'!$A:$A,"&lt;"&amp;$J1249+7)/SUMIFS('Weekly Log'!$E:$E,'Weekly Log'!$A:$A,"&gt;="&amp;$J1249,'Weekly Log'!$A:$A,"&lt;"&amp;$J1249+7),0))</f>
        <v/>
      </c>
      <c r="G1249" t="str">
        <f>IF($J1249="","",IFERROR(LOOKUP(2,1/(('Weekly Log'!$A$5:$A$5000&gt;=$J1249)*('Weekly Log'!$A$5:$A$5000&lt;$J1249+7)*('Weekly Log'!$M$5:$M$5000&lt;&gt;"")),'Weekly Log'!$M$5:$M$5000),0))</f>
        <v/>
      </c>
      <c r="J1249" t="str">
        <f>IF(COUNT('Weekly Log'!$A$5:$A$5000)=0,"",IF(MIN('Weekly Log'!$A$5:$A$5000)+7*(ROW()-10)&gt;MAX('Weekly Log'!$A$5:$A$5000),"",MIN('Weekly Log'!$A$5:$A$5000)+7*(ROW()-10)))</f>
        <v/>
      </c>
    </row>
    <row r="1250" spans="1:10" x14ac:dyDescent="0.25">
      <c r="A1250" t="str">
        <f t="shared" si="19"/>
        <v/>
      </c>
      <c r="B1250" t="str">
        <f>IF($J1250="","",SUMIFS('Weekly Log'!$C:$C,'Weekly Log'!$A:$A,"&gt;="&amp;$J1250,'Weekly Log'!$A:$A,"&lt;"&amp;$J1250+7))</f>
        <v/>
      </c>
      <c r="C1250" t="str">
        <f>IF($J1250="","",IFERROR(COUNTIFS('Weekly Log'!$G:$G,"Y",'Weekly Log'!$A:$A,"&gt;="&amp;$J1250,'Weekly Log'!$A:$A,"&lt;"&amp;$J1250+7)/COUNTIFS('Weekly Log'!$G:$G,"&lt;&gt;",'Weekly Log'!$A:$A,"&gt;="&amp;$J1250,'Weekly Log'!$A:$A,"&lt;"&amp;$J1250+7),0))</f>
        <v/>
      </c>
      <c r="D1250" t="str">
        <f>IF($J1250="","",IFERROR(COUNTIFS('Weekly Log'!$H:$H,"Y",'Weekly Log'!$A:$A,"&gt;="&amp;$J1250,'Weekly Log'!$A:$A,"&lt;"&amp;$J1250+7)/COUNTIFS('Weekly Log'!$H:$H,"&lt;&gt;",'Weekly Log'!$A:$A,"&gt;="&amp;$J1250,'Weekly Log'!$A:$A,"&lt;"&amp;$J1250+7),0))</f>
        <v/>
      </c>
      <c r="E1250" t="str">
        <f>IF($J1250="","",IFERROR(AVERAGEIFS('Weekly Log'!$F:$F,'Weekly Log'!$A:$A,"&gt;="&amp;$J1250,'Weekly Log'!$A:$A,"&lt;"&amp;$J1250+7),0))</f>
        <v/>
      </c>
      <c r="F1250" t="str">
        <f>IF($J1250="","",IFERROR(SUMIFS('Weekly Log'!$F:$F,'Weekly Log'!$A:$A,"&gt;="&amp;$J1250,'Weekly Log'!$A:$A,"&lt;"&amp;$J1250+7)/SUMIFS('Weekly Log'!$E:$E,'Weekly Log'!$A:$A,"&gt;="&amp;$J1250,'Weekly Log'!$A:$A,"&lt;"&amp;$J1250+7),0))</f>
        <v/>
      </c>
      <c r="G1250" t="str">
        <f>IF($J1250="","",IFERROR(LOOKUP(2,1/(('Weekly Log'!$A$5:$A$5000&gt;=$J1250)*('Weekly Log'!$A$5:$A$5000&lt;$J1250+7)*('Weekly Log'!$M$5:$M$5000&lt;&gt;"")),'Weekly Log'!$M$5:$M$5000),0))</f>
        <v/>
      </c>
      <c r="J1250" t="str">
        <f>IF(COUNT('Weekly Log'!$A$5:$A$5000)=0,"",IF(MIN('Weekly Log'!$A$5:$A$5000)+7*(ROW()-10)&gt;MAX('Weekly Log'!$A$5:$A$5000),"",MIN('Weekly Log'!$A$5:$A$5000)+7*(ROW()-10)))</f>
        <v/>
      </c>
    </row>
    <row r="1251" spans="1:10" x14ac:dyDescent="0.25">
      <c r="A1251" t="str">
        <f t="shared" si="19"/>
        <v/>
      </c>
      <c r="B1251" t="str">
        <f>IF($J1251="","",SUMIFS('Weekly Log'!$C:$C,'Weekly Log'!$A:$A,"&gt;="&amp;$J1251,'Weekly Log'!$A:$A,"&lt;"&amp;$J1251+7))</f>
        <v/>
      </c>
      <c r="C1251" t="str">
        <f>IF($J1251="","",IFERROR(COUNTIFS('Weekly Log'!$G:$G,"Y",'Weekly Log'!$A:$A,"&gt;="&amp;$J1251,'Weekly Log'!$A:$A,"&lt;"&amp;$J1251+7)/COUNTIFS('Weekly Log'!$G:$G,"&lt;&gt;",'Weekly Log'!$A:$A,"&gt;="&amp;$J1251,'Weekly Log'!$A:$A,"&lt;"&amp;$J1251+7),0))</f>
        <v/>
      </c>
      <c r="D1251" t="str">
        <f>IF($J1251="","",IFERROR(COUNTIFS('Weekly Log'!$H:$H,"Y",'Weekly Log'!$A:$A,"&gt;="&amp;$J1251,'Weekly Log'!$A:$A,"&lt;"&amp;$J1251+7)/COUNTIFS('Weekly Log'!$H:$H,"&lt;&gt;",'Weekly Log'!$A:$A,"&gt;="&amp;$J1251,'Weekly Log'!$A:$A,"&lt;"&amp;$J1251+7),0))</f>
        <v/>
      </c>
      <c r="E1251" t="str">
        <f>IF($J1251="","",IFERROR(AVERAGEIFS('Weekly Log'!$F:$F,'Weekly Log'!$A:$A,"&gt;="&amp;$J1251,'Weekly Log'!$A:$A,"&lt;"&amp;$J1251+7),0))</f>
        <v/>
      </c>
      <c r="F1251" t="str">
        <f>IF($J1251="","",IFERROR(SUMIFS('Weekly Log'!$F:$F,'Weekly Log'!$A:$A,"&gt;="&amp;$J1251,'Weekly Log'!$A:$A,"&lt;"&amp;$J1251+7)/SUMIFS('Weekly Log'!$E:$E,'Weekly Log'!$A:$A,"&gt;="&amp;$J1251,'Weekly Log'!$A:$A,"&lt;"&amp;$J1251+7),0))</f>
        <v/>
      </c>
      <c r="G1251" t="str">
        <f>IF($J1251="","",IFERROR(LOOKUP(2,1/(('Weekly Log'!$A$5:$A$5000&gt;=$J1251)*('Weekly Log'!$A$5:$A$5000&lt;$J1251+7)*('Weekly Log'!$M$5:$M$5000&lt;&gt;"")),'Weekly Log'!$M$5:$M$5000),0))</f>
        <v/>
      </c>
      <c r="J1251" t="str">
        <f>IF(COUNT('Weekly Log'!$A$5:$A$5000)=0,"",IF(MIN('Weekly Log'!$A$5:$A$5000)+7*(ROW()-10)&gt;MAX('Weekly Log'!$A$5:$A$5000),"",MIN('Weekly Log'!$A$5:$A$5000)+7*(ROW()-10)))</f>
        <v/>
      </c>
    </row>
    <row r="1252" spans="1:10" x14ac:dyDescent="0.25">
      <c r="A1252" t="str">
        <f t="shared" si="19"/>
        <v/>
      </c>
      <c r="B1252" t="str">
        <f>IF($J1252="","",SUMIFS('Weekly Log'!$C:$C,'Weekly Log'!$A:$A,"&gt;="&amp;$J1252,'Weekly Log'!$A:$A,"&lt;"&amp;$J1252+7))</f>
        <v/>
      </c>
      <c r="C1252" t="str">
        <f>IF($J1252="","",IFERROR(COUNTIFS('Weekly Log'!$G:$G,"Y",'Weekly Log'!$A:$A,"&gt;="&amp;$J1252,'Weekly Log'!$A:$A,"&lt;"&amp;$J1252+7)/COUNTIFS('Weekly Log'!$G:$G,"&lt;&gt;",'Weekly Log'!$A:$A,"&gt;="&amp;$J1252,'Weekly Log'!$A:$A,"&lt;"&amp;$J1252+7),0))</f>
        <v/>
      </c>
      <c r="D1252" t="str">
        <f>IF($J1252="","",IFERROR(COUNTIFS('Weekly Log'!$H:$H,"Y",'Weekly Log'!$A:$A,"&gt;="&amp;$J1252,'Weekly Log'!$A:$A,"&lt;"&amp;$J1252+7)/COUNTIFS('Weekly Log'!$H:$H,"&lt;&gt;",'Weekly Log'!$A:$A,"&gt;="&amp;$J1252,'Weekly Log'!$A:$A,"&lt;"&amp;$J1252+7),0))</f>
        <v/>
      </c>
      <c r="E1252" t="str">
        <f>IF($J1252="","",IFERROR(AVERAGEIFS('Weekly Log'!$F:$F,'Weekly Log'!$A:$A,"&gt;="&amp;$J1252,'Weekly Log'!$A:$A,"&lt;"&amp;$J1252+7),0))</f>
        <v/>
      </c>
      <c r="F1252" t="str">
        <f>IF($J1252="","",IFERROR(SUMIFS('Weekly Log'!$F:$F,'Weekly Log'!$A:$A,"&gt;="&amp;$J1252,'Weekly Log'!$A:$A,"&lt;"&amp;$J1252+7)/SUMIFS('Weekly Log'!$E:$E,'Weekly Log'!$A:$A,"&gt;="&amp;$J1252,'Weekly Log'!$A:$A,"&lt;"&amp;$J1252+7),0))</f>
        <v/>
      </c>
      <c r="G1252" t="str">
        <f>IF($J1252="","",IFERROR(LOOKUP(2,1/(('Weekly Log'!$A$5:$A$5000&gt;=$J1252)*('Weekly Log'!$A$5:$A$5000&lt;$J1252+7)*('Weekly Log'!$M$5:$M$5000&lt;&gt;"")),'Weekly Log'!$M$5:$M$5000),0))</f>
        <v/>
      </c>
      <c r="J1252" t="str">
        <f>IF(COUNT('Weekly Log'!$A$5:$A$5000)=0,"",IF(MIN('Weekly Log'!$A$5:$A$5000)+7*(ROW()-10)&gt;MAX('Weekly Log'!$A$5:$A$5000),"",MIN('Weekly Log'!$A$5:$A$5000)+7*(ROW()-10)))</f>
        <v/>
      </c>
    </row>
    <row r="1253" spans="1:10" x14ac:dyDescent="0.25">
      <c r="A1253" t="str">
        <f t="shared" si="19"/>
        <v/>
      </c>
      <c r="B1253" t="str">
        <f>IF($J1253="","",SUMIFS('Weekly Log'!$C:$C,'Weekly Log'!$A:$A,"&gt;="&amp;$J1253,'Weekly Log'!$A:$A,"&lt;"&amp;$J1253+7))</f>
        <v/>
      </c>
      <c r="C1253" t="str">
        <f>IF($J1253="","",IFERROR(COUNTIFS('Weekly Log'!$G:$G,"Y",'Weekly Log'!$A:$A,"&gt;="&amp;$J1253,'Weekly Log'!$A:$A,"&lt;"&amp;$J1253+7)/COUNTIFS('Weekly Log'!$G:$G,"&lt;&gt;",'Weekly Log'!$A:$A,"&gt;="&amp;$J1253,'Weekly Log'!$A:$A,"&lt;"&amp;$J1253+7),0))</f>
        <v/>
      </c>
      <c r="D1253" t="str">
        <f>IF($J1253="","",IFERROR(COUNTIFS('Weekly Log'!$H:$H,"Y",'Weekly Log'!$A:$A,"&gt;="&amp;$J1253,'Weekly Log'!$A:$A,"&lt;"&amp;$J1253+7)/COUNTIFS('Weekly Log'!$H:$H,"&lt;&gt;",'Weekly Log'!$A:$A,"&gt;="&amp;$J1253,'Weekly Log'!$A:$A,"&lt;"&amp;$J1253+7),0))</f>
        <v/>
      </c>
      <c r="E1253" t="str">
        <f>IF($J1253="","",IFERROR(AVERAGEIFS('Weekly Log'!$F:$F,'Weekly Log'!$A:$A,"&gt;="&amp;$J1253,'Weekly Log'!$A:$A,"&lt;"&amp;$J1253+7),0))</f>
        <v/>
      </c>
      <c r="F1253" t="str">
        <f>IF($J1253="","",IFERROR(SUMIFS('Weekly Log'!$F:$F,'Weekly Log'!$A:$A,"&gt;="&amp;$J1253,'Weekly Log'!$A:$A,"&lt;"&amp;$J1253+7)/SUMIFS('Weekly Log'!$E:$E,'Weekly Log'!$A:$A,"&gt;="&amp;$J1253,'Weekly Log'!$A:$A,"&lt;"&amp;$J1253+7),0))</f>
        <v/>
      </c>
      <c r="G1253" t="str">
        <f>IF($J1253="","",IFERROR(LOOKUP(2,1/(('Weekly Log'!$A$5:$A$5000&gt;=$J1253)*('Weekly Log'!$A$5:$A$5000&lt;$J1253+7)*('Weekly Log'!$M$5:$M$5000&lt;&gt;"")),'Weekly Log'!$M$5:$M$5000),0))</f>
        <v/>
      </c>
      <c r="J1253" t="str">
        <f>IF(COUNT('Weekly Log'!$A$5:$A$5000)=0,"",IF(MIN('Weekly Log'!$A$5:$A$5000)+7*(ROW()-10)&gt;MAX('Weekly Log'!$A$5:$A$5000),"",MIN('Weekly Log'!$A$5:$A$5000)+7*(ROW()-10)))</f>
        <v/>
      </c>
    </row>
    <row r="1254" spans="1:10" x14ac:dyDescent="0.25">
      <c r="A1254" t="str">
        <f t="shared" si="19"/>
        <v/>
      </c>
      <c r="B1254" t="str">
        <f>IF($J1254="","",SUMIFS('Weekly Log'!$C:$C,'Weekly Log'!$A:$A,"&gt;="&amp;$J1254,'Weekly Log'!$A:$A,"&lt;"&amp;$J1254+7))</f>
        <v/>
      </c>
      <c r="C1254" t="str">
        <f>IF($J1254="","",IFERROR(COUNTIFS('Weekly Log'!$G:$G,"Y",'Weekly Log'!$A:$A,"&gt;="&amp;$J1254,'Weekly Log'!$A:$A,"&lt;"&amp;$J1254+7)/COUNTIFS('Weekly Log'!$G:$G,"&lt;&gt;",'Weekly Log'!$A:$A,"&gt;="&amp;$J1254,'Weekly Log'!$A:$A,"&lt;"&amp;$J1254+7),0))</f>
        <v/>
      </c>
      <c r="D1254" t="str">
        <f>IF($J1254="","",IFERROR(COUNTIFS('Weekly Log'!$H:$H,"Y",'Weekly Log'!$A:$A,"&gt;="&amp;$J1254,'Weekly Log'!$A:$A,"&lt;"&amp;$J1254+7)/COUNTIFS('Weekly Log'!$H:$H,"&lt;&gt;",'Weekly Log'!$A:$A,"&gt;="&amp;$J1254,'Weekly Log'!$A:$A,"&lt;"&amp;$J1254+7),0))</f>
        <v/>
      </c>
      <c r="E1254" t="str">
        <f>IF($J1254="","",IFERROR(AVERAGEIFS('Weekly Log'!$F:$F,'Weekly Log'!$A:$A,"&gt;="&amp;$J1254,'Weekly Log'!$A:$A,"&lt;"&amp;$J1254+7),0))</f>
        <v/>
      </c>
      <c r="F1254" t="str">
        <f>IF($J1254="","",IFERROR(SUMIFS('Weekly Log'!$F:$F,'Weekly Log'!$A:$A,"&gt;="&amp;$J1254,'Weekly Log'!$A:$A,"&lt;"&amp;$J1254+7)/SUMIFS('Weekly Log'!$E:$E,'Weekly Log'!$A:$A,"&gt;="&amp;$J1254,'Weekly Log'!$A:$A,"&lt;"&amp;$J1254+7),0))</f>
        <v/>
      </c>
      <c r="G1254" t="str">
        <f>IF($J1254="","",IFERROR(LOOKUP(2,1/(('Weekly Log'!$A$5:$A$5000&gt;=$J1254)*('Weekly Log'!$A$5:$A$5000&lt;$J1254+7)*('Weekly Log'!$M$5:$M$5000&lt;&gt;"")),'Weekly Log'!$M$5:$M$5000),0))</f>
        <v/>
      </c>
      <c r="J1254" t="str">
        <f>IF(COUNT('Weekly Log'!$A$5:$A$5000)=0,"",IF(MIN('Weekly Log'!$A$5:$A$5000)+7*(ROW()-10)&gt;MAX('Weekly Log'!$A$5:$A$5000),"",MIN('Weekly Log'!$A$5:$A$5000)+7*(ROW()-10)))</f>
        <v/>
      </c>
    </row>
    <row r="1255" spans="1:10" x14ac:dyDescent="0.25">
      <c r="A1255" t="str">
        <f t="shared" si="19"/>
        <v/>
      </c>
      <c r="B1255" t="str">
        <f>IF($J1255="","",SUMIFS('Weekly Log'!$C:$C,'Weekly Log'!$A:$A,"&gt;="&amp;$J1255,'Weekly Log'!$A:$A,"&lt;"&amp;$J1255+7))</f>
        <v/>
      </c>
      <c r="C1255" t="str">
        <f>IF($J1255="","",IFERROR(COUNTIFS('Weekly Log'!$G:$G,"Y",'Weekly Log'!$A:$A,"&gt;="&amp;$J1255,'Weekly Log'!$A:$A,"&lt;"&amp;$J1255+7)/COUNTIFS('Weekly Log'!$G:$G,"&lt;&gt;",'Weekly Log'!$A:$A,"&gt;="&amp;$J1255,'Weekly Log'!$A:$A,"&lt;"&amp;$J1255+7),0))</f>
        <v/>
      </c>
      <c r="D1255" t="str">
        <f>IF($J1255="","",IFERROR(COUNTIFS('Weekly Log'!$H:$H,"Y",'Weekly Log'!$A:$A,"&gt;="&amp;$J1255,'Weekly Log'!$A:$A,"&lt;"&amp;$J1255+7)/COUNTIFS('Weekly Log'!$H:$H,"&lt;&gt;",'Weekly Log'!$A:$A,"&gt;="&amp;$J1255,'Weekly Log'!$A:$A,"&lt;"&amp;$J1255+7),0))</f>
        <v/>
      </c>
      <c r="E1255" t="str">
        <f>IF($J1255="","",IFERROR(AVERAGEIFS('Weekly Log'!$F:$F,'Weekly Log'!$A:$A,"&gt;="&amp;$J1255,'Weekly Log'!$A:$A,"&lt;"&amp;$J1255+7),0))</f>
        <v/>
      </c>
      <c r="F1255" t="str">
        <f>IF($J1255="","",IFERROR(SUMIFS('Weekly Log'!$F:$F,'Weekly Log'!$A:$A,"&gt;="&amp;$J1255,'Weekly Log'!$A:$A,"&lt;"&amp;$J1255+7)/SUMIFS('Weekly Log'!$E:$E,'Weekly Log'!$A:$A,"&gt;="&amp;$J1255,'Weekly Log'!$A:$A,"&lt;"&amp;$J1255+7),0))</f>
        <v/>
      </c>
      <c r="G1255" t="str">
        <f>IF($J1255="","",IFERROR(LOOKUP(2,1/(('Weekly Log'!$A$5:$A$5000&gt;=$J1255)*('Weekly Log'!$A$5:$A$5000&lt;$J1255+7)*('Weekly Log'!$M$5:$M$5000&lt;&gt;"")),'Weekly Log'!$M$5:$M$5000),0))</f>
        <v/>
      </c>
      <c r="J1255" t="str">
        <f>IF(COUNT('Weekly Log'!$A$5:$A$5000)=0,"",IF(MIN('Weekly Log'!$A$5:$A$5000)+7*(ROW()-10)&gt;MAX('Weekly Log'!$A$5:$A$5000),"",MIN('Weekly Log'!$A$5:$A$5000)+7*(ROW()-10)))</f>
        <v/>
      </c>
    </row>
    <row r="1256" spans="1:10" x14ac:dyDescent="0.25">
      <c r="A1256" t="str">
        <f t="shared" si="19"/>
        <v/>
      </c>
      <c r="B1256" t="str">
        <f>IF($J1256="","",SUMIFS('Weekly Log'!$C:$C,'Weekly Log'!$A:$A,"&gt;="&amp;$J1256,'Weekly Log'!$A:$A,"&lt;"&amp;$J1256+7))</f>
        <v/>
      </c>
      <c r="C1256" t="str">
        <f>IF($J1256="","",IFERROR(COUNTIFS('Weekly Log'!$G:$G,"Y",'Weekly Log'!$A:$A,"&gt;="&amp;$J1256,'Weekly Log'!$A:$A,"&lt;"&amp;$J1256+7)/COUNTIFS('Weekly Log'!$G:$G,"&lt;&gt;",'Weekly Log'!$A:$A,"&gt;="&amp;$J1256,'Weekly Log'!$A:$A,"&lt;"&amp;$J1256+7),0))</f>
        <v/>
      </c>
      <c r="D1256" t="str">
        <f>IF($J1256="","",IFERROR(COUNTIFS('Weekly Log'!$H:$H,"Y",'Weekly Log'!$A:$A,"&gt;="&amp;$J1256,'Weekly Log'!$A:$A,"&lt;"&amp;$J1256+7)/COUNTIFS('Weekly Log'!$H:$H,"&lt;&gt;",'Weekly Log'!$A:$A,"&gt;="&amp;$J1256,'Weekly Log'!$A:$A,"&lt;"&amp;$J1256+7),0))</f>
        <v/>
      </c>
      <c r="E1256" t="str">
        <f>IF($J1256="","",IFERROR(AVERAGEIFS('Weekly Log'!$F:$F,'Weekly Log'!$A:$A,"&gt;="&amp;$J1256,'Weekly Log'!$A:$A,"&lt;"&amp;$J1256+7),0))</f>
        <v/>
      </c>
      <c r="F1256" t="str">
        <f>IF($J1256="","",IFERROR(SUMIFS('Weekly Log'!$F:$F,'Weekly Log'!$A:$A,"&gt;="&amp;$J1256,'Weekly Log'!$A:$A,"&lt;"&amp;$J1256+7)/SUMIFS('Weekly Log'!$E:$E,'Weekly Log'!$A:$A,"&gt;="&amp;$J1256,'Weekly Log'!$A:$A,"&lt;"&amp;$J1256+7),0))</f>
        <v/>
      </c>
      <c r="G1256" t="str">
        <f>IF($J1256="","",IFERROR(LOOKUP(2,1/(('Weekly Log'!$A$5:$A$5000&gt;=$J1256)*('Weekly Log'!$A$5:$A$5000&lt;$J1256+7)*('Weekly Log'!$M$5:$M$5000&lt;&gt;"")),'Weekly Log'!$M$5:$M$5000),0))</f>
        <v/>
      </c>
      <c r="J1256" t="str">
        <f>IF(COUNT('Weekly Log'!$A$5:$A$5000)=0,"",IF(MIN('Weekly Log'!$A$5:$A$5000)+7*(ROW()-10)&gt;MAX('Weekly Log'!$A$5:$A$5000),"",MIN('Weekly Log'!$A$5:$A$5000)+7*(ROW()-10)))</f>
        <v/>
      </c>
    </row>
    <row r="1257" spans="1:10" x14ac:dyDescent="0.25">
      <c r="A1257" t="str">
        <f t="shared" si="19"/>
        <v/>
      </c>
      <c r="B1257" t="str">
        <f>IF($J1257="","",SUMIFS('Weekly Log'!$C:$C,'Weekly Log'!$A:$A,"&gt;="&amp;$J1257,'Weekly Log'!$A:$A,"&lt;"&amp;$J1257+7))</f>
        <v/>
      </c>
      <c r="C1257" t="str">
        <f>IF($J1257="","",IFERROR(COUNTIFS('Weekly Log'!$G:$G,"Y",'Weekly Log'!$A:$A,"&gt;="&amp;$J1257,'Weekly Log'!$A:$A,"&lt;"&amp;$J1257+7)/COUNTIFS('Weekly Log'!$G:$G,"&lt;&gt;",'Weekly Log'!$A:$A,"&gt;="&amp;$J1257,'Weekly Log'!$A:$A,"&lt;"&amp;$J1257+7),0))</f>
        <v/>
      </c>
      <c r="D1257" t="str">
        <f>IF($J1257="","",IFERROR(COUNTIFS('Weekly Log'!$H:$H,"Y",'Weekly Log'!$A:$A,"&gt;="&amp;$J1257,'Weekly Log'!$A:$A,"&lt;"&amp;$J1257+7)/COUNTIFS('Weekly Log'!$H:$H,"&lt;&gt;",'Weekly Log'!$A:$A,"&gt;="&amp;$J1257,'Weekly Log'!$A:$A,"&lt;"&amp;$J1257+7),0))</f>
        <v/>
      </c>
      <c r="E1257" t="str">
        <f>IF($J1257="","",IFERROR(AVERAGEIFS('Weekly Log'!$F:$F,'Weekly Log'!$A:$A,"&gt;="&amp;$J1257,'Weekly Log'!$A:$A,"&lt;"&amp;$J1257+7),0))</f>
        <v/>
      </c>
      <c r="F1257" t="str">
        <f>IF($J1257="","",IFERROR(SUMIFS('Weekly Log'!$F:$F,'Weekly Log'!$A:$A,"&gt;="&amp;$J1257,'Weekly Log'!$A:$A,"&lt;"&amp;$J1257+7)/SUMIFS('Weekly Log'!$E:$E,'Weekly Log'!$A:$A,"&gt;="&amp;$J1257,'Weekly Log'!$A:$A,"&lt;"&amp;$J1257+7),0))</f>
        <v/>
      </c>
      <c r="G1257" t="str">
        <f>IF($J1257="","",IFERROR(LOOKUP(2,1/(('Weekly Log'!$A$5:$A$5000&gt;=$J1257)*('Weekly Log'!$A$5:$A$5000&lt;$J1257+7)*('Weekly Log'!$M$5:$M$5000&lt;&gt;"")),'Weekly Log'!$M$5:$M$5000),0))</f>
        <v/>
      </c>
      <c r="J1257" t="str">
        <f>IF(COUNT('Weekly Log'!$A$5:$A$5000)=0,"",IF(MIN('Weekly Log'!$A$5:$A$5000)+7*(ROW()-10)&gt;MAX('Weekly Log'!$A$5:$A$5000),"",MIN('Weekly Log'!$A$5:$A$5000)+7*(ROW()-10)))</f>
        <v/>
      </c>
    </row>
    <row r="1258" spans="1:10" x14ac:dyDescent="0.25">
      <c r="A1258" t="str">
        <f t="shared" si="19"/>
        <v/>
      </c>
      <c r="B1258" t="str">
        <f>IF($J1258="","",SUMIFS('Weekly Log'!$C:$C,'Weekly Log'!$A:$A,"&gt;="&amp;$J1258,'Weekly Log'!$A:$A,"&lt;"&amp;$J1258+7))</f>
        <v/>
      </c>
      <c r="C1258" t="str">
        <f>IF($J1258="","",IFERROR(COUNTIFS('Weekly Log'!$G:$G,"Y",'Weekly Log'!$A:$A,"&gt;="&amp;$J1258,'Weekly Log'!$A:$A,"&lt;"&amp;$J1258+7)/COUNTIFS('Weekly Log'!$G:$G,"&lt;&gt;",'Weekly Log'!$A:$A,"&gt;="&amp;$J1258,'Weekly Log'!$A:$A,"&lt;"&amp;$J1258+7),0))</f>
        <v/>
      </c>
      <c r="D1258" t="str">
        <f>IF($J1258="","",IFERROR(COUNTIFS('Weekly Log'!$H:$H,"Y",'Weekly Log'!$A:$A,"&gt;="&amp;$J1258,'Weekly Log'!$A:$A,"&lt;"&amp;$J1258+7)/COUNTIFS('Weekly Log'!$H:$H,"&lt;&gt;",'Weekly Log'!$A:$A,"&gt;="&amp;$J1258,'Weekly Log'!$A:$A,"&lt;"&amp;$J1258+7),0))</f>
        <v/>
      </c>
      <c r="E1258" t="str">
        <f>IF($J1258="","",IFERROR(AVERAGEIFS('Weekly Log'!$F:$F,'Weekly Log'!$A:$A,"&gt;="&amp;$J1258,'Weekly Log'!$A:$A,"&lt;"&amp;$J1258+7),0))</f>
        <v/>
      </c>
      <c r="F1258" t="str">
        <f>IF($J1258="","",IFERROR(SUMIFS('Weekly Log'!$F:$F,'Weekly Log'!$A:$A,"&gt;="&amp;$J1258,'Weekly Log'!$A:$A,"&lt;"&amp;$J1258+7)/SUMIFS('Weekly Log'!$E:$E,'Weekly Log'!$A:$A,"&gt;="&amp;$J1258,'Weekly Log'!$A:$A,"&lt;"&amp;$J1258+7),0))</f>
        <v/>
      </c>
      <c r="G1258" t="str">
        <f>IF($J1258="","",IFERROR(LOOKUP(2,1/(('Weekly Log'!$A$5:$A$5000&gt;=$J1258)*('Weekly Log'!$A$5:$A$5000&lt;$J1258+7)*('Weekly Log'!$M$5:$M$5000&lt;&gt;"")),'Weekly Log'!$M$5:$M$5000),0))</f>
        <v/>
      </c>
      <c r="J1258" t="str">
        <f>IF(COUNT('Weekly Log'!$A$5:$A$5000)=0,"",IF(MIN('Weekly Log'!$A$5:$A$5000)+7*(ROW()-10)&gt;MAX('Weekly Log'!$A$5:$A$5000),"",MIN('Weekly Log'!$A$5:$A$5000)+7*(ROW()-10)))</f>
        <v/>
      </c>
    </row>
    <row r="1259" spans="1:10" x14ac:dyDescent="0.25">
      <c r="A1259" t="str">
        <f t="shared" si="19"/>
        <v/>
      </c>
      <c r="B1259" t="str">
        <f>IF($J1259="","",SUMIFS('Weekly Log'!$C:$C,'Weekly Log'!$A:$A,"&gt;="&amp;$J1259,'Weekly Log'!$A:$A,"&lt;"&amp;$J1259+7))</f>
        <v/>
      </c>
      <c r="C1259" t="str">
        <f>IF($J1259="","",IFERROR(COUNTIFS('Weekly Log'!$G:$G,"Y",'Weekly Log'!$A:$A,"&gt;="&amp;$J1259,'Weekly Log'!$A:$A,"&lt;"&amp;$J1259+7)/COUNTIFS('Weekly Log'!$G:$G,"&lt;&gt;",'Weekly Log'!$A:$A,"&gt;="&amp;$J1259,'Weekly Log'!$A:$A,"&lt;"&amp;$J1259+7),0))</f>
        <v/>
      </c>
      <c r="D1259" t="str">
        <f>IF($J1259="","",IFERROR(COUNTIFS('Weekly Log'!$H:$H,"Y",'Weekly Log'!$A:$A,"&gt;="&amp;$J1259,'Weekly Log'!$A:$A,"&lt;"&amp;$J1259+7)/COUNTIFS('Weekly Log'!$H:$H,"&lt;&gt;",'Weekly Log'!$A:$A,"&gt;="&amp;$J1259,'Weekly Log'!$A:$A,"&lt;"&amp;$J1259+7),0))</f>
        <v/>
      </c>
      <c r="E1259" t="str">
        <f>IF($J1259="","",IFERROR(AVERAGEIFS('Weekly Log'!$F:$F,'Weekly Log'!$A:$A,"&gt;="&amp;$J1259,'Weekly Log'!$A:$A,"&lt;"&amp;$J1259+7),0))</f>
        <v/>
      </c>
      <c r="F1259" t="str">
        <f>IF($J1259="","",IFERROR(SUMIFS('Weekly Log'!$F:$F,'Weekly Log'!$A:$A,"&gt;="&amp;$J1259,'Weekly Log'!$A:$A,"&lt;"&amp;$J1259+7)/SUMIFS('Weekly Log'!$E:$E,'Weekly Log'!$A:$A,"&gt;="&amp;$J1259,'Weekly Log'!$A:$A,"&lt;"&amp;$J1259+7),0))</f>
        <v/>
      </c>
      <c r="G1259" t="str">
        <f>IF($J1259="","",IFERROR(LOOKUP(2,1/(('Weekly Log'!$A$5:$A$5000&gt;=$J1259)*('Weekly Log'!$A$5:$A$5000&lt;$J1259+7)*('Weekly Log'!$M$5:$M$5000&lt;&gt;"")),'Weekly Log'!$M$5:$M$5000),0))</f>
        <v/>
      </c>
      <c r="J1259" t="str">
        <f>IF(COUNT('Weekly Log'!$A$5:$A$5000)=0,"",IF(MIN('Weekly Log'!$A$5:$A$5000)+7*(ROW()-10)&gt;MAX('Weekly Log'!$A$5:$A$5000),"",MIN('Weekly Log'!$A$5:$A$5000)+7*(ROW()-10)))</f>
        <v/>
      </c>
    </row>
    <row r="1260" spans="1:10" x14ac:dyDescent="0.25">
      <c r="A1260" t="str">
        <f t="shared" si="19"/>
        <v/>
      </c>
      <c r="B1260" t="str">
        <f>IF($J1260="","",SUMIFS('Weekly Log'!$C:$C,'Weekly Log'!$A:$A,"&gt;="&amp;$J1260,'Weekly Log'!$A:$A,"&lt;"&amp;$J1260+7))</f>
        <v/>
      </c>
      <c r="C1260" t="str">
        <f>IF($J1260="","",IFERROR(COUNTIFS('Weekly Log'!$G:$G,"Y",'Weekly Log'!$A:$A,"&gt;="&amp;$J1260,'Weekly Log'!$A:$A,"&lt;"&amp;$J1260+7)/COUNTIFS('Weekly Log'!$G:$G,"&lt;&gt;",'Weekly Log'!$A:$A,"&gt;="&amp;$J1260,'Weekly Log'!$A:$A,"&lt;"&amp;$J1260+7),0))</f>
        <v/>
      </c>
      <c r="D1260" t="str">
        <f>IF($J1260="","",IFERROR(COUNTIFS('Weekly Log'!$H:$H,"Y",'Weekly Log'!$A:$A,"&gt;="&amp;$J1260,'Weekly Log'!$A:$A,"&lt;"&amp;$J1260+7)/COUNTIFS('Weekly Log'!$H:$H,"&lt;&gt;",'Weekly Log'!$A:$A,"&gt;="&amp;$J1260,'Weekly Log'!$A:$A,"&lt;"&amp;$J1260+7),0))</f>
        <v/>
      </c>
      <c r="E1260" t="str">
        <f>IF($J1260="","",IFERROR(AVERAGEIFS('Weekly Log'!$F:$F,'Weekly Log'!$A:$A,"&gt;="&amp;$J1260,'Weekly Log'!$A:$A,"&lt;"&amp;$J1260+7),0))</f>
        <v/>
      </c>
      <c r="F1260" t="str">
        <f>IF($J1260="","",IFERROR(SUMIFS('Weekly Log'!$F:$F,'Weekly Log'!$A:$A,"&gt;="&amp;$J1260,'Weekly Log'!$A:$A,"&lt;"&amp;$J1260+7)/SUMIFS('Weekly Log'!$E:$E,'Weekly Log'!$A:$A,"&gt;="&amp;$J1260,'Weekly Log'!$A:$A,"&lt;"&amp;$J1260+7),0))</f>
        <v/>
      </c>
      <c r="G1260" t="str">
        <f>IF($J1260="","",IFERROR(LOOKUP(2,1/(('Weekly Log'!$A$5:$A$5000&gt;=$J1260)*('Weekly Log'!$A$5:$A$5000&lt;$J1260+7)*('Weekly Log'!$M$5:$M$5000&lt;&gt;"")),'Weekly Log'!$M$5:$M$5000),0))</f>
        <v/>
      </c>
      <c r="J1260" t="str">
        <f>IF(COUNT('Weekly Log'!$A$5:$A$5000)=0,"",IF(MIN('Weekly Log'!$A$5:$A$5000)+7*(ROW()-10)&gt;MAX('Weekly Log'!$A$5:$A$5000),"",MIN('Weekly Log'!$A$5:$A$5000)+7*(ROW()-10)))</f>
        <v/>
      </c>
    </row>
    <row r="1261" spans="1:10" x14ac:dyDescent="0.25">
      <c r="A1261" t="str">
        <f t="shared" si="19"/>
        <v/>
      </c>
      <c r="B1261" t="str">
        <f>IF($J1261="","",SUMIFS('Weekly Log'!$C:$C,'Weekly Log'!$A:$A,"&gt;="&amp;$J1261,'Weekly Log'!$A:$A,"&lt;"&amp;$J1261+7))</f>
        <v/>
      </c>
      <c r="C1261" t="str">
        <f>IF($J1261="","",IFERROR(COUNTIFS('Weekly Log'!$G:$G,"Y",'Weekly Log'!$A:$A,"&gt;="&amp;$J1261,'Weekly Log'!$A:$A,"&lt;"&amp;$J1261+7)/COUNTIFS('Weekly Log'!$G:$G,"&lt;&gt;",'Weekly Log'!$A:$A,"&gt;="&amp;$J1261,'Weekly Log'!$A:$A,"&lt;"&amp;$J1261+7),0))</f>
        <v/>
      </c>
      <c r="D1261" t="str">
        <f>IF($J1261="","",IFERROR(COUNTIFS('Weekly Log'!$H:$H,"Y",'Weekly Log'!$A:$A,"&gt;="&amp;$J1261,'Weekly Log'!$A:$A,"&lt;"&amp;$J1261+7)/COUNTIFS('Weekly Log'!$H:$H,"&lt;&gt;",'Weekly Log'!$A:$A,"&gt;="&amp;$J1261,'Weekly Log'!$A:$A,"&lt;"&amp;$J1261+7),0))</f>
        <v/>
      </c>
      <c r="E1261" t="str">
        <f>IF($J1261="","",IFERROR(AVERAGEIFS('Weekly Log'!$F:$F,'Weekly Log'!$A:$A,"&gt;="&amp;$J1261,'Weekly Log'!$A:$A,"&lt;"&amp;$J1261+7),0))</f>
        <v/>
      </c>
      <c r="F1261" t="str">
        <f>IF($J1261="","",IFERROR(SUMIFS('Weekly Log'!$F:$F,'Weekly Log'!$A:$A,"&gt;="&amp;$J1261,'Weekly Log'!$A:$A,"&lt;"&amp;$J1261+7)/SUMIFS('Weekly Log'!$E:$E,'Weekly Log'!$A:$A,"&gt;="&amp;$J1261,'Weekly Log'!$A:$A,"&lt;"&amp;$J1261+7),0))</f>
        <v/>
      </c>
      <c r="G1261" t="str">
        <f>IF($J1261="","",IFERROR(LOOKUP(2,1/(('Weekly Log'!$A$5:$A$5000&gt;=$J1261)*('Weekly Log'!$A$5:$A$5000&lt;$J1261+7)*('Weekly Log'!$M$5:$M$5000&lt;&gt;"")),'Weekly Log'!$M$5:$M$5000),0))</f>
        <v/>
      </c>
      <c r="J1261" t="str">
        <f>IF(COUNT('Weekly Log'!$A$5:$A$5000)=0,"",IF(MIN('Weekly Log'!$A$5:$A$5000)+7*(ROW()-10)&gt;MAX('Weekly Log'!$A$5:$A$5000),"",MIN('Weekly Log'!$A$5:$A$5000)+7*(ROW()-10)))</f>
        <v/>
      </c>
    </row>
    <row r="1262" spans="1:10" x14ac:dyDescent="0.25">
      <c r="A1262" t="str">
        <f t="shared" si="19"/>
        <v/>
      </c>
      <c r="B1262" t="str">
        <f>IF($J1262="","",SUMIFS('Weekly Log'!$C:$C,'Weekly Log'!$A:$A,"&gt;="&amp;$J1262,'Weekly Log'!$A:$A,"&lt;"&amp;$J1262+7))</f>
        <v/>
      </c>
      <c r="C1262" t="str">
        <f>IF($J1262="","",IFERROR(COUNTIFS('Weekly Log'!$G:$G,"Y",'Weekly Log'!$A:$A,"&gt;="&amp;$J1262,'Weekly Log'!$A:$A,"&lt;"&amp;$J1262+7)/COUNTIFS('Weekly Log'!$G:$G,"&lt;&gt;",'Weekly Log'!$A:$A,"&gt;="&amp;$J1262,'Weekly Log'!$A:$A,"&lt;"&amp;$J1262+7),0))</f>
        <v/>
      </c>
      <c r="D1262" t="str">
        <f>IF($J1262="","",IFERROR(COUNTIFS('Weekly Log'!$H:$H,"Y",'Weekly Log'!$A:$A,"&gt;="&amp;$J1262,'Weekly Log'!$A:$A,"&lt;"&amp;$J1262+7)/COUNTIFS('Weekly Log'!$H:$H,"&lt;&gt;",'Weekly Log'!$A:$A,"&gt;="&amp;$J1262,'Weekly Log'!$A:$A,"&lt;"&amp;$J1262+7),0))</f>
        <v/>
      </c>
      <c r="E1262" t="str">
        <f>IF($J1262="","",IFERROR(AVERAGEIFS('Weekly Log'!$F:$F,'Weekly Log'!$A:$A,"&gt;="&amp;$J1262,'Weekly Log'!$A:$A,"&lt;"&amp;$J1262+7),0))</f>
        <v/>
      </c>
      <c r="F1262" t="str">
        <f>IF($J1262="","",IFERROR(SUMIFS('Weekly Log'!$F:$F,'Weekly Log'!$A:$A,"&gt;="&amp;$J1262,'Weekly Log'!$A:$A,"&lt;"&amp;$J1262+7)/SUMIFS('Weekly Log'!$E:$E,'Weekly Log'!$A:$A,"&gt;="&amp;$J1262,'Weekly Log'!$A:$A,"&lt;"&amp;$J1262+7),0))</f>
        <v/>
      </c>
      <c r="G1262" t="str">
        <f>IF($J1262="","",IFERROR(LOOKUP(2,1/(('Weekly Log'!$A$5:$A$5000&gt;=$J1262)*('Weekly Log'!$A$5:$A$5000&lt;$J1262+7)*('Weekly Log'!$M$5:$M$5000&lt;&gt;"")),'Weekly Log'!$M$5:$M$5000),0))</f>
        <v/>
      </c>
      <c r="J1262" t="str">
        <f>IF(COUNT('Weekly Log'!$A$5:$A$5000)=0,"",IF(MIN('Weekly Log'!$A$5:$A$5000)+7*(ROW()-10)&gt;MAX('Weekly Log'!$A$5:$A$5000),"",MIN('Weekly Log'!$A$5:$A$5000)+7*(ROW()-10)))</f>
        <v/>
      </c>
    </row>
    <row r="1263" spans="1:10" x14ac:dyDescent="0.25">
      <c r="A1263" t="str">
        <f t="shared" si="19"/>
        <v/>
      </c>
      <c r="B1263" t="str">
        <f>IF($J1263="","",SUMIFS('Weekly Log'!$C:$C,'Weekly Log'!$A:$A,"&gt;="&amp;$J1263,'Weekly Log'!$A:$A,"&lt;"&amp;$J1263+7))</f>
        <v/>
      </c>
      <c r="C1263" t="str">
        <f>IF($J1263="","",IFERROR(COUNTIFS('Weekly Log'!$G:$G,"Y",'Weekly Log'!$A:$A,"&gt;="&amp;$J1263,'Weekly Log'!$A:$A,"&lt;"&amp;$J1263+7)/COUNTIFS('Weekly Log'!$G:$G,"&lt;&gt;",'Weekly Log'!$A:$A,"&gt;="&amp;$J1263,'Weekly Log'!$A:$A,"&lt;"&amp;$J1263+7),0))</f>
        <v/>
      </c>
      <c r="D1263" t="str">
        <f>IF($J1263="","",IFERROR(COUNTIFS('Weekly Log'!$H:$H,"Y",'Weekly Log'!$A:$A,"&gt;="&amp;$J1263,'Weekly Log'!$A:$A,"&lt;"&amp;$J1263+7)/COUNTIFS('Weekly Log'!$H:$H,"&lt;&gt;",'Weekly Log'!$A:$A,"&gt;="&amp;$J1263,'Weekly Log'!$A:$A,"&lt;"&amp;$J1263+7),0))</f>
        <v/>
      </c>
      <c r="E1263" t="str">
        <f>IF($J1263="","",IFERROR(AVERAGEIFS('Weekly Log'!$F:$F,'Weekly Log'!$A:$A,"&gt;="&amp;$J1263,'Weekly Log'!$A:$A,"&lt;"&amp;$J1263+7),0))</f>
        <v/>
      </c>
      <c r="F1263" t="str">
        <f>IF($J1263="","",IFERROR(SUMIFS('Weekly Log'!$F:$F,'Weekly Log'!$A:$A,"&gt;="&amp;$J1263,'Weekly Log'!$A:$A,"&lt;"&amp;$J1263+7)/SUMIFS('Weekly Log'!$E:$E,'Weekly Log'!$A:$A,"&gt;="&amp;$J1263,'Weekly Log'!$A:$A,"&lt;"&amp;$J1263+7),0))</f>
        <v/>
      </c>
      <c r="G1263" t="str">
        <f>IF($J1263="","",IFERROR(LOOKUP(2,1/(('Weekly Log'!$A$5:$A$5000&gt;=$J1263)*('Weekly Log'!$A$5:$A$5000&lt;$J1263+7)*('Weekly Log'!$M$5:$M$5000&lt;&gt;"")),'Weekly Log'!$M$5:$M$5000),0))</f>
        <v/>
      </c>
      <c r="J1263" t="str">
        <f>IF(COUNT('Weekly Log'!$A$5:$A$5000)=0,"",IF(MIN('Weekly Log'!$A$5:$A$5000)+7*(ROW()-10)&gt;MAX('Weekly Log'!$A$5:$A$5000),"",MIN('Weekly Log'!$A$5:$A$5000)+7*(ROW()-10)))</f>
        <v/>
      </c>
    </row>
    <row r="1264" spans="1:10" x14ac:dyDescent="0.25">
      <c r="A1264" t="str">
        <f t="shared" si="19"/>
        <v/>
      </c>
      <c r="B1264" t="str">
        <f>IF($J1264="","",SUMIFS('Weekly Log'!$C:$C,'Weekly Log'!$A:$A,"&gt;="&amp;$J1264,'Weekly Log'!$A:$A,"&lt;"&amp;$J1264+7))</f>
        <v/>
      </c>
      <c r="C1264" t="str">
        <f>IF($J1264="","",IFERROR(COUNTIFS('Weekly Log'!$G:$G,"Y",'Weekly Log'!$A:$A,"&gt;="&amp;$J1264,'Weekly Log'!$A:$A,"&lt;"&amp;$J1264+7)/COUNTIFS('Weekly Log'!$G:$G,"&lt;&gt;",'Weekly Log'!$A:$A,"&gt;="&amp;$J1264,'Weekly Log'!$A:$A,"&lt;"&amp;$J1264+7),0))</f>
        <v/>
      </c>
      <c r="D1264" t="str">
        <f>IF($J1264="","",IFERROR(COUNTIFS('Weekly Log'!$H:$H,"Y",'Weekly Log'!$A:$A,"&gt;="&amp;$J1264,'Weekly Log'!$A:$A,"&lt;"&amp;$J1264+7)/COUNTIFS('Weekly Log'!$H:$H,"&lt;&gt;",'Weekly Log'!$A:$A,"&gt;="&amp;$J1264,'Weekly Log'!$A:$A,"&lt;"&amp;$J1264+7),0))</f>
        <v/>
      </c>
      <c r="E1264" t="str">
        <f>IF($J1264="","",IFERROR(AVERAGEIFS('Weekly Log'!$F:$F,'Weekly Log'!$A:$A,"&gt;="&amp;$J1264,'Weekly Log'!$A:$A,"&lt;"&amp;$J1264+7),0))</f>
        <v/>
      </c>
      <c r="F1264" t="str">
        <f>IF($J1264="","",IFERROR(SUMIFS('Weekly Log'!$F:$F,'Weekly Log'!$A:$A,"&gt;="&amp;$J1264,'Weekly Log'!$A:$A,"&lt;"&amp;$J1264+7)/SUMIFS('Weekly Log'!$E:$E,'Weekly Log'!$A:$A,"&gt;="&amp;$J1264,'Weekly Log'!$A:$A,"&lt;"&amp;$J1264+7),0))</f>
        <v/>
      </c>
      <c r="G1264" t="str">
        <f>IF($J1264="","",IFERROR(LOOKUP(2,1/(('Weekly Log'!$A$5:$A$5000&gt;=$J1264)*('Weekly Log'!$A$5:$A$5000&lt;$J1264+7)*('Weekly Log'!$M$5:$M$5000&lt;&gt;"")),'Weekly Log'!$M$5:$M$5000),0))</f>
        <v/>
      </c>
      <c r="J1264" t="str">
        <f>IF(COUNT('Weekly Log'!$A$5:$A$5000)=0,"",IF(MIN('Weekly Log'!$A$5:$A$5000)+7*(ROW()-10)&gt;MAX('Weekly Log'!$A$5:$A$5000),"",MIN('Weekly Log'!$A$5:$A$5000)+7*(ROW()-10)))</f>
        <v/>
      </c>
    </row>
    <row r="1265" spans="1:10" x14ac:dyDescent="0.25">
      <c r="A1265" t="str">
        <f t="shared" si="19"/>
        <v/>
      </c>
      <c r="B1265" t="str">
        <f>IF($J1265="","",SUMIFS('Weekly Log'!$C:$C,'Weekly Log'!$A:$A,"&gt;="&amp;$J1265,'Weekly Log'!$A:$A,"&lt;"&amp;$J1265+7))</f>
        <v/>
      </c>
      <c r="C1265" t="str">
        <f>IF($J1265="","",IFERROR(COUNTIFS('Weekly Log'!$G:$G,"Y",'Weekly Log'!$A:$A,"&gt;="&amp;$J1265,'Weekly Log'!$A:$A,"&lt;"&amp;$J1265+7)/COUNTIFS('Weekly Log'!$G:$G,"&lt;&gt;",'Weekly Log'!$A:$A,"&gt;="&amp;$J1265,'Weekly Log'!$A:$A,"&lt;"&amp;$J1265+7),0))</f>
        <v/>
      </c>
      <c r="D1265" t="str">
        <f>IF($J1265="","",IFERROR(COUNTIFS('Weekly Log'!$H:$H,"Y",'Weekly Log'!$A:$A,"&gt;="&amp;$J1265,'Weekly Log'!$A:$A,"&lt;"&amp;$J1265+7)/COUNTIFS('Weekly Log'!$H:$H,"&lt;&gt;",'Weekly Log'!$A:$A,"&gt;="&amp;$J1265,'Weekly Log'!$A:$A,"&lt;"&amp;$J1265+7),0))</f>
        <v/>
      </c>
      <c r="E1265" t="str">
        <f>IF($J1265="","",IFERROR(AVERAGEIFS('Weekly Log'!$F:$F,'Weekly Log'!$A:$A,"&gt;="&amp;$J1265,'Weekly Log'!$A:$A,"&lt;"&amp;$J1265+7),0))</f>
        <v/>
      </c>
      <c r="F1265" t="str">
        <f>IF($J1265="","",IFERROR(SUMIFS('Weekly Log'!$F:$F,'Weekly Log'!$A:$A,"&gt;="&amp;$J1265,'Weekly Log'!$A:$A,"&lt;"&amp;$J1265+7)/SUMIFS('Weekly Log'!$E:$E,'Weekly Log'!$A:$A,"&gt;="&amp;$J1265,'Weekly Log'!$A:$A,"&lt;"&amp;$J1265+7),0))</f>
        <v/>
      </c>
      <c r="G1265" t="str">
        <f>IF($J1265="","",IFERROR(LOOKUP(2,1/(('Weekly Log'!$A$5:$A$5000&gt;=$J1265)*('Weekly Log'!$A$5:$A$5000&lt;$J1265+7)*('Weekly Log'!$M$5:$M$5000&lt;&gt;"")),'Weekly Log'!$M$5:$M$5000),0))</f>
        <v/>
      </c>
      <c r="J1265" t="str">
        <f>IF(COUNT('Weekly Log'!$A$5:$A$5000)=0,"",IF(MIN('Weekly Log'!$A$5:$A$5000)+7*(ROW()-10)&gt;MAX('Weekly Log'!$A$5:$A$5000),"",MIN('Weekly Log'!$A$5:$A$5000)+7*(ROW()-10)))</f>
        <v/>
      </c>
    </row>
    <row r="1266" spans="1:10" x14ac:dyDescent="0.25">
      <c r="A1266" t="str">
        <f t="shared" si="19"/>
        <v/>
      </c>
      <c r="B1266" t="str">
        <f>IF($J1266="","",SUMIFS('Weekly Log'!$C:$C,'Weekly Log'!$A:$A,"&gt;="&amp;$J1266,'Weekly Log'!$A:$A,"&lt;"&amp;$J1266+7))</f>
        <v/>
      </c>
      <c r="C1266" t="str">
        <f>IF($J1266="","",IFERROR(COUNTIFS('Weekly Log'!$G:$G,"Y",'Weekly Log'!$A:$A,"&gt;="&amp;$J1266,'Weekly Log'!$A:$A,"&lt;"&amp;$J1266+7)/COUNTIFS('Weekly Log'!$G:$G,"&lt;&gt;",'Weekly Log'!$A:$A,"&gt;="&amp;$J1266,'Weekly Log'!$A:$A,"&lt;"&amp;$J1266+7),0))</f>
        <v/>
      </c>
      <c r="D1266" t="str">
        <f>IF($J1266="","",IFERROR(COUNTIFS('Weekly Log'!$H:$H,"Y",'Weekly Log'!$A:$A,"&gt;="&amp;$J1266,'Weekly Log'!$A:$A,"&lt;"&amp;$J1266+7)/COUNTIFS('Weekly Log'!$H:$H,"&lt;&gt;",'Weekly Log'!$A:$A,"&gt;="&amp;$J1266,'Weekly Log'!$A:$A,"&lt;"&amp;$J1266+7),0))</f>
        <v/>
      </c>
      <c r="E1266" t="str">
        <f>IF($J1266="","",IFERROR(AVERAGEIFS('Weekly Log'!$F:$F,'Weekly Log'!$A:$A,"&gt;="&amp;$J1266,'Weekly Log'!$A:$A,"&lt;"&amp;$J1266+7),0))</f>
        <v/>
      </c>
      <c r="F1266" t="str">
        <f>IF($J1266="","",IFERROR(SUMIFS('Weekly Log'!$F:$F,'Weekly Log'!$A:$A,"&gt;="&amp;$J1266,'Weekly Log'!$A:$A,"&lt;"&amp;$J1266+7)/SUMIFS('Weekly Log'!$E:$E,'Weekly Log'!$A:$A,"&gt;="&amp;$J1266,'Weekly Log'!$A:$A,"&lt;"&amp;$J1266+7),0))</f>
        <v/>
      </c>
      <c r="G1266" t="str">
        <f>IF($J1266="","",IFERROR(LOOKUP(2,1/(('Weekly Log'!$A$5:$A$5000&gt;=$J1266)*('Weekly Log'!$A$5:$A$5000&lt;$J1266+7)*('Weekly Log'!$M$5:$M$5000&lt;&gt;"")),'Weekly Log'!$M$5:$M$5000),0))</f>
        <v/>
      </c>
      <c r="J1266" t="str">
        <f>IF(COUNT('Weekly Log'!$A$5:$A$5000)=0,"",IF(MIN('Weekly Log'!$A$5:$A$5000)+7*(ROW()-10)&gt;MAX('Weekly Log'!$A$5:$A$5000),"",MIN('Weekly Log'!$A$5:$A$5000)+7*(ROW()-10)))</f>
        <v/>
      </c>
    </row>
    <row r="1267" spans="1:10" x14ac:dyDescent="0.25">
      <c r="A1267" t="str">
        <f t="shared" si="19"/>
        <v/>
      </c>
      <c r="B1267" t="str">
        <f>IF($J1267="","",SUMIFS('Weekly Log'!$C:$C,'Weekly Log'!$A:$A,"&gt;="&amp;$J1267,'Weekly Log'!$A:$A,"&lt;"&amp;$J1267+7))</f>
        <v/>
      </c>
      <c r="C1267" t="str">
        <f>IF($J1267="","",IFERROR(COUNTIFS('Weekly Log'!$G:$G,"Y",'Weekly Log'!$A:$A,"&gt;="&amp;$J1267,'Weekly Log'!$A:$A,"&lt;"&amp;$J1267+7)/COUNTIFS('Weekly Log'!$G:$G,"&lt;&gt;",'Weekly Log'!$A:$A,"&gt;="&amp;$J1267,'Weekly Log'!$A:$A,"&lt;"&amp;$J1267+7),0))</f>
        <v/>
      </c>
      <c r="D1267" t="str">
        <f>IF($J1267="","",IFERROR(COUNTIFS('Weekly Log'!$H:$H,"Y",'Weekly Log'!$A:$A,"&gt;="&amp;$J1267,'Weekly Log'!$A:$A,"&lt;"&amp;$J1267+7)/COUNTIFS('Weekly Log'!$H:$H,"&lt;&gt;",'Weekly Log'!$A:$A,"&gt;="&amp;$J1267,'Weekly Log'!$A:$A,"&lt;"&amp;$J1267+7),0))</f>
        <v/>
      </c>
      <c r="E1267" t="str">
        <f>IF($J1267="","",IFERROR(AVERAGEIFS('Weekly Log'!$F:$F,'Weekly Log'!$A:$A,"&gt;="&amp;$J1267,'Weekly Log'!$A:$A,"&lt;"&amp;$J1267+7),0))</f>
        <v/>
      </c>
      <c r="F1267" t="str">
        <f>IF($J1267="","",IFERROR(SUMIFS('Weekly Log'!$F:$F,'Weekly Log'!$A:$A,"&gt;="&amp;$J1267,'Weekly Log'!$A:$A,"&lt;"&amp;$J1267+7)/SUMIFS('Weekly Log'!$E:$E,'Weekly Log'!$A:$A,"&gt;="&amp;$J1267,'Weekly Log'!$A:$A,"&lt;"&amp;$J1267+7),0))</f>
        <v/>
      </c>
      <c r="G1267" t="str">
        <f>IF($J1267="","",IFERROR(LOOKUP(2,1/(('Weekly Log'!$A$5:$A$5000&gt;=$J1267)*('Weekly Log'!$A$5:$A$5000&lt;$J1267+7)*('Weekly Log'!$M$5:$M$5000&lt;&gt;"")),'Weekly Log'!$M$5:$M$5000),0))</f>
        <v/>
      </c>
      <c r="J1267" t="str">
        <f>IF(COUNT('Weekly Log'!$A$5:$A$5000)=0,"",IF(MIN('Weekly Log'!$A$5:$A$5000)+7*(ROW()-10)&gt;MAX('Weekly Log'!$A$5:$A$5000),"",MIN('Weekly Log'!$A$5:$A$5000)+7*(ROW()-10)))</f>
        <v/>
      </c>
    </row>
    <row r="1268" spans="1:10" x14ac:dyDescent="0.25">
      <c r="A1268" t="str">
        <f t="shared" si="19"/>
        <v/>
      </c>
      <c r="B1268" t="str">
        <f>IF($J1268="","",SUMIFS('Weekly Log'!$C:$C,'Weekly Log'!$A:$A,"&gt;="&amp;$J1268,'Weekly Log'!$A:$A,"&lt;"&amp;$J1268+7))</f>
        <v/>
      </c>
      <c r="C1268" t="str">
        <f>IF($J1268="","",IFERROR(COUNTIFS('Weekly Log'!$G:$G,"Y",'Weekly Log'!$A:$A,"&gt;="&amp;$J1268,'Weekly Log'!$A:$A,"&lt;"&amp;$J1268+7)/COUNTIFS('Weekly Log'!$G:$G,"&lt;&gt;",'Weekly Log'!$A:$A,"&gt;="&amp;$J1268,'Weekly Log'!$A:$A,"&lt;"&amp;$J1268+7),0))</f>
        <v/>
      </c>
      <c r="D1268" t="str">
        <f>IF($J1268="","",IFERROR(COUNTIFS('Weekly Log'!$H:$H,"Y",'Weekly Log'!$A:$A,"&gt;="&amp;$J1268,'Weekly Log'!$A:$A,"&lt;"&amp;$J1268+7)/COUNTIFS('Weekly Log'!$H:$H,"&lt;&gt;",'Weekly Log'!$A:$A,"&gt;="&amp;$J1268,'Weekly Log'!$A:$A,"&lt;"&amp;$J1268+7),0))</f>
        <v/>
      </c>
      <c r="E1268" t="str">
        <f>IF($J1268="","",IFERROR(AVERAGEIFS('Weekly Log'!$F:$F,'Weekly Log'!$A:$A,"&gt;="&amp;$J1268,'Weekly Log'!$A:$A,"&lt;"&amp;$J1268+7),0))</f>
        <v/>
      </c>
      <c r="F1268" t="str">
        <f>IF($J1268="","",IFERROR(SUMIFS('Weekly Log'!$F:$F,'Weekly Log'!$A:$A,"&gt;="&amp;$J1268,'Weekly Log'!$A:$A,"&lt;"&amp;$J1268+7)/SUMIFS('Weekly Log'!$E:$E,'Weekly Log'!$A:$A,"&gt;="&amp;$J1268,'Weekly Log'!$A:$A,"&lt;"&amp;$J1268+7),0))</f>
        <v/>
      </c>
      <c r="G1268" t="str">
        <f>IF($J1268="","",IFERROR(LOOKUP(2,1/(('Weekly Log'!$A$5:$A$5000&gt;=$J1268)*('Weekly Log'!$A$5:$A$5000&lt;$J1268+7)*('Weekly Log'!$M$5:$M$5000&lt;&gt;"")),'Weekly Log'!$M$5:$M$5000),0))</f>
        <v/>
      </c>
      <c r="J1268" t="str">
        <f>IF(COUNT('Weekly Log'!$A$5:$A$5000)=0,"",IF(MIN('Weekly Log'!$A$5:$A$5000)+7*(ROW()-10)&gt;MAX('Weekly Log'!$A$5:$A$5000),"",MIN('Weekly Log'!$A$5:$A$5000)+7*(ROW()-10)))</f>
        <v/>
      </c>
    </row>
    <row r="1269" spans="1:10" x14ac:dyDescent="0.25">
      <c r="A1269" t="str">
        <f t="shared" si="19"/>
        <v/>
      </c>
      <c r="B1269" t="str">
        <f>IF($J1269="","",SUMIFS('Weekly Log'!$C:$C,'Weekly Log'!$A:$A,"&gt;="&amp;$J1269,'Weekly Log'!$A:$A,"&lt;"&amp;$J1269+7))</f>
        <v/>
      </c>
      <c r="C1269" t="str">
        <f>IF($J1269="","",IFERROR(COUNTIFS('Weekly Log'!$G:$G,"Y",'Weekly Log'!$A:$A,"&gt;="&amp;$J1269,'Weekly Log'!$A:$A,"&lt;"&amp;$J1269+7)/COUNTIFS('Weekly Log'!$G:$G,"&lt;&gt;",'Weekly Log'!$A:$A,"&gt;="&amp;$J1269,'Weekly Log'!$A:$A,"&lt;"&amp;$J1269+7),0))</f>
        <v/>
      </c>
      <c r="D1269" t="str">
        <f>IF($J1269="","",IFERROR(COUNTIFS('Weekly Log'!$H:$H,"Y",'Weekly Log'!$A:$A,"&gt;="&amp;$J1269,'Weekly Log'!$A:$A,"&lt;"&amp;$J1269+7)/COUNTIFS('Weekly Log'!$H:$H,"&lt;&gt;",'Weekly Log'!$A:$A,"&gt;="&amp;$J1269,'Weekly Log'!$A:$A,"&lt;"&amp;$J1269+7),0))</f>
        <v/>
      </c>
      <c r="E1269" t="str">
        <f>IF($J1269="","",IFERROR(AVERAGEIFS('Weekly Log'!$F:$F,'Weekly Log'!$A:$A,"&gt;="&amp;$J1269,'Weekly Log'!$A:$A,"&lt;"&amp;$J1269+7),0))</f>
        <v/>
      </c>
      <c r="F1269" t="str">
        <f>IF($J1269="","",IFERROR(SUMIFS('Weekly Log'!$F:$F,'Weekly Log'!$A:$A,"&gt;="&amp;$J1269,'Weekly Log'!$A:$A,"&lt;"&amp;$J1269+7)/SUMIFS('Weekly Log'!$E:$E,'Weekly Log'!$A:$A,"&gt;="&amp;$J1269,'Weekly Log'!$A:$A,"&lt;"&amp;$J1269+7),0))</f>
        <v/>
      </c>
      <c r="G1269" t="str">
        <f>IF($J1269="","",IFERROR(LOOKUP(2,1/(('Weekly Log'!$A$5:$A$5000&gt;=$J1269)*('Weekly Log'!$A$5:$A$5000&lt;$J1269+7)*('Weekly Log'!$M$5:$M$5000&lt;&gt;"")),'Weekly Log'!$M$5:$M$5000),0))</f>
        <v/>
      </c>
      <c r="J1269" t="str">
        <f>IF(COUNT('Weekly Log'!$A$5:$A$5000)=0,"",IF(MIN('Weekly Log'!$A$5:$A$5000)+7*(ROW()-10)&gt;MAX('Weekly Log'!$A$5:$A$5000),"",MIN('Weekly Log'!$A$5:$A$5000)+7*(ROW()-10)))</f>
        <v/>
      </c>
    </row>
    <row r="1270" spans="1:10" x14ac:dyDescent="0.25">
      <c r="A1270" t="str">
        <f t="shared" si="19"/>
        <v/>
      </c>
      <c r="B1270" t="str">
        <f>IF($J1270="","",SUMIFS('Weekly Log'!$C:$C,'Weekly Log'!$A:$A,"&gt;="&amp;$J1270,'Weekly Log'!$A:$A,"&lt;"&amp;$J1270+7))</f>
        <v/>
      </c>
      <c r="C1270" t="str">
        <f>IF($J1270="","",IFERROR(COUNTIFS('Weekly Log'!$G:$G,"Y",'Weekly Log'!$A:$A,"&gt;="&amp;$J1270,'Weekly Log'!$A:$A,"&lt;"&amp;$J1270+7)/COUNTIFS('Weekly Log'!$G:$G,"&lt;&gt;",'Weekly Log'!$A:$A,"&gt;="&amp;$J1270,'Weekly Log'!$A:$A,"&lt;"&amp;$J1270+7),0))</f>
        <v/>
      </c>
      <c r="D1270" t="str">
        <f>IF($J1270="","",IFERROR(COUNTIFS('Weekly Log'!$H:$H,"Y",'Weekly Log'!$A:$A,"&gt;="&amp;$J1270,'Weekly Log'!$A:$A,"&lt;"&amp;$J1270+7)/COUNTIFS('Weekly Log'!$H:$H,"&lt;&gt;",'Weekly Log'!$A:$A,"&gt;="&amp;$J1270,'Weekly Log'!$A:$A,"&lt;"&amp;$J1270+7),0))</f>
        <v/>
      </c>
      <c r="E1270" t="str">
        <f>IF($J1270="","",IFERROR(AVERAGEIFS('Weekly Log'!$F:$F,'Weekly Log'!$A:$A,"&gt;="&amp;$J1270,'Weekly Log'!$A:$A,"&lt;"&amp;$J1270+7),0))</f>
        <v/>
      </c>
      <c r="F1270" t="str">
        <f>IF($J1270="","",IFERROR(SUMIFS('Weekly Log'!$F:$F,'Weekly Log'!$A:$A,"&gt;="&amp;$J1270,'Weekly Log'!$A:$A,"&lt;"&amp;$J1270+7)/SUMIFS('Weekly Log'!$E:$E,'Weekly Log'!$A:$A,"&gt;="&amp;$J1270,'Weekly Log'!$A:$A,"&lt;"&amp;$J1270+7),0))</f>
        <v/>
      </c>
      <c r="G1270" t="str">
        <f>IF($J1270="","",IFERROR(LOOKUP(2,1/(('Weekly Log'!$A$5:$A$5000&gt;=$J1270)*('Weekly Log'!$A$5:$A$5000&lt;$J1270+7)*('Weekly Log'!$M$5:$M$5000&lt;&gt;"")),'Weekly Log'!$M$5:$M$5000),0))</f>
        <v/>
      </c>
      <c r="J1270" t="str">
        <f>IF(COUNT('Weekly Log'!$A$5:$A$5000)=0,"",IF(MIN('Weekly Log'!$A$5:$A$5000)+7*(ROW()-10)&gt;MAX('Weekly Log'!$A$5:$A$5000),"",MIN('Weekly Log'!$A$5:$A$5000)+7*(ROW()-10)))</f>
        <v/>
      </c>
    </row>
    <row r="1271" spans="1:10" x14ac:dyDescent="0.25">
      <c r="A1271" t="str">
        <f t="shared" si="19"/>
        <v/>
      </c>
      <c r="B1271" t="str">
        <f>IF($J1271="","",SUMIFS('Weekly Log'!$C:$C,'Weekly Log'!$A:$A,"&gt;="&amp;$J1271,'Weekly Log'!$A:$A,"&lt;"&amp;$J1271+7))</f>
        <v/>
      </c>
      <c r="C1271" t="str">
        <f>IF($J1271="","",IFERROR(COUNTIFS('Weekly Log'!$G:$G,"Y",'Weekly Log'!$A:$A,"&gt;="&amp;$J1271,'Weekly Log'!$A:$A,"&lt;"&amp;$J1271+7)/COUNTIFS('Weekly Log'!$G:$G,"&lt;&gt;",'Weekly Log'!$A:$A,"&gt;="&amp;$J1271,'Weekly Log'!$A:$A,"&lt;"&amp;$J1271+7),0))</f>
        <v/>
      </c>
      <c r="D1271" t="str">
        <f>IF($J1271="","",IFERROR(COUNTIFS('Weekly Log'!$H:$H,"Y",'Weekly Log'!$A:$A,"&gt;="&amp;$J1271,'Weekly Log'!$A:$A,"&lt;"&amp;$J1271+7)/COUNTIFS('Weekly Log'!$H:$H,"&lt;&gt;",'Weekly Log'!$A:$A,"&gt;="&amp;$J1271,'Weekly Log'!$A:$A,"&lt;"&amp;$J1271+7),0))</f>
        <v/>
      </c>
      <c r="E1271" t="str">
        <f>IF($J1271="","",IFERROR(AVERAGEIFS('Weekly Log'!$F:$F,'Weekly Log'!$A:$A,"&gt;="&amp;$J1271,'Weekly Log'!$A:$A,"&lt;"&amp;$J1271+7),0))</f>
        <v/>
      </c>
      <c r="F1271" t="str">
        <f>IF($J1271="","",IFERROR(SUMIFS('Weekly Log'!$F:$F,'Weekly Log'!$A:$A,"&gt;="&amp;$J1271,'Weekly Log'!$A:$A,"&lt;"&amp;$J1271+7)/SUMIFS('Weekly Log'!$E:$E,'Weekly Log'!$A:$A,"&gt;="&amp;$J1271,'Weekly Log'!$A:$A,"&lt;"&amp;$J1271+7),0))</f>
        <v/>
      </c>
      <c r="G1271" t="str">
        <f>IF($J1271="","",IFERROR(LOOKUP(2,1/(('Weekly Log'!$A$5:$A$5000&gt;=$J1271)*('Weekly Log'!$A$5:$A$5000&lt;$J1271+7)*('Weekly Log'!$M$5:$M$5000&lt;&gt;"")),'Weekly Log'!$M$5:$M$5000),0))</f>
        <v/>
      </c>
      <c r="J1271" t="str">
        <f>IF(COUNT('Weekly Log'!$A$5:$A$5000)=0,"",IF(MIN('Weekly Log'!$A$5:$A$5000)+7*(ROW()-10)&gt;MAX('Weekly Log'!$A$5:$A$5000),"",MIN('Weekly Log'!$A$5:$A$5000)+7*(ROW()-10)))</f>
        <v/>
      </c>
    </row>
    <row r="1272" spans="1:10" x14ac:dyDescent="0.25">
      <c r="A1272" t="str">
        <f t="shared" si="19"/>
        <v/>
      </c>
      <c r="B1272" t="str">
        <f>IF($J1272="","",SUMIFS('Weekly Log'!$C:$C,'Weekly Log'!$A:$A,"&gt;="&amp;$J1272,'Weekly Log'!$A:$A,"&lt;"&amp;$J1272+7))</f>
        <v/>
      </c>
      <c r="C1272" t="str">
        <f>IF($J1272="","",IFERROR(COUNTIFS('Weekly Log'!$G:$G,"Y",'Weekly Log'!$A:$A,"&gt;="&amp;$J1272,'Weekly Log'!$A:$A,"&lt;"&amp;$J1272+7)/COUNTIFS('Weekly Log'!$G:$G,"&lt;&gt;",'Weekly Log'!$A:$A,"&gt;="&amp;$J1272,'Weekly Log'!$A:$A,"&lt;"&amp;$J1272+7),0))</f>
        <v/>
      </c>
      <c r="D1272" t="str">
        <f>IF($J1272="","",IFERROR(COUNTIFS('Weekly Log'!$H:$H,"Y",'Weekly Log'!$A:$A,"&gt;="&amp;$J1272,'Weekly Log'!$A:$A,"&lt;"&amp;$J1272+7)/COUNTIFS('Weekly Log'!$H:$H,"&lt;&gt;",'Weekly Log'!$A:$A,"&gt;="&amp;$J1272,'Weekly Log'!$A:$A,"&lt;"&amp;$J1272+7),0))</f>
        <v/>
      </c>
      <c r="E1272" t="str">
        <f>IF($J1272="","",IFERROR(AVERAGEIFS('Weekly Log'!$F:$F,'Weekly Log'!$A:$A,"&gt;="&amp;$J1272,'Weekly Log'!$A:$A,"&lt;"&amp;$J1272+7),0))</f>
        <v/>
      </c>
      <c r="F1272" t="str">
        <f>IF($J1272="","",IFERROR(SUMIFS('Weekly Log'!$F:$F,'Weekly Log'!$A:$A,"&gt;="&amp;$J1272,'Weekly Log'!$A:$A,"&lt;"&amp;$J1272+7)/SUMIFS('Weekly Log'!$E:$E,'Weekly Log'!$A:$A,"&gt;="&amp;$J1272,'Weekly Log'!$A:$A,"&lt;"&amp;$J1272+7),0))</f>
        <v/>
      </c>
      <c r="G1272" t="str">
        <f>IF($J1272="","",IFERROR(LOOKUP(2,1/(('Weekly Log'!$A$5:$A$5000&gt;=$J1272)*('Weekly Log'!$A$5:$A$5000&lt;$J1272+7)*('Weekly Log'!$M$5:$M$5000&lt;&gt;"")),'Weekly Log'!$M$5:$M$5000),0))</f>
        <v/>
      </c>
      <c r="J1272" t="str">
        <f>IF(COUNT('Weekly Log'!$A$5:$A$5000)=0,"",IF(MIN('Weekly Log'!$A$5:$A$5000)+7*(ROW()-10)&gt;MAX('Weekly Log'!$A$5:$A$5000),"",MIN('Weekly Log'!$A$5:$A$5000)+7*(ROW()-10)))</f>
        <v/>
      </c>
    </row>
    <row r="1273" spans="1:10" x14ac:dyDescent="0.25">
      <c r="A1273" t="str">
        <f t="shared" si="19"/>
        <v/>
      </c>
      <c r="B1273" t="str">
        <f>IF($J1273="","",SUMIFS('Weekly Log'!$C:$C,'Weekly Log'!$A:$A,"&gt;="&amp;$J1273,'Weekly Log'!$A:$A,"&lt;"&amp;$J1273+7))</f>
        <v/>
      </c>
      <c r="C1273" t="str">
        <f>IF($J1273="","",IFERROR(COUNTIFS('Weekly Log'!$G:$G,"Y",'Weekly Log'!$A:$A,"&gt;="&amp;$J1273,'Weekly Log'!$A:$A,"&lt;"&amp;$J1273+7)/COUNTIFS('Weekly Log'!$G:$G,"&lt;&gt;",'Weekly Log'!$A:$A,"&gt;="&amp;$J1273,'Weekly Log'!$A:$A,"&lt;"&amp;$J1273+7),0))</f>
        <v/>
      </c>
      <c r="D1273" t="str">
        <f>IF($J1273="","",IFERROR(COUNTIFS('Weekly Log'!$H:$H,"Y",'Weekly Log'!$A:$A,"&gt;="&amp;$J1273,'Weekly Log'!$A:$A,"&lt;"&amp;$J1273+7)/COUNTIFS('Weekly Log'!$H:$H,"&lt;&gt;",'Weekly Log'!$A:$A,"&gt;="&amp;$J1273,'Weekly Log'!$A:$A,"&lt;"&amp;$J1273+7),0))</f>
        <v/>
      </c>
      <c r="E1273" t="str">
        <f>IF($J1273="","",IFERROR(AVERAGEIFS('Weekly Log'!$F:$F,'Weekly Log'!$A:$A,"&gt;="&amp;$J1273,'Weekly Log'!$A:$A,"&lt;"&amp;$J1273+7),0))</f>
        <v/>
      </c>
      <c r="F1273" t="str">
        <f>IF($J1273="","",IFERROR(SUMIFS('Weekly Log'!$F:$F,'Weekly Log'!$A:$A,"&gt;="&amp;$J1273,'Weekly Log'!$A:$A,"&lt;"&amp;$J1273+7)/SUMIFS('Weekly Log'!$E:$E,'Weekly Log'!$A:$A,"&gt;="&amp;$J1273,'Weekly Log'!$A:$A,"&lt;"&amp;$J1273+7),0))</f>
        <v/>
      </c>
      <c r="G1273" t="str">
        <f>IF($J1273="","",IFERROR(LOOKUP(2,1/(('Weekly Log'!$A$5:$A$5000&gt;=$J1273)*('Weekly Log'!$A$5:$A$5000&lt;$J1273+7)*('Weekly Log'!$M$5:$M$5000&lt;&gt;"")),'Weekly Log'!$M$5:$M$5000),0))</f>
        <v/>
      </c>
      <c r="J1273" t="str">
        <f>IF(COUNT('Weekly Log'!$A$5:$A$5000)=0,"",IF(MIN('Weekly Log'!$A$5:$A$5000)+7*(ROW()-10)&gt;MAX('Weekly Log'!$A$5:$A$5000),"",MIN('Weekly Log'!$A$5:$A$5000)+7*(ROW()-10)))</f>
        <v/>
      </c>
    </row>
    <row r="1274" spans="1:10" x14ac:dyDescent="0.25">
      <c r="A1274" t="str">
        <f t="shared" si="19"/>
        <v/>
      </c>
      <c r="B1274" t="str">
        <f>IF($J1274="","",SUMIFS('Weekly Log'!$C:$C,'Weekly Log'!$A:$A,"&gt;="&amp;$J1274,'Weekly Log'!$A:$A,"&lt;"&amp;$J1274+7))</f>
        <v/>
      </c>
      <c r="C1274" t="str">
        <f>IF($J1274="","",IFERROR(COUNTIFS('Weekly Log'!$G:$G,"Y",'Weekly Log'!$A:$A,"&gt;="&amp;$J1274,'Weekly Log'!$A:$A,"&lt;"&amp;$J1274+7)/COUNTIFS('Weekly Log'!$G:$G,"&lt;&gt;",'Weekly Log'!$A:$A,"&gt;="&amp;$J1274,'Weekly Log'!$A:$A,"&lt;"&amp;$J1274+7),0))</f>
        <v/>
      </c>
      <c r="D1274" t="str">
        <f>IF($J1274="","",IFERROR(COUNTIFS('Weekly Log'!$H:$H,"Y",'Weekly Log'!$A:$A,"&gt;="&amp;$J1274,'Weekly Log'!$A:$A,"&lt;"&amp;$J1274+7)/COUNTIFS('Weekly Log'!$H:$H,"&lt;&gt;",'Weekly Log'!$A:$A,"&gt;="&amp;$J1274,'Weekly Log'!$A:$A,"&lt;"&amp;$J1274+7),0))</f>
        <v/>
      </c>
      <c r="E1274" t="str">
        <f>IF($J1274="","",IFERROR(AVERAGEIFS('Weekly Log'!$F:$F,'Weekly Log'!$A:$A,"&gt;="&amp;$J1274,'Weekly Log'!$A:$A,"&lt;"&amp;$J1274+7),0))</f>
        <v/>
      </c>
      <c r="F1274" t="str">
        <f>IF($J1274="","",IFERROR(SUMIFS('Weekly Log'!$F:$F,'Weekly Log'!$A:$A,"&gt;="&amp;$J1274,'Weekly Log'!$A:$A,"&lt;"&amp;$J1274+7)/SUMIFS('Weekly Log'!$E:$E,'Weekly Log'!$A:$A,"&gt;="&amp;$J1274,'Weekly Log'!$A:$A,"&lt;"&amp;$J1274+7),0))</f>
        <v/>
      </c>
      <c r="G1274" t="str">
        <f>IF($J1274="","",IFERROR(LOOKUP(2,1/(('Weekly Log'!$A$5:$A$5000&gt;=$J1274)*('Weekly Log'!$A$5:$A$5000&lt;$J1274+7)*('Weekly Log'!$M$5:$M$5000&lt;&gt;"")),'Weekly Log'!$M$5:$M$5000),0))</f>
        <v/>
      </c>
      <c r="J1274" t="str">
        <f>IF(COUNT('Weekly Log'!$A$5:$A$5000)=0,"",IF(MIN('Weekly Log'!$A$5:$A$5000)+7*(ROW()-10)&gt;MAX('Weekly Log'!$A$5:$A$5000),"",MIN('Weekly Log'!$A$5:$A$5000)+7*(ROW()-10)))</f>
        <v/>
      </c>
    </row>
    <row r="1275" spans="1:10" x14ac:dyDescent="0.25">
      <c r="A1275" t="str">
        <f t="shared" si="19"/>
        <v/>
      </c>
      <c r="B1275" t="str">
        <f>IF($J1275="","",SUMIFS('Weekly Log'!$C:$C,'Weekly Log'!$A:$A,"&gt;="&amp;$J1275,'Weekly Log'!$A:$A,"&lt;"&amp;$J1275+7))</f>
        <v/>
      </c>
      <c r="C1275" t="str">
        <f>IF($J1275="","",IFERROR(COUNTIFS('Weekly Log'!$G:$G,"Y",'Weekly Log'!$A:$A,"&gt;="&amp;$J1275,'Weekly Log'!$A:$A,"&lt;"&amp;$J1275+7)/COUNTIFS('Weekly Log'!$G:$G,"&lt;&gt;",'Weekly Log'!$A:$A,"&gt;="&amp;$J1275,'Weekly Log'!$A:$A,"&lt;"&amp;$J1275+7),0))</f>
        <v/>
      </c>
      <c r="D1275" t="str">
        <f>IF($J1275="","",IFERROR(COUNTIFS('Weekly Log'!$H:$H,"Y",'Weekly Log'!$A:$A,"&gt;="&amp;$J1275,'Weekly Log'!$A:$A,"&lt;"&amp;$J1275+7)/COUNTIFS('Weekly Log'!$H:$H,"&lt;&gt;",'Weekly Log'!$A:$A,"&gt;="&amp;$J1275,'Weekly Log'!$A:$A,"&lt;"&amp;$J1275+7),0))</f>
        <v/>
      </c>
      <c r="E1275" t="str">
        <f>IF($J1275="","",IFERROR(AVERAGEIFS('Weekly Log'!$F:$F,'Weekly Log'!$A:$A,"&gt;="&amp;$J1275,'Weekly Log'!$A:$A,"&lt;"&amp;$J1275+7),0))</f>
        <v/>
      </c>
      <c r="F1275" t="str">
        <f>IF($J1275="","",IFERROR(SUMIFS('Weekly Log'!$F:$F,'Weekly Log'!$A:$A,"&gt;="&amp;$J1275,'Weekly Log'!$A:$A,"&lt;"&amp;$J1275+7)/SUMIFS('Weekly Log'!$E:$E,'Weekly Log'!$A:$A,"&gt;="&amp;$J1275,'Weekly Log'!$A:$A,"&lt;"&amp;$J1275+7),0))</f>
        <v/>
      </c>
      <c r="G1275" t="str">
        <f>IF($J1275="","",IFERROR(LOOKUP(2,1/(('Weekly Log'!$A$5:$A$5000&gt;=$J1275)*('Weekly Log'!$A$5:$A$5000&lt;$J1275+7)*('Weekly Log'!$M$5:$M$5000&lt;&gt;"")),'Weekly Log'!$M$5:$M$5000),0))</f>
        <v/>
      </c>
      <c r="J1275" t="str">
        <f>IF(COUNT('Weekly Log'!$A$5:$A$5000)=0,"",IF(MIN('Weekly Log'!$A$5:$A$5000)+7*(ROW()-10)&gt;MAX('Weekly Log'!$A$5:$A$5000),"",MIN('Weekly Log'!$A$5:$A$5000)+7*(ROW()-10)))</f>
        <v/>
      </c>
    </row>
    <row r="1276" spans="1:10" x14ac:dyDescent="0.25">
      <c r="A1276" t="str">
        <f t="shared" si="19"/>
        <v/>
      </c>
      <c r="B1276" t="str">
        <f>IF($J1276="","",SUMIFS('Weekly Log'!$C:$C,'Weekly Log'!$A:$A,"&gt;="&amp;$J1276,'Weekly Log'!$A:$A,"&lt;"&amp;$J1276+7))</f>
        <v/>
      </c>
      <c r="C1276" t="str">
        <f>IF($J1276="","",IFERROR(COUNTIFS('Weekly Log'!$G:$G,"Y",'Weekly Log'!$A:$A,"&gt;="&amp;$J1276,'Weekly Log'!$A:$A,"&lt;"&amp;$J1276+7)/COUNTIFS('Weekly Log'!$G:$G,"&lt;&gt;",'Weekly Log'!$A:$A,"&gt;="&amp;$J1276,'Weekly Log'!$A:$A,"&lt;"&amp;$J1276+7),0))</f>
        <v/>
      </c>
      <c r="D1276" t="str">
        <f>IF($J1276="","",IFERROR(COUNTIFS('Weekly Log'!$H:$H,"Y",'Weekly Log'!$A:$A,"&gt;="&amp;$J1276,'Weekly Log'!$A:$A,"&lt;"&amp;$J1276+7)/COUNTIFS('Weekly Log'!$H:$H,"&lt;&gt;",'Weekly Log'!$A:$A,"&gt;="&amp;$J1276,'Weekly Log'!$A:$A,"&lt;"&amp;$J1276+7),0))</f>
        <v/>
      </c>
      <c r="E1276" t="str">
        <f>IF($J1276="","",IFERROR(AVERAGEIFS('Weekly Log'!$F:$F,'Weekly Log'!$A:$A,"&gt;="&amp;$J1276,'Weekly Log'!$A:$A,"&lt;"&amp;$J1276+7),0))</f>
        <v/>
      </c>
      <c r="F1276" t="str">
        <f>IF($J1276="","",IFERROR(SUMIFS('Weekly Log'!$F:$F,'Weekly Log'!$A:$A,"&gt;="&amp;$J1276,'Weekly Log'!$A:$A,"&lt;"&amp;$J1276+7)/SUMIFS('Weekly Log'!$E:$E,'Weekly Log'!$A:$A,"&gt;="&amp;$J1276,'Weekly Log'!$A:$A,"&lt;"&amp;$J1276+7),0))</f>
        <v/>
      </c>
      <c r="G1276" t="str">
        <f>IF($J1276="","",IFERROR(LOOKUP(2,1/(('Weekly Log'!$A$5:$A$5000&gt;=$J1276)*('Weekly Log'!$A$5:$A$5000&lt;$J1276+7)*('Weekly Log'!$M$5:$M$5000&lt;&gt;"")),'Weekly Log'!$M$5:$M$5000),0))</f>
        <v/>
      </c>
      <c r="J1276" t="str">
        <f>IF(COUNT('Weekly Log'!$A$5:$A$5000)=0,"",IF(MIN('Weekly Log'!$A$5:$A$5000)+7*(ROW()-10)&gt;MAX('Weekly Log'!$A$5:$A$5000),"",MIN('Weekly Log'!$A$5:$A$5000)+7*(ROW()-10)))</f>
        <v/>
      </c>
    </row>
    <row r="1277" spans="1:10" x14ac:dyDescent="0.25">
      <c r="A1277" t="str">
        <f t="shared" si="19"/>
        <v/>
      </c>
      <c r="B1277" t="str">
        <f>IF($J1277="","",SUMIFS('Weekly Log'!$C:$C,'Weekly Log'!$A:$A,"&gt;="&amp;$J1277,'Weekly Log'!$A:$A,"&lt;"&amp;$J1277+7))</f>
        <v/>
      </c>
      <c r="C1277" t="str">
        <f>IF($J1277="","",IFERROR(COUNTIFS('Weekly Log'!$G:$G,"Y",'Weekly Log'!$A:$A,"&gt;="&amp;$J1277,'Weekly Log'!$A:$A,"&lt;"&amp;$J1277+7)/COUNTIFS('Weekly Log'!$G:$G,"&lt;&gt;",'Weekly Log'!$A:$A,"&gt;="&amp;$J1277,'Weekly Log'!$A:$A,"&lt;"&amp;$J1277+7),0))</f>
        <v/>
      </c>
      <c r="D1277" t="str">
        <f>IF($J1277="","",IFERROR(COUNTIFS('Weekly Log'!$H:$H,"Y",'Weekly Log'!$A:$A,"&gt;="&amp;$J1277,'Weekly Log'!$A:$A,"&lt;"&amp;$J1277+7)/COUNTIFS('Weekly Log'!$H:$H,"&lt;&gt;",'Weekly Log'!$A:$A,"&gt;="&amp;$J1277,'Weekly Log'!$A:$A,"&lt;"&amp;$J1277+7),0))</f>
        <v/>
      </c>
      <c r="E1277" t="str">
        <f>IF($J1277="","",IFERROR(AVERAGEIFS('Weekly Log'!$F:$F,'Weekly Log'!$A:$A,"&gt;="&amp;$J1277,'Weekly Log'!$A:$A,"&lt;"&amp;$J1277+7),0))</f>
        <v/>
      </c>
      <c r="F1277" t="str">
        <f>IF($J1277="","",IFERROR(SUMIFS('Weekly Log'!$F:$F,'Weekly Log'!$A:$A,"&gt;="&amp;$J1277,'Weekly Log'!$A:$A,"&lt;"&amp;$J1277+7)/SUMIFS('Weekly Log'!$E:$E,'Weekly Log'!$A:$A,"&gt;="&amp;$J1277,'Weekly Log'!$A:$A,"&lt;"&amp;$J1277+7),0))</f>
        <v/>
      </c>
      <c r="G1277" t="str">
        <f>IF($J1277="","",IFERROR(LOOKUP(2,1/(('Weekly Log'!$A$5:$A$5000&gt;=$J1277)*('Weekly Log'!$A$5:$A$5000&lt;$J1277+7)*('Weekly Log'!$M$5:$M$5000&lt;&gt;"")),'Weekly Log'!$M$5:$M$5000),0))</f>
        <v/>
      </c>
      <c r="J1277" t="str">
        <f>IF(COUNT('Weekly Log'!$A$5:$A$5000)=0,"",IF(MIN('Weekly Log'!$A$5:$A$5000)+7*(ROW()-10)&gt;MAX('Weekly Log'!$A$5:$A$5000),"",MIN('Weekly Log'!$A$5:$A$5000)+7*(ROW()-10)))</f>
        <v/>
      </c>
    </row>
    <row r="1278" spans="1:10" x14ac:dyDescent="0.25">
      <c r="A1278" t="str">
        <f t="shared" si="19"/>
        <v/>
      </c>
      <c r="B1278" t="str">
        <f>IF($J1278="","",SUMIFS('Weekly Log'!$C:$C,'Weekly Log'!$A:$A,"&gt;="&amp;$J1278,'Weekly Log'!$A:$A,"&lt;"&amp;$J1278+7))</f>
        <v/>
      </c>
      <c r="C1278" t="str">
        <f>IF($J1278="","",IFERROR(COUNTIFS('Weekly Log'!$G:$G,"Y",'Weekly Log'!$A:$A,"&gt;="&amp;$J1278,'Weekly Log'!$A:$A,"&lt;"&amp;$J1278+7)/COUNTIFS('Weekly Log'!$G:$G,"&lt;&gt;",'Weekly Log'!$A:$A,"&gt;="&amp;$J1278,'Weekly Log'!$A:$A,"&lt;"&amp;$J1278+7),0))</f>
        <v/>
      </c>
      <c r="D1278" t="str">
        <f>IF($J1278="","",IFERROR(COUNTIFS('Weekly Log'!$H:$H,"Y",'Weekly Log'!$A:$A,"&gt;="&amp;$J1278,'Weekly Log'!$A:$A,"&lt;"&amp;$J1278+7)/COUNTIFS('Weekly Log'!$H:$H,"&lt;&gt;",'Weekly Log'!$A:$A,"&gt;="&amp;$J1278,'Weekly Log'!$A:$A,"&lt;"&amp;$J1278+7),0))</f>
        <v/>
      </c>
      <c r="E1278" t="str">
        <f>IF($J1278="","",IFERROR(AVERAGEIFS('Weekly Log'!$F:$F,'Weekly Log'!$A:$A,"&gt;="&amp;$J1278,'Weekly Log'!$A:$A,"&lt;"&amp;$J1278+7),0))</f>
        <v/>
      </c>
      <c r="F1278" t="str">
        <f>IF($J1278="","",IFERROR(SUMIFS('Weekly Log'!$F:$F,'Weekly Log'!$A:$A,"&gt;="&amp;$J1278,'Weekly Log'!$A:$A,"&lt;"&amp;$J1278+7)/SUMIFS('Weekly Log'!$E:$E,'Weekly Log'!$A:$A,"&gt;="&amp;$J1278,'Weekly Log'!$A:$A,"&lt;"&amp;$J1278+7),0))</f>
        <v/>
      </c>
      <c r="G1278" t="str">
        <f>IF($J1278="","",IFERROR(LOOKUP(2,1/(('Weekly Log'!$A$5:$A$5000&gt;=$J1278)*('Weekly Log'!$A$5:$A$5000&lt;$J1278+7)*('Weekly Log'!$M$5:$M$5000&lt;&gt;"")),'Weekly Log'!$M$5:$M$5000),0))</f>
        <v/>
      </c>
      <c r="J1278" t="str">
        <f>IF(COUNT('Weekly Log'!$A$5:$A$5000)=0,"",IF(MIN('Weekly Log'!$A$5:$A$5000)+7*(ROW()-10)&gt;MAX('Weekly Log'!$A$5:$A$5000),"",MIN('Weekly Log'!$A$5:$A$5000)+7*(ROW()-10)))</f>
        <v/>
      </c>
    </row>
    <row r="1279" spans="1:10" x14ac:dyDescent="0.25">
      <c r="A1279" t="str">
        <f t="shared" si="19"/>
        <v/>
      </c>
      <c r="B1279" t="str">
        <f>IF($J1279="","",SUMIFS('Weekly Log'!$C:$C,'Weekly Log'!$A:$A,"&gt;="&amp;$J1279,'Weekly Log'!$A:$A,"&lt;"&amp;$J1279+7))</f>
        <v/>
      </c>
      <c r="C1279" t="str">
        <f>IF($J1279="","",IFERROR(COUNTIFS('Weekly Log'!$G:$G,"Y",'Weekly Log'!$A:$A,"&gt;="&amp;$J1279,'Weekly Log'!$A:$A,"&lt;"&amp;$J1279+7)/COUNTIFS('Weekly Log'!$G:$G,"&lt;&gt;",'Weekly Log'!$A:$A,"&gt;="&amp;$J1279,'Weekly Log'!$A:$A,"&lt;"&amp;$J1279+7),0))</f>
        <v/>
      </c>
      <c r="D1279" t="str">
        <f>IF($J1279="","",IFERROR(COUNTIFS('Weekly Log'!$H:$H,"Y",'Weekly Log'!$A:$A,"&gt;="&amp;$J1279,'Weekly Log'!$A:$A,"&lt;"&amp;$J1279+7)/COUNTIFS('Weekly Log'!$H:$H,"&lt;&gt;",'Weekly Log'!$A:$A,"&gt;="&amp;$J1279,'Weekly Log'!$A:$A,"&lt;"&amp;$J1279+7),0))</f>
        <v/>
      </c>
      <c r="E1279" t="str">
        <f>IF($J1279="","",IFERROR(AVERAGEIFS('Weekly Log'!$F:$F,'Weekly Log'!$A:$A,"&gt;="&amp;$J1279,'Weekly Log'!$A:$A,"&lt;"&amp;$J1279+7),0))</f>
        <v/>
      </c>
      <c r="F1279" t="str">
        <f>IF($J1279="","",IFERROR(SUMIFS('Weekly Log'!$F:$F,'Weekly Log'!$A:$A,"&gt;="&amp;$J1279,'Weekly Log'!$A:$A,"&lt;"&amp;$J1279+7)/SUMIFS('Weekly Log'!$E:$E,'Weekly Log'!$A:$A,"&gt;="&amp;$J1279,'Weekly Log'!$A:$A,"&lt;"&amp;$J1279+7),0))</f>
        <v/>
      </c>
      <c r="G1279" t="str">
        <f>IF($J1279="","",IFERROR(LOOKUP(2,1/(('Weekly Log'!$A$5:$A$5000&gt;=$J1279)*('Weekly Log'!$A$5:$A$5000&lt;$J1279+7)*('Weekly Log'!$M$5:$M$5000&lt;&gt;"")),'Weekly Log'!$M$5:$M$5000),0))</f>
        <v/>
      </c>
      <c r="J1279" t="str">
        <f>IF(COUNT('Weekly Log'!$A$5:$A$5000)=0,"",IF(MIN('Weekly Log'!$A$5:$A$5000)+7*(ROW()-10)&gt;MAX('Weekly Log'!$A$5:$A$5000),"",MIN('Weekly Log'!$A$5:$A$5000)+7*(ROW()-10)))</f>
        <v/>
      </c>
    </row>
    <row r="1280" spans="1:10" x14ac:dyDescent="0.25">
      <c r="A1280" t="str">
        <f t="shared" si="19"/>
        <v/>
      </c>
      <c r="B1280" t="str">
        <f>IF($J1280="","",SUMIFS('Weekly Log'!$C:$C,'Weekly Log'!$A:$A,"&gt;="&amp;$J1280,'Weekly Log'!$A:$A,"&lt;"&amp;$J1280+7))</f>
        <v/>
      </c>
      <c r="C1280" t="str">
        <f>IF($J1280="","",IFERROR(COUNTIFS('Weekly Log'!$G:$G,"Y",'Weekly Log'!$A:$A,"&gt;="&amp;$J1280,'Weekly Log'!$A:$A,"&lt;"&amp;$J1280+7)/COUNTIFS('Weekly Log'!$G:$G,"&lt;&gt;",'Weekly Log'!$A:$A,"&gt;="&amp;$J1280,'Weekly Log'!$A:$A,"&lt;"&amp;$J1280+7),0))</f>
        <v/>
      </c>
      <c r="D1280" t="str">
        <f>IF($J1280="","",IFERROR(COUNTIFS('Weekly Log'!$H:$H,"Y",'Weekly Log'!$A:$A,"&gt;="&amp;$J1280,'Weekly Log'!$A:$A,"&lt;"&amp;$J1280+7)/COUNTIFS('Weekly Log'!$H:$H,"&lt;&gt;",'Weekly Log'!$A:$A,"&gt;="&amp;$J1280,'Weekly Log'!$A:$A,"&lt;"&amp;$J1280+7),0))</f>
        <v/>
      </c>
      <c r="E1280" t="str">
        <f>IF($J1280="","",IFERROR(AVERAGEIFS('Weekly Log'!$F:$F,'Weekly Log'!$A:$A,"&gt;="&amp;$J1280,'Weekly Log'!$A:$A,"&lt;"&amp;$J1280+7),0))</f>
        <v/>
      </c>
      <c r="F1280" t="str">
        <f>IF($J1280="","",IFERROR(SUMIFS('Weekly Log'!$F:$F,'Weekly Log'!$A:$A,"&gt;="&amp;$J1280,'Weekly Log'!$A:$A,"&lt;"&amp;$J1280+7)/SUMIFS('Weekly Log'!$E:$E,'Weekly Log'!$A:$A,"&gt;="&amp;$J1280,'Weekly Log'!$A:$A,"&lt;"&amp;$J1280+7),0))</f>
        <v/>
      </c>
      <c r="G1280" t="str">
        <f>IF($J1280="","",IFERROR(LOOKUP(2,1/(('Weekly Log'!$A$5:$A$5000&gt;=$J1280)*('Weekly Log'!$A$5:$A$5000&lt;$J1280+7)*('Weekly Log'!$M$5:$M$5000&lt;&gt;"")),'Weekly Log'!$M$5:$M$5000),0))</f>
        <v/>
      </c>
      <c r="J1280" t="str">
        <f>IF(COUNT('Weekly Log'!$A$5:$A$5000)=0,"",IF(MIN('Weekly Log'!$A$5:$A$5000)+7*(ROW()-10)&gt;MAX('Weekly Log'!$A$5:$A$5000),"",MIN('Weekly Log'!$A$5:$A$5000)+7*(ROW()-10)))</f>
        <v/>
      </c>
    </row>
    <row r="1281" spans="1:10" x14ac:dyDescent="0.25">
      <c r="A1281" t="str">
        <f t="shared" si="19"/>
        <v/>
      </c>
      <c r="B1281" t="str">
        <f>IF($J1281="","",SUMIFS('Weekly Log'!$C:$C,'Weekly Log'!$A:$A,"&gt;="&amp;$J1281,'Weekly Log'!$A:$A,"&lt;"&amp;$J1281+7))</f>
        <v/>
      </c>
      <c r="C1281" t="str">
        <f>IF($J1281="","",IFERROR(COUNTIFS('Weekly Log'!$G:$G,"Y",'Weekly Log'!$A:$A,"&gt;="&amp;$J1281,'Weekly Log'!$A:$A,"&lt;"&amp;$J1281+7)/COUNTIFS('Weekly Log'!$G:$G,"&lt;&gt;",'Weekly Log'!$A:$A,"&gt;="&amp;$J1281,'Weekly Log'!$A:$A,"&lt;"&amp;$J1281+7),0))</f>
        <v/>
      </c>
      <c r="D1281" t="str">
        <f>IF($J1281="","",IFERROR(COUNTIFS('Weekly Log'!$H:$H,"Y",'Weekly Log'!$A:$A,"&gt;="&amp;$J1281,'Weekly Log'!$A:$A,"&lt;"&amp;$J1281+7)/COUNTIFS('Weekly Log'!$H:$H,"&lt;&gt;",'Weekly Log'!$A:$A,"&gt;="&amp;$J1281,'Weekly Log'!$A:$A,"&lt;"&amp;$J1281+7),0))</f>
        <v/>
      </c>
      <c r="E1281" t="str">
        <f>IF($J1281="","",IFERROR(AVERAGEIFS('Weekly Log'!$F:$F,'Weekly Log'!$A:$A,"&gt;="&amp;$J1281,'Weekly Log'!$A:$A,"&lt;"&amp;$J1281+7),0))</f>
        <v/>
      </c>
      <c r="F1281" t="str">
        <f>IF($J1281="","",IFERROR(SUMIFS('Weekly Log'!$F:$F,'Weekly Log'!$A:$A,"&gt;="&amp;$J1281,'Weekly Log'!$A:$A,"&lt;"&amp;$J1281+7)/SUMIFS('Weekly Log'!$E:$E,'Weekly Log'!$A:$A,"&gt;="&amp;$J1281,'Weekly Log'!$A:$A,"&lt;"&amp;$J1281+7),0))</f>
        <v/>
      </c>
      <c r="G1281" t="str">
        <f>IF($J1281="","",IFERROR(LOOKUP(2,1/(('Weekly Log'!$A$5:$A$5000&gt;=$J1281)*('Weekly Log'!$A$5:$A$5000&lt;$J1281+7)*('Weekly Log'!$M$5:$M$5000&lt;&gt;"")),'Weekly Log'!$M$5:$M$5000),0))</f>
        <v/>
      </c>
      <c r="J1281" t="str">
        <f>IF(COUNT('Weekly Log'!$A$5:$A$5000)=0,"",IF(MIN('Weekly Log'!$A$5:$A$5000)+7*(ROW()-10)&gt;MAX('Weekly Log'!$A$5:$A$5000),"",MIN('Weekly Log'!$A$5:$A$5000)+7*(ROW()-10)))</f>
        <v/>
      </c>
    </row>
    <row r="1282" spans="1:10" x14ac:dyDescent="0.25">
      <c r="A1282" t="str">
        <f t="shared" si="19"/>
        <v/>
      </c>
      <c r="B1282" t="str">
        <f>IF($J1282="","",SUMIFS('Weekly Log'!$C:$C,'Weekly Log'!$A:$A,"&gt;="&amp;$J1282,'Weekly Log'!$A:$A,"&lt;"&amp;$J1282+7))</f>
        <v/>
      </c>
      <c r="C1282" t="str">
        <f>IF($J1282="","",IFERROR(COUNTIFS('Weekly Log'!$G:$G,"Y",'Weekly Log'!$A:$A,"&gt;="&amp;$J1282,'Weekly Log'!$A:$A,"&lt;"&amp;$J1282+7)/COUNTIFS('Weekly Log'!$G:$G,"&lt;&gt;",'Weekly Log'!$A:$A,"&gt;="&amp;$J1282,'Weekly Log'!$A:$A,"&lt;"&amp;$J1282+7),0))</f>
        <v/>
      </c>
      <c r="D1282" t="str">
        <f>IF($J1282="","",IFERROR(COUNTIFS('Weekly Log'!$H:$H,"Y",'Weekly Log'!$A:$A,"&gt;="&amp;$J1282,'Weekly Log'!$A:$A,"&lt;"&amp;$J1282+7)/COUNTIFS('Weekly Log'!$H:$H,"&lt;&gt;",'Weekly Log'!$A:$A,"&gt;="&amp;$J1282,'Weekly Log'!$A:$A,"&lt;"&amp;$J1282+7),0))</f>
        <v/>
      </c>
      <c r="E1282" t="str">
        <f>IF($J1282="","",IFERROR(AVERAGEIFS('Weekly Log'!$F:$F,'Weekly Log'!$A:$A,"&gt;="&amp;$J1282,'Weekly Log'!$A:$A,"&lt;"&amp;$J1282+7),0))</f>
        <v/>
      </c>
      <c r="F1282" t="str">
        <f>IF($J1282="","",IFERROR(SUMIFS('Weekly Log'!$F:$F,'Weekly Log'!$A:$A,"&gt;="&amp;$J1282,'Weekly Log'!$A:$A,"&lt;"&amp;$J1282+7)/SUMIFS('Weekly Log'!$E:$E,'Weekly Log'!$A:$A,"&gt;="&amp;$J1282,'Weekly Log'!$A:$A,"&lt;"&amp;$J1282+7),0))</f>
        <v/>
      </c>
      <c r="G1282" t="str">
        <f>IF($J1282="","",IFERROR(LOOKUP(2,1/(('Weekly Log'!$A$5:$A$5000&gt;=$J1282)*('Weekly Log'!$A$5:$A$5000&lt;$J1282+7)*('Weekly Log'!$M$5:$M$5000&lt;&gt;"")),'Weekly Log'!$M$5:$M$5000),0))</f>
        <v/>
      </c>
      <c r="J1282" t="str">
        <f>IF(COUNT('Weekly Log'!$A$5:$A$5000)=0,"",IF(MIN('Weekly Log'!$A$5:$A$5000)+7*(ROW()-10)&gt;MAX('Weekly Log'!$A$5:$A$5000),"",MIN('Weekly Log'!$A$5:$A$5000)+7*(ROW()-10)))</f>
        <v/>
      </c>
    </row>
    <row r="1283" spans="1:10" x14ac:dyDescent="0.25">
      <c r="A1283" t="str">
        <f t="shared" si="19"/>
        <v/>
      </c>
      <c r="B1283" t="str">
        <f>IF($J1283="","",SUMIFS('Weekly Log'!$C:$C,'Weekly Log'!$A:$A,"&gt;="&amp;$J1283,'Weekly Log'!$A:$A,"&lt;"&amp;$J1283+7))</f>
        <v/>
      </c>
      <c r="C1283" t="str">
        <f>IF($J1283="","",IFERROR(COUNTIFS('Weekly Log'!$G:$G,"Y",'Weekly Log'!$A:$A,"&gt;="&amp;$J1283,'Weekly Log'!$A:$A,"&lt;"&amp;$J1283+7)/COUNTIFS('Weekly Log'!$G:$G,"&lt;&gt;",'Weekly Log'!$A:$A,"&gt;="&amp;$J1283,'Weekly Log'!$A:$A,"&lt;"&amp;$J1283+7),0))</f>
        <v/>
      </c>
      <c r="D1283" t="str">
        <f>IF($J1283="","",IFERROR(COUNTIFS('Weekly Log'!$H:$H,"Y",'Weekly Log'!$A:$A,"&gt;="&amp;$J1283,'Weekly Log'!$A:$A,"&lt;"&amp;$J1283+7)/COUNTIFS('Weekly Log'!$H:$H,"&lt;&gt;",'Weekly Log'!$A:$A,"&gt;="&amp;$J1283,'Weekly Log'!$A:$A,"&lt;"&amp;$J1283+7),0))</f>
        <v/>
      </c>
      <c r="E1283" t="str">
        <f>IF($J1283="","",IFERROR(AVERAGEIFS('Weekly Log'!$F:$F,'Weekly Log'!$A:$A,"&gt;="&amp;$J1283,'Weekly Log'!$A:$A,"&lt;"&amp;$J1283+7),0))</f>
        <v/>
      </c>
      <c r="F1283" t="str">
        <f>IF($J1283="","",IFERROR(SUMIFS('Weekly Log'!$F:$F,'Weekly Log'!$A:$A,"&gt;="&amp;$J1283,'Weekly Log'!$A:$A,"&lt;"&amp;$J1283+7)/SUMIFS('Weekly Log'!$E:$E,'Weekly Log'!$A:$A,"&gt;="&amp;$J1283,'Weekly Log'!$A:$A,"&lt;"&amp;$J1283+7),0))</f>
        <v/>
      </c>
      <c r="G1283" t="str">
        <f>IF($J1283="","",IFERROR(LOOKUP(2,1/(('Weekly Log'!$A$5:$A$5000&gt;=$J1283)*('Weekly Log'!$A$5:$A$5000&lt;$J1283+7)*('Weekly Log'!$M$5:$M$5000&lt;&gt;"")),'Weekly Log'!$M$5:$M$5000),0))</f>
        <v/>
      </c>
      <c r="J1283" t="str">
        <f>IF(COUNT('Weekly Log'!$A$5:$A$5000)=0,"",IF(MIN('Weekly Log'!$A$5:$A$5000)+7*(ROW()-10)&gt;MAX('Weekly Log'!$A$5:$A$5000),"",MIN('Weekly Log'!$A$5:$A$5000)+7*(ROW()-10)))</f>
        <v/>
      </c>
    </row>
    <row r="1284" spans="1:10" x14ac:dyDescent="0.25">
      <c r="A1284" t="str">
        <f t="shared" si="19"/>
        <v/>
      </c>
      <c r="B1284" t="str">
        <f>IF($J1284="","",SUMIFS('Weekly Log'!$C:$C,'Weekly Log'!$A:$A,"&gt;="&amp;$J1284,'Weekly Log'!$A:$A,"&lt;"&amp;$J1284+7))</f>
        <v/>
      </c>
      <c r="C1284" t="str">
        <f>IF($J1284="","",IFERROR(COUNTIFS('Weekly Log'!$G:$G,"Y",'Weekly Log'!$A:$A,"&gt;="&amp;$J1284,'Weekly Log'!$A:$A,"&lt;"&amp;$J1284+7)/COUNTIFS('Weekly Log'!$G:$G,"&lt;&gt;",'Weekly Log'!$A:$A,"&gt;="&amp;$J1284,'Weekly Log'!$A:$A,"&lt;"&amp;$J1284+7),0))</f>
        <v/>
      </c>
      <c r="D1284" t="str">
        <f>IF($J1284="","",IFERROR(COUNTIFS('Weekly Log'!$H:$H,"Y",'Weekly Log'!$A:$A,"&gt;="&amp;$J1284,'Weekly Log'!$A:$A,"&lt;"&amp;$J1284+7)/COUNTIFS('Weekly Log'!$H:$H,"&lt;&gt;",'Weekly Log'!$A:$A,"&gt;="&amp;$J1284,'Weekly Log'!$A:$A,"&lt;"&amp;$J1284+7),0))</f>
        <v/>
      </c>
      <c r="E1284" t="str">
        <f>IF($J1284="","",IFERROR(AVERAGEIFS('Weekly Log'!$F:$F,'Weekly Log'!$A:$A,"&gt;="&amp;$J1284,'Weekly Log'!$A:$A,"&lt;"&amp;$J1284+7),0))</f>
        <v/>
      </c>
      <c r="F1284" t="str">
        <f>IF($J1284="","",IFERROR(SUMIFS('Weekly Log'!$F:$F,'Weekly Log'!$A:$A,"&gt;="&amp;$J1284,'Weekly Log'!$A:$A,"&lt;"&amp;$J1284+7)/SUMIFS('Weekly Log'!$E:$E,'Weekly Log'!$A:$A,"&gt;="&amp;$J1284,'Weekly Log'!$A:$A,"&lt;"&amp;$J1284+7),0))</f>
        <v/>
      </c>
      <c r="G1284" t="str">
        <f>IF($J1284="","",IFERROR(LOOKUP(2,1/(('Weekly Log'!$A$5:$A$5000&gt;=$J1284)*('Weekly Log'!$A$5:$A$5000&lt;$J1284+7)*('Weekly Log'!$M$5:$M$5000&lt;&gt;"")),'Weekly Log'!$M$5:$M$5000),0))</f>
        <v/>
      </c>
      <c r="J1284" t="str">
        <f>IF(COUNT('Weekly Log'!$A$5:$A$5000)=0,"",IF(MIN('Weekly Log'!$A$5:$A$5000)+7*(ROW()-10)&gt;MAX('Weekly Log'!$A$5:$A$5000),"",MIN('Weekly Log'!$A$5:$A$5000)+7*(ROW()-10)))</f>
        <v/>
      </c>
    </row>
    <row r="1285" spans="1:10" x14ac:dyDescent="0.25">
      <c r="A1285" t="str">
        <f t="shared" si="19"/>
        <v/>
      </c>
      <c r="B1285" t="str">
        <f>IF($J1285="","",SUMIFS('Weekly Log'!$C:$C,'Weekly Log'!$A:$A,"&gt;="&amp;$J1285,'Weekly Log'!$A:$A,"&lt;"&amp;$J1285+7))</f>
        <v/>
      </c>
      <c r="C1285" t="str">
        <f>IF($J1285="","",IFERROR(COUNTIFS('Weekly Log'!$G:$G,"Y",'Weekly Log'!$A:$A,"&gt;="&amp;$J1285,'Weekly Log'!$A:$A,"&lt;"&amp;$J1285+7)/COUNTIFS('Weekly Log'!$G:$G,"&lt;&gt;",'Weekly Log'!$A:$A,"&gt;="&amp;$J1285,'Weekly Log'!$A:$A,"&lt;"&amp;$J1285+7),0))</f>
        <v/>
      </c>
      <c r="D1285" t="str">
        <f>IF($J1285="","",IFERROR(COUNTIFS('Weekly Log'!$H:$H,"Y",'Weekly Log'!$A:$A,"&gt;="&amp;$J1285,'Weekly Log'!$A:$A,"&lt;"&amp;$J1285+7)/COUNTIFS('Weekly Log'!$H:$H,"&lt;&gt;",'Weekly Log'!$A:$A,"&gt;="&amp;$J1285,'Weekly Log'!$A:$A,"&lt;"&amp;$J1285+7),0))</f>
        <v/>
      </c>
      <c r="E1285" t="str">
        <f>IF($J1285="","",IFERROR(AVERAGEIFS('Weekly Log'!$F:$F,'Weekly Log'!$A:$A,"&gt;="&amp;$J1285,'Weekly Log'!$A:$A,"&lt;"&amp;$J1285+7),0))</f>
        <v/>
      </c>
      <c r="F1285" t="str">
        <f>IF($J1285="","",IFERROR(SUMIFS('Weekly Log'!$F:$F,'Weekly Log'!$A:$A,"&gt;="&amp;$J1285,'Weekly Log'!$A:$A,"&lt;"&amp;$J1285+7)/SUMIFS('Weekly Log'!$E:$E,'Weekly Log'!$A:$A,"&gt;="&amp;$J1285,'Weekly Log'!$A:$A,"&lt;"&amp;$J1285+7),0))</f>
        <v/>
      </c>
      <c r="G1285" t="str">
        <f>IF($J1285="","",IFERROR(LOOKUP(2,1/(('Weekly Log'!$A$5:$A$5000&gt;=$J1285)*('Weekly Log'!$A$5:$A$5000&lt;$J1285+7)*('Weekly Log'!$M$5:$M$5000&lt;&gt;"")),'Weekly Log'!$M$5:$M$5000),0))</f>
        <v/>
      </c>
      <c r="J1285" t="str">
        <f>IF(COUNT('Weekly Log'!$A$5:$A$5000)=0,"",IF(MIN('Weekly Log'!$A$5:$A$5000)+7*(ROW()-10)&gt;MAX('Weekly Log'!$A$5:$A$5000),"",MIN('Weekly Log'!$A$5:$A$5000)+7*(ROW()-10)))</f>
        <v/>
      </c>
    </row>
    <row r="1286" spans="1:10" x14ac:dyDescent="0.25">
      <c r="A1286" t="str">
        <f t="shared" si="19"/>
        <v/>
      </c>
      <c r="B1286" t="str">
        <f>IF($J1286="","",SUMIFS('Weekly Log'!$C:$C,'Weekly Log'!$A:$A,"&gt;="&amp;$J1286,'Weekly Log'!$A:$A,"&lt;"&amp;$J1286+7))</f>
        <v/>
      </c>
      <c r="C1286" t="str">
        <f>IF($J1286="","",IFERROR(COUNTIFS('Weekly Log'!$G:$G,"Y",'Weekly Log'!$A:$A,"&gt;="&amp;$J1286,'Weekly Log'!$A:$A,"&lt;"&amp;$J1286+7)/COUNTIFS('Weekly Log'!$G:$G,"&lt;&gt;",'Weekly Log'!$A:$A,"&gt;="&amp;$J1286,'Weekly Log'!$A:$A,"&lt;"&amp;$J1286+7),0))</f>
        <v/>
      </c>
      <c r="D1286" t="str">
        <f>IF($J1286="","",IFERROR(COUNTIFS('Weekly Log'!$H:$H,"Y",'Weekly Log'!$A:$A,"&gt;="&amp;$J1286,'Weekly Log'!$A:$A,"&lt;"&amp;$J1286+7)/COUNTIFS('Weekly Log'!$H:$H,"&lt;&gt;",'Weekly Log'!$A:$A,"&gt;="&amp;$J1286,'Weekly Log'!$A:$A,"&lt;"&amp;$J1286+7),0))</f>
        <v/>
      </c>
      <c r="E1286" t="str">
        <f>IF($J1286="","",IFERROR(AVERAGEIFS('Weekly Log'!$F:$F,'Weekly Log'!$A:$A,"&gt;="&amp;$J1286,'Weekly Log'!$A:$A,"&lt;"&amp;$J1286+7),0))</f>
        <v/>
      </c>
      <c r="F1286" t="str">
        <f>IF($J1286="","",IFERROR(SUMIFS('Weekly Log'!$F:$F,'Weekly Log'!$A:$A,"&gt;="&amp;$J1286,'Weekly Log'!$A:$A,"&lt;"&amp;$J1286+7)/SUMIFS('Weekly Log'!$E:$E,'Weekly Log'!$A:$A,"&gt;="&amp;$J1286,'Weekly Log'!$A:$A,"&lt;"&amp;$J1286+7),0))</f>
        <v/>
      </c>
      <c r="G1286" t="str">
        <f>IF($J1286="","",IFERROR(LOOKUP(2,1/(('Weekly Log'!$A$5:$A$5000&gt;=$J1286)*('Weekly Log'!$A$5:$A$5000&lt;$J1286+7)*('Weekly Log'!$M$5:$M$5000&lt;&gt;"")),'Weekly Log'!$M$5:$M$5000),0))</f>
        <v/>
      </c>
      <c r="J1286" t="str">
        <f>IF(COUNT('Weekly Log'!$A$5:$A$5000)=0,"",IF(MIN('Weekly Log'!$A$5:$A$5000)+7*(ROW()-10)&gt;MAX('Weekly Log'!$A$5:$A$5000),"",MIN('Weekly Log'!$A$5:$A$5000)+7*(ROW()-10)))</f>
        <v/>
      </c>
    </row>
    <row r="1287" spans="1:10" x14ac:dyDescent="0.25">
      <c r="A1287" t="str">
        <f t="shared" si="19"/>
        <v/>
      </c>
      <c r="B1287" t="str">
        <f>IF($J1287="","",SUMIFS('Weekly Log'!$C:$C,'Weekly Log'!$A:$A,"&gt;="&amp;$J1287,'Weekly Log'!$A:$A,"&lt;"&amp;$J1287+7))</f>
        <v/>
      </c>
      <c r="C1287" t="str">
        <f>IF($J1287="","",IFERROR(COUNTIFS('Weekly Log'!$G:$G,"Y",'Weekly Log'!$A:$A,"&gt;="&amp;$J1287,'Weekly Log'!$A:$A,"&lt;"&amp;$J1287+7)/COUNTIFS('Weekly Log'!$G:$G,"&lt;&gt;",'Weekly Log'!$A:$A,"&gt;="&amp;$J1287,'Weekly Log'!$A:$A,"&lt;"&amp;$J1287+7),0))</f>
        <v/>
      </c>
      <c r="D1287" t="str">
        <f>IF($J1287="","",IFERROR(COUNTIFS('Weekly Log'!$H:$H,"Y",'Weekly Log'!$A:$A,"&gt;="&amp;$J1287,'Weekly Log'!$A:$A,"&lt;"&amp;$J1287+7)/COUNTIFS('Weekly Log'!$H:$H,"&lt;&gt;",'Weekly Log'!$A:$A,"&gt;="&amp;$J1287,'Weekly Log'!$A:$A,"&lt;"&amp;$J1287+7),0))</f>
        <v/>
      </c>
      <c r="E1287" t="str">
        <f>IF($J1287="","",IFERROR(AVERAGEIFS('Weekly Log'!$F:$F,'Weekly Log'!$A:$A,"&gt;="&amp;$J1287,'Weekly Log'!$A:$A,"&lt;"&amp;$J1287+7),0))</f>
        <v/>
      </c>
      <c r="F1287" t="str">
        <f>IF($J1287="","",IFERROR(SUMIFS('Weekly Log'!$F:$F,'Weekly Log'!$A:$A,"&gt;="&amp;$J1287,'Weekly Log'!$A:$A,"&lt;"&amp;$J1287+7)/SUMIFS('Weekly Log'!$E:$E,'Weekly Log'!$A:$A,"&gt;="&amp;$J1287,'Weekly Log'!$A:$A,"&lt;"&amp;$J1287+7),0))</f>
        <v/>
      </c>
      <c r="G1287" t="str">
        <f>IF($J1287="","",IFERROR(LOOKUP(2,1/(('Weekly Log'!$A$5:$A$5000&gt;=$J1287)*('Weekly Log'!$A$5:$A$5000&lt;$J1287+7)*('Weekly Log'!$M$5:$M$5000&lt;&gt;"")),'Weekly Log'!$M$5:$M$5000),0))</f>
        <v/>
      </c>
      <c r="J1287" t="str">
        <f>IF(COUNT('Weekly Log'!$A$5:$A$5000)=0,"",IF(MIN('Weekly Log'!$A$5:$A$5000)+7*(ROW()-10)&gt;MAX('Weekly Log'!$A$5:$A$5000),"",MIN('Weekly Log'!$A$5:$A$5000)+7*(ROW()-10)))</f>
        <v/>
      </c>
    </row>
    <row r="1288" spans="1:10" x14ac:dyDescent="0.25">
      <c r="A1288" t="str">
        <f t="shared" si="19"/>
        <v/>
      </c>
      <c r="B1288" t="str">
        <f>IF($J1288="","",SUMIFS('Weekly Log'!$C:$C,'Weekly Log'!$A:$A,"&gt;="&amp;$J1288,'Weekly Log'!$A:$A,"&lt;"&amp;$J1288+7))</f>
        <v/>
      </c>
      <c r="C1288" t="str">
        <f>IF($J1288="","",IFERROR(COUNTIFS('Weekly Log'!$G:$G,"Y",'Weekly Log'!$A:$A,"&gt;="&amp;$J1288,'Weekly Log'!$A:$A,"&lt;"&amp;$J1288+7)/COUNTIFS('Weekly Log'!$G:$G,"&lt;&gt;",'Weekly Log'!$A:$A,"&gt;="&amp;$J1288,'Weekly Log'!$A:$A,"&lt;"&amp;$J1288+7),0))</f>
        <v/>
      </c>
      <c r="D1288" t="str">
        <f>IF($J1288="","",IFERROR(COUNTIFS('Weekly Log'!$H:$H,"Y",'Weekly Log'!$A:$A,"&gt;="&amp;$J1288,'Weekly Log'!$A:$A,"&lt;"&amp;$J1288+7)/COUNTIFS('Weekly Log'!$H:$H,"&lt;&gt;",'Weekly Log'!$A:$A,"&gt;="&amp;$J1288,'Weekly Log'!$A:$A,"&lt;"&amp;$J1288+7),0))</f>
        <v/>
      </c>
      <c r="E1288" t="str">
        <f>IF($J1288="","",IFERROR(AVERAGEIFS('Weekly Log'!$F:$F,'Weekly Log'!$A:$A,"&gt;="&amp;$J1288,'Weekly Log'!$A:$A,"&lt;"&amp;$J1288+7),0))</f>
        <v/>
      </c>
      <c r="F1288" t="str">
        <f>IF($J1288="","",IFERROR(SUMIFS('Weekly Log'!$F:$F,'Weekly Log'!$A:$A,"&gt;="&amp;$J1288,'Weekly Log'!$A:$A,"&lt;"&amp;$J1288+7)/SUMIFS('Weekly Log'!$E:$E,'Weekly Log'!$A:$A,"&gt;="&amp;$J1288,'Weekly Log'!$A:$A,"&lt;"&amp;$J1288+7),0))</f>
        <v/>
      </c>
      <c r="G1288" t="str">
        <f>IF($J1288="","",IFERROR(LOOKUP(2,1/(('Weekly Log'!$A$5:$A$5000&gt;=$J1288)*('Weekly Log'!$A$5:$A$5000&lt;$J1288+7)*('Weekly Log'!$M$5:$M$5000&lt;&gt;"")),'Weekly Log'!$M$5:$M$5000),0))</f>
        <v/>
      </c>
      <c r="J1288" t="str">
        <f>IF(COUNT('Weekly Log'!$A$5:$A$5000)=0,"",IF(MIN('Weekly Log'!$A$5:$A$5000)+7*(ROW()-10)&gt;MAX('Weekly Log'!$A$5:$A$5000),"",MIN('Weekly Log'!$A$5:$A$5000)+7*(ROW()-10)))</f>
        <v/>
      </c>
    </row>
    <row r="1289" spans="1:10" x14ac:dyDescent="0.25">
      <c r="A1289" t="str">
        <f t="shared" si="19"/>
        <v/>
      </c>
      <c r="B1289" t="str">
        <f>IF($J1289="","",SUMIFS('Weekly Log'!$C:$C,'Weekly Log'!$A:$A,"&gt;="&amp;$J1289,'Weekly Log'!$A:$A,"&lt;"&amp;$J1289+7))</f>
        <v/>
      </c>
      <c r="C1289" t="str">
        <f>IF($J1289="","",IFERROR(COUNTIFS('Weekly Log'!$G:$G,"Y",'Weekly Log'!$A:$A,"&gt;="&amp;$J1289,'Weekly Log'!$A:$A,"&lt;"&amp;$J1289+7)/COUNTIFS('Weekly Log'!$G:$G,"&lt;&gt;",'Weekly Log'!$A:$A,"&gt;="&amp;$J1289,'Weekly Log'!$A:$A,"&lt;"&amp;$J1289+7),0))</f>
        <v/>
      </c>
      <c r="D1289" t="str">
        <f>IF($J1289="","",IFERROR(COUNTIFS('Weekly Log'!$H:$H,"Y",'Weekly Log'!$A:$A,"&gt;="&amp;$J1289,'Weekly Log'!$A:$A,"&lt;"&amp;$J1289+7)/COUNTIFS('Weekly Log'!$H:$H,"&lt;&gt;",'Weekly Log'!$A:$A,"&gt;="&amp;$J1289,'Weekly Log'!$A:$A,"&lt;"&amp;$J1289+7),0))</f>
        <v/>
      </c>
      <c r="E1289" t="str">
        <f>IF($J1289="","",IFERROR(AVERAGEIFS('Weekly Log'!$F:$F,'Weekly Log'!$A:$A,"&gt;="&amp;$J1289,'Weekly Log'!$A:$A,"&lt;"&amp;$J1289+7),0))</f>
        <v/>
      </c>
      <c r="F1289" t="str">
        <f>IF($J1289="","",IFERROR(SUMIFS('Weekly Log'!$F:$F,'Weekly Log'!$A:$A,"&gt;="&amp;$J1289,'Weekly Log'!$A:$A,"&lt;"&amp;$J1289+7)/SUMIFS('Weekly Log'!$E:$E,'Weekly Log'!$A:$A,"&gt;="&amp;$J1289,'Weekly Log'!$A:$A,"&lt;"&amp;$J1289+7),0))</f>
        <v/>
      </c>
      <c r="G1289" t="str">
        <f>IF($J1289="","",IFERROR(LOOKUP(2,1/(('Weekly Log'!$A$5:$A$5000&gt;=$J1289)*('Weekly Log'!$A$5:$A$5000&lt;$J1289+7)*('Weekly Log'!$M$5:$M$5000&lt;&gt;"")),'Weekly Log'!$M$5:$M$5000),0))</f>
        <v/>
      </c>
      <c r="J1289" t="str">
        <f>IF(COUNT('Weekly Log'!$A$5:$A$5000)=0,"",IF(MIN('Weekly Log'!$A$5:$A$5000)+7*(ROW()-10)&gt;MAX('Weekly Log'!$A$5:$A$5000),"",MIN('Weekly Log'!$A$5:$A$5000)+7*(ROW()-10)))</f>
        <v/>
      </c>
    </row>
    <row r="1290" spans="1:10" x14ac:dyDescent="0.25">
      <c r="A1290" t="str">
        <f t="shared" ref="A1290:A1353" si="20">IF($J1290="","",YEAR($J1290-WEEKDAY($J1290,2)+4)&amp;"-W"&amp;TEXT(WEEKNUM($J1290,21),"00"))</f>
        <v/>
      </c>
      <c r="B1290" t="str">
        <f>IF($J1290="","",SUMIFS('Weekly Log'!$C:$C,'Weekly Log'!$A:$A,"&gt;="&amp;$J1290,'Weekly Log'!$A:$A,"&lt;"&amp;$J1290+7))</f>
        <v/>
      </c>
      <c r="C1290" t="str">
        <f>IF($J1290="","",IFERROR(COUNTIFS('Weekly Log'!$G:$G,"Y",'Weekly Log'!$A:$A,"&gt;="&amp;$J1290,'Weekly Log'!$A:$A,"&lt;"&amp;$J1290+7)/COUNTIFS('Weekly Log'!$G:$G,"&lt;&gt;",'Weekly Log'!$A:$A,"&gt;="&amp;$J1290,'Weekly Log'!$A:$A,"&lt;"&amp;$J1290+7),0))</f>
        <v/>
      </c>
      <c r="D1290" t="str">
        <f>IF($J1290="","",IFERROR(COUNTIFS('Weekly Log'!$H:$H,"Y",'Weekly Log'!$A:$A,"&gt;="&amp;$J1290,'Weekly Log'!$A:$A,"&lt;"&amp;$J1290+7)/COUNTIFS('Weekly Log'!$H:$H,"&lt;&gt;",'Weekly Log'!$A:$A,"&gt;="&amp;$J1290,'Weekly Log'!$A:$A,"&lt;"&amp;$J1290+7),0))</f>
        <v/>
      </c>
      <c r="E1290" t="str">
        <f>IF($J1290="","",IFERROR(AVERAGEIFS('Weekly Log'!$F:$F,'Weekly Log'!$A:$A,"&gt;="&amp;$J1290,'Weekly Log'!$A:$A,"&lt;"&amp;$J1290+7),0))</f>
        <v/>
      </c>
      <c r="F1290" t="str">
        <f>IF($J1290="","",IFERROR(SUMIFS('Weekly Log'!$F:$F,'Weekly Log'!$A:$A,"&gt;="&amp;$J1290,'Weekly Log'!$A:$A,"&lt;"&amp;$J1290+7)/SUMIFS('Weekly Log'!$E:$E,'Weekly Log'!$A:$A,"&gt;="&amp;$J1290,'Weekly Log'!$A:$A,"&lt;"&amp;$J1290+7),0))</f>
        <v/>
      </c>
      <c r="G1290" t="str">
        <f>IF($J1290="","",IFERROR(LOOKUP(2,1/(('Weekly Log'!$A$5:$A$5000&gt;=$J1290)*('Weekly Log'!$A$5:$A$5000&lt;$J1290+7)*('Weekly Log'!$M$5:$M$5000&lt;&gt;"")),'Weekly Log'!$M$5:$M$5000),0))</f>
        <v/>
      </c>
      <c r="J1290" t="str">
        <f>IF(COUNT('Weekly Log'!$A$5:$A$5000)=0,"",IF(MIN('Weekly Log'!$A$5:$A$5000)+7*(ROW()-10)&gt;MAX('Weekly Log'!$A$5:$A$5000),"",MIN('Weekly Log'!$A$5:$A$5000)+7*(ROW()-10)))</f>
        <v/>
      </c>
    </row>
    <row r="1291" spans="1:10" x14ac:dyDescent="0.25">
      <c r="A1291" t="str">
        <f t="shared" si="20"/>
        <v/>
      </c>
      <c r="B1291" t="str">
        <f>IF($J1291="","",SUMIFS('Weekly Log'!$C:$C,'Weekly Log'!$A:$A,"&gt;="&amp;$J1291,'Weekly Log'!$A:$A,"&lt;"&amp;$J1291+7))</f>
        <v/>
      </c>
      <c r="C1291" t="str">
        <f>IF($J1291="","",IFERROR(COUNTIFS('Weekly Log'!$G:$G,"Y",'Weekly Log'!$A:$A,"&gt;="&amp;$J1291,'Weekly Log'!$A:$A,"&lt;"&amp;$J1291+7)/COUNTIFS('Weekly Log'!$G:$G,"&lt;&gt;",'Weekly Log'!$A:$A,"&gt;="&amp;$J1291,'Weekly Log'!$A:$A,"&lt;"&amp;$J1291+7),0))</f>
        <v/>
      </c>
      <c r="D1291" t="str">
        <f>IF($J1291="","",IFERROR(COUNTIFS('Weekly Log'!$H:$H,"Y",'Weekly Log'!$A:$A,"&gt;="&amp;$J1291,'Weekly Log'!$A:$A,"&lt;"&amp;$J1291+7)/COUNTIFS('Weekly Log'!$H:$H,"&lt;&gt;",'Weekly Log'!$A:$A,"&gt;="&amp;$J1291,'Weekly Log'!$A:$A,"&lt;"&amp;$J1291+7),0))</f>
        <v/>
      </c>
      <c r="E1291" t="str">
        <f>IF($J1291="","",IFERROR(AVERAGEIFS('Weekly Log'!$F:$F,'Weekly Log'!$A:$A,"&gt;="&amp;$J1291,'Weekly Log'!$A:$A,"&lt;"&amp;$J1291+7),0))</f>
        <v/>
      </c>
      <c r="F1291" t="str">
        <f>IF($J1291="","",IFERROR(SUMIFS('Weekly Log'!$F:$F,'Weekly Log'!$A:$A,"&gt;="&amp;$J1291,'Weekly Log'!$A:$A,"&lt;"&amp;$J1291+7)/SUMIFS('Weekly Log'!$E:$E,'Weekly Log'!$A:$A,"&gt;="&amp;$J1291,'Weekly Log'!$A:$A,"&lt;"&amp;$J1291+7),0))</f>
        <v/>
      </c>
      <c r="G1291" t="str">
        <f>IF($J1291="","",IFERROR(LOOKUP(2,1/(('Weekly Log'!$A$5:$A$5000&gt;=$J1291)*('Weekly Log'!$A$5:$A$5000&lt;$J1291+7)*('Weekly Log'!$M$5:$M$5000&lt;&gt;"")),'Weekly Log'!$M$5:$M$5000),0))</f>
        <v/>
      </c>
      <c r="J1291" t="str">
        <f>IF(COUNT('Weekly Log'!$A$5:$A$5000)=0,"",IF(MIN('Weekly Log'!$A$5:$A$5000)+7*(ROW()-10)&gt;MAX('Weekly Log'!$A$5:$A$5000),"",MIN('Weekly Log'!$A$5:$A$5000)+7*(ROW()-10)))</f>
        <v/>
      </c>
    </row>
    <row r="1292" spans="1:10" x14ac:dyDescent="0.25">
      <c r="A1292" t="str">
        <f t="shared" si="20"/>
        <v/>
      </c>
      <c r="B1292" t="str">
        <f>IF($J1292="","",SUMIFS('Weekly Log'!$C:$C,'Weekly Log'!$A:$A,"&gt;="&amp;$J1292,'Weekly Log'!$A:$A,"&lt;"&amp;$J1292+7))</f>
        <v/>
      </c>
      <c r="C1292" t="str">
        <f>IF($J1292="","",IFERROR(COUNTIFS('Weekly Log'!$G:$G,"Y",'Weekly Log'!$A:$A,"&gt;="&amp;$J1292,'Weekly Log'!$A:$A,"&lt;"&amp;$J1292+7)/COUNTIFS('Weekly Log'!$G:$G,"&lt;&gt;",'Weekly Log'!$A:$A,"&gt;="&amp;$J1292,'Weekly Log'!$A:$A,"&lt;"&amp;$J1292+7),0))</f>
        <v/>
      </c>
      <c r="D1292" t="str">
        <f>IF($J1292="","",IFERROR(COUNTIFS('Weekly Log'!$H:$H,"Y",'Weekly Log'!$A:$A,"&gt;="&amp;$J1292,'Weekly Log'!$A:$A,"&lt;"&amp;$J1292+7)/COUNTIFS('Weekly Log'!$H:$H,"&lt;&gt;",'Weekly Log'!$A:$A,"&gt;="&amp;$J1292,'Weekly Log'!$A:$A,"&lt;"&amp;$J1292+7),0))</f>
        <v/>
      </c>
      <c r="E1292" t="str">
        <f>IF($J1292="","",IFERROR(AVERAGEIFS('Weekly Log'!$F:$F,'Weekly Log'!$A:$A,"&gt;="&amp;$J1292,'Weekly Log'!$A:$A,"&lt;"&amp;$J1292+7),0))</f>
        <v/>
      </c>
      <c r="F1292" t="str">
        <f>IF($J1292="","",IFERROR(SUMIFS('Weekly Log'!$F:$F,'Weekly Log'!$A:$A,"&gt;="&amp;$J1292,'Weekly Log'!$A:$A,"&lt;"&amp;$J1292+7)/SUMIFS('Weekly Log'!$E:$E,'Weekly Log'!$A:$A,"&gt;="&amp;$J1292,'Weekly Log'!$A:$A,"&lt;"&amp;$J1292+7),0))</f>
        <v/>
      </c>
      <c r="G1292" t="str">
        <f>IF($J1292="","",IFERROR(LOOKUP(2,1/(('Weekly Log'!$A$5:$A$5000&gt;=$J1292)*('Weekly Log'!$A$5:$A$5000&lt;$J1292+7)*('Weekly Log'!$M$5:$M$5000&lt;&gt;"")),'Weekly Log'!$M$5:$M$5000),0))</f>
        <v/>
      </c>
      <c r="J1292" t="str">
        <f>IF(COUNT('Weekly Log'!$A$5:$A$5000)=0,"",IF(MIN('Weekly Log'!$A$5:$A$5000)+7*(ROW()-10)&gt;MAX('Weekly Log'!$A$5:$A$5000),"",MIN('Weekly Log'!$A$5:$A$5000)+7*(ROW()-10)))</f>
        <v/>
      </c>
    </row>
    <row r="1293" spans="1:10" x14ac:dyDescent="0.25">
      <c r="A1293" t="str">
        <f t="shared" si="20"/>
        <v/>
      </c>
      <c r="B1293" t="str">
        <f>IF($J1293="","",SUMIFS('Weekly Log'!$C:$C,'Weekly Log'!$A:$A,"&gt;="&amp;$J1293,'Weekly Log'!$A:$A,"&lt;"&amp;$J1293+7))</f>
        <v/>
      </c>
      <c r="C1293" t="str">
        <f>IF($J1293="","",IFERROR(COUNTIFS('Weekly Log'!$G:$G,"Y",'Weekly Log'!$A:$A,"&gt;="&amp;$J1293,'Weekly Log'!$A:$A,"&lt;"&amp;$J1293+7)/COUNTIFS('Weekly Log'!$G:$G,"&lt;&gt;",'Weekly Log'!$A:$A,"&gt;="&amp;$J1293,'Weekly Log'!$A:$A,"&lt;"&amp;$J1293+7),0))</f>
        <v/>
      </c>
      <c r="D1293" t="str">
        <f>IF($J1293="","",IFERROR(COUNTIFS('Weekly Log'!$H:$H,"Y",'Weekly Log'!$A:$A,"&gt;="&amp;$J1293,'Weekly Log'!$A:$A,"&lt;"&amp;$J1293+7)/COUNTIFS('Weekly Log'!$H:$H,"&lt;&gt;",'Weekly Log'!$A:$A,"&gt;="&amp;$J1293,'Weekly Log'!$A:$A,"&lt;"&amp;$J1293+7),0))</f>
        <v/>
      </c>
      <c r="E1293" t="str">
        <f>IF($J1293="","",IFERROR(AVERAGEIFS('Weekly Log'!$F:$F,'Weekly Log'!$A:$A,"&gt;="&amp;$J1293,'Weekly Log'!$A:$A,"&lt;"&amp;$J1293+7),0))</f>
        <v/>
      </c>
      <c r="F1293" t="str">
        <f>IF($J1293="","",IFERROR(SUMIFS('Weekly Log'!$F:$F,'Weekly Log'!$A:$A,"&gt;="&amp;$J1293,'Weekly Log'!$A:$A,"&lt;"&amp;$J1293+7)/SUMIFS('Weekly Log'!$E:$E,'Weekly Log'!$A:$A,"&gt;="&amp;$J1293,'Weekly Log'!$A:$A,"&lt;"&amp;$J1293+7),0))</f>
        <v/>
      </c>
      <c r="G1293" t="str">
        <f>IF($J1293="","",IFERROR(LOOKUP(2,1/(('Weekly Log'!$A$5:$A$5000&gt;=$J1293)*('Weekly Log'!$A$5:$A$5000&lt;$J1293+7)*('Weekly Log'!$M$5:$M$5000&lt;&gt;"")),'Weekly Log'!$M$5:$M$5000),0))</f>
        <v/>
      </c>
      <c r="J1293" t="str">
        <f>IF(COUNT('Weekly Log'!$A$5:$A$5000)=0,"",IF(MIN('Weekly Log'!$A$5:$A$5000)+7*(ROW()-10)&gt;MAX('Weekly Log'!$A$5:$A$5000),"",MIN('Weekly Log'!$A$5:$A$5000)+7*(ROW()-10)))</f>
        <v/>
      </c>
    </row>
    <row r="1294" spans="1:10" x14ac:dyDescent="0.25">
      <c r="A1294" t="str">
        <f t="shared" si="20"/>
        <v/>
      </c>
      <c r="B1294" t="str">
        <f>IF($J1294="","",SUMIFS('Weekly Log'!$C:$C,'Weekly Log'!$A:$A,"&gt;="&amp;$J1294,'Weekly Log'!$A:$A,"&lt;"&amp;$J1294+7))</f>
        <v/>
      </c>
      <c r="C1294" t="str">
        <f>IF($J1294="","",IFERROR(COUNTIFS('Weekly Log'!$G:$G,"Y",'Weekly Log'!$A:$A,"&gt;="&amp;$J1294,'Weekly Log'!$A:$A,"&lt;"&amp;$J1294+7)/COUNTIFS('Weekly Log'!$G:$G,"&lt;&gt;",'Weekly Log'!$A:$A,"&gt;="&amp;$J1294,'Weekly Log'!$A:$A,"&lt;"&amp;$J1294+7),0))</f>
        <v/>
      </c>
      <c r="D1294" t="str">
        <f>IF($J1294="","",IFERROR(COUNTIFS('Weekly Log'!$H:$H,"Y",'Weekly Log'!$A:$A,"&gt;="&amp;$J1294,'Weekly Log'!$A:$A,"&lt;"&amp;$J1294+7)/COUNTIFS('Weekly Log'!$H:$H,"&lt;&gt;",'Weekly Log'!$A:$A,"&gt;="&amp;$J1294,'Weekly Log'!$A:$A,"&lt;"&amp;$J1294+7),0))</f>
        <v/>
      </c>
      <c r="E1294" t="str">
        <f>IF($J1294="","",IFERROR(AVERAGEIFS('Weekly Log'!$F:$F,'Weekly Log'!$A:$A,"&gt;="&amp;$J1294,'Weekly Log'!$A:$A,"&lt;"&amp;$J1294+7),0))</f>
        <v/>
      </c>
      <c r="F1294" t="str">
        <f>IF($J1294="","",IFERROR(SUMIFS('Weekly Log'!$F:$F,'Weekly Log'!$A:$A,"&gt;="&amp;$J1294,'Weekly Log'!$A:$A,"&lt;"&amp;$J1294+7)/SUMIFS('Weekly Log'!$E:$E,'Weekly Log'!$A:$A,"&gt;="&amp;$J1294,'Weekly Log'!$A:$A,"&lt;"&amp;$J1294+7),0))</f>
        <v/>
      </c>
      <c r="G1294" t="str">
        <f>IF($J1294="","",IFERROR(LOOKUP(2,1/(('Weekly Log'!$A$5:$A$5000&gt;=$J1294)*('Weekly Log'!$A$5:$A$5000&lt;$J1294+7)*('Weekly Log'!$M$5:$M$5000&lt;&gt;"")),'Weekly Log'!$M$5:$M$5000),0))</f>
        <v/>
      </c>
      <c r="J1294" t="str">
        <f>IF(COUNT('Weekly Log'!$A$5:$A$5000)=0,"",IF(MIN('Weekly Log'!$A$5:$A$5000)+7*(ROW()-10)&gt;MAX('Weekly Log'!$A$5:$A$5000),"",MIN('Weekly Log'!$A$5:$A$5000)+7*(ROW()-10)))</f>
        <v/>
      </c>
    </row>
    <row r="1295" spans="1:10" x14ac:dyDescent="0.25">
      <c r="A1295" t="str">
        <f t="shared" si="20"/>
        <v/>
      </c>
      <c r="B1295" t="str">
        <f>IF($J1295="","",SUMIFS('Weekly Log'!$C:$C,'Weekly Log'!$A:$A,"&gt;="&amp;$J1295,'Weekly Log'!$A:$A,"&lt;"&amp;$J1295+7))</f>
        <v/>
      </c>
      <c r="C1295" t="str">
        <f>IF($J1295="","",IFERROR(COUNTIFS('Weekly Log'!$G:$G,"Y",'Weekly Log'!$A:$A,"&gt;="&amp;$J1295,'Weekly Log'!$A:$A,"&lt;"&amp;$J1295+7)/COUNTIFS('Weekly Log'!$G:$G,"&lt;&gt;",'Weekly Log'!$A:$A,"&gt;="&amp;$J1295,'Weekly Log'!$A:$A,"&lt;"&amp;$J1295+7),0))</f>
        <v/>
      </c>
      <c r="D1295" t="str">
        <f>IF($J1295="","",IFERROR(COUNTIFS('Weekly Log'!$H:$H,"Y",'Weekly Log'!$A:$A,"&gt;="&amp;$J1295,'Weekly Log'!$A:$A,"&lt;"&amp;$J1295+7)/COUNTIFS('Weekly Log'!$H:$H,"&lt;&gt;",'Weekly Log'!$A:$A,"&gt;="&amp;$J1295,'Weekly Log'!$A:$A,"&lt;"&amp;$J1295+7),0))</f>
        <v/>
      </c>
      <c r="E1295" t="str">
        <f>IF($J1295="","",IFERROR(AVERAGEIFS('Weekly Log'!$F:$F,'Weekly Log'!$A:$A,"&gt;="&amp;$J1295,'Weekly Log'!$A:$A,"&lt;"&amp;$J1295+7),0))</f>
        <v/>
      </c>
      <c r="F1295" t="str">
        <f>IF($J1295="","",IFERROR(SUMIFS('Weekly Log'!$F:$F,'Weekly Log'!$A:$A,"&gt;="&amp;$J1295,'Weekly Log'!$A:$A,"&lt;"&amp;$J1295+7)/SUMIFS('Weekly Log'!$E:$E,'Weekly Log'!$A:$A,"&gt;="&amp;$J1295,'Weekly Log'!$A:$A,"&lt;"&amp;$J1295+7),0))</f>
        <v/>
      </c>
      <c r="G1295" t="str">
        <f>IF($J1295="","",IFERROR(LOOKUP(2,1/(('Weekly Log'!$A$5:$A$5000&gt;=$J1295)*('Weekly Log'!$A$5:$A$5000&lt;$J1295+7)*('Weekly Log'!$M$5:$M$5000&lt;&gt;"")),'Weekly Log'!$M$5:$M$5000),0))</f>
        <v/>
      </c>
      <c r="J1295" t="str">
        <f>IF(COUNT('Weekly Log'!$A$5:$A$5000)=0,"",IF(MIN('Weekly Log'!$A$5:$A$5000)+7*(ROW()-10)&gt;MAX('Weekly Log'!$A$5:$A$5000),"",MIN('Weekly Log'!$A$5:$A$5000)+7*(ROW()-10)))</f>
        <v/>
      </c>
    </row>
    <row r="1296" spans="1:10" x14ac:dyDescent="0.25">
      <c r="A1296" t="str">
        <f t="shared" si="20"/>
        <v/>
      </c>
      <c r="B1296" t="str">
        <f>IF($J1296="","",SUMIFS('Weekly Log'!$C:$C,'Weekly Log'!$A:$A,"&gt;="&amp;$J1296,'Weekly Log'!$A:$A,"&lt;"&amp;$J1296+7))</f>
        <v/>
      </c>
      <c r="C1296" t="str">
        <f>IF($J1296="","",IFERROR(COUNTIFS('Weekly Log'!$G:$G,"Y",'Weekly Log'!$A:$A,"&gt;="&amp;$J1296,'Weekly Log'!$A:$A,"&lt;"&amp;$J1296+7)/COUNTIFS('Weekly Log'!$G:$G,"&lt;&gt;",'Weekly Log'!$A:$A,"&gt;="&amp;$J1296,'Weekly Log'!$A:$A,"&lt;"&amp;$J1296+7),0))</f>
        <v/>
      </c>
      <c r="D1296" t="str">
        <f>IF($J1296="","",IFERROR(COUNTIFS('Weekly Log'!$H:$H,"Y",'Weekly Log'!$A:$A,"&gt;="&amp;$J1296,'Weekly Log'!$A:$A,"&lt;"&amp;$J1296+7)/COUNTIFS('Weekly Log'!$H:$H,"&lt;&gt;",'Weekly Log'!$A:$A,"&gt;="&amp;$J1296,'Weekly Log'!$A:$A,"&lt;"&amp;$J1296+7),0))</f>
        <v/>
      </c>
      <c r="E1296" t="str">
        <f>IF($J1296="","",IFERROR(AVERAGEIFS('Weekly Log'!$F:$F,'Weekly Log'!$A:$A,"&gt;="&amp;$J1296,'Weekly Log'!$A:$A,"&lt;"&amp;$J1296+7),0))</f>
        <v/>
      </c>
      <c r="F1296" t="str">
        <f>IF($J1296="","",IFERROR(SUMIFS('Weekly Log'!$F:$F,'Weekly Log'!$A:$A,"&gt;="&amp;$J1296,'Weekly Log'!$A:$A,"&lt;"&amp;$J1296+7)/SUMIFS('Weekly Log'!$E:$E,'Weekly Log'!$A:$A,"&gt;="&amp;$J1296,'Weekly Log'!$A:$A,"&lt;"&amp;$J1296+7),0))</f>
        <v/>
      </c>
      <c r="G1296" t="str">
        <f>IF($J1296="","",IFERROR(LOOKUP(2,1/(('Weekly Log'!$A$5:$A$5000&gt;=$J1296)*('Weekly Log'!$A$5:$A$5000&lt;$J1296+7)*('Weekly Log'!$M$5:$M$5000&lt;&gt;"")),'Weekly Log'!$M$5:$M$5000),0))</f>
        <v/>
      </c>
      <c r="J1296" t="str">
        <f>IF(COUNT('Weekly Log'!$A$5:$A$5000)=0,"",IF(MIN('Weekly Log'!$A$5:$A$5000)+7*(ROW()-10)&gt;MAX('Weekly Log'!$A$5:$A$5000),"",MIN('Weekly Log'!$A$5:$A$5000)+7*(ROW()-10)))</f>
        <v/>
      </c>
    </row>
    <row r="1297" spans="1:10" x14ac:dyDescent="0.25">
      <c r="A1297" t="str">
        <f t="shared" si="20"/>
        <v/>
      </c>
      <c r="B1297" t="str">
        <f>IF($J1297="","",SUMIFS('Weekly Log'!$C:$C,'Weekly Log'!$A:$A,"&gt;="&amp;$J1297,'Weekly Log'!$A:$A,"&lt;"&amp;$J1297+7))</f>
        <v/>
      </c>
      <c r="C1297" t="str">
        <f>IF($J1297="","",IFERROR(COUNTIFS('Weekly Log'!$G:$G,"Y",'Weekly Log'!$A:$A,"&gt;="&amp;$J1297,'Weekly Log'!$A:$A,"&lt;"&amp;$J1297+7)/COUNTIFS('Weekly Log'!$G:$G,"&lt;&gt;",'Weekly Log'!$A:$A,"&gt;="&amp;$J1297,'Weekly Log'!$A:$A,"&lt;"&amp;$J1297+7),0))</f>
        <v/>
      </c>
      <c r="D1297" t="str">
        <f>IF($J1297="","",IFERROR(COUNTIFS('Weekly Log'!$H:$H,"Y",'Weekly Log'!$A:$A,"&gt;="&amp;$J1297,'Weekly Log'!$A:$A,"&lt;"&amp;$J1297+7)/COUNTIFS('Weekly Log'!$H:$H,"&lt;&gt;",'Weekly Log'!$A:$A,"&gt;="&amp;$J1297,'Weekly Log'!$A:$A,"&lt;"&amp;$J1297+7),0))</f>
        <v/>
      </c>
      <c r="E1297" t="str">
        <f>IF($J1297="","",IFERROR(AVERAGEIFS('Weekly Log'!$F:$F,'Weekly Log'!$A:$A,"&gt;="&amp;$J1297,'Weekly Log'!$A:$A,"&lt;"&amp;$J1297+7),0))</f>
        <v/>
      </c>
      <c r="F1297" t="str">
        <f>IF($J1297="","",IFERROR(SUMIFS('Weekly Log'!$F:$F,'Weekly Log'!$A:$A,"&gt;="&amp;$J1297,'Weekly Log'!$A:$A,"&lt;"&amp;$J1297+7)/SUMIFS('Weekly Log'!$E:$E,'Weekly Log'!$A:$A,"&gt;="&amp;$J1297,'Weekly Log'!$A:$A,"&lt;"&amp;$J1297+7),0))</f>
        <v/>
      </c>
      <c r="G1297" t="str">
        <f>IF($J1297="","",IFERROR(LOOKUP(2,1/(('Weekly Log'!$A$5:$A$5000&gt;=$J1297)*('Weekly Log'!$A$5:$A$5000&lt;$J1297+7)*('Weekly Log'!$M$5:$M$5000&lt;&gt;"")),'Weekly Log'!$M$5:$M$5000),0))</f>
        <v/>
      </c>
      <c r="J1297" t="str">
        <f>IF(COUNT('Weekly Log'!$A$5:$A$5000)=0,"",IF(MIN('Weekly Log'!$A$5:$A$5000)+7*(ROW()-10)&gt;MAX('Weekly Log'!$A$5:$A$5000),"",MIN('Weekly Log'!$A$5:$A$5000)+7*(ROW()-10)))</f>
        <v/>
      </c>
    </row>
    <row r="1298" spans="1:10" x14ac:dyDescent="0.25">
      <c r="A1298" t="str">
        <f t="shared" si="20"/>
        <v/>
      </c>
      <c r="B1298" t="str">
        <f>IF($J1298="","",SUMIFS('Weekly Log'!$C:$C,'Weekly Log'!$A:$A,"&gt;="&amp;$J1298,'Weekly Log'!$A:$A,"&lt;"&amp;$J1298+7))</f>
        <v/>
      </c>
      <c r="C1298" t="str">
        <f>IF($J1298="","",IFERROR(COUNTIFS('Weekly Log'!$G:$G,"Y",'Weekly Log'!$A:$A,"&gt;="&amp;$J1298,'Weekly Log'!$A:$A,"&lt;"&amp;$J1298+7)/COUNTIFS('Weekly Log'!$G:$G,"&lt;&gt;",'Weekly Log'!$A:$A,"&gt;="&amp;$J1298,'Weekly Log'!$A:$A,"&lt;"&amp;$J1298+7),0))</f>
        <v/>
      </c>
      <c r="D1298" t="str">
        <f>IF($J1298="","",IFERROR(COUNTIFS('Weekly Log'!$H:$H,"Y",'Weekly Log'!$A:$A,"&gt;="&amp;$J1298,'Weekly Log'!$A:$A,"&lt;"&amp;$J1298+7)/COUNTIFS('Weekly Log'!$H:$H,"&lt;&gt;",'Weekly Log'!$A:$A,"&gt;="&amp;$J1298,'Weekly Log'!$A:$A,"&lt;"&amp;$J1298+7),0))</f>
        <v/>
      </c>
      <c r="E1298" t="str">
        <f>IF($J1298="","",IFERROR(AVERAGEIFS('Weekly Log'!$F:$F,'Weekly Log'!$A:$A,"&gt;="&amp;$J1298,'Weekly Log'!$A:$A,"&lt;"&amp;$J1298+7),0))</f>
        <v/>
      </c>
      <c r="F1298" t="str">
        <f>IF($J1298="","",IFERROR(SUMIFS('Weekly Log'!$F:$F,'Weekly Log'!$A:$A,"&gt;="&amp;$J1298,'Weekly Log'!$A:$A,"&lt;"&amp;$J1298+7)/SUMIFS('Weekly Log'!$E:$E,'Weekly Log'!$A:$A,"&gt;="&amp;$J1298,'Weekly Log'!$A:$A,"&lt;"&amp;$J1298+7),0))</f>
        <v/>
      </c>
      <c r="G1298" t="str">
        <f>IF($J1298="","",IFERROR(LOOKUP(2,1/(('Weekly Log'!$A$5:$A$5000&gt;=$J1298)*('Weekly Log'!$A$5:$A$5000&lt;$J1298+7)*('Weekly Log'!$M$5:$M$5000&lt;&gt;"")),'Weekly Log'!$M$5:$M$5000),0))</f>
        <v/>
      </c>
      <c r="J1298" t="str">
        <f>IF(COUNT('Weekly Log'!$A$5:$A$5000)=0,"",IF(MIN('Weekly Log'!$A$5:$A$5000)+7*(ROW()-10)&gt;MAX('Weekly Log'!$A$5:$A$5000),"",MIN('Weekly Log'!$A$5:$A$5000)+7*(ROW()-10)))</f>
        <v/>
      </c>
    </row>
    <row r="1299" spans="1:10" x14ac:dyDescent="0.25">
      <c r="A1299" t="str">
        <f t="shared" si="20"/>
        <v/>
      </c>
      <c r="B1299" t="str">
        <f>IF($J1299="","",SUMIFS('Weekly Log'!$C:$C,'Weekly Log'!$A:$A,"&gt;="&amp;$J1299,'Weekly Log'!$A:$A,"&lt;"&amp;$J1299+7))</f>
        <v/>
      </c>
      <c r="C1299" t="str">
        <f>IF($J1299="","",IFERROR(COUNTIFS('Weekly Log'!$G:$G,"Y",'Weekly Log'!$A:$A,"&gt;="&amp;$J1299,'Weekly Log'!$A:$A,"&lt;"&amp;$J1299+7)/COUNTIFS('Weekly Log'!$G:$G,"&lt;&gt;",'Weekly Log'!$A:$A,"&gt;="&amp;$J1299,'Weekly Log'!$A:$A,"&lt;"&amp;$J1299+7),0))</f>
        <v/>
      </c>
      <c r="D1299" t="str">
        <f>IF($J1299="","",IFERROR(COUNTIFS('Weekly Log'!$H:$H,"Y",'Weekly Log'!$A:$A,"&gt;="&amp;$J1299,'Weekly Log'!$A:$A,"&lt;"&amp;$J1299+7)/COUNTIFS('Weekly Log'!$H:$H,"&lt;&gt;",'Weekly Log'!$A:$A,"&gt;="&amp;$J1299,'Weekly Log'!$A:$A,"&lt;"&amp;$J1299+7),0))</f>
        <v/>
      </c>
      <c r="E1299" t="str">
        <f>IF($J1299="","",IFERROR(AVERAGEIFS('Weekly Log'!$F:$F,'Weekly Log'!$A:$A,"&gt;="&amp;$J1299,'Weekly Log'!$A:$A,"&lt;"&amp;$J1299+7),0))</f>
        <v/>
      </c>
      <c r="F1299" t="str">
        <f>IF($J1299="","",IFERROR(SUMIFS('Weekly Log'!$F:$F,'Weekly Log'!$A:$A,"&gt;="&amp;$J1299,'Weekly Log'!$A:$A,"&lt;"&amp;$J1299+7)/SUMIFS('Weekly Log'!$E:$E,'Weekly Log'!$A:$A,"&gt;="&amp;$J1299,'Weekly Log'!$A:$A,"&lt;"&amp;$J1299+7),0))</f>
        <v/>
      </c>
      <c r="G1299" t="str">
        <f>IF($J1299="","",IFERROR(LOOKUP(2,1/(('Weekly Log'!$A$5:$A$5000&gt;=$J1299)*('Weekly Log'!$A$5:$A$5000&lt;$J1299+7)*('Weekly Log'!$M$5:$M$5000&lt;&gt;"")),'Weekly Log'!$M$5:$M$5000),0))</f>
        <v/>
      </c>
      <c r="J1299" t="str">
        <f>IF(COUNT('Weekly Log'!$A$5:$A$5000)=0,"",IF(MIN('Weekly Log'!$A$5:$A$5000)+7*(ROW()-10)&gt;MAX('Weekly Log'!$A$5:$A$5000),"",MIN('Weekly Log'!$A$5:$A$5000)+7*(ROW()-10)))</f>
        <v/>
      </c>
    </row>
    <row r="1300" spans="1:10" x14ac:dyDescent="0.25">
      <c r="A1300" t="str">
        <f t="shared" si="20"/>
        <v/>
      </c>
      <c r="B1300" t="str">
        <f>IF($J1300="","",SUMIFS('Weekly Log'!$C:$C,'Weekly Log'!$A:$A,"&gt;="&amp;$J1300,'Weekly Log'!$A:$A,"&lt;"&amp;$J1300+7))</f>
        <v/>
      </c>
      <c r="C1300" t="str">
        <f>IF($J1300="","",IFERROR(COUNTIFS('Weekly Log'!$G:$G,"Y",'Weekly Log'!$A:$A,"&gt;="&amp;$J1300,'Weekly Log'!$A:$A,"&lt;"&amp;$J1300+7)/COUNTIFS('Weekly Log'!$G:$G,"&lt;&gt;",'Weekly Log'!$A:$A,"&gt;="&amp;$J1300,'Weekly Log'!$A:$A,"&lt;"&amp;$J1300+7),0))</f>
        <v/>
      </c>
      <c r="D1300" t="str">
        <f>IF($J1300="","",IFERROR(COUNTIFS('Weekly Log'!$H:$H,"Y",'Weekly Log'!$A:$A,"&gt;="&amp;$J1300,'Weekly Log'!$A:$A,"&lt;"&amp;$J1300+7)/COUNTIFS('Weekly Log'!$H:$H,"&lt;&gt;",'Weekly Log'!$A:$A,"&gt;="&amp;$J1300,'Weekly Log'!$A:$A,"&lt;"&amp;$J1300+7),0))</f>
        <v/>
      </c>
      <c r="E1300" t="str">
        <f>IF($J1300="","",IFERROR(AVERAGEIFS('Weekly Log'!$F:$F,'Weekly Log'!$A:$A,"&gt;="&amp;$J1300,'Weekly Log'!$A:$A,"&lt;"&amp;$J1300+7),0))</f>
        <v/>
      </c>
      <c r="F1300" t="str">
        <f>IF($J1300="","",IFERROR(SUMIFS('Weekly Log'!$F:$F,'Weekly Log'!$A:$A,"&gt;="&amp;$J1300,'Weekly Log'!$A:$A,"&lt;"&amp;$J1300+7)/SUMIFS('Weekly Log'!$E:$E,'Weekly Log'!$A:$A,"&gt;="&amp;$J1300,'Weekly Log'!$A:$A,"&lt;"&amp;$J1300+7),0))</f>
        <v/>
      </c>
      <c r="G1300" t="str">
        <f>IF($J1300="","",IFERROR(LOOKUP(2,1/(('Weekly Log'!$A$5:$A$5000&gt;=$J1300)*('Weekly Log'!$A$5:$A$5000&lt;$J1300+7)*('Weekly Log'!$M$5:$M$5000&lt;&gt;"")),'Weekly Log'!$M$5:$M$5000),0))</f>
        <v/>
      </c>
      <c r="J1300" t="str">
        <f>IF(COUNT('Weekly Log'!$A$5:$A$5000)=0,"",IF(MIN('Weekly Log'!$A$5:$A$5000)+7*(ROW()-10)&gt;MAX('Weekly Log'!$A$5:$A$5000),"",MIN('Weekly Log'!$A$5:$A$5000)+7*(ROW()-10)))</f>
        <v/>
      </c>
    </row>
    <row r="1301" spans="1:10" x14ac:dyDescent="0.25">
      <c r="A1301" t="str">
        <f t="shared" si="20"/>
        <v/>
      </c>
      <c r="B1301" t="str">
        <f>IF($J1301="","",SUMIFS('Weekly Log'!$C:$C,'Weekly Log'!$A:$A,"&gt;="&amp;$J1301,'Weekly Log'!$A:$A,"&lt;"&amp;$J1301+7))</f>
        <v/>
      </c>
      <c r="C1301" t="str">
        <f>IF($J1301="","",IFERROR(COUNTIFS('Weekly Log'!$G:$G,"Y",'Weekly Log'!$A:$A,"&gt;="&amp;$J1301,'Weekly Log'!$A:$A,"&lt;"&amp;$J1301+7)/COUNTIFS('Weekly Log'!$G:$G,"&lt;&gt;",'Weekly Log'!$A:$A,"&gt;="&amp;$J1301,'Weekly Log'!$A:$A,"&lt;"&amp;$J1301+7),0))</f>
        <v/>
      </c>
      <c r="D1301" t="str">
        <f>IF($J1301="","",IFERROR(COUNTIFS('Weekly Log'!$H:$H,"Y",'Weekly Log'!$A:$A,"&gt;="&amp;$J1301,'Weekly Log'!$A:$A,"&lt;"&amp;$J1301+7)/COUNTIFS('Weekly Log'!$H:$H,"&lt;&gt;",'Weekly Log'!$A:$A,"&gt;="&amp;$J1301,'Weekly Log'!$A:$A,"&lt;"&amp;$J1301+7),0))</f>
        <v/>
      </c>
      <c r="E1301" t="str">
        <f>IF($J1301="","",IFERROR(AVERAGEIFS('Weekly Log'!$F:$F,'Weekly Log'!$A:$A,"&gt;="&amp;$J1301,'Weekly Log'!$A:$A,"&lt;"&amp;$J1301+7),0))</f>
        <v/>
      </c>
      <c r="F1301" t="str">
        <f>IF($J1301="","",IFERROR(SUMIFS('Weekly Log'!$F:$F,'Weekly Log'!$A:$A,"&gt;="&amp;$J1301,'Weekly Log'!$A:$A,"&lt;"&amp;$J1301+7)/SUMIFS('Weekly Log'!$E:$E,'Weekly Log'!$A:$A,"&gt;="&amp;$J1301,'Weekly Log'!$A:$A,"&lt;"&amp;$J1301+7),0))</f>
        <v/>
      </c>
      <c r="G1301" t="str">
        <f>IF($J1301="","",IFERROR(LOOKUP(2,1/(('Weekly Log'!$A$5:$A$5000&gt;=$J1301)*('Weekly Log'!$A$5:$A$5000&lt;$J1301+7)*('Weekly Log'!$M$5:$M$5000&lt;&gt;"")),'Weekly Log'!$M$5:$M$5000),0))</f>
        <v/>
      </c>
      <c r="J1301" t="str">
        <f>IF(COUNT('Weekly Log'!$A$5:$A$5000)=0,"",IF(MIN('Weekly Log'!$A$5:$A$5000)+7*(ROW()-10)&gt;MAX('Weekly Log'!$A$5:$A$5000),"",MIN('Weekly Log'!$A$5:$A$5000)+7*(ROW()-10)))</f>
        <v/>
      </c>
    </row>
    <row r="1302" spans="1:10" x14ac:dyDescent="0.25">
      <c r="A1302" t="str">
        <f t="shared" si="20"/>
        <v/>
      </c>
      <c r="B1302" t="str">
        <f>IF($J1302="","",SUMIFS('Weekly Log'!$C:$C,'Weekly Log'!$A:$A,"&gt;="&amp;$J1302,'Weekly Log'!$A:$A,"&lt;"&amp;$J1302+7))</f>
        <v/>
      </c>
      <c r="C1302" t="str">
        <f>IF($J1302="","",IFERROR(COUNTIFS('Weekly Log'!$G:$G,"Y",'Weekly Log'!$A:$A,"&gt;="&amp;$J1302,'Weekly Log'!$A:$A,"&lt;"&amp;$J1302+7)/COUNTIFS('Weekly Log'!$G:$G,"&lt;&gt;",'Weekly Log'!$A:$A,"&gt;="&amp;$J1302,'Weekly Log'!$A:$A,"&lt;"&amp;$J1302+7),0))</f>
        <v/>
      </c>
      <c r="D1302" t="str">
        <f>IF($J1302="","",IFERROR(COUNTIFS('Weekly Log'!$H:$H,"Y",'Weekly Log'!$A:$A,"&gt;="&amp;$J1302,'Weekly Log'!$A:$A,"&lt;"&amp;$J1302+7)/COUNTIFS('Weekly Log'!$H:$H,"&lt;&gt;",'Weekly Log'!$A:$A,"&gt;="&amp;$J1302,'Weekly Log'!$A:$A,"&lt;"&amp;$J1302+7),0))</f>
        <v/>
      </c>
      <c r="E1302" t="str">
        <f>IF($J1302="","",IFERROR(AVERAGEIFS('Weekly Log'!$F:$F,'Weekly Log'!$A:$A,"&gt;="&amp;$J1302,'Weekly Log'!$A:$A,"&lt;"&amp;$J1302+7),0))</f>
        <v/>
      </c>
      <c r="F1302" t="str">
        <f>IF($J1302="","",IFERROR(SUMIFS('Weekly Log'!$F:$F,'Weekly Log'!$A:$A,"&gt;="&amp;$J1302,'Weekly Log'!$A:$A,"&lt;"&amp;$J1302+7)/SUMIFS('Weekly Log'!$E:$E,'Weekly Log'!$A:$A,"&gt;="&amp;$J1302,'Weekly Log'!$A:$A,"&lt;"&amp;$J1302+7),0))</f>
        <v/>
      </c>
      <c r="G1302" t="str">
        <f>IF($J1302="","",IFERROR(LOOKUP(2,1/(('Weekly Log'!$A$5:$A$5000&gt;=$J1302)*('Weekly Log'!$A$5:$A$5000&lt;$J1302+7)*('Weekly Log'!$M$5:$M$5000&lt;&gt;"")),'Weekly Log'!$M$5:$M$5000),0))</f>
        <v/>
      </c>
      <c r="J1302" t="str">
        <f>IF(COUNT('Weekly Log'!$A$5:$A$5000)=0,"",IF(MIN('Weekly Log'!$A$5:$A$5000)+7*(ROW()-10)&gt;MAX('Weekly Log'!$A$5:$A$5000),"",MIN('Weekly Log'!$A$5:$A$5000)+7*(ROW()-10)))</f>
        <v/>
      </c>
    </row>
    <row r="1303" spans="1:10" x14ac:dyDescent="0.25">
      <c r="A1303" t="str">
        <f t="shared" si="20"/>
        <v/>
      </c>
      <c r="B1303" t="str">
        <f>IF($J1303="","",SUMIFS('Weekly Log'!$C:$C,'Weekly Log'!$A:$A,"&gt;="&amp;$J1303,'Weekly Log'!$A:$A,"&lt;"&amp;$J1303+7))</f>
        <v/>
      </c>
      <c r="C1303" t="str">
        <f>IF($J1303="","",IFERROR(COUNTIFS('Weekly Log'!$G:$G,"Y",'Weekly Log'!$A:$A,"&gt;="&amp;$J1303,'Weekly Log'!$A:$A,"&lt;"&amp;$J1303+7)/COUNTIFS('Weekly Log'!$G:$G,"&lt;&gt;",'Weekly Log'!$A:$A,"&gt;="&amp;$J1303,'Weekly Log'!$A:$A,"&lt;"&amp;$J1303+7),0))</f>
        <v/>
      </c>
      <c r="D1303" t="str">
        <f>IF($J1303="","",IFERROR(COUNTIFS('Weekly Log'!$H:$H,"Y",'Weekly Log'!$A:$A,"&gt;="&amp;$J1303,'Weekly Log'!$A:$A,"&lt;"&amp;$J1303+7)/COUNTIFS('Weekly Log'!$H:$H,"&lt;&gt;",'Weekly Log'!$A:$A,"&gt;="&amp;$J1303,'Weekly Log'!$A:$A,"&lt;"&amp;$J1303+7),0))</f>
        <v/>
      </c>
      <c r="E1303" t="str">
        <f>IF($J1303="","",IFERROR(AVERAGEIFS('Weekly Log'!$F:$F,'Weekly Log'!$A:$A,"&gt;="&amp;$J1303,'Weekly Log'!$A:$A,"&lt;"&amp;$J1303+7),0))</f>
        <v/>
      </c>
      <c r="F1303" t="str">
        <f>IF($J1303="","",IFERROR(SUMIFS('Weekly Log'!$F:$F,'Weekly Log'!$A:$A,"&gt;="&amp;$J1303,'Weekly Log'!$A:$A,"&lt;"&amp;$J1303+7)/SUMIFS('Weekly Log'!$E:$E,'Weekly Log'!$A:$A,"&gt;="&amp;$J1303,'Weekly Log'!$A:$A,"&lt;"&amp;$J1303+7),0))</f>
        <v/>
      </c>
      <c r="G1303" t="str">
        <f>IF($J1303="","",IFERROR(LOOKUP(2,1/(('Weekly Log'!$A$5:$A$5000&gt;=$J1303)*('Weekly Log'!$A$5:$A$5000&lt;$J1303+7)*('Weekly Log'!$M$5:$M$5000&lt;&gt;"")),'Weekly Log'!$M$5:$M$5000),0))</f>
        <v/>
      </c>
      <c r="J1303" t="str">
        <f>IF(COUNT('Weekly Log'!$A$5:$A$5000)=0,"",IF(MIN('Weekly Log'!$A$5:$A$5000)+7*(ROW()-10)&gt;MAX('Weekly Log'!$A$5:$A$5000),"",MIN('Weekly Log'!$A$5:$A$5000)+7*(ROW()-10)))</f>
        <v/>
      </c>
    </row>
    <row r="1304" spans="1:10" x14ac:dyDescent="0.25">
      <c r="A1304" t="str">
        <f t="shared" si="20"/>
        <v/>
      </c>
      <c r="B1304" t="str">
        <f>IF($J1304="","",SUMIFS('Weekly Log'!$C:$C,'Weekly Log'!$A:$A,"&gt;="&amp;$J1304,'Weekly Log'!$A:$A,"&lt;"&amp;$J1304+7))</f>
        <v/>
      </c>
      <c r="C1304" t="str">
        <f>IF($J1304="","",IFERROR(COUNTIFS('Weekly Log'!$G:$G,"Y",'Weekly Log'!$A:$A,"&gt;="&amp;$J1304,'Weekly Log'!$A:$A,"&lt;"&amp;$J1304+7)/COUNTIFS('Weekly Log'!$G:$G,"&lt;&gt;",'Weekly Log'!$A:$A,"&gt;="&amp;$J1304,'Weekly Log'!$A:$A,"&lt;"&amp;$J1304+7),0))</f>
        <v/>
      </c>
      <c r="D1304" t="str">
        <f>IF($J1304="","",IFERROR(COUNTIFS('Weekly Log'!$H:$H,"Y",'Weekly Log'!$A:$A,"&gt;="&amp;$J1304,'Weekly Log'!$A:$A,"&lt;"&amp;$J1304+7)/COUNTIFS('Weekly Log'!$H:$H,"&lt;&gt;",'Weekly Log'!$A:$A,"&gt;="&amp;$J1304,'Weekly Log'!$A:$A,"&lt;"&amp;$J1304+7),0))</f>
        <v/>
      </c>
      <c r="E1304" t="str">
        <f>IF($J1304="","",IFERROR(AVERAGEIFS('Weekly Log'!$F:$F,'Weekly Log'!$A:$A,"&gt;="&amp;$J1304,'Weekly Log'!$A:$A,"&lt;"&amp;$J1304+7),0))</f>
        <v/>
      </c>
      <c r="F1304" t="str">
        <f>IF($J1304="","",IFERROR(SUMIFS('Weekly Log'!$F:$F,'Weekly Log'!$A:$A,"&gt;="&amp;$J1304,'Weekly Log'!$A:$A,"&lt;"&amp;$J1304+7)/SUMIFS('Weekly Log'!$E:$E,'Weekly Log'!$A:$A,"&gt;="&amp;$J1304,'Weekly Log'!$A:$A,"&lt;"&amp;$J1304+7),0))</f>
        <v/>
      </c>
      <c r="G1304" t="str">
        <f>IF($J1304="","",IFERROR(LOOKUP(2,1/(('Weekly Log'!$A$5:$A$5000&gt;=$J1304)*('Weekly Log'!$A$5:$A$5000&lt;$J1304+7)*('Weekly Log'!$M$5:$M$5000&lt;&gt;"")),'Weekly Log'!$M$5:$M$5000),0))</f>
        <v/>
      </c>
      <c r="J1304" t="str">
        <f>IF(COUNT('Weekly Log'!$A$5:$A$5000)=0,"",IF(MIN('Weekly Log'!$A$5:$A$5000)+7*(ROW()-10)&gt;MAX('Weekly Log'!$A$5:$A$5000),"",MIN('Weekly Log'!$A$5:$A$5000)+7*(ROW()-10)))</f>
        <v/>
      </c>
    </row>
    <row r="1305" spans="1:10" x14ac:dyDescent="0.25">
      <c r="A1305" t="str">
        <f t="shared" si="20"/>
        <v/>
      </c>
      <c r="B1305" t="str">
        <f>IF($J1305="","",SUMIFS('Weekly Log'!$C:$C,'Weekly Log'!$A:$A,"&gt;="&amp;$J1305,'Weekly Log'!$A:$A,"&lt;"&amp;$J1305+7))</f>
        <v/>
      </c>
      <c r="C1305" t="str">
        <f>IF($J1305="","",IFERROR(COUNTIFS('Weekly Log'!$G:$G,"Y",'Weekly Log'!$A:$A,"&gt;="&amp;$J1305,'Weekly Log'!$A:$A,"&lt;"&amp;$J1305+7)/COUNTIFS('Weekly Log'!$G:$G,"&lt;&gt;",'Weekly Log'!$A:$A,"&gt;="&amp;$J1305,'Weekly Log'!$A:$A,"&lt;"&amp;$J1305+7),0))</f>
        <v/>
      </c>
      <c r="D1305" t="str">
        <f>IF($J1305="","",IFERROR(COUNTIFS('Weekly Log'!$H:$H,"Y",'Weekly Log'!$A:$A,"&gt;="&amp;$J1305,'Weekly Log'!$A:$A,"&lt;"&amp;$J1305+7)/COUNTIFS('Weekly Log'!$H:$H,"&lt;&gt;",'Weekly Log'!$A:$A,"&gt;="&amp;$J1305,'Weekly Log'!$A:$A,"&lt;"&amp;$J1305+7),0))</f>
        <v/>
      </c>
      <c r="E1305" t="str">
        <f>IF($J1305="","",IFERROR(AVERAGEIFS('Weekly Log'!$F:$F,'Weekly Log'!$A:$A,"&gt;="&amp;$J1305,'Weekly Log'!$A:$A,"&lt;"&amp;$J1305+7),0))</f>
        <v/>
      </c>
      <c r="F1305" t="str">
        <f>IF($J1305="","",IFERROR(SUMIFS('Weekly Log'!$F:$F,'Weekly Log'!$A:$A,"&gt;="&amp;$J1305,'Weekly Log'!$A:$A,"&lt;"&amp;$J1305+7)/SUMIFS('Weekly Log'!$E:$E,'Weekly Log'!$A:$A,"&gt;="&amp;$J1305,'Weekly Log'!$A:$A,"&lt;"&amp;$J1305+7),0))</f>
        <v/>
      </c>
      <c r="G1305" t="str">
        <f>IF($J1305="","",IFERROR(LOOKUP(2,1/(('Weekly Log'!$A$5:$A$5000&gt;=$J1305)*('Weekly Log'!$A$5:$A$5000&lt;$J1305+7)*('Weekly Log'!$M$5:$M$5000&lt;&gt;"")),'Weekly Log'!$M$5:$M$5000),0))</f>
        <v/>
      </c>
      <c r="J1305" t="str">
        <f>IF(COUNT('Weekly Log'!$A$5:$A$5000)=0,"",IF(MIN('Weekly Log'!$A$5:$A$5000)+7*(ROW()-10)&gt;MAX('Weekly Log'!$A$5:$A$5000),"",MIN('Weekly Log'!$A$5:$A$5000)+7*(ROW()-10)))</f>
        <v/>
      </c>
    </row>
    <row r="1306" spans="1:10" x14ac:dyDescent="0.25">
      <c r="A1306" t="str">
        <f t="shared" si="20"/>
        <v/>
      </c>
      <c r="B1306" t="str">
        <f>IF($J1306="","",SUMIFS('Weekly Log'!$C:$C,'Weekly Log'!$A:$A,"&gt;="&amp;$J1306,'Weekly Log'!$A:$A,"&lt;"&amp;$J1306+7))</f>
        <v/>
      </c>
      <c r="C1306" t="str">
        <f>IF($J1306="","",IFERROR(COUNTIFS('Weekly Log'!$G:$G,"Y",'Weekly Log'!$A:$A,"&gt;="&amp;$J1306,'Weekly Log'!$A:$A,"&lt;"&amp;$J1306+7)/COUNTIFS('Weekly Log'!$G:$G,"&lt;&gt;",'Weekly Log'!$A:$A,"&gt;="&amp;$J1306,'Weekly Log'!$A:$A,"&lt;"&amp;$J1306+7),0))</f>
        <v/>
      </c>
      <c r="D1306" t="str">
        <f>IF($J1306="","",IFERROR(COUNTIFS('Weekly Log'!$H:$H,"Y",'Weekly Log'!$A:$A,"&gt;="&amp;$J1306,'Weekly Log'!$A:$A,"&lt;"&amp;$J1306+7)/COUNTIFS('Weekly Log'!$H:$H,"&lt;&gt;",'Weekly Log'!$A:$A,"&gt;="&amp;$J1306,'Weekly Log'!$A:$A,"&lt;"&amp;$J1306+7),0))</f>
        <v/>
      </c>
      <c r="E1306" t="str">
        <f>IF($J1306="","",IFERROR(AVERAGEIFS('Weekly Log'!$F:$F,'Weekly Log'!$A:$A,"&gt;="&amp;$J1306,'Weekly Log'!$A:$A,"&lt;"&amp;$J1306+7),0))</f>
        <v/>
      </c>
      <c r="F1306" t="str">
        <f>IF($J1306="","",IFERROR(SUMIFS('Weekly Log'!$F:$F,'Weekly Log'!$A:$A,"&gt;="&amp;$J1306,'Weekly Log'!$A:$A,"&lt;"&amp;$J1306+7)/SUMIFS('Weekly Log'!$E:$E,'Weekly Log'!$A:$A,"&gt;="&amp;$J1306,'Weekly Log'!$A:$A,"&lt;"&amp;$J1306+7),0))</f>
        <v/>
      </c>
      <c r="G1306" t="str">
        <f>IF($J1306="","",IFERROR(LOOKUP(2,1/(('Weekly Log'!$A$5:$A$5000&gt;=$J1306)*('Weekly Log'!$A$5:$A$5000&lt;$J1306+7)*('Weekly Log'!$M$5:$M$5000&lt;&gt;"")),'Weekly Log'!$M$5:$M$5000),0))</f>
        <v/>
      </c>
      <c r="J1306" t="str">
        <f>IF(COUNT('Weekly Log'!$A$5:$A$5000)=0,"",IF(MIN('Weekly Log'!$A$5:$A$5000)+7*(ROW()-10)&gt;MAX('Weekly Log'!$A$5:$A$5000),"",MIN('Weekly Log'!$A$5:$A$5000)+7*(ROW()-10)))</f>
        <v/>
      </c>
    </row>
    <row r="1307" spans="1:10" x14ac:dyDescent="0.25">
      <c r="A1307" t="str">
        <f t="shared" si="20"/>
        <v/>
      </c>
      <c r="B1307" t="str">
        <f>IF($J1307="","",SUMIFS('Weekly Log'!$C:$C,'Weekly Log'!$A:$A,"&gt;="&amp;$J1307,'Weekly Log'!$A:$A,"&lt;"&amp;$J1307+7))</f>
        <v/>
      </c>
      <c r="C1307" t="str">
        <f>IF($J1307="","",IFERROR(COUNTIFS('Weekly Log'!$G:$G,"Y",'Weekly Log'!$A:$A,"&gt;="&amp;$J1307,'Weekly Log'!$A:$A,"&lt;"&amp;$J1307+7)/COUNTIFS('Weekly Log'!$G:$G,"&lt;&gt;",'Weekly Log'!$A:$A,"&gt;="&amp;$J1307,'Weekly Log'!$A:$A,"&lt;"&amp;$J1307+7),0))</f>
        <v/>
      </c>
      <c r="D1307" t="str">
        <f>IF($J1307="","",IFERROR(COUNTIFS('Weekly Log'!$H:$H,"Y",'Weekly Log'!$A:$A,"&gt;="&amp;$J1307,'Weekly Log'!$A:$A,"&lt;"&amp;$J1307+7)/COUNTIFS('Weekly Log'!$H:$H,"&lt;&gt;",'Weekly Log'!$A:$A,"&gt;="&amp;$J1307,'Weekly Log'!$A:$A,"&lt;"&amp;$J1307+7),0))</f>
        <v/>
      </c>
      <c r="E1307" t="str">
        <f>IF($J1307="","",IFERROR(AVERAGEIFS('Weekly Log'!$F:$F,'Weekly Log'!$A:$A,"&gt;="&amp;$J1307,'Weekly Log'!$A:$A,"&lt;"&amp;$J1307+7),0))</f>
        <v/>
      </c>
      <c r="F1307" t="str">
        <f>IF($J1307="","",IFERROR(SUMIFS('Weekly Log'!$F:$F,'Weekly Log'!$A:$A,"&gt;="&amp;$J1307,'Weekly Log'!$A:$A,"&lt;"&amp;$J1307+7)/SUMIFS('Weekly Log'!$E:$E,'Weekly Log'!$A:$A,"&gt;="&amp;$J1307,'Weekly Log'!$A:$A,"&lt;"&amp;$J1307+7),0))</f>
        <v/>
      </c>
      <c r="G1307" t="str">
        <f>IF($J1307="","",IFERROR(LOOKUP(2,1/(('Weekly Log'!$A$5:$A$5000&gt;=$J1307)*('Weekly Log'!$A$5:$A$5000&lt;$J1307+7)*('Weekly Log'!$M$5:$M$5000&lt;&gt;"")),'Weekly Log'!$M$5:$M$5000),0))</f>
        <v/>
      </c>
      <c r="J1307" t="str">
        <f>IF(COUNT('Weekly Log'!$A$5:$A$5000)=0,"",IF(MIN('Weekly Log'!$A$5:$A$5000)+7*(ROW()-10)&gt;MAX('Weekly Log'!$A$5:$A$5000),"",MIN('Weekly Log'!$A$5:$A$5000)+7*(ROW()-10)))</f>
        <v/>
      </c>
    </row>
    <row r="1308" spans="1:10" x14ac:dyDescent="0.25">
      <c r="A1308" t="str">
        <f t="shared" si="20"/>
        <v/>
      </c>
      <c r="B1308" t="str">
        <f>IF($J1308="","",SUMIFS('Weekly Log'!$C:$C,'Weekly Log'!$A:$A,"&gt;="&amp;$J1308,'Weekly Log'!$A:$A,"&lt;"&amp;$J1308+7))</f>
        <v/>
      </c>
      <c r="C1308" t="str">
        <f>IF($J1308="","",IFERROR(COUNTIFS('Weekly Log'!$G:$G,"Y",'Weekly Log'!$A:$A,"&gt;="&amp;$J1308,'Weekly Log'!$A:$A,"&lt;"&amp;$J1308+7)/COUNTIFS('Weekly Log'!$G:$G,"&lt;&gt;",'Weekly Log'!$A:$A,"&gt;="&amp;$J1308,'Weekly Log'!$A:$A,"&lt;"&amp;$J1308+7),0))</f>
        <v/>
      </c>
      <c r="D1308" t="str">
        <f>IF($J1308="","",IFERROR(COUNTIFS('Weekly Log'!$H:$H,"Y",'Weekly Log'!$A:$A,"&gt;="&amp;$J1308,'Weekly Log'!$A:$A,"&lt;"&amp;$J1308+7)/COUNTIFS('Weekly Log'!$H:$H,"&lt;&gt;",'Weekly Log'!$A:$A,"&gt;="&amp;$J1308,'Weekly Log'!$A:$A,"&lt;"&amp;$J1308+7),0))</f>
        <v/>
      </c>
      <c r="E1308" t="str">
        <f>IF($J1308="","",IFERROR(AVERAGEIFS('Weekly Log'!$F:$F,'Weekly Log'!$A:$A,"&gt;="&amp;$J1308,'Weekly Log'!$A:$A,"&lt;"&amp;$J1308+7),0))</f>
        <v/>
      </c>
      <c r="F1308" t="str">
        <f>IF($J1308="","",IFERROR(SUMIFS('Weekly Log'!$F:$F,'Weekly Log'!$A:$A,"&gt;="&amp;$J1308,'Weekly Log'!$A:$A,"&lt;"&amp;$J1308+7)/SUMIFS('Weekly Log'!$E:$E,'Weekly Log'!$A:$A,"&gt;="&amp;$J1308,'Weekly Log'!$A:$A,"&lt;"&amp;$J1308+7),0))</f>
        <v/>
      </c>
      <c r="G1308" t="str">
        <f>IF($J1308="","",IFERROR(LOOKUP(2,1/(('Weekly Log'!$A$5:$A$5000&gt;=$J1308)*('Weekly Log'!$A$5:$A$5000&lt;$J1308+7)*('Weekly Log'!$M$5:$M$5000&lt;&gt;"")),'Weekly Log'!$M$5:$M$5000),0))</f>
        <v/>
      </c>
      <c r="J1308" t="str">
        <f>IF(COUNT('Weekly Log'!$A$5:$A$5000)=0,"",IF(MIN('Weekly Log'!$A$5:$A$5000)+7*(ROW()-10)&gt;MAX('Weekly Log'!$A$5:$A$5000),"",MIN('Weekly Log'!$A$5:$A$5000)+7*(ROW()-10)))</f>
        <v/>
      </c>
    </row>
    <row r="1309" spans="1:10" x14ac:dyDescent="0.25">
      <c r="A1309" t="str">
        <f t="shared" si="20"/>
        <v/>
      </c>
      <c r="B1309" t="str">
        <f>IF($J1309="","",SUMIFS('Weekly Log'!$C:$C,'Weekly Log'!$A:$A,"&gt;="&amp;$J1309,'Weekly Log'!$A:$A,"&lt;"&amp;$J1309+7))</f>
        <v/>
      </c>
      <c r="C1309" t="str">
        <f>IF($J1309="","",IFERROR(COUNTIFS('Weekly Log'!$G:$G,"Y",'Weekly Log'!$A:$A,"&gt;="&amp;$J1309,'Weekly Log'!$A:$A,"&lt;"&amp;$J1309+7)/COUNTIFS('Weekly Log'!$G:$G,"&lt;&gt;",'Weekly Log'!$A:$A,"&gt;="&amp;$J1309,'Weekly Log'!$A:$A,"&lt;"&amp;$J1309+7),0))</f>
        <v/>
      </c>
      <c r="D1309" t="str">
        <f>IF($J1309="","",IFERROR(COUNTIFS('Weekly Log'!$H:$H,"Y",'Weekly Log'!$A:$A,"&gt;="&amp;$J1309,'Weekly Log'!$A:$A,"&lt;"&amp;$J1309+7)/COUNTIFS('Weekly Log'!$H:$H,"&lt;&gt;",'Weekly Log'!$A:$A,"&gt;="&amp;$J1309,'Weekly Log'!$A:$A,"&lt;"&amp;$J1309+7),0))</f>
        <v/>
      </c>
      <c r="E1309" t="str">
        <f>IF($J1309="","",IFERROR(AVERAGEIFS('Weekly Log'!$F:$F,'Weekly Log'!$A:$A,"&gt;="&amp;$J1309,'Weekly Log'!$A:$A,"&lt;"&amp;$J1309+7),0))</f>
        <v/>
      </c>
      <c r="F1309" t="str">
        <f>IF($J1309="","",IFERROR(SUMIFS('Weekly Log'!$F:$F,'Weekly Log'!$A:$A,"&gt;="&amp;$J1309,'Weekly Log'!$A:$A,"&lt;"&amp;$J1309+7)/SUMIFS('Weekly Log'!$E:$E,'Weekly Log'!$A:$A,"&gt;="&amp;$J1309,'Weekly Log'!$A:$A,"&lt;"&amp;$J1309+7),0))</f>
        <v/>
      </c>
      <c r="G1309" t="str">
        <f>IF($J1309="","",IFERROR(LOOKUP(2,1/(('Weekly Log'!$A$5:$A$5000&gt;=$J1309)*('Weekly Log'!$A$5:$A$5000&lt;$J1309+7)*('Weekly Log'!$M$5:$M$5000&lt;&gt;"")),'Weekly Log'!$M$5:$M$5000),0))</f>
        <v/>
      </c>
      <c r="J1309" t="str">
        <f>IF(COUNT('Weekly Log'!$A$5:$A$5000)=0,"",IF(MIN('Weekly Log'!$A$5:$A$5000)+7*(ROW()-10)&gt;MAX('Weekly Log'!$A$5:$A$5000),"",MIN('Weekly Log'!$A$5:$A$5000)+7*(ROW()-10)))</f>
        <v/>
      </c>
    </row>
    <row r="1310" spans="1:10" x14ac:dyDescent="0.25">
      <c r="A1310" t="str">
        <f t="shared" si="20"/>
        <v/>
      </c>
      <c r="B1310" t="str">
        <f>IF($J1310="","",SUMIFS('Weekly Log'!$C:$C,'Weekly Log'!$A:$A,"&gt;="&amp;$J1310,'Weekly Log'!$A:$A,"&lt;"&amp;$J1310+7))</f>
        <v/>
      </c>
      <c r="C1310" t="str">
        <f>IF($J1310="","",IFERROR(COUNTIFS('Weekly Log'!$G:$G,"Y",'Weekly Log'!$A:$A,"&gt;="&amp;$J1310,'Weekly Log'!$A:$A,"&lt;"&amp;$J1310+7)/COUNTIFS('Weekly Log'!$G:$G,"&lt;&gt;",'Weekly Log'!$A:$A,"&gt;="&amp;$J1310,'Weekly Log'!$A:$A,"&lt;"&amp;$J1310+7),0))</f>
        <v/>
      </c>
      <c r="D1310" t="str">
        <f>IF($J1310="","",IFERROR(COUNTIFS('Weekly Log'!$H:$H,"Y",'Weekly Log'!$A:$A,"&gt;="&amp;$J1310,'Weekly Log'!$A:$A,"&lt;"&amp;$J1310+7)/COUNTIFS('Weekly Log'!$H:$H,"&lt;&gt;",'Weekly Log'!$A:$A,"&gt;="&amp;$J1310,'Weekly Log'!$A:$A,"&lt;"&amp;$J1310+7),0))</f>
        <v/>
      </c>
      <c r="E1310" t="str">
        <f>IF($J1310="","",IFERROR(AVERAGEIFS('Weekly Log'!$F:$F,'Weekly Log'!$A:$A,"&gt;="&amp;$J1310,'Weekly Log'!$A:$A,"&lt;"&amp;$J1310+7),0))</f>
        <v/>
      </c>
      <c r="F1310" t="str">
        <f>IF($J1310="","",IFERROR(SUMIFS('Weekly Log'!$F:$F,'Weekly Log'!$A:$A,"&gt;="&amp;$J1310,'Weekly Log'!$A:$A,"&lt;"&amp;$J1310+7)/SUMIFS('Weekly Log'!$E:$E,'Weekly Log'!$A:$A,"&gt;="&amp;$J1310,'Weekly Log'!$A:$A,"&lt;"&amp;$J1310+7),0))</f>
        <v/>
      </c>
      <c r="G1310" t="str">
        <f>IF($J1310="","",IFERROR(LOOKUP(2,1/(('Weekly Log'!$A$5:$A$5000&gt;=$J1310)*('Weekly Log'!$A$5:$A$5000&lt;$J1310+7)*('Weekly Log'!$M$5:$M$5000&lt;&gt;"")),'Weekly Log'!$M$5:$M$5000),0))</f>
        <v/>
      </c>
      <c r="J1310" t="str">
        <f>IF(COUNT('Weekly Log'!$A$5:$A$5000)=0,"",IF(MIN('Weekly Log'!$A$5:$A$5000)+7*(ROW()-10)&gt;MAX('Weekly Log'!$A$5:$A$5000),"",MIN('Weekly Log'!$A$5:$A$5000)+7*(ROW()-10)))</f>
        <v/>
      </c>
    </row>
    <row r="1311" spans="1:10" x14ac:dyDescent="0.25">
      <c r="A1311" t="str">
        <f t="shared" si="20"/>
        <v/>
      </c>
      <c r="B1311" t="str">
        <f>IF($J1311="","",SUMIFS('Weekly Log'!$C:$C,'Weekly Log'!$A:$A,"&gt;="&amp;$J1311,'Weekly Log'!$A:$A,"&lt;"&amp;$J1311+7))</f>
        <v/>
      </c>
      <c r="C1311" t="str">
        <f>IF($J1311="","",IFERROR(COUNTIFS('Weekly Log'!$G:$G,"Y",'Weekly Log'!$A:$A,"&gt;="&amp;$J1311,'Weekly Log'!$A:$A,"&lt;"&amp;$J1311+7)/COUNTIFS('Weekly Log'!$G:$G,"&lt;&gt;",'Weekly Log'!$A:$A,"&gt;="&amp;$J1311,'Weekly Log'!$A:$A,"&lt;"&amp;$J1311+7),0))</f>
        <v/>
      </c>
      <c r="D1311" t="str">
        <f>IF($J1311="","",IFERROR(COUNTIFS('Weekly Log'!$H:$H,"Y",'Weekly Log'!$A:$A,"&gt;="&amp;$J1311,'Weekly Log'!$A:$A,"&lt;"&amp;$J1311+7)/COUNTIFS('Weekly Log'!$H:$H,"&lt;&gt;",'Weekly Log'!$A:$A,"&gt;="&amp;$J1311,'Weekly Log'!$A:$A,"&lt;"&amp;$J1311+7),0))</f>
        <v/>
      </c>
      <c r="E1311" t="str">
        <f>IF($J1311="","",IFERROR(AVERAGEIFS('Weekly Log'!$F:$F,'Weekly Log'!$A:$A,"&gt;="&amp;$J1311,'Weekly Log'!$A:$A,"&lt;"&amp;$J1311+7),0))</f>
        <v/>
      </c>
      <c r="F1311" t="str">
        <f>IF($J1311="","",IFERROR(SUMIFS('Weekly Log'!$F:$F,'Weekly Log'!$A:$A,"&gt;="&amp;$J1311,'Weekly Log'!$A:$A,"&lt;"&amp;$J1311+7)/SUMIFS('Weekly Log'!$E:$E,'Weekly Log'!$A:$A,"&gt;="&amp;$J1311,'Weekly Log'!$A:$A,"&lt;"&amp;$J1311+7),0))</f>
        <v/>
      </c>
      <c r="G1311" t="str">
        <f>IF($J1311="","",IFERROR(LOOKUP(2,1/(('Weekly Log'!$A$5:$A$5000&gt;=$J1311)*('Weekly Log'!$A$5:$A$5000&lt;$J1311+7)*('Weekly Log'!$M$5:$M$5000&lt;&gt;"")),'Weekly Log'!$M$5:$M$5000),0))</f>
        <v/>
      </c>
      <c r="J1311" t="str">
        <f>IF(COUNT('Weekly Log'!$A$5:$A$5000)=0,"",IF(MIN('Weekly Log'!$A$5:$A$5000)+7*(ROW()-10)&gt;MAX('Weekly Log'!$A$5:$A$5000),"",MIN('Weekly Log'!$A$5:$A$5000)+7*(ROW()-10)))</f>
        <v/>
      </c>
    </row>
    <row r="1312" spans="1:10" x14ac:dyDescent="0.25">
      <c r="A1312" t="str">
        <f t="shared" si="20"/>
        <v/>
      </c>
      <c r="B1312" t="str">
        <f>IF($J1312="","",SUMIFS('Weekly Log'!$C:$C,'Weekly Log'!$A:$A,"&gt;="&amp;$J1312,'Weekly Log'!$A:$A,"&lt;"&amp;$J1312+7))</f>
        <v/>
      </c>
      <c r="C1312" t="str">
        <f>IF($J1312="","",IFERROR(COUNTIFS('Weekly Log'!$G:$G,"Y",'Weekly Log'!$A:$A,"&gt;="&amp;$J1312,'Weekly Log'!$A:$A,"&lt;"&amp;$J1312+7)/COUNTIFS('Weekly Log'!$G:$G,"&lt;&gt;",'Weekly Log'!$A:$A,"&gt;="&amp;$J1312,'Weekly Log'!$A:$A,"&lt;"&amp;$J1312+7),0))</f>
        <v/>
      </c>
      <c r="D1312" t="str">
        <f>IF($J1312="","",IFERROR(COUNTIFS('Weekly Log'!$H:$H,"Y",'Weekly Log'!$A:$A,"&gt;="&amp;$J1312,'Weekly Log'!$A:$A,"&lt;"&amp;$J1312+7)/COUNTIFS('Weekly Log'!$H:$H,"&lt;&gt;",'Weekly Log'!$A:$A,"&gt;="&amp;$J1312,'Weekly Log'!$A:$A,"&lt;"&amp;$J1312+7),0))</f>
        <v/>
      </c>
      <c r="E1312" t="str">
        <f>IF($J1312="","",IFERROR(AVERAGEIFS('Weekly Log'!$F:$F,'Weekly Log'!$A:$A,"&gt;="&amp;$J1312,'Weekly Log'!$A:$A,"&lt;"&amp;$J1312+7),0))</f>
        <v/>
      </c>
      <c r="F1312" t="str">
        <f>IF($J1312="","",IFERROR(SUMIFS('Weekly Log'!$F:$F,'Weekly Log'!$A:$A,"&gt;="&amp;$J1312,'Weekly Log'!$A:$A,"&lt;"&amp;$J1312+7)/SUMIFS('Weekly Log'!$E:$E,'Weekly Log'!$A:$A,"&gt;="&amp;$J1312,'Weekly Log'!$A:$A,"&lt;"&amp;$J1312+7),0))</f>
        <v/>
      </c>
      <c r="G1312" t="str">
        <f>IF($J1312="","",IFERROR(LOOKUP(2,1/(('Weekly Log'!$A$5:$A$5000&gt;=$J1312)*('Weekly Log'!$A$5:$A$5000&lt;$J1312+7)*('Weekly Log'!$M$5:$M$5000&lt;&gt;"")),'Weekly Log'!$M$5:$M$5000),0))</f>
        <v/>
      </c>
      <c r="J1312" t="str">
        <f>IF(COUNT('Weekly Log'!$A$5:$A$5000)=0,"",IF(MIN('Weekly Log'!$A$5:$A$5000)+7*(ROW()-10)&gt;MAX('Weekly Log'!$A$5:$A$5000),"",MIN('Weekly Log'!$A$5:$A$5000)+7*(ROW()-10)))</f>
        <v/>
      </c>
    </row>
    <row r="1313" spans="1:10" x14ac:dyDescent="0.25">
      <c r="A1313" t="str">
        <f t="shared" si="20"/>
        <v/>
      </c>
      <c r="B1313" t="str">
        <f>IF($J1313="","",SUMIFS('Weekly Log'!$C:$C,'Weekly Log'!$A:$A,"&gt;="&amp;$J1313,'Weekly Log'!$A:$A,"&lt;"&amp;$J1313+7))</f>
        <v/>
      </c>
      <c r="C1313" t="str">
        <f>IF($J1313="","",IFERROR(COUNTIFS('Weekly Log'!$G:$G,"Y",'Weekly Log'!$A:$A,"&gt;="&amp;$J1313,'Weekly Log'!$A:$A,"&lt;"&amp;$J1313+7)/COUNTIFS('Weekly Log'!$G:$G,"&lt;&gt;",'Weekly Log'!$A:$A,"&gt;="&amp;$J1313,'Weekly Log'!$A:$A,"&lt;"&amp;$J1313+7),0))</f>
        <v/>
      </c>
      <c r="D1313" t="str">
        <f>IF($J1313="","",IFERROR(COUNTIFS('Weekly Log'!$H:$H,"Y",'Weekly Log'!$A:$A,"&gt;="&amp;$J1313,'Weekly Log'!$A:$A,"&lt;"&amp;$J1313+7)/COUNTIFS('Weekly Log'!$H:$H,"&lt;&gt;",'Weekly Log'!$A:$A,"&gt;="&amp;$J1313,'Weekly Log'!$A:$A,"&lt;"&amp;$J1313+7),0))</f>
        <v/>
      </c>
      <c r="E1313" t="str">
        <f>IF($J1313="","",IFERROR(AVERAGEIFS('Weekly Log'!$F:$F,'Weekly Log'!$A:$A,"&gt;="&amp;$J1313,'Weekly Log'!$A:$A,"&lt;"&amp;$J1313+7),0))</f>
        <v/>
      </c>
      <c r="F1313" t="str">
        <f>IF($J1313="","",IFERROR(SUMIFS('Weekly Log'!$F:$F,'Weekly Log'!$A:$A,"&gt;="&amp;$J1313,'Weekly Log'!$A:$A,"&lt;"&amp;$J1313+7)/SUMIFS('Weekly Log'!$E:$E,'Weekly Log'!$A:$A,"&gt;="&amp;$J1313,'Weekly Log'!$A:$A,"&lt;"&amp;$J1313+7),0))</f>
        <v/>
      </c>
      <c r="G1313" t="str">
        <f>IF($J1313="","",IFERROR(LOOKUP(2,1/(('Weekly Log'!$A$5:$A$5000&gt;=$J1313)*('Weekly Log'!$A$5:$A$5000&lt;$J1313+7)*('Weekly Log'!$M$5:$M$5000&lt;&gt;"")),'Weekly Log'!$M$5:$M$5000),0))</f>
        <v/>
      </c>
      <c r="J1313" t="str">
        <f>IF(COUNT('Weekly Log'!$A$5:$A$5000)=0,"",IF(MIN('Weekly Log'!$A$5:$A$5000)+7*(ROW()-10)&gt;MAX('Weekly Log'!$A$5:$A$5000),"",MIN('Weekly Log'!$A$5:$A$5000)+7*(ROW()-10)))</f>
        <v/>
      </c>
    </row>
    <row r="1314" spans="1:10" x14ac:dyDescent="0.25">
      <c r="A1314" t="str">
        <f t="shared" si="20"/>
        <v/>
      </c>
      <c r="B1314" t="str">
        <f>IF($J1314="","",SUMIFS('Weekly Log'!$C:$C,'Weekly Log'!$A:$A,"&gt;="&amp;$J1314,'Weekly Log'!$A:$A,"&lt;"&amp;$J1314+7))</f>
        <v/>
      </c>
      <c r="C1314" t="str">
        <f>IF($J1314="","",IFERROR(COUNTIFS('Weekly Log'!$G:$G,"Y",'Weekly Log'!$A:$A,"&gt;="&amp;$J1314,'Weekly Log'!$A:$A,"&lt;"&amp;$J1314+7)/COUNTIFS('Weekly Log'!$G:$G,"&lt;&gt;",'Weekly Log'!$A:$A,"&gt;="&amp;$J1314,'Weekly Log'!$A:$A,"&lt;"&amp;$J1314+7),0))</f>
        <v/>
      </c>
      <c r="D1314" t="str">
        <f>IF($J1314="","",IFERROR(COUNTIFS('Weekly Log'!$H:$H,"Y",'Weekly Log'!$A:$A,"&gt;="&amp;$J1314,'Weekly Log'!$A:$A,"&lt;"&amp;$J1314+7)/COUNTIFS('Weekly Log'!$H:$H,"&lt;&gt;",'Weekly Log'!$A:$A,"&gt;="&amp;$J1314,'Weekly Log'!$A:$A,"&lt;"&amp;$J1314+7),0))</f>
        <v/>
      </c>
      <c r="E1314" t="str">
        <f>IF($J1314="","",IFERROR(AVERAGEIFS('Weekly Log'!$F:$F,'Weekly Log'!$A:$A,"&gt;="&amp;$J1314,'Weekly Log'!$A:$A,"&lt;"&amp;$J1314+7),0))</f>
        <v/>
      </c>
      <c r="F1314" t="str">
        <f>IF($J1314="","",IFERROR(SUMIFS('Weekly Log'!$F:$F,'Weekly Log'!$A:$A,"&gt;="&amp;$J1314,'Weekly Log'!$A:$A,"&lt;"&amp;$J1314+7)/SUMIFS('Weekly Log'!$E:$E,'Weekly Log'!$A:$A,"&gt;="&amp;$J1314,'Weekly Log'!$A:$A,"&lt;"&amp;$J1314+7),0))</f>
        <v/>
      </c>
      <c r="G1314" t="str">
        <f>IF($J1314="","",IFERROR(LOOKUP(2,1/(('Weekly Log'!$A$5:$A$5000&gt;=$J1314)*('Weekly Log'!$A$5:$A$5000&lt;$J1314+7)*('Weekly Log'!$M$5:$M$5000&lt;&gt;"")),'Weekly Log'!$M$5:$M$5000),0))</f>
        <v/>
      </c>
      <c r="J1314" t="str">
        <f>IF(COUNT('Weekly Log'!$A$5:$A$5000)=0,"",IF(MIN('Weekly Log'!$A$5:$A$5000)+7*(ROW()-10)&gt;MAX('Weekly Log'!$A$5:$A$5000),"",MIN('Weekly Log'!$A$5:$A$5000)+7*(ROW()-10)))</f>
        <v/>
      </c>
    </row>
    <row r="1315" spans="1:10" x14ac:dyDescent="0.25">
      <c r="A1315" t="str">
        <f t="shared" si="20"/>
        <v/>
      </c>
      <c r="B1315" t="str">
        <f>IF($J1315="","",SUMIFS('Weekly Log'!$C:$C,'Weekly Log'!$A:$A,"&gt;="&amp;$J1315,'Weekly Log'!$A:$A,"&lt;"&amp;$J1315+7))</f>
        <v/>
      </c>
      <c r="C1315" t="str">
        <f>IF($J1315="","",IFERROR(COUNTIFS('Weekly Log'!$G:$G,"Y",'Weekly Log'!$A:$A,"&gt;="&amp;$J1315,'Weekly Log'!$A:$A,"&lt;"&amp;$J1315+7)/COUNTIFS('Weekly Log'!$G:$G,"&lt;&gt;",'Weekly Log'!$A:$A,"&gt;="&amp;$J1315,'Weekly Log'!$A:$A,"&lt;"&amp;$J1315+7),0))</f>
        <v/>
      </c>
      <c r="D1315" t="str">
        <f>IF($J1315="","",IFERROR(COUNTIFS('Weekly Log'!$H:$H,"Y",'Weekly Log'!$A:$A,"&gt;="&amp;$J1315,'Weekly Log'!$A:$A,"&lt;"&amp;$J1315+7)/COUNTIFS('Weekly Log'!$H:$H,"&lt;&gt;",'Weekly Log'!$A:$A,"&gt;="&amp;$J1315,'Weekly Log'!$A:$A,"&lt;"&amp;$J1315+7),0))</f>
        <v/>
      </c>
      <c r="E1315" t="str">
        <f>IF($J1315="","",IFERROR(AVERAGEIFS('Weekly Log'!$F:$F,'Weekly Log'!$A:$A,"&gt;="&amp;$J1315,'Weekly Log'!$A:$A,"&lt;"&amp;$J1315+7),0))</f>
        <v/>
      </c>
      <c r="F1315" t="str">
        <f>IF($J1315="","",IFERROR(SUMIFS('Weekly Log'!$F:$F,'Weekly Log'!$A:$A,"&gt;="&amp;$J1315,'Weekly Log'!$A:$A,"&lt;"&amp;$J1315+7)/SUMIFS('Weekly Log'!$E:$E,'Weekly Log'!$A:$A,"&gt;="&amp;$J1315,'Weekly Log'!$A:$A,"&lt;"&amp;$J1315+7),0))</f>
        <v/>
      </c>
      <c r="G1315" t="str">
        <f>IF($J1315="","",IFERROR(LOOKUP(2,1/(('Weekly Log'!$A$5:$A$5000&gt;=$J1315)*('Weekly Log'!$A$5:$A$5000&lt;$J1315+7)*('Weekly Log'!$M$5:$M$5000&lt;&gt;"")),'Weekly Log'!$M$5:$M$5000),0))</f>
        <v/>
      </c>
      <c r="J1315" t="str">
        <f>IF(COUNT('Weekly Log'!$A$5:$A$5000)=0,"",IF(MIN('Weekly Log'!$A$5:$A$5000)+7*(ROW()-10)&gt;MAX('Weekly Log'!$A$5:$A$5000),"",MIN('Weekly Log'!$A$5:$A$5000)+7*(ROW()-10)))</f>
        <v/>
      </c>
    </row>
    <row r="1316" spans="1:10" x14ac:dyDescent="0.25">
      <c r="A1316" t="str">
        <f t="shared" si="20"/>
        <v/>
      </c>
      <c r="B1316" t="str">
        <f>IF($J1316="","",SUMIFS('Weekly Log'!$C:$C,'Weekly Log'!$A:$A,"&gt;="&amp;$J1316,'Weekly Log'!$A:$A,"&lt;"&amp;$J1316+7))</f>
        <v/>
      </c>
      <c r="C1316" t="str">
        <f>IF($J1316="","",IFERROR(COUNTIFS('Weekly Log'!$G:$G,"Y",'Weekly Log'!$A:$A,"&gt;="&amp;$J1316,'Weekly Log'!$A:$A,"&lt;"&amp;$J1316+7)/COUNTIFS('Weekly Log'!$G:$G,"&lt;&gt;",'Weekly Log'!$A:$A,"&gt;="&amp;$J1316,'Weekly Log'!$A:$A,"&lt;"&amp;$J1316+7),0))</f>
        <v/>
      </c>
      <c r="D1316" t="str">
        <f>IF($J1316="","",IFERROR(COUNTIFS('Weekly Log'!$H:$H,"Y",'Weekly Log'!$A:$A,"&gt;="&amp;$J1316,'Weekly Log'!$A:$A,"&lt;"&amp;$J1316+7)/COUNTIFS('Weekly Log'!$H:$H,"&lt;&gt;",'Weekly Log'!$A:$A,"&gt;="&amp;$J1316,'Weekly Log'!$A:$A,"&lt;"&amp;$J1316+7),0))</f>
        <v/>
      </c>
      <c r="E1316" t="str">
        <f>IF($J1316="","",IFERROR(AVERAGEIFS('Weekly Log'!$F:$F,'Weekly Log'!$A:$A,"&gt;="&amp;$J1316,'Weekly Log'!$A:$A,"&lt;"&amp;$J1316+7),0))</f>
        <v/>
      </c>
      <c r="F1316" t="str">
        <f>IF($J1316="","",IFERROR(SUMIFS('Weekly Log'!$F:$F,'Weekly Log'!$A:$A,"&gt;="&amp;$J1316,'Weekly Log'!$A:$A,"&lt;"&amp;$J1316+7)/SUMIFS('Weekly Log'!$E:$E,'Weekly Log'!$A:$A,"&gt;="&amp;$J1316,'Weekly Log'!$A:$A,"&lt;"&amp;$J1316+7),0))</f>
        <v/>
      </c>
      <c r="G1316" t="str">
        <f>IF($J1316="","",IFERROR(LOOKUP(2,1/(('Weekly Log'!$A$5:$A$5000&gt;=$J1316)*('Weekly Log'!$A$5:$A$5000&lt;$J1316+7)*('Weekly Log'!$M$5:$M$5000&lt;&gt;"")),'Weekly Log'!$M$5:$M$5000),0))</f>
        <v/>
      </c>
      <c r="J1316" t="str">
        <f>IF(COUNT('Weekly Log'!$A$5:$A$5000)=0,"",IF(MIN('Weekly Log'!$A$5:$A$5000)+7*(ROW()-10)&gt;MAX('Weekly Log'!$A$5:$A$5000),"",MIN('Weekly Log'!$A$5:$A$5000)+7*(ROW()-10)))</f>
        <v/>
      </c>
    </row>
    <row r="1317" spans="1:10" x14ac:dyDescent="0.25">
      <c r="A1317" t="str">
        <f t="shared" si="20"/>
        <v/>
      </c>
      <c r="B1317" t="str">
        <f>IF($J1317="","",SUMIFS('Weekly Log'!$C:$C,'Weekly Log'!$A:$A,"&gt;="&amp;$J1317,'Weekly Log'!$A:$A,"&lt;"&amp;$J1317+7))</f>
        <v/>
      </c>
      <c r="C1317" t="str">
        <f>IF($J1317="","",IFERROR(COUNTIFS('Weekly Log'!$G:$G,"Y",'Weekly Log'!$A:$A,"&gt;="&amp;$J1317,'Weekly Log'!$A:$A,"&lt;"&amp;$J1317+7)/COUNTIFS('Weekly Log'!$G:$G,"&lt;&gt;",'Weekly Log'!$A:$A,"&gt;="&amp;$J1317,'Weekly Log'!$A:$A,"&lt;"&amp;$J1317+7),0))</f>
        <v/>
      </c>
      <c r="D1317" t="str">
        <f>IF($J1317="","",IFERROR(COUNTIFS('Weekly Log'!$H:$H,"Y",'Weekly Log'!$A:$A,"&gt;="&amp;$J1317,'Weekly Log'!$A:$A,"&lt;"&amp;$J1317+7)/COUNTIFS('Weekly Log'!$H:$H,"&lt;&gt;",'Weekly Log'!$A:$A,"&gt;="&amp;$J1317,'Weekly Log'!$A:$A,"&lt;"&amp;$J1317+7),0))</f>
        <v/>
      </c>
      <c r="E1317" t="str">
        <f>IF($J1317="","",IFERROR(AVERAGEIFS('Weekly Log'!$F:$F,'Weekly Log'!$A:$A,"&gt;="&amp;$J1317,'Weekly Log'!$A:$A,"&lt;"&amp;$J1317+7),0))</f>
        <v/>
      </c>
      <c r="F1317" t="str">
        <f>IF($J1317="","",IFERROR(SUMIFS('Weekly Log'!$F:$F,'Weekly Log'!$A:$A,"&gt;="&amp;$J1317,'Weekly Log'!$A:$A,"&lt;"&amp;$J1317+7)/SUMIFS('Weekly Log'!$E:$E,'Weekly Log'!$A:$A,"&gt;="&amp;$J1317,'Weekly Log'!$A:$A,"&lt;"&amp;$J1317+7),0))</f>
        <v/>
      </c>
      <c r="G1317" t="str">
        <f>IF($J1317="","",IFERROR(LOOKUP(2,1/(('Weekly Log'!$A$5:$A$5000&gt;=$J1317)*('Weekly Log'!$A$5:$A$5000&lt;$J1317+7)*('Weekly Log'!$M$5:$M$5000&lt;&gt;"")),'Weekly Log'!$M$5:$M$5000),0))</f>
        <v/>
      </c>
      <c r="J1317" t="str">
        <f>IF(COUNT('Weekly Log'!$A$5:$A$5000)=0,"",IF(MIN('Weekly Log'!$A$5:$A$5000)+7*(ROW()-10)&gt;MAX('Weekly Log'!$A$5:$A$5000),"",MIN('Weekly Log'!$A$5:$A$5000)+7*(ROW()-10)))</f>
        <v/>
      </c>
    </row>
    <row r="1318" spans="1:10" x14ac:dyDescent="0.25">
      <c r="A1318" t="str">
        <f t="shared" si="20"/>
        <v/>
      </c>
      <c r="B1318" t="str">
        <f>IF($J1318="","",SUMIFS('Weekly Log'!$C:$C,'Weekly Log'!$A:$A,"&gt;="&amp;$J1318,'Weekly Log'!$A:$A,"&lt;"&amp;$J1318+7))</f>
        <v/>
      </c>
      <c r="C1318" t="str">
        <f>IF($J1318="","",IFERROR(COUNTIFS('Weekly Log'!$G:$G,"Y",'Weekly Log'!$A:$A,"&gt;="&amp;$J1318,'Weekly Log'!$A:$A,"&lt;"&amp;$J1318+7)/COUNTIFS('Weekly Log'!$G:$G,"&lt;&gt;",'Weekly Log'!$A:$A,"&gt;="&amp;$J1318,'Weekly Log'!$A:$A,"&lt;"&amp;$J1318+7),0))</f>
        <v/>
      </c>
      <c r="D1318" t="str">
        <f>IF($J1318="","",IFERROR(COUNTIFS('Weekly Log'!$H:$H,"Y",'Weekly Log'!$A:$A,"&gt;="&amp;$J1318,'Weekly Log'!$A:$A,"&lt;"&amp;$J1318+7)/COUNTIFS('Weekly Log'!$H:$H,"&lt;&gt;",'Weekly Log'!$A:$A,"&gt;="&amp;$J1318,'Weekly Log'!$A:$A,"&lt;"&amp;$J1318+7),0))</f>
        <v/>
      </c>
      <c r="E1318" t="str">
        <f>IF($J1318="","",IFERROR(AVERAGEIFS('Weekly Log'!$F:$F,'Weekly Log'!$A:$A,"&gt;="&amp;$J1318,'Weekly Log'!$A:$A,"&lt;"&amp;$J1318+7),0))</f>
        <v/>
      </c>
      <c r="F1318" t="str">
        <f>IF($J1318="","",IFERROR(SUMIFS('Weekly Log'!$F:$F,'Weekly Log'!$A:$A,"&gt;="&amp;$J1318,'Weekly Log'!$A:$A,"&lt;"&amp;$J1318+7)/SUMIFS('Weekly Log'!$E:$E,'Weekly Log'!$A:$A,"&gt;="&amp;$J1318,'Weekly Log'!$A:$A,"&lt;"&amp;$J1318+7),0))</f>
        <v/>
      </c>
      <c r="G1318" t="str">
        <f>IF($J1318="","",IFERROR(LOOKUP(2,1/(('Weekly Log'!$A$5:$A$5000&gt;=$J1318)*('Weekly Log'!$A$5:$A$5000&lt;$J1318+7)*('Weekly Log'!$M$5:$M$5000&lt;&gt;"")),'Weekly Log'!$M$5:$M$5000),0))</f>
        <v/>
      </c>
      <c r="J1318" t="str">
        <f>IF(COUNT('Weekly Log'!$A$5:$A$5000)=0,"",IF(MIN('Weekly Log'!$A$5:$A$5000)+7*(ROW()-10)&gt;MAX('Weekly Log'!$A$5:$A$5000),"",MIN('Weekly Log'!$A$5:$A$5000)+7*(ROW()-10)))</f>
        <v/>
      </c>
    </row>
    <row r="1319" spans="1:10" x14ac:dyDescent="0.25">
      <c r="A1319" t="str">
        <f t="shared" si="20"/>
        <v/>
      </c>
      <c r="B1319" t="str">
        <f>IF($J1319="","",SUMIFS('Weekly Log'!$C:$C,'Weekly Log'!$A:$A,"&gt;="&amp;$J1319,'Weekly Log'!$A:$A,"&lt;"&amp;$J1319+7))</f>
        <v/>
      </c>
      <c r="C1319" t="str">
        <f>IF($J1319="","",IFERROR(COUNTIFS('Weekly Log'!$G:$G,"Y",'Weekly Log'!$A:$A,"&gt;="&amp;$J1319,'Weekly Log'!$A:$A,"&lt;"&amp;$J1319+7)/COUNTIFS('Weekly Log'!$G:$G,"&lt;&gt;",'Weekly Log'!$A:$A,"&gt;="&amp;$J1319,'Weekly Log'!$A:$A,"&lt;"&amp;$J1319+7),0))</f>
        <v/>
      </c>
      <c r="D1319" t="str">
        <f>IF($J1319="","",IFERROR(COUNTIFS('Weekly Log'!$H:$H,"Y",'Weekly Log'!$A:$A,"&gt;="&amp;$J1319,'Weekly Log'!$A:$A,"&lt;"&amp;$J1319+7)/COUNTIFS('Weekly Log'!$H:$H,"&lt;&gt;",'Weekly Log'!$A:$A,"&gt;="&amp;$J1319,'Weekly Log'!$A:$A,"&lt;"&amp;$J1319+7),0))</f>
        <v/>
      </c>
      <c r="E1319" t="str">
        <f>IF($J1319="","",IFERROR(AVERAGEIFS('Weekly Log'!$F:$F,'Weekly Log'!$A:$A,"&gt;="&amp;$J1319,'Weekly Log'!$A:$A,"&lt;"&amp;$J1319+7),0))</f>
        <v/>
      </c>
      <c r="F1319" t="str">
        <f>IF($J1319="","",IFERROR(SUMIFS('Weekly Log'!$F:$F,'Weekly Log'!$A:$A,"&gt;="&amp;$J1319,'Weekly Log'!$A:$A,"&lt;"&amp;$J1319+7)/SUMIFS('Weekly Log'!$E:$E,'Weekly Log'!$A:$A,"&gt;="&amp;$J1319,'Weekly Log'!$A:$A,"&lt;"&amp;$J1319+7),0))</f>
        <v/>
      </c>
      <c r="G1319" t="str">
        <f>IF($J1319="","",IFERROR(LOOKUP(2,1/(('Weekly Log'!$A$5:$A$5000&gt;=$J1319)*('Weekly Log'!$A$5:$A$5000&lt;$J1319+7)*('Weekly Log'!$M$5:$M$5000&lt;&gt;"")),'Weekly Log'!$M$5:$M$5000),0))</f>
        <v/>
      </c>
      <c r="J1319" t="str">
        <f>IF(COUNT('Weekly Log'!$A$5:$A$5000)=0,"",IF(MIN('Weekly Log'!$A$5:$A$5000)+7*(ROW()-10)&gt;MAX('Weekly Log'!$A$5:$A$5000),"",MIN('Weekly Log'!$A$5:$A$5000)+7*(ROW()-10)))</f>
        <v/>
      </c>
    </row>
    <row r="1320" spans="1:10" x14ac:dyDescent="0.25">
      <c r="A1320" t="str">
        <f t="shared" si="20"/>
        <v/>
      </c>
      <c r="B1320" t="str">
        <f>IF($J1320="","",SUMIFS('Weekly Log'!$C:$C,'Weekly Log'!$A:$A,"&gt;="&amp;$J1320,'Weekly Log'!$A:$A,"&lt;"&amp;$J1320+7))</f>
        <v/>
      </c>
      <c r="C1320" t="str">
        <f>IF($J1320="","",IFERROR(COUNTIFS('Weekly Log'!$G:$G,"Y",'Weekly Log'!$A:$A,"&gt;="&amp;$J1320,'Weekly Log'!$A:$A,"&lt;"&amp;$J1320+7)/COUNTIFS('Weekly Log'!$G:$G,"&lt;&gt;",'Weekly Log'!$A:$A,"&gt;="&amp;$J1320,'Weekly Log'!$A:$A,"&lt;"&amp;$J1320+7),0))</f>
        <v/>
      </c>
      <c r="D1320" t="str">
        <f>IF($J1320="","",IFERROR(COUNTIFS('Weekly Log'!$H:$H,"Y",'Weekly Log'!$A:$A,"&gt;="&amp;$J1320,'Weekly Log'!$A:$A,"&lt;"&amp;$J1320+7)/COUNTIFS('Weekly Log'!$H:$H,"&lt;&gt;",'Weekly Log'!$A:$A,"&gt;="&amp;$J1320,'Weekly Log'!$A:$A,"&lt;"&amp;$J1320+7),0))</f>
        <v/>
      </c>
      <c r="E1320" t="str">
        <f>IF($J1320="","",IFERROR(AVERAGEIFS('Weekly Log'!$F:$F,'Weekly Log'!$A:$A,"&gt;="&amp;$J1320,'Weekly Log'!$A:$A,"&lt;"&amp;$J1320+7),0))</f>
        <v/>
      </c>
      <c r="F1320" t="str">
        <f>IF($J1320="","",IFERROR(SUMIFS('Weekly Log'!$F:$F,'Weekly Log'!$A:$A,"&gt;="&amp;$J1320,'Weekly Log'!$A:$A,"&lt;"&amp;$J1320+7)/SUMIFS('Weekly Log'!$E:$E,'Weekly Log'!$A:$A,"&gt;="&amp;$J1320,'Weekly Log'!$A:$A,"&lt;"&amp;$J1320+7),0))</f>
        <v/>
      </c>
      <c r="G1320" t="str">
        <f>IF($J1320="","",IFERROR(LOOKUP(2,1/(('Weekly Log'!$A$5:$A$5000&gt;=$J1320)*('Weekly Log'!$A$5:$A$5000&lt;$J1320+7)*('Weekly Log'!$M$5:$M$5000&lt;&gt;"")),'Weekly Log'!$M$5:$M$5000),0))</f>
        <v/>
      </c>
      <c r="J1320" t="str">
        <f>IF(COUNT('Weekly Log'!$A$5:$A$5000)=0,"",IF(MIN('Weekly Log'!$A$5:$A$5000)+7*(ROW()-10)&gt;MAX('Weekly Log'!$A$5:$A$5000),"",MIN('Weekly Log'!$A$5:$A$5000)+7*(ROW()-10)))</f>
        <v/>
      </c>
    </row>
    <row r="1321" spans="1:10" x14ac:dyDescent="0.25">
      <c r="A1321" t="str">
        <f t="shared" si="20"/>
        <v/>
      </c>
      <c r="B1321" t="str">
        <f>IF($J1321="","",SUMIFS('Weekly Log'!$C:$C,'Weekly Log'!$A:$A,"&gt;="&amp;$J1321,'Weekly Log'!$A:$A,"&lt;"&amp;$J1321+7))</f>
        <v/>
      </c>
      <c r="C1321" t="str">
        <f>IF($J1321="","",IFERROR(COUNTIFS('Weekly Log'!$G:$G,"Y",'Weekly Log'!$A:$A,"&gt;="&amp;$J1321,'Weekly Log'!$A:$A,"&lt;"&amp;$J1321+7)/COUNTIFS('Weekly Log'!$G:$G,"&lt;&gt;",'Weekly Log'!$A:$A,"&gt;="&amp;$J1321,'Weekly Log'!$A:$A,"&lt;"&amp;$J1321+7),0))</f>
        <v/>
      </c>
      <c r="D1321" t="str">
        <f>IF($J1321="","",IFERROR(COUNTIFS('Weekly Log'!$H:$H,"Y",'Weekly Log'!$A:$A,"&gt;="&amp;$J1321,'Weekly Log'!$A:$A,"&lt;"&amp;$J1321+7)/COUNTIFS('Weekly Log'!$H:$H,"&lt;&gt;",'Weekly Log'!$A:$A,"&gt;="&amp;$J1321,'Weekly Log'!$A:$A,"&lt;"&amp;$J1321+7),0))</f>
        <v/>
      </c>
      <c r="E1321" t="str">
        <f>IF($J1321="","",IFERROR(AVERAGEIFS('Weekly Log'!$F:$F,'Weekly Log'!$A:$A,"&gt;="&amp;$J1321,'Weekly Log'!$A:$A,"&lt;"&amp;$J1321+7),0))</f>
        <v/>
      </c>
      <c r="F1321" t="str">
        <f>IF($J1321="","",IFERROR(SUMIFS('Weekly Log'!$F:$F,'Weekly Log'!$A:$A,"&gt;="&amp;$J1321,'Weekly Log'!$A:$A,"&lt;"&amp;$J1321+7)/SUMIFS('Weekly Log'!$E:$E,'Weekly Log'!$A:$A,"&gt;="&amp;$J1321,'Weekly Log'!$A:$A,"&lt;"&amp;$J1321+7),0))</f>
        <v/>
      </c>
      <c r="G1321" t="str">
        <f>IF($J1321="","",IFERROR(LOOKUP(2,1/(('Weekly Log'!$A$5:$A$5000&gt;=$J1321)*('Weekly Log'!$A$5:$A$5000&lt;$J1321+7)*('Weekly Log'!$M$5:$M$5000&lt;&gt;"")),'Weekly Log'!$M$5:$M$5000),0))</f>
        <v/>
      </c>
      <c r="J1321" t="str">
        <f>IF(COUNT('Weekly Log'!$A$5:$A$5000)=0,"",IF(MIN('Weekly Log'!$A$5:$A$5000)+7*(ROW()-10)&gt;MAX('Weekly Log'!$A$5:$A$5000),"",MIN('Weekly Log'!$A$5:$A$5000)+7*(ROW()-10)))</f>
        <v/>
      </c>
    </row>
    <row r="1322" spans="1:10" x14ac:dyDescent="0.25">
      <c r="A1322" t="str">
        <f t="shared" si="20"/>
        <v/>
      </c>
      <c r="B1322" t="str">
        <f>IF($J1322="","",SUMIFS('Weekly Log'!$C:$C,'Weekly Log'!$A:$A,"&gt;="&amp;$J1322,'Weekly Log'!$A:$A,"&lt;"&amp;$J1322+7))</f>
        <v/>
      </c>
      <c r="C1322" t="str">
        <f>IF($J1322="","",IFERROR(COUNTIFS('Weekly Log'!$G:$G,"Y",'Weekly Log'!$A:$A,"&gt;="&amp;$J1322,'Weekly Log'!$A:$A,"&lt;"&amp;$J1322+7)/COUNTIFS('Weekly Log'!$G:$G,"&lt;&gt;",'Weekly Log'!$A:$A,"&gt;="&amp;$J1322,'Weekly Log'!$A:$A,"&lt;"&amp;$J1322+7),0))</f>
        <v/>
      </c>
      <c r="D1322" t="str">
        <f>IF($J1322="","",IFERROR(COUNTIFS('Weekly Log'!$H:$H,"Y",'Weekly Log'!$A:$A,"&gt;="&amp;$J1322,'Weekly Log'!$A:$A,"&lt;"&amp;$J1322+7)/COUNTIFS('Weekly Log'!$H:$H,"&lt;&gt;",'Weekly Log'!$A:$A,"&gt;="&amp;$J1322,'Weekly Log'!$A:$A,"&lt;"&amp;$J1322+7),0))</f>
        <v/>
      </c>
      <c r="E1322" t="str">
        <f>IF($J1322="","",IFERROR(AVERAGEIFS('Weekly Log'!$F:$F,'Weekly Log'!$A:$A,"&gt;="&amp;$J1322,'Weekly Log'!$A:$A,"&lt;"&amp;$J1322+7),0))</f>
        <v/>
      </c>
      <c r="F1322" t="str">
        <f>IF($J1322="","",IFERROR(SUMIFS('Weekly Log'!$F:$F,'Weekly Log'!$A:$A,"&gt;="&amp;$J1322,'Weekly Log'!$A:$A,"&lt;"&amp;$J1322+7)/SUMIFS('Weekly Log'!$E:$E,'Weekly Log'!$A:$A,"&gt;="&amp;$J1322,'Weekly Log'!$A:$A,"&lt;"&amp;$J1322+7),0))</f>
        <v/>
      </c>
      <c r="G1322" t="str">
        <f>IF($J1322="","",IFERROR(LOOKUP(2,1/(('Weekly Log'!$A$5:$A$5000&gt;=$J1322)*('Weekly Log'!$A$5:$A$5000&lt;$J1322+7)*('Weekly Log'!$M$5:$M$5000&lt;&gt;"")),'Weekly Log'!$M$5:$M$5000),0))</f>
        <v/>
      </c>
      <c r="J1322" t="str">
        <f>IF(COUNT('Weekly Log'!$A$5:$A$5000)=0,"",IF(MIN('Weekly Log'!$A$5:$A$5000)+7*(ROW()-10)&gt;MAX('Weekly Log'!$A$5:$A$5000),"",MIN('Weekly Log'!$A$5:$A$5000)+7*(ROW()-10)))</f>
        <v/>
      </c>
    </row>
    <row r="1323" spans="1:10" x14ac:dyDescent="0.25">
      <c r="A1323" t="str">
        <f t="shared" si="20"/>
        <v/>
      </c>
      <c r="B1323" t="str">
        <f>IF($J1323="","",SUMIFS('Weekly Log'!$C:$C,'Weekly Log'!$A:$A,"&gt;="&amp;$J1323,'Weekly Log'!$A:$A,"&lt;"&amp;$J1323+7))</f>
        <v/>
      </c>
      <c r="C1323" t="str">
        <f>IF($J1323="","",IFERROR(COUNTIFS('Weekly Log'!$G:$G,"Y",'Weekly Log'!$A:$A,"&gt;="&amp;$J1323,'Weekly Log'!$A:$A,"&lt;"&amp;$J1323+7)/COUNTIFS('Weekly Log'!$G:$G,"&lt;&gt;",'Weekly Log'!$A:$A,"&gt;="&amp;$J1323,'Weekly Log'!$A:$A,"&lt;"&amp;$J1323+7),0))</f>
        <v/>
      </c>
      <c r="D1323" t="str">
        <f>IF($J1323="","",IFERROR(COUNTIFS('Weekly Log'!$H:$H,"Y",'Weekly Log'!$A:$A,"&gt;="&amp;$J1323,'Weekly Log'!$A:$A,"&lt;"&amp;$J1323+7)/COUNTIFS('Weekly Log'!$H:$H,"&lt;&gt;",'Weekly Log'!$A:$A,"&gt;="&amp;$J1323,'Weekly Log'!$A:$A,"&lt;"&amp;$J1323+7),0))</f>
        <v/>
      </c>
      <c r="E1323" t="str">
        <f>IF($J1323="","",IFERROR(AVERAGEIFS('Weekly Log'!$F:$F,'Weekly Log'!$A:$A,"&gt;="&amp;$J1323,'Weekly Log'!$A:$A,"&lt;"&amp;$J1323+7),0))</f>
        <v/>
      </c>
      <c r="F1323" t="str">
        <f>IF($J1323="","",IFERROR(SUMIFS('Weekly Log'!$F:$F,'Weekly Log'!$A:$A,"&gt;="&amp;$J1323,'Weekly Log'!$A:$A,"&lt;"&amp;$J1323+7)/SUMIFS('Weekly Log'!$E:$E,'Weekly Log'!$A:$A,"&gt;="&amp;$J1323,'Weekly Log'!$A:$A,"&lt;"&amp;$J1323+7),0))</f>
        <v/>
      </c>
      <c r="G1323" t="str">
        <f>IF($J1323="","",IFERROR(LOOKUP(2,1/(('Weekly Log'!$A$5:$A$5000&gt;=$J1323)*('Weekly Log'!$A$5:$A$5000&lt;$J1323+7)*('Weekly Log'!$M$5:$M$5000&lt;&gt;"")),'Weekly Log'!$M$5:$M$5000),0))</f>
        <v/>
      </c>
      <c r="J1323" t="str">
        <f>IF(COUNT('Weekly Log'!$A$5:$A$5000)=0,"",IF(MIN('Weekly Log'!$A$5:$A$5000)+7*(ROW()-10)&gt;MAX('Weekly Log'!$A$5:$A$5000),"",MIN('Weekly Log'!$A$5:$A$5000)+7*(ROW()-10)))</f>
        <v/>
      </c>
    </row>
    <row r="1324" spans="1:10" x14ac:dyDescent="0.25">
      <c r="A1324" t="str">
        <f t="shared" si="20"/>
        <v/>
      </c>
      <c r="B1324" t="str">
        <f>IF($J1324="","",SUMIFS('Weekly Log'!$C:$C,'Weekly Log'!$A:$A,"&gt;="&amp;$J1324,'Weekly Log'!$A:$A,"&lt;"&amp;$J1324+7))</f>
        <v/>
      </c>
      <c r="C1324" t="str">
        <f>IF($J1324="","",IFERROR(COUNTIFS('Weekly Log'!$G:$G,"Y",'Weekly Log'!$A:$A,"&gt;="&amp;$J1324,'Weekly Log'!$A:$A,"&lt;"&amp;$J1324+7)/COUNTIFS('Weekly Log'!$G:$G,"&lt;&gt;",'Weekly Log'!$A:$A,"&gt;="&amp;$J1324,'Weekly Log'!$A:$A,"&lt;"&amp;$J1324+7),0))</f>
        <v/>
      </c>
      <c r="D1324" t="str">
        <f>IF($J1324="","",IFERROR(COUNTIFS('Weekly Log'!$H:$H,"Y",'Weekly Log'!$A:$A,"&gt;="&amp;$J1324,'Weekly Log'!$A:$A,"&lt;"&amp;$J1324+7)/COUNTIFS('Weekly Log'!$H:$H,"&lt;&gt;",'Weekly Log'!$A:$A,"&gt;="&amp;$J1324,'Weekly Log'!$A:$A,"&lt;"&amp;$J1324+7),0))</f>
        <v/>
      </c>
      <c r="E1324" t="str">
        <f>IF($J1324="","",IFERROR(AVERAGEIFS('Weekly Log'!$F:$F,'Weekly Log'!$A:$A,"&gt;="&amp;$J1324,'Weekly Log'!$A:$A,"&lt;"&amp;$J1324+7),0))</f>
        <v/>
      </c>
      <c r="F1324" t="str">
        <f>IF($J1324="","",IFERROR(SUMIFS('Weekly Log'!$F:$F,'Weekly Log'!$A:$A,"&gt;="&amp;$J1324,'Weekly Log'!$A:$A,"&lt;"&amp;$J1324+7)/SUMIFS('Weekly Log'!$E:$E,'Weekly Log'!$A:$A,"&gt;="&amp;$J1324,'Weekly Log'!$A:$A,"&lt;"&amp;$J1324+7),0))</f>
        <v/>
      </c>
      <c r="G1324" t="str">
        <f>IF($J1324="","",IFERROR(LOOKUP(2,1/(('Weekly Log'!$A$5:$A$5000&gt;=$J1324)*('Weekly Log'!$A$5:$A$5000&lt;$J1324+7)*('Weekly Log'!$M$5:$M$5000&lt;&gt;"")),'Weekly Log'!$M$5:$M$5000),0))</f>
        <v/>
      </c>
      <c r="J1324" t="str">
        <f>IF(COUNT('Weekly Log'!$A$5:$A$5000)=0,"",IF(MIN('Weekly Log'!$A$5:$A$5000)+7*(ROW()-10)&gt;MAX('Weekly Log'!$A$5:$A$5000),"",MIN('Weekly Log'!$A$5:$A$5000)+7*(ROW()-10)))</f>
        <v/>
      </c>
    </row>
    <row r="1325" spans="1:10" x14ac:dyDescent="0.25">
      <c r="A1325" t="str">
        <f t="shared" si="20"/>
        <v/>
      </c>
      <c r="B1325" t="str">
        <f>IF($J1325="","",SUMIFS('Weekly Log'!$C:$C,'Weekly Log'!$A:$A,"&gt;="&amp;$J1325,'Weekly Log'!$A:$A,"&lt;"&amp;$J1325+7))</f>
        <v/>
      </c>
      <c r="C1325" t="str">
        <f>IF($J1325="","",IFERROR(COUNTIFS('Weekly Log'!$G:$G,"Y",'Weekly Log'!$A:$A,"&gt;="&amp;$J1325,'Weekly Log'!$A:$A,"&lt;"&amp;$J1325+7)/COUNTIFS('Weekly Log'!$G:$G,"&lt;&gt;",'Weekly Log'!$A:$A,"&gt;="&amp;$J1325,'Weekly Log'!$A:$A,"&lt;"&amp;$J1325+7),0))</f>
        <v/>
      </c>
      <c r="D1325" t="str">
        <f>IF($J1325="","",IFERROR(COUNTIFS('Weekly Log'!$H:$H,"Y",'Weekly Log'!$A:$A,"&gt;="&amp;$J1325,'Weekly Log'!$A:$A,"&lt;"&amp;$J1325+7)/COUNTIFS('Weekly Log'!$H:$H,"&lt;&gt;",'Weekly Log'!$A:$A,"&gt;="&amp;$J1325,'Weekly Log'!$A:$A,"&lt;"&amp;$J1325+7),0))</f>
        <v/>
      </c>
      <c r="E1325" t="str">
        <f>IF($J1325="","",IFERROR(AVERAGEIFS('Weekly Log'!$F:$F,'Weekly Log'!$A:$A,"&gt;="&amp;$J1325,'Weekly Log'!$A:$A,"&lt;"&amp;$J1325+7),0))</f>
        <v/>
      </c>
      <c r="F1325" t="str">
        <f>IF($J1325="","",IFERROR(SUMIFS('Weekly Log'!$F:$F,'Weekly Log'!$A:$A,"&gt;="&amp;$J1325,'Weekly Log'!$A:$A,"&lt;"&amp;$J1325+7)/SUMIFS('Weekly Log'!$E:$E,'Weekly Log'!$A:$A,"&gt;="&amp;$J1325,'Weekly Log'!$A:$A,"&lt;"&amp;$J1325+7),0))</f>
        <v/>
      </c>
      <c r="G1325" t="str">
        <f>IF($J1325="","",IFERROR(LOOKUP(2,1/(('Weekly Log'!$A$5:$A$5000&gt;=$J1325)*('Weekly Log'!$A$5:$A$5000&lt;$J1325+7)*('Weekly Log'!$M$5:$M$5000&lt;&gt;"")),'Weekly Log'!$M$5:$M$5000),0))</f>
        <v/>
      </c>
      <c r="J1325" t="str">
        <f>IF(COUNT('Weekly Log'!$A$5:$A$5000)=0,"",IF(MIN('Weekly Log'!$A$5:$A$5000)+7*(ROW()-10)&gt;MAX('Weekly Log'!$A$5:$A$5000),"",MIN('Weekly Log'!$A$5:$A$5000)+7*(ROW()-10)))</f>
        <v/>
      </c>
    </row>
    <row r="1326" spans="1:10" x14ac:dyDescent="0.25">
      <c r="A1326" t="str">
        <f t="shared" si="20"/>
        <v/>
      </c>
      <c r="B1326" t="str">
        <f>IF($J1326="","",SUMIFS('Weekly Log'!$C:$C,'Weekly Log'!$A:$A,"&gt;="&amp;$J1326,'Weekly Log'!$A:$A,"&lt;"&amp;$J1326+7))</f>
        <v/>
      </c>
      <c r="C1326" t="str">
        <f>IF($J1326="","",IFERROR(COUNTIFS('Weekly Log'!$G:$G,"Y",'Weekly Log'!$A:$A,"&gt;="&amp;$J1326,'Weekly Log'!$A:$A,"&lt;"&amp;$J1326+7)/COUNTIFS('Weekly Log'!$G:$G,"&lt;&gt;",'Weekly Log'!$A:$A,"&gt;="&amp;$J1326,'Weekly Log'!$A:$A,"&lt;"&amp;$J1326+7),0))</f>
        <v/>
      </c>
      <c r="D1326" t="str">
        <f>IF($J1326="","",IFERROR(COUNTIFS('Weekly Log'!$H:$H,"Y",'Weekly Log'!$A:$A,"&gt;="&amp;$J1326,'Weekly Log'!$A:$A,"&lt;"&amp;$J1326+7)/COUNTIFS('Weekly Log'!$H:$H,"&lt;&gt;",'Weekly Log'!$A:$A,"&gt;="&amp;$J1326,'Weekly Log'!$A:$A,"&lt;"&amp;$J1326+7),0))</f>
        <v/>
      </c>
      <c r="E1326" t="str">
        <f>IF($J1326="","",IFERROR(AVERAGEIFS('Weekly Log'!$F:$F,'Weekly Log'!$A:$A,"&gt;="&amp;$J1326,'Weekly Log'!$A:$A,"&lt;"&amp;$J1326+7),0))</f>
        <v/>
      </c>
      <c r="F1326" t="str">
        <f>IF($J1326="","",IFERROR(SUMIFS('Weekly Log'!$F:$F,'Weekly Log'!$A:$A,"&gt;="&amp;$J1326,'Weekly Log'!$A:$A,"&lt;"&amp;$J1326+7)/SUMIFS('Weekly Log'!$E:$E,'Weekly Log'!$A:$A,"&gt;="&amp;$J1326,'Weekly Log'!$A:$A,"&lt;"&amp;$J1326+7),0))</f>
        <v/>
      </c>
      <c r="G1326" t="str">
        <f>IF($J1326="","",IFERROR(LOOKUP(2,1/(('Weekly Log'!$A$5:$A$5000&gt;=$J1326)*('Weekly Log'!$A$5:$A$5000&lt;$J1326+7)*('Weekly Log'!$M$5:$M$5000&lt;&gt;"")),'Weekly Log'!$M$5:$M$5000),0))</f>
        <v/>
      </c>
      <c r="J1326" t="str">
        <f>IF(COUNT('Weekly Log'!$A$5:$A$5000)=0,"",IF(MIN('Weekly Log'!$A$5:$A$5000)+7*(ROW()-10)&gt;MAX('Weekly Log'!$A$5:$A$5000),"",MIN('Weekly Log'!$A$5:$A$5000)+7*(ROW()-10)))</f>
        <v/>
      </c>
    </row>
    <row r="1327" spans="1:10" x14ac:dyDescent="0.25">
      <c r="A1327" t="str">
        <f t="shared" si="20"/>
        <v/>
      </c>
      <c r="B1327" t="str">
        <f>IF($J1327="","",SUMIFS('Weekly Log'!$C:$C,'Weekly Log'!$A:$A,"&gt;="&amp;$J1327,'Weekly Log'!$A:$A,"&lt;"&amp;$J1327+7))</f>
        <v/>
      </c>
      <c r="C1327" t="str">
        <f>IF($J1327="","",IFERROR(COUNTIFS('Weekly Log'!$G:$G,"Y",'Weekly Log'!$A:$A,"&gt;="&amp;$J1327,'Weekly Log'!$A:$A,"&lt;"&amp;$J1327+7)/COUNTIFS('Weekly Log'!$G:$G,"&lt;&gt;",'Weekly Log'!$A:$A,"&gt;="&amp;$J1327,'Weekly Log'!$A:$A,"&lt;"&amp;$J1327+7),0))</f>
        <v/>
      </c>
      <c r="D1327" t="str">
        <f>IF($J1327="","",IFERROR(COUNTIFS('Weekly Log'!$H:$H,"Y",'Weekly Log'!$A:$A,"&gt;="&amp;$J1327,'Weekly Log'!$A:$A,"&lt;"&amp;$J1327+7)/COUNTIFS('Weekly Log'!$H:$H,"&lt;&gt;",'Weekly Log'!$A:$A,"&gt;="&amp;$J1327,'Weekly Log'!$A:$A,"&lt;"&amp;$J1327+7),0))</f>
        <v/>
      </c>
      <c r="E1327" t="str">
        <f>IF($J1327="","",IFERROR(AVERAGEIFS('Weekly Log'!$F:$F,'Weekly Log'!$A:$A,"&gt;="&amp;$J1327,'Weekly Log'!$A:$A,"&lt;"&amp;$J1327+7),0))</f>
        <v/>
      </c>
      <c r="F1327" t="str">
        <f>IF($J1327="","",IFERROR(SUMIFS('Weekly Log'!$F:$F,'Weekly Log'!$A:$A,"&gt;="&amp;$J1327,'Weekly Log'!$A:$A,"&lt;"&amp;$J1327+7)/SUMIFS('Weekly Log'!$E:$E,'Weekly Log'!$A:$A,"&gt;="&amp;$J1327,'Weekly Log'!$A:$A,"&lt;"&amp;$J1327+7),0))</f>
        <v/>
      </c>
      <c r="G1327" t="str">
        <f>IF($J1327="","",IFERROR(LOOKUP(2,1/(('Weekly Log'!$A$5:$A$5000&gt;=$J1327)*('Weekly Log'!$A$5:$A$5000&lt;$J1327+7)*('Weekly Log'!$M$5:$M$5000&lt;&gt;"")),'Weekly Log'!$M$5:$M$5000),0))</f>
        <v/>
      </c>
      <c r="J1327" t="str">
        <f>IF(COUNT('Weekly Log'!$A$5:$A$5000)=0,"",IF(MIN('Weekly Log'!$A$5:$A$5000)+7*(ROW()-10)&gt;MAX('Weekly Log'!$A$5:$A$5000),"",MIN('Weekly Log'!$A$5:$A$5000)+7*(ROW()-10)))</f>
        <v/>
      </c>
    </row>
    <row r="1328" spans="1:10" x14ac:dyDescent="0.25">
      <c r="A1328" t="str">
        <f t="shared" si="20"/>
        <v/>
      </c>
      <c r="B1328" t="str">
        <f>IF($J1328="","",SUMIFS('Weekly Log'!$C:$C,'Weekly Log'!$A:$A,"&gt;="&amp;$J1328,'Weekly Log'!$A:$A,"&lt;"&amp;$J1328+7))</f>
        <v/>
      </c>
      <c r="C1328" t="str">
        <f>IF($J1328="","",IFERROR(COUNTIFS('Weekly Log'!$G:$G,"Y",'Weekly Log'!$A:$A,"&gt;="&amp;$J1328,'Weekly Log'!$A:$A,"&lt;"&amp;$J1328+7)/COUNTIFS('Weekly Log'!$G:$G,"&lt;&gt;",'Weekly Log'!$A:$A,"&gt;="&amp;$J1328,'Weekly Log'!$A:$A,"&lt;"&amp;$J1328+7),0))</f>
        <v/>
      </c>
      <c r="D1328" t="str">
        <f>IF($J1328="","",IFERROR(COUNTIFS('Weekly Log'!$H:$H,"Y",'Weekly Log'!$A:$A,"&gt;="&amp;$J1328,'Weekly Log'!$A:$A,"&lt;"&amp;$J1328+7)/COUNTIFS('Weekly Log'!$H:$H,"&lt;&gt;",'Weekly Log'!$A:$A,"&gt;="&amp;$J1328,'Weekly Log'!$A:$A,"&lt;"&amp;$J1328+7),0))</f>
        <v/>
      </c>
      <c r="E1328" t="str">
        <f>IF($J1328="","",IFERROR(AVERAGEIFS('Weekly Log'!$F:$F,'Weekly Log'!$A:$A,"&gt;="&amp;$J1328,'Weekly Log'!$A:$A,"&lt;"&amp;$J1328+7),0))</f>
        <v/>
      </c>
      <c r="F1328" t="str">
        <f>IF($J1328="","",IFERROR(SUMIFS('Weekly Log'!$F:$F,'Weekly Log'!$A:$A,"&gt;="&amp;$J1328,'Weekly Log'!$A:$A,"&lt;"&amp;$J1328+7)/SUMIFS('Weekly Log'!$E:$E,'Weekly Log'!$A:$A,"&gt;="&amp;$J1328,'Weekly Log'!$A:$A,"&lt;"&amp;$J1328+7),0))</f>
        <v/>
      </c>
      <c r="G1328" t="str">
        <f>IF($J1328="","",IFERROR(LOOKUP(2,1/(('Weekly Log'!$A$5:$A$5000&gt;=$J1328)*('Weekly Log'!$A$5:$A$5000&lt;$J1328+7)*('Weekly Log'!$M$5:$M$5000&lt;&gt;"")),'Weekly Log'!$M$5:$M$5000),0))</f>
        <v/>
      </c>
      <c r="J1328" t="str">
        <f>IF(COUNT('Weekly Log'!$A$5:$A$5000)=0,"",IF(MIN('Weekly Log'!$A$5:$A$5000)+7*(ROW()-10)&gt;MAX('Weekly Log'!$A$5:$A$5000),"",MIN('Weekly Log'!$A$5:$A$5000)+7*(ROW()-10)))</f>
        <v/>
      </c>
    </row>
    <row r="1329" spans="1:10" x14ac:dyDescent="0.25">
      <c r="A1329" t="str">
        <f t="shared" si="20"/>
        <v/>
      </c>
      <c r="B1329" t="str">
        <f>IF($J1329="","",SUMIFS('Weekly Log'!$C:$C,'Weekly Log'!$A:$A,"&gt;="&amp;$J1329,'Weekly Log'!$A:$A,"&lt;"&amp;$J1329+7))</f>
        <v/>
      </c>
      <c r="C1329" t="str">
        <f>IF($J1329="","",IFERROR(COUNTIFS('Weekly Log'!$G:$G,"Y",'Weekly Log'!$A:$A,"&gt;="&amp;$J1329,'Weekly Log'!$A:$A,"&lt;"&amp;$J1329+7)/COUNTIFS('Weekly Log'!$G:$G,"&lt;&gt;",'Weekly Log'!$A:$A,"&gt;="&amp;$J1329,'Weekly Log'!$A:$A,"&lt;"&amp;$J1329+7),0))</f>
        <v/>
      </c>
      <c r="D1329" t="str">
        <f>IF($J1329="","",IFERROR(COUNTIFS('Weekly Log'!$H:$H,"Y",'Weekly Log'!$A:$A,"&gt;="&amp;$J1329,'Weekly Log'!$A:$A,"&lt;"&amp;$J1329+7)/COUNTIFS('Weekly Log'!$H:$H,"&lt;&gt;",'Weekly Log'!$A:$A,"&gt;="&amp;$J1329,'Weekly Log'!$A:$A,"&lt;"&amp;$J1329+7),0))</f>
        <v/>
      </c>
      <c r="E1329" t="str">
        <f>IF($J1329="","",IFERROR(AVERAGEIFS('Weekly Log'!$F:$F,'Weekly Log'!$A:$A,"&gt;="&amp;$J1329,'Weekly Log'!$A:$A,"&lt;"&amp;$J1329+7),0))</f>
        <v/>
      </c>
      <c r="F1329" t="str">
        <f>IF($J1329="","",IFERROR(SUMIFS('Weekly Log'!$F:$F,'Weekly Log'!$A:$A,"&gt;="&amp;$J1329,'Weekly Log'!$A:$A,"&lt;"&amp;$J1329+7)/SUMIFS('Weekly Log'!$E:$E,'Weekly Log'!$A:$A,"&gt;="&amp;$J1329,'Weekly Log'!$A:$A,"&lt;"&amp;$J1329+7),0))</f>
        <v/>
      </c>
      <c r="G1329" t="str">
        <f>IF($J1329="","",IFERROR(LOOKUP(2,1/(('Weekly Log'!$A$5:$A$5000&gt;=$J1329)*('Weekly Log'!$A$5:$A$5000&lt;$J1329+7)*('Weekly Log'!$M$5:$M$5000&lt;&gt;"")),'Weekly Log'!$M$5:$M$5000),0))</f>
        <v/>
      </c>
      <c r="J1329" t="str">
        <f>IF(COUNT('Weekly Log'!$A$5:$A$5000)=0,"",IF(MIN('Weekly Log'!$A$5:$A$5000)+7*(ROW()-10)&gt;MAX('Weekly Log'!$A$5:$A$5000),"",MIN('Weekly Log'!$A$5:$A$5000)+7*(ROW()-10)))</f>
        <v/>
      </c>
    </row>
    <row r="1330" spans="1:10" x14ac:dyDescent="0.25">
      <c r="A1330" t="str">
        <f t="shared" si="20"/>
        <v/>
      </c>
      <c r="B1330" t="str">
        <f>IF($J1330="","",SUMIFS('Weekly Log'!$C:$C,'Weekly Log'!$A:$A,"&gt;="&amp;$J1330,'Weekly Log'!$A:$A,"&lt;"&amp;$J1330+7))</f>
        <v/>
      </c>
      <c r="C1330" t="str">
        <f>IF($J1330="","",IFERROR(COUNTIFS('Weekly Log'!$G:$G,"Y",'Weekly Log'!$A:$A,"&gt;="&amp;$J1330,'Weekly Log'!$A:$A,"&lt;"&amp;$J1330+7)/COUNTIFS('Weekly Log'!$G:$G,"&lt;&gt;",'Weekly Log'!$A:$A,"&gt;="&amp;$J1330,'Weekly Log'!$A:$A,"&lt;"&amp;$J1330+7),0))</f>
        <v/>
      </c>
      <c r="D1330" t="str">
        <f>IF($J1330="","",IFERROR(COUNTIFS('Weekly Log'!$H:$H,"Y",'Weekly Log'!$A:$A,"&gt;="&amp;$J1330,'Weekly Log'!$A:$A,"&lt;"&amp;$J1330+7)/COUNTIFS('Weekly Log'!$H:$H,"&lt;&gt;",'Weekly Log'!$A:$A,"&gt;="&amp;$J1330,'Weekly Log'!$A:$A,"&lt;"&amp;$J1330+7),0))</f>
        <v/>
      </c>
      <c r="E1330" t="str">
        <f>IF($J1330="","",IFERROR(AVERAGEIFS('Weekly Log'!$F:$F,'Weekly Log'!$A:$A,"&gt;="&amp;$J1330,'Weekly Log'!$A:$A,"&lt;"&amp;$J1330+7),0))</f>
        <v/>
      </c>
      <c r="F1330" t="str">
        <f>IF($J1330="","",IFERROR(SUMIFS('Weekly Log'!$F:$F,'Weekly Log'!$A:$A,"&gt;="&amp;$J1330,'Weekly Log'!$A:$A,"&lt;"&amp;$J1330+7)/SUMIFS('Weekly Log'!$E:$E,'Weekly Log'!$A:$A,"&gt;="&amp;$J1330,'Weekly Log'!$A:$A,"&lt;"&amp;$J1330+7),0))</f>
        <v/>
      </c>
      <c r="G1330" t="str">
        <f>IF($J1330="","",IFERROR(LOOKUP(2,1/(('Weekly Log'!$A$5:$A$5000&gt;=$J1330)*('Weekly Log'!$A$5:$A$5000&lt;$J1330+7)*('Weekly Log'!$M$5:$M$5000&lt;&gt;"")),'Weekly Log'!$M$5:$M$5000),0))</f>
        <v/>
      </c>
      <c r="J1330" t="str">
        <f>IF(COUNT('Weekly Log'!$A$5:$A$5000)=0,"",IF(MIN('Weekly Log'!$A$5:$A$5000)+7*(ROW()-10)&gt;MAX('Weekly Log'!$A$5:$A$5000),"",MIN('Weekly Log'!$A$5:$A$5000)+7*(ROW()-10)))</f>
        <v/>
      </c>
    </row>
    <row r="1331" spans="1:10" x14ac:dyDescent="0.25">
      <c r="A1331" t="str">
        <f t="shared" si="20"/>
        <v/>
      </c>
      <c r="B1331" t="str">
        <f>IF($J1331="","",SUMIFS('Weekly Log'!$C:$C,'Weekly Log'!$A:$A,"&gt;="&amp;$J1331,'Weekly Log'!$A:$A,"&lt;"&amp;$J1331+7))</f>
        <v/>
      </c>
      <c r="C1331" t="str">
        <f>IF($J1331="","",IFERROR(COUNTIFS('Weekly Log'!$G:$G,"Y",'Weekly Log'!$A:$A,"&gt;="&amp;$J1331,'Weekly Log'!$A:$A,"&lt;"&amp;$J1331+7)/COUNTIFS('Weekly Log'!$G:$G,"&lt;&gt;",'Weekly Log'!$A:$A,"&gt;="&amp;$J1331,'Weekly Log'!$A:$A,"&lt;"&amp;$J1331+7),0))</f>
        <v/>
      </c>
      <c r="D1331" t="str">
        <f>IF($J1331="","",IFERROR(COUNTIFS('Weekly Log'!$H:$H,"Y",'Weekly Log'!$A:$A,"&gt;="&amp;$J1331,'Weekly Log'!$A:$A,"&lt;"&amp;$J1331+7)/COUNTIFS('Weekly Log'!$H:$H,"&lt;&gt;",'Weekly Log'!$A:$A,"&gt;="&amp;$J1331,'Weekly Log'!$A:$A,"&lt;"&amp;$J1331+7),0))</f>
        <v/>
      </c>
      <c r="E1331" t="str">
        <f>IF($J1331="","",IFERROR(AVERAGEIFS('Weekly Log'!$F:$F,'Weekly Log'!$A:$A,"&gt;="&amp;$J1331,'Weekly Log'!$A:$A,"&lt;"&amp;$J1331+7),0))</f>
        <v/>
      </c>
      <c r="F1331" t="str">
        <f>IF($J1331="","",IFERROR(SUMIFS('Weekly Log'!$F:$F,'Weekly Log'!$A:$A,"&gt;="&amp;$J1331,'Weekly Log'!$A:$A,"&lt;"&amp;$J1331+7)/SUMIFS('Weekly Log'!$E:$E,'Weekly Log'!$A:$A,"&gt;="&amp;$J1331,'Weekly Log'!$A:$A,"&lt;"&amp;$J1331+7),0))</f>
        <v/>
      </c>
      <c r="G1331" t="str">
        <f>IF($J1331="","",IFERROR(LOOKUP(2,1/(('Weekly Log'!$A$5:$A$5000&gt;=$J1331)*('Weekly Log'!$A$5:$A$5000&lt;$J1331+7)*('Weekly Log'!$M$5:$M$5000&lt;&gt;"")),'Weekly Log'!$M$5:$M$5000),0))</f>
        <v/>
      </c>
      <c r="J1331" t="str">
        <f>IF(COUNT('Weekly Log'!$A$5:$A$5000)=0,"",IF(MIN('Weekly Log'!$A$5:$A$5000)+7*(ROW()-10)&gt;MAX('Weekly Log'!$A$5:$A$5000),"",MIN('Weekly Log'!$A$5:$A$5000)+7*(ROW()-10)))</f>
        <v/>
      </c>
    </row>
    <row r="1332" spans="1:10" x14ac:dyDescent="0.25">
      <c r="A1332" t="str">
        <f t="shared" si="20"/>
        <v/>
      </c>
      <c r="B1332" t="str">
        <f>IF($J1332="","",SUMIFS('Weekly Log'!$C:$C,'Weekly Log'!$A:$A,"&gt;="&amp;$J1332,'Weekly Log'!$A:$A,"&lt;"&amp;$J1332+7))</f>
        <v/>
      </c>
      <c r="C1332" t="str">
        <f>IF($J1332="","",IFERROR(COUNTIFS('Weekly Log'!$G:$G,"Y",'Weekly Log'!$A:$A,"&gt;="&amp;$J1332,'Weekly Log'!$A:$A,"&lt;"&amp;$J1332+7)/COUNTIFS('Weekly Log'!$G:$G,"&lt;&gt;",'Weekly Log'!$A:$A,"&gt;="&amp;$J1332,'Weekly Log'!$A:$A,"&lt;"&amp;$J1332+7),0))</f>
        <v/>
      </c>
      <c r="D1332" t="str">
        <f>IF($J1332="","",IFERROR(COUNTIFS('Weekly Log'!$H:$H,"Y",'Weekly Log'!$A:$A,"&gt;="&amp;$J1332,'Weekly Log'!$A:$A,"&lt;"&amp;$J1332+7)/COUNTIFS('Weekly Log'!$H:$H,"&lt;&gt;",'Weekly Log'!$A:$A,"&gt;="&amp;$J1332,'Weekly Log'!$A:$A,"&lt;"&amp;$J1332+7),0))</f>
        <v/>
      </c>
      <c r="E1332" t="str">
        <f>IF($J1332="","",IFERROR(AVERAGEIFS('Weekly Log'!$F:$F,'Weekly Log'!$A:$A,"&gt;="&amp;$J1332,'Weekly Log'!$A:$A,"&lt;"&amp;$J1332+7),0))</f>
        <v/>
      </c>
      <c r="F1332" t="str">
        <f>IF($J1332="","",IFERROR(SUMIFS('Weekly Log'!$F:$F,'Weekly Log'!$A:$A,"&gt;="&amp;$J1332,'Weekly Log'!$A:$A,"&lt;"&amp;$J1332+7)/SUMIFS('Weekly Log'!$E:$E,'Weekly Log'!$A:$A,"&gt;="&amp;$J1332,'Weekly Log'!$A:$A,"&lt;"&amp;$J1332+7),0))</f>
        <v/>
      </c>
      <c r="G1332" t="str">
        <f>IF($J1332="","",IFERROR(LOOKUP(2,1/(('Weekly Log'!$A$5:$A$5000&gt;=$J1332)*('Weekly Log'!$A$5:$A$5000&lt;$J1332+7)*('Weekly Log'!$M$5:$M$5000&lt;&gt;"")),'Weekly Log'!$M$5:$M$5000),0))</f>
        <v/>
      </c>
      <c r="J1332" t="str">
        <f>IF(COUNT('Weekly Log'!$A$5:$A$5000)=0,"",IF(MIN('Weekly Log'!$A$5:$A$5000)+7*(ROW()-10)&gt;MAX('Weekly Log'!$A$5:$A$5000),"",MIN('Weekly Log'!$A$5:$A$5000)+7*(ROW()-10)))</f>
        <v/>
      </c>
    </row>
    <row r="1333" spans="1:10" x14ac:dyDescent="0.25">
      <c r="A1333" t="str">
        <f t="shared" si="20"/>
        <v/>
      </c>
      <c r="B1333" t="str">
        <f>IF($J1333="","",SUMIFS('Weekly Log'!$C:$C,'Weekly Log'!$A:$A,"&gt;="&amp;$J1333,'Weekly Log'!$A:$A,"&lt;"&amp;$J1333+7))</f>
        <v/>
      </c>
      <c r="C1333" t="str">
        <f>IF($J1333="","",IFERROR(COUNTIFS('Weekly Log'!$G:$G,"Y",'Weekly Log'!$A:$A,"&gt;="&amp;$J1333,'Weekly Log'!$A:$A,"&lt;"&amp;$J1333+7)/COUNTIFS('Weekly Log'!$G:$G,"&lt;&gt;",'Weekly Log'!$A:$A,"&gt;="&amp;$J1333,'Weekly Log'!$A:$A,"&lt;"&amp;$J1333+7),0))</f>
        <v/>
      </c>
      <c r="D1333" t="str">
        <f>IF($J1333="","",IFERROR(COUNTIFS('Weekly Log'!$H:$H,"Y",'Weekly Log'!$A:$A,"&gt;="&amp;$J1333,'Weekly Log'!$A:$A,"&lt;"&amp;$J1333+7)/COUNTIFS('Weekly Log'!$H:$H,"&lt;&gt;",'Weekly Log'!$A:$A,"&gt;="&amp;$J1333,'Weekly Log'!$A:$A,"&lt;"&amp;$J1333+7),0))</f>
        <v/>
      </c>
      <c r="E1333" t="str">
        <f>IF($J1333="","",IFERROR(AVERAGEIFS('Weekly Log'!$F:$F,'Weekly Log'!$A:$A,"&gt;="&amp;$J1333,'Weekly Log'!$A:$A,"&lt;"&amp;$J1333+7),0))</f>
        <v/>
      </c>
      <c r="F1333" t="str">
        <f>IF($J1333="","",IFERROR(SUMIFS('Weekly Log'!$F:$F,'Weekly Log'!$A:$A,"&gt;="&amp;$J1333,'Weekly Log'!$A:$A,"&lt;"&amp;$J1333+7)/SUMIFS('Weekly Log'!$E:$E,'Weekly Log'!$A:$A,"&gt;="&amp;$J1333,'Weekly Log'!$A:$A,"&lt;"&amp;$J1333+7),0))</f>
        <v/>
      </c>
      <c r="G1333" t="str">
        <f>IF($J1333="","",IFERROR(LOOKUP(2,1/(('Weekly Log'!$A$5:$A$5000&gt;=$J1333)*('Weekly Log'!$A$5:$A$5000&lt;$J1333+7)*('Weekly Log'!$M$5:$M$5000&lt;&gt;"")),'Weekly Log'!$M$5:$M$5000),0))</f>
        <v/>
      </c>
      <c r="J1333" t="str">
        <f>IF(COUNT('Weekly Log'!$A$5:$A$5000)=0,"",IF(MIN('Weekly Log'!$A$5:$A$5000)+7*(ROW()-10)&gt;MAX('Weekly Log'!$A$5:$A$5000),"",MIN('Weekly Log'!$A$5:$A$5000)+7*(ROW()-10)))</f>
        <v/>
      </c>
    </row>
    <row r="1334" spans="1:10" x14ac:dyDescent="0.25">
      <c r="A1334" t="str">
        <f t="shared" si="20"/>
        <v/>
      </c>
      <c r="B1334" t="str">
        <f>IF($J1334="","",SUMIFS('Weekly Log'!$C:$C,'Weekly Log'!$A:$A,"&gt;="&amp;$J1334,'Weekly Log'!$A:$A,"&lt;"&amp;$J1334+7))</f>
        <v/>
      </c>
      <c r="C1334" t="str">
        <f>IF($J1334="","",IFERROR(COUNTIFS('Weekly Log'!$G:$G,"Y",'Weekly Log'!$A:$A,"&gt;="&amp;$J1334,'Weekly Log'!$A:$A,"&lt;"&amp;$J1334+7)/COUNTIFS('Weekly Log'!$G:$G,"&lt;&gt;",'Weekly Log'!$A:$A,"&gt;="&amp;$J1334,'Weekly Log'!$A:$A,"&lt;"&amp;$J1334+7),0))</f>
        <v/>
      </c>
      <c r="D1334" t="str">
        <f>IF($J1334="","",IFERROR(COUNTIFS('Weekly Log'!$H:$H,"Y",'Weekly Log'!$A:$A,"&gt;="&amp;$J1334,'Weekly Log'!$A:$A,"&lt;"&amp;$J1334+7)/COUNTIFS('Weekly Log'!$H:$H,"&lt;&gt;",'Weekly Log'!$A:$A,"&gt;="&amp;$J1334,'Weekly Log'!$A:$A,"&lt;"&amp;$J1334+7),0))</f>
        <v/>
      </c>
      <c r="E1334" t="str">
        <f>IF($J1334="","",IFERROR(AVERAGEIFS('Weekly Log'!$F:$F,'Weekly Log'!$A:$A,"&gt;="&amp;$J1334,'Weekly Log'!$A:$A,"&lt;"&amp;$J1334+7),0))</f>
        <v/>
      </c>
      <c r="F1334" t="str">
        <f>IF($J1334="","",IFERROR(SUMIFS('Weekly Log'!$F:$F,'Weekly Log'!$A:$A,"&gt;="&amp;$J1334,'Weekly Log'!$A:$A,"&lt;"&amp;$J1334+7)/SUMIFS('Weekly Log'!$E:$E,'Weekly Log'!$A:$A,"&gt;="&amp;$J1334,'Weekly Log'!$A:$A,"&lt;"&amp;$J1334+7),0))</f>
        <v/>
      </c>
      <c r="G1334" t="str">
        <f>IF($J1334="","",IFERROR(LOOKUP(2,1/(('Weekly Log'!$A$5:$A$5000&gt;=$J1334)*('Weekly Log'!$A$5:$A$5000&lt;$J1334+7)*('Weekly Log'!$M$5:$M$5000&lt;&gt;"")),'Weekly Log'!$M$5:$M$5000),0))</f>
        <v/>
      </c>
      <c r="J1334" t="str">
        <f>IF(COUNT('Weekly Log'!$A$5:$A$5000)=0,"",IF(MIN('Weekly Log'!$A$5:$A$5000)+7*(ROW()-10)&gt;MAX('Weekly Log'!$A$5:$A$5000),"",MIN('Weekly Log'!$A$5:$A$5000)+7*(ROW()-10)))</f>
        <v/>
      </c>
    </row>
    <row r="1335" spans="1:10" x14ac:dyDescent="0.25">
      <c r="A1335" t="str">
        <f t="shared" si="20"/>
        <v/>
      </c>
      <c r="B1335" t="str">
        <f>IF($J1335="","",SUMIFS('Weekly Log'!$C:$C,'Weekly Log'!$A:$A,"&gt;="&amp;$J1335,'Weekly Log'!$A:$A,"&lt;"&amp;$J1335+7))</f>
        <v/>
      </c>
      <c r="C1335" t="str">
        <f>IF($J1335="","",IFERROR(COUNTIFS('Weekly Log'!$G:$G,"Y",'Weekly Log'!$A:$A,"&gt;="&amp;$J1335,'Weekly Log'!$A:$A,"&lt;"&amp;$J1335+7)/COUNTIFS('Weekly Log'!$G:$G,"&lt;&gt;",'Weekly Log'!$A:$A,"&gt;="&amp;$J1335,'Weekly Log'!$A:$A,"&lt;"&amp;$J1335+7),0))</f>
        <v/>
      </c>
      <c r="D1335" t="str">
        <f>IF($J1335="","",IFERROR(COUNTIFS('Weekly Log'!$H:$H,"Y",'Weekly Log'!$A:$A,"&gt;="&amp;$J1335,'Weekly Log'!$A:$A,"&lt;"&amp;$J1335+7)/COUNTIFS('Weekly Log'!$H:$H,"&lt;&gt;",'Weekly Log'!$A:$A,"&gt;="&amp;$J1335,'Weekly Log'!$A:$A,"&lt;"&amp;$J1335+7),0))</f>
        <v/>
      </c>
      <c r="E1335" t="str">
        <f>IF($J1335="","",IFERROR(AVERAGEIFS('Weekly Log'!$F:$F,'Weekly Log'!$A:$A,"&gt;="&amp;$J1335,'Weekly Log'!$A:$A,"&lt;"&amp;$J1335+7),0))</f>
        <v/>
      </c>
      <c r="F1335" t="str">
        <f>IF($J1335="","",IFERROR(SUMIFS('Weekly Log'!$F:$F,'Weekly Log'!$A:$A,"&gt;="&amp;$J1335,'Weekly Log'!$A:$A,"&lt;"&amp;$J1335+7)/SUMIFS('Weekly Log'!$E:$E,'Weekly Log'!$A:$A,"&gt;="&amp;$J1335,'Weekly Log'!$A:$A,"&lt;"&amp;$J1335+7),0))</f>
        <v/>
      </c>
      <c r="G1335" t="str">
        <f>IF($J1335="","",IFERROR(LOOKUP(2,1/(('Weekly Log'!$A$5:$A$5000&gt;=$J1335)*('Weekly Log'!$A$5:$A$5000&lt;$J1335+7)*('Weekly Log'!$M$5:$M$5000&lt;&gt;"")),'Weekly Log'!$M$5:$M$5000),0))</f>
        <v/>
      </c>
      <c r="J1335" t="str">
        <f>IF(COUNT('Weekly Log'!$A$5:$A$5000)=0,"",IF(MIN('Weekly Log'!$A$5:$A$5000)+7*(ROW()-10)&gt;MAX('Weekly Log'!$A$5:$A$5000),"",MIN('Weekly Log'!$A$5:$A$5000)+7*(ROW()-10)))</f>
        <v/>
      </c>
    </row>
    <row r="1336" spans="1:10" x14ac:dyDescent="0.25">
      <c r="A1336" t="str">
        <f t="shared" si="20"/>
        <v/>
      </c>
      <c r="B1336" t="str">
        <f>IF($J1336="","",SUMIFS('Weekly Log'!$C:$C,'Weekly Log'!$A:$A,"&gt;="&amp;$J1336,'Weekly Log'!$A:$A,"&lt;"&amp;$J1336+7))</f>
        <v/>
      </c>
      <c r="C1336" t="str">
        <f>IF($J1336="","",IFERROR(COUNTIFS('Weekly Log'!$G:$G,"Y",'Weekly Log'!$A:$A,"&gt;="&amp;$J1336,'Weekly Log'!$A:$A,"&lt;"&amp;$J1336+7)/COUNTIFS('Weekly Log'!$G:$G,"&lt;&gt;",'Weekly Log'!$A:$A,"&gt;="&amp;$J1336,'Weekly Log'!$A:$A,"&lt;"&amp;$J1336+7),0))</f>
        <v/>
      </c>
      <c r="D1336" t="str">
        <f>IF($J1336="","",IFERROR(COUNTIFS('Weekly Log'!$H:$H,"Y",'Weekly Log'!$A:$A,"&gt;="&amp;$J1336,'Weekly Log'!$A:$A,"&lt;"&amp;$J1336+7)/COUNTIFS('Weekly Log'!$H:$H,"&lt;&gt;",'Weekly Log'!$A:$A,"&gt;="&amp;$J1336,'Weekly Log'!$A:$A,"&lt;"&amp;$J1336+7),0))</f>
        <v/>
      </c>
      <c r="E1336" t="str">
        <f>IF($J1336="","",IFERROR(AVERAGEIFS('Weekly Log'!$F:$F,'Weekly Log'!$A:$A,"&gt;="&amp;$J1336,'Weekly Log'!$A:$A,"&lt;"&amp;$J1336+7),0))</f>
        <v/>
      </c>
      <c r="F1336" t="str">
        <f>IF($J1336="","",IFERROR(SUMIFS('Weekly Log'!$F:$F,'Weekly Log'!$A:$A,"&gt;="&amp;$J1336,'Weekly Log'!$A:$A,"&lt;"&amp;$J1336+7)/SUMIFS('Weekly Log'!$E:$E,'Weekly Log'!$A:$A,"&gt;="&amp;$J1336,'Weekly Log'!$A:$A,"&lt;"&amp;$J1336+7),0))</f>
        <v/>
      </c>
      <c r="G1336" t="str">
        <f>IF($J1336="","",IFERROR(LOOKUP(2,1/(('Weekly Log'!$A$5:$A$5000&gt;=$J1336)*('Weekly Log'!$A$5:$A$5000&lt;$J1336+7)*('Weekly Log'!$M$5:$M$5000&lt;&gt;"")),'Weekly Log'!$M$5:$M$5000),0))</f>
        <v/>
      </c>
      <c r="J1336" t="str">
        <f>IF(COUNT('Weekly Log'!$A$5:$A$5000)=0,"",IF(MIN('Weekly Log'!$A$5:$A$5000)+7*(ROW()-10)&gt;MAX('Weekly Log'!$A$5:$A$5000),"",MIN('Weekly Log'!$A$5:$A$5000)+7*(ROW()-10)))</f>
        <v/>
      </c>
    </row>
    <row r="1337" spans="1:10" x14ac:dyDescent="0.25">
      <c r="A1337" t="str">
        <f t="shared" si="20"/>
        <v/>
      </c>
      <c r="B1337" t="str">
        <f>IF($J1337="","",SUMIFS('Weekly Log'!$C:$C,'Weekly Log'!$A:$A,"&gt;="&amp;$J1337,'Weekly Log'!$A:$A,"&lt;"&amp;$J1337+7))</f>
        <v/>
      </c>
      <c r="C1337" t="str">
        <f>IF($J1337="","",IFERROR(COUNTIFS('Weekly Log'!$G:$G,"Y",'Weekly Log'!$A:$A,"&gt;="&amp;$J1337,'Weekly Log'!$A:$A,"&lt;"&amp;$J1337+7)/COUNTIFS('Weekly Log'!$G:$G,"&lt;&gt;",'Weekly Log'!$A:$A,"&gt;="&amp;$J1337,'Weekly Log'!$A:$A,"&lt;"&amp;$J1337+7),0))</f>
        <v/>
      </c>
      <c r="D1337" t="str">
        <f>IF($J1337="","",IFERROR(COUNTIFS('Weekly Log'!$H:$H,"Y",'Weekly Log'!$A:$A,"&gt;="&amp;$J1337,'Weekly Log'!$A:$A,"&lt;"&amp;$J1337+7)/COUNTIFS('Weekly Log'!$H:$H,"&lt;&gt;",'Weekly Log'!$A:$A,"&gt;="&amp;$J1337,'Weekly Log'!$A:$A,"&lt;"&amp;$J1337+7),0))</f>
        <v/>
      </c>
      <c r="E1337" t="str">
        <f>IF($J1337="","",IFERROR(AVERAGEIFS('Weekly Log'!$F:$F,'Weekly Log'!$A:$A,"&gt;="&amp;$J1337,'Weekly Log'!$A:$A,"&lt;"&amp;$J1337+7),0))</f>
        <v/>
      </c>
      <c r="F1337" t="str">
        <f>IF($J1337="","",IFERROR(SUMIFS('Weekly Log'!$F:$F,'Weekly Log'!$A:$A,"&gt;="&amp;$J1337,'Weekly Log'!$A:$A,"&lt;"&amp;$J1337+7)/SUMIFS('Weekly Log'!$E:$E,'Weekly Log'!$A:$A,"&gt;="&amp;$J1337,'Weekly Log'!$A:$A,"&lt;"&amp;$J1337+7),0))</f>
        <v/>
      </c>
      <c r="G1337" t="str">
        <f>IF($J1337="","",IFERROR(LOOKUP(2,1/(('Weekly Log'!$A$5:$A$5000&gt;=$J1337)*('Weekly Log'!$A$5:$A$5000&lt;$J1337+7)*('Weekly Log'!$M$5:$M$5000&lt;&gt;"")),'Weekly Log'!$M$5:$M$5000),0))</f>
        <v/>
      </c>
      <c r="J1337" t="str">
        <f>IF(COUNT('Weekly Log'!$A$5:$A$5000)=0,"",IF(MIN('Weekly Log'!$A$5:$A$5000)+7*(ROW()-10)&gt;MAX('Weekly Log'!$A$5:$A$5000),"",MIN('Weekly Log'!$A$5:$A$5000)+7*(ROW()-10)))</f>
        <v/>
      </c>
    </row>
    <row r="1338" spans="1:10" x14ac:dyDescent="0.25">
      <c r="A1338" t="str">
        <f t="shared" si="20"/>
        <v/>
      </c>
      <c r="B1338" t="str">
        <f>IF($J1338="","",SUMIFS('Weekly Log'!$C:$C,'Weekly Log'!$A:$A,"&gt;="&amp;$J1338,'Weekly Log'!$A:$A,"&lt;"&amp;$J1338+7))</f>
        <v/>
      </c>
      <c r="C1338" t="str">
        <f>IF($J1338="","",IFERROR(COUNTIFS('Weekly Log'!$G:$G,"Y",'Weekly Log'!$A:$A,"&gt;="&amp;$J1338,'Weekly Log'!$A:$A,"&lt;"&amp;$J1338+7)/COUNTIFS('Weekly Log'!$G:$G,"&lt;&gt;",'Weekly Log'!$A:$A,"&gt;="&amp;$J1338,'Weekly Log'!$A:$A,"&lt;"&amp;$J1338+7),0))</f>
        <v/>
      </c>
      <c r="D1338" t="str">
        <f>IF($J1338="","",IFERROR(COUNTIFS('Weekly Log'!$H:$H,"Y",'Weekly Log'!$A:$A,"&gt;="&amp;$J1338,'Weekly Log'!$A:$A,"&lt;"&amp;$J1338+7)/COUNTIFS('Weekly Log'!$H:$H,"&lt;&gt;",'Weekly Log'!$A:$A,"&gt;="&amp;$J1338,'Weekly Log'!$A:$A,"&lt;"&amp;$J1338+7),0))</f>
        <v/>
      </c>
      <c r="E1338" t="str">
        <f>IF($J1338="","",IFERROR(AVERAGEIFS('Weekly Log'!$F:$F,'Weekly Log'!$A:$A,"&gt;="&amp;$J1338,'Weekly Log'!$A:$A,"&lt;"&amp;$J1338+7),0))</f>
        <v/>
      </c>
      <c r="F1338" t="str">
        <f>IF($J1338="","",IFERROR(SUMIFS('Weekly Log'!$F:$F,'Weekly Log'!$A:$A,"&gt;="&amp;$J1338,'Weekly Log'!$A:$A,"&lt;"&amp;$J1338+7)/SUMIFS('Weekly Log'!$E:$E,'Weekly Log'!$A:$A,"&gt;="&amp;$J1338,'Weekly Log'!$A:$A,"&lt;"&amp;$J1338+7),0))</f>
        <v/>
      </c>
      <c r="G1338" t="str">
        <f>IF($J1338="","",IFERROR(LOOKUP(2,1/(('Weekly Log'!$A$5:$A$5000&gt;=$J1338)*('Weekly Log'!$A$5:$A$5000&lt;$J1338+7)*('Weekly Log'!$M$5:$M$5000&lt;&gt;"")),'Weekly Log'!$M$5:$M$5000),0))</f>
        <v/>
      </c>
      <c r="J1338" t="str">
        <f>IF(COUNT('Weekly Log'!$A$5:$A$5000)=0,"",IF(MIN('Weekly Log'!$A$5:$A$5000)+7*(ROW()-10)&gt;MAX('Weekly Log'!$A$5:$A$5000),"",MIN('Weekly Log'!$A$5:$A$5000)+7*(ROW()-10)))</f>
        <v/>
      </c>
    </row>
    <row r="1339" spans="1:10" x14ac:dyDescent="0.25">
      <c r="A1339" t="str">
        <f t="shared" si="20"/>
        <v/>
      </c>
      <c r="B1339" t="str">
        <f>IF($J1339="","",SUMIFS('Weekly Log'!$C:$C,'Weekly Log'!$A:$A,"&gt;="&amp;$J1339,'Weekly Log'!$A:$A,"&lt;"&amp;$J1339+7))</f>
        <v/>
      </c>
      <c r="C1339" t="str">
        <f>IF($J1339="","",IFERROR(COUNTIFS('Weekly Log'!$G:$G,"Y",'Weekly Log'!$A:$A,"&gt;="&amp;$J1339,'Weekly Log'!$A:$A,"&lt;"&amp;$J1339+7)/COUNTIFS('Weekly Log'!$G:$G,"&lt;&gt;",'Weekly Log'!$A:$A,"&gt;="&amp;$J1339,'Weekly Log'!$A:$A,"&lt;"&amp;$J1339+7),0))</f>
        <v/>
      </c>
      <c r="D1339" t="str">
        <f>IF($J1339="","",IFERROR(COUNTIFS('Weekly Log'!$H:$H,"Y",'Weekly Log'!$A:$A,"&gt;="&amp;$J1339,'Weekly Log'!$A:$A,"&lt;"&amp;$J1339+7)/COUNTIFS('Weekly Log'!$H:$H,"&lt;&gt;",'Weekly Log'!$A:$A,"&gt;="&amp;$J1339,'Weekly Log'!$A:$A,"&lt;"&amp;$J1339+7),0))</f>
        <v/>
      </c>
      <c r="E1339" t="str">
        <f>IF($J1339="","",IFERROR(AVERAGEIFS('Weekly Log'!$F:$F,'Weekly Log'!$A:$A,"&gt;="&amp;$J1339,'Weekly Log'!$A:$A,"&lt;"&amp;$J1339+7),0))</f>
        <v/>
      </c>
      <c r="F1339" t="str">
        <f>IF($J1339="","",IFERROR(SUMIFS('Weekly Log'!$F:$F,'Weekly Log'!$A:$A,"&gt;="&amp;$J1339,'Weekly Log'!$A:$A,"&lt;"&amp;$J1339+7)/SUMIFS('Weekly Log'!$E:$E,'Weekly Log'!$A:$A,"&gt;="&amp;$J1339,'Weekly Log'!$A:$A,"&lt;"&amp;$J1339+7),0))</f>
        <v/>
      </c>
      <c r="G1339" t="str">
        <f>IF($J1339="","",IFERROR(LOOKUP(2,1/(('Weekly Log'!$A$5:$A$5000&gt;=$J1339)*('Weekly Log'!$A$5:$A$5000&lt;$J1339+7)*('Weekly Log'!$M$5:$M$5000&lt;&gt;"")),'Weekly Log'!$M$5:$M$5000),0))</f>
        <v/>
      </c>
      <c r="J1339" t="str">
        <f>IF(COUNT('Weekly Log'!$A$5:$A$5000)=0,"",IF(MIN('Weekly Log'!$A$5:$A$5000)+7*(ROW()-10)&gt;MAX('Weekly Log'!$A$5:$A$5000),"",MIN('Weekly Log'!$A$5:$A$5000)+7*(ROW()-10)))</f>
        <v/>
      </c>
    </row>
    <row r="1340" spans="1:10" x14ac:dyDescent="0.25">
      <c r="A1340" t="str">
        <f t="shared" si="20"/>
        <v/>
      </c>
      <c r="B1340" t="str">
        <f>IF($J1340="","",SUMIFS('Weekly Log'!$C:$C,'Weekly Log'!$A:$A,"&gt;="&amp;$J1340,'Weekly Log'!$A:$A,"&lt;"&amp;$J1340+7))</f>
        <v/>
      </c>
      <c r="C1340" t="str">
        <f>IF($J1340="","",IFERROR(COUNTIFS('Weekly Log'!$G:$G,"Y",'Weekly Log'!$A:$A,"&gt;="&amp;$J1340,'Weekly Log'!$A:$A,"&lt;"&amp;$J1340+7)/COUNTIFS('Weekly Log'!$G:$G,"&lt;&gt;",'Weekly Log'!$A:$A,"&gt;="&amp;$J1340,'Weekly Log'!$A:$A,"&lt;"&amp;$J1340+7),0))</f>
        <v/>
      </c>
      <c r="D1340" t="str">
        <f>IF($J1340="","",IFERROR(COUNTIFS('Weekly Log'!$H:$H,"Y",'Weekly Log'!$A:$A,"&gt;="&amp;$J1340,'Weekly Log'!$A:$A,"&lt;"&amp;$J1340+7)/COUNTIFS('Weekly Log'!$H:$H,"&lt;&gt;",'Weekly Log'!$A:$A,"&gt;="&amp;$J1340,'Weekly Log'!$A:$A,"&lt;"&amp;$J1340+7),0))</f>
        <v/>
      </c>
      <c r="E1340" t="str">
        <f>IF($J1340="","",IFERROR(AVERAGEIFS('Weekly Log'!$F:$F,'Weekly Log'!$A:$A,"&gt;="&amp;$J1340,'Weekly Log'!$A:$A,"&lt;"&amp;$J1340+7),0))</f>
        <v/>
      </c>
      <c r="F1340" t="str">
        <f>IF($J1340="","",IFERROR(SUMIFS('Weekly Log'!$F:$F,'Weekly Log'!$A:$A,"&gt;="&amp;$J1340,'Weekly Log'!$A:$A,"&lt;"&amp;$J1340+7)/SUMIFS('Weekly Log'!$E:$E,'Weekly Log'!$A:$A,"&gt;="&amp;$J1340,'Weekly Log'!$A:$A,"&lt;"&amp;$J1340+7),0))</f>
        <v/>
      </c>
      <c r="G1340" t="str">
        <f>IF($J1340="","",IFERROR(LOOKUP(2,1/(('Weekly Log'!$A$5:$A$5000&gt;=$J1340)*('Weekly Log'!$A$5:$A$5000&lt;$J1340+7)*('Weekly Log'!$M$5:$M$5000&lt;&gt;"")),'Weekly Log'!$M$5:$M$5000),0))</f>
        <v/>
      </c>
      <c r="J1340" t="str">
        <f>IF(COUNT('Weekly Log'!$A$5:$A$5000)=0,"",IF(MIN('Weekly Log'!$A$5:$A$5000)+7*(ROW()-10)&gt;MAX('Weekly Log'!$A$5:$A$5000),"",MIN('Weekly Log'!$A$5:$A$5000)+7*(ROW()-10)))</f>
        <v/>
      </c>
    </row>
    <row r="1341" spans="1:10" x14ac:dyDescent="0.25">
      <c r="A1341" t="str">
        <f t="shared" si="20"/>
        <v/>
      </c>
      <c r="B1341" t="str">
        <f>IF($J1341="","",SUMIFS('Weekly Log'!$C:$C,'Weekly Log'!$A:$A,"&gt;="&amp;$J1341,'Weekly Log'!$A:$A,"&lt;"&amp;$J1341+7))</f>
        <v/>
      </c>
      <c r="C1341" t="str">
        <f>IF($J1341="","",IFERROR(COUNTIFS('Weekly Log'!$G:$G,"Y",'Weekly Log'!$A:$A,"&gt;="&amp;$J1341,'Weekly Log'!$A:$A,"&lt;"&amp;$J1341+7)/COUNTIFS('Weekly Log'!$G:$G,"&lt;&gt;",'Weekly Log'!$A:$A,"&gt;="&amp;$J1341,'Weekly Log'!$A:$A,"&lt;"&amp;$J1341+7),0))</f>
        <v/>
      </c>
      <c r="D1341" t="str">
        <f>IF($J1341="","",IFERROR(COUNTIFS('Weekly Log'!$H:$H,"Y",'Weekly Log'!$A:$A,"&gt;="&amp;$J1341,'Weekly Log'!$A:$A,"&lt;"&amp;$J1341+7)/COUNTIFS('Weekly Log'!$H:$H,"&lt;&gt;",'Weekly Log'!$A:$A,"&gt;="&amp;$J1341,'Weekly Log'!$A:$A,"&lt;"&amp;$J1341+7),0))</f>
        <v/>
      </c>
      <c r="E1341" t="str">
        <f>IF($J1341="","",IFERROR(AVERAGEIFS('Weekly Log'!$F:$F,'Weekly Log'!$A:$A,"&gt;="&amp;$J1341,'Weekly Log'!$A:$A,"&lt;"&amp;$J1341+7),0))</f>
        <v/>
      </c>
      <c r="F1341" t="str">
        <f>IF($J1341="","",IFERROR(SUMIFS('Weekly Log'!$F:$F,'Weekly Log'!$A:$A,"&gt;="&amp;$J1341,'Weekly Log'!$A:$A,"&lt;"&amp;$J1341+7)/SUMIFS('Weekly Log'!$E:$E,'Weekly Log'!$A:$A,"&gt;="&amp;$J1341,'Weekly Log'!$A:$A,"&lt;"&amp;$J1341+7),0))</f>
        <v/>
      </c>
      <c r="G1341" t="str">
        <f>IF($J1341="","",IFERROR(LOOKUP(2,1/(('Weekly Log'!$A$5:$A$5000&gt;=$J1341)*('Weekly Log'!$A$5:$A$5000&lt;$J1341+7)*('Weekly Log'!$M$5:$M$5000&lt;&gt;"")),'Weekly Log'!$M$5:$M$5000),0))</f>
        <v/>
      </c>
      <c r="J1341" t="str">
        <f>IF(COUNT('Weekly Log'!$A$5:$A$5000)=0,"",IF(MIN('Weekly Log'!$A$5:$A$5000)+7*(ROW()-10)&gt;MAX('Weekly Log'!$A$5:$A$5000),"",MIN('Weekly Log'!$A$5:$A$5000)+7*(ROW()-10)))</f>
        <v/>
      </c>
    </row>
    <row r="1342" spans="1:10" x14ac:dyDescent="0.25">
      <c r="A1342" t="str">
        <f t="shared" si="20"/>
        <v/>
      </c>
      <c r="B1342" t="str">
        <f>IF($J1342="","",SUMIFS('Weekly Log'!$C:$C,'Weekly Log'!$A:$A,"&gt;="&amp;$J1342,'Weekly Log'!$A:$A,"&lt;"&amp;$J1342+7))</f>
        <v/>
      </c>
      <c r="C1342" t="str">
        <f>IF($J1342="","",IFERROR(COUNTIFS('Weekly Log'!$G:$G,"Y",'Weekly Log'!$A:$A,"&gt;="&amp;$J1342,'Weekly Log'!$A:$A,"&lt;"&amp;$J1342+7)/COUNTIFS('Weekly Log'!$G:$G,"&lt;&gt;",'Weekly Log'!$A:$A,"&gt;="&amp;$J1342,'Weekly Log'!$A:$A,"&lt;"&amp;$J1342+7),0))</f>
        <v/>
      </c>
      <c r="D1342" t="str">
        <f>IF($J1342="","",IFERROR(COUNTIFS('Weekly Log'!$H:$H,"Y",'Weekly Log'!$A:$A,"&gt;="&amp;$J1342,'Weekly Log'!$A:$A,"&lt;"&amp;$J1342+7)/COUNTIFS('Weekly Log'!$H:$H,"&lt;&gt;",'Weekly Log'!$A:$A,"&gt;="&amp;$J1342,'Weekly Log'!$A:$A,"&lt;"&amp;$J1342+7),0))</f>
        <v/>
      </c>
      <c r="E1342" t="str">
        <f>IF($J1342="","",IFERROR(AVERAGEIFS('Weekly Log'!$F:$F,'Weekly Log'!$A:$A,"&gt;="&amp;$J1342,'Weekly Log'!$A:$A,"&lt;"&amp;$J1342+7),0))</f>
        <v/>
      </c>
      <c r="F1342" t="str">
        <f>IF($J1342="","",IFERROR(SUMIFS('Weekly Log'!$F:$F,'Weekly Log'!$A:$A,"&gt;="&amp;$J1342,'Weekly Log'!$A:$A,"&lt;"&amp;$J1342+7)/SUMIFS('Weekly Log'!$E:$E,'Weekly Log'!$A:$A,"&gt;="&amp;$J1342,'Weekly Log'!$A:$A,"&lt;"&amp;$J1342+7),0))</f>
        <v/>
      </c>
      <c r="G1342" t="str">
        <f>IF($J1342="","",IFERROR(LOOKUP(2,1/(('Weekly Log'!$A$5:$A$5000&gt;=$J1342)*('Weekly Log'!$A$5:$A$5000&lt;$J1342+7)*('Weekly Log'!$M$5:$M$5000&lt;&gt;"")),'Weekly Log'!$M$5:$M$5000),0))</f>
        <v/>
      </c>
      <c r="J1342" t="str">
        <f>IF(COUNT('Weekly Log'!$A$5:$A$5000)=0,"",IF(MIN('Weekly Log'!$A$5:$A$5000)+7*(ROW()-10)&gt;MAX('Weekly Log'!$A$5:$A$5000),"",MIN('Weekly Log'!$A$5:$A$5000)+7*(ROW()-10)))</f>
        <v/>
      </c>
    </row>
    <row r="1343" spans="1:10" x14ac:dyDescent="0.25">
      <c r="A1343" t="str">
        <f t="shared" si="20"/>
        <v/>
      </c>
      <c r="B1343" t="str">
        <f>IF($J1343="","",SUMIFS('Weekly Log'!$C:$C,'Weekly Log'!$A:$A,"&gt;="&amp;$J1343,'Weekly Log'!$A:$A,"&lt;"&amp;$J1343+7))</f>
        <v/>
      </c>
      <c r="C1343" t="str">
        <f>IF($J1343="","",IFERROR(COUNTIFS('Weekly Log'!$G:$G,"Y",'Weekly Log'!$A:$A,"&gt;="&amp;$J1343,'Weekly Log'!$A:$A,"&lt;"&amp;$J1343+7)/COUNTIFS('Weekly Log'!$G:$G,"&lt;&gt;",'Weekly Log'!$A:$A,"&gt;="&amp;$J1343,'Weekly Log'!$A:$A,"&lt;"&amp;$J1343+7),0))</f>
        <v/>
      </c>
      <c r="D1343" t="str">
        <f>IF($J1343="","",IFERROR(COUNTIFS('Weekly Log'!$H:$H,"Y",'Weekly Log'!$A:$A,"&gt;="&amp;$J1343,'Weekly Log'!$A:$A,"&lt;"&amp;$J1343+7)/COUNTIFS('Weekly Log'!$H:$H,"&lt;&gt;",'Weekly Log'!$A:$A,"&gt;="&amp;$J1343,'Weekly Log'!$A:$A,"&lt;"&amp;$J1343+7),0))</f>
        <v/>
      </c>
      <c r="E1343" t="str">
        <f>IF($J1343="","",IFERROR(AVERAGEIFS('Weekly Log'!$F:$F,'Weekly Log'!$A:$A,"&gt;="&amp;$J1343,'Weekly Log'!$A:$A,"&lt;"&amp;$J1343+7),0))</f>
        <v/>
      </c>
      <c r="F1343" t="str">
        <f>IF($J1343="","",IFERROR(SUMIFS('Weekly Log'!$F:$F,'Weekly Log'!$A:$A,"&gt;="&amp;$J1343,'Weekly Log'!$A:$A,"&lt;"&amp;$J1343+7)/SUMIFS('Weekly Log'!$E:$E,'Weekly Log'!$A:$A,"&gt;="&amp;$J1343,'Weekly Log'!$A:$A,"&lt;"&amp;$J1343+7),0))</f>
        <v/>
      </c>
      <c r="G1343" t="str">
        <f>IF($J1343="","",IFERROR(LOOKUP(2,1/(('Weekly Log'!$A$5:$A$5000&gt;=$J1343)*('Weekly Log'!$A$5:$A$5000&lt;$J1343+7)*('Weekly Log'!$M$5:$M$5000&lt;&gt;"")),'Weekly Log'!$M$5:$M$5000),0))</f>
        <v/>
      </c>
      <c r="J1343" t="str">
        <f>IF(COUNT('Weekly Log'!$A$5:$A$5000)=0,"",IF(MIN('Weekly Log'!$A$5:$A$5000)+7*(ROW()-10)&gt;MAX('Weekly Log'!$A$5:$A$5000),"",MIN('Weekly Log'!$A$5:$A$5000)+7*(ROW()-10)))</f>
        <v/>
      </c>
    </row>
    <row r="1344" spans="1:10" x14ac:dyDescent="0.25">
      <c r="A1344" t="str">
        <f t="shared" si="20"/>
        <v/>
      </c>
      <c r="B1344" t="str">
        <f>IF($J1344="","",SUMIFS('Weekly Log'!$C:$C,'Weekly Log'!$A:$A,"&gt;="&amp;$J1344,'Weekly Log'!$A:$A,"&lt;"&amp;$J1344+7))</f>
        <v/>
      </c>
      <c r="C1344" t="str">
        <f>IF($J1344="","",IFERROR(COUNTIFS('Weekly Log'!$G:$G,"Y",'Weekly Log'!$A:$A,"&gt;="&amp;$J1344,'Weekly Log'!$A:$A,"&lt;"&amp;$J1344+7)/COUNTIFS('Weekly Log'!$G:$G,"&lt;&gt;",'Weekly Log'!$A:$A,"&gt;="&amp;$J1344,'Weekly Log'!$A:$A,"&lt;"&amp;$J1344+7),0))</f>
        <v/>
      </c>
      <c r="D1344" t="str">
        <f>IF($J1344="","",IFERROR(COUNTIFS('Weekly Log'!$H:$H,"Y",'Weekly Log'!$A:$A,"&gt;="&amp;$J1344,'Weekly Log'!$A:$A,"&lt;"&amp;$J1344+7)/COUNTIFS('Weekly Log'!$H:$H,"&lt;&gt;",'Weekly Log'!$A:$A,"&gt;="&amp;$J1344,'Weekly Log'!$A:$A,"&lt;"&amp;$J1344+7),0))</f>
        <v/>
      </c>
      <c r="E1344" t="str">
        <f>IF($J1344="","",IFERROR(AVERAGEIFS('Weekly Log'!$F:$F,'Weekly Log'!$A:$A,"&gt;="&amp;$J1344,'Weekly Log'!$A:$A,"&lt;"&amp;$J1344+7),0))</f>
        <v/>
      </c>
      <c r="F1344" t="str">
        <f>IF($J1344="","",IFERROR(SUMIFS('Weekly Log'!$F:$F,'Weekly Log'!$A:$A,"&gt;="&amp;$J1344,'Weekly Log'!$A:$A,"&lt;"&amp;$J1344+7)/SUMIFS('Weekly Log'!$E:$E,'Weekly Log'!$A:$A,"&gt;="&amp;$J1344,'Weekly Log'!$A:$A,"&lt;"&amp;$J1344+7),0))</f>
        <v/>
      </c>
      <c r="G1344" t="str">
        <f>IF($J1344="","",IFERROR(LOOKUP(2,1/(('Weekly Log'!$A$5:$A$5000&gt;=$J1344)*('Weekly Log'!$A$5:$A$5000&lt;$J1344+7)*('Weekly Log'!$M$5:$M$5000&lt;&gt;"")),'Weekly Log'!$M$5:$M$5000),0))</f>
        <v/>
      </c>
      <c r="J1344" t="str">
        <f>IF(COUNT('Weekly Log'!$A$5:$A$5000)=0,"",IF(MIN('Weekly Log'!$A$5:$A$5000)+7*(ROW()-10)&gt;MAX('Weekly Log'!$A$5:$A$5000),"",MIN('Weekly Log'!$A$5:$A$5000)+7*(ROW()-10)))</f>
        <v/>
      </c>
    </row>
    <row r="1345" spans="1:10" x14ac:dyDescent="0.25">
      <c r="A1345" t="str">
        <f t="shared" si="20"/>
        <v/>
      </c>
      <c r="B1345" t="str">
        <f>IF($J1345="","",SUMIFS('Weekly Log'!$C:$C,'Weekly Log'!$A:$A,"&gt;="&amp;$J1345,'Weekly Log'!$A:$A,"&lt;"&amp;$J1345+7))</f>
        <v/>
      </c>
      <c r="C1345" t="str">
        <f>IF($J1345="","",IFERROR(COUNTIFS('Weekly Log'!$G:$G,"Y",'Weekly Log'!$A:$A,"&gt;="&amp;$J1345,'Weekly Log'!$A:$A,"&lt;"&amp;$J1345+7)/COUNTIFS('Weekly Log'!$G:$G,"&lt;&gt;",'Weekly Log'!$A:$A,"&gt;="&amp;$J1345,'Weekly Log'!$A:$A,"&lt;"&amp;$J1345+7),0))</f>
        <v/>
      </c>
      <c r="D1345" t="str">
        <f>IF($J1345="","",IFERROR(COUNTIFS('Weekly Log'!$H:$H,"Y",'Weekly Log'!$A:$A,"&gt;="&amp;$J1345,'Weekly Log'!$A:$A,"&lt;"&amp;$J1345+7)/COUNTIFS('Weekly Log'!$H:$H,"&lt;&gt;",'Weekly Log'!$A:$A,"&gt;="&amp;$J1345,'Weekly Log'!$A:$A,"&lt;"&amp;$J1345+7),0))</f>
        <v/>
      </c>
      <c r="E1345" t="str">
        <f>IF($J1345="","",IFERROR(AVERAGEIFS('Weekly Log'!$F:$F,'Weekly Log'!$A:$A,"&gt;="&amp;$J1345,'Weekly Log'!$A:$A,"&lt;"&amp;$J1345+7),0))</f>
        <v/>
      </c>
      <c r="F1345" t="str">
        <f>IF($J1345="","",IFERROR(SUMIFS('Weekly Log'!$F:$F,'Weekly Log'!$A:$A,"&gt;="&amp;$J1345,'Weekly Log'!$A:$A,"&lt;"&amp;$J1345+7)/SUMIFS('Weekly Log'!$E:$E,'Weekly Log'!$A:$A,"&gt;="&amp;$J1345,'Weekly Log'!$A:$A,"&lt;"&amp;$J1345+7),0))</f>
        <v/>
      </c>
      <c r="G1345" t="str">
        <f>IF($J1345="","",IFERROR(LOOKUP(2,1/(('Weekly Log'!$A$5:$A$5000&gt;=$J1345)*('Weekly Log'!$A$5:$A$5000&lt;$J1345+7)*('Weekly Log'!$M$5:$M$5000&lt;&gt;"")),'Weekly Log'!$M$5:$M$5000),0))</f>
        <v/>
      </c>
      <c r="J1345" t="str">
        <f>IF(COUNT('Weekly Log'!$A$5:$A$5000)=0,"",IF(MIN('Weekly Log'!$A$5:$A$5000)+7*(ROW()-10)&gt;MAX('Weekly Log'!$A$5:$A$5000),"",MIN('Weekly Log'!$A$5:$A$5000)+7*(ROW()-10)))</f>
        <v/>
      </c>
    </row>
    <row r="1346" spans="1:10" x14ac:dyDescent="0.25">
      <c r="A1346" t="str">
        <f t="shared" si="20"/>
        <v/>
      </c>
      <c r="B1346" t="str">
        <f>IF($J1346="","",SUMIFS('Weekly Log'!$C:$C,'Weekly Log'!$A:$A,"&gt;="&amp;$J1346,'Weekly Log'!$A:$A,"&lt;"&amp;$J1346+7))</f>
        <v/>
      </c>
      <c r="C1346" t="str">
        <f>IF($J1346="","",IFERROR(COUNTIFS('Weekly Log'!$G:$G,"Y",'Weekly Log'!$A:$A,"&gt;="&amp;$J1346,'Weekly Log'!$A:$A,"&lt;"&amp;$J1346+7)/COUNTIFS('Weekly Log'!$G:$G,"&lt;&gt;",'Weekly Log'!$A:$A,"&gt;="&amp;$J1346,'Weekly Log'!$A:$A,"&lt;"&amp;$J1346+7),0))</f>
        <v/>
      </c>
      <c r="D1346" t="str">
        <f>IF($J1346="","",IFERROR(COUNTIFS('Weekly Log'!$H:$H,"Y",'Weekly Log'!$A:$A,"&gt;="&amp;$J1346,'Weekly Log'!$A:$A,"&lt;"&amp;$J1346+7)/COUNTIFS('Weekly Log'!$H:$H,"&lt;&gt;",'Weekly Log'!$A:$A,"&gt;="&amp;$J1346,'Weekly Log'!$A:$A,"&lt;"&amp;$J1346+7),0))</f>
        <v/>
      </c>
      <c r="E1346" t="str">
        <f>IF($J1346="","",IFERROR(AVERAGEIFS('Weekly Log'!$F:$F,'Weekly Log'!$A:$A,"&gt;="&amp;$J1346,'Weekly Log'!$A:$A,"&lt;"&amp;$J1346+7),0))</f>
        <v/>
      </c>
      <c r="F1346" t="str">
        <f>IF($J1346="","",IFERROR(SUMIFS('Weekly Log'!$F:$F,'Weekly Log'!$A:$A,"&gt;="&amp;$J1346,'Weekly Log'!$A:$A,"&lt;"&amp;$J1346+7)/SUMIFS('Weekly Log'!$E:$E,'Weekly Log'!$A:$A,"&gt;="&amp;$J1346,'Weekly Log'!$A:$A,"&lt;"&amp;$J1346+7),0))</f>
        <v/>
      </c>
      <c r="G1346" t="str">
        <f>IF($J1346="","",IFERROR(LOOKUP(2,1/(('Weekly Log'!$A$5:$A$5000&gt;=$J1346)*('Weekly Log'!$A$5:$A$5000&lt;$J1346+7)*('Weekly Log'!$M$5:$M$5000&lt;&gt;"")),'Weekly Log'!$M$5:$M$5000),0))</f>
        <v/>
      </c>
      <c r="J1346" t="str">
        <f>IF(COUNT('Weekly Log'!$A$5:$A$5000)=0,"",IF(MIN('Weekly Log'!$A$5:$A$5000)+7*(ROW()-10)&gt;MAX('Weekly Log'!$A$5:$A$5000),"",MIN('Weekly Log'!$A$5:$A$5000)+7*(ROW()-10)))</f>
        <v/>
      </c>
    </row>
    <row r="1347" spans="1:10" x14ac:dyDescent="0.25">
      <c r="A1347" t="str">
        <f t="shared" si="20"/>
        <v/>
      </c>
      <c r="B1347" t="str">
        <f>IF($J1347="","",SUMIFS('Weekly Log'!$C:$C,'Weekly Log'!$A:$A,"&gt;="&amp;$J1347,'Weekly Log'!$A:$A,"&lt;"&amp;$J1347+7))</f>
        <v/>
      </c>
      <c r="C1347" t="str">
        <f>IF($J1347="","",IFERROR(COUNTIFS('Weekly Log'!$G:$G,"Y",'Weekly Log'!$A:$A,"&gt;="&amp;$J1347,'Weekly Log'!$A:$A,"&lt;"&amp;$J1347+7)/COUNTIFS('Weekly Log'!$G:$G,"&lt;&gt;",'Weekly Log'!$A:$A,"&gt;="&amp;$J1347,'Weekly Log'!$A:$A,"&lt;"&amp;$J1347+7),0))</f>
        <v/>
      </c>
      <c r="D1347" t="str">
        <f>IF($J1347="","",IFERROR(COUNTIFS('Weekly Log'!$H:$H,"Y",'Weekly Log'!$A:$A,"&gt;="&amp;$J1347,'Weekly Log'!$A:$A,"&lt;"&amp;$J1347+7)/COUNTIFS('Weekly Log'!$H:$H,"&lt;&gt;",'Weekly Log'!$A:$A,"&gt;="&amp;$J1347,'Weekly Log'!$A:$A,"&lt;"&amp;$J1347+7),0))</f>
        <v/>
      </c>
      <c r="E1347" t="str">
        <f>IF($J1347="","",IFERROR(AVERAGEIFS('Weekly Log'!$F:$F,'Weekly Log'!$A:$A,"&gt;="&amp;$J1347,'Weekly Log'!$A:$A,"&lt;"&amp;$J1347+7),0))</f>
        <v/>
      </c>
      <c r="F1347" t="str">
        <f>IF($J1347="","",IFERROR(SUMIFS('Weekly Log'!$F:$F,'Weekly Log'!$A:$A,"&gt;="&amp;$J1347,'Weekly Log'!$A:$A,"&lt;"&amp;$J1347+7)/SUMIFS('Weekly Log'!$E:$E,'Weekly Log'!$A:$A,"&gt;="&amp;$J1347,'Weekly Log'!$A:$A,"&lt;"&amp;$J1347+7),0))</f>
        <v/>
      </c>
      <c r="G1347" t="str">
        <f>IF($J1347="","",IFERROR(LOOKUP(2,1/(('Weekly Log'!$A$5:$A$5000&gt;=$J1347)*('Weekly Log'!$A$5:$A$5000&lt;$J1347+7)*('Weekly Log'!$M$5:$M$5000&lt;&gt;"")),'Weekly Log'!$M$5:$M$5000),0))</f>
        <v/>
      </c>
      <c r="J1347" t="str">
        <f>IF(COUNT('Weekly Log'!$A$5:$A$5000)=0,"",IF(MIN('Weekly Log'!$A$5:$A$5000)+7*(ROW()-10)&gt;MAX('Weekly Log'!$A$5:$A$5000),"",MIN('Weekly Log'!$A$5:$A$5000)+7*(ROW()-10)))</f>
        <v/>
      </c>
    </row>
    <row r="1348" spans="1:10" x14ac:dyDescent="0.25">
      <c r="A1348" t="str">
        <f t="shared" si="20"/>
        <v/>
      </c>
      <c r="B1348" t="str">
        <f>IF($J1348="","",SUMIFS('Weekly Log'!$C:$C,'Weekly Log'!$A:$A,"&gt;="&amp;$J1348,'Weekly Log'!$A:$A,"&lt;"&amp;$J1348+7))</f>
        <v/>
      </c>
      <c r="C1348" t="str">
        <f>IF($J1348="","",IFERROR(COUNTIFS('Weekly Log'!$G:$G,"Y",'Weekly Log'!$A:$A,"&gt;="&amp;$J1348,'Weekly Log'!$A:$A,"&lt;"&amp;$J1348+7)/COUNTIFS('Weekly Log'!$G:$G,"&lt;&gt;",'Weekly Log'!$A:$A,"&gt;="&amp;$J1348,'Weekly Log'!$A:$A,"&lt;"&amp;$J1348+7),0))</f>
        <v/>
      </c>
      <c r="D1348" t="str">
        <f>IF($J1348="","",IFERROR(COUNTIFS('Weekly Log'!$H:$H,"Y",'Weekly Log'!$A:$A,"&gt;="&amp;$J1348,'Weekly Log'!$A:$A,"&lt;"&amp;$J1348+7)/COUNTIFS('Weekly Log'!$H:$H,"&lt;&gt;",'Weekly Log'!$A:$A,"&gt;="&amp;$J1348,'Weekly Log'!$A:$A,"&lt;"&amp;$J1348+7),0))</f>
        <v/>
      </c>
      <c r="E1348" t="str">
        <f>IF($J1348="","",IFERROR(AVERAGEIFS('Weekly Log'!$F:$F,'Weekly Log'!$A:$A,"&gt;="&amp;$J1348,'Weekly Log'!$A:$A,"&lt;"&amp;$J1348+7),0))</f>
        <v/>
      </c>
      <c r="F1348" t="str">
        <f>IF($J1348="","",IFERROR(SUMIFS('Weekly Log'!$F:$F,'Weekly Log'!$A:$A,"&gt;="&amp;$J1348,'Weekly Log'!$A:$A,"&lt;"&amp;$J1348+7)/SUMIFS('Weekly Log'!$E:$E,'Weekly Log'!$A:$A,"&gt;="&amp;$J1348,'Weekly Log'!$A:$A,"&lt;"&amp;$J1348+7),0))</f>
        <v/>
      </c>
      <c r="G1348" t="str">
        <f>IF($J1348="","",IFERROR(LOOKUP(2,1/(('Weekly Log'!$A$5:$A$5000&gt;=$J1348)*('Weekly Log'!$A$5:$A$5000&lt;$J1348+7)*('Weekly Log'!$M$5:$M$5000&lt;&gt;"")),'Weekly Log'!$M$5:$M$5000),0))</f>
        <v/>
      </c>
      <c r="J1348" t="str">
        <f>IF(COUNT('Weekly Log'!$A$5:$A$5000)=0,"",IF(MIN('Weekly Log'!$A$5:$A$5000)+7*(ROW()-10)&gt;MAX('Weekly Log'!$A$5:$A$5000),"",MIN('Weekly Log'!$A$5:$A$5000)+7*(ROW()-10)))</f>
        <v/>
      </c>
    </row>
    <row r="1349" spans="1:10" x14ac:dyDescent="0.25">
      <c r="A1349" t="str">
        <f t="shared" si="20"/>
        <v/>
      </c>
      <c r="B1349" t="str">
        <f>IF($J1349="","",SUMIFS('Weekly Log'!$C:$C,'Weekly Log'!$A:$A,"&gt;="&amp;$J1349,'Weekly Log'!$A:$A,"&lt;"&amp;$J1349+7))</f>
        <v/>
      </c>
      <c r="C1349" t="str">
        <f>IF($J1349="","",IFERROR(COUNTIFS('Weekly Log'!$G:$G,"Y",'Weekly Log'!$A:$A,"&gt;="&amp;$J1349,'Weekly Log'!$A:$A,"&lt;"&amp;$J1349+7)/COUNTIFS('Weekly Log'!$G:$G,"&lt;&gt;",'Weekly Log'!$A:$A,"&gt;="&amp;$J1349,'Weekly Log'!$A:$A,"&lt;"&amp;$J1349+7),0))</f>
        <v/>
      </c>
      <c r="D1349" t="str">
        <f>IF($J1349="","",IFERROR(COUNTIFS('Weekly Log'!$H:$H,"Y",'Weekly Log'!$A:$A,"&gt;="&amp;$J1349,'Weekly Log'!$A:$A,"&lt;"&amp;$J1349+7)/COUNTIFS('Weekly Log'!$H:$H,"&lt;&gt;",'Weekly Log'!$A:$A,"&gt;="&amp;$J1349,'Weekly Log'!$A:$A,"&lt;"&amp;$J1349+7),0))</f>
        <v/>
      </c>
      <c r="E1349" t="str">
        <f>IF($J1349="","",IFERROR(AVERAGEIFS('Weekly Log'!$F:$F,'Weekly Log'!$A:$A,"&gt;="&amp;$J1349,'Weekly Log'!$A:$A,"&lt;"&amp;$J1349+7),0))</f>
        <v/>
      </c>
      <c r="F1349" t="str">
        <f>IF($J1349="","",IFERROR(SUMIFS('Weekly Log'!$F:$F,'Weekly Log'!$A:$A,"&gt;="&amp;$J1349,'Weekly Log'!$A:$A,"&lt;"&amp;$J1349+7)/SUMIFS('Weekly Log'!$E:$E,'Weekly Log'!$A:$A,"&gt;="&amp;$J1349,'Weekly Log'!$A:$A,"&lt;"&amp;$J1349+7),0))</f>
        <v/>
      </c>
      <c r="G1349" t="str">
        <f>IF($J1349="","",IFERROR(LOOKUP(2,1/(('Weekly Log'!$A$5:$A$5000&gt;=$J1349)*('Weekly Log'!$A$5:$A$5000&lt;$J1349+7)*('Weekly Log'!$M$5:$M$5000&lt;&gt;"")),'Weekly Log'!$M$5:$M$5000),0))</f>
        <v/>
      </c>
      <c r="J1349" t="str">
        <f>IF(COUNT('Weekly Log'!$A$5:$A$5000)=0,"",IF(MIN('Weekly Log'!$A$5:$A$5000)+7*(ROW()-10)&gt;MAX('Weekly Log'!$A$5:$A$5000),"",MIN('Weekly Log'!$A$5:$A$5000)+7*(ROW()-10)))</f>
        <v/>
      </c>
    </row>
    <row r="1350" spans="1:10" x14ac:dyDescent="0.25">
      <c r="A1350" t="str">
        <f t="shared" si="20"/>
        <v/>
      </c>
      <c r="B1350" t="str">
        <f>IF($J1350="","",SUMIFS('Weekly Log'!$C:$C,'Weekly Log'!$A:$A,"&gt;="&amp;$J1350,'Weekly Log'!$A:$A,"&lt;"&amp;$J1350+7))</f>
        <v/>
      </c>
      <c r="C1350" t="str">
        <f>IF($J1350="","",IFERROR(COUNTIFS('Weekly Log'!$G:$G,"Y",'Weekly Log'!$A:$A,"&gt;="&amp;$J1350,'Weekly Log'!$A:$A,"&lt;"&amp;$J1350+7)/COUNTIFS('Weekly Log'!$G:$G,"&lt;&gt;",'Weekly Log'!$A:$A,"&gt;="&amp;$J1350,'Weekly Log'!$A:$A,"&lt;"&amp;$J1350+7),0))</f>
        <v/>
      </c>
      <c r="D1350" t="str">
        <f>IF($J1350="","",IFERROR(COUNTIFS('Weekly Log'!$H:$H,"Y",'Weekly Log'!$A:$A,"&gt;="&amp;$J1350,'Weekly Log'!$A:$A,"&lt;"&amp;$J1350+7)/COUNTIFS('Weekly Log'!$H:$H,"&lt;&gt;",'Weekly Log'!$A:$A,"&gt;="&amp;$J1350,'Weekly Log'!$A:$A,"&lt;"&amp;$J1350+7),0))</f>
        <v/>
      </c>
      <c r="E1350" t="str">
        <f>IF($J1350="","",IFERROR(AVERAGEIFS('Weekly Log'!$F:$F,'Weekly Log'!$A:$A,"&gt;="&amp;$J1350,'Weekly Log'!$A:$A,"&lt;"&amp;$J1350+7),0))</f>
        <v/>
      </c>
      <c r="F1350" t="str">
        <f>IF($J1350="","",IFERROR(SUMIFS('Weekly Log'!$F:$F,'Weekly Log'!$A:$A,"&gt;="&amp;$J1350,'Weekly Log'!$A:$A,"&lt;"&amp;$J1350+7)/SUMIFS('Weekly Log'!$E:$E,'Weekly Log'!$A:$A,"&gt;="&amp;$J1350,'Weekly Log'!$A:$A,"&lt;"&amp;$J1350+7),0))</f>
        <v/>
      </c>
      <c r="G1350" t="str">
        <f>IF($J1350="","",IFERROR(LOOKUP(2,1/(('Weekly Log'!$A$5:$A$5000&gt;=$J1350)*('Weekly Log'!$A$5:$A$5000&lt;$J1350+7)*('Weekly Log'!$M$5:$M$5000&lt;&gt;"")),'Weekly Log'!$M$5:$M$5000),0))</f>
        <v/>
      </c>
      <c r="J1350" t="str">
        <f>IF(COUNT('Weekly Log'!$A$5:$A$5000)=0,"",IF(MIN('Weekly Log'!$A$5:$A$5000)+7*(ROW()-10)&gt;MAX('Weekly Log'!$A$5:$A$5000),"",MIN('Weekly Log'!$A$5:$A$5000)+7*(ROW()-10)))</f>
        <v/>
      </c>
    </row>
    <row r="1351" spans="1:10" x14ac:dyDescent="0.25">
      <c r="A1351" t="str">
        <f t="shared" si="20"/>
        <v/>
      </c>
      <c r="B1351" t="str">
        <f>IF($J1351="","",SUMIFS('Weekly Log'!$C:$C,'Weekly Log'!$A:$A,"&gt;="&amp;$J1351,'Weekly Log'!$A:$A,"&lt;"&amp;$J1351+7))</f>
        <v/>
      </c>
      <c r="C1351" t="str">
        <f>IF($J1351="","",IFERROR(COUNTIFS('Weekly Log'!$G:$G,"Y",'Weekly Log'!$A:$A,"&gt;="&amp;$J1351,'Weekly Log'!$A:$A,"&lt;"&amp;$J1351+7)/COUNTIFS('Weekly Log'!$G:$G,"&lt;&gt;",'Weekly Log'!$A:$A,"&gt;="&amp;$J1351,'Weekly Log'!$A:$A,"&lt;"&amp;$J1351+7),0))</f>
        <v/>
      </c>
      <c r="D1351" t="str">
        <f>IF($J1351="","",IFERROR(COUNTIFS('Weekly Log'!$H:$H,"Y",'Weekly Log'!$A:$A,"&gt;="&amp;$J1351,'Weekly Log'!$A:$A,"&lt;"&amp;$J1351+7)/COUNTIFS('Weekly Log'!$H:$H,"&lt;&gt;",'Weekly Log'!$A:$A,"&gt;="&amp;$J1351,'Weekly Log'!$A:$A,"&lt;"&amp;$J1351+7),0))</f>
        <v/>
      </c>
      <c r="E1351" t="str">
        <f>IF($J1351="","",IFERROR(AVERAGEIFS('Weekly Log'!$F:$F,'Weekly Log'!$A:$A,"&gt;="&amp;$J1351,'Weekly Log'!$A:$A,"&lt;"&amp;$J1351+7),0))</f>
        <v/>
      </c>
      <c r="F1351" t="str">
        <f>IF($J1351="","",IFERROR(SUMIFS('Weekly Log'!$F:$F,'Weekly Log'!$A:$A,"&gt;="&amp;$J1351,'Weekly Log'!$A:$A,"&lt;"&amp;$J1351+7)/SUMIFS('Weekly Log'!$E:$E,'Weekly Log'!$A:$A,"&gt;="&amp;$J1351,'Weekly Log'!$A:$A,"&lt;"&amp;$J1351+7),0))</f>
        <v/>
      </c>
      <c r="G1351" t="str">
        <f>IF($J1351="","",IFERROR(LOOKUP(2,1/(('Weekly Log'!$A$5:$A$5000&gt;=$J1351)*('Weekly Log'!$A$5:$A$5000&lt;$J1351+7)*('Weekly Log'!$M$5:$M$5000&lt;&gt;"")),'Weekly Log'!$M$5:$M$5000),0))</f>
        <v/>
      </c>
      <c r="J1351" t="str">
        <f>IF(COUNT('Weekly Log'!$A$5:$A$5000)=0,"",IF(MIN('Weekly Log'!$A$5:$A$5000)+7*(ROW()-10)&gt;MAX('Weekly Log'!$A$5:$A$5000),"",MIN('Weekly Log'!$A$5:$A$5000)+7*(ROW()-10)))</f>
        <v/>
      </c>
    </row>
    <row r="1352" spans="1:10" x14ac:dyDescent="0.25">
      <c r="A1352" t="str">
        <f t="shared" si="20"/>
        <v/>
      </c>
      <c r="B1352" t="str">
        <f>IF($J1352="","",SUMIFS('Weekly Log'!$C:$C,'Weekly Log'!$A:$A,"&gt;="&amp;$J1352,'Weekly Log'!$A:$A,"&lt;"&amp;$J1352+7))</f>
        <v/>
      </c>
      <c r="C1352" t="str">
        <f>IF($J1352="","",IFERROR(COUNTIFS('Weekly Log'!$G:$G,"Y",'Weekly Log'!$A:$A,"&gt;="&amp;$J1352,'Weekly Log'!$A:$A,"&lt;"&amp;$J1352+7)/COUNTIFS('Weekly Log'!$G:$G,"&lt;&gt;",'Weekly Log'!$A:$A,"&gt;="&amp;$J1352,'Weekly Log'!$A:$A,"&lt;"&amp;$J1352+7),0))</f>
        <v/>
      </c>
      <c r="D1352" t="str">
        <f>IF($J1352="","",IFERROR(COUNTIFS('Weekly Log'!$H:$H,"Y",'Weekly Log'!$A:$A,"&gt;="&amp;$J1352,'Weekly Log'!$A:$A,"&lt;"&amp;$J1352+7)/COUNTIFS('Weekly Log'!$H:$H,"&lt;&gt;",'Weekly Log'!$A:$A,"&gt;="&amp;$J1352,'Weekly Log'!$A:$A,"&lt;"&amp;$J1352+7),0))</f>
        <v/>
      </c>
      <c r="E1352" t="str">
        <f>IF($J1352="","",IFERROR(AVERAGEIFS('Weekly Log'!$F:$F,'Weekly Log'!$A:$A,"&gt;="&amp;$J1352,'Weekly Log'!$A:$A,"&lt;"&amp;$J1352+7),0))</f>
        <v/>
      </c>
      <c r="F1352" t="str">
        <f>IF($J1352="","",IFERROR(SUMIFS('Weekly Log'!$F:$F,'Weekly Log'!$A:$A,"&gt;="&amp;$J1352,'Weekly Log'!$A:$A,"&lt;"&amp;$J1352+7)/SUMIFS('Weekly Log'!$E:$E,'Weekly Log'!$A:$A,"&gt;="&amp;$J1352,'Weekly Log'!$A:$A,"&lt;"&amp;$J1352+7),0))</f>
        <v/>
      </c>
      <c r="G1352" t="str">
        <f>IF($J1352="","",IFERROR(LOOKUP(2,1/(('Weekly Log'!$A$5:$A$5000&gt;=$J1352)*('Weekly Log'!$A$5:$A$5000&lt;$J1352+7)*('Weekly Log'!$M$5:$M$5000&lt;&gt;"")),'Weekly Log'!$M$5:$M$5000),0))</f>
        <v/>
      </c>
      <c r="J1352" t="str">
        <f>IF(COUNT('Weekly Log'!$A$5:$A$5000)=0,"",IF(MIN('Weekly Log'!$A$5:$A$5000)+7*(ROW()-10)&gt;MAX('Weekly Log'!$A$5:$A$5000),"",MIN('Weekly Log'!$A$5:$A$5000)+7*(ROW()-10)))</f>
        <v/>
      </c>
    </row>
    <row r="1353" spans="1:10" x14ac:dyDescent="0.25">
      <c r="A1353" t="str">
        <f t="shared" si="20"/>
        <v/>
      </c>
      <c r="B1353" t="str">
        <f>IF($J1353="","",SUMIFS('Weekly Log'!$C:$C,'Weekly Log'!$A:$A,"&gt;="&amp;$J1353,'Weekly Log'!$A:$A,"&lt;"&amp;$J1353+7))</f>
        <v/>
      </c>
      <c r="C1353" t="str">
        <f>IF($J1353="","",IFERROR(COUNTIFS('Weekly Log'!$G:$G,"Y",'Weekly Log'!$A:$A,"&gt;="&amp;$J1353,'Weekly Log'!$A:$A,"&lt;"&amp;$J1353+7)/COUNTIFS('Weekly Log'!$G:$G,"&lt;&gt;",'Weekly Log'!$A:$A,"&gt;="&amp;$J1353,'Weekly Log'!$A:$A,"&lt;"&amp;$J1353+7),0))</f>
        <v/>
      </c>
      <c r="D1353" t="str">
        <f>IF($J1353="","",IFERROR(COUNTIFS('Weekly Log'!$H:$H,"Y",'Weekly Log'!$A:$A,"&gt;="&amp;$J1353,'Weekly Log'!$A:$A,"&lt;"&amp;$J1353+7)/COUNTIFS('Weekly Log'!$H:$H,"&lt;&gt;",'Weekly Log'!$A:$A,"&gt;="&amp;$J1353,'Weekly Log'!$A:$A,"&lt;"&amp;$J1353+7),0))</f>
        <v/>
      </c>
      <c r="E1353" t="str">
        <f>IF($J1353="","",IFERROR(AVERAGEIFS('Weekly Log'!$F:$F,'Weekly Log'!$A:$A,"&gt;="&amp;$J1353,'Weekly Log'!$A:$A,"&lt;"&amp;$J1353+7),0))</f>
        <v/>
      </c>
      <c r="F1353" t="str">
        <f>IF($J1353="","",IFERROR(SUMIFS('Weekly Log'!$F:$F,'Weekly Log'!$A:$A,"&gt;="&amp;$J1353,'Weekly Log'!$A:$A,"&lt;"&amp;$J1353+7)/SUMIFS('Weekly Log'!$E:$E,'Weekly Log'!$A:$A,"&gt;="&amp;$J1353,'Weekly Log'!$A:$A,"&lt;"&amp;$J1353+7),0))</f>
        <v/>
      </c>
      <c r="G1353" t="str">
        <f>IF($J1353="","",IFERROR(LOOKUP(2,1/(('Weekly Log'!$A$5:$A$5000&gt;=$J1353)*('Weekly Log'!$A$5:$A$5000&lt;$J1353+7)*('Weekly Log'!$M$5:$M$5000&lt;&gt;"")),'Weekly Log'!$M$5:$M$5000),0))</f>
        <v/>
      </c>
      <c r="J1353" t="str">
        <f>IF(COUNT('Weekly Log'!$A$5:$A$5000)=0,"",IF(MIN('Weekly Log'!$A$5:$A$5000)+7*(ROW()-10)&gt;MAX('Weekly Log'!$A$5:$A$5000),"",MIN('Weekly Log'!$A$5:$A$5000)+7*(ROW()-10)))</f>
        <v/>
      </c>
    </row>
    <row r="1354" spans="1:10" x14ac:dyDescent="0.25">
      <c r="A1354" t="str">
        <f t="shared" ref="A1354:A1417" si="21">IF($J1354="","",YEAR($J1354-WEEKDAY($J1354,2)+4)&amp;"-W"&amp;TEXT(WEEKNUM($J1354,21),"00"))</f>
        <v/>
      </c>
      <c r="B1354" t="str">
        <f>IF($J1354="","",SUMIFS('Weekly Log'!$C:$C,'Weekly Log'!$A:$A,"&gt;="&amp;$J1354,'Weekly Log'!$A:$A,"&lt;"&amp;$J1354+7))</f>
        <v/>
      </c>
      <c r="C1354" t="str">
        <f>IF($J1354="","",IFERROR(COUNTIFS('Weekly Log'!$G:$G,"Y",'Weekly Log'!$A:$A,"&gt;="&amp;$J1354,'Weekly Log'!$A:$A,"&lt;"&amp;$J1354+7)/COUNTIFS('Weekly Log'!$G:$G,"&lt;&gt;",'Weekly Log'!$A:$A,"&gt;="&amp;$J1354,'Weekly Log'!$A:$A,"&lt;"&amp;$J1354+7),0))</f>
        <v/>
      </c>
      <c r="D1354" t="str">
        <f>IF($J1354="","",IFERROR(COUNTIFS('Weekly Log'!$H:$H,"Y",'Weekly Log'!$A:$A,"&gt;="&amp;$J1354,'Weekly Log'!$A:$A,"&lt;"&amp;$J1354+7)/COUNTIFS('Weekly Log'!$H:$H,"&lt;&gt;",'Weekly Log'!$A:$A,"&gt;="&amp;$J1354,'Weekly Log'!$A:$A,"&lt;"&amp;$J1354+7),0))</f>
        <v/>
      </c>
      <c r="E1354" t="str">
        <f>IF($J1354="","",IFERROR(AVERAGEIFS('Weekly Log'!$F:$F,'Weekly Log'!$A:$A,"&gt;="&amp;$J1354,'Weekly Log'!$A:$A,"&lt;"&amp;$J1354+7),0))</f>
        <v/>
      </c>
      <c r="F1354" t="str">
        <f>IF($J1354="","",IFERROR(SUMIFS('Weekly Log'!$F:$F,'Weekly Log'!$A:$A,"&gt;="&amp;$J1354,'Weekly Log'!$A:$A,"&lt;"&amp;$J1354+7)/SUMIFS('Weekly Log'!$E:$E,'Weekly Log'!$A:$A,"&gt;="&amp;$J1354,'Weekly Log'!$A:$A,"&lt;"&amp;$J1354+7),0))</f>
        <v/>
      </c>
      <c r="G1354" t="str">
        <f>IF($J1354="","",IFERROR(LOOKUP(2,1/(('Weekly Log'!$A$5:$A$5000&gt;=$J1354)*('Weekly Log'!$A$5:$A$5000&lt;$J1354+7)*('Weekly Log'!$M$5:$M$5000&lt;&gt;"")),'Weekly Log'!$M$5:$M$5000),0))</f>
        <v/>
      </c>
      <c r="J1354" t="str">
        <f>IF(COUNT('Weekly Log'!$A$5:$A$5000)=0,"",IF(MIN('Weekly Log'!$A$5:$A$5000)+7*(ROW()-10)&gt;MAX('Weekly Log'!$A$5:$A$5000),"",MIN('Weekly Log'!$A$5:$A$5000)+7*(ROW()-10)))</f>
        <v/>
      </c>
    </row>
    <row r="1355" spans="1:10" x14ac:dyDescent="0.25">
      <c r="A1355" t="str">
        <f t="shared" si="21"/>
        <v/>
      </c>
      <c r="B1355" t="str">
        <f>IF($J1355="","",SUMIFS('Weekly Log'!$C:$C,'Weekly Log'!$A:$A,"&gt;="&amp;$J1355,'Weekly Log'!$A:$A,"&lt;"&amp;$J1355+7))</f>
        <v/>
      </c>
      <c r="C1355" t="str">
        <f>IF($J1355="","",IFERROR(COUNTIFS('Weekly Log'!$G:$G,"Y",'Weekly Log'!$A:$A,"&gt;="&amp;$J1355,'Weekly Log'!$A:$A,"&lt;"&amp;$J1355+7)/COUNTIFS('Weekly Log'!$G:$G,"&lt;&gt;",'Weekly Log'!$A:$A,"&gt;="&amp;$J1355,'Weekly Log'!$A:$A,"&lt;"&amp;$J1355+7),0))</f>
        <v/>
      </c>
      <c r="D1355" t="str">
        <f>IF($J1355="","",IFERROR(COUNTIFS('Weekly Log'!$H:$H,"Y",'Weekly Log'!$A:$A,"&gt;="&amp;$J1355,'Weekly Log'!$A:$A,"&lt;"&amp;$J1355+7)/COUNTIFS('Weekly Log'!$H:$H,"&lt;&gt;",'Weekly Log'!$A:$A,"&gt;="&amp;$J1355,'Weekly Log'!$A:$A,"&lt;"&amp;$J1355+7),0))</f>
        <v/>
      </c>
      <c r="E1355" t="str">
        <f>IF($J1355="","",IFERROR(AVERAGEIFS('Weekly Log'!$F:$F,'Weekly Log'!$A:$A,"&gt;="&amp;$J1355,'Weekly Log'!$A:$A,"&lt;"&amp;$J1355+7),0))</f>
        <v/>
      </c>
      <c r="F1355" t="str">
        <f>IF($J1355="","",IFERROR(SUMIFS('Weekly Log'!$F:$F,'Weekly Log'!$A:$A,"&gt;="&amp;$J1355,'Weekly Log'!$A:$A,"&lt;"&amp;$J1355+7)/SUMIFS('Weekly Log'!$E:$E,'Weekly Log'!$A:$A,"&gt;="&amp;$J1355,'Weekly Log'!$A:$A,"&lt;"&amp;$J1355+7),0))</f>
        <v/>
      </c>
      <c r="G1355" t="str">
        <f>IF($J1355="","",IFERROR(LOOKUP(2,1/(('Weekly Log'!$A$5:$A$5000&gt;=$J1355)*('Weekly Log'!$A$5:$A$5000&lt;$J1355+7)*('Weekly Log'!$M$5:$M$5000&lt;&gt;"")),'Weekly Log'!$M$5:$M$5000),0))</f>
        <v/>
      </c>
      <c r="J1355" t="str">
        <f>IF(COUNT('Weekly Log'!$A$5:$A$5000)=0,"",IF(MIN('Weekly Log'!$A$5:$A$5000)+7*(ROW()-10)&gt;MAX('Weekly Log'!$A$5:$A$5000),"",MIN('Weekly Log'!$A$5:$A$5000)+7*(ROW()-10)))</f>
        <v/>
      </c>
    </row>
    <row r="1356" spans="1:10" x14ac:dyDescent="0.25">
      <c r="A1356" t="str">
        <f t="shared" si="21"/>
        <v/>
      </c>
      <c r="B1356" t="str">
        <f>IF($J1356="","",SUMIFS('Weekly Log'!$C:$C,'Weekly Log'!$A:$A,"&gt;="&amp;$J1356,'Weekly Log'!$A:$A,"&lt;"&amp;$J1356+7))</f>
        <v/>
      </c>
      <c r="C1356" t="str">
        <f>IF($J1356="","",IFERROR(COUNTIFS('Weekly Log'!$G:$G,"Y",'Weekly Log'!$A:$A,"&gt;="&amp;$J1356,'Weekly Log'!$A:$A,"&lt;"&amp;$J1356+7)/COUNTIFS('Weekly Log'!$G:$G,"&lt;&gt;",'Weekly Log'!$A:$A,"&gt;="&amp;$J1356,'Weekly Log'!$A:$A,"&lt;"&amp;$J1356+7),0))</f>
        <v/>
      </c>
      <c r="D1356" t="str">
        <f>IF($J1356="","",IFERROR(COUNTIFS('Weekly Log'!$H:$H,"Y",'Weekly Log'!$A:$A,"&gt;="&amp;$J1356,'Weekly Log'!$A:$A,"&lt;"&amp;$J1356+7)/COUNTIFS('Weekly Log'!$H:$H,"&lt;&gt;",'Weekly Log'!$A:$A,"&gt;="&amp;$J1356,'Weekly Log'!$A:$A,"&lt;"&amp;$J1356+7),0))</f>
        <v/>
      </c>
      <c r="E1356" t="str">
        <f>IF($J1356="","",IFERROR(AVERAGEIFS('Weekly Log'!$F:$F,'Weekly Log'!$A:$A,"&gt;="&amp;$J1356,'Weekly Log'!$A:$A,"&lt;"&amp;$J1356+7),0))</f>
        <v/>
      </c>
      <c r="F1356" t="str">
        <f>IF($J1356="","",IFERROR(SUMIFS('Weekly Log'!$F:$F,'Weekly Log'!$A:$A,"&gt;="&amp;$J1356,'Weekly Log'!$A:$A,"&lt;"&amp;$J1356+7)/SUMIFS('Weekly Log'!$E:$E,'Weekly Log'!$A:$A,"&gt;="&amp;$J1356,'Weekly Log'!$A:$A,"&lt;"&amp;$J1356+7),0))</f>
        <v/>
      </c>
      <c r="G1356" t="str">
        <f>IF($J1356="","",IFERROR(LOOKUP(2,1/(('Weekly Log'!$A$5:$A$5000&gt;=$J1356)*('Weekly Log'!$A$5:$A$5000&lt;$J1356+7)*('Weekly Log'!$M$5:$M$5000&lt;&gt;"")),'Weekly Log'!$M$5:$M$5000),0))</f>
        <v/>
      </c>
      <c r="J1356" t="str">
        <f>IF(COUNT('Weekly Log'!$A$5:$A$5000)=0,"",IF(MIN('Weekly Log'!$A$5:$A$5000)+7*(ROW()-10)&gt;MAX('Weekly Log'!$A$5:$A$5000),"",MIN('Weekly Log'!$A$5:$A$5000)+7*(ROW()-10)))</f>
        <v/>
      </c>
    </row>
    <row r="1357" spans="1:10" x14ac:dyDescent="0.25">
      <c r="A1357" t="str">
        <f t="shared" si="21"/>
        <v/>
      </c>
      <c r="B1357" t="str">
        <f>IF($J1357="","",SUMIFS('Weekly Log'!$C:$C,'Weekly Log'!$A:$A,"&gt;="&amp;$J1357,'Weekly Log'!$A:$A,"&lt;"&amp;$J1357+7))</f>
        <v/>
      </c>
      <c r="C1357" t="str">
        <f>IF($J1357="","",IFERROR(COUNTIFS('Weekly Log'!$G:$G,"Y",'Weekly Log'!$A:$A,"&gt;="&amp;$J1357,'Weekly Log'!$A:$A,"&lt;"&amp;$J1357+7)/COUNTIFS('Weekly Log'!$G:$G,"&lt;&gt;",'Weekly Log'!$A:$A,"&gt;="&amp;$J1357,'Weekly Log'!$A:$A,"&lt;"&amp;$J1357+7),0))</f>
        <v/>
      </c>
      <c r="D1357" t="str">
        <f>IF($J1357="","",IFERROR(COUNTIFS('Weekly Log'!$H:$H,"Y",'Weekly Log'!$A:$A,"&gt;="&amp;$J1357,'Weekly Log'!$A:$A,"&lt;"&amp;$J1357+7)/COUNTIFS('Weekly Log'!$H:$H,"&lt;&gt;",'Weekly Log'!$A:$A,"&gt;="&amp;$J1357,'Weekly Log'!$A:$A,"&lt;"&amp;$J1357+7),0))</f>
        <v/>
      </c>
      <c r="E1357" t="str">
        <f>IF($J1357="","",IFERROR(AVERAGEIFS('Weekly Log'!$F:$F,'Weekly Log'!$A:$A,"&gt;="&amp;$J1357,'Weekly Log'!$A:$A,"&lt;"&amp;$J1357+7),0))</f>
        <v/>
      </c>
      <c r="F1357" t="str">
        <f>IF($J1357="","",IFERROR(SUMIFS('Weekly Log'!$F:$F,'Weekly Log'!$A:$A,"&gt;="&amp;$J1357,'Weekly Log'!$A:$A,"&lt;"&amp;$J1357+7)/SUMIFS('Weekly Log'!$E:$E,'Weekly Log'!$A:$A,"&gt;="&amp;$J1357,'Weekly Log'!$A:$A,"&lt;"&amp;$J1357+7),0))</f>
        <v/>
      </c>
      <c r="G1357" t="str">
        <f>IF($J1357="","",IFERROR(LOOKUP(2,1/(('Weekly Log'!$A$5:$A$5000&gt;=$J1357)*('Weekly Log'!$A$5:$A$5000&lt;$J1357+7)*('Weekly Log'!$M$5:$M$5000&lt;&gt;"")),'Weekly Log'!$M$5:$M$5000),0))</f>
        <v/>
      </c>
      <c r="J1357" t="str">
        <f>IF(COUNT('Weekly Log'!$A$5:$A$5000)=0,"",IF(MIN('Weekly Log'!$A$5:$A$5000)+7*(ROW()-10)&gt;MAX('Weekly Log'!$A$5:$A$5000),"",MIN('Weekly Log'!$A$5:$A$5000)+7*(ROW()-10)))</f>
        <v/>
      </c>
    </row>
    <row r="1358" spans="1:10" x14ac:dyDescent="0.25">
      <c r="A1358" t="str">
        <f t="shared" si="21"/>
        <v/>
      </c>
      <c r="B1358" t="str">
        <f>IF($J1358="","",SUMIFS('Weekly Log'!$C:$C,'Weekly Log'!$A:$A,"&gt;="&amp;$J1358,'Weekly Log'!$A:$A,"&lt;"&amp;$J1358+7))</f>
        <v/>
      </c>
      <c r="C1358" t="str">
        <f>IF($J1358="","",IFERROR(COUNTIFS('Weekly Log'!$G:$G,"Y",'Weekly Log'!$A:$A,"&gt;="&amp;$J1358,'Weekly Log'!$A:$A,"&lt;"&amp;$J1358+7)/COUNTIFS('Weekly Log'!$G:$G,"&lt;&gt;",'Weekly Log'!$A:$A,"&gt;="&amp;$J1358,'Weekly Log'!$A:$A,"&lt;"&amp;$J1358+7),0))</f>
        <v/>
      </c>
      <c r="D1358" t="str">
        <f>IF($J1358="","",IFERROR(COUNTIFS('Weekly Log'!$H:$H,"Y",'Weekly Log'!$A:$A,"&gt;="&amp;$J1358,'Weekly Log'!$A:$A,"&lt;"&amp;$J1358+7)/COUNTIFS('Weekly Log'!$H:$H,"&lt;&gt;",'Weekly Log'!$A:$A,"&gt;="&amp;$J1358,'Weekly Log'!$A:$A,"&lt;"&amp;$J1358+7),0))</f>
        <v/>
      </c>
      <c r="E1358" t="str">
        <f>IF($J1358="","",IFERROR(AVERAGEIFS('Weekly Log'!$F:$F,'Weekly Log'!$A:$A,"&gt;="&amp;$J1358,'Weekly Log'!$A:$A,"&lt;"&amp;$J1358+7),0))</f>
        <v/>
      </c>
      <c r="F1358" t="str">
        <f>IF($J1358="","",IFERROR(SUMIFS('Weekly Log'!$F:$F,'Weekly Log'!$A:$A,"&gt;="&amp;$J1358,'Weekly Log'!$A:$A,"&lt;"&amp;$J1358+7)/SUMIFS('Weekly Log'!$E:$E,'Weekly Log'!$A:$A,"&gt;="&amp;$J1358,'Weekly Log'!$A:$A,"&lt;"&amp;$J1358+7),0))</f>
        <v/>
      </c>
      <c r="G1358" t="str">
        <f>IF($J1358="","",IFERROR(LOOKUP(2,1/(('Weekly Log'!$A$5:$A$5000&gt;=$J1358)*('Weekly Log'!$A$5:$A$5000&lt;$J1358+7)*('Weekly Log'!$M$5:$M$5000&lt;&gt;"")),'Weekly Log'!$M$5:$M$5000),0))</f>
        <v/>
      </c>
      <c r="J1358" t="str">
        <f>IF(COUNT('Weekly Log'!$A$5:$A$5000)=0,"",IF(MIN('Weekly Log'!$A$5:$A$5000)+7*(ROW()-10)&gt;MAX('Weekly Log'!$A$5:$A$5000),"",MIN('Weekly Log'!$A$5:$A$5000)+7*(ROW()-10)))</f>
        <v/>
      </c>
    </row>
    <row r="1359" spans="1:10" x14ac:dyDescent="0.25">
      <c r="A1359" t="str">
        <f t="shared" si="21"/>
        <v/>
      </c>
      <c r="B1359" t="str">
        <f>IF($J1359="","",SUMIFS('Weekly Log'!$C:$C,'Weekly Log'!$A:$A,"&gt;="&amp;$J1359,'Weekly Log'!$A:$A,"&lt;"&amp;$J1359+7))</f>
        <v/>
      </c>
      <c r="C1359" t="str">
        <f>IF($J1359="","",IFERROR(COUNTIFS('Weekly Log'!$G:$G,"Y",'Weekly Log'!$A:$A,"&gt;="&amp;$J1359,'Weekly Log'!$A:$A,"&lt;"&amp;$J1359+7)/COUNTIFS('Weekly Log'!$G:$G,"&lt;&gt;",'Weekly Log'!$A:$A,"&gt;="&amp;$J1359,'Weekly Log'!$A:$A,"&lt;"&amp;$J1359+7),0))</f>
        <v/>
      </c>
      <c r="D1359" t="str">
        <f>IF($J1359="","",IFERROR(COUNTIFS('Weekly Log'!$H:$H,"Y",'Weekly Log'!$A:$A,"&gt;="&amp;$J1359,'Weekly Log'!$A:$A,"&lt;"&amp;$J1359+7)/COUNTIFS('Weekly Log'!$H:$H,"&lt;&gt;",'Weekly Log'!$A:$A,"&gt;="&amp;$J1359,'Weekly Log'!$A:$A,"&lt;"&amp;$J1359+7),0))</f>
        <v/>
      </c>
      <c r="E1359" t="str">
        <f>IF($J1359="","",IFERROR(AVERAGEIFS('Weekly Log'!$F:$F,'Weekly Log'!$A:$A,"&gt;="&amp;$J1359,'Weekly Log'!$A:$A,"&lt;"&amp;$J1359+7),0))</f>
        <v/>
      </c>
      <c r="F1359" t="str">
        <f>IF($J1359="","",IFERROR(SUMIFS('Weekly Log'!$F:$F,'Weekly Log'!$A:$A,"&gt;="&amp;$J1359,'Weekly Log'!$A:$A,"&lt;"&amp;$J1359+7)/SUMIFS('Weekly Log'!$E:$E,'Weekly Log'!$A:$A,"&gt;="&amp;$J1359,'Weekly Log'!$A:$A,"&lt;"&amp;$J1359+7),0))</f>
        <v/>
      </c>
      <c r="G1359" t="str">
        <f>IF($J1359="","",IFERROR(LOOKUP(2,1/(('Weekly Log'!$A$5:$A$5000&gt;=$J1359)*('Weekly Log'!$A$5:$A$5000&lt;$J1359+7)*('Weekly Log'!$M$5:$M$5000&lt;&gt;"")),'Weekly Log'!$M$5:$M$5000),0))</f>
        <v/>
      </c>
      <c r="J1359" t="str">
        <f>IF(COUNT('Weekly Log'!$A$5:$A$5000)=0,"",IF(MIN('Weekly Log'!$A$5:$A$5000)+7*(ROW()-10)&gt;MAX('Weekly Log'!$A$5:$A$5000),"",MIN('Weekly Log'!$A$5:$A$5000)+7*(ROW()-10)))</f>
        <v/>
      </c>
    </row>
    <row r="1360" spans="1:10" x14ac:dyDescent="0.25">
      <c r="A1360" t="str">
        <f t="shared" si="21"/>
        <v/>
      </c>
      <c r="B1360" t="str">
        <f>IF($J1360="","",SUMIFS('Weekly Log'!$C:$C,'Weekly Log'!$A:$A,"&gt;="&amp;$J1360,'Weekly Log'!$A:$A,"&lt;"&amp;$J1360+7))</f>
        <v/>
      </c>
      <c r="C1360" t="str">
        <f>IF($J1360="","",IFERROR(COUNTIFS('Weekly Log'!$G:$G,"Y",'Weekly Log'!$A:$A,"&gt;="&amp;$J1360,'Weekly Log'!$A:$A,"&lt;"&amp;$J1360+7)/COUNTIFS('Weekly Log'!$G:$G,"&lt;&gt;",'Weekly Log'!$A:$A,"&gt;="&amp;$J1360,'Weekly Log'!$A:$A,"&lt;"&amp;$J1360+7),0))</f>
        <v/>
      </c>
      <c r="D1360" t="str">
        <f>IF($J1360="","",IFERROR(COUNTIFS('Weekly Log'!$H:$H,"Y",'Weekly Log'!$A:$A,"&gt;="&amp;$J1360,'Weekly Log'!$A:$A,"&lt;"&amp;$J1360+7)/COUNTIFS('Weekly Log'!$H:$H,"&lt;&gt;",'Weekly Log'!$A:$A,"&gt;="&amp;$J1360,'Weekly Log'!$A:$A,"&lt;"&amp;$J1360+7),0))</f>
        <v/>
      </c>
      <c r="E1360" t="str">
        <f>IF($J1360="","",IFERROR(AVERAGEIFS('Weekly Log'!$F:$F,'Weekly Log'!$A:$A,"&gt;="&amp;$J1360,'Weekly Log'!$A:$A,"&lt;"&amp;$J1360+7),0))</f>
        <v/>
      </c>
      <c r="F1360" t="str">
        <f>IF($J1360="","",IFERROR(SUMIFS('Weekly Log'!$F:$F,'Weekly Log'!$A:$A,"&gt;="&amp;$J1360,'Weekly Log'!$A:$A,"&lt;"&amp;$J1360+7)/SUMIFS('Weekly Log'!$E:$E,'Weekly Log'!$A:$A,"&gt;="&amp;$J1360,'Weekly Log'!$A:$A,"&lt;"&amp;$J1360+7),0))</f>
        <v/>
      </c>
      <c r="G1360" t="str">
        <f>IF($J1360="","",IFERROR(LOOKUP(2,1/(('Weekly Log'!$A$5:$A$5000&gt;=$J1360)*('Weekly Log'!$A$5:$A$5000&lt;$J1360+7)*('Weekly Log'!$M$5:$M$5000&lt;&gt;"")),'Weekly Log'!$M$5:$M$5000),0))</f>
        <v/>
      </c>
      <c r="J1360" t="str">
        <f>IF(COUNT('Weekly Log'!$A$5:$A$5000)=0,"",IF(MIN('Weekly Log'!$A$5:$A$5000)+7*(ROW()-10)&gt;MAX('Weekly Log'!$A$5:$A$5000),"",MIN('Weekly Log'!$A$5:$A$5000)+7*(ROW()-10)))</f>
        <v/>
      </c>
    </row>
    <row r="1361" spans="1:10" x14ac:dyDescent="0.25">
      <c r="A1361" t="str">
        <f t="shared" si="21"/>
        <v/>
      </c>
      <c r="B1361" t="str">
        <f>IF($J1361="","",SUMIFS('Weekly Log'!$C:$C,'Weekly Log'!$A:$A,"&gt;="&amp;$J1361,'Weekly Log'!$A:$A,"&lt;"&amp;$J1361+7))</f>
        <v/>
      </c>
      <c r="C1361" t="str">
        <f>IF($J1361="","",IFERROR(COUNTIFS('Weekly Log'!$G:$G,"Y",'Weekly Log'!$A:$A,"&gt;="&amp;$J1361,'Weekly Log'!$A:$A,"&lt;"&amp;$J1361+7)/COUNTIFS('Weekly Log'!$G:$G,"&lt;&gt;",'Weekly Log'!$A:$A,"&gt;="&amp;$J1361,'Weekly Log'!$A:$A,"&lt;"&amp;$J1361+7),0))</f>
        <v/>
      </c>
      <c r="D1361" t="str">
        <f>IF($J1361="","",IFERROR(COUNTIFS('Weekly Log'!$H:$H,"Y",'Weekly Log'!$A:$A,"&gt;="&amp;$J1361,'Weekly Log'!$A:$A,"&lt;"&amp;$J1361+7)/COUNTIFS('Weekly Log'!$H:$H,"&lt;&gt;",'Weekly Log'!$A:$A,"&gt;="&amp;$J1361,'Weekly Log'!$A:$A,"&lt;"&amp;$J1361+7),0))</f>
        <v/>
      </c>
      <c r="E1361" t="str">
        <f>IF($J1361="","",IFERROR(AVERAGEIFS('Weekly Log'!$F:$F,'Weekly Log'!$A:$A,"&gt;="&amp;$J1361,'Weekly Log'!$A:$A,"&lt;"&amp;$J1361+7),0))</f>
        <v/>
      </c>
      <c r="F1361" t="str">
        <f>IF($J1361="","",IFERROR(SUMIFS('Weekly Log'!$F:$F,'Weekly Log'!$A:$A,"&gt;="&amp;$J1361,'Weekly Log'!$A:$A,"&lt;"&amp;$J1361+7)/SUMIFS('Weekly Log'!$E:$E,'Weekly Log'!$A:$A,"&gt;="&amp;$J1361,'Weekly Log'!$A:$A,"&lt;"&amp;$J1361+7),0))</f>
        <v/>
      </c>
      <c r="G1361" t="str">
        <f>IF($J1361="","",IFERROR(LOOKUP(2,1/(('Weekly Log'!$A$5:$A$5000&gt;=$J1361)*('Weekly Log'!$A$5:$A$5000&lt;$J1361+7)*('Weekly Log'!$M$5:$M$5000&lt;&gt;"")),'Weekly Log'!$M$5:$M$5000),0))</f>
        <v/>
      </c>
      <c r="J1361" t="str">
        <f>IF(COUNT('Weekly Log'!$A$5:$A$5000)=0,"",IF(MIN('Weekly Log'!$A$5:$A$5000)+7*(ROW()-10)&gt;MAX('Weekly Log'!$A$5:$A$5000),"",MIN('Weekly Log'!$A$5:$A$5000)+7*(ROW()-10)))</f>
        <v/>
      </c>
    </row>
    <row r="1362" spans="1:10" x14ac:dyDescent="0.25">
      <c r="A1362" t="str">
        <f t="shared" si="21"/>
        <v/>
      </c>
      <c r="B1362" t="str">
        <f>IF($J1362="","",SUMIFS('Weekly Log'!$C:$C,'Weekly Log'!$A:$A,"&gt;="&amp;$J1362,'Weekly Log'!$A:$A,"&lt;"&amp;$J1362+7))</f>
        <v/>
      </c>
      <c r="C1362" t="str">
        <f>IF($J1362="","",IFERROR(COUNTIFS('Weekly Log'!$G:$G,"Y",'Weekly Log'!$A:$A,"&gt;="&amp;$J1362,'Weekly Log'!$A:$A,"&lt;"&amp;$J1362+7)/COUNTIFS('Weekly Log'!$G:$G,"&lt;&gt;",'Weekly Log'!$A:$A,"&gt;="&amp;$J1362,'Weekly Log'!$A:$A,"&lt;"&amp;$J1362+7),0))</f>
        <v/>
      </c>
      <c r="D1362" t="str">
        <f>IF($J1362="","",IFERROR(COUNTIFS('Weekly Log'!$H:$H,"Y",'Weekly Log'!$A:$A,"&gt;="&amp;$J1362,'Weekly Log'!$A:$A,"&lt;"&amp;$J1362+7)/COUNTIFS('Weekly Log'!$H:$H,"&lt;&gt;",'Weekly Log'!$A:$A,"&gt;="&amp;$J1362,'Weekly Log'!$A:$A,"&lt;"&amp;$J1362+7),0))</f>
        <v/>
      </c>
      <c r="E1362" t="str">
        <f>IF($J1362="","",IFERROR(AVERAGEIFS('Weekly Log'!$F:$F,'Weekly Log'!$A:$A,"&gt;="&amp;$J1362,'Weekly Log'!$A:$A,"&lt;"&amp;$J1362+7),0))</f>
        <v/>
      </c>
      <c r="F1362" t="str">
        <f>IF($J1362="","",IFERROR(SUMIFS('Weekly Log'!$F:$F,'Weekly Log'!$A:$A,"&gt;="&amp;$J1362,'Weekly Log'!$A:$A,"&lt;"&amp;$J1362+7)/SUMIFS('Weekly Log'!$E:$E,'Weekly Log'!$A:$A,"&gt;="&amp;$J1362,'Weekly Log'!$A:$A,"&lt;"&amp;$J1362+7),0))</f>
        <v/>
      </c>
      <c r="G1362" t="str">
        <f>IF($J1362="","",IFERROR(LOOKUP(2,1/(('Weekly Log'!$A$5:$A$5000&gt;=$J1362)*('Weekly Log'!$A$5:$A$5000&lt;$J1362+7)*('Weekly Log'!$M$5:$M$5000&lt;&gt;"")),'Weekly Log'!$M$5:$M$5000),0))</f>
        <v/>
      </c>
      <c r="J1362" t="str">
        <f>IF(COUNT('Weekly Log'!$A$5:$A$5000)=0,"",IF(MIN('Weekly Log'!$A$5:$A$5000)+7*(ROW()-10)&gt;MAX('Weekly Log'!$A$5:$A$5000),"",MIN('Weekly Log'!$A$5:$A$5000)+7*(ROW()-10)))</f>
        <v/>
      </c>
    </row>
    <row r="1363" spans="1:10" x14ac:dyDescent="0.25">
      <c r="A1363" t="str">
        <f t="shared" si="21"/>
        <v/>
      </c>
      <c r="B1363" t="str">
        <f>IF($J1363="","",SUMIFS('Weekly Log'!$C:$C,'Weekly Log'!$A:$A,"&gt;="&amp;$J1363,'Weekly Log'!$A:$A,"&lt;"&amp;$J1363+7))</f>
        <v/>
      </c>
      <c r="C1363" t="str">
        <f>IF($J1363="","",IFERROR(COUNTIFS('Weekly Log'!$G:$G,"Y",'Weekly Log'!$A:$A,"&gt;="&amp;$J1363,'Weekly Log'!$A:$A,"&lt;"&amp;$J1363+7)/COUNTIFS('Weekly Log'!$G:$G,"&lt;&gt;",'Weekly Log'!$A:$A,"&gt;="&amp;$J1363,'Weekly Log'!$A:$A,"&lt;"&amp;$J1363+7),0))</f>
        <v/>
      </c>
      <c r="D1363" t="str">
        <f>IF($J1363="","",IFERROR(COUNTIFS('Weekly Log'!$H:$H,"Y",'Weekly Log'!$A:$A,"&gt;="&amp;$J1363,'Weekly Log'!$A:$A,"&lt;"&amp;$J1363+7)/COUNTIFS('Weekly Log'!$H:$H,"&lt;&gt;",'Weekly Log'!$A:$A,"&gt;="&amp;$J1363,'Weekly Log'!$A:$A,"&lt;"&amp;$J1363+7),0))</f>
        <v/>
      </c>
      <c r="E1363" t="str">
        <f>IF($J1363="","",IFERROR(AVERAGEIFS('Weekly Log'!$F:$F,'Weekly Log'!$A:$A,"&gt;="&amp;$J1363,'Weekly Log'!$A:$A,"&lt;"&amp;$J1363+7),0))</f>
        <v/>
      </c>
      <c r="F1363" t="str">
        <f>IF($J1363="","",IFERROR(SUMIFS('Weekly Log'!$F:$F,'Weekly Log'!$A:$A,"&gt;="&amp;$J1363,'Weekly Log'!$A:$A,"&lt;"&amp;$J1363+7)/SUMIFS('Weekly Log'!$E:$E,'Weekly Log'!$A:$A,"&gt;="&amp;$J1363,'Weekly Log'!$A:$A,"&lt;"&amp;$J1363+7),0))</f>
        <v/>
      </c>
      <c r="G1363" t="str">
        <f>IF($J1363="","",IFERROR(LOOKUP(2,1/(('Weekly Log'!$A$5:$A$5000&gt;=$J1363)*('Weekly Log'!$A$5:$A$5000&lt;$J1363+7)*('Weekly Log'!$M$5:$M$5000&lt;&gt;"")),'Weekly Log'!$M$5:$M$5000),0))</f>
        <v/>
      </c>
      <c r="J1363" t="str">
        <f>IF(COUNT('Weekly Log'!$A$5:$A$5000)=0,"",IF(MIN('Weekly Log'!$A$5:$A$5000)+7*(ROW()-10)&gt;MAX('Weekly Log'!$A$5:$A$5000),"",MIN('Weekly Log'!$A$5:$A$5000)+7*(ROW()-10)))</f>
        <v/>
      </c>
    </row>
    <row r="1364" spans="1:10" x14ac:dyDescent="0.25">
      <c r="A1364" t="str">
        <f t="shared" si="21"/>
        <v/>
      </c>
      <c r="B1364" t="str">
        <f>IF($J1364="","",SUMIFS('Weekly Log'!$C:$C,'Weekly Log'!$A:$A,"&gt;="&amp;$J1364,'Weekly Log'!$A:$A,"&lt;"&amp;$J1364+7))</f>
        <v/>
      </c>
      <c r="C1364" t="str">
        <f>IF($J1364="","",IFERROR(COUNTIFS('Weekly Log'!$G:$G,"Y",'Weekly Log'!$A:$A,"&gt;="&amp;$J1364,'Weekly Log'!$A:$A,"&lt;"&amp;$J1364+7)/COUNTIFS('Weekly Log'!$G:$G,"&lt;&gt;",'Weekly Log'!$A:$A,"&gt;="&amp;$J1364,'Weekly Log'!$A:$A,"&lt;"&amp;$J1364+7),0))</f>
        <v/>
      </c>
      <c r="D1364" t="str">
        <f>IF($J1364="","",IFERROR(COUNTIFS('Weekly Log'!$H:$H,"Y",'Weekly Log'!$A:$A,"&gt;="&amp;$J1364,'Weekly Log'!$A:$A,"&lt;"&amp;$J1364+7)/COUNTIFS('Weekly Log'!$H:$H,"&lt;&gt;",'Weekly Log'!$A:$A,"&gt;="&amp;$J1364,'Weekly Log'!$A:$A,"&lt;"&amp;$J1364+7),0))</f>
        <v/>
      </c>
      <c r="E1364" t="str">
        <f>IF($J1364="","",IFERROR(AVERAGEIFS('Weekly Log'!$F:$F,'Weekly Log'!$A:$A,"&gt;="&amp;$J1364,'Weekly Log'!$A:$A,"&lt;"&amp;$J1364+7),0))</f>
        <v/>
      </c>
      <c r="F1364" t="str">
        <f>IF($J1364="","",IFERROR(SUMIFS('Weekly Log'!$F:$F,'Weekly Log'!$A:$A,"&gt;="&amp;$J1364,'Weekly Log'!$A:$A,"&lt;"&amp;$J1364+7)/SUMIFS('Weekly Log'!$E:$E,'Weekly Log'!$A:$A,"&gt;="&amp;$J1364,'Weekly Log'!$A:$A,"&lt;"&amp;$J1364+7),0))</f>
        <v/>
      </c>
      <c r="G1364" t="str">
        <f>IF($J1364="","",IFERROR(LOOKUP(2,1/(('Weekly Log'!$A$5:$A$5000&gt;=$J1364)*('Weekly Log'!$A$5:$A$5000&lt;$J1364+7)*('Weekly Log'!$M$5:$M$5000&lt;&gt;"")),'Weekly Log'!$M$5:$M$5000),0))</f>
        <v/>
      </c>
      <c r="J1364" t="str">
        <f>IF(COUNT('Weekly Log'!$A$5:$A$5000)=0,"",IF(MIN('Weekly Log'!$A$5:$A$5000)+7*(ROW()-10)&gt;MAX('Weekly Log'!$A$5:$A$5000),"",MIN('Weekly Log'!$A$5:$A$5000)+7*(ROW()-10)))</f>
        <v/>
      </c>
    </row>
    <row r="1365" spans="1:10" x14ac:dyDescent="0.25">
      <c r="A1365" t="str">
        <f t="shared" si="21"/>
        <v/>
      </c>
      <c r="B1365" t="str">
        <f>IF($J1365="","",SUMIFS('Weekly Log'!$C:$C,'Weekly Log'!$A:$A,"&gt;="&amp;$J1365,'Weekly Log'!$A:$A,"&lt;"&amp;$J1365+7))</f>
        <v/>
      </c>
      <c r="C1365" t="str">
        <f>IF($J1365="","",IFERROR(COUNTIFS('Weekly Log'!$G:$G,"Y",'Weekly Log'!$A:$A,"&gt;="&amp;$J1365,'Weekly Log'!$A:$A,"&lt;"&amp;$J1365+7)/COUNTIFS('Weekly Log'!$G:$G,"&lt;&gt;",'Weekly Log'!$A:$A,"&gt;="&amp;$J1365,'Weekly Log'!$A:$A,"&lt;"&amp;$J1365+7),0))</f>
        <v/>
      </c>
      <c r="D1365" t="str">
        <f>IF($J1365="","",IFERROR(COUNTIFS('Weekly Log'!$H:$H,"Y",'Weekly Log'!$A:$A,"&gt;="&amp;$J1365,'Weekly Log'!$A:$A,"&lt;"&amp;$J1365+7)/COUNTIFS('Weekly Log'!$H:$H,"&lt;&gt;",'Weekly Log'!$A:$A,"&gt;="&amp;$J1365,'Weekly Log'!$A:$A,"&lt;"&amp;$J1365+7),0))</f>
        <v/>
      </c>
      <c r="E1365" t="str">
        <f>IF($J1365="","",IFERROR(AVERAGEIFS('Weekly Log'!$F:$F,'Weekly Log'!$A:$A,"&gt;="&amp;$J1365,'Weekly Log'!$A:$A,"&lt;"&amp;$J1365+7),0))</f>
        <v/>
      </c>
      <c r="F1365" t="str">
        <f>IF($J1365="","",IFERROR(SUMIFS('Weekly Log'!$F:$F,'Weekly Log'!$A:$A,"&gt;="&amp;$J1365,'Weekly Log'!$A:$A,"&lt;"&amp;$J1365+7)/SUMIFS('Weekly Log'!$E:$E,'Weekly Log'!$A:$A,"&gt;="&amp;$J1365,'Weekly Log'!$A:$A,"&lt;"&amp;$J1365+7),0))</f>
        <v/>
      </c>
      <c r="G1365" t="str">
        <f>IF($J1365="","",IFERROR(LOOKUP(2,1/(('Weekly Log'!$A$5:$A$5000&gt;=$J1365)*('Weekly Log'!$A$5:$A$5000&lt;$J1365+7)*('Weekly Log'!$M$5:$M$5000&lt;&gt;"")),'Weekly Log'!$M$5:$M$5000),0))</f>
        <v/>
      </c>
      <c r="J1365" t="str">
        <f>IF(COUNT('Weekly Log'!$A$5:$A$5000)=0,"",IF(MIN('Weekly Log'!$A$5:$A$5000)+7*(ROW()-10)&gt;MAX('Weekly Log'!$A$5:$A$5000),"",MIN('Weekly Log'!$A$5:$A$5000)+7*(ROW()-10)))</f>
        <v/>
      </c>
    </row>
    <row r="1366" spans="1:10" x14ac:dyDescent="0.25">
      <c r="A1366" t="str">
        <f t="shared" si="21"/>
        <v/>
      </c>
      <c r="B1366" t="str">
        <f>IF($J1366="","",SUMIFS('Weekly Log'!$C:$C,'Weekly Log'!$A:$A,"&gt;="&amp;$J1366,'Weekly Log'!$A:$A,"&lt;"&amp;$J1366+7))</f>
        <v/>
      </c>
      <c r="C1366" t="str">
        <f>IF($J1366="","",IFERROR(COUNTIFS('Weekly Log'!$G:$G,"Y",'Weekly Log'!$A:$A,"&gt;="&amp;$J1366,'Weekly Log'!$A:$A,"&lt;"&amp;$J1366+7)/COUNTIFS('Weekly Log'!$G:$G,"&lt;&gt;",'Weekly Log'!$A:$A,"&gt;="&amp;$J1366,'Weekly Log'!$A:$A,"&lt;"&amp;$J1366+7),0))</f>
        <v/>
      </c>
      <c r="D1366" t="str">
        <f>IF($J1366="","",IFERROR(COUNTIFS('Weekly Log'!$H:$H,"Y",'Weekly Log'!$A:$A,"&gt;="&amp;$J1366,'Weekly Log'!$A:$A,"&lt;"&amp;$J1366+7)/COUNTIFS('Weekly Log'!$H:$H,"&lt;&gt;",'Weekly Log'!$A:$A,"&gt;="&amp;$J1366,'Weekly Log'!$A:$A,"&lt;"&amp;$J1366+7),0))</f>
        <v/>
      </c>
      <c r="E1366" t="str">
        <f>IF($J1366="","",IFERROR(AVERAGEIFS('Weekly Log'!$F:$F,'Weekly Log'!$A:$A,"&gt;="&amp;$J1366,'Weekly Log'!$A:$A,"&lt;"&amp;$J1366+7),0))</f>
        <v/>
      </c>
      <c r="F1366" t="str">
        <f>IF($J1366="","",IFERROR(SUMIFS('Weekly Log'!$F:$F,'Weekly Log'!$A:$A,"&gt;="&amp;$J1366,'Weekly Log'!$A:$A,"&lt;"&amp;$J1366+7)/SUMIFS('Weekly Log'!$E:$E,'Weekly Log'!$A:$A,"&gt;="&amp;$J1366,'Weekly Log'!$A:$A,"&lt;"&amp;$J1366+7),0))</f>
        <v/>
      </c>
      <c r="G1366" t="str">
        <f>IF($J1366="","",IFERROR(LOOKUP(2,1/(('Weekly Log'!$A$5:$A$5000&gt;=$J1366)*('Weekly Log'!$A$5:$A$5000&lt;$J1366+7)*('Weekly Log'!$M$5:$M$5000&lt;&gt;"")),'Weekly Log'!$M$5:$M$5000),0))</f>
        <v/>
      </c>
      <c r="J1366" t="str">
        <f>IF(COUNT('Weekly Log'!$A$5:$A$5000)=0,"",IF(MIN('Weekly Log'!$A$5:$A$5000)+7*(ROW()-10)&gt;MAX('Weekly Log'!$A$5:$A$5000),"",MIN('Weekly Log'!$A$5:$A$5000)+7*(ROW()-10)))</f>
        <v/>
      </c>
    </row>
    <row r="1367" spans="1:10" x14ac:dyDescent="0.25">
      <c r="A1367" t="str">
        <f t="shared" si="21"/>
        <v/>
      </c>
      <c r="B1367" t="str">
        <f>IF($J1367="","",SUMIFS('Weekly Log'!$C:$C,'Weekly Log'!$A:$A,"&gt;="&amp;$J1367,'Weekly Log'!$A:$A,"&lt;"&amp;$J1367+7))</f>
        <v/>
      </c>
      <c r="C1367" t="str">
        <f>IF($J1367="","",IFERROR(COUNTIFS('Weekly Log'!$G:$G,"Y",'Weekly Log'!$A:$A,"&gt;="&amp;$J1367,'Weekly Log'!$A:$A,"&lt;"&amp;$J1367+7)/COUNTIFS('Weekly Log'!$G:$G,"&lt;&gt;",'Weekly Log'!$A:$A,"&gt;="&amp;$J1367,'Weekly Log'!$A:$A,"&lt;"&amp;$J1367+7),0))</f>
        <v/>
      </c>
      <c r="D1367" t="str">
        <f>IF($J1367="","",IFERROR(COUNTIFS('Weekly Log'!$H:$H,"Y",'Weekly Log'!$A:$A,"&gt;="&amp;$J1367,'Weekly Log'!$A:$A,"&lt;"&amp;$J1367+7)/COUNTIFS('Weekly Log'!$H:$H,"&lt;&gt;",'Weekly Log'!$A:$A,"&gt;="&amp;$J1367,'Weekly Log'!$A:$A,"&lt;"&amp;$J1367+7),0))</f>
        <v/>
      </c>
      <c r="E1367" t="str">
        <f>IF($J1367="","",IFERROR(AVERAGEIFS('Weekly Log'!$F:$F,'Weekly Log'!$A:$A,"&gt;="&amp;$J1367,'Weekly Log'!$A:$A,"&lt;"&amp;$J1367+7),0))</f>
        <v/>
      </c>
      <c r="F1367" t="str">
        <f>IF($J1367="","",IFERROR(SUMIFS('Weekly Log'!$F:$F,'Weekly Log'!$A:$A,"&gt;="&amp;$J1367,'Weekly Log'!$A:$A,"&lt;"&amp;$J1367+7)/SUMIFS('Weekly Log'!$E:$E,'Weekly Log'!$A:$A,"&gt;="&amp;$J1367,'Weekly Log'!$A:$A,"&lt;"&amp;$J1367+7),0))</f>
        <v/>
      </c>
      <c r="G1367" t="str">
        <f>IF($J1367="","",IFERROR(LOOKUP(2,1/(('Weekly Log'!$A$5:$A$5000&gt;=$J1367)*('Weekly Log'!$A$5:$A$5000&lt;$J1367+7)*('Weekly Log'!$M$5:$M$5000&lt;&gt;"")),'Weekly Log'!$M$5:$M$5000),0))</f>
        <v/>
      </c>
      <c r="J1367" t="str">
        <f>IF(COUNT('Weekly Log'!$A$5:$A$5000)=0,"",IF(MIN('Weekly Log'!$A$5:$A$5000)+7*(ROW()-10)&gt;MAX('Weekly Log'!$A$5:$A$5000),"",MIN('Weekly Log'!$A$5:$A$5000)+7*(ROW()-10)))</f>
        <v/>
      </c>
    </row>
    <row r="1368" spans="1:10" x14ac:dyDescent="0.25">
      <c r="A1368" t="str">
        <f t="shared" si="21"/>
        <v/>
      </c>
      <c r="B1368" t="str">
        <f>IF($J1368="","",SUMIFS('Weekly Log'!$C:$C,'Weekly Log'!$A:$A,"&gt;="&amp;$J1368,'Weekly Log'!$A:$A,"&lt;"&amp;$J1368+7))</f>
        <v/>
      </c>
      <c r="C1368" t="str">
        <f>IF($J1368="","",IFERROR(COUNTIFS('Weekly Log'!$G:$G,"Y",'Weekly Log'!$A:$A,"&gt;="&amp;$J1368,'Weekly Log'!$A:$A,"&lt;"&amp;$J1368+7)/COUNTIFS('Weekly Log'!$G:$G,"&lt;&gt;",'Weekly Log'!$A:$A,"&gt;="&amp;$J1368,'Weekly Log'!$A:$A,"&lt;"&amp;$J1368+7),0))</f>
        <v/>
      </c>
      <c r="D1368" t="str">
        <f>IF($J1368="","",IFERROR(COUNTIFS('Weekly Log'!$H:$H,"Y",'Weekly Log'!$A:$A,"&gt;="&amp;$J1368,'Weekly Log'!$A:$A,"&lt;"&amp;$J1368+7)/COUNTIFS('Weekly Log'!$H:$H,"&lt;&gt;",'Weekly Log'!$A:$A,"&gt;="&amp;$J1368,'Weekly Log'!$A:$A,"&lt;"&amp;$J1368+7),0))</f>
        <v/>
      </c>
      <c r="E1368" t="str">
        <f>IF($J1368="","",IFERROR(AVERAGEIFS('Weekly Log'!$F:$F,'Weekly Log'!$A:$A,"&gt;="&amp;$J1368,'Weekly Log'!$A:$A,"&lt;"&amp;$J1368+7),0))</f>
        <v/>
      </c>
      <c r="F1368" t="str">
        <f>IF($J1368="","",IFERROR(SUMIFS('Weekly Log'!$F:$F,'Weekly Log'!$A:$A,"&gt;="&amp;$J1368,'Weekly Log'!$A:$A,"&lt;"&amp;$J1368+7)/SUMIFS('Weekly Log'!$E:$E,'Weekly Log'!$A:$A,"&gt;="&amp;$J1368,'Weekly Log'!$A:$A,"&lt;"&amp;$J1368+7),0))</f>
        <v/>
      </c>
      <c r="G1368" t="str">
        <f>IF($J1368="","",IFERROR(LOOKUP(2,1/(('Weekly Log'!$A$5:$A$5000&gt;=$J1368)*('Weekly Log'!$A$5:$A$5000&lt;$J1368+7)*('Weekly Log'!$M$5:$M$5000&lt;&gt;"")),'Weekly Log'!$M$5:$M$5000),0))</f>
        <v/>
      </c>
      <c r="J1368" t="str">
        <f>IF(COUNT('Weekly Log'!$A$5:$A$5000)=0,"",IF(MIN('Weekly Log'!$A$5:$A$5000)+7*(ROW()-10)&gt;MAX('Weekly Log'!$A$5:$A$5000),"",MIN('Weekly Log'!$A$5:$A$5000)+7*(ROW()-10)))</f>
        <v/>
      </c>
    </row>
    <row r="1369" spans="1:10" x14ac:dyDescent="0.25">
      <c r="A1369" t="str">
        <f t="shared" si="21"/>
        <v/>
      </c>
      <c r="B1369" t="str">
        <f>IF($J1369="","",SUMIFS('Weekly Log'!$C:$C,'Weekly Log'!$A:$A,"&gt;="&amp;$J1369,'Weekly Log'!$A:$A,"&lt;"&amp;$J1369+7))</f>
        <v/>
      </c>
      <c r="C1369" t="str">
        <f>IF($J1369="","",IFERROR(COUNTIFS('Weekly Log'!$G:$G,"Y",'Weekly Log'!$A:$A,"&gt;="&amp;$J1369,'Weekly Log'!$A:$A,"&lt;"&amp;$J1369+7)/COUNTIFS('Weekly Log'!$G:$G,"&lt;&gt;",'Weekly Log'!$A:$A,"&gt;="&amp;$J1369,'Weekly Log'!$A:$A,"&lt;"&amp;$J1369+7),0))</f>
        <v/>
      </c>
      <c r="D1369" t="str">
        <f>IF($J1369="","",IFERROR(COUNTIFS('Weekly Log'!$H:$H,"Y",'Weekly Log'!$A:$A,"&gt;="&amp;$J1369,'Weekly Log'!$A:$A,"&lt;"&amp;$J1369+7)/COUNTIFS('Weekly Log'!$H:$H,"&lt;&gt;",'Weekly Log'!$A:$A,"&gt;="&amp;$J1369,'Weekly Log'!$A:$A,"&lt;"&amp;$J1369+7),0))</f>
        <v/>
      </c>
      <c r="E1369" t="str">
        <f>IF($J1369="","",IFERROR(AVERAGEIFS('Weekly Log'!$F:$F,'Weekly Log'!$A:$A,"&gt;="&amp;$J1369,'Weekly Log'!$A:$A,"&lt;"&amp;$J1369+7),0))</f>
        <v/>
      </c>
      <c r="F1369" t="str">
        <f>IF($J1369="","",IFERROR(SUMIFS('Weekly Log'!$F:$F,'Weekly Log'!$A:$A,"&gt;="&amp;$J1369,'Weekly Log'!$A:$A,"&lt;"&amp;$J1369+7)/SUMIFS('Weekly Log'!$E:$E,'Weekly Log'!$A:$A,"&gt;="&amp;$J1369,'Weekly Log'!$A:$A,"&lt;"&amp;$J1369+7),0))</f>
        <v/>
      </c>
      <c r="G1369" t="str">
        <f>IF($J1369="","",IFERROR(LOOKUP(2,1/(('Weekly Log'!$A$5:$A$5000&gt;=$J1369)*('Weekly Log'!$A$5:$A$5000&lt;$J1369+7)*('Weekly Log'!$M$5:$M$5000&lt;&gt;"")),'Weekly Log'!$M$5:$M$5000),0))</f>
        <v/>
      </c>
      <c r="J1369" t="str">
        <f>IF(COUNT('Weekly Log'!$A$5:$A$5000)=0,"",IF(MIN('Weekly Log'!$A$5:$A$5000)+7*(ROW()-10)&gt;MAX('Weekly Log'!$A$5:$A$5000),"",MIN('Weekly Log'!$A$5:$A$5000)+7*(ROW()-10)))</f>
        <v/>
      </c>
    </row>
    <row r="1370" spans="1:10" x14ac:dyDescent="0.25">
      <c r="A1370" t="str">
        <f t="shared" si="21"/>
        <v/>
      </c>
      <c r="B1370" t="str">
        <f>IF($J1370="","",SUMIFS('Weekly Log'!$C:$C,'Weekly Log'!$A:$A,"&gt;="&amp;$J1370,'Weekly Log'!$A:$A,"&lt;"&amp;$J1370+7))</f>
        <v/>
      </c>
      <c r="C1370" t="str">
        <f>IF($J1370="","",IFERROR(COUNTIFS('Weekly Log'!$G:$G,"Y",'Weekly Log'!$A:$A,"&gt;="&amp;$J1370,'Weekly Log'!$A:$A,"&lt;"&amp;$J1370+7)/COUNTIFS('Weekly Log'!$G:$G,"&lt;&gt;",'Weekly Log'!$A:$A,"&gt;="&amp;$J1370,'Weekly Log'!$A:$A,"&lt;"&amp;$J1370+7),0))</f>
        <v/>
      </c>
      <c r="D1370" t="str">
        <f>IF($J1370="","",IFERROR(COUNTIFS('Weekly Log'!$H:$H,"Y",'Weekly Log'!$A:$A,"&gt;="&amp;$J1370,'Weekly Log'!$A:$A,"&lt;"&amp;$J1370+7)/COUNTIFS('Weekly Log'!$H:$H,"&lt;&gt;",'Weekly Log'!$A:$A,"&gt;="&amp;$J1370,'Weekly Log'!$A:$A,"&lt;"&amp;$J1370+7),0))</f>
        <v/>
      </c>
      <c r="E1370" t="str">
        <f>IF($J1370="","",IFERROR(AVERAGEIFS('Weekly Log'!$F:$F,'Weekly Log'!$A:$A,"&gt;="&amp;$J1370,'Weekly Log'!$A:$A,"&lt;"&amp;$J1370+7),0))</f>
        <v/>
      </c>
      <c r="F1370" t="str">
        <f>IF($J1370="","",IFERROR(SUMIFS('Weekly Log'!$F:$F,'Weekly Log'!$A:$A,"&gt;="&amp;$J1370,'Weekly Log'!$A:$A,"&lt;"&amp;$J1370+7)/SUMIFS('Weekly Log'!$E:$E,'Weekly Log'!$A:$A,"&gt;="&amp;$J1370,'Weekly Log'!$A:$A,"&lt;"&amp;$J1370+7),0))</f>
        <v/>
      </c>
      <c r="G1370" t="str">
        <f>IF($J1370="","",IFERROR(LOOKUP(2,1/(('Weekly Log'!$A$5:$A$5000&gt;=$J1370)*('Weekly Log'!$A$5:$A$5000&lt;$J1370+7)*('Weekly Log'!$M$5:$M$5000&lt;&gt;"")),'Weekly Log'!$M$5:$M$5000),0))</f>
        <v/>
      </c>
      <c r="J1370" t="str">
        <f>IF(COUNT('Weekly Log'!$A$5:$A$5000)=0,"",IF(MIN('Weekly Log'!$A$5:$A$5000)+7*(ROW()-10)&gt;MAX('Weekly Log'!$A$5:$A$5000),"",MIN('Weekly Log'!$A$5:$A$5000)+7*(ROW()-10)))</f>
        <v/>
      </c>
    </row>
    <row r="1371" spans="1:10" x14ac:dyDescent="0.25">
      <c r="A1371" t="str">
        <f t="shared" si="21"/>
        <v/>
      </c>
      <c r="B1371" t="str">
        <f>IF($J1371="","",SUMIFS('Weekly Log'!$C:$C,'Weekly Log'!$A:$A,"&gt;="&amp;$J1371,'Weekly Log'!$A:$A,"&lt;"&amp;$J1371+7))</f>
        <v/>
      </c>
      <c r="C1371" t="str">
        <f>IF($J1371="","",IFERROR(COUNTIFS('Weekly Log'!$G:$G,"Y",'Weekly Log'!$A:$A,"&gt;="&amp;$J1371,'Weekly Log'!$A:$A,"&lt;"&amp;$J1371+7)/COUNTIFS('Weekly Log'!$G:$G,"&lt;&gt;",'Weekly Log'!$A:$A,"&gt;="&amp;$J1371,'Weekly Log'!$A:$A,"&lt;"&amp;$J1371+7),0))</f>
        <v/>
      </c>
      <c r="D1371" t="str">
        <f>IF($J1371="","",IFERROR(COUNTIFS('Weekly Log'!$H:$H,"Y",'Weekly Log'!$A:$A,"&gt;="&amp;$J1371,'Weekly Log'!$A:$A,"&lt;"&amp;$J1371+7)/COUNTIFS('Weekly Log'!$H:$H,"&lt;&gt;",'Weekly Log'!$A:$A,"&gt;="&amp;$J1371,'Weekly Log'!$A:$A,"&lt;"&amp;$J1371+7),0))</f>
        <v/>
      </c>
      <c r="E1371" t="str">
        <f>IF($J1371="","",IFERROR(AVERAGEIFS('Weekly Log'!$F:$F,'Weekly Log'!$A:$A,"&gt;="&amp;$J1371,'Weekly Log'!$A:$A,"&lt;"&amp;$J1371+7),0))</f>
        <v/>
      </c>
      <c r="F1371" t="str">
        <f>IF($J1371="","",IFERROR(SUMIFS('Weekly Log'!$F:$F,'Weekly Log'!$A:$A,"&gt;="&amp;$J1371,'Weekly Log'!$A:$A,"&lt;"&amp;$J1371+7)/SUMIFS('Weekly Log'!$E:$E,'Weekly Log'!$A:$A,"&gt;="&amp;$J1371,'Weekly Log'!$A:$A,"&lt;"&amp;$J1371+7),0))</f>
        <v/>
      </c>
      <c r="G1371" t="str">
        <f>IF($J1371="","",IFERROR(LOOKUP(2,1/(('Weekly Log'!$A$5:$A$5000&gt;=$J1371)*('Weekly Log'!$A$5:$A$5000&lt;$J1371+7)*('Weekly Log'!$M$5:$M$5000&lt;&gt;"")),'Weekly Log'!$M$5:$M$5000),0))</f>
        <v/>
      </c>
      <c r="J1371" t="str">
        <f>IF(COUNT('Weekly Log'!$A$5:$A$5000)=0,"",IF(MIN('Weekly Log'!$A$5:$A$5000)+7*(ROW()-10)&gt;MAX('Weekly Log'!$A$5:$A$5000),"",MIN('Weekly Log'!$A$5:$A$5000)+7*(ROW()-10)))</f>
        <v/>
      </c>
    </row>
    <row r="1372" spans="1:10" x14ac:dyDescent="0.25">
      <c r="A1372" t="str">
        <f t="shared" si="21"/>
        <v/>
      </c>
      <c r="B1372" t="str">
        <f>IF($J1372="","",SUMIFS('Weekly Log'!$C:$C,'Weekly Log'!$A:$A,"&gt;="&amp;$J1372,'Weekly Log'!$A:$A,"&lt;"&amp;$J1372+7))</f>
        <v/>
      </c>
      <c r="C1372" t="str">
        <f>IF($J1372="","",IFERROR(COUNTIFS('Weekly Log'!$G:$G,"Y",'Weekly Log'!$A:$A,"&gt;="&amp;$J1372,'Weekly Log'!$A:$A,"&lt;"&amp;$J1372+7)/COUNTIFS('Weekly Log'!$G:$G,"&lt;&gt;",'Weekly Log'!$A:$A,"&gt;="&amp;$J1372,'Weekly Log'!$A:$A,"&lt;"&amp;$J1372+7),0))</f>
        <v/>
      </c>
      <c r="D1372" t="str">
        <f>IF($J1372="","",IFERROR(COUNTIFS('Weekly Log'!$H:$H,"Y",'Weekly Log'!$A:$A,"&gt;="&amp;$J1372,'Weekly Log'!$A:$A,"&lt;"&amp;$J1372+7)/COUNTIFS('Weekly Log'!$H:$H,"&lt;&gt;",'Weekly Log'!$A:$A,"&gt;="&amp;$J1372,'Weekly Log'!$A:$A,"&lt;"&amp;$J1372+7),0))</f>
        <v/>
      </c>
      <c r="E1372" t="str">
        <f>IF($J1372="","",IFERROR(AVERAGEIFS('Weekly Log'!$F:$F,'Weekly Log'!$A:$A,"&gt;="&amp;$J1372,'Weekly Log'!$A:$A,"&lt;"&amp;$J1372+7),0))</f>
        <v/>
      </c>
      <c r="F1372" t="str">
        <f>IF($J1372="","",IFERROR(SUMIFS('Weekly Log'!$F:$F,'Weekly Log'!$A:$A,"&gt;="&amp;$J1372,'Weekly Log'!$A:$A,"&lt;"&amp;$J1372+7)/SUMIFS('Weekly Log'!$E:$E,'Weekly Log'!$A:$A,"&gt;="&amp;$J1372,'Weekly Log'!$A:$A,"&lt;"&amp;$J1372+7),0))</f>
        <v/>
      </c>
      <c r="G1372" t="str">
        <f>IF($J1372="","",IFERROR(LOOKUP(2,1/(('Weekly Log'!$A$5:$A$5000&gt;=$J1372)*('Weekly Log'!$A$5:$A$5000&lt;$J1372+7)*('Weekly Log'!$M$5:$M$5000&lt;&gt;"")),'Weekly Log'!$M$5:$M$5000),0))</f>
        <v/>
      </c>
      <c r="J1372" t="str">
        <f>IF(COUNT('Weekly Log'!$A$5:$A$5000)=0,"",IF(MIN('Weekly Log'!$A$5:$A$5000)+7*(ROW()-10)&gt;MAX('Weekly Log'!$A$5:$A$5000),"",MIN('Weekly Log'!$A$5:$A$5000)+7*(ROW()-10)))</f>
        <v/>
      </c>
    </row>
    <row r="1373" spans="1:10" x14ac:dyDescent="0.25">
      <c r="A1373" t="str">
        <f t="shared" si="21"/>
        <v/>
      </c>
      <c r="B1373" t="str">
        <f>IF($J1373="","",SUMIFS('Weekly Log'!$C:$C,'Weekly Log'!$A:$A,"&gt;="&amp;$J1373,'Weekly Log'!$A:$A,"&lt;"&amp;$J1373+7))</f>
        <v/>
      </c>
      <c r="C1373" t="str">
        <f>IF($J1373="","",IFERROR(COUNTIFS('Weekly Log'!$G:$G,"Y",'Weekly Log'!$A:$A,"&gt;="&amp;$J1373,'Weekly Log'!$A:$A,"&lt;"&amp;$J1373+7)/COUNTIFS('Weekly Log'!$G:$G,"&lt;&gt;",'Weekly Log'!$A:$A,"&gt;="&amp;$J1373,'Weekly Log'!$A:$A,"&lt;"&amp;$J1373+7),0))</f>
        <v/>
      </c>
      <c r="D1373" t="str">
        <f>IF($J1373="","",IFERROR(COUNTIFS('Weekly Log'!$H:$H,"Y",'Weekly Log'!$A:$A,"&gt;="&amp;$J1373,'Weekly Log'!$A:$A,"&lt;"&amp;$J1373+7)/COUNTIFS('Weekly Log'!$H:$H,"&lt;&gt;",'Weekly Log'!$A:$A,"&gt;="&amp;$J1373,'Weekly Log'!$A:$A,"&lt;"&amp;$J1373+7),0))</f>
        <v/>
      </c>
      <c r="E1373" t="str">
        <f>IF($J1373="","",IFERROR(AVERAGEIFS('Weekly Log'!$F:$F,'Weekly Log'!$A:$A,"&gt;="&amp;$J1373,'Weekly Log'!$A:$A,"&lt;"&amp;$J1373+7),0))</f>
        <v/>
      </c>
      <c r="F1373" t="str">
        <f>IF($J1373="","",IFERROR(SUMIFS('Weekly Log'!$F:$F,'Weekly Log'!$A:$A,"&gt;="&amp;$J1373,'Weekly Log'!$A:$A,"&lt;"&amp;$J1373+7)/SUMIFS('Weekly Log'!$E:$E,'Weekly Log'!$A:$A,"&gt;="&amp;$J1373,'Weekly Log'!$A:$A,"&lt;"&amp;$J1373+7),0))</f>
        <v/>
      </c>
      <c r="G1373" t="str">
        <f>IF($J1373="","",IFERROR(LOOKUP(2,1/(('Weekly Log'!$A$5:$A$5000&gt;=$J1373)*('Weekly Log'!$A$5:$A$5000&lt;$J1373+7)*('Weekly Log'!$M$5:$M$5000&lt;&gt;"")),'Weekly Log'!$M$5:$M$5000),0))</f>
        <v/>
      </c>
      <c r="J1373" t="str">
        <f>IF(COUNT('Weekly Log'!$A$5:$A$5000)=0,"",IF(MIN('Weekly Log'!$A$5:$A$5000)+7*(ROW()-10)&gt;MAX('Weekly Log'!$A$5:$A$5000),"",MIN('Weekly Log'!$A$5:$A$5000)+7*(ROW()-10)))</f>
        <v/>
      </c>
    </row>
    <row r="1374" spans="1:10" x14ac:dyDescent="0.25">
      <c r="A1374" t="str">
        <f t="shared" si="21"/>
        <v/>
      </c>
      <c r="B1374" t="str">
        <f>IF($J1374="","",SUMIFS('Weekly Log'!$C:$C,'Weekly Log'!$A:$A,"&gt;="&amp;$J1374,'Weekly Log'!$A:$A,"&lt;"&amp;$J1374+7))</f>
        <v/>
      </c>
      <c r="C1374" t="str">
        <f>IF($J1374="","",IFERROR(COUNTIFS('Weekly Log'!$G:$G,"Y",'Weekly Log'!$A:$A,"&gt;="&amp;$J1374,'Weekly Log'!$A:$A,"&lt;"&amp;$J1374+7)/COUNTIFS('Weekly Log'!$G:$G,"&lt;&gt;",'Weekly Log'!$A:$A,"&gt;="&amp;$J1374,'Weekly Log'!$A:$A,"&lt;"&amp;$J1374+7),0))</f>
        <v/>
      </c>
      <c r="D1374" t="str">
        <f>IF($J1374="","",IFERROR(COUNTIFS('Weekly Log'!$H:$H,"Y",'Weekly Log'!$A:$A,"&gt;="&amp;$J1374,'Weekly Log'!$A:$A,"&lt;"&amp;$J1374+7)/COUNTIFS('Weekly Log'!$H:$H,"&lt;&gt;",'Weekly Log'!$A:$A,"&gt;="&amp;$J1374,'Weekly Log'!$A:$A,"&lt;"&amp;$J1374+7),0))</f>
        <v/>
      </c>
      <c r="E1374" t="str">
        <f>IF($J1374="","",IFERROR(AVERAGEIFS('Weekly Log'!$F:$F,'Weekly Log'!$A:$A,"&gt;="&amp;$J1374,'Weekly Log'!$A:$A,"&lt;"&amp;$J1374+7),0))</f>
        <v/>
      </c>
      <c r="F1374" t="str">
        <f>IF($J1374="","",IFERROR(SUMIFS('Weekly Log'!$F:$F,'Weekly Log'!$A:$A,"&gt;="&amp;$J1374,'Weekly Log'!$A:$A,"&lt;"&amp;$J1374+7)/SUMIFS('Weekly Log'!$E:$E,'Weekly Log'!$A:$A,"&gt;="&amp;$J1374,'Weekly Log'!$A:$A,"&lt;"&amp;$J1374+7),0))</f>
        <v/>
      </c>
      <c r="G1374" t="str">
        <f>IF($J1374="","",IFERROR(LOOKUP(2,1/(('Weekly Log'!$A$5:$A$5000&gt;=$J1374)*('Weekly Log'!$A$5:$A$5000&lt;$J1374+7)*('Weekly Log'!$M$5:$M$5000&lt;&gt;"")),'Weekly Log'!$M$5:$M$5000),0))</f>
        <v/>
      </c>
      <c r="J1374" t="str">
        <f>IF(COUNT('Weekly Log'!$A$5:$A$5000)=0,"",IF(MIN('Weekly Log'!$A$5:$A$5000)+7*(ROW()-10)&gt;MAX('Weekly Log'!$A$5:$A$5000),"",MIN('Weekly Log'!$A$5:$A$5000)+7*(ROW()-10)))</f>
        <v/>
      </c>
    </row>
    <row r="1375" spans="1:10" x14ac:dyDescent="0.25">
      <c r="A1375" t="str">
        <f t="shared" si="21"/>
        <v/>
      </c>
      <c r="B1375" t="str">
        <f>IF($J1375="","",SUMIFS('Weekly Log'!$C:$C,'Weekly Log'!$A:$A,"&gt;="&amp;$J1375,'Weekly Log'!$A:$A,"&lt;"&amp;$J1375+7))</f>
        <v/>
      </c>
      <c r="C1375" t="str">
        <f>IF($J1375="","",IFERROR(COUNTIFS('Weekly Log'!$G:$G,"Y",'Weekly Log'!$A:$A,"&gt;="&amp;$J1375,'Weekly Log'!$A:$A,"&lt;"&amp;$J1375+7)/COUNTIFS('Weekly Log'!$G:$G,"&lt;&gt;",'Weekly Log'!$A:$A,"&gt;="&amp;$J1375,'Weekly Log'!$A:$A,"&lt;"&amp;$J1375+7),0))</f>
        <v/>
      </c>
      <c r="D1375" t="str">
        <f>IF($J1375="","",IFERROR(COUNTIFS('Weekly Log'!$H:$H,"Y",'Weekly Log'!$A:$A,"&gt;="&amp;$J1375,'Weekly Log'!$A:$A,"&lt;"&amp;$J1375+7)/COUNTIFS('Weekly Log'!$H:$H,"&lt;&gt;",'Weekly Log'!$A:$A,"&gt;="&amp;$J1375,'Weekly Log'!$A:$A,"&lt;"&amp;$J1375+7),0))</f>
        <v/>
      </c>
      <c r="E1375" t="str">
        <f>IF($J1375="","",IFERROR(AVERAGEIFS('Weekly Log'!$F:$F,'Weekly Log'!$A:$A,"&gt;="&amp;$J1375,'Weekly Log'!$A:$A,"&lt;"&amp;$J1375+7),0))</f>
        <v/>
      </c>
      <c r="F1375" t="str">
        <f>IF($J1375="","",IFERROR(SUMIFS('Weekly Log'!$F:$F,'Weekly Log'!$A:$A,"&gt;="&amp;$J1375,'Weekly Log'!$A:$A,"&lt;"&amp;$J1375+7)/SUMIFS('Weekly Log'!$E:$E,'Weekly Log'!$A:$A,"&gt;="&amp;$J1375,'Weekly Log'!$A:$A,"&lt;"&amp;$J1375+7),0))</f>
        <v/>
      </c>
      <c r="G1375" t="str">
        <f>IF($J1375="","",IFERROR(LOOKUP(2,1/(('Weekly Log'!$A$5:$A$5000&gt;=$J1375)*('Weekly Log'!$A$5:$A$5000&lt;$J1375+7)*('Weekly Log'!$M$5:$M$5000&lt;&gt;"")),'Weekly Log'!$M$5:$M$5000),0))</f>
        <v/>
      </c>
      <c r="J1375" t="str">
        <f>IF(COUNT('Weekly Log'!$A$5:$A$5000)=0,"",IF(MIN('Weekly Log'!$A$5:$A$5000)+7*(ROW()-10)&gt;MAX('Weekly Log'!$A$5:$A$5000),"",MIN('Weekly Log'!$A$5:$A$5000)+7*(ROW()-10)))</f>
        <v/>
      </c>
    </row>
    <row r="1376" spans="1:10" x14ac:dyDescent="0.25">
      <c r="A1376" t="str">
        <f t="shared" si="21"/>
        <v/>
      </c>
      <c r="B1376" t="str">
        <f>IF($J1376="","",SUMIFS('Weekly Log'!$C:$C,'Weekly Log'!$A:$A,"&gt;="&amp;$J1376,'Weekly Log'!$A:$A,"&lt;"&amp;$J1376+7))</f>
        <v/>
      </c>
      <c r="C1376" t="str">
        <f>IF($J1376="","",IFERROR(COUNTIFS('Weekly Log'!$G:$G,"Y",'Weekly Log'!$A:$A,"&gt;="&amp;$J1376,'Weekly Log'!$A:$A,"&lt;"&amp;$J1376+7)/COUNTIFS('Weekly Log'!$G:$G,"&lt;&gt;",'Weekly Log'!$A:$A,"&gt;="&amp;$J1376,'Weekly Log'!$A:$A,"&lt;"&amp;$J1376+7),0))</f>
        <v/>
      </c>
      <c r="D1376" t="str">
        <f>IF($J1376="","",IFERROR(COUNTIFS('Weekly Log'!$H:$H,"Y",'Weekly Log'!$A:$A,"&gt;="&amp;$J1376,'Weekly Log'!$A:$A,"&lt;"&amp;$J1376+7)/COUNTIFS('Weekly Log'!$H:$H,"&lt;&gt;",'Weekly Log'!$A:$A,"&gt;="&amp;$J1376,'Weekly Log'!$A:$A,"&lt;"&amp;$J1376+7),0))</f>
        <v/>
      </c>
      <c r="E1376" t="str">
        <f>IF($J1376="","",IFERROR(AVERAGEIFS('Weekly Log'!$F:$F,'Weekly Log'!$A:$A,"&gt;="&amp;$J1376,'Weekly Log'!$A:$A,"&lt;"&amp;$J1376+7),0))</f>
        <v/>
      </c>
      <c r="F1376" t="str">
        <f>IF($J1376="","",IFERROR(SUMIFS('Weekly Log'!$F:$F,'Weekly Log'!$A:$A,"&gt;="&amp;$J1376,'Weekly Log'!$A:$A,"&lt;"&amp;$J1376+7)/SUMIFS('Weekly Log'!$E:$E,'Weekly Log'!$A:$A,"&gt;="&amp;$J1376,'Weekly Log'!$A:$A,"&lt;"&amp;$J1376+7),0))</f>
        <v/>
      </c>
      <c r="G1376" t="str">
        <f>IF($J1376="","",IFERROR(LOOKUP(2,1/(('Weekly Log'!$A$5:$A$5000&gt;=$J1376)*('Weekly Log'!$A$5:$A$5000&lt;$J1376+7)*('Weekly Log'!$M$5:$M$5000&lt;&gt;"")),'Weekly Log'!$M$5:$M$5000),0))</f>
        <v/>
      </c>
      <c r="J1376" t="str">
        <f>IF(COUNT('Weekly Log'!$A$5:$A$5000)=0,"",IF(MIN('Weekly Log'!$A$5:$A$5000)+7*(ROW()-10)&gt;MAX('Weekly Log'!$A$5:$A$5000),"",MIN('Weekly Log'!$A$5:$A$5000)+7*(ROW()-10)))</f>
        <v/>
      </c>
    </row>
    <row r="1377" spans="1:10" x14ac:dyDescent="0.25">
      <c r="A1377" t="str">
        <f t="shared" si="21"/>
        <v/>
      </c>
      <c r="B1377" t="str">
        <f>IF($J1377="","",SUMIFS('Weekly Log'!$C:$C,'Weekly Log'!$A:$A,"&gt;="&amp;$J1377,'Weekly Log'!$A:$A,"&lt;"&amp;$J1377+7))</f>
        <v/>
      </c>
      <c r="C1377" t="str">
        <f>IF($J1377="","",IFERROR(COUNTIFS('Weekly Log'!$G:$G,"Y",'Weekly Log'!$A:$A,"&gt;="&amp;$J1377,'Weekly Log'!$A:$A,"&lt;"&amp;$J1377+7)/COUNTIFS('Weekly Log'!$G:$G,"&lt;&gt;",'Weekly Log'!$A:$A,"&gt;="&amp;$J1377,'Weekly Log'!$A:$A,"&lt;"&amp;$J1377+7),0))</f>
        <v/>
      </c>
      <c r="D1377" t="str">
        <f>IF($J1377="","",IFERROR(COUNTIFS('Weekly Log'!$H:$H,"Y",'Weekly Log'!$A:$A,"&gt;="&amp;$J1377,'Weekly Log'!$A:$A,"&lt;"&amp;$J1377+7)/COUNTIFS('Weekly Log'!$H:$H,"&lt;&gt;",'Weekly Log'!$A:$A,"&gt;="&amp;$J1377,'Weekly Log'!$A:$A,"&lt;"&amp;$J1377+7),0))</f>
        <v/>
      </c>
      <c r="E1377" t="str">
        <f>IF($J1377="","",IFERROR(AVERAGEIFS('Weekly Log'!$F:$F,'Weekly Log'!$A:$A,"&gt;="&amp;$J1377,'Weekly Log'!$A:$A,"&lt;"&amp;$J1377+7),0))</f>
        <v/>
      </c>
      <c r="F1377" t="str">
        <f>IF($J1377="","",IFERROR(SUMIFS('Weekly Log'!$F:$F,'Weekly Log'!$A:$A,"&gt;="&amp;$J1377,'Weekly Log'!$A:$A,"&lt;"&amp;$J1377+7)/SUMIFS('Weekly Log'!$E:$E,'Weekly Log'!$A:$A,"&gt;="&amp;$J1377,'Weekly Log'!$A:$A,"&lt;"&amp;$J1377+7),0))</f>
        <v/>
      </c>
      <c r="G1377" t="str">
        <f>IF($J1377="","",IFERROR(LOOKUP(2,1/(('Weekly Log'!$A$5:$A$5000&gt;=$J1377)*('Weekly Log'!$A$5:$A$5000&lt;$J1377+7)*('Weekly Log'!$M$5:$M$5000&lt;&gt;"")),'Weekly Log'!$M$5:$M$5000),0))</f>
        <v/>
      </c>
      <c r="J1377" t="str">
        <f>IF(COUNT('Weekly Log'!$A$5:$A$5000)=0,"",IF(MIN('Weekly Log'!$A$5:$A$5000)+7*(ROW()-10)&gt;MAX('Weekly Log'!$A$5:$A$5000),"",MIN('Weekly Log'!$A$5:$A$5000)+7*(ROW()-10)))</f>
        <v/>
      </c>
    </row>
    <row r="1378" spans="1:10" x14ac:dyDescent="0.25">
      <c r="A1378" t="str">
        <f t="shared" si="21"/>
        <v/>
      </c>
      <c r="B1378" t="str">
        <f>IF($J1378="","",SUMIFS('Weekly Log'!$C:$C,'Weekly Log'!$A:$A,"&gt;="&amp;$J1378,'Weekly Log'!$A:$A,"&lt;"&amp;$J1378+7))</f>
        <v/>
      </c>
      <c r="C1378" t="str">
        <f>IF($J1378="","",IFERROR(COUNTIFS('Weekly Log'!$G:$G,"Y",'Weekly Log'!$A:$A,"&gt;="&amp;$J1378,'Weekly Log'!$A:$A,"&lt;"&amp;$J1378+7)/COUNTIFS('Weekly Log'!$G:$G,"&lt;&gt;",'Weekly Log'!$A:$A,"&gt;="&amp;$J1378,'Weekly Log'!$A:$A,"&lt;"&amp;$J1378+7),0))</f>
        <v/>
      </c>
      <c r="D1378" t="str">
        <f>IF($J1378="","",IFERROR(COUNTIFS('Weekly Log'!$H:$H,"Y",'Weekly Log'!$A:$A,"&gt;="&amp;$J1378,'Weekly Log'!$A:$A,"&lt;"&amp;$J1378+7)/COUNTIFS('Weekly Log'!$H:$H,"&lt;&gt;",'Weekly Log'!$A:$A,"&gt;="&amp;$J1378,'Weekly Log'!$A:$A,"&lt;"&amp;$J1378+7),0))</f>
        <v/>
      </c>
      <c r="E1378" t="str">
        <f>IF($J1378="","",IFERROR(AVERAGEIFS('Weekly Log'!$F:$F,'Weekly Log'!$A:$A,"&gt;="&amp;$J1378,'Weekly Log'!$A:$A,"&lt;"&amp;$J1378+7),0))</f>
        <v/>
      </c>
      <c r="F1378" t="str">
        <f>IF($J1378="","",IFERROR(SUMIFS('Weekly Log'!$F:$F,'Weekly Log'!$A:$A,"&gt;="&amp;$J1378,'Weekly Log'!$A:$A,"&lt;"&amp;$J1378+7)/SUMIFS('Weekly Log'!$E:$E,'Weekly Log'!$A:$A,"&gt;="&amp;$J1378,'Weekly Log'!$A:$A,"&lt;"&amp;$J1378+7),0))</f>
        <v/>
      </c>
      <c r="G1378" t="str">
        <f>IF($J1378="","",IFERROR(LOOKUP(2,1/(('Weekly Log'!$A$5:$A$5000&gt;=$J1378)*('Weekly Log'!$A$5:$A$5000&lt;$J1378+7)*('Weekly Log'!$M$5:$M$5000&lt;&gt;"")),'Weekly Log'!$M$5:$M$5000),0))</f>
        <v/>
      </c>
      <c r="J1378" t="str">
        <f>IF(COUNT('Weekly Log'!$A$5:$A$5000)=0,"",IF(MIN('Weekly Log'!$A$5:$A$5000)+7*(ROW()-10)&gt;MAX('Weekly Log'!$A$5:$A$5000),"",MIN('Weekly Log'!$A$5:$A$5000)+7*(ROW()-10)))</f>
        <v/>
      </c>
    </row>
    <row r="1379" spans="1:10" x14ac:dyDescent="0.25">
      <c r="A1379" t="str">
        <f t="shared" si="21"/>
        <v/>
      </c>
      <c r="B1379" t="str">
        <f>IF($J1379="","",SUMIFS('Weekly Log'!$C:$C,'Weekly Log'!$A:$A,"&gt;="&amp;$J1379,'Weekly Log'!$A:$A,"&lt;"&amp;$J1379+7))</f>
        <v/>
      </c>
      <c r="C1379" t="str">
        <f>IF($J1379="","",IFERROR(COUNTIFS('Weekly Log'!$G:$G,"Y",'Weekly Log'!$A:$A,"&gt;="&amp;$J1379,'Weekly Log'!$A:$A,"&lt;"&amp;$J1379+7)/COUNTIFS('Weekly Log'!$G:$G,"&lt;&gt;",'Weekly Log'!$A:$A,"&gt;="&amp;$J1379,'Weekly Log'!$A:$A,"&lt;"&amp;$J1379+7),0))</f>
        <v/>
      </c>
      <c r="D1379" t="str">
        <f>IF($J1379="","",IFERROR(COUNTIFS('Weekly Log'!$H:$H,"Y",'Weekly Log'!$A:$A,"&gt;="&amp;$J1379,'Weekly Log'!$A:$A,"&lt;"&amp;$J1379+7)/COUNTIFS('Weekly Log'!$H:$H,"&lt;&gt;",'Weekly Log'!$A:$A,"&gt;="&amp;$J1379,'Weekly Log'!$A:$A,"&lt;"&amp;$J1379+7),0))</f>
        <v/>
      </c>
      <c r="E1379" t="str">
        <f>IF($J1379="","",IFERROR(AVERAGEIFS('Weekly Log'!$F:$F,'Weekly Log'!$A:$A,"&gt;="&amp;$J1379,'Weekly Log'!$A:$A,"&lt;"&amp;$J1379+7),0))</f>
        <v/>
      </c>
      <c r="F1379" t="str">
        <f>IF($J1379="","",IFERROR(SUMIFS('Weekly Log'!$F:$F,'Weekly Log'!$A:$A,"&gt;="&amp;$J1379,'Weekly Log'!$A:$A,"&lt;"&amp;$J1379+7)/SUMIFS('Weekly Log'!$E:$E,'Weekly Log'!$A:$A,"&gt;="&amp;$J1379,'Weekly Log'!$A:$A,"&lt;"&amp;$J1379+7),0))</f>
        <v/>
      </c>
      <c r="G1379" t="str">
        <f>IF($J1379="","",IFERROR(LOOKUP(2,1/(('Weekly Log'!$A$5:$A$5000&gt;=$J1379)*('Weekly Log'!$A$5:$A$5000&lt;$J1379+7)*('Weekly Log'!$M$5:$M$5000&lt;&gt;"")),'Weekly Log'!$M$5:$M$5000),0))</f>
        <v/>
      </c>
      <c r="J1379" t="str">
        <f>IF(COUNT('Weekly Log'!$A$5:$A$5000)=0,"",IF(MIN('Weekly Log'!$A$5:$A$5000)+7*(ROW()-10)&gt;MAX('Weekly Log'!$A$5:$A$5000),"",MIN('Weekly Log'!$A$5:$A$5000)+7*(ROW()-10)))</f>
        <v/>
      </c>
    </row>
    <row r="1380" spans="1:10" x14ac:dyDescent="0.25">
      <c r="A1380" t="str">
        <f t="shared" si="21"/>
        <v/>
      </c>
      <c r="B1380" t="str">
        <f>IF($J1380="","",SUMIFS('Weekly Log'!$C:$C,'Weekly Log'!$A:$A,"&gt;="&amp;$J1380,'Weekly Log'!$A:$A,"&lt;"&amp;$J1380+7))</f>
        <v/>
      </c>
      <c r="C1380" t="str">
        <f>IF($J1380="","",IFERROR(COUNTIFS('Weekly Log'!$G:$G,"Y",'Weekly Log'!$A:$A,"&gt;="&amp;$J1380,'Weekly Log'!$A:$A,"&lt;"&amp;$J1380+7)/COUNTIFS('Weekly Log'!$G:$G,"&lt;&gt;",'Weekly Log'!$A:$A,"&gt;="&amp;$J1380,'Weekly Log'!$A:$A,"&lt;"&amp;$J1380+7),0))</f>
        <v/>
      </c>
      <c r="D1380" t="str">
        <f>IF($J1380="","",IFERROR(COUNTIFS('Weekly Log'!$H:$H,"Y",'Weekly Log'!$A:$A,"&gt;="&amp;$J1380,'Weekly Log'!$A:$A,"&lt;"&amp;$J1380+7)/COUNTIFS('Weekly Log'!$H:$H,"&lt;&gt;",'Weekly Log'!$A:$A,"&gt;="&amp;$J1380,'Weekly Log'!$A:$A,"&lt;"&amp;$J1380+7),0))</f>
        <v/>
      </c>
      <c r="E1380" t="str">
        <f>IF($J1380="","",IFERROR(AVERAGEIFS('Weekly Log'!$F:$F,'Weekly Log'!$A:$A,"&gt;="&amp;$J1380,'Weekly Log'!$A:$A,"&lt;"&amp;$J1380+7),0))</f>
        <v/>
      </c>
      <c r="F1380" t="str">
        <f>IF($J1380="","",IFERROR(SUMIFS('Weekly Log'!$F:$F,'Weekly Log'!$A:$A,"&gt;="&amp;$J1380,'Weekly Log'!$A:$A,"&lt;"&amp;$J1380+7)/SUMIFS('Weekly Log'!$E:$E,'Weekly Log'!$A:$A,"&gt;="&amp;$J1380,'Weekly Log'!$A:$A,"&lt;"&amp;$J1380+7),0))</f>
        <v/>
      </c>
      <c r="G1380" t="str">
        <f>IF($J1380="","",IFERROR(LOOKUP(2,1/(('Weekly Log'!$A$5:$A$5000&gt;=$J1380)*('Weekly Log'!$A$5:$A$5000&lt;$J1380+7)*('Weekly Log'!$M$5:$M$5000&lt;&gt;"")),'Weekly Log'!$M$5:$M$5000),0))</f>
        <v/>
      </c>
      <c r="J1380" t="str">
        <f>IF(COUNT('Weekly Log'!$A$5:$A$5000)=0,"",IF(MIN('Weekly Log'!$A$5:$A$5000)+7*(ROW()-10)&gt;MAX('Weekly Log'!$A$5:$A$5000),"",MIN('Weekly Log'!$A$5:$A$5000)+7*(ROW()-10)))</f>
        <v/>
      </c>
    </row>
    <row r="1381" spans="1:10" x14ac:dyDescent="0.25">
      <c r="A1381" t="str">
        <f t="shared" si="21"/>
        <v/>
      </c>
      <c r="B1381" t="str">
        <f>IF($J1381="","",SUMIFS('Weekly Log'!$C:$C,'Weekly Log'!$A:$A,"&gt;="&amp;$J1381,'Weekly Log'!$A:$A,"&lt;"&amp;$J1381+7))</f>
        <v/>
      </c>
      <c r="C1381" t="str">
        <f>IF($J1381="","",IFERROR(COUNTIFS('Weekly Log'!$G:$G,"Y",'Weekly Log'!$A:$A,"&gt;="&amp;$J1381,'Weekly Log'!$A:$A,"&lt;"&amp;$J1381+7)/COUNTIFS('Weekly Log'!$G:$G,"&lt;&gt;",'Weekly Log'!$A:$A,"&gt;="&amp;$J1381,'Weekly Log'!$A:$A,"&lt;"&amp;$J1381+7),0))</f>
        <v/>
      </c>
      <c r="D1381" t="str">
        <f>IF($J1381="","",IFERROR(COUNTIFS('Weekly Log'!$H:$H,"Y",'Weekly Log'!$A:$A,"&gt;="&amp;$J1381,'Weekly Log'!$A:$A,"&lt;"&amp;$J1381+7)/COUNTIFS('Weekly Log'!$H:$H,"&lt;&gt;",'Weekly Log'!$A:$A,"&gt;="&amp;$J1381,'Weekly Log'!$A:$A,"&lt;"&amp;$J1381+7),0))</f>
        <v/>
      </c>
      <c r="E1381" t="str">
        <f>IF($J1381="","",IFERROR(AVERAGEIFS('Weekly Log'!$F:$F,'Weekly Log'!$A:$A,"&gt;="&amp;$J1381,'Weekly Log'!$A:$A,"&lt;"&amp;$J1381+7),0))</f>
        <v/>
      </c>
      <c r="F1381" t="str">
        <f>IF($J1381="","",IFERROR(SUMIFS('Weekly Log'!$F:$F,'Weekly Log'!$A:$A,"&gt;="&amp;$J1381,'Weekly Log'!$A:$A,"&lt;"&amp;$J1381+7)/SUMIFS('Weekly Log'!$E:$E,'Weekly Log'!$A:$A,"&gt;="&amp;$J1381,'Weekly Log'!$A:$A,"&lt;"&amp;$J1381+7),0))</f>
        <v/>
      </c>
      <c r="G1381" t="str">
        <f>IF($J1381="","",IFERROR(LOOKUP(2,1/(('Weekly Log'!$A$5:$A$5000&gt;=$J1381)*('Weekly Log'!$A$5:$A$5000&lt;$J1381+7)*('Weekly Log'!$M$5:$M$5000&lt;&gt;"")),'Weekly Log'!$M$5:$M$5000),0))</f>
        <v/>
      </c>
      <c r="J1381" t="str">
        <f>IF(COUNT('Weekly Log'!$A$5:$A$5000)=0,"",IF(MIN('Weekly Log'!$A$5:$A$5000)+7*(ROW()-10)&gt;MAX('Weekly Log'!$A$5:$A$5000),"",MIN('Weekly Log'!$A$5:$A$5000)+7*(ROW()-10)))</f>
        <v/>
      </c>
    </row>
    <row r="1382" spans="1:10" x14ac:dyDescent="0.25">
      <c r="A1382" t="str">
        <f t="shared" si="21"/>
        <v/>
      </c>
      <c r="B1382" t="str">
        <f>IF($J1382="","",SUMIFS('Weekly Log'!$C:$C,'Weekly Log'!$A:$A,"&gt;="&amp;$J1382,'Weekly Log'!$A:$A,"&lt;"&amp;$J1382+7))</f>
        <v/>
      </c>
      <c r="C1382" t="str">
        <f>IF($J1382="","",IFERROR(COUNTIFS('Weekly Log'!$G:$G,"Y",'Weekly Log'!$A:$A,"&gt;="&amp;$J1382,'Weekly Log'!$A:$A,"&lt;"&amp;$J1382+7)/COUNTIFS('Weekly Log'!$G:$G,"&lt;&gt;",'Weekly Log'!$A:$A,"&gt;="&amp;$J1382,'Weekly Log'!$A:$A,"&lt;"&amp;$J1382+7),0))</f>
        <v/>
      </c>
      <c r="D1382" t="str">
        <f>IF($J1382="","",IFERROR(COUNTIFS('Weekly Log'!$H:$H,"Y",'Weekly Log'!$A:$A,"&gt;="&amp;$J1382,'Weekly Log'!$A:$A,"&lt;"&amp;$J1382+7)/COUNTIFS('Weekly Log'!$H:$H,"&lt;&gt;",'Weekly Log'!$A:$A,"&gt;="&amp;$J1382,'Weekly Log'!$A:$A,"&lt;"&amp;$J1382+7),0))</f>
        <v/>
      </c>
      <c r="E1382" t="str">
        <f>IF($J1382="","",IFERROR(AVERAGEIFS('Weekly Log'!$F:$F,'Weekly Log'!$A:$A,"&gt;="&amp;$J1382,'Weekly Log'!$A:$A,"&lt;"&amp;$J1382+7),0))</f>
        <v/>
      </c>
      <c r="F1382" t="str">
        <f>IF($J1382="","",IFERROR(SUMIFS('Weekly Log'!$F:$F,'Weekly Log'!$A:$A,"&gt;="&amp;$J1382,'Weekly Log'!$A:$A,"&lt;"&amp;$J1382+7)/SUMIFS('Weekly Log'!$E:$E,'Weekly Log'!$A:$A,"&gt;="&amp;$J1382,'Weekly Log'!$A:$A,"&lt;"&amp;$J1382+7),0))</f>
        <v/>
      </c>
      <c r="G1382" t="str">
        <f>IF($J1382="","",IFERROR(LOOKUP(2,1/(('Weekly Log'!$A$5:$A$5000&gt;=$J1382)*('Weekly Log'!$A$5:$A$5000&lt;$J1382+7)*('Weekly Log'!$M$5:$M$5000&lt;&gt;"")),'Weekly Log'!$M$5:$M$5000),0))</f>
        <v/>
      </c>
      <c r="J1382" t="str">
        <f>IF(COUNT('Weekly Log'!$A$5:$A$5000)=0,"",IF(MIN('Weekly Log'!$A$5:$A$5000)+7*(ROW()-10)&gt;MAX('Weekly Log'!$A$5:$A$5000),"",MIN('Weekly Log'!$A$5:$A$5000)+7*(ROW()-10)))</f>
        <v/>
      </c>
    </row>
    <row r="1383" spans="1:10" x14ac:dyDescent="0.25">
      <c r="A1383" t="str">
        <f t="shared" si="21"/>
        <v/>
      </c>
      <c r="B1383" t="str">
        <f>IF($J1383="","",SUMIFS('Weekly Log'!$C:$C,'Weekly Log'!$A:$A,"&gt;="&amp;$J1383,'Weekly Log'!$A:$A,"&lt;"&amp;$J1383+7))</f>
        <v/>
      </c>
      <c r="C1383" t="str">
        <f>IF($J1383="","",IFERROR(COUNTIFS('Weekly Log'!$G:$G,"Y",'Weekly Log'!$A:$A,"&gt;="&amp;$J1383,'Weekly Log'!$A:$A,"&lt;"&amp;$J1383+7)/COUNTIFS('Weekly Log'!$G:$G,"&lt;&gt;",'Weekly Log'!$A:$A,"&gt;="&amp;$J1383,'Weekly Log'!$A:$A,"&lt;"&amp;$J1383+7),0))</f>
        <v/>
      </c>
      <c r="D1383" t="str">
        <f>IF($J1383="","",IFERROR(COUNTIFS('Weekly Log'!$H:$H,"Y",'Weekly Log'!$A:$A,"&gt;="&amp;$J1383,'Weekly Log'!$A:$A,"&lt;"&amp;$J1383+7)/COUNTIFS('Weekly Log'!$H:$H,"&lt;&gt;",'Weekly Log'!$A:$A,"&gt;="&amp;$J1383,'Weekly Log'!$A:$A,"&lt;"&amp;$J1383+7),0))</f>
        <v/>
      </c>
      <c r="E1383" t="str">
        <f>IF($J1383="","",IFERROR(AVERAGEIFS('Weekly Log'!$F:$F,'Weekly Log'!$A:$A,"&gt;="&amp;$J1383,'Weekly Log'!$A:$A,"&lt;"&amp;$J1383+7),0))</f>
        <v/>
      </c>
      <c r="F1383" t="str">
        <f>IF($J1383="","",IFERROR(SUMIFS('Weekly Log'!$F:$F,'Weekly Log'!$A:$A,"&gt;="&amp;$J1383,'Weekly Log'!$A:$A,"&lt;"&amp;$J1383+7)/SUMIFS('Weekly Log'!$E:$E,'Weekly Log'!$A:$A,"&gt;="&amp;$J1383,'Weekly Log'!$A:$A,"&lt;"&amp;$J1383+7),0))</f>
        <v/>
      </c>
      <c r="G1383" t="str">
        <f>IF($J1383="","",IFERROR(LOOKUP(2,1/(('Weekly Log'!$A$5:$A$5000&gt;=$J1383)*('Weekly Log'!$A$5:$A$5000&lt;$J1383+7)*('Weekly Log'!$M$5:$M$5000&lt;&gt;"")),'Weekly Log'!$M$5:$M$5000),0))</f>
        <v/>
      </c>
      <c r="J1383" t="str">
        <f>IF(COUNT('Weekly Log'!$A$5:$A$5000)=0,"",IF(MIN('Weekly Log'!$A$5:$A$5000)+7*(ROW()-10)&gt;MAX('Weekly Log'!$A$5:$A$5000),"",MIN('Weekly Log'!$A$5:$A$5000)+7*(ROW()-10)))</f>
        <v/>
      </c>
    </row>
    <row r="1384" spans="1:10" x14ac:dyDescent="0.25">
      <c r="A1384" t="str">
        <f t="shared" si="21"/>
        <v/>
      </c>
      <c r="B1384" t="str">
        <f>IF($J1384="","",SUMIFS('Weekly Log'!$C:$C,'Weekly Log'!$A:$A,"&gt;="&amp;$J1384,'Weekly Log'!$A:$A,"&lt;"&amp;$J1384+7))</f>
        <v/>
      </c>
      <c r="C1384" t="str">
        <f>IF($J1384="","",IFERROR(COUNTIFS('Weekly Log'!$G:$G,"Y",'Weekly Log'!$A:$A,"&gt;="&amp;$J1384,'Weekly Log'!$A:$A,"&lt;"&amp;$J1384+7)/COUNTIFS('Weekly Log'!$G:$G,"&lt;&gt;",'Weekly Log'!$A:$A,"&gt;="&amp;$J1384,'Weekly Log'!$A:$A,"&lt;"&amp;$J1384+7),0))</f>
        <v/>
      </c>
      <c r="D1384" t="str">
        <f>IF($J1384="","",IFERROR(COUNTIFS('Weekly Log'!$H:$H,"Y",'Weekly Log'!$A:$A,"&gt;="&amp;$J1384,'Weekly Log'!$A:$A,"&lt;"&amp;$J1384+7)/COUNTIFS('Weekly Log'!$H:$H,"&lt;&gt;",'Weekly Log'!$A:$A,"&gt;="&amp;$J1384,'Weekly Log'!$A:$A,"&lt;"&amp;$J1384+7),0))</f>
        <v/>
      </c>
      <c r="E1384" t="str">
        <f>IF($J1384="","",IFERROR(AVERAGEIFS('Weekly Log'!$F:$F,'Weekly Log'!$A:$A,"&gt;="&amp;$J1384,'Weekly Log'!$A:$A,"&lt;"&amp;$J1384+7),0))</f>
        <v/>
      </c>
      <c r="F1384" t="str">
        <f>IF($J1384="","",IFERROR(SUMIFS('Weekly Log'!$F:$F,'Weekly Log'!$A:$A,"&gt;="&amp;$J1384,'Weekly Log'!$A:$A,"&lt;"&amp;$J1384+7)/SUMIFS('Weekly Log'!$E:$E,'Weekly Log'!$A:$A,"&gt;="&amp;$J1384,'Weekly Log'!$A:$A,"&lt;"&amp;$J1384+7),0))</f>
        <v/>
      </c>
      <c r="G1384" t="str">
        <f>IF($J1384="","",IFERROR(LOOKUP(2,1/(('Weekly Log'!$A$5:$A$5000&gt;=$J1384)*('Weekly Log'!$A$5:$A$5000&lt;$J1384+7)*('Weekly Log'!$M$5:$M$5000&lt;&gt;"")),'Weekly Log'!$M$5:$M$5000),0))</f>
        <v/>
      </c>
      <c r="J1384" t="str">
        <f>IF(COUNT('Weekly Log'!$A$5:$A$5000)=0,"",IF(MIN('Weekly Log'!$A$5:$A$5000)+7*(ROW()-10)&gt;MAX('Weekly Log'!$A$5:$A$5000),"",MIN('Weekly Log'!$A$5:$A$5000)+7*(ROW()-10)))</f>
        <v/>
      </c>
    </row>
    <row r="1385" spans="1:10" x14ac:dyDescent="0.25">
      <c r="A1385" t="str">
        <f t="shared" si="21"/>
        <v/>
      </c>
      <c r="B1385" t="str">
        <f>IF($J1385="","",SUMIFS('Weekly Log'!$C:$C,'Weekly Log'!$A:$A,"&gt;="&amp;$J1385,'Weekly Log'!$A:$A,"&lt;"&amp;$J1385+7))</f>
        <v/>
      </c>
      <c r="C1385" t="str">
        <f>IF($J1385="","",IFERROR(COUNTIFS('Weekly Log'!$G:$G,"Y",'Weekly Log'!$A:$A,"&gt;="&amp;$J1385,'Weekly Log'!$A:$A,"&lt;"&amp;$J1385+7)/COUNTIFS('Weekly Log'!$G:$G,"&lt;&gt;",'Weekly Log'!$A:$A,"&gt;="&amp;$J1385,'Weekly Log'!$A:$A,"&lt;"&amp;$J1385+7),0))</f>
        <v/>
      </c>
      <c r="D1385" t="str">
        <f>IF($J1385="","",IFERROR(COUNTIFS('Weekly Log'!$H:$H,"Y",'Weekly Log'!$A:$A,"&gt;="&amp;$J1385,'Weekly Log'!$A:$A,"&lt;"&amp;$J1385+7)/COUNTIFS('Weekly Log'!$H:$H,"&lt;&gt;",'Weekly Log'!$A:$A,"&gt;="&amp;$J1385,'Weekly Log'!$A:$A,"&lt;"&amp;$J1385+7),0))</f>
        <v/>
      </c>
      <c r="E1385" t="str">
        <f>IF($J1385="","",IFERROR(AVERAGEIFS('Weekly Log'!$F:$F,'Weekly Log'!$A:$A,"&gt;="&amp;$J1385,'Weekly Log'!$A:$A,"&lt;"&amp;$J1385+7),0))</f>
        <v/>
      </c>
      <c r="F1385" t="str">
        <f>IF($J1385="","",IFERROR(SUMIFS('Weekly Log'!$F:$F,'Weekly Log'!$A:$A,"&gt;="&amp;$J1385,'Weekly Log'!$A:$A,"&lt;"&amp;$J1385+7)/SUMIFS('Weekly Log'!$E:$E,'Weekly Log'!$A:$A,"&gt;="&amp;$J1385,'Weekly Log'!$A:$A,"&lt;"&amp;$J1385+7),0))</f>
        <v/>
      </c>
      <c r="G1385" t="str">
        <f>IF($J1385="","",IFERROR(LOOKUP(2,1/(('Weekly Log'!$A$5:$A$5000&gt;=$J1385)*('Weekly Log'!$A$5:$A$5000&lt;$J1385+7)*('Weekly Log'!$M$5:$M$5000&lt;&gt;"")),'Weekly Log'!$M$5:$M$5000),0))</f>
        <v/>
      </c>
      <c r="J1385" t="str">
        <f>IF(COUNT('Weekly Log'!$A$5:$A$5000)=0,"",IF(MIN('Weekly Log'!$A$5:$A$5000)+7*(ROW()-10)&gt;MAX('Weekly Log'!$A$5:$A$5000),"",MIN('Weekly Log'!$A$5:$A$5000)+7*(ROW()-10)))</f>
        <v/>
      </c>
    </row>
    <row r="1386" spans="1:10" x14ac:dyDescent="0.25">
      <c r="A1386" t="str">
        <f t="shared" si="21"/>
        <v/>
      </c>
      <c r="B1386" t="str">
        <f>IF($J1386="","",SUMIFS('Weekly Log'!$C:$C,'Weekly Log'!$A:$A,"&gt;="&amp;$J1386,'Weekly Log'!$A:$A,"&lt;"&amp;$J1386+7))</f>
        <v/>
      </c>
      <c r="C1386" t="str">
        <f>IF($J1386="","",IFERROR(COUNTIFS('Weekly Log'!$G:$G,"Y",'Weekly Log'!$A:$A,"&gt;="&amp;$J1386,'Weekly Log'!$A:$A,"&lt;"&amp;$J1386+7)/COUNTIFS('Weekly Log'!$G:$G,"&lt;&gt;",'Weekly Log'!$A:$A,"&gt;="&amp;$J1386,'Weekly Log'!$A:$A,"&lt;"&amp;$J1386+7),0))</f>
        <v/>
      </c>
      <c r="D1386" t="str">
        <f>IF($J1386="","",IFERROR(COUNTIFS('Weekly Log'!$H:$H,"Y",'Weekly Log'!$A:$A,"&gt;="&amp;$J1386,'Weekly Log'!$A:$A,"&lt;"&amp;$J1386+7)/COUNTIFS('Weekly Log'!$H:$H,"&lt;&gt;",'Weekly Log'!$A:$A,"&gt;="&amp;$J1386,'Weekly Log'!$A:$A,"&lt;"&amp;$J1386+7),0))</f>
        <v/>
      </c>
      <c r="E1386" t="str">
        <f>IF($J1386="","",IFERROR(AVERAGEIFS('Weekly Log'!$F:$F,'Weekly Log'!$A:$A,"&gt;="&amp;$J1386,'Weekly Log'!$A:$A,"&lt;"&amp;$J1386+7),0))</f>
        <v/>
      </c>
      <c r="F1386" t="str">
        <f>IF($J1386="","",IFERROR(SUMIFS('Weekly Log'!$F:$F,'Weekly Log'!$A:$A,"&gt;="&amp;$J1386,'Weekly Log'!$A:$A,"&lt;"&amp;$J1386+7)/SUMIFS('Weekly Log'!$E:$E,'Weekly Log'!$A:$A,"&gt;="&amp;$J1386,'Weekly Log'!$A:$A,"&lt;"&amp;$J1386+7),0))</f>
        <v/>
      </c>
      <c r="G1386" t="str">
        <f>IF($J1386="","",IFERROR(LOOKUP(2,1/(('Weekly Log'!$A$5:$A$5000&gt;=$J1386)*('Weekly Log'!$A$5:$A$5000&lt;$J1386+7)*('Weekly Log'!$M$5:$M$5000&lt;&gt;"")),'Weekly Log'!$M$5:$M$5000),0))</f>
        <v/>
      </c>
      <c r="J1386" t="str">
        <f>IF(COUNT('Weekly Log'!$A$5:$A$5000)=0,"",IF(MIN('Weekly Log'!$A$5:$A$5000)+7*(ROW()-10)&gt;MAX('Weekly Log'!$A$5:$A$5000),"",MIN('Weekly Log'!$A$5:$A$5000)+7*(ROW()-10)))</f>
        <v/>
      </c>
    </row>
    <row r="1387" spans="1:10" x14ac:dyDescent="0.25">
      <c r="A1387" t="str">
        <f t="shared" si="21"/>
        <v/>
      </c>
      <c r="B1387" t="str">
        <f>IF($J1387="","",SUMIFS('Weekly Log'!$C:$C,'Weekly Log'!$A:$A,"&gt;="&amp;$J1387,'Weekly Log'!$A:$A,"&lt;"&amp;$J1387+7))</f>
        <v/>
      </c>
      <c r="C1387" t="str">
        <f>IF($J1387="","",IFERROR(COUNTIFS('Weekly Log'!$G:$G,"Y",'Weekly Log'!$A:$A,"&gt;="&amp;$J1387,'Weekly Log'!$A:$A,"&lt;"&amp;$J1387+7)/COUNTIFS('Weekly Log'!$G:$G,"&lt;&gt;",'Weekly Log'!$A:$A,"&gt;="&amp;$J1387,'Weekly Log'!$A:$A,"&lt;"&amp;$J1387+7),0))</f>
        <v/>
      </c>
      <c r="D1387" t="str">
        <f>IF($J1387="","",IFERROR(COUNTIFS('Weekly Log'!$H:$H,"Y",'Weekly Log'!$A:$A,"&gt;="&amp;$J1387,'Weekly Log'!$A:$A,"&lt;"&amp;$J1387+7)/COUNTIFS('Weekly Log'!$H:$H,"&lt;&gt;",'Weekly Log'!$A:$A,"&gt;="&amp;$J1387,'Weekly Log'!$A:$A,"&lt;"&amp;$J1387+7),0))</f>
        <v/>
      </c>
      <c r="E1387" t="str">
        <f>IF($J1387="","",IFERROR(AVERAGEIFS('Weekly Log'!$F:$F,'Weekly Log'!$A:$A,"&gt;="&amp;$J1387,'Weekly Log'!$A:$A,"&lt;"&amp;$J1387+7),0))</f>
        <v/>
      </c>
      <c r="F1387" t="str">
        <f>IF($J1387="","",IFERROR(SUMIFS('Weekly Log'!$F:$F,'Weekly Log'!$A:$A,"&gt;="&amp;$J1387,'Weekly Log'!$A:$A,"&lt;"&amp;$J1387+7)/SUMIFS('Weekly Log'!$E:$E,'Weekly Log'!$A:$A,"&gt;="&amp;$J1387,'Weekly Log'!$A:$A,"&lt;"&amp;$J1387+7),0))</f>
        <v/>
      </c>
      <c r="G1387" t="str">
        <f>IF($J1387="","",IFERROR(LOOKUP(2,1/(('Weekly Log'!$A$5:$A$5000&gt;=$J1387)*('Weekly Log'!$A$5:$A$5000&lt;$J1387+7)*('Weekly Log'!$M$5:$M$5000&lt;&gt;"")),'Weekly Log'!$M$5:$M$5000),0))</f>
        <v/>
      </c>
      <c r="J1387" t="str">
        <f>IF(COUNT('Weekly Log'!$A$5:$A$5000)=0,"",IF(MIN('Weekly Log'!$A$5:$A$5000)+7*(ROW()-10)&gt;MAX('Weekly Log'!$A$5:$A$5000),"",MIN('Weekly Log'!$A$5:$A$5000)+7*(ROW()-10)))</f>
        <v/>
      </c>
    </row>
    <row r="1388" spans="1:10" x14ac:dyDescent="0.25">
      <c r="A1388" t="str">
        <f t="shared" si="21"/>
        <v/>
      </c>
      <c r="B1388" t="str">
        <f>IF($J1388="","",SUMIFS('Weekly Log'!$C:$C,'Weekly Log'!$A:$A,"&gt;="&amp;$J1388,'Weekly Log'!$A:$A,"&lt;"&amp;$J1388+7))</f>
        <v/>
      </c>
      <c r="C1388" t="str">
        <f>IF($J1388="","",IFERROR(COUNTIFS('Weekly Log'!$G:$G,"Y",'Weekly Log'!$A:$A,"&gt;="&amp;$J1388,'Weekly Log'!$A:$A,"&lt;"&amp;$J1388+7)/COUNTIFS('Weekly Log'!$G:$G,"&lt;&gt;",'Weekly Log'!$A:$A,"&gt;="&amp;$J1388,'Weekly Log'!$A:$A,"&lt;"&amp;$J1388+7),0))</f>
        <v/>
      </c>
      <c r="D1388" t="str">
        <f>IF($J1388="","",IFERROR(COUNTIFS('Weekly Log'!$H:$H,"Y",'Weekly Log'!$A:$A,"&gt;="&amp;$J1388,'Weekly Log'!$A:$A,"&lt;"&amp;$J1388+7)/COUNTIFS('Weekly Log'!$H:$H,"&lt;&gt;",'Weekly Log'!$A:$A,"&gt;="&amp;$J1388,'Weekly Log'!$A:$A,"&lt;"&amp;$J1388+7),0))</f>
        <v/>
      </c>
      <c r="E1388" t="str">
        <f>IF($J1388="","",IFERROR(AVERAGEIFS('Weekly Log'!$F:$F,'Weekly Log'!$A:$A,"&gt;="&amp;$J1388,'Weekly Log'!$A:$A,"&lt;"&amp;$J1388+7),0))</f>
        <v/>
      </c>
      <c r="F1388" t="str">
        <f>IF($J1388="","",IFERROR(SUMIFS('Weekly Log'!$F:$F,'Weekly Log'!$A:$A,"&gt;="&amp;$J1388,'Weekly Log'!$A:$A,"&lt;"&amp;$J1388+7)/SUMIFS('Weekly Log'!$E:$E,'Weekly Log'!$A:$A,"&gt;="&amp;$J1388,'Weekly Log'!$A:$A,"&lt;"&amp;$J1388+7),0))</f>
        <v/>
      </c>
      <c r="G1388" t="str">
        <f>IF($J1388="","",IFERROR(LOOKUP(2,1/(('Weekly Log'!$A$5:$A$5000&gt;=$J1388)*('Weekly Log'!$A$5:$A$5000&lt;$J1388+7)*('Weekly Log'!$M$5:$M$5000&lt;&gt;"")),'Weekly Log'!$M$5:$M$5000),0))</f>
        <v/>
      </c>
      <c r="J1388" t="str">
        <f>IF(COUNT('Weekly Log'!$A$5:$A$5000)=0,"",IF(MIN('Weekly Log'!$A$5:$A$5000)+7*(ROW()-10)&gt;MAX('Weekly Log'!$A$5:$A$5000),"",MIN('Weekly Log'!$A$5:$A$5000)+7*(ROW()-10)))</f>
        <v/>
      </c>
    </row>
    <row r="1389" spans="1:10" x14ac:dyDescent="0.25">
      <c r="A1389" t="str">
        <f t="shared" si="21"/>
        <v/>
      </c>
      <c r="B1389" t="str">
        <f>IF($J1389="","",SUMIFS('Weekly Log'!$C:$C,'Weekly Log'!$A:$A,"&gt;="&amp;$J1389,'Weekly Log'!$A:$A,"&lt;"&amp;$J1389+7))</f>
        <v/>
      </c>
      <c r="C1389" t="str">
        <f>IF($J1389="","",IFERROR(COUNTIFS('Weekly Log'!$G:$G,"Y",'Weekly Log'!$A:$A,"&gt;="&amp;$J1389,'Weekly Log'!$A:$A,"&lt;"&amp;$J1389+7)/COUNTIFS('Weekly Log'!$G:$G,"&lt;&gt;",'Weekly Log'!$A:$A,"&gt;="&amp;$J1389,'Weekly Log'!$A:$A,"&lt;"&amp;$J1389+7),0))</f>
        <v/>
      </c>
      <c r="D1389" t="str">
        <f>IF($J1389="","",IFERROR(COUNTIFS('Weekly Log'!$H:$H,"Y",'Weekly Log'!$A:$A,"&gt;="&amp;$J1389,'Weekly Log'!$A:$A,"&lt;"&amp;$J1389+7)/COUNTIFS('Weekly Log'!$H:$H,"&lt;&gt;",'Weekly Log'!$A:$A,"&gt;="&amp;$J1389,'Weekly Log'!$A:$A,"&lt;"&amp;$J1389+7),0))</f>
        <v/>
      </c>
      <c r="E1389" t="str">
        <f>IF($J1389="","",IFERROR(AVERAGEIFS('Weekly Log'!$F:$F,'Weekly Log'!$A:$A,"&gt;="&amp;$J1389,'Weekly Log'!$A:$A,"&lt;"&amp;$J1389+7),0))</f>
        <v/>
      </c>
      <c r="F1389" t="str">
        <f>IF($J1389="","",IFERROR(SUMIFS('Weekly Log'!$F:$F,'Weekly Log'!$A:$A,"&gt;="&amp;$J1389,'Weekly Log'!$A:$A,"&lt;"&amp;$J1389+7)/SUMIFS('Weekly Log'!$E:$E,'Weekly Log'!$A:$A,"&gt;="&amp;$J1389,'Weekly Log'!$A:$A,"&lt;"&amp;$J1389+7),0))</f>
        <v/>
      </c>
      <c r="G1389" t="str">
        <f>IF($J1389="","",IFERROR(LOOKUP(2,1/(('Weekly Log'!$A$5:$A$5000&gt;=$J1389)*('Weekly Log'!$A$5:$A$5000&lt;$J1389+7)*('Weekly Log'!$M$5:$M$5000&lt;&gt;"")),'Weekly Log'!$M$5:$M$5000),0))</f>
        <v/>
      </c>
      <c r="J1389" t="str">
        <f>IF(COUNT('Weekly Log'!$A$5:$A$5000)=0,"",IF(MIN('Weekly Log'!$A$5:$A$5000)+7*(ROW()-10)&gt;MAX('Weekly Log'!$A$5:$A$5000),"",MIN('Weekly Log'!$A$5:$A$5000)+7*(ROW()-10)))</f>
        <v/>
      </c>
    </row>
    <row r="1390" spans="1:10" x14ac:dyDescent="0.25">
      <c r="A1390" t="str">
        <f t="shared" si="21"/>
        <v/>
      </c>
      <c r="B1390" t="str">
        <f>IF($J1390="","",SUMIFS('Weekly Log'!$C:$C,'Weekly Log'!$A:$A,"&gt;="&amp;$J1390,'Weekly Log'!$A:$A,"&lt;"&amp;$J1390+7))</f>
        <v/>
      </c>
      <c r="C1390" t="str">
        <f>IF($J1390="","",IFERROR(COUNTIFS('Weekly Log'!$G:$G,"Y",'Weekly Log'!$A:$A,"&gt;="&amp;$J1390,'Weekly Log'!$A:$A,"&lt;"&amp;$J1390+7)/COUNTIFS('Weekly Log'!$G:$G,"&lt;&gt;",'Weekly Log'!$A:$A,"&gt;="&amp;$J1390,'Weekly Log'!$A:$A,"&lt;"&amp;$J1390+7),0))</f>
        <v/>
      </c>
      <c r="D1390" t="str">
        <f>IF($J1390="","",IFERROR(COUNTIFS('Weekly Log'!$H:$H,"Y",'Weekly Log'!$A:$A,"&gt;="&amp;$J1390,'Weekly Log'!$A:$A,"&lt;"&amp;$J1390+7)/COUNTIFS('Weekly Log'!$H:$H,"&lt;&gt;",'Weekly Log'!$A:$A,"&gt;="&amp;$J1390,'Weekly Log'!$A:$A,"&lt;"&amp;$J1390+7),0))</f>
        <v/>
      </c>
      <c r="E1390" t="str">
        <f>IF($J1390="","",IFERROR(AVERAGEIFS('Weekly Log'!$F:$F,'Weekly Log'!$A:$A,"&gt;="&amp;$J1390,'Weekly Log'!$A:$A,"&lt;"&amp;$J1390+7),0))</f>
        <v/>
      </c>
      <c r="F1390" t="str">
        <f>IF($J1390="","",IFERROR(SUMIFS('Weekly Log'!$F:$F,'Weekly Log'!$A:$A,"&gt;="&amp;$J1390,'Weekly Log'!$A:$A,"&lt;"&amp;$J1390+7)/SUMIFS('Weekly Log'!$E:$E,'Weekly Log'!$A:$A,"&gt;="&amp;$J1390,'Weekly Log'!$A:$A,"&lt;"&amp;$J1390+7),0))</f>
        <v/>
      </c>
      <c r="G1390" t="str">
        <f>IF($J1390="","",IFERROR(LOOKUP(2,1/(('Weekly Log'!$A$5:$A$5000&gt;=$J1390)*('Weekly Log'!$A$5:$A$5000&lt;$J1390+7)*('Weekly Log'!$M$5:$M$5000&lt;&gt;"")),'Weekly Log'!$M$5:$M$5000),0))</f>
        <v/>
      </c>
      <c r="J1390" t="str">
        <f>IF(COUNT('Weekly Log'!$A$5:$A$5000)=0,"",IF(MIN('Weekly Log'!$A$5:$A$5000)+7*(ROW()-10)&gt;MAX('Weekly Log'!$A$5:$A$5000),"",MIN('Weekly Log'!$A$5:$A$5000)+7*(ROW()-10)))</f>
        <v/>
      </c>
    </row>
    <row r="1391" spans="1:10" x14ac:dyDescent="0.25">
      <c r="A1391" t="str">
        <f t="shared" si="21"/>
        <v/>
      </c>
      <c r="B1391" t="str">
        <f>IF($J1391="","",SUMIFS('Weekly Log'!$C:$C,'Weekly Log'!$A:$A,"&gt;="&amp;$J1391,'Weekly Log'!$A:$A,"&lt;"&amp;$J1391+7))</f>
        <v/>
      </c>
      <c r="C1391" t="str">
        <f>IF($J1391="","",IFERROR(COUNTIFS('Weekly Log'!$G:$G,"Y",'Weekly Log'!$A:$A,"&gt;="&amp;$J1391,'Weekly Log'!$A:$A,"&lt;"&amp;$J1391+7)/COUNTIFS('Weekly Log'!$G:$G,"&lt;&gt;",'Weekly Log'!$A:$A,"&gt;="&amp;$J1391,'Weekly Log'!$A:$A,"&lt;"&amp;$J1391+7),0))</f>
        <v/>
      </c>
      <c r="D1391" t="str">
        <f>IF($J1391="","",IFERROR(COUNTIFS('Weekly Log'!$H:$H,"Y",'Weekly Log'!$A:$A,"&gt;="&amp;$J1391,'Weekly Log'!$A:$A,"&lt;"&amp;$J1391+7)/COUNTIFS('Weekly Log'!$H:$H,"&lt;&gt;",'Weekly Log'!$A:$A,"&gt;="&amp;$J1391,'Weekly Log'!$A:$A,"&lt;"&amp;$J1391+7),0))</f>
        <v/>
      </c>
      <c r="E1391" t="str">
        <f>IF($J1391="","",IFERROR(AVERAGEIFS('Weekly Log'!$F:$F,'Weekly Log'!$A:$A,"&gt;="&amp;$J1391,'Weekly Log'!$A:$A,"&lt;"&amp;$J1391+7),0))</f>
        <v/>
      </c>
      <c r="F1391" t="str">
        <f>IF($J1391="","",IFERROR(SUMIFS('Weekly Log'!$F:$F,'Weekly Log'!$A:$A,"&gt;="&amp;$J1391,'Weekly Log'!$A:$A,"&lt;"&amp;$J1391+7)/SUMIFS('Weekly Log'!$E:$E,'Weekly Log'!$A:$A,"&gt;="&amp;$J1391,'Weekly Log'!$A:$A,"&lt;"&amp;$J1391+7),0))</f>
        <v/>
      </c>
      <c r="G1391" t="str">
        <f>IF($J1391="","",IFERROR(LOOKUP(2,1/(('Weekly Log'!$A$5:$A$5000&gt;=$J1391)*('Weekly Log'!$A$5:$A$5000&lt;$J1391+7)*('Weekly Log'!$M$5:$M$5000&lt;&gt;"")),'Weekly Log'!$M$5:$M$5000),0))</f>
        <v/>
      </c>
      <c r="J1391" t="str">
        <f>IF(COUNT('Weekly Log'!$A$5:$A$5000)=0,"",IF(MIN('Weekly Log'!$A$5:$A$5000)+7*(ROW()-10)&gt;MAX('Weekly Log'!$A$5:$A$5000),"",MIN('Weekly Log'!$A$5:$A$5000)+7*(ROW()-10)))</f>
        <v/>
      </c>
    </row>
    <row r="1392" spans="1:10" x14ac:dyDescent="0.25">
      <c r="A1392" t="str">
        <f t="shared" si="21"/>
        <v/>
      </c>
      <c r="B1392" t="str">
        <f>IF($J1392="","",SUMIFS('Weekly Log'!$C:$C,'Weekly Log'!$A:$A,"&gt;="&amp;$J1392,'Weekly Log'!$A:$A,"&lt;"&amp;$J1392+7))</f>
        <v/>
      </c>
      <c r="C1392" t="str">
        <f>IF($J1392="","",IFERROR(COUNTIFS('Weekly Log'!$G:$G,"Y",'Weekly Log'!$A:$A,"&gt;="&amp;$J1392,'Weekly Log'!$A:$A,"&lt;"&amp;$J1392+7)/COUNTIFS('Weekly Log'!$G:$G,"&lt;&gt;",'Weekly Log'!$A:$A,"&gt;="&amp;$J1392,'Weekly Log'!$A:$A,"&lt;"&amp;$J1392+7),0))</f>
        <v/>
      </c>
      <c r="D1392" t="str">
        <f>IF($J1392="","",IFERROR(COUNTIFS('Weekly Log'!$H:$H,"Y",'Weekly Log'!$A:$A,"&gt;="&amp;$J1392,'Weekly Log'!$A:$A,"&lt;"&amp;$J1392+7)/COUNTIFS('Weekly Log'!$H:$H,"&lt;&gt;",'Weekly Log'!$A:$A,"&gt;="&amp;$J1392,'Weekly Log'!$A:$A,"&lt;"&amp;$J1392+7),0))</f>
        <v/>
      </c>
      <c r="E1392" t="str">
        <f>IF($J1392="","",IFERROR(AVERAGEIFS('Weekly Log'!$F:$F,'Weekly Log'!$A:$A,"&gt;="&amp;$J1392,'Weekly Log'!$A:$A,"&lt;"&amp;$J1392+7),0))</f>
        <v/>
      </c>
      <c r="F1392" t="str">
        <f>IF($J1392="","",IFERROR(SUMIFS('Weekly Log'!$F:$F,'Weekly Log'!$A:$A,"&gt;="&amp;$J1392,'Weekly Log'!$A:$A,"&lt;"&amp;$J1392+7)/SUMIFS('Weekly Log'!$E:$E,'Weekly Log'!$A:$A,"&gt;="&amp;$J1392,'Weekly Log'!$A:$A,"&lt;"&amp;$J1392+7),0))</f>
        <v/>
      </c>
      <c r="G1392" t="str">
        <f>IF($J1392="","",IFERROR(LOOKUP(2,1/(('Weekly Log'!$A$5:$A$5000&gt;=$J1392)*('Weekly Log'!$A$5:$A$5000&lt;$J1392+7)*('Weekly Log'!$M$5:$M$5000&lt;&gt;"")),'Weekly Log'!$M$5:$M$5000),0))</f>
        <v/>
      </c>
      <c r="J1392" t="str">
        <f>IF(COUNT('Weekly Log'!$A$5:$A$5000)=0,"",IF(MIN('Weekly Log'!$A$5:$A$5000)+7*(ROW()-10)&gt;MAX('Weekly Log'!$A$5:$A$5000),"",MIN('Weekly Log'!$A$5:$A$5000)+7*(ROW()-10)))</f>
        <v/>
      </c>
    </row>
    <row r="1393" spans="1:10" x14ac:dyDescent="0.25">
      <c r="A1393" t="str">
        <f t="shared" si="21"/>
        <v/>
      </c>
      <c r="B1393" t="str">
        <f>IF($J1393="","",SUMIFS('Weekly Log'!$C:$C,'Weekly Log'!$A:$A,"&gt;="&amp;$J1393,'Weekly Log'!$A:$A,"&lt;"&amp;$J1393+7))</f>
        <v/>
      </c>
      <c r="C1393" t="str">
        <f>IF($J1393="","",IFERROR(COUNTIFS('Weekly Log'!$G:$G,"Y",'Weekly Log'!$A:$A,"&gt;="&amp;$J1393,'Weekly Log'!$A:$A,"&lt;"&amp;$J1393+7)/COUNTIFS('Weekly Log'!$G:$G,"&lt;&gt;",'Weekly Log'!$A:$A,"&gt;="&amp;$J1393,'Weekly Log'!$A:$A,"&lt;"&amp;$J1393+7),0))</f>
        <v/>
      </c>
      <c r="D1393" t="str">
        <f>IF($J1393="","",IFERROR(COUNTIFS('Weekly Log'!$H:$H,"Y",'Weekly Log'!$A:$A,"&gt;="&amp;$J1393,'Weekly Log'!$A:$A,"&lt;"&amp;$J1393+7)/COUNTIFS('Weekly Log'!$H:$H,"&lt;&gt;",'Weekly Log'!$A:$A,"&gt;="&amp;$J1393,'Weekly Log'!$A:$A,"&lt;"&amp;$J1393+7),0))</f>
        <v/>
      </c>
      <c r="E1393" t="str">
        <f>IF($J1393="","",IFERROR(AVERAGEIFS('Weekly Log'!$F:$F,'Weekly Log'!$A:$A,"&gt;="&amp;$J1393,'Weekly Log'!$A:$A,"&lt;"&amp;$J1393+7),0))</f>
        <v/>
      </c>
      <c r="F1393" t="str">
        <f>IF($J1393="","",IFERROR(SUMIFS('Weekly Log'!$F:$F,'Weekly Log'!$A:$A,"&gt;="&amp;$J1393,'Weekly Log'!$A:$A,"&lt;"&amp;$J1393+7)/SUMIFS('Weekly Log'!$E:$E,'Weekly Log'!$A:$A,"&gt;="&amp;$J1393,'Weekly Log'!$A:$A,"&lt;"&amp;$J1393+7),0))</f>
        <v/>
      </c>
      <c r="G1393" t="str">
        <f>IF($J1393="","",IFERROR(LOOKUP(2,1/(('Weekly Log'!$A$5:$A$5000&gt;=$J1393)*('Weekly Log'!$A$5:$A$5000&lt;$J1393+7)*('Weekly Log'!$M$5:$M$5000&lt;&gt;"")),'Weekly Log'!$M$5:$M$5000),0))</f>
        <v/>
      </c>
      <c r="J1393" t="str">
        <f>IF(COUNT('Weekly Log'!$A$5:$A$5000)=0,"",IF(MIN('Weekly Log'!$A$5:$A$5000)+7*(ROW()-10)&gt;MAX('Weekly Log'!$A$5:$A$5000),"",MIN('Weekly Log'!$A$5:$A$5000)+7*(ROW()-10)))</f>
        <v/>
      </c>
    </row>
    <row r="1394" spans="1:10" x14ac:dyDescent="0.25">
      <c r="A1394" t="str">
        <f t="shared" si="21"/>
        <v/>
      </c>
      <c r="B1394" t="str">
        <f>IF($J1394="","",SUMIFS('Weekly Log'!$C:$C,'Weekly Log'!$A:$A,"&gt;="&amp;$J1394,'Weekly Log'!$A:$A,"&lt;"&amp;$J1394+7))</f>
        <v/>
      </c>
      <c r="C1394" t="str">
        <f>IF($J1394="","",IFERROR(COUNTIFS('Weekly Log'!$G:$G,"Y",'Weekly Log'!$A:$A,"&gt;="&amp;$J1394,'Weekly Log'!$A:$A,"&lt;"&amp;$J1394+7)/COUNTIFS('Weekly Log'!$G:$G,"&lt;&gt;",'Weekly Log'!$A:$A,"&gt;="&amp;$J1394,'Weekly Log'!$A:$A,"&lt;"&amp;$J1394+7),0))</f>
        <v/>
      </c>
      <c r="D1394" t="str">
        <f>IF($J1394="","",IFERROR(COUNTIFS('Weekly Log'!$H:$H,"Y",'Weekly Log'!$A:$A,"&gt;="&amp;$J1394,'Weekly Log'!$A:$A,"&lt;"&amp;$J1394+7)/COUNTIFS('Weekly Log'!$H:$H,"&lt;&gt;",'Weekly Log'!$A:$A,"&gt;="&amp;$J1394,'Weekly Log'!$A:$A,"&lt;"&amp;$J1394+7),0))</f>
        <v/>
      </c>
      <c r="E1394" t="str">
        <f>IF($J1394="","",IFERROR(AVERAGEIFS('Weekly Log'!$F:$F,'Weekly Log'!$A:$A,"&gt;="&amp;$J1394,'Weekly Log'!$A:$A,"&lt;"&amp;$J1394+7),0))</f>
        <v/>
      </c>
      <c r="F1394" t="str">
        <f>IF($J1394="","",IFERROR(SUMIFS('Weekly Log'!$F:$F,'Weekly Log'!$A:$A,"&gt;="&amp;$J1394,'Weekly Log'!$A:$A,"&lt;"&amp;$J1394+7)/SUMIFS('Weekly Log'!$E:$E,'Weekly Log'!$A:$A,"&gt;="&amp;$J1394,'Weekly Log'!$A:$A,"&lt;"&amp;$J1394+7),0))</f>
        <v/>
      </c>
      <c r="G1394" t="str">
        <f>IF($J1394="","",IFERROR(LOOKUP(2,1/(('Weekly Log'!$A$5:$A$5000&gt;=$J1394)*('Weekly Log'!$A$5:$A$5000&lt;$J1394+7)*('Weekly Log'!$M$5:$M$5000&lt;&gt;"")),'Weekly Log'!$M$5:$M$5000),0))</f>
        <v/>
      </c>
      <c r="J1394" t="str">
        <f>IF(COUNT('Weekly Log'!$A$5:$A$5000)=0,"",IF(MIN('Weekly Log'!$A$5:$A$5000)+7*(ROW()-10)&gt;MAX('Weekly Log'!$A$5:$A$5000),"",MIN('Weekly Log'!$A$5:$A$5000)+7*(ROW()-10)))</f>
        <v/>
      </c>
    </row>
    <row r="1395" spans="1:10" x14ac:dyDescent="0.25">
      <c r="A1395" t="str">
        <f t="shared" si="21"/>
        <v/>
      </c>
      <c r="B1395" t="str">
        <f>IF($J1395="","",SUMIFS('Weekly Log'!$C:$C,'Weekly Log'!$A:$A,"&gt;="&amp;$J1395,'Weekly Log'!$A:$A,"&lt;"&amp;$J1395+7))</f>
        <v/>
      </c>
      <c r="C1395" t="str">
        <f>IF($J1395="","",IFERROR(COUNTIFS('Weekly Log'!$G:$G,"Y",'Weekly Log'!$A:$A,"&gt;="&amp;$J1395,'Weekly Log'!$A:$A,"&lt;"&amp;$J1395+7)/COUNTIFS('Weekly Log'!$G:$G,"&lt;&gt;",'Weekly Log'!$A:$A,"&gt;="&amp;$J1395,'Weekly Log'!$A:$A,"&lt;"&amp;$J1395+7),0))</f>
        <v/>
      </c>
      <c r="D1395" t="str">
        <f>IF($J1395="","",IFERROR(COUNTIFS('Weekly Log'!$H:$H,"Y",'Weekly Log'!$A:$A,"&gt;="&amp;$J1395,'Weekly Log'!$A:$A,"&lt;"&amp;$J1395+7)/COUNTIFS('Weekly Log'!$H:$H,"&lt;&gt;",'Weekly Log'!$A:$A,"&gt;="&amp;$J1395,'Weekly Log'!$A:$A,"&lt;"&amp;$J1395+7),0))</f>
        <v/>
      </c>
      <c r="E1395" t="str">
        <f>IF($J1395="","",IFERROR(AVERAGEIFS('Weekly Log'!$F:$F,'Weekly Log'!$A:$A,"&gt;="&amp;$J1395,'Weekly Log'!$A:$A,"&lt;"&amp;$J1395+7),0))</f>
        <v/>
      </c>
      <c r="F1395" t="str">
        <f>IF($J1395="","",IFERROR(SUMIFS('Weekly Log'!$F:$F,'Weekly Log'!$A:$A,"&gt;="&amp;$J1395,'Weekly Log'!$A:$A,"&lt;"&amp;$J1395+7)/SUMIFS('Weekly Log'!$E:$E,'Weekly Log'!$A:$A,"&gt;="&amp;$J1395,'Weekly Log'!$A:$A,"&lt;"&amp;$J1395+7),0))</f>
        <v/>
      </c>
      <c r="G1395" t="str">
        <f>IF($J1395="","",IFERROR(LOOKUP(2,1/(('Weekly Log'!$A$5:$A$5000&gt;=$J1395)*('Weekly Log'!$A$5:$A$5000&lt;$J1395+7)*('Weekly Log'!$M$5:$M$5000&lt;&gt;"")),'Weekly Log'!$M$5:$M$5000),0))</f>
        <v/>
      </c>
      <c r="J1395" t="str">
        <f>IF(COUNT('Weekly Log'!$A$5:$A$5000)=0,"",IF(MIN('Weekly Log'!$A$5:$A$5000)+7*(ROW()-10)&gt;MAX('Weekly Log'!$A$5:$A$5000),"",MIN('Weekly Log'!$A$5:$A$5000)+7*(ROW()-10)))</f>
        <v/>
      </c>
    </row>
    <row r="1396" spans="1:10" x14ac:dyDescent="0.25">
      <c r="A1396" t="str">
        <f t="shared" si="21"/>
        <v/>
      </c>
      <c r="B1396" t="str">
        <f>IF($J1396="","",SUMIFS('Weekly Log'!$C:$C,'Weekly Log'!$A:$A,"&gt;="&amp;$J1396,'Weekly Log'!$A:$A,"&lt;"&amp;$J1396+7))</f>
        <v/>
      </c>
      <c r="C1396" t="str">
        <f>IF($J1396="","",IFERROR(COUNTIFS('Weekly Log'!$G:$G,"Y",'Weekly Log'!$A:$A,"&gt;="&amp;$J1396,'Weekly Log'!$A:$A,"&lt;"&amp;$J1396+7)/COUNTIFS('Weekly Log'!$G:$G,"&lt;&gt;",'Weekly Log'!$A:$A,"&gt;="&amp;$J1396,'Weekly Log'!$A:$A,"&lt;"&amp;$J1396+7),0))</f>
        <v/>
      </c>
      <c r="D1396" t="str">
        <f>IF($J1396="","",IFERROR(COUNTIFS('Weekly Log'!$H:$H,"Y",'Weekly Log'!$A:$A,"&gt;="&amp;$J1396,'Weekly Log'!$A:$A,"&lt;"&amp;$J1396+7)/COUNTIFS('Weekly Log'!$H:$H,"&lt;&gt;",'Weekly Log'!$A:$A,"&gt;="&amp;$J1396,'Weekly Log'!$A:$A,"&lt;"&amp;$J1396+7),0))</f>
        <v/>
      </c>
      <c r="E1396" t="str">
        <f>IF($J1396="","",IFERROR(AVERAGEIFS('Weekly Log'!$F:$F,'Weekly Log'!$A:$A,"&gt;="&amp;$J1396,'Weekly Log'!$A:$A,"&lt;"&amp;$J1396+7),0))</f>
        <v/>
      </c>
      <c r="F1396" t="str">
        <f>IF($J1396="","",IFERROR(SUMIFS('Weekly Log'!$F:$F,'Weekly Log'!$A:$A,"&gt;="&amp;$J1396,'Weekly Log'!$A:$A,"&lt;"&amp;$J1396+7)/SUMIFS('Weekly Log'!$E:$E,'Weekly Log'!$A:$A,"&gt;="&amp;$J1396,'Weekly Log'!$A:$A,"&lt;"&amp;$J1396+7),0))</f>
        <v/>
      </c>
      <c r="G1396" t="str">
        <f>IF($J1396="","",IFERROR(LOOKUP(2,1/(('Weekly Log'!$A$5:$A$5000&gt;=$J1396)*('Weekly Log'!$A$5:$A$5000&lt;$J1396+7)*('Weekly Log'!$M$5:$M$5000&lt;&gt;"")),'Weekly Log'!$M$5:$M$5000),0))</f>
        <v/>
      </c>
      <c r="J1396" t="str">
        <f>IF(COUNT('Weekly Log'!$A$5:$A$5000)=0,"",IF(MIN('Weekly Log'!$A$5:$A$5000)+7*(ROW()-10)&gt;MAX('Weekly Log'!$A$5:$A$5000),"",MIN('Weekly Log'!$A$5:$A$5000)+7*(ROW()-10)))</f>
        <v/>
      </c>
    </row>
    <row r="1397" spans="1:10" x14ac:dyDescent="0.25">
      <c r="A1397" t="str">
        <f t="shared" si="21"/>
        <v/>
      </c>
      <c r="B1397" t="str">
        <f>IF($J1397="","",SUMIFS('Weekly Log'!$C:$C,'Weekly Log'!$A:$A,"&gt;="&amp;$J1397,'Weekly Log'!$A:$A,"&lt;"&amp;$J1397+7))</f>
        <v/>
      </c>
      <c r="C1397" t="str">
        <f>IF($J1397="","",IFERROR(COUNTIFS('Weekly Log'!$G:$G,"Y",'Weekly Log'!$A:$A,"&gt;="&amp;$J1397,'Weekly Log'!$A:$A,"&lt;"&amp;$J1397+7)/COUNTIFS('Weekly Log'!$G:$G,"&lt;&gt;",'Weekly Log'!$A:$A,"&gt;="&amp;$J1397,'Weekly Log'!$A:$A,"&lt;"&amp;$J1397+7),0))</f>
        <v/>
      </c>
      <c r="D1397" t="str">
        <f>IF($J1397="","",IFERROR(COUNTIFS('Weekly Log'!$H:$H,"Y",'Weekly Log'!$A:$A,"&gt;="&amp;$J1397,'Weekly Log'!$A:$A,"&lt;"&amp;$J1397+7)/COUNTIFS('Weekly Log'!$H:$H,"&lt;&gt;",'Weekly Log'!$A:$A,"&gt;="&amp;$J1397,'Weekly Log'!$A:$A,"&lt;"&amp;$J1397+7),0))</f>
        <v/>
      </c>
      <c r="E1397" t="str">
        <f>IF($J1397="","",IFERROR(AVERAGEIFS('Weekly Log'!$F:$F,'Weekly Log'!$A:$A,"&gt;="&amp;$J1397,'Weekly Log'!$A:$A,"&lt;"&amp;$J1397+7),0))</f>
        <v/>
      </c>
      <c r="F1397" t="str">
        <f>IF($J1397="","",IFERROR(SUMIFS('Weekly Log'!$F:$F,'Weekly Log'!$A:$A,"&gt;="&amp;$J1397,'Weekly Log'!$A:$A,"&lt;"&amp;$J1397+7)/SUMIFS('Weekly Log'!$E:$E,'Weekly Log'!$A:$A,"&gt;="&amp;$J1397,'Weekly Log'!$A:$A,"&lt;"&amp;$J1397+7),0))</f>
        <v/>
      </c>
      <c r="G1397" t="str">
        <f>IF($J1397="","",IFERROR(LOOKUP(2,1/(('Weekly Log'!$A$5:$A$5000&gt;=$J1397)*('Weekly Log'!$A$5:$A$5000&lt;$J1397+7)*('Weekly Log'!$M$5:$M$5000&lt;&gt;"")),'Weekly Log'!$M$5:$M$5000),0))</f>
        <v/>
      </c>
      <c r="J1397" t="str">
        <f>IF(COUNT('Weekly Log'!$A$5:$A$5000)=0,"",IF(MIN('Weekly Log'!$A$5:$A$5000)+7*(ROW()-10)&gt;MAX('Weekly Log'!$A$5:$A$5000),"",MIN('Weekly Log'!$A$5:$A$5000)+7*(ROW()-10)))</f>
        <v/>
      </c>
    </row>
    <row r="1398" spans="1:10" x14ac:dyDescent="0.25">
      <c r="A1398" t="str">
        <f t="shared" si="21"/>
        <v/>
      </c>
      <c r="B1398" t="str">
        <f>IF($J1398="","",SUMIFS('Weekly Log'!$C:$C,'Weekly Log'!$A:$A,"&gt;="&amp;$J1398,'Weekly Log'!$A:$A,"&lt;"&amp;$J1398+7))</f>
        <v/>
      </c>
      <c r="C1398" t="str">
        <f>IF($J1398="","",IFERROR(COUNTIFS('Weekly Log'!$G:$G,"Y",'Weekly Log'!$A:$A,"&gt;="&amp;$J1398,'Weekly Log'!$A:$A,"&lt;"&amp;$J1398+7)/COUNTIFS('Weekly Log'!$G:$G,"&lt;&gt;",'Weekly Log'!$A:$A,"&gt;="&amp;$J1398,'Weekly Log'!$A:$A,"&lt;"&amp;$J1398+7),0))</f>
        <v/>
      </c>
      <c r="D1398" t="str">
        <f>IF($J1398="","",IFERROR(COUNTIFS('Weekly Log'!$H:$H,"Y",'Weekly Log'!$A:$A,"&gt;="&amp;$J1398,'Weekly Log'!$A:$A,"&lt;"&amp;$J1398+7)/COUNTIFS('Weekly Log'!$H:$H,"&lt;&gt;",'Weekly Log'!$A:$A,"&gt;="&amp;$J1398,'Weekly Log'!$A:$A,"&lt;"&amp;$J1398+7),0))</f>
        <v/>
      </c>
      <c r="E1398" t="str">
        <f>IF($J1398="","",IFERROR(AVERAGEIFS('Weekly Log'!$F:$F,'Weekly Log'!$A:$A,"&gt;="&amp;$J1398,'Weekly Log'!$A:$A,"&lt;"&amp;$J1398+7),0))</f>
        <v/>
      </c>
      <c r="F1398" t="str">
        <f>IF($J1398="","",IFERROR(SUMIFS('Weekly Log'!$F:$F,'Weekly Log'!$A:$A,"&gt;="&amp;$J1398,'Weekly Log'!$A:$A,"&lt;"&amp;$J1398+7)/SUMIFS('Weekly Log'!$E:$E,'Weekly Log'!$A:$A,"&gt;="&amp;$J1398,'Weekly Log'!$A:$A,"&lt;"&amp;$J1398+7),0))</f>
        <v/>
      </c>
      <c r="G1398" t="str">
        <f>IF($J1398="","",IFERROR(LOOKUP(2,1/(('Weekly Log'!$A$5:$A$5000&gt;=$J1398)*('Weekly Log'!$A$5:$A$5000&lt;$J1398+7)*('Weekly Log'!$M$5:$M$5000&lt;&gt;"")),'Weekly Log'!$M$5:$M$5000),0))</f>
        <v/>
      </c>
      <c r="J1398" t="str">
        <f>IF(COUNT('Weekly Log'!$A$5:$A$5000)=0,"",IF(MIN('Weekly Log'!$A$5:$A$5000)+7*(ROW()-10)&gt;MAX('Weekly Log'!$A$5:$A$5000),"",MIN('Weekly Log'!$A$5:$A$5000)+7*(ROW()-10)))</f>
        <v/>
      </c>
    </row>
    <row r="1399" spans="1:10" x14ac:dyDescent="0.25">
      <c r="A1399" t="str">
        <f t="shared" si="21"/>
        <v/>
      </c>
      <c r="B1399" t="str">
        <f>IF($J1399="","",SUMIFS('Weekly Log'!$C:$C,'Weekly Log'!$A:$A,"&gt;="&amp;$J1399,'Weekly Log'!$A:$A,"&lt;"&amp;$J1399+7))</f>
        <v/>
      </c>
      <c r="C1399" t="str">
        <f>IF($J1399="","",IFERROR(COUNTIFS('Weekly Log'!$G:$G,"Y",'Weekly Log'!$A:$A,"&gt;="&amp;$J1399,'Weekly Log'!$A:$A,"&lt;"&amp;$J1399+7)/COUNTIFS('Weekly Log'!$G:$G,"&lt;&gt;",'Weekly Log'!$A:$A,"&gt;="&amp;$J1399,'Weekly Log'!$A:$A,"&lt;"&amp;$J1399+7),0))</f>
        <v/>
      </c>
      <c r="D1399" t="str">
        <f>IF($J1399="","",IFERROR(COUNTIFS('Weekly Log'!$H:$H,"Y",'Weekly Log'!$A:$A,"&gt;="&amp;$J1399,'Weekly Log'!$A:$A,"&lt;"&amp;$J1399+7)/COUNTIFS('Weekly Log'!$H:$H,"&lt;&gt;",'Weekly Log'!$A:$A,"&gt;="&amp;$J1399,'Weekly Log'!$A:$A,"&lt;"&amp;$J1399+7),0))</f>
        <v/>
      </c>
      <c r="E1399" t="str">
        <f>IF($J1399="","",IFERROR(AVERAGEIFS('Weekly Log'!$F:$F,'Weekly Log'!$A:$A,"&gt;="&amp;$J1399,'Weekly Log'!$A:$A,"&lt;"&amp;$J1399+7),0))</f>
        <v/>
      </c>
      <c r="F1399" t="str">
        <f>IF($J1399="","",IFERROR(SUMIFS('Weekly Log'!$F:$F,'Weekly Log'!$A:$A,"&gt;="&amp;$J1399,'Weekly Log'!$A:$A,"&lt;"&amp;$J1399+7)/SUMIFS('Weekly Log'!$E:$E,'Weekly Log'!$A:$A,"&gt;="&amp;$J1399,'Weekly Log'!$A:$A,"&lt;"&amp;$J1399+7),0))</f>
        <v/>
      </c>
      <c r="G1399" t="str">
        <f>IF($J1399="","",IFERROR(LOOKUP(2,1/(('Weekly Log'!$A$5:$A$5000&gt;=$J1399)*('Weekly Log'!$A$5:$A$5000&lt;$J1399+7)*('Weekly Log'!$M$5:$M$5000&lt;&gt;"")),'Weekly Log'!$M$5:$M$5000),0))</f>
        <v/>
      </c>
      <c r="J1399" t="str">
        <f>IF(COUNT('Weekly Log'!$A$5:$A$5000)=0,"",IF(MIN('Weekly Log'!$A$5:$A$5000)+7*(ROW()-10)&gt;MAX('Weekly Log'!$A$5:$A$5000),"",MIN('Weekly Log'!$A$5:$A$5000)+7*(ROW()-10)))</f>
        <v/>
      </c>
    </row>
    <row r="1400" spans="1:10" x14ac:dyDescent="0.25">
      <c r="A1400" t="str">
        <f t="shared" si="21"/>
        <v/>
      </c>
      <c r="B1400" t="str">
        <f>IF($J1400="","",SUMIFS('Weekly Log'!$C:$C,'Weekly Log'!$A:$A,"&gt;="&amp;$J1400,'Weekly Log'!$A:$A,"&lt;"&amp;$J1400+7))</f>
        <v/>
      </c>
      <c r="C1400" t="str">
        <f>IF($J1400="","",IFERROR(COUNTIFS('Weekly Log'!$G:$G,"Y",'Weekly Log'!$A:$A,"&gt;="&amp;$J1400,'Weekly Log'!$A:$A,"&lt;"&amp;$J1400+7)/COUNTIFS('Weekly Log'!$G:$G,"&lt;&gt;",'Weekly Log'!$A:$A,"&gt;="&amp;$J1400,'Weekly Log'!$A:$A,"&lt;"&amp;$J1400+7),0))</f>
        <v/>
      </c>
      <c r="D1400" t="str">
        <f>IF($J1400="","",IFERROR(COUNTIFS('Weekly Log'!$H:$H,"Y",'Weekly Log'!$A:$A,"&gt;="&amp;$J1400,'Weekly Log'!$A:$A,"&lt;"&amp;$J1400+7)/COUNTIFS('Weekly Log'!$H:$H,"&lt;&gt;",'Weekly Log'!$A:$A,"&gt;="&amp;$J1400,'Weekly Log'!$A:$A,"&lt;"&amp;$J1400+7),0))</f>
        <v/>
      </c>
      <c r="E1400" t="str">
        <f>IF($J1400="","",IFERROR(AVERAGEIFS('Weekly Log'!$F:$F,'Weekly Log'!$A:$A,"&gt;="&amp;$J1400,'Weekly Log'!$A:$A,"&lt;"&amp;$J1400+7),0))</f>
        <v/>
      </c>
      <c r="F1400" t="str">
        <f>IF($J1400="","",IFERROR(SUMIFS('Weekly Log'!$F:$F,'Weekly Log'!$A:$A,"&gt;="&amp;$J1400,'Weekly Log'!$A:$A,"&lt;"&amp;$J1400+7)/SUMIFS('Weekly Log'!$E:$E,'Weekly Log'!$A:$A,"&gt;="&amp;$J1400,'Weekly Log'!$A:$A,"&lt;"&amp;$J1400+7),0))</f>
        <v/>
      </c>
      <c r="G1400" t="str">
        <f>IF($J1400="","",IFERROR(LOOKUP(2,1/(('Weekly Log'!$A$5:$A$5000&gt;=$J1400)*('Weekly Log'!$A$5:$A$5000&lt;$J1400+7)*('Weekly Log'!$M$5:$M$5000&lt;&gt;"")),'Weekly Log'!$M$5:$M$5000),0))</f>
        <v/>
      </c>
      <c r="J1400" t="str">
        <f>IF(COUNT('Weekly Log'!$A$5:$A$5000)=0,"",IF(MIN('Weekly Log'!$A$5:$A$5000)+7*(ROW()-10)&gt;MAX('Weekly Log'!$A$5:$A$5000),"",MIN('Weekly Log'!$A$5:$A$5000)+7*(ROW()-10)))</f>
        <v/>
      </c>
    </row>
    <row r="1401" spans="1:10" x14ac:dyDescent="0.25">
      <c r="A1401" t="str">
        <f t="shared" si="21"/>
        <v/>
      </c>
      <c r="B1401" t="str">
        <f>IF($J1401="","",SUMIFS('Weekly Log'!$C:$C,'Weekly Log'!$A:$A,"&gt;="&amp;$J1401,'Weekly Log'!$A:$A,"&lt;"&amp;$J1401+7))</f>
        <v/>
      </c>
      <c r="C1401" t="str">
        <f>IF($J1401="","",IFERROR(COUNTIFS('Weekly Log'!$G:$G,"Y",'Weekly Log'!$A:$A,"&gt;="&amp;$J1401,'Weekly Log'!$A:$A,"&lt;"&amp;$J1401+7)/COUNTIFS('Weekly Log'!$G:$G,"&lt;&gt;",'Weekly Log'!$A:$A,"&gt;="&amp;$J1401,'Weekly Log'!$A:$A,"&lt;"&amp;$J1401+7),0))</f>
        <v/>
      </c>
      <c r="D1401" t="str">
        <f>IF($J1401="","",IFERROR(COUNTIFS('Weekly Log'!$H:$H,"Y",'Weekly Log'!$A:$A,"&gt;="&amp;$J1401,'Weekly Log'!$A:$A,"&lt;"&amp;$J1401+7)/COUNTIFS('Weekly Log'!$H:$H,"&lt;&gt;",'Weekly Log'!$A:$A,"&gt;="&amp;$J1401,'Weekly Log'!$A:$A,"&lt;"&amp;$J1401+7),0))</f>
        <v/>
      </c>
      <c r="E1401" t="str">
        <f>IF($J1401="","",IFERROR(AVERAGEIFS('Weekly Log'!$F:$F,'Weekly Log'!$A:$A,"&gt;="&amp;$J1401,'Weekly Log'!$A:$A,"&lt;"&amp;$J1401+7),0))</f>
        <v/>
      </c>
      <c r="F1401" t="str">
        <f>IF($J1401="","",IFERROR(SUMIFS('Weekly Log'!$F:$F,'Weekly Log'!$A:$A,"&gt;="&amp;$J1401,'Weekly Log'!$A:$A,"&lt;"&amp;$J1401+7)/SUMIFS('Weekly Log'!$E:$E,'Weekly Log'!$A:$A,"&gt;="&amp;$J1401,'Weekly Log'!$A:$A,"&lt;"&amp;$J1401+7),0))</f>
        <v/>
      </c>
      <c r="G1401" t="str">
        <f>IF($J1401="","",IFERROR(LOOKUP(2,1/(('Weekly Log'!$A$5:$A$5000&gt;=$J1401)*('Weekly Log'!$A$5:$A$5000&lt;$J1401+7)*('Weekly Log'!$M$5:$M$5000&lt;&gt;"")),'Weekly Log'!$M$5:$M$5000),0))</f>
        <v/>
      </c>
      <c r="J1401" t="str">
        <f>IF(COUNT('Weekly Log'!$A$5:$A$5000)=0,"",IF(MIN('Weekly Log'!$A$5:$A$5000)+7*(ROW()-10)&gt;MAX('Weekly Log'!$A$5:$A$5000),"",MIN('Weekly Log'!$A$5:$A$5000)+7*(ROW()-10)))</f>
        <v/>
      </c>
    </row>
    <row r="1402" spans="1:10" x14ac:dyDescent="0.25">
      <c r="A1402" t="str">
        <f t="shared" si="21"/>
        <v/>
      </c>
      <c r="B1402" t="str">
        <f>IF($J1402="","",SUMIFS('Weekly Log'!$C:$C,'Weekly Log'!$A:$A,"&gt;="&amp;$J1402,'Weekly Log'!$A:$A,"&lt;"&amp;$J1402+7))</f>
        <v/>
      </c>
      <c r="C1402" t="str">
        <f>IF($J1402="","",IFERROR(COUNTIFS('Weekly Log'!$G:$G,"Y",'Weekly Log'!$A:$A,"&gt;="&amp;$J1402,'Weekly Log'!$A:$A,"&lt;"&amp;$J1402+7)/COUNTIFS('Weekly Log'!$G:$G,"&lt;&gt;",'Weekly Log'!$A:$A,"&gt;="&amp;$J1402,'Weekly Log'!$A:$A,"&lt;"&amp;$J1402+7),0))</f>
        <v/>
      </c>
      <c r="D1402" t="str">
        <f>IF($J1402="","",IFERROR(COUNTIFS('Weekly Log'!$H:$H,"Y",'Weekly Log'!$A:$A,"&gt;="&amp;$J1402,'Weekly Log'!$A:$A,"&lt;"&amp;$J1402+7)/COUNTIFS('Weekly Log'!$H:$H,"&lt;&gt;",'Weekly Log'!$A:$A,"&gt;="&amp;$J1402,'Weekly Log'!$A:$A,"&lt;"&amp;$J1402+7),0))</f>
        <v/>
      </c>
      <c r="E1402" t="str">
        <f>IF($J1402="","",IFERROR(AVERAGEIFS('Weekly Log'!$F:$F,'Weekly Log'!$A:$A,"&gt;="&amp;$J1402,'Weekly Log'!$A:$A,"&lt;"&amp;$J1402+7),0))</f>
        <v/>
      </c>
      <c r="F1402" t="str">
        <f>IF($J1402="","",IFERROR(SUMIFS('Weekly Log'!$F:$F,'Weekly Log'!$A:$A,"&gt;="&amp;$J1402,'Weekly Log'!$A:$A,"&lt;"&amp;$J1402+7)/SUMIFS('Weekly Log'!$E:$E,'Weekly Log'!$A:$A,"&gt;="&amp;$J1402,'Weekly Log'!$A:$A,"&lt;"&amp;$J1402+7),0))</f>
        <v/>
      </c>
      <c r="G1402" t="str">
        <f>IF($J1402="","",IFERROR(LOOKUP(2,1/(('Weekly Log'!$A$5:$A$5000&gt;=$J1402)*('Weekly Log'!$A$5:$A$5000&lt;$J1402+7)*('Weekly Log'!$M$5:$M$5000&lt;&gt;"")),'Weekly Log'!$M$5:$M$5000),0))</f>
        <v/>
      </c>
      <c r="J1402" t="str">
        <f>IF(COUNT('Weekly Log'!$A$5:$A$5000)=0,"",IF(MIN('Weekly Log'!$A$5:$A$5000)+7*(ROW()-10)&gt;MAX('Weekly Log'!$A$5:$A$5000),"",MIN('Weekly Log'!$A$5:$A$5000)+7*(ROW()-10)))</f>
        <v/>
      </c>
    </row>
    <row r="1403" spans="1:10" x14ac:dyDescent="0.25">
      <c r="A1403" t="str">
        <f t="shared" si="21"/>
        <v/>
      </c>
      <c r="B1403" t="str">
        <f>IF($J1403="","",SUMIFS('Weekly Log'!$C:$C,'Weekly Log'!$A:$A,"&gt;="&amp;$J1403,'Weekly Log'!$A:$A,"&lt;"&amp;$J1403+7))</f>
        <v/>
      </c>
      <c r="C1403" t="str">
        <f>IF($J1403="","",IFERROR(COUNTIFS('Weekly Log'!$G:$G,"Y",'Weekly Log'!$A:$A,"&gt;="&amp;$J1403,'Weekly Log'!$A:$A,"&lt;"&amp;$J1403+7)/COUNTIFS('Weekly Log'!$G:$G,"&lt;&gt;",'Weekly Log'!$A:$A,"&gt;="&amp;$J1403,'Weekly Log'!$A:$A,"&lt;"&amp;$J1403+7),0))</f>
        <v/>
      </c>
      <c r="D1403" t="str">
        <f>IF($J1403="","",IFERROR(COUNTIFS('Weekly Log'!$H:$H,"Y",'Weekly Log'!$A:$A,"&gt;="&amp;$J1403,'Weekly Log'!$A:$A,"&lt;"&amp;$J1403+7)/COUNTIFS('Weekly Log'!$H:$H,"&lt;&gt;",'Weekly Log'!$A:$A,"&gt;="&amp;$J1403,'Weekly Log'!$A:$A,"&lt;"&amp;$J1403+7),0))</f>
        <v/>
      </c>
      <c r="E1403" t="str">
        <f>IF($J1403="","",IFERROR(AVERAGEIFS('Weekly Log'!$F:$F,'Weekly Log'!$A:$A,"&gt;="&amp;$J1403,'Weekly Log'!$A:$A,"&lt;"&amp;$J1403+7),0))</f>
        <v/>
      </c>
      <c r="F1403" t="str">
        <f>IF($J1403="","",IFERROR(SUMIFS('Weekly Log'!$F:$F,'Weekly Log'!$A:$A,"&gt;="&amp;$J1403,'Weekly Log'!$A:$A,"&lt;"&amp;$J1403+7)/SUMIFS('Weekly Log'!$E:$E,'Weekly Log'!$A:$A,"&gt;="&amp;$J1403,'Weekly Log'!$A:$A,"&lt;"&amp;$J1403+7),0))</f>
        <v/>
      </c>
      <c r="G1403" t="str">
        <f>IF($J1403="","",IFERROR(LOOKUP(2,1/(('Weekly Log'!$A$5:$A$5000&gt;=$J1403)*('Weekly Log'!$A$5:$A$5000&lt;$J1403+7)*('Weekly Log'!$M$5:$M$5000&lt;&gt;"")),'Weekly Log'!$M$5:$M$5000),0))</f>
        <v/>
      </c>
      <c r="J1403" t="str">
        <f>IF(COUNT('Weekly Log'!$A$5:$A$5000)=0,"",IF(MIN('Weekly Log'!$A$5:$A$5000)+7*(ROW()-10)&gt;MAX('Weekly Log'!$A$5:$A$5000),"",MIN('Weekly Log'!$A$5:$A$5000)+7*(ROW()-10)))</f>
        <v/>
      </c>
    </row>
    <row r="1404" spans="1:10" x14ac:dyDescent="0.25">
      <c r="A1404" t="str">
        <f t="shared" si="21"/>
        <v/>
      </c>
      <c r="B1404" t="str">
        <f>IF($J1404="","",SUMIFS('Weekly Log'!$C:$C,'Weekly Log'!$A:$A,"&gt;="&amp;$J1404,'Weekly Log'!$A:$A,"&lt;"&amp;$J1404+7))</f>
        <v/>
      </c>
      <c r="C1404" t="str">
        <f>IF($J1404="","",IFERROR(COUNTIFS('Weekly Log'!$G:$G,"Y",'Weekly Log'!$A:$A,"&gt;="&amp;$J1404,'Weekly Log'!$A:$A,"&lt;"&amp;$J1404+7)/COUNTIFS('Weekly Log'!$G:$G,"&lt;&gt;",'Weekly Log'!$A:$A,"&gt;="&amp;$J1404,'Weekly Log'!$A:$A,"&lt;"&amp;$J1404+7),0))</f>
        <v/>
      </c>
      <c r="D1404" t="str">
        <f>IF($J1404="","",IFERROR(COUNTIFS('Weekly Log'!$H:$H,"Y",'Weekly Log'!$A:$A,"&gt;="&amp;$J1404,'Weekly Log'!$A:$A,"&lt;"&amp;$J1404+7)/COUNTIFS('Weekly Log'!$H:$H,"&lt;&gt;",'Weekly Log'!$A:$A,"&gt;="&amp;$J1404,'Weekly Log'!$A:$A,"&lt;"&amp;$J1404+7),0))</f>
        <v/>
      </c>
      <c r="E1404" t="str">
        <f>IF($J1404="","",IFERROR(AVERAGEIFS('Weekly Log'!$F:$F,'Weekly Log'!$A:$A,"&gt;="&amp;$J1404,'Weekly Log'!$A:$A,"&lt;"&amp;$J1404+7),0))</f>
        <v/>
      </c>
      <c r="F1404" t="str">
        <f>IF($J1404="","",IFERROR(SUMIFS('Weekly Log'!$F:$F,'Weekly Log'!$A:$A,"&gt;="&amp;$J1404,'Weekly Log'!$A:$A,"&lt;"&amp;$J1404+7)/SUMIFS('Weekly Log'!$E:$E,'Weekly Log'!$A:$A,"&gt;="&amp;$J1404,'Weekly Log'!$A:$A,"&lt;"&amp;$J1404+7),0))</f>
        <v/>
      </c>
      <c r="G1404" t="str">
        <f>IF($J1404="","",IFERROR(LOOKUP(2,1/(('Weekly Log'!$A$5:$A$5000&gt;=$J1404)*('Weekly Log'!$A$5:$A$5000&lt;$J1404+7)*('Weekly Log'!$M$5:$M$5000&lt;&gt;"")),'Weekly Log'!$M$5:$M$5000),0))</f>
        <v/>
      </c>
      <c r="J1404" t="str">
        <f>IF(COUNT('Weekly Log'!$A$5:$A$5000)=0,"",IF(MIN('Weekly Log'!$A$5:$A$5000)+7*(ROW()-10)&gt;MAX('Weekly Log'!$A$5:$A$5000),"",MIN('Weekly Log'!$A$5:$A$5000)+7*(ROW()-10)))</f>
        <v/>
      </c>
    </row>
    <row r="1405" spans="1:10" x14ac:dyDescent="0.25">
      <c r="A1405" t="str">
        <f t="shared" si="21"/>
        <v/>
      </c>
      <c r="B1405" t="str">
        <f>IF($J1405="","",SUMIFS('Weekly Log'!$C:$C,'Weekly Log'!$A:$A,"&gt;="&amp;$J1405,'Weekly Log'!$A:$A,"&lt;"&amp;$J1405+7))</f>
        <v/>
      </c>
      <c r="C1405" t="str">
        <f>IF($J1405="","",IFERROR(COUNTIFS('Weekly Log'!$G:$G,"Y",'Weekly Log'!$A:$A,"&gt;="&amp;$J1405,'Weekly Log'!$A:$A,"&lt;"&amp;$J1405+7)/COUNTIFS('Weekly Log'!$G:$G,"&lt;&gt;",'Weekly Log'!$A:$A,"&gt;="&amp;$J1405,'Weekly Log'!$A:$A,"&lt;"&amp;$J1405+7),0))</f>
        <v/>
      </c>
      <c r="D1405" t="str">
        <f>IF($J1405="","",IFERROR(COUNTIFS('Weekly Log'!$H:$H,"Y",'Weekly Log'!$A:$A,"&gt;="&amp;$J1405,'Weekly Log'!$A:$A,"&lt;"&amp;$J1405+7)/COUNTIFS('Weekly Log'!$H:$H,"&lt;&gt;",'Weekly Log'!$A:$A,"&gt;="&amp;$J1405,'Weekly Log'!$A:$A,"&lt;"&amp;$J1405+7),0))</f>
        <v/>
      </c>
      <c r="E1405" t="str">
        <f>IF($J1405="","",IFERROR(AVERAGEIFS('Weekly Log'!$F:$F,'Weekly Log'!$A:$A,"&gt;="&amp;$J1405,'Weekly Log'!$A:$A,"&lt;"&amp;$J1405+7),0))</f>
        <v/>
      </c>
      <c r="F1405" t="str">
        <f>IF($J1405="","",IFERROR(SUMIFS('Weekly Log'!$F:$F,'Weekly Log'!$A:$A,"&gt;="&amp;$J1405,'Weekly Log'!$A:$A,"&lt;"&amp;$J1405+7)/SUMIFS('Weekly Log'!$E:$E,'Weekly Log'!$A:$A,"&gt;="&amp;$J1405,'Weekly Log'!$A:$A,"&lt;"&amp;$J1405+7),0))</f>
        <v/>
      </c>
      <c r="G1405" t="str">
        <f>IF($J1405="","",IFERROR(LOOKUP(2,1/(('Weekly Log'!$A$5:$A$5000&gt;=$J1405)*('Weekly Log'!$A$5:$A$5000&lt;$J1405+7)*('Weekly Log'!$M$5:$M$5000&lt;&gt;"")),'Weekly Log'!$M$5:$M$5000),0))</f>
        <v/>
      </c>
      <c r="J1405" t="str">
        <f>IF(COUNT('Weekly Log'!$A$5:$A$5000)=0,"",IF(MIN('Weekly Log'!$A$5:$A$5000)+7*(ROW()-10)&gt;MAX('Weekly Log'!$A$5:$A$5000),"",MIN('Weekly Log'!$A$5:$A$5000)+7*(ROW()-10)))</f>
        <v/>
      </c>
    </row>
    <row r="1406" spans="1:10" x14ac:dyDescent="0.25">
      <c r="A1406" t="str">
        <f t="shared" si="21"/>
        <v/>
      </c>
      <c r="B1406" t="str">
        <f>IF($J1406="","",SUMIFS('Weekly Log'!$C:$C,'Weekly Log'!$A:$A,"&gt;="&amp;$J1406,'Weekly Log'!$A:$A,"&lt;"&amp;$J1406+7))</f>
        <v/>
      </c>
      <c r="C1406" t="str">
        <f>IF($J1406="","",IFERROR(COUNTIFS('Weekly Log'!$G:$G,"Y",'Weekly Log'!$A:$A,"&gt;="&amp;$J1406,'Weekly Log'!$A:$A,"&lt;"&amp;$J1406+7)/COUNTIFS('Weekly Log'!$G:$G,"&lt;&gt;",'Weekly Log'!$A:$A,"&gt;="&amp;$J1406,'Weekly Log'!$A:$A,"&lt;"&amp;$J1406+7),0))</f>
        <v/>
      </c>
      <c r="D1406" t="str">
        <f>IF($J1406="","",IFERROR(COUNTIFS('Weekly Log'!$H:$H,"Y",'Weekly Log'!$A:$A,"&gt;="&amp;$J1406,'Weekly Log'!$A:$A,"&lt;"&amp;$J1406+7)/COUNTIFS('Weekly Log'!$H:$H,"&lt;&gt;",'Weekly Log'!$A:$A,"&gt;="&amp;$J1406,'Weekly Log'!$A:$A,"&lt;"&amp;$J1406+7),0))</f>
        <v/>
      </c>
      <c r="E1406" t="str">
        <f>IF($J1406="","",IFERROR(AVERAGEIFS('Weekly Log'!$F:$F,'Weekly Log'!$A:$A,"&gt;="&amp;$J1406,'Weekly Log'!$A:$A,"&lt;"&amp;$J1406+7),0))</f>
        <v/>
      </c>
      <c r="F1406" t="str">
        <f>IF($J1406="","",IFERROR(SUMIFS('Weekly Log'!$F:$F,'Weekly Log'!$A:$A,"&gt;="&amp;$J1406,'Weekly Log'!$A:$A,"&lt;"&amp;$J1406+7)/SUMIFS('Weekly Log'!$E:$E,'Weekly Log'!$A:$A,"&gt;="&amp;$J1406,'Weekly Log'!$A:$A,"&lt;"&amp;$J1406+7),0))</f>
        <v/>
      </c>
      <c r="G1406" t="str">
        <f>IF($J1406="","",IFERROR(LOOKUP(2,1/(('Weekly Log'!$A$5:$A$5000&gt;=$J1406)*('Weekly Log'!$A$5:$A$5000&lt;$J1406+7)*('Weekly Log'!$M$5:$M$5000&lt;&gt;"")),'Weekly Log'!$M$5:$M$5000),0))</f>
        <v/>
      </c>
      <c r="J1406" t="str">
        <f>IF(COUNT('Weekly Log'!$A$5:$A$5000)=0,"",IF(MIN('Weekly Log'!$A$5:$A$5000)+7*(ROW()-10)&gt;MAX('Weekly Log'!$A$5:$A$5000),"",MIN('Weekly Log'!$A$5:$A$5000)+7*(ROW()-10)))</f>
        <v/>
      </c>
    </row>
    <row r="1407" spans="1:10" x14ac:dyDescent="0.25">
      <c r="A1407" t="str">
        <f t="shared" si="21"/>
        <v/>
      </c>
      <c r="B1407" t="str">
        <f>IF($J1407="","",SUMIFS('Weekly Log'!$C:$C,'Weekly Log'!$A:$A,"&gt;="&amp;$J1407,'Weekly Log'!$A:$A,"&lt;"&amp;$J1407+7))</f>
        <v/>
      </c>
      <c r="C1407" t="str">
        <f>IF($J1407="","",IFERROR(COUNTIFS('Weekly Log'!$G:$G,"Y",'Weekly Log'!$A:$A,"&gt;="&amp;$J1407,'Weekly Log'!$A:$A,"&lt;"&amp;$J1407+7)/COUNTIFS('Weekly Log'!$G:$G,"&lt;&gt;",'Weekly Log'!$A:$A,"&gt;="&amp;$J1407,'Weekly Log'!$A:$A,"&lt;"&amp;$J1407+7),0))</f>
        <v/>
      </c>
      <c r="D1407" t="str">
        <f>IF($J1407="","",IFERROR(COUNTIFS('Weekly Log'!$H:$H,"Y",'Weekly Log'!$A:$A,"&gt;="&amp;$J1407,'Weekly Log'!$A:$A,"&lt;"&amp;$J1407+7)/COUNTIFS('Weekly Log'!$H:$H,"&lt;&gt;",'Weekly Log'!$A:$A,"&gt;="&amp;$J1407,'Weekly Log'!$A:$A,"&lt;"&amp;$J1407+7),0))</f>
        <v/>
      </c>
      <c r="E1407" t="str">
        <f>IF($J1407="","",IFERROR(AVERAGEIFS('Weekly Log'!$F:$F,'Weekly Log'!$A:$A,"&gt;="&amp;$J1407,'Weekly Log'!$A:$A,"&lt;"&amp;$J1407+7),0))</f>
        <v/>
      </c>
      <c r="F1407" t="str">
        <f>IF($J1407="","",IFERROR(SUMIFS('Weekly Log'!$F:$F,'Weekly Log'!$A:$A,"&gt;="&amp;$J1407,'Weekly Log'!$A:$A,"&lt;"&amp;$J1407+7)/SUMIFS('Weekly Log'!$E:$E,'Weekly Log'!$A:$A,"&gt;="&amp;$J1407,'Weekly Log'!$A:$A,"&lt;"&amp;$J1407+7),0))</f>
        <v/>
      </c>
      <c r="G1407" t="str">
        <f>IF($J1407="","",IFERROR(LOOKUP(2,1/(('Weekly Log'!$A$5:$A$5000&gt;=$J1407)*('Weekly Log'!$A$5:$A$5000&lt;$J1407+7)*('Weekly Log'!$M$5:$M$5000&lt;&gt;"")),'Weekly Log'!$M$5:$M$5000),0))</f>
        <v/>
      </c>
      <c r="J1407" t="str">
        <f>IF(COUNT('Weekly Log'!$A$5:$A$5000)=0,"",IF(MIN('Weekly Log'!$A$5:$A$5000)+7*(ROW()-10)&gt;MAX('Weekly Log'!$A$5:$A$5000),"",MIN('Weekly Log'!$A$5:$A$5000)+7*(ROW()-10)))</f>
        <v/>
      </c>
    </row>
    <row r="1408" spans="1:10" x14ac:dyDescent="0.25">
      <c r="A1408" t="str">
        <f t="shared" si="21"/>
        <v/>
      </c>
      <c r="B1408" t="str">
        <f>IF($J1408="","",SUMIFS('Weekly Log'!$C:$C,'Weekly Log'!$A:$A,"&gt;="&amp;$J1408,'Weekly Log'!$A:$A,"&lt;"&amp;$J1408+7))</f>
        <v/>
      </c>
      <c r="C1408" t="str">
        <f>IF($J1408="","",IFERROR(COUNTIFS('Weekly Log'!$G:$G,"Y",'Weekly Log'!$A:$A,"&gt;="&amp;$J1408,'Weekly Log'!$A:$A,"&lt;"&amp;$J1408+7)/COUNTIFS('Weekly Log'!$G:$G,"&lt;&gt;",'Weekly Log'!$A:$A,"&gt;="&amp;$J1408,'Weekly Log'!$A:$A,"&lt;"&amp;$J1408+7),0))</f>
        <v/>
      </c>
      <c r="D1408" t="str">
        <f>IF($J1408="","",IFERROR(COUNTIFS('Weekly Log'!$H:$H,"Y",'Weekly Log'!$A:$A,"&gt;="&amp;$J1408,'Weekly Log'!$A:$A,"&lt;"&amp;$J1408+7)/COUNTIFS('Weekly Log'!$H:$H,"&lt;&gt;",'Weekly Log'!$A:$A,"&gt;="&amp;$J1408,'Weekly Log'!$A:$A,"&lt;"&amp;$J1408+7),0))</f>
        <v/>
      </c>
      <c r="E1408" t="str">
        <f>IF($J1408="","",IFERROR(AVERAGEIFS('Weekly Log'!$F:$F,'Weekly Log'!$A:$A,"&gt;="&amp;$J1408,'Weekly Log'!$A:$A,"&lt;"&amp;$J1408+7),0))</f>
        <v/>
      </c>
      <c r="F1408" t="str">
        <f>IF($J1408="","",IFERROR(SUMIFS('Weekly Log'!$F:$F,'Weekly Log'!$A:$A,"&gt;="&amp;$J1408,'Weekly Log'!$A:$A,"&lt;"&amp;$J1408+7)/SUMIFS('Weekly Log'!$E:$E,'Weekly Log'!$A:$A,"&gt;="&amp;$J1408,'Weekly Log'!$A:$A,"&lt;"&amp;$J1408+7),0))</f>
        <v/>
      </c>
      <c r="G1408" t="str">
        <f>IF($J1408="","",IFERROR(LOOKUP(2,1/(('Weekly Log'!$A$5:$A$5000&gt;=$J1408)*('Weekly Log'!$A$5:$A$5000&lt;$J1408+7)*('Weekly Log'!$M$5:$M$5000&lt;&gt;"")),'Weekly Log'!$M$5:$M$5000),0))</f>
        <v/>
      </c>
      <c r="J1408" t="str">
        <f>IF(COUNT('Weekly Log'!$A$5:$A$5000)=0,"",IF(MIN('Weekly Log'!$A$5:$A$5000)+7*(ROW()-10)&gt;MAX('Weekly Log'!$A$5:$A$5000),"",MIN('Weekly Log'!$A$5:$A$5000)+7*(ROW()-10)))</f>
        <v/>
      </c>
    </row>
    <row r="1409" spans="1:10" x14ac:dyDescent="0.25">
      <c r="A1409" t="str">
        <f t="shared" si="21"/>
        <v/>
      </c>
      <c r="B1409" t="str">
        <f>IF($J1409="","",SUMIFS('Weekly Log'!$C:$C,'Weekly Log'!$A:$A,"&gt;="&amp;$J1409,'Weekly Log'!$A:$A,"&lt;"&amp;$J1409+7))</f>
        <v/>
      </c>
      <c r="C1409" t="str">
        <f>IF($J1409="","",IFERROR(COUNTIFS('Weekly Log'!$G:$G,"Y",'Weekly Log'!$A:$A,"&gt;="&amp;$J1409,'Weekly Log'!$A:$A,"&lt;"&amp;$J1409+7)/COUNTIFS('Weekly Log'!$G:$G,"&lt;&gt;",'Weekly Log'!$A:$A,"&gt;="&amp;$J1409,'Weekly Log'!$A:$A,"&lt;"&amp;$J1409+7),0))</f>
        <v/>
      </c>
      <c r="D1409" t="str">
        <f>IF($J1409="","",IFERROR(COUNTIFS('Weekly Log'!$H:$H,"Y",'Weekly Log'!$A:$A,"&gt;="&amp;$J1409,'Weekly Log'!$A:$A,"&lt;"&amp;$J1409+7)/COUNTIFS('Weekly Log'!$H:$H,"&lt;&gt;",'Weekly Log'!$A:$A,"&gt;="&amp;$J1409,'Weekly Log'!$A:$A,"&lt;"&amp;$J1409+7),0))</f>
        <v/>
      </c>
      <c r="E1409" t="str">
        <f>IF($J1409="","",IFERROR(AVERAGEIFS('Weekly Log'!$F:$F,'Weekly Log'!$A:$A,"&gt;="&amp;$J1409,'Weekly Log'!$A:$A,"&lt;"&amp;$J1409+7),0))</f>
        <v/>
      </c>
      <c r="F1409" t="str">
        <f>IF($J1409="","",IFERROR(SUMIFS('Weekly Log'!$F:$F,'Weekly Log'!$A:$A,"&gt;="&amp;$J1409,'Weekly Log'!$A:$A,"&lt;"&amp;$J1409+7)/SUMIFS('Weekly Log'!$E:$E,'Weekly Log'!$A:$A,"&gt;="&amp;$J1409,'Weekly Log'!$A:$A,"&lt;"&amp;$J1409+7),0))</f>
        <v/>
      </c>
      <c r="G1409" t="str">
        <f>IF($J1409="","",IFERROR(LOOKUP(2,1/(('Weekly Log'!$A$5:$A$5000&gt;=$J1409)*('Weekly Log'!$A$5:$A$5000&lt;$J1409+7)*('Weekly Log'!$M$5:$M$5000&lt;&gt;"")),'Weekly Log'!$M$5:$M$5000),0))</f>
        <v/>
      </c>
      <c r="J1409" t="str">
        <f>IF(COUNT('Weekly Log'!$A$5:$A$5000)=0,"",IF(MIN('Weekly Log'!$A$5:$A$5000)+7*(ROW()-10)&gt;MAX('Weekly Log'!$A$5:$A$5000),"",MIN('Weekly Log'!$A$5:$A$5000)+7*(ROW()-10)))</f>
        <v/>
      </c>
    </row>
    <row r="1410" spans="1:10" x14ac:dyDescent="0.25">
      <c r="A1410" t="str">
        <f t="shared" si="21"/>
        <v/>
      </c>
      <c r="B1410" t="str">
        <f>IF($J1410="","",SUMIFS('Weekly Log'!$C:$C,'Weekly Log'!$A:$A,"&gt;="&amp;$J1410,'Weekly Log'!$A:$A,"&lt;"&amp;$J1410+7))</f>
        <v/>
      </c>
      <c r="C1410" t="str">
        <f>IF($J1410="","",IFERROR(COUNTIFS('Weekly Log'!$G:$G,"Y",'Weekly Log'!$A:$A,"&gt;="&amp;$J1410,'Weekly Log'!$A:$A,"&lt;"&amp;$J1410+7)/COUNTIFS('Weekly Log'!$G:$G,"&lt;&gt;",'Weekly Log'!$A:$A,"&gt;="&amp;$J1410,'Weekly Log'!$A:$A,"&lt;"&amp;$J1410+7),0))</f>
        <v/>
      </c>
      <c r="D1410" t="str">
        <f>IF($J1410="","",IFERROR(COUNTIFS('Weekly Log'!$H:$H,"Y",'Weekly Log'!$A:$A,"&gt;="&amp;$J1410,'Weekly Log'!$A:$A,"&lt;"&amp;$J1410+7)/COUNTIFS('Weekly Log'!$H:$H,"&lt;&gt;",'Weekly Log'!$A:$A,"&gt;="&amp;$J1410,'Weekly Log'!$A:$A,"&lt;"&amp;$J1410+7),0))</f>
        <v/>
      </c>
      <c r="E1410" t="str">
        <f>IF($J1410="","",IFERROR(AVERAGEIFS('Weekly Log'!$F:$F,'Weekly Log'!$A:$A,"&gt;="&amp;$J1410,'Weekly Log'!$A:$A,"&lt;"&amp;$J1410+7),0))</f>
        <v/>
      </c>
      <c r="F1410" t="str">
        <f>IF($J1410="","",IFERROR(SUMIFS('Weekly Log'!$F:$F,'Weekly Log'!$A:$A,"&gt;="&amp;$J1410,'Weekly Log'!$A:$A,"&lt;"&amp;$J1410+7)/SUMIFS('Weekly Log'!$E:$E,'Weekly Log'!$A:$A,"&gt;="&amp;$J1410,'Weekly Log'!$A:$A,"&lt;"&amp;$J1410+7),0))</f>
        <v/>
      </c>
      <c r="G1410" t="str">
        <f>IF($J1410="","",IFERROR(LOOKUP(2,1/(('Weekly Log'!$A$5:$A$5000&gt;=$J1410)*('Weekly Log'!$A$5:$A$5000&lt;$J1410+7)*('Weekly Log'!$M$5:$M$5000&lt;&gt;"")),'Weekly Log'!$M$5:$M$5000),0))</f>
        <v/>
      </c>
      <c r="J1410" t="str">
        <f>IF(COUNT('Weekly Log'!$A$5:$A$5000)=0,"",IF(MIN('Weekly Log'!$A$5:$A$5000)+7*(ROW()-10)&gt;MAX('Weekly Log'!$A$5:$A$5000),"",MIN('Weekly Log'!$A$5:$A$5000)+7*(ROW()-10)))</f>
        <v/>
      </c>
    </row>
    <row r="1411" spans="1:10" x14ac:dyDescent="0.25">
      <c r="A1411" t="str">
        <f t="shared" si="21"/>
        <v/>
      </c>
      <c r="B1411" t="str">
        <f>IF($J1411="","",SUMIFS('Weekly Log'!$C:$C,'Weekly Log'!$A:$A,"&gt;="&amp;$J1411,'Weekly Log'!$A:$A,"&lt;"&amp;$J1411+7))</f>
        <v/>
      </c>
      <c r="C1411" t="str">
        <f>IF($J1411="","",IFERROR(COUNTIFS('Weekly Log'!$G:$G,"Y",'Weekly Log'!$A:$A,"&gt;="&amp;$J1411,'Weekly Log'!$A:$A,"&lt;"&amp;$J1411+7)/COUNTIFS('Weekly Log'!$G:$G,"&lt;&gt;",'Weekly Log'!$A:$A,"&gt;="&amp;$J1411,'Weekly Log'!$A:$A,"&lt;"&amp;$J1411+7),0))</f>
        <v/>
      </c>
      <c r="D1411" t="str">
        <f>IF($J1411="","",IFERROR(COUNTIFS('Weekly Log'!$H:$H,"Y",'Weekly Log'!$A:$A,"&gt;="&amp;$J1411,'Weekly Log'!$A:$A,"&lt;"&amp;$J1411+7)/COUNTIFS('Weekly Log'!$H:$H,"&lt;&gt;",'Weekly Log'!$A:$A,"&gt;="&amp;$J1411,'Weekly Log'!$A:$A,"&lt;"&amp;$J1411+7),0))</f>
        <v/>
      </c>
      <c r="E1411" t="str">
        <f>IF($J1411="","",IFERROR(AVERAGEIFS('Weekly Log'!$F:$F,'Weekly Log'!$A:$A,"&gt;="&amp;$J1411,'Weekly Log'!$A:$A,"&lt;"&amp;$J1411+7),0))</f>
        <v/>
      </c>
      <c r="F1411" t="str">
        <f>IF($J1411="","",IFERROR(SUMIFS('Weekly Log'!$F:$F,'Weekly Log'!$A:$A,"&gt;="&amp;$J1411,'Weekly Log'!$A:$A,"&lt;"&amp;$J1411+7)/SUMIFS('Weekly Log'!$E:$E,'Weekly Log'!$A:$A,"&gt;="&amp;$J1411,'Weekly Log'!$A:$A,"&lt;"&amp;$J1411+7),0))</f>
        <v/>
      </c>
      <c r="G1411" t="str">
        <f>IF($J1411="","",IFERROR(LOOKUP(2,1/(('Weekly Log'!$A$5:$A$5000&gt;=$J1411)*('Weekly Log'!$A$5:$A$5000&lt;$J1411+7)*('Weekly Log'!$M$5:$M$5000&lt;&gt;"")),'Weekly Log'!$M$5:$M$5000),0))</f>
        <v/>
      </c>
      <c r="J1411" t="str">
        <f>IF(COUNT('Weekly Log'!$A$5:$A$5000)=0,"",IF(MIN('Weekly Log'!$A$5:$A$5000)+7*(ROW()-10)&gt;MAX('Weekly Log'!$A$5:$A$5000),"",MIN('Weekly Log'!$A$5:$A$5000)+7*(ROW()-10)))</f>
        <v/>
      </c>
    </row>
    <row r="1412" spans="1:10" x14ac:dyDescent="0.25">
      <c r="A1412" t="str">
        <f t="shared" si="21"/>
        <v/>
      </c>
      <c r="B1412" t="str">
        <f>IF($J1412="","",SUMIFS('Weekly Log'!$C:$C,'Weekly Log'!$A:$A,"&gt;="&amp;$J1412,'Weekly Log'!$A:$A,"&lt;"&amp;$J1412+7))</f>
        <v/>
      </c>
      <c r="C1412" t="str">
        <f>IF($J1412="","",IFERROR(COUNTIFS('Weekly Log'!$G:$G,"Y",'Weekly Log'!$A:$A,"&gt;="&amp;$J1412,'Weekly Log'!$A:$A,"&lt;"&amp;$J1412+7)/COUNTIFS('Weekly Log'!$G:$G,"&lt;&gt;",'Weekly Log'!$A:$A,"&gt;="&amp;$J1412,'Weekly Log'!$A:$A,"&lt;"&amp;$J1412+7),0))</f>
        <v/>
      </c>
      <c r="D1412" t="str">
        <f>IF($J1412="","",IFERROR(COUNTIFS('Weekly Log'!$H:$H,"Y",'Weekly Log'!$A:$A,"&gt;="&amp;$J1412,'Weekly Log'!$A:$A,"&lt;"&amp;$J1412+7)/COUNTIFS('Weekly Log'!$H:$H,"&lt;&gt;",'Weekly Log'!$A:$A,"&gt;="&amp;$J1412,'Weekly Log'!$A:$A,"&lt;"&amp;$J1412+7),0))</f>
        <v/>
      </c>
      <c r="E1412" t="str">
        <f>IF($J1412="","",IFERROR(AVERAGEIFS('Weekly Log'!$F:$F,'Weekly Log'!$A:$A,"&gt;="&amp;$J1412,'Weekly Log'!$A:$A,"&lt;"&amp;$J1412+7),0))</f>
        <v/>
      </c>
      <c r="F1412" t="str">
        <f>IF($J1412="","",IFERROR(SUMIFS('Weekly Log'!$F:$F,'Weekly Log'!$A:$A,"&gt;="&amp;$J1412,'Weekly Log'!$A:$A,"&lt;"&amp;$J1412+7)/SUMIFS('Weekly Log'!$E:$E,'Weekly Log'!$A:$A,"&gt;="&amp;$J1412,'Weekly Log'!$A:$A,"&lt;"&amp;$J1412+7),0))</f>
        <v/>
      </c>
      <c r="G1412" t="str">
        <f>IF($J1412="","",IFERROR(LOOKUP(2,1/(('Weekly Log'!$A$5:$A$5000&gt;=$J1412)*('Weekly Log'!$A$5:$A$5000&lt;$J1412+7)*('Weekly Log'!$M$5:$M$5000&lt;&gt;"")),'Weekly Log'!$M$5:$M$5000),0))</f>
        <v/>
      </c>
      <c r="J1412" t="str">
        <f>IF(COUNT('Weekly Log'!$A$5:$A$5000)=0,"",IF(MIN('Weekly Log'!$A$5:$A$5000)+7*(ROW()-10)&gt;MAX('Weekly Log'!$A$5:$A$5000),"",MIN('Weekly Log'!$A$5:$A$5000)+7*(ROW()-10)))</f>
        <v/>
      </c>
    </row>
    <row r="1413" spans="1:10" x14ac:dyDescent="0.25">
      <c r="A1413" t="str">
        <f t="shared" si="21"/>
        <v/>
      </c>
      <c r="B1413" t="str">
        <f>IF($J1413="","",SUMIFS('Weekly Log'!$C:$C,'Weekly Log'!$A:$A,"&gt;="&amp;$J1413,'Weekly Log'!$A:$A,"&lt;"&amp;$J1413+7))</f>
        <v/>
      </c>
      <c r="C1413" t="str">
        <f>IF($J1413="","",IFERROR(COUNTIFS('Weekly Log'!$G:$G,"Y",'Weekly Log'!$A:$A,"&gt;="&amp;$J1413,'Weekly Log'!$A:$A,"&lt;"&amp;$J1413+7)/COUNTIFS('Weekly Log'!$G:$G,"&lt;&gt;",'Weekly Log'!$A:$A,"&gt;="&amp;$J1413,'Weekly Log'!$A:$A,"&lt;"&amp;$J1413+7),0))</f>
        <v/>
      </c>
      <c r="D1413" t="str">
        <f>IF($J1413="","",IFERROR(COUNTIFS('Weekly Log'!$H:$H,"Y",'Weekly Log'!$A:$A,"&gt;="&amp;$J1413,'Weekly Log'!$A:$A,"&lt;"&amp;$J1413+7)/COUNTIFS('Weekly Log'!$H:$H,"&lt;&gt;",'Weekly Log'!$A:$A,"&gt;="&amp;$J1413,'Weekly Log'!$A:$A,"&lt;"&amp;$J1413+7),0))</f>
        <v/>
      </c>
      <c r="E1413" t="str">
        <f>IF($J1413="","",IFERROR(AVERAGEIFS('Weekly Log'!$F:$F,'Weekly Log'!$A:$A,"&gt;="&amp;$J1413,'Weekly Log'!$A:$A,"&lt;"&amp;$J1413+7),0))</f>
        <v/>
      </c>
      <c r="F1413" t="str">
        <f>IF($J1413="","",IFERROR(SUMIFS('Weekly Log'!$F:$F,'Weekly Log'!$A:$A,"&gt;="&amp;$J1413,'Weekly Log'!$A:$A,"&lt;"&amp;$J1413+7)/SUMIFS('Weekly Log'!$E:$E,'Weekly Log'!$A:$A,"&gt;="&amp;$J1413,'Weekly Log'!$A:$A,"&lt;"&amp;$J1413+7),0))</f>
        <v/>
      </c>
      <c r="G1413" t="str">
        <f>IF($J1413="","",IFERROR(LOOKUP(2,1/(('Weekly Log'!$A$5:$A$5000&gt;=$J1413)*('Weekly Log'!$A$5:$A$5000&lt;$J1413+7)*('Weekly Log'!$M$5:$M$5000&lt;&gt;"")),'Weekly Log'!$M$5:$M$5000),0))</f>
        <v/>
      </c>
      <c r="J1413" t="str">
        <f>IF(COUNT('Weekly Log'!$A$5:$A$5000)=0,"",IF(MIN('Weekly Log'!$A$5:$A$5000)+7*(ROW()-10)&gt;MAX('Weekly Log'!$A$5:$A$5000),"",MIN('Weekly Log'!$A$5:$A$5000)+7*(ROW()-10)))</f>
        <v/>
      </c>
    </row>
    <row r="1414" spans="1:10" x14ac:dyDescent="0.25">
      <c r="A1414" t="str">
        <f t="shared" si="21"/>
        <v/>
      </c>
      <c r="B1414" t="str">
        <f>IF($J1414="","",SUMIFS('Weekly Log'!$C:$C,'Weekly Log'!$A:$A,"&gt;="&amp;$J1414,'Weekly Log'!$A:$A,"&lt;"&amp;$J1414+7))</f>
        <v/>
      </c>
      <c r="C1414" t="str">
        <f>IF($J1414="","",IFERROR(COUNTIFS('Weekly Log'!$G:$G,"Y",'Weekly Log'!$A:$A,"&gt;="&amp;$J1414,'Weekly Log'!$A:$A,"&lt;"&amp;$J1414+7)/COUNTIFS('Weekly Log'!$G:$G,"&lt;&gt;",'Weekly Log'!$A:$A,"&gt;="&amp;$J1414,'Weekly Log'!$A:$A,"&lt;"&amp;$J1414+7),0))</f>
        <v/>
      </c>
      <c r="D1414" t="str">
        <f>IF($J1414="","",IFERROR(COUNTIFS('Weekly Log'!$H:$H,"Y",'Weekly Log'!$A:$A,"&gt;="&amp;$J1414,'Weekly Log'!$A:$A,"&lt;"&amp;$J1414+7)/COUNTIFS('Weekly Log'!$H:$H,"&lt;&gt;",'Weekly Log'!$A:$A,"&gt;="&amp;$J1414,'Weekly Log'!$A:$A,"&lt;"&amp;$J1414+7),0))</f>
        <v/>
      </c>
      <c r="E1414" t="str">
        <f>IF($J1414="","",IFERROR(AVERAGEIFS('Weekly Log'!$F:$F,'Weekly Log'!$A:$A,"&gt;="&amp;$J1414,'Weekly Log'!$A:$A,"&lt;"&amp;$J1414+7),0))</f>
        <v/>
      </c>
      <c r="F1414" t="str">
        <f>IF($J1414="","",IFERROR(SUMIFS('Weekly Log'!$F:$F,'Weekly Log'!$A:$A,"&gt;="&amp;$J1414,'Weekly Log'!$A:$A,"&lt;"&amp;$J1414+7)/SUMIFS('Weekly Log'!$E:$E,'Weekly Log'!$A:$A,"&gt;="&amp;$J1414,'Weekly Log'!$A:$A,"&lt;"&amp;$J1414+7),0))</f>
        <v/>
      </c>
      <c r="G1414" t="str">
        <f>IF($J1414="","",IFERROR(LOOKUP(2,1/(('Weekly Log'!$A$5:$A$5000&gt;=$J1414)*('Weekly Log'!$A$5:$A$5000&lt;$J1414+7)*('Weekly Log'!$M$5:$M$5000&lt;&gt;"")),'Weekly Log'!$M$5:$M$5000),0))</f>
        <v/>
      </c>
      <c r="J1414" t="str">
        <f>IF(COUNT('Weekly Log'!$A$5:$A$5000)=0,"",IF(MIN('Weekly Log'!$A$5:$A$5000)+7*(ROW()-10)&gt;MAX('Weekly Log'!$A$5:$A$5000),"",MIN('Weekly Log'!$A$5:$A$5000)+7*(ROW()-10)))</f>
        <v/>
      </c>
    </row>
    <row r="1415" spans="1:10" x14ac:dyDescent="0.25">
      <c r="A1415" t="str">
        <f t="shared" si="21"/>
        <v/>
      </c>
      <c r="B1415" t="str">
        <f>IF($J1415="","",SUMIFS('Weekly Log'!$C:$C,'Weekly Log'!$A:$A,"&gt;="&amp;$J1415,'Weekly Log'!$A:$A,"&lt;"&amp;$J1415+7))</f>
        <v/>
      </c>
      <c r="C1415" t="str">
        <f>IF($J1415="","",IFERROR(COUNTIFS('Weekly Log'!$G:$G,"Y",'Weekly Log'!$A:$A,"&gt;="&amp;$J1415,'Weekly Log'!$A:$A,"&lt;"&amp;$J1415+7)/COUNTIFS('Weekly Log'!$G:$G,"&lt;&gt;",'Weekly Log'!$A:$A,"&gt;="&amp;$J1415,'Weekly Log'!$A:$A,"&lt;"&amp;$J1415+7),0))</f>
        <v/>
      </c>
      <c r="D1415" t="str">
        <f>IF($J1415="","",IFERROR(COUNTIFS('Weekly Log'!$H:$H,"Y",'Weekly Log'!$A:$A,"&gt;="&amp;$J1415,'Weekly Log'!$A:$A,"&lt;"&amp;$J1415+7)/COUNTIFS('Weekly Log'!$H:$H,"&lt;&gt;",'Weekly Log'!$A:$A,"&gt;="&amp;$J1415,'Weekly Log'!$A:$A,"&lt;"&amp;$J1415+7),0))</f>
        <v/>
      </c>
      <c r="E1415" t="str">
        <f>IF($J1415="","",IFERROR(AVERAGEIFS('Weekly Log'!$F:$F,'Weekly Log'!$A:$A,"&gt;="&amp;$J1415,'Weekly Log'!$A:$A,"&lt;"&amp;$J1415+7),0))</f>
        <v/>
      </c>
      <c r="F1415" t="str">
        <f>IF($J1415="","",IFERROR(SUMIFS('Weekly Log'!$F:$F,'Weekly Log'!$A:$A,"&gt;="&amp;$J1415,'Weekly Log'!$A:$A,"&lt;"&amp;$J1415+7)/SUMIFS('Weekly Log'!$E:$E,'Weekly Log'!$A:$A,"&gt;="&amp;$J1415,'Weekly Log'!$A:$A,"&lt;"&amp;$J1415+7),0))</f>
        <v/>
      </c>
      <c r="G1415" t="str">
        <f>IF($J1415="","",IFERROR(LOOKUP(2,1/(('Weekly Log'!$A$5:$A$5000&gt;=$J1415)*('Weekly Log'!$A$5:$A$5000&lt;$J1415+7)*('Weekly Log'!$M$5:$M$5000&lt;&gt;"")),'Weekly Log'!$M$5:$M$5000),0))</f>
        <v/>
      </c>
      <c r="J1415" t="str">
        <f>IF(COUNT('Weekly Log'!$A$5:$A$5000)=0,"",IF(MIN('Weekly Log'!$A$5:$A$5000)+7*(ROW()-10)&gt;MAX('Weekly Log'!$A$5:$A$5000),"",MIN('Weekly Log'!$A$5:$A$5000)+7*(ROW()-10)))</f>
        <v/>
      </c>
    </row>
    <row r="1416" spans="1:10" x14ac:dyDescent="0.25">
      <c r="A1416" t="str">
        <f t="shared" si="21"/>
        <v/>
      </c>
      <c r="B1416" t="str">
        <f>IF($J1416="","",SUMIFS('Weekly Log'!$C:$C,'Weekly Log'!$A:$A,"&gt;="&amp;$J1416,'Weekly Log'!$A:$A,"&lt;"&amp;$J1416+7))</f>
        <v/>
      </c>
      <c r="C1416" t="str">
        <f>IF($J1416="","",IFERROR(COUNTIFS('Weekly Log'!$G:$G,"Y",'Weekly Log'!$A:$A,"&gt;="&amp;$J1416,'Weekly Log'!$A:$A,"&lt;"&amp;$J1416+7)/COUNTIFS('Weekly Log'!$G:$G,"&lt;&gt;",'Weekly Log'!$A:$A,"&gt;="&amp;$J1416,'Weekly Log'!$A:$A,"&lt;"&amp;$J1416+7),0))</f>
        <v/>
      </c>
      <c r="D1416" t="str">
        <f>IF($J1416="","",IFERROR(COUNTIFS('Weekly Log'!$H:$H,"Y",'Weekly Log'!$A:$A,"&gt;="&amp;$J1416,'Weekly Log'!$A:$A,"&lt;"&amp;$J1416+7)/COUNTIFS('Weekly Log'!$H:$H,"&lt;&gt;",'Weekly Log'!$A:$A,"&gt;="&amp;$J1416,'Weekly Log'!$A:$A,"&lt;"&amp;$J1416+7),0))</f>
        <v/>
      </c>
      <c r="E1416" t="str">
        <f>IF($J1416="","",IFERROR(AVERAGEIFS('Weekly Log'!$F:$F,'Weekly Log'!$A:$A,"&gt;="&amp;$J1416,'Weekly Log'!$A:$A,"&lt;"&amp;$J1416+7),0))</f>
        <v/>
      </c>
      <c r="F1416" t="str">
        <f>IF($J1416="","",IFERROR(SUMIFS('Weekly Log'!$F:$F,'Weekly Log'!$A:$A,"&gt;="&amp;$J1416,'Weekly Log'!$A:$A,"&lt;"&amp;$J1416+7)/SUMIFS('Weekly Log'!$E:$E,'Weekly Log'!$A:$A,"&gt;="&amp;$J1416,'Weekly Log'!$A:$A,"&lt;"&amp;$J1416+7),0))</f>
        <v/>
      </c>
      <c r="G1416" t="str">
        <f>IF($J1416="","",IFERROR(LOOKUP(2,1/(('Weekly Log'!$A$5:$A$5000&gt;=$J1416)*('Weekly Log'!$A$5:$A$5000&lt;$J1416+7)*('Weekly Log'!$M$5:$M$5000&lt;&gt;"")),'Weekly Log'!$M$5:$M$5000),0))</f>
        <v/>
      </c>
      <c r="J1416" t="str">
        <f>IF(COUNT('Weekly Log'!$A$5:$A$5000)=0,"",IF(MIN('Weekly Log'!$A$5:$A$5000)+7*(ROW()-10)&gt;MAX('Weekly Log'!$A$5:$A$5000),"",MIN('Weekly Log'!$A$5:$A$5000)+7*(ROW()-10)))</f>
        <v/>
      </c>
    </row>
    <row r="1417" spans="1:10" x14ac:dyDescent="0.25">
      <c r="A1417" t="str">
        <f t="shared" si="21"/>
        <v/>
      </c>
      <c r="B1417" t="str">
        <f>IF($J1417="","",SUMIFS('Weekly Log'!$C:$C,'Weekly Log'!$A:$A,"&gt;="&amp;$J1417,'Weekly Log'!$A:$A,"&lt;"&amp;$J1417+7))</f>
        <v/>
      </c>
      <c r="C1417" t="str">
        <f>IF($J1417="","",IFERROR(COUNTIFS('Weekly Log'!$G:$G,"Y",'Weekly Log'!$A:$A,"&gt;="&amp;$J1417,'Weekly Log'!$A:$A,"&lt;"&amp;$J1417+7)/COUNTIFS('Weekly Log'!$G:$G,"&lt;&gt;",'Weekly Log'!$A:$A,"&gt;="&amp;$J1417,'Weekly Log'!$A:$A,"&lt;"&amp;$J1417+7),0))</f>
        <v/>
      </c>
      <c r="D1417" t="str">
        <f>IF($J1417="","",IFERROR(COUNTIFS('Weekly Log'!$H:$H,"Y",'Weekly Log'!$A:$A,"&gt;="&amp;$J1417,'Weekly Log'!$A:$A,"&lt;"&amp;$J1417+7)/COUNTIFS('Weekly Log'!$H:$H,"&lt;&gt;",'Weekly Log'!$A:$A,"&gt;="&amp;$J1417,'Weekly Log'!$A:$A,"&lt;"&amp;$J1417+7),0))</f>
        <v/>
      </c>
      <c r="E1417" t="str">
        <f>IF($J1417="","",IFERROR(AVERAGEIFS('Weekly Log'!$F:$F,'Weekly Log'!$A:$A,"&gt;="&amp;$J1417,'Weekly Log'!$A:$A,"&lt;"&amp;$J1417+7),0))</f>
        <v/>
      </c>
      <c r="F1417" t="str">
        <f>IF($J1417="","",IFERROR(SUMIFS('Weekly Log'!$F:$F,'Weekly Log'!$A:$A,"&gt;="&amp;$J1417,'Weekly Log'!$A:$A,"&lt;"&amp;$J1417+7)/SUMIFS('Weekly Log'!$E:$E,'Weekly Log'!$A:$A,"&gt;="&amp;$J1417,'Weekly Log'!$A:$A,"&lt;"&amp;$J1417+7),0))</f>
        <v/>
      </c>
      <c r="G1417" t="str">
        <f>IF($J1417="","",IFERROR(LOOKUP(2,1/(('Weekly Log'!$A$5:$A$5000&gt;=$J1417)*('Weekly Log'!$A$5:$A$5000&lt;$J1417+7)*('Weekly Log'!$M$5:$M$5000&lt;&gt;"")),'Weekly Log'!$M$5:$M$5000),0))</f>
        <v/>
      </c>
      <c r="J1417" t="str">
        <f>IF(COUNT('Weekly Log'!$A$5:$A$5000)=0,"",IF(MIN('Weekly Log'!$A$5:$A$5000)+7*(ROW()-10)&gt;MAX('Weekly Log'!$A$5:$A$5000),"",MIN('Weekly Log'!$A$5:$A$5000)+7*(ROW()-10)))</f>
        <v/>
      </c>
    </row>
    <row r="1418" spans="1:10" x14ac:dyDescent="0.25">
      <c r="A1418" t="str">
        <f t="shared" ref="A1418:A1481" si="22">IF($J1418="","",YEAR($J1418-WEEKDAY($J1418,2)+4)&amp;"-W"&amp;TEXT(WEEKNUM($J1418,21),"00"))</f>
        <v/>
      </c>
      <c r="B1418" t="str">
        <f>IF($J1418="","",SUMIFS('Weekly Log'!$C:$C,'Weekly Log'!$A:$A,"&gt;="&amp;$J1418,'Weekly Log'!$A:$A,"&lt;"&amp;$J1418+7))</f>
        <v/>
      </c>
      <c r="C1418" t="str">
        <f>IF($J1418="","",IFERROR(COUNTIFS('Weekly Log'!$G:$G,"Y",'Weekly Log'!$A:$A,"&gt;="&amp;$J1418,'Weekly Log'!$A:$A,"&lt;"&amp;$J1418+7)/COUNTIFS('Weekly Log'!$G:$G,"&lt;&gt;",'Weekly Log'!$A:$A,"&gt;="&amp;$J1418,'Weekly Log'!$A:$A,"&lt;"&amp;$J1418+7),0))</f>
        <v/>
      </c>
      <c r="D1418" t="str">
        <f>IF($J1418="","",IFERROR(COUNTIFS('Weekly Log'!$H:$H,"Y",'Weekly Log'!$A:$A,"&gt;="&amp;$J1418,'Weekly Log'!$A:$A,"&lt;"&amp;$J1418+7)/COUNTIFS('Weekly Log'!$H:$H,"&lt;&gt;",'Weekly Log'!$A:$A,"&gt;="&amp;$J1418,'Weekly Log'!$A:$A,"&lt;"&amp;$J1418+7),0))</f>
        <v/>
      </c>
      <c r="E1418" t="str">
        <f>IF($J1418="","",IFERROR(AVERAGEIFS('Weekly Log'!$F:$F,'Weekly Log'!$A:$A,"&gt;="&amp;$J1418,'Weekly Log'!$A:$A,"&lt;"&amp;$J1418+7),0))</f>
        <v/>
      </c>
      <c r="F1418" t="str">
        <f>IF($J1418="","",IFERROR(SUMIFS('Weekly Log'!$F:$F,'Weekly Log'!$A:$A,"&gt;="&amp;$J1418,'Weekly Log'!$A:$A,"&lt;"&amp;$J1418+7)/SUMIFS('Weekly Log'!$E:$E,'Weekly Log'!$A:$A,"&gt;="&amp;$J1418,'Weekly Log'!$A:$A,"&lt;"&amp;$J1418+7),0))</f>
        <v/>
      </c>
      <c r="G1418" t="str">
        <f>IF($J1418="","",IFERROR(LOOKUP(2,1/(('Weekly Log'!$A$5:$A$5000&gt;=$J1418)*('Weekly Log'!$A$5:$A$5000&lt;$J1418+7)*('Weekly Log'!$M$5:$M$5000&lt;&gt;"")),'Weekly Log'!$M$5:$M$5000),0))</f>
        <v/>
      </c>
      <c r="J1418" t="str">
        <f>IF(COUNT('Weekly Log'!$A$5:$A$5000)=0,"",IF(MIN('Weekly Log'!$A$5:$A$5000)+7*(ROW()-10)&gt;MAX('Weekly Log'!$A$5:$A$5000),"",MIN('Weekly Log'!$A$5:$A$5000)+7*(ROW()-10)))</f>
        <v/>
      </c>
    </row>
    <row r="1419" spans="1:10" x14ac:dyDescent="0.25">
      <c r="A1419" t="str">
        <f t="shared" si="22"/>
        <v/>
      </c>
      <c r="B1419" t="str">
        <f>IF($J1419="","",SUMIFS('Weekly Log'!$C:$C,'Weekly Log'!$A:$A,"&gt;="&amp;$J1419,'Weekly Log'!$A:$A,"&lt;"&amp;$J1419+7))</f>
        <v/>
      </c>
      <c r="C1419" t="str">
        <f>IF($J1419="","",IFERROR(COUNTIFS('Weekly Log'!$G:$G,"Y",'Weekly Log'!$A:$A,"&gt;="&amp;$J1419,'Weekly Log'!$A:$A,"&lt;"&amp;$J1419+7)/COUNTIFS('Weekly Log'!$G:$G,"&lt;&gt;",'Weekly Log'!$A:$A,"&gt;="&amp;$J1419,'Weekly Log'!$A:$A,"&lt;"&amp;$J1419+7),0))</f>
        <v/>
      </c>
      <c r="D1419" t="str">
        <f>IF($J1419="","",IFERROR(COUNTIFS('Weekly Log'!$H:$H,"Y",'Weekly Log'!$A:$A,"&gt;="&amp;$J1419,'Weekly Log'!$A:$A,"&lt;"&amp;$J1419+7)/COUNTIFS('Weekly Log'!$H:$H,"&lt;&gt;",'Weekly Log'!$A:$A,"&gt;="&amp;$J1419,'Weekly Log'!$A:$A,"&lt;"&amp;$J1419+7),0))</f>
        <v/>
      </c>
      <c r="E1419" t="str">
        <f>IF($J1419="","",IFERROR(AVERAGEIFS('Weekly Log'!$F:$F,'Weekly Log'!$A:$A,"&gt;="&amp;$J1419,'Weekly Log'!$A:$A,"&lt;"&amp;$J1419+7),0))</f>
        <v/>
      </c>
      <c r="F1419" t="str">
        <f>IF($J1419="","",IFERROR(SUMIFS('Weekly Log'!$F:$F,'Weekly Log'!$A:$A,"&gt;="&amp;$J1419,'Weekly Log'!$A:$A,"&lt;"&amp;$J1419+7)/SUMIFS('Weekly Log'!$E:$E,'Weekly Log'!$A:$A,"&gt;="&amp;$J1419,'Weekly Log'!$A:$A,"&lt;"&amp;$J1419+7),0))</f>
        <v/>
      </c>
      <c r="G1419" t="str">
        <f>IF($J1419="","",IFERROR(LOOKUP(2,1/(('Weekly Log'!$A$5:$A$5000&gt;=$J1419)*('Weekly Log'!$A$5:$A$5000&lt;$J1419+7)*('Weekly Log'!$M$5:$M$5000&lt;&gt;"")),'Weekly Log'!$M$5:$M$5000),0))</f>
        <v/>
      </c>
      <c r="J1419" t="str">
        <f>IF(COUNT('Weekly Log'!$A$5:$A$5000)=0,"",IF(MIN('Weekly Log'!$A$5:$A$5000)+7*(ROW()-10)&gt;MAX('Weekly Log'!$A$5:$A$5000),"",MIN('Weekly Log'!$A$5:$A$5000)+7*(ROW()-10)))</f>
        <v/>
      </c>
    </row>
    <row r="1420" spans="1:10" x14ac:dyDescent="0.25">
      <c r="A1420" t="str">
        <f t="shared" si="22"/>
        <v/>
      </c>
      <c r="B1420" t="str">
        <f>IF($J1420="","",SUMIFS('Weekly Log'!$C:$C,'Weekly Log'!$A:$A,"&gt;="&amp;$J1420,'Weekly Log'!$A:$A,"&lt;"&amp;$J1420+7))</f>
        <v/>
      </c>
      <c r="C1420" t="str">
        <f>IF($J1420="","",IFERROR(COUNTIFS('Weekly Log'!$G:$G,"Y",'Weekly Log'!$A:$A,"&gt;="&amp;$J1420,'Weekly Log'!$A:$A,"&lt;"&amp;$J1420+7)/COUNTIFS('Weekly Log'!$G:$G,"&lt;&gt;",'Weekly Log'!$A:$A,"&gt;="&amp;$J1420,'Weekly Log'!$A:$A,"&lt;"&amp;$J1420+7),0))</f>
        <v/>
      </c>
      <c r="D1420" t="str">
        <f>IF($J1420="","",IFERROR(COUNTIFS('Weekly Log'!$H:$H,"Y",'Weekly Log'!$A:$A,"&gt;="&amp;$J1420,'Weekly Log'!$A:$A,"&lt;"&amp;$J1420+7)/COUNTIFS('Weekly Log'!$H:$H,"&lt;&gt;",'Weekly Log'!$A:$A,"&gt;="&amp;$J1420,'Weekly Log'!$A:$A,"&lt;"&amp;$J1420+7),0))</f>
        <v/>
      </c>
      <c r="E1420" t="str">
        <f>IF($J1420="","",IFERROR(AVERAGEIFS('Weekly Log'!$F:$F,'Weekly Log'!$A:$A,"&gt;="&amp;$J1420,'Weekly Log'!$A:$A,"&lt;"&amp;$J1420+7),0))</f>
        <v/>
      </c>
      <c r="F1420" t="str">
        <f>IF($J1420="","",IFERROR(SUMIFS('Weekly Log'!$F:$F,'Weekly Log'!$A:$A,"&gt;="&amp;$J1420,'Weekly Log'!$A:$A,"&lt;"&amp;$J1420+7)/SUMIFS('Weekly Log'!$E:$E,'Weekly Log'!$A:$A,"&gt;="&amp;$J1420,'Weekly Log'!$A:$A,"&lt;"&amp;$J1420+7),0))</f>
        <v/>
      </c>
      <c r="G1420" t="str">
        <f>IF($J1420="","",IFERROR(LOOKUP(2,1/(('Weekly Log'!$A$5:$A$5000&gt;=$J1420)*('Weekly Log'!$A$5:$A$5000&lt;$J1420+7)*('Weekly Log'!$M$5:$M$5000&lt;&gt;"")),'Weekly Log'!$M$5:$M$5000),0))</f>
        <v/>
      </c>
      <c r="J1420" t="str">
        <f>IF(COUNT('Weekly Log'!$A$5:$A$5000)=0,"",IF(MIN('Weekly Log'!$A$5:$A$5000)+7*(ROW()-10)&gt;MAX('Weekly Log'!$A$5:$A$5000),"",MIN('Weekly Log'!$A$5:$A$5000)+7*(ROW()-10)))</f>
        <v/>
      </c>
    </row>
    <row r="1421" spans="1:10" x14ac:dyDescent="0.25">
      <c r="A1421" t="str">
        <f t="shared" si="22"/>
        <v/>
      </c>
      <c r="B1421" t="str">
        <f>IF($J1421="","",SUMIFS('Weekly Log'!$C:$C,'Weekly Log'!$A:$A,"&gt;="&amp;$J1421,'Weekly Log'!$A:$A,"&lt;"&amp;$J1421+7))</f>
        <v/>
      </c>
      <c r="C1421" t="str">
        <f>IF($J1421="","",IFERROR(COUNTIFS('Weekly Log'!$G:$G,"Y",'Weekly Log'!$A:$A,"&gt;="&amp;$J1421,'Weekly Log'!$A:$A,"&lt;"&amp;$J1421+7)/COUNTIFS('Weekly Log'!$G:$G,"&lt;&gt;",'Weekly Log'!$A:$A,"&gt;="&amp;$J1421,'Weekly Log'!$A:$A,"&lt;"&amp;$J1421+7),0))</f>
        <v/>
      </c>
      <c r="D1421" t="str">
        <f>IF($J1421="","",IFERROR(COUNTIFS('Weekly Log'!$H:$H,"Y",'Weekly Log'!$A:$A,"&gt;="&amp;$J1421,'Weekly Log'!$A:$A,"&lt;"&amp;$J1421+7)/COUNTIFS('Weekly Log'!$H:$H,"&lt;&gt;",'Weekly Log'!$A:$A,"&gt;="&amp;$J1421,'Weekly Log'!$A:$A,"&lt;"&amp;$J1421+7),0))</f>
        <v/>
      </c>
      <c r="E1421" t="str">
        <f>IF($J1421="","",IFERROR(AVERAGEIFS('Weekly Log'!$F:$F,'Weekly Log'!$A:$A,"&gt;="&amp;$J1421,'Weekly Log'!$A:$A,"&lt;"&amp;$J1421+7),0))</f>
        <v/>
      </c>
      <c r="F1421" t="str">
        <f>IF($J1421="","",IFERROR(SUMIFS('Weekly Log'!$F:$F,'Weekly Log'!$A:$A,"&gt;="&amp;$J1421,'Weekly Log'!$A:$A,"&lt;"&amp;$J1421+7)/SUMIFS('Weekly Log'!$E:$E,'Weekly Log'!$A:$A,"&gt;="&amp;$J1421,'Weekly Log'!$A:$A,"&lt;"&amp;$J1421+7),0))</f>
        <v/>
      </c>
      <c r="G1421" t="str">
        <f>IF($J1421="","",IFERROR(LOOKUP(2,1/(('Weekly Log'!$A$5:$A$5000&gt;=$J1421)*('Weekly Log'!$A$5:$A$5000&lt;$J1421+7)*('Weekly Log'!$M$5:$M$5000&lt;&gt;"")),'Weekly Log'!$M$5:$M$5000),0))</f>
        <v/>
      </c>
      <c r="J1421" t="str">
        <f>IF(COUNT('Weekly Log'!$A$5:$A$5000)=0,"",IF(MIN('Weekly Log'!$A$5:$A$5000)+7*(ROW()-10)&gt;MAX('Weekly Log'!$A$5:$A$5000),"",MIN('Weekly Log'!$A$5:$A$5000)+7*(ROW()-10)))</f>
        <v/>
      </c>
    </row>
    <row r="1422" spans="1:10" x14ac:dyDescent="0.25">
      <c r="A1422" t="str">
        <f t="shared" si="22"/>
        <v/>
      </c>
      <c r="B1422" t="str">
        <f>IF($J1422="","",SUMIFS('Weekly Log'!$C:$C,'Weekly Log'!$A:$A,"&gt;="&amp;$J1422,'Weekly Log'!$A:$A,"&lt;"&amp;$J1422+7))</f>
        <v/>
      </c>
      <c r="C1422" t="str">
        <f>IF($J1422="","",IFERROR(COUNTIFS('Weekly Log'!$G:$G,"Y",'Weekly Log'!$A:$A,"&gt;="&amp;$J1422,'Weekly Log'!$A:$A,"&lt;"&amp;$J1422+7)/COUNTIFS('Weekly Log'!$G:$G,"&lt;&gt;",'Weekly Log'!$A:$A,"&gt;="&amp;$J1422,'Weekly Log'!$A:$A,"&lt;"&amp;$J1422+7),0))</f>
        <v/>
      </c>
      <c r="D1422" t="str">
        <f>IF($J1422="","",IFERROR(COUNTIFS('Weekly Log'!$H:$H,"Y",'Weekly Log'!$A:$A,"&gt;="&amp;$J1422,'Weekly Log'!$A:$A,"&lt;"&amp;$J1422+7)/COUNTIFS('Weekly Log'!$H:$H,"&lt;&gt;",'Weekly Log'!$A:$A,"&gt;="&amp;$J1422,'Weekly Log'!$A:$A,"&lt;"&amp;$J1422+7),0))</f>
        <v/>
      </c>
      <c r="E1422" t="str">
        <f>IF($J1422="","",IFERROR(AVERAGEIFS('Weekly Log'!$F:$F,'Weekly Log'!$A:$A,"&gt;="&amp;$J1422,'Weekly Log'!$A:$A,"&lt;"&amp;$J1422+7),0))</f>
        <v/>
      </c>
      <c r="F1422" t="str">
        <f>IF($J1422="","",IFERROR(SUMIFS('Weekly Log'!$F:$F,'Weekly Log'!$A:$A,"&gt;="&amp;$J1422,'Weekly Log'!$A:$A,"&lt;"&amp;$J1422+7)/SUMIFS('Weekly Log'!$E:$E,'Weekly Log'!$A:$A,"&gt;="&amp;$J1422,'Weekly Log'!$A:$A,"&lt;"&amp;$J1422+7),0))</f>
        <v/>
      </c>
      <c r="G1422" t="str">
        <f>IF($J1422="","",IFERROR(LOOKUP(2,1/(('Weekly Log'!$A$5:$A$5000&gt;=$J1422)*('Weekly Log'!$A$5:$A$5000&lt;$J1422+7)*('Weekly Log'!$M$5:$M$5000&lt;&gt;"")),'Weekly Log'!$M$5:$M$5000),0))</f>
        <v/>
      </c>
      <c r="J1422" t="str">
        <f>IF(COUNT('Weekly Log'!$A$5:$A$5000)=0,"",IF(MIN('Weekly Log'!$A$5:$A$5000)+7*(ROW()-10)&gt;MAX('Weekly Log'!$A$5:$A$5000),"",MIN('Weekly Log'!$A$5:$A$5000)+7*(ROW()-10)))</f>
        <v/>
      </c>
    </row>
    <row r="1423" spans="1:10" x14ac:dyDescent="0.25">
      <c r="A1423" t="str">
        <f t="shared" si="22"/>
        <v/>
      </c>
      <c r="B1423" t="str">
        <f>IF($J1423="","",SUMIFS('Weekly Log'!$C:$C,'Weekly Log'!$A:$A,"&gt;="&amp;$J1423,'Weekly Log'!$A:$A,"&lt;"&amp;$J1423+7))</f>
        <v/>
      </c>
      <c r="C1423" t="str">
        <f>IF($J1423="","",IFERROR(COUNTIFS('Weekly Log'!$G:$G,"Y",'Weekly Log'!$A:$A,"&gt;="&amp;$J1423,'Weekly Log'!$A:$A,"&lt;"&amp;$J1423+7)/COUNTIFS('Weekly Log'!$G:$G,"&lt;&gt;",'Weekly Log'!$A:$A,"&gt;="&amp;$J1423,'Weekly Log'!$A:$A,"&lt;"&amp;$J1423+7),0))</f>
        <v/>
      </c>
      <c r="D1423" t="str">
        <f>IF($J1423="","",IFERROR(COUNTIFS('Weekly Log'!$H:$H,"Y",'Weekly Log'!$A:$A,"&gt;="&amp;$J1423,'Weekly Log'!$A:$A,"&lt;"&amp;$J1423+7)/COUNTIFS('Weekly Log'!$H:$H,"&lt;&gt;",'Weekly Log'!$A:$A,"&gt;="&amp;$J1423,'Weekly Log'!$A:$A,"&lt;"&amp;$J1423+7),0))</f>
        <v/>
      </c>
      <c r="E1423" t="str">
        <f>IF($J1423="","",IFERROR(AVERAGEIFS('Weekly Log'!$F:$F,'Weekly Log'!$A:$A,"&gt;="&amp;$J1423,'Weekly Log'!$A:$A,"&lt;"&amp;$J1423+7),0))</f>
        <v/>
      </c>
      <c r="F1423" t="str">
        <f>IF($J1423="","",IFERROR(SUMIFS('Weekly Log'!$F:$F,'Weekly Log'!$A:$A,"&gt;="&amp;$J1423,'Weekly Log'!$A:$A,"&lt;"&amp;$J1423+7)/SUMIFS('Weekly Log'!$E:$E,'Weekly Log'!$A:$A,"&gt;="&amp;$J1423,'Weekly Log'!$A:$A,"&lt;"&amp;$J1423+7),0))</f>
        <v/>
      </c>
      <c r="G1423" t="str">
        <f>IF($J1423="","",IFERROR(LOOKUP(2,1/(('Weekly Log'!$A$5:$A$5000&gt;=$J1423)*('Weekly Log'!$A$5:$A$5000&lt;$J1423+7)*('Weekly Log'!$M$5:$M$5000&lt;&gt;"")),'Weekly Log'!$M$5:$M$5000),0))</f>
        <v/>
      </c>
      <c r="J1423" t="str">
        <f>IF(COUNT('Weekly Log'!$A$5:$A$5000)=0,"",IF(MIN('Weekly Log'!$A$5:$A$5000)+7*(ROW()-10)&gt;MAX('Weekly Log'!$A$5:$A$5000),"",MIN('Weekly Log'!$A$5:$A$5000)+7*(ROW()-10)))</f>
        <v/>
      </c>
    </row>
    <row r="1424" spans="1:10" x14ac:dyDescent="0.25">
      <c r="A1424" t="str">
        <f t="shared" si="22"/>
        <v/>
      </c>
      <c r="B1424" t="str">
        <f>IF($J1424="","",SUMIFS('Weekly Log'!$C:$C,'Weekly Log'!$A:$A,"&gt;="&amp;$J1424,'Weekly Log'!$A:$A,"&lt;"&amp;$J1424+7))</f>
        <v/>
      </c>
      <c r="C1424" t="str">
        <f>IF($J1424="","",IFERROR(COUNTIFS('Weekly Log'!$G:$G,"Y",'Weekly Log'!$A:$A,"&gt;="&amp;$J1424,'Weekly Log'!$A:$A,"&lt;"&amp;$J1424+7)/COUNTIFS('Weekly Log'!$G:$G,"&lt;&gt;",'Weekly Log'!$A:$A,"&gt;="&amp;$J1424,'Weekly Log'!$A:$A,"&lt;"&amp;$J1424+7),0))</f>
        <v/>
      </c>
      <c r="D1424" t="str">
        <f>IF($J1424="","",IFERROR(COUNTIFS('Weekly Log'!$H:$H,"Y",'Weekly Log'!$A:$A,"&gt;="&amp;$J1424,'Weekly Log'!$A:$A,"&lt;"&amp;$J1424+7)/COUNTIFS('Weekly Log'!$H:$H,"&lt;&gt;",'Weekly Log'!$A:$A,"&gt;="&amp;$J1424,'Weekly Log'!$A:$A,"&lt;"&amp;$J1424+7),0))</f>
        <v/>
      </c>
      <c r="E1424" t="str">
        <f>IF($J1424="","",IFERROR(AVERAGEIFS('Weekly Log'!$F:$F,'Weekly Log'!$A:$A,"&gt;="&amp;$J1424,'Weekly Log'!$A:$A,"&lt;"&amp;$J1424+7),0))</f>
        <v/>
      </c>
      <c r="F1424" t="str">
        <f>IF($J1424="","",IFERROR(SUMIFS('Weekly Log'!$F:$F,'Weekly Log'!$A:$A,"&gt;="&amp;$J1424,'Weekly Log'!$A:$A,"&lt;"&amp;$J1424+7)/SUMIFS('Weekly Log'!$E:$E,'Weekly Log'!$A:$A,"&gt;="&amp;$J1424,'Weekly Log'!$A:$A,"&lt;"&amp;$J1424+7),0))</f>
        <v/>
      </c>
      <c r="G1424" t="str">
        <f>IF($J1424="","",IFERROR(LOOKUP(2,1/(('Weekly Log'!$A$5:$A$5000&gt;=$J1424)*('Weekly Log'!$A$5:$A$5000&lt;$J1424+7)*('Weekly Log'!$M$5:$M$5000&lt;&gt;"")),'Weekly Log'!$M$5:$M$5000),0))</f>
        <v/>
      </c>
      <c r="J1424" t="str">
        <f>IF(COUNT('Weekly Log'!$A$5:$A$5000)=0,"",IF(MIN('Weekly Log'!$A$5:$A$5000)+7*(ROW()-10)&gt;MAX('Weekly Log'!$A$5:$A$5000),"",MIN('Weekly Log'!$A$5:$A$5000)+7*(ROW()-10)))</f>
        <v/>
      </c>
    </row>
    <row r="1425" spans="1:10" x14ac:dyDescent="0.25">
      <c r="A1425" t="str">
        <f t="shared" si="22"/>
        <v/>
      </c>
      <c r="B1425" t="str">
        <f>IF($J1425="","",SUMIFS('Weekly Log'!$C:$C,'Weekly Log'!$A:$A,"&gt;="&amp;$J1425,'Weekly Log'!$A:$A,"&lt;"&amp;$J1425+7))</f>
        <v/>
      </c>
      <c r="C1425" t="str">
        <f>IF($J1425="","",IFERROR(COUNTIFS('Weekly Log'!$G:$G,"Y",'Weekly Log'!$A:$A,"&gt;="&amp;$J1425,'Weekly Log'!$A:$A,"&lt;"&amp;$J1425+7)/COUNTIFS('Weekly Log'!$G:$G,"&lt;&gt;",'Weekly Log'!$A:$A,"&gt;="&amp;$J1425,'Weekly Log'!$A:$A,"&lt;"&amp;$J1425+7),0))</f>
        <v/>
      </c>
      <c r="D1425" t="str">
        <f>IF($J1425="","",IFERROR(COUNTIFS('Weekly Log'!$H:$H,"Y",'Weekly Log'!$A:$A,"&gt;="&amp;$J1425,'Weekly Log'!$A:$A,"&lt;"&amp;$J1425+7)/COUNTIFS('Weekly Log'!$H:$H,"&lt;&gt;",'Weekly Log'!$A:$A,"&gt;="&amp;$J1425,'Weekly Log'!$A:$A,"&lt;"&amp;$J1425+7),0))</f>
        <v/>
      </c>
      <c r="E1425" t="str">
        <f>IF($J1425="","",IFERROR(AVERAGEIFS('Weekly Log'!$F:$F,'Weekly Log'!$A:$A,"&gt;="&amp;$J1425,'Weekly Log'!$A:$A,"&lt;"&amp;$J1425+7),0))</f>
        <v/>
      </c>
      <c r="F1425" t="str">
        <f>IF($J1425="","",IFERROR(SUMIFS('Weekly Log'!$F:$F,'Weekly Log'!$A:$A,"&gt;="&amp;$J1425,'Weekly Log'!$A:$A,"&lt;"&amp;$J1425+7)/SUMIFS('Weekly Log'!$E:$E,'Weekly Log'!$A:$A,"&gt;="&amp;$J1425,'Weekly Log'!$A:$A,"&lt;"&amp;$J1425+7),0))</f>
        <v/>
      </c>
      <c r="G1425" t="str">
        <f>IF($J1425="","",IFERROR(LOOKUP(2,1/(('Weekly Log'!$A$5:$A$5000&gt;=$J1425)*('Weekly Log'!$A$5:$A$5000&lt;$J1425+7)*('Weekly Log'!$M$5:$M$5000&lt;&gt;"")),'Weekly Log'!$M$5:$M$5000),0))</f>
        <v/>
      </c>
      <c r="J1425" t="str">
        <f>IF(COUNT('Weekly Log'!$A$5:$A$5000)=0,"",IF(MIN('Weekly Log'!$A$5:$A$5000)+7*(ROW()-10)&gt;MAX('Weekly Log'!$A$5:$A$5000),"",MIN('Weekly Log'!$A$5:$A$5000)+7*(ROW()-10)))</f>
        <v/>
      </c>
    </row>
    <row r="1426" spans="1:10" x14ac:dyDescent="0.25">
      <c r="A1426" t="str">
        <f t="shared" si="22"/>
        <v/>
      </c>
      <c r="B1426" t="str">
        <f>IF($J1426="","",SUMIFS('Weekly Log'!$C:$C,'Weekly Log'!$A:$A,"&gt;="&amp;$J1426,'Weekly Log'!$A:$A,"&lt;"&amp;$J1426+7))</f>
        <v/>
      </c>
      <c r="C1426" t="str">
        <f>IF($J1426="","",IFERROR(COUNTIFS('Weekly Log'!$G:$G,"Y",'Weekly Log'!$A:$A,"&gt;="&amp;$J1426,'Weekly Log'!$A:$A,"&lt;"&amp;$J1426+7)/COUNTIFS('Weekly Log'!$G:$G,"&lt;&gt;",'Weekly Log'!$A:$A,"&gt;="&amp;$J1426,'Weekly Log'!$A:$A,"&lt;"&amp;$J1426+7),0))</f>
        <v/>
      </c>
      <c r="D1426" t="str">
        <f>IF($J1426="","",IFERROR(COUNTIFS('Weekly Log'!$H:$H,"Y",'Weekly Log'!$A:$A,"&gt;="&amp;$J1426,'Weekly Log'!$A:$A,"&lt;"&amp;$J1426+7)/COUNTIFS('Weekly Log'!$H:$H,"&lt;&gt;",'Weekly Log'!$A:$A,"&gt;="&amp;$J1426,'Weekly Log'!$A:$A,"&lt;"&amp;$J1426+7),0))</f>
        <v/>
      </c>
      <c r="E1426" t="str">
        <f>IF($J1426="","",IFERROR(AVERAGEIFS('Weekly Log'!$F:$F,'Weekly Log'!$A:$A,"&gt;="&amp;$J1426,'Weekly Log'!$A:$A,"&lt;"&amp;$J1426+7),0))</f>
        <v/>
      </c>
      <c r="F1426" t="str">
        <f>IF($J1426="","",IFERROR(SUMIFS('Weekly Log'!$F:$F,'Weekly Log'!$A:$A,"&gt;="&amp;$J1426,'Weekly Log'!$A:$A,"&lt;"&amp;$J1426+7)/SUMIFS('Weekly Log'!$E:$E,'Weekly Log'!$A:$A,"&gt;="&amp;$J1426,'Weekly Log'!$A:$A,"&lt;"&amp;$J1426+7),0))</f>
        <v/>
      </c>
      <c r="G1426" t="str">
        <f>IF($J1426="","",IFERROR(LOOKUP(2,1/(('Weekly Log'!$A$5:$A$5000&gt;=$J1426)*('Weekly Log'!$A$5:$A$5000&lt;$J1426+7)*('Weekly Log'!$M$5:$M$5000&lt;&gt;"")),'Weekly Log'!$M$5:$M$5000),0))</f>
        <v/>
      </c>
      <c r="J1426" t="str">
        <f>IF(COUNT('Weekly Log'!$A$5:$A$5000)=0,"",IF(MIN('Weekly Log'!$A$5:$A$5000)+7*(ROW()-10)&gt;MAX('Weekly Log'!$A$5:$A$5000),"",MIN('Weekly Log'!$A$5:$A$5000)+7*(ROW()-10)))</f>
        <v/>
      </c>
    </row>
    <row r="1427" spans="1:10" x14ac:dyDescent="0.25">
      <c r="A1427" t="str">
        <f t="shared" si="22"/>
        <v/>
      </c>
      <c r="B1427" t="str">
        <f>IF($J1427="","",SUMIFS('Weekly Log'!$C:$C,'Weekly Log'!$A:$A,"&gt;="&amp;$J1427,'Weekly Log'!$A:$A,"&lt;"&amp;$J1427+7))</f>
        <v/>
      </c>
      <c r="C1427" t="str">
        <f>IF($J1427="","",IFERROR(COUNTIFS('Weekly Log'!$G:$G,"Y",'Weekly Log'!$A:$A,"&gt;="&amp;$J1427,'Weekly Log'!$A:$A,"&lt;"&amp;$J1427+7)/COUNTIFS('Weekly Log'!$G:$G,"&lt;&gt;",'Weekly Log'!$A:$A,"&gt;="&amp;$J1427,'Weekly Log'!$A:$A,"&lt;"&amp;$J1427+7),0))</f>
        <v/>
      </c>
      <c r="D1427" t="str">
        <f>IF($J1427="","",IFERROR(COUNTIFS('Weekly Log'!$H:$H,"Y",'Weekly Log'!$A:$A,"&gt;="&amp;$J1427,'Weekly Log'!$A:$A,"&lt;"&amp;$J1427+7)/COUNTIFS('Weekly Log'!$H:$H,"&lt;&gt;",'Weekly Log'!$A:$A,"&gt;="&amp;$J1427,'Weekly Log'!$A:$A,"&lt;"&amp;$J1427+7),0))</f>
        <v/>
      </c>
      <c r="E1427" t="str">
        <f>IF($J1427="","",IFERROR(AVERAGEIFS('Weekly Log'!$F:$F,'Weekly Log'!$A:$A,"&gt;="&amp;$J1427,'Weekly Log'!$A:$A,"&lt;"&amp;$J1427+7),0))</f>
        <v/>
      </c>
      <c r="F1427" t="str">
        <f>IF($J1427="","",IFERROR(SUMIFS('Weekly Log'!$F:$F,'Weekly Log'!$A:$A,"&gt;="&amp;$J1427,'Weekly Log'!$A:$A,"&lt;"&amp;$J1427+7)/SUMIFS('Weekly Log'!$E:$E,'Weekly Log'!$A:$A,"&gt;="&amp;$J1427,'Weekly Log'!$A:$A,"&lt;"&amp;$J1427+7),0))</f>
        <v/>
      </c>
      <c r="G1427" t="str">
        <f>IF($J1427="","",IFERROR(LOOKUP(2,1/(('Weekly Log'!$A$5:$A$5000&gt;=$J1427)*('Weekly Log'!$A$5:$A$5000&lt;$J1427+7)*('Weekly Log'!$M$5:$M$5000&lt;&gt;"")),'Weekly Log'!$M$5:$M$5000),0))</f>
        <v/>
      </c>
      <c r="J1427" t="str">
        <f>IF(COUNT('Weekly Log'!$A$5:$A$5000)=0,"",IF(MIN('Weekly Log'!$A$5:$A$5000)+7*(ROW()-10)&gt;MAX('Weekly Log'!$A$5:$A$5000),"",MIN('Weekly Log'!$A$5:$A$5000)+7*(ROW()-10)))</f>
        <v/>
      </c>
    </row>
    <row r="1428" spans="1:10" x14ac:dyDescent="0.25">
      <c r="A1428" t="str">
        <f t="shared" si="22"/>
        <v/>
      </c>
      <c r="B1428" t="str">
        <f>IF($J1428="","",SUMIFS('Weekly Log'!$C:$C,'Weekly Log'!$A:$A,"&gt;="&amp;$J1428,'Weekly Log'!$A:$A,"&lt;"&amp;$J1428+7))</f>
        <v/>
      </c>
      <c r="C1428" t="str">
        <f>IF($J1428="","",IFERROR(COUNTIFS('Weekly Log'!$G:$G,"Y",'Weekly Log'!$A:$A,"&gt;="&amp;$J1428,'Weekly Log'!$A:$A,"&lt;"&amp;$J1428+7)/COUNTIFS('Weekly Log'!$G:$G,"&lt;&gt;",'Weekly Log'!$A:$A,"&gt;="&amp;$J1428,'Weekly Log'!$A:$A,"&lt;"&amp;$J1428+7),0))</f>
        <v/>
      </c>
      <c r="D1428" t="str">
        <f>IF($J1428="","",IFERROR(COUNTIFS('Weekly Log'!$H:$H,"Y",'Weekly Log'!$A:$A,"&gt;="&amp;$J1428,'Weekly Log'!$A:$A,"&lt;"&amp;$J1428+7)/COUNTIFS('Weekly Log'!$H:$H,"&lt;&gt;",'Weekly Log'!$A:$A,"&gt;="&amp;$J1428,'Weekly Log'!$A:$A,"&lt;"&amp;$J1428+7),0))</f>
        <v/>
      </c>
      <c r="E1428" t="str">
        <f>IF($J1428="","",IFERROR(AVERAGEIFS('Weekly Log'!$F:$F,'Weekly Log'!$A:$A,"&gt;="&amp;$J1428,'Weekly Log'!$A:$A,"&lt;"&amp;$J1428+7),0))</f>
        <v/>
      </c>
      <c r="F1428" t="str">
        <f>IF($J1428="","",IFERROR(SUMIFS('Weekly Log'!$F:$F,'Weekly Log'!$A:$A,"&gt;="&amp;$J1428,'Weekly Log'!$A:$A,"&lt;"&amp;$J1428+7)/SUMIFS('Weekly Log'!$E:$E,'Weekly Log'!$A:$A,"&gt;="&amp;$J1428,'Weekly Log'!$A:$A,"&lt;"&amp;$J1428+7),0))</f>
        <v/>
      </c>
      <c r="G1428" t="str">
        <f>IF($J1428="","",IFERROR(LOOKUP(2,1/(('Weekly Log'!$A$5:$A$5000&gt;=$J1428)*('Weekly Log'!$A$5:$A$5000&lt;$J1428+7)*('Weekly Log'!$M$5:$M$5000&lt;&gt;"")),'Weekly Log'!$M$5:$M$5000),0))</f>
        <v/>
      </c>
      <c r="J1428" t="str">
        <f>IF(COUNT('Weekly Log'!$A$5:$A$5000)=0,"",IF(MIN('Weekly Log'!$A$5:$A$5000)+7*(ROW()-10)&gt;MAX('Weekly Log'!$A$5:$A$5000),"",MIN('Weekly Log'!$A$5:$A$5000)+7*(ROW()-10)))</f>
        <v/>
      </c>
    </row>
    <row r="1429" spans="1:10" x14ac:dyDescent="0.25">
      <c r="A1429" t="str">
        <f t="shared" si="22"/>
        <v/>
      </c>
      <c r="B1429" t="str">
        <f>IF($J1429="","",SUMIFS('Weekly Log'!$C:$C,'Weekly Log'!$A:$A,"&gt;="&amp;$J1429,'Weekly Log'!$A:$A,"&lt;"&amp;$J1429+7))</f>
        <v/>
      </c>
      <c r="C1429" t="str">
        <f>IF($J1429="","",IFERROR(COUNTIFS('Weekly Log'!$G:$G,"Y",'Weekly Log'!$A:$A,"&gt;="&amp;$J1429,'Weekly Log'!$A:$A,"&lt;"&amp;$J1429+7)/COUNTIFS('Weekly Log'!$G:$G,"&lt;&gt;",'Weekly Log'!$A:$A,"&gt;="&amp;$J1429,'Weekly Log'!$A:$A,"&lt;"&amp;$J1429+7),0))</f>
        <v/>
      </c>
      <c r="D1429" t="str">
        <f>IF($J1429="","",IFERROR(COUNTIFS('Weekly Log'!$H:$H,"Y",'Weekly Log'!$A:$A,"&gt;="&amp;$J1429,'Weekly Log'!$A:$A,"&lt;"&amp;$J1429+7)/COUNTIFS('Weekly Log'!$H:$H,"&lt;&gt;",'Weekly Log'!$A:$A,"&gt;="&amp;$J1429,'Weekly Log'!$A:$A,"&lt;"&amp;$J1429+7),0))</f>
        <v/>
      </c>
      <c r="E1429" t="str">
        <f>IF($J1429="","",IFERROR(AVERAGEIFS('Weekly Log'!$F:$F,'Weekly Log'!$A:$A,"&gt;="&amp;$J1429,'Weekly Log'!$A:$A,"&lt;"&amp;$J1429+7),0))</f>
        <v/>
      </c>
      <c r="F1429" t="str">
        <f>IF($J1429="","",IFERROR(SUMIFS('Weekly Log'!$F:$F,'Weekly Log'!$A:$A,"&gt;="&amp;$J1429,'Weekly Log'!$A:$A,"&lt;"&amp;$J1429+7)/SUMIFS('Weekly Log'!$E:$E,'Weekly Log'!$A:$A,"&gt;="&amp;$J1429,'Weekly Log'!$A:$A,"&lt;"&amp;$J1429+7),0))</f>
        <v/>
      </c>
      <c r="G1429" t="str">
        <f>IF($J1429="","",IFERROR(LOOKUP(2,1/(('Weekly Log'!$A$5:$A$5000&gt;=$J1429)*('Weekly Log'!$A$5:$A$5000&lt;$J1429+7)*('Weekly Log'!$M$5:$M$5000&lt;&gt;"")),'Weekly Log'!$M$5:$M$5000),0))</f>
        <v/>
      </c>
      <c r="J1429" t="str">
        <f>IF(COUNT('Weekly Log'!$A$5:$A$5000)=0,"",IF(MIN('Weekly Log'!$A$5:$A$5000)+7*(ROW()-10)&gt;MAX('Weekly Log'!$A$5:$A$5000),"",MIN('Weekly Log'!$A$5:$A$5000)+7*(ROW()-10)))</f>
        <v/>
      </c>
    </row>
    <row r="1430" spans="1:10" x14ac:dyDescent="0.25">
      <c r="A1430" t="str">
        <f t="shared" si="22"/>
        <v/>
      </c>
      <c r="B1430" t="str">
        <f>IF($J1430="","",SUMIFS('Weekly Log'!$C:$C,'Weekly Log'!$A:$A,"&gt;="&amp;$J1430,'Weekly Log'!$A:$A,"&lt;"&amp;$J1430+7))</f>
        <v/>
      </c>
      <c r="C1430" t="str">
        <f>IF($J1430="","",IFERROR(COUNTIFS('Weekly Log'!$G:$G,"Y",'Weekly Log'!$A:$A,"&gt;="&amp;$J1430,'Weekly Log'!$A:$A,"&lt;"&amp;$J1430+7)/COUNTIFS('Weekly Log'!$G:$G,"&lt;&gt;",'Weekly Log'!$A:$A,"&gt;="&amp;$J1430,'Weekly Log'!$A:$A,"&lt;"&amp;$J1430+7),0))</f>
        <v/>
      </c>
      <c r="D1430" t="str">
        <f>IF($J1430="","",IFERROR(COUNTIFS('Weekly Log'!$H:$H,"Y",'Weekly Log'!$A:$A,"&gt;="&amp;$J1430,'Weekly Log'!$A:$A,"&lt;"&amp;$J1430+7)/COUNTIFS('Weekly Log'!$H:$H,"&lt;&gt;",'Weekly Log'!$A:$A,"&gt;="&amp;$J1430,'Weekly Log'!$A:$A,"&lt;"&amp;$J1430+7),0))</f>
        <v/>
      </c>
      <c r="E1430" t="str">
        <f>IF($J1430="","",IFERROR(AVERAGEIFS('Weekly Log'!$F:$F,'Weekly Log'!$A:$A,"&gt;="&amp;$J1430,'Weekly Log'!$A:$A,"&lt;"&amp;$J1430+7),0))</f>
        <v/>
      </c>
      <c r="F1430" t="str">
        <f>IF($J1430="","",IFERROR(SUMIFS('Weekly Log'!$F:$F,'Weekly Log'!$A:$A,"&gt;="&amp;$J1430,'Weekly Log'!$A:$A,"&lt;"&amp;$J1430+7)/SUMIFS('Weekly Log'!$E:$E,'Weekly Log'!$A:$A,"&gt;="&amp;$J1430,'Weekly Log'!$A:$A,"&lt;"&amp;$J1430+7),0))</f>
        <v/>
      </c>
      <c r="G1430" t="str">
        <f>IF($J1430="","",IFERROR(LOOKUP(2,1/(('Weekly Log'!$A$5:$A$5000&gt;=$J1430)*('Weekly Log'!$A$5:$A$5000&lt;$J1430+7)*('Weekly Log'!$M$5:$M$5000&lt;&gt;"")),'Weekly Log'!$M$5:$M$5000),0))</f>
        <v/>
      </c>
      <c r="J1430" t="str">
        <f>IF(COUNT('Weekly Log'!$A$5:$A$5000)=0,"",IF(MIN('Weekly Log'!$A$5:$A$5000)+7*(ROW()-10)&gt;MAX('Weekly Log'!$A$5:$A$5000),"",MIN('Weekly Log'!$A$5:$A$5000)+7*(ROW()-10)))</f>
        <v/>
      </c>
    </row>
    <row r="1431" spans="1:10" x14ac:dyDescent="0.25">
      <c r="A1431" t="str">
        <f t="shared" si="22"/>
        <v/>
      </c>
      <c r="B1431" t="str">
        <f>IF($J1431="","",SUMIFS('Weekly Log'!$C:$C,'Weekly Log'!$A:$A,"&gt;="&amp;$J1431,'Weekly Log'!$A:$A,"&lt;"&amp;$J1431+7))</f>
        <v/>
      </c>
      <c r="C1431" t="str">
        <f>IF($J1431="","",IFERROR(COUNTIFS('Weekly Log'!$G:$G,"Y",'Weekly Log'!$A:$A,"&gt;="&amp;$J1431,'Weekly Log'!$A:$A,"&lt;"&amp;$J1431+7)/COUNTIFS('Weekly Log'!$G:$G,"&lt;&gt;",'Weekly Log'!$A:$A,"&gt;="&amp;$J1431,'Weekly Log'!$A:$A,"&lt;"&amp;$J1431+7),0))</f>
        <v/>
      </c>
      <c r="D1431" t="str">
        <f>IF($J1431="","",IFERROR(COUNTIFS('Weekly Log'!$H:$H,"Y",'Weekly Log'!$A:$A,"&gt;="&amp;$J1431,'Weekly Log'!$A:$A,"&lt;"&amp;$J1431+7)/COUNTIFS('Weekly Log'!$H:$H,"&lt;&gt;",'Weekly Log'!$A:$A,"&gt;="&amp;$J1431,'Weekly Log'!$A:$A,"&lt;"&amp;$J1431+7),0))</f>
        <v/>
      </c>
      <c r="E1431" t="str">
        <f>IF($J1431="","",IFERROR(AVERAGEIFS('Weekly Log'!$F:$F,'Weekly Log'!$A:$A,"&gt;="&amp;$J1431,'Weekly Log'!$A:$A,"&lt;"&amp;$J1431+7),0))</f>
        <v/>
      </c>
      <c r="F1431" t="str">
        <f>IF($J1431="","",IFERROR(SUMIFS('Weekly Log'!$F:$F,'Weekly Log'!$A:$A,"&gt;="&amp;$J1431,'Weekly Log'!$A:$A,"&lt;"&amp;$J1431+7)/SUMIFS('Weekly Log'!$E:$E,'Weekly Log'!$A:$A,"&gt;="&amp;$J1431,'Weekly Log'!$A:$A,"&lt;"&amp;$J1431+7),0))</f>
        <v/>
      </c>
      <c r="G1431" t="str">
        <f>IF($J1431="","",IFERROR(LOOKUP(2,1/(('Weekly Log'!$A$5:$A$5000&gt;=$J1431)*('Weekly Log'!$A$5:$A$5000&lt;$J1431+7)*('Weekly Log'!$M$5:$M$5000&lt;&gt;"")),'Weekly Log'!$M$5:$M$5000),0))</f>
        <v/>
      </c>
      <c r="J1431" t="str">
        <f>IF(COUNT('Weekly Log'!$A$5:$A$5000)=0,"",IF(MIN('Weekly Log'!$A$5:$A$5000)+7*(ROW()-10)&gt;MAX('Weekly Log'!$A$5:$A$5000),"",MIN('Weekly Log'!$A$5:$A$5000)+7*(ROW()-10)))</f>
        <v/>
      </c>
    </row>
    <row r="1432" spans="1:10" x14ac:dyDescent="0.25">
      <c r="A1432" t="str">
        <f t="shared" si="22"/>
        <v/>
      </c>
      <c r="B1432" t="str">
        <f>IF($J1432="","",SUMIFS('Weekly Log'!$C:$C,'Weekly Log'!$A:$A,"&gt;="&amp;$J1432,'Weekly Log'!$A:$A,"&lt;"&amp;$J1432+7))</f>
        <v/>
      </c>
      <c r="C1432" t="str">
        <f>IF($J1432="","",IFERROR(COUNTIFS('Weekly Log'!$G:$G,"Y",'Weekly Log'!$A:$A,"&gt;="&amp;$J1432,'Weekly Log'!$A:$A,"&lt;"&amp;$J1432+7)/COUNTIFS('Weekly Log'!$G:$G,"&lt;&gt;",'Weekly Log'!$A:$A,"&gt;="&amp;$J1432,'Weekly Log'!$A:$A,"&lt;"&amp;$J1432+7),0))</f>
        <v/>
      </c>
      <c r="D1432" t="str">
        <f>IF($J1432="","",IFERROR(COUNTIFS('Weekly Log'!$H:$H,"Y",'Weekly Log'!$A:$A,"&gt;="&amp;$J1432,'Weekly Log'!$A:$A,"&lt;"&amp;$J1432+7)/COUNTIFS('Weekly Log'!$H:$H,"&lt;&gt;",'Weekly Log'!$A:$A,"&gt;="&amp;$J1432,'Weekly Log'!$A:$A,"&lt;"&amp;$J1432+7),0))</f>
        <v/>
      </c>
      <c r="E1432" t="str">
        <f>IF($J1432="","",IFERROR(AVERAGEIFS('Weekly Log'!$F:$F,'Weekly Log'!$A:$A,"&gt;="&amp;$J1432,'Weekly Log'!$A:$A,"&lt;"&amp;$J1432+7),0))</f>
        <v/>
      </c>
      <c r="F1432" t="str">
        <f>IF($J1432="","",IFERROR(SUMIFS('Weekly Log'!$F:$F,'Weekly Log'!$A:$A,"&gt;="&amp;$J1432,'Weekly Log'!$A:$A,"&lt;"&amp;$J1432+7)/SUMIFS('Weekly Log'!$E:$E,'Weekly Log'!$A:$A,"&gt;="&amp;$J1432,'Weekly Log'!$A:$A,"&lt;"&amp;$J1432+7),0))</f>
        <v/>
      </c>
      <c r="G1432" t="str">
        <f>IF($J1432="","",IFERROR(LOOKUP(2,1/(('Weekly Log'!$A$5:$A$5000&gt;=$J1432)*('Weekly Log'!$A$5:$A$5000&lt;$J1432+7)*('Weekly Log'!$M$5:$M$5000&lt;&gt;"")),'Weekly Log'!$M$5:$M$5000),0))</f>
        <v/>
      </c>
      <c r="J1432" t="str">
        <f>IF(COUNT('Weekly Log'!$A$5:$A$5000)=0,"",IF(MIN('Weekly Log'!$A$5:$A$5000)+7*(ROW()-10)&gt;MAX('Weekly Log'!$A$5:$A$5000),"",MIN('Weekly Log'!$A$5:$A$5000)+7*(ROW()-10)))</f>
        <v/>
      </c>
    </row>
    <row r="1433" spans="1:10" x14ac:dyDescent="0.25">
      <c r="A1433" t="str">
        <f t="shared" si="22"/>
        <v/>
      </c>
      <c r="B1433" t="str">
        <f>IF($J1433="","",SUMIFS('Weekly Log'!$C:$C,'Weekly Log'!$A:$A,"&gt;="&amp;$J1433,'Weekly Log'!$A:$A,"&lt;"&amp;$J1433+7))</f>
        <v/>
      </c>
      <c r="C1433" t="str">
        <f>IF($J1433="","",IFERROR(COUNTIFS('Weekly Log'!$G:$G,"Y",'Weekly Log'!$A:$A,"&gt;="&amp;$J1433,'Weekly Log'!$A:$A,"&lt;"&amp;$J1433+7)/COUNTIFS('Weekly Log'!$G:$G,"&lt;&gt;",'Weekly Log'!$A:$A,"&gt;="&amp;$J1433,'Weekly Log'!$A:$A,"&lt;"&amp;$J1433+7),0))</f>
        <v/>
      </c>
      <c r="D1433" t="str">
        <f>IF($J1433="","",IFERROR(COUNTIFS('Weekly Log'!$H:$H,"Y",'Weekly Log'!$A:$A,"&gt;="&amp;$J1433,'Weekly Log'!$A:$A,"&lt;"&amp;$J1433+7)/COUNTIFS('Weekly Log'!$H:$H,"&lt;&gt;",'Weekly Log'!$A:$A,"&gt;="&amp;$J1433,'Weekly Log'!$A:$A,"&lt;"&amp;$J1433+7),0))</f>
        <v/>
      </c>
      <c r="E1433" t="str">
        <f>IF($J1433="","",IFERROR(AVERAGEIFS('Weekly Log'!$F:$F,'Weekly Log'!$A:$A,"&gt;="&amp;$J1433,'Weekly Log'!$A:$A,"&lt;"&amp;$J1433+7),0))</f>
        <v/>
      </c>
      <c r="F1433" t="str">
        <f>IF($J1433="","",IFERROR(SUMIFS('Weekly Log'!$F:$F,'Weekly Log'!$A:$A,"&gt;="&amp;$J1433,'Weekly Log'!$A:$A,"&lt;"&amp;$J1433+7)/SUMIFS('Weekly Log'!$E:$E,'Weekly Log'!$A:$A,"&gt;="&amp;$J1433,'Weekly Log'!$A:$A,"&lt;"&amp;$J1433+7),0))</f>
        <v/>
      </c>
      <c r="G1433" t="str">
        <f>IF($J1433="","",IFERROR(LOOKUP(2,1/(('Weekly Log'!$A$5:$A$5000&gt;=$J1433)*('Weekly Log'!$A$5:$A$5000&lt;$J1433+7)*('Weekly Log'!$M$5:$M$5000&lt;&gt;"")),'Weekly Log'!$M$5:$M$5000),0))</f>
        <v/>
      </c>
      <c r="J1433" t="str">
        <f>IF(COUNT('Weekly Log'!$A$5:$A$5000)=0,"",IF(MIN('Weekly Log'!$A$5:$A$5000)+7*(ROW()-10)&gt;MAX('Weekly Log'!$A$5:$A$5000),"",MIN('Weekly Log'!$A$5:$A$5000)+7*(ROW()-10)))</f>
        <v/>
      </c>
    </row>
    <row r="1434" spans="1:10" x14ac:dyDescent="0.25">
      <c r="A1434" t="str">
        <f t="shared" si="22"/>
        <v/>
      </c>
      <c r="B1434" t="str">
        <f>IF($J1434="","",SUMIFS('Weekly Log'!$C:$C,'Weekly Log'!$A:$A,"&gt;="&amp;$J1434,'Weekly Log'!$A:$A,"&lt;"&amp;$J1434+7))</f>
        <v/>
      </c>
      <c r="C1434" t="str">
        <f>IF($J1434="","",IFERROR(COUNTIFS('Weekly Log'!$G:$G,"Y",'Weekly Log'!$A:$A,"&gt;="&amp;$J1434,'Weekly Log'!$A:$A,"&lt;"&amp;$J1434+7)/COUNTIFS('Weekly Log'!$G:$G,"&lt;&gt;",'Weekly Log'!$A:$A,"&gt;="&amp;$J1434,'Weekly Log'!$A:$A,"&lt;"&amp;$J1434+7),0))</f>
        <v/>
      </c>
      <c r="D1434" t="str">
        <f>IF($J1434="","",IFERROR(COUNTIFS('Weekly Log'!$H:$H,"Y",'Weekly Log'!$A:$A,"&gt;="&amp;$J1434,'Weekly Log'!$A:$A,"&lt;"&amp;$J1434+7)/COUNTIFS('Weekly Log'!$H:$H,"&lt;&gt;",'Weekly Log'!$A:$A,"&gt;="&amp;$J1434,'Weekly Log'!$A:$A,"&lt;"&amp;$J1434+7),0))</f>
        <v/>
      </c>
      <c r="E1434" t="str">
        <f>IF($J1434="","",IFERROR(AVERAGEIFS('Weekly Log'!$F:$F,'Weekly Log'!$A:$A,"&gt;="&amp;$J1434,'Weekly Log'!$A:$A,"&lt;"&amp;$J1434+7),0))</f>
        <v/>
      </c>
      <c r="F1434" t="str">
        <f>IF($J1434="","",IFERROR(SUMIFS('Weekly Log'!$F:$F,'Weekly Log'!$A:$A,"&gt;="&amp;$J1434,'Weekly Log'!$A:$A,"&lt;"&amp;$J1434+7)/SUMIFS('Weekly Log'!$E:$E,'Weekly Log'!$A:$A,"&gt;="&amp;$J1434,'Weekly Log'!$A:$A,"&lt;"&amp;$J1434+7),0))</f>
        <v/>
      </c>
      <c r="G1434" t="str">
        <f>IF($J1434="","",IFERROR(LOOKUP(2,1/(('Weekly Log'!$A$5:$A$5000&gt;=$J1434)*('Weekly Log'!$A$5:$A$5000&lt;$J1434+7)*('Weekly Log'!$M$5:$M$5000&lt;&gt;"")),'Weekly Log'!$M$5:$M$5000),0))</f>
        <v/>
      </c>
      <c r="J1434" t="str">
        <f>IF(COUNT('Weekly Log'!$A$5:$A$5000)=0,"",IF(MIN('Weekly Log'!$A$5:$A$5000)+7*(ROW()-10)&gt;MAX('Weekly Log'!$A$5:$A$5000),"",MIN('Weekly Log'!$A$5:$A$5000)+7*(ROW()-10)))</f>
        <v/>
      </c>
    </row>
    <row r="1435" spans="1:10" x14ac:dyDescent="0.25">
      <c r="A1435" t="str">
        <f t="shared" si="22"/>
        <v/>
      </c>
      <c r="B1435" t="str">
        <f>IF($J1435="","",SUMIFS('Weekly Log'!$C:$C,'Weekly Log'!$A:$A,"&gt;="&amp;$J1435,'Weekly Log'!$A:$A,"&lt;"&amp;$J1435+7))</f>
        <v/>
      </c>
      <c r="C1435" t="str">
        <f>IF($J1435="","",IFERROR(COUNTIFS('Weekly Log'!$G:$G,"Y",'Weekly Log'!$A:$A,"&gt;="&amp;$J1435,'Weekly Log'!$A:$A,"&lt;"&amp;$J1435+7)/COUNTIFS('Weekly Log'!$G:$G,"&lt;&gt;",'Weekly Log'!$A:$A,"&gt;="&amp;$J1435,'Weekly Log'!$A:$A,"&lt;"&amp;$J1435+7),0))</f>
        <v/>
      </c>
      <c r="D1435" t="str">
        <f>IF($J1435="","",IFERROR(COUNTIFS('Weekly Log'!$H:$H,"Y",'Weekly Log'!$A:$A,"&gt;="&amp;$J1435,'Weekly Log'!$A:$A,"&lt;"&amp;$J1435+7)/COUNTIFS('Weekly Log'!$H:$H,"&lt;&gt;",'Weekly Log'!$A:$A,"&gt;="&amp;$J1435,'Weekly Log'!$A:$A,"&lt;"&amp;$J1435+7),0))</f>
        <v/>
      </c>
      <c r="E1435" t="str">
        <f>IF($J1435="","",IFERROR(AVERAGEIFS('Weekly Log'!$F:$F,'Weekly Log'!$A:$A,"&gt;="&amp;$J1435,'Weekly Log'!$A:$A,"&lt;"&amp;$J1435+7),0))</f>
        <v/>
      </c>
      <c r="F1435" t="str">
        <f>IF($J1435="","",IFERROR(SUMIFS('Weekly Log'!$F:$F,'Weekly Log'!$A:$A,"&gt;="&amp;$J1435,'Weekly Log'!$A:$A,"&lt;"&amp;$J1435+7)/SUMIFS('Weekly Log'!$E:$E,'Weekly Log'!$A:$A,"&gt;="&amp;$J1435,'Weekly Log'!$A:$A,"&lt;"&amp;$J1435+7),0))</f>
        <v/>
      </c>
      <c r="G1435" t="str">
        <f>IF($J1435="","",IFERROR(LOOKUP(2,1/(('Weekly Log'!$A$5:$A$5000&gt;=$J1435)*('Weekly Log'!$A$5:$A$5000&lt;$J1435+7)*('Weekly Log'!$M$5:$M$5000&lt;&gt;"")),'Weekly Log'!$M$5:$M$5000),0))</f>
        <v/>
      </c>
      <c r="J1435" t="str">
        <f>IF(COUNT('Weekly Log'!$A$5:$A$5000)=0,"",IF(MIN('Weekly Log'!$A$5:$A$5000)+7*(ROW()-10)&gt;MAX('Weekly Log'!$A$5:$A$5000),"",MIN('Weekly Log'!$A$5:$A$5000)+7*(ROW()-10)))</f>
        <v/>
      </c>
    </row>
    <row r="1436" spans="1:10" x14ac:dyDescent="0.25">
      <c r="A1436" t="str">
        <f t="shared" si="22"/>
        <v/>
      </c>
      <c r="B1436" t="str">
        <f>IF($J1436="","",SUMIFS('Weekly Log'!$C:$C,'Weekly Log'!$A:$A,"&gt;="&amp;$J1436,'Weekly Log'!$A:$A,"&lt;"&amp;$J1436+7))</f>
        <v/>
      </c>
      <c r="C1436" t="str">
        <f>IF($J1436="","",IFERROR(COUNTIFS('Weekly Log'!$G:$G,"Y",'Weekly Log'!$A:$A,"&gt;="&amp;$J1436,'Weekly Log'!$A:$A,"&lt;"&amp;$J1436+7)/COUNTIFS('Weekly Log'!$G:$G,"&lt;&gt;",'Weekly Log'!$A:$A,"&gt;="&amp;$J1436,'Weekly Log'!$A:$A,"&lt;"&amp;$J1436+7),0))</f>
        <v/>
      </c>
      <c r="D1436" t="str">
        <f>IF($J1436="","",IFERROR(COUNTIFS('Weekly Log'!$H:$H,"Y",'Weekly Log'!$A:$A,"&gt;="&amp;$J1436,'Weekly Log'!$A:$A,"&lt;"&amp;$J1436+7)/COUNTIFS('Weekly Log'!$H:$H,"&lt;&gt;",'Weekly Log'!$A:$A,"&gt;="&amp;$J1436,'Weekly Log'!$A:$A,"&lt;"&amp;$J1436+7),0))</f>
        <v/>
      </c>
      <c r="E1436" t="str">
        <f>IF($J1436="","",IFERROR(AVERAGEIFS('Weekly Log'!$F:$F,'Weekly Log'!$A:$A,"&gt;="&amp;$J1436,'Weekly Log'!$A:$A,"&lt;"&amp;$J1436+7),0))</f>
        <v/>
      </c>
      <c r="F1436" t="str">
        <f>IF($J1436="","",IFERROR(SUMIFS('Weekly Log'!$F:$F,'Weekly Log'!$A:$A,"&gt;="&amp;$J1436,'Weekly Log'!$A:$A,"&lt;"&amp;$J1436+7)/SUMIFS('Weekly Log'!$E:$E,'Weekly Log'!$A:$A,"&gt;="&amp;$J1436,'Weekly Log'!$A:$A,"&lt;"&amp;$J1436+7),0))</f>
        <v/>
      </c>
      <c r="G1436" t="str">
        <f>IF($J1436="","",IFERROR(LOOKUP(2,1/(('Weekly Log'!$A$5:$A$5000&gt;=$J1436)*('Weekly Log'!$A$5:$A$5000&lt;$J1436+7)*('Weekly Log'!$M$5:$M$5000&lt;&gt;"")),'Weekly Log'!$M$5:$M$5000),0))</f>
        <v/>
      </c>
      <c r="J1436" t="str">
        <f>IF(COUNT('Weekly Log'!$A$5:$A$5000)=0,"",IF(MIN('Weekly Log'!$A$5:$A$5000)+7*(ROW()-10)&gt;MAX('Weekly Log'!$A$5:$A$5000),"",MIN('Weekly Log'!$A$5:$A$5000)+7*(ROW()-10)))</f>
        <v/>
      </c>
    </row>
    <row r="1437" spans="1:10" x14ac:dyDescent="0.25">
      <c r="A1437" t="str">
        <f t="shared" si="22"/>
        <v/>
      </c>
      <c r="B1437" t="str">
        <f>IF($J1437="","",SUMIFS('Weekly Log'!$C:$C,'Weekly Log'!$A:$A,"&gt;="&amp;$J1437,'Weekly Log'!$A:$A,"&lt;"&amp;$J1437+7))</f>
        <v/>
      </c>
      <c r="C1437" t="str">
        <f>IF($J1437="","",IFERROR(COUNTIFS('Weekly Log'!$G:$G,"Y",'Weekly Log'!$A:$A,"&gt;="&amp;$J1437,'Weekly Log'!$A:$A,"&lt;"&amp;$J1437+7)/COUNTIFS('Weekly Log'!$G:$G,"&lt;&gt;",'Weekly Log'!$A:$A,"&gt;="&amp;$J1437,'Weekly Log'!$A:$A,"&lt;"&amp;$J1437+7),0))</f>
        <v/>
      </c>
      <c r="D1437" t="str">
        <f>IF($J1437="","",IFERROR(COUNTIFS('Weekly Log'!$H:$H,"Y",'Weekly Log'!$A:$A,"&gt;="&amp;$J1437,'Weekly Log'!$A:$A,"&lt;"&amp;$J1437+7)/COUNTIFS('Weekly Log'!$H:$H,"&lt;&gt;",'Weekly Log'!$A:$A,"&gt;="&amp;$J1437,'Weekly Log'!$A:$A,"&lt;"&amp;$J1437+7),0))</f>
        <v/>
      </c>
      <c r="E1437" t="str">
        <f>IF($J1437="","",IFERROR(AVERAGEIFS('Weekly Log'!$F:$F,'Weekly Log'!$A:$A,"&gt;="&amp;$J1437,'Weekly Log'!$A:$A,"&lt;"&amp;$J1437+7),0))</f>
        <v/>
      </c>
      <c r="F1437" t="str">
        <f>IF($J1437="","",IFERROR(SUMIFS('Weekly Log'!$F:$F,'Weekly Log'!$A:$A,"&gt;="&amp;$J1437,'Weekly Log'!$A:$A,"&lt;"&amp;$J1437+7)/SUMIFS('Weekly Log'!$E:$E,'Weekly Log'!$A:$A,"&gt;="&amp;$J1437,'Weekly Log'!$A:$A,"&lt;"&amp;$J1437+7),0))</f>
        <v/>
      </c>
      <c r="G1437" t="str">
        <f>IF($J1437="","",IFERROR(LOOKUP(2,1/(('Weekly Log'!$A$5:$A$5000&gt;=$J1437)*('Weekly Log'!$A$5:$A$5000&lt;$J1437+7)*('Weekly Log'!$M$5:$M$5000&lt;&gt;"")),'Weekly Log'!$M$5:$M$5000),0))</f>
        <v/>
      </c>
      <c r="J1437" t="str">
        <f>IF(COUNT('Weekly Log'!$A$5:$A$5000)=0,"",IF(MIN('Weekly Log'!$A$5:$A$5000)+7*(ROW()-10)&gt;MAX('Weekly Log'!$A$5:$A$5000),"",MIN('Weekly Log'!$A$5:$A$5000)+7*(ROW()-10)))</f>
        <v/>
      </c>
    </row>
    <row r="1438" spans="1:10" x14ac:dyDescent="0.25">
      <c r="A1438" t="str">
        <f t="shared" si="22"/>
        <v/>
      </c>
      <c r="B1438" t="str">
        <f>IF($J1438="","",SUMIFS('Weekly Log'!$C:$C,'Weekly Log'!$A:$A,"&gt;="&amp;$J1438,'Weekly Log'!$A:$A,"&lt;"&amp;$J1438+7))</f>
        <v/>
      </c>
      <c r="C1438" t="str">
        <f>IF($J1438="","",IFERROR(COUNTIFS('Weekly Log'!$G:$G,"Y",'Weekly Log'!$A:$A,"&gt;="&amp;$J1438,'Weekly Log'!$A:$A,"&lt;"&amp;$J1438+7)/COUNTIFS('Weekly Log'!$G:$G,"&lt;&gt;",'Weekly Log'!$A:$A,"&gt;="&amp;$J1438,'Weekly Log'!$A:$A,"&lt;"&amp;$J1438+7),0))</f>
        <v/>
      </c>
      <c r="D1438" t="str">
        <f>IF($J1438="","",IFERROR(COUNTIFS('Weekly Log'!$H:$H,"Y",'Weekly Log'!$A:$A,"&gt;="&amp;$J1438,'Weekly Log'!$A:$A,"&lt;"&amp;$J1438+7)/COUNTIFS('Weekly Log'!$H:$H,"&lt;&gt;",'Weekly Log'!$A:$A,"&gt;="&amp;$J1438,'Weekly Log'!$A:$A,"&lt;"&amp;$J1438+7),0))</f>
        <v/>
      </c>
      <c r="E1438" t="str">
        <f>IF($J1438="","",IFERROR(AVERAGEIFS('Weekly Log'!$F:$F,'Weekly Log'!$A:$A,"&gt;="&amp;$J1438,'Weekly Log'!$A:$A,"&lt;"&amp;$J1438+7),0))</f>
        <v/>
      </c>
      <c r="F1438" t="str">
        <f>IF($J1438="","",IFERROR(SUMIFS('Weekly Log'!$F:$F,'Weekly Log'!$A:$A,"&gt;="&amp;$J1438,'Weekly Log'!$A:$A,"&lt;"&amp;$J1438+7)/SUMIFS('Weekly Log'!$E:$E,'Weekly Log'!$A:$A,"&gt;="&amp;$J1438,'Weekly Log'!$A:$A,"&lt;"&amp;$J1438+7),0))</f>
        <v/>
      </c>
      <c r="G1438" t="str">
        <f>IF($J1438="","",IFERROR(LOOKUP(2,1/(('Weekly Log'!$A$5:$A$5000&gt;=$J1438)*('Weekly Log'!$A$5:$A$5000&lt;$J1438+7)*('Weekly Log'!$M$5:$M$5000&lt;&gt;"")),'Weekly Log'!$M$5:$M$5000),0))</f>
        <v/>
      </c>
      <c r="J1438" t="str">
        <f>IF(COUNT('Weekly Log'!$A$5:$A$5000)=0,"",IF(MIN('Weekly Log'!$A$5:$A$5000)+7*(ROW()-10)&gt;MAX('Weekly Log'!$A$5:$A$5000),"",MIN('Weekly Log'!$A$5:$A$5000)+7*(ROW()-10)))</f>
        <v/>
      </c>
    </row>
    <row r="1439" spans="1:10" x14ac:dyDescent="0.25">
      <c r="A1439" t="str">
        <f t="shared" si="22"/>
        <v/>
      </c>
      <c r="B1439" t="str">
        <f>IF($J1439="","",SUMIFS('Weekly Log'!$C:$C,'Weekly Log'!$A:$A,"&gt;="&amp;$J1439,'Weekly Log'!$A:$A,"&lt;"&amp;$J1439+7))</f>
        <v/>
      </c>
      <c r="C1439" t="str">
        <f>IF($J1439="","",IFERROR(COUNTIFS('Weekly Log'!$G:$G,"Y",'Weekly Log'!$A:$A,"&gt;="&amp;$J1439,'Weekly Log'!$A:$A,"&lt;"&amp;$J1439+7)/COUNTIFS('Weekly Log'!$G:$G,"&lt;&gt;",'Weekly Log'!$A:$A,"&gt;="&amp;$J1439,'Weekly Log'!$A:$A,"&lt;"&amp;$J1439+7),0))</f>
        <v/>
      </c>
      <c r="D1439" t="str">
        <f>IF($J1439="","",IFERROR(COUNTIFS('Weekly Log'!$H:$H,"Y",'Weekly Log'!$A:$A,"&gt;="&amp;$J1439,'Weekly Log'!$A:$A,"&lt;"&amp;$J1439+7)/COUNTIFS('Weekly Log'!$H:$H,"&lt;&gt;",'Weekly Log'!$A:$A,"&gt;="&amp;$J1439,'Weekly Log'!$A:$A,"&lt;"&amp;$J1439+7),0))</f>
        <v/>
      </c>
      <c r="E1439" t="str">
        <f>IF($J1439="","",IFERROR(AVERAGEIFS('Weekly Log'!$F:$F,'Weekly Log'!$A:$A,"&gt;="&amp;$J1439,'Weekly Log'!$A:$A,"&lt;"&amp;$J1439+7),0))</f>
        <v/>
      </c>
      <c r="F1439" t="str">
        <f>IF($J1439="","",IFERROR(SUMIFS('Weekly Log'!$F:$F,'Weekly Log'!$A:$A,"&gt;="&amp;$J1439,'Weekly Log'!$A:$A,"&lt;"&amp;$J1439+7)/SUMIFS('Weekly Log'!$E:$E,'Weekly Log'!$A:$A,"&gt;="&amp;$J1439,'Weekly Log'!$A:$A,"&lt;"&amp;$J1439+7),0))</f>
        <v/>
      </c>
      <c r="G1439" t="str">
        <f>IF($J1439="","",IFERROR(LOOKUP(2,1/(('Weekly Log'!$A$5:$A$5000&gt;=$J1439)*('Weekly Log'!$A$5:$A$5000&lt;$J1439+7)*('Weekly Log'!$M$5:$M$5000&lt;&gt;"")),'Weekly Log'!$M$5:$M$5000),0))</f>
        <v/>
      </c>
      <c r="J1439" t="str">
        <f>IF(COUNT('Weekly Log'!$A$5:$A$5000)=0,"",IF(MIN('Weekly Log'!$A$5:$A$5000)+7*(ROW()-10)&gt;MAX('Weekly Log'!$A$5:$A$5000),"",MIN('Weekly Log'!$A$5:$A$5000)+7*(ROW()-10)))</f>
        <v/>
      </c>
    </row>
    <row r="1440" spans="1:10" x14ac:dyDescent="0.25">
      <c r="A1440" t="str">
        <f t="shared" si="22"/>
        <v/>
      </c>
      <c r="B1440" t="str">
        <f>IF($J1440="","",SUMIFS('Weekly Log'!$C:$C,'Weekly Log'!$A:$A,"&gt;="&amp;$J1440,'Weekly Log'!$A:$A,"&lt;"&amp;$J1440+7))</f>
        <v/>
      </c>
      <c r="C1440" t="str">
        <f>IF($J1440="","",IFERROR(COUNTIFS('Weekly Log'!$G:$G,"Y",'Weekly Log'!$A:$A,"&gt;="&amp;$J1440,'Weekly Log'!$A:$A,"&lt;"&amp;$J1440+7)/COUNTIFS('Weekly Log'!$G:$G,"&lt;&gt;",'Weekly Log'!$A:$A,"&gt;="&amp;$J1440,'Weekly Log'!$A:$A,"&lt;"&amp;$J1440+7),0))</f>
        <v/>
      </c>
      <c r="D1440" t="str">
        <f>IF($J1440="","",IFERROR(COUNTIFS('Weekly Log'!$H:$H,"Y",'Weekly Log'!$A:$A,"&gt;="&amp;$J1440,'Weekly Log'!$A:$A,"&lt;"&amp;$J1440+7)/COUNTIFS('Weekly Log'!$H:$H,"&lt;&gt;",'Weekly Log'!$A:$A,"&gt;="&amp;$J1440,'Weekly Log'!$A:$A,"&lt;"&amp;$J1440+7),0))</f>
        <v/>
      </c>
      <c r="E1440" t="str">
        <f>IF($J1440="","",IFERROR(AVERAGEIFS('Weekly Log'!$F:$F,'Weekly Log'!$A:$A,"&gt;="&amp;$J1440,'Weekly Log'!$A:$A,"&lt;"&amp;$J1440+7),0))</f>
        <v/>
      </c>
      <c r="F1440" t="str">
        <f>IF($J1440="","",IFERROR(SUMIFS('Weekly Log'!$F:$F,'Weekly Log'!$A:$A,"&gt;="&amp;$J1440,'Weekly Log'!$A:$A,"&lt;"&amp;$J1440+7)/SUMIFS('Weekly Log'!$E:$E,'Weekly Log'!$A:$A,"&gt;="&amp;$J1440,'Weekly Log'!$A:$A,"&lt;"&amp;$J1440+7),0))</f>
        <v/>
      </c>
      <c r="G1440" t="str">
        <f>IF($J1440="","",IFERROR(LOOKUP(2,1/(('Weekly Log'!$A$5:$A$5000&gt;=$J1440)*('Weekly Log'!$A$5:$A$5000&lt;$J1440+7)*('Weekly Log'!$M$5:$M$5000&lt;&gt;"")),'Weekly Log'!$M$5:$M$5000),0))</f>
        <v/>
      </c>
      <c r="J1440" t="str">
        <f>IF(COUNT('Weekly Log'!$A$5:$A$5000)=0,"",IF(MIN('Weekly Log'!$A$5:$A$5000)+7*(ROW()-10)&gt;MAX('Weekly Log'!$A$5:$A$5000),"",MIN('Weekly Log'!$A$5:$A$5000)+7*(ROW()-10)))</f>
        <v/>
      </c>
    </row>
    <row r="1441" spans="1:10" x14ac:dyDescent="0.25">
      <c r="A1441" t="str">
        <f t="shared" si="22"/>
        <v/>
      </c>
      <c r="B1441" t="str">
        <f>IF($J1441="","",SUMIFS('Weekly Log'!$C:$C,'Weekly Log'!$A:$A,"&gt;="&amp;$J1441,'Weekly Log'!$A:$A,"&lt;"&amp;$J1441+7))</f>
        <v/>
      </c>
      <c r="C1441" t="str">
        <f>IF($J1441="","",IFERROR(COUNTIFS('Weekly Log'!$G:$G,"Y",'Weekly Log'!$A:$A,"&gt;="&amp;$J1441,'Weekly Log'!$A:$A,"&lt;"&amp;$J1441+7)/COUNTIFS('Weekly Log'!$G:$G,"&lt;&gt;",'Weekly Log'!$A:$A,"&gt;="&amp;$J1441,'Weekly Log'!$A:$A,"&lt;"&amp;$J1441+7),0))</f>
        <v/>
      </c>
      <c r="D1441" t="str">
        <f>IF($J1441="","",IFERROR(COUNTIFS('Weekly Log'!$H:$H,"Y",'Weekly Log'!$A:$A,"&gt;="&amp;$J1441,'Weekly Log'!$A:$A,"&lt;"&amp;$J1441+7)/COUNTIFS('Weekly Log'!$H:$H,"&lt;&gt;",'Weekly Log'!$A:$A,"&gt;="&amp;$J1441,'Weekly Log'!$A:$A,"&lt;"&amp;$J1441+7),0))</f>
        <v/>
      </c>
      <c r="E1441" t="str">
        <f>IF($J1441="","",IFERROR(AVERAGEIFS('Weekly Log'!$F:$F,'Weekly Log'!$A:$A,"&gt;="&amp;$J1441,'Weekly Log'!$A:$A,"&lt;"&amp;$J1441+7),0))</f>
        <v/>
      </c>
      <c r="F1441" t="str">
        <f>IF($J1441="","",IFERROR(SUMIFS('Weekly Log'!$F:$F,'Weekly Log'!$A:$A,"&gt;="&amp;$J1441,'Weekly Log'!$A:$A,"&lt;"&amp;$J1441+7)/SUMIFS('Weekly Log'!$E:$E,'Weekly Log'!$A:$A,"&gt;="&amp;$J1441,'Weekly Log'!$A:$A,"&lt;"&amp;$J1441+7),0))</f>
        <v/>
      </c>
      <c r="G1441" t="str">
        <f>IF($J1441="","",IFERROR(LOOKUP(2,1/(('Weekly Log'!$A$5:$A$5000&gt;=$J1441)*('Weekly Log'!$A$5:$A$5000&lt;$J1441+7)*('Weekly Log'!$M$5:$M$5000&lt;&gt;"")),'Weekly Log'!$M$5:$M$5000),0))</f>
        <v/>
      </c>
      <c r="J1441" t="str">
        <f>IF(COUNT('Weekly Log'!$A$5:$A$5000)=0,"",IF(MIN('Weekly Log'!$A$5:$A$5000)+7*(ROW()-10)&gt;MAX('Weekly Log'!$A$5:$A$5000),"",MIN('Weekly Log'!$A$5:$A$5000)+7*(ROW()-10)))</f>
        <v/>
      </c>
    </row>
    <row r="1442" spans="1:10" x14ac:dyDescent="0.25">
      <c r="A1442" t="str">
        <f t="shared" si="22"/>
        <v/>
      </c>
      <c r="B1442" t="str">
        <f>IF($J1442="","",SUMIFS('Weekly Log'!$C:$C,'Weekly Log'!$A:$A,"&gt;="&amp;$J1442,'Weekly Log'!$A:$A,"&lt;"&amp;$J1442+7))</f>
        <v/>
      </c>
      <c r="C1442" t="str">
        <f>IF($J1442="","",IFERROR(COUNTIFS('Weekly Log'!$G:$G,"Y",'Weekly Log'!$A:$A,"&gt;="&amp;$J1442,'Weekly Log'!$A:$A,"&lt;"&amp;$J1442+7)/COUNTIFS('Weekly Log'!$G:$G,"&lt;&gt;",'Weekly Log'!$A:$A,"&gt;="&amp;$J1442,'Weekly Log'!$A:$A,"&lt;"&amp;$J1442+7),0))</f>
        <v/>
      </c>
      <c r="D1442" t="str">
        <f>IF($J1442="","",IFERROR(COUNTIFS('Weekly Log'!$H:$H,"Y",'Weekly Log'!$A:$A,"&gt;="&amp;$J1442,'Weekly Log'!$A:$A,"&lt;"&amp;$J1442+7)/COUNTIFS('Weekly Log'!$H:$H,"&lt;&gt;",'Weekly Log'!$A:$A,"&gt;="&amp;$J1442,'Weekly Log'!$A:$A,"&lt;"&amp;$J1442+7),0))</f>
        <v/>
      </c>
      <c r="E1442" t="str">
        <f>IF($J1442="","",IFERROR(AVERAGEIFS('Weekly Log'!$F:$F,'Weekly Log'!$A:$A,"&gt;="&amp;$J1442,'Weekly Log'!$A:$A,"&lt;"&amp;$J1442+7),0))</f>
        <v/>
      </c>
      <c r="F1442" t="str">
        <f>IF($J1442="","",IFERROR(SUMIFS('Weekly Log'!$F:$F,'Weekly Log'!$A:$A,"&gt;="&amp;$J1442,'Weekly Log'!$A:$A,"&lt;"&amp;$J1442+7)/SUMIFS('Weekly Log'!$E:$E,'Weekly Log'!$A:$A,"&gt;="&amp;$J1442,'Weekly Log'!$A:$A,"&lt;"&amp;$J1442+7),0))</f>
        <v/>
      </c>
      <c r="G1442" t="str">
        <f>IF($J1442="","",IFERROR(LOOKUP(2,1/(('Weekly Log'!$A$5:$A$5000&gt;=$J1442)*('Weekly Log'!$A$5:$A$5000&lt;$J1442+7)*('Weekly Log'!$M$5:$M$5000&lt;&gt;"")),'Weekly Log'!$M$5:$M$5000),0))</f>
        <v/>
      </c>
      <c r="J1442" t="str">
        <f>IF(COUNT('Weekly Log'!$A$5:$A$5000)=0,"",IF(MIN('Weekly Log'!$A$5:$A$5000)+7*(ROW()-10)&gt;MAX('Weekly Log'!$A$5:$A$5000),"",MIN('Weekly Log'!$A$5:$A$5000)+7*(ROW()-10)))</f>
        <v/>
      </c>
    </row>
    <row r="1443" spans="1:10" x14ac:dyDescent="0.25">
      <c r="A1443" t="str">
        <f t="shared" si="22"/>
        <v/>
      </c>
      <c r="B1443" t="str">
        <f>IF($J1443="","",SUMIFS('Weekly Log'!$C:$C,'Weekly Log'!$A:$A,"&gt;="&amp;$J1443,'Weekly Log'!$A:$A,"&lt;"&amp;$J1443+7))</f>
        <v/>
      </c>
      <c r="C1443" t="str">
        <f>IF($J1443="","",IFERROR(COUNTIFS('Weekly Log'!$G:$G,"Y",'Weekly Log'!$A:$A,"&gt;="&amp;$J1443,'Weekly Log'!$A:$A,"&lt;"&amp;$J1443+7)/COUNTIFS('Weekly Log'!$G:$G,"&lt;&gt;",'Weekly Log'!$A:$A,"&gt;="&amp;$J1443,'Weekly Log'!$A:$A,"&lt;"&amp;$J1443+7),0))</f>
        <v/>
      </c>
      <c r="D1443" t="str">
        <f>IF($J1443="","",IFERROR(COUNTIFS('Weekly Log'!$H:$H,"Y",'Weekly Log'!$A:$A,"&gt;="&amp;$J1443,'Weekly Log'!$A:$A,"&lt;"&amp;$J1443+7)/COUNTIFS('Weekly Log'!$H:$H,"&lt;&gt;",'Weekly Log'!$A:$A,"&gt;="&amp;$J1443,'Weekly Log'!$A:$A,"&lt;"&amp;$J1443+7),0))</f>
        <v/>
      </c>
      <c r="E1443" t="str">
        <f>IF($J1443="","",IFERROR(AVERAGEIFS('Weekly Log'!$F:$F,'Weekly Log'!$A:$A,"&gt;="&amp;$J1443,'Weekly Log'!$A:$A,"&lt;"&amp;$J1443+7),0))</f>
        <v/>
      </c>
      <c r="F1443" t="str">
        <f>IF($J1443="","",IFERROR(SUMIFS('Weekly Log'!$F:$F,'Weekly Log'!$A:$A,"&gt;="&amp;$J1443,'Weekly Log'!$A:$A,"&lt;"&amp;$J1443+7)/SUMIFS('Weekly Log'!$E:$E,'Weekly Log'!$A:$A,"&gt;="&amp;$J1443,'Weekly Log'!$A:$A,"&lt;"&amp;$J1443+7),0))</f>
        <v/>
      </c>
      <c r="G1443" t="str">
        <f>IF($J1443="","",IFERROR(LOOKUP(2,1/(('Weekly Log'!$A$5:$A$5000&gt;=$J1443)*('Weekly Log'!$A$5:$A$5000&lt;$J1443+7)*('Weekly Log'!$M$5:$M$5000&lt;&gt;"")),'Weekly Log'!$M$5:$M$5000),0))</f>
        <v/>
      </c>
      <c r="J1443" t="str">
        <f>IF(COUNT('Weekly Log'!$A$5:$A$5000)=0,"",IF(MIN('Weekly Log'!$A$5:$A$5000)+7*(ROW()-10)&gt;MAX('Weekly Log'!$A$5:$A$5000),"",MIN('Weekly Log'!$A$5:$A$5000)+7*(ROW()-10)))</f>
        <v/>
      </c>
    </row>
    <row r="1444" spans="1:10" x14ac:dyDescent="0.25">
      <c r="A1444" t="str">
        <f t="shared" si="22"/>
        <v/>
      </c>
      <c r="B1444" t="str">
        <f>IF($J1444="","",SUMIFS('Weekly Log'!$C:$C,'Weekly Log'!$A:$A,"&gt;="&amp;$J1444,'Weekly Log'!$A:$A,"&lt;"&amp;$J1444+7))</f>
        <v/>
      </c>
      <c r="C1444" t="str">
        <f>IF($J1444="","",IFERROR(COUNTIFS('Weekly Log'!$G:$G,"Y",'Weekly Log'!$A:$A,"&gt;="&amp;$J1444,'Weekly Log'!$A:$A,"&lt;"&amp;$J1444+7)/COUNTIFS('Weekly Log'!$G:$G,"&lt;&gt;",'Weekly Log'!$A:$A,"&gt;="&amp;$J1444,'Weekly Log'!$A:$A,"&lt;"&amp;$J1444+7),0))</f>
        <v/>
      </c>
      <c r="D1444" t="str">
        <f>IF($J1444="","",IFERROR(COUNTIFS('Weekly Log'!$H:$H,"Y",'Weekly Log'!$A:$A,"&gt;="&amp;$J1444,'Weekly Log'!$A:$A,"&lt;"&amp;$J1444+7)/COUNTIFS('Weekly Log'!$H:$H,"&lt;&gt;",'Weekly Log'!$A:$A,"&gt;="&amp;$J1444,'Weekly Log'!$A:$A,"&lt;"&amp;$J1444+7),0))</f>
        <v/>
      </c>
      <c r="E1444" t="str">
        <f>IF($J1444="","",IFERROR(AVERAGEIFS('Weekly Log'!$F:$F,'Weekly Log'!$A:$A,"&gt;="&amp;$J1444,'Weekly Log'!$A:$A,"&lt;"&amp;$J1444+7),0))</f>
        <v/>
      </c>
      <c r="F1444" t="str">
        <f>IF($J1444="","",IFERROR(SUMIFS('Weekly Log'!$F:$F,'Weekly Log'!$A:$A,"&gt;="&amp;$J1444,'Weekly Log'!$A:$A,"&lt;"&amp;$J1444+7)/SUMIFS('Weekly Log'!$E:$E,'Weekly Log'!$A:$A,"&gt;="&amp;$J1444,'Weekly Log'!$A:$A,"&lt;"&amp;$J1444+7),0))</f>
        <v/>
      </c>
      <c r="G1444" t="str">
        <f>IF($J1444="","",IFERROR(LOOKUP(2,1/(('Weekly Log'!$A$5:$A$5000&gt;=$J1444)*('Weekly Log'!$A$5:$A$5000&lt;$J1444+7)*('Weekly Log'!$M$5:$M$5000&lt;&gt;"")),'Weekly Log'!$M$5:$M$5000),0))</f>
        <v/>
      </c>
      <c r="J1444" t="str">
        <f>IF(COUNT('Weekly Log'!$A$5:$A$5000)=0,"",IF(MIN('Weekly Log'!$A$5:$A$5000)+7*(ROW()-10)&gt;MAX('Weekly Log'!$A$5:$A$5000),"",MIN('Weekly Log'!$A$5:$A$5000)+7*(ROW()-10)))</f>
        <v/>
      </c>
    </row>
    <row r="1445" spans="1:10" x14ac:dyDescent="0.25">
      <c r="A1445" t="str">
        <f t="shared" si="22"/>
        <v/>
      </c>
      <c r="B1445" t="str">
        <f>IF($J1445="","",SUMIFS('Weekly Log'!$C:$C,'Weekly Log'!$A:$A,"&gt;="&amp;$J1445,'Weekly Log'!$A:$A,"&lt;"&amp;$J1445+7))</f>
        <v/>
      </c>
      <c r="C1445" t="str">
        <f>IF($J1445="","",IFERROR(COUNTIFS('Weekly Log'!$G:$G,"Y",'Weekly Log'!$A:$A,"&gt;="&amp;$J1445,'Weekly Log'!$A:$A,"&lt;"&amp;$J1445+7)/COUNTIFS('Weekly Log'!$G:$G,"&lt;&gt;",'Weekly Log'!$A:$A,"&gt;="&amp;$J1445,'Weekly Log'!$A:$A,"&lt;"&amp;$J1445+7),0))</f>
        <v/>
      </c>
      <c r="D1445" t="str">
        <f>IF($J1445="","",IFERROR(COUNTIFS('Weekly Log'!$H:$H,"Y",'Weekly Log'!$A:$A,"&gt;="&amp;$J1445,'Weekly Log'!$A:$A,"&lt;"&amp;$J1445+7)/COUNTIFS('Weekly Log'!$H:$H,"&lt;&gt;",'Weekly Log'!$A:$A,"&gt;="&amp;$J1445,'Weekly Log'!$A:$A,"&lt;"&amp;$J1445+7),0))</f>
        <v/>
      </c>
      <c r="E1445" t="str">
        <f>IF($J1445="","",IFERROR(AVERAGEIFS('Weekly Log'!$F:$F,'Weekly Log'!$A:$A,"&gt;="&amp;$J1445,'Weekly Log'!$A:$A,"&lt;"&amp;$J1445+7),0))</f>
        <v/>
      </c>
      <c r="F1445" t="str">
        <f>IF($J1445="","",IFERROR(SUMIFS('Weekly Log'!$F:$F,'Weekly Log'!$A:$A,"&gt;="&amp;$J1445,'Weekly Log'!$A:$A,"&lt;"&amp;$J1445+7)/SUMIFS('Weekly Log'!$E:$E,'Weekly Log'!$A:$A,"&gt;="&amp;$J1445,'Weekly Log'!$A:$A,"&lt;"&amp;$J1445+7),0))</f>
        <v/>
      </c>
      <c r="G1445" t="str">
        <f>IF($J1445="","",IFERROR(LOOKUP(2,1/(('Weekly Log'!$A$5:$A$5000&gt;=$J1445)*('Weekly Log'!$A$5:$A$5000&lt;$J1445+7)*('Weekly Log'!$M$5:$M$5000&lt;&gt;"")),'Weekly Log'!$M$5:$M$5000),0))</f>
        <v/>
      </c>
      <c r="J1445" t="str">
        <f>IF(COUNT('Weekly Log'!$A$5:$A$5000)=0,"",IF(MIN('Weekly Log'!$A$5:$A$5000)+7*(ROW()-10)&gt;MAX('Weekly Log'!$A$5:$A$5000),"",MIN('Weekly Log'!$A$5:$A$5000)+7*(ROW()-10)))</f>
        <v/>
      </c>
    </row>
    <row r="1446" spans="1:10" x14ac:dyDescent="0.25">
      <c r="A1446" t="str">
        <f t="shared" si="22"/>
        <v/>
      </c>
      <c r="B1446" t="str">
        <f>IF($J1446="","",SUMIFS('Weekly Log'!$C:$C,'Weekly Log'!$A:$A,"&gt;="&amp;$J1446,'Weekly Log'!$A:$A,"&lt;"&amp;$J1446+7))</f>
        <v/>
      </c>
      <c r="C1446" t="str">
        <f>IF($J1446="","",IFERROR(COUNTIFS('Weekly Log'!$G:$G,"Y",'Weekly Log'!$A:$A,"&gt;="&amp;$J1446,'Weekly Log'!$A:$A,"&lt;"&amp;$J1446+7)/COUNTIFS('Weekly Log'!$G:$G,"&lt;&gt;",'Weekly Log'!$A:$A,"&gt;="&amp;$J1446,'Weekly Log'!$A:$A,"&lt;"&amp;$J1446+7),0))</f>
        <v/>
      </c>
      <c r="D1446" t="str">
        <f>IF($J1446="","",IFERROR(COUNTIFS('Weekly Log'!$H:$H,"Y",'Weekly Log'!$A:$A,"&gt;="&amp;$J1446,'Weekly Log'!$A:$A,"&lt;"&amp;$J1446+7)/COUNTIFS('Weekly Log'!$H:$H,"&lt;&gt;",'Weekly Log'!$A:$A,"&gt;="&amp;$J1446,'Weekly Log'!$A:$A,"&lt;"&amp;$J1446+7),0))</f>
        <v/>
      </c>
      <c r="E1446" t="str">
        <f>IF($J1446="","",IFERROR(AVERAGEIFS('Weekly Log'!$F:$F,'Weekly Log'!$A:$A,"&gt;="&amp;$J1446,'Weekly Log'!$A:$A,"&lt;"&amp;$J1446+7),0))</f>
        <v/>
      </c>
      <c r="F1446" t="str">
        <f>IF($J1446="","",IFERROR(SUMIFS('Weekly Log'!$F:$F,'Weekly Log'!$A:$A,"&gt;="&amp;$J1446,'Weekly Log'!$A:$A,"&lt;"&amp;$J1446+7)/SUMIFS('Weekly Log'!$E:$E,'Weekly Log'!$A:$A,"&gt;="&amp;$J1446,'Weekly Log'!$A:$A,"&lt;"&amp;$J1446+7),0))</f>
        <v/>
      </c>
      <c r="G1446" t="str">
        <f>IF($J1446="","",IFERROR(LOOKUP(2,1/(('Weekly Log'!$A$5:$A$5000&gt;=$J1446)*('Weekly Log'!$A$5:$A$5000&lt;$J1446+7)*('Weekly Log'!$M$5:$M$5000&lt;&gt;"")),'Weekly Log'!$M$5:$M$5000),0))</f>
        <v/>
      </c>
      <c r="J1446" t="str">
        <f>IF(COUNT('Weekly Log'!$A$5:$A$5000)=0,"",IF(MIN('Weekly Log'!$A$5:$A$5000)+7*(ROW()-10)&gt;MAX('Weekly Log'!$A$5:$A$5000),"",MIN('Weekly Log'!$A$5:$A$5000)+7*(ROW()-10)))</f>
        <v/>
      </c>
    </row>
    <row r="1447" spans="1:10" x14ac:dyDescent="0.25">
      <c r="A1447" t="str">
        <f t="shared" si="22"/>
        <v/>
      </c>
      <c r="B1447" t="str">
        <f>IF($J1447="","",SUMIFS('Weekly Log'!$C:$C,'Weekly Log'!$A:$A,"&gt;="&amp;$J1447,'Weekly Log'!$A:$A,"&lt;"&amp;$J1447+7))</f>
        <v/>
      </c>
      <c r="C1447" t="str">
        <f>IF($J1447="","",IFERROR(COUNTIFS('Weekly Log'!$G:$G,"Y",'Weekly Log'!$A:$A,"&gt;="&amp;$J1447,'Weekly Log'!$A:$A,"&lt;"&amp;$J1447+7)/COUNTIFS('Weekly Log'!$G:$G,"&lt;&gt;",'Weekly Log'!$A:$A,"&gt;="&amp;$J1447,'Weekly Log'!$A:$A,"&lt;"&amp;$J1447+7),0))</f>
        <v/>
      </c>
      <c r="D1447" t="str">
        <f>IF($J1447="","",IFERROR(COUNTIFS('Weekly Log'!$H:$H,"Y",'Weekly Log'!$A:$A,"&gt;="&amp;$J1447,'Weekly Log'!$A:$A,"&lt;"&amp;$J1447+7)/COUNTIFS('Weekly Log'!$H:$H,"&lt;&gt;",'Weekly Log'!$A:$A,"&gt;="&amp;$J1447,'Weekly Log'!$A:$A,"&lt;"&amp;$J1447+7),0))</f>
        <v/>
      </c>
      <c r="E1447" t="str">
        <f>IF($J1447="","",IFERROR(AVERAGEIFS('Weekly Log'!$F:$F,'Weekly Log'!$A:$A,"&gt;="&amp;$J1447,'Weekly Log'!$A:$A,"&lt;"&amp;$J1447+7),0))</f>
        <v/>
      </c>
      <c r="F1447" t="str">
        <f>IF($J1447="","",IFERROR(SUMIFS('Weekly Log'!$F:$F,'Weekly Log'!$A:$A,"&gt;="&amp;$J1447,'Weekly Log'!$A:$A,"&lt;"&amp;$J1447+7)/SUMIFS('Weekly Log'!$E:$E,'Weekly Log'!$A:$A,"&gt;="&amp;$J1447,'Weekly Log'!$A:$A,"&lt;"&amp;$J1447+7),0))</f>
        <v/>
      </c>
      <c r="G1447" t="str">
        <f>IF($J1447="","",IFERROR(LOOKUP(2,1/(('Weekly Log'!$A$5:$A$5000&gt;=$J1447)*('Weekly Log'!$A$5:$A$5000&lt;$J1447+7)*('Weekly Log'!$M$5:$M$5000&lt;&gt;"")),'Weekly Log'!$M$5:$M$5000),0))</f>
        <v/>
      </c>
      <c r="J1447" t="str">
        <f>IF(COUNT('Weekly Log'!$A$5:$A$5000)=0,"",IF(MIN('Weekly Log'!$A$5:$A$5000)+7*(ROW()-10)&gt;MAX('Weekly Log'!$A$5:$A$5000),"",MIN('Weekly Log'!$A$5:$A$5000)+7*(ROW()-10)))</f>
        <v/>
      </c>
    </row>
    <row r="1448" spans="1:10" x14ac:dyDescent="0.25">
      <c r="A1448" t="str">
        <f t="shared" si="22"/>
        <v/>
      </c>
      <c r="B1448" t="str">
        <f>IF($J1448="","",SUMIFS('Weekly Log'!$C:$C,'Weekly Log'!$A:$A,"&gt;="&amp;$J1448,'Weekly Log'!$A:$A,"&lt;"&amp;$J1448+7))</f>
        <v/>
      </c>
      <c r="C1448" t="str">
        <f>IF($J1448="","",IFERROR(COUNTIFS('Weekly Log'!$G:$G,"Y",'Weekly Log'!$A:$A,"&gt;="&amp;$J1448,'Weekly Log'!$A:$A,"&lt;"&amp;$J1448+7)/COUNTIFS('Weekly Log'!$G:$G,"&lt;&gt;",'Weekly Log'!$A:$A,"&gt;="&amp;$J1448,'Weekly Log'!$A:$A,"&lt;"&amp;$J1448+7),0))</f>
        <v/>
      </c>
      <c r="D1448" t="str">
        <f>IF($J1448="","",IFERROR(COUNTIFS('Weekly Log'!$H:$H,"Y",'Weekly Log'!$A:$A,"&gt;="&amp;$J1448,'Weekly Log'!$A:$A,"&lt;"&amp;$J1448+7)/COUNTIFS('Weekly Log'!$H:$H,"&lt;&gt;",'Weekly Log'!$A:$A,"&gt;="&amp;$J1448,'Weekly Log'!$A:$A,"&lt;"&amp;$J1448+7),0))</f>
        <v/>
      </c>
      <c r="E1448" t="str">
        <f>IF($J1448="","",IFERROR(AVERAGEIFS('Weekly Log'!$F:$F,'Weekly Log'!$A:$A,"&gt;="&amp;$J1448,'Weekly Log'!$A:$A,"&lt;"&amp;$J1448+7),0))</f>
        <v/>
      </c>
      <c r="F1448" t="str">
        <f>IF($J1448="","",IFERROR(SUMIFS('Weekly Log'!$F:$F,'Weekly Log'!$A:$A,"&gt;="&amp;$J1448,'Weekly Log'!$A:$A,"&lt;"&amp;$J1448+7)/SUMIFS('Weekly Log'!$E:$E,'Weekly Log'!$A:$A,"&gt;="&amp;$J1448,'Weekly Log'!$A:$A,"&lt;"&amp;$J1448+7),0))</f>
        <v/>
      </c>
      <c r="G1448" t="str">
        <f>IF($J1448="","",IFERROR(LOOKUP(2,1/(('Weekly Log'!$A$5:$A$5000&gt;=$J1448)*('Weekly Log'!$A$5:$A$5000&lt;$J1448+7)*('Weekly Log'!$M$5:$M$5000&lt;&gt;"")),'Weekly Log'!$M$5:$M$5000),0))</f>
        <v/>
      </c>
      <c r="J1448" t="str">
        <f>IF(COUNT('Weekly Log'!$A$5:$A$5000)=0,"",IF(MIN('Weekly Log'!$A$5:$A$5000)+7*(ROW()-10)&gt;MAX('Weekly Log'!$A$5:$A$5000),"",MIN('Weekly Log'!$A$5:$A$5000)+7*(ROW()-10)))</f>
        <v/>
      </c>
    </row>
    <row r="1449" spans="1:10" x14ac:dyDescent="0.25">
      <c r="A1449" t="str">
        <f t="shared" si="22"/>
        <v/>
      </c>
      <c r="B1449" t="str">
        <f>IF($J1449="","",SUMIFS('Weekly Log'!$C:$C,'Weekly Log'!$A:$A,"&gt;="&amp;$J1449,'Weekly Log'!$A:$A,"&lt;"&amp;$J1449+7))</f>
        <v/>
      </c>
      <c r="C1449" t="str">
        <f>IF($J1449="","",IFERROR(COUNTIFS('Weekly Log'!$G:$G,"Y",'Weekly Log'!$A:$A,"&gt;="&amp;$J1449,'Weekly Log'!$A:$A,"&lt;"&amp;$J1449+7)/COUNTIFS('Weekly Log'!$G:$G,"&lt;&gt;",'Weekly Log'!$A:$A,"&gt;="&amp;$J1449,'Weekly Log'!$A:$A,"&lt;"&amp;$J1449+7),0))</f>
        <v/>
      </c>
      <c r="D1449" t="str">
        <f>IF($J1449="","",IFERROR(COUNTIFS('Weekly Log'!$H:$H,"Y",'Weekly Log'!$A:$A,"&gt;="&amp;$J1449,'Weekly Log'!$A:$A,"&lt;"&amp;$J1449+7)/COUNTIFS('Weekly Log'!$H:$H,"&lt;&gt;",'Weekly Log'!$A:$A,"&gt;="&amp;$J1449,'Weekly Log'!$A:$A,"&lt;"&amp;$J1449+7),0))</f>
        <v/>
      </c>
      <c r="E1449" t="str">
        <f>IF($J1449="","",IFERROR(AVERAGEIFS('Weekly Log'!$F:$F,'Weekly Log'!$A:$A,"&gt;="&amp;$J1449,'Weekly Log'!$A:$A,"&lt;"&amp;$J1449+7),0))</f>
        <v/>
      </c>
      <c r="F1449" t="str">
        <f>IF($J1449="","",IFERROR(SUMIFS('Weekly Log'!$F:$F,'Weekly Log'!$A:$A,"&gt;="&amp;$J1449,'Weekly Log'!$A:$A,"&lt;"&amp;$J1449+7)/SUMIFS('Weekly Log'!$E:$E,'Weekly Log'!$A:$A,"&gt;="&amp;$J1449,'Weekly Log'!$A:$A,"&lt;"&amp;$J1449+7),0))</f>
        <v/>
      </c>
      <c r="G1449" t="str">
        <f>IF($J1449="","",IFERROR(LOOKUP(2,1/(('Weekly Log'!$A$5:$A$5000&gt;=$J1449)*('Weekly Log'!$A$5:$A$5000&lt;$J1449+7)*('Weekly Log'!$M$5:$M$5000&lt;&gt;"")),'Weekly Log'!$M$5:$M$5000),0))</f>
        <v/>
      </c>
      <c r="J1449" t="str">
        <f>IF(COUNT('Weekly Log'!$A$5:$A$5000)=0,"",IF(MIN('Weekly Log'!$A$5:$A$5000)+7*(ROW()-10)&gt;MAX('Weekly Log'!$A$5:$A$5000),"",MIN('Weekly Log'!$A$5:$A$5000)+7*(ROW()-10)))</f>
        <v/>
      </c>
    </row>
    <row r="1450" spans="1:10" x14ac:dyDescent="0.25">
      <c r="A1450" t="str">
        <f t="shared" si="22"/>
        <v/>
      </c>
      <c r="B1450" t="str">
        <f>IF($J1450="","",SUMIFS('Weekly Log'!$C:$C,'Weekly Log'!$A:$A,"&gt;="&amp;$J1450,'Weekly Log'!$A:$A,"&lt;"&amp;$J1450+7))</f>
        <v/>
      </c>
      <c r="C1450" t="str">
        <f>IF($J1450="","",IFERROR(COUNTIFS('Weekly Log'!$G:$G,"Y",'Weekly Log'!$A:$A,"&gt;="&amp;$J1450,'Weekly Log'!$A:$A,"&lt;"&amp;$J1450+7)/COUNTIFS('Weekly Log'!$G:$G,"&lt;&gt;",'Weekly Log'!$A:$A,"&gt;="&amp;$J1450,'Weekly Log'!$A:$A,"&lt;"&amp;$J1450+7),0))</f>
        <v/>
      </c>
      <c r="D1450" t="str">
        <f>IF($J1450="","",IFERROR(COUNTIFS('Weekly Log'!$H:$H,"Y",'Weekly Log'!$A:$A,"&gt;="&amp;$J1450,'Weekly Log'!$A:$A,"&lt;"&amp;$J1450+7)/COUNTIFS('Weekly Log'!$H:$H,"&lt;&gt;",'Weekly Log'!$A:$A,"&gt;="&amp;$J1450,'Weekly Log'!$A:$A,"&lt;"&amp;$J1450+7),0))</f>
        <v/>
      </c>
      <c r="E1450" t="str">
        <f>IF($J1450="","",IFERROR(AVERAGEIFS('Weekly Log'!$F:$F,'Weekly Log'!$A:$A,"&gt;="&amp;$J1450,'Weekly Log'!$A:$A,"&lt;"&amp;$J1450+7),0))</f>
        <v/>
      </c>
      <c r="F1450" t="str">
        <f>IF($J1450="","",IFERROR(SUMIFS('Weekly Log'!$F:$F,'Weekly Log'!$A:$A,"&gt;="&amp;$J1450,'Weekly Log'!$A:$A,"&lt;"&amp;$J1450+7)/SUMIFS('Weekly Log'!$E:$E,'Weekly Log'!$A:$A,"&gt;="&amp;$J1450,'Weekly Log'!$A:$A,"&lt;"&amp;$J1450+7),0))</f>
        <v/>
      </c>
      <c r="G1450" t="str">
        <f>IF($J1450="","",IFERROR(LOOKUP(2,1/(('Weekly Log'!$A$5:$A$5000&gt;=$J1450)*('Weekly Log'!$A$5:$A$5000&lt;$J1450+7)*('Weekly Log'!$M$5:$M$5000&lt;&gt;"")),'Weekly Log'!$M$5:$M$5000),0))</f>
        <v/>
      </c>
      <c r="J1450" t="str">
        <f>IF(COUNT('Weekly Log'!$A$5:$A$5000)=0,"",IF(MIN('Weekly Log'!$A$5:$A$5000)+7*(ROW()-10)&gt;MAX('Weekly Log'!$A$5:$A$5000),"",MIN('Weekly Log'!$A$5:$A$5000)+7*(ROW()-10)))</f>
        <v/>
      </c>
    </row>
    <row r="1451" spans="1:10" x14ac:dyDescent="0.25">
      <c r="A1451" t="str">
        <f t="shared" si="22"/>
        <v/>
      </c>
      <c r="B1451" t="str">
        <f>IF($J1451="","",SUMIFS('Weekly Log'!$C:$C,'Weekly Log'!$A:$A,"&gt;="&amp;$J1451,'Weekly Log'!$A:$A,"&lt;"&amp;$J1451+7))</f>
        <v/>
      </c>
      <c r="C1451" t="str">
        <f>IF($J1451="","",IFERROR(COUNTIFS('Weekly Log'!$G:$G,"Y",'Weekly Log'!$A:$A,"&gt;="&amp;$J1451,'Weekly Log'!$A:$A,"&lt;"&amp;$J1451+7)/COUNTIFS('Weekly Log'!$G:$G,"&lt;&gt;",'Weekly Log'!$A:$A,"&gt;="&amp;$J1451,'Weekly Log'!$A:$A,"&lt;"&amp;$J1451+7),0))</f>
        <v/>
      </c>
      <c r="D1451" t="str">
        <f>IF($J1451="","",IFERROR(COUNTIFS('Weekly Log'!$H:$H,"Y",'Weekly Log'!$A:$A,"&gt;="&amp;$J1451,'Weekly Log'!$A:$A,"&lt;"&amp;$J1451+7)/COUNTIFS('Weekly Log'!$H:$H,"&lt;&gt;",'Weekly Log'!$A:$A,"&gt;="&amp;$J1451,'Weekly Log'!$A:$A,"&lt;"&amp;$J1451+7),0))</f>
        <v/>
      </c>
      <c r="E1451" t="str">
        <f>IF($J1451="","",IFERROR(AVERAGEIFS('Weekly Log'!$F:$F,'Weekly Log'!$A:$A,"&gt;="&amp;$J1451,'Weekly Log'!$A:$A,"&lt;"&amp;$J1451+7),0))</f>
        <v/>
      </c>
      <c r="F1451" t="str">
        <f>IF($J1451="","",IFERROR(SUMIFS('Weekly Log'!$F:$F,'Weekly Log'!$A:$A,"&gt;="&amp;$J1451,'Weekly Log'!$A:$A,"&lt;"&amp;$J1451+7)/SUMIFS('Weekly Log'!$E:$E,'Weekly Log'!$A:$A,"&gt;="&amp;$J1451,'Weekly Log'!$A:$A,"&lt;"&amp;$J1451+7),0))</f>
        <v/>
      </c>
      <c r="G1451" t="str">
        <f>IF($J1451="","",IFERROR(LOOKUP(2,1/(('Weekly Log'!$A$5:$A$5000&gt;=$J1451)*('Weekly Log'!$A$5:$A$5000&lt;$J1451+7)*('Weekly Log'!$M$5:$M$5000&lt;&gt;"")),'Weekly Log'!$M$5:$M$5000),0))</f>
        <v/>
      </c>
      <c r="J1451" t="str">
        <f>IF(COUNT('Weekly Log'!$A$5:$A$5000)=0,"",IF(MIN('Weekly Log'!$A$5:$A$5000)+7*(ROW()-10)&gt;MAX('Weekly Log'!$A$5:$A$5000),"",MIN('Weekly Log'!$A$5:$A$5000)+7*(ROW()-10)))</f>
        <v/>
      </c>
    </row>
    <row r="1452" spans="1:10" x14ac:dyDescent="0.25">
      <c r="A1452" t="str">
        <f t="shared" si="22"/>
        <v/>
      </c>
      <c r="B1452" t="str">
        <f>IF($J1452="","",SUMIFS('Weekly Log'!$C:$C,'Weekly Log'!$A:$A,"&gt;="&amp;$J1452,'Weekly Log'!$A:$A,"&lt;"&amp;$J1452+7))</f>
        <v/>
      </c>
      <c r="C1452" t="str">
        <f>IF($J1452="","",IFERROR(COUNTIFS('Weekly Log'!$G:$G,"Y",'Weekly Log'!$A:$A,"&gt;="&amp;$J1452,'Weekly Log'!$A:$A,"&lt;"&amp;$J1452+7)/COUNTIFS('Weekly Log'!$G:$G,"&lt;&gt;",'Weekly Log'!$A:$A,"&gt;="&amp;$J1452,'Weekly Log'!$A:$A,"&lt;"&amp;$J1452+7),0))</f>
        <v/>
      </c>
      <c r="D1452" t="str">
        <f>IF($J1452="","",IFERROR(COUNTIFS('Weekly Log'!$H:$H,"Y",'Weekly Log'!$A:$A,"&gt;="&amp;$J1452,'Weekly Log'!$A:$A,"&lt;"&amp;$J1452+7)/COUNTIFS('Weekly Log'!$H:$H,"&lt;&gt;",'Weekly Log'!$A:$A,"&gt;="&amp;$J1452,'Weekly Log'!$A:$A,"&lt;"&amp;$J1452+7),0))</f>
        <v/>
      </c>
      <c r="E1452" t="str">
        <f>IF($J1452="","",IFERROR(AVERAGEIFS('Weekly Log'!$F:$F,'Weekly Log'!$A:$A,"&gt;="&amp;$J1452,'Weekly Log'!$A:$A,"&lt;"&amp;$J1452+7),0))</f>
        <v/>
      </c>
      <c r="F1452" t="str">
        <f>IF($J1452="","",IFERROR(SUMIFS('Weekly Log'!$F:$F,'Weekly Log'!$A:$A,"&gt;="&amp;$J1452,'Weekly Log'!$A:$A,"&lt;"&amp;$J1452+7)/SUMIFS('Weekly Log'!$E:$E,'Weekly Log'!$A:$A,"&gt;="&amp;$J1452,'Weekly Log'!$A:$A,"&lt;"&amp;$J1452+7),0))</f>
        <v/>
      </c>
      <c r="G1452" t="str">
        <f>IF($J1452="","",IFERROR(LOOKUP(2,1/(('Weekly Log'!$A$5:$A$5000&gt;=$J1452)*('Weekly Log'!$A$5:$A$5000&lt;$J1452+7)*('Weekly Log'!$M$5:$M$5000&lt;&gt;"")),'Weekly Log'!$M$5:$M$5000),0))</f>
        <v/>
      </c>
      <c r="J1452" t="str">
        <f>IF(COUNT('Weekly Log'!$A$5:$A$5000)=0,"",IF(MIN('Weekly Log'!$A$5:$A$5000)+7*(ROW()-10)&gt;MAX('Weekly Log'!$A$5:$A$5000),"",MIN('Weekly Log'!$A$5:$A$5000)+7*(ROW()-10)))</f>
        <v/>
      </c>
    </row>
    <row r="1453" spans="1:10" x14ac:dyDescent="0.25">
      <c r="A1453" t="str">
        <f t="shared" si="22"/>
        <v/>
      </c>
      <c r="B1453" t="str">
        <f>IF($J1453="","",SUMIFS('Weekly Log'!$C:$C,'Weekly Log'!$A:$A,"&gt;="&amp;$J1453,'Weekly Log'!$A:$A,"&lt;"&amp;$J1453+7))</f>
        <v/>
      </c>
      <c r="C1453" t="str">
        <f>IF($J1453="","",IFERROR(COUNTIFS('Weekly Log'!$G:$G,"Y",'Weekly Log'!$A:$A,"&gt;="&amp;$J1453,'Weekly Log'!$A:$A,"&lt;"&amp;$J1453+7)/COUNTIFS('Weekly Log'!$G:$G,"&lt;&gt;",'Weekly Log'!$A:$A,"&gt;="&amp;$J1453,'Weekly Log'!$A:$A,"&lt;"&amp;$J1453+7),0))</f>
        <v/>
      </c>
      <c r="D1453" t="str">
        <f>IF($J1453="","",IFERROR(COUNTIFS('Weekly Log'!$H:$H,"Y",'Weekly Log'!$A:$A,"&gt;="&amp;$J1453,'Weekly Log'!$A:$A,"&lt;"&amp;$J1453+7)/COUNTIFS('Weekly Log'!$H:$H,"&lt;&gt;",'Weekly Log'!$A:$A,"&gt;="&amp;$J1453,'Weekly Log'!$A:$A,"&lt;"&amp;$J1453+7),0))</f>
        <v/>
      </c>
      <c r="E1453" t="str">
        <f>IF($J1453="","",IFERROR(AVERAGEIFS('Weekly Log'!$F:$F,'Weekly Log'!$A:$A,"&gt;="&amp;$J1453,'Weekly Log'!$A:$A,"&lt;"&amp;$J1453+7),0))</f>
        <v/>
      </c>
      <c r="F1453" t="str">
        <f>IF($J1453="","",IFERROR(SUMIFS('Weekly Log'!$F:$F,'Weekly Log'!$A:$A,"&gt;="&amp;$J1453,'Weekly Log'!$A:$A,"&lt;"&amp;$J1453+7)/SUMIFS('Weekly Log'!$E:$E,'Weekly Log'!$A:$A,"&gt;="&amp;$J1453,'Weekly Log'!$A:$A,"&lt;"&amp;$J1453+7),0))</f>
        <v/>
      </c>
      <c r="G1453" t="str">
        <f>IF($J1453="","",IFERROR(LOOKUP(2,1/(('Weekly Log'!$A$5:$A$5000&gt;=$J1453)*('Weekly Log'!$A$5:$A$5000&lt;$J1453+7)*('Weekly Log'!$M$5:$M$5000&lt;&gt;"")),'Weekly Log'!$M$5:$M$5000),0))</f>
        <v/>
      </c>
      <c r="J1453" t="str">
        <f>IF(COUNT('Weekly Log'!$A$5:$A$5000)=0,"",IF(MIN('Weekly Log'!$A$5:$A$5000)+7*(ROW()-10)&gt;MAX('Weekly Log'!$A$5:$A$5000),"",MIN('Weekly Log'!$A$5:$A$5000)+7*(ROW()-10)))</f>
        <v/>
      </c>
    </row>
    <row r="1454" spans="1:10" x14ac:dyDescent="0.25">
      <c r="A1454" t="str">
        <f t="shared" si="22"/>
        <v/>
      </c>
      <c r="B1454" t="str">
        <f>IF($J1454="","",SUMIFS('Weekly Log'!$C:$C,'Weekly Log'!$A:$A,"&gt;="&amp;$J1454,'Weekly Log'!$A:$A,"&lt;"&amp;$J1454+7))</f>
        <v/>
      </c>
      <c r="C1454" t="str">
        <f>IF($J1454="","",IFERROR(COUNTIFS('Weekly Log'!$G:$G,"Y",'Weekly Log'!$A:$A,"&gt;="&amp;$J1454,'Weekly Log'!$A:$A,"&lt;"&amp;$J1454+7)/COUNTIFS('Weekly Log'!$G:$G,"&lt;&gt;",'Weekly Log'!$A:$A,"&gt;="&amp;$J1454,'Weekly Log'!$A:$A,"&lt;"&amp;$J1454+7),0))</f>
        <v/>
      </c>
      <c r="D1454" t="str">
        <f>IF($J1454="","",IFERROR(COUNTIFS('Weekly Log'!$H:$H,"Y",'Weekly Log'!$A:$A,"&gt;="&amp;$J1454,'Weekly Log'!$A:$A,"&lt;"&amp;$J1454+7)/COUNTIFS('Weekly Log'!$H:$H,"&lt;&gt;",'Weekly Log'!$A:$A,"&gt;="&amp;$J1454,'Weekly Log'!$A:$A,"&lt;"&amp;$J1454+7),0))</f>
        <v/>
      </c>
      <c r="E1454" t="str">
        <f>IF($J1454="","",IFERROR(AVERAGEIFS('Weekly Log'!$F:$F,'Weekly Log'!$A:$A,"&gt;="&amp;$J1454,'Weekly Log'!$A:$A,"&lt;"&amp;$J1454+7),0))</f>
        <v/>
      </c>
      <c r="F1454" t="str">
        <f>IF($J1454="","",IFERROR(SUMIFS('Weekly Log'!$F:$F,'Weekly Log'!$A:$A,"&gt;="&amp;$J1454,'Weekly Log'!$A:$A,"&lt;"&amp;$J1454+7)/SUMIFS('Weekly Log'!$E:$E,'Weekly Log'!$A:$A,"&gt;="&amp;$J1454,'Weekly Log'!$A:$A,"&lt;"&amp;$J1454+7),0))</f>
        <v/>
      </c>
      <c r="G1454" t="str">
        <f>IF($J1454="","",IFERROR(LOOKUP(2,1/(('Weekly Log'!$A$5:$A$5000&gt;=$J1454)*('Weekly Log'!$A$5:$A$5000&lt;$J1454+7)*('Weekly Log'!$M$5:$M$5000&lt;&gt;"")),'Weekly Log'!$M$5:$M$5000),0))</f>
        <v/>
      </c>
      <c r="J1454" t="str">
        <f>IF(COUNT('Weekly Log'!$A$5:$A$5000)=0,"",IF(MIN('Weekly Log'!$A$5:$A$5000)+7*(ROW()-10)&gt;MAX('Weekly Log'!$A$5:$A$5000),"",MIN('Weekly Log'!$A$5:$A$5000)+7*(ROW()-10)))</f>
        <v/>
      </c>
    </row>
    <row r="1455" spans="1:10" x14ac:dyDescent="0.25">
      <c r="A1455" t="str">
        <f t="shared" si="22"/>
        <v/>
      </c>
      <c r="B1455" t="str">
        <f>IF($J1455="","",SUMIFS('Weekly Log'!$C:$C,'Weekly Log'!$A:$A,"&gt;="&amp;$J1455,'Weekly Log'!$A:$A,"&lt;"&amp;$J1455+7))</f>
        <v/>
      </c>
      <c r="C1455" t="str">
        <f>IF($J1455="","",IFERROR(COUNTIFS('Weekly Log'!$G:$G,"Y",'Weekly Log'!$A:$A,"&gt;="&amp;$J1455,'Weekly Log'!$A:$A,"&lt;"&amp;$J1455+7)/COUNTIFS('Weekly Log'!$G:$G,"&lt;&gt;",'Weekly Log'!$A:$A,"&gt;="&amp;$J1455,'Weekly Log'!$A:$A,"&lt;"&amp;$J1455+7),0))</f>
        <v/>
      </c>
      <c r="D1455" t="str">
        <f>IF($J1455="","",IFERROR(COUNTIFS('Weekly Log'!$H:$H,"Y",'Weekly Log'!$A:$A,"&gt;="&amp;$J1455,'Weekly Log'!$A:$A,"&lt;"&amp;$J1455+7)/COUNTIFS('Weekly Log'!$H:$H,"&lt;&gt;",'Weekly Log'!$A:$A,"&gt;="&amp;$J1455,'Weekly Log'!$A:$A,"&lt;"&amp;$J1455+7),0))</f>
        <v/>
      </c>
      <c r="E1455" t="str">
        <f>IF($J1455="","",IFERROR(AVERAGEIFS('Weekly Log'!$F:$F,'Weekly Log'!$A:$A,"&gt;="&amp;$J1455,'Weekly Log'!$A:$A,"&lt;"&amp;$J1455+7),0))</f>
        <v/>
      </c>
      <c r="F1455" t="str">
        <f>IF($J1455="","",IFERROR(SUMIFS('Weekly Log'!$F:$F,'Weekly Log'!$A:$A,"&gt;="&amp;$J1455,'Weekly Log'!$A:$A,"&lt;"&amp;$J1455+7)/SUMIFS('Weekly Log'!$E:$E,'Weekly Log'!$A:$A,"&gt;="&amp;$J1455,'Weekly Log'!$A:$A,"&lt;"&amp;$J1455+7),0))</f>
        <v/>
      </c>
      <c r="G1455" t="str">
        <f>IF($J1455="","",IFERROR(LOOKUP(2,1/(('Weekly Log'!$A$5:$A$5000&gt;=$J1455)*('Weekly Log'!$A$5:$A$5000&lt;$J1455+7)*('Weekly Log'!$M$5:$M$5000&lt;&gt;"")),'Weekly Log'!$M$5:$M$5000),0))</f>
        <v/>
      </c>
      <c r="J1455" t="str">
        <f>IF(COUNT('Weekly Log'!$A$5:$A$5000)=0,"",IF(MIN('Weekly Log'!$A$5:$A$5000)+7*(ROW()-10)&gt;MAX('Weekly Log'!$A$5:$A$5000),"",MIN('Weekly Log'!$A$5:$A$5000)+7*(ROW()-10)))</f>
        <v/>
      </c>
    </row>
    <row r="1456" spans="1:10" x14ac:dyDescent="0.25">
      <c r="A1456" t="str">
        <f t="shared" si="22"/>
        <v/>
      </c>
      <c r="B1456" t="str">
        <f>IF($J1456="","",SUMIFS('Weekly Log'!$C:$C,'Weekly Log'!$A:$A,"&gt;="&amp;$J1456,'Weekly Log'!$A:$A,"&lt;"&amp;$J1456+7))</f>
        <v/>
      </c>
      <c r="C1456" t="str">
        <f>IF($J1456="","",IFERROR(COUNTIFS('Weekly Log'!$G:$G,"Y",'Weekly Log'!$A:$A,"&gt;="&amp;$J1456,'Weekly Log'!$A:$A,"&lt;"&amp;$J1456+7)/COUNTIFS('Weekly Log'!$G:$G,"&lt;&gt;",'Weekly Log'!$A:$A,"&gt;="&amp;$J1456,'Weekly Log'!$A:$A,"&lt;"&amp;$J1456+7),0))</f>
        <v/>
      </c>
      <c r="D1456" t="str">
        <f>IF($J1456="","",IFERROR(COUNTIFS('Weekly Log'!$H:$H,"Y",'Weekly Log'!$A:$A,"&gt;="&amp;$J1456,'Weekly Log'!$A:$A,"&lt;"&amp;$J1456+7)/COUNTIFS('Weekly Log'!$H:$H,"&lt;&gt;",'Weekly Log'!$A:$A,"&gt;="&amp;$J1456,'Weekly Log'!$A:$A,"&lt;"&amp;$J1456+7),0))</f>
        <v/>
      </c>
      <c r="E1456" t="str">
        <f>IF($J1456="","",IFERROR(AVERAGEIFS('Weekly Log'!$F:$F,'Weekly Log'!$A:$A,"&gt;="&amp;$J1456,'Weekly Log'!$A:$A,"&lt;"&amp;$J1456+7),0))</f>
        <v/>
      </c>
      <c r="F1456" t="str">
        <f>IF($J1456="","",IFERROR(SUMIFS('Weekly Log'!$F:$F,'Weekly Log'!$A:$A,"&gt;="&amp;$J1456,'Weekly Log'!$A:$A,"&lt;"&amp;$J1456+7)/SUMIFS('Weekly Log'!$E:$E,'Weekly Log'!$A:$A,"&gt;="&amp;$J1456,'Weekly Log'!$A:$A,"&lt;"&amp;$J1456+7),0))</f>
        <v/>
      </c>
      <c r="G1456" t="str">
        <f>IF($J1456="","",IFERROR(LOOKUP(2,1/(('Weekly Log'!$A$5:$A$5000&gt;=$J1456)*('Weekly Log'!$A$5:$A$5000&lt;$J1456+7)*('Weekly Log'!$M$5:$M$5000&lt;&gt;"")),'Weekly Log'!$M$5:$M$5000),0))</f>
        <v/>
      </c>
      <c r="J1456" t="str">
        <f>IF(COUNT('Weekly Log'!$A$5:$A$5000)=0,"",IF(MIN('Weekly Log'!$A$5:$A$5000)+7*(ROW()-10)&gt;MAX('Weekly Log'!$A$5:$A$5000),"",MIN('Weekly Log'!$A$5:$A$5000)+7*(ROW()-10)))</f>
        <v/>
      </c>
    </row>
    <row r="1457" spans="1:10" x14ac:dyDescent="0.25">
      <c r="A1457" t="str">
        <f t="shared" si="22"/>
        <v/>
      </c>
      <c r="B1457" t="str">
        <f>IF($J1457="","",SUMIFS('Weekly Log'!$C:$C,'Weekly Log'!$A:$A,"&gt;="&amp;$J1457,'Weekly Log'!$A:$A,"&lt;"&amp;$J1457+7))</f>
        <v/>
      </c>
      <c r="C1457" t="str">
        <f>IF($J1457="","",IFERROR(COUNTIFS('Weekly Log'!$G:$G,"Y",'Weekly Log'!$A:$A,"&gt;="&amp;$J1457,'Weekly Log'!$A:$A,"&lt;"&amp;$J1457+7)/COUNTIFS('Weekly Log'!$G:$G,"&lt;&gt;",'Weekly Log'!$A:$A,"&gt;="&amp;$J1457,'Weekly Log'!$A:$A,"&lt;"&amp;$J1457+7),0))</f>
        <v/>
      </c>
      <c r="D1457" t="str">
        <f>IF($J1457="","",IFERROR(COUNTIFS('Weekly Log'!$H:$H,"Y",'Weekly Log'!$A:$A,"&gt;="&amp;$J1457,'Weekly Log'!$A:$A,"&lt;"&amp;$J1457+7)/COUNTIFS('Weekly Log'!$H:$H,"&lt;&gt;",'Weekly Log'!$A:$A,"&gt;="&amp;$J1457,'Weekly Log'!$A:$A,"&lt;"&amp;$J1457+7),0))</f>
        <v/>
      </c>
      <c r="E1457" t="str">
        <f>IF($J1457="","",IFERROR(AVERAGEIFS('Weekly Log'!$F:$F,'Weekly Log'!$A:$A,"&gt;="&amp;$J1457,'Weekly Log'!$A:$A,"&lt;"&amp;$J1457+7),0))</f>
        <v/>
      </c>
      <c r="F1457" t="str">
        <f>IF($J1457="","",IFERROR(SUMIFS('Weekly Log'!$F:$F,'Weekly Log'!$A:$A,"&gt;="&amp;$J1457,'Weekly Log'!$A:$A,"&lt;"&amp;$J1457+7)/SUMIFS('Weekly Log'!$E:$E,'Weekly Log'!$A:$A,"&gt;="&amp;$J1457,'Weekly Log'!$A:$A,"&lt;"&amp;$J1457+7),0))</f>
        <v/>
      </c>
      <c r="G1457" t="str">
        <f>IF($J1457="","",IFERROR(LOOKUP(2,1/(('Weekly Log'!$A$5:$A$5000&gt;=$J1457)*('Weekly Log'!$A$5:$A$5000&lt;$J1457+7)*('Weekly Log'!$M$5:$M$5000&lt;&gt;"")),'Weekly Log'!$M$5:$M$5000),0))</f>
        <v/>
      </c>
      <c r="J1457" t="str">
        <f>IF(COUNT('Weekly Log'!$A$5:$A$5000)=0,"",IF(MIN('Weekly Log'!$A$5:$A$5000)+7*(ROW()-10)&gt;MAX('Weekly Log'!$A$5:$A$5000),"",MIN('Weekly Log'!$A$5:$A$5000)+7*(ROW()-10)))</f>
        <v/>
      </c>
    </row>
    <row r="1458" spans="1:10" x14ac:dyDescent="0.25">
      <c r="A1458" t="str">
        <f t="shared" si="22"/>
        <v/>
      </c>
      <c r="B1458" t="str">
        <f>IF($J1458="","",SUMIFS('Weekly Log'!$C:$C,'Weekly Log'!$A:$A,"&gt;="&amp;$J1458,'Weekly Log'!$A:$A,"&lt;"&amp;$J1458+7))</f>
        <v/>
      </c>
      <c r="C1458" t="str">
        <f>IF($J1458="","",IFERROR(COUNTIFS('Weekly Log'!$G:$G,"Y",'Weekly Log'!$A:$A,"&gt;="&amp;$J1458,'Weekly Log'!$A:$A,"&lt;"&amp;$J1458+7)/COUNTIFS('Weekly Log'!$G:$G,"&lt;&gt;",'Weekly Log'!$A:$A,"&gt;="&amp;$J1458,'Weekly Log'!$A:$A,"&lt;"&amp;$J1458+7),0))</f>
        <v/>
      </c>
      <c r="D1458" t="str">
        <f>IF($J1458="","",IFERROR(COUNTIFS('Weekly Log'!$H:$H,"Y",'Weekly Log'!$A:$A,"&gt;="&amp;$J1458,'Weekly Log'!$A:$A,"&lt;"&amp;$J1458+7)/COUNTIFS('Weekly Log'!$H:$H,"&lt;&gt;",'Weekly Log'!$A:$A,"&gt;="&amp;$J1458,'Weekly Log'!$A:$A,"&lt;"&amp;$J1458+7),0))</f>
        <v/>
      </c>
      <c r="E1458" t="str">
        <f>IF($J1458="","",IFERROR(AVERAGEIFS('Weekly Log'!$F:$F,'Weekly Log'!$A:$A,"&gt;="&amp;$J1458,'Weekly Log'!$A:$A,"&lt;"&amp;$J1458+7),0))</f>
        <v/>
      </c>
      <c r="F1458" t="str">
        <f>IF($J1458="","",IFERROR(SUMIFS('Weekly Log'!$F:$F,'Weekly Log'!$A:$A,"&gt;="&amp;$J1458,'Weekly Log'!$A:$A,"&lt;"&amp;$J1458+7)/SUMIFS('Weekly Log'!$E:$E,'Weekly Log'!$A:$A,"&gt;="&amp;$J1458,'Weekly Log'!$A:$A,"&lt;"&amp;$J1458+7),0))</f>
        <v/>
      </c>
      <c r="G1458" t="str">
        <f>IF($J1458="","",IFERROR(LOOKUP(2,1/(('Weekly Log'!$A$5:$A$5000&gt;=$J1458)*('Weekly Log'!$A$5:$A$5000&lt;$J1458+7)*('Weekly Log'!$M$5:$M$5000&lt;&gt;"")),'Weekly Log'!$M$5:$M$5000),0))</f>
        <v/>
      </c>
      <c r="J1458" t="str">
        <f>IF(COUNT('Weekly Log'!$A$5:$A$5000)=0,"",IF(MIN('Weekly Log'!$A$5:$A$5000)+7*(ROW()-10)&gt;MAX('Weekly Log'!$A$5:$A$5000),"",MIN('Weekly Log'!$A$5:$A$5000)+7*(ROW()-10)))</f>
        <v/>
      </c>
    </row>
    <row r="1459" spans="1:10" x14ac:dyDescent="0.25">
      <c r="A1459" t="str">
        <f t="shared" si="22"/>
        <v/>
      </c>
      <c r="B1459" t="str">
        <f>IF($J1459="","",SUMIFS('Weekly Log'!$C:$C,'Weekly Log'!$A:$A,"&gt;="&amp;$J1459,'Weekly Log'!$A:$A,"&lt;"&amp;$J1459+7))</f>
        <v/>
      </c>
      <c r="C1459" t="str">
        <f>IF($J1459="","",IFERROR(COUNTIFS('Weekly Log'!$G:$G,"Y",'Weekly Log'!$A:$A,"&gt;="&amp;$J1459,'Weekly Log'!$A:$A,"&lt;"&amp;$J1459+7)/COUNTIFS('Weekly Log'!$G:$G,"&lt;&gt;",'Weekly Log'!$A:$A,"&gt;="&amp;$J1459,'Weekly Log'!$A:$A,"&lt;"&amp;$J1459+7),0))</f>
        <v/>
      </c>
      <c r="D1459" t="str">
        <f>IF($J1459="","",IFERROR(COUNTIFS('Weekly Log'!$H:$H,"Y",'Weekly Log'!$A:$A,"&gt;="&amp;$J1459,'Weekly Log'!$A:$A,"&lt;"&amp;$J1459+7)/COUNTIFS('Weekly Log'!$H:$H,"&lt;&gt;",'Weekly Log'!$A:$A,"&gt;="&amp;$J1459,'Weekly Log'!$A:$A,"&lt;"&amp;$J1459+7),0))</f>
        <v/>
      </c>
      <c r="E1459" t="str">
        <f>IF($J1459="","",IFERROR(AVERAGEIFS('Weekly Log'!$F:$F,'Weekly Log'!$A:$A,"&gt;="&amp;$J1459,'Weekly Log'!$A:$A,"&lt;"&amp;$J1459+7),0))</f>
        <v/>
      </c>
      <c r="F1459" t="str">
        <f>IF($J1459="","",IFERROR(SUMIFS('Weekly Log'!$F:$F,'Weekly Log'!$A:$A,"&gt;="&amp;$J1459,'Weekly Log'!$A:$A,"&lt;"&amp;$J1459+7)/SUMIFS('Weekly Log'!$E:$E,'Weekly Log'!$A:$A,"&gt;="&amp;$J1459,'Weekly Log'!$A:$A,"&lt;"&amp;$J1459+7),0))</f>
        <v/>
      </c>
      <c r="G1459" t="str">
        <f>IF($J1459="","",IFERROR(LOOKUP(2,1/(('Weekly Log'!$A$5:$A$5000&gt;=$J1459)*('Weekly Log'!$A$5:$A$5000&lt;$J1459+7)*('Weekly Log'!$M$5:$M$5000&lt;&gt;"")),'Weekly Log'!$M$5:$M$5000),0))</f>
        <v/>
      </c>
      <c r="J1459" t="str">
        <f>IF(COUNT('Weekly Log'!$A$5:$A$5000)=0,"",IF(MIN('Weekly Log'!$A$5:$A$5000)+7*(ROW()-10)&gt;MAX('Weekly Log'!$A$5:$A$5000),"",MIN('Weekly Log'!$A$5:$A$5000)+7*(ROW()-10)))</f>
        <v/>
      </c>
    </row>
    <row r="1460" spans="1:10" x14ac:dyDescent="0.25">
      <c r="A1460" t="str">
        <f t="shared" si="22"/>
        <v/>
      </c>
      <c r="B1460" t="str">
        <f>IF($J1460="","",SUMIFS('Weekly Log'!$C:$C,'Weekly Log'!$A:$A,"&gt;="&amp;$J1460,'Weekly Log'!$A:$A,"&lt;"&amp;$J1460+7))</f>
        <v/>
      </c>
      <c r="C1460" t="str">
        <f>IF($J1460="","",IFERROR(COUNTIFS('Weekly Log'!$G:$G,"Y",'Weekly Log'!$A:$A,"&gt;="&amp;$J1460,'Weekly Log'!$A:$A,"&lt;"&amp;$J1460+7)/COUNTIFS('Weekly Log'!$G:$G,"&lt;&gt;",'Weekly Log'!$A:$A,"&gt;="&amp;$J1460,'Weekly Log'!$A:$A,"&lt;"&amp;$J1460+7),0))</f>
        <v/>
      </c>
      <c r="D1460" t="str">
        <f>IF($J1460="","",IFERROR(COUNTIFS('Weekly Log'!$H:$H,"Y",'Weekly Log'!$A:$A,"&gt;="&amp;$J1460,'Weekly Log'!$A:$A,"&lt;"&amp;$J1460+7)/COUNTIFS('Weekly Log'!$H:$H,"&lt;&gt;",'Weekly Log'!$A:$A,"&gt;="&amp;$J1460,'Weekly Log'!$A:$A,"&lt;"&amp;$J1460+7),0))</f>
        <v/>
      </c>
      <c r="E1460" t="str">
        <f>IF($J1460="","",IFERROR(AVERAGEIFS('Weekly Log'!$F:$F,'Weekly Log'!$A:$A,"&gt;="&amp;$J1460,'Weekly Log'!$A:$A,"&lt;"&amp;$J1460+7),0))</f>
        <v/>
      </c>
      <c r="F1460" t="str">
        <f>IF($J1460="","",IFERROR(SUMIFS('Weekly Log'!$F:$F,'Weekly Log'!$A:$A,"&gt;="&amp;$J1460,'Weekly Log'!$A:$A,"&lt;"&amp;$J1460+7)/SUMIFS('Weekly Log'!$E:$E,'Weekly Log'!$A:$A,"&gt;="&amp;$J1460,'Weekly Log'!$A:$A,"&lt;"&amp;$J1460+7),0))</f>
        <v/>
      </c>
      <c r="G1460" t="str">
        <f>IF($J1460="","",IFERROR(LOOKUP(2,1/(('Weekly Log'!$A$5:$A$5000&gt;=$J1460)*('Weekly Log'!$A$5:$A$5000&lt;$J1460+7)*('Weekly Log'!$M$5:$M$5000&lt;&gt;"")),'Weekly Log'!$M$5:$M$5000),0))</f>
        <v/>
      </c>
      <c r="J1460" t="str">
        <f>IF(COUNT('Weekly Log'!$A$5:$A$5000)=0,"",IF(MIN('Weekly Log'!$A$5:$A$5000)+7*(ROW()-10)&gt;MAX('Weekly Log'!$A$5:$A$5000),"",MIN('Weekly Log'!$A$5:$A$5000)+7*(ROW()-10)))</f>
        <v/>
      </c>
    </row>
    <row r="1461" spans="1:10" x14ac:dyDescent="0.25">
      <c r="A1461" t="str">
        <f t="shared" si="22"/>
        <v/>
      </c>
      <c r="B1461" t="str">
        <f>IF($J1461="","",SUMIFS('Weekly Log'!$C:$C,'Weekly Log'!$A:$A,"&gt;="&amp;$J1461,'Weekly Log'!$A:$A,"&lt;"&amp;$J1461+7))</f>
        <v/>
      </c>
      <c r="C1461" t="str">
        <f>IF($J1461="","",IFERROR(COUNTIFS('Weekly Log'!$G:$G,"Y",'Weekly Log'!$A:$A,"&gt;="&amp;$J1461,'Weekly Log'!$A:$A,"&lt;"&amp;$J1461+7)/COUNTIFS('Weekly Log'!$G:$G,"&lt;&gt;",'Weekly Log'!$A:$A,"&gt;="&amp;$J1461,'Weekly Log'!$A:$A,"&lt;"&amp;$J1461+7),0))</f>
        <v/>
      </c>
      <c r="D1461" t="str">
        <f>IF($J1461="","",IFERROR(COUNTIFS('Weekly Log'!$H:$H,"Y",'Weekly Log'!$A:$A,"&gt;="&amp;$J1461,'Weekly Log'!$A:$A,"&lt;"&amp;$J1461+7)/COUNTIFS('Weekly Log'!$H:$H,"&lt;&gt;",'Weekly Log'!$A:$A,"&gt;="&amp;$J1461,'Weekly Log'!$A:$A,"&lt;"&amp;$J1461+7),0))</f>
        <v/>
      </c>
      <c r="E1461" t="str">
        <f>IF($J1461="","",IFERROR(AVERAGEIFS('Weekly Log'!$F:$F,'Weekly Log'!$A:$A,"&gt;="&amp;$J1461,'Weekly Log'!$A:$A,"&lt;"&amp;$J1461+7),0))</f>
        <v/>
      </c>
      <c r="F1461" t="str">
        <f>IF($J1461="","",IFERROR(SUMIFS('Weekly Log'!$F:$F,'Weekly Log'!$A:$A,"&gt;="&amp;$J1461,'Weekly Log'!$A:$A,"&lt;"&amp;$J1461+7)/SUMIFS('Weekly Log'!$E:$E,'Weekly Log'!$A:$A,"&gt;="&amp;$J1461,'Weekly Log'!$A:$A,"&lt;"&amp;$J1461+7),0))</f>
        <v/>
      </c>
      <c r="G1461" t="str">
        <f>IF($J1461="","",IFERROR(LOOKUP(2,1/(('Weekly Log'!$A$5:$A$5000&gt;=$J1461)*('Weekly Log'!$A$5:$A$5000&lt;$J1461+7)*('Weekly Log'!$M$5:$M$5000&lt;&gt;"")),'Weekly Log'!$M$5:$M$5000),0))</f>
        <v/>
      </c>
      <c r="J1461" t="str">
        <f>IF(COUNT('Weekly Log'!$A$5:$A$5000)=0,"",IF(MIN('Weekly Log'!$A$5:$A$5000)+7*(ROW()-10)&gt;MAX('Weekly Log'!$A$5:$A$5000),"",MIN('Weekly Log'!$A$5:$A$5000)+7*(ROW()-10)))</f>
        <v/>
      </c>
    </row>
    <row r="1462" spans="1:10" x14ac:dyDescent="0.25">
      <c r="A1462" t="str">
        <f t="shared" si="22"/>
        <v/>
      </c>
      <c r="B1462" t="str">
        <f>IF($J1462="","",SUMIFS('Weekly Log'!$C:$C,'Weekly Log'!$A:$A,"&gt;="&amp;$J1462,'Weekly Log'!$A:$A,"&lt;"&amp;$J1462+7))</f>
        <v/>
      </c>
      <c r="C1462" t="str">
        <f>IF($J1462="","",IFERROR(COUNTIFS('Weekly Log'!$G:$G,"Y",'Weekly Log'!$A:$A,"&gt;="&amp;$J1462,'Weekly Log'!$A:$A,"&lt;"&amp;$J1462+7)/COUNTIFS('Weekly Log'!$G:$G,"&lt;&gt;",'Weekly Log'!$A:$A,"&gt;="&amp;$J1462,'Weekly Log'!$A:$A,"&lt;"&amp;$J1462+7),0))</f>
        <v/>
      </c>
      <c r="D1462" t="str">
        <f>IF($J1462="","",IFERROR(COUNTIFS('Weekly Log'!$H:$H,"Y",'Weekly Log'!$A:$A,"&gt;="&amp;$J1462,'Weekly Log'!$A:$A,"&lt;"&amp;$J1462+7)/COUNTIFS('Weekly Log'!$H:$H,"&lt;&gt;",'Weekly Log'!$A:$A,"&gt;="&amp;$J1462,'Weekly Log'!$A:$A,"&lt;"&amp;$J1462+7),0))</f>
        <v/>
      </c>
      <c r="E1462" t="str">
        <f>IF($J1462="","",IFERROR(AVERAGEIFS('Weekly Log'!$F:$F,'Weekly Log'!$A:$A,"&gt;="&amp;$J1462,'Weekly Log'!$A:$A,"&lt;"&amp;$J1462+7),0))</f>
        <v/>
      </c>
      <c r="F1462" t="str">
        <f>IF($J1462="","",IFERROR(SUMIFS('Weekly Log'!$F:$F,'Weekly Log'!$A:$A,"&gt;="&amp;$J1462,'Weekly Log'!$A:$A,"&lt;"&amp;$J1462+7)/SUMIFS('Weekly Log'!$E:$E,'Weekly Log'!$A:$A,"&gt;="&amp;$J1462,'Weekly Log'!$A:$A,"&lt;"&amp;$J1462+7),0))</f>
        <v/>
      </c>
      <c r="G1462" t="str">
        <f>IF($J1462="","",IFERROR(LOOKUP(2,1/(('Weekly Log'!$A$5:$A$5000&gt;=$J1462)*('Weekly Log'!$A$5:$A$5000&lt;$J1462+7)*('Weekly Log'!$M$5:$M$5000&lt;&gt;"")),'Weekly Log'!$M$5:$M$5000),0))</f>
        <v/>
      </c>
      <c r="J1462" t="str">
        <f>IF(COUNT('Weekly Log'!$A$5:$A$5000)=0,"",IF(MIN('Weekly Log'!$A$5:$A$5000)+7*(ROW()-10)&gt;MAX('Weekly Log'!$A$5:$A$5000),"",MIN('Weekly Log'!$A$5:$A$5000)+7*(ROW()-10)))</f>
        <v/>
      </c>
    </row>
    <row r="1463" spans="1:10" x14ac:dyDescent="0.25">
      <c r="A1463" t="str">
        <f t="shared" si="22"/>
        <v/>
      </c>
      <c r="B1463" t="str">
        <f>IF($J1463="","",SUMIFS('Weekly Log'!$C:$C,'Weekly Log'!$A:$A,"&gt;="&amp;$J1463,'Weekly Log'!$A:$A,"&lt;"&amp;$J1463+7))</f>
        <v/>
      </c>
      <c r="C1463" t="str">
        <f>IF($J1463="","",IFERROR(COUNTIFS('Weekly Log'!$G:$G,"Y",'Weekly Log'!$A:$A,"&gt;="&amp;$J1463,'Weekly Log'!$A:$A,"&lt;"&amp;$J1463+7)/COUNTIFS('Weekly Log'!$G:$G,"&lt;&gt;",'Weekly Log'!$A:$A,"&gt;="&amp;$J1463,'Weekly Log'!$A:$A,"&lt;"&amp;$J1463+7),0))</f>
        <v/>
      </c>
      <c r="D1463" t="str">
        <f>IF($J1463="","",IFERROR(COUNTIFS('Weekly Log'!$H:$H,"Y",'Weekly Log'!$A:$A,"&gt;="&amp;$J1463,'Weekly Log'!$A:$A,"&lt;"&amp;$J1463+7)/COUNTIFS('Weekly Log'!$H:$H,"&lt;&gt;",'Weekly Log'!$A:$A,"&gt;="&amp;$J1463,'Weekly Log'!$A:$A,"&lt;"&amp;$J1463+7),0))</f>
        <v/>
      </c>
      <c r="E1463" t="str">
        <f>IF($J1463="","",IFERROR(AVERAGEIFS('Weekly Log'!$F:$F,'Weekly Log'!$A:$A,"&gt;="&amp;$J1463,'Weekly Log'!$A:$A,"&lt;"&amp;$J1463+7),0))</f>
        <v/>
      </c>
      <c r="F1463" t="str">
        <f>IF($J1463="","",IFERROR(SUMIFS('Weekly Log'!$F:$F,'Weekly Log'!$A:$A,"&gt;="&amp;$J1463,'Weekly Log'!$A:$A,"&lt;"&amp;$J1463+7)/SUMIFS('Weekly Log'!$E:$E,'Weekly Log'!$A:$A,"&gt;="&amp;$J1463,'Weekly Log'!$A:$A,"&lt;"&amp;$J1463+7),0))</f>
        <v/>
      </c>
      <c r="G1463" t="str">
        <f>IF($J1463="","",IFERROR(LOOKUP(2,1/(('Weekly Log'!$A$5:$A$5000&gt;=$J1463)*('Weekly Log'!$A$5:$A$5000&lt;$J1463+7)*('Weekly Log'!$M$5:$M$5000&lt;&gt;"")),'Weekly Log'!$M$5:$M$5000),0))</f>
        <v/>
      </c>
      <c r="J1463" t="str">
        <f>IF(COUNT('Weekly Log'!$A$5:$A$5000)=0,"",IF(MIN('Weekly Log'!$A$5:$A$5000)+7*(ROW()-10)&gt;MAX('Weekly Log'!$A$5:$A$5000),"",MIN('Weekly Log'!$A$5:$A$5000)+7*(ROW()-10)))</f>
        <v/>
      </c>
    </row>
    <row r="1464" spans="1:10" x14ac:dyDescent="0.25">
      <c r="A1464" t="str">
        <f t="shared" si="22"/>
        <v/>
      </c>
      <c r="B1464" t="str">
        <f>IF($J1464="","",SUMIFS('Weekly Log'!$C:$C,'Weekly Log'!$A:$A,"&gt;="&amp;$J1464,'Weekly Log'!$A:$A,"&lt;"&amp;$J1464+7))</f>
        <v/>
      </c>
      <c r="C1464" t="str">
        <f>IF($J1464="","",IFERROR(COUNTIFS('Weekly Log'!$G:$G,"Y",'Weekly Log'!$A:$A,"&gt;="&amp;$J1464,'Weekly Log'!$A:$A,"&lt;"&amp;$J1464+7)/COUNTIFS('Weekly Log'!$G:$G,"&lt;&gt;",'Weekly Log'!$A:$A,"&gt;="&amp;$J1464,'Weekly Log'!$A:$A,"&lt;"&amp;$J1464+7),0))</f>
        <v/>
      </c>
      <c r="D1464" t="str">
        <f>IF($J1464="","",IFERROR(COUNTIFS('Weekly Log'!$H:$H,"Y",'Weekly Log'!$A:$A,"&gt;="&amp;$J1464,'Weekly Log'!$A:$A,"&lt;"&amp;$J1464+7)/COUNTIFS('Weekly Log'!$H:$H,"&lt;&gt;",'Weekly Log'!$A:$A,"&gt;="&amp;$J1464,'Weekly Log'!$A:$A,"&lt;"&amp;$J1464+7),0))</f>
        <v/>
      </c>
      <c r="E1464" t="str">
        <f>IF($J1464="","",IFERROR(AVERAGEIFS('Weekly Log'!$F:$F,'Weekly Log'!$A:$A,"&gt;="&amp;$J1464,'Weekly Log'!$A:$A,"&lt;"&amp;$J1464+7),0))</f>
        <v/>
      </c>
      <c r="F1464" t="str">
        <f>IF($J1464="","",IFERROR(SUMIFS('Weekly Log'!$F:$F,'Weekly Log'!$A:$A,"&gt;="&amp;$J1464,'Weekly Log'!$A:$A,"&lt;"&amp;$J1464+7)/SUMIFS('Weekly Log'!$E:$E,'Weekly Log'!$A:$A,"&gt;="&amp;$J1464,'Weekly Log'!$A:$A,"&lt;"&amp;$J1464+7),0))</f>
        <v/>
      </c>
      <c r="G1464" t="str">
        <f>IF($J1464="","",IFERROR(LOOKUP(2,1/(('Weekly Log'!$A$5:$A$5000&gt;=$J1464)*('Weekly Log'!$A$5:$A$5000&lt;$J1464+7)*('Weekly Log'!$M$5:$M$5000&lt;&gt;"")),'Weekly Log'!$M$5:$M$5000),0))</f>
        <v/>
      </c>
      <c r="J1464" t="str">
        <f>IF(COUNT('Weekly Log'!$A$5:$A$5000)=0,"",IF(MIN('Weekly Log'!$A$5:$A$5000)+7*(ROW()-10)&gt;MAX('Weekly Log'!$A$5:$A$5000),"",MIN('Weekly Log'!$A$5:$A$5000)+7*(ROW()-10)))</f>
        <v/>
      </c>
    </row>
    <row r="1465" spans="1:10" x14ac:dyDescent="0.25">
      <c r="A1465" t="str">
        <f t="shared" si="22"/>
        <v/>
      </c>
      <c r="B1465" t="str">
        <f>IF($J1465="","",SUMIFS('Weekly Log'!$C:$C,'Weekly Log'!$A:$A,"&gt;="&amp;$J1465,'Weekly Log'!$A:$A,"&lt;"&amp;$J1465+7))</f>
        <v/>
      </c>
      <c r="C1465" t="str">
        <f>IF($J1465="","",IFERROR(COUNTIFS('Weekly Log'!$G:$G,"Y",'Weekly Log'!$A:$A,"&gt;="&amp;$J1465,'Weekly Log'!$A:$A,"&lt;"&amp;$J1465+7)/COUNTIFS('Weekly Log'!$G:$G,"&lt;&gt;",'Weekly Log'!$A:$A,"&gt;="&amp;$J1465,'Weekly Log'!$A:$A,"&lt;"&amp;$J1465+7),0))</f>
        <v/>
      </c>
      <c r="D1465" t="str">
        <f>IF($J1465="","",IFERROR(COUNTIFS('Weekly Log'!$H:$H,"Y",'Weekly Log'!$A:$A,"&gt;="&amp;$J1465,'Weekly Log'!$A:$A,"&lt;"&amp;$J1465+7)/COUNTIFS('Weekly Log'!$H:$H,"&lt;&gt;",'Weekly Log'!$A:$A,"&gt;="&amp;$J1465,'Weekly Log'!$A:$A,"&lt;"&amp;$J1465+7),0))</f>
        <v/>
      </c>
      <c r="E1465" t="str">
        <f>IF($J1465="","",IFERROR(AVERAGEIFS('Weekly Log'!$F:$F,'Weekly Log'!$A:$A,"&gt;="&amp;$J1465,'Weekly Log'!$A:$A,"&lt;"&amp;$J1465+7),0))</f>
        <v/>
      </c>
      <c r="F1465" t="str">
        <f>IF($J1465="","",IFERROR(SUMIFS('Weekly Log'!$F:$F,'Weekly Log'!$A:$A,"&gt;="&amp;$J1465,'Weekly Log'!$A:$A,"&lt;"&amp;$J1465+7)/SUMIFS('Weekly Log'!$E:$E,'Weekly Log'!$A:$A,"&gt;="&amp;$J1465,'Weekly Log'!$A:$A,"&lt;"&amp;$J1465+7),0))</f>
        <v/>
      </c>
      <c r="G1465" t="str">
        <f>IF($J1465="","",IFERROR(LOOKUP(2,1/(('Weekly Log'!$A$5:$A$5000&gt;=$J1465)*('Weekly Log'!$A$5:$A$5000&lt;$J1465+7)*('Weekly Log'!$M$5:$M$5000&lt;&gt;"")),'Weekly Log'!$M$5:$M$5000),0))</f>
        <v/>
      </c>
      <c r="J1465" t="str">
        <f>IF(COUNT('Weekly Log'!$A$5:$A$5000)=0,"",IF(MIN('Weekly Log'!$A$5:$A$5000)+7*(ROW()-10)&gt;MAX('Weekly Log'!$A$5:$A$5000),"",MIN('Weekly Log'!$A$5:$A$5000)+7*(ROW()-10)))</f>
        <v/>
      </c>
    </row>
    <row r="1466" spans="1:10" x14ac:dyDescent="0.25">
      <c r="A1466" t="str">
        <f t="shared" si="22"/>
        <v/>
      </c>
      <c r="B1466" t="str">
        <f>IF($J1466="","",SUMIFS('Weekly Log'!$C:$C,'Weekly Log'!$A:$A,"&gt;="&amp;$J1466,'Weekly Log'!$A:$A,"&lt;"&amp;$J1466+7))</f>
        <v/>
      </c>
      <c r="C1466" t="str">
        <f>IF($J1466="","",IFERROR(COUNTIFS('Weekly Log'!$G:$G,"Y",'Weekly Log'!$A:$A,"&gt;="&amp;$J1466,'Weekly Log'!$A:$A,"&lt;"&amp;$J1466+7)/COUNTIFS('Weekly Log'!$G:$G,"&lt;&gt;",'Weekly Log'!$A:$A,"&gt;="&amp;$J1466,'Weekly Log'!$A:$A,"&lt;"&amp;$J1466+7),0))</f>
        <v/>
      </c>
      <c r="D1466" t="str">
        <f>IF($J1466="","",IFERROR(COUNTIFS('Weekly Log'!$H:$H,"Y",'Weekly Log'!$A:$A,"&gt;="&amp;$J1466,'Weekly Log'!$A:$A,"&lt;"&amp;$J1466+7)/COUNTIFS('Weekly Log'!$H:$H,"&lt;&gt;",'Weekly Log'!$A:$A,"&gt;="&amp;$J1466,'Weekly Log'!$A:$A,"&lt;"&amp;$J1466+7),0))</f>
        <v/>
      </c>
      <c r="E1466" t="str">
        <f>IF($J1466="","",IFERROR(AVERAGEIFS('Weekly Log'!$F:$F,'Weekly Log'!$A:$A,"&gt;="&amp;$J1466,'Weekly Log'!$A:$A,"&lt;"&amp;$J1466+7),0))</f>
        <v/>
      </c>
      <c r="F1466" t="str">
        <f>IF($J1466="","",IFERROR(SUMIFS('Weekly Log'!$F:$F,'Weekly Log'!$A:$A,"&gt;="&amp;$J1466,'Weekly Log'!$A:$A,"&lt;"&amp;$J1466+7)/SUMIFS('Weekly Log'!$E:$E,'Weekly Log'!$A:$A,"&gt;="&amp;$J1466,'Weekly Log'!$A:$A,"&lt;"&amp;$J1466+7),0))</f>
        <v/>
      </c>
      <c r="G1466" t="str">
        <f>IF($J1466="","",IFERROR(LOOKUP(2,1/(('Weekly Log'!$A$5:$A$5000&gt;=$J1466)*('Weekly Log'!$A$5:$A$5000&lt;$J1466+7)*('Weekly Log'!$M$5:$M$5000&lt;&gt;"")),'Weekly Log'!$M$5:$M$5000),0))</f>
        <v/>
      </c>
      <c r="J1466" t="str">
        <f>IF(COUNT('Weekly Log'!$A$5:$A$5000)=0,"",IF(MIN('Weekly Log'!$A$5:$A$5000)+7*(ROW()-10)&gt;MAX('Weekly Log'!$A$5:$A$5000),"",MIN('Weekly Log'!$A$5:$A$5000)+7*(ROW()-10)))</f>
        <v/>
      </c>
    </row>
    <row r="1467" spans="1:10" x14ac:dyDescent="0.25">
      <c r="A1467" t="str">
        <f t="shared" si="22"/>
        <v/>
      </c>
      <c r="B1467" t="str">
        <f>IF($J1467="","",SUMIFS('Weekly Log'!$C:$C,'Weekly Log'!$A:$A,"&gt;="&amp;$J1467,'Weekly Log'!$A:$A,"&lt;"&amp;$J1467+7))</f>
        <v/>
      </c>
      <c r="C1467" t="str">
        <f>IF($J1467="","",IFERROR(COUNTIFS('Weekly Log'!$G:$G,"Y",'Weekly Log'!$A:$A,"&gt;="&amp;$J1467,'Weekly Log'!$A:$A,"&lt;"&amp;$J1467+7)/COUNTIFS('Weekly Log'!$G:$G,"&lt;&gt;",'Weekly Log'!$A:$A,"&gt;="&amp;$J1467,'Weekly Log'!$A:$A,"&lt;"&amp;$J1467+7),0))</f>
        <v/>
      </c>
      <c r="D1467" t="str">
        <f>IF($J1467="","",IFERROR(COUNTIFS('Weekly Log'!$H:$H,"Y",'Weekly Log'!$A:$A,"&gt;="&amp;$J1467,'Weekly Log'!$A:$A,"&lt;"&amp;$J1467+7)/COUNTIFS('Weekly Log'!$H:$H,"&lt;&gt;",'Weekly Log'!$A:$A,"&gt;="&amp;$J1467,'Weekly Log'!$A:$A,"&lt;"&amp;$J1467+7),0))</f>
        <v/>
      </c>
      <c r="E1467" t="str">
        <f>IF($J1467="","",IFERROR(AVERAGEIFS('Weekly Log'!$F:$F,'Weekly Log'!$A:$A,"&gt;="&amp;$J1467,'Weekly Log'!$A:$A,"&lt;"&amp;$J1467+7),0))</f>
        <v/>
      </c>
      <c r="F1467" t="str">
        <f>IF($J1467="","",IFERROR(SUMIFS('Weekly Log'!$F:$F,'Weekly Log'!$A:$A,"&gt;="&amp;$J1467,'Weekly Log'!$A:$A,"&lt;"&amp;$J1467+7)/SUMIFS('Weekly Log'!$E:$E,'Weekly Log'!$A:$A,"&gt;="&amp;$J1467,'Weekly Log'!$A:$A,"&lt;"&amp;$J1467+7),0))</f>
        <v/>
      </c>
      <c r="G1467" t="str">
        <f>IF($J1467="","",IFERROR(LOOKUP(2,1/(('Weekly Log'!$A$5:$A$5000&gt;=$J1467)*('Weekly Log'!$A$5:$A$5000&lt;$J1467+7)*('Weekly Log'!$M$5:$M$5000&lt;&gt;"")),'Weekly Log'!$M$5:$M$5000),0))</f>
        <v/>
      </c>
      <c r="J1467" t="str">
        <f>IF(COUNT('Weekly Log'!$A$5:$A$5000)=0,"",IF(MIN('Weekly Log'!$A$5:$A$5000)+7*(ROW()-10)&gt;MAX('Weekly Log'!$A$5:$A$5000),"",MIN('Weekly Log'!$A$5:$A$5000)+7*(ROW()-10)))</f>
        <v/>
      </c>
    </row>
    <row r="1468" spans="1:10" x14ac:dyDescent="0.25">
      <c r="A1468" t="str">
        <f t="shared" si="22"/>
        <v/>
      </c>
      <c r="B1468" t="str">
        <f>IF($J1468="","",SUMIFS('Weekly Log'!$C:$C,'Weekly Log'!$A:$A,"&gt;="&amp;$J1468,'Weekly Log'!$A:$A,"&lt;"&amp;$J1468+7))</f>
        <v/>
      </c>
      <c r="C1468" t="str">
        <f>IF($J1468="","",IFERROR(COUNTIFS('Weekly Log'!$G:$G,"Y",'Weekly Log'!$A:$A,"&gt;="&amp;$J1468,'Weekly Log'!$A:$A,"&lt;"&amp;$J1468+7)/COUNTIFS('Weekly Log'!$G:$G,"&lt;&gt;",'Weekly Log'!$A:$A,"&gt;="&amp;$J1468,'Weekly Log'!$A:$A,"&lt;"&amp;$J1468+7),0))</f>
        <v/>
      </c>
      <c r="D1468" t="str">
        <f>IF($J1468="","",IFERROR(COUNTIFS('Weekly Log'!$H:$H,"Y",'Weekly Log'!$A:$A,"&gt;="&amp;$J1468,'Weekly Log'!$A:$A,"&lt;"&amp;$J1468+7)/COUNTIFS('Weekly Log'!$H:$H,"&lt;&gt;",'Weekly Log'!$A:$A,"&gt;="&amp;$J1468,'Weekly Log'!$A:$A,"&lt;"&amp;$J1468+7),0))</f>
        <v/>
      </c>
      <c r="E1468" t="str">
        <f>IF($J1468="","",IFERROR(AVERAGEIFS('Weekly Log'!$F:$F,'Weekly Log'!$A:$A,"&gt;="&amp;$J1468,'Weekly Log'!$A:$A,"&lt;"&amp;$J1468+7),0))</f>
        <v/>
      </c>
      <c r="F1468" t="str">
        <f>IF($J1468="","",IFERROR(SUMIFS('Weekly Log'!$F:$F,'Weekly Log'!$A:$A,"&gt;="&amp;$J1468,'Weekly Log'!$A:$A,"&lt;"&amp;$J1468+7)/SUMIFS('Weekly Log'!$E:$E,'Weekly Log'!$A:$A,"&gt;="&amp;$J1468,'Weekly Log'!$A:$A,"&lt;"&amp;$J1468+7),0))</f>
        <v/>
      </c>
      <c r="G1468" t="str">
        <f>IF($J1468="","",IFERROR(LOOKUP(2,1/(('Weekly Log'!$A$5:$A$5000&gt;=$J1468)*('Weekly Log'!$A$5:$A$5000&lt;$J1468+7)*('Weekly Log'!$M$5:$M$5000&lt;&gt;"")),'Weekly Log'!$M$5:$M$5000),0))</f>
        <v/>
      </c>
      <c r="J1468" t="str">
        <f>IF(COUNT('Weekly Log'!$A$5:$A$5000)=0,"",IF(MIN('Weekly Log'!$A$5:$A$5000)+7*(ROW()-10)&gt;MAX('Weekly Log'!$A$5:$A$5000),"",MIN('Weekly Log'!$A$5:$A$5000)+7*(ROW()-10)))</f>
        <v/>
      </c>
    </row>
    <row r="1469" spans="1:10" x14ac:dyDescent="0.25">
      <c r="A1469" t="str">
        <f t="shared" si="22"/>
        <v/>
      </c>
      <c r="B1469" t="str">
        <f>IF($J1469="","",SUMIFS('Weekly Log'!$C:$C,'Weekly Log'!$A:$A,"&gt;="&amp;$J1469,'Weekly Log'!$A:$A,"&lt;"&amp;$J1469+7))</f>
        <v/>
      </c>
      <c r="C1469" t="str">
        <f>IF($J1469="","",IFERROR(COUNTIFS('Weekly Log'!$G:$G,"Y",'Weekly Log'!$A:$A,"&gt;="&amp;$J1469,'Weekly Log'!$A:$A,"&lt;"&amp;$J1469+7)/COUNTIFS('Weekly Log'!$G:$G,"&lt;&gt;",'Weekly Log'!$A:$A,"&gt;="&amp;$J1469,'Weekly Log'!$A:$A,"&lt;"&amp;$J1469+7),0))</f>
        <v/>
      </c>
      <c r="D1469" t="str">
        <f>IF($J1469="","",IFERROR(COUNTIFS('Weekly Log'!$H:$H,"Y",'Weekly Log'!$A:$A,"&gt;="&amp;$J1469,'Weekly Log'!$A:$A,"&lt;"&amp;$J1469+7)/COUNTIFS('Weekly Log'!$H:$H,"&lt;&gt;",'Weekly Log'!$A:$A,"&gt;="&amp;$J1469,'Weekly Log'!$A:$A,"&lt;"&amp;$J1469+7),0))</f>
        <v/>
      </c>
      <c r="E1469" t="str">
        <f>IF($J1469="","",IFERROR(AVERAGEIFS('Weekly Log'!$F:$F,'Weekly Log'!$A:$A,"&gt;="&amp;$J1469,'Weekly Log'!$A:$A,"&lt;"&amp;$J1469+7),0))</f>
        <v/>
      </c>
      <c r="F1469" t="str">
        <f>IF($J1469="","",IFERROR(SUMIFS('Weekly Log'!$F:$F,'Weekly Log'!$A:$A,"&gt;="&amp;$J1469,'Weekly Log'!$A:$A,"&lt;"&amp;$J1469+7)/SUMIFS('Weekly Log'!$E:$E,'Weekly Log'!$A:$A,"&gt;="&amp;$J1469,'Weekly Log'!$A:$A,"&lt;"&amp;$J1469+7),0))</f>
        <v/>
      </c>
      <c r="G1469" t="str">
        <f>IF($J1469="","",IFERROR(LOOKUP(2,1/(('Weekly Log'!$A$5:$A$5000&gt;=$J1469)*('Weekly Log'!$A$5:$A$5000&lt;$J1469+7)*('Weekly Log'!$M$5:$M$5000&lt;&gt;"")),'Weekly Log'!$M$5:$M$5000),0))</f>
        <v/>
      </c>
      <c r="J1469" t="str">
        <f>IF(COUNT('Weekly Log'!$A$5:$A$5000)=0,"",IF(MIN('Weekly Log'!$A$5:$A$5000)+7*(ROW()-10)&gt;MAX('Weekly Log'!$A$5:$A$5000),"",MIN('Weekly Log'!$A$5:$A$5000)+7*(ROW()-10)))</f>
        <v/>
      </c>
    </row>
    <row r="1470" spans="1:10" x14ac:dyDescent="0.25">
      <c r="A1470" t="str">
        <f t="shared" si="22"/>
        <v/>
      </c>
      <c r="B1470" t="str">
        <f>IF($J1470="","",SUMIFS('Weekly Log'!$C:$C,'Weekly Log'!$A:$A,"&gt;="&amp;$J1470,'Weekly Log'!$A:$A,"&lt;"&amp;$J1470+7))</f>
        <v/>
      </c>
      <c r="C1470" t="str">
        <f>IF($J1470="","",IFERROR(COUNTIFS('Weekly Log'!$G:$G,"Y",'Weekly Log'!$A:$A,"&gt;="&amp;$J1470,'Weekly Log'!$A:$A,"&lt;"&amp;$J1470+7)/COUNTIFS('Weekly Log'!$G:$G,"&lt;&gt;",'Weekly Log'!$A:$A,"&gt;="&amp;$J1470,'Weekly Log'!$A:$A,"&lt;"&amp;$J1470+7),0))</f>
        <v/>
      </c>
      <c r="D1470" t="str">
        <f>IF($J1470="","",IFERROR(COUNTIFS('Weekly Log'!$H:$H,"Y",'Weekly Log'!$A:$A,"&gt;="&amp;$J1470,'Weekly Log'!$A:$A,"&lt;"&amp;$J1470+7)/COUNTIFS('Weekly Log'!$H:$H,"&lt;&gt;",'Weekly Log'!$A:$A,"&gt;="&amp;$J1470,'Weekly Log'!$A:$A,"&lt;"&amp;$J1470+7),0))</f>
        <v/>
      </c>
      <c r="E1470" t="str">
        <f>IF($J1470="","",IFERROR(AVERAGEIFS('Weekly Log'!$F:$F,'Weekly Log'!$A:$A,"&gt;="&amp;$J1470,'Weekly Log'!$A:$A,"&lt;"&amp;$J1470+7),0))</f>
        <v/>
      </c>
      <c r="F1470" t="str">
        <f>IF($J1470="","",IFERROR(SUMIFS('Weekly Log'!$F:$F,'Weekly Log'!$A:$A,"&gt;="&amp;$J1470,'Weekly Log'!$A:$A,"&lt;"&amp;$J1470+7)/SUMIFS('Weekly Log'!$E:$E,'Weekly Log'!$A:$A,"&gt;="&amp;$J1470,'Weekly Log'!$A:$A,"&lt;"&amp;$J1470+7),0))</f>
        <v/>
      </c>
      <c r="G1470" t="str">
        <f>IF($J1470="","",IFERROR(LOOKUP(2,1/(('Weekly Log'!$A$5:$A$5000&gt;=$J1470)*('Weekly Log'!$A$5:$A$5000&lt;$J1470+7)*('Weekly Log'!$M$5:$M$5000&lt;&gt;"")),'Weekly Log'!$M$5:$M$5000),0))</f>
        <v/>
      </c>
      <c r="J1470" t="str">
        <f>IF(COUNT('Weekly Log'!$A$5:$A$5000)=0,"",IF(MIN('Weekly Log'!$A$5:$A$5000)+7*(ROW()-10)&gt;MAX('Weekly Log'!$A$5:$A$5000),"",MIN('Weekly Log'!$A$5:$A$5000)+7*(ROW()-10)))</f>
        <v/>
      </c>
    </row>
    <row r="1471" spans="1:10" x14ac:dyDescent="0.25">
      <c r="A1471" t="str">
        <f t="shared" si="22"/>
        <v/>
      </c>
      <c r="B1471" t="str">
        <f>IF($J1471="","",SUMIFS('Weekly Log'!$C:$C,'Weekly Log'!$A:$A,"&gt;="&amp;$J1471,'Weekly Log'!$A:$A,"&lt;"&amp;$J1471+7))</f>
        <v/>
      </c>
      <c r="C1471" t="str">
        <f>IF($J1471="","",IFERROR(COUNTIFS('Weekly Log'!$G:$G,"Y",'Weekly Log'!$A:$A,"&gt;="&amp;$J1471,'Weekly Log'!$A:$A,"&lt;"&amp;$J1471+7)/COUNTIFS('Weekly Log'!$G:$G,"&lt;&gt;",'Weekly Log'!$A:$A,"&gt;="&amp;$J1471,'Weekly Log'!$A:$A,"&lt;"&amp;$J1471+7),0))</f>
        <v/>
      </c>
      <c r="D1471" t="str">
        <f>IF($J1471="","",IFERROR(COUNTIFS('Weekly Log'!$H:$H,"Y",'Weekly Log'!$A:$A,"&gt;="&amp;$J1471,'Weekly Log'!$A:$A,"&lt;"&amp;$J1471+7)/COUNTIFS('Weekly Log'!$H:$H,"&lt;&gt;",'Weekly Log'!$A:$A,"&gt;="&amp;$J1471,'Weekly Log'!$A:$A,"&lt;"&amp;$J1471+7),0))</f>
        <v/>
      </c>
      <c r="E1471" t="str">
        <f>IF($J1471="","",IFERROR(AVERAGEIFS('Weekly Log'!$F:$F,'Weekly Log'!$A:$A,"&gt;="&amp;$J1471,'Weekly Log'!$A:$A,"&lt;"&amp;$J1471+7),0))</f>
        <v/>
      </c>
      <c r="F1471" t="str">
        <f>IF($J1471="","",IFERROR(SUMIFS('Weekly Log'!$F:$F,'Weekly Log'!$A:$A,"&gt;="&amp;$J1471,'Weekly Log'!$A:$A,"&lt;"&amp;$J1471+7)/SUMIFS('Weekly Log'!$E:$E,'Weekly Log'!$A:$A,"&gt;="&amp;$J1471,'Weekly Log'!$A:$A,"&lt;"&amp;$J1471+7),0))</f>
        <v/>
      </c>
      <c r="G1471" t="str">
        <f>IF($J1471="","",IFERROR(LOOKUP(2,1/(('Weekly Log'!$A$5:$A$5000&gt;=$J1471)*('Weekly Log'!$A$5:$A$5000&lt;$J1471+7)*('Weekly Log'!$M$5:$M$5000&lt;&gt;"")),'Weekly Log'!$M$5:$M$5000),0))</f>
        <v/>
      </c>
      <c r="J1471" t="str">
        <f>IF(COUNT('Weekly Log'!$A$5:$A$5000)=0,"",IF(MIN('Weekly Log'!$A$5:$A$5000)+7*(ROW()-10)&gt;MAX('Weekly Log'!$A$5:$A$5000),"",MIN('Weekly Log'!$A$5:$A$5000)+7*(ROW()-10)))</f>
        <v/>
      </c>
    </row>
    <row r="1472" spans="1:10" x14ac:dyDescent="0.25">
      <c r="A1472" t="str">
        <f t="shared" si="22"/>
        <v/>
      </c>
      <c r="B1472" t="str">
        <f>IF($J1472="","",SUMIFS('Weekly Log'!$C:$C,'Weekly Log'!$A:$A,"&gt;="&amp;$J1472,'Weekly Log'!$A:$A,"&lt;"&amp;$J1472+7))</f>
        <v/>
      </c>
      <c r="C1472" t="str">
        <f>IF($J1472="","",IFERROR(COUNTIFS('Weekly Log'!$G:$G,"Y",'Weekly Log'!$A:$A,"&gt;="&amp;$J1472,'Weekly Log'!$A:$A,"&lt;"&amp;$J1472+7)/COUNTIFS('Weekly Log'!$G:$G,"&lt;&gt;",'Weekly Log'!$A:$A,"&gt;="&amp;$J1472,'Weekly Log'!$A:$A,"&lt;"&amp;$J1472+7),0))</f>
        <v/>
      </c>
      <c r="D1472" t="str">
        <f>IF($J1472="","",IFERROR(COUNTIFS('Weekly Log'!$H:$H,"Y",'Weekly Log'!$A:$A,"&gt;="&amp;$J1472,'Weekly Log'!$A:$A,"&lt;"&amp;$J1472+7)/COUNTIFS('Weekly Log'!$H:$H,"&lt;&gt;",'Weekly Log'!$A:$A,"&gt;="&amp;$J1472,'Weekly Log'!$A:$A,"&lt;"&amp;$J1472+7),0))</f>
        <v/>
      </c>
      <c r="E1472" t="str">
        <f>IF($J1472="","",IFERROR(AVERAGEIFS('Weekly Log'!$F:$F,'Weekly Log'!$A:$A,"&gt;="&amp;$J1472,'Weekly Log'!$A:$A,"&lt;"&amp;$J1472+7),0))</f>
        <v/>
      </c>
      <c r="F1472" t="str">
        <f>IF($J1472="","",IFERROR(SUMIFS('Weekly Log'!$F:$F,'Weekly Log'!$A:$A,"&gt;="&amp;$J1472,'Weekly Log'!$A:$A,"&lt;"&amp;$J1472+7)/SUMIFS('Weekly Log'!$E:$E,'Weekly Log'!$A:$A,"&gt;="&amp;$J1472,'Weekly Log'!$A:$A,"&lt;"&amp;$J1472+7),0))</f>
        <v/>
      </c>
      <c r="G1472" t="str">
        <f>IF($J1472="","",IFERROR(LOOKUP(2,1/(('Weekly Log'!$A$5:$A$5000&gt;=$J1472)*('Weekly Log'!$A$5:$A$5000&lt;$J1472+7)*('Weekly Log'!$M$5:$M$5000&lt;&gt;"")),'Weekly Log'!$M$5:$M$5000),0))</f>
        <v/>
      </c>
      <c r="J1472" t="str">
        <f>IF(COUNT('Weekly Log'!$A$5:$A$5000)=0,"",IF(MIN('Weekly Log'!$A$5:$A$5000)+7*(ROW()-10)&gt;MAX('Weekly Log'!$A$5:$A$5000),"",MIN('Weekly Log'!$A$5:$A$5000)+7*(ROW()-10)))</f>
        <v/>
      </c>
    </row>
    <row r="1473" spans="1:10" x14ac:dyDescent="0.25">
      <c r="A1473" t="str">
        <f t="shared" si="22"/>
        <v/>
      </c>
      <c r="B1473" t="str">
        <f>IF($J1473="","",SUMIFS('Weekly Log'!$C:$C,'Weekly Log'!$A:$A,"&gt;="&amp;$J1473,'Weekly Log'!$A:$A,"&lt;"&amp;$J1473+7))</f>
        <v/>
      </c>
      <c r="C1473" t="str">
        <f>IF($J1473="","",IFERROR(COUNTIFS('Weekly Log'!$G:$G,"Y",'Weekly Log'!$A:$A,"&gt;="&amp;$J1473,'Weekly Log'!$A:$A,"&lt;"&amp;$J1473+7)/COUNTIFS('Weekly Log'!$G:$G,"&lt;&gt;",'Weekly Log'!$A:$A,"&gt;="&amp;$J1473,'Weekly Log'!$A:$A,"&lt;"&amp;$J1473+7),0))</f>
        <v/>
      </c>
      <c r="D1473" t="str">
        <f>IF($J1473="","",IFERROR(COUNTIFS('Weekly Log'!$H:$H,"Y",'Weekly Log'!$A:$A,"&gt;="&amp;$J1473,'Weekly Log'!$A:$A,"&lt;"&amp;$J1473+7)/COUNTIFS('Weekly Log'!$H:$H,"&lt;&gt;",'Weekly Log'!$A:$A,"&gt;="&amp;$J1473,'Weekly Log'!$A:$A,"&lt;"&amp;$J1473+7),0))</f>
        <v/>
      </c>
      <c r="E1473" t="str">
        <f>IF($J1473="","",IFERROR(AVERAGEIFS('Weekly Log'!$F:$F,'Weekly Log'!$A:$A,"&gt;="&amp;$J1473,'Weekly Log'!$A:$A,"&lt;"&amp;$J1473+7),0))</f>
        <v/>
      </c>
      <c r="F1473" t="str">
        <f>IF($J1473="","",IFERROR(SUMIFS('Weekly Log'!$F:$F,'Weekly Log'!$A:$A,"&gt;="&amp;$J1473,'Weekly Log'!$A:$A,"&lt;"&amp;$J1473+7)/SUMIFS('Weekly Log'!$E:$E,'Weekly Log'!$A:$A,"&gt;="&amp;$J1473,'Weekly Log'!$A:$A,"&lt;"&amp;$J1473+7),0))</f>
        <v/>
      </c>
      <c r="G1473" t="str">
        <f>IF($J1473="","",IFERROR(LOOKUP(2,1/(('Weekly Log'!$A$5:$A$5000&gt;=$J1473)*('Weekly Log'!$A$5:$A$5000&lt;$J1473+7)*('Weekly Log'!$M$5:$M$5000&lt;&gt;"")),'Weekly Log'!$M$5:$M$5000),0))</f>
        <v/>
      </c>
      <c r="J1473" t="str">
        <f>IF(COUNT('Weekly Log'!$A$5:$A$5000)=0,"",IF(MIN('Weekly Log'!$A$5:$A$5000)+7*(ROW()-10)&gt;MAX('Weekly Log'!$A$5:$A$5000),"",MIN('Weekly Log'!$A$5:$A$5000)+7*(ROW()-10)))</f>
        <v/>
      </c>
    </row>
    <row r="1474" spans="1:10" x14ac:dyDescent="0.25">
      <c r="A1474" t="str">
        <f t="shared" si="22"/>
        <v/>
      </c>
      <c r="B1474" t="str">
        <f>IF($J1474="","",SUMIFS('Weekly Log'!$C:$C,'Weekly Log'!$A:$A,"&gt;="&amp;$J1474,'Weekly Log'!$A:$A,"&lt;"&amp;$J1474+7))</f>
        <v/>
      </c>
      <c r="C1474" t="str">
        <f>IF($J1474="","",IFERROR(COUNTIFS('Weekly Log'!$G:$G,"Y",'Weekly Log'!$A:$A,"&gt;="&amp;$J1474,'Weekly Log'!$A:$A,"&lt;"&amp;$J1474+7)/COUNTIFS('Weekly Log'!$G:$G,"&lt;&gt;",'Weekly Log'!$A:$A,"&gt;="&amp;$J1474,'Weekly Log'!$A:$A,"&lt;"&amp;$J1474+7),0))</f>
        <v/>
      </c>
      <c r="D1474" t="str">
        <f>IF($J1474="","",IFERROR(COUNTIFS('Weekly Log'!$H:$H,"Y",'Weekly Log'!$A:$A,"&gt;="&amp;$J1474,'Weekly Log'!$A:$A,"&lt;"&amp;$J1474+7)/COUNTIFS('Weekly Log'!$H:$H,"&lt;&gt;",'Weekly Log'!$A:$A,"&gt;="&amp;$J1474,'Weekly Log'!$A:$A,"&lt;"&amp;$J1474+7),0))</f>
        <v/>
      </c>
      <c r="E1474" t="str">
        <f>IF($J1474="","",IFERROR(AVERAGEIFS('Weekly Log'!$F:$F,'Weekly Log'!$A:$A,"&gt;="&amp;$J1474,'Weekly Log'!$A:$A,"&lt;"&amp;$J1474+7),0))</f>
        <v/>
      </c>
      <c r="F1474" t="str">
        <f>IF($J1474="","",IFERROR(SUMIFS('Weekly Log'!$F:$F,'Weekly Log'!$A:$A,"&gt;="&amp;$J1474,'Weekly Log'!$A:$A,"&lt;"&amp;$J1474+7)/SUMIFS('Weekly Log'!$E:$E,'Weekly Log'!$A:$A,"&gt;="&amp;$J1474,'Weekly Log'!$A:$A,"&lt;"&amp;$J1474+7),0))</f>
        <v/>
      </c>
      <c r="G1474" t="str">
        <f>IF($J1474="","",IFERROR(LOOKUP(2,1/(('Weekly Log'!$A$5:$A$5000&gt;=$J1474)*('Weekly Log'!$A$5:$A$5000&lt;$J1474+7)*('Weekly Log'!$M$5:$M$5000&lt;&gt;"")),'Weekly Log'!$M$5:$M$5000),0))</f>
        <v/>
      </c>
      <c r="J1474" t="str">
        <f>IF(COUNT('Weekly Log'!$A$5:$A$5000)=0,"",IF(MIN('Weekly Log'!$A$5:$A$5000)+7*(ROW()-10)&gt;MAX('Weekly Log'!$A$5:$A$5000),"",MIN('Weekly Log'!$A$5:$A$5000)+7*(ROW()-10)))</f>
        <v/>
      </c>
    </row>
    <row r="1475" spans="1:10" x14ac:dyDescent="0.25">
      <c r="A1475" t="str">
        <f t="shared" si="22"/>
        <v/>
      </c>
      <c r="B1475" t="str">
        <f>IF($J1475="","",SUMIFS('Weekly Log'!$C:$C,'Weekly Log'!$A:$A,"&gt;="&amp;$J1475,'Weekly Log'!$A:$A,"&lt;"&amp;$J1475+7))</f>
        <v/>
      </c>
      <c r="C1475" t="str">
        <f>IF($J1475="","",IFERROR(COUNTIFS('Weekly Log'!$G:$G,"Y",'Weekly Log'!$A:$A,"&gt;="&amp;$J1475,'Weekly Log'!$A:$A,"&lt;"&amp;$J1475+7)/COUNTIFS('Weekly Log'!$G:$G,"&lt;&gt;",'Weekly Log'!$A:$A,"&gt;="&amp;$J1475,'Weekly Log'!$A:$A,"&lt;"&amp;$J1475+7),0))</f>
        <v/>
      </c>
      <c r="D1475" t="str">
        <f>IF($J1475="","",IFERROR(COUNTIFS('Weekly Log'!$H:$H,"Y",'Weekly Log'!$A:$A,"&gt;="&amp;$J1475,'Weekly Log'!$A:$A,"&lt;"&amp;$J1475+7)/COUNTIFS('Weekly Log'!$H:$H,"&lt;&gt;",'Weekly Log'!$A:$A,"&gt;="&amp;$J1475,'Weekly Log'!$A:$A,"&lt;"&amp;$J1475+7),0))</f>
        <v/>
      </c>
      <c r="E1475" t="str">
        <f>IF($J1475="","",IFERROR(AVERAGEIFS('Weekly Log'!$F:$F,'Weekly Log'!$A:$A,"&gt;="&amp;$J1475,'Weekly Log'!$A:$A,"&lt;"&amp;$J1475+7),0))</f>
        <v/>
      </c>
      <c r="F1475" t="str">
        <f>IF($J1475="","",IFERROR(SUMIFS('Weekly Log'!$F:$F,'Weekly Log'!$A:$A,"&gt;="&amp;$J1475,'Weekly Log'!$A:$A,"&lt;"&amp;$J1475+7)/SUMIFS('Weekly Log'!$E:$E,'Weekly Log'!$A:$A,"&gt;="&amp;$J1475,'Weekly Log'!$A:$A,"&lt;"&amp;$J1475+7),0))</f>
        <v/>
      </c>
      <c r="G1475" t="str">
        <f>IF($J1475="","",IFERROR(LOOKUP(2,1/(('Weekly Log'!$A$5:$A$5000&gt;=$J1475)*('Weekly Log'!$A$5:$A$5000&lt;$J1475+7)*('Weekly Log'!$M$5:$M$5000&lt;&gt;"")),'Weekly Log'!$M$5:$M$5000),0))</f>
        <v/>
      </c>
      <c r="J1475" t="str">
        <f>IF(COUNT('Weekly Log'!$A$5:$A$5000)=0,"",IF(MIN('Weekly Log'!$A$5:$A$5000)+7*(ROW()-10)&gt;MAX('Weekly Log'!$A$5:$A$5000),"",MIN('Weekly Log'!$A$5:$A$5000)+7*(ROW()-10)))</f>
        <v/>
      </c>
    </row>
    <row r="1476" spans="1:10" x14ac:dyDescent="0.25">
      <c r="A1476" t="str">
        <f t="shared" si="22"/>
        <v/>
      </c>
      <c r="B1476" t="str">
        <f>IF($J1476="","",SUMIFS('Weekly Log'!$C:$C,'Weekly Log'!$A:$A,"&gt;="&amp;$J1476,'Weekly Log'!$A:$A,"&lt;"&amp;$J1476+7))</f>
        <v/>
      </c>
      <c r="C1476" t="str">
        <f>IF($J1476="","",IFERROR(COUNTIFS('Weekly Log'!$G:$G,"Y",'Weekly Log'!$A:$A,"&gt;="&amp;$J1476,'Weekly Log'!$A:$A,"&lt;"&amp;$J1476+7)/COUNTIFS('Weekly Log'!$G:$G,"&lt;&gt;",'Weekly Log'!$A:$A,"&gt;="&amp;$J1476,'Weekly Log'!$A:$A,"&lt;"&amp;$J1476+7),0))</f>
        <v/>
      </c>
      <c r="D1476" t="str">
        <f>IF($J1476="","",IFERROR(COUNTIFS('Weekly Log'!$H:$H,"Y",'Weekly Log'!$A:$A,"&gt;="&amp;$J1476,'Weekly Log'!$A:$A,"&lt;"&amp;$J1476+7)/COUNTIFS('Weekly Log'!$H:$H,"&lt;&gt;",'Weekly Log'!$A:$A,"&gt;="&amp;$J1476,'Weekly Log'!$A:$A,"&lt;"&amp;$J1476+7),0))</f>
        <v/>
      </c>
      <c r="E1476" t="str">
        <f>IF($J1476="","",IFERROR(AVERAGEIFS('Weekly Log'!$F:$F,'Weekly Log'!$A:$A,"&gt;="&amp;$J1476,'Weekly Log'!$A:$A,"&lt;"&amp;$J1476+7),0))</f>
        <v/>
      </c>
      <c r="F1476" t="str">
        <f>IF($J1476="","",IFERROR(SUMIFS('Weekly Log'!$F:$F,'Weekly Log'!$A:$A,"&gt;="&amp;$J1476,'Weekly Log'!$A:$A,"&lt;"&amp;$J1476+7)/SUMIFS('Weekly Log'!$E:$E,'Weekly Log'!$A:$A,"&gt;="&amp;$J1476,'Weekly Log'!$A:$A,"&lt;"&amp;$J1476+7),0))</f>
        <v/>
      </c>
      <c r="G1476" t="str">
        <f>IF($J1476="","",IFERROR(LOOKUP(2,1/(('Weekly Log'!$A$5:$A$5000&gt;=$J1476)*('Weekly Log'!$A$5:$A$5000&lt;$J1476+7)*('Weekly Log'!$M$5:$M$5000&lt;&gt;"")),'Weekly Log'!$M$5:$M$5000),0))</f>
        <v/>
      </c>
      <c r="J1476" t="str">
        <f>IF(COUNT('Weekly Log'!$A$5:$A$5000)=0,"",IF(MIN('Weekly Log'!$A$5:$A$5000)+7*(ROW()-10)&gt;MAX('Weekly Log'!$A$5:$A$5000),"",MIN('Weekly Log'!$A$5:$A$5000)+7*(ROW()-10)))</f>
        <v/>
      </c>
    </row>
    <row r="1477" spans="1:10" x14ac:dyDescent="0.25">
      <c r="A1477" t="str">
        <f t="shared" si="22"/>
        <v/>
      </c>
      <c r="B1477" t="str">
        <f>IF($J1477="","",SUMIFS('Weekly Log'!$C:$C,'Weekly Log'!$A:$A,"&gt;="&amp;$J1477,'Weekly Log'!$A:$A,"&lt;"&amp;$J1477+7))</f>
        <v/>
      </c>
      <c r="C1477" t="str">
        <f>IF($J1477="","",IFERROR(COUNTIFS('Weekly Log'!$G:$G,"Y",'Weekly Log'!$A:$A,"&gt;="&amp;$J1477,'Weekly Log'!$A:$A,"&lt;"&amp;$J1477+7)/COUNTIFS('Weekly Log'!$G:$G,"&lt;&gt;",'Weekly Log'!$A:$A,"&gt;="&amp;$J1477,'Weekly Log'!$A:$A,"&lt;"&amp;$J1477+7),0))</f>
        <v/>
      </c>
      <c r="D1477" t="str">
        <f>IF($J1477="","",IFERROR(COUNTIFS('Weekly Log'!$H:$H,"Y",'Weekly Log'!$A:$A,"&gt;="&amp;$J1477,'Weekly Log'!$A:$A,"&lt;"&amp;$J1477+7)/COUNTIFS('Weekly Log'!$H:$H,"&lt;&gt;",'Weekly Log'!$A:$A,"&gt;="&amp;$J1477,'Weekly Log'!$A:$A,"&lt;"&amp;$J1477+7),0))</f>
        <v/>
      </c>
      <c r="E1477" t="str">
        <f>IF($J1477="","",IFERROR(AVERAGEIFS('Weekly Log'!$F:$F,'Weekly Log'!$A:$A,"&gt;="&amp;$J1477,'Weekly Log'!$A:$A,"&lt;"&amp;$J1477+7),0))</f>
        <v/>
      </c>
      <c r="F1477" t="str">
        <f>IF($J1477="","",IFERROR(SUMIFS('Weekly Log'!$F:$F,'Weekly Log'!$A:$A,"&gt;="&amp;$J1477,'Weekly Log'!$A:$A,"&lt;"&amp;$J1477+7)/SUMIFS('Weekly Log'!$E:$E,'Weekly Log'!$A:$A,"&gt;="&amp;$J1477,'Weekly Log'!$A:$A,"&lt;"&amp;$J1477+7),0))</f>
        <v/>
      </c>
      <c r="G1477" t="str">
        <f>IF($J1477="","",IFERROR(LOOKUP(2,1/(('Weekly Log'!$A$5:$A$5000&gt;=$J1477)*('Weekly Log'!$A$5:$A$5000&lt;$J1477+7)*('Weekly Log'!$M$5:$M$5000&lt;&gt;"")),'Weekly Log'!$M$5:$M$5000),0))</f>
        <v/>
      </c>
      <c r="J1477" t="str">
        <f>IF(COUNT('Weekly Log'!$A$5:$A$5000)=0,"",IF(MIN('Weekly Log'!$A$5:$A$5000)+7*(ROW()-10)&gt;MAX('Weekly Log'!$A$5:$A$5000),"",MIN('Weekly Log'!$A$5:$A$5000)+7*(ROW()-10)))</f>
        <v/>
      </c>
    </row>
    <row r="1478" spans="1:10" x14ac:dyDescent="0.25">
      <c r="A1478" t="str">
        <f t="shared" si="22"/>
        <v/>
      </c>
      <c r="B1478" t="str">
        <f>IF($J1478="","",SUMIFS('Weekly Log'!$C:$C,'Weekly Log'!$A:$A,"&gt;="&amp;$J1478,'Weekly Log'!$A:$A,"&lt;"&amp;$J1478+7))</f>
        <v/>
      </c>
      <c r="C1478" t="str">
        <f>IF($J1478="","",IFERROR(COUNTIFS('Weekly Log'!$G:$G,"Y",'Weekly Log'!$A:$A,"&gt;="&amp;$J1478,'Weekly Log'!$A:$A,"&lt;"&amp;$J1478+7)/COUNTIFS('Weekly Log'!$G:$G,"&lt;&gt;",'Weekly Log'!$A:$A,"&gt;="&amp;$J1478,'Weekly Log'!$A:$A,"&lt;"&amp;$J1478+7),0))</f>
        <v/>
      </c>
      <c r="D1478" t="str">
        <f>IF($J1478="","",IFERROR(COUNTIFS('Weekly Log'!$H:$H,"Y",'Weekly Log'!$A:$A,"&gt;="&amp;$J1478,'Weekly Log'!$A:$A,"&lt;"&amp;$J1478+7)/COUNTIFS('Weekly Log'!$H:$H,"&lt;&gt;",'Weekly Log'!$A:$A,"&gt;="&amp;$J1478,'Weekly Log'!$A:$A,"&lt;"&amp;$J1478+7),0))</f>
        <v/>
      </c>
      <c r="E1478" t="str">
        <f>IF($J1478="","",IFERROR(AVERAGEIFS('Weekly Log'!$F:$F,'Weekly Log'!$A:$A,"&gt;="&amp;$J1478,'Weekly Log'!$A:$A,"&lt;"&amp;$J1478+7),0))</f>
        <v/>
      </c>
      <c r="F1478" t="str">
        <f>IF($J1478="","",IFERROR(SUMIFS('Weekly Log'!$F:$F,'Weekly Log'!$A:$A,"&gt;="&amp;$J1478,'Weekly Log'!$A:$A,"&lt;"&amp;$J1478+7)/SUMIFS('Weekly Log'!$E:$E,'Weekly Log'!$A:$A,"&gt;="&amp;$J1478,'Weekly Log'!$A:$A,"&lt;"&amp;$J1478+7),0))</f>
        <v/>
      </c>
      <c r="G1478" t="str">
        <f>IF($J1478="","",IFERROR(LOOKUP(2,1/(('Weekly Log'!$A$5:$A$5000&gt;=$J1478)*('Weekly Log'!$A$5:$A$5000&lt;$J1478+7)*('Weekly Log'!$M$5:$M$5000&lt;&gt;"")),'Weekly Log'!$M$5:$M$5000),0))</f>
        <v/>
      </c>
      <c r="J1478" t="str">
        <f>IF(COUNT('Weekly Log'!$A$5:$A$5000)=0,"",IF(MIN('Weekly Log'!$A$5:$A$5000)+7*(ROW()-10)&gt;MAX('Weekly Log'!$A$5:$A$5000),"",MIN('Weekly Log'!$A$5:$A$5000)+7*(ROW()-10)))</f>
        <v/>
      </c>
    </row>
    <row r="1479" spans="1:10" x14ac:dyDescent="0.25">
      <c r="A1479" t="str">
        <f t="shared" si="22"/>
        <v/>
      </c>
      <c r="B1479" t="str">
        <f>IF($J1479="","",SUMIFS('Weekly Log'!$C:$C,'Weekly Log'!$A:$A,"&gt;="&amp;$J1479,'Weekly Log'!$A:$A,"&lt;"&amp;$J1479+7))</f>
        <v/>
      </c>
      <c r="C1479" t="str">
        <f>IF($J1479="","",IFERROR(COUNTIFS('Weekly Log'!$G:$G,"Y",'Weekly Log'!$A:$A,"&gt;="&amp;$J1479,'Weekly Log'!$A:$A,"&lt;"&amp;$J1479+7)/COUNTIFS('Weekly Log'!$G:$G,"&lt;&gt;",'Weekly Log'!$A:$A,"&gt;="&amp;$J1479,'Weekly Log'!$A:$A,"&lt;"&amp;$J1479+7),0))</f>
        <v/>
      </c>
      <c r="D1479" t="str">
        <f>IF($J1479="","",IFERROR(COUNTIFS('Weekly Log'!$H:$H,"Y",'Weekly Log'!$A:$A,"&gt;="&amp;$J1479,'Weekly Log'!$A:$A,"&lt;"&amp;$J1479+7)/COUNTIFS('Weekly Log'!$H:$H,"&lt;&gt;",'Weekly Log'!$A:$A,"&gt;="&amp;$J1479,'Weekly Log'!$A:$A,"&lt;"&amp;$J1479+7),0))</f>
        <v/>
      </c>
      <c r="E1479" t="str">
        <f>IF($J1479="","",IFERROR(AVERAGEIFS('Weekly Log'!$F:$F,'Weekly Log'!$A:$A,"&gt;="&amp;$J1479,'Weekly Log'!$A:$A,"&lt;"&amp;$J1479+7),0))</f>
        <v/>
      </c>
      <c r="F1479" t="str">
        <f>IF($J1479="","",IFERROR(SUMIFS('Weekly Log'!$F:$F,'Weekly Log'!$A:$A,"&gt;="&amp;$J1479,'Weekly Log'!$A:$A,"&lt;"&amp;$J1479+7)/SUMIFS('Weekly Log'!$E:$E,'Weekly Log'!$A:$A,"&gt;="&amp;$J1479,'Weekly Log'!$A:$A,"&lt;"&amp;$J1479+7),0))</f>
        <v/>
      </c>
      <c r="G1479" t="str">
        <f>IF($J1479="","",IFERROR(LOOKUP(2,1/(('Weekly Log'!$A$5:$A$5000&gt;=$J1479)*('Weekly Log'!$A$5:$A$5000&lt;$J1479+7)*('Weekly Log'!$M$5:$M$5000&lt;&gt;"")),'Weekly Log'!$M$5:$M$5000),0))</f>
        <v/>
      </c>
      <c r="J1479" t="str">
        <f>IF(COUNT('Weekly Log'!$A$5:$A$5000)=0,"",IF(MIN('Weekly Log'!$A$5:$A$5000)+7*(ROW()-10)&gt;MAX('Weekly Log'!$A$5:$A$5000),"",MIN('Weekly Log'!$A$5:$A$5000)+7*(ROW()-10)))</f>
        <v/>
      </c>
    </row>
    <row r="1480" spans="1:10" x14ac:dyDescent="0.25">
      <c r="A1480" t="str">
        <f t="shared" si="22"/>
        <v/>
      </c>
      <c r="B1480" t="str">
        <f>IF($J1480="","",SUMIFS('Weekly Log'!$C:$C,'Weekly Log'!$A:$A,"&gt;="&amp;$J1480,'Weekly Log'!$A:$A,"&lt;"&amp;$J1480+7))</f>
        <v/>
      </c>
      <c r="C1480" t="str">
        <f>IF($J1480="","",IFERROR(COUNTIFS('Weekly Log'!$G:$G,"Y",'Weekly Log'!$A:$A,"&gt;="&amp;$J1480,'Weekly Log'!$A:$A,"&lt;"&amp;$J1480+7)/COUNTIFS('Weekly Log'!$G:$G,"&lt;&gt;",'Weekly Log'!$A:$A,"&gt;="&amp;$J1480,'Weekly Log'!$A:$A,"&lt;"&amp;$J1480+7),0))</f>
        <v/>
      </c>
      <c r="D1480" t="str">
        <f>IF($J1480="","",IFERROR(COUNTIFS('Weekly Log'!$H:$H,"Y",'Weekly Log'!$A:$A,"&gt;="&amp;$J1480,'Weekly Log'!$A:$A,"&lt;"&amp;$J1480+7)/COUNTIFS('Weekly Log'!$H:$H,"&lt;&gt;",'Weekly Log'!$A:$A,"&gt;="&amp;$J1480,'Weekly Log'!$A:$A,"&lt;"&amp;$J1480+7),0))</f>
        <v/>
      </c>
      <c r="E1480" t="str">
        <f>IF($J1480="","",IFERROR(AVERAGEIFS('Weekly Log'!$F:$F,'Weekly Log'!$A:$A,"&gt;="&amp;$J1480,'Weekly Log'!$A:$A,"&lt;"&amp;$J1480+7),0))</f>
        <v/>
      </c>
      <c r="F1480" t="str">
        <f>IF($J1480="","",IFERROR(SUMIFS('Weekly Log'!$F:$F,'Weekly Log'!$A:$A,"&gt;="&amp;$J1480,'Weekly Log'!$A:$A,"&lt;"&amp;$J1480+7)/SUMIFS('Weekly Log'!$E:$E,'Weekly Log'!$A:$A,"&gt;="&amp;$J1480,'Weekly Log'!$A:$A,"&lt;"&amp;$J1480+7),0))</f>
        <v/>
      </c>
      <c r="G1480" t="str">
        <f>IF($J1480="","",IFERROR(LOOKUP(2,1/(('Weekly Log'!$A$5:$A$5000&gt;=$J1480)*('Weekly Log'!$A$5:$A$5000&lt;$J1480+7)*('Weekly Log'!$M$5:$M$5000&lt;&gt;"")),'Weekly Log'!$M$5:$M$5000),0))</f>
        <v/>
      </c>
      <c r="J1480" t="str">
        <f>IF(COUNT('Weekly Log'!$A$5:$A$5000)=0,"",IF(MIN('Weekly Log'!$A$5:$A$5000)+7*(ROW()-10)&gt;MAX('Weekly Log'!$A$5:$A$5000),"",MIN('Weekly Log'!$A$5:$A$5000)+7*(ROW()-10)))</f>
        <v/>
      </c>
    </row>
    <row r="1481" spans="1:10" x14ac:dyDescent="0.25">
      <c r="A1481" t="str">
        <f t="shared" si="22"/>
        <v/>
      </c>
      <c r="B1481" t="str">
        <f>IF($J1481="","",SUMIFS('Weekly Log'!$C:$C,'Weekly Log'!$A:$A,"&gt;="&amp;$J1481,'Weekly Log'!$A:$A,"&lt;"&amp;$J1481+7))</f>
        <v/>
      </c>
      <c r="C1481" t="str">
        <f>IF($J1481="","",IFERROR(COUNTIFS('Weekly Log'!$G:$G,"Y",'Weekly Log'!$A:$A,"&gt;="&amp;$J1481,'Weekly Log'!$A:$A,"&lt;"&amp;$J1481+7)/COUNTIFS('Weekly Log'!$G:$G,"&lt;&gt;",'Weekly Log'!$A:$A,"&gt;="&amp;$J1481,'Weekly Log'!$A:$A,"&lt;"&amp;$J1481+7),0))</f>
        <v/>
      </c>
      <c r="D1481" t="str">
        <f>IF($J1481="","",IFERROR(COUNTIFS('Weekly Log'!$H:$H,"Y",'Weekly Log'!$A:$A,"&gt;="&amp;$J1481,'Weekly Log'!$A:$A,"&lt;"&amp;$J1481+7)/COUNTIFS('Weekly Log'!$H:$H,"&lt;&gt;",'Weekly Log'!$A:$A,"&gt;="&amp;$J1481,'Weekly Log'!$A:$A,"&lt;"&amp;$J1481+7),0))</f>
        <v/>
      </c>
      <c r="E1481" t="str">
        <f>IF($J1481="","",IFERROR(AVERAGEIFS('Weekly Log'!$F:$F,'Weekly Log'!$A:$A,"&gt;="&amp;$J1481,'Weekly Log'!$A:$A,"&lt;"&amp;$J1481+7),0))</f>
        <v/>
      </c>
      <c r="F1481" t="str">
        <f>IF($J1481="","",IFERROR(SUMIFS('Weekly Log'!$F:$F,'Weekly Log'!$A:$A,"&gt;="&amp;$J1481,'Weekly Log'!$A:$A,"&lt;"&amp;$J1481+7)/SUMIFS('Weekly Log'!$E:$E,'Weekly Log'!$A:$A,"&gt;="&amp;$J1481,'Weekly Log'!$A:$A,"&lt;"&amp;$J1481+7),0))</f>
        <v/>
      </c>
      <c r="G1481" t="str">
        <f>IF($J1481="","",IFERROR(LOOKUP(2,1/(('Weekly Log'!$A$5:$A$5000&gt;=$J1481)*('Weekly Log'!$A$5:$A$5000&lt;$J1481+7)*('Weekly Log'!$M$5:$M$5000&lt;&gt;"")),'Weekly Log'!$M$5:$M$5000),0))</f>
        <v/>
      </c>
      <c r="J1481" t="str">
        <f>IF(COUNT('Weekly Log'!$A$5:$A$5000)=0,"",IF(MIN('Weekly Log'!$A$5:$A$5000)+7*(ROW()-10)&gt;MAX('Weekly Log'!$A$5:$A$5000),"",MIN('Weekly Log'!$A$5:$A$5000)+7*(ROW()-10)))</f>
        <v/>
      </c>
    </row>
    <row r="1482" spans="1:10" x14ac:dyDescent="0.25">
      <c r="A1482" t="str">
        <f t="shared" ref="A1482:A1545" si="23">IF($J1482="","",YEAR($J1482-WEEKDAY($J1482,2)+4)&amp;"-W"&amp;TEXT(WEEKNUM($J1482,21),"00"))</f>
        <v/>
      </c>
      <c r="B1482" t="str">
        <f>IF($J1482="","",SUMIFS('Weekly Log'!$C:$C,'Weekly Log'!$A:$A,"&gt;="&amp;$J1482,'Weekly Log'!$A:$A,"&lt;"&amp;$J1482+7))</f>
        <v/>
      </c>
      <c r="C1482" t="str">
        <f>IF($J1482="","",IFERROR(COUNTIFS('Weekly Log'!$G:$G,"Y",'Weekly Log'!$A:$A,"&gt;="&amp;$J1482,'Weekly Log'!$A:$A,"&lt;"&amp;$J1482+7)/COUNTIFS('Weekly Log'!$G:$G,"&lt;&gt;",'Weekly Log'!$A:$A,"&gt;="&amp;$J1482,'Weekly Log'!$A:$A,"&lt;"&amp;$J1482+7),0))</f>
        <v/>
      </c>
      <c r="D1482" t="str">
        <f>IF($J1482="","",IFERROR(COUNTIFS('Weekly Log'!$H:$H,"Y",'Weekly Log'!$A:$A,"&gt;="&amp;$J1482,'Weekly Log'!$A:$A,"&lt;"&amp;$J1482+7)/COUNTIFS('Weekly Log'!$H:$H,"&lt;&gt;",'Weekly Log'!$A:$A,"&gt;="&amp;$J1482,'Weekly Log'!$A:$A,"&lt;"&amp;$J1482+7),0))</f>
        <v/>
      </c>
      <c r="E1482" t="str">
        <f>IF($J1482="","",IFERROR(AVERAGEIFS('Weekly Log'!$F:$F,'Weekly Log'!$A:$A,"&gt;="&amp;$J1482,'Weekly Log'!$A:$A,"&lt;"&amp;$J1482+7),0))</f>
        <v/>
      </c>
      <c r="F1482" t="str">
        <f>IF($J1482="","",IFERROR(SUMIFS('Weekly Log'!$F:$F,'Weekly Log'!$A:$A,"&gt;="&amp;$J1482,'Weekly Log'!$A:$A,"&lt;"&amp;$J1482+7)/SUMIFS('Weekly Log'!$E:$E,'Weekly Log'!$A:$A,"&gt;="&amp;$J1482,'Weekly Log'!$A:$A,"&lt;"&amp;$J1482+7),0))</f>
        <v/>
      </c>
      <c r="G1482" t="str">
        <f>IF($J1482="","",IFERROR(LOOKUP(2,1/(('Weekly Log'!$A$5:$A$5000&gt;=$J1482)*('Weekly Log'!$A$5:$A$5000&lt;$J1482+7)*('Weekly Log'!$M$5:$M$5000&lt;&gt;"")),'Weekly Log'!$M$5:$M$5000),0))</f>
        <v/>
      </c>
      <c r="J1482" t="str">
        <f>IF(COUNT('Weekly Log'!$A$5:$A$5000)=0,"",IF(MIN('Weekly Log'!$A$5:$A$5000)+7*(ROW()-10)&gt;MAX('Weekly Log'!$A$5:$A$5000),"",MIN('Weekly Log'!$A$5:$A$5000)+7*(ROW()-10)))</f>
        <v/>
      </c>
    </row>
    <row r="1483" spans="1:10" x14ac:dyDescent="0.25">
      <c r="A1483" t="str">
        <f t="shared" si="23"/>
        <v/>
      </c>
      <c r="B1483" t="str">
        <f>IF($J1483="","",SUMIFS('Weekly Log'!$C:$C,'Weekly Log'!$A:$A,"&gt;="&amp;$J1483,'Weekly Log'!$A:$A,"&lt;"&amp;$J1483+7))</f>
        <v/>
      </c>
      <c r="C1483" t="str">
        <f>IF($J1483="","",IFERROR(COUNTIFS('Weekly Log'!$G:$G,"Y",'Weekly Log'!$A:$A,"&gt;="&amp;$J1483,'Weekly Log'!$A:$A,"&lt;"&amp;$J1483+7)/COUNTIFS('Weekly Log'!$G:$G,"&lt;&gt;",'Weekly Log'!$A:$A,"&gt;="&amp;$J1483,'Weekly Log'!$A:$A,"&lt;"&amp;$J1483+7),0))</f>
        <v/>
      </c>
      <c r="D1483" t="str">
        <f>IF($J1483="","",IFERROR(COUNTIFS('Weekly Log'!$H:$H,"Y",'Weekly Log'!$A:$A,"&gt;="&amp;$J1483,'Weekly Log'!$A:$A,"&lt;"&amp;$J1483+7)/COUNTIFS('Weekly Log'!$H:$H,"&lt;&gt;",'Weekly Log'!$A:$A,"&gt;="&amp;$J1483,'Weekly Log'!$A:$A,"&lt;"&amp;$J1483+7),0))</f>
        <v/>
      </c>
      <c r="E1483" t="str">
        <f>IF($J1483="","",IFERROR(AVERAGEIFS('Weekly Log'!$F:$F,'Weekly Log'!$A:$A,"&gt;="&amp;$J1483,'Weekly Log'!$A:$A,"&lt;"&amp;$J1483+7),0))</f>
        <v/>
      </c>
      <c r="F1483" t="str">
        <f>IF($J1483="","",IFERROR(SUMIFS('Weekly Log'!$F:$F,'Weekly Log'!$A:$A,"&gt;="&amp;$J1483,'Weekly Log'!$A:$A,"&lt;"&amp;$J1483+7)/SUMIFS('Weekly Log'!$E:$E,'Weekly Log'!$A:$A,"&gt;="&amp;$J1483,'Weekly Log'!$A:$A,"&lt;"&amp;$J1483+7),0))</f>
        <v/>
      </c>
      <c r="G1483" t="str">
        <f>IF($J1483="","",IFERROR(LOOKUP(2,1/(('Weekly Log'!$A$5:$A$5000&gt;=$J1483)*('Weekly Log'!$A$5:$A$5000&lt;$J1483+7)*('Weekly Log'!$M$5:$M$5000&lt;&gt;"")),'Weekly Log'!$M$5:$M$5000),0))</f>
        <v/>
      </c>
      <c r="J1483" t="str">
        <f>IF(COUNT('Weekly Log'!$A$5:$A$5000)=0,"",IF(MIN('Weekly Log'!$A$5:$A$5000)+7*(ROW()-10)&gt;MAX('Weekly Log'!$A$5:$A$5000),"",MIN('Weekly Log'!$A$5:$A$5000)+7*(ROW()-10)))</f>
        <v/>
      </c>
    </row>
    <row r="1484" spans="1:10" x14ac:dyDescent="0.25">
      <c r="A1484" t="str">
        <f t="shared" si="23"/>
        <v/>
      </c>
      <c r="B1484" t="str">
        <f>IF($J1484="","",SUMIFS('Weekly Log'!$C:$C,'Weekly Log'!$A:$A,"&gt;="&amp;$J1484,'Weekly Log'!$A:$A,"&lt;"&amp;$J1484+7))</f>
        <v/>
      </c>
      <c r="C1484" t="str">
        <f>IF($J1484="","",IFERROR(COUNTIFS('Weekly Log'!$G:$G,"Y",'Weekly Log'!$A:$A,"&gt;="&amp;$J1484,'Weekly Log'!$A:$A,"&lt;"&amp;$J1484+7)/COUNTIFS('Weekly Log'!$G:$G,"&lt;&gt;",'Weekly Log'!$A:$A,"&gt;="&amp;$J1484,'Weekly Log'!$A:$A,"&lt;"&amp;$J1484+7),0))</f>
        <v/>
      </c>
      <c r="D1484" t="str">
        <f>IF($J1484="","",IFERROR(COUNTIFS('Weekly Log'!$H:$H,"Y",'Weekly Log'!$A:$A,"&gt;="&amp;$J1484,'Weekly Log'!$A:$A,"&lt;"&amp;$J1484+7)/COUNTIFS('Weekly Log'!$H:$H,"&lt;&gt;",'Weekly Log'!$A:$A,"&gt;="&amp;$J1484,'Weekly Log'!$A:$A,"&lt;"&amp;$J1484+7),0))</f>
        <v/>
      </c>
      <c r="E1484" t="str">
        <f>IF($J1484="","",IFERROR(AVERAGEIFS('Weekly Log'!$F:$F,'Weekly Log'!$A:$A,"&gt;="&amp;$J1484,'Weekly Log'!$A:$A,"&lt;"&amp;$J1484+7),0))</f>
        <v/>
      </c>
      <c r="F1484" t="str">
        <f>IF($J1484="","",IFERROR(SUMIFS('Weekly Log'!$F:$F,'Weekly Log'!$A:$A,"&gt;="&amp;$J1484,'Weekly Log'!$A:$A,"&lt;"&amp;$J1484+7)/SUMIFS('Weekly Log'!$E:$E,'Weekly Log'!$A:$A,"&gt;="&amp;$J1484,'Weekly Log'!$A:$A,"&lt;"&amp;$J1484+7),0))</f>
        <v/>
      </c>
      <c r="G1484" t="str">
        <f>IF($J1484="","",IFERROR(LOOKUP(2,1/(('Weekly Log'!$A$5:$A$5000&gt;=$J1484)*('Weekly Log'!$A$5:$A$5000&lt;$J1484+7)*('Weekly Log'!$M$5:$M$5000&lt;&gt;"")),'Weekly Log'!$M$5:$M$5000),0))</f>
        <v/>
      </c>
      <c r="J1484" t="str">
        <f>IF(COUNT('Weekly Log'!$A$5:$A$5000)=0,"",IF(MIN('Weekly Log'!$A$5:$A$5000)+7*(ROW()-10)&gt;MAX('Weekly Log'!$A$5:$A$5000),"",MIN('Weekly Log'!$A$5:$A$5000)+7*(ROW()-10)))</f>
        <v/>
      </c>
    </row>
    <row r="1485" spans="1:10" x14ac:dyDescent="0.25">
      <c r="A1485" t="str">
        <f t="shared" si="23"/>
        <v/>
      </c>
      <c r="B1485" t="str">
        <f>IF($J1485="","",SUMIFS('Weekly Log'!$C:$C,'Weekly Log'!$A:$A,"&gt;="&amp;$J1485,'Weekly Log'!$A:$A,"&lt;"&amp;$J1485+7))</f>
        <v/>
      </c>
      <c r="C1485" t="str">
        <f>IF($J1485="","",IFERROR(COUNTIFS('Weekly Log'!$G:$G,"Y",'Weekly Log'!$A:$A,"&gt;="&amp;$J1485,'Weekly Log'!$A:$A,"&lt;"&amp;$J1485+7)/COUNTIFS('Weekly Log'!$G:$G,"&lt;&gt;",'Weekly Log'!$A:$A,"&gt;="&amp;$J1485,'Weekly Log'!$A:$A,"&lt;"&amp;$J1485+7),0))</f>
        <v/>
      </c>
      <c r="D1485" t="str">
        <f>IF($J1485="","",IFERROR(COUNTIFS('Weekly Log'!$H:$H,"Y",'Weekly Log'!$A:$A,"&gt;="&amp;$J1485,'Weekly Log'!$A:$A,"&lt;"&amp;$J1485+7)/COUNTIFS('Weekly Log'!$H:$H,"&lt;&gt;",'Weekly Log'!$A:$A,"&gt;="&amp;$J1485,'Weekly Log'!$A:$A,"&lt;"&amp;$J1485+7),0))</f>
        <v/>
      </c>
      <c r="E1485" t="str">
        <f>IF($J1485="","",IFERROR(AVERAGEIFS('Weekly Log'!$F:$F,'Weekly Log'!$A:$A,"&gt;="&amp;$J1485,'Weekly Log'!$A:$A,"&lt;"&amp;$J1485+7),0))</f>
        <v/>
      </c>
      <c r="F1485" t="str">
        <f>IF($J1485="","",IFERROR(SUMIFS('Weekly Log'!$F:$F,'Weekly Log'!$A:$A,"&gt;="&amp;$J1485,'Weekly Log'!$A:$A,"&lt;"&amp;$J1485+7)/SUMIFS('Weekly Log'!$E:$E,'Weekly Log'!$A:$A,"&gt;="&amp;$J1485,'Weekly Log'!$A:$A,"&lt;"&amp;$J1485+7),0))</f>
        <v/>
      </c>
      <c r="G1485" t="str">
        <f>IF($J1485="","",IFERROR(LOOKUP(2,1/(('Weekly Log'!$A$5:$A$5000&gt;=$J1485)*('Weekly Log'!$A$5:$A$5000&lt;$J1485+7)*('Weekly Log'!$M$5:$M$5000&lt;&gt;"")),'Weekly Log'!$M$5:$M$5000),0))</f>
        <v/>
      </c>
      <c r="J1485" t="str">
        <f>IF(COUNT('Weekly Log'!$A$5:$A$5000)=0,"",IF(MIN('Weekly Log'!$A$5:$A$5000)+7*(ROW()-10)&gt;MAX('Weekly Log'!$A$5:$A$5000),"",MIN('Weekly Log'!$A$5:$A$5000)+7*(ROW()-10)))</f>
        <v/>
      </c>
    </row>
    <row r="1486" spans="1:10" x14ac:dyDescent="0.25">
      <c r="A1486" t="str">
        <f t="shared" si="23"/>
        <v/>
      </c>
      <c r="B1486" t="str">
        <f>IF($J1486="","",SUMIFS('Weekly Log'!$C:$C,'Weekly Log'!$A:$A,"&gt;="&amp;$J1486,'Weekly Log'!$A:$A,"&lt;"&amp;$J1486+7))</f>
        <v/>
      </c>
      <c r="C1486" t="str">
        <f>IF($J1486="","",IFERROR(COUNTIFS('Weekly Log'!$G:$G,"Y",'Weekly Log'!$A:$A,"&gt;="&amp;$J1486,'Weekly Log'!$A:$A,"&lt;"&amp;$J1486+7)/COUNTIFS('Weekly Log'!$G:$G,"&lt;&gt;",'Weekly Log'!$A:$A,"&gt;="&amp;$J1486,'Weekly Log'!$A:$A,"&lt;"&amp;$J1486+7),0))</f>
        <v/>
      </c>
      <c r="D1486" t="str">
        <f>IF($J1486="","",IFERROR(COUNTIFS('Weekly Log'!$H:$H,"Y",'Weekly Log'!$A:$A,"&gt;="&amp;$J1486,'Weekly Log'!$A:$A,"&lt;"&amp;$J1486+7)/COUNTIFS('Weekly Log'!$H:$H,"&lt;&gt;",'Weekly Log'!$A:$A,"&gt;="&amp;$J1486,'Weekly Log'!$A:$A,"&lt;"&amp;$J1486+7),0))</f>
        <v/>
      </c>
      <c r="E1486" t="str">
        <f>IF($J1486="","",IFERROR(AVERAGEIFS('Weekly Log'!$F:$F,'Weekly Log'!$A:$A,"&gt;="&amp;$J1486,'Weekly Log'!$A:$A,"&lt;"&amp;$J1486+7),0))</f>
        <v/>
      </c>
      <c r="F1486" t="str">
        <f>IF($J1486="","",IFERROR(SUMIFS('Weekly Log'!$F:$F,'Weekly Log'!$A:$A,"&gt;="&amp;$J1486,'Weekly Log'!$A:$A,"&lt;"&amp;$J1486+7)/SUMIFS('Weekly Log'!$E:$E,'Weekly Log'!$A:$A,"&gt;="&amp;$J1486,'Weekly Log'!$A:$A,"&lt;"&amp;$J1486+7),0))</f>
        <v/>
      </c>
      <c r="G1486" t="str">
        <f>IF($J1486="","",IFERROR(LOOKUP(2,1/(('Weekly Log'!$A$5:$A$5000&gt;=$J1486)*('Weekly Log'!$A$5:$A$5000&lt;$J1486+7)*('Weekly Log'!$M$5:$M$5000&lt;&gt;"")),'Weekly Log'!$M$5:$M$5000),0))</f>
        <v/>
      </c>
      <c r="J1486" t="str">
        <f>IF(COUNT('Weekly Log'!$A$5:$A$5000)=0,"",IF(MIN('Weekly Log'!$A$5:$A$5000)+7*(ROW()-10)&gt;MAX('Weekly Log'!$A$5:$A$5000),"",MIN('Weekly Log'!$A$5:$A$5000)+7*(ROW()-10)))</f>
        <v/>
      </c>
    </row>
    <row r="1487" spans="1:10" x14ac:dyDescent="0.25">
      <c r="A1487" t="str">
        <f t="shared" si="23"/>
        <v/>
      </c>
      <c r="B1487" t="str">
        <f>IF($J1487="","",SUMIFS('Weekly Log'!$C:$C,'Weekly Log'!$A:$A,"&gt;="&amp;$J1487,'Weekly Log'!$A:$A,"&lt;"&amp;$J1487+7))</f>
        <v/>
      </c>
      <c r="C1487" t="str">
        <f>IF($J1487="","",IFERROR(COUNTIFS('Weekly Log'!$G:$G,"Y",'Weekly Log'!$A:$A,"&gt;="&amp;$J1487,'Weekly Log'!$A:$A,"&lt;"&amp;$J1487+7)/COUNTIFS('Weekly Log'!$G:$G,"&lt;&gt;",'Weekly Log'!$A:$A,"&gt;="&amp;$J1487,'Weekly Log'!$A:$A,"&lt;"&amp;$J1487+7),0))</f>
        <v/>
      </c>
      <c r="D1487" t="str">
        <f>IF($J1487="","",IFERROR(COUNTIFS('Weekly Log'!$H:$H,"Y",'Weekly Log'!$A:$A,"&gt;="&amp;$J1487,'Weekly Log'!$A:$A,"&lt;"&amp;$J1487+7)/COUNTIFS('Weekly Log'!$H:$H,"&lt;&gt;",'Weekly Log'!$A:$A,"&gt;="&amp;$J1487,'Weekly Log'!$A:$A,"&lt;"&amp;$J1487+7),0))</f>
        <v/>
      </c>
      <c r="E1487" t="str">
        <f>IF($J1487="","",IFERROR(AVERAGEIFS('Weekly Log'!$F:$F,'Weekly Log'!$A:$A,"&gt;="&amp;$J1487,'Weekly Log'!$A:$A,"&lt;"&amp;$J1487+7),0))</f>
        <v/>
      </c>
      <c r="F1487" t="str">
        <f>IF($J1487="","",IFERROR(SUMIFS('Weekly Log'!$F:$F,'Weekly Log'!$A:$A,"&gt;="&amp;$J1487,'Weekly Log'!$A:$A,"&lt;"&amp;$J1487+7)/SUMIFS('Weekly Log'!$E:$E,'Weekly Log'!$A:$A,"&gt;="&amp;$J1487,'Weekly Log'!$A:$A,"&lt;"&amp;$J1487+7),0))</f>
        <v/>
      </c>
      <c r="G1487" t="str">
        <f>IF($J1487="","",IFERROR(LOOKUP(2,1/(('Weekly Log'!$A$5:$A$5000&gt;=$J1487)*('Weekly Log'!$A$5:$A$5000&lt;$J1487+7)*('Weekly Log'!$M$5:$M$5000&lt;&gt;"")),'Weekly Log'!$M$5:$M$5000),0))</f>
        <v/>
      </c>
      <c r="J1487" t="str">
        <f>IF(COUNT('Weekly Log'!$A$5:$A$5000)=0,"",IF(MIN('Weekly Log'!$A$5:$A$5000)+7*(ROW()-10)&gt;MAX('Weekly Log'!$A$5:$A$5000),"",MIN('Weekly Log'!$A$5:$A$5000)+7*(ROW()-10)))</f>
        <v/>
      </c>
    </row>
    <row r="1488" spans="1:10" x14ac:dyDescent="0.25">
      <c r="A1488" t="str">
        <f t="shared" si="23"/>
        <v/>
      </c>
      <c r="B1488" t="str">
        <f>IF($J1488="","",SUMIFS('Weekly Log'!$C:$C,'Weekly Log'!$A:$A,"&gt;="&amp;$J1488,'Weekly Log'!$A:$A,"&lt;"&amp;$J1488+7))</f>
        <v/>
      </c>
      <c r="C1488" t="str">
        <f>IF($J1488="","",IFERROR(COUNTIFS('Weekly Log'!$G:$G,"Y",'Weekly Log'!$A:$A,"&gt;="&amp;$J1488,'Weekly Log'!$A:$A,"&lt;"&amp;$J1488+7)/COUNTIFS('Weekly Log'!$G:$G,"&lt;&gt;",'Weekly Log'!$A:$A,"&gt;="&amp;$J1488,'Weekly Log'!$A:$A,"&lt;"&amp;$J1488+7),0))</f>
        <v/>
      </c>
      <c r="D1488" t="str">
        <f>IF($J1488="","",IFERROR(COUNTIFS('Weekly Log'!$H:$H,"Y",'Weekly Log'!$A:$A,"&gt;="&amp;$J1488,'Weekly Log'!$A:$A,"&lt;"&amp;$J1488+7)/COUNTIFS('Weekly Log'!$H:$H,"&lt;&gt;",'Weekly Log'!$A:$A,"&gt;="&amp;$J1488,'Weekly Log'!$A:$A,"&lt;"&amp;$J1488+7),0))</f>
        <v/>
      </c>
      <c r="E1488" t="str">
        <f>IF($J1488="","",IFERROR(AVERAGEIFS('Weekly Log'!$F:$F,'Weekly Log'!$A:$A,"&gt;="&amp;$J1488,'Weekly Log'!$A:$A,"&lt;"&amp;$J1488+7),0))</f>
        <v/>
      </c>
      <c r="F1488" t="str">
        <f>IF($J1488="","",IFERROR(SUMIFS('Weekly Log'!$F:$F,'Weekly Log'!$A:$A,"&gt;="&amp;$J1488,'Weekly Log'!$A:$A,"&lt;"&amp;$J1488+7)/SUMIFS('Weekly Log'!$E:$E,'Weekly Log'!$A:$A,"&gt;="&amp;$J1488,'Weekly Log'!$A:$A,"&lt;"&amp;$J1488+7),0))</f>
        <v/>
      </c>
      <c r="G1488" t="str">
        <f>IF($J1488="","",IFERROR(LOOKUP(2,1/(('Weekly Log'!$A$5:$A$5000&gt;=$J1488)*('Weekly Log'!$A$5:$A$5000&lt;$J1488+7)*('Weekly Log'!$M$5:$M$5000&lt;&gt;"")),'Weekly Log'!$M$5:$M$5000),0))</f>
        <v/>
      </c>
      <c r="J1488" t="str">
        <f>IF(COUNT('Weekly Log'!$A$5:$A$5000)=0,"",IF(MIN('Weekly Log'!$A$5:$A$5000)+7*(ROW()-10)&gt;MAX('Weekly Log'!$A$5:$A$5000),"",MIN('Weekly Log'!$A$5:$A$5000)+7*(ROW()-10)))</f>
        <v/>
      </c>
    </row>
    <row r="1489" spans="1:10" x14ac:dyDescent="0.25">
      <c r="A1489" t="str">
        <f t="shared" si="23"/>
        <v/>
      </c>
      <c r="B1489" t="str">
        <f>IF($J1489="","",SUMIFS('Weekly Log'!$C:$C,'Weekly Log'!$A:$A,"&gt;="&amp;$J1489,'Weekly Log'!$A:$A,"&lt;"&amp;$J1489+7))</f>
        <v/>
      </c>
      <c r="C1489" t="str">
        <f>IF($J1489="","",IFERROR(COUNTIFS('Weekly Log'!$G:$G,"Y",'Weekly Log'!$A:$A,"&gt;="&amp;$J1489,'Weekly Log'!$A:$A,"&lt;"&amp;$J1489+7)/COUNTIFS('Weekly Log'!$G:$G,"&lt;&gt;",'Weekly Log'!$A:$A,"&gt;="&amp;$J1489,'Weekly Log'!$A:$A,"&lt;"&amp;$J1489+7),0))</f>
        <v/>
      </c>
      <c r="D1489" t="str">
        <f>IF($J1489="","",IFERROR(COUNTIFS('Weekly Log'!$H:$H,"Y",'Weekly Log'!$A:$A,"&gt;="&amp;$J1489,'Weekly Log'!$A:$A,"&lt;"&amp;$J1489+7)/COUNTIFS('Weekly Log'!$H:$H,"&lt;&gt;",'Weekly Log'!$A:$A,"&gt;="&amp;$J1489,'Weekly Log'!$A:$A,"&lt;"&amp;$J1489+7),0))</f>
        <v/>
      </c>
      <c r="E1489" t="str">
        <f>IF($J1489="","",IFERROR(AVERAGEIFS('Weekly Log'!$F:$F,'Weekly Log'!$A:$A,"&gt;="&amp;$J1489,'Weekly Log'!$A:$A,"&lt;"&amp;$J1489+7),0))</f>
        <v/>
      </c>
      <c r="F1489" t="str">
        <f>IF($J1489="","",IFERROR(SUMIFS('Weekly Log'!$F:$F,'Weekly Log'!$A:$A,"&gt;="&amp;$J1489,'Weekly Log'!$A:$A,"&lt;"&amp;$J1489+7)/SUMIFS('Weekly Log'!$E:$E,'Weekly Log'!$A:$A,"&gt;="&amp;$J1489,'Weekly Log'!$A:$A,"&lt;"&amp;$J1489+7),0))</f>
        <v/>
      </c>
      <c r="G1489" t="str">
        <f>IF($J1489="","",IFERROR(LOOKUP(2,1/(('Weekly Log'!$A$5:$A$5000&gt;=$J1489)*('Weekly Log'!$A$5:$A$5000&lt;$J1489+7)*('Weekly Log'!$M$5:$M$5000&lt;&gt;"")),'Weekly Log'!$M$5:$M$5000),0))</f>
        <v/>
      </c>
      <c r="J1489" t="str">
        <f>IF(COUNT('Weekly Log'!$A$5:$A$5000)=0,"",IF(MIN('Weekly Log'!$A$5:$A$5000)+7*(ROW()-10)&gt;MAX('Weekly Log'!$A$5:$A$5000),"",MIN('Weekly Log'!$A$5:$A$5000)+7*(ROW()-10)))</f>
        <v/>
      </c>
    </row>
    <row r="1490" spans="1:10" x14ac:dyDescent="0.25">
      <c r="A1490" t="str">
        <f t="shared" si="23"/>
        <v/>
      </c>
      <c r="B1490" t="str">
        <f>IF($J1490="","",SUMIFS('Weekly Log'!$C:$C,'Weekly Log'!$A:$A,"&gt;="&amp;$J1490,'Weekly Log'!$A:$A,"&lt;"&amp;$J1490+7))</f>
        <v/>
      </c>
      <c r="C1490" t="str">
        <f>IF($J1490="","",IFERROR(COUNTIFS('Weekly Log'!$G:$G,"Y",'Weekly Log'!$A:$A,"&gt;="&amp;$J1490,'Weekly Log'!$A:$A,"&lt;"&amp;$J1490+7)/COUNTIFS('Weekly Log'!$G:$G,"&lt;&gt;",'Weekly Log'!$A:$A,"&gt;="&amp;$J1490,'Weekly Log'!$A:$A,"&lt;"&amp;$J1490+7),0))</f>
        <v/>
      </c>
      <c r="D1490" t="str">
        <f>IF($J1490="","",IFERROR(COUNTIFS('Weekly Log'!$H:$H,"Y",'Weekly Log'!$A:$A,"&gt;="&amp;$J1490,'Weekly Log'!$A:$A,"&lt;"&amp;$J1490+7)/COUNTIFS('Weekly Log'!$H:$H,"&lt;&gt;",'Weekly Log'!$A:$A,"&gt;="&amp;$J1490,'Weekly Log'!$A:$A,"&lt;"&amp;$J1490+7),0))</f>
        <v/>
      </c>
      <c r="E1490" t="str">
        <f>IF($J1490="","",IFERROR(AVERAGEIFS('Weekly Log'!$F:$F,'Weekly Log'!$A:$A,"&gt;="&amp;$J1490,'Weekly Log'!$A:$A,"&lt;"&amp;$J1490+7),0))</f>
        <v/>
      </c>
      <c r="F1490" t="str">
        <f>IF($J1490="","",IFERROR(SUMIFS('Weekly Log'!$F:$F,'Weekly Log'!$A:$A,"&gt;="&amp;$J1490,'Weekly Log'!$A:$A,"&lt;"&amp;$J1490+7)/SUMIFS('Weekly Log'!$E:$E,'Weekly Log'!$A:$A,"&gt;="&amp;$J1490,'Weekly Log'!$A:$A,"&lt;"&amp;$J1490+7),0))</f>
        <v/>
      </c>
      <c r="G1490" t="str">
        <f>IF($J1490="","",IFERROR(LOOKUP(2,1/(('Weekly Log'!$A$5:$A$5000&gt;=$J1490)*('Weekly Log'!$A$5:$A$5000&lt;$J1490+7)*('Weekly Log'!$M$5:$M$5000&lt;&gt;"")),'Weekly Log'!$M$5:$M$5000),0))</f>
        <v/>
      </c>
      <c r="J1490" t="str">
        <f>IF(COUNT('Weekly Log'!$A$5:$A$5000)=0,"",IF(MIN('Weekly Log'!$A$5:$A$5000)+7*(ROW()-10)&gt;MAX('Weekly Log'!$A$5:$A$5000),"",MIN('Weekly Log'!$A$5:$A$5000)+7*(ROW()-10)))</f>
        <v/>
      </c>
    </row>
    <row r="1491" spans="1:10" x14ac:dyDescent="0.25">
      <c r="A1491" t="str">
        <f t="shared" si="23"/>
        <v/>
      </c>
      <c r="B1491" t="str">
        <f>IF($J1491="","",SUMIFS('Weekly Log'!$C:$C,'Weekly Log'!$A:$A,"&gt;="&amp;$J1491,'Weekly Log'!$A:$A,"&lt;"&amp;$J1491+7))</f>
        <v/>
      </c>
      <c r="C1491" t="str">
        <f>IF($J1491="","",IFERROR(COUNTIFS('Weekly Log'!$G:$G,"Y",'Weekly Log'!$A:$A,"&gt;="&amp;$J1491,'Weekly Log'!$A:$A,"&lt;"&amp;$J1491+7)/COUNTIFS('Weekly Log'!$G:$G,"&lt;&gt;",'Weekly Log'!$A:$A,"&gt;="&amp;$J1491,'Weekly Log'!$A:$A,"&lt;"&amp;$J1491+7),0))</f>
        <v/>
      </c>
      <c r="D1491" t="str">
        <f>IF($J1491="","",IFERROR(COUNTIFS('Weekly Log'!$H:$H,"Y",'Weekly Log'!$A:$A,"&gt;="&amp;$J1491,'Weekly Log'!$A:$A,"&lt;"&amp;$J1491+7)/COUNTIFS('Weekly Log'!$H:$H,"&lt;&gt;",'Weekly Log'!$A:$A,"&gt;="&amp;$J1491,'Weekly Log'!$A:$A,"&lt;"&amp;$J1491+7),0))</f>
        <v/>
      </c>
      <c r="E1491" t="str">
        <f>IF($J1491="","",IFERROR(AVERAGEIFS('Weekly Log'!$F:$F,'Weekly Log'!$A:$A,"&gt;="&amp;$J1491,'Weekly Log'!$A:$A,"&lt;"&amp;$J1491+7),0))</f>
        <v/>
      </c>
      <c r="F1491" t="str">
        <f>IF($J1491="","",IFERROR(SUMIFS('Weekly Log'!$F:$F,'Weekly Log'!$A:$A,"&gt;="&amp;$J1491,'Weekly Log'!$A:$A,"&lt;"&amp;$J1491+7)/SUMIFS('Weekly Log'!$E:$E,'Weekly Log'!$A:$A,"&gt;="&amp;$J1491,'Weekly Log'!$A:$A,"&lt;"&amp;$J1491+7),0))</f>
        <v/>
      </c>
      <c r="G1491" t="str">
        <f>IF($J1491="","",IFERROR(LOOKUP(2,1/(('Weekly Log'!$A$5:$A$5000&gt;=$J1491)*('Weekly Log'!$A$5:$A$5000&lt;$J1491+7)*('Weekly Log'!$M$5:$M$5000&lt;&gt;"")),'Weekly Log'!$M$5:$M$5000),0))</f>
        <v/>
      </c>
      <c r="J1491" t="str">
        <f>IF(COUNT('Weekly Log'!$A$5:$A$5000)=0,"",IF(MIN('Weekly Log'!$A$5:$A$5000)+7*(ROW()-10)&gt;MAX('Weekly Log'!$A$5:$A$5000),"",MIN('Weekly Log'!$A$5:$A$5000)+7*(ROW()-10)))</f>
        <v/>
      </c>
    </row>
    <row r="1492" spans="1:10" x14ac:dyDescent="0.25">
      <c r="A1492" t="str">
        <f t="shared" si="23"/>
        <v/>
      </c>
      <c r="B1492" t="str">
        <f>IF($J1492="","",SUMIFS('Weekly Log'!$C:$C,'Weekly Log'!$A:$A,"&gt;="&amp;$J1492,'Weekly Log'!$A:$A,"&lt;"&amp;$J1492+7))</f>
        <v/>
      </c>
      <c r="C1492" t="str">
        <f>IF($J1492="","",IFERROR(COUNTIFS('Weekly Log'!$G:$G,"Y",'Weekly Log'!$A:$A,"&gt;="&amp;$J1492,'Weekly Log'!$A:$A,"&lt;"&amp;$J1492+7)/COUNTIFS('Weekly Log'!$G:$G,"&lt;&gt;",'Weekly Log'!$A:$A,"&gt;="&amp;$J1492,'Weekly Log'!$A:$A,"&lt;"&amp;$J1492+7),0))</f>
        <v/>
      </c>
      <c r="D1492" t="str">
        <f>IF($J1492="","",IFERROR(COUNTIFS('Weekly Log'!$H:$H,"Y",'Weekly Log'!$A:$A,"&gt;="&amp;$J1492,'Weekly Log'!$A:$A,"&lt;"&amp;$J1492+7)/COUNTIFS('Weekly Log'!$H:$H,"&lt;&gt;",'Weekly Log'!$A:$A,"&gt;="&amp;$J1492,'Weekly Log'!$A:$A,"&lt;"&amp;$J1492+7),0))</f>
        <v/>
      </c>
      <c r="E1492" t="str">
        <f>IF($J1492="","",IFERROR(AVERAGEIFS('Weekly Log'!$F:$F,'Weekly Log'!$A:$A,"&gt;="&amp;$J1492,'Weekly Log'!$A:$A,"&lt;"&amp;$J1492+7),0))</f>
        <v/>
      </c>
      <c r="F1492" t="str">
        <f>IF($J1492="","",IFERROR(SUMIFS('Weekly Log'!$F:$F,'Weekly Log'!$A:$A,"&gt;="&amp;$J1492,'Weekly Log'!$A:$A,"&lt;"&amp;$J1492+7)/SUMIFS('Weekly Log'!$E:$E,'Weekly Log'!$A:$A,"&gt;="&amp;$J1492,'Weekly Log'!$A:$A,"&lt;"&amp;$J1492+7),0))</f>
        <v/>
      </c>
      <c r="G1492" t="str">
        <f>IF($J1492="","",IFERROR(LOOKUP(2,1/(('Weekly Log'!$A$5:$A$5000&gt;=$J1492)*('Weekly Log'!$A$5:$A$5000&lt;$J1492+7)*('Weekly Log'!$M$5:$M$5000&lt;&gt;"")),'Weekly Log'!$M$5:$M$5000),0))</f>
        <v/>
      </c>
      <c r="J1492" t="str">
        <f>IF(COUNT('Weekly Log'!$A$5:$A$5000)=0,"",IF(MIN('Weekly Log'!$A$5:$A$5000)+7*(ROW()-10)&gt;MAX('Weekly Log'!$A$5:$A$5000),"",MIN('Weekly Log'!$A$5:$A$5000)+7*(ROW()-10)))</f>
        <v/>
      </c>
    </row>
    <row r="1493" spans="1:10" x14ac:dyDescent="0.25">
      <c r="A1493" t="str">
        <f t="shared" si="23"/>
        <v/>
      </c>
      <c r="B1493" t="str">
        <f>IF($J1493="","",SUMIFS('Weekly Log'!$C:$C,'Weekly Log'!$A:$A,"&gt;="&amp;$J1493,'Weekly Log'!$A:$A,"&lt;"&amp;$J1493+7))</f>
        <v/>
      </c>
      <c r="C1493" t="str">
        <f>IF($J1493="","",IFERROR(COUNTIFS('Weekly Log'!$G:$G,"Y",'Weekly Log'!$A:$A,"&gt;="&amp;$J1493,'Weekly Log'!$A:$A,"&lt;"&amp;$J1493+7)/COUNTIFS('Weekly Log'!$G:$G,"&lt;&gt;",'Weekly Log'!$A:$A,"&gt;="&amp;$J1493,'Weekly Log'!$A:$A,"&lt;"&amp;$J1493+7),0))</f>
        <v/>
      </c>
      <c r="D1493" t="str">
        <f>IF($J1493="","",IFERROR(COUNTIFS('Weekly Log'!$H:$H,"Y",'Weekly Log'!$A:$A,"&gt;="&amp;$J1493,'Weekly Log'!$A:$A,"&lt;"&amp;$J1493+7)/COUNTIFS('Weekly Log'!$H:$H,"&lt;&gt;",'Weekly Log'!$A:$A,"&gt;="&amp;$J1493,'Weekly Log'!$A:$A,"&lt;"&amp;$J1493+7),0))</f>
        <v/>
      </c>
      <c r="E1493" t="str">
        <f>IF($J1493="","",IFERROR(AVERAGEIFS('Weekly Log'!$F:$F,'Weekly Log'!$A:$A,"&gt;="&amp;$J1493,'Weekly Log'!$A:$A,"&lt;"&amp;$J1493+7),0))</f>
        <v/>
      </c>
      <c r="F1493" t="str">
        <f>IF($J1493="","",IFERROR(SUMIFS('Weekly Log'!$F:$F,'Weekly Log'!$A:$A,"&gt;="&amp;$J1493,'Weekly Log'!$A:$A,"&lt;"&amp;$J1493+7)/SUMIFS('Weekly Log'!$E:$E,'Weekly Log'!$A:$A,"&gt;="&amp;$J1493,'Weekly Log'!$A:$A,"&lt;"&amp;$J1493+7),0))</f>
        <v/>
      </c>
      <c r="G1493" t="str">
        <f>IF($J1493="","",IFERROR(LOOKUP(2,1/(('Weekly Log'!$A$5:$A$5000&gt;=$J1493)*('Weekly Log'!$A$5:$A$5000&lt;$J1493+7)*('Weekly Log'!$M$5:$M$5000&lt;&gt;"")),'Weekly Log'!$M$5:$M$5000),0))</f>
        <v/>
      </c>
      <c r="J1493" t="str">
        <f>IF(COUNT('Weekly Log'!$A$5:$A$5000)=0,"",IF(MIN('Weekly Log'!$A$5:$A$5000)+7*(ROW()-10)&gt;MAX('Weekly Log'!$A$5:$A$5000),"",MIN('Weekly Log'!$A$5:$A$5000)+7*(ROW()-10)))</f>
        <v/>
      </c>
    </row>
    <row r="1494" spans="1:10" x14ac:dyDescent="0.25">
      <c r="A1494" t="str">
        <f t="shared" si="23"/>
        <v/>
      </c>
      <c r="B1494" t="str">
        <f>IF($J1494="","",SUMIFS('Weekly Log'!$C:$C,'Weekly Log'!$A:$A,"&gt;="&amp;$J1494,'Weekly Log'!$A:$A,"&lt;"&amp;$J1494+7))</f>
        <v/>
      </c>
      <c r="C1494" t="str">
        <f>IF($J1494="","",IFERROR(COUNTIFS('Weekly Log'!$G:$G,"Y",'Weekly Log'!$A:$A,"&gt;="&amp;$J1494,'Weekly Log'!$A:$A,"&lt;"&amp;$J1494+7)/COUNTIFS('Weekly Log'!$G:$G,"&lt;&gt;",'Weekly Log'!$A:$A,"&gt;="&amp;$J1494,'Weekly Log'!$A:$A,"&lt;"&amp;$J1494+7),0))</f>
        <v/>
      </c>
      <c r="D1494" t="str">
        <f>IF($J1494="","",IFERROR(COUNTIFS('Weekly Log'!$H:$H,"Y",'Weekly Log'!$A:$A,"&gt;="&amp;$J1494,'Weekly Log'!$A:$A,"&lt;"&amp;$J1494+7)/COUNTIFS('Weekly Log'!$H:$H,"&lt;&gt;",'Weekly Log'!$A:$A,"&gt;="&amp;$J1494,'Weekly Log'!$A:$A,"&lt;"&amp;$J1494+7),0))</f>
        <v/>
      </c>
      <c r="E1494" t="str">
        <f>IF($J1494="","",IFERROR(AVERAGEIFS('Weekly Log'!$F:$F,'Weekly Log'!$A:$A,"&gt;="&amp;$J1494,'Weekly Log'!$A:$A,"&lt;"&amp;$J1494+7),0))</f>
        <v/>
      </c>
      <c r="F1494" t="str">
        <f>IF($J1494="","",IFERROR(SUMIFS('Weekly Log'!$F:$F,'Weekly Log'!$A:$A,"&gt;="&amp;$J1494,'Weekly Log'!$A:$A,"&lt;"&amp;$J1494+7)/SUMIFS('Weekly Log'!$E:$E,'Weekly Log'!$A:$A,"&gt;="&amp;$J1494,'Weekly Log'!$A:$A,"&lt;"&amp;$J1494+7),0))</f>
        <v/>
      </c>
      <c r="G1494" t="str">
        <f>IF($J1494="","",IFERROR(LOOKUP(2,1/(('Weekly Log'!$A$5:$A$5000&gt;=$J1494)*('Weekly Log'!$A$5:$A$5000&lt;$J1494+7)*('Weekly Log'!$M$5:$M$5000&lt;&gt;"")),'Weekly Log'!$M$5:$M$5000),0))</f>
        <v/>
      </c>
      <c r="J1494" t="str">
        <f>IF(COUNT('Weekly Log'!$A$5:$A$5000)=0,"",IF(MIN('Weekly Log'!$A$5:$A$5000)+7*(ROW()-10)&gt;MAX('Weekly Log'!$A$5:$A$5000),"",MIN('Weekly Log'!$A$5:$A$5000)+7*(ROW()-10)))</f>
        <v/>
      </c>
    </row>
    <row r="1495" spans="1:10" x14ac:dyDescent="0.25">
      <c r="A1495" t="str">
        <f t="shared" si="23"/>
        <v/>
      </c>
      <c r="B1495" t="str">
        <f>IF($J1495="","",SUMIFS('Weekly Log'!$C:$C,'Weekly Log'!$A:$A,"&gt;="&amp;$J1495,'Weekly Log'!$A:$A,"&lt;"&amp;$J1495+7))</f>
        <v/>
      </c>
      <c r="C1495" t="str">
        <f>IF($J1495="","",IFERROR(COUNTIFS('Weekly Log'!$G:$G,"Y",'Weekly Log'!$A:$A,"&gt;="&amp;$J1495,'Weekly Log'!$A:$A,"&lt;"&amp;$J1495+7)/COUNTIFS('Weekly Log'!$G:$G,"&lt;&gt;",'Weekly Log'!$A:$A,"&gt;="&amp;$J1495,'Weekly Log'!$A:$A,"&lt;"&amp;$J1495+7),0))</f>
        <v/>
      </c>
      <c r="D1495" t="str">
        <f>IF($J1495="","",IFERROR(COUNTIFS('Weekly Log'!$H:$H,"Y",'Weekly Log'!$A:$A,"&gt;="&amp;$J1495,'Weekly Log'!$A:$A,"&lt;"&amp;$J1495+7)/COUNTIFS('Weekly Log'!$H:$H,"&lt;&gt;",'Weekly Log'!$A:$A,"&gt;="&amp;$J1495,'Weekly Log'!$A:$A,"&lt;"&amp;$J1495+7),0))</f>
        <v/>
      </c>
      <c r="E1495" t="str">
        <f>IF($J1495="","",IFERROR(AVERAGEIFS('Weekly Log'!$F:$F,'Weekly Log'!$A:$A,"&gt;="&amp;$J1495,'Weekly Log'!$A:$A,"&lt;"&amp;$J1495+7),0))</f>
        <v/>
      </c>
      <c r="F1495" t="str">
        <f>IF($J1495="","",IFERROR(SUMIFS('Weekly Log'!$F:$F,'Weekly Log'!$A:$A,"&gt;="&amp;$J1495,'Weekly Log'!$A:$A,"&lt;"&amp;$J1495+7)/SUMIFS('Weekly Log'!$E:$E,'Weekly Log'!$A:$A,"&gt;="&amp;$J1495,'Weekly Log'!$A:$A,"&lt;"&amp;$J1495+7),0))</f>
        <v/>
      </c>
      <c r="G1495" t="str">
        <f>IF($J1495="","",IFERROR(LOOKUP(2,1/(('Weekly Log'!$A$5:$A$5000&gt;=$J1495)*('Weekly Log'!$A$5:$A$5000&lt;$J1495+7)*('Weekly Log'!$M$5:$M$5000&lt;&gt;"")),'Weekly Log'!$M$5:$M$5000),0))</f>
        <v/>
      </c>
      <c r="J1495" t="str">
        <f>IF(COUNT('Weekly Log'!$A$5:$A$5000)=0,"",IF(MIN('Weekly Log'!$A$5:$A$5000)+7*(ROW()-10)&gt;MAX('Weekly Log'!$A$5:$A$5000),"",MIN('Weekly Log'!$A$5:$A$5000)+7*(ROW()-10)))</f>
        <v/>
      </c>
    </row>
    <row r="1496" spans="1:10" x14ac:dyDescent="0.25">
      <c r="A1496" t="str">
        <f t="shared" si="23"/>
        <v/>
      </c>
      <c r="B1496" t="str">
        <f>IF($J1496="","",SUMIFS('Weekly Log'!$C:$C,'Weekly Log'!$A:$A,"&gt;="&amp;$J1496,'Weekly Log'!$A:$A,"&lt;"&amp;$J1496+7))</f>
        <v/>
      </c>
      <c r="C1496" t="str">
        <f>IF($J1496="","",IFERROR(COUNTIFS('Weekly Log'!$G:$G,"Y",'Weekly Log'!$A:$A,"&gt;="&amp;$J1496,'Weekly Log'!$A:$A,"&lt;"&amp;$J1496+7)/COUNTIFS('Weekly Log'!$G:$G,"&lt;&gt;",'Weekly Log'!$A:$A,"&gt;="&amp;$J1496,'Weekly Log'!$A:$A,"&lt;"&amp;$J1496+7),0))</f>
        <v/>
      </c>
      <c r="D1496" t="str">
        <f>IF($J1496="","",IFERROR(COUNTIFS('Weekly Log'!$H:$H,"Y",'Weekly Log'!$A:$A,"&gt;="&amp;$J1496,'Weekly Log'!$A:$A,"&lt;"&amp;$J1496+7)/COUNTIFS('Weekly Log'!$H:$H,"&lt;&gt;",'Weekly Log'!$A:$A,"&gt;="&amp;$J1496,'Weekly Log'!$A:$A,"&lt;"&amp;$J1496+7),0))</f>
        <v/>
      </c>
      <c r="E1496" t="str">
        <f>IF($J1496="","",IFERROR(AVERAGEIFS('Weekly Log'!$F:$F,'Weekly Log'!$A:$A,"&gt;="&amp;$J1496,'Weekly Log'!$A:$A,"&lt;"&amp;$J1496+7),0))</f>
        <v/>
      </c>
      <c r="F1496" t="str">
        <f>IF($J1496="","",IFERROR(SUMIFS('Weekly Log'!$F:$F,'Weekly Log'!$A:$A,"&gt;="&amp;$J1496,'Weekly Log'!$A:$A,"&lt;"&amp;$J1496+7)/SUMIFS('Weekly Log'!$E:$E,'Weekly Log'!$A:$A,"&gt;="&amp;$J1496,'Weekly Log'!$A:$A,"&lt;"&amp;$J1496+7),0))</f>
        <v/>
      </c>
      <c r="G1496" t="str">
        <f>IF($J1496="","",IFERROR(LOOKUP(2,1/(('Weekly Log'!$A$5:$A$5000&gt;=$J1496)*('Weekly Log'!$A$5:$A$5000&lt;$J1496+7)*('Weekly Log'!$M$5:$M$5000&lt;&gt;"")),'Weekly Log'!$M$5:$M$5000),0))</f>
        <v/>
      </c>
      <c r="J1496" t="str">
        <f>IF(COUNT('Weekly Log'!$A$5:$A$5000)=0,"",IF(MIN('Weekly Log'!$A$5:$A$5000)+7*(ROW()-10)&gt;MAX('Weekly Log'!$A$5:$A$5000),"",MIN('Weekly Log'!$A$5:$A$5000)+7*(ROW()-10)))</f>
        <v/>
      </c>
    </row>
    <row r="1497" spans="1:10" x14ac:dyDescent="0.25">
      <c r="A1497" t="str">
        <f t="shared" si="23"/>
        <v/>
      </c>
      <c r="B1497" t="str">
        <f>IF($J1497="","",SUMIFS('Weekly Log'!$C:$C,'Weekly Log'!$A:$A,"&gt;="&amp;$J1497,'Weekly Log'!$A:$A,"&lt;"&amp;$J1497+7))</f>
        <v/>
      </c>
      <c r="C1497" t="str">
        <f>IF($J1497="","",IFERROR(COUNTIFS('Weekly Log'!$G:$G,"Y",'Weekly Log'!$A:$A,"&gt;="&amp;$J1497,'Weekly Log'!$A:$A,"&lt;"&amp;$J1497+7)/COUNTIFS('Weekly Log'!$G:$G,"&lt;&gt;",'Weekly Log'!$A:$A,"&gt;="&amp;$J1497,'Weekly Log'!$A:$A,"&lt;"&amp;$J1497+7),0))</f>
        <v/>
      </c>
      <c r="D1497" t="str">
        <f>IF($J1497="","",IFERROR(COUNTIFS('Weekly Log'!$H:$H,"Y",'Weekly Log'!$A:$A,"&gt;="&amp;$J1497,'Weekly Log'!$A:$A,"&lt;"&amp;$J1497+7)/COUNTIFS('Weekly Log'!$H:$H,"&lt;&gt;",'Weekly Log'!$A:$A,"&gt;="&amp;$J1497,'Weekly Log'!$A:$A,"&lt;"&amp;$J1497+7),0))</f>
        <v/>
      </c>
      <c r="E1497" t="str">
        <f>IF($J1497="","",IFERROR(AVERAGEIFS('Weekly Log'!$F:$F,'Weekly Log'!$A:$A,"&gt;="&amp;$J1497,'Weekly Log'!$A:$A,"&lt;"&amp;$J1497+7),0))</f>
        <v/>
      </c>
      <c r="F1497" t="str">
        <f>IF($J1497="","",IFERROR(SUMIFS('Weekly Log'!$F:$F,'Weekly Log'!$A:$A,"&gt;="&amp;$J1497,'Weekly Log'!$A:$A,"&lt;"&amp;$J1497+7)/SUMIFS('Weekly Log'!$E:$E,'Weekly Log'!$A:$A,"&gt;="&amp;$J1497,'Weekly Log'!$A:$A,"&lt;"&amp;$J1497+7),0))</f>
        <v/>
      </c>
      <c r="G1497" t="str">
        <f>IF($J1497="","",IFERROR(LOOKUP(2,1/(('Weekly Log'!$A$5:$A$5000&gt;=$J1497)*('Weekly Log'!$A$5:$A$5000&lt;$J1497+7)*('Weekly Log'!$M$5:$M$5000&lt;&gt;"")),'Weekly Log'!$M$5:$M$5000),0))</f>
        <v/>
      </c>
      <c r="J1497" t="str">
        <f>IF(COUNT('Weekly Log'!$A$5:$A$5000)=0,"",IF(MIN('Weekly Log'!$A$5:$A$5000)+7*(ROW()-10)&gt;MAX('Weekly Log'!$A$5:$A$5000),"",MIN('Weekly Log'!$A$5:$A$5000)+7*(ROW()-10)))</f>
        <v/>
      </c>
    </row>
    <row r="1498" spans="1:10" x14ac:dyDescent="0.25">
      <c r="A1498" t="str">
        <f t="shared" si="23"/>
        <v/>
      </c>
      <c r="B1498" t="str">
        <f>IF($J1498="","",SUMIFS('Weekly Log'!$C:$C,'Weekly Log'!$A:$A,"&gt;="&amp;$J1498,'Weekly Log'!$A:$A,"&lt;"&amp;$J1498+7))</f>
        <v/>
      </c>
      <c r="C1498" t="str">
        <f>IF($J1498="","",IFERROR(COUNTIFS('Weekly Log'!$G:$G,"Y",'Weekly Log'!$A:$A,"&gt;="&amp;$J1498,'Weekly Log'!$A:$A,"&lt;"&amp;$J1498+7)/COUNTIFS('Weekly Log'!$G:$G,"&lt;&gt;",'Weekly Log'!$A:$A,"&gt;="&amp;$J1498,'Weekly Log'!$A:$A,"&lt;"&amp;$J1498+7),0))</f>
        <v/>
      </c>
      <c r="D1498" t="str">
        <f>IF($J1498="","",IFERROR(COUNTIFS('Weekly Log'!$H:$H,"Y",'Weekly Log'!$A:$A,"&gt;="&amp;$J1498,'Weekly Log'!$A:$A,"&lt;"&amp;$J1498+7)/COUNTIFS('Weekly Log'!$H:$H,"&lt;&gt;",'Weekly Log'!$A:$A,"&gt;="&amp;$J1498,'Weekly Log'!$A:$A,"&lt;"&amp;$J1498+7),0))</f>
        <v/>
      </c>
      <c r="E1498" t="str">
        <f>IF($J1498="","",IFERROR(AVERAGEIFS('Weekly Log'!$F:$F,'Weekly Log'!$A:$A,"&gt;="&amp;$J1498,'Weekly Log'!$A:$A,"&lt;"&amp;$J1498+7),0))</f>
        <v/>
      </c>
      <c r="F1498" t="str">
        <f>IF($J1498="","",IFERROR(SUMIFS('Weekly Log'!$F:$F,'Weekly Log'!$A:$A,"&gt;="&amp;$J1498,'Weekly Log'!$A:$A,"&lt;"&amp;$J1498+7)/SUMIFS('Weekly Log'!$E:$E,'Weekly Log'!$A:$A,"&gt;="&amp;$J1498,'Weekly Log'!$A:$A,"&lt;"&amp;$J1498+7),0))</f>
        <v/>
      </c>
      <c r="G1498" t="str">
        <f>IF($J1498="","",IFERROR(LOOKUP(2,1/(('Weekly Log'!$A$5:$A$5000&gt;=$J1498)*('Weekly Log'!$A$5:$A$5000&lt;$J1498+7)*('Weekly Log'!$M$5:$M$5000&lt;&gt;"")),'Weekly Log'!$M$5:$M$5000),0))</f>
        <v/>
      </c>
      <c r="J1498" t="str">
        <f>IF(COUNT('Weekly Log'!$A$5:$A$5000)=0,"",IF(MIN('Weekly Log'!$A$5:$A$5000)+7*(ROW()-10)&gt;MAX('Weekly Log'!$A$5:$A$5000),"",MIN('Weekly Log'!$A$5:$A$5000)+7*(ROW()-10)))</f>
        <v/>
      </c>
    </row>
    <row r="1499" spans="1:10" x14ac:dyDescent="0.25">
      <c r="A1499" t="str">
        <f t="shared" si="23"/>
        <v/>
      </c>
      <c r="B1499" t="str">
        <f>IF($J1499="","",SUMIFS('Weekly Log'!$C:$C,'Weekly Log'!$A:$A,"&gt;="&amp;$J1499,'Weekly Log'!$A:$A,"&lt;"&amp;$J1499+7))</f>
        <v/>
      </c>
      <c r="C1499" t="str">
        <f>IF($J1499="","",IFERROR(COUNTIFS('Weekly Log'!$G:$G,"Y",'Weekly Log'!$A:$A,"&gt;="&amp;$J1499,'Weekly Log'!$A:$A,"&lt;"&amp;$J1499+7)/COUNTIFS('Weekly Log'!$G:$G,"&lt;&gt;",'Weekly Log'!$A:$A,"&gt;="&amp;$J1499,'Weekly Log'!$A:$A,"&lt;"&amp;$J1499+7),0))</f>
        <v/>
      </c>
      <c r="D1499" t="str">
        <f>IF($J1499="","",IFERROR(COUNTIFS('Weekly Log'!$H:$H,"Y",'Weekly Log'!$A:$A,"&gt;="&amp;$J1499,'Weekly Log'!$A:$A,"&lt;"&amp;$J1499+7)/COUNTIFS('Weekly Log'!$H:$H,"&lt;&gt;",'Weekly Log'!$A:$A,"&gt;="&amp;$J1499,'Weekly Log'!$A:$A,"&lt;"&amp;$J1499+7),0))</f>
        <v/>
      </c>
      <c r="E1499" t="str">
        <f>IF($J1499="","",IFERROR(AVERAGEIFS('Weekly Log'!$F:$F,'Weekly Log'!$A:$A,"&gt;="&amp;$J1499,'Weekly Log'!$A:$A,"&lt;"&amp;$J1499+7),0))</f>
        <v/>
      </c>
      <c r="F1499" t="str">
        <f>IF($J1499="","",IFERROR(SUMIFS('Weekly Log'!$F:$F,'Weekly Log'!$A:$A,"&gt;="&amp;$J1499,'Weekly Log'!$A:$A,"&lt;"&amp;$J1499+7)/SUMIFS('Weekly Log'!$E:$E,'Weekly Log'!$A:$A,"&gt;="&amp;$J1499,'Weekly Log'!$A:$A,"&lt;"&amp;$J1499+7),0))</f>
        <v/>
      </c>
      <c r="G1499" t="str">
        <f>IF($J1499="","",IFERROR(LOOKUP(2,1/(('Weekly Log'!$A$5:$A$5000&gt;=$J1499)*('Weekly Log'!$A$5:$A$5000&lt;$J1499+7)*('Weekly Log'!$M$5:$M$5000&lt;&gt;"")),'Weekly Log'!$M$5:$M$5000),0))</f>
        <v/>
      </c>
      <c r="J1499" t="str">
        <f>IF(COUNT('Weekly Log'!$A$5:$A$5000)=0,"",IF(MIN('Weekly Log'!$A$5:$A$5000)+7*(ROW()-10)&gt;MAX('Weekly Log'!$A$5:$A$5000),"",MIN('Weekly Log'!$A$5:$A$5000)+7*(ROW()-10)))</f>
        <v/>
      </c>
    </row>
    <row r="1500" spans="1:10" x14ac:dyDescent="0.25">
      <c r="A1500" t="str">
        <f t="shared" si="23"/>
        <v/>
      </c>
      <c r="B1500" t="str">
        <f>IF($J1500="","",SUMIFS('Weekly Log'!$C:$C,'Weekly Log'!$A:$A,"&gt;="&amp;$J1500,'Weekly Log'!$A:$A,"&lt;"&amp;$J1500+7))</f>
        <v/>
      </c>
      <c r="C1500" t="str">
        <f>IF($J1500="","",IFERROR(COUNTIFS('Weekly Log'!$G:$G,"Y",'Weekly Log'!$A:$A,"&gt;="&amp;$J1500,'Weekly Log'!$A:$A,"&lt;"&amp;$J1500+7)/COUNTIFS('Weekly Log'!$G:$G,"&lt;&gt;",'Weekly Log'!$A:$A,"&gt;="&amp;$J1500,'Weekly Log'!$A:$A,"&lt;"&amp;$J1500+7),0))</f>
        <v/>
      </c>
      <c r="D1500" t="str">
        <f>IF($J1500="","",IFERROR(COUNTIFS('Weekly Log'!$H:$H,"Y",'Weekly Log'!$A:$A,"&gt;="&amp;$J1500,'Weekly Log'!$A:$A,"&lt;"&amp;$J1500+7)/COUNTIFS('Weekly Log'!$H:$H,"&lt;&gt;",'Weekly Log'!$A:$A,"&gt;="&amp;$J1500,'Weekly Log'!$A:$A,"&lt;"&amp;$J1500+7),0))</f>
        <v/>
      </c>
      <c r="E1500" t="str">
        <f>IF($J1500="","",IFERROR(AVERAGEIFS('Weekly Log'!$F:$F,'Weekly Log'!$A:$A,"&gt;="&amp;$J1500,'Weekly Log'!$A:$A,"&lt;"&amp;$J1500+7),0))</f>
        <v/>
      </c>
      <c r="F1500" t="str">
        <f>IF($J1500="","",IFERROR(SUMIFS('Weekly Log'!$F:$F,'Weekly Log'!$A:$A,"&gt;="&amp;$J1500,'Weekly Log'!$A:$A,"&lt;"&amp;$J1500+7)/SUMIFS('Weekly Log'!$E:$E,'Weekly Log'!$A:$A,"&gt;="&amp;$J1500,'Weekly Log'!$A:$A,"&lt;"&amp;$J1500+7),0))</f>
        <v/>
      </c>
      <c r="G1500" t="str">
        <f>IF($J1500="","",IFERROR(LOOKUP(2,1/(('Weekly Log'!$A$5:$A$5000&gt;=$J1500)*('Weekly Log'!$A$5:$A$5000&lt;$J1500+7)*('Weekly Log'!$M$5:$M$5000&lt;&gt;"")),'Weekly Log'!$M$5:$M$5000),0))</f>
        <v/>
      </c>
      <c r="J1500" t="str">
        <f>IF(COUNT('Weekly Log'!$A$5:$A$5000)=0,"",IF(MIN('Weekly Log'!$A$5:$A$5000)+7*(ROW()-10)&gt;MAX('Weekly Log'!$A$5:$A$5000),"",MIN('Weekly Log'!$A$5:$A$5000)+7*(ROW()-10)))</f>
        <v/>
      </c>
    </row>
    <row r="1501" spans="1:10" x14ac:dyDescent="0.25">
      <c r="A1501" t="str">
        <f t="shared" si="23"/>
        <v/>
      </c>
      <c r="B1501" t="str">
        <f>IF($J1501="","",SUMIFS('Weekly Log'!$C:$C,'Weekly Log'!$A:$A,"&gt;="&amp;$J1501,'Weekly Log'!$A:$A,"&lt;"&amp;$J1501+7))</f>
        <v/>
      </c>
      <c r="C1501" t="str">
        <f>IF($J1501="","",IFERROR(COUNTIFS('Weekly Log'!$G:$G,"Y",'Weekly Log'!$A:$A,"&gt;="&amp;$J1501,'Weekly Log'!$A:$A,"&lt;"&amp;$J1501+7)/COUNTIFS('Weekly Log'!$G:$G,"&lt;&gt;",'Weekly Log'!$A:$A,"&gt;="&amp;$J1501,'Weekly Log'!$A:$A,"&lt;"&amp;$J1501+7),0))</f>
        <v/>
      </c>
      <c r="D1501" t="str">
        <f>IF($J1501="","",IFERROR(COUNTIFS('Weekly Log'!$H:$H,"Y",'Weekly Log'!$A:$A,"&gt;="&amp;$J1501,'Weekly Log'!$A:$A,"&lt;"&amp;$J1501+7)/COUNTIFS('Weekly Log'!$H:$H,"&lt;&gt;",'Weekly Log'!$A:$A,"&gt;="&amp;$J1501,'Weekly Log'!$A:$A,"&lt;"&amp;$J1501+7),0))</f>
        <v/>
      </c>
      <c r="E1501" t="str">
        <f>IF($J1501="","",IFERROR(AVERAGEIFS('Weekly Log'!$F:$F,'Weekly Log'!$A:$A,"&gt;="&amp;$J1501,'Weekly Log'!$A:$A,"&lt;"&amp;$J1501+7),0))</f>
        <v/>
      </c>
      <c r="F1501" t="str">
        <f>IF($J1501="","",IFERROR(SUMIFS('Weekly Log'!$F:$F,'Weekly Log'!$A:$A,"&gt;="&amp;$J1501,'Weekly Log'!$A:$A,"&lt;"&amp;$J1501+7)/SUMIFS('Weekly Log'!$E:$E,'Weekly Log'!$A:$A,"&gt;="&amp;$J1501,'Weekly Log'!$A:$A,"&lt;"&amp;$J1501+7),0))</f>
        <v/>
      </c>
      <c r="G1501" t="str">
        <f>IF($J1501="","",IFERROR(LOOKUP(2,1/(('Weekly Log'!$A$5:$A$5000&gt;=$J1501)*('Weekly Log'!$A$5:$A$5000&lt;$J1501+7)*('Weekly Log'!$M$5:$M$5000&lt;&gt;"")),'Weekly Log'!$M$5:$M$5000),0))</f>
        <v/>
      </c>
      <c r="J1501" t="str">
        <f>IF(COUNT('Weekly Log'!$A$5:$A$5000)=0,"",IF(MIN('Weekly Log'!$A$5:$A$5000)+7*(ROW()-10)&gt;MAX('Weekly Log'!$A$5:$A$5000),"",MIN('Weekly Log'!$A$5:$A$5000)+7*(ROW()-10)))</f>
        <v/>
      </c>
    </row>
    <row r="1502" spans="1:10" x14ac:dyDescent="0.25">
      <c r="A1502" t="str">
        <f t="shared" si="23"/>
        <v/>
      </c>
      <c r="B1502" t="str">
        <f>IF($J1502="","",SUMIFS('Weekly Log'!$C:$C,'Weekly Log'!$A:$A,"&gt;="&amp;$J1502,'Weekly Log'!$A:$A,"&lt;"&amp;$J1502+7))</f>
        <v/>
      </c>
      <c r="C1502" t="str">
        <f>IF($J1502="","",IFERROR(COUNTIFS('Weekly Log'!$G:$G,"Y",'Weekly Log'!$A:$A,"&gt;="&amp;$J1502,'Weekly Log'!$A:$A,"&lt;"&amp;$J1502+7)/COUNTIFS('Weekly Log'!$G:$G,"&lt;&gt;",'Weekly Log'!$A:$A,"&gt;="&amp;$J1502,'Weekly Log'!$A:$A,"&lt;"&amp;$J1502+7),0))</f>
        <v/>
      </c>
      <c r="D1502" t="str">
        <f>IF($J1502="","",IFERROR(COUNTIFS('Weekly Log'!$H:$H,"Y",'Weekly Log'!$A:$A,"&gt;="&amp;$J1502,'Weekly Log'!$A:$A,"&lt;"&amp;$J1502+7)/COUNTIFS('Weekly Log'!$H:$H,"&lt;&gt;",'Weekly Log'!$A:$A,"&gt;="&amp;$J1502,'Weekly Log'!$A:$A,"&lt;"&amp;$J1502+7),0))</f>
        <v/>
      </c>
      <c r="E1502" t="str">
        <f>IF($J1502="","",IFERROR(AVERAGEIFS('Weekly Log'!$F:$F,'Weekly Log'!$A:$A,"&gt;="&amp;$J1502,'Weekly Log'!$A:$A,"&lt;"&amp;$J1502+7),0))</f>
        <v/>
      </c>
      <c r="F1502" t="str">
        <f>IF($J1502="","",IFERROR(SUMIFS('Weekly Log'!$F:$F,'Weekly Log'!$A:$A,"&gt;="&amp;$J1502,'Weekly Log'!$A:$A,"&lt;"&amp;$J1502+7)/SUMIFS('Weekly Log'!$E:$E,'Weekly Log'!$A:$A,"&gt;="&amp;$J1502,'Weekly Log'!$A:$A,"&lt;"&amp;$J1502+7),0))</f>
        <v/>
      </c>
      <c r="G1502" t="str">
        <f>IF($J1502="","",IFERROR(LOOKUP(2,1/(('Weekly Log'!$A$5:$A$5000&gt;=$J1502)*('Weekly Log'!$A$5:$A$5000&lt;$J1502+7)*('Weekly Log'!$M$5:$M$5000&lt;&gt;"")),'Weekly Log'!$M$5:$M$5000),0))</f>
        <v/>
      </c>
      <c r="J1502" t="str">
        <f>IF(COUNT('Weekly Log'!$A$5:$A$5000)=0,"",IF(MIN('Weekly Log'!$A$5:$A$5000)+7*(ROW()-10)&gt;MAX('Weekly Log'!$A$5:$A$5000),"",MIN('Weekly Log'!$A$5:$A$5000)+7*(ROW()-10)))</f>
        <v/>
      </c>
    </row>
    <row r="1503" spans="1:10" x14ac:dyDescent="0.25">
      <c r="A1503" t="str">
        <f t="shared" si="23"/>
        <v/>
      </c>
      <c r="B1503" t="str">
        <f>IF($J1503="","",SUMIFS('Weekly Log'!$C:$C,'Weekly Log'!$A:$A,"&gt;="&amp;$J1503,'Weekly Log'!$A:$A,"&lt;"&amp;$J1503+7))</f>
        <v/>
      </c>
      <c r="C1503" t="str">
        <f>IF($J1503="","",IFERROR(COUNTIFS('Weekly Log'!$G:$G,"Y",'Weekly Log'!$A:$A,"&gt;="&amp;$J1503,'Weekly Log'!$A:$A,"&lt;"&amp;$J1503+7)/COUNTIFS('Weekly Log'!$G:$G,"&lt;&gt;",'Weekly Log'!$A:$A,"&gt;="&amp;$J1503,'Weekly Log'!$A:$A,"&lt;"&amp;$J1503+7),0))</f>
        <v/>
      </c>
      <c r="D1503" t="str">
        <f>IF($J1503="","",IFERROR(COUNTIFS('Weekly Log'!$H:$H,"Y",'Weekly Log'!$A:$A,"&gt;="&amp;$J1503,'Weekly Log'!$A:$A,"&lt;"&amp;$J1503+7)/COUNTIFS('Weekly Log'!$H:$H,"&lt;&gt;",'Weekly Log'!$A:$A,"&gt;="&amp;$J1503,'Weekly Log'!$A:$A,"&lt;"&amp;$J1503+7),0))</f>
        <v/>
      </c>
      <c r="E1503" t="str">
        <f>IF($J1503="","",IFERROR(AVERAGEIFS('Weekly Log'!$F:$F,'Weekly Log'!$A:$A,"&gt;="&amp;$J1503,'Weekly Log'!$A:$A,"&lt;"&amp;$J1503+7),0))</f>
        <v/>
      </c>
      <c r="F1503" t="str">
        <f>IF($J1503="","",IFERROR(SUMIFS('Weekly Log'!$F:$F,'Weekly Log'!$A:$A,"&gt;="&amp;$J1503,'Weekly Log'!$A:$A,"&lt;"&amp;$J1503+7)/SUMIFS('Weekly Log'!$E:$E,'Weekly Log'!$A:$A,"&gt;="&amp;$J1503,'Weekly Log'!$A:$A,"&lt;"&amp;$J1503+7),0))</f>
        <v/>
      </c>
      <c r="G1503" t="str">
        <f>IF($J1503="","",IFERROR(LOOKUP(2,1/(('Weekly Log'!$A$5:$A$5000&gt;=$J1503)*('Weekly Log'!$A$5:$A$5000&lt;$J1503+7)*('Weekly Log'!$M$5:$M$5000&lt;&gt;"")),'Weekly Log'!$M$5:$M$5000),0))</f>
        <v/>
      </c>
      <c r="J1503" t="str">
        <f>IF(COUNT('Weekly Log'!$A$5:$A$5000)=0,"",IF(MIN('Weekly Log'!$A$5:$A$5000)+7*(ROW()-10)&gt;MAX('Weekly Log'!$A$5:$A$5000),"",MIN('Weekly Log'!$A$5:$A$5000)+7*(ROW()-10)))</f>
        <v/>
      </c>
    </row>
    <row r="1504" spans="1:10" x14ac:dyDescent="0.25">
      <c r="A1504" t="str">
        <f t="shared" si="23"/>
        <v/>
      </c>
      <c r="B1504" t="str">
        <f>IF($J1504="","",SUMIFS('Weekly Log'!$C:$C,'Weekly Log'!$A:$A,"&gt;="&amp;$J1504,'Weekly Log'!$A:$A,"&lt;"&amp;$J1504+7))</f>
        <v/>
      </c>
      <c r="C1504" t="str">
        <f>IF($J1504="","",IFERROR(COUNTIFS('Weekly Log'!$G:$G,"Y",'Weekly Log'!$A:$A,"&gt;="&amp;$J1504,'Weekly Log'!$A:$A,"&lt;"&amp;$J1504+7)/COUNTIFS('Weekly Log'!$G:$G,"&lt;&gt;",'Weekly Log'!$A:$A,"&gt;="&amp;$J1504,'Weekly Log'!$A:$A,"&lt;"&amp;$J1504+7),0))</f>
        <v/>
      </c>
      <c r="D1504" t="str">
        <f>IF($J1504="","",IFERROR(COUNTIFS('Weekly Log'!$H:$H,"Y",'Weekly Log'!$A:$A,"&gt;="&amp;$J1504,'Weekly Log'!$A:$A,"&lt;"&amp;$J1504+7)/COUNTIFS('Weekly Log'!$H:$H,"&lt;&gt;",'Weekly Log'!$A:$A,"&gt;="&amp;$J1504,'Weekly Log'!$A:$A,"&lt;"&amp;$J1504+7),0))</f>
        <v/>
      </c>
      <c r="E1504" t="str">
        <f>IF($J1504="","",IFERROR(AVERAGEIFS('Weekly Log'!$F:$F,'Weekly Log'!$A:$A,"&gt;="&amp;$J1504,'Weekly Log'!$A:$A,"&lt;"&amp;$J1504+7),0))</f>
        <v/>
      </c>
      <c r="F1504" t="str">
        <f>IF($J1504="","",IFERROR(SUMIFS('Weekly Log'!$F:$F,'Weekly Log'!$A:$A,"&gt;="&amp;$J1504,'Weekly Log'!$A:$A,"&lt;"&amp;$J1504+7)/SUMIFS('Weekly Log'!$E:$E,'Weekly Log'!$A:$A,"&gt;="&amp;$J1504,'Weekly Log'!$A:$A,"&lt;"&amp;$J1504+7),0))</f>
        <v/>
      </c>
      <c r="G1504" t="str">
        <f>IF($J1504="","",IFERROR(LOOKUP(2,1/(('Weekly Log'!$A$5:$A$5000&gt;=$J1504)*('Weekly Log'!$A$5:$A$5000&lt;$J1504+7)*('Weekly Log'!$M$5:$M$5000&lt;&gt;"")),'Weekly Log'!$M$5:$M$5000),0))</f>
        <v/>
      </c>
      <c r="J1504" t="str">
        <f>IF(COUNT('Weekly Log'!$A$5:$A$5000)=0,"",IF(MIN('Weekly Log'!$A$5:$A$5000)+7*(ROW()-10)&gt;MAX('Weekly Log'!$A$5:$A$5000),"",MIN('Weekly Log'!$A$5:$A$5000)+7*(ROW()-10)))</f>
        <v/>
      </c>
    </row>
    <row r="1505" spans="1:10" x14ac:dyDescent="0.25">
      <c r="A1505" t="str">
        <f t="shared" si="23"/>
        <v/>
      </c>
      <c r="B1505" t="str">
        <f>IF($J1505="","",SUMIFS('Weekly Log'!$C:$C,'Weekly Log'!$A:$A,"&gt;="&amp;$J1505,'Weekly Log'!$A:$A,"&lt;"&amp;$J1505+7))</f>
        <v/>
      </c>
      <c r="C1505" t="str">
        <f>IF($J1505="","",IFERROR(COUNTIFS('Weekly Log'!$G:$G,"Y",'Weekly Log'!$A:$A,"&gt;="&amp;$J1505,'Weekly Log'!$A:$A,"&lt;"&amp;$J1505+7)/COUNTIFS('Weekly Log'!$G:$G,"&lt;&gt;",'Weekly Log'!$A:$A,"&gt;="&amp;$J1505,'Weekly Log'!$A:$A,"&lt;"&amp;$J1505+7),0))</f>
        <v/>
      </c>
      <c r="D1505" t="str">
        <f>IF($J1505="","",IFERROR(COUNTIFS('Weekly Log'!$H:$H,"Y",'Weekly Log'!$A:$A,"&gt;="&amp;$J1505,'Weekly Log'!$A:$A,"&lt;"&amp;$J1505+7)/COUNTIFS('Weekly Log'!$H:$H,"&lt;&gt;",'Weekly Log'!$A:$A,"&gt;="&amp;$J1505,'Weekly Log'!$A:$A,"&lt;"&amp;$J1505+7),0))</f>
        <v/>
      </c>
      <c r="E1505" t="str">
        <f>IF($J1505="","",IFERROR(AVERAGEIFS('Weekly Log'!$F:$F,'Weekly Log'!$A:$A,"&gt;="&amp;$J1505,'Weekly Log'!$A:$A,"&lt;"&amp;$J1505+7),0))</f>
        <v/>
      </c>
      <c r="F1505" t="str">
        <f>IF($J1505="","",IFERROR(SUMIFS('Weekly Log'!$F:$F,'Weekly Log'!$A:$A,"&gt;="&amp;$J1505,'Weekly Log'!$A:$A,"&lt;"&amp;$J1505+7)/SUMIFS('Weekly Log'!$E:$E,'Weekly Log'!$A:$A,"&gt;="&amp;$J1505,'Weekly Log'!$A:$A,"&lt;"&amp;$J1505+7),0))</f>
        <v/>
      </c>
      <c r="G1505" t="str">
        <f>IF($J1505="","",IFERROR(LOOKUP(2,1/(('Weekly Log'!$A$5:$A$5000&gt;=$J1505)*('Weekly Log'!$A$5:$A$5000&lt;$J1505+7)*('Weekly Log'!$M$5:$M$5000&lt;&gt;"")),'Weekly Log'!$M$5:$M$5000),0))</f>
        <v/>
      </c>
      <c r="J1505" t="str">
        <f>IF(COUNT('Weekly Log'!$A$5:$A$5000)=0,"",IF(MIN('Weekly Log'!$A$5:$A$5000)+7*(ROW()-10)&gt;MAX('Weekly Log'!$A$5:$A$5000),"",MIN('Weekly Log'!$A$5:$A$5000)+7*(ROW()-10)))</f>
        <v/>
      </c>
    </row>
    <row r="1506" spans="1:10" x14ac:dyDescent="0.25">
      <c r="A1506" t="str">
        <f t="shared" si="23"/>
        <v/>
      </c>
      <c r="B1506" t="str">
        <f>IF($J1506="","",SUMIFS('Weekly Log'!$C:$C,'Weekly Log'!$A:$A,"&gt;="&amp;$J1506,'Weekly Log'!$A:$A,"&lt;"&amp;$J1506+7))</f>
        <v/>
      </c>
      <c r="C1506" t="str">
        <f>IF($J1506="","",IFERROR(COUNTIFS('Weekly Log'!$G:$G,"Y",'Weekly Log'!$A:$A,"&gt;="&amp;$J1506,'Weekly Log'!$A:$A,"&lt;"&amp;$J1506+7)/COUNTIFS('Weekly Log'!$G:$G,"&lt;&gt;",'Weekly Log'!$A:$A,"&gt;="&amp;$J1506,'Weekly Log'!$A:$A,"&lt;"&amp;$J1506+7),0))</f>
        <v/>
      </c>
      <c r="D1506" t="str">
        <f>IF($J1506="","",IFERROR(COUNTIFS('Weekly Log'!$H:$H,"Y",'Weekly Log'!$A:$A,"&gt;="&amp;$J1506,'Weekly Log'!$A:$A,"&lt;"&amp;$J1506+7)/COUNTIFS('Weekly Log'!$H:$H,"&lt;&gt;",'Weekly Log'!$A:$A,"&gt;="&amp;$J1506,'Weekly Log'!$A:$A,"&lt;"&amp;$J1506+7),0))</f>
        <v/>
      </c>
      <c r="E1506" t="str">
        <f>IF($J1506="","",IFERROR(AVERAGEIFS('Weekly Log'!$F:$F,'Weekly Log'!$A:$A,"&gt;="&amp;$J1506,'Weekly Log'!$A:$A,"&lt;"&amp;$J1506+7),0))</f>
        <v/>
      </c>
      <c r="F1506" t="str">
        <f>IF($J1506="","",IFERROR(SUMIFS('Weekly Log'!$F:$F,'Weekly Log'!$A:$A,"&gt;="&amp;$J1506,'Weekly Log'!$A:$A,"&lt;"&amp;$J1506+7)/SUMIFS('Weekly Log'!$E:$E,'Weekly Log'!$A:$A,"&gt;="&amp;$J1506,'Weekly Log'!$A:$A,"&lt;"&amp;$J1506+7),0))</f>
        <v/>
      </c>
      <c r="G1506" t="str">
        <f>IF($J1506="","",IFERROR(LOOKUP(2,1/(('Weekly Log'!$A$5:$A$5000&gt;=$J1506)*('Weekly Log'!$A$5:$A$5000&lt;$J1506+7)*('Weekly Log'!$M$5:$M$5000&lt;&gt;"")),'Weekly Log'!$M$5:$M$5000),0))</f>
        <v/>
      </c>
      <c r="J1506" t="str">
        <f>IF(COUNT('Weekly Log'!$A$5:$A$5000)=0,"",IF(MIN('Weekly Log'!$A$5:$A$5000)+7*(ROW()-10)&gt;MAX('Weekly Log'!$A$5:$A$5000),"",MIN('Weekly Log'!$A$5:$A$5000)+7*(ROW()-10)))</f>
        <v/>
      </c>
    </row>
    <row r="1507" spans="1:10" x14ac:dyDescent="0.25">
      <c r="A1507" t="str">
        <f t="shared" si="23"/>
        <v/>
      </c>
      <c r="B1507" t="str">
        <f>IF($J1507="","",SUMIFS('Weekly Log'!$C:$C,'Weekly Log'!$A:$A,"&gt;="&amp;$J1507,'Weekly Log'!$A:$A,"&lt;"&amp;$J1507+7))</f>
        <v/>
      </c>
      <c r="C1507" t="str">
        <f>IF($J1507="","",IFERROR(COUNTIFS('Weekly Log'!$G:$G,"Y",'Weekly Log'!$A:$A,"&gt;="&amp;$J1507,'Weekly Log'!$A:$A,"&lt;"&amp;$J1507+7)/COUNTIFS('Weekly Log'!$G:$G,"&lt;&gt;",'Weekly Log'!$A:$A,"&gt;="&amp;$J1507,'Weekly Log'!$A:$A,"&lt;"&amp;$J1507+7),0))</f>
        <v/>
      </c>
      <c r="D1507" t="str">
        <f>IF($J1507="","",IFERROR(COUNTIFS('Weekly Log'!$H:$H,"Y",'Weekly Log'!$A:$A,"&gt;="&amp;$J1507,'Weekly Log'!$A:$A,"&lt;"&amp;$J1507+7)/COUNTIFS('Weekly Log'!$H:$H,"&lt;&gt;",'Weekly Log'!$A:$A,"&gt;="&amp;$J1507,'Weekly Log'!$A:$A,"&lt;"&amp;$J1507+7),0))</f>
        <v/>
      </c>
      <c r="E1507" t="str">
        <f>IF($J1507="","",IFERROR(AVERAGEIFS('Weekly Log'!$F:$F,'Weekly Log'!$A:$A,"&gt;="&amp;$J1507,'Weekly Log'!$A:$A,"&lt;"&amp;$J1507+7),0))</f>
        <v/>
      </c>
      <c r="F1507" t="str">
        <f>IF($J1507="","",IFERROR(SUMIFS('Weekly Log'!$F:$F,'Weekly Log'!$A:$A,"&gt;="&amp;$J1507,'Weekly Log'!$A:$A,"&lt;"&amp;$J1507+7)/SUMIFS('Weekly Log'!$E:$E,'Weekly Log'!$A:$A,"&gt;="&amp;$J1507,'Weekly Log'!$A:$A,"&lt;"&amp;$J1507+7),0))</f>
        <v/>
      </c>
      <c r="G1507" t="str">
        <f>IF($J1507="","",IFERROR(LOOKUP(2,1/(('Weekly Log'!$A$5:$A$5000&gt;=$J1507)*('Weekly Log'!$A$5:$A$5000&lt;$J1507+7)*('Weekly Log'!$M$5:$M$5000&lt;&gt;"")),'Weekly Log'!$M$5:$M$5000),0))</f>
        <v/>
      </c>
      <c r="J1507" t="str">
        <f>IF(COUNT('Weekly Log'!$A$5:$A$5000)=0,"",IF(MIN('Weekly Log'!$A$5:$A$5000)+7*(ROW()-10)&gt;MAX('Weekly Log'!$A$5:$A$5000),"",MIN('Weekly Log'!$A$5:$A$5000)+7*(ROW()-10)))</f>
        <v/>
      </c>
    </row>
    <row r="1508" spans="1:10" x14ac:dyDescent="0.25">
      <c r="A1508" t="str">
        <f t="shared" si="23"/>
        <v/>
      </c>
      <c r="B1508" t="str">
        <f>IF($J1508="","",SUMIFS('Weekly Log'!$C:$C,'Weekly Log'!$A:$A,"&gt;="&amp;$J1508,'Weekly Log'!$A:$A,"&lt;"&amp;$J1508+7))</f>
        <v/>
      </c>
      <c r="C1508" t="str">
        <f>IF($J1508="","",IFERROR(COUNTIFS('Weekly Log'!$G:$G,"Y",'Weekly Log'!$A:$A,"&gt;="&amp;$J1508,'Weekly Log'!$A:$A,"&lt;"&amp;$J1508+7)/COUNTIFS('Weekly Log'!$G:$G,"&lt;&gt;",'Weekly Log'!$A:$A,"&gt;="&amp;$J1508,'Weekly Log'!$A:$A,"&lt;"&amp;$J1508+7),0))</f>
        <v/>
      </c>
      <c r="D1508" t="str">
        <f>IF($J1508="","",IFERROR(COUNTIFS('Weekly Log'!$H:$H,"Y",'Weekly Log'!$A:$A,"&gt;="&amp;$J1508,'Weekly Log'!$A:$A,"&lt;"&amp;$J1508+7)/COUNTIFS('Weekly Log'!$H:$H,"&lt;&gt;",'Weekly Log'!$A:$A,"&gt;="&amp;$J1508,'Weekly Log'!$A:$A,"&lt;"&amp;$J1508+7),0))</f>
        <v/>
      </c>
      <c r="E1508" t="str">
        <f>IF($J1508="","",IFERROR(AVERAGEIFS('Weekly Log'!$F:$F,'Weekly Log'!$A:$A,"&gt;="&amp;$J1508,'Weekly Log'!$A:$A,"&lt;"&amp;$J1508+7),0))</f>
        <v/>
      </c>
      <c r="F1508" t="str">
        <f>IF($J1508="","",IFERROR(SUMIFS('Weekly Log'!$F:$F,'Weekly Log'!$A:$A,"&gt;="&amp;$J1508,'Weekly Log'!$A:$A,"&lt;"&amp;$J1508+7)/SUMIFS('Weekly Log'!$E:$E,'Weekly Log'!$A:$A,"&gt;="&amp;$J1508,'Weekly Log'!$A:$A,"&lt;"&amp;$J1508+7),0))</f>
        <v/>
      </c>
      <c r="G1508" t="str">
        <f>IF($J1508="","",IFERROR(LOOKUP(2,1/(('Weekly Log'!$A$5:$A$5000&gt;=$J1508)*('Weekly Log'!$A$5:$A$5000&lt;$J1508+7)*('Weekly Log'!$M$5:$M$5000&lt;&gt;"")),'Weekly Log'!$M$5:$M$5000),0))</f>
        <v/>
      </c>
      <c r="J1508" t="str">
        <f>IF(COUNT('Weekly Log'!$A$5:$A$5000)=0,"",IF(MIN('Weekly Log'!$A$5:$A$5000)+7*(ROW()-10)&gt;MAX('Weekly Log'!$A$5:$A$5000),"",MIN('Weekly Log'!$A$5:$A$5000)+7*(ROW()-10)))</f>
        <v/>
      </c>
    </row>
    <row r="1509" spans="1:10" x14ac:dyDescent="0.25">
      <c r="A1509" t="str">
        <f t="shared" si="23"/>
        <v/>
      </c>
      <c r="B1509" t="str">
        <f>IF($J1509="","",SUMIFS('Weekly Log'!$C:$C,'Weekly Log'!$A:$A,"&gt;="&amp;$J1509,'Weekly Log'!$A:$A,"&lt;"&amp;$J1509+7))</f>
        <v/>
      </c>
      <c r="C1509" t="str">
        <f>IF($J1509="","",IFERROR(COUNTIFS('Weekly Log'!$G:$G,"Y",'Weekly Log'!$A:$A,"&gt;="&amp;$J1509,'Weekly Log'!$A:$A,"&lt;"&amp;$J1509+7)/COUNTIFS('Weekly Log'!$G:$G,"&lt;&gt;",'Weekly Log'!$A:$A,"&gt;="&amp;$J1509,'Weekly Log'!$A:$A,"&lt;"&amp;$J1509+7),0))</f>
        <v/>
      </c>
      <c r="D1509" t="str">
        <f>IF($J1509="","",IFERROR(COUNTIFS('Weekly Log'!$H:$H,"Y",'Weekly Log'!$A:$A,"&gt;="&amp;$J1509,'Weekly Log'!$A:$A,"&lt;"&amp;$J1509+7)/COUNTIFS('Weekly Log'!$H:$H,"&lt;&gt;",'Weekly Log'!$A:$A,"&gt;="&amp;$J1509,'Weekly Log'!$A:$A,"&lt;"&amp;$J1509+7),0))</f>
        <v/>
      </c>
      <c r="E1509" t="str">
        <f>IF($J1509="","",IFERROR(AVERAGEIFS('Weekly Log'!$F:$F,'Weekly Log'!$A:$A,"&gt;="&amp;$J1509,'Weekly Log'!$A:$A,"&lt;"&amp;$J1509+7),0))</f>
        <v/>
      </c>
      <c r="F1509" t="str">
        <f>IF($J1509="","",IFERROR(SUMIFS('Weekly Log'!$F:$F,'Weekly Log'!$A:$A,"&gt;="&amp;$J1509,'Weekly Log'!$A:$A,"&lt;"&amp;$J1509+7)/SUMIFS('Weekly Log'!$E:$E,'Weekly Log'!$A:$A,"&gt;="&amp;$J1509,'Weekly Log'!$A:$A,"&lt;"&amp;$J1509+7),0))</f>
        <v/>
      </c>
      <c r="G1509" t="str">
        <f>IF($J1509="","",IFERROR(LOOKUP(2,1/(('Weekly Log'!$A$5:$A$5000&gt;=$J1509)*('Weekly Log'!$A$5:$A$5000&lt;$J1509+7)*('Weekly Log'!$M$5:$M$5000&lt;&gt;"")),'Weekly Log'!$M$5:$M$5000),0))</f>
        <v/>
      </c>
      <c r="J1509" t="str">
        <f>IF(COUNT('Weekly Log'!$A$5:$A$5000)=0,"",IF(MIN('Weekly Log'!$A$5:$A$5000)+7*(ROW()-10)&gt;MAX('Weekly Log'!$A$5:$A$5000),"",MIN('Weekly Log'!$A$5:$A$5000)+7*(ROW()-10)))</f>
        <v/>
      </c>
    </row>
    <row r="1510" spans="1:10" x14ac:dyDescent="0.25">
      <c r="A1510" t="str">
        <f t="shared" si="23"/>
        <v/>
      </c>
      <c r="B1510" t="str">
        <f>IF($J1510="","",SUMIFS('Weekly Log'!$C:$C,'Weekly Log'!$A:$A,"&gt;="&amp;$J1510,'Weekly Log'!$A:$A,"&lt;"&amp;$J1510+7))</f>
        <v/>
      </c>
      <c r="C1510" t="str">
        <f>IF($J1510="","",IFERROR(COUNTIFS('Weekly Log'!$G:$G,"Y",'Weekly Log'!$A:$A,"&gt;="&amp;$J1510,'Weekly Log'!$A:$A,"&lt;"&amp;$J1510+7)/COUNTIFS('Weekly Log'!$G:$G,"&lt;&gt;",'Weekly Log'!$A:$A,"&gt;="&amp;$J1510,'Weekly Log'!$A:$A,"&lt;"&amp;$J1510+7),0))</f>
        <v/>
      </c>
      <c r="D1510" t="str">
        <f>IF($J1510="","",IFERROR(COUNTIFS('Weekly Log'!$H:$H,"Y",'Weekly Log'!$A:$A,"&gt;="&amp;$J1510,'Weekly Log'!$A:$A,"&lt;"&amp;$J1510+7)/COUNTIFS('Weekly Log'!$H:$H,"&lt;&gt;",'Weekly Log'!$A:$A,"&gt;="&amp;$J1510,'Weekly Log'!$A:$A,"&lt;"&amp;$J1510+7),0))</f>
        <v/>
      </c>
      <c r="E1510" t="str">
        <f>IF($J1510="","",IFERROR(AVERAGEIFS('Weekly Log'!$F:$F,'Weekly Log'!$A:$A,"&gt;="&amp;$J1510,'Weekly Log'!$A:$A,"&lt;"&amp;$J1510+7),0))</f>
        <v/>
      </c>
      <c r="F1510" t="str">
        <f>IF($J1510="","",IFERROR(SUMIFS('Weekly Log'!$F:$F,'Weekly Log'!$A:$A,"&gt;="&amp;$J1510,'Weekly Log'!$A:$A,"&lt;"&amp;$J1510+7)/SUMIFS('Weekly Log'!$E:$E,'Weekly Log'!$A:$A,"&gt;="&amp;$J1510,'Weekly Log'!$A:$A,"&lt;"&amp;$J1510+7),0))</f>
        <v/>
      </c>
      <c r="G1510" t="str">
        <f>IF($J1510="","",IFERROR(LOOKUP(2,1/(('Weekly Log'!$A$5:$A$5000&gt;=$J1510)*('Weekly Log'!$A$5:$A$5000&lt;$J1510+7)*('Weekly Log'!$M$5:$M$5000&lt;&gt;"")),'Weekly Log'!$M$5:$M$5000),0))</f>
        <v/>
      </c>
      <c r="J1510" t="str">
        <f>IF(COUNT('Weekly Log'!$A$5:$A$5000)=0,"",IF(MIN('Weekly Log'!$A$5:$A$5000)+7*(ROW()-10)&gt;MAX('Weekly Log'!$A$5:$A$5000),"",MIN('Weekly Log'!$A$5:$A$5000)+7*(ROW()-10)))</f>
        <v/>
      </c>
    </row>
    <row r="1511" spans="1:10" x14ac:dyDescent="0.25">
      <c r="A1511" t="str">
        <f t="shared" si="23"/>
        <v/>
      </c>
      <c r="B1511" t="str">
        <f>IF($J1511="","",SUMIFS('Weekly Log'!$C:$C,'Weekly Log'!$A:$A,"&gt;="&amp;$J1511,'Weekly Log'!$A:$A,"&lt;"&amp;$J1511+7))</f>
        <v/>
      </c>
      <c r="C1511" t="str">
        <f>IF($J1511="","",IFERROR(COUNTIFS('Weekly Log'!$G:$G,"Y",'Weekly Log'!$A:$A,"&gt;="&amp;$J1511,'Weekly Log'!$A:$A,"&lt;"&amp;$J1511+7)/COUNTIFS('Weekly Log'!$G:$G,"&lt;&gt;",'Weekly Log'!$A:$A,"&gt;="&amp;$J1511,'Weekly Log'!$A:$A,"&lt;"&amp;$J1511+7),0))</f>
        <v/>
      </c>
      <c r="D1511" t="str">
        <f>IF($J1511="","",IFERROR(COUNTIFS('Weekly Log'!$H:$H,"Y",'Weekly Log'!$A:$A,"&gt;="&amp;$J1511,'Weekly Log'!$A:$A,"&lt;"&amp;$J1511+7)/COUNTIFS('Weekly Log'!$H:$H,"&lt;&gt;",'Weekly Log'!$A:$A,"&gt;="&amp;$J1511,'Weekly Log'!$A:$A,"&lt;"&amp;$J1511+7),0))</f>
        <v/>
      </c>
      <c r="E1511" t="str">
        <f>IF($J1511="","",IFERROR(AVERAGEIFS('Weekly Log'!$F:$F,'Weekly Log'!$A:$A,"&gt;="&amp;$J1511,'Weekly Log'!$A:$A,"&lt;"&amp;$J1511+7),0))</f>
        <v/>
      </c>
      <c r="F1511" t="str">
        <f>IF($J1511="","",IFERROR(SUMIFS('Weekly Log'!$F:$F,'Weekly Log'!$A:$A,"&gt;="&amp;$J1511,'Weekly Log'!$A:$A,"&lt;"&amp;$J1511+7)/SUMIFS('Weekly Log'!$E:$E,'Weekly Log'!$A:$A,"&gt;="&amp;$J1511,'Weekly Log'!$A:$A,"&lt;"&amp;$J1511+7),0))</f>
        <v/>
      </c>
      <c r="G1511" t="str">
        <f>IF($J1511="","",IFERROR(LOOKUP(2,1/(('Weekly Log'!$A$5:$A$5000&gt;=$J1511)*('Weekly Log'!$A$5:$A$5000&lt;$J1511+7)*('Weekly Log'!$M$5:$M$5000&lt;&gt;"")),'Weekly Log'!$M$5:$M$5000),0))</f>
        <v/>
      </c>
      <c r="J1511" t="str">
        <f>IF(COUNT('Weekly Log'!$A$5:$A$5000)=0,"",IF(MIN('Weekly Log'!$A$5:$A$5000)+7*(ROW()-10)&gt;MAX('Weekly Log'!$A$5:$A$5000),"",MIN('Weekly Log'!$A$5:$A$5000)+7*(ROW()-10)))</f>
        <v/>
      </c>
    </row>
    <row r="1512" spans="1:10" x14ac:dyDescent="0.25">
      <c r="A1512" t="str">
        <f t="shared" si="23"/>
        <v/>
      </c>
      <c r="B1512" t="str">
        <f>IF($J1512="","",SUMIFS('Weekly Log'!$C:$C,'Weekly Log'!$A:$A,"&gt;="&amp;$J1512,'Weekly Log'!$A:$A,"&lt;"&amp;$J1512+7))</f>
        <v/>
      </c>
      <c r="C1512" t="str">
        <f>IF($J1512="","",IFERROR(COUNTIFS('Weekly Log'!$G:$G,"Y",'Weekly Log'!$A:$A,"&gt;="&amp;$J1512,'Weekly Log'!$A:$A,"&lt;"&amp;$J1512+7)/COUNTIFS('Weekly Log'!$G:$G,"&lt;&gt;",'Weekly Log'!$A:$A,"&gt;="&amp;$J1512,'Weekly Log'!$A:$A,"&lt;"&amp;$J1512+7),0))</f>
        <v/>
      </c>
      <c r="D1512" t="str">
        <f>IF($J1512="","",IFERROR(COUNTIFS('Weekly Log'!$H:$H,"Y",'Weekly Log'!$A:$A,"&gt;="&amp;$J1512,'Weekly Log'!$A:$A,"&lt;"&amp;$J1512+7)/COUNTIFS('Weekly Log'!$H:$H,"&lt;&gt;",'Weekly Log'!$A:$A,"&gt;="&amp;$J1512,'Weekly Log'!$A:$A,"&lt;"&amp;$J1512+7),0))</f>
        <v/>
      </c>
      <c r="E1512" t="str">
        <f>IF($J1512="","",IFERROR(AVERAGEIFS('Weekly Log'!$F:$F,'Weekly Log'!$A:$A,"&gt;="&amp;$J1512,'Weekly Log'!$A:$A,"&lt;"&amp;$J1512+7),0))</f>
        <v/>
      </c>
      <c r="F1512" t="str">
        <f>IF($J1512="","",IFERROR(SUMIFS('Weekly Log'!$F:$F,'Weekly Log'!$A:$A,"&gt;="&amp;$J1512,'Weekly Log'!$A:$A,"&lt;"&amp;$J1512+7)/SUMIFS('Weekly Log'!$E:$E,'Weekly Log'!$A:$A,"&gt;="&amp;$J1512,'Weekly Log'!$A:$A,"&lt;"&amp;$J1512+7),0))</f>
        <v/>
      </c>
      <c r="G1512" t="str">
        <f>IF($J1512="","",IFERROR(LOOKUP(2,1/(('Weekly Log'!$A$5:$A$5000&gt;=$J1512)*('Weekly Log'!$A$5:$A$5000&lt;$J1512+7)*('Weekly Log'!$M$5:$M$5000&lt;&gt;"")),'Weekly Log'!$M$5:$M$5000),0))</f>
        <v/>
      </c>
      <c r="J1512" t="str">
        <f>IF(COUNT('Weekly Log'!$A$5:$A$5000)=0,"",IF(MIN('Weekly Log'!$A$5:$A$5000)+7*(ROW()-10)&gt;MAX('Weekly Log'!$A$5:$A$5000),"",MIN('Weekly Log'!$A$5:$A$5000)+7*(ROW()-10)))</f>
        <v/>
      </c>
    </row>
    <row r="1513" spans="1:10" x14ac:dyDescent="0.25">
      <c r="A1513" t="str">
        <f t="shared" si="23"/>
        <v/>
      </c>
      <c r="B1513" t="str">
        <f>IF($J1513="","",SUMIFS('Weekly Log'!$C:$C,'Weekly Log'!$A:$A,"&gt;="&amp;$J1513,'Weekly Log'!$A:$A,"&lt;"&amp;$J1513+7))</f>
        <v/>
      </c>
      <c r="C1513" t="str">
        <f>IF($J1513="","",IFERROR(COUNTIFS('Weekly Log'!$G:$G,"Y",'Weekly Log'!$A:$A,"&gt;="&amp;$J1513,'Weekly Log'!$A:$A,"&lt;"&amp;$J1513+7)/COUNTIFS('Weekly Log'!$G:$G,"&lt;&gt;",'Weekly Log'!$A:$A,"&gt;="&amp;$J1513,'Weekly Log'!$A:$A,"&lt;"&amp;$J1513+7),0))</f>
        <v/>
      </c>
      <c r="D1513" t="str">
        <f>IF($J1513="","",IFERROR(COUNTIFS('Weekly Log'!$H:$H,"Y",'Weekly Log'!$A:$A,"&gt;="&amp;$J1513,'Weekly Log'!$A:$A,"&lt;"&amp;$J1513+7)/COUNTIFS('Weekly Log'!$H:$H,"&lt;&gt;",'Weekly Log'!$A:$A,"&gt;="&amp;$J1513,'Weekly Log'!$A:$A,"&lt;"&amp;$J1513+7),0))</f>
        <v/>
      </c>
      <c r="E1513" t="str">
        <f>IF($J1513="","",IFERROR(AVERAGEIFS('Weekly Log'!$F:$F,'Weekly Log'!$A:$A,"&gt;="&amp;$J1513,'Weekly Log'!$A:$A,"&lt;"&amp;$J1513+7),0))</f>
        <v/>
      </c>
      <c r="F1513" t="str">
        <f>IF($J1513="","",IFERROR(SUMIFS('Weekly Log'!$F:$F,'Weekly Log'!$A:$A,"&gt;="&amp;$J1513,'Weekly Log'!$A:$A,"&lt;"&amp;$J1513+7)/SUMIFS('Weekly Log'!$E:$E,'Weekly Log'!$A:$A,"&gt;="&amp;$J1513,'Weekly Log'!$A:$A,"&lt;"&amp;$J1513+7),0))</f>
        <v/>
      </c>
      <c r="G1513" t="str">
        <f>IF($J1513="","",IFERROR(LOOKUP(2,1/(('Weekly Log'!$A$5:$A$5000&gt;=$J1513)*('Weekly Log'!$A$5:$A$5000&lt;$J1513+7)*('Weekly Log'!$M$5:$M$5000&lt;&gt;"")),'Weekly Log'!$M$5:$M$5000),0))</f>
        <v/>
      </c>
      <c r="J1513" t="str">
        <f>IF(COUNT('Weekly Log'!$A$5:$A$5000)=0,"",IF(MIN('Weekly Log'!$A$5:$A$5000)+7*(ROW()-10)&gt;MAX('Weekly Log'!$A$5:$A$5000),"",MIN('Weekly Log'!$A$5:$A$5000)+7*(ROW()-10)))</f>
        <v/>
      </c>
    </row>
    <row r="1514" spans="1:10" x14ac:dyDescent="0.25">
      <c r="A1514" t="str">
        <f t="shared" si="23"/>
        <v/>
      </c>
      <c r="B1514" t="str">
        <f>IF($J1514="","",SUMIFS('Weekly Log'!$C:$C,'Weekly Log'!$A:$A,"&gt;="&amp;$J1514,'Weekly Log'!$A:$A,"&lt;"&amp;$J1514+7))</f>
        <v/>
      </c>
      <c r="C1514" t="str">
        <f>IF($J1514="","",IFERROR(COUNTIFS('Weekly Log'!$G:$G,"Y",'Weekly Log'!$A:$A,"&gt;="&amp;$J1514,'Weekly Log'!$A:$A,"&lt;"&amp;$J1514+7)/COUNTIFS('Weekly Log'!$G:$G,"&lt;&gt;",'Weekly Log'!$A:$A,"&gt;="&amp;$J1514,'Weekly Log'!$A:$A,"&lt;"&amp;$J1514+7),0))</f>
        <v/>
      </c>
      <c r="D1514" t="str">
        <f>IF($J1514="","",IFERROR(COUNTIFS('Weekly Log'!$H:$H,"Y",'Weekly Log'!$A:$A,"&gt;="&amp;$J1514,'Weekly Log'!$A:$A,"&lt;"&amp;$J1514+7)/COUNTIFS('Weekly Log'!$H:$H,"&lt;&gt;",'Weekly Log'!$A:$A,"&gt;="&amp;$J1514,'Weekly Log'!$A:$A,"&lt;"&amp;$J1514+7),0))</f>
        <v/>
      </c>
      <c r="E1514" t="str">
        <f>IF($J1514="","",IFERROR(AVERAGEIFS('Weekly Log'!$F:$F,'Weekly Log'!$A:$A,"&gt;="&amp;$J1514,'Weekly Log'!$A:$A,"&lt;"&amp;$J1514+7),0))</f>
        <v/>
      </c>
      <c r="F1514" t="str">
        <f>IF($J1514="","",IFERROR(SUMIFS('Weekly Log'!$F:$F,'Weekly Log'!$A:$A,"&gt;="&amp;$J1514,'Weekly Log'!$A:$A,"&lt;"&amp;$J1514+7)/SUMIFS('Weekly Log'!$E:$E,'Weekly Log'!$A:$A,"&gt;="&amp;$J1514,'Weekly Log'!$A:$A,"&lt;"&amp;$J1514+7),0))</f>
        <v/>
      </c>
      <c r="G1514" t="str">
        <f>IF($J1514="","",IFERROR(LOOKUP(2,1/(('Weekly Log'!$A$5:$A$5000&gt;=$J1514)*('Weekly Log'!$A$5:$A$5000&lt;$J1514+7)*('Weekly Log'!$M$5:$M$5000&lt;&gt;"")),'Weekly Log'!$M$5:$M$5000),0))</f>
        <v/>
      </c>
      <c r="J1514" t="str">
        <f>IF(COUNT('Weekly Log'!$A$5:$A$5000)=0,"",IF(MIN('Weekly Log'!$A$5:$A$5000)+7*(ROW()-10)&gt;MAX('Weekly Log'!$A$5:$A$5000),"",MIN('Weekly Log'!$A$5:$A$5000)+7*(ROW()-10)))</f>
        <v/>
      </c>
    </row>
    <row r="1515" spans="1:10" x14ac:dyDescent="0.25">
      <c r="A1515" t="str">
        <f t="shared" si="23"/>
        <v/>
      </c>
      <c r="B1515" t="str">
        <f>IF($J1515="","",SUMIFS('Weekly Log'!$C:$C,'Weekly Log'!$A:$A,"&gt;="&amp;$J1515,'Weekly Log'!$A:$A,"&lt;"&amp;$J1515+7))</f>
        <v/>
      </c>
      <c r="C1515" t="str">
        <f>IF($J1515="","",IFERROR(COUNTIFS('Weekly Log'!$G:$G,"Y",'Weekly Log'!$A:$A,"&gt;="&amp;$J1515,'Weekly Log'!$A:$A,"&lt;"&amp;$J1515+7)/COUNTIFS('Weekly Log'!$G:$G,"&lt;&gt;",'Weekly Log'!$A:$A,"&gt;="&amp;$J1515,'Weekly Log'!$A:$A,"&lt;"&amp;$J1515+7),0))</f>
        <v/>
      </c>
      <c r="D1515" t="str">
        <f>IF($J1515="","",IFERROR(COUNTIFS('Weekly Log'!$H:$H,"Y",'Weekly Log'!$A:$A,"&gt;="&amp;$J1515,'Weekly Log'!$A:$A,"&lt;"&amp;$J1515+7)/COUNTIFS('Weekly Log'!$H:$H,"&lt;&gt;",'Weekly Log'!$A:$A,"&gt;="&amp;$J1515,'Weekly Log'!$A:$A,"&lt;"&amp;$J1515+7),0))</f>
        <v/>
      </c>
      <c r="E1515" t="str">
        <f>IF($J1515="","",IFERROR(AVERAGEIFS('Weekly Log'!$F:$F,'Weekly Log'!$A:$A,"&gt;="&amp;$J1515,'Weekly Log'!$A:$A,"&lt;"&amp;$J1515+7),0))</f>
        <v/>
      </c>
      <c r="F1515" t="str">
        <f>IF($J1515="","",IFERROR(SUMIFS('Weekly Log'!$F:$F,'Weekly Log'!$A:$A,"&gt;="&amp;$J1515,'Weekly Log'!$A:$A,"&lt;"&amp;$J1515+7)/SUMIFS('Weekly Log'!$E:$E,'Weekly Log'!$A:$A,"&gt;="&amp;$J1515,'Weekly Log'!$A:$A,"&lt;"&amp;$J1515+7),0))</f>
        <v/>
      </c>
      <c r="G1515" t="str">
        <f>IF($J1515="","",IFERROR(LOOKUP(2,1/(('Weekly Log'!$A$5:$A$5000&gt;=$J1515)*('Weekly Log'!$A$5:$A$5000&lt;$J1515+7)*('Weekly Log'!$M$5:$M$5000&lt;&gt;"")),'Weekly Log'!$M$5:$M$5000),0))</f>
        <v/>
      </c>
      <c r="J1515" t="str">
        <f>IF(COUNT('Weekly Log'!$A$5:$A$5000)=0,"",IF(MIN('Weekly Log'!$A$5:$A$5000)+7*(ROW()-10)&gt;MAX('Weekly Log'!$A$5:$A$5000),"",MIN('Weekly Log'!$A$5:$A$5000)+7*(ROW()-10)))</f>
        <v/>
      </c>
    </row>
    <row r="1516" spans="1:10" x14ac:dyDescent="0.25">
      <c r="A1516" t="str">
        <f t="shared" si="23"/>
        <v/>
      </c>
      <c r="B1516" t="str">
        <f>IF($J1516="","",SUMIFS('Weekly Log'!$C:$C,'Weekly Log'!$A:$A,"&gt;="&amp;$J1516,'Weekly Log'!$A:$A,"&lt;"&amp;$J1516+7))</f>
        <v/>
      </c>
      <c r="C1516" t="str">
        <f>IF($J1516="","",IFERROR(COUNTIFS('Weekly Log'!$G:$G,"Y",'Weekly Log'!$A:$A,"&gt;="&amp;$J1516,'Weekly Log'!$A:$A,"&lt;"&amp;$J1516+7)/COUNTIFS('Weekly Log'!$G:$G,"&lt;&gt;",'Weekly Log'!$A:$A,"&gt;="&amp;$J1516,'Weekly Log'!$A:$A,"&lt;"&amp;$J1516+7),0))</f>
        <v/>
      </c>
      <c r="D1516" t="str">
        <f>IF($J1516="","",IFERROR(COUNTIFS('Weekly Log'!$H:$H,"Y",'Weekly Log'!$A:$A,"&gt;="&amp;$J1516,'Weekly Log'!$A:$A,"&lt;"&amp;$J1516+7)/COUNTIFS('Weekly Log'!$H:$H,"&lt;&gt;",'Weekly Log'!$A:$A,"&gt;="&amp;$J1516,'Weekly Log'!$A:$A,"&lt;"&amp;$J1516+7),0))</f>
        <v/>
      </c>
      <c r="E1516" t="str">
        <f>IF($J1516="","",IFERROR(AVERAGEIFS('Weekly Log'!$F:$F,'Weekly Log'!$A:$A,"&gt;="&amp;$J1516,'Weekly Log'!$A:$A,"&lt;"&amp;$J1516+7),0))</f>
        <v/>
      </c>
      <c r="F1516" t="str">
        <f>IF($J1516="","",IFERROR(SUMIFS('Weekly Log'!$F:$F,'Weekly Log'!$A:$A,"&gt;="&amp;$J1516,'Weekly Log'!$A:$A,"&lt;"&amp;$J1516+7)/SUMIFS('Weekly Log'!$E:$E,'Weekly Log'!$A:$A,"&gt;="&amp;$J1516,'Weekly Log'!$A:$A,"&lt;"&amp;$J1516+7),0))</f>
        <v/>
      </c>
      <c r="G1516" t="str">
        <f>IF($J1516="","",IFERROR(LOOKUP(2,1/(('Weekly Log'!$A$5:$A$5000&gt;=$J1516)*('Weekly Log'!$A$5:$A$5000&lt;$J1516+7)*('Weekly Log'!$M$5:$M$5000&lt;&gt;"")),'Weekly Log'!$M$5:$M$5000),0))</f>
        <v/>
      </c>
      <c r="J1516" t="str">
        <f>IF(COUNT('Weekly Log'!$A$5:$A$5000)=0,"",IF(MIN('Weekly Log'!$A$5:$A$5000)+7*(ROW()-10)&gt;MAX('Weekly Log'!$A$5:$A$5000),"",MIN('Weekly Log'!$A$5:$A$5000)+7*(ROW()-10)))</f>
        <v/>
      </c>
    </row>
    <row r="1517" spans="1:10" x14ac:dyDescent="0.25">
      <c r="A1517" t="str">
        <f t="shared" si="23"/>
        <v/>
      </c>
      <c r="B1517" t="str">
        <f>IF($J1517="","",SUMIFS('Weekly Log'!$C:$C,'Weekly Log'!$A:$A,"&gt;="&amp;$J1517,'Weekly Log'!$A:$A,"&lt;"&amp;$J1517+7))</f>
        <v/>
      </c>
      <c r="C1517" t="str">
        <f>IF($J1517="","",IFERROR(COUNTIFS('Weekly Log'!$G:$G,"Y",'Weekly Log'!$A:$A,"&gt;="&amp;$J1517,'Weekly Log'!$A:$A,"&lt;"&amp;$J1517+7)/COUNTIFS('Weekly Log'!$G:$G,"&lt;&gt;",'Weekly Log'!$A:$A,"&gt;="&amp;$J1517,'Weekly Log'!$A:$A,"&lt;"&amp;$J1517+7),0))</f>
        <v/>
      </c>
      <c r="D1517" t="str">
        <f>IF($J1517="","",IFERROR(COUNTIFS('Weekly Log'!$H:$H,"Y",'Weekly Log'!$A:$A,"&gt;="&amp;$J1517,'Weekly Log'!$A:$A,"&lt;"&amp;$J1517+7)/COUNTIFS('Weekly Log'!$H:$H,"&lt;&gt;",'Weekly Log'!$A:$A,"&gt;="&amp;$J1517,'Weekly Log'!$A:$A,"&lt;"&amp;$J1517+7),0))</f>
        <v/>
      </c>
      <c r="E1517" t="str">
        <f>IF($J1517="","",IFERROR(AVERAGEIFS('Weekly Log'!$F:$F,'Weekly Log'!$A:$A,"&gt;="&amp;$J1517,'Weekly Log'!$A:$A,"&lt;"&amp;$J1517+7),0))</f>
        <v/>
      </c>
      <c r="F1517" t="str">
        <f>IF($J1517="","",IFERROR(SUMIFS('Weekly Log'!$F:$F,'Weekly Log'!$A:$A,"&gt;="&amp;$J1517,'Weekly Log'!$A:$A,"&lt;"&amp;$J1517+7)/SUMIFS('Weekly Log'!$E:$E,'Weekly Log'!$A:$A,"&gt;="&amp;$J1517,'Weekly Log'!$A:$A,"&lt;"&amp;$J1517+7),0))</f>
        <v/>
      </c>
      <c r="G1517" t="str">
        <f>IF($J1517="","",IFERROR(LOOKUP(2,1/(('Weekly Log'!$A$5:$A$5000&gt;=$J1517)*('Weekly Log'!$A$5:$A$5000&lt;$J1517+7)*('Weekly Log'!$M$5:$M$5000&lt;&gt;"")),'Weekly Log'!$M$5:$M$5000),0))</f>
        <v/>
      </c>
      <c r="J1517" t="str">
        <f>IF(COUNT('Weekly Log'!$A$5:$A$5000)=0,"",IF(MIN('Weekly Log'!$A$5:$A$5000)+7*(ROW()-10)&gt;MAX('Weekly Log'!$A$5:$A$5000),"",MIN('Weekly Log'!$A$5:$A$5000)+7*(ROW()-10)))</f>
        <v/>
      </c>
    </row>
    <row r="1518" spans="1:10" x14ac:dyDescent="0.25">
      <c r="A1518" t="str">
        <f t="shared" si="23"/>
        <v/>
      </c>
      <c r="B1518" t="str">
        <f>IF($J1518="","",SUMIFS('Weekly Log'!$C:$C,'Weekly Log'!$A:$A,"&gt;="&amp;$J1518,'Weekly Log'!$A:$A,"&lt;"&amp;$J1518+7))</f>
        <v/>
      </c>
      <c r="C1518" t="str">
        <f>IF($J1518="","",IFERROR(COUNTIFS('Weekly Log'!$G:$G,"Y",'Weekly Log'!$A:$A,"&gt;="&amp;$J1518,'Weekly Log'!$A:$A,"&lt;"&amp;$J1518+7)/COUNTIFS('Weekly Log'!$G:$G,"&lt;&gt;",'Weekly Log'!$A:$A,"&gt;="&amp;$J1518,'Weekly Log'!$A:$A,"&lt;"&amp;$J1518+7),0))</f>
        <v/>
      </c>
      <c r="D1518" t="str">
        <f>IF($J1518="","",IFERROR(COUNTIFS('Weekly Log'!$H:$H,"Y",'Weekly Log'!$A:$A,"&gt;="&amp;$J1518,'Weekly Log'!$A:$A,"&lt;"&amp;$J1518+7)/COUNTIFS('Weekly Log'!$H:$H,"&lt;&gt;",'Weekly Log'!$A:$A,"&gt;="&amp;$J1518,'Weekly Log'!$A:$A,"&lt;"&amp;$J1518+7),0))</f>
        <v/>
      </c>
      <c r="E1518" t="str">
        <f>IF($J1518="","",IFERROR(AVERAGEIFS('Weekly Log'!$F:$F,'Weekly Log'!$A:$A,"&gt;="&amp;$J1518,'Weekly Log'!$A:$A,"&lt;"&amp;$J1518+7),0))</f>
        <v/>
      </c>
      <c r="F1518" t="str">
        <f>IF($J1518="","",IFERROR(SUMIFS('Weekly Log'!$F:$F,'Weekly Log'!$A:$A,"&gt;="&amp;$J1518,'Weekly Log'!$A:$A,"&lt;"&amp;$J1518+7)/SUMIFS('Weekly Log'!$E:$E,'Weekly Log'!$A:$A,"&gt;="&amp;$J1518,'Weekly Log'!$A:$A,"&lt;"&amp;$J1518+7),0))</f>
        <v/>
      </c>
      <c r="G1518" t="str">
        <f>IF($J1518="","",IFERROR(LOOKUP(2,1/(('Weekly Log'!$A$5:$A$5000&gt;=$J1518)*('Weekly Log'!$A$5:$A$5000&lt;$J1518+7)*('Weekly Log'!$M$5:$M$5000&lt;&gt;"")),'Weekly Log'!$M$5:$M$5000),0))</f>
        <v/>
      </c>
      <c r="J1518" t="str">
        <f>IF(COUNT('Weekly Log'!$A$5:$A$5000)=0,"",IF(MIN('Weekly Log'!$A$5:$A$5000)+7*(ROW()-10)&gt;MAX('Weekly Log'!$A$5:$A$5000),"",MIN('Weekly Log'!$A$5:$A$5000)+7*(ROW()-10)))</f>
        <v/>
      </c>
    </row>
    <row r="1519" spans="1:10" x14ac:dyDescent="0.25">
      <c r="A1519" t="str">
        <f t="shared" si="23"/>
        <v/>
      </c>
      <c r="B1519" t="str">
        <f>IF($J1519="","",SUMIFS('Weekly Log'!$C:$C,'Weekly Log'!$A:$A,"&gt;="&amp;$J1519,'Weekly Log'!$A:$A,"&lt;"&amp;$J1519+7))</f>
        <v/>
      </c>
      <c r="C1519" t="str">
        <f>IF($J1519="","",IFERROR(COUNTIFS('Weekly Log'!$G:$G,"Y",'Weekly Log'!$A:$A,"&gt;="&amp;$J1519,'Weekly Log'!$A:$A,"&lt;"&amp;$J1519+7)/COUNTIFS('Weekly Log'!$G:$G,"&lt;&gt;",'Weekly Log'!$A:$A,"&gt;="&amp;$J1519,'Weekly Log'!$A:$A,"&lt;"&amp;$J1519+7),0))</f>
        <v/>
      </c>
      <c r="D1519" t="str">
        <f>IF($J1519="","",IFERROR(COUNTIFS('Weekly Log'!$H:$H,"Y",'Weekly Log'!$A:$A,"&gt;="&amp;$J1519,'Weekly Log'!$A:$A,"&lt;"&amp;$J1519+7)/COUNTIFS('Weekly Log'!$H:$H,"&lt;&gt;",'Weekly Log'!$A:$A,"&gt;="&amp;$J1519,'Weekly Log'!$A:$A,"&lt;"&amp;$J1519+7),0))</f>
        <v/>
      </c>
      <c r="E1519" t="str">
        <f>IF($J1519="","",IFERROR(AVERAGEIFS('Weekly Log'!$F:$F,'Weekly Log'!$A:$A,"&gt;="&amp;$J1519,'Weekly Log'!$A:$A,"&lt;"&amp;$J1519+7),0))</f>
        <v/>
      </c>
      <c r="F1519" t="str">
        <f>IF($J1519="","",IFERROR(SUMIFS('Weekly Log'!$F:$F,'Weekly Log'!$A:$A,"&gt;="&amp;$J1519,'Weekly Log'!$A:$A,"&lt;"&amp;$J1519+7)/SUMIFS('Weekly Log'!$E:$E,'Weekly Log'!$A:$A,"&gt;="&amp;$J1519,'Weekly Log'!$A:$A,"&lt;"&amp;$J1519+7),0))</f>
        <v/>
      </c>
      <c r="G1519" t="str">
        <f>IF($J1519="","",IFERROR(LOOKUP(2,1/(('Weekly Log'!$A$5:$A$5000&gt;=$J1519)*('Weekly Log'!$A$5:$A$5000&lt;$J1519+7)*('Weekly Log'!$M$5:$M$5000&lt;&gt;"")),'Weekly Log'!$M$5:$M$5000),0))</f>
        <v/>
      </c>
      <c r="J1519" t="str">
        <f>IF(COUNT('Weekly Log'!$A$5:$A$5000)=0,"",IF(MIN('Weekly Log'!$A$5:$A$5000)+7*(ROW()-10)&gt;MAX('Weekly Log'!$A$5:$A$5000),"",MIN('Weekly Log'!$A$5:$A$5000)+7*(ROW()-10)))</f>
        <v/>
      </c>
    </row>
    <row r="1520" spans="1:10" x14ac:dyDescent="0.25">
      <c r="A1520" t="str">
        <f t="shared" si="23"/>
        <v/>
      </c>
      <c r="B1520" t="str">
        <f>IF($J1520="","",SUMIFS('Weekly Log'!$C:$C,'Weekly Log'!$A:$A,"&gt;="&amp;$J1520,'Weekly Log'!$A:$A,"&lt;"&amp;$J1520+7))</f>
        <v/>
      </c>
      <c r="C1520" t="str">
        <f>IF($J1520="","",IFERROR(COUNTIFS('Weekly Log'!$G:$G,"Y",'Weekly Log'!$A:$A,"&gt;="&amp;$J1520,'Weekly Log'!$A:$A,"&lt;"&amp;$J1520+7)/COUNTIFS('Weekly Log'!$G:$G,"&lt;&gt;",'Weekly Log'!$A:$A,"&gt;="&amp;$J1520,'Weekly Log'!$A:$A,"&lt;"&amp;$J1520+7),0))</f>
        <v/>
      </c>
      <c r="D1520" t="str">
        <f>IF($J1520="","",IFERROR(COUNTIFS('Weekly Log'!$H:$H,"Y",'Weekly Log'!$A:$A,"&gt;="&amp;$J1520,'Weekly Log'!$A:$A,"&lt;"&amp;$J1520+7)/COUNTIFS('Weekly Log'!$H:$H,"&lt;&gt;",'Weekly Log'!$A:$A,"&gt;="&amp;$J1520,'Weekly Log'!$A:$A,"&lt;"&amp;$J1520+7),0))</f>
        <v/>
      </c>
      <c r="E1520" t="str">
        <f>IF($J1520="","",IFERROR(AVERAGEIFS('Weekly Log'!$F:$F,'Weekly Log'!$A:$A,"&gt;="&amp;$J1520,'Weekly Log'!$A:$A,"&lt;"&amp;$J1520+7),0))</f>
        <v/>
      </c>
      <c r="F1520" t="str">
        <f>IF($J1520="","",IFERROR(SUMIFS('Weekly Log'!$F:$F,'Weekly Log'!$A:$A,"&gt;="&amp;$J1520,'Weekly Log'!$A:$A,"&lt;"&amp;$J1520+7)/SUMIFS('Weekly Log'!$E:$E,'Weekly Log'!$A:$A,"&gt;="&amp;$J1520,'Weekly Log'!$A:$A,"&lt;"&amp;$J1520+7),0))</f>
        <v/>
      </c>
      <c r="G1520" t="str">
        <f>IF($J1520="","",IFERROR(LOOKUP(2,1/(('Weekly Log'!$A$5:$A$5000&gt;=$J1520)*('Weekly Log'!$A$5:$A$5000&lt;$J1520+7)*('Weekly Log'!$M$5:$M$5000&lt;&gt;"")),'Weekly Log'!$M$5:$M$5000),0))</f>
        <v/>
      </c>
      <c r="J1520" t="str">
        <f>IF(COUNT('Weekly Log'!$A$5:$A$5000)=0,"",IF(MIN('Weekly Log'!$A$5:$A$5000)+7*(ROW()-10)&gt;MAX('Weekly Log'!$A$5:$A$5000),"",MIN('Weekly Log'!$A$5:$A$5000)+7*(ROW()-10)))</f>
        <v/>
      </c>
    </row>
    <row r="1521" spans="1:10" x14ac:dyDescent="0.25">
      <c r="A1521" t="str">
        <f t="shared" si="23"/>
        <v/>
      </c>
      <c r="B1521" t="str">
        <f>IF($J1521="","",SUMIFS('Weekly Log'!$C:$C,'Weekly Log'!$A:$A,"&gt;="&amp;$J1521,'Weekly Log'!$A:$A,"&lt;"&amp;$J1521+7))</f>
        <v/>
      </c>
      <c r="C1521" t="str">
        <f>IF($J1521="","",IFERROR(COUNTIFS('Weekly Log'!$G:$G,"Y",'Weekly Log'!$A:$A,"&gt;="&amp;$J1521,'Weekly Log'!$A:$A,"&lt;"&amp;$J1521+7)/COUNTIFS('Weekly Log'!$G:$G,"&lt;&gt;",'Weekly Log'!$A:$A,"&gt;="&amp;$J1521,'Weekly Log'!$A:$A,"&lt;"&amp;$J1521+7),0))</f>
        <v/>
      </c>
      <c r="D1521" t="str">
        <f>IF($J1521="","",IFERROR(COUNTIFS('Weekly Log'!$H:$H,"Y",'Weekly Log'!$A:$A,"&gt;="&amp;$J1521,'Weekly Log'!$A:$A,"&lt;"&amp;$J1521+7)/COUNTIFS('Weekly Log'!$H:$H,"&lt;&gt;",'Weekly Log'!$A:$A,"&gt;="&amp;$J1521,'Weekly Log'!$A:$A,"&lt;"&amp;$J1521+7),0))</f>
        <v/>
      </c>
      <c r="E1521" t="str">
        <f>IF($J1521="","",IFERROR(AVERAGEIFS('Weekly Log'!$F:$F,'Weekly Log'!$A:$A,"&gt;="&amp;$J1521,'Weekly Log'!$A:$A,"&lt;"&amp;$J1521+7),0))</f>
        <v/>
      </c>
      <c r="F1521" t="str">
        <f>IF($J1521="","",IFERROR(SUMIFS('Weekly Log'!$F:$F,'Weekly Log'!$A:$A,"&gt;="&amp;$J1521,'Weekly Log'!$A:$A,"&lt;"&amp;$J1521+7)/SUMIFS('Weekly Log'!$E:$E,'Weekly Log'!$A:$A,"&gt;="&amp;$J1521,'Weekly Log'!$A:$A,"&lt;"&amp;$J1521+7),0))</f>
        <v/>
      </c>
      <c r="G1521" t="str">
        <f>IF($J1521="","",IFERROR(LOOKUP(2,1/(('Weekly Log'!$A$5:$A$5000&gt;=$J1521)*('Weekly Log'!$A$5:$A$5000&lt;$J1521+7)*('Weekly Log'!$M$5:$M$5000&lt;&gt;"")),'Weekly Log'!$M$5:$M$5000),0))</f>
        <v/>
      </c>
      <c r="J1521" t="str">
        <f>IF(COUNT('Weekly Log'!$A$5:$A$5000)=0,"",IF(MIN('Weekly Log'!$A$5:$A$5000)+7*(ROW()-10)&gt;MAX('Weekly Log'!$A$5:$A$5000),"",MIN('Weekly Log'!$A$5:$A$5000)+7*(ROW()-10)))</f>
        <v/>
      </c>
    </row>
    <row r="1522" spans="1:10" x14ac:dyDescent="0.25">
      <c r="A1522" t="str">
        <f t="shared" si="23"/>
        <v/>
      </c>
      <c r="B1522" t="str">
        <f>IF($J1522="","",SUMIFS('Weekly Log'!$C:$C,'Weekly Log'!$A:$A,"&gt;="&amp;$J1522,'Weekly Log'!$A:$A,"&lt;"&amp;$J1522+7))</f>
        <v/>
      </c>
      <c r="C1522" t="str">
        <f>IF($J1522="","",IFERROR(COUNTIFS('Weekly Log'!$G:$G,"Y",'Weekly Log'!$A:$A,"&gt;="&amp;$J1522,'Weekly Log'!$A:$A,"&lt;"&amp;$J1522+7)/COUNTIFS('Weekly Log'!$G:$G,"&lt;&gt;",'Weekly Log'!$A:$A,"&gt;="&amp;$J1522,'Weekly Log'!$A:$A,"&lt;"&amp;$J1522+7),0))</f>
        <v/>
      </c>
      <c r="D1522" t="str">
        <f>IF($J1522="","",IFERROR(COUNTIFS('Weekly Log'!$H:$H,"Y",'Weekly Log'!$A:$A,"&gt;="&amp;$J1522,'Weekly Log'!$A:$A,"&lt;"&amp;$J1522+7)/COUNTIFS('Weekly Log'!$H:$H,"&lt;&gt;",'Weekly Log'!$A:$A,"&gt;="&amp;$J1522,'Weekly Log'!$A:$A,"&lt;"&amp;$J1522+7),0))</f>
        <v/>
      </c>
      <c r="E1522" t="str">
        <f>IF($J1522="","",IFERROR(AVERAGEIFS('Weekly Log'!$F:$F,'Weekly Log'!$A:$A,"&gt;="&amp;$J1522,'Weekly Log'!$A:$A,"&lt;"&amp;$J1522+7),0))</f>
        <v/>
      </c>
      <c r="F1522" t="str">
        <f>IF($J1522="","",IFERROR(SUMIFS('Weekly Log'!$F:$F,'Weekly Log'!$A:$A,"&gt;="&amp;$J1522,'Weekly Log'!$A:$A,"&lt;"&amp;$J1522+7)/SUMIFS('Weekly Log'!$E:$E,'Weekly Log'!$A:$A,"&gt;="&amp;$J1522,'Weekly Log'!$A:$A,"&lt;"&amp;$J1522+7),0))</f>
        <v/>
      </c>
      <c r="G1522" t="str">
        <f>IF($J1522="","",IFERROR(LOOKUP(2,1/(('Weekly Log'!$A$5:$A$5000&gt;=$J1522)*('Weekly Log'!$A$5:$A$5000&lt;$J1522+7)*('Weekly Log'!$M$5:$M$5000&lt;&gt;"")),'Weekly Log'!$M$5:$M$5000),0))</f>
        <v/>
      </c>
      <c r="J1522" t="str">
        <f>IF(COUNT('Weekly Log'!$A$5:$A$5000)=0,"",IF(MIN('Weekly Log'!$A$5:$A$5000)+7*(ROW()-10)&gt;MAX('Weekly Log'!$A$5:$A$5000),"",MIN('Weekly Log'!$A$5:$A$5000)+7*(ROW()-10)))</f>
        <v/>
      </c>
    </row>
    <row r="1523" spans="1:10" x14ac:dyDescent="0.25">
      <c r="A1523" t="str">
        <f t="shared" si="23"/>
        <v/>
      </c>
      <c r="B1523" t="str">
        <f>IF($J1523="","",SUMIFS('Weekly Log'!$C:$C,'Weekly Log'!$A:$A,"&gt;="&amp;$J1523,'Weekly Log'!$A:$A,"&lt;"&amp;$J1523+7))</f>
        <v/>
      </c>
      <c r="C1523" t="str">
        <f>IF($J1523="","",IFERROR(COUNTIFS('Weekly Log'!$G:$G,"Y",'Weekly Log'!$A:$A,"&gt;="&amp;$J1523,'Weekly Log'!$A:$A,"&lt;"&amp;$J1523+7)/COUNTIFS('Weekly Log'!$G:$G,"&lt;&gt;",'Weekly Log'!$A:$A,"&gt;="&amp;$J1523,'Weekly Log'!$A:$A,"&lt;"&amp;$J1523+7),0))</f>
        <v/>
      </c>
      <c r="D1523" t="str">
        <f>IF($J1523="","",IFERROR(COUNTIFS('Weekly Log'!$H:$H,"Y",'Weekly Log'!$A:$A,"&gt;="&amp;$J1523,'Weekly Log'!$A:$A,"&lt;"&amp;$J1523+7)/COUNTIFS('Weekly Log'!$H:$H,"&lt;&gt;",'Weekly Log'!$A:$A,"&gt;="&amp;$J1523,'Weekly Log'!$A:$A,"&lt;"&amp;$J1523+7),0))</f>
        <v/>
      </c>
      <c r="E1523" t="str">
        <f>IF($J1523="","",IFERROR(AVERAGEIFS('Weekly Log'!$F:$F,'Weekly Log'!$A:$A,"&gt;="&amp;$J1523,'Weekly Log'!$A:$A,"&lt;"&amp;$J1523+7),0))</f>
        <v/>
      </c>
      <c r="F1523" t="str">
        <f>IF($J1523="","",IFERROR(SUMIFS('Weekly Log'!$F:$F,'Weekly Log'!$A:$A,"&gt;="&amp;$J1523,'Weekly Log'!$A:$A,"&lt;"&amp;$J1523+7)/SUMIFS('Weekly Log'!$E:$E,'Weekly Log'!$A:$A,"&gt;="&amp;$J1523,'Weekly Log'!$A:$A,"&lt;"&amp;$J1523+7),0))</f>
        <v/>
      </c>
      <c r="G1523" t="str">
        <f>IF($J1523="","",IFERROR(LOOKUP(2,1/(('Weekly Log'!$A$5:$A$5000&gt;=$J1523)*('Weekly Log'!$A$5:$A$5000&lt;$J1523+7)*('Weekly Log'!$M$5:$M$5000&lt;&gt;"")),'Weekly Log'!$M$5:$M$5000),0))</f>
        <v/>
      </c>
      <c r="J1523" t="str">
        <f>IF(COUNT('Weekly Log'!$A$5:$A$5000)=0,"",IF(MIN('Weekly Log'!$A$5:$A$5000)+7*(ROW()-10)&gt;MAX('Weekly Log'!$A$5:$A$5000),"",MIN('Weekly Log'!$A$5:$A$5000)+7*(ROW()-10)))</f>
        <v/>
      </c>
    </row>
    <row r="1524" spans="1:10" x14ac:dyDescent="0.25">
      <c r="A1524" t="str">
        <f t="shared" si="23"/>
        <v/>
      </c>
      <c r="B1524" t="str">
        <f>IF($J1524="","",SUMIFS('Weekly Log'!$C:$C,'Weekly Log'!$A:$A,"&gt;="&amp;$J1524,'Weekly Log'!$A:$A,"&lt;"&amp;$J1524+7))</f>
        <v/>
      </c>
      <c r="C1524" t="str">
        <f>IF($J1524="","",IFERROR(COUNTIFS('Weekly Log'!$G:$G,"Y",'Weekly Log'!$A:$A,"&gt;="&amp;$J1524,'Weekly Log'!$A:$A,"&lt;"&amp;$J1524+7)/COUNTIFS('Weekly Log'!$G:$G,"&lt;&gt;",'Weekly Log'!$A:$A,"&gt;="&amp;$J1524,'Weekly Log'!$A:$A,"&lt;"&amp;$J1524+7),0))</f>
        <v/>
      </c>
      <c r="D1524" t="str">
        <f>IF($J1524="","",IFERROR(COUNTIFS('Weekly Log'!$H:$H,"Y",'Weekly Log'!$A:$A,"&gt;="&amp;$J1524,'Weekly Log'!$A:$A,"&lt;"&amp;$J1524+7)/COUNTIFS('Weekly Log'!$H:$H,"&lt;&gt;",'Weekly Log'!$A:$A,"&gt;="&amp;$J1524,'Weekly Log'!$A:$A,"&lt;"&amp;$J1524+7),0))</f>
        <v/>
      </c>
      <c r="E1524" t="str">
        <f>IF($J1524="","",IFERROR(AVERAGEIFS('Weekly Log'!$F:$F,'Weekly Log'!$A:$A,"&gt;="&amp;$J1524,'Weekly Log'!$A:$A,"&lt;"&amp;$J1524+7),0))</f>
        <v/>
      </c>
      <c r="F1524" t="str">
        <f>IF($J1524="","",IFERROR(SUMIFS('Weekly Log'!$F:$F,'Weekly Log'!$A:$A,"&gt;="&amp;$J1524,'Weekly Log'!$A:$A,"&lt;"&amp;$J1524+7)/SUMIFS('Weekly Log'!$E:$E,'Weekly Log'!$A:$A,"&gt;="&amp;$J1524,'Weekly Log'!$A:$A,"&lt;"&amp;$J1524+7),0))</f>
        <v/>
      </c>
      <c r="G1524" t="str">
        <f>IF($J1524="","",IFERROR(LOOKUP(2,1/(('Weekly Log'!$A$5:$A$5000&gt;=$J1524)*('Weekly Log'!$A$5:$A$5000&lt;$J1524+7)*('Weekly Log'!$M$5:$M$5000&lt;&gt;"")),'Weekly Log'!$M$5:$M$5000),0))</f>
        <v/>
      </c>
      <c r="J1524" t="str">
        <f>IF(COUNT('Weekly Log'!$A$5:$A$5000)=0,"",IF(MIN('Weekly Log'!$A$5:$A$5000)+7*(ROW()-10)&gt;MAX('Weekly Log'!$A$5:$A$5000),"",MIN('Weekly Log'!$A$5:$A$5000)+7*(ROW()-10)))</f>
        <v/>
      </c>
    </row>
    <row r="1525" spans="1:10" x14ac:dyDescent="0.25">
      <c r="A1525" t="str">
        <f t="shared" si="23"/>
        <v/>
      </c>
      <c r="B1525" t="str">
        <f>IF($J1525="","",SUMIFS('Weekly Log'!$C:$C,'Weekly Log'!$A:$A,"&gt;="&amp;$J1525,'Weekly Log'!$A:$A,"&lt;"&amp;$J1525+7))</f>
        <v/>
      </c>
      <c r="C1525" t="str">
        <f>IF($J1525="","",IFERROR(COUNTIFS('Weekly Log'!$G:$G,"Y",'Weekly Log'!$A:$A,"&gt;="&amp;$J1525,'Weekly Log'!$A:$A,"&lt;"&amp;$J1525+7)/COUNTIFS('Weekly Log'!$G:$G,"&lt;&gt;",'Weekly Log'!$A:$A,"&gt;="&amp;$J1525,'Weekly Log'!$A:$A,"&lt;"&amp;$J1525+7),0))</f>
        <v/>
      </c>
      <c r="D1525" t="str">
        <f>IF($J1525="","",IFERROR(COUNTIFS('Weekly Log'!$H:$H,"Y",'Weekly Log'!$A:$A,"&gt;="&amp;$J1525,'Weekly Log'!$A:$A,"&lt;"&amp;$J1525+7)/COUNTIFS('Weekly Log'!$H:$H,"&lt;&gt;",'Weekly Log'!$A:$A,"&gt;="&amp;$J1525,'Weekly Log'!$A:$A,"&lt;"&amp;$J1525+7),0))</f>
        <v/>
      </c>
      <c r="E1525" t="str">
        <f>IF($J1525="","",IFERROR(AVERAGEIFS('Weekly Log'!$F:$F,'Weekly Log'!$A:$A,"&gt;="&amp;$J1525,'Weekly Log'!$A:$A,"&lt;"&amp;$J1525+7),0))</f>
        <v/>
      </c>
      <c r="F1525" t="str">
        <f>IF($J1525="","",IFERROR(SUMIFS('Weekly Log'!$F:$F,'Weekly Log'!$A:$A,"&gt;="&amp;$J1525,'Weekly Log'!$A:$A,"&lt;"&amp;$J1525+7)/SUMIFS('Weekly Log'!$E:$E,'Weekly Log'!$A:$A,"&gt;="&amp;$J1525,'Weekly Log'!$A:$A,"&lt;"&amp;$J1525+7),0))</f>
        <v/>
      </c>
      <c r="G1525" t="str">
        <f>IF($J1525="","",IFERROR(LOOKUP(2,1/(('Weekly Log'!$A$5:$A$5000&gt;=$J1525)*('Weekly Log'!$A$5:$A$5000&lt;$J1525+7)*('Weekly Log'!$M$5:$M$5000&lt;&gt;"")),'Weekly Log'!$M$5:$M$5000),0))</f>
        <v/>
      </c>
      <c r="J1525" t="str">
        <f>IF(COUNT('Weekly Log'!$A$5:$A$5000)=0,"",IF(MIN('Weekly Log'!$A$5:$A$5000)+7*(ROW()-10)&gt;MAX('Weekly Log'!$A$5:$A$5000),"",MIN('Weekly Log'!$A$5:$A$5000)+7*(ROW()-10)))</f>
        <v/>
      </c>
    </row>
    <row r="1526" spans="1:10" x14ac:dyDescent="0.25">
      <c r="A1526" t="str">
        <f t="shared" si="23"/>
        <v/>
      </c>
      <c r="B1526" t="str">
        <f>IF($J1526="","",SUMIFS('Weekly Log'!$C:$C,'Weekly Log'!$A:$A,"&gt;="&amp;$J1526,'Weekly Log'!$A:$A,"&lt;"&amp;$J1526+7))</f>
        <v/>
      </c>
      <c r="C1526" t="str">
        <f>IF($J1526="","",IFERROR(COUNTIFS('Weekly Log'!$G:$G,"Y",'Weekly Log'!$A:$A,"&gt;="&amp;$J1526,'Weekly Log'!$A:$A,"&lt;"&amp;$J1526+7)/COUNTIFS('Weekly Log'!$G:$G,"&lt;&gt;",'Weekly Log'!$A:$A,"&gt;="&amp;$J1526,'Weekly Log'!$A:$A,"&lt;"&amp;$J1526+7),0))</f>
        <v/>
      </c>
      <c r="D1526" t="str">
        <f>IF($J1526="","",IFERROR(COUNTIFS('Weekly Log'!$H:$H,"Y",'Weekly Log'!$A:$A,"&gt;="&amp;$J1526,'Weekly Log'!$A:$A,"&lt;"&amp;$J1526+7)/COUNTIFS('Weekly Log'!$H:$H,"&lt;&gt;",'Weekly Log'!$A:$A,"&gt;="&amp;$J1526,'Weekly Log'!$A:$A,"&lt;"&amp;$J1526+7),0))</f>
        <v/>
      </c>
      <c r="E1526" t="str">
        <f>IF($J1526="","",IFERROR(AVERAGEIFS('Weekly Log'!$F:$F,'Weekly Log'!$A:$A,"&gt;="&amp;$J1526,'Weekly Log'!$A:$A,"&lt;"&amp;$J1526+7),0))</f>
        <v/>
      </c>
      <c r="F1526" t="str">
        <f>IF($J1526="","",IFERROR(SUMIFS('Weekly Log'!$F:$F,'Weekly Log'!$A:$A,"&gt;="&amp;$J1526,'Weekly Log'!$A:$A,"&lt;"&amp;$J1526+7)/SUMIFS('Weekly Log'!$E:$E,'Weekly Log'!$A:$A,"&gt;="&amp;$J1526,'Weekly Log'!$A:$A,"&lt;"&amp;$J1526+7),0))</f>
        <v/>
      </c>
      <c r="G1526" t="str">
        <f>IF($J1526="","",IFERROR(LOOKUP(2,1/(('Weekly Log'!$A$5:$A$5000&gt;=$J1526)*('Weekly Log'!$A$5:$A$5000&lt;$J1526+7)*('Weekly Log'!$M$5:$M$5000&lt;&gt;"")),'Weekly Log'!$M$5:$M$5000),0))</f>
        <v/>
      </c>
      <c r="J1526" t="str">
        <f>IF(COUNT('Weekly Log'!$A$5:$A$5000)=0,"",IF(MIN('Weekly Log'!$A$5:$A$5000)+7*(ROW()-10)&gt;MAX('Weekly Log'!$A$5:$A$5000),"",MIN('Weekly Log'!$A$5:$A$5000)+7*(ROW()-10)))</f>
        <v/>
      </c>
    </row>
    <row r="1527" spans="1:10" x14ac:dyDescent="0.25">
      <c r="A1527" t="str">
        <f t="shared" si="23"/>
        <v/>
      </c>
      <c r="B1527" t="str">
        <f>IF($J1527="","",SUMIFS('Weekly Log'!$C:$C,'Weekly Log'!$A:$A,"&gt;="&amp;$J1527,'Weekly Log'!$A:$A,"&lt;"&amp;$J1527+7))</f>
        <v/>
      </c>
      <c r="C1527" t="str">
        <f>IF($J1527="","",IFERROR(COUNTIFS('Weekly Log'!$G:$G,"Y",'Weekly Log'!$A:$A,"&gt;="&amp;$J1527,'Weekly Log'!$A:$A,"&lt;"&amp;$J1527+7)/COUNTIFS('Weekly Log'!$G:$G,"&lt;&gt;",'Weekly Log'!$A:$A,"&gt;="&amp;$J1527,'Weekly Log'!$A:$A,"&lt;"&amp;$J1527+7),0))</f>
        <v/>
      </c>
      <c r="D1527" t="str">
        <f>IF($J1527="","",IFERROR(COUNTIFS('Weekly Log'!$H:$H,"Y",'Weekly Log'!$A:$A,"&gt;="&amp;$J1527,'Weekly Log'!$A:$A,"&lt;"&amp;$J1527+7)/COUNTIFS('Weekly Log'!$H:$H,"&lt;&gt;",'Weekly Log'!$A:$A,"&gt;="&amp;$J1527,'Weekly Log'!$A:$A,"&lt;"&amp;$J1527+7),0))</f>
        <v/>
      </c>
      <c r="E1527" t="str">
        <f>IF($J1527="","",IFERROR(AVERAGEIFS('Weekly Log'!$F:$F,'Weekly Log'!$A:$A,"&gt;="&amp;$J1527,'Weekly Log'!$A:$A,"&lt;"&amp;$J1527+7),0))</f>
        <v/>
      </c>
      <c r="F1527" t="str">
        <f>IF($J1527="","",IFERROR(SUMIFS('Weekly Log'!$F:$F,'Weekly Log'!$A:$A,"&gt;="&amp;$J1527,'Weekly Log'!$A:$A,"&lt;"&amp;$J1527+7)/SUMIFS('Weekly Log'!$E:$E,'Weekly Log'!$A:$A,"&gt;="&amp;$J1527,'Weekly Log'!$A:$A,"&lt;"&amp;$J1527+7),0))</f>
        <v/>
      </c>
      <c r="G1527" t="str">
        <f>IF($J1527="","",IFERROR(LOOKUP(2,1/(('Weekly Log'!$A$5:$A$5000&gt;=$J1527)*('Weekly Log'!$A$5:$A$5000&lt;$J1527+7)*('Weekly Log'!$M$5:$M$5000&lt;&gt;"")),'Weekly Log'!$M$5:$M$5000),0))</f>
        <v/>
      </c>
      <c r="J1527" t="str">
        <f>IF(COUNT('Weekly Log'!$A$5:$A$5000)=0,"",IF(MIN('Weekly Log'!$A$5:$A$5000)+7*(ROW()-10)&gt;MAX('Weekly Log'!$A$5:$A$5000),"",MIN('Weekly Log'!$A$5:$A$5000)+7*(ROW()-10)))</f>
        <v/>
      </c>
    </row>
    <row r="1528" spans="1:10" x14ac:dyDescent="0.25">
      <c r="A1528" t="str">
        <f t="shared" si="23"/>
        <v/>
      </c>
      <c r="B1528" t="str">
        <f>IF($J1528="","",SUMIFS('Weekly Log'!$C:$C,'Weekly Log'!$A:$A,"&gt;="&amp;$J1528,'Weekly Log'!$A:$A,"&lt;"&amp;$J1528+7))</f>
        <v/>
      </c>
      <c r="C1528" t="str">
        <f>IF($J1528="","",IFERROR(COUNTIFS('Weekly Log'!$G:$G,"Y",'Weekly Log'!$A:$A,"&gt;="&amp;$J1528,'Weekly Log'!$A:$A,"&lt;"&amp;$J1528+7)/COUNTIFS('Weekly Log'!$G:$G,"&lt;&gt;",'Weekly Log'!$A:$A,"&gt;="&amp;$J1528,'Weekly Log'!$A:$A,"&lt;"&amp;$J1528+7),0))</f>
        <v/>
      </c>
      <c r="D1528" t="str">
        <f>IF($J1528="","",IFERROR(COUNTIFS('Weekly Log'!$H:$H,"Y",'Weekly Log'!$A:$A,"&gt;="&amp;$J1528,'Weekly Log'!$A:$A,"&lt;"&amp;$J1528+7)/COUNTIFS('Weekly Log'!$H:$H,"&lt;&gt;",'Weekly Log'!$A:$A,"&gt;="&amp;$J1528,'Weekly Log'!$A:$A,"&lt;"&amp;$J1528+7),0))</f>
        <v/>
      </c>
      <c r="E1528" t="str">
        <f>IF($J1528="","",IFERROR(AVERAGEIFS('Weekly Log'!$F:$F,'Weekly Log'!$A:$A,"&gt;="&amp;$J1528,'Weekly Log'!$A:$A,"&lt;"&amp;$J1528+7),0))</f>
        <v/>
      </c>
      <c r="F1528" t="str">
        <f>IF($J1528="","",IFERROR(SUMIFS('Weekly Log'!$F:$F,'Weekly Log'!$A:$A,"&gt;="&amp;$J1528,'Weekly Log'!$A:$A,"&lt;"&amp;$J1528+7)/SUMIFS('Weekly Log'!$E:$E,'Weekly Log'!$A:$A,"&gt;="&amp;$J1528,'Weekly Log'!$A:$A,"&lt;"&amp;$J1528+7),0))</f>
        <v/>
      </c>
      <c r="G1528" t="str">
        <f>IF($J1528="","",IFERROR(LOOKUP(2,1/(('Weekly Log'!$A$5:$A$5000&gt;=$J1528)*('Weekly Log'!$A$5:$A$5000&lt;$J1528+7)*('Weekly Log'!$M$5:$M$5000&lt;&gt;"")),'Weekly Log'!$M$5:$M$5000),0))</f>
        <v/>
      </c>
      <c r="J1528" t="str">
        <f>IF(COUNT('Weekly Log'!$A$5:$A$5000)=0,"",IF(MIN('Weekly Log'!$A$5:$A$5000)+7*(ROW()-10)&gt;MAX('Weekly Log'!$A$5:$A$5000),"",MIN('Weekly Log'!$A$5:$A$5000)+7*(ROW()-10)))</f>
        <v/>
      </c>
    </row>
    <row r="1529" spans="1:10" x14ac:dyDescent="0.25">
      <c r="A1529" t="str">
        <f t="shared" si="23"/>
        <v/>
      </c>
      <c r="B1529" t="str">
        <f>IF($J1529="","",SUMIFS('Weekly Log'!$C:$C,'Weekly Log'!$A:$A,"&gt;="&amp;$J1529,'Weekly Log'!$A:$A,"&lt;"&amp;$J1529+7))</f>
        <v/>
      </c>
      <c r="C1529" t="str">
        <f>IF($J1529="","",IFERROR(COUNTIFS('Weekly Log'!$G:$G,"Y",'Weekly Log'!$A:$A,"&gt;="&amp;$J1529,'Weekly Log'!$A:$A,"&lt;"&amp;$J1529+7)/COUNTIFS('Weekly Log'!$G:$G,"&lt;&gt;",'Weekly Log'!$A:$A,"&gt;="&amp;$J1529,'Weekly Log'!$A:$A,"&lt;"&amp;$J1529+7),0))</f>
        <v/>
      </c>
      <c r="D1529" t="str">
        <f>IF($J1529="","",IFERROR(COUNTIFS('Weekly Log'!$H:$H,"Y",'Weekly Log'!$A:$A,"&gt;="&amp;$J1529,'Weekly Log'!$A:$A,"&lt;"&amp;$J1529+7)/COUNTIFS('Weekly Log'!$H:$H,"&lt;&gt;",'Weekly Log'!$A:$A,"&gt;="&amp;$J1529,'Weekly Log'!$A:$A,"&lt;"&amp;$J1529+7),0))</f>
        <v/>
      </c>
      <c r="E1529" t="str">
        <f>IF($J1529="","",IFERROR(AVERAGEIFS('Weekly Log'!$F:$F,'Weekly Log'!$A:$A,"&gt;="&amp;$J1529,'Weekly Log'!$A:$A,"&lt;"&amp;$J1529+7),0))</f>
        <v/>
      </c>
      <c r="F1529" t="str">
        <f>IF($J1529="","",IFERROR(SUMIFS('Weekly Log'!$F:$F,'Weekly Log'!$A:$A,"&gt;="&amp;$J1529,'Weekly Log'!$A:$A,"&lt;"&amp;$J1529+7)/SUMIFS('Weekly Log'!$E:$E,'Weekly Log'!$A:$A,"&gt;="&amp;$J1529,'Weekly Log'!$A:$A,"&lt;"&amp;$J1529+7),0))</f>
        <v/>
      </c>
      <c r="G1529" t="str">
        <f>IF($J1529="","",IFERROR(LOOKUP(2,1/(('Weekly Log'!$A$5:$A$5000&gt;=$J1529)*('Weekly Log'!$A$5:$A$5000&lt;$J1529+7)*('Weekly Log'!$M$5:$M$5000&lt;&gt;"")),'Weekly Log'!$M$5:$M$5000),0))</f>
        <v/>
      </c>
      <c r="J1529" t="str">
        <f>IF(COUNT('Weekly Log'!$A$5:$A$5000)=0,"",IF(MIN('Weekly Log'!$A$5:$A$5000)+7*(ROW()-10)&gt;MAX('Weekly Log'!$A$5:$A$5000),"",MIN('Weekly Log'!$A$5:$A$5000)+7*(ROW()-10)))</f>
        <v/>
      </c>
    </row>
    <row r="1530" spans="1:10" x14ac:dyDescent="0.25">
      <c r="A1530" t="str">
        <f t="shared" si="23"/>
        <v/>
      </c>
      <c r="B1530" t="str">
        <f>IF($J1530="","",SUMIFS('Weekly Log'!$C:$C,'Weekly Log'!$A:$A,"&gt;="&amp;$J1530,'Weekly Log'!$A:$A,"&lt;"&amp;$J1530+7))</f>
        <v/>
      </c>
      <c r="C1530" t="str">
        <f>IF($J1530="","",IFERROR(COUNTIFS('Weekly Log'!$G:$G,"Y",'Weekly Log'!$A:$A,"&gt;="&amp;$J1530,'Weekly Log'!$A:$A,"&lt;"&amp;$J1530+7)/COUNTIFS('Weekly Log'!$G:$G,"&lt;&gt;",'Weekly Log'!$A:$A,"&gt;="&amp;$J1530,'Weekly Log'!$A:$A,"&lt;"&amp;$J1530+7),0))</f>
        <v/>
      </c>
      <c r="D1530" t="str">
        <f>IF($J1530="","",IFERROR(COUNTIFS('Weekly Log'!$H:$H,"Y",'Weekly Log'!$A:$A,"&gt;="&amp;$J1530,'Weekly Log'!$A:$A,"&lt;"&amp;$J1530+7)/COUNTIFS('Weekly Log'!$H:$H,"&lt;&gt;",'Weekly Log'!$A:$A,"&gt;="&amp;$J1530,'Weekly Log'!$A:$A,"&lt;"&amp;$J1530+7),0))</f>
        <v/>
      </c>
      <c r="E1530" t="str">
        <f>IF($J1530="","",IFERROR(AVERAGEIFS('Weekly Log'!$F:$F,'Weekly Log'!$A:$A,"&gt;="&amp;$J1530,'Weekly Log'!$A:$A,"&lt;"&amp;$J1530+7),0))</f>
        <v/>
      </c>
      <c r="F1530" t="str">
        <f>IF($J1530="","",IFERROR(SUMIFS('Weekly Log'!$F:$F,'Weekly Log'!$A:$A,"&gt;="&amp;$J1530,'Weekly Log'!$A:$A,"&lt;"&amp;$J1530+7)/SUMIFS('Weekly Log'!$E:$E,'Weekly Log'!$A:$A,"&gt;="&amp;$J1530,'Weekly Log'!$A:$A,"&lt;"&amp;$J1530+7),0))</f>
        <v/>
      </c>
      <c r="G1530" t="str">
        <f>IF($J1530="","",IFERROR(LOOKUP(2,1/(('Weekly Log'!$A$5:$A$5000&gt;=$J1530)*('Weekly Log'!$A$5:$A$5000&lt;$J1530+7)*('Weekly Log'!$M$5:$M$5000&lt;&gt;"")),'Weekly Log'!$M$5:$M$5000),0))</f>
        <v/>
      </c>
      <c r="J1530" t="str">
        <f>IF(COUNT('Weekly Log'!$A$5:$A$5000)=0,"",IF(MIN('Weekly Log'!$A$5:$A$5000)+7*(ROW()-10)&gt;MAX('Weekly Log'!$A$5:$A$5000),"",MIN('Weekly Log'!$A$5:$A$5000)+7*(ROW()-10)))</f>
        <v/>
      </c>
    </row>
    <row r="1531" spans="1:10" x14ac:dyDescent="0.25">
      <c r="A1531" t="str">
        <f t="shared" si="23"/>
        <v/>
      </c>
      <c r="B1531" t="str">
        <f>IF($J1531="","",SUMIFS('Weekly Log'!$C:$C,'Weekly Log'!$A:$A,"&gt;="&amp;$J1531,'Weekly Log'!$A:$A,"&lt;"&amp;$J1531+7))</f>
        <v/>
      </c>
      <c r="C1531" t="str">
        <f>IF($J1531="","",IFERROR(COUNTIFS('Weekly Log'!$G:$G,"Y",'Weekly Log'!$A:$A,"&gt;="&amp;$J1531,'Weekly Log'!$A:$A,"&lt;"&amp;$J1531+7)/COUNTIFS('Weekly Log'!$G:$G,"&lt;&gt;",'Weekly Log'!$A:$A,"&gt;="&amp;$J1531,'Weekly Log'!$A:$A,"&lt;"&amp;$J1531+7),0))</f>
        <v/>
      </c>
      <c r="D1531" t="str">
        <f>IF($J1531="","",IFERROR(COUNTIFS('Weekly Log'!$H:$H,"Y",'Weekly Log'!$A:$A,"&gt;="&amp;$J1531,'Weekly Log'!$A:$A,"&lt;"&amp;$J1531+7)/COUNTIFS('Weekly Log'!$H:$H,"&lt;&gt;",'Weekly Log'!$A:$A,"&gt;="&amp;$J1531,'Weekly Log'!$A:$A,"&lt;"&amp;$J1531+7),0))</f>
        <v/>
      </c>
      <c r="E1531" t="str">
        <f>IF($J1531="","",IFERROR(AVERAGEIFS('Weekly Log'!$F:$F,'Weekly Log'!$A:$A,"&gt;="&amp;$J1531,'Weekly Log'!$A:$A,"&lt;"&amp;$J1531+7),0))</f>
        <v/>
      </c>
      <c r="F1531" t="str">
        <f>IF($J1531="","",IFERROR(SUMIFS('Weekly Log'!$F:$F,'Weekly Log'!$A:$A,"&gt;="&amp;$J1531,'Weekly Log'!$A:$A,"&lt;"&amp;$J1531+7)/SUMIFS('Weekly Log'!$E:$E,'Weekly Log'!$A:$A,"&gt;="&amp;$J1531,'Weekly Log'!$A:$A,"&lt;"&amp;$J1531+7),0))</f>
        <v/>
      </c>
      <c r="G1531" t="str">
        <f>IF($J1531="","",IFERROR(LOOKUP(2,1/(('Weekly Log'!$A$5:$A$5000&gt;=$J1531)*('Weekly Log'!$A$5:$A$5000&lt;$J1531+7)*('Weekly Log'!$M$5:$M$5000&lt;&gt;"")),'Weekly Log'!$M$5:$M$5000),0))</f>
        <v/>
      </c>
      <c r="J1531" t="str">
        <f>IF(COUNT('Weekly Log'!$A$5:$A$5000)=0,"",IF(MIN('Weekly Log'!$A$5:$A$5000)+7*(ROW()-10)&gt;MAX('Weekly Log'!$A$5:$A$5000),"",MIN('Weekly Log'!$A$5:$A$5000)+7*(ROW()-10)))</f>
        <v/>
      </c>
    </row>
    <row r="1532" spans="1:10" x14ac:dyDescent="0.25">
      <c r="A1532" t="str">
        <f t="shared" si="23"/>
        <v/>
      </c>
      <c r="B1532" t="str">
        <f>IF($J1532="","",SUMIFS('Weekly Log'!$C:$C,'Weekly Log'!$A:$A,"&gt;="&amp;$J1532,'Weekly Log'!$A:$A,"&lt;"&amp;$J1532+7))</f>
        <v/>
      </c>
      <c r="C1532" t="str">
        <f>IF($J1532="","",IFERROR(COUNTIFS('Weekly Log'!$G:$G,"Y",'Weekly Log'!$A:$A,"&gt;="&amp;$J1532,'Weekly Log'!$A:$A,"&lt;"&amp;$J1532+7)/COUNTIFS('Weekly Log'!$G:$G,"&lt;&gt;",'Weekly Log'!$A:$A,"&gt;="&amp;$J1532,'Weekly Log'!$A:$A,"&lt;"&amp;$J1532+7),0))</f>
        <v/>
      </c>
      <c r="D1532" t="str">
        <f>IF($J1532="","",IFERROR(COUNTIFS('Weekly Log'!$H:$H,"Y",'Weekly Log'!$A:$A,"&gt;="&amp;$J1532,'Weekly Log'!$A:$A,"&lt;"&amp;$J1532+7)/COUNTIFS('Weekly Log'!$H:$H,"&lt;&gt;",'Weekly Log'!$A:$A,"&gt;="&amp;$J1532,'Weekly Log'!$A:$A,"&lt;"&amp;$J1532+7),0))</f>
        <v/>
      </c>
      <c r="E1532" t="str">
        <f>IF($J1532="","",IFERROR(AVERAGEIFS('Weekly Log'!$F:$F,'Weekly Log'!$A:$A,"&gt;="&amp;$J1532,'Weekly Log'!$A:$A,"&lt;"&amp;$J1532+7),0))</f>
        <v/>
      </c>
      <c r="F1532" t="str">
        <f>IF($J1532="","",IFERROR(SUMIFS('Weekly Log'!$F:$F,'Weekly Log'!$A:$A,"&gt;="&amp;$J1532,'Weekly Log'!$A:$A,"&lt;"&amp;$J1532+7)/SUMIFS('Weekly Log'!$E:$E,'Weekly Log'!$A:$A,"&gt;="&amp;$J1532,'Weekly Log'!$A:$A,"&lt;"&amp;$J1532+7),0))</f>
        <v/>
      </c>
      <c r="G1532" t="str">
        <f>IF($J1532="","",IFERROR(LOOKUP(2,1/(('Weekly Log'!$A$5:$A$5000&gt;=$J1532)*('Weekly Log'!$A$5:$A$5000&lt;$J1532+7)*('Weekly Log'!$M$5:$M$5000&lt;&gt;"")),'Weekly Log'!$M$5:$M$5000),0))</f>
        <v/>
      </c>
      <c r="J1532" t="str">
        <f>IF(COUNT('Weekly Log'!$A$5:$A$5000)=0,"",IF(MIN('Weekly Log'!$A$5:$A$5000)+7*(ROW()-10)&gt;MAX('Weekly Log'!$A$5:$A$5000),"",MIN('Weekly Log'!$A$5:$A$5000)+7*(ROW()-10)))</f>
        <v/>
      </c>
    </row>
    <row r="1533" spans="1:10" x14ac:dyDescent="0.25">
      <c r="A1533" t="str">
        <f t="shared" si="23"/>
        <v/>
      </c>
      <c r="B1533" t="str">
        <f>IF($J1533="","",SUMIFS('Weekly Log'!$C:$C,'Weekly Log'!$A:$A,"&gt;="&amp;$J1533,'Weekly Log'!$A:$A,"&lt;"&amp;$J1533+7))</f>
        <v/>
      </c>
      <c r="C1533" t="str">
        <f>IF($J1533="","",IFERROR(COUNTIFS('Weekly Log'!$G:$G,"Y",'Weekly Log'!$A:$A,"&gt;="&amp;$J1533,'Weekly Log'!$A:$A,"&lt;"&amp;$J1533+7)/COUNTIFS('Weekly Log'!$G:$G,"&lt;&gt;",'Weekly Log'!$A:$A,"&gt;="&amp;$J1533,'Weekly Log'!$A:$A,"&lt;"&amp;$J1533+7),0))</f>
        <v/>
      </c>
      <c r="D1533" t="str">
        <f>IF($J1533="","",IFERROR(COUNTIFS('Weekly Log'!$H:$H,"Y",'Weekly Log'!$A:$A,"&gt;="&amp;$J1533,'Weekly Log'!$A:$A,"&lt;"&amp;$J1533+7)/COUNTIFS('Weekly Log'!$H:$H,"&lt;&gt;",'Weekly Log'!$A:$A,"&gt;="&amp;$J1533,'Weekly Log'!$A:$A,"&lt;"&amp;$J1533+7),0))</f>
        <v/>
      </c>
      <c r="E1533" t="str">
        <f>IF($J1533="","",IFERROR(AVERAGEIFS('Weekly Log'!$F:$F,'Weekly Log'!$A:$A,"&gt;="&amp;$J1533,'Weekly Log'!$A:$A,"&lt;"&amp;$J1533+7),0))</f>
        <v/>
      </c>
      <c r="F1533" t="str">
        <f>IF($J1533="","",IFERROR(SUMIFS('Weekly Log'!$F:$F,'Weekly Log'!$A:$A,"&gt;="&amp;$J1533,'Weekly Log'!$A:$A,"&lt;"&amp;$J1533+7)/SUMIFS('Weekly Log'!$E:$E,'Weekly Log'!$A:$A,"&gt;="&amp;$J1533,'Weekly Log'!$A:$A,"&lt;"&amp;$J1533+7),0))</f>
        <v/>
      </c>
      <c r="G1533" t="str">
        <f>IF($J1533="","",IFERROR(LOOKUP(2,1/(('Weekly Log'!$A$5:$A$5000&gt;=$J1533)*('Weekly Log'!$A$5:$A$5000&lt;$J1533+7)*('Weekly Log'!$M$5:$M$5000&lt;&gt;"")),'Weekly Log'!$M$5:$M$5000),0))</f>
        <v/>
      </c>
      <c r="J1533" t="str">
        <f>IF(COUNT('Weekly Log'!$A$5:$A$5000)=0,"",IF(MIN('Weekly Log'!$A$5:$A$5000)+7*(ROW()-10)&gt;MAX('Weekly Log'!$A$5:$A$5000),"",MIN('Weekly Log'!$A$5:$A$5000)+7*(ROW()-10)))</f>
        <v/>
      </c>
    </row>
    <row r="1534" spans="1:10" x14ac:dyDescent="0.25">
      <c r="A1534" t="str">
        <f t="shared" si="23"/>
        <v/>
      </c>
      <c r="B1534" t="str">
        <f>IF($J1534="","",SUMIFS('Weekly Log'!$C:$C,'Weekly Log'!$A:$A,"&gt;="&amp;$J1534,'Weekly Log'!$A:$A,"&lt;"&amp;$J1534+7))</f>
        <v/>
      </c>
      <c r="C1534" t="str">
        <f>IF($J1534="","",IFERROR(COUNTIFS('Weekly Log'!$G:$G,"Y",'Weekly Log'!$A:$A,"&gt;="&amp;$J1534,'Weekly Log'!$A:$A,"&lt;"&amp;$J1534+7)/COUNTIFS('Weekly Log'!$G:$G,"&lt;&gt;",'Weekly Log'!$A:$A,"&gt;="&amp;$J1534,'Weekly Log'!$A:$A,"&lt;"&amp;$J1534+7),0))</f>
        <v/>
      </c>
      <c r="D1534" t="str">
        <f>IF($J1534="","",IFERROR(COUNTIFS('Weekly Log'!$H:$H,"Y",'Weekly Log'!$A:$A,"&gt;="&amp;$J1534,'Weekly Log'!$A:$A,"&lt;"&amp;$J1534+7)/COUNTIFS('Weekly Log'!$H:$H,"&lt;&gt;",'Weekly Log'!$A:$A,"&gt;="&amp;$J1534,'Weekly Log'!$A:$A,"&lt;"&amp;$J1534+7),0))</f>
        <v/>
      </c>
      <c r="E1534" t="str">
        <f>IF($J1534="","",IFERROR(AVERAGEIFS('Weekly Log'!$F:$F,'Weekly Log'!$A:$A,"&gt;="&amp;$J1534,'Weekly Log'!$A:$A,"&lt;"&amp;$J1534+7),0))</f>
        <v/>
      </c>
      <c r="F1534" t="str">
        <f>IF($J1534="","",IFERROR(SUMIFS('Weekly Log'!$F:$F,'Weekly Log'!$A:$A,"&gt;="&amp;$J1534,'Weekly Log'!$A:$A,"&lt;"&amp;$J1534+7)/SUMIFS('Weekly Log'!$E:$E,'Weekly Log'!$A:$A,"&gt;="&amp;$J1534,'Weekly Log'!$A:$A,"&lt;"&amp;$J1534+7),0))</f>
        <v/>
      </c>
      <c r="G1534" t="str">
        <f>IF($J1534="","",IFERROR(LOOKUP(2,1/(('Weekly Log'!$A$5:$A$5000&gt;=$J1534)*('Weekly Log'!$A$5:$A$5000&lt;$J1534+7)*('Weekly Log'!$M$5:$M$5000&lt;&gt;"")),'Weekly Log'!$M$5:$M$5000),0))</f>
        <v/>
      </c>
      <c r="J1534" t="str">
        <f>IF(COUNT('Weekly Log'!$A$5:$A$5000)=0,"",IF(MIN('Weekly Log'!$A$5:$A$5000)+7*(ROW()-10)&gt;MAX('Weekly Log'!$A$5:$A$5000),"",MIN('Weekly Log'!$A$5:$A$5000)+7*(ROW()-10)))</f>
        <v/>
      </c>
    </row>
    <row r="1535" spans="1:10" x14ac:dyDescent="0.25">
      <c r="A1535" t="str">
        <f t="shared" si="23"/>
        <v/>
      </c>
      <c r="B1535" t="str">
        <f>IF($J1535="","",SUMIFS('Weekly Log'!$C:$C,'Weekly Log'!$A:$A,"&gt;="&amp;$J1535,'Weekly Log'!$A:$A,"&lt;"&amp;$J1535+7))</f>
        <v/>
      </c>
      <c r="C1535" t="str">
        <f>IF($J1535="","",IFERROR(COUNTIFS('Weekly Log'!$G:$G,"Y",'Weekly Log'!$A:$A,"&gt;="&amp;$J1535,'Weekly Log'!$A:$A,"&lt;"&amp;$J1535+7)/COUNTIFS('Weekly Log'!$G:$G,"&lt;&gt;",'Weekly Log'!$A:$A,"&gt;="&amp;$J1535,'Weekly Log'!$A:$A,"&lt;"&amp;$J1535+7),0))</f>
        <v/>
      </c>
      <c r="D1535" t="str">
        <f>IF($J1535="","",IFERROR(COUNTIFS('Weekly Log'!$H:$H,"Y",'Weekly Log'!$A:$A,"&gt;="&amp;$J1535,'Weekly Log'!$A:$A,"&lt;"&amp;$J1535+7)/COUNTIFS('Weekly Log'!$H:$H,"&lt;&gt;",'Weekly Log'!$A:$A,"&gt;="&amp;$J1535,'Weekly Log'!$A:$A,"&lt;"&amp;$J1535+7),0))</f>
        <v/>
      </c>
      <c r="E1535" t="str">
        <f>IF($J1535="","",IFERROR(AVERAGEIFS('Weekly Log'!$F:$F,'Weekly Log'!$A:$A,"&gt;="&amp;$J1535,'Weekly Log'!$A:$A,"&lt;"&amp;$J1535+7),0))</f>
        <v/>
      </c>
      <c r="F1535" t="str">
        <f>IF($J1535="","",IFERROR(SUMIFS('Weekly Log'!$F:$F,'Weekly Log'!$A:$A,"&gt;="&amp;$J1535,'Weekly Log'!$A:$A,"&lt;"&amp;$J1535+7)/SUMIFS('Weekly Log'!$E:$E,'Weekly Log'!$A:$A,"&gt;="&amp;$J1535,'Weekly Log'!$A:$A,"&lt;"&amp;$J1535+7),0))</f>
        <v/>
      </c>
      <c r="G1535" t="str">
        <f>IF($J1535="","",IFERROR(LOOKUP(2,1/(('Weekly Log'!$A$5:$A$5000&gt;=$J1535)*('Weekly Log'!$A$5:$A$5000&lt;$J1535+7)*('Weekly Log'!$M$5:$M$5000&lt;&gt;"")),'Weekly Log'!$M$5:$M$5000),0))</f>
        <v/>
      </c>
      <c r="J1535" t="str">
        <f>IF(COUNT('Weekly Log'!$A$5:$A$5000)=0,"",IF(MIN('Weekly Log'!$A$5:$A$5000)+7*(ROW()-10)&gt;MAX('Weekly Log'!$A$5:$A$5000),"",MIN('Weekly Log'!$A$5:$A$5000)+7*(ROW()-10)))</f>
        <v/>
      </c>
    </row>
    <row r="1536" spans="1:10" x14ac:dyDescent="0.25">
      <c r="A1536" t="str">
        <f t="shared" si="23"/>
        <v/>
      </c>
      <c r="B1536" t="str">
        <f>IF($J1536="","",SUMIFS('Weekly Log'!$C:$C,'Weekly Log'!$A:$A,"&gt;="&amp;$J1536,'Weekly Log'!$A:$A,"&lt;"&amp;$J1536+7))</f>
        <v/>
      </c>
      <c r="C1536" t="str">
        <f>IF($J1536="","",IFERROR(COUNTIFS('Weekly Log'!$G:$G,"Y",'Weekly Log'!$A:$A,"&gt;="&amp;$J1536,'Weekly Log'!$A:$A,"&lt;"&amp;$J1536+7)/COUNTIFS('Weekly Log'!$G:$G,"&lt;&gt;",'Weekly Log'!$A:$A,"&gt;="&amp;$J1536,'Weekly Log'!$A:$A,"&lt;"&amp;$J1536+7),0))</f>
        <v/>
      </c>
      <c r="D1536" t="str">
        <f>IF($J1536="","",IFERROR(COUNTIFS('Weekly Log'!$H:$H,"Y",'Weekly Log'!$A:$A,"&gt;="&amp;$J1536,'Weekly Log'!$A:$A,"&lt;"&amp;$J1536+7)/COUNTIFS('Weekly Log'!$H:$H,"&lt;&gt;",'Weekly Log'!$A:$A,"&gt;="&amp;$J1536,'Weekly Log'!$A:$A,"&lt;"&amp;$J1536+7),0))</f>
        <v/>
      </c>
      <c r="E1536" t="str">
        <f>IF($J1536="","",IFERROR(AVERAGEIFS('Weekly Log'!$F:$F,'Weekly Log'!$A:$A,"&gt;="&amp;$J1536,'Weekly Log'!$A:$A,"&lt;"&amp;$J1536+7),0))</f>
        <v/>
      </c>
      <c r="F1536" t="str">
        <f>IF($J1536="","",IFERROR(SUMIFS('Weekly Log'!$F:$F,'Weekly Log'!$A:$A,"&gt;="&amp;$J1536,'Weekly Log'!$A:$A,"&lt;"&amp;$J1536+7)/SUMIFS('Weekly Log'!$E:$E,'Weekly Log'!$A:$A,"&gt;="&amp;$J1536,'Weekly Log'!$A:$A,"&lt;"&amp;$J1536+7),0))</f>
        <v/>
      </c>
      <c r="G1536" t="str">
        <f>IF($J1536="","",IFERROR(LOOKUP(2,1/(('Weekly Log'!$A$5:$A$5000&gt;=$J1536)*('Weekly Log'!$A$5:$A$5000&lt;$J1536+7)*('Weekly Log'!$M$5:$M$5000&lt;&gt;"")),'Weekly Log'!$M$5:$M$5000),0))</f>
        <v/>
      </c>
      <c r="J1536" t="str">
        <f>IF(COUNT('Weekly Log'!$A$5:$A$5000)=0,"",IF(MIN('Weekly Log'!$A$5:$A$5000)+7*(ROW()-10)&gt;MAX('Weekly Log'!$A$5:$A$5000),"",MIN('Weekly Log'!$A$5:$A$5000)+7*(ROW()-10)))</f>
        <v/>
      </c>
    </row>
    <row r="1537" spans="1:10" x14ac:dyDescent="0.25">
      <c r="A1537" t="str">
        <f t="shared" si="23"/>
        <v/>
      </c>
      <c r="B1537" t="str">
        <f>IF($J1537="","",SUMIFS('Weekly Log'!$C:$C,'Weekly Log'!$A:$A,"&gt;="&amp;$J1537,'Weekly Log'!$A:$A,"&lt;"&amp;$J1537+7))</f>
        <v/>
      </c>
      <c r="C1537" t="str">
        <f>IF($J1537="","",IFERROR(COUNTIFS('Weekly Log'!$G:$G,"Y",'Weekly Log'!$A:$A,"&gt;="&amp;$J1537,'Weekly Log'!$A:$A,"&lt;"&amp;$J1537+7)/COUNTIFS('Weekly Log'!$G:$G,"&lt;&gt;",'Weekly Log'!$A:$A,"&gt;="&amp;$J1537,'Weekly Log'!$A:$A,"&lt;"&amp;$J1537+7),0))</f>
        <v/>
      </c>
      <c r="D1537" t="str">
        <f>IF($J1537="","",IFERROR(COUNTIFS('Weekly Log'!$H:$H,"Y",'Weekly Log'!$A:$A,"&gt;="&amp;$J1537,'Weekly Log'!$A:$A,"&lt;"&amp;$J1537+7)/COUNTIFS('Weekly Log'!$H:$H,"&lt;&gt;",'Weekly Log'!$A:$A,"&gt;="&amp;$J1537,'Weekly Log'!$A:$A,"&lt;"&amp;$J1537+7),0))</f>
        <v/>
      </c>
      <c r="E1537" t="str">
        <f>IF($J1537="","",IFERROR(AVERAGEIFS('Weekly Log'!$F:$F,'Weekly Log'!$A:$A,"&gt;="&amp;$J1537,'Weekly Log'!$A:$A,"&lt;"&amp;$J1537+7),0))</f>
        <v/>
      </c>
      <c r="F1537" t="str">
        <f>IF($J1537="","",IFERROR(SUMIFS('Weekly Log'!$F:$F,'Weekly Log'!$A:$A,"&gt;="&amp;$J1537,'Weekly Log'!$A:$A,"&lt;"&amp;$J1537+7)/SUMIFS('Weekly Log'!$E:$E,'Weekly Log'!$A:$A,"&gt;="&amp;$J1537,'Weekly Log'!$A:$A,"&lt;"&amp;$J1537+7),0))</f>
        <v/>
      </c>
      <c r="G1537" t="str">
        <f>IF($J1537="","",IFERROR(LOOKUP(2,1/(('Weekly Log'!$A$5:$A$5000&gt;=$J1537)*('Weekly Log'!$A$5:$A$5000&lt;$J1537+7)*('Weekly Log'!$M$5:$M$5000&lt;&gt;"")),'Weekly Log'!$M$5:$M$5000),0))</f>
        <v/>
      </c>
      <c r="J1537" t="str">
        <f>IF(COUNT('Weekly Log'!$A$5:$A$5000)=0,"",IF(MIN('Weekly Log'!$A$5:$A$5000)+7*(ROW()-10)&gt;MAX('Weekly Log'!$A$5:$A$5000),"",MIN('Weekly Log'!$A$5:$A$5000)+7*(ROW()-10)))</f>
        <v/>
      </c>
    </row>
    <row r="1538" spans="1:10" x14ac:dyDescent="0.25">
      <c r="A1538" t="str">
        <f t="shared" si="23"/>
        <v/>
      </c>
      <c r="B1538" t="str">
        <f>IF($J1538="","",SUMIFS('Weekly Log'!$C:$C,'Weekly Log'!$A:$A,"&gt;="&amp;$J1538,'Weekly Log'!$A:$A,"&lt;"&amp;$J1538+7))</f>
        <v/>
      </c>
      <c r="C1538" t="str">
        <f>IF($J1538="","",IFERROR(COUNTIFS('Weekly Log'!$G:$G,"Y",'Weekly Log'!$A:$A,"&gt;="&amp;$J1538,'Weekly Log'!$A:$A,"&lt;"&amp;$J1538+7)/COUNTIFS('Weekly Log'!$G:$G,"&lt;&gt;",'Weekly Log'!$A:$A,"&gt;="&amp;$J1538,'Weekly Log'!$A:$A,"&lt;"&amp;$J1538+7),0))</f>
        <v/>
      </c>
      <c r="D1538" t="str">
        <f>IF($J1538="","",IFERROR(COUNTIFS('Weekly Log'!$H:$H,"Y",'Weekly Log'!$A:$A,"&gt;="&amp;$J1538,'Weekly Log'!$A:$A,"&lt;"&amp;$J1538+7)/COUNTIFS('Weekly Log'!$H:$H,"&lt;&gt;",'Weekly Log'!$A:$A,"&gt;="&amp;$J1538,'Weekly Log'!$A:$A,"&lt;"&amp;$J1538+7),0))</f>
        <v/>
      </c>
      <c r="E1538" t="str">
        <f>IF($J1538="","",IFERROR(AVERAGEIFS('Weekly Log'!$F:$F,'Weekly Log'!$A:$A,"&gt;="&amp;$J1538,'Weekly Log'!$A:$A,"&lt;"&amp;$J1538+7),0))</f>
        <v/>
      </c>
      <c r="F1538" t="str">
        <f>IF($J1538="","",IFERROR(SUMIFS('Weekly Log'!$F:$F,'Weekly Log'!$A:$A,"&gt;="&amp;$J1538,'Weekly Log'!$A:$A,"&lt;"&amp;$J1538+7)/SUMIFS('Weekly Log'!$E:$E,'Weekly Log'!$A:$A,"&gt;="&amp;$J1538,'Weekly Log'!$A:$A,"&lt;"&amp;$J1538+7),0))</f>
        <v/>
      </c>
      <c r="G1538" t="str">
        <f>IF($J1538="","",IFERROR(LOOKUP(2,1/(('Weekly Log'!$A$5:$A$5000&gt;=$J1538)*('Weekly Log'!$A$5:$A$5000&lt;$J1538+7)*('Weekly Log'!$M$5:$M$5000&lt;&gt;"")),'Weekly Log'!$M$5:$M$5000),0))</f>
        <v/>
      </c>
      <c r="J1538" t="str">
        <f>IF(COUNT('Weekly Log'!$A$5:$A$5000)=0,"",IF(MIN('Weekly Log'!$A$5:$A$5000)+7*(ROW()-10)&gt;MAX('Weekly Log'!$A$5:$A$5000),"",MIN('Weekly Log'!$A$5:$A$5000)+7*(ROW()-10)))</f>
        <v/>
      </c>
    </row>
    <row r="1539" spans="1:10" x14ac:dyDescent="0.25">
      <c r="A1539" t="str">
        <f t="shared" si="23"/>
        <v/>
      </c>
      <c r="B1539" t="str">
        <f>IF($J1539="","",SUMIFS('Weekly Log'!$C:$C,'Weekly Log'!$A:$A,"&gt;="&amp;$J1539,'Weekly Log'!$A:$A,"&lt;"&amp;$J1539+7))</f>
        <v/>
      </c>
      <c r="C1539" t="str">
        <f>IF($J1539="","",IFERROR(COUNTIFS('Weekly Log'!$G:$G,"Y",'Weekly Log'!$A:$A,"&gt;="&amp;$J1539,'Weekly Log'!$A:$A,"&lt;"&amp;$J1539+7)/COUNTIFS('Weekly Log'!$G:$G,"&lt;&gt;",'Weekly Log'!$A:$A,"&gt;="&amp;$J1539,'Weekly Log'!$A:$A,"&lt;"&amp;$J1539+7),0))</f>
        <v/>
      </c>
      <c r="D1539" t="str">
        <f>IF($J1539="","",IFERROR(COUNTIFS('Weekly Log'!$H:$H,"Y",'Weekly Log'!$A:$A,"&gt;="&amp;$J1539,'Weekly Log'!$A:$A,"&lt;"&amp;$J1539+7)/COUNTIFS('Weekly Log'!$H:$H,"&lt;&gt;",'Weekly Log'!$A:$A,"&gt;="&amp;$J1539,'Weekly Log'!$A:$A,"&lt;"&amp;$J1539+7),0))</f>
        <v/>
      </c>
      <c r="E1539" t="str">
        <f>IF($J1539="","",IFERROR(AVERAGEIFS('Weekly Log'!$F:$F,'Weekly Log'!$A:$A,"&gt;="&amp;$J1539,'Weekly Log'!$A:$A,"&lt;"&amp;$J1539+7),0))</f>
        <v/>
      </c>
      <c r="F1539" t="str">
        <f>IF($J1539="","",IFERROR(SUMIFS('Weekly Log'!$F:$F,'Weekly Log'!$A:$A,"&gt;="&amp;$J1539,'Weekly Log'!$A:$A,"&lt;"&amp;$J1539+7)/SUMIFS('Weekly Log'!$E:$E,'Weekly Log'!$A:$A,"&gt;="&amp;$J1539,'Weekly Log'!$A:$A,"&lt;"&amp;$J1539+7),0))</f>
        <v/>
      </c>
      <c r="G1539" t="str">
        <f>IF($J1539="","",IFERROR(LOOKUP(2,1/(('Weekly Log'!$A$5:$A$5000&gt;=$J1539)*('Weekly Log'!$A$5:$A$5000&lt;$J1539+7)*('Weekly Log'!$M$5:$M$5000&lt;&gt;"")),'Weekly Log'!$M$5:$M$5000),0))</f>
        <v/>
      </c>
      <c r="J1539" t="str">
        <f>IF(COUNT('Weekly Log'!$A$5:$A$5000)=0,"",IF(MIN('Weekly Log'!$A$5:$A$5000)+7*(ROW()-10)&gt;MAX('Weekly Log'!$A$5:$A$5000),"",MIN('Weekly Log'!$A$5:$A$5000)+7*(ROW()-10)))</f>
        <v/>
      </c>
    </row>
    <row r="1540" spans="1:10" x14ac:dyDescent="0.25">
      <c r="A1540" t="str">
        <f t="shared" si="23"/>
        <v/>
      </c>
      <c r="B1540" t="str">
        <f>IF($J1540="","",SUMIFS('Weekly Log'!$C:$C,'Weekly Log'!$A:$A,"&gt;="&amp;$J1540,'Weekly Log'!$A:$A,"&lt;"&amp;$J1540+7))</f>
        <v/>
      </c>
      <c r="C1540" t="str">
        <f>IF($J1540="","",IFERROR(COUNTIFS('Weekly Log'!$G:$G,"Y",'Weekly Log'!$A:$A,"&gt;="&amp;$J1540,'Weekly Log'!$A:$A,"&lt;"&amp;$J1540+7)/COUNTIFS('Weekly Log'!$G:$G,"&lt;&gt;",'Weekly Log'!$A:$A,"&gt;="&amp;$J1540,'Weekly Log'!$A:$A,"&lt;"&amp;$J1540+7),0))</f>
        <v/>
      </c>
      <c r="D1540" t="str">
        <f>IF($J1540="","",IFERROR(COUNTIFS('Weekly Log'!$H:$H,"Y",'Weekly Log'!$A:$A,"&gt;="&amp;$J1540,'Weekly Log'!$A:$A,"&lt;"&amp;$J1540+7)/COUNTIFS('Weekly Log'!$H:$H,"&lt;&gt;",'Weekly Log'!$A:$A,"&gt;="&amp;$J1540,'Weekly Log'!$A:$A,"&lt;"&amp;$J1540+7),0))</f>
        <v/>
      </c>
      <c r="E1540" t="str">
        <f>IF($J1540="","",IFERROR(AVERAGEIFS('Weekly Log'!$F:$F,'Weekly Log'!$A:$A,"&gt;="&amp;$J1540,'Weekly Log'!$A:$A,"&lt;"&amp;$J1540+7),0))</f>
        <v/>
      </c>
      <c r="F1540" t="str">
        <f>IF($J1540="","",IFERROR(SUMIFS('Weekly Log'!$F:$F,'Weekly Log'!$A:$A,"&gt;="&amp;$J1540,'Weekly Log'!$A:$A,"&lt;"&amp;$J1540+7)/SUMIFS('Weekly Log'!$E:$E,'Weekly Log'!$A:$A,"&gt;="&amp;$J1540,'Weekly Log'!$A:$A,"&lt;"&amp;$J1540+7),0))</f>
        <v/>
      </c>
      <c r="G1540" t="str">
        <f>IF($J1540="","",IFERROR(LOOKUP(2,1/(('Weekly Log'!$A$5:$A$5000&gt;=$J1540)*('Weekly Log'!$A$5:$A$5000&lt;$J1540+7)*('Weekly Log'!$M$5:$M$5000&lt;&gt;"")),'Weekly Log'!$M$5:$M$5000),0))</f>
        <v/>
      </c>
      <c r="J1540" t="str">
        <f>IF(COUNT('Weekly Log'!$A$5:$A$5000)=0,"",IF(MIN('Weekly Log'!$A$5:$A$5000)+7*(ROW()-10)&gt;MAX('Weekly Log'!$A$5:$A$5000),"",MIN('Weekly Log'!$A$5:$A$5000)+7*(ROW()-10)))</f>
        <v/>
      </c>
    </row>
    <row r="1541" spans="1:10" x14ac:dyDescent="0.25">
      <c r="A1541" t="str">
        <f t="shared" si="23"/>
        <v/>
      </c>
      <c r="B1541" t="str">
        <f>IF($J1541="","",SUMIFS('Weekly Log'!$C:$C,'Weekly Log'!$A:$A,"&gt;="&amp;$J1541,'Weekly Log'!$A:$A,"&lt;"&amp;$J1541+7))</f>
        <v/>
      </c>
      <c r="C1541" t="str">
        <f>IF($J1541="","",IFERROR(COUNTIFS('Weekly Log'!$G:$G,"Y",'Weekly Log'!$A:$A,"&gt;="&amp;$J1541,'Weekly Log'!$A:$A,"&lt;"&amp;$J1541+7)/COUNTIFS('Weekly Log'!$G:$G,"&lt;&gt;",'Weekly Log'!$A:$A,"&gt;="&amp;$J1541,'Weekly Log'!$A:$A,"&lt;"&amp;$J1541+7),0))</f>
        <v/>
      </c>
      <c r="D1541" t="str">
        <f>IF($J1541="","",IFERROR(COUNTIFS('Weekly Log'!$H:$H,"Y",'Weekly Log'!$A:$A,"&gt;="&amp;$J1541,'Weekly Log'!$A:$A,"&lt;"&amp;$J1541+7)/COUNTIFS('Weekly Log'!$H:$H,"&lt;&gt;",'Weekly Log'!$A:$A,"&gt;="&amp;$J1541,'Weekly Log'!$A:$A,"&lt;"&amp;$J1541+7),0))</f>
        <v/>
      </c>
      <c r="E1541" t="str">
        <f>IF($J1541="","",IFERROR(AVERAGEIFS('Weekly Log'!$F:$F,'Weekly Log'!$A:$A,"&gt;="&amp;$J1541,'Weekly Log'!$A:$A,"&lt;"&amp;$J1541+7),0))</f>
        <v/>
      </c>
      <c r="F1541" t="str">
        <f>IF($J1541="","",IFERROR(SUMIFS('Weekly Log'!$F:$F,'Weekly Log'!$A:$A,"&gt;="&amp;$J1541,'Weekly Log'!$A:$A,"&lt;"&amp;$J1541+7)/SUMIFS('Weekly Log'!$E:$E,'Weekly Log'!$A:$A,"&gt;="&amp;$J1541,'Weekly Log'!$A:$A,"&lt;"&amp;$J1541+7),0))</f>
        <v/>
      </c>
      <c r="G1541" t="str">
        <f>IF($J1541="","",IFERROR(LOOKUP(2,1/(('Weekly Log'!$A$5:$A$5000&gt;=$J1541)*('Weekly Log'!$A$5:$A$5000&lt;$J1541+7)*('Weekly Log'!$M$5:$M$5000&lt;&gt;"")),'Weekly Log'!$M$5:$M$5000),0))</f>
        <v/>
      </c>
      <c r="J1541" t="str">
        <f>IF(COUNT('Weekly Log'!$A$5:$A$5000)=0,"",IF(MIN('Weekly Log'!$A$5:$A$5000)+7*(ROW()-10)&gt;MAX('Weekly Log'!$A$5:$A$5000),"",MIN('Weekly Log'!$A$5:$A$5000)+7*(ROW()-10)))</f>
        <v/>
      </c>
    </row>
    <row r="1542" spans="1:10" x14ac:dyDescent="0.25">
      <c r="A1542" t="str">
        <f t="shared" si="23"/>
        <v/>
      </c>
      <c r="B1542" t="str">
        <f>IF($J1542="","",SUMIFS('Weekly Log'!$C:$C,'Weekly Log'!$A:$A,"&gt;="&amp;$J1542,'Weekly Log'!$A:$A,"&lt;"&amp;$J1542+7))</f>
        <v/>
      </c>
      <c r="C1542" t="str">
        <f>IF($J1542="","",IFERROR(COUNTIFS('Weekly Log'!$G:$G,"Y",'Weekly Log'!$A:$A,"&gt;="&amp;$J1542,'Weekly Log'!$A:$A,"&lt;"&amp;$J1542+7)/COUNTIFS('Weekly Log'!$G:$G,"&lt;&gt;",'Weekly Log'!$A:$A,"&gt;="&amp;$J1542,'Weekly Log'!$A:$A,"&lt;"&amp;$J1542+7),0))</f>
        <v/>
      </c>
      <c r="D1542" t="str">
        <f>IF($J1542="","",IFERROR(COUNTIFS('Weekly Log'!$H:$H,"Y",'Weekly Log'!$A:$A,"&gt;="&amp;$J1542,'Weekly Log'!$A:$A,"&lt;"&amp;$J1542+7)/COUNTIFS('Weekly Log'!$H:$H,"&lt;&gt;",'Weekly Log'!$A:$A,"&gt;="&amp;$J1542,'Weekly Log'!$A:$A,"&lt;"&amp;$J1542+7),0))</f>
        <v/>
      </c>
      <c r="E1542" t="str">
        <f>IF($J1542="","",IFERROR(AVERAGEIFS('Weekly Log'!$F:$F,'Weekly Log'!$A:$A,"&gt;="&amp;$J1542,'Weekly Log'!$A:$A,"&lt;"&amp;$J1542+7),0))</f>
        <v/>
      </c>
      <c r="F1542" t="str">
        <f>IF($J1542="","",IFERROR(SUMIFS('Weekly Log'!$F:$F,'Weekly Log'!$A:$A,"&gt;="&amp;$J1542,'Weekly Log'!$A:$A,"&lt;"&amp;$J1542+7)/SUMIFS('Weekly Log'!$E:$E,'Weekly Log'!$A:$A,"&gt;="&amp;$J1542,'Weekly Log'!$A:$A,"&lt;"&amp;$J1542+7),0))</f>
        <v/>
      </c>
      <c r="G1542" t="str">
        <f>IF($J1542="","",IFERROR(LOOKUP(2,1/(('Weekly Log'!$A$5:$A$5000&gt;=$J1542)*('Weekly Log'!$A$5:$A$5000&lt;$J1542+7)*('Weekly Log'!$M$5:$M$5000&lt;&gt;"")),'Weekly Log'!$M$5:$M$5000),0))</f>
        <v/>
      </c>
      <c r="J1542" t="str">
        <f>IF(COUNT('Weekly Log'!$A$5:$A$5000)=0,"",IF(MIN('Weekly Log'!$A$5:$A$5000)+7*(ROW()-10)&gt;MAX('Weekly Log'!$A$5:$A$5000),"",MIN('Weekly Log'!$A$5:$A$5000)+7*(ROW()-10)))</f>
        <v/>
      </c>
    </row>
    <row r="1543" spans="1:10" x14ac:dyDescent="0.25">
      <c r="A1543" t="str">
        <f t="shared" si="23"/>
        <v/>
      </c>
      <c r="B1543" t="str">
        <f>IF($J1543="","",SUMIFS('Weekly Log'!$C:$C,'Weekly Log'!$A:$A,"&gt;="&amp;$J1543,'Weekly Log'!$A:$A,"&lt;"&amp;$J1543+7))</f>
        <v/>
      </c>
      <c r="C1543" t="str">
        <f>IF($J1543="","",IFERROR(COUNTIFS('Weekly Log'!$G:$G,"Y",'Weekly Log'!$A:$A,"&gt;="&amp;$J1543,'Weekly Log'!$A:$A,"&lt;"&amp;$J1543+7)/COUNTIFS('Weekly Log'!$G:$G,"&lt;&gt;",'Weekly Log'!$A:$A,"&gt;="&amp;$J1543,'Weekly Log'!$A:$A,"&lt;"&amp;$J1543+7),0))</f>
        <v/>
      </c>
      <c r="D1543" t="str">
        <f>IF($J1543="","",IFERROR(COUNTIFS('Weekly Log'!$H:$H,"Y",'Weekly Log'!$A:$A,"&gt;="&amp;$J1543,'Weekly Log'!$A:$A,"&lt;"&amp;$J1543+7)/COUNTIFS('Weekly Log'!$H:$H,"&lt;&gt;",'Weekly Log'!$A:$A,"&gt;="&amp;$J1543,'Weekly Log'!$A:$A,"&lt;"&amp;$J1543+7),0))</f>
        <v/>
      </c>
      <c r="E1543" t="str">
        <f>IF($J1543="","",IFERROR(AVERAGEIFS('Weekly Log'!$F:$F,'Weekly Log'!$A:$A,"&gt;="&amp;$J1543,'Weekly Log'!$A:$A,"&lt;"&amp;$J1543+7),0))</f>
        <v/>
      </c>
      <c r="F1543" t="str">
        <f>IF($J1543="","",IFERROR(SUMIFS('Weekly Log'!$F:$F,'Weekly Log'!$A:$A,"&gt;="&amp;$J1543,'Weekly Log'!$A:$A,"&lt;"&amp;$J1543+7)/SUMIFS('Weekly Log'!$E:$E,'Weekly Log'!$A:$A,"&gt;="&amp;$J1543,'Weekly Log'!$A:$A,"&lt;"&amp;$J1543+7),0))</f>
        <v/>
      </c>
      <c r="G1543" t="str">
        <f>IF($J1543="","",IFERROR(LOOKUP(2,1/(('Weekly Log'!$A$5:$A$5000&gt;=$J1543)*('Weekly Log'!$A$5:$A$5000&lt;$J1543+7)*('Weekly Log'!$M$5:$M$5000&lt;&gt;"")),'Weekly Log'!$M$5:$M$5000),0))</f>
        <v/>
      </c>
      <c r="J1543" t="str">
        <f>IF(COUNT('Weekly Log'!$A$5:$A$5000)=0,"",IF(MIN('Weekly Log'!$A$5:$A$5000)+7*(ROW()-10)&gt;MAX('Weekly Log'!$A$5:$A$5000),"",MIN('Weekly Log'!$A$5:$A$5000)+7*(ROW()-10)))</f>
        <v/>
      </c>
    </row>
    <row r="1544" spans="1:10" x14ac:dyDescent="0.25">
      <c r="A1544" t="str">
        <f t="shared" si="23"/>
        <v/>
      </c>
      <c r="B1544" t="str">
        <f>IF($J1544="","",SUMIFS('Weekly Log'!$C:$C,'Weekly Log'!$A:$A,"&gt;="&amp;$J1544,'Weekly Log'!$A:$A,"&lt;"&amp;$J1544+7))</f>
        <v/>
      </c>
      <c r="C1544" t="str">
        <f>IF($J1544="","",IFERROR(COUNTIFS('Weekly Log'!$G:$G,"Y",'Weekly Log'!$A:$A,"&gt;="&amp;$J1544,'Weekly Log'!$A:$A,"&lt;"&amp;$J1544+7)/COUNTIFS('Weekly Log'!$G:$G,"&lt;&gt;",'Weekly Log'!$A:$A,"&gt;="&amp;$J1544,'Weekly Log'!$A:$A,"&lt;"&amp;$J1544+7),0))</f>
        <v/>
      </c>
      <c r="D1544" t="str">
        <f>IF($J1544="","",IFERROR(COUNTIFS('Weekly Log'!$H:$H,"Y",'Weekly Log'!$A:$A,"&gt;="&amp;$J1544,'Weekly Log'!$A:$A,"&lt;"&amp;$J1544+7)/COUNTIFS('Weekly Log'!$H:$H,"&lt;&gt;",'Weekly Log'!$A:$A,"&gt;="&amp;$J1544,'Weekly Log'!$A:$A,"&lt;"&amp;$J1544+7),0))</f>
        <v/>
      </c>
      <c r="E1544" t="str">
        <f>IF($J1544="","",IFERROR(AVERAGEIFS('Weekly Log'!$F:$F,'Weekly Log'!$A:$A,"&gt;="&amp;$J1544,'Weekly Log'!$A:$A,"&lt;"&amp;$J1544+7),0))</f>
        <v/>
      </c>
      <c r="F1544" t="str">
        <f>IF($J1544="","",IFERROR(SUMIFS('Weekly Log'!$F:$F,'Weekly Log'!$A:$A,"&gt;="&amp;$J1544,'Weekly Log'!$A:$A,"&lt;"&amp;$J1544+7)/SUMIFS('Weekly Log'!$E:$E,'Weekly Log'!$A:$A,"&gt;="&amp;$J1544,'Weekly Log'!$A:$A,"&lt;"&amp;$J1544+7),0))</f>
        <v/>
      </c>
      <c r="G1544" t="str">
        <f>IF($J1544="","",IFERROR(LOOKUP(2,1/(('Weekly Log'!$A$5:$A$5000&gt;=$J1544)*('Weekly Log'!$A$5:$A$5000&lt;$J1544+7)*('Weekly Log'!$M$5:$M$5000&lt;&gt;"")),'Weekly Log'!$M$5:$M$5000),0))</f>
        <v/>
      </c>
      <c r="J1544" t="str">
        <f>IF(COUNT('Weekly Log'!$A$5:$A$5000)=0,"",IF(MIN('Weekly Log'!$A$5:$A$5000)+7*(ROW()-10)&gt;MAX('Weekly Log'!$A$5:$A$5000),"",MIN('Weekly Log'!$A$5:$A$5000)+7*(ROW()-10)))</f>
        <v/>
      </c>
    </row>
    <row r="1545" spans="1:10" x14ac:dyDescent="0.25">
      <c r="A1545" t="str">
        <f t="shared" si="23"/>
        <v/>
      </c>
      <c r="B1545" t="str">
        <f>IF($J1545="","",SUMIFS('Weekly Log'!$C:$C,'Weekly Log'!$A:$A,"&gt;="&amp;$J1545,'Weekly Log'!$A:$A,"&lt;"&amp;$J1545+7))</f>
        <v/>
      </c>
      <c r="C1545" t="str">
        <f>IF($J1545="","",IFERROR(COUNTIFS('Weekly Log'!$G:$G,"Y",'Weekly Log'!$A:$A,"&gt;="&amp;$J1545,'Weekly Log'!$A:$A,"&lt;"&amp;$J1545+7)/COUNTIFS('Weekly Log'!$G:$G,"&lt;&gt;",'Weekly Log'!$A:$A,"&gt;="&amp;$J1545,'Weekly Log'!$A:$A,"&lt;"&amp;$J1545+7),0))</f>
        <v/>
      </c>
      <c r="D1545" t="str">
        <f>IF($J1545="","",IFERROR(COUNTIFS('Weekly Log'!$H:$H,"Y",'Weekly Log'!$A:$A,"&gt;="&amp;$J1545,'Weekly Log'!$A:$A,"&lt;"&amp;$J1545+7)/COUNTIFS('Weekly Log'!$H:$H,"&lt;&gt;",'Weekly Log'!$A:$A,"&gt;="&amp;$J1545,'Weekly Log'!$A:$A,"&lt;"&amp;$J1545+7),0))</f>
        <v/>
      </c>
      <c r="E1545" t="str">
        <f>IF($J1545="","",IFERROR(AVERAGEIFS('Weekly Log'!$F:$F,'Weekly Log'!$A:$A,"&gt;="&amp;$J1545,'Weekly Log'!$A:$A,"&lt;"&amp;$J1545+7),0))</f>
        <v/>
      </c>
      <c r="F1545" t="str">
        <f>IF($J1545="","",IFERROR(SUMIFS('Weekly Log'!$F:$F,'Weekly Log'!$A:$A,"&gt;="&amp;$J1545,'Weekly Log'!$A:$A,"&lt;"&amp;$J1545+7)/SUMIFS('Weekly Log'!$E:$E,'Weekly Log'!$A:$A,"&gt;="&amp;$J1545,'Weekly Log'!$A:$A,"&lt;"&amp;$J1545+7),0))</f>
        <v/>
      </c>
      <c r="G1545" t="str">
        <f>IF($J1545="","",IFERROR(LOOKUP(2,1/(('Weekly Log'!$A$5:$A$5000&gt;=$J1545)*('Weekly Log'!$A$5:$A$5000&lt;$J1545+7)*('Weekly Log'!$M$5:$M$5000&lt;&gt;"")),'Weekly Log'!$M$5:$M$5000),0))</f>
        <v/>
      </c>
      <c r="J1545" t="str">
        <f>IF(COUNT('Weekly Log'!$A$5:$A$5000)=0,"",IF(MIN('Weekly Log'!$A$5:$A$5000)+7*(ROW()-10)&gt;MAX('Weekly Log'!$A$5:$A$5000),"",MIN('Weekly Log'!$A$5:$A$5000)+7*(ROW()-10)))</f>
        <v/>
      </c>
    </row>
    <row r="1546" spans="1:10" x14ac:dyDescent="0.25">
      <c r="A1546" t="str">
        <f t="shared" ref="A1546:A1609" si="24">IF($J1546="","",YEAR($J1546-WEEKDAY($J1546,2)+4)&amp;"-W"&amp;TEXT(WEEKNUM($J1546,21),"00"))</f>
        <v/>
      </c>
      <c r="B1546" t="str">
        <f>IF($J1546="","",SUMIFS('Weekly Log'!$C:$C,'Weekly Log'!$A:$A,"&gt;="&amp;$J1546,'Weekly Log'!$A:$A,"&lt;"&amp;$J1546+7))</f>
        <v/>
      </c>
      <c r="C1546" t="str">
        <f>IF($J1546="","",IFERROR(COUNTIFS('Weekly Log'!$G:$G,"Y",'Weekly Log'!$A:$A,"&gt;="&amp;$J1546,'Weekly Log'!$A:$A,"&lt;"&amp;$J1546+7)/COUNTIFS('Weekly Log'!$G:$G,"&lt;&gt;",'Weekly Log'!$A:$A,"&gt;="&amp;$J1546,'Weekly Log'!$A:$A,"&lt;"&amp;$J1546+7),0))</f>
        <v/>
      </c>
      <c r="D1546" t="str">
        <f>IF($J1546="","",IFERROR(COUNTIFS('Weekly Log'!$H:$H,"Y",'Weekly Log'!$A:$A,"&gt;="&amp;$J1546,'Weekly Log'!$A:$A,"&lt;"&amp;$J1546+7)/COUNTIFS('Weekly Log'!$H:$H,"&lt;&gt;",'Weekly Log'!$A:$A,"&gt;="&amp;$J1546,'Weekly Log'!$A:$A,"&lt;"&amp;$J1546+7),0))</f>
        <v/>
      </c>
      <c r="E1546" t="str">
        <f>IF($J1546="","",IFERROR(AVERAGEIFS('Weekly Log'!$F:$F,'Weekly Log'!$A:$A,"&gt;="&amp;$J1546,'Weekly Log'!$A:$A,"&lt;"&amp;$J1546+7),0))</f>
        <v/>
      </c>
      <c r="F1546" t="str">
        <f>IF($J1546="","",IFERROR(SUMIFS('Weekly Log'!$F:$F,'Weekly Log'!$A:$A,"&gt;="&amp;$J1546,'Weekly Log'!$A:$A,"&lt;"&amp;$J1546+7)/SUMIFS('Weekly Log'!$E:$E,'Weekly Log'!$A:$A,"&gt;="&amp;$J1546,'Weekly Log'!$A:$A,"&lt;"&amp;$J1546+7),0))</f>
        <v/>
      </c>
      <c r="G1546" t="str">
        <f>IF($J1546="","",IFERROR(LOOKUP(2,1/(('Weekly Log'!$A$5:$A$5000&gt;=$J1546)*('Weekly Log'!$A$5:$A$5000&lt;$J1546+7)*('Weekly Log'!$M$5:$M$5000&lt;&gt;"")),'Weekly Log'!$M$5:$M$5000),0))</f>
        <v/>
      </c>
      <c r="J1546" t="str">
        <f>IF(COUNT('Weekly Log'!$A$5:$A$5000)=0,"",IF(MIN('Weekly Log'!$A$5:$A$5000)+7*(ROW()-10)&gt;MAX('Weekly Log'!$A$5:$A$5000),"",MIN('Weekly Log'!$A$5:$A$5000)+7*(ROW()-10)))</f>
        <v/>
      </c>
    </row>
    <row r="1547" spans="1:10" x14ac:dyDescent="0.25">
      <c r="A1547" t="str">
        <f t="shared" si="24"/>
        <v/>
      </c>
      <c r="B1547" t="str">
        <f>IF($J1547="","",SUMIFS('Weekly Log'!$C:$C,'Weekly Log'!$A:$A,"&gt;="&amp;$J1547,'Weekly Log'!$A:$A,"&lt;"&amp;$J1547+7))</f>
        <v/>
      </c>
      <c r="C1547" t="str">
        <f>IF($J1547="","",IFERROR(COUNTIFS('Weekly Log'!$G:$G,"Y",'Weekly Log'!$A:$A,"&gt;="&amp;$J1547,'Weekly Log'!$A:$A,"&lt;"&amp;$J1547+7)/COUNTIFS('Weekly Log'!$G:$G,"&lt;&gt;",'Weekly Log'!$A:$A,"&gt;="&amp;$J1547,'Weekly Log'!$A:$A,"&lt;"&amp;$J1547+7),0))</f>
        <v/>
      </c>
      <c r="D1547" t="str">
        <f>IF($J1547="","",IFERROR(COUNTIFS('Weekly Log'!$H:$H,"Y",'Weekly Log'!$A:$A,"&gt;="&amp;$J1547,'Weekly Log'!$A:$A,"&lt;"&amp;$J1547+7)/COUNTIFS('Weekly Log'!$H:$H,"&lt;&gt;",'Weekly Log'!$A:$A,"&gt;="&amp;$J1547,'Weekly Log'!$A:$A,"&lt;"&amp;$J1547+7),0))</f>
        <v/>
      </c>
      <c r="E1547" t="str">
        <f>IF($J1547="","",IFERROR(AVERAGEIFS('Weekly Log'!$F:$F,'Weekly Log'!$A:$A,"&gt;="&amp;$J1547,'Weekly Log'!$A:$A,"&lt;"&amp;$J1547+7),0))</f>
        <v/>
      </c>
      <c r="F1547" t="str">
        <f>IF($J1547="","",IFERROR(SUMIFS('Weekly Log'!$F:$F,'Weekly Log'!$A:$A,"&gt;="&amp;$J1547,'Weekly Log'!$A:$A,"&lt;"&amp;$J1547+7)/SUMIFS('Weekly Log'!$E:$E,'Weekly Log'!$A:$A,"&gt;="&amp;$J1547,'Weekly Log'!$A:$A,"&lt;"&amp;$J1547+7),0))</f>
        <v/>
      </c>
      <c r="G1547" t="str">
        <f>IF($J1547="","",IFERROR(LOOKUP(2,1/(('Weekly Log'!$A$5:$A$5000&gt;=$J1547)*('Weekly Log'!$A$5:$A$5000&lt;$J1547+7)*('Weekly Log'!$M$5:$M$5000&lt;&gt;"")),'Weekly Log'!$M$5:$M$5000),0))</f>
        <v/>
      </c>
      <c r="J1547" t="str">
        <f>IF(COUNT('Weekly Log'!$A$5:$A$5000)=0,"",IF(MIN('Weekly Log'!$A$5:$A$5000)+7*(ROW()-10)&gt;MAX('Weekly Log'!$A$5:$A$5000),"",MIN('Weekly Log'!$A$5:$A$5000)+7*(ROW()-10)))</f>
        <v/>
      </c>
    </row>
    <row r="1548" spans="1:10" x14ac:dyDescent="0.25">
      <c r="A1548" t="str">
        <f t="shared" si="24"/>
        <v/>
      </c>
      <c r="B1548" t="str">
        <f>IF($J1548="","",SUMIFS('Weekly Log'!$C:$C,'Weekly Log'!$A:$A,"&gt;="&amp;$J1548,'Weekly Log'!$A:$A,"&lt;"&amp;$J1548+7))</f>
        <v/>
      </c>
      <c r="C1548" t="str">
        <f>IF($J1548="","",IFERROR(COUNTIFS('Weekly Log'!$G:$G,"Y",'Weekly Log'!$A:$A,"&gt;="&amp;$J1548,'Weekly Log'!$A:$A,"&lt;"&amp;$J1548+7)/COUNTIFS('Weekly Log'!$G:$G,"&lt;&gt;",'Weekly Log'!$A:$A,"&gt;="&amp;$J1548,'Weekly Log'!$A:$A,"&lt;"&amp;$J1548+7),0))</f>
        <v/>
      </c>
      <c r="D1548" t="str">
        <f>IF($J1548="","",IFERROR(COUNTIFS('Weekly Log'!$H:$H,"Y",'Weekly Log'!$A:$A,"&gt;="&amp;$J1548,'Weekly Log'!$A:$A,"&lt;"&amp;$J1548+7)/COUNTIFS('Weekly Log'!$H:$H,"&lt;&gt;",'Weekly Log'!$A:$A,"&gt;="&amp;$J1548,'Weekly Log'!$A:$A,"&lt;"&amp;$J1548+7),0))</f>
        <v/>
      </c>
      <c r="E1548" t="str">
        <f>IF($J1548="","",IFERROR(AVERAGEIFS('Weekly Log'!$F:$F,'Weekly Log'!$A:$A,"&gt;="&amp;$J1548,'Weekly Log'!$A:$A,"&lt;"&amp;$J1548+7),0))</f>
        <v/>
      </c>
      <c r="F1548" t="str">
        <f>IF($J1548="","",IFERROR(SUMIFS('Weekly Log'!$F:$F,'Weekly Log'!$A:$A,"&gt;="&amp;$J1548,'Weekly Log'!$A:$A,"&lt;"&amp;$J1548+7)/SUMIFS('Weekly Log'!$E:$E,'Weekly Log'!$A:$A,"&gt;="&amp;$J1548,'Weekly Log'!$A:$A,"&lt;"&amp;$J1548+7),0))</f>
        <v/>
      </c>
      <c r="G1548" t="str">
        <f>IF($J1548="","",IFERROR(LOOKUP(2,1/(('Weekly Log'!$A$5:$A$5000&gt;=$J1548)*('Weekly Log'!$A$5:$A$5000&lt;$J1548+7)*('Weekly Log'!$M$5:$M$5000&lt;&gt;"")),'Weekly Log'!$M$5:$M$5000),0))</f>
        <v/>
      </c>
      <c r="J1548" t="str">
        <f>IF(COUNT('Weekly Log'!$A$5:$A$5000)=0,"",IF(MIN('Weekly Log'!$A$5:$A$5000)+7*(ROW()-10)&gt;MAX('Weekly Log'!$A$5:$A$5000),"",MIN('Weekly Log'!$A$5:$A$5000)+7*(ROW()-10)))</f>
        <v/>
      </c>
    </row>
    <row r="1549" spans="1:10" x14ac:dyDescent="0.25">
      <c r="A1549" t="str">
        <f t="shared" si="24"/>
        <v/>
      </c>
      <c r="B1549" t="str">
        <f>IF($J1549="","",SUMIFS('Weekly Log'!$C:$C,'Weekly Log'!$A:$A,"&gt;="&amp;$J1549,'Weekly Log'!$A:$A,"&lt;"&amp;$J1549+7))</f>
        <v/>
      </c>
      <c r="C1549" t="str">
        <f>IF($J1549="","",IFERROR(COUNTIFS('Weekly Log'!$G:$G,"Y",'Weekly Log'!$A:$A,"&gt;="&amp;$J1549,'Weekly Log'!$A:$A,"&lt;"&amp;$J1549+7)/COUNTIFS('Weekly Log'!$G:$G,"&lt;&gt;",'Weekly Log'!$A:$A,"&gt;="&amp;$J1549,'Weekly Log'!$A:$A,"&lt;"&amp;$J1549+7),0))</f>
        <v/>
      </c>
      <c r="D1549" t="str">
        <f>IF($J1549="","",IFERROR(COUNTIFS('Weekly Log'!$H:$H,"Y",'Weekly Log'!$A:$A,"&gt;="&amp;$J1549,'Weekly Log'!$A:$A,"&lt;"&amp;$J1549+7)/COUNTIFS('Weekly Log'!$H:$H,"&lt;&gt;",'Weekly Log'!$A:$A,"&gt;="&amp;$J1549,'Weekly Log'!$A:$A,"&lt;"&amp;$J1549+7),0))</f>
        <v/>
      </c>
      <c r="E1549" t="str">
        <f>IF($J1549="","",IFERROR(AVERAGEIFS('Weekly Log'!$F:$F,'Weekly Log'!$A:$A,"&gt;="&amp;$J1549,'Weekly Log'!$A:$A,"&lt;"&amp;$J1549+7),0))</f>
        <v/>
      </c>
      <c r="F1549" t="str">
        <f>IF($J1549="","",IFERROR(SUMIFS('Weekly Log'!$F:$F,'Weekly Log'!$A:$A,"&gt;="&amp;$J1549,'Weekly Log'!$A:$A,"&lt;"&amp;$J1549+7)/SUMIFS('Weekly Log'!$E:$E,'Weekly Log'!$A:$A,"&gt;="&amp;$J1549,'Weekly Log'!$A:$A,"&lt;"&amp;$J1549+7),0))</f>
        <v/>
      </c>
      <c r="G1549" t="str">
        <f>IF($J1549="","",IFERROR(LOOKUP(2,1/(('Weekly Log'!$A$5:$A$5000&gt;=$J1549)*('Weekly Log'!$A$5:$A$5000&lt;$J1549+7)*('Weekly Log'!$M$5:$M$5000&lt;&gt;"")),'Weekly Log'!$M$5:$M$5000),0))</f>
        <v/>
      </c>
      <c r="J1549" t="str">
        <f>IF(COUNT('Weekly Log'!$A$5:$A$5000)=0,"",IF(MIN('Weekly Log'!$A$5:$A$5000)+7*(ROW()-10)&gt;MAX('Weekly Log'!$A$5:$A$5000),"",MIN('Weekly Log'!$A$5:$A$5000)+7*(ROW()-10)))</f>
        <v/>
      </c>
    </row>
    <row r="1550" spans="1:10" x14ac:dyDescent="0.25">
      <c r="A1550" t="str">
        <f t="shared" si="24"/>
        <v/>
      </c>
      <c r="B1550" t="str">
        <f>IF($J1550="","",SUMIFS('Weekly Log'!$C:$C,'Weekly Log'!$A:$A,"&gt;="&amp;$J1550,'Weekly Log'!$A:$A,"&lt;"&amp;$J1550+7))</f>
        <v/>
      </c>
      <c r="C1550" t="str">
        <f>IF($J1550="","",IFERROR(COUNTIFS('Weekly Log'!$G:$G,"Y",'Weekly Log'!$A:$A,"&gt;="&amp;$J1550,'Weekly Log'!$A:$A,"&lt;"&amp;$J1550+7)/COUNTIFS('Weekly Log'!$G:$G,"&lt;&gt;",'Weekly Log'!$A:$A,"&gt;="&amp;$J1550,'Weekly Log'!$A:$A,"&lt;"&amp;$J1550+7),0))</f>
        <v/>
      </c>
      <c r="D1550" t="str">
        <f>IF($J1550="","",IFERROR(COUNTIFS('Weekly Log'!$H:$H,"Y",'Weekly Log'!$A:$A,"&gt;="&amp;$J1550,'Weekly Log'!$A:$A,"&lt;"&amp;$J1550+7)/COUNTIFS('Weekly Log'!$H:$H,"&lt;&gt;",'Weekly Log'!$A:$A,"&gt;="&amp;$J1550,'Weekly Log'!$A:$A,"&lt;"&amp;$J1550+7),0))</f>
        <v/>
      </c>
      <c r="E1550" t="str">
        <f>IF($J1550="","",IFERROR(AVERAGEIFS('Weekly Log'!$F:$F,'Weekly Log'!$A:$A,"&gt;="&amp;$J1550,'Weekly Log'!$A:$A,"&lt;"&amp;$J1550+7),0))</f>
        <v/>
      </c>
      <c r="F1550" t="str">
        <f>IF($J1550="","",IFERROR(SUMIFS('Weekly Log'!$F:$F,'Weekly Log'!$A:$A,"&gt;="&amp;$J1550,'Weekly Log'!$A:$A,"&lt;"&amp;$J1550+7)/SUMIFS('Weekly Log'!$E:$E,'Weekly Log'!$A:$A,"&gt;="&amp;$J1550,'Weekly Log'!$A:$A,"&lt;"&amp;$J1550+7),0))</f>
        <v/>
      </c>
      <c r="G1550" t="str">
        <f>IF($J1550="","",IFERROR(LOOKUP(2,1/(('Weekly Log'!$A$5:$A$5000&gt;=$J1550)*('Weekly Log'!$A$5:$A$5000&lt;$J1550+7)*('Weekly Log'!$M$5:$M$5000&lt;&gt;"")),'Weekly Log'!$M$5:$M$5000),0))</f>
        <v/>
      </c>
      <c r="J1550" t="str">
        <f>IF(COUNT('Weekly Log'!$A$5:$A$5000)=0,"",IF(MIN('Weekly Log'!$A$5:$A$5000)+7*(ROW()-10)&gt;MAX('Weekly Log'!$A$5:$A$5000),"",MIN('Weekly Log'!$A$5:$A$5000)+7*(ROW()-10)))</f>
        <v/>
      </c>
    </row>
    <row r="1551" spans="1:10" x14ac:dyDescent="0.25">
      <c r="A1551" t="str">
        <f t="shared" si="24"/>
        <v/>
      </c>
      <c r="B1551" t="str">
        <f>IF($J1551="","",SUMIFS('Weekly Log'!$C:$C,'Weekly Log'!$A:$A,"&gt;="&amp;$J1551,'Weekly Log'!$A:$A,"&lt;"&amp;$J1551+7))</f>
        <v/>
      </c>
      <c r="C1551" t="str">
        <f>IF($J1551="","",IFERROR(COUNTIFS('Weekly Log'!$G:$G,"Y",'Weekly Log'!$A:$A,"&gt;="&amp;$J1551,'Weekly Log'!$A:$A,"&lt;"&amp;$J1551+7)/COUNTIFS('Weekly Log'!$G:$G,"&lt;&gt;",'Weekly Log'!$A:$A,"&gt;="&amp;$J1551,'Weekly Log'!$A:$A,"&lt;"&amp;$J1551+7),0))</f>
        <v/>
      </c>
      <c r="D1551" t="str">
        <f>IF($J1551="","",IFERROR(COUNTIFS('Weekly Log'!$H:$H,"Y",'Weekly Log'!$A:$A,"&gt;="&amp;$J1551,'Weekly Log'!$A:$A,"&lt;"&amp;$J1551+7)/COUNTIFS('Weekly Log'!$H:$H,"&lt;&gt;",'Weekly Log'!$A:$A,"&gt;="&amp;$J1551,'Weekly Log'!$A:$A,"&lt;"&amp;$J1551+7),0))</f>
        <v/>
      </c>
      <c r="E1551" t="str">
        <f>IF($J1551="","",IFERROR(AVERAGEIFS('Weekly Log'!$F:$F,'Weekly Log'!$A:$A,"&gt;="&amp;$J1551,'Weekly Log'!$A:$A,"&lt;"&amp;$J1551+7),0))</f>
        <v/>
      </c>
      <c r="F1551" t="str">
        <f>IF($J1551="","",IFERROR(SUMIFS('Weekly Log'!$F:$F,'Weekly Log'!$A:$A,"&gt;="&amp;$J1551,'Weekly Log'!$A:$A,"&lt;"&amp;$J1551+7)/SUMIFS('Weekly Log'!$E:$E,'Weekly Log'!$A:$A,"&gt;="&amp;$J1551,'Weekly Log'!$A:$A,"&lt;"&amp;$J1551+7),0))</f>
        <v/>
      </c>
      <c r="G1551" t="str">
        <f>IF($J1551="","",IFERROR(LOOKUP(2,1/(('Weekly Log'!$A$5:$A$5000&gt;=$J1551)*('Weekly Log'!$A$5:$A$5000&lt;$J1551+7)*('Weekly Log'!$M$5:$M$5000&lt;&gt;"")),'Weekly Log'!$M$5:$M$5000),0))</f>
        <v/>
      </c>
      <c r="J1551" t="str">
        <f>IF(COUNT('Weekly Log'!$A$5:$A$5000)=0,"",IF(MIN('Weekly Log'!$A$5:$A$5000)+7*(ROW()-10)&gt;MAX('Weekly Log'!$A$5:$A$5000),"",MIN('Weekly Log'!$A$5:$A$5000)+7*(ROW()-10)))</f>
        <v/>
      </c>
    </row>
    <row r="1552" spans="1:10" x14ac:dyDescent="0.25">
      <c r="A1552" t="str">
        <f t="shared" si="24"/>
        <v/>
      </c>
      <c r="B1552" t="str">
        <f>IF($J1552="","",SUMIFS('Weekly Log'!$C:$C,'Weekly Log'!$A:$A,"&gt;="&amp;$J1552,'Weekly Log'!$A:$A,"&lt;"&amp;$J1552+7))</f>
        <v/>
      </c>
      <c r="C1552" t="str">
        <f>IF($J1552="","",IFERROR(COUNTIFS('Weekly Log'!$G:$G,"Y",'Weekly Log'!$A:$A,"&gt;="&amp;$J1552,'Weekly Log'!$A:$A,"&lt;"&amp;$J1552+7)/COUNTIFS('Weekly Log'!$G:$G,"&lt;&gt;",'Weekly Log'!$A:$A,"&gt;="&amp;$J1552,'Weekly Log'!$A:$A,"&lt;"&amp;$J1552+7),0))</f>
        <v/>
      </c>
      <c r="D1552" t="str">
        <f>IF($J1552="","",IFERROR(COUNTIFS('Weekly Log'!$H:$H,"Y",'Weekly Log'!$A:$A,"&gt;="&amp;$J1552,'Weekly Log'!$A:$A,"&lt;"&amp;$J1552+7)/COUNTIFS('Weekly Log'!$H:$H,"&lt;&gt;",'Weekly Log'!$A:$A,"&gt;="&amp;$J1552,'Weekly Log'!$A:$A,"&lt;"&amp;$J1552+7),0))</f>
        <v/>
      </c>
      <c r="E1552" t="str">
        <f>IF($J1552="","",IFERROR(AVERAGEIFS('Weekly Log'!$F:$F,'Weekly Log'!$A:$A,"&gt;="&amp;$J1552,'Weekly Log'!$A:$A,"&lt;"&amp;$J1552+7),0))</f>
        <v/>
      </c>
      <c r="F1552" t="str">
        <f>IF($J1552="","",IFERROR(SUMIFS('Weekly Log'!$F:$F,'Weekly Log'!$A:$A,"&gt;="&amp;$J1552,'Weekly Log'!$A:$A,"&lt;"&amp;$J1552+7)/SUMIFS('Weekly Log'!$E:$E,'Weekly Log'!$A:$A,"&gt;="&amp;$J1552,'Weekly Log'!$A:$A,"&lt;"&amp;$J1552+7),0))</f>
        <v/>
      </c>
      <c r="G1552" t="str">
        <f>IF($J1552="","",IFERROR(LOOKUP(2,1/(('Weekly Log'!$A$5:$A$5000&gt;=$J1552)*('Weekly Log'!$A$5:$A$5000&lt;$J1552+7)*('Weekly Log'!$M$5:$M$5000&lt;&gt;"")),'Weekly Log'!$M$5:$M$5000),0))</f>
        <v/>
      </c>
      <c r="J1552" t="str">
        <f>IF(COUNT('Weekly Log'!$A$5:$A$5000)=0,"",IF(MIN('Weekly Log'!$A$5:$A$5000)+7*(ROW()-10)&gt;MAX('Weekly Log'!$A$5:$A$5000),"",MIN('Weekly Log'!$A$5:$A$5000)+7*(ROW()-10)))</f>
        <v/>
      </c>
    </row>
    <row r="1553" spans="1:10" x14ac:dyDescent="0.25">
      <c r="A1553" t="str">
        <f t="shared" si="24"/>
        <v/>
      </c>
      <c r="B1553" t="str">
        <f>IF($J1553="","",SUMIFS('Weekly Log'!$C:$C,'Weekly Log'!$A:$A,"&gt;="&amp;$J1553,'Weekly Log'!$A:$A,"&lt;"&amp;$J1553+7))</f>
        <v/>
      </c>
      <c r="C1553" t="str">
        <f>IF($J1553="","",IFERROR(COUNTIFS('Weekly Log'!$G:$G,"Y",'Weekly Log'!$A:$A,"&gt;="&amp;$J1553,'Weekly Log'!$A:$A,"&lt;"&amp;$J1553+7)/COUNTIFS('Weekly Log'!$G:$G,"&lt;&gt;",'Weekly Log'!$A:$A,"&gt;="&amp;$J1553,'Weekly Log'!$A:$A,"&lt;"&amp;$J1553+7),0))</f>
        <v/>
      </c>
      <c r="D1553" t="str">
        <f>IF($J1553="","",IFERROR(COUNTIFS('Weekly Log'!$H:$H,"Y",'Weekly Log'!$A:$A,"&gt;="&amp;$J1553,'Weekly Log'!$A:$A,"&lt;"&amp;$J1553+7)/COUNTIFS('Weekly Log'!$H:$H,"&lt;&gt;",'Weekly Log'!$A:$A,"&gt;="&amp;$J1553,'Weekly Log'!$A:$A,"&lt;"&amp;$J1553+7),0))</f>
        <v/>
      </c>
      <c r="E1553" t="str">
        <f>IF($J1553="","",IFERROR(AVERAGEIFS('Weekly Log'!$F:$F,'Weekly Log'!$A:$A,"&gt;="&amp;$J1553,'Weekly Log'!$A:$A,"&lt;"&amp;$J1553+7),0))</f>
        <v/>
      </c>
      <c r="F1553" t="str">
        <f>IF($J1553="","",IFERROR(SUMIFS('Weekly Log'!$F:$F,'Weekly Log'!$A:$A,"&gt;="&amp;$J1553,'Weekly Log'!$A:$A,"&lt;"&amp;$J1553+7)/SUMIFS('Weekly Log'!$E:$E,'Weekly Log'!$A:$A,"&gt;="&amp;$J1553,'Weekly Log'!$A:$A,"&lt;"&amp;$J1553+7),0))</f>
        <v/>
      </c>
      <c r="G1553" t="str">
        <f>IF($J1553="","",IFERROR(LOOKUP(2,1/(('Weekly Log'!$A$5:$A$5000&gt;=$J1553)*('Weekly Log'!$A$5:$A$5000&lt;$J1553+7)*('Weekly Log'!$M$5:$M$5000&lt;&gt;"")),'Weekly Log'!$M$5:$M$5000),0))</f>
        <v/>
      </c>
      <c r="J1553" t="str">
        <f>IF(COUNT('Weekly Log'!$A$5:$A$5000)=0,"",IF(MIN('Weekly Log'!$A$5:$A$5000)+7*(ROW()-10)&gt;MAX('Weekly Log'!$A$5:$A$5000),"",MIN('Weekly Log'!$A$5:$A$5000)+7*(ROW()-10)))</f>
        <v/>
      </c>
    </row>
    <row r="1554" spans="1:10" x14ac:dyDescent="0.25">
      <c r="A1554" t="str">
        <f t="shared" si="24"/>
        <v/>
      </c>
      <c r="B1554" t="str">
        <f>IF($J1554="","",SUMIFS('Weekly Log'!$C:$C,'Weekly Log'!$A:$A,"&gt;="&amp;$J1554,'Weekly Log'!$A:$A,"&lt;"&amp;$J1554+7))</f>
        <v/>
      </c>
      <c r="C1554" t="str">
        <f>IF($J1554="","",IFERROR(COUNTIFS('Weekly Log'!$G:$G,"Y",'Weekly Log'!$A:$A,"&gt;="&amp;$J1554,'Weekly Log'!$A:$A,"&lt;"&amp;$J1554+7)/COUNTIFS('Weekly Log'!$G:$G,"&lt;&gt;",'Weekly Log'!$A:$A,"&gt;="&amp;$J1554,'Weekly Log'!$A:$A,"&lt;"&amp;$J1554+7),0))</f>
        <v/>
      </c>
      <c r="D1554" t="str">
        <f>IF($J1554="","",IFERROR(COUNTIFS('Weekly Log'!$H:$H,"Y",'Weekly Log'!$A:$A,"&gt;="&amp;$J1554,'Weekly Log'!$A:$A,"&lt;"&amp;$J1554+7)/COUNTIFS('Weekly Log'!$H:$H,"&lt;&gt;",'Weekly Log'!$A:$A,"&gt;="&amp;$J1554,'Weekly Log'!$A:$A,"&lt;"&amp;$J1554+7),0))</f>
        <v/>
      </c>
      <c r="E1554" t="str">
        <f>IF($J1554="","",IFERROR(AVERAGEIFS('Weekly Log'!$F:$F,'Weekly Log'!$A:$A,"&gt;="&amp;$J1554,'Weekly Log'!$A:$A,"&lt;"&amp;$J1554+7),0))</f>
        <v/>
      </c>
      <c r="F1554" t="str">
        <f>IF($J1554="","",IFERROR(SUMIFS('Weekly Log'!$F:$F,'Weekly Log'!$A:$A,"&gt;="&amp;$J1554,'Weekly Log'!$A:$A,"&lt;"&amp;$J1554+7)/SUMIFS('Weekly Log'!$E:$E,'Weekly Log'!$A:$A,"&gt;="&amp;$J1554,'Weekly Log'!$A:$A,"&lt;"&amp;$J1554+7),0))</f>
        <v/>
      </c>
      <c r="G1554" t="str">
        <f>IF($J1554="","",IFERROR(LOOKUP(2,1/(('Weekly Log'!$A$5:$A$5000&gt;=$J1554)*('Weekly Log'!$A$5:$A$5000&lt;$J1554+7)*('Weekly Log'!$M$5:$M$5000&lt;&gt;"")),'Weekly Log'!$M$5:$M$5000),0))</f>
        <v/>
      </c>
      <c r="J1554" t="str">
        <f>IF(COUNT('Weekly Log'!$A$5:$A$5000)=0,"",IF(MIN('Weekly Log'!$A$5:$A$5000)+7*(ROW()-10)&gt;MAX('Weekly Log'!$A$5:$A$5000),"",MIN('Weekly Log'!$A$5:$A$5000)+7*(ROW()-10)))</f>
        <v/>
      </c>
    </row>
    <row r="1555" spans="1:10" x14ac:dyDescent="0.25">
      <c r="A1555" t="str">
        <f t="shared" si="24"/>
        <v/>
      </c>
      <c r="B1555" t="str">
        <f>IF($J1555="","",SUMIFS('Weekly Log'!$C:$C,'Weekly Log'!$A:$A,"&gt;="&amp;$J1555,'Weekly Log'!$A:$A,"&lt;"&amp;$J1555+7))</f>
        <v/>
      </c>
      <c r="C1555" t="str">
        <f>IF($J1555="","",IFERROR(COUNTIFS('Weekly Log'!$G:$G,"Y",'Weekly Log'!$A:$A,"&gt;="&amp;$J1555,'Weekly Log'!$A:$A,"&lt;"&amp;$J1555+7)/COUNTIFS('Weekly Log'!$G:$G,"&lt;&gt;",'Weekly Log'!$A:$A,"&gt;="&amp;$J1555,'Weekly Log'!$A:$A,"&lt;"&amp;$J1555+7),0))</f>
        <v/>
      </c>
      <c r="D1555" t="str">
        <f>IF($J1555="","",IFERROR(COUNTIFS('Weekly Log'!$H:$H,"Y",'Weekly Log'!$A:$A,"&gt;="&amp;$J1555,'Weekly Log'!$A:$A,"&lt;"&amp;$J1555+7)/COUNTIFS('Weekly Log'!$H:$H,"&lt;&gt;",'Weekly Log'!$A:$A,"&gt;="&amp;$J1555,'Weekly Log'!$A:$A,"&lt;"&amp;$J1555+7),0))</f>
        <v/>
      </c>
      <c r="E1555" t="str">
        <f>IF($J1555="","",IFERROR(AVERAGEIFS('Weekly Log'!$F:$F,'Weekly Log'!$A:$A,"&gt;="&amp;$J1555,'Weekly Log'!$A:$A,"&lt;"&amp;$J1555+7),0))</f>
        <v/>
      </c>
      <c r="F1555" t="str">
        <f>IF($J1555="","",IFERROR(SUMIFS('Weekly Log'!$F:$F,'Weekly Log'!$A:$A,"&gt;="&amp;$J1555,'Weekly Log'!$A:$A,"&lt;"&amp;$J1555+7)/SUMIFS('Weekly Log'!$E:$E,'Weekly Log'!$A:$A,"&gt;="&amp;$J1555,'Weekly Log'!$A:$A,"&lt;"&amp;$J1555+7),0))</f>
        <v/>
      </c>
      <c r="G1555" t="str">
        <f>IF($J1555="","",IFERROR(LOOKUP(2,1/(('Weekly Log'!$A$5:$A$5000&gt;=$J1555)*('Weekly Log'!$A$5:$A$5000&lt;$J1555+7)*('Weekly Log'!$M$5:$M$5000&lt;&gt;"")),'Weekly Log'!$M$5:$M$5000),0))</f>
        <v/>
      </c>
      <c r="J1555" t="str">
        <f>IF(COUNT('Weekly Log'!$A$5:$A$5000)=0,"",IF(MIN('Weekly Log'!$A$5:$A$5000)+7*(ROW()-10)&gt;MAX('Weekly Log'!$A$5:$A$5000),"",MIN('Weekly Log'!$A$5:$A$5000)+7*(ROW()-10)))</f>
        <v/>
      </c>
    </row>
    <row r="1556" spans="1:10" x14ac:dyDescent="0.25">
      <c r="A1556" t="str">
        <f t="shared" si="24"/>
        <v/>
      </c>
      <c r="B1556" t="str">
        <f>IF($J1556="","",SUMIFS('Weekly Log'!$C:$C,'Weekly Log'!$A:$A,"&gt;="&amp;$J1556,'Weekly Log'!$A:$A,"&lt;"&amp;$J1556+7))</f>
        <v/>
      </c>
      <c r="C1556" t="str">
        <f>IF($J1556="","",IFERROR(COUNTIFS('Weekly Log'!$G:$G,"Y",'Weekly Log'!$A:$A,"&gt;="&amp;$J1556,'Weekly Log'!$A:$A,"&lt;"&amp;$J1556+7)/COUNTIFS('Weekly Log'!$G:$G,"&lt;&gt;",'Weekly Log'!$A:$A,"&gt;="&amp;$J1556,'Weekly Log'!$A:$A,"&lt;"&amp;$J1556+7),0))</f>
        <v/>
      </c>
      <c r="D1556" t="str">
        <f>IF($J1556="","",IFERROR(COUNTIFS('Weekly Log'!$H:$H,"Y",'Weekly Log'!$A:$A,"&gt;="&amp;$J1556,'Weekly Log'!$A:$A,"&lt;"&amp;$J1556+7)/COUNTIFS('Weekly Log'!$H:$H,"&lt;&gt;",'Weekly Log'!$A:$A,"&gt;="&amp;$J1556,'Weekly Log'!$A:$A,"&lt;"&amp;$J1556+7),0))</f>
        <v/>
      </c>
      <c r="E1556" t="str">
        <f>IF($J1556="","",IFERROR(AVERAGEIFS('Weekly Log'!$F:$F,'Weekly Log'!$A:$A,"&gt;="&amp;$J1556,'Weekly Log'!$A:$A,"&lt;"&amp;$J1556+7),0))</f>
        <v/>
      </c>
      <c r="F1556" t="str">
        <f>IF($J1556="","",IFERROR(SUMIFS('Weekly Log'!$F:$F,'Weekly Log'!$A:$A,"&gt;="&amp;$J1556,'Weekly Log'!$A:$A,"&lt;"&amp;$J1556+7)/SUMIFS('Weekly Log'!$E:$E,'Weekly Log'!$A:$A,"&gt;="&amp;$J1556,'Weekly Log'!$A:$A,"&lt;"&amp;$J1556+7),0))</f>
        <v/>
      </c>
      <c r="G1556" t="str">
        <f>IF($J1556="","",IFERROR(LOOKUP(2,1/(('Weekly Log'!$A$5:$A$5000&gt;=$J1556)*('Weekly Log'!$A$5:$A$5000&lt;$J1556+7)*('Weekly Log'!$M$5:$M$5000&lt;&gt;"")),'Weekly Log'!$M$5:$M$5000),0))</f>
        <v/>
      </c>
      <c r="J1556" t="str">
        <f>IF(COUNT('Weekly Log'!$A$5:$A$5000)=0,"",IF(MIN('Weekly Log'!$A$5:$A$5000)+7*(ROW()-10)&gt;MAX('Weekly Log'!$A$5:$A$5000),"",MIN('Weekly Log'!$A$5:$A$5000)+7*(ROW()-10)))</f>
        <v/>
      </c>
    </row>
    <row r="1557" spans="1:10" x14ac:dyDescent="0.25">
      <c r="A1557" t="str">
        <f t="shared" si="24"/>
        <v/>
      </c>
      <c r="B1557" t="str">
        <f>IF($J1557="","",SUMIFS('Weekly Log'!$C:$C,'Weekly Log'!$A:$A,"&gt;="&amp;$J1557,'Weekly Log'!$A:$A,"&lt;"&amp;$J1557+7))</f>
        <v/>
      </c>
      <c r="C1557" t="str">
        <f>IF($J1557="","",IFERROR(COUNTIFS('Weekly Log'!$G:$G,"Y",'Weekly Log'!$A:$A,"&gt;="&amp;$J1557,'Weekly Log'!$A:$A,"&lt;"&amp;$J1557+7)/COUNTIFS('Weekly Log'!$G:$G,"&lt;&gt;",'Weekly Log'!$A:$A,"&gt;="&amp;$J1557,'Weekly Log'!$A:$A,"&lt;"&amp;$J1557+7),0))</f>
        <v/>
      </c>
      <c r="D1557" t="str">
        <f>IF($J1557="","",IFERROR(COUNTIFS('Weekly Log'!$H:$H,"Y",'Weekly Log'!$A:$A,"&gt;="&amp;$J1557,'Weekly Log'!$A:$A,"&lt;"&amp;$J1557+7)/COUNTIFS('Weekly Log'!$H:$H,"&lt;&gt;",'Weekly Log'!$A:$A,"&gt;="&amp;$J1557,'Weekly Log'!$A:$A,"&lt;"&amp;$J1557+7),0))</f>
        <v/>
      </c>
      <c r="E1557" t="str">
        <f>IF($J1557="","",IFERROR(AVERAGEIFS('Weekly Log'!$F:$F,'Weekly Log'!$A:$A,"&gt;="&amp;$J1557,'Weekly Log'!$A:$A,"&lt;"&amp;$J1557+7),0))</f>
        <v/>
      </c>
      <c r="F1557" t="str">
        <f>IF($J1557="","",IFERROR(SUMIFS('Weekly Log'!$F:$F,'Weekly Log'!$A:$A,"&gt;="&amp;$J1557,'Weekly Log'!$A:$A,"&lt;"&amp;$J1557+7)/SUMIFS('Weekly Log'!$E:$E,'Weekly Log'!$A:$A,"&gt;="&amp;$J1557,'Weekly Log'!$A:$A,"&lt;"&amp;$J1557+7),0))</f>
        <v/>
      </c>
      <c r="G1557" t="str">
        <f>IF($J1557="","",IFERROR(LOOKUP(2,1/(('Weekly Log'!$A$5:$A$5000&gt;=$J1557)*('Weekly Log'!$A$5:$A$5000&lt;$J1557+7)*('Weekly Log'!$M$5:$M$5000&lt;&gt;"")),'Weekly Log'!$M$5:$M$5000),0))</f>
        <v/>
      </c>
      <c r="J1557" t="str">
        <f>IF(COUNT('Weekly Log'!$A$5:$A$5000)=0,"",IF(MIN('Weekly Log'!$A$5:$A$5000)+7*(ROW()-10)&gt;MAX('Weekly Log'!$A$5:$A$5000),"",MIN('Weekly Log'!$A$5:$A$5000)+7*(ROW()-10)))</f>
        <v/>
      </c>
    </row>
    <row r="1558" spans="1:10" x14ac:dyDescent="0.25">
      <c r="A1558" t="str">
        <f t="shared" si="24"/>
        <v/>
      </c>
      <c r="B1558" t="str">
        <f>IF($J1558="","",SUMIFS('Weekly Log'!$C:$C,'Weekly Log'!$A:$A,"&gt;="&amp;$J1558,'Weekly Log'!$A:$A,"&lt;"&amp;$J1558+7))</f>
        <v/>
      </c>
      <c r="C1558" t="str">
        <f>IF($J1558="","",IFERROR(COUNTIFS('Weekly Log'!$G:$G,"Y",'Weekly Log'!$A:$A,"&gt;="&amp;$J1558,'Weekly Log'!$A:$A,"&lt;"&amp;$J1558+7)/COUNTIFS('Weekly Log'!$G:$G,"&lt;&gt;",'Weekly Log'!$A:$A,"&gt;="&amp;$J1558,'Weekly Log'!$A:$A,"&lt;"&amp;$J1558+7),0))</f>
        <v/>
      </c>
      <c r="D1558" t="str">
        <f>IF($J1558="","",IFERROR(COUNTIFS('Weekly Log'!$H:$H,"Y",'Weekly Log'!$A:$A,"&gt;="&amp;$J1558,'Weekly Log'!$A:$A,"&lt;"&amp;$J1558+7)/COUNTIFS('Weekly Log'!$H:$H,"&lt;&gt;",'Weekly Log'!$A:$A,"&gt;="&amp;$J1558,'Weekly Log'!$A:$A,"&lt;"&amp;$J1558+7),0))</f>
        <v/>
      </c>
      <c r="E1558" t="str">
        <f>IF($J1558="","",IFERROR(AVERAGEIFS('Weekly Log'!$F:$F,'Weekly Log'!$A:$A,"&gt;="&amp;$J1558,'Weekly Log'!$A:$A,"&lt;"&amp;$J1558+7),0))</f>
        <v/>
      </c>
      <c r="F1558" t="str">
        <f>IF($J1558="","",IFERROR(SUMIFS('Weekly Log'!$F:$F,'Weekly Log'!$A:$A,"&gt;="&amp;$J1558,'Weekly Log'!$A:$A,"&lt;"&amp;$J1558+7)/SUMIFS('Weekly Log'!$E:$E,'Weekly Log'!$A:$A,"&gt;="&amp;$J1558,'Weekly Log'!$A:$A,"&lt;"&amp;$J1558+7),0))</f>
        <v/>
      </c>
      <c r="G1558" t="str">
        <f>IF($J1558="","",IFERROR(LOOKUP(2,1/(('Weekly Log'!$A$5:$A$5000&gt;=$J1558)*('Weekly Log'!$A$5:$A$5000&lt;$J1558+7)*('Weekly Log'!$M$5:$M$5000&lt;&gt;"")),'Weekly Log'!$M$5:$M$5000),0))</f>
        <v/>
      </c>
      <c r="J1558" t="str">
        <f>IF(COUNT('Weekly Log'!$A$5:$A$5000)=0,"",IF(MIN('Weekly Log'!$A$5:$A$5000)+7*(ROW()-10)&gt;MAX('Weekly Log'!$A$5:$A$5000),"",MIN('Weekly Log'!$A$5:$A$5000)+7*(ROW()-10)))</f>
        <v/>
      </c>
    </row>
    <row r="1559" spans="1:10" x14ac:dyDescent="0.25">
      <c r="A1559" t="str">
        <f t="shared" si="24"/>
        <v/>
      </c>
      <c r="B1559" t="str">
        <f>IF($J1559="","",SUMIFS('Weekly Log'!$C:$C,'Weekly Log'!$A:$A,"&gt;="&amp;$J1559,'Weekly Log'!$A:$A,"&lt;"&amp;$J1559+7))</f>
        <v/>
      </c>
      <c r="C1559" t="str">
        <f>IF($J1559="","",IFERROR(COUNTIFS('Weekly Log'!$G:$G,"Y",'Weekly Log'!$A:$A,"&gt;="&amp;$J1559,'Weekly Log'!$A:$A,"&lt;"&amp;$J1559+7)/COUNTIFS('Weekly Log'!$G:$G,"&lt;&gt;",'Weekly Log'!$A:$A,"&gt;="&amp;$J1559,'Weekly Log'!$A:$A,"&lt;"&amp;$J1559+7),0))</f>
        <v/>
      </c>
      <c r="D1559" t="str">
        <f>IF($J1559="","",IFERROR(COUNTIFS('Weekly Log'!$H:$H,"Y",'Weekly Log'!$A:$A,"&gt;="&amp;$J1559,'Weekly Log'!$A:$A,"&lt;"&amp;$J1559+7)/COUNTIFS('Weekly Log'!$H:$H,"&lt;&gt;",'Weekly Log'!$A:$A,"&gt;="&amp;$J1559,'Weekly Log'!$A:$A,"&lt;"&amp;$J1559+7),0))</f>
        <v/>
      </c>
      <c r="E1559" t="str">
        <f>IF($J1559="","",IFERROR(AVERAGEIFS('Weekly Log'!$F:$F,'Weekly Log'!$A:$A,"&gt;="&amp;$J1559,'Weekly Log'!$A:$A,"&lt;"&amp;$J1559+7),0))</f>
        <v/>
      </c>
      <c r="F1559" t="str">
        <f>IF($J1559="","",IFERROR(SUMIFS('Weekly Log'!$F:$F,'Weekly Log'!$A:$A,"&gt;="&amp;$J1559,'Weekly Log'!$A:$A,"&lt;"&amp;$J1559+7)/SUMIFS('Weekly Log'!$E:$E,'Weekly Log'!$A:$A,"&gt;="&amp;$J1559,'Weekly Log'!$A:$A,"&lt;"&amp;$J1559+7),0))</f>
        <v/>
      </c>
      <c r="G1559" t="str">
        <f>IF($J1559="","",IFERROR(LOOKUP(2,1/(('Weekly Log'!$A$5:$A$5000&gt;=$J1559)*('Weekly Log'!$A$5:$A$5000&lt;$J1559+7)*('Weekly Log'!$M$5:$M$5000&lt;&gt;"")),'Weekly Log'!$M$5:$M$5000),0))</f>
        <v/>
      </c>
      <c r="J1559" t="str">
        <f>IF(COUNT('Weekly Log'!$A$5:$A$5000)=0,"",IF(MIN('Weekly Log'!$A$5:$A$5000)+7*(ROW()-10)&gt;MAX('Weekly Log'!$A$5:$A$5000),"",MIN('Weekly Log'!$A$5:$A$5000)+7*(ROW()-10)))</f>
        <v/>
      </c>
    </row>
    <row r="1560" spans="1:10" x14ac:dyDescent="0.25">
      <c r="A1560" t="str">
        <f t="shared" si="24"/>
        <v/>
      </c>
      <c r="B1560" t="str">
        <f>IF($J1560="","",SUMIFS('Weekly Log'!$C:$C,'Weekly Log'!$A:$A,"&gt;="&amp;$J1560,'Weekly Log'!$A:$A,"&lt;"&amp;$J1560+7))</f>
        <v/>
      </c>
      <c r="C1560" t="str">
        <f>IF($J1560="","",IFERROR(COUNTIFS('Weekly Log'!$G:$G,"Y",'Weekly Log'!$A:$A,"&gt;="&amp;$J1560,'Weekly Log'!$A:$A,"&lt;"&amp;$J1560+7)/COUNTIFS('Weekly Log'!$G:$G,"&lt;&gt;",'Weekly Log'!$A:$A,"&gt;="&amp;$J1560,'Weekly Log'!$A:$A,"&lt;"&amp;$J1560+7),0))</f>
        <v/>
      </c>
      <c r="D1560" t="str">
        <f>IF($J1560="","",IFERROR(COUNTIFS('Weekly Log'!$H:$H,"Y",'Weekly Log'!$A:$A,"&gt;="&amp;$J1560,'Weekly Log'!$A:$A,"&lt;"&amp;$J1560+7)/COUNTIFS('Weekly Log'!$H:$H,"&lt;&gt;",'Weekly Log'!$A:$A,"&gt;="&amp;$J1560,'Weekly Log'!$A:$A,"&lt;"&amp;$J1560+7),0))</f>
        <v/>
      </c>
      <c r="E1560" t="str">
        <f>IF($J1560="","",IFERROR(AVERAGEIFS('Weekly Log'!$F:$F,'Weekly Log'!$A:$A,"&gt;="&amp;$J1560,'Weekly Log'!$A:$A,"&lt;"&amp;$J1560+7),0))</f>
        <v/>
      </c>
      <c r="F1560" t="str">
        <f>IF($J1560="","",IFERROR(SUMIFS('Weekly Log'!$F:$F,'Weekly Log'!$A:$A,"&gt;="&amp;$J1560,'Weekly Log'!$A:$A,"&lt;"&amp;$J1560+7)/SUMIFS('Weekly Log'!$E:$E,'Weekly Log'!$A:$A,"&gt;="&amp;$J1560,'Weekly Log'!$A:$A,"&lt;"&amp;$J1560+7),0))</f>
        <v/>
      </c>
      <c r="G1560" t="str">
        <f>IF($J1560="","",IFERROR(LOOKUP(2,1/(('Weekly Log'!$A$5:$A$5000&gt;=$J1560)*('Weekly Log'!$A$5:$A$5000&lt;$J1560+7)*('Weekly Log'!$M$5:$M$5000&lt;&gt;"")),'Weekly Log'!$M$5:$M$5000),0))</f>
        <v/>
      </c>
      <c r="J1560" t="str">
        <f>IF(COUNT('Weekly Log'!$A$5:$A$5000)=0,"",IF(MIN('Weekly Log'!$A$5:$A$5000)+7*(ROW()-10)&gt;MAX('Weekly Log'!$A$5:$A$5000),"",MIN('Weekly Log'!$A$5:$A$5000)+7*(ROW()-10)))</f>
        <v/>
      </c>
    </row>
    <row r="1561" spans="1:10" x14ac:dyDescent="0.25">
      <c r="A1561" t="str">
        <f t="shared" si="24"/>
        <v/>
      </c>
      <c r="B1561" t="str">
        <f>IF($J1561="","",SUMIFS('Weekly Log'!$C:$C,'Weekly Log'!$A:$A,"&gt;="&amp;$J1561,'Weekly Log'!$A:$A,"&lt;"&amp;$J1561+7))</f>
        <v/>
      </c>
      <c r="C1561" t="str">
        <f>IF($J1561="","",IFERROR(COUNTIFS('Weekly Log'!$G:$G,"Y",'Weekly Log'!$A:$A,"&gt;="&amp;$J1561,'Weekly Log'!$A:$A,"&lt;"&amp;$J1561+7)/COUNTIFS('Weekly Log'!$G:$G,"&lt;&gt;",'Weekly Log'!$A:$A,"&gt;="&amp;$J1561,'Weekly Log'!$A:$A,"&lt;"&amp;$J1561+7),0))</f>
        <v/>
      </c>
      <c r="D1561" t="str">
        <f>IF($J1561="","",IFERROR(COUNTIFS('Weekly Log'!$H:$H,"Y",'Weekly Log'!$A:$A,"&gt;="&amp;$J1561,'Weekly Log'!$A:$A,"&lt;"&amp;$J1561+7)/COUNTIFS('Weekly Log'!$H:$H,"&lt;&gt;",'Weekly Log'!$A:$A,"&gt;="&amp;$J1561,'Weekly Log'!$A:$A,"&lt;"&amp;$J1561+7),0))</f>
        <v/>
      </c>
      <c r="E1561" t="str">
        <f>IF($J1561="","",IFERROR(AVERAGEIFS('Weekly Log'!$F:$F,'Weekly Log'!$A:$A,"&gt;="&amp;$J1561,'Weekly Log'!$A:$A,"&lt;"&amp;$J1561+7),0))</f>
        <v/>
      </c>
      <c r="F1561" t="str">
        <f>IF($J1561="","",IFERROR(SUMIFS('Weekly Log'!$F:$F,'Weekly Log'!$A:$A,"&gt;="&amp;$J1561,'Weekly Log'!$A:$A,"&lt;"&amp;$J1561+7)/SUMIFS('Weekly Log'!$E:$E,'Weekly Log'!$A:$A,"&gt;="&amp;$J1561,'Weekly Log'!$A:$A,"&lt;"&amp;$J1561+7),0))</f>
        <v/>
      </c>
      <c r="G1561" t="str">
        <f>IF($J1561="","",IFERROR(LOOKUP(2,1/(('Weekly Log'!$A$5:$A$5000&gt;=$J1561)*('Weekly Log'!$A$5:$A$5000&lt;$J1561+7)*('Weekly Log'!$M$5:$M$5000&lt;&gt;"")),'Weekly Log'!$M$5:$M$5000),0))</f>
        <v/>
      </c>
      <c r="J1561" t="str">
        <f>IF(COUNT('Weekly Log'!$A$5:$A$5000)=0,"",IF(MIN('Weekly Log'!$A$5:$A$5000)+7*(ROW()-10)&gt;MAX('Weekly Log'!$A$5:$A$5000),"",MIN('Weekly Log'!$A$5:$A$5000)+7*(ROW()-10)))</f>
        <v/>
      </c>
    </row>
    <row r="1562" spans="1:10" x14ac:dyDescent="0.25">
      <c r="A1562" t="str">
        <f t="shared" si="24"/>
        <v/>
      </c>
      <c r="B1562" t="str">
        <f>IF($J1562="","",SUMIFS('Weekly Log'!$C:$C,'Weekly Log'!$A:$A,"&gt;="&amp;$J1562,'Weekly Log'!$A:$A,"&lt;"&amp;$J1562+7))</f>
        <v/>
      </c>
      <c r="C1562" t="str">
        <f>IF($J1562="","",IFERROR(COUNTIFS('Weekly Log'!$G:$G,"Y",'Weekly Log'!$A:$A,"&gt;="&amp;$J1562,'Weekly Log'!$A:$A,"&lt;"&amp;$J1562+7)/COUNTIFS('Weekly Log'!$G:$G,"&lt;&gt;",'Weekly Log'!$A:$A,"&gt;="&amp;$J1562,'Weekly Log'!$A:$A,"&lt;"&amp;$J1562+7),0))</f>
        <v/>
      </c>
      <c r="D1562" t="str">
        <f>IF($J1562="","",IFERROR(COUNTIFS('Weekly Log'!$H:$H,"Y",'Weekly Log'!$A:$A,"&gt;="&amp;$J1562,'Weekly Log'!$A:$A,"&lt;"&amp;$J1562+7)/COUNTIFS('Weekly Log'!$H:$H,"&lt;&gt;",'Weekly Log'!$A:$A,"&gt;="&amp;$J1562,'Weekly Log'!$A:$A,"&lt;"&amp;$J1562+7),0))</f>
        <v/>
      </c>
      <c r="E1562" t="str">
        <f>IF($J1562="","",IFERROR(AVERAGEIFS('Weekly Log'!$F:$F,'Weekly Log'!$A:$A,"&gt;="&amp;$J1562,'Weekly Log'!$A:$A,"&lt;"&amp;$J1562+7),0))</f>
        <v/>
      </c>
      <c r="F1562" t="str">
        <f>IF($J1562="","",IFERROR(SUMIFS('Weekly Log'!$F:$F,'Weekly Log'!$A:$A,"&gt;="&amp;$J1562,'Weekly Log'!$A:$A,"&lt;"&amp;$J1562+7)/SUMIFS('Weekly Log'!$E:$E,'Weekly Log'!$A:$A,"&gt;="&amp;$J1562,'Weekly Log'!$A:$A,"&lt;"&amp;$J1562+7),0))</f>
        <v/>
      </c>
      <c r="G1562" t="str">
        <f>IF($J1562="","",IFERROR(LOOKUP(2,1/(('Weekly Log'!$A$5:$A$5000&gt;=$J1562)*('Weekly Log'!$A$5:$A$5000&lt;$J1562+7)*('Weekly Log'!$M$5:$M$5000&lt;&gt;"")),'Weekly Log'!$M$5:$M$5000),0))</f>
        <v/>
      </c>
      <c r="J1562" t="str">
        <f>IF(COUNT('Weekly Log'!$A$5:$A$5000)=0,"",IF(MIN('Weekly Log'!$A$5:$A$5000)+7*(ROW()-10)&gt;MAX('Weekly Log'!$A$5:$A$5000),"",MIN('Weekly Log'!$A$5:$A$5000)+7*(ROW()-10)))</f>
        <v/>
      </c>
    </row>
    <row r="1563" spans="1:10" x14ac:dyDescent="0.25">
      <c r="A1563" t="str">
        <f t="shared" si="24"/>
        <v/>
      </c>
      <c r="B1563" t="str">
        <f>IF($J1563="","",SUMIFS('Weekly Log'!$C:$C,'Weekly Log'!$A:$A,"&gt;="&amp;$J1563,'Weekly Log'!$A:$A,"&lt;"&amp;$J1563+7))</f>
        <v/>
      </c>
      <c r="C1563" t="str">
        <f>IF($J1563="","",IFERROR(COUNTIFS('Weekly Log'!$G:$G,"Y",'Weekly Log'!$A:$A,"&gt;="&amp;$J1563,'Weekly Log'!$A:$A,"&lt;"&amp;$J1563+7)/COUNTIFS('Weekly Log'!$G:$G,"&lt;&gt;",'Weekly Log'!$A:$A,"&gt;="&amp;$J1563,'Weekly Log'!$A:$A,"&lt;"&amp;$J1563+7),0))</f>
        <v/>
      </c>
      <c r="D1563" t="str">
        <f>IF($J1563="","",IFERROR(COUNTIFS('Weekly Log'!$H:$H,"Y",'Weekly Log'!$A:$A,"&gt;="&amp;$J1563,'Weekly Log'!$A:$A,"&lt;"&amp;$J1563+7)/COUNTIFS('Weekly Log'!$H:$H,"&lt;&gt;",'Weekly Log'!$A:$A,"&gt;="&amp;$J1563,'Weekly Log'!$A:$A,"&lt;"&amp;$J1563+7),0))</f>
        <v/>
      </c>
      <c r="E1563" t="str">
        <f>IF($J1563="","",IFERROR(AVERAGEIFS('Weekly Log'!$F:$F,'Weekly Log'!$A:$A,"&gt;="&amp;$J1563,'Weekly Log'!$A:$A,"&lt;"&amp;$J1563+7),0))</f>
        <v/>
      </c>
      <c r="F1563" t="str">
        <f>IF($J1563="","",IFERROR(SUMIFS('Weekly Log'!$F:$F,'Weekly Log'!$A:$A,"&gt;="&amp;$J1563,'Weekly Log'!$A:$A,"&lt;"&amp;$J1563+7)/SUMIFS('Weekly Log'!$E:$E,'Weekly Log'!$A:$A,"&gt;="&amp;$J1563,'Weekly Log'!$A:$A,"&lt;"&amp;$J1563+7),0))</f>
        <v/>
      </c>
      <c r="G1563" t="str">
        <f>IF($J1563="","",IFERROR(LOOKUP(2,1/(('Weekly Log'!$A$5:$A$5000&gt;=$J1563)*('Weekly Log'!$A$5:$A$5000&lt;$J1563+7)*('Weekly Log'!$M$5:$M$5000&lt;&gt;"")),'Weekly Log'!$M$5:$M$5000),0))</f>
        <v/>
      </c>
      <c r="J1563" t="str">
        <f>IF(COUNT('Weekly Log'!$A$5:$A$5000)=0,"",IF(MIN('Weekly Log'!$A$5:$A$5000)+7*(ROW()-10)&gt;MAX('Weekly Log'!$A$5:$A$5000),"",MIN('Weekly Log'!$A$5:$A$5000)+7*(ROW()-10)))</f>
        <v/>
      </c>
    </row>
    <row r="1564" spans="1:10" x14ac:dyDescent="0.25">
      <c r="A1564" t="str">
        <f t="shared" si="24"/>
        <v/>
      </c>
      <c r="B1564" t="str">
        <f>IF($J1564="","",SUMIFS('Weekly Log'!$C:$C,'Weekly Log'!$A:$A,"&gt;="&amp;$J1564,'Weekly Log'!$A:$A,"&lt;"&amp;$J1564+7))</f>
        <v/>
      </c>
      <c r="C1564" t="str">
        <f>IF($J1564="","",IFERROR(COUNTIFS('Weekly Log'!$G:$G,"Y",'Weekly Log'!$A:$A,"&gt;="&amp;$J1564,'Weekly Log'!$A:$A,"&lt;"&amp;$J1564+7)/COUNTIFS('Weekly Log'!$G:$G,"&lt;&gt;",'Weekly Log'!$A:$A,"&gt;="&amp;$J1564,'Weekly Log'!$A:$A,"&lt;"&amp;$J1564+7),0))</f>
        <v/>
      </c>
      <c r="D1564" t="str">
        <f>IF($J1564="","",IFERROR(COUNTIFS('Weekly Log'!$H:$H,"Y",'Weekly Log'!$A:$A,"&gt;="&amp;$J1564,'Weekly Log'!$A:$A,"&lt;"&amp;$J1564+7)/COUNTIFS('Weekly Log'!$H:$H,"&lt;&gt;",'Weekly Log'!$A:$A,"&gt;="&amp;$J1564,'Weekly Log'!$A:$A,"&lt;"&amp;$J1564+7),0))</f>
        <v/>
      </c>
      <c r="E1564" t="str">
        <f>IF($J1564="","",IFERROR(AVERAGEIFS('Weekly Log'!$F:$F,'Weekly Log'!$A:$A,"&gt;="&amp;$J1564,'Weekly Log'!$A:$A,"&lt;"&amp;$J1564+7),0))</f>
        <v/>
      </c>
      <c r="F1564" t="str">
        <f>IF($J1564="","",IFERROR(SUMIFS('Weekly Log'!$F:$F,'Weekly Log'!$A:$A,"&gt;="&amp;$J1564,'Weekly Log'!$A:$A,"&lt;"&amp;$J1564+7)/SUMIFS('Weekly Log'!$E:$E,'Weekly Log'!$A:$A,"&gt;="&amp;$J1564,'Weekly Log'!$A:$A,"&lt;"&amp;$J1564+7),0))</f>
        <v/>
      </c>
      <c r="G1564" t="str">
        <f>IF($J1564="","",IFERROR(LOOKUP(2,1/(('Weekly Log'!$A$5:$A$5000&gt;=$J1564)*('Weekly Log'!$A$5:$A$5000&lt;$J1564+7)*('Weekly Log'!$M$5:$M$5000&lt;&gt;"")),'Weekly Log'!$M$5:$M$5000),0))</f>
        <v/>
      </c>
      <c r="J1564" t="str">
        <f>IF(COUNT('Weekly Log'!$A$5:$A$5000)=0,"",IF(MIN('Weekly Log'!$A$5:$A$5000)+7*(ROW()-10)&gt;MAX('Weekly Log'!$A$5:$A$5000),"",MIN('Weekly Log'!$A$5:$A$5000)+7*(ROW()-10)))</f>
        <v/>
      </c>
    </row>
    <row r="1565" spans="1:10" x14ac:dyDescent="0.25">
      <c r="A1565" t="str">
        <f t="shared" si="24"/>
        <v/>
      </c>
      <c r="B1565" t="str">
        <f>IF($J1565="","",SUMIFS('Weekly Log'!$C:$C,'Weekly Log'!$A:$A,"&gt;="&amp;$J1565,'Weekly Log'!$A:$A,"&lt;"&amp;$J1565+7))</f>
        <v/>
      </c>
      <c r="C1565" t="str">
        <f>IF($J1565="","",IFERROR(COUNTIFS('Weekly Log'!$G:$G,"Y",'Weekly Log'!$A:$A,"&gt;="&amp;$J1565,'Weekly Log'!$A:$A,"&lt;"&amp;$J1565+7)/COUNTIFS('Weekly Log'!$G:$G,"&lt;&gt;",'Weekly Log'!$A:$A,"&gt;="&amp;$J1565,'Weekly Log'!$A:$A,"&lt;"&amp;$J1565+7),0))</f>
        <v/>
      </c>
      <c r="D1565" t="str">
        <f>IF($J1565="","",IFERROR(COUNTIFS('Weekly Log'!$H:$H,"Y",'Weekly Log'!$A:$A,"&gt;="&amp;$J1565,'Weekly Log'!$A:$A,"&lt;"&amp;$J1565+7)/COUNTIFS('Weekly Log'!$H:$H,"&lt;&gt;",'Weekly Log'!$A:$A,"&gt;="&amp;$J1565,'Weekly Log'!$A:$A,"&lt;"&amp;$J1565+7),0))</f>
        <v/>
      </c>
      <c r="E1565" t="str">
        <f>IF($J1565="","",IFERROR(AVERAGEIFS('Weekly Log'!$F:$F,'Weekly Log'!$A:$A,"&gt;="&amp;$J1565,'Weekly Log'!$A:$A,"&lt;"&amp;$J1565+7),0))</f>
        <v/>
      </c>
      <c r="F1565" t="str">
        <f>IF($J1565="","",IFERROR(SUMIFS('Weekly Log'!$F:$F,'Weekly Log'!$A:$A,"&gt;="&amp;$J1565,'Weekly Log'!$A:$A,"&lt;"&amp;$J1565+7)/SUMIFS('Weekly Log'!$E:$E,'Weekly Log'!$A:$A,"&gt;="&amp;$J1565,'Weekly Log'!$A:$A,"&lt;"&amp;$J1565+7),0))</f>
        <v/>
      </c>
      <c r="G1565" t="str">
        <f>IF($J1565="","",IFERROR(LOOKUP(2,1/(('Weekly Log'!$A$5:$A$5000&gt;=$J1565)*('Weekly Log'!$A$5:$A$5000&lt;$J1565+7)*('Weekly Log'!$M$5:$M$5000&lt;&gt;"")),'Weekly Log'!$M$5:$M$5000),0))</f>
        <v/>
      </c>
      <c r="J1565" t="str">
        <f>IF(COUNT('Weekly Log'!$A$5:$A$5000)=0,"",IF(MIN('Weekly Log'!$A$5:$A$5000)+7*(ROW()-10)&gt;MAX('Weekly Log'!$A$5:$A$5000),"",MIN('Weekly Log'!$A$5:$A$5000)+7*(ROW()-10)))</f>
        <v/>
      </c>
    </row>
    <row r="1566" spans="1:10" x14ac:dyDescent="0.25">
      <c r="A1566" t="str">
        <f t="shared" si="24"/>
        <v/>
      </c>
      <c r="B1566" t="str">
        <f>IF($J1566="","",SUMIFS('Weekly Log'!$C:$C,'Weekly Log'!$A:$A,"&gt;="&amp;$J1566,'Weekly Log'!$A:$A,"&lt;"&amp;$J1566+7))</f>
        <v/>
      </c>
      <c r="C1566" t="str">
        <f>IF($J1566="","",IFERROR(COUNTIFS('Weekly Log'!$G:$G,"Y",'Weekly Log'!$A:$A,"&gt;="&amp;$J1566,'Weekly Log'!$A:$A,"&lt;"&amp;$J1566+7)/COUNTIFS('Weekly Log'!$G:$G,"&lt;&gt;",'Weekly Log'!$A:$A,"&gt;="&amp;$J1566,'Weekly Log'!$A:$A,"&lt;"&amp;$J1566+7),0))</f>
        <v/>
      </c>
      <c r="D1566" t="str">
        <f>IF($J1566="","",IFERROR(COUNTIFS('Weekly Log'!$H:$H,"Y",'Weekly Log'!$A:$A,"&gt;="&amp;$J1566,'Weekly Log'!$A:$A,"&lt;"&amp;$J1566+7)/COUNTIFS('Weekly Log'!$H:$H,"&lt;&gt;",'Weekly Log'!$A:$A,"&gt;="&amp;$J1566,'Weekly Log'!$A:$A,"&lt;"&amp;$J1566+7),0))</f>
        <v/>
      </c>
      <c r="E1566" t="str">
        <f>IF($J1566="","",IFERROR(AVERAGEIFS('Weekly Log'!$F:$F,'Weekly Log'!$A:$A,"&gt;="&amp;$J1566,'Weekly Log'!$A:$A,"&lt;"&amp;$J1566+7),0))</f>
        <v/>
      </c>
      <c r="F1566" t="str">
        <f>IF($J1566="","",IFERROR(SUMIFS('Weekly Log'!$F:$F,'Weekly Log'!$A:$A,"&gt;="&amp;$J1566,'Weekly Log'!$A:$A,"&lt;"&amp;$J1566+7)/SUMIFS('Weekly Log'!$E:$E,'Weekly Log'!$A:$A,"&gt;="&amp;$J1566,'Weekly Log'!$A:$A,"&lt;"&amp;$J1566+7),0))</f>
        <v/>
      </c>
      <c r="G1566" t="str">
        <f>IF($J1566="","",IFERROR(LOOKUP(2,1/(('Weekly Log'!$A$5:$A$5000&gt;=$J1566)*('Weekly Log'!$A$5:$A$5000&lt;$J1566+7)*('Weekly Log'!$M$5:$M$5000&lt;&gt;"")),'Weekly Log'!$M$5:$M$5000),0))</f>
        <v/>
      </c>
      <c r="J1566" t="str">
        <f>IF(COUNT('Weekly Log'!$A$5:$A$5000)=0,"",IF(MIN('Weekly Log'!$A$5:$A$5000)+7*(ROW()-10)&gt;MAX('Weekly Log'!$A$5:$A$5000),"",MIN('Weekly Log'!$A$5:$A$5000)+7*(ROW()-10)))</f>
        <v/>
      </c>
    </row>
    <row r="1567" spans="1:10" x14ac:dyDescent="0.25">
      <c r="A1567" t="str">
        <f t="shared" si="24"/>
        <v/>
      </c>
      <c r="B1567" t="str">
        <f>IF($J1567="","",SUMIFS('Weekly Log'!$C:$C,'Weekly Log'!$A:$A,"&gt;="&amp;$J1567,'Weekly Log'!$A:$A,"&lt;"&amp;$J1567+7))</f>
        <v/>
      </c>
      <c r="C1567" t="str">
        <f>IF($J1567="","",IFERROR(COUNTIFS('Weekly Log'!$G:$G,"Y",'Weekly Log'!$A:$A,"&gt;="&amp;$J1567,'Weekly Log'!$A:$A,"&lt;"&amp;$J1567+7)/COUNTIFS('Weekly Log'!$G:$G,"&lt;&gt;",'Weekly Log'!$A:$A,"&gt;="&amp;$J1567,'Weekly Log'!$A:$A,"&lt;"&amp;$J1567+7),0))</f>
        <v/>
      </c>
      <c r="D1567" t="str">
        <f>IF($J1567="","",IFERROR(COUNTIFS('Weekly Log'!$H:$H,"Y",'Weekly Log'!$A:$A,"&gt;="&amp;$J1567,'Weekly Log'!$A:$A,"&lt;"&amp;$J1567+7)/COUNTIFS('Weekly Log'!$H:$H,"&lt;&gt;",'Weekly Log'!$A:$A,"&gt;="&amp;$J1567,'Weekly Log'!$A:$A,"&lt;"&amp;$J1567+7),0))</f>
        <v/>
      </c>
      <c r="E1567" t="str">
        <f>IF($J1567="","",IFERROR(AVERAGEIFS('Weekly Log'!$F:$F,'Weekly Log'!$A:$A,"&gt;="&amp;$J1567,'Weekly Log'!$A:$A,"&lt;"&amp;$J1567+7),0))</f>
        <v/>
      </c>
      <c r="F1567" t="str">
        <f>IF($J1567="","",IFERROR(SUMIFS('Weekly Log'!$F:$F,'Weekly Log'!$A:$A,"&gt;="&amp;$J1567,'Weekly Log'!$A:$A,"&lt;"&amp;$J1567+7)/SUMIFS('Weekly Log'!$E:$E,'Weekly Log'!$A:$A,"&gt;="&amp;$J1567,'Weekly Log'!$A:$A,"&lt;"&amp;$J1567+7),0))</f>
        <v/>
      </c>
      <c r="G1567" t="str">
        <f>IF($J1567="","",IFERROR(LOOKUP(2,1/(('Weekly Log'!$A$5:$A$5000&gt;=$J1567)*('Weekly Log'!$A$5:$A$5000&lt;$J1567+7)*('Weekly Log'!$M$5:$M$5000&lt;&gt;"")),'Weekly Log'!$M$5:$M$5000),0))</f>
        <v/>
      </c>
      <c r="J1567" t="str">
        <f>IF(COUNT('Weekly Log'!$A$5:$A$5000)=0,"",IF(MIN('Weekly Log'!$A$5:$A$5000)+7*(ROW()-10)&gt;MAX('Weekly Log'!$A$5:$A$5000),"",MIN('Weekly Log'!$A$5:$A$5000)+7*(ROW()-10)))</f>
        <v/>
      </c>
    </row>
    <row r="1568" spans="1:10" x14ac:dyDescent="0.25">
      <c r="A1568" t="str">
        <f t="shared" si="24"/>
        <v/>
      </c>
      <c r="B1568" t="str">
        <f>IF($J1568="","",SUMIFS('Weekly Log'!$C:$C,'Weekly Log'!$A:$A,"&gt;="&amp;$J1568,'Weekly Log'!$A:$A,"&lt;"&amp;$J1568+7))</f>
        <v/>
      </c>
      <c r="C1568" t="str">
        <f>IF($J1568="","",IFERROR(COUNTIFS('Weekly Log'!$G:$G,"Y",'Weekly Log'!$A:$A,"&gt;="&amp;$J1568,'Weekly Log'!$A:$A,"&lt;"&amp;$J1568+7)/COUNTIFS('Weekly Log'!$G:$G,"&lt;&gt;",'Weekly Log'!$A:$A,"&gt;="&amp;$J1568,'Weekly Log'!$A:$A,"&lt;"&amp;$J1568+7),0))</f>
        <v/>
      </c>
      <c r="D1568" t="str">
        <f>IF($J1568="","",IFERROR(COUNTIFS('Weekly Log'!$H:$H,"Y",'Weekly Log'!$A:$A,"&gt;="&amp;$J1568,'Weekly Log'!$A:$A,"&lt;"&amp;$J1568+7)/COUNTIFS('Weekly Log'!$H:$H,"&lt;&gt;",'Weekly Log'!$A:$A,"&gt;="&amp;$J1568,'Weekly Log'!$A:$A,"&lt;"&amp;$J1568+7),0))</f>
        <v/>
      </c>
      <c r="E1568" t="str">
        <f>IF($J1568="","",IFERROR(AVERAGEIFS('Weekly Log'!$F:$F,'Weekly Log'!$A:$A,"&gt;="&amp;$J1568,'Weekly Log'!$A:$A,"&lt;"&amp;$J1568+7),0))</f>
        <v/>
      </c>
      <c r="F1568" t="str">
        <f>IF($J1568="","",IFERROR(SUMIFS('Weekly Log'!$F:$F,'Weekly Log'!$A:$A,"&gt;="&amp;$J1568,'Weekly Log'!$A:$A,"&lt;"&amp;$J1568+7)/SUMIFS('Weekly Log'!$E:$E,'Weekly Log'!$A:$A,"&gt;="&amp;$J1568,'Weekly Log'!$A:$A,"&lt;"&amp;$J1568+7),0))</f>
        <v/>
      </c>
      <c r="G1568" t="str">
        <f>IF($J1568="","",IFERROR(LOOKUP(2,1/(('Weekly Log'!$A$5:$A$5000&gt;=$J1568)*('Weekly Log'!$A$5:$A$5000&lt;$J1568+7)*('Weekly Log'!$M$5:$M$5000&lt;&gt;"")),'Weekly Log'!$M$5:$M$5000),0))</f>
        <v/>
      </c>
      <c r="J1568" t="str">
        <f>IF(COUNT('Weekly Log'!$A$5:$A$5000)=0,"",IF(MIN('Weekly Log'!$A$5:$A$5000)+7*(ROW()-10)&gt;MAX('Weekly Log'!$A$5:$A$5000),"",MIN('Weekly Log'!$A$5:$A$5000)+7*(ROW()-10)))</f>
        <v/>
      </c>
    </row>
    <row r="1569" spans="1:10" x14ac:dyDescent="0.25">
      <c r="A1569" t="str">
        <f t="shared" si="24"/>
        <v/>
      </c>
      <c r="B1569" t="str">
        <f>IF($J1569="","",SUMIFS('Weekly Log'!$C:$C,'Weekly Log'!$A:$A,"&gt;="&amp;$J1569,'Weekly Log'!$A:$A,"&lt;"&amp;$J1569+7))</f>
        <v/>
      </c>
      <c r="C1569" t="str">
        <f>IF($J1569="","",IFERROR(COUNTIFS('Weekly Log'!$G:$G,"Y",'Weekly Log'!$A:$A,"&gt;="&amp;$J1569,'Weekly Log'!$A:$A,"&lt;"&amp;$J1569+7)/COUNTIFS('Weekly Log'!$G:$G,"&lt;&gt;",'Weekly Log'!$A:$A,"&gt;="&amp;$J1569,'Weekly Log'!$A:$A,"&lt;"&amp;$J1569+7),0))</f>
        <v/>
      </c>
      <c r="D1569" t="str">
        <f>IF($J1569="","",IFERROR(COUNTIFS('Weekly Log'!$H:$H,"Y",'Weekly Log'!$A:$A,"&gt;="&amp;$J1569,'Weekly Log'!$A:$A,"&lt;"&amp;$J1569+7)/COUNTIFS('Weekly Log'!$H:$H,"&lt;&gt;",'Weekly Log'!$A:$A,"&gt;="&amp;$J1569,'Weekly Log'!$A:$A,"&lt;"&amp;$J1569+7),0))</f>
        <v/>
      </c>
      <c r="E1569" t="str">
        <f>IF($J1569="","",IFERROR(AVERAGEIFS('Weekly Log'!$F:$F,'Weekly Log'!$A:$A,"&gt;="&amp;$J1569,'Weekly Log'!$A:$A,"&lt;"&amp;$J1569+7),0))</f>
        <v/>
      </c>
      <c r="F1569" t="str">
        <f>IF($J1569="","",IFERROR(SUMIFS('Weekly Log'!$F:$F,'Weekly Log'!$A:$A,"&gt;="&amp;$J1569,'Weekly Log'!$A:$A,"&lt;"&amp;$J1569+7)/SUMIFS('Weekly Log'!$E:$E,'Weekly Log'!$A:$A,"&gt;="&amp;$J1569,'Weekly Log'!$A:$A,"&lt;"&amp;$J1569+7),0))</f>
        <v/>
      </c>
      <c r="G1569" t="str">
        <f>IF($J1569="","",IFERROR(LOOKUP(2,1/(('Weekly Log'!$A$5:$A$5000&gt;=$J1569)*('Weekly Log'!$A$5:$A$5000&lt;$J1569+7)*('Weekly Log'!$M$5:$M$5000&lt;&gt;"")),'Weekly Log'!$M$5:$M$5000),0))</f>
        <v/>
      </c>
      <c r="J1569" t="str">
        <f>IF(COUNT('Weekly Log'!$A$5:$A$5000)=0,"",IF(MIN('Weekly Log'!$A$5:$A$5000)+7*(ROW()-10)&gt;MAX('Weekly Log'!$A$5:$A$5000),"",MIN('Weekly Log'!$A$5:$A$5000)+7*(ROW()-10)))</f>
        <v/>
      </c>
    </row>
    <row r="1570" spans="1:10" x14ac:dyDescent="0.25">
      <c r="A1570" t="str">
        <f t="shared" si="24"/>
        <v/>
      </c>
      <c r="B1570" t="str">
        <f>IF($J1570="","",SUMIFS('Weekly Log'!$C:$C,'Weekly Log'!$A:$A,"&gt;="&amp;$J1570,'Weekly Log'!$A:$A,"&lt;"&amp;$J1570+7))</f>
        <v/>
      </c>
      <c r="C1570" t="str">
        <f>IF($J1570="","",IFERROR(COUNTIFS('Weekly Log'!$G:$G,"Y",'Weekly Log'!$A:$A,"&gt;="&amp;$J1570,'Weekly Log'!$A:$A,"&lt;"&amp;$J1570+7)/COUNTIFS('Weekly Log'!$G:$G,"&lt;&gt;",'Weekly Log'!$A:$A,"&gt;="&amp;$J1570,'Weekly Log'!$A:$A,"&lt;"&amp;$J1570+7),0))</f>
        <v/>
      </c>
      <c r="D1570" t="str">
        <f>IF($J1570="","",IFERROR(COUNTIFS('Weekly Log'!$H:$H,"Y",'Weekly Log'!$A:$A,"&gt;="&amp;$J1570,'Weekly Log'!$A:$A,"&lt;"&amp;$J1570+7)/COUNTIFS('Weekly Log'!$H:$H,"&lt;&gt;",'Weekly Log'!$A:$A,"&gt;="&amp;$J1570,'Weekly Log'!$A:$A,"&lt;"&amp;$J1570+7),0))</f>
        <v/>
      </c>
      <c r="E1570" t="str">
        <f>IF($J1570="","",IFERROR(AVERAGEIFS('Weekly Log'!$F:$F,'Weekly Log'!$A:$A,"&gt;="&amp;$J1570,'Weekly Log'!$A:$A,"&lt;"&amp;$J1570+7),0))</f>
        <v/>
      </c>
      <c r="F1570" t="str">
        <f>IF($J1570="","",IFERROR(SUMIFS('Weekly Log'!$F:$F,'Weekly Log'!$A:$A,"&gt;="&amp;$J1570,'Weekly Log'!$A:$A,"&lt;"&amp;$J1570+7)/SUMIFS('Weekly Log'!$E:$E,'Weekly Log'!$A:$A,"&gt;="&amp;$J1570,'Weekly Log'!$A:$A,"&lt;"&amp;$J1570+7),0))</f>
        <v/>
      </c>
      <c r="G1570" t="str">
        <f>IF($J1570="","",IFERROR(LOOKUP(2,1/(('Weekly Log'!$A$5:$A$5000&gt;=$J1570)*('Weekly Log'!$A$5:$A$5000&lt;$J1570+7)*('Weekly Log'!$M$5:$M$5000&lt;&gt;"")),'Weekly Log'!$M$5:$M$5000),0))</f>
        <v/>
      </c>
      <c r="J1570" t="str">
        <f>IF(COUNT('Weekly Log'!$A$5:$A$5000)=0,"",IF(MIN('Weekly Log'!$A$5:$A$5000)+7*(ROW()-10)&gt;MAX('Weekly Log'!$A$5:$A$5000),"",MIN('Weekly Log'!$A$5:$A$5000)+7*(ROW()-10)))</f>
        <v/>
      </c>
    </row>
    <row r="1571" spans="1:10" x14ac:dyDescent="0.25">
      <c r="A1571" t="str">
        <f t="shared" si="24"/>
        <v/>
      </c>
      <c r="B1571" t="str">
        <f>IF($J1571="","",SUMIFS('Weekly Log'!$C:$C,'Weekly Log'!$A:$A,"&gt;="&amp;$J1571,'Weekly Log'!$A:$A,"&lt;"&amp;$J1571+7))</f>
        <v/>
      </c>
      <c r="C1571" t="str">
        <f>IF($J1571="","",IFERROR(COUNTIFS('Weekly Log'!$G:$G,"Y",'Weekly Log'!$A:$A,"&gt;="&amp;$J1571,'Weekly Log'!$A:$A,"&lt;"&amp;$J1571+7)/COUNTIFS('Weekly Log'!$G:$G,"&lt;&gt;",'Weekly Log'!$A:$A,"&gt;="&amp;$J1571,'Weekly Log'!$A:$A,"&lt;"&amp;$J1571+7),0))</f>
        <v/>
      </c>
      <c r="D1571" t="str">
        <f>IF($J1571="","",IFERROR(COUNTIFS('Weekly Log'!$H:$H,"Y",'Weekly Log'!$A:$A,"&gt;="&amp;$J1571,'Weekly Log'!$A:$A,"&lt;"&amp;$J1571+7)/COUNTIFS('Weekly Log'!$H:$H,"&lt;&gt;",'Weekly Log'!$A:$A,"&gt;="&amp;$J1571,'Weekly Log'!$A:$A,"&lt;"&amp;$J1571+7),0))</f>
        <v/>
      </c>
      <c r="E1571" t="str">
        <f>IF($J1571="","",IFERROR(AVERAGEIFS('Weekly Log'!$F:$F,'Weekly Log'!$A:$A,"&gt;="&amp;$J1571,'Weekly Log'!$A:$A,"&lt;"&amp;$J1571+7),0))</f>
        <v/>
      </c>
      <c r="F1571" t="str">
        <f>IF($J1571="","",IFERROR(SUMIFS('Weekly Log'!$F:$F,'Weekly Log'!$A:$A,"&gt;="&amp;$J1571,'Weekly Log'!$A:$A,"&lt;"&amp;$J1571+7)/SUMIFS('Weekly Log'!$E:$E,'Weekly Log'!$A:$A,"&gt;="&amp;$J1571,'Weekly Log'!$A:$A,"&lt;"&amp;$J1571+7),0))</f>
        <v/>
      </c>
      <c r="G1571" t="str">
        <f>IF($J1571="","",IFERROR(LOOKUP(2,1/(('Weekly Log'!$A$5:$A$5000&gt;=$J1571)*('Weekly Log'!$A$5:$A$5000&lt;$J1571+7)*('Weekly Log'!$M$5:$M$5000&lt;&gt;"")),'Weekly Log'!$M$5:$M$5000),0))</f>
        <v/>
      </c>
      <c r="J1571" t="str">
        <f>IF(COUNT('Weekly Log'!$A$5:$A$5000)=0,"",IF(MIN('Weekly Log'!$A$5:$A$5000)+7*(ROW()-10)&gt;MAX('Weekly Log'!$A$5:$A$5000),"",MIN('Weekly Log'!$A$5:$A$5000)+7*(ROW()-10)))</f>
        <v/>
      </c>
    </row>
    <row r="1572" spans="1:10" x14ac:dyDescent="0.25">
      <c r="A1572" t="str">
        <f t="shared" si="24"/>
        <v/>
      </c>
      <c r="B1572" t="str">
        <f>IF($J1572="","",SUMIFS('Weekly Log'!$C:$C,'Weekly Log'!$A:$A,"&gt;="&amp;$J1572,'Weekly Log'!$A:$A,"&lt;"&amp;$J1572+7))</f>
        <v/>
      </c>
      <c r="C1572" t="str">
        <f>IF($J1572="","",IFERROR(COUNTIFS('Weekly Log'!$G:$G,"Y",'Weekly Log'!$A:$A,"&gt;="&amp;$J1572,'Weekly Log'!$A:$A,"&lt;"&amp;$J1572+7)/COUNTIFS('Weekly Log'!$G:$G,"&lt;&gt;",'Weekly Log'!$A:$A,"&gt;="&amp;$J1572,'Weekly Log'!$A:$A,"&lt;"&amp;$J1572+7),0))</f>
        <v/>
      </c>
      <c r="D1572" t="str">
        <f>IF($J1572="","",IFERROR(COUNTIFS('Weekly Log'!$H:$H,"Y",'Weekly Log'!$A:$A,"&gt;="&amp;$J1572,'Weekly Log'!$A:$A,"&lt;"&amp;$J1572+7)/COUNTIFS('Weekly Log'!$H:$H,"&lt;&gt;",'Weekly Log'!$A:$A,"&gt;="&amp;$J1572,'Weekly Log'!$A:$A,"&lt;"&amp;$J1572+7),0))</f>
        <v/>
      </c>
      <c r="E1572" t="str">
        <f>IF($J1572="","",IFERROR(AVERAGEIFS('Weekly Log'!$F:$F,'Weekly Log'!$A:$A,"&gt;="&amp;$J1572,'Weekly Log'!$A:$A,"&lt;"&amp;$J1572+7),0))</f>
        <v/>
      </c>
      <c r="F1572" t="str">
        <f>IF($J1572="","",IFERROR(SUMIFS('Weekly Log'!$F:$F,'Weekly Log'!$A:$A,"&gt;="&amp;$J1572,'Weekly Log'!$A:$A,"&lt;"&amp;$J1572+7)/SUMIFS('Weekly Log'!$E:$E,'Weekly Log'!$A:$A,"&gt;="&amp;$J1572,'Weekly Log'!$A:$A,"&lt;"&amp;$J1572+7),0))</f>
        <v/>
      </c>
      <c r="G1572" t="str">
        <f>IF($J1572="","",IFERROR(LOOKUP(2,1/(('Weekly Log'!$A$5:$A$5000&gt;=$J1572)*('Weekly Log'!$A$5:$A$5000&lt;$J1572+7)*('Weekly Log'!$M$5:$M$5000&lt;&gt;"")),'Weekly Log'!$M$5:$M$5000),0))</f>
        <v/>
      </c>
      <c r="J1572" t="str">
        <f>IF(COUNT('Weekly Log'!$A$5:$A$5000)=0,"",IF(MIN('Weekly Log'!$A$5:$A$5000)+7*(ROW()-10)&gt;MAX('Weekly Log'!$A$5:$A$5000),"",MIN('Weekly Log'!$A$5:$A$5000)+7*(ROW()-10)))</f>
        <v/>
      </c>
    </row>
    <row r="1573" spans="1:10" x14ac:dyDescent="0.25">
      <c r="A1573" t="str">
        <f t="shared" si="24"/>
        <v/>
      </c>
      <c r="B1573" t="str">
        <f>IF($J1573="","",SUMIFS('Weekly Log'!$C:$C,'Weekly Log'!$A:$A,"&gt;="&amp;$J1573,'Weekly Log'!$A:$A,"&lt;"&amp;$J1573+7))</f>
        <v/>
      </c>
      <c r="C1573" t="str">
        <f>IF($J1573="","",IFERROR(COUNTIFS('Weekly Log'!$G:$G,"Y",'Weekly Log'!$A:$A,"&gt;="&amp;$J1573,'Weekly Log'!$A:$A,"&lt;"&amp;$J1573+7)/COUNTIFS('Weekly Log'!$G:$G,"&lt;&gt;",'Weekly Log'!$A:$A,"&gt;="&amp;$J1573,'Weekly Log'!$A:$A,"&lt;"&amp;$J1573+7),0))</f>
        <v/>
      </c>
      <c r="D1573" t="str">
        <f>IF($J1573="","",IFERROR(COUNTIFS('Weekly Log'!$H:$H,"Y",'Weekly Log'!$A:$A,"&gt;="&amp;$J1573,'Weekly Log'!$A:$A,"&lt;"&amp;$J1573+7)/COUNTIFS('Weekly Log'!$H:$H,"&lt;&gt;",'Weekly Log'!$A:$A,"&gt;="&amp;$J1573,'Weekly Log'!$A:$A,"&lt;"&amp;$J1573+7),0))</f>
        <v/>
      </c>
      <c r="E1573" t="str">
        <f>IF($J1573="","",IFERROR(AVERAGEIFS('Weekly Log'!$F:$F,'Weekly Log'!$A:$A,"&gt;="&amp;$J1573,'Weekly Log'!$A:$A,"&lt;"&amp;$J1573+7),0))</f>
        <v/>
      </c>
      <c r="F1573" t="str">
        <f>IF($J1573="","",IFERROR(SUMIFS('Weekly Log'!$F:$F,'Weekly Log'!$A:$A,"&gt;="&amp;$J1573,'Weekly Log'!$A:$A,"&lt;"&amp;$J1573+7)/SUMIFS('Weekly Log'!$E:$E,'Weekly Log'!$A:$A,"&gt;="&amp;$J1573,'Weekly Log'!$A:$A,"&lt;"&amp;$J1573+7),0))</f>
        <v/>
      </c>
      <c r="G1573" t="str">
        <f>IF($J1573="","",IFERROR(LOOKUP(2,1/(('Weekly Log'!$A$5:$A$5000&gt;=$J1573)*('Weekly Log'!$A$5:$A$5000&lt;$J1573+7)*('Weekly Log'!$M$5:$M$5000&lt;&gt;"")),'Weekly Log'!$M$5:$M$5000),0))</f>
        <v/>
      </c>
      <c r="J1573" t="str">
        <f>IF(COUNT('Weekly Log'!$A$5:$A$5000)=0,"",IF(MIN('Weekly Log'!$A$5:$A$5000)+7*(ROW()-10)&gt;MAX('Weekly Log'!$A$5:$A$5000),"",MIN('Weekly Log'!$A$5:$A$5000)+7*(ROW()-10)))</f>
        <v/>
      </c>
    </row>
    <row r="1574" spans="1:10" x14ac:dyDescent="0.25">
      <c r="A1574" t="str">
        <f t="shared" si="24"/>
        <v/>
      </c>
      <c r="B1574" t="str">
        <f>IF($J1574="","",SUMIFS('Weekly Log'!$C:$C,'Weekly Log'!$A:$A,"&gt;="&amp;$J1574,'Weekly Log'!$A:$A,"&lt;"&amp;$J1574+7))</f>
        <v/>
      </c>
      <c r="C1574" t="str">
        <f>IF($J1574="","",IFERROR(COUNTIFS('Weekly Log'!$G:$G,"Y",'Weekly Log'!$A:$A,"&gt;="&amp;$J1574,'Weekly Log'!$A:$A,"&lt;"&amp;$J1574+7)/COUNTIFS('Weekly Log'!$G:$G,"&lt;&gt;",'Weekly Log'!$A:$A,"&gt;="&amp;$J1574,'Weekly Log'!$A:$A,"&lt;"&amp;$J1574+7),0))</f>
        <v/>
      </c>
      <c r="D1574" t="str">
        <f>IF($J1574="","",IFERROR(COUNTIFS('Weekly Log'!$H:$H,"Y",'Weekly Log'!$A:$A,"&gt;="&amp;$J1574,'Weekly Log'!$A:$A,"&lt;"&amp;$J1574+7)/COUNTIFS('Weekly Log'!$H:$H,"&lt;&gt;",'Weekly Log'!$A:$A,"&gt;="&amp;$J1574,'Weekly Log'!$A:$A,"&lt;"&amp;$J1574+7),0))</f>
        <v/>
      </c>
      <c r="E1574" t="str">
        <f>IF($J1574="","",IFERROR(AVERAGEIFS('Weekly Log'!$F:$F,'Weekly Log'!$A:$A,"&gt;="&amp;$J1574,'Weekly Log'!$A:$A,"&lt;"&amp;$J1574+7),0))</f>
        <v/>
      </c>
      <c r="F1574" t="str">
        <f>IF($J1574="","",IFERROR(SUMIFS('Weekly Log'!$F:$F,'Weekly Log'!$A:$A,"&gt;="&amp;$J1574,'Weekly Log'!$A:$A,"&lt;"&amp;$J1574+7)/SUMIFS('Weekly Log'!$E:$E,'Weekly Log'!$A:$A,"&gt;="&amp;$J1574,'Weekly Log'!$A:$A,"&lt;"&amp;$J1574+7),0))</f>
        <v/>
      </c>
      <c r="G1574" t="str">
        <f>IF($J1574="","",IFERROR(LOOKUP(2,1/(('Weekly Log'!$A$5:$A$5000&gt;=$J1574)*('Weekly Log'!$A$5:$A$5000&lt;$J1574+7)*('Weekly Log'!$M$5:$M$5000&lt;&gt;"")),'Weekly Log'!$M$5:$M$5000),0))</f>
        <v/>
      </c>
      <c r="J1574" t="str">
        <f>IF(COUNT('Weekly Log'!$A$5:$A$5000)=0,"",IF(MIN('Weekly Log'!$A$5:$A$5000)+7*(ROW()-10)&gt;MAX('Weekly Log'!$A$5:$A$5000),"",MIN('Weekly Log'!$A$5:$A$5000)+7*(ROW()-10)))</f>
        <v/>
      </c>
    </row>
    <row r="1575" spans="1:10" x14ac:dyDescent="0.25">
      <c r="A1575" t="str">
        <f t="shared" si="24"/>
        <v/>
      </c>
      <c r="B1575" t="str">
        <f>IF($J1575="","",SUMIFS('Weekly Log'!$C:$C,'Weekly Log'!$A:$A,"&gt;="&amp;$J1575,'Weekly Log'!$A:$A,"&lt;"&amp;$J1575+7))</f>
        <v/>
      </c>
      <c r="C1575" t="str">
        <f>IF($J1575="","",IFERROR(COUNTIFS('Weekly Log'!$G:$G,"Y",'Weekly Log'!$A:$A,"&gt;="&amp;$J1575,'Weekly Log'!$A:$A,"&lt;"&amp;$J1575+7)/COUNTIFS('Weekly Log'!$G:$G,"&lt;&gt;",'Weekly Log'!$A:$A,"&gt;="&amp;$J1575,'Weekly Log'!$A:$A,"&lt;"&amp;$J1575+7),0))</f>
        <v/>
      </c>
      <c r="D1575" t="str">
        <f>IF($J1575="","",IFERROR(COUNTIFS('Weekly Log'!$H:$H,"Y",'Weekly Log'!$A:$A,"&gt;="&amp;$J1575,'Weekly Log'!$A:$A,"&lt;"&amp;$J1575+7)/COUNTIFS('Weekly Log'!$H:$H,"&lt;&gt;",'Weekly Log'!$A:$A,"&gt;="&amp;$J1575,'Weekly Log'!$A:$A,"&lt;"&amp;$J1575+7),0))</f>
        <v/>
      </c>
      <c r="E1575" t="str">
        <f>IF($J1575="","",IFERROR(AVERAGEIFS('Weekly Log'!$F:$F,'Weekly Log'!$A:$A,"&gt;="&amp;$J1575,'Weekly Log'!$A:$A,"&lt;"&amp;$J1575+7),0))</f>
        <v/>
      </c>
      <c r="F1575" t="str">
        <f>IF($J1575="","",IFERROR(SUMIFS('Weekly Log'!$F:$F,'Weekly Log'!$A:$A,"&gt;="&amp;$J1575,'Weekly Log'!$A:$A,"&lt;"&amp;$J1575+7)/SUMIFS('Weekly Log'!$E:$E,'Weekly Log'!$A:$A,"&gt;="&amp;$J1575,'Weekly Log'!$A:$A,"&lt;"&amp;$J1575+7),0))</f>
        <v/>
      </c>
      <c r="G1575" t="str">
        <f>IF($J1575="","",IFERROR(LOOKUP(2,1/(('Weekly Log'!$A$5:$A$5000&gt;=$J1575)*('Weekly Log'!$A$5:$A$5000&lt;$J1575+7)*('Weekly Log'!$M$5:$M$5000&lt;&gt;"")),'Weekly Log'!$M$5:$M$5000),0))</f>
        <v/>
      </c>
      <c r="J1575" t="str">
        <f>IF(COUNT('Weekly Log'!$A$5:$A$5000)=0,"",IF(MIN('Weekly Log'!$A$5:$A$5000)+7*(ROW()-10)&gt;MAX('Weekly Log'!$A$5:$A$5000),"",MIN('Weekly Log'!$A$5:$A$5000)+7*(ROW()-10)))</f>
        <v/>
      </c>
    </row>
    <row r="1576" spans="1:10" x14ac:dyDescent="0.25">
      <c r="A1576" t="str">
        <f t="shared" si="24"/>
        <v/>
      </c>
      <c r="B1576" t="str">
        <f>IF($J1576="","",SUMIFS('Weekly Log'!$C:$C,'Weekly Log'!$A:$A,"&gt;="&amp;$J1576,'Weekly Log'!$A:$A,"&lt;"&amp;$J1576+7))</f>
        <v/>
      </c>
      <c r="C1576" t="str">
        <f>IF($J1576="","",IFERROR(COUNTIFS('Weekly Log'!$G:$G,"Y",'Weekly Log'!$A:$A,"&gt;="&amp;$J1576,'Weekly Log'!$A:$A,"&lt;"&amp;$J1576+7)/COUNTIFS('Weekly Log'!$G:$G,"&lt;&gt;",'Weekly Log'!$A:$A,"&gt;="&amp;$J1576,'Weekly Log'!$A:$A,"&lt;"&amp;$J1576+7),0))</f>
        <v/>
      </c>
      <c r="D1576" t="str">
        <f>IF($J1576="","",IFERROR(COUNTIFS('Weekly Log'!$H:$H,"Y",'Weekly Log'!$A:$A,"&gt;="&amp;$J1576,'Weekly Log'!$A:$A,"&lt;"&amp;$J1576+7)/COUNTIFS('Weekly Log'!$H:$H,"&lt;&gt;",'Weekly Log'!$A:$A,"&gt;="&amp;$J1576,'Weekly Log'!$A:$A,"&lt;"&amp;$J1576+7),0))</f>
        <v/>
      </c>
      <c r="E1576" t="str">
        <f>IF($J1576="","",IFERROR(AVERAGEIFS('Weekly Log'!$F:$F,'Weekly Log'!$A:$A,"&gt;="&amp;$J1576,'Weekly Log'!$A:$A,"&lt;"&amp;$J1576+7),0))</f>
        <v/>
      </c>
      <c r="F1576" t="str">
        <f>IF($J1576="","",IFERROR(SUMIFS('Weekly Log'!$F:$F,'Weekly Log'!$A:$A,"&gt;="&amp;$J1576,'Weekly Log'!$A:$A,"&lt;"&amp;$J1576+7)/SUMIFS('Weekly Log'!$E:$E,'Weekly Log'!$A:$A,"&gt;="&amp;$J1576,'Weekly Log'!$A:$A,"&lt;"&amp;$J1576+7),0))</f>
        <v/>
      </c>
      <c r="G1576" t="str">
        <f>IF($J1576="","",IFERROR(LOOKUP(2,1/(('Weekly Log'!$A$5:$A$5000&gt;=$J1576)*('Weekly Log'!$A$5:$A$5000&lt;$J1576+7)*('Weekly Log'!$M$5:$M$5000&lt;&gt;"")),'Weekly Log'!$M$5:$M$5000),0))</f>
        <v/>
      </c>
      <c r="J1576" t="str">
        <f>IF(COUNT('Weekly Log'!$A$5:$A$5000)=0,"",IF(MIN('Weekly Log'!$A$5:$A$5000)+7*(ROW()-10)&gt;MAX('Weekly Log'!$A$5:$A$5000),"",MIN('Weekly Log'!$A$5:$A$5000)+7*(ROW()-10)))</f>
        <v/>
      </c>
    </row>
    <row r="1577" spans="1:10" x14ac:dyDescent="0.25">
      <c r="A1577" t="str">
        <f t="shared" si="24"/>
        <v/>
      </c>
      <c r="B1577" t="str">
        <f>IF($J1577="","",SUMIFS('Weekly Log'!$C:$C,'Weekly Log'!$A:$A,"&gt;="&amp;$J1577,'Weekly Log'!$A:$A,"&lt;"&amp;$J1577+7))</f>
        <v/>
      </c>
      <c r="C1577" t="str">
        <f>IF($J1577="","",IFERROR(COUNTIFS('Weekly Log'!$G:$G,"Y",'Weekly Log'!$A:$A,"&gt;="&amp;$J1577,'Weekly Log'!$A:$A,"&lt;"&amp;$J1577+7)/COUNTIFS('Weekly Log'!$G:$G,"&lt;&gt;",'Weekly Log'!$A:$A,"&gt;="&amp;$J1577,'Weekly Log'!$A:$A,"&lt;"&amp;$J1577+7),0))</f>
        <v/>
      </c>
      <c r="D1577" t="str">
        <f>IF($J1577="","",IFERROR(COUNTIFS('Weekly Log'!$H:$H,"Y",'Weekly Log'!$A:$A,"&gt;="&amp;$J1577,'Weekly Log'!$A:$A,"&lt;"&amp;$J1577+7)/COUNTIFS('Weekly Log'!$H:$H,"&lt;&gt;",'Weekly Log'!$A:$A,"&gt;="&amp;$J1577,'Weekly Log'!$A:$A,"&lt;"&amp;$J1577+7),0))</f>
        <v/>
      </c>
      <c r="E1577" t="str">
        <f>IF($J1577="","",IFERROR(AVERAGEIFS('Weekly Log'!$F:$F,'Weekly Log'!$A:$A,"&gt;="&amp;$J1577,'Weekly Log'!$A:$A,"&lt;"&amp;$J1577+7),0))</f>
        <v/>
      </c>
      <c r="F1577" t="str">
        <f>IF($J1577="","",IFERROR(SUMIFS('Weekly Log'!$F:$F,'Weekly Log'!$A:$A,"&gt;="&amp;$J1577,'Weekly Log'!$A:$A,"&lt;"&amp;$J1577+7)/SUMIFS('Weekly Log'!$E:$E,'Weekly Log'!$A:$A,"&gt;="&amp;$J1577,'Weekly Log'!$A:$A,"&lt;"&amp;$J1577+7),0))</f>
        <v/>
      </c>
      <c r="G1577" t="str">
        <f>IF($J1577="","",IFERROR(LOOKUP(2,1/(('Weekly Log'!$A$5:$A$5000&gt;=$J1577)*('Weekly Log'!$A$5:$A$5000&lt;$J1577+7)*('Weekly Log'!$M$5:$M$5000&lt;&gt;"")),'Weekly Log'!$M$5:$M$5000),0))</f>
        <v/>
      </c>
      <c r="J1577" t="str">
        <f>IF(COUNT('Weekly Log'!$A$5:$A$5000)=0,"",IF(MIN('Weekly Log'!$A$5:$A$5000)+7*(ROW()-10)&gt;MAX('Weekly Log'!$A$5:$A$5000),"",MIN('Weekly Log'!$A$5:$A$5000)+7*(ROW()-10)))</f>
        <v/>
      </c>
    </row>
    <row r="1578" spans="1:10" x14ac:dyDescent="0.25">
      <c r="A1578" t="str">
        <f t="shared" si="24"/>
        <v/>
      </c>
      <c r="B1578" t="str">
        <f>IF($J1578="","",SUMIFS('Weekly Log'!$C:$C,'Weekly Log'!$A:$A,"&gt;="&amp;$J1578,'Weekly Log'!$A:$A,"&lt;"&amp;$J1578+7))</f>
        <v/>
      </c>
      <c r="C1578" t="str">
        <f>IF($J1578="","",IFERROR(COUNTIFS('Weekly Log'!$G:$G,"Y",'Weekly Log'!$A:$A,"&gt;="&amp;$J1578,'Weekly Log'!$A:$A,"&lt;"&amp;$J1578+7)/COUNTIFS('Weekly Log'!$G:$G,"&lt;&gt;",'Weekly Log'!$A:$A,"&gt;="&amp;$J1578,'Weekly Log'!$A:$A,"&lt;"&amp;$J1578+7),0))</f>
        <v/>
      </c>
      <c r="D1578" t="str">
        <f>IF($J1578="","",IFERROR(COUNTIFS('Weekly Log'!$H:$H,"Y",'Weekly Log'!$A:$A,"&gt;="&amp;$J1578,'Weekly Log'!$A:$A,"&lt;"&amp;$J1578+7)/COUNTIFS('Weekly Log'!$H:$H,"&lt;&gt;",'Weekly Log'!$A:$A,"&gt;="&amp;$J1578,'Weekly Log'!$A:$A,"&lt;"&amp;$J1578+7),0))</f>
        <v/>
      </c>
      <c r="E1578" t="str">
        <f>IF($J1578="","",IFERROR(AVERAGEIFS('Weekly Log'!$F:$F,'Weekly Log'!$A:$A,"&gt;="&amp;$J1578,'Weekly Log'!$A:$A,"&lt;"&amp;$J1578+7),0))</f>
        <v/>
      </c>
      <c r="F1578" t="str">
        <f>IF($J1578="","",IFERROR(SUMIFS('Weekly Log'!$F:$F,'Weekly Log'!$A:$A,"&gt;="&amp;$J1578,'Weekly Log'!$A:$A,"&lt;"&amp;$J1578+7)/SUMIFS('Weekly Log'!$E:$E,'Weekly Log'!$A:$A,"&gt;="&amp;$J1578,'Weekly Log'!$A:$A,"&lt;"&amp;$J1578+7),0))</f>
        <v/>
      </c>
      <c r="G1578" t="str">
        <f>IF($J1578="","",IFERROR(LOOKUP(2,1/(('Weekly Log'!$A$5:$A$5000&gt;=$J1578)*('Weekly Log'!$A$5:$A$5000&lt;$J1578+7)*('Weekly Log'!$M$5:$M$5000&lt;&gt;"")),'Weekly Log'!$M$5:$M$5000),0))</f>
        <v/>
      </c>
      <c r="J1578" t="str">
        <f>IF(COUNT('Weekly Log'!$A$5:$A$5000)=0,"",IF(MIN('Weekly Log'!$A$5:$A$5000)+7*(ROW()-10)&gt;MAX('Weekly Log'!$A$5:$A$5000),"",MIN('Weekly Log'!$A$5:$A$5000)+7*(ROW()-10)))</f>
        <v/>
      </c>
    </row>
    <row r="1579" spans="1:10" x14ac:dyDescent="0.25">
      <c r="A1579" t="str">
        <f t="shared" si="24"/>
        <v/>
      </c>
      <c r="B1579" t="str">
        <f>IF($J1579="","",SUMIFS('Weekly Log'!$C:$C,'Weekly Log'!$A:$A,"&gt;="&amp;$J1579,'Weekly Log'!$A:$A,"&lt;"&amp;$J1579+7))</f>
        <v/>
      </c>
      <c r="C1579" t="str">
        <f>IF($J1579="","",IFERROR(COUNTIFS('Weekly Log'!$G:$G,"Y",'Weekly Log'!$A:$A,"&gt;="&amp;$J1579,'Weekly Log'!$A:$A,"&lt;"&amp;$J1579+7)/COUNTIFS('Weekly Log'!$G:$G,"&lt;&gt;",'Weekly Log'!$A:$A,"&gt;="&amp;$J1579,'Weekly Log'!$A:$A,"&lt;"&amp;$J1579+7),0))</f>
        <v/>
      </c>
      <c r="D1579" t="str">
        <f>IF($J1579="","",IFERROR(COUNTIFS('Weekly Log'!$H:$H,"Y",'Weekly Log'!$A:$A,"&gt;="&amp;$J1579,'Weekly Log'!$A:$A,"&lt;"&amp;$J1579+7)/COUNTIFS('Weekly Log'!$H:$H,"&lt;&gt;",'Weekly Log'!$A:$A,"&gt;="&amp;$J1579,'Weekly Log'!$A:$A,"&lt;"&amp;$J1579+7),0))</f>
        <v/>
      </c>
      <c r="E1579" t="str">
        <f>IF($J1579="","",IFERROR(AVERAGEIFS('Weekly Log'!$F:$F,'Weekly Log'!$A:$A,"&gt;="&amp;$J1579,'Weekly Log'!$A:$A,"&lt;"&amp;$J1579+7),0))</f>
        <v/>
      </c>
      <c r="F1579" t="str">
        <f>IF($J1579="","",IFERROR(SUMIFS('Weekly Log'!$F:$F,'Weekly Log'!$A:$A,"&gt;="&amp;$J1579,'Weekly Log'!$A:$A,"&lt;"&amp;$J1579+7)/SUMIFS('Weekly Log'!$E:$E,'Weekly Log'!$A:$A,"&gt;="&amp;$J1579,'Weekly Log'!$A:$A,"&lt;"&amp;$J1579+7),0))</f>
        <v/>
      </c>
      <c r="G1579" t="str">
        <f>IF($J1579="","",IFERROR(LOOKUP(2,1/(('Weekly Log'!$A$5:$A$5000&gt;=$J1579)*('Weekly Log'!$A$5:$A$5000&lt;$J1579+7)*('Weekly Log'!$M$5:$M$5000&lt;&gt;"")),'Weekly Log'!$M$5:$M$5000),0))</f>
        <v/>
      </c>
      <c r="J1579" t="str">
        <f>IF(COUNT('Weekly Log'!$A$5:$A$5000)=0,"",IF(MIN('Weekly Log'!$A$5:$A$5000)+7*(ROW()-10)&gt;MAX('Weekly Log'!$A$5:$A$5000),"",MIN('Weekly Log'!$A$5:$A$5000)+7*(ROW()-10)))</f>
        <v/>
      </c>
    </row>
    <row r="1580" spans="1:10" x14ac:dyDescent="0.25">
      <c r="A1580" t="str">
        <f t="shared" si="24"/>
        <v/>
      </c>
      <c r="B1580" t="str">
        <f>IF($J1580="","",SUMIFS('Weekly Log'!$C:$C,'Weekly Log'!$A:$A,"&gt;="&amp;$J1580,'Weekly Log'!$A:$A,"&lt;"&amp;$J1580+7))</f>
        <v/>
      </c>
      <c r="C1580" t="str">
        <f>IF($J1580="","",IFERROR(COUNTIFS('Weekly Log'!$G:$G,"Y",'Weekly Log'!$A:$A,"&gt;="&amp;$J1580,'Weekly Log'!$A:$A,"&lt;"&amp;$J1580+7)/COUNTIFS('Weekly Log'!$G:$G,"&lt;&gt;",'Weekly Log'!$A:$A,"&gt;="&amp;$J1580,'Weekly Log'!$A:$A,"&lt;"&amp;$J1580+7),0))</f>
        <v/>
      </c>
      <c r="D1580" t="str">
        <f>IF($J1580="","",IFERROR(COUNTIFS('Weekly Log'!$H:$H,"Y",'Weekly Log'!$A:$A,"&gt;="&amp;$J1580,'Weekly Log'!$A:$A,"&lt;"&amp;$J1580+7)/COUNTIFS('Weekly Log'!$H:$H,"&lt;&gt;",'Weekly Log'!$A:$A,"&gt;="&amp;$J1580,'Weekly Log'!$A:$A,"&lt;"&amp;$J1580+7),0))</f>
        <v/>
      </c>
      <c r="E1580" t="str">
        <f>IF($J1580="","",IFERROR(AVERAGEIFS('Weekly Log'!$F:$F,'Weekly Log'!$A:$A,"&gt;="&amp;$J1580,'Weekly Log'!$A:$A,"&lt;"&amp;$J1580+7),0))</f>
        <v/>
      </c>
      <c r="F1580" t="str">
        <f>IF($J1580="","",IFERROR(SUMIFS('Weekly Log'!$F:$F,'Weekly Log'!$A:$A,"&gt;="&amp;$J1580,'Weekly Log'!$A:$A,"&lt;"&amp;$J1580+7)/SUMIFS('Weekly Log'!$E:$E,'Weekly Log'!$A:$A,"&gt;="&amp;$J1580,'Weekly Log'!$A:$A,"&lt;"&amp;$J1580+7),0))</f>
        <v/>
      </c>
      <c r="G1580" t="str">
        <f>IF($J1580="","",IFERROR(LOOKUP(2,1/(('Weekly Log'!$A$5:$A$5000&gt;=$J1580)*('Weekly Log'!$A$5:$A$5000&lt;$J1580+7)*('Weekly Log'!$M$5:$M$5000&lt;&gt;"")),'Weekly Log'!$M$5:$M$5000),0))</f>
        <v/>
      </c>
      <c r="J1580" t="str">
        <f>IF(COUNT('Weekly Log'!$A$5:$A$5000)=0,"",IF(MIN('Weekly Log'!$A$5:$A$5000)+7*(ROW()-10)&gt;MAX('Weekly Log'!$A$5:$A$5000),"",MIN('Weekly Log'!$A$5:$A$5000)+7*(ROW()-10)))</f>
        <v/>
      </c>
    </row>
    <row r="1581" spans="1:10" x14ac:dyDescent="0.25">
      <c r="A1581" t="str">
        <f t="shared" si="24"/>
        <v/>
      </c>
      <c r="B1581" t="str">
        <f>IF($J1581="","",SUMIFS('Weekly Log'!$C:$C,'Weekly Log'!$A:$A,"&gt;="&amp;$J1581,'Weekly Log'!$A:$A,"&lt;"&amp;$J1581+7))</f>
        <v/>
      </c>
      <c r="C1581" t="str">
        <f>IF($J1581="","",IFERROR(COUNTIFS('Weekly Log'!$G:$G,"Y",'Weekly Log'!$A:$A,"&gt;="&amp;$J1581,'Weekly Log'!$A:$A,"&lt;"&amp;$J1581+7)/COUNTIFS('Weekly Log'!$G:$G,"&lt;&gt;",'Weekly Log'!$A:$A,"&gt;="&amp;$J1581,'Weekly Log'!$A:$A,"&lt;"&amp;$J1581+7),0))</f>
        <v/>
      </c>
      <c r="D1581" t="str">
        <f>IF($J1581="","",IFERROR(COUNTIFS('Weekly Log'!$H:$H,"Y",'Weekly Log'!$A:$A,"&gt;="&amp;$J1581,'Weekly Log'!$A:$A,"&lt;"&amp;$J1581+7)/COUNTIFS('Weekly Log'!$H:$H,"&lt;&gt;",'Weekly Log'!$A:$A,"&gt;="&amp;$J1581,'Weekly Log'!$A:$A,"&lt;"&amp;$J1581+7),0))</f>
        <v/>
      </c>
      <c r="E1581" t="str">
        <f>IF($J1581="","",IFERROR(AVERAGEIFS('Weekly Log'!$F:$F,'Weekly Log'!$A:$A,"&gt;="&amp;$J1581,'Weekly Log'!$A:$A,"&lt;"&amp;$J1581+7),0))</f>
        <v/>
      </c>
      <c r="F1581" t="str">
        <f>IF($J1581="","",IFERROR(SUMIFS('Weekly Log'!$F:$F,'Weekly Log'!$A:$A,"&gt;="&amp;$J1581,'Weekly Log'!$A:$A,"&lt;"&amp;$J1581+7)/SUMIFS('Weekly Log'!$E:$E,'Weekly Log'!$A:$A,"&gt;="&amp;$J1581,'Weekly Log'!$A:$A,"&lt;"&amp;$J1581+7),0))</f>
        <v/>
      </c>
      <c r="G1581" t="str">
        <f>IF($J1581="","",IFERROR(LOOKUP(2,1/(('Weekly Log'!$A$5:$A$5000&gt;=$J1581)*('Weekly Log'!$A$5:$A$5000&lt;$J1581+7)*('Weekly Log'!$M$5:$M$5000&lt;&gt;"")),'Weekly Log'!$M$5:$M$5000),0))</f>
        <v/>
      </c>
      <c r="J1581" t="str">
        <f>IF(COUNT('Weekly Log'!$A$5:$A$5000)=0,"",IF(MIN('Weekly Log'!$A$5:$A$5000)+7*(ROW()-10)&gt;MAX('Weekly Log'!$A$5:$A$5000),"",MIN('Weekly Log'!$A$5:$A$5000)+7*(ROW()-10)))</f>
        <v/>
      </c>
    </row>
    <row r="1582" spans="1:10" x14ac:dyDescent="0.25">
      <c r="A1582" t="str">
        <f t="shared" si="24"/>
        <v/>
      </c>
      <c r="B1582" t="str">
        <f>IF($J1582="","",SUMIFS('Weekly Log'!$C:$C,'Weekly Log'!$A:$A,"&gt;="&amp;$J1582,'Weekly Log'!$A:$A,"&lt;"&amp;$J1582+7))</f>
        <v/>
      </c>
      <c r="C1582" t="str">
        <f>IF($J1582="","",IFERROR(COUNTIFS('Weekly Log'!$G:$G,"Y",'Weekly Log'!$A:$A,"&gt;="&amp;$J1582,'Weekly Log'!$A:$A,"&lt;"&amp;$J1582+7)/COUNTIFS('Weekly Log'!$G:$G,"&lt;&gt;",'Weekly Log'!$A:$A,"&gt;="&amp;$J1582,'Weekly Log'!$A:$A,"&lt;"&amp;$J1582+7),0))</f>
        <v/>
      </c>
      <c r="D1582" t="str">
        <f>IF($J1582="","",IFERROR(COUNTIFS('Weekly Log'!$H:$H,"Y",'Weekly Log'!$A:$A,"&gt;="&amp;$J1582,'Weekly Log'!$A:$A,"&lt;"&amp;$J1582+7)/COUNTIFS('Weekly Log'!$H:$H,"&lt;&gt;",'Weekly Log'!$A:$A,"&gt;="&amp;$J1582,'Weekly Log'!$A:$A,"&lt;"&amp;$J1582+7),0))</f>
        <v/>
      </c>
      <c r="E1582" t="str">
        <f>IF($J1582="","",IFERROR(AVERAGEIFS('Weekly Log'!$F:$F,'Weekly Log'!$A:$A,"&gt;="&amp;$J1582,'Weekly Log'!$A:$A,"&lt;"&amp;$J1582+7),0))</f>
        <v/>
      </c>
      <c r="F1582" t="str">
        <f>IF($J1582="","",IFERROR(SUMIFS('Weekly Log'!$F:$F,'Weekly Log'!$A:$A,"&gt;="&amp;$J1582,'Weekly Log'!$A:$A,"&lt;"&amp;$J1582+7)/SUMIFS('Weekly Log'!$E:$E,'Weekly Log'!$A:$A,"&gt;="&amp;$J1582,'Weekly Log'!$A:$A,"&lt;"&amp;$J1582+7),0))</f>
        <v/>
      </c>
      <c r="G1582" t="str">
        <f>IF($J1582="","",IFERROR(LOOKUP(2,1/(('Weekly Log'!$A$5:$A$5000&gt;=$J1582)*('Weekly Log'!$A$5:$A$5000&lt;$J1582+7)*('Weekly Log'!$M$5:$M$5000&lt;&gt;"")),'Weekly Log'!$M$5:$M$5000),0))</f>
        <v/>
      </c>
      <c r="J1582" t="str">
        <f>IF(COUNT('Weekly Log'!$A$5:$A$5000)=0,"",IF(MIN('Weekly Log'!$A$5:$A$5000)+7*(ROW()-10)&gt;MAX('Weekly Log'!$A$5:$A$5000),"",MIN('Weekly Log'!$A$5:$A$5000)+7*(ROW()-10)))</f>
        <v/>
      </c>
    </row>
    <row r="1583" spans="1:10" x14ac:dyDescent="0.25">
      <c r="A1583" t="str">
        <f t="shared" si="24"/>
        <v/>
      </c>
      <c r="B1583" t="str">
        <f>IF($J1583="","",SUMIFS('Weekly Log'!$C:$C,'Weekly Log'!$A:$A,"&gt;="&amp;$J1583,'Weekly Log'!$A:$A,"&lt;"&amp;$J1583+7))</f>
        <v/>
      </c>
      <c r="C1583" t="str">
        <f>IF($J1583="","",IFERROR(COUNTIFS('Weekly Log'!$G:$G,"Y",'Weekly Log'!$A:$A,"&gt;="&amp;$J1583,'Weekly Log'!$A:$A,"&lt;"&amp;$J1583+7)/COUNTIFS('Weekly Log'!$G:$G,"&lt;&gt;",'Weekly Log'!$A:$A,"&gt;="&amp;$J1583,'Weekly Log'!$A:$A,"&lt;"&amp;$J1583+7),0))</f>
        <v/>
      </c>
      <c r="D1583" t="str">
        <f>IF($J1583="","",IFERROR(COUNTIFS('Weekly Log'!$H:$H,"Y",'Weekly Log'!$A:$A,"&gt;="&amp;$J1583,'Weekly Log'!$A:$A,"&lt;"&amp;$J1583+7)/COUNTIFS('Weekly Log'!$H:$H,"&lt;&gt;",'Weekly Log'!$A:$A,"&gt;="&amp;$J1583,'Weekly Log'!$A:$A,"&lt;"&amp;$J1583+7),0))</f>
        <v/>
      </c>
      <c r="E1583" t="str">
        <f>IF($J1583="","",IFERROR(AVERAGEIFS('Weekly Log'!$F:$F,'Weekly Log'!$A:$A,"&gt;="&amp;$J1583,'Weekly Log'!$A:$A,"&lt;"&amp;$J1583+7),0))</f>
        <v/>
      </c>
      <c r="F1583" t="str">
        <f>IF($J1583="","",IFERROR(SUMIFS('Weekly Log'!$F:$F,'Weekly Log'!$A:$A,"&gt;="&amp;$J1583,'Weekly Log'!$A:$A,"&lt;"&amp;$J1583+7)/SUMIFS('Weekly Log'!$E:$E,'Weekly Log'!$A:$A,"&gt;="&amp;$J1583,'Weekly Log'!$A:$A,"&lt;"&amp;$J1583+7),0))</f>
        <v/>
      </c>
      <c r="G1583" t="str">
        <f>IF($J1583="","",IFERROR(LOOKUP(2,1/(('Weekly Log'!$A$5:$A$5000&gt;=$J1583)*('Weekly Log'!$A$5:$A$5000&lt;$J1583+7)*('Weekly Log'!$M$5:$M$5000&lt;&gt;"")),'Weekly Log'!$M$5:$M$5000),0))</f>
        <v/>
      </c>
      <c r="J1583" t="str">
        <f>IF(COUNT('Weekly Log'!$A$5:$A$5000)=0,"",IF(MIN('Weekly Log'!$A$5:$A$5000)+7*(ROW()-10)&gt;MAX('Weekly Log'!$A$5:$A$5000),"",MIN('Weekly Log'!$A$5:$A$5000)+7*(ROW()-10)))</f>
        <v/>
      </c>
    </row>
    <row r="1584" spans="1:10" x14ac:dyDescent="0.25">
      <c r="A1584" t="str">
        <f t="shared" si="24"/>
        <v/>
      </c>
      <c r="B1584" t="str">
        <f>IF($J1584="","",SUMIFS('Weekly Log'!$C:$C,'Weekly Log'!$A:$A,"&gt;="&amp;$J1584,'Weekly Log'!$A:$A,"&lt;"&amp;$J1584+7))</f>
        <v/>
      </c>
      <c r="C1584" t="str">
        <f>IF($J1584="","",IFERROR(COUNTIFS('Weekly Log'!$G:$G,"Y",'Weekly Log'!$A:$A,"&gt;="&amp;$J1584,'Weekly Log'!$A:$A,"&lt;"&amp;$J1584+7)/COUNTIFS('Weekly Log'!$G:$G,"&lt;&gt;",'Weekly Log'!$A:$A,"&gt;="&amp;$J1584,'Weekly Log'!$A:$A,"&lt;"&amp;$J1584+7),0))</f>
        <v/>
      </c>
      <c r="D1584" t="str">
        <f>IF($J1584="","",IFERROR(COUNTIFS('Weekly Log'!$H:$H,"Y",'Weekly Log'!$A:$A,"&gt;="&amp;$J1584,'Weekly Log'!$A:$A,"&lt;"&amp;$J1584+7)/COUNTIFS('Weekly Log'!$H:$H,"&lt;&gt;",'Weekly Log'!$A:$A,"&gt;="&amp;$J1584,'Weekly Log'!$A:$A,"&lt;"&amp;$J1584+7),0))</f>
        <v/>
      </c>
      <c r="E1584" t="str">
        <f>IF($J1584="","",IFERROR(AVERAGEIFS('Weekly Log'!$F:$F,'Weekly Log'!$A:$A,"&gt;="&amp;$J1584,'Weekly Log'!$A:$A,"&lt;"&amp;$J1584+7),0))</f>
        <v/>
      </c>
      <c r="F1584" t="str">
        <f>IF($J1584="","",IFERROR(SUMIFS('Weekly Log'!$F:$F,'Weekly Log'!$A:$A,"&gt;="&amp;$J1584,'Weekly Log'!$A:$A,"&lt;"&amp;$J1584+7)/SUMIFS('Weekly Log'!$E:$E,'Weekly Log'!$A:$A,"&gt;="&amp;$J1584,'Weekly Log'!$A:$A,"&lt;"&amp;$J1584+7),0))</f>
        <v/>
      </c>
      <c r="G1584" t="str">
        <f>IF($J1584="","",IFERROR(LOOKUP(2,1/(('Weekly Log'!$A$5:$A$5000&gt;=$J1584)*('Weekly Log'!$A$5:$A$5000&lt;$J1584+7)*('Weekly Log'!$M$5:$M$5000&lt;&gt;"")),'Weekly Log'!$M$5:$M$5000),0))</f>
        <v/>
      </c>
      <c r="J1584" t="str">
        <f>IF(COUNT('Weekly Log'!$A$5:$A$5000)=0,"",IF(MIN('Weekly Log'!$A$5:$A$5000)+7*(ROW()-10)&gt;MAX('Weekly Log'!$A$5:$A$5000),"",MIN('Weekly Log'!$A$5:$A$5000)+7*(ROW()-10)))</f>
        <v/>
      </c>
    </row>
    <row r="1585" spans="1:10" x14ac:dyDescent="0.25">
      <c r="A1585" t="str">
        <f t="shared" si="24"/>
        <v/>
      </c>
      <c r="B1585" t="str">
        <f>IF($J1585="","",SUMIFS('Weekly Log'!$C:$C,'Weekly Log'!$A:$A,"&gt;="&amp;$J1585,'Weekly Log'!$A:$A,"&lt;"&amp;$J1585+7))</f>
        <v/>
      </c>
      <c r="C1585" t="str">
        <f>IF($J1585="","",IFERROR(COUNTIFS('Weekly Log'!$G:$G,"Y",'Weekly Log'!$A:$A,"&gt;="&amp;$J1585,'Weekly Log'!$A:$A,"&lt;"&amp;$J1585+7)/COUNTIFS('Weekly Log'!$G:$G,"&lt;&gt;",'Weekly Log'!$A:$A,"&gt;="&amp;$J1585,'Weekly Log'!$A:$A,"&lt;"&amp;$J1585+7),0))</f>
        <v/>
      </c>
      <c r="D1585" t="str">
        <f>IF($J1585="","",IFERROR(COUNTIFS('Weekly Log'!$H:$H,"Y",'Weekly Log'!$A:$A,"&gt;="&amp;$J1585,'Weekly Log'!$A:$A,"&lt;"&amp;$J1585+7)/COUNTIFS('Weekly Log'!$H:$H,"&lt;&gt;",'Weekly Log'!$A:$A,"&gt;="&amp;$J1585,'Weekly Log'!$A:$A,"&lt;"&amp;$J1585+7),0))</f>
        <v/>
      </c>
      <c r="E1585" t="str">
        <f>IF($J1585="","",IFERROR(AVERAGEIFS('Weekly Log'!$F:$F,'Weekly Log'!$A:$A,"&gt;="&amp;$J1585,'Weekly Log'!$A:$A,"&lt;"&amp;$J1585+7),0))</f>
        <v/>
      </c>
      <c r="F1585" t="str">
        <f>IF($J1585="","",IFERROR(SUMIFS('Weekly Log'!$F:$F,'Weekly Log'!$A:$A,"&gt;="&amp;$J1585,'Weekly Log'!$A:$A,"&lt;"&amp;$J1585+7)/SUMIFS('Weekly Log'!$E:$E,'Weekly Log'!$A:$A,"&gt;="&amp;$J1585,'Weekly Log'!$A:$A,"&lt;"&amp;$J1585+7),0))</f>
        <v/>
      </c>
      <c r="G1585" t="str">
        <f>IF($J1585="","",IFERROR(LOOKUP(2,1/(('Weekly Log'!$A$5:$A$5000&gt;=$J1585)*('Weekly Log'!$A$5:$A$5000&lt;$J1585+7)*('Weekly Log'!$M$5:$M$5000&lt;&gt;"")),'Weekly Log'!$M$5:$M$5000),0))</f>
        <v/>
      </c>
      <c r="J1585" t="str">
        <f>IF(COUNT('Weekly Log'!$A$5:$A$5000)=0,"",IF(MIN('Weekly Log'!$A$5:$A$5000)+7*(ROW()-10)&gt;MAX('Weekly Log'!$A$5:$A$5000),"",MIN('Weekly Log'!$A$5:$A$5000)+7*(ROW()-10)))</f>
        <v/>
      </c>
    </row>
    <row r="1586" spans="1:10" x14ac:dyDescent="0.25">
      <c r="A1586" t="str">
        <f t="shared" si="24"/>
        <v/>
      </c>
      <c r="B1586" t="str">
        <f>IF($J1586="","",SUMIFS('Weekly Log'!$C:$C,'Weekly Log'!$A:$A,"&gt;="&amp;$J1586,'Weekly Log'!$A:$A,"&lt;"&amp;$J1586+7))</f>
        <v/>
      </c>
      <c r="C1586" t="str">
        <f>IF($J1586="","",IFERROR(COUNTIFS('Weekly Log'!$G:$G,"Y",'Weekly Log'!$A:$A,"&gt;="&amp;$J1586,'Weekly Log'!$A:$A,"&lt;"&amp;$J1586+7)/COUNTIFS('Weekly Log'!$G:$G,"&lt;&gt;",'Weekly Log'!$A:$A,"&gt;="&amp;$J1586,'Weekly Log'!$A:$A,"&lt;"&amp;$J1586+7),0))</f>
        <v/>
      </c>
      <c r="D1586" t="str">
        <f>IF($J1586="","",IFERROR(COUNTIFS('Weekly Log'!$H:$H,"Y",'Weekly Log'!$A:$A,"&gt;="&amp;$J1586,'Weekly Log'!$A:$A,"&lt;"&amp;$J1586+7)/COUNTIFS('Weekly Log'!$H:$H,"&lt;&gt;",'Weekly Log'!$A:$A,"&gt;="&amp;$J1586,'Weekly Log'!$A:$A,"&lt;"&amp;$J1586+7),0))</f>
        <v/>
      </c>
      <c r="E1586" t="str">
        <f>IF($J1586="","",IFERROR(AVERAGEIFS('Weekly Log'!$F:$F,'Weekly Log'!$A:$A,"&gt;="&amp;$J1586,'Weekly Log'!$A:$A,"&lt;"&amp;$J1586+7),0))</f>
        <v/>
      </c>
      <c r="F1586" t="str">
        <f>IF($J1586="","",IFERROR(SUMIFS('Weekly Log'!$F:$F,'Weekly Log'!$A:$A,"&gt;="&amp;$J1586,'Weekly Log'!$A:$A,"&lt;"&amp;$J1586+7)/SUMIFS('Weekly Log'!$E:$E,'Weekly Log'!$A:$A,"&gt;="&amp;$J1586,'Weekly Log'!$A:$A,"&lt;"&amp;$J1586+7),0))</f>
        <v/>
      </c>
      <c r="G1586" t="str">
        <f>IF($J1586="","",IFERROR(LOOKUP(2,1/(('Weekly Log'!$A$5:$A$5000&gt;=$J1586)*('Weekly Log'!$A$5:$A$5000&lt;$J1586+7)*('Weekly Log'!$M$5:$M$5000&lt;&gt;"")),'Weekly Log'!$M$5:$M$5000),0))</f>
        <v/>
      </c>
      <c r="J1586" t="str">
        <f>IF(COUNT('Weekly Log'!$A$5:$A$5000)=0,"",IF(MIN('Weekly Log'!$A$5:$A$5000)+7*(ROW()-10)&gt;MAX('Weekly Log'!$A$5:$A$5000),"",MIN('Weekly Log'!$A$5:$A$5000)+7*(ROW()-10)))</f>
        <v/>
      </c>
    </row>
    <row r="1587" spans="1:10" x14ac:dyDescent="0.25">
      <c r="A1587" t="str">
        <f t="shared" si="24"/>
        <v/>
      </c>
      <c r="B1587" t="str">
        <f>IF($J1587="","",SUMIFS('Weekly Log'!$C:$C,'Weekly Log'!$A:$A,"&gt;="&amp;$J1587,'Weekly Log'!$A:$A,"&lt;"&amp;$J1587+7))</f>
        <v/>
      </c>
      <c r="C1587" t="str">
        <f>IF($J1587="","",IFERROR(COUNTIFS('Weekly Log'!$G:$G,"Y",'Weekly Log'!$A:$A,"&gt;="&amp;$J1587,'Weekly Log'!$A:$A,"&lt;"&amp;$J1587+7)/COUNTIFS('Weekly Log'!$G:$G,"&lt;&gt;",'Weekly Log'!$A:$A,"&gt;="&amp;$J1587,'Weekly Log'!$A:$A,"&lt;"&amp;$J1587+7),0))</f>
        <v/>
      </c>
      <c r="D1587" t="str">
        <f>IF($J1587="","",IFERROR(COUNTIFS('Weekly Log'!$H:$H,"Y",'Weekly Log'!$A:$A,"&gt;="&amp;$J1587,'Weekly Log'!$A:$A,"&lt;"&amp;$J1587+7)/COUNTIFS('Weekly Log'!$H:$H,"&lt;&gt;",'Weekly Log'!$A:$A,"&gt;="&amp;$J1587,'Weekly Log'!$A:$A,"&lt;"&amp;$J1587+7),0))</f>
        <v/>
      </c>
      <c r="E1587" t="str">
        <f>IF($J1587="","",IFERROR(AVERAGEIFS('Weekly Log'!$F:$F,'Weekly Log'!$A:$A,"&gt;="&amp;$J1587,'Weekly Log'!$A:$A,"&lt;"&amp;$J1587+7),0))</f>
        <v/>
      </c>
      <c r="F1587" t="str">
        <f>IF($J1587="","",IFERROR(SUMIFS('Weekly Log'!$F:$F,'Weekly Log'!$A:$A,"&gt;="&amp;$J1587,'Weekly Log'!$A:$A,"&lt;"&amp;$J1587+7)/SUMIFS('Weekly Log'!$E:$E,'Weekly Log'!$A:$A,"&gt;="&amp;$J1587,'Weekly Log'!$A:$A,"&lt;"&amp;$J1587+7),0))</f>
        <v/>
      </c>
      <c r="G1587" t="str">
        <f>IF($J1587="","",IFERROR(LOOKUP(2,1/(('Weekly Log'!$A$5:$A$5000&gt;=$J1587)*('Weekly Log'!$A$5:$A$5000&lt;$J1587+7)*('Weekly Log'!$M$5:$M$5000&lt;&gt;"")),'Weekly Log'!$M$5:$M$5000),0))</f>
        <v/>
      </c>
      <c r="J1587" t="str">
        <f>IF(COUNT('Weekly Log'!$A$5:$A$5000)=0,"",IF(MIN('Weekly Log'!$A$5:$A$5000)+7*(ROW()-10)&gt;MAX('Weekly Log'!$A$5:$A$5000),"",MIN('Weekly Log'!$A$5:$A$5000)+7*(ROW()-10)))</f>
        <v/>
      </c>
    </row>
    <row r="1588" spans="1:10" x14ac:dyDescent="0.25">
      <c r="A1588" t="str">
        <f t="shared" si="24"/>
        <v/>
      </c>
      <c r="B1588" t="str">
        <f>IF($J1588="","",SUMIFS('Weekly Log'!$C:$C,'Weekly Log'!$A:$A,"&gt;="&amp;$J1588,'Weekly Log'!$A:$A,"&lt;"&amp;$J1588+7))</f>
        <v/>
      </c>
      <c r="C1588" t="str">
        <f>IF($J1588="","",IFERROR(COUNTIFS('Weekly Log'!$G:$G,"Y",'Weekly Log'!$A:$A,"&gt;="&amp;$J1588,'Weekly Log'!$A:$A,"&lt;"&amp;$J1588+7)/COUNTIFS('Weekly Log'!$G:$G,"&lt;&gt;",'Weekly Log'!$A:$A,"&gt;="&amp;$J1588,'Weekly Log'!$A:$A,"&lt;"&amp;$J1588+7),0))</f>
        <v/>
      </c>
      <c r="D1588" t="str">
        <f>IF($J1588="","",IFERROR(COUNTIFS('Weekly Log'!$H:$H,"Y",'Weekly Log'!$A:$A,"&gt;="&amp;$J1588,'Weekly Log'!$A:$A,"&lt;"&amp;$J1588+7)/COUNTIFS('Weekly Log'!$H:$H,"&lt;&gt;",'Weekly Log'!$A:$A,"&gt;="&amp;$J1588,'Weekly Log'!$A:$A,"&lt;"&amp;$J1588+7),0))</f>
        <v/>
      </c>
      <c r="E1588" t="str">
        <f>IF($J1588="","",IFERROR(AVERAGEIFS('Weekly Log'!$F:$F,'Weekly Log'!$A:$A,"&gt;="&amp;$J1588,'Weekly Log'!$A:$A,"&lt;"&amp;$J1588+7),0))</f>
        <v/>
      </c>
      <c r="F1588" t="str">
        <f>IF($J1588="","",IFERROR(SUMIFS('Weekly Log'!$F:$F,'Weekly Log'!$A:$A,"&gt;="&amp;$J1588,'Weekly Log'!$A:$A,"&lt;"&amp;$J1588+7)/SUMIFS('Weekly Log'!$E:$E,'Weekly Log'!$A:$A,"&gt;="&amp;$J1588,'Weekly Log'!$A:$A,"&lt;"&amp;$J1588+7),0))</f>
        <v/>
      </c>
      <c r="G1588" t="str">
        <f>IF($J1588="","",IFERROR(LOOKUP(2,1/(('Weekly Log'!$A$5:$A$5000&gt;=$J1588)*('Weekly Log'!$A$5:$A$5000&lt;$J1588+7)*('Weekly Log'!$M$5:$M$5000&lt;&gt;"")),'Weekly Log'!$M$5:$M$5000),0))</f>
        <v/>
      </c>
      <c r="J1588" t="str">
        <f>IF(COUNT('Weekly Log'!$A$5:$A$5000)=0,"",IF(MIN('Weekly Log'!$A$5:$A$5000)+7*(ROW()-10)&gt;MAX('Weekly Log'!$A$5:$A$5000),"",MIN('Weekly Log'!$A$5:$A$5000)+7*(ROW()-10)))</f>
        <v/>
      </c>
    </row>
    <row r="1589" spans="1:10" x14ac:dyDescent="0.25">
      <c r="A1589" t="str">
        <f t="shared" si="24"/>
        <v/>
      </c>
      <c r="B1589" t="str">
        <f>IF($J1589="","",SUMIFS('Weekly Log'!$C:$C,'Weekly Log'!$A:$A,"&gt;="&amp;$J1589,'Weekly Log'!$A:$A,"&lt;"&amp;$J1589+7))</f>
        <v/>
      </c>
      <c r="C1589" t="str">
        <f>IF($J1589="","",IFERROR(COUNTIFS('Weekly Log'!$G:$G,"Y",'Weekly Log'!$A:$A,"&gt;="&amp;$J1589,'Weekly Log'!$A:$A,"&lt;"&amp;$J1589+7)/COUNTIFS('Weekly Log'!$G:$G,"&lt;&gt;",'Weekly Log'!$A:$A,"&gt;="&amp;$J1589,'Weekly Log'!$A:$A,"&lt;"&amp;$J1589+7),0))</f>
        <v/>
      </c>
      <c r="D1589" t="str">
        <f>IF($J1589="","",IFERROR(COUNTIFS('Weekly Log'!$H:$H,"Y",'Weekly Log'!$A:$A,"&gt;="&amp;$J1589,'Weekly Log'!$A:$A,"&lt;"&amp;$J1589+7)/COUNTIFS('Weekly Log'!$H:$H,"&lt;&gt;",'Weekly Log'!$A:$A,"&gt;="&amp;$J1589,'Weekly Log'!$A:$A,"&lt;"&amp;$J1589+7),0))</f>
        <v/>
      </c>
      <c r="E1589" t="str">
        <f>IF($J1589="","",IFERROR(AVERAGEIFS('Weekly Log'!$F:$F,'Weekly Log'!$A:$A,"&gt;="&amp;$J1589,'Weekly Log'!$A:$A,"&lt;"&amp;$J1589+7),0))</f>
        <v/>
      </c>
      <c r="F1589" t="str">
        <f>IF($J1589="","",IFERROR(SUMIFS('Weekly Log'!$F:$F,'Weekly Log'!$A:$A,"&gt;="&amp;$J1589,'Weekly Log'!$A:$A,"&lt;"&amp;$J1589+7)/SUMIFS('Weekly Log'!$E:$E,'Weekly Log'!$A:$A,"&gt;="&amp;$J1589,'Weekly Log'!$A:$A,"&lt;"&amp;$J1589+7),0))</f>
        <v/>
      </c>
      <c r="G1589" t="str">
        <f>IF($J1589="","",IFERROR(LOOKUP(2,1/(('Weekly Log'!$A$5:$A$5000&gt;=$J1589)*('Weekly Log'!$A$5:$A$5000&lt;$J1589+7)*('Weekly Log'!$M$5:$M$5000&lt;&gt;"")),'Weekly Log'!$M$5:$M$5000),0))</f>
        <v/>
      </c>
      <c r="J1589" t="str">
        <f>IF(COUNT('Weekly Log'!$A$5:$A$5000)=0,"",IF(MIN('Weekly Log'!$A$5:$A$5000)+7*(ROW()-10)&gt;MAX('Weekly Log'!$A$5:$A$5000),"",MIN('Weekly Log'!$A$5:$A$5000)+7*(ROW()-10)))</f>
        <v/>
      </c>
    </row>
    <row r="1590" spans="1:10" x14ac:dyDescent="0.25">
      <c r="A1590" t="str">
        <f t="shared" si="24"/>
        <v/>
      </c>
      <c r="B1590" t="str">
        <f>IF($J1590="","",SUMIFS('Weekly Log'!$C:$C,'Weekly Log'!$A:$A,"&gt;="&amp;$J1590,'Weekly Log'!$A:$A,"&lt;"&amp;$J1590+7))</f>
        <v/>
      </c>
      <c r="C1590" t="str">
        <f>IF($J1590="","",IFERROR(COUNTIFS('Weekly Log'!$G:$G,"Y",'Weekly Log'!$A:$A,"&gt;="&amp;$J1590,'Weekly Log'!$A:$A,"&lt;"&amp;$J1590+7)/COUNTIFS('Weekly Log'!$G:$G,"&lt;&gt;",'Weekly Log'!$A:$A,"&gt;="&amp;$J1590,'Weekly Log'!$A:$A,"&lt;"&amp;$J1590+7),0))</f>
        <v/>
      </c>
      <c r="D1590" t="str">
        <f>IF($J1590="","",IFERROR(COUNTIFS('Weekly Log'!$H:$H,"Y",'Weekly Log'!$A:$A,"&gt;="&amp;$J1590,'Weekly Log'!$A:$A,"&lt;"&amp;$J1590+7)/COUNTIFS('Weekly Log'!$H:$H,"&lt;&gt;",'Weekly Log'!$A:$A,"&gt;="&amp;$J1590,'Weekly Log'!$A:$A,"&lt;"&amp;$J1590+7),0))</f>
        <v/>
      </c>
      <c r="E1590" t="str">
        <f>IF($J1590="","",IFERROR(AVERAGEIFS('Weekly Log'!$F:$F,'Weekly Log'!$A:$A,"&gt;="&amp;$J1590,'Weekly Log'!$A:$A,"&lt;"&amp;$J1590+7),0))</f>
        <v/>
      </c>
      <c r="F1590" t="str">
        <f>IF($J1590="","",IFERROR(SUMIFS('Weekly Log'!$F:$F,'Weekly Log'!$A:$A,"&gt;="&amp;$J1590,'Weekly Log'!$A:$A,"&lt;"&amp;$J1590+7)/SUMIFS('Weekly Log'!$E:$E,'Weekly Log'!$A:$A,"&gt;="&amp;$J1590,'Weekly Log'!$A:$A,"&lt;"&amp;$J1590+7),0))</f>
        <v/>
      </c>
      <c r="G1590" t="str">
        <f>IF($J1590="","",IFERROR(LOOKUP(2,1/(('Weekly Log'!$A$5:$A$5000&gt;=$J1590)*('Weekly Log'!$A$5:$A$5000&lt;$J1590+7)*('Weekly Log'!$M$5:$M$5000&lt;&gt;"")),'Weekly Log'!$M$5:$M$5000),0))</f>
        <v/>
      </c>
      <c r="J1590" t="str">
        <f>IF(COUNT('Weekly Log'!$A$5:$A$5000)=0,"",IF(MIN('Weekly Log'!$A$5:$A$5000)+7*(ROW()-10)&gt;MAX('Weekly Log'!$A$5:$A$5000),"",MIN('Weekly Log'!$A$5:$A$5000)+7*(ROW()-10)))</f>
        <v/>
      </c>
    </row>
    <row r="1591" spans="1:10" x14ac:dyDescent="0.25">
      <c r="A1591" t="str">
        <f t="shared" si="24"/>
        <v/>
      </c>
      <c r="B1591" t="str">
        <f>IF($J1591="","",SUMIFS('Weekly Log'!$C:$C,'Weekly Log'!$A:$A,"&gt;="&amp;$J1591,'Weekly Log'!$A:$A,"&lt;"&amp;$J1591+7))</f>
        <v/>
      </c>
      <c r="C1591" t="str">
        <f>IF($J1591="","",IFERROR(COUNTIFS('Weekly Log'!$G:$G,"Y",'Weekly Log'!$A:$A,"&gt;="&amp;$J1591,'Weekly Log'!$A:$A,"&lt;"&amp;$J1591+7)/COUNTIFS('Weekly Log'!$G:$G,"&lt;&gt;",'Weekly Log'!$A:$A,"&gt;="&amp;$J1591,'Weekly Log'!$A:$A,"&lt;"&amp;$J1591+7),0))</f>
        <v/>
      </c>
      <c r="D1591" t="str">
        <f>IF($J1591="","",IFERROR(COUNTIFS('Weekly Log'!$H:$H,"Y",'Weekly Log'!$A:$A,"&gt;="&amp;$J1591,'Weekly Log'!$A:$A,"&lt;"&amp;$J1591+7)/COUNTIFS('Weekly Log'!$H:$H,"&lt;&gt;",'Weekly Log'!$A:$A,"&gt;="&amp;$J1591,'Weekly Log'!$A:$A,"&lt;"&amp;$J1591+7),0))</f>
        <v/>
      </c>
      <c r="E1591" t="str">
        <f>IF($J1591="","",IFERROR(AVERAGEIFS('Weekly Log'!$F:$F,'Weekly Log'!$A:$A,"&gt;="&amp;$J1591,'Weekly Log'!$A:$A,"&lt;"&amp;$J1591+7),0))</f>
        <v/>
      </c>
      <c r="F1591" t="str">
        <f>IF($J1591="","",IFERROR(SUMIFS('Weekly Log'!$F:$F,'Weekly Log'!$A:$A,"&gt;="&amp;$J1591,'Weekly Log'!$A:$A,"&lt;"&amp;$J1591+7)/SUMIFS('Weekly Log'!$E:$E,'Weekly Log'!$A:$A,"&gt;="&amp;$J1591,'Weekly Log'!$A:$A,"&lt;"&amp;$J1591+7),0))</f>
        <v/>
      </c>
      <c r="G1591" t="str">
        <f>IF($J1591="","",IFERROR(LOOKUP(2,1/(('Weekly Log'!$A$5:$A$5000&gt;=$J1591)*('Weekly Log'!$A$5:$A$5000&lt;$J1591+7)*('Weekly Log'!$M$5:$M$5000&lt;&gt;"")),'Weekly Log'!$M$5:$M$5000),0))</f>
        <v/>
      </c>
      <c r="J1591" t="str">
        <f>IF(COUNT('Weekly Log'!$A$5:$A$5000)=0,"",IF(MIN('Weekly Log'!$A$5:$A$5000)+7*(ROW()-10)&gt;MAX('Weekly Log'!$A$5:$A$5000),"",MIN('Weekly Log'!$A$5:$A$5000)+7*(ROW()-10)))</f>
        <v/>
      </c>
    </row>
    <row r="1592" spans="1:10" x14ac:dyDescent="0.25">
      <c r="A1592" t="str">
        <f t="shared" si="24"/>
        <v/>
      </c>
      <c r="B1592" t="str">
        <f>IF($J1592="","",SUMIFS('Weekly Log'!$C:$C,'Weekly Log'!$A:$A,"&gt;="&amp;$J1592,'Weekly Log'!$A:$A,"&lt;"&amp;$J1592+7))</f>
        <v/>
      </c>
      <c r="C1592" t="str">
        <f>IF($J1592="","",IFERROR(COUNTIFS('Weekly Log'!$G:$G,"Y",'Weekly Log'!$A:$A,"&gt;="&amp;$J1592,'Weekly Log'!$A:$A,"&lt;"&amp;$J1592+7)/COUNTIFS('Weekly Log'!$G:$G,"&lt;&gt;",'Weekly Log'!$A:$A,"&gt;="&amp;$J1592,'Weekly Log'!$A:$A,"&lt;"&amp;$J1592+7),0))</f>
        <v/>
      </c>
      <c r="D1592" t="str">
        <f>IF($J1592="","",IFERROR(COUNTIFS('Weekly Log'!$H:$H,"Y",'Weekly Log'!$A:$A,"&gt;="&amp;$J1592,'Weekly Log'!$A:$A,"&lt;"&amp;$J1592+7)/COUNTIFS('Weekly Log'!$H:$H,"&lt;&gt;",'Weekly Log'!$A:$A,"&gt;="&amp;$J1592,'Weekly Log'!$A:$A,"&lt;"&amp;$J1592+7),0))</f>
        <v/>
      </c>
      <c r="E1592" t="str">
        <f>IF($J1592="","",IFERROR(AVERAGEIFS('Weekly Log'!$F:$F,'Weekly Log'!$A:$A,"&gt;="&amp;$J1592,'Weekly Log'!$A:$A,"&lt;"&amp;$J1592+7),0))</f>
        <v/>
      </c>
      <c r="F1592" t="str">
        <f>IF($J1592="","",IFERROR(SUMIFS('Weekly Log'!$F:$F,'Weekly Log'!$A:$A,"&gt;="&amp;$J1592,'Weekly Log'!$A:$A,"&lt;"&amp;$J1592+7)/SUMIFS('Weekly Log'!$E:$E,'Weekly Log'!$A:$A,"&gt;="&amp;$J1592,'Weekly Log'!$A:$A,"&lt;"&amp;$J1592+7),0))</f>
        <v/>
      </c>
      <c r="G1592" t="str">
        <f>IF($J1592="","",IFERROR(LOOKUP(2,1/(('Weekly Log'!$A$5:$A$5000&gt;=$J1592)*('Weekly Log'!$A$5:$A$5000&lt;$J1592+7)*('Weekly Log'!$M$5:$M$5000&lt;&gt;"")),'Weekly Log'!$M$5:$M$5000),0))</f>
        <v/>
      </c>
      <c r="J1592" t="str">
        <f>IF(COUNT('Weekly Log'!$A$5:$A$5000)=0,"",IF(MIN('Weekly Log'!$A$5:$A$5000)+7*(ROW()-10)&gt;MAX('Weekly Log'!$A$5:$A$5000),"",MIN('Weekly Log'!$A$5:$A$5000)+7*(ROW()-10)))</f>
        <v/>
      </c>
    </row>
    <row r="1593" spans="1:10" x14ac:dyDescent="0.25">
      <c r="A1593" t="str">
        <f t="shared" si="24"/>
        <v/>
      </c>
      <c r="B1593" t="str">
        <f>IF($J1593="","",SUMIFS('Weekly Log'!$C:$C,'Weekly Log'!$A:$A,"&gt;="&amp;$J1593,'Weekly Log'!$A:$A,"&lt;"&amp;$J1593+7))</f>
        <v/>
      </c>
      <c r="C1593" t="str">
        <f>IF($J1593="","",IFERROR(COUNTIFS('Weekly Log'!$G:$G,"Y",'Weekly Log'!$A:$A,"&gt;="&amp;$J1593,'Weekly Log'!$A:$A,"&lt;"&amp;$J1593+7)/COUNTIFS('Weekly Log'!$G:$G,"&lt;&gt;",'Weekly Log'!$A:$A,"&gt;="&amp;$J1593,'Weekly Log'!$A:$A,"&lt;"&amp;$J1593+7),0))</f>
        <v/>
      </c>
      <c r="D1593" t="str">
        <f>IF($J1593="","",IFERROR(COUNTIFS('Weekly Log'!$H:$H,"Y",'Weekly Log'!$A:$A,"&gt;="&amp;$J1593,'Weekly Log'!$A:$A,"&lt;"&amp;$J1593+7)/COUNTIFS('Weekly Log'!$H:$H,"&lt;&gt;",'Weekly Log'!$A:$A,"&gt;="&amp;$J1593,'Weekly Log'!$A:$A,"&lt;"&amp;$J1593+7),0))</f>
        <v/>
      </c>
      <c r="E1593" t="str">
        <f>IF($J1593="","",IFERROR(AVERAGEIFS('Weekly Log'!$F:$F,'Weekly Log'!$A:$A,"&gt;="&amp;$J1593,'Weekly Log'!$A:$A,"&lt;"&amp;$J1593+7),0))</f>
        <v/>
      </c>
      <c r="F1593" t="str">
        <f>IF($J1593="","",IFERROR(SUMIFS('Weekly Log'!$F:$F,'Weekly Log'!$A:$A,"&gt;="&amp;$J1593,'Weekly Log'!$A:$A,"&lt;"&amp;$J1593+7)/SUMIFS('Weekly Log'!$E:$E,'Weekly Log'!$A:$A,"&gt;="&amp;$J1593,'Weekly Log'!$A:$A,"&lt;"&amp;$J1593+7),0))</f>
        <v/>
      </c>
      <c r="G1593" t="str">
        <f>IF($J1593="","",IFERROR(LOOKUP(2,1/(('Weekly Log'!$A$5:$A$5000&gt;=$J1593)*('Weekly Log'!$A$5:$A$5000&lt;$J1593+7)*('Weekly Log'!$M$5:$M$5000&lt;&gt;"")),'Weekly Log'!$M$5:$M$5000),0))</f>
        <v/>
      </c>
      <c r="J1593" t="str">
        <f>IF(COUNT('Weekly Log'!$A$5:$A$5000)=0,"",IF(MIN('Weekly Log'!$A$5:$A$5000)+7*(ROW()-10)&gt;MAX('Weekly Log'!$A$5:$A$5000),"",MIN('Weekly Log'!$A$5:$A$5000)+7*(ROW()-10)))</f>
        <v/>
      </c>
    </row>
    <row r="1594" spans="1:10" x14ac:dyDescent="0.25">
      <c r="A1594" t="str">
        <f t="shared" si="24"/>
        <v/>
      </c>
      <c r="B1594" t="str">
        <f>IF($J1594="","",SUMIFS('Weekly Log'!$C:$C,'Weekly Log'!$A:$A,"&gt;="&amp;$J1594,'Weekly Log'!$A:$A,"&lt;"&amp;$J1594+7))</f>
        <v/>
      </c>
      <c r="C1594" t="str">
        <f>IF($J1594="","",IFERROR(COUNTIFS('Weekly Log'!$G:$G,"Y",'Weekly Log'!$A:$A,"&gt;="&amp;$J1594,'Weekly Log'!$A:$A,"&lt;"&amp;$J1594+7)/COUNTIFS('Weekly Log'!$G:$G,"&lt;&gt;",'Weekly Log'!$A:$A,"&gt;="&amp;$J1594,'Weekly Log'!$A:$A,"&lt;"&amp;$J1594+7),0))</f>
        <v/>
      </c>
      <c r="D1594" t="str">
        <f>IF($J1594="","",IFERROR(COUNTIFS('Weekly Log'!$H:$H,"Y",'Weekly Log'!$A:$A,"&gt;="&amp;$J1594,'Weekly Log'!$A:$A,"&lt;"&amp;$J1594+7)/COUNTIFS('Weekly Log'!$H:$H,"&lt;&gt;",'Weekly Log'!$A:$A,"&gt;="&amp;$J1594,'Weekly Log'!$A:$A,"&lt;"&amp;$J1594+7),0))</f>
        <v/>
      </c>
      <c r="E1594" t="str">
        <f>IF($J1594="","",IFERROR(AVERAGEIFS('Weekly Log'!$F:$F,'Weekly Log'!$A:$A,"&gt;="&amp;$J1594,'Weekly Log'!$A:$A,"&lt;"&amp;$J1594+7),0))</f>
        <v/>
      </c>
      <c r="F1594" t="str">
        <f>IF($J1594="","",IFERROR(SUMIFS('Weekly Log'!$F:$F,'Weekly Log'!$A:$A,"&gt;="&amp;$J1594,'Weekly Log'!$A:$A,"&lt;"&amp;$J1594+7)/SUMIFS('Weekly Log'!$E:$E,'Weekly Log'!$A:$A,"&gt;="&amp;$J1594,'Weekly Log'!$A:$A,"&lt;"&amp;$J1594+7),0))</f>
        <v/>
      </c>
      <c r="G1594" t="str">
        <f>IF($J1594="","",IFERROR(LOOKUP(2,1/(('Weekly Log'!$A$5:$A$5000&gt;=$J1594)*('Weekly Log'!$A$5:$A$5000&lt;$J1594+7)*('Weekly Log'!$M$5:$M$5000&lt;&gt;"")),'Weekly Log'!$M$5:$M$5000),0))</f>
        <v/>
      </c>
      <c r="J1594" t="str">
        <f>IF(COUNT('Weekly Log'!$A$5:$A$5000)=0,"",IF(MIN('Weekly Log'!$A$5:$A$5000)+7*(ROW()-10)&gt;MAX('Weekly Log'!$A$5:$A$5000),"",MIN('Weekly Log'!$A$5:$A$5000)+7*(ROW()-10)))</f>
        <v/>
      </c>
    </row>
    <row r="1595" spans="1:10" x14ac:dyDescent="0.25">
      <c r="A1595" t="str">
        <f t="shared" si="24"/>
        <v/>
      </c>
      <c r="B1595" t="str">
        <f>IF($J1595="","",SUMIFS('Weekly Log'!$C:$C,'Weekly Log'!$A:$A,"&gt;="&amp;$J1595,'Weekly Log'!$A:$A,"&lt;"&amp;$J1595+7))</f>
        <v/>
      </c>
      <c r="C1595" t="str">
        <f>IF($J1595="","",IFERROR(COUNTIFS('Weekly Log'!$G:$G,"Y",'Weekly Log'!$A:$A,"&gt;="&amp;$J1595,'Weekly Log'!$A:$A,"&lt;"&amp;$J1595+7)/COUNTIFS('Weekly Log'!$G:$G,"&lt;&gt;",'Weekly Log'!$A:$A,"&gt;="&amp;$J1595,'Weekly Log'!$A:$A,"&lt;"&amp;$J1595+7),0))</f>
        <v/>
      </c>
      <c r="D1595" t="str">
        <f>IF($J1595="","",IFERROR(COUNTIFS('Weekly Log'!$H:$H,"Y",'Weekly Log'!$A:$A,"&gt;="&amp;$J1595,'Weekly Log'!$A:$A,"&lt;"&amp;$J1595+7)/COUNTIFS('Weekly Log'!$H:$H,"&lt;&gt;",'Weekly Log'!$A:$A,"&gt;="&amp;$J1595,'Weekly Log'!$A:$A,"&lt;"&amp;$J1595+7),0))</f>
        <v/>
      </c>
      <c r="E1595" t="str">
        <f>IF($J1595="","",IFERROR(AVERAGEIFS('Weekly Log'!$F:$F,'Weekly Log'!$A:$A,"&gt;="&amp;$J1595,'Weekly Log'!$A:$A,"&lt;"&amp;$J1595+7),0))</f>
        <v/>
      </c>
      <c r="F1595" t="str">
        <f>IF($J1595="","",IFERROR(SUMIFS('Weekly Log'!$F:$F,'Weekly Log'!$A:$A,"&gt;="&amp;$J1595,'Weekly Log'!$A:$A,"&lt;"&amp;$J1595+7)/SUMIFS('Weekly Log'!$E:$E,'Weekly Log'!$A:$A,"&gt;="&amp;$J1595,'Weekly Log'!$A:$A,"&lt;"&amp;$J1595+7),0))</f>
        <v/>
      </c>
      <c r="G1595" t="str">
        <f>IF($J1595="","",IFERROR(LOOKUP(2,1/(('Weekly Log'!$A$5:$A$5000&gt;=$J1595)*('Weekly Log'!$A$5:$A$5000&lt;$J1595+7)*('Weekly Log'!$M$5:$M$5000&lt;&gt;"")),'Weekly Log'!$M$5:$M$5000),0))</f>
        <v/>
      </c>
      <c r="J1595" t="str">
        <f>IF(COUNT('Weekly Log'!$A$5:$A$5000)=0,"",IF(MIN('Weekly Log'!$A$5:$A$5000)+7*(ROW()-10)&gt;MAX('Weekly Log'!$A$5:$A$5000),"",MIN('Weekly Log'!$A$5:$A$5000)+7*(ROW()-10)))</f>
        <v/>
      </c>
    </row>
    <row r="1596" spans="1:10" x14ac:dyDescent="0.25">
      <c r="A1596" t="str">
        <f t="shared" si="24"/>
        <v/>
      </c>
      <c r="B1596" t="str">
        <f>IF($J1596="","",SUMIFS('Weekly Log'!$C:$C,'Weekly Log'!$A:$A,"&gt;="&amp;$J1596,'Weekly Log'!$A:$A,"&lt;"&amp;$J1596+7))</f>
        <v/>
      </c>
      <c r="C1596" t="str">
        <f>IF($J1596="","",IFERROR(COUNTIFS('Weekly Log'!$G:$G,"Y",'Weekly Log'!$A:$A,"&gt;="&amp;$J1596,'Weekly Log'!$A:$A,"&lt;"&amp;$J1596+7)/COUNTIFS('Weekly Log'!$G:$G,"&lt;&gt;",'Weekly Log'!$A:$A,"&gt;="&amp;$J1596,'Weekly Log'!$A:$A,"&lt;"&amp;$J1596+7),0))</f>
        <v/>
      </c>
      <c r="D1596" t="str">
        <f>IF($J1596="","",IFERROR(COUNTIFS('Weekly Log'!$H:$H,"Y",'Weekly Log'!$A:$A,"&gt;="&amp;$J1596,'Weekly Log'!$A:$A,"&lt;"&amp;$J1596+7)/COUNTIFS('Weekly Log'!$H:$H,"&lt;&gt;",'Weekly Log'!$A:$A,"&gt;="&amp;$J1596,'Weekly Log'!$A:$A,"&lt;"&amp;$J1596+7),0))</f>
        <v/>
      </c>
      <c r="E1596" t="str">
        <f>IF($J1596="","",IFERROR(AVERAGEIFS('Weekly Log'!$F:$F,'Weekly Log'!$A:$A,"&gt;="&amp;$J1596,'Weekly Log'!$A:$A,"&lt;"&amp;$J1596+7),0))</f>
        <v/>
      </c>
      <c r="F1596" t="str">
        <f>IF($J1596="","",IFERROR(SUMIFS('Weekly Log'!$F:$F,'Weekly Log'!$A:$A,"&gt;="&amp;$J1596,'Weekly Log'!$A:$A,"&lt;"&amp;$J1596+7)/SUMIFS('Weekly Log'!$E:$E,'Weekly Log'!$A:$A,"&gt;="&amp;$J1596,'Weekly Log'!$A:$A,"&lt;"&amp;$J1596+7),0))</f>
        <v/>
      </c>
      <c r="G1596" t="str">
        <f>IF($J1596="","",IFERROR(LOOKUP(2,1/(('Weekly Log'!$A$5:$A$5000&gt;=$J1596)*('Weekly Log'!$A$5:$A$5000&lt;$J1596+7)*('Weekly Log'!$M$5:$M$5000&lt;&gt;"")),'Weekly Log'!$M$5:$M$5000),0))</f>
        <v/>
      </c>
      <c r="J1596" t="str">
        <f>IF(COUNT('Weekly Log'!$A$5:$A$5000)=0,"",IF(MIN('Weekly Log'!$A$5:$A$5000)+7*(ROW()-10)&gt;MAX('Weekly Log'!$A$5:$A$5000),"",MIN('Weekly Log'!$A$5:$A$5000)+7*(ROW()-10)))</f>
        <v/>
      </c>
    </row>
    <row r="1597" spans="1:10" x14ac:dyDescent="0.25">
      <c r="A1597" t="str">
        <f t="shared" si="24"/>
        <v/>
      </c>
      <c r="B1597" t="str">
        <f>IF($J1597="","",SUMIFS('Weekly Log'!$C:$C,'Weekly Log'!$A:$A,"&gt;="&amp;$J1597,'Weekly Log'!$A:$A,"&lt;"&amp;$J1597+7))</f>
        <v/>
      </c>
      <c r="C1597" t="str">
        <f>IF($J1597="","",IFERROR(COUNTIFS('Weekly Log'!$G:$G,"Y",'Weekly Log'!$A:$A,"&gt;="&amp;$J1597,'Weekly Log'!$A:$A,"&lt;"&amp;$J1597+7)/COUNTIFS('Weekly Log'!$G:$G,"&lt;&gt;",'Weekly Log'!$A:$A,"&gt;="&amp;$J1597,'Weekly Log'!$A:$A,"&lt;"&amp;$J1597+7),0))</f>
        <v/>
      </c>
      <c r="D1597" t="str">
        <f>IF($J1597="","",IFERROR(COUNTIFS('Weekly Log'!$H:$H,"Y",'Weekly Log'!$A:$A,"&gt;="&amp;$J1597,'Weekly Log'!$A:$A,"&lt;"&amp;$J1597+7)/COUNTIFS('Weekly Log'!$H:$H,"&lt;&gt;",'Weekly Log'!$A:$A,"&gt;="&amp;$J1597,'Weekly Log'!$A:$A,"&lt;"&amp;$J1597+7),0))</f>
        <v/>
      </c>
      <c r="E1597" t="str">
        <f>IF($J1597="","",IFERROR(AVERAGEIFS('Weekly Log'!$F:$F,'Weekly Log'!$A:$A,"&gt;="&amp;$J1597,'Weekly Log'!$A:$A,"&lt;"&amp;$J1597+7),0))</f>
        <v/>
      </c>
      <c r="F1597" t="str">
        <f>IF($J1597="","",IFERROR(SUMIFS('Weekly Log'!$F:$F,'Weekly Log'!$A:$A,"&gt;="&amp;$J1597,'Weekly Log'!$A:$A,"&lt;"&amp;$J1597+7)/SUMIFS('Weekly Log'!$E:$E,'Weekly Log'!$A:$A,"&gt;="&amp;$J1597,'Weekly Log'!$A:$A,"&lt;"&amp;$J1597+7),0))</f>
        <v/>
      </c>
      <c r="G1597" t="str">
        <f>IF($J1597="","",IFERROR(LOOKUP(2,1/(('Weekly Log'!$A$5:$A$5000&gt;=$J1597)*('Weekly Log'!$A$5:$A$5000&lt;$J1597+7)*('Weekly Log'!$M$5:$M$5000&lt;&gt;"")),'Weekly Log'!$M$5:$M$5000),0))</f>
        <v/>
      </c>
      <c r="J1597" t="str">
        <f>IF(COUNT('Weekly Log'!$A$5:$A$5000)=0,"",IF(MIN('Weekly Log'!$A$5:$A$5000)+7*(ROW()-10)&gt;MAX('Weekly Log'!$A$5:$A$5000),"",MIN('Weekly Log'!$A$5:$A$5000)+7*(ROW()-10)))</f>
        <v/>
      </c>
    </row>
    <row r="1598" spans="1:10" x14ac:dyDescent="0.25">
      <c r="A1598" t="str">
        <f t="shared" si="24"/>
        <v/>
      </c>
      <c r="B1598" t="str">
        <f>IF($J1598="","",SUMIFS('Weekly Log'!$C:$C,'Weekly Log'!$A:$A,"&gt;="&amp;$J1598,'Weekly Log'!$A:$A,"&lt;"&amp;$J1598+7))</f>
        <v/>
      </c>
      <c r="C1598" t="str">
        <f>IF($J1598="","",IFERROR(COUNTIFS('Weekly Log'!$G:$G,"Y",'Weekly Log'!$A:$A,"&gt;="&amp;$J1598,'Weekly Log'!$A:$A,"&lt;"&amp;$J1598+7)/COUNTIFS('Weekly Log'!$G:$G,"&lt;&gt;",'Weekly Log'!$A:$A,"&gt;="&amp;$J1598,'Weekly Log'!$A:$A,"&lt;"&amp;$J1598+7),0))</f>
        <v/>
      </c>
      <c r="D1598" t="str">
        <f>IF($J1598="","",IFERROR(COUNTIFS('Weekly Log'!$H:$H,"Y",'Weekly Log'!$A:$A,"&gt;="&amp;$J1598,'Weekly Log'!$A:$A,"&lt;"&amp;$J1598+7)/COUNTIFS('Weekly Log'!$H:$H,"&lt;&gt;",'Weekly Log'!$A:$A,"&gt;="&amp;$J1598,'Weekly Log'!$A:$A,"&lt;"&amp;$J1598+7),0))</f>
        <v/>
      </c>
      <c r="E1598" t="str">
        <f>IF($J1598="","",IFERROR(AVERAGEIFS('Weekly Log'!$F:$F,'Weekly Log'!$A:$A,"&gt;="&amp;$J1598,'Weekly Log'!$A:$A,"&lt;"&amp;$J1598+7),0))</f>
        <v/>
      </c>
      <c r="F1598" t="str">
        <f>IF($J1598="","",IFERROR(SUMIFS('Weekly Log'!$F:$F,'Weekly Log'!$A:$A,"&gt;="&amp;$J1598,'Weekly Log'!$A:$A,"&lt;"&amp;$J1598+7)/SUMIFS('Weekly Log'!$E:$E,'Weekly Log'!$A:$A,"&gt;="&amp;$J1598,'Weekly Log'!$A:$A,"&lt;"&amp;$J1598+7),0))</f>
        <v/>
      </c>
      <c r="G1598" t="str">
        <f>IF($J1598="","",IFERROR(LOOKUP(2,1/(('Weekly Log'!$A$5:$A$5000&gt;=$J1598)*('Weekly Log'!$A$5:$A$5000&lt;$J1598+7)*('Weekly Log'!$M$5:$M$5000&lt;&gt;"")),'Weekly Log'!$M$5:$M$5000),0))</f>
        <v/>
      </c>
      <c r="J1598" t="str">
        <f>IF(COUNT('Weekly Log'!$A$5:$A$5000)=0,"",IF(MIN('Weekly Log'!$A$5:$A$5000)+7*(ROW()-10)&gt;MAX('Weekly Log'!$A$5:$A$5000),"",MIN('Weekly Log'!$A$5:$A$5000)+7*(ROW()-10)))</f>
        <v/>
      </c>
    </row>
    <row r="1599" spans="1:10" x14ac:dyDescent="0.25">
      <c r="A1599" t="str">
        <f t="shared" si="24"/>
        <v/>
      </c>
      <c r="B1599" t="str">
        <f>IF($J1599="","",SUMIFS('Weekly Log'!$C:$C,'Weekly Log'!$A:$A,"&gt;="&amp;$J1599,'Weekly Log'!$A:$A,"&lt;"&amp;$J1599+7))</f>
        <v/>
      </c>
      <c r="C1599" t="str">
        <f>IF($J1599="","",IFERROR(COUNTIFS('Weekly Log'!$G:$G,"Y",'Weekly Log'!$A:$A,"&gt;="&amp;$J1599,'Weekly Log'!$A:$A,"&lt;"&amp;$J1599+7)/COUNTIFS('Weekly Log'!$G:$G,"&lt;&gt;",'Weekly Log'!$A:$A,"&gt;="&amp;$J1599,'Weekly Log'!$A:$A,"&lt;"&amp;$J1599+7),0))</f>
        <v/>
      </c>
      <c r="D1599" t="str">
        <f>IF($J1599="","",IFERROR(COUNTIFS('Weekly Log'!$H:$H,"Y",'Weekly Log'!$A:$A,"&gt;="&amp;$J1599,'Weekly Log'!$A:$A,"&lt;"&amp;$J1599+7)/COUNTIFS('Weekly Log'!$H:$H,"&lt;&gt;",'Weekly Log'!$A:$A,"&gt;="&amp;$J1599,'Weekly Log'!$A:$A,"&lt;"&amp;$J1599+7),0))</f>
        <v/>
      </c>
      <c r="E1599" t="str">
        <f>IF($J1599="","",IFERROR(AVERAGEIFS('Weekly Log'!$F:$F,'Weekly Log'!$A:$A,"&gt;="&amp;$J1599,'Weekly Log'!$A:$A,"&lt;"&amp;$J1599+7),0))</f>
        <v/>
      </c>
      <c r="F1599" t="str">
        <f>IF($J1599="","",IFERROR(SUMIFS('Weekly Log'!$F:$F,'Weekly Log'!$A:$A,"&gt;="&amp;$J1599,'Weekly Log'!$A:$A,"&lt;"&amp;$J1599+7)/SUMIFS('Weekly Log'!$E:$E,'Weekly Log'!$A:$A,"&gt;="&amp;$J1599,'Weekly Log'!$A:$A,"&lt;"&amp;$J1599+7),0))</f>
        <v/>
      </c>
      <c r="G1599" t="str">
        <f>IF($J1599="","",IFERROR(LOOKUP(2,1/(('Weekly Log'!$A$5:$A$5000&gt;=$J1599)*('Weekly Log'!$A$5:$A$5000&lt;$J1599+7)*('Weekly Log'!$M$5:$M$5000&lt;&gt;"")),'Weekly Log'!$M$5:$M$5000),0))</f>
        <v/>
      </c>
      <c r="J1599" t="str">
        <f>IF(COUNT('Weekly Log'!$A$5:$A$5000)=0,"",IF(MIN('Weekly Log'!$A$5:$A$5000)+7*(ROW()-10)&gt;MAX('Weekly Log'!$A$5:$A$5000),"",MIN('Weekly Log'!$A$5:$A$5000)+7*(ROW()-10)))</f>
        <v/>
      </c>
    </row>
    <row r="1600" spans="1:10" x14ac:dyDescent="0.25">
      <c r="A1600" t="str">
        <f t="shared" si="24"/>
        <v/>
      </c>
      <c r="B1600" t="str">
        <f>IF($J1600="","",SUMIFS('Weekly Log'!$C:$C,'Weekly Log'!$A:$A,"&gt;="&amp;$J1600,'Weekly Log'!$A:$A,"&lt;"&amp;$J1600+7))</f>
        <v/>
      </c>
      <c r="C1600" t="str">
        <f>IF($J1600="","",IFERROR(COUNTIFS('Weekly Log'!$G:$G,"Y",'Weekly Log'!$A:$A,"&gt;="&amp;$J1600,'Weekly Log'!$A:$A,"&lt;"&amp;$J1600+7)/COUNTIFS('Weekly Log'!$G:$G,"&lt;&gt;",'Weekly Log'!$A:$A,"&gt;="&amp;$J1600,'Weekly Log'!$A:$A,"&lt;"&amp;$J1600+7),0))</f>
        <v/>
      </c>
      <c r="D1600" t="str">
        <f>IF($J1600="","",IFERROR(COUNTIFS('Weekly Log'!$H:$H,"Y",'Weekly Log'!$A:$A,"&gt;="&amp;$J1600,'Weekly Log'!$A:$A,"&lt;"&amp;$J1600+7)/COUNTIFS('Weekly Log'!$H:$H,"&lt;&gt;",'Weekly Log'!$A:$A,"&gt;="&amp;$J1600,'Weekly Log'!$A:$A,"&lt;"&amp;$J1600+7),0))</f>
        <v/>
      </c>
      <c r="E1600" t="str">
        <f>IF($J1600="","",IFERROR(AVERAGEIFS('Weekly Log'!$F:$F,'Weekly Log'!$A:$A,"&gt;="&amp;$J1600,'Weekly Log'!$A:$A,"&lt;"&amp;$J1600+7),0))</f>
        <v/>
      </c>
      <c r="F1600" t="str">
        <f>IF($J1600="","",IFERROR(SUMIFS('Weekly Log'!$F:$F,'Weekly Log'!$A:$A,"&gt;="&amp;$J1600,'Weekly Log'!$A:$A,"&lt;"&amp;$J1600+7)/SUMIFS('Weekly Log'!$E:$E,'Weekly Log'!$A:$A,"&gt;="&amp;$J1600,'Weekly Log'!$A:$A,"&lt;"&amp;$J1600+7),0))</f>
        <v/>
      </c>
      <c r="G1600" t="str">
        <f>IF($J1600="","",IFERROR(LOOKUP(2,1/(('Weekly Log'!$A$5:$A$5000&gt;=$J1600)*('Weekly Log'!$A$5:$A$5000&lt;$J1600+7)*('Weekly Log'!$M$5:$M$5000&lt;&gt;"")),'Weekly Log'!$M$5:$M$5000),0))</f>
        <v/>
      </c>
      <c r="J1600" t="str">
        <f>IF(COUNT('Weekly Log'!$A$5:$A$5000)=0,"",IF(MIN('Weekly Log'!$A$5:$A$5000)+7*(ROW()-10)&gt;MAX('Weekly Log'!$A$5:$A$5000),"",MIN('Weekly Log'!$A$5:$A$5000)+7*(ROW()-10)))</f>
        <v/>
      </c>
    </row>
    <row r="1601" spans="1:10" x14ac:dyDescent="0.25">
      <c r="A1601" t="str">
        <f t="shared" si="24"/>
        <v/>
      </c>
      <c r="B1601" t="str">
        <f>IF($J1601="","",SUMIFS('Weekly Log'!$C:$C,'Weekly Log'!$A:$A,"&gt;="&amp;$J1601,'Weekly Log'!$A:$A,"&lt;"&amp;$J1601+7))</f>
        <v/>
      </c>
      <c r="C1601" t="str">
        <f>IF($J1601="","",IFERROR(COUNTIFS('Weekly Log'!$G:$G,"Y",'Weekly Log'!$A:$A,"&gt;="&amp;$J1601,'Weekly Log'!$A:$A,"&lt;"&amp;$J1601+7)/COUNTIFS('Weekly Log'!$G:$G,"&lt;&gt;",'Weekly Log'!$A:$A,"&gt;="&amp;$J1601,'Weekly Log'!$A:$A,"&lt;"&amp;$J1601+7),0))</f>
        <v/>
      </c>
      <c r="D1601" t="str">
        <f>IF($J1601="","",IFERROR(COUNTIFS('Weekly Log'!$H:$H,"Y",'Weekly Log'!$A:$A,"&gt;="&amp;$J1601,'Weekly Log'!$A:$A,"&lt;"&amp;$J1601+7)/COUNTIFS('Weekly Log'!$H:$H,"&lt;&gt;",'Weekly Log'!$A:$A,"&gt;="&amp;$J1601,'Weekly Log'!$A:$A,"&lt;"&amp;$J1601+7),0))</f>
        <v/>
      </c>
      <c r="E1601" t="str">
        <f>IF($J1601="","",IFERROR(AVERAGEIFS('Weekly Log'!$F:$F,'Weekly Log'!$A:$A,"&gt;="&amp;$J1601,'Weekly Log'!$A:$A,"&lt;"&amp;$J1601+7),0))</f>
        <v/>
      </c>
      <c r="F1601" t="str">
        <f>IF($J1601="","",IFERROR(SUMIFS('Weekly Log'!$F:$F,'Weekly Log'!$A:$A,"&gt;="&amp;$J1601,'Weekly Log'!$A:$A,"&lt;"&amp;$J1601+7)/SUMIFS('Weekly Log'!$E:$E,'Weekly Log'!$A:$A,"&gt;="&amp;$J1601,'Weekly Log'!$A:$A,"&lt;"&amp;$J1601+7),0))</f>
        <v/>
      </c>
      <c r="G1601" t="str">
        <f>IF($J1601="","",IFERROR(LOOKUP(2,1/(('Weekly Log'!$A$5:$A$5000&gt;=$J1601)*('Weekly Log'!$A$5:$A$5000&lt;$J1601+7)*('Weekly Log'!$M$5:$M$5000&lt;&gt;"")),'Weekly Log'!$M$5:$M$5000),0))</f>
        <v/>
      </c>
      <c r="J1601" t="str">
        <f>IF(COUNT('Weekly Log'!$A$5:$A$5000)=0,"",IF(MIN('Weekly Log'!$A$5:$A$5000)+7*(ROW()-10)&gt;MAX('Weekly Log'!$A$5:$A$5000),"",MIN('Weekly Log'!$A$5:$A$5000)+7*(ROW()-10)))</f>
        <v/>
      </c>
    </row>
    <row r="1602" spans="1:10" x14ac:dyDescent="0.25">
      <c r="A1602" t="str">
        <f t="shared" si="24"/>
        <v/>
      </c>
      <c r="B1602" t="str">
        <f>IF($J1602="","",SUMIFS('Weekly Log'!$C:$C,'Weekly Log'!$A:$A,"&gt;="&amp;$J1602,'Weekly Log'!$A:$A,"&lt;"&amp;$J1602+7))</f>
        <v/>
      </c>
      <c r="C1602" t="str">
        <f>IF($J1602="","",IFERROR(COUNTIFS('Weekly Log'!$G:$G,"Y",'Weekly Log'!$A:$A,"&gt;="&amp;$J1602,'Weekly Log'!$A:$A,"&lt;"&amp;$J1602+7)/COUNTIFS('Weekly Log'!$G:$G,"&lt;&gt;",'Weekly Log'!$A:$A,"&gt;="&amp;$J1602,'Weekly Log'!$A:$A,"&lt;"&amp;$J1602+7),0))</f>
        <v/>
      </c>
      <c r="D1602" t="str">
        <f>IF($J1602="","",IFERROR(COUNTIFS('Weekly Log'!$H:$H,"Y",'Weekly Log'!$A:$A,"&gt;="&amp;$J1602,'Weekly Log'!$A:$A,"&lt;"&amp;$J1602+7)/COUNTIFS('Weekly Log'!$H:$H,"&lt;&gt;",'Weekly Log'!$A:$A,"&gt;="&amp;$J1602,'Weekly Log'!$A:$A,"&lt;"&amp;$J1602+7),0))</f>
        <v/>
      </c>
      <c r="E1602" t="str">
        <f>IF($J1602="","",IFERROR(AVERAGEIFS('Weekly Log'!$F:$F,'Weekly Log'!$A:$A,"&gt;="&amp;$J1602,'Weekly Log'!$A:$A,"&lt;"&amp;$J1602+7),0))</f>
        <v/>
      </c>
      <c r="F1602" t="str">
        <f>IF($J1602="","",IFERROR(SUMIFS('Weekly Log'!$F:$F,'Weekly Log'!$A:$A,"&gt;="&amp;$J1602,'Weekly Log'!$A:$A,"&lt;"&amp;$J1602+7)/SUMIFS('Weekly Log'!$E:$E,'Weekly Log'!$A:$A,"&gt;="&amp;$J1602,'Weekly Log'!$A:$A,"&lt;"&amp;$J1602+7),0))</f>
        <v/>
      </c>
      <c r="G1602" t="str">
        <f>IF($J1602="","",IFERROR(LOOKUP(2,1/(('Weekly Log'!$A$5:$A$5000&gt;=$J1602)*('Weekly Log'!$A$5:$A$5000&lt;$J1602+7)*('Weekly Log'!$M$5:$M$5000&lt;&gt;"")),'Weekly Log'!$M$5:$M$5000),0))</f>
        <v/>
      </c>
      <c r="J1602" t="str">
        <f>IF(COUNT('Weekly Log'!$A$5:$A$5000)=0,"",IF(MIN('Weekly Log'!$A$5:$A$5000)+7*(ROW()-10)&gt;MAX('Weekly Log'!$A$5:$A$5000),"",MIN('Weekly Log'!$A$5:$A$5000)+7*(ROW()-10)))</f>
        <v/>
      </c>
    </row>
    <row r="1603" spans="1:10" x14ac:dyDescent="0.25">
      <c r="A1603" t="str">
        <f t="shared" si="24"/>
        <v/>
      </c>
      <c r="B1603" t="str">
        <f>IF($J1603="","",SUMIFS('Weekly Log'!$C:$C,'Weekly Log'!$A:$A,"&gt;="&amp;$J1603,'Weekly Log'!$A:$A,"&lt;"&amp;$J1603+7))</f>
        <v/>
      </c>
      <c r="C1603" t="str">
        <f>IF($J1603="","",IFERROR(COUNTIFS('Weekly Log'!$G:$G,"Y",'Weekly Log'!$A:$A,"&gt;="&amp;$J1603,'Weekly Log'!$A:$A,"&lt;"&amp;$J1603+7)/COUNTIFS('Weekly Log'!$G:$G,"&lt;&gt;",'Weekly Log'!$A:$A,"&gt;="&amp;$J1603,'Weekly Log'!$A:$A,"&lt;"&amp;$J1603+7),0))</f>
        <v/>
      </c>
      <c r="D1603" t="str">
        <f>IF($J1603="","",IFERROR(COUNTIFS('Weekly Log'!$H:$H,"Y",'Weekly Log'!$A:$A,"&gt;="&amp;$J1603,'Weekly Log'!$A:$A,"&lt;"&amp;$J1603+7)/COUNTIFS('Weekly Log'!$H:$H,"&lt;&gt;",'Weekly Log'!$A:$A,"&gt;="&amp;$J1603,'Weekly Log'!$A:$A,"&lt;"&amp;$J1603+7),0))</f>
        <v/>
      </c>
      <c r="E1603" t="str">
        <f>IF($J1603="","",IFERROR(AVERAGEIFS('Weekly Log'!$F:$F,'Weekly Log'!$A:$A,"&gt;="&amp;$J1603,'Weekly Log'!$A:$A,"&lt;"&amp;$J1603+7),0))</f>
        <v/>
      </c>
      <c r="F1603" t="str">
        <f>IF($J1603="","",IFERROR(SUMIFS('Weekly Log'!$F:$F,'Weekly Log'!$A:$A,"&gt;="&amp;$J1603,'Weekly Log'!$A:$A,"&lt;"&amp;$J1603+7)/SUMIFS('Weekly Log'!$E:$E,'Weekly Log'!$A:$A,"&gt;="&amp;$J1603,'Weekly Log'!$A:$A,"&lt;"&amp;$J1603+7),0))</f>
        <v/>
      </c>
      <c r="G1603" t="str">
        <f>IF($J1603="","",IFERROR(LOOKUP(2,1/(('Weekly Log'!$A$5:$A$5000&gt;=$J1603)*('Weekly Log'!$A$5:$A$5000&lt;$J1603+7)*('Weekly Log'!$M$5:$M$5000&lt;&gt;"")),'Weekly Log'!$M$5:$M$5000),0))</f>
        <v/>
      </c>
      <c r="J1603" t="str">
        <f>IF(COUNT('Weekly Log'!$A$5:$A$5000)=0,"",IF(MIN('Weekly Log'!$A$5:$A$5000)+7*(ROW()-10)&gt;MAX('Weekly Log'!$A$5:$A$5000),"",MIN('Weekly Log'!$A$5:$A$5000)+7*(ROW()-10)))</f>
        <v/>
      </c>
    </row>
    <row r="1604" spans="1:10" x14ac:dyDescent="0.25">
      <c r="A1604" t="str">
        <f t="shared" si="24"/>
        <v/>
      </c>
      <c r="B1604" t="str">
        <f>IF($J1604="","",SUMIFS('Weekly Log'!$C:$C,'Weekly Log'!$A:$A,"&gt;="&amp;$J1604,'Weekly Log'!$A:$A,"&lt;"&amp;$J1604+7))</f>
        <v/>
      </c>
      <c r="C1604" t="str">
        <f>IF($J1604="","",IFERROR(COUNTIFS('Weekly Log'!$G:$G,"Y",'Weekly Log'!$A:$A,"&gt;="&amp;$J1604,'Weekly Log'!$A:$A,"&lt;"&amp;$J1604+7)/COUNTIFS('Weekly Log'!$G:$G,"&lt;&gt;",'Weekly Log'!$A:$A,"&gt;="&amp;$J1604,'Weekly Log'!$A:$A,"&lt;"&amp;$J1604+7),0))</f>
        <v/>
      </c>
      <c r="D1604" t="str">
        <f>IF($J1604="","",IFERROR(COUNTIFS('Weekly Log'!$H:$H,"Y",'Weekly Log'!$A:$A,"&gt;="&amp;$J1604,'Weekly Log'!$A:$A,"&lt;"&amp;$J1604+7)/COUNTIFS('Weekly Log'!$H:$H,"&lt;&gt;",'Weekly Log'!$A:$A,"&gt;="&amp;$J1604,'Weekly Log'!$A:$A,"&lt;"&amp;$J1604+7),0))</f>
        <v/>
      </c>
      <c r="E1604" t="str">
        <f>IF($J1604="","",IFERROR(AVERAGEIFS('Weekly Log'!$F:$F,'Weekly Log'!$A:$A,"&gt;="&amp;$J1604,'Weekly Log'!$A:$A,"&lt;"&amp;$J1604+7),0))</f>
        <v/>
      </c>
      <c r="F1604" t="str">
        <f>IF($J1604="","",IFERROR(SUMIFS('Weekly Log'!$F:$F,'Weekly Log'!$A:$A,"&gt;="&amp;$J1604,'Weekly Log'!$A:$A,"&lt;"&amp;$J1604+7)/SUMIFS('Weekly Log'!$E:$E,'Weekly Log'!$A:$A,"&gt;="&amp;$J1604,'Weekly Log'!$A:$A,"&lt;"&amp;$J1604+7),0))</f>
        <v/>
      </c>
      <c r="G1604" t="str">
        <f>IF($J1604="","",IFERROR(LOOKUP(2,1/(('Weekly Log'!$A$5:$A$5000&gt;=$J1604)*('Weekly Log'!$A$5:$A$5000&lt;$J1604+7)*('Weekly Log'!$M$5:$M$5000&lt;&gt;"")),'Weekly Log'!$M$5:$M$5000),0))</f>
        <v/>
      </c>
      <c r="J1604" t="str">
        <f>IF(COUNT('Weekly Log'!$A$5:$A$5000)=0,"",IF(MIN('Weekly Log'!$A$5:$A$5000)+7*(ROW()-10)&gt;MAX('Weekly Log'!$A$5:$A$5000),"",MIN('Weekly Log'!$A$5:$A$5000)+7*(ROW()-10)))</f>
        <v/>
      </c>
    </row>
    <row r="1605" spans="1:10" x14ac:dyDescent="0.25">
      <c r="A1605" t="str">
        <f t="shared" si="24"/>
        <v/>
      </c>
      <c r="B1605" t="str">
        <f>IF($J1605="","",SUMIFS('Weekly Log'!$C:$C,'Weekly Log'!$A:$A,"&gt;="&amp;$J1605,'Weekly Log'!$A:$A,"&lt;"&amp;$J1605+7))</f>
        <v/>
      </c>
      <c r="C1605" t="str">
        <f>IF($J1605="","",IFERROR(COUNTIFS('Weekly Log'!$G:$G,"Y",'Weekly Log'!$A:$A,"&gt;="&amp;$J1605,'Weekly Log'!$A:$A,"&lt;"&amp;$J1605+7)/COUNTIFS('Weekly Log'!$G:$G,"&lt;&gt;",'Weekly Log'!$A:$A,"&gt;="&amp;$J1605,'Weekly Log'!$A:$A,"&lt;"&amp;$J1605+7),0))</f>
        <v/>
      </c>
      <c r="D1605" t="str">
        <f>IF($J1605="","",IFERROR(COUNTIFS('Weekly Log'!$H:$H,"Y",'Weekly Log'!$A:$A,"&gt;="&amp;$J1605,'Weekly Log'!$A:$A,"&lt;"&amp;$J1605+7)/COUNTIFS('Weekly Log'!$H:$H,"&lt;&gt;",'Weekly Log'!$A:$A,"&gt;="&amp;$J1605,'Weekly Log'!$A:$A,"&lt;"&amp;$J1605+7),0))</f>
        <v/>
      </c>
      <c r="E1605" t="str">
        <f>IF($J1605="","",IFERROR(AVERAGEIFS('Weekly Log'!$F:$F,'Weekly Log'!$A:$A,"&gt;="&amp;$J1605,'Weekly Log'!$A:$A,"&lt;"&amp;$J1605+7),0))</f>
        <v/>
      </c>
      <c r="F1605" t="str">
        <f>IF($J1605="","",IFERROR(SUMIFS('Weekly Log'!$F:$F,'Weekly Log'!$A:$A,"&gt;="&amp;$J1605,'Weekly Log'!$A:$A,"&lt;"&amp;$J1605+7)/SUMIFS('Weekly Log'!$E:$E,'Weekly Log'!$A:$A,"&gt;="&amp;$J1605,'Weekly Log'!$A:$A,"&lt;"&amp;$J1605+7),0))</f>
        <v/>
      </c>
      <c r="G1605" t="str">
        <f>IF($J1605="","",IFERROR(LOOKUP(2,1/(('Weekly Log'!$A$5:$A$5000&gt;=$J1605)*('Weekly Log'!$A$5:$A$5000&lt;$J1605+7)*('Weekly Log'!$M$5:$M$5000&lt;&gt;"")),'Weekly Log'!$M$5:$M$5000),0))</f>
        <v/>
      </c>
      <c r="J1605" t="str">
        <f>IF(COUNT('Weekly Log'!$A$5:$A$5000)=0,"",IF(MIN('Weekly Log'!$A$5:$A$5000)+7*(ROW()-10)&gt;MAX('Weekly Log'!$A$5:$A$5000),"",MIN('Weekly Log'!$A$5:$A$5000)+7*(ROW()-10)))</f>
        <v/>
      </c>
    </row>
    <row r="1606" spans="1:10" x14ac:dyDescent="0.25">
      <c r="A1606" t="str">
        <f t="shared" si="24"/>
        <v/>
      </c>
      <c r="B1606" t="str">
        <f>IF($J1606="","",SUMIFS('Weekly Log'!$C:$C,'Weekly Log'!$A:$A,"&gt;="&amp;$J1606,'Weekly Log'!$A:$A,"&lt;"&amp;$J1606+7))</f>
        <v/>
      </c>
      <c r="C1606" t="str">
        <f>IF($J1606="","",IFERROR(COUNTIFS('Weekly Log'!$G:$G,"Y",'Weekly Log'!$A:$A,"&gt;="&amp;$J1606,'Weekly Log'!$A:$A,"&lt;"&amp;$J1606+7)/COUNTIFS('Weekly Log'!$G:$G,"&lt;&gt;",'Weekly Log'!$A:$A,"&gt;="&amp;$J1606,'Weekly Log'!$A:$A,"&lt;"&amp;$J1606+7),0))</f>
        <v/>
      </c>
      <c r="D1606" t="str">
        <f>IF($J1606="","",IFERROR(COUNTIFS('Weekly Log'!$H:$H,"Y",'Weekly Log'!$A:$A,"&gt;="&amp;$J1606,'Weekly Log'!$A:$A,"&lt;"&amp;$J1606+7)/COUNTIFS('Weekly Log'!$H:$H,"&lt;&gt;",'Weekly Log'!$A:$A,"&gt;="&amp;$J1606,'Weekly Log'!$A:$A,"&lt;"&amp;$J1606+7),0))</f>
        <v/>
      </c>
      <c r="E1606" t="str">
        <f>IF($J1606="","",IFERROR(AVERAGEIFS('Weekly Log'!$F:$F,'Weekly Log'!$A:$A,"&gt;="&amp;$J1606,'Weekly Log'!$A:$A,"&lt;"&amp;$J1606+7),0))</f>
        <v/>
      </c>
      <c r="F1606" t="str">
        <f>IF($J1606="","",IFERROR(SUMIFS('Weekly Log'!$F:$F,'Weekly Log'!$A:$A,"&gt;="&amp;$J1606,'Weekly Log'!$A:$A,"&lt;"&amp;$J1606+7)/SUMIFS('Weekly Log'!$E:$E,'Weekly Log'!$A:$A,"&gt;="&amp;$J1606,'Weekly Log'!$A:$A,"&lt;"&amp;$J1606+7),0))</f>
        <v/>
      </c>
      <c r="G1606" t="str">
        <f>IF($J1606="","",IFERROR(LOOKUP(2,1/(('Weekly Log'!$A$5:$A$5000&gt;=$J1606)*('Weekly Log'!$A$5:$A$5000&lt;$J1606+7)*('Weekly Log'!$M$5:$M$5000&lt;&gt;"")),'Weekly Log'!$M$5:$M$5000),0))</f>
        <v/>
      </c>
      <c r="J1606" t="str">
        <f>IF(COUNT('Weekly Log'!$A$5:$A$5000)=0,"",IF(MIN('Weekly Log'!$A$5:$A$5000)+7*(ROW()-10)&gt;MAX('Weekly Log'!$A$5:$A$5000),"",MIN('Weekly Log'!$A$5:$A$5000)+7*(ROW()-10)))</f>
        <v/>
      </c>
    </row>
    <row r="1607" spans="1:10" x14ac:dyDescent="0.25">
      <c r="A1607" t="str">
        <f t="shared" si="24"/>
        <v/>
      </c>
      <c r="B1607" t="str">
        <f>IF($J1607="","",SUMIFS('Weekly Log'!$C:$C,'Weekly Log'!$A:$A,"&gt;="&amp;$J1607,'Weekly Log'!$A:$A,"&lt;"&amp;$J1607+7))</f>
        <v/>
      </c>
      <c r="C1607" t="str">
        <f>IF($J1607="","",IFERROR(COUNTIFS('Weekly Log'!$G:$G,"Y",'Weekly Log'!$A:$A,"&gt;="&amp;$J1607,'Weekly Log'!$A:$A,"&lt;"&amp;$J1607+7)/COUNTIFS('Weekly Log'!$G:$G,"&lt;&gt;",'Weekly Log'!$A:$A,"&gt;="&amp;$J1607,'Weekly Log'!$A:$A,"&lt;"&amp;$J1607+7),0))</f>
        <v/>
      </c>
      <c r="D1607" t="str">
        <f>IF($J1607="","",IFERROR(COUNTIFS('Weekly Log'!$H:$H,"Y",'Weekly Log'!$A:$A,"&gt;="&amp;$J1607,'Weekly Log'!$A:$A,"&lt;"&amp;$J1607+7)/COUNTIFS('Weekly Log'!$H:$H,"&lt;&gt;",'Weekly Log'!$A:$A,"&gt;="&amp;$J1607,'Weekly Log'!$A:$A,"&lt;"&amp;$J1607+7),0))</f>
        <v/>
      </c>
      <c r="E1607" t="str">
        <f>IF($J1607="","",IFERROR(AVERAGEIFS('Weekly Log'!$F:$F,'Weekly Log'!$A:$A,"&gt;="&amp;$J1607,'Weekly Log'!$A:$A,"&lt;"&amp;$J1607+7),0))</f>
        <v/>
      </c>
      <c r="F1607" t="str">
        <f>IF($J1607="","",IFERROR(SUMIFS('Weekly Log'!$F:$F,'Weekly Log'!$A:$A,"&gt;="&amp;$J1607,'Weekly Log'!$A:$A,"&lt;"&amp;$J1607+7)/SUMIFS('Weekly Log'!$E:$E,'Weekly Log'!$A:$A,"&gt;="&amp;$J1607,'Weekly Log'!$A:$A,"&lt;"&amp;$J1607+7),0))</f>
        <v/>
      </c>
      <c r="G1607" t="str">
        <f>IF($J1607="","",IFERROR(LOOKUP(2,1/(('Weekly Log'!$A$5:$A$5000&gt;=$J1607)*('Weekly Log'!$A$5:$A$5000&lt;$J1607+7)*('Weekly Log'!$M$5:$M$5000&lt;&gt;"")),'Weekly Log'!$M$5:$M$5000),0))</f>
        <v/>
      </c>
      <c r="J1607" t="str">
        <f>IF(COUNT('Weekly Log'!$A$5:$A$5000)=0,"",IF(MIN('Weekly Log'!$A$5:$A$5000)+7*(ROW()-10)&gt;MAX('Weekly Log'!$A$5:$A$5000),"",MIN('Weekly Log'!$A$5:$A$5000)+7*(ROW()-10)))</f>
        <v/>
      </c>
    </row>
    <row r="1608" spans="1:10" x14ac:dyDescent="0.25">
      <c r="A1608" t="str">
        <f t="shared" si="24"/>
        <v/>
      </c>
      <c r="B1608" t="str">
        <f>IF($J1608="","",SUMIFS('Weekly Log'!$C:$C,'Weekly Log'!$A:$A,"&gt;="&amp;$J1608,'Weekly Log'!$A:$A,"&lt;"&amp;$J1608+7))</f>
        <v/>
      </c>
      <c r="C1608" t="str">
        <f>IF($J1608="","",IFERROR(COUNTIFS('Weekly Log'!$G:$G,"Y",'Weekly Log'!$A:$A,"&gt;="&amp;$J1608,'Weekly Log'!$A:$A,"&lt;"&amp;$J1608+7)/COUNTIFS('Weekly Log'!$G:$G,"&lt;&gt;",'Weekly Log'!$A:$A,"&gt;="&amp;$J1608,'Weekly Log'!$A:$A,"&lt;"&amp;$J1608+7),0))</f>
        <v/>
      </c>
      <c r="D1608" t="str">
        <f>IF($J1608="","",IFERROR(COUNTIFS('Weekly Log'!$H:$H,"Y",'Weekly Log'!$A:$A,"&gt;="&amp;$J1608,'Weekly Log'!$A:$A,"&lt;"&amp;$J1608+7)/COUNTIFS('Weekly Log'!$H:$H,"&lt;&gt;",'Weekly Log'!$A:$A,"&gt;="&amp;$J1608,'Weekly Log'!$A:$A,"&lt;"&amp;$J1608+7),0))</f>
        <v/>
      </c>
      <c r="E1608" t="str">
        <f>IF($J1608="","",IFERROR(AVERAGEIFS('Weekly Log'!$F:$F,'Weekly Log'!$A:$A,"&gt;="&amp;$J1608,'Weekly Log'!$A:$A,"&lt;"&amp;$J1608+7),0))</f>
        <v/>
      </c>
      <c r="F1608" t="str">
        <f>IF($J1608="","",IFERROR(SUMIFS('Weekly Log'!$F:$F,'Weekly Log'!$A:$A,"&gt;="&amp;$J1608,'Weekly Log'!$A:$A,"&lt;"&amp;$J1608+7)/SUMIFS('Weekly Log'!$E:$E,'Weekly Log'!$A:$A,"&gt;="&amp;$J1608,'Weekly Log'!$A:$A,"&lt;"&amp;$J1608+7),0))</f>
        <v/>
      </c>
      <c r="G1608" t="str">
        <f>IF($J1608="","",IFERROR(LOOKUP(2,1/(('Weekly Log'!$A$5:$A$5000&gt;=$J1608)*('Weekly Log'!$A$5:$A$5000&lt;$J1608+7)*('Weekly Log'!$M$5:$M$5000&lt;&gt;"")),'Weekly Log'!$M$5:$M$5000),0))</f>
        <v/>
      </c>
      <c r="J1608" t="str">
        <f>IF(COUNT('Weekly Log'!$A$5:$A$5000)=0,"",IF(MIN('Weekly Log'!$A$5:$A$5000)+7*(ROW()-10)&gt;MAX('Weekly Log'!$A$5:$A$5000),"",MIN('Weekly Log'!$A$5:$A$5000)+7*(ROW()-10)))</f>
        <v/>
      </c>
    </row>
    <row r="1609" spans="1:10" x14ac:dyDescent="0.25">
      <c r="A1609" t="str">
        <f t="shared" si="24"/>
        <v/>
      </c>
      <c r="B1609" t="str">
        <f>IF($J1609="","",SUMIFS('Weekly Log'!$C:$C,'Weekly Log'!$A:$A,"&gt;="&amp;$J1609,'Weekly Log'!$A:$A,"&lt;"&amp;$J1609+7))</f>
        <v/>
      </c>
      <c r="C1609" t="str">
        <f>IF($J1609="","",IFERROR(COUNTIFS('Weekly Log'!$G:$G,"Y",'Weekly Log'!$A:$A,"&gt;="&amp;$J1609,'Weekly Log'!$A:$A,"&lt;"&amp;$J1609+7)/COUNTIFS('Weekly Log'!$G:$G,"&lt;&gt;",'Weekly Log'!$A:$A,"&gt;="&amp;$J1609,'Weekly Log'!$A:$A,"&lt;"&amp;$J1609+7),0))</f>
        <v/>
      </c>
      <c r="D1609" t="str">
        <f>IF($J1609="","",IFERROR(COUNTIFS('Weekly Log'!$H:$H,"Y",'Weekly Log'!$A:$A,"&gt;="&amp;$J1609,'Weekly Log'!$A:$A,"&lt;"&amp;$J1609+7)/COUNTIFS('Weekly Log'!$H:$H,"&lt;&gt;",'Weekly Log'!$A:$A,"&gt;="&amp;$J1609,'Weekly Log'!$A:$A,"&lt;"&amp;$J1609+7),0))</f>
        <v/>
      </c>
      <c r="E1609" t="str">
        <f>IF($J1609="","",IFERROR(AVERAGEIFS('Weekly Log'!$F:$F,'Weekly Log'!$A:$A,"&gt;="&amp;$J1609,'Weekly Log'!$A:$A,"&lt;"&amp;$J1609+7),0))</f>
        <v/>
      </c>
      <c r="F1609" t="str">
        <f>IF($J1609="","",IFERROR(SUMIFS('Weekly Log'!$F:$F,'Weekly Log'!$A:$A,"&gt;="&amp;$J1609,'Weekly Log'!$A:$A,"&lt;"&amp;$J1609+7)/SUMIFS('Weekly Log'!$E:$E,'Weekly Log'!$A:$A,"&gt;="&amp;$J1609,'Weekly Log'!$A:$A,"&lt;"&amp;$J1609+7),0))</f>
        <v/>
      </c>
      <c r="G1609" t="str">
        <f>IF($J1609="","",IFERROR(LOOKUP(2,1/(('Weekly Log'!$A$5:$A$5000&gt;=$J1609)*('Weekly Log'!$A$5:$A$5000&lt;$J1609+7)*('Weekly Log'!$M$5:$M$5000&lt;&gt;"")),'Weekly Log'!$M$5:$M$5000),0))</f>
        <v/>
      </c>
      <c r="J1609" t="str">
        <f>IF(COUNT('Weekly Log'!$A$5:$A$5000)=0,"",IF(MIN('Weekly Log'!$A$5:$A$5000)+7*(ROW()-10)&gt;MAX('Weekly Log'!$A$5:$A$5000),"",MIN('Weekly Log'!$A$5:$A$5000)+7*(ROW()-10)))</f>
        <v/>
      </c>
    </row>
    <row r="1610" spans="1:10" x14ac:dyDescent="0.25">
      <c r="A1610" t="str">
        <f t="shared" ref="A1610:A1673" si="25">IF($J1610="","",YEAR($J1610-WEEKDAY($J1610,2)+4)&amp;"-W"&amp;TEXT(WEEKNUM($J1610,21),"00"))</f>
        <v/>
      </c>
      <c r="B1610" t="str">
        <f>IF($J1610="","",SUMIFS('Weekly Log'!$C:$C,'Weekly Log'!$A:$A,"&gt;="&amp;$J1610,'Weekly Log'!$A:$A,"&lt;"&amp;$J1610+7))</f>
        <v/>
      </c>
      <c r="C1610" t="str">
        <f>IF($J1610="","",IFERROR(COUNTIFS('Weekly Log'!$G:$G,"Y",'Weekly Log'!$A:$A,"&gt;="&amp;$J1610,'Weekly Log'!$A:$A,"&lt;"&amp;$J1610+7)/COUNTIFS('Weekly Log'!$G:$G,"&lt;&gt;",'Weekly Log'!$A:$A,"&gt;="&amp;$J1610,'Weekly Log'!$A:$A,"&lt;"&amp;$J1610+7),0))</f>
        <v/>
      </c>
      <c r="D1610" t="str">
        <f>IF($J1610="","",IFERROR(COUNTIFS('Weekly Log'!$H:$H,"Y",'Weekly Log'!$A:$A,"&gt;="&amp;$J1610,'Weekly Log'!$A:$A,"&lt;"&amp;$J1610+7)/COUNTIFS('Weekly Log'!$H:$H,"&lt;&gt;",'Weekly Log'!$A:$A,"&gt;="&amp;$J1610,'Weekly Log'!$A:$A,"&lt;"&amp;$J1610+7),0))</f>
        <v/>
      </c>
      <c r="E1610" t="str">
        <f>IF($J1610="","",IFERROR(AVERAGEIFS('Weekly Log'!$F:$F,'Weekly Log'!$A:$A,"&gt;="&amp;$J1610,'Weekly Log'!$A:$A,"&lt;"&amp;$J1610+7),0))</f>
        <v/>
      </c>
      <c r="F1610" t="str">
        <f>IF($J1610="","",IFERROR(SUMIFS('Weekly Log'!$F:$F,'Weekly Log'!$A:$A,"&gt;="&amp;$J1610,'Weekly Log'!$A:$A,"&lt;"&amp;$J1610+7)/SUMIFS('Weekly Log'!$E:$E,'Weekly Log'!$A:$A,"&gt;="&amp;$J1610,'Weekly Log'!$A:$A,"&lt;"&amp;$J1610+7),0))</f>
        <v/>
      </c>
      <c r="G1610" t="str">
        <f>IF($J1610="","",IFERROR(LOOKUP(2,1/(('Weekly Log'!$A$5:$A$5000&gt;=$J1610)*('Weekly Log'!$A$5:$A$5000&lt;$J1610+7)*('Weekly Log'!$M$5:$M$5000&lt;&gt;"")),'Weekly Log'!$M$5:$M$5000),0))</f>
        <v/>
      </c>
      <c r="J1610" t="str">
        <f>IF(COUNT('Weekly Log'!$A$5:$A$5000)=0,"",IF(MIN('Weekly Log'!$A$5:$A$5000)+7*(ROW()-10)&gt;MAX('Weekly Log'!$A$5:$A$5000),"",MIN('Weekly Log'!$A$5:$A$5000)+7*(ROW()-10)))</f>
        <v/>
      </c>
    </row>
    <row r="1611" spans="1:10" x14ac:dyDescent="0.25">
      <c r="A1611" t="str">
        <f t="shared" si="25"/>
        <v/>
      </c>
      <c r="B1611" t="str">
        <f>IF($J1611="","",SUMIFS('Weekly Log'!$C:$C,'Weekly Log'!$A:$A,"&gt;="&amp;$J1611,'Weekly Log'!$A:$A,"&lt;"&amp;$J1611+7))</f>
        <v/>
      </c>
      <c r="C1611" t="str">
        <f>IF($J1611="","",IFERROR(COUNTIFS('Weekly Log'!$G:$G,"Y",'Weekly Log'!$A:$A,"&gt;="&amp;$J1611,'Weekly Log'!$A:$A,"&lt;"&amp;$J1611+7)/COUNTIFS('Weekly Log'!$G:$G,"&lt;&gt;",'Weekly Log'!$A:$A,"&gt;="&amp;$J1611,'Weekly Log'!$A:$A,"&lt;"&amp;$J1611+7),0))</f>
        <v/>
      </c>
      <c r="D1611" t="str">
        <f>IF($J1611="","",IFERROR(COUNTIFS('Weekly Log'!$H:$H,"Y",'Weekly Log'!$A:$A,"&gt;="&amp;$J1611,'Weekly Log'!$A:$A,"&lt;"&amp;$J1611+7)/COUNTIFS('Weekly Log'!$H:$H,"&lt;&gt;",'Weekly Log'!$A:$A,"&gt;="&amp;$J1611,'Weekly Log'!$A:$A,"&lt;"&amp;$J1611+7),0))</f>
        <v/>
      </c>
      <c r="E1611" t="str">
        <f>IF($J1611="","",IFERROR(AVERAGEIFS('Weekly Log'!$F:$F,'Weekly Log'!$A:$A,"&gt;="&amp;$J1611,'Weekly Log'!$A:$A,"&lt;"&amp;$J1611+7),0))</f>
        <v/>
      </c>
      <c r="F1611" t="str">
        <f>IF($J1611="","",IFERROR(SUMIFS('Weekly Log'!$F:$F,'Weekly Log'!$A:$A,"&gt;="&amp;$J1611,'Weekly Log'!$A:$A,"&lt;"&amp;$J1611+7)/SUMIFS('Weekly Log'!$E:$E,'Weekly Log'!$A:$A,"&gt;="&amp;$J1611,'Weekly Log'!$A:$A,"&lt;"&amp;$J1611+7),0))</f>
        <v/>
      </c>
      <c r="G1611" t="str">
        <f>IF($J1611="","",IFERROR(LOOKUP(2,1/(('Weekly Log'!$A$5:$A$5000&gt;=$J1611)*('Weekly Log'!$A$5:$A$5000&lt;$J1611+7)*('Weekly Log'!$M$5:$M$5000&lt;&gt;"")),'Weekly Log'!$M$5:$M$5000),0))</f>
        <v/>
      </c>
      <c r="J1611" t="str">
        <f>IF(COUNT('Weekly Log'!$A$5:$A$5000)=0,"",IF(MIN('Weekly Log'!$A$5:$A$5000)+7*(ROW()-10)&gt;MAX('Weekly Log'!$A$5:$A$5000),"",MIN('Weekly Log'!$A$5:$A$5000)+7*(ROW()-10)))</f>
        <v/>
      </c>
    </row>
    <row r="1612" spans="1:10" x14ac:dyDescent="0.25">
      <c r="A1612" t="str">
        <f t="shared" si="25"/>
        <v/>
      </c>
      <c r="B1612" t="str">
        <f>IF($J1612="","",SUMIFS('Weekly Log'!$C:$C,'Weekly Log'!$A:$A,"&gt;="&amp;$J1612,'Weekly Log'!$A:$A,"&lt;"&amp;$J1612+7))</f>
        <v/>
      </c>
      <c r="C1612" t="str">
        <f>IF($J1612="","",IFERROR(COUNTIFS('Weekly Log'!$G:$G,"Y",'Weekly Log'!$A:$A,"&gt;="&amp;$J1612,'Weekly Log'!$A:$A,"&lt;"&amp;$J1612+7)/COUNTIFS('Weekly Log'!$G:$G,"&lt;&gt;",'Weekly Log'!$A:$A,"&gt;="&amp;$J1612,'Weekly Log'!$A:$A,"&lt;"&amp;$J1612+7),0))</f>
        <v/>
      </c>
      <c r="D1612" t="str">
        <f>IF($J1612="","",IFERROR(COUNTIFS('Weekly Log'!$H:$H,"Y",'Weekly Log'!$A:$A,"&gt;="&amp;$J1612,'Weekly Log'!$A:$A,"&lt;"&amp;$J1612+7)/COUNTIFS('Weekly Log'!$H:$H,"&lt;&gt;",'Weekly Log'!$A:$A,"&gt;="&amp;$J1612,'Weekly Log'!$A:$A,"&lt;"&amp;$J1612+7),0))</f>
        <v/>
      </c>
      <c r="E1612" t="str">
        <f>IF($J1612="","",IFERROR(AVERAGEIFS('Weekly Log'!$F:$F,'Weekly Log'!$A:$A,"&gt;="&amp;$J1612,'Weekly Log'!$A:$A,"&lt;"&amp;$J1612+7),0))</f>
        <v/>
      </c>
      <c r="F1612" t="str">
        <f>IF($J1612="","",IFERROR(SUMIFS('Weekly Log'!$F:$F,'Weekly Log'!$A:$A,"&gt;="&amp;$J1612,'Weekly Log'!$A:$A,"&lt;"&amp;$J1612+7)/SUMIFS('Weekly Log'!$E:$E,'Weekly Log'!$A:$A,"&gt;="&amp;$J1612,'Weekly Log'!$A:$A,"&lt;"&amp;$J1612+7),0))</f>
        <v/>
      </c>
      <c r="G1612" t="str">
        <f>IF($J1612="","",IFERROR(LOOKUP(2,1/(('Weekly Log'!$A$5:$A$5000&gt;=$J1612)*('Weekly Log'!$A$5:$A$5000&lt;$J1612+7)*('Weekly Log'!$M$5:$M$5000&lt;&gt;"")),'Weekly Log'!$M$5:$M$5000),0))</f>
        <v/>
      </c>
      <c r="J1612" t="str">
        <f>IF(COUNT('Weekly Log'!$A$5:$A$5000)=0,"",IF(MIN('Weekly Log'!$A$5:$A$5000)+7*(ROW()-10)&gt;MAX('Weekly Log'!$A$5:$A$5000),"",MIN('Weekly Log'!$A$5:$A$5000)+7*(ROW()-10)))</f>
        <v/>
      </c>
    </row>
    <row r="1613" spans="1:10" x14ac:dyDescent="0.25">
      <c r="A1613" t="str">
        <f t="shared" si="25"/>
        <v/>
      </c>
      <c r="B1613" t="str">
        <f>IF($J1613="","",SUMIFS('Weekly Log'!$C:$C,'Weekly Log'!$A:$A,"&gt;="&amp;$J1613,'Weekly Log'!$A:$A,"&lt;"&amp;$J1613+7))</f>
        <v/>
      </c>
      <c r="C1613" t="str">
        <f>IF($J1613="","",IFERROR(COUNTIFS('Weekly Log'!$G:$G,"Y",'Weekly Log'!$A:$A,"&gt;="&amp;$J1613,'Weekly Log'!$A:$A,"&lt;"&amp;$J1613+7)/COUNTIFS('Weekly Log'!$G:$G,"&lt;&gt;",'Weekly Log'!$A:$A,"&gt;="&amp;$J1613,'Weekly Log'!$A:$A,"&lt;"&amp;$J1613+7),0))</f>
        <v/>
      </c>
      <c r="D1613" t="str">
        <f>IF($J1613="","",IFERROR(COUNTIFS('Weekly Log'!$H:$H,"Y",'Weekly Log'!$A:$A,"&gt;="&amp;$J1613,'Weekly Log'!$A:$A,"&lt;"&amp;$J1613+7)/COUNTIFS('Weekly Log'!$H:$H,"&lt;&gt;",'Weekly Log'!$A:$A,"&gt;="&amp;$J1613,'Weekly Log'!$A:$A,"&lt;"&amp;$J1613+7),0))</f>
        <v/>
      </c>
      <c r="E1613" t="str">
        <f>IF($J1613="","",IFERROR(AVERAGEIFS('Weekly Log'!$F:$F,'Weekly Log'!$A:$A,"&gt;="&amp;$J1613,'Weekly Log'!$A:$A,"&lt;"&amp;$J1613+7),0))</f>
        <v/>
      </c>
      <c r="F1613" t="str">
        <f>IF($J1613="","",IFERROR(SUMIFS('Weekly Log'!$F:$F,'Weekly Log'!$A:$A,"&gt;="&amp;$J1613,'Weekly Log'!$A:$A,"&lt;"&amp;$J1613+7)/SUMIFS('Weekly Log'!$E:$E,'Weekly Log'!$A:$A,"&gt;="&amp;$J1613,'Weekly Log'!$A:$A,"&lt;"&amp;$J1613+7),0))</f>
        <v/>
      </c>
      <c r="G1613" t="str">
        <f>IF($J1613="","",IFERROR(LOOKUP(2,1/(('Weekly Log'!$A$5:$A$5000&gt;=$J1613)*('Weekly Log'!$A$5:$A$5000&lt;$J1613+7)*('Weekly Log'!$M$5:$M$5000&lt;&gt;"")),'Weekly Log'!$M$5:$M$5000),0))</f>
        <v/>
      </c>
      <c r="J1613" t="str">
        <f>IF(COUNT('Weekly Log'!$A$5:$A$5000)=0,"",IF(MIN('Weekly Log'!$A$5:$A$5000)+7*(ROW()-10)&gt;MAX('Weekly Log'!$A$5:$A$5000),"",MIN('Weekly Log'!$A$5:$A$5000)+7*(ROW()-10)))</f>
        <v/>
      </c>
    </row>
    <row r="1614" spans="1:10" x14ac:dyDescent="0.25">
      <c r="A1614" t="str">
        <f t="shared" si="25"/>
        <v/>
      </c>
      <c r="B1614" t="str">
        <f>IF($J1614="","",SUMIFS('Weekly Log'!$C:$C,'Weekly Log'!$A:$A,"&gt;="&amp;$J1614,'Weekly Log'!$A:$A,"&lt;"&amp;$J1614+7))</f>
        <v/>
      </c>
      <c r="C1614" t="str">
        <f>IF($J1614="","",IFERROR(COUNTIFS('Weekly Log'!$G:$G,"Y",'Weekly Log'!$A:$A,"&gt;="&amp;$J1614,'Weekly Log'!$A:$A,"&lt;"&amp;$J1614+7)/COUNTIFS('Weekly Log'!$G:$G,"&lt;&gt;",'Weekly Log'!$A:$A,"&gt;="&amp;$J1614,'Weekly Log'!$A:$A,"&lt;"&amp;$J1614+7),0))</f>
        <v/>
      </c>
      <c r="D1614" t="str">
        <f>IF($J1614="","",IFERROR(COUNTIFS('Weekly Log'!$H:$H,"Y",'Weekly Log'!$A:$A,"&gt;="&amp;$J1614,'Weekly Log'!$A:$A,"&lt;"&amp;$J1614+7)/COUNTIFS('Weekly Log'!$H:$H,"&lt;&gt;",'Weekly Log'!$A:$A,"&gt;="&amp;$J1614,'Weekly Log'!$A:$A,"&lt;"&amp;$J1614+7),0))</f>
        <v/>
      </c>
      <c r="E1614" t="str">
        <f>IF($J1614="","",IFERROR(AVERAGEIFS('Weekly Log'!$F:$F,'Weekly Log'!$A:$A,"&gt;="&amp;$J1614,'Weekly Log'!$A:$A,"&lt;"&amp;$J1614+7),0))</f>
        <v/>
      </c>
      <c r="F1614" t="str">
        <f>IF($J1614="","",IFERROR(SUMIFS('Weekly Log'!$F:$F,'Weekly Log'!$A:$A,"&gt;="&amp;$J1614,'Weekly Log'!$A:$A,"&lt;"&amp;$J1614+7)/SUMIFS('Weekly Log'!$E:$E,'Weekly Log'!$A:$A,"&gt;="&amp;$J1614,'Weekly Log'!$A:$A,"&lt;"&amp;$J1614+7),0))</f>
        <v/>
      </c>
      <c r="G1614" t="str">
        <f>IF($J1614="","",IFERROR(LOOKUP(2,1/(('Weekly Log'!$A$5:$A$5000&gt;=$J1614)*('Weekly Log'!$A$5:$A$5000&lt;$J1614+7)*('Weekly Log'!$M$5:$M$5000&lt;&gt;"")),'Weekly Log'!$M$5:$M$5000),0))</f>
        <v/>
      </c>
      <c r="J1614" t="str">
        <f>IF(COUNT('Weekly Log'!$A$5:$A$5000)=0,"",IF(MIN('Weekly Log'!$A$5:$A$5000)+7*(ROW()-10)&gt;MAX('Weekly Log'!$A$5:$A$5000),"",MIN('Weekly Log'!$A$5:$A$5000)+7*(ROW()-10)))</f>
        <v/>
      </c>
    </row>
    <row r="1615" spans="1:10" x14ac:dyDescent="0.25">
      <c r="A1615" t="str">
        <f t="shared" si="25"/>
        <v/>
      </c>
      <c r="B1615" t="str">
        <f>IF($J1615="","",SUMIFS('Weekly Log'!$C:$C,'Weekly Log'!$A:$A,"&gt;="&amp;$J1615,'Weekly Log'!$A:$A,"&lt;"&amp;$J1615+7))</f>
        <v/>
      </c>
      <c r="C1615" t="str">
        <f>IF($J1615="","",IFERROR(COUNTIFS('Weekly Log'!$G:$G,"Y",'Weekly Log'!$A:$A,"&gt;="&amp;$J1615,'Weekly Log'!$A:$A,"&lt;"&amp;$J1615+7)/COUNTIFS('Weekly Log'!$G:$G,"&lt;&gt;",'Weekly Log'!$A:$A,"&gt;="&amp;$J1615,'Weekly Log'!$A:$A,"&lt;"&amp;$J1615+7),0))</f>
        <v/>
      </c>
      <c r="D1615" t="str">
        <f>IF($J1615="","",IFERROR(COUNTIFS('Weekly Log'!$H:$H,"Y",'Weekly Log'!$A:$A,"&gt;="&amp;$J1615,'Weekly Log'!$A:$A,"&lt;"&amp;$J1615+7)/COUNTIFS('Weekly Log'!$H:$H,"&lt;&gt;",'Weekly Log'!$A:$A,"&gt;="&amp;$J1615,'Weekly Log'!$A:$A,"&lt;"&amp;$J1615+7),0))</f>
        <v/>
      </c>
      <c r="E1615" t="str">
        <f>IF($J1615="","",IFERROR(AVERAGEIFS('Weekly Log'!$F:$F,'Weekly Log'!$A:$A,"&gt;="&amp;$J1615,'Weekly Log'!$A:$A,"&lt;"&amp;$J1615+7),0))</f>
        <v/>
      </c>
      <c r="F1615" t="str">
        <f>IF($J1615="","",IFERROR(SUMIFS('Weekly Log'!$F:$F,'Weekly Log'!$A:$A,"&gt;="&amp;$J1615,'Weekly Log'!$A:$A,"&lt;"&amp;$J1615+7)/SUMIFS('Weekly Log'!$E:$E,'Weekly Log'!$A:$A,"&gt;="&amp;$J1615,'Weekly Log'!$A:$A,"&lt;"&amp;$J1615+7),0))</f>
        <v/>
      </c>
      <c r="G1615" t="str">
        <f>IF($J1615="","",IFERROR(LOOKUP(2,1/(('Weekly Log'!$A$5:$A$5000&gt;=$J1615)*('Weekly Log'!$A$5:$A$5000&lt;$J1615+7)*('Weekly Log'!$M$5:$M$5000&lt;&gt;"")),'Weekly Log'!$M$5:$M$5000),0))</f>
        <v/>
      </c>
      <c r="J1615" t="str">
        <f>IF(COUNT('Weekly Log'!$A$5:$A$5000)=0,"",IF(MIN('Weekly Log'!$A$5:$A$5000)+7*(ROW()-10)&gt;MAX('Weekly Log'!$A$5:$A$5000),"",MIN('Weekly Log'!$A$5:$A$5000)+7*(ROW()-10)))</f>
        <v/>
      </c>
    </row>
    <row r="1616" spans="1:10" x14ac:dyDescent="0.25">
      <c r="A1616" t="str">
        <f t="shared" si="25"/>
        <v/>
      </c>
      <c r="B1616" t="str">
        <f>IF($J1616="","",SUMIFS('Weekly Log'!$C:$C,'Weekly Log'!$A:$A,"&gt;="&amp;$J1616,'Weekly Log'!$A:$A,"&lt;"&amp;$J1616+7))</f>
        <v/>
      </c>
      <c r="C1616" t="str">
        <f>IF($J1616="","",IFERROR(COUNTIFS('Weekly Log'!$G:$G,"Y",'Weekly Log'!$A:$A,"&gt;="&amp;$J1616,'Weekly Log'!$A:$A,"&lt;"&amp;$J1616+7)/COUNTIFS('Weekly Log'!$G:$G,"&lt;&gt;",'Weekly Log'!$A:$A,"&gt;="&amp;$J1616,'Weekly Log'!$A:$A,"&lt;"&amp;$J1616+7),0))</f>
        <v/>
      </c>
      <c r="D1616" t="str">
        <f>IF($J1616="","",IFERROR(COUNTIFS('Weekly Log'!$H:$H,"Y",'Weekly Log'!$A:$A,"&gt;="&amp;$J1616,'Weekly Log'!$A:$A,"&lt;"&amp;$J1616+7)/COUNTIFS('Weekly Log'!$H:$H,"&lt;&gt;",'Weekly Log'!$A:$A,"&gt;="&amp;$J1616,'Weekly Log'!$A:$A,"&lt;"&amp;$J1616+7),0))</f>
        <v/>
      </c>
      <c r="E1616" t="str">
        <f>IF($J1616="","",IFERROR(AVERAGEIFS('Weekly Log'!$F:$F,'Weekly Log'!$A:$A,"&gt;="&amp;$J1616,'Weekly Log'!$A:$A,"&lt;"&amp;$J1616+7),0))</f>
        <v/>
      </c>
      <c r="F1616" t="str">
        <f>IF($J1616="","",IFERROR(SUMIFS('Weekly Log'!$F:$F,'Weekly Log'!$A:$A,"&gt;="&amp;$J1616,'Weekly Log'!$A:$A,"&lt;"&amp;$J1616+7)/SUMIFS('Weekly Log'!$E:$E,'Weekly Log'!$A:$A,"&gt;="&amp;$J1616,'Weekly Log'!$A:$A,"&lt;"&amp;$J1616+7),0))</f>
        <v/>
      </c>
      <c r="G1616" t="str">
        <f>IF($J1616="","",IFERROR(LOOKUP(2,1/(('Weekly Log'!$A$5:$A$5000&gt;=$J1616)*('Weekly Log'!$A$5:$A$5000&lt;$J1616+7)*('Weekly Log'!$M$5:$M$5000&lt;&gt;"")),'Weekly Log'!$M$5:$M$5000),0))</f>
        <v/>
      </c>
      <c r="J1616" t="str">
        <f>IF(COUNT('Weekly Log'!$A$5:$A$5000)=0,"",IF(MIN('Weekly Log'!$A$5:$A$5000)+7*(ROW()-10)&gt;MAX('Weekly Log'!$A$5:$A$5000),"",MIN('Weekly Log'!$A$5:$A$5000)+7*(ROW()-10)))</f>
        <v/>
      </c>
    </row>
    <row r="1617" spans="1:10" x14ac:dyDescent="0.25">
      <c r="A1617" t="str">
        <f t="shared" si="25"/>
        <v/>
      </c>
      <c r="B1617" t="str">
        <f>IF($J1617="","",SUMIFS('Weekly Log'!$C:$C,'Weekly Log'!$A:$A,"&gt;="&amp;$J1617,'Weekly Log'!$A:$A,"&lt;"&amp;$J1617+7))</f>
        <v/>
      </c>
      <c r="C1617" t="str">
        <f>IF($J1617="","",IFERROR(COUNTIFS('Weekly Log'!$G:$G,"Y",'Weekly Log'!$A:$A,"&gt;="&amp;$J1617,'Weekly Log'!$A:$A,"&lt;"&amp;$J1617+7)/COUNTIFS('Weekly Log'!$G:$G,"&lt;&gt;",'Weekly Log'!$A:$A,"&gt;="&amp;$J1617,'Weekly Log'!$A:$A,"&lt;"&amp;$J1617+7),0))</f>
        <v/>
      </c>
      <c r="D1617" t="str">
        <f>IF($J1617="","",IFERROR(COUNTIFS('Weekly Log'!$H:$H,"Y",'Weekly Log'!$A:$A,"&gt;="&amp;$J1617,'Weekly Log'!$A:$A,"&lt;"&amp;$J1617+7)/COUNTIFS('Weekly Log'!$H:$H,"&lt;&gt;",'Weekly Log'!$A:$A,"&gt;="&amp;$J1617,'Weekly Log'!$A:$A,"&lt;"&amp;$J1617+7),0))</f>
        <v/>
      </c>
      <c r="E1617" t="str">
        <f>IF($J1617="","",IFERROR(AVERAGEIFS('Weekly Log'!$F:$F,'Weekly Log'!$A:$A,"&gt;="&amp;$J1617,'Weekly Log'!$A:$A,"&lt;"&amp;$J1617+7),0))</f>
        <v/>
      </c>
      <c r="F1617" t="str">
        <f>IF($J1617="","",IFERROR(SUMIFS('Weekly Log'!$F:$F,'Weekly Log'!$A:$A,"&gt;="&amp;$J1617,'Weekly Log'!$A:$A,"&lt;"&amp;$J1617+7)/SUMIFS('Weekly Log'!$E:$E,'Weekly Log'!$A:$A,"&gt;="&amp;$J1617,'Weekly Log'!$A:$A,"&lt;"&amp;$J1617+7),0))</f>
        <v/>
      </c>
      <c r="G1617" t="str">
        <f>IF($J1617="","",IFERROR(LOOKUP(2,1/(('Weekly Log'!$A$5:$A$5000&gt;=$J1617)*('Weekly Log'!$A$5:$A$5000&lt;$J1617+7)*('Weekly Log'!$M$5:$M$5000&lt;&gt;"")),'Weekly Log'!$M$5:$M$5000),0))</f>
        <v/>
      </c>
      <c r="J1617" t="str">
        <f>IF(COUNT('Weekly Log'!$A$5:$A$5000)=0,"",IF(MIN('Weekly Log'!$A$5:$A$5000)+7*(ROW()-10)&gt;MAX('Weekly Log'!$A$5:$A$5000),"",MIN('Weekly Log'!$A$5:$A$5000)+7*(ROW()-10)))</f>
        <v/>
      </c>
    </row>
    <row r="1618" spans="1:10" x14ac:dyDescent="0.25">
      <c r="A1618" t="str">
        <f t="shared" si="25"/>
        <v/>
      </c>
      <c r="B1618" t="str">
        <f>IF($J1618="","",SUMIFS('Weekly Log'!$C:$C,'Weekly Log'!$A:$A,"&gt;="&amp;$J1618,'Weekly Log'!$A:$A,"&lt;"&amp;$J1618+7))</f>
        <v/>
      </c>
      <c r="C1618" t="str">
        <f>IF($J1618="","",IFERROR(COUNTIFS('Weekly Log'!$G:$G,"Y",'Weekly Log'!$A:$A,"&gt;="&amp;$J1618,'Weekly Log'!$A:$A,"&lt;"&amp;$J1618+7)/COUNTIFS('Weekly Log'!$G:$G,"&lt;&gt;",'Weekly Log'!$A:$A,"&gt;="&amp;$J1618,'Weekly Log'!$A:$A,"&lt;"&amp;$J1618+7),0))</f>
        <v/>
      </c>
      <c r="D1618" t="str">
        <f>IF($J1618="","",IFERROR(COUNTIFS('Weekly Log'!$H:$H,"Y",'Weekly Log'!$A:$A,"&gt;="&amp;$J1618,'Weekly Log'!$A:$A,"&lt;"&amp;$J1618+7)/COUNTIFS('Weekly Log'!$H:$H,"&lt;&gt;",'Weekly Log'!$A:$A,"&gt;="&amp;$J1618,'Weekly Log'!$A:$A,"&lt;"&amp;$J1618+7),0))</f>
        <v/>
      </c>
      <c r="E1618" t="str">
        <f>IF($J1618="","",IFERROR(AVERAGEIFS('Weekly Log'!$F:$F,'Weekly Log'!$A:$A,"&gt;="&amp;$J1618,'Weekly Log'!$A:$A,"&lt;"&amp;$J1618+7),0))</f>
        <v/>
      </c>
      <c r="F1618" t="str">
        <f>IF($J1618="","",IFERROR(SUMIFS('Weekly Log'!$F:$F,'Weekly Log'!$A:$A,"&gt;="&amp;$J1618,'Weekly Log'!$A:$A,"&lt;"&amp;$J1618+7)/SUMIFS('Weekly Log'!$E:$E,'Weekly Log'!$A:$A,"&gt;="&amp;$J1618,'Weekly Log'!$A:$A,"&lt;"&amp;$J1618+7),0))</f>
        <v/>
      </c>
      <c r="G1618" t="str">
        <f>IF($J1618="","",IFERROR(LOOKUP(2,1/(('Weekly Log'!$A$5:$A$5000&gt;=$J1618)*('Weekly Log'!$A$5:$A$5000&lt;$J1618+7)*('Weekly Log'!$M$5:$M$5000&lt;&gt;"")),'Weekly Log'!$M$5:$M$5000),0))</f>
        <v/>
      </c>
      <c r="J1618" t="str">
        <f>IF(COUNT('Weekly Log'!$A$5:$A$5000)=0,"",IF(MIN('Weekly Log'!$A$5:$A$5000)+7*(ROW()-10)&gt;MAX('Weekly Log'!$A$5:$A$5000),"",MIN('Weekly Log'!$A$5:$A$5000)+7*(ROW()-10)))</f>
        <v/>
      </c>
    </row>
    <row r="1619" spans="1:10" x14ac:dyDescent="0.25">
      <c r="A1619" t="str">
        <f t="shared" si="25"/>
        <v/>
      </c>
      <c r="B1619" t="str">
        <f>IF($J1619="","",SUMIFS('Weekly Log'!$C:$C,'Weekly Log'!$A:$A,"&gt;="&amp;$J1619,'Weekly Log'!$A:$A,"&lt;"&amp;$J1619+7))</f>
        <v/>
      </c>
      <c r="C1619" t="str">
        <f>IF($J1619="","",IFERROR(COUNTIFS('Weekly Log'!$G:$G,"Y",'Weekly Log'!$A:$A,"&gt;="&amp;$J1619,'Weekly Log'!$A:$A,"&lt;"&amp;$J1619+7)/COUNTIFS('Weekly Log'!$G:$G,"&lt;&gt;",'Weekly Log'!$A:$A,"&gt;="&amp;$J1619,'Weekly Log'!$A:$A,"&lt;"&amp;$J1619+7),0))</f>
        <v/>
      </c>
      <c r="D1619" t="str">
        <f>IF($J1619="","",IFERROR(COUNTIFS('Weekly Log'!$H:$H,"Y",'Weekly Log'!$A:$A,"&gt;="&amp;$J1619,'Weekly Log'!$A:$A,"&lt;"&amp;$J1619+7)/COUNTIFS('Weekly Log'!$H:$H,"&lt;&gt;",'Weekly Log'!$A:$A,"&gt;="&amp;$J1619,'Weekly Log'!$A:$A,"&lt;"&amp;$J1619+7),0))</f>
        <v/>
      </c>
      <c r="E1619" t="str">
        <f>IF($J1619="","",IFERROR(AVERAGEIFS('Weekly Log'!$F:$F,'Weekly Log'!$A:$A,"&gt;="&amp;$J1619,'Weekly Log'!$A:$A,"&lt;"&amp;$J1619+7),0))</f>
        <v/>
      </c>
      <c r="F1619" t="str">
        <f>IF($J1619="","",IFERROR(SUMIFS('Weekly Log'!$F:$F,'Weekly Log'!$A:$A,"&gt;="&amp;$J1619,'Weekly Log'!$A:$A,"&lt;"&amp;$J1619+7)/SUMIFS('Weekly Log'!$E:$E,'Weekly Log'!$A:$A,"&gt;="&amp;$J1619,'Weekly Log'!$A:$A,"&lt;"&amp;$J1619+7),0))</f>
        <v/>
      </c>
      <c r="G1619" t="str">
        <f>IF($J1619="","",IFERROR(LOOKUP(2,1/(('Weekly Log'!$A$5:$A$5000&gt;=$J1619)*('Weekly Log'!$A$5:$A$5000&lt;$J1619+7)*('Weekly Log'!$M$5:$M$5000&lt;&gt;"")),'Weekly Log'!$M$5:$M$5000),0))</f>
        <v/>
      </c>
      <c r="J1619" t="str">
        <f>IF(COUNT('Weekly Log'!$A$5:$A$5000)=0,"",IF(MIN('Weekly Log'!$A$5:$A$5000)+7*(ROW()-10)&gt;MAX('Weekly Log'!$A$5:$A$5000),"",MIN('Weekly Log'!$A$5:$A$5000)+7*(ROW()-10)))</f>
        <v/>
      </c>
    </row>
    <row r="1620" spans="1:10" x14ac:dyDescent="0.25">
      <c r="A1620" t="str">
        <f t="shared" si="25"/>
        <v/>
      </c>
      <c r="B1620" t="str">
        <f>IF($J1620="","",SUMIFS('Weekly Log'!$C:$C,'Weekly Log'!$A:$A,"&gt;="&amp;$J1620,'Weekly Log'!$A:$A,"&lt;"&amp;$J1620+7))</f>
        <v/>
      </c>
      <c r="C1620" t="str">
        <f>IF($J1620="","",IFERROR(COUNTIFS('Weekly Log'!$G:$G,"Y",'Weekly Log'!$A:$A,"&gt;="&amp;$J1620,'Weekly Log'!$A:$A,"&lt;"&amp;$J1620+7)/COUNTIFS('Weekly Log'!$G:$G,"&lt;&gt;",'Weekly Log'!$A:$A,"&gt;="&amp;$J1620,'Weekly Log'!$A:$A,"&lt;"&amp;$J1620+7),0))</f>
        <v/>
      </c>
      <c r="D1620" t="str">
        <f>IF($J1620="","",IFERROR(COUNTIFS('Weekly Log'!$H:$H,"Y",'Weekly Log'!$A:$A,"&gt;="&amp;$J1620,'Weekly Log'!$A:$A,"&lt;"&amp;$J1620+7)/COUNTIFS('Weekly Log'!$H:$H,"&lt;&gt;",'Weekly Log'!$A:$A,"&gt;="&amp;$J1620,'Weekly Log'!$A:$A,"&lt;"&amp;$J1620+7),0))</f>
        <v/>
      </c>
      <c r="E1620" t="str">
        <f>IF($J1620="","",IFERROR(AVERAGEIFS('Weekly Log'!$F:$F,'Weekly Log'!$A:$A,"&gt;="&amp;$J1620,'Weekly Log'!$A:$A,"&lt;"&amp;$J1620+7),0))</f>
        <v/>
      </c>
      <c r="F1620" t="str">
        <f>IF($J1620="","",IFERROR(SUMIFS('Weekly Log'!$F:$F,'Weekly Log'!$A:$A,"&gt;="&amp;$J1620,'Weekly Log'!$A:$A,"&lt;"&amp;$J1620+7)/SUMIFS('Weekly Log'!$E:$E,'Weekly Log'!$A:$A,"&gt;="&amp;$J1620,'Weekly Log'!$A:$A,"&lt;"&amp;$J1620+7),0))</f>
        <v/>
      </c>
      <c r="G1620" t="str">
        <f>IF($J1620="","",IFERROR(LOOKUP(2,1/(('Weekly Log'!$A$5:$A$5000&gt;=$J1620)*('Weekly Log'!$A$5:$A$5000&lt;$J1620+7)*('Weekly Log'!$M$5:$M$5000&lt;&gt;"")),'Weekly Log'!$M$5:$M$5000),0))</f>
        <v/>
      </c>
      <c r="J1620" t="str">
        <f>IF(COUNT('Weekly Log'!$A$5:$A$5000)=0,"",IF(MIN('Weekly Log'!$A$5:$A$5000)+7*(ROW()-10)&gt;MAX('Weekly Log'!$A$5:$A$5000),"",MIN('Weekly Log'!$A$5:$A$5000)+7*(ROW()-10)))</f>
        <v/>
      </c>
    </row>
    <row r="1621" spans="1:10" x14ac:dyDescent="0.25">
      <c r="A1621" t="str">
        <f t="shared" si="25"/>
        <v/>
      </c>
      <c r="B1621" t="str">
        <f>IF($J1621="","",SUMIFS('Weekly Log'!$C:$C,'Weekly Log'!$A:$A,"&gt;="&amp;$J1621,'Weekly Log'!$A:$A,"&lt;"&amp;$J1621+7))</f>
        <v/>
      </c>
      <c r="C1621" t="str">
        <f>IF($J1621="","",IFERROR(COUNTIFS('Weekly Log'!$G:$G,"Y",'Weekly Log'!$A:$A,"&gt;="&amp;$J1621,'Weekly Log'!$A:$A,"&lt;"&amp;$J1621+7)/COUNTIFS('Weekly Log'!$G:$G,"&lt;&gt;",'Weekly Log'!$A:$A,"&gt;="&amp;$J1621,'Weekly Log'!$A:$A,"&lt;"&amp;$J1621+7),0))</f>
        <v/>
      </c>
      <c r="D1621" t="str">
        <f>IF($J1621="","",IFERROR(COUNTIFS('Weekly Log'!$H:$H,"Y",'Weekly Log'!$A:$A,"&gt;="&amp;$J1621,'Weekly Log'!$A:$A,"&lt;"&amp;$J1621+7)/COUNTIFS('Weekly Log'!$H:$H,"&lt;&gt;",'Weekly Log'!$A:$A,"&gt;="&amp;$J1621,'Weekly Log'!$A:$A,"&lt;"&amp;$J1621+7),0))</f>
        <v/>
      </c>
      <c r="E1621" t="str">
        <f>IF($J1621="","",IFERROR(AVERAGEIFS('Weekly Log'!$F:$F,'Weekly Log'!$A:$A,"&gt;="&amp;$J1621,'Weekly Log'!$A:$A,"&lt;"&amp;$J1621+7),0))</f>
        <v/>
      </c>
      <c r="F1621" t="str">
        <f>IF($J1621="","",IFERROR(SUMIFS('Weekly Log'!$F:$F,'Weekly Log'!$A:$A,"&gt;="&amp;$J1621,'Weekly Log'!$A:$A,"&lt;"&amp;$J1621+7)/SUMIFS('Weekly Log'!$E:$E,'Weekly Log'!$A:$A,"&gt;="&amp;$J1621,'Weekly Log'!$A:$A,"&lt;"&amp;$J1621+7),0))</f>
        <v/>
      </c>
      <c r="G1621" t="str">
        <f>IF($J1621="","",IFERROR(LOOKUP(2,1/(('Weekly Log'!$A$5:$A$5000&gt;=$J1621)*('Weekly Log'!$A$5:$A$5000&lt;$J1621+7)*('Weekly Log'!$M$5:$M$5000&lt;&gt;"")),'Weekly Log'!$M$5:$M$5000),0))</f>
        <v/>
      </c>
      <c r="J1621" t="str">
        <f>IF(COUNT('Weekly Log'!$A$5:$A$5000)=0,"",IF(MIN('Weekly Log'!$A$5:$A$5000)+7*(ROW()-10)&gt;MAX('Weekly Log'!$A$5:$A$5000),"",MIN('Weekly Log'!$A$5:$A$5000)+7*(ROW()-10)))</f>
        <v/>
      </c>
    </row>
    <row r="1622" spans="1:10" x14ac:dyDescent="0.25">
      <c r="A1622" t="str">
        <f t="shared" si="25"/>
        <v/>
      </c>
      <c r="B1622" t="str">
        <f>IF($J1622="","",SUMIFS('Weekly Log'!$C:$C,'Weekly Log'!$A:$A,"&gt;="&amp;$J1622,'Weekly Log'!$A:$A,"&lt;"&amp;$J1622+7))</f>
        <v/>
      </c>
      <c r="C1622" t="str">
        <f>IF($J1622="","",IFERROR(COUNTIFS('Weekly Log'!$G:$G,"Y",'Weekly Log'!$A:$A,"&gt;="&amp;$J1622,'Weekly Log'!$A:$A,"&lt;"&amp;$J1622+7)/COUNTIFS('Weekly Log'!$G:$G,"&lt;&gt;",'Weekly Log'!$A:$A,"&gt;="&amp;$J1622,'Weekly Log'!$A:$A,"&lt;"&amp;$J1622+7),0))</f>
        <v/>
      </c>
      <c r="D1622" t="str">
        <f>IF($J1622="","",IFERROR(COUNTIFS('Weekly Log'!$H:$H,"Y",'Weekly Log'!$A:$A,"&gt;="&amp;$J1622,'Weekly Log'!$A:$A,"&lt;"&amp;$J1622+7)/COUNTIFS('Weekly Log'!$H:$H,"&lt;&gt;",'Weekly Log'!$A:$A,"&gt;="&amp;$J1622,'Weekly Log'!$A:$A,"&lt;"&amp;$J1622+7),0))</f>
        <v/>
      </c>
      <c r="E1622" t="str">
        <f>IF($J1622="","",IFERROR(AVERAGEIFS('Weekly Log'!$F:$F,'Weekly Log'!$A:$A,"&gt;="&amp;$J1622,'Weekly Log'!$A:$A,"&lt;"&amp;$J1622+7),0))</f>
        <v/>
      </c>
      <c r="F1622" t="str">
        <f>IF($J1622="","",IFERROR(SUMIFS('Weekly Log'!$F:$F,'Weekly Log'!$A:$A,"&gt;="&amp;$J1622,'Weekly Log'!$A:$A,"&lt;"&amp;$J1622+7)/SUMIFS('Weekly Log'!$E:$E,'Weekly Log'!$A:$A,"&gt;="&amp;$J1622,'Weekly Log'!$A:$A,"&lt;"&amp;$J1622+7),0))</f>
        <v/>
      </c>
      <c r="G1622" t="str">
        <f>IF($J1622="","",IFERROR(LOOKUP(2,1/(('Weekly Log'!$A$5:$A$5000&gt;=$J1622)*('Weekly Log'!$A$5:$A$5000&lt;$J1622+7)*('Weekly Log'!$M$5:$M$5000&lt;&gt;"")),'Weekly Log'!$M$5:$M$5000),0))</f>
        <v/>
      </c>
      <c r="J1622" t="str">
        <f>IF(COUNT('Weekly Log'!$A$5:$A$5000)=0,"",IF(MIN('Weekly Log'!$A$5:$A$5000)+7*(ROW()-10)&gt;MAX('Weekly Log'!$A$5:$A$5000),"",MIN('Weekly Log'!$A$5:$A$5000)+7*(ROW()-10)))</f>
        <v/>
      </c>
    </row>
    <row r="1623" spans="1:10" x14ac:dyDescent="0.25">
      <c r="A1623" t="str">
        <f t="shared" si="25"/>
        <v/>
      </c>
      <c r="B1623" t="str">
        <f>IF($J1623="","",SUMIFS('Weekly Log'!$C:$C,'Weekly Log'!$A:$A,"&gt;="&amp;$J1623,'Weekly Log'!$A:$A,"&lt;"&amp;$J1623+7))</f>
        <v/>
      </c>
      <c r="C1623" t="str">
        <f>IF($J1623="","",IFERROR(COUNTIFS('Weekly Log'!$G:$G,"Y",'Weekly Log'!$A:$A,"&gt;="&amp;$J1623,'Weekly Log'!$A:$A,"&lt;"&amp;$J1623+7)/COUNTIFS('Weekly Log'!$G:$G,"&lt;&gt;",'Weekly Log'!$A:$A,"&gt;="&amp;$J1623,'Weekly Log'!$A:$A,"&lt;"&amp;$J1623+7),0))</f>
        <v/>
      </c>
      <c r="D1623" t="str">
        <f>IF($J1623="","",IFERROR(COUNTIFS('Weekly Log'!$H:$H,"Y",'Weekly Log'!$A:$A,"&gt;="&amp;$J1623,'Weekly Log'!$A:$A,"&lt;"&amp;$J1623+7)/COUNTIFS('Weekly Log'!$H:$H,"&lt;&gt;",'Weekly Log'!$A:$A,"&gt;="&amp;$J1623,'Weekly Log'!$A:$A,"&lt;"&amp;$J1623+7),0))</f>
        <v/>
      </c>
      <c r="E1623" t="str">
        <f>IF($J1623="","",IFERROR(AVERAGEIFS('Weekly Log'!$F:$F,'Weekly Log'!$A:$A,"&gt;="&amp;$J1623,'Weekly Log'!$A:$A,"&lt;"&amp;$J1623+7),0))</f>
        <v/>
      </c>
      <c r="F1623" t="str">
        <f>IF($J1623="","",IFERROR(SUMIFS('Weekly Log'!$F:$F,'Weekly Log'!$A:$A,"&gt;="&amp;$J1623,'Weekly Log'!$A:$A,"&lt;"&amp;$J1623+7)/SUMIFS('Weekly Log'!$E:$E,'Weekly Log'!$A:$A,"&gt;="&amp;$J1623,'Weekly Log'!$A:$A,"&lt;"&amp;$J1623+7),0))</f>
        <v/>
      </c>
      <c r="G1623" t="str">
        <f>IF($J1623="","",IFERROR(LOOKUP(2,1/(('Weekly Log'!$A$5:$A$5000&gt;=$J1623)*('Weekly Log'!$A$5:$A$5000&lt;$J1623+7)*('Weekly Log'!$M$5:$M$5000&lt;&gt;"")),'Weekly Log'!$M$5:$M$5000),0))</f>
        <v/>
      </c>
      <c r="J1623" t="str">
        <f>IF(COUNT('Weekly Log'!$A$5:$A$5000)=0,"",IF(MIN('Weekly Log'!$A$5:$A$5000)+7*(ROW()-10)&gt;MAX('Weekly Log'!$A$5:$A$5000),"",MIN('Weekly Log'!$A$5:$A$5000)+7*(ROW()-10)))</f>
        <v/>
      </c>
    </row>
    <row r="1624" spans="1:10" x14ac:dyDescent="0.25">
      <c r="A1624" t="str">
        <f t="shared" si="25"/>
        <v/>
      </c>
      <c r="B1624" t="str">
        <f>IF($J1624="","",SUMIFS('Weekly Log'!$C:$C,'Weekly Log'!$A:$A,"&gt;="&amp;$J1624,'Weekly Log'!$A:$A,"&lt;"&amp;$J1624+7))</f>
        <v/>
      </c>
      <c r="C1624" t="str">
        <f>IF($J1624="","",IFERROR(COUNTIFS('Weekly Log'!$G:$G,"Y",'Weekly Log'!$A:$A,"&gt;="&amp;$J1624,'Weekly Log'!$A:$A,"&lt;"&amp;$J1624+7)/COUNTIFS('Weekly Log'!$G:$G,"&lt;&gt;",'Weekly Log'!$A:$A,"&gt;="&amp;$J1624,'Weekly Log'!$A:$A,"&lt;"&amp;$J1624+7),0))</f>
        <v/>
      </c>
      <c r="D1624" t="str">
        <f>IF($J1624="","",IFERROR(COUNTIFS('Weekly Log'!$H:$H,"Y",'Weekly Log'!$A:$A,"&gt;="&amp;$J1624,'Weekly Log'!$A:$A,"&lt;"&amp;$J1624+7)/COUNTIFS('Weekly Log'!$H:$H,"&lt;&gt;",'Weekly Log'!$A:$A,"&gt;="&amp;$J1624,'Weekly Log'!$A:$A,"&lt;"&amp;$J1624+7),0))</f>
        <v/>
      </c>
      <c r="E1624" t="str">
        <f>IF($J1624="","",IFERROR(AVERAGEIFS('Weekly Log'!$F:$F,'Weekly Log'!$A:$A,"&gt;="&amp;$J1624,'Weekly Log'!$A:$A,"&lt;"&amp;$J1624+7),0))</f>
        <v/>
      </c>
      <c r="F1624" t="str">
        <f>IF($J1624="","",IFERROR(SUMIFS('Weekly Log'!$F:$F,'Weekly Log'!$A:$A,"&gt;="&amp;$J1624,'Weekly Log'!$A:$A,"&lt;"&amp;$J1624+7)/SUMIFS('Weekly Log'!$E:$E,'Weekly Log'!$A:$A,"&gt;="&amp;$J1624,'Weekly Log'!$A:$A,"&lt;"&amp;$J1624+7),0))</f>
        <v/>
      </c>
      <c r="G1624" t="str">
        <f>IF($J1624="","",IFERROR(LOOKUP(2,1/(('Weekly Log'!$A$5:$A$5000&gt;=$J1624)*('Weekly Log'!$A$5:$A$5000&lt;$J1624+7)*('Weekly Log'!$M$5:$M$5000&lt;&gt;"")),'Weekly Log'!$M$5:$M$5000),0))</f>
        <v/>
      </c>
      <c r="J1624" t="str">
        <f>IF(COUNT('Weekly Log'!$A$5:$A$5000)=0,"",IF(MIN('Weekly Log'!$A$5:$A$5000)+7*(ROW()-10)&gt;MAX('Weekly Log'!$A$5:$A$5000),"",MIN('Weekly Log'!$A$5:$A$5000)+7*(ROW()-10)))</f>
        <v/>
      </c>
    </row>
    <row r="1625" spans="1:10" x14ac:dyDescent="0.25">
      <c r="A1625" t="str">
        <f t="shared" si="25"/>
        <v/>
      </c>
      <c r="B1625" t="str">
        <f>IF($J1625="","",SUMIFS('Weekly Log'!$C:$C,'Weekly Log'!$A:$A,"&gt;="&amp;$J1625,'Weekly Log'!$A:$A,"&lt;"&amp;$J1625+7))</f>
        <v/>
      </c>
      <c r="C1625" t="str">
        <f>IF($J1625="","",IFERROR(COUNTIFS('Weekly Log'!$G:$G,"Y",'Weekly Log'!$A:$A,"&gt;="&amp;$J1625,'Weekly Log'!$A:$A,"&lt;"&amp;$J1625+7)/COUNTIFS('Weekly Log'!$G:$G,"&lt;&gt;",'Weekly Log'!$A:$A,"&gt;="&amp;$J1625,'Weekly Log'!$A:$A,"&lt;"&amp;$J1625+7),0))</f>
        <v/>
      </c>
      <c r="D1625" t="str">
        <f>IF($J1625="","",IFERROR(COUNTIFS('Weekly Log'!$H:$H,"Y",'Weekly Log'!$A:$A,"&gt;="&amp;$J1625,'Weekly Log'!$A:$A,"&lt;"&amp;$J1625+7)/COUNTIFS('Weekly Log'!$H:$H,"&lt;&gt;",'Weekly Log'!$A:$A,"&gt;="&amp;$J1625,'Weekly Log'!$A:$A,"&lt;"&amp;$J1625+7),0))</f>
        <v/>
      </c>
      <c r="E1625" t="str">
        <f>IF($J1625="","",IFERROR(AVERAGEIFS('Weekly Log'!$F:$F,'Weekly Log'!$A:$A,"&gt;="&amp;$J1625,'Weekly Log'!$A:$A,"&lt;"&amp;$J1625+7),0))</f>
        <v/>
      </c>
      <c r="F1625" t="str">
        <f>IF($J1625="","",IFERROR(SUMIFS('Weekly Log'!$F:$F,'Weekly Log'!$A:$A,"&gt;="&amp;$J1625,'Weekly Log'!$A:$A,"&lt;"&amp;$J1625+7)/SUMIFS('Weekly Log'!$E:$E,'Weekly Log'!$A:$A,"&gt;="&amp;$J1625,'Weekly Log'!$A:$A,"&lt;"&amp;$J1625+7),0))</f>
        <v/>
      </c>
      <c r="G1625" t="str">
        <f>IF($J1625="","",IFERROR(LOOKUP(2,1/(('Weekly Log'!$A$5:$A$5000&gt;=$J1625)*('Weekly Log'!$A$5:$A$5000&lt;$J1625+7)*('Weekly Log'!$M$5:$M$5000&lt;&gt;"")),'Weekly Log'!$M$5:$M$5000),0))</f>
        <v/>
      </c>
      <c r="J1625" t="str">
        <f>IF(COUNT('Weekly Log'!$A$5:$A$5000)=0,"",IF(MIN('Weekly Log'!$A$5:$A$5000)+7*(ROW()-10)&gt;MAX('Weekly Log'!$A$5:$A$5000),"",MIN('Weekly Log'!$A$5:$A$5000)+7*(ROW()-10)))</f>
        <v/>
      </c>
    </row>
    <row r="1626" spans="1:10" x14ac:dyDescent="0.25">
      <c r="A1626" t="str">
        <f t="shared" si="25"/>
        <v/>
      </c>
      <c r="B1626" t="str">
        <f>IF($J1626="","",SUMIFS('Weekly Log'!$C:$C,'Weekly Log'!$A:$A,"&gt;="&amp;$J1626,'Weekly Log'!$A:$A,"&lt;"&amp;$J1626+7))</f>
        <v/>
      </c>
      <c r="C1626" t="str">
        <f>IF($J1626="","",IFERROR(COUNTIFS('Weekly Log'!$G:$G,"Y",'Weekly Log'!$A:$A,"&gt;="&amp;$J1626,'Weekly Log'!$A:$A,"&lt;"&amp;$J1626+7)/COUNTIFS('Weekly Log'!$G:$G,"&lt;&gt;",'Weekly Log'!$A:$A,"&gt;="&amp;$J1626,'Weekly Log'!$A:$A,"&lt;"&amp;$J1626+7),0))</f>
        <v/>
      </c>
      <c r="D1626" t="str">
        <f>IF($J1626="","",IFERROR(COUNTIFS('Weekly Log'!$H:$H,"Y",'Weekly Log'!$A:$A,"&gt;="&amp;$J1626,'Weekly Log'!$A:$A,"&lt;"&amp;$J1626+7)/COUNTIFS('Weekly Log'!$H:$H,"&lt;&gt;",'Weekly Log'!$A:$A,"&gt;="&amp;$J1626,'Weekly Log'!$A:$A,"&lt;"&amp;$J1626+7),0))</f>
        <v/>
      </c>
      <c r="E1626" t="str">
        <f>IF($J1626="","",IFERROR(AVERAGEIFS('Weekly Log'!$F:$F,'Weekly Log'!$A:$A,"&gt;="&amp;$J1626,'Weekly Log'!$A:$A,"&lt;"&amp;$J1626+7),0))</f>
        <v/>
      </c>
      <c r="F1626" t="str">
        <f>IF($J1626="","",IFERROR(SUMIFS('Weekly Log'!$F:$F,'Weekly Log'!$A:$A,"&gt;="&amp;$J1626,'Weekly Log'!$A:$A,"&lt;"&amp;$J1626+7)/SUMIFS('Weekly Log'!$E:$E,'Weekly Log'!$A:$A,"&gt;="&amp;$J1626,'Weekly Log'!$A:$A,"&lt;"&amp;$J1626+7),0))</f>
        <v/>
      </c>
      <c r="G1626" t="str">
        <f>IF($J1626="","",IFERROR(LOOKUP(2,1/(('Weekly Log'!$A$5:$A$5000&gt;=$J1626)*('Weekly Log'!$A$5:$A$5000&lt;$J1626+7)*('Weekly Log'!$M$5:$M$5000&lt;&gt;"")),'Weekly Log'!$M$5:$M$5000),0))</f>
        <v/>
      </c>
      <c r="J1626" t="str">
        <f>IF(COUNT('Weekly Log'!$A$5:$A$5000)=0,"",IF(MIN('Weekly Log'!$A$5:$A$5000)+7*(ROW()-10)&gt;MAX('Weekly Log'!$A$5:$A$5000),"",MIN('Weekly Log'!$A$5:$A$5000)+7*(ROW()-10)))</f>
        <v/>
      </c>
    </row>
    <row r="1627" spans="1:10" x14ac:dyDescent="0.25">
      <c r="A1627" t="str">
        <f t="shared" si="25"/>
        <v/>
      </c>
      <c r="B1627" t="str">
        <f>IF($J1627="","",SUMIFS('Weekly Log'!$C:$C,'Weekly Log'!$A:$A,"&gt;="&amp;$J1627,'Weekly Log'!$A:$A,"&lt;"&amp;$J1627+7))</f>
        <v/>
      </c>
      <c r="C1627" t="str">
        <f>IF($J1627="","",IFERROR(COUNTIFS('Weekly Log'!$G:$G,"Y",'Weekly Log'!$A:$A,"&gt;="&amp;$J1627,'Weekly Log'!$A:$A,"&lt;"&amp;$J1627+7)/COUNTIFS('Weekly Log'!$G:$G,"&lt;&gt;",'Weekly Log'!$A:$A,"&gt;="&amp;$J1627,'Weekly Log'!$A:$A,"&lt;"&amp;$J1627+7),0))</f>
        <v/>
      </c>
      <c r="D1627" t="str">
        <f>IF($J1627="","",IFERROR(COUNTIFS('Weekly Log'!$H:$H,"Y",'Weekly Log'!$A:$A,"&gt;="&amp;$J1627,'Weekly Log'!$A:$A,"&lt;"&amp;$J1627+7)/COUNTIFS('Weekly Log'!$H:$H,"&lt;&gt;",'Weekly Log'!$A:$A,"&gt;="&amp;$J1627,'Weekly Log'!$A:$A,"&lt;"&amp;$J1627+7),0))</f>
        <v/>
      </c>
      <c r="E1627" t="str">
        <f>IF($J1627="","",IFERROR(AVERAGEIFS('Weekly Log'!$F:$F,'Weekly Log'!$A:$A,"&gt;="&amp;$J1627,'Weekly Log'!$A:$A,"&lt;"&amp;$J1627+7),0))</f>
        <v/>
      </c>
      <c r="F1627" t="str">
        <f>IF($J1627="","",IFERROR(SUMIFS('Weekly Log'!$F:$F,'Weekly Log'!$A:$A,"&gt;="&amp;$J1627,'Weekly Log'!$A:$A,"&lt;"&amp;$J1627+7)/SUMIFS('Weekly Log'!$E:$E,'Weekly Log'!$A:$A,"&gt;="&amp;$J1627,'Weekly Log'!$A:$A,"&lt;"&amp;$J1627+7),0))</f>
        <v/>
      </c>
      <c r="G1627" t="str">
        <f>IF($J1627="","",IFERROR(LOOKUP(2,1/(('Weekly Log'!$A$5:$A$5000&gt;=$J1627)*('Weekly Log'!$A$5:$A$5000&lt;$J1627+7)*('Weekly Log'!$M$5:$M$5000&lt;&gt;"")),'Weekly Log'!$M$5:$M$5000),0))</f>
        <v/>
      </c>
      <c r="J1627" t="str">
        <f>IF(COUNT('Weekly Log'!$A$5:$A$5000)=0,"",IF(MIN('Weekly Log'!$A$5:$A$5000)+7*(ROW()-10)&gt;MAX('Weekly Log'!$A$5:$A$5000),"",MIN('Weekly Log'!$A$5:$A$5000)+7*(ROW()-10)))</f>
        <v/>
      </c>
    </row>
    <row r="1628" spans="1:10" x14ac:dyDescent="0.25">
      <c r="A1628" t="str">
        <f t="shared" si="25"/>
        <v/>
      </c>
      <c r="B1628" t="str">
        <f>IF($J1628="","",SUMIFS('Weekly Log'!$C:$C,'Weekly Log'!$A:$A,"&gt;="&amp;$J1628,'Weekly Log'!$A:$A,"&lt;"&amp;$J1628+7))</f>
        <v/>
      </c>
      <c r="C1628" t="str">
        <f>IF($J1628="","",IFERROR(COUNTIFS('Weekly Log'!$G:$G,"Y",'Weekly Log'!$A:$A,"&gt;="&amp;$J1628,'Weekly Log'!$A:$A,"&lt;"&amp;$J1628+7)/COUNTIFS('Weekly Log'!$G:$G,"&lt;&gt;",'Weekly Log'!$A:$A,"&gt;="&amp;$J1628,'Weekly Log'!$A:$A,"&lt;"&amp;$J1628+7),0))</f>
        <v/>
      </c>
      <c r="D1628" t="str">
        <f>IF($J1628="","",IFERROR(COUNTIFS('Weekly Log'!$H:$H,"Y",'Weekly Log'!$A:$A,"&gt;="&amp;$J1628,'Weekly Log'!$A:$A,"&lt;"&amp;$J1628+7)/COUNTIFS('Weekly Log'!$H:$H,"&lt;&gt;",'Weekly Log'!$A:$A,"&gt;="&amp;$J1628,'Weekly Log'!$A:$A,"&lt;"&amp;$J1628+7),0))</f>
        <v/>
      </c>
      <c r="E1628" t="str">
        <f>IF($J1628="","",IFERROR(AVERAGEIFS('Weekly Log'!$F:$F,'Weekly Log'!$A:$A,"&gt;="&amp;$J1628,'Weekly Log'!$A:$A,"&lt;"&amp;$J1628+7),0))</f>
        <v/>
      </c>
      <c r="F1628" t="str">
        <f>IF($J1628="","",IFERROR(SUMIFS('Weekly Log'!$F:$F,'Weekly Log'!$A:$A,"&gt;="&amp;$J1628,'Weekly Log'!$A:$A,"&lt;"&amp;$J1628+7)/SUMIFS('Weekly Log'!$E:$E,'Weekly Log'!$A:$A,"&gt;="&amp;$J1628,'Weekly Log'!$A:$A,"&lt;"&amp;$J1628+7),0))</f>
        <v/>
      </c>
      <c r="G1628" t="str">
        <f>IF($J1628="","",IFERROR(LOOKUP(2,1/(('Weekly Log'!$A$5:$A$5000&gt;=$J1628)*('Weekly Log'!$A$5:$A$5000&lt;$J1628+7)*('Weekly Log'!$M$5:$M$5000&lt;&gt;"")),'Weekly Log'!$M$5:$M$5000),0))</f>
        <v/>
      </c>
      <c r="J1628" t="str">
        <f>IF(COUNT('Weekly Log'!$A$5:$A$5000)=0,"",IF(MIN('Weekly Log'!$A$5:$A$5000)+7*(ROW()-10)&gt;MAX('Weekly Log'!$A$5:$A$5000),"",MIN('Weekly Log'!$A$5:$A$5000)+7*(ROW()-10)))</f>
        <v/>
      </c>
    </row>
    <row r="1629" spans="1:10" x14ac:dyDescent="0.25">
      <c r="A1629" t="str">
        <f t="shared" si="25"/>
        <v/>
      </c>
      <c r="B1629" t="str">
        <f>IF($J1629="","",SUMIFS('Weekly Log'!$C:$C,'Weekly Log'!$A:$A,"&gt;="&amp;$J1629,'Weekly Log'!$A:$A,"&lt;"&amp;$J1629+7))</f>
        <v/>
      </c>
      <c r="C1629" t="str">
        <f>IF($J1629="","",IFERROR(COUNTIFS('Weekly Log'!$G:$G,"Y",'Weekly Log'!$A:$A,"&gt;="&amp;$J1629,'Weekly Log'!$A:$A,"&lt;"&amp;$J1629+7)/COUNTIFS('Weekly Log'!$G:$G,"&lt;&gt;",'Weekly Log'!$A:$A,"&gt;="&amp;$J1629,'Weekly Log'!$A:$A,"&lt;"&amp;$J1629+7),0))</f>
        <v/>
      </c>
      <c r="D1629" t="str">
        <f>IF($J1629="","",IFERROR(COUNTIFS('Weekly Log'!$H:$H,"Y",'Weekly Log'!$A:$A,"&gt;="&amp;$J1629,'Weekly Log'!$A:$A,"&lt;"&amp;$J1629+7)/COUNTIFS('Weekly Log'!$H:$H,"&lt;&gt;",'Weekly Log'!$A:$A,"&gt;="&amp;$J1629,'Weekly Log'!$A:$A,"&lt;"&amp;$J1629+7),0))</f>
        <v/>
      </c>
      <c r="E1629" t="str">
        <f>IF($J1629="","",IFERROR(AVERAGEIFS('Weekly Log'!$F:$F,'Weekly Log'!$A:$A,"&gt;="&amp;$J1629,'Weekly Log'!$A:$A,"&lt;"&amp;$J1629+7),0))</f>
        <v/>
      </c>
      <c r="F1629" t="str">
        <f>IF($J1629="","",IFERROR(SUMIFS('Weekly Log'!$F:$F,'Weekly Log'!$A:$A,"&gt;="&amp;$J1629,'Weekly Log'!$A:$A,"&lt;"&amp;$J1629+7)/SUMIFS('Weekly Log'!$E:$E,'Weekly Log'!$A:$A,"&gt;="&amp;$J1629,'Weekly Log'!$A:$A,"&lt;"&amp;$J1629+7),0))</f>
        <v/>
      </c>
      <c r="G1629" t="str">
        <f>IF($J1629="","",IFERROR(LOOKUP(2,1/(('Weekly Log'!$A$5:$A$5000&gt;=$J1629)*('Weekly Log'!$A$5:$A$5000&lt;$J1629+7)*('Weekly Log'!$M$5:$M$5000&lt;&gt;"")),'Weekly Log'!$M$5:$M$5000),0))</f>
        <v/>
      </c>
      <c r="J1629" t="str">
        <f>IF(COUNT('Weekly Log'!$A$5:$A$5000)=0,"",IF(MIN('Weekly Log'!$A$5:$A$5000)+7*(ROW()-10)&gt;MAX('Weekly Log'!$A$5:$A$5000),"",MIN('Weekly Log'!$A$5:$A$5000)+7*(ROW()-10)))</f>
        <v/>
      </c>
    </row>
    <row r="1630" spans="1:10" x14ac:dyDescent="0.25">
      <c r="A1630" t="str">
        <f t="shared" si="25"/>
        <v/>
      </c>
      <c r="B1630" t="str">
        <f>IF($J1630="","",SUMIFS('Weekly Log'!$C:$C,'Weekly Log'!$A:$A,"&gt;="&amp;$J1630,'Weekly Log'!$A:$A,"&lt;"&amp;$J1630+7))</f>
        <v/>
      </c>
      <c r="C1630" t="str">
        <f>IF($J1630="","",IFERROR(COUNTIFS('Weekly Log'!$G:$G,"Y",'Weekly Log'!$A:$A,"&gt;="&amp;$J1630,'Weekly Log'!$A:$A,"&lt;"&amp;$J1630+7)/COUNTIFS('Weekly Log'!$G:$G,"&lt;&gt;",'Weekly Log'!$A:$A,"&gt;="&amp;$J1630,'Weekly Log'!$A:$A,"&lt;"&amp;$J1630+7),0))</f>
        <v/>
      </c>
      <c r="D1630" t="str">
        <f>IF($J1630="","",IFERROR(COUNTIFS('Weekly Log'!$H:$H,"Y",'Weekly Log'!$A:$A,"&gt;="&amp;$J1630,'Weekly Log'!$A:$A,"&lt;"&amp;$J1630+7)/COUNTIFS('Weekly Log'!$H:$H,"&lt;&gt;",'Weekly Log'!$A:$A,"&gt;="&amp;$J1630,'Weekly Log'!$A:$A,"&lt;"&amp;$J1630+7),0))</f>
        <v/>
      </c>
      <c r="E1630" t="str">
        <f>IF($J1630="","",IFERROR(AVERAGEIFS('Weekly Log'!$F:$F,'Weekly Log'!$A:$A,"&gt;="&amp;$J1630,'Weekly Log'!$A:$A,"&lt;"&amp;$J1630+7),0))</f>
        <v/>
      </c>
      <c r="F1630" t="str">
        <f>IF($J1630="","",IFERROR(SUMIFS('Weekly Log'!$F:$F,'Weekly Log'!$A:$A,"&gt;="&amp;$J1630,'Weekly Log'!$A:$A,"&lt;"&amp;$J1630+7)/SUMIFS('Weekly Log'!$E:$E,'Weekly Log'!$A:$A,"&gt;="&amp;$J1630,'Weekly Log'!$A:$A,"&lt;"&amp;$J1630+7),0))</f>
        <v/>
      </c>
      <c r="G1630" t="str">
        <f>IF($J1630="","",IFERROR(LOOKUP(2,1/(('Weekly Log'!$A$5:$A$5000&gt;=$J1630)*('Weekly Log'!$A$5:$A$5000&lt;$J1630+7)*('Weekly Log'!$M$5:$M$5000&lt;&gt;"")),'Weekly Log'!$M$5:$M$5000),0))</f>
        <v/>
      </c>
      <c r="J1630" t="str">
        <f>IF(COUNT('Weekly Log'!$A$5:$A$5000)=0,"",IF(MIN('Weekly Log'!$A$5:$A$5000)+7*(ROW()-10)&gt;MAX('Weekly Log'!$A$5:$A$5000),"",MIN('Weekly Log'!$A$5:$A$5000)+7*(ROW()-10)))</f>
        <v/>
      </c>
    </row>
    <row r="1631" spans="1:10" x14ac:dyDescent="0.25">
      <c r="A1631" t="str">
        <f t="shared" si="25"/>
        <v/>
      </c>
      <c r="B1631" t="str">
        <f>IF($J1631="","",SUMIFS('Weekly Log'!$C:$C,'Weekly Log'!$A:$A,"&gt;="&amp;$J1631,'Weekly Log'!$A:$A,"&lt;"&amp;$J1631+7))</f>
        <v/>
      </c>
      <c r="C1631" t="str">
        <f>IF($J1631="","",IFERROR(COUNTIFS('Weekly Log'!$G:$G,"Y",'Weekly Log'!$A:$A,"&gt;="&amp;$J1631,'Weekly Log'!$A:$A,"&lt;"&amp;$J1631+7)/COUNTIFS('Weekly Log'!$G:$G,"&lt;&gt;",'Weekly Log'!$A:$A,"&gt;="&amp;$J1631,'Weekly Log'!$A:$A,"&lt;"&amp;$J1631+7),0))</f>
        <v/>
      </c>
      <c r="D1631" t="str">
        <f>IF($J1631="","",IFERROR(COUNTIFS('Weekly Log'!$H:$H,"Y",'Weekly Log'!$A:$A,"&gt;="&amp;$J1631,'Weekly Log'!$A:$A,"&lt;"&amp;$J1631+7)/COUNTIFS('Weekly Log'!$H:$H,"&lt;&gt;",'Weekly Log'!$A:$A,"&gt;="&amp;$J1631,'Weekly Log'!$A:$A,"&lt;"&amp;$J1631+7),0))</f>
        <v/>
      </c>
      <c r="E1631" t="str">
        <f>IF($J1631="","",IFERROR(AVERAGEIFS('Weekly Log'!$F:$F,'Weekly Log'!$A:$A,"&gt;="&amp;$J1631,'Weekly Log'!$A:$A,"&lt;"&amp;$J1631+7),0))</f>
        <v/>
      </c>
      <c r="F1631" t="str">
        <f>IF($J1631="","",IFERROR(SUMIFS('Weekly Log'!$F:$F,'Weekly Log'!$A:$A,"&gt;="&amp;$J1631,'Weekly Log'!$A:$A,"&lt;"&amp;$J1631+7)/SUMIFS('Weekly Log'!$E:$E,'Weekly Log'!$A:$A,"&gt;="&amp;$J1631,'Weekly Log'!$A:$A,"&lt;"&amp;$J1631+7),0))</f>
        <v/>
      </c>
      <c r="G1631" t="str">
        <f>IF($J1631="","",IFERROR(LOOKUP(2,1/(('Weekly Log'!$A$5:$A$5000&gt;=$J1631)*('Weekly Log'!$A$5:$A$5000&lt;$J1631+7)*('Weekly Log'!$M$5:$M$5000&lt;&gt;"")),'Weekly Log'!$M$5:$M$5000),0))</f>
        <v/>
      </c>
      <c r="J1631" t="str">
        <f>IF(COUNT('Weekly Log'!$A$5:$A$5000)=0,"",IF(MIN('Weekly Log'!$A$5:$A$5000)+7*(ROW()-10)&gt;MAX('Weekly Log'!$A$5:$A$5000),"",MIN('Weekly Log'!$A$5:$A$5000)+7*(ROW()-10)))</f>
        <v/>
      </c>
    </row>
    <row r="1632" spans="1:10" x14ac:dyDescent="0.25">
      <c r="A1632" t="str">
        <f t="shared" si="25"/>
        <v/>
      </c>
      <c r="B1632" t="str">
        <f>IF($J1632="","",SUMIFS('Weekly Log'!$C:$C,'Weekly Log'!$A:$A,"&gt;="&amp;$J1632,'Weekly Log'!$A:$A,"&lt;"&amp;$J1632+7))</f>
        <v/>
      </c>
      <c r="C1632" t="str">
        <f>IF($J1632="","",IFERROR(COUNTIFS('Weekly Log'!$G:$G,"Y",'Weekly Log'!$A:$A,"&gt;="&amp;$J1632,'Weekly Log'!$A:$A,"&lt;"&amp;$J1632+7)/COUNTIFS('Weekly Log'!$G:$G,"&lt;&gt;",'Weekly Log'!$A:$A,"&gt;="&amp;$J1632,'Weekly Log'!$A:$A,"&lt;"&amp;$J1632+7),0))</f>
        <v/>
      </c>
      <c r="D1632" t="str">
        <f>IF($J1632="","",IFERROR(COUNTIFS('Weekly Log'!$H:$H,"Y",'Weekly Log'!$A:$A,"&gt;="&amp;$J1632,'Weekly Log'!$A:$A,"&lt;"&amp;$J1632+7)/COUNTIFS('Weekly Log'!$H:$H,"&lt;&gt;",'Weekly Log'!$A:$A,"&gt;="&amp;$J1632,'Weekly Log'!$A:$A,"&lt;"&amp;$J1632+7),0))</f>
        <v/>
      </c>
      <c r="E1632" t="str">
        <f>IF($J1632="","",IFERROR(AVERAGEIFS('Weekly Log'!$F:$F,'Weekly Log'!$A:$A,"&gt;="&amp;$J1632,'Weekly Log'!$A:$A,"&lt;"&amp;$J1632+7),0))</f>
        <v/>
      </c>
      <c r="F1632" t="str">
        <f>IF($J1632="","",IFERROR(SUMIFS('Weekly Log'!$F:$F,'Weekly Log'!$A:$A,"&gt;="&amp;$J1632,'Weekly Log'!$A:$A,"&lt;"&amp;$J1632+7)/SUMIFS('Weekly Log'!$E:$E,'Weekly Log'!$A:$A,"&gt;="&amp;$J1632,'Weekly Log'!$A:$A,"&lt;"&amp;$J1632+7),0))</f>
        <v/>
      </c>
      <c r="G1632" t="str">
        <f>IF($J1632="","",IFERROR(LOOKUP(2,1/(('Weekly Log'!$A$5:$A$5000&gt;=$J1632)*('Weekly Log'!$A$5:$A$5000&lt;$J1632+7)*('Weekly Log'!$M$5:$M$5000&lt;&gt;"")),'Weekly Log'!$M$5:$M$5000),0))</f>
        <v/>
      </c>
      <c r="J1632" t="str">
        <f>IF(COUNT('Weekly Log'!$A$5:$A$5000)=0,"",IF(MIN('Weekly Log'!$A$5:$A$5000)+7*(ROW()-10)&gt;MAX('Weekly Log'!$A$5:$A$5000),"",MIN('Weekly Log'!$A$5:$A$5000)+7*(ROW()-10)))</f>
        <v/>
      </c>
    </row>
    <row r="1633" spans="1:10" x14ac:dyDescent="0.25">
      <c r="A1633" t="str">
        <f t="shared" si="25"/>
        <v/>
      </c>
      <c r="B1633" t="str">
        <f>IF($J1633="","",SUMIFS('Weekly Log'!$C:$C,'Weekly Log'!$A:$A,"&gt;="&amp;$J1633,'Weekly Log'!$A:$A,"&lt;"&amp;$J1633+7))</f>
        <v/>
      </c>
      <c r="C1633" t="str">
        <f>IF($J1633="","",IFERROR(COUNTIFS('Weekly Log'!$G:$G,"Y",'Weekly Log'!$A:$A,"&gt;="&amp;$J1633,'Weekly Log'!$A:$A,"&lt;"&amp;$J1633+7)/COUNTIFS('Weekly Log'!$G:$G,"&lt;&gt;",'Weekly Log'!$A:$A,"&gt;="&amp;$J1633,'Weekly Log'!$A:$A,"&lt;"&amp;$J1633+7),0))</f>
        <v/>
      </c>
      <c r="D1633" t="str">
        <f>IF($J1633="","",IFERROR(COUNTIFS('Weekly Log'!$H:$H,"Y",'Weekly Log'!$A:$A,"&gt;="&amp;$J1633,'Weekly Log'!$A:$A,"&lt;"&amp;$J1633+7)/COUNTIFS('Weekly Log'!$H:$H,"&lt;&gt;",'Weekly Log'!$A:$A,"&gt;="&amp;$J1633,'Weekly Log'!$A:$A,"&lt;"&amp;$J1633+7),0))</f>
        <v/>
      </c>
      <c r="E1633" t="str">
        <f>IF($J1633="","",IFERROR(AVERAGEIFS('Weekly Log'!$F:$F,'Weekly Log'!$A:$A,"&gt;="&amp;$J1633,'Weekly Log'!$A:$A,"&lt;"&amp;$J1633+7),0))</f>
        <v/>
      </c>
      <c r="F1633" t="str">
        <f>IF($J1633="","",IFERROR(SUMIFS('Weekly Log'!$F:$F,'Weekly Log'!$A:$A,"&gt;="&amp;$J1633,'Weekly Log'!$A:$A,"&lt;"&amp;$J1633+7)/SUMIFS('Weekly Log'!$E:$E,'Weekly Log'!$A:$A,"&gt;="&amp;$J1633,'Weekly Log'!$A:$A,"&lt;"&amp;$J1633+7),0))</f>
        <v/>
      </c>
      <c r="G1633" t="str">
        <f>IF($J1633="","",IFERROR(LOOKUP(2,1/(('Weekly Log'!$A$5:$A$5000&gt;=$J1633)*('Weekly Log'!$A$5:$A$5000&lt;$J1633+7)*('Weekly Log'!$M$5:$M$5000&lt;&gt;"")),'Weekly Log'!$M$5:$M$5000),0))</f>
        <v/>
      </c>
      <c r="J1633" t="str">
        <f>IF(COUNT('Weekly Log'!$A$5:$A$5000)=0,"",IF(MIN('Weekly Log'!$A$5:$A$5000)+7*(ROW()-10)&gt;MAX('Weekly Log'!$A$5:$A$5000),"",MIN('Weekly Log'!$A$5:$A$5000)+7*(ROW()-10)))</f>
        <v/>
      </c>
    </row>
    <row r="1634" spans="1:10" x14ac:dyDescent="0.25">
      <c r="A1634" t="str">
        <f t="shared" si="25"/>
        <v/>
      </c>
      <c r="B1634" t="str">
        <f>IF($J1634="","",SUMIFS('Weekly Log'!$C:$C,'Weekly Log'!$A:$A,"&gt;="&amp;$J1634,'Weekly Log'!$A:$A,"&lt;"&amp;$J1634+7))</f>
        <v/>
      </c>
      <c r="C1634" t="str">
        <f>IF($J1634="","",IFERROR(COUNTIFS('Weekly Log'!$G:$G,"Y",'Weekly Log'!$A:$A,"&gt;="&amp;$J1634,'Weekly Log'!$A:$A,"&lt;"&amp;$J1634+7)/COUNTIFS('Weekly Log'!$G:$G,"&lt;&gt;",'Weekly Log'!$A:$A,"&gt;="&amp;$J1634,'Weekly Log'!$A:$A,"&lt;"&amp;$J1634+7),0))</f>
        <v/>
      </c>
      <c r="D1634" t="str">
        <f>IF($J1634="","",IFERROR(COUNTIFS('Weekly Log'!$H:$H,"Y",'Weekly Log'!$A:$A,"&gt;="&amp;$J1634,'Weekly Log'!$A:$A,"&lt;"&amp;$J1634+7)/COUNTIFS('Weekly Log'!$H:$H,"&lt;&gt;",'Weekly Log'!$A:$A,"&gt;="&amp;$J1634,'Weekly Log'!$A:$A,"&lt;"&amp;$J1634+7),0))</f>
        <v/>
      </c>
      <c r="E1634" t="str">
        <f>IF($J1634="","",IFERROR(AVERAGEIFS('Weekly Log'!$F:$F,'Weekly Log'!$A:$A,"&gt;="&amp;$J1634,'Weekly Log'!$A:$A,"&lt;"&amp;$J1634+7),0))</f>
        <v/>
      </c>
      <c r="F1634" t="str">
        <f>IF($J1634="","",IFERROR(SUMIFS('Weekly Log'!$F:$F,'Weekly Log'!$A:$A,"&gt;="&amp;$J1634,'Weekly Log'!$A:$A,"&lt;"&amp;$J1634+7)/SUMIFS('Weekly Log'!$E:$E,'Weekly Log'!$A:$A,"&gt;="&amp;$J1634,'Weekly Log'!$A:$A,"&lt;"&amp;$J1634+7),0))</f>
        <v/>
      </c>
      <c r="G1634" t="str">
        <f>IF($J1634="","",IFERROR(LOOKUP(2,1/(('Weekly Log'!$A$5:$A$5000&gt;=$J1634)*('Weekly Log'!$A$5:$A$5000&lt;$J1634+7)*('Weekly Log'!$M$5:$M$5000&lt;&gt;"")),'Weekly Log'!$M$5:$M$5000),0))</f>
        <v/>
      </c>
      <c r="J1634" t="str">
        <f>IF(COUNT('Weekly Log'!$A$5:$A$5000)=0,"",IF(MIN('Weekly Log'!$A$5:$A$5000)+7*(ROW()-10)&gt;MAX('Weekly Log'!$A$5:$A$5000),"",MIN('Weekly Log'!$A$5:$A$5000)+7*(ROW()-10)))</f>
        <v/>
      </c>
    </row>
    <row r="1635" spans="1:10" x14ac:dyDescent="0.25">
      <c r="A1635" t="str">
        <f t="shared" si="25"/>
        <v/>
      </c>
      <c r="B1635" t="str">
        <f>IF($J1635="","",SUMIFS('Weekly Log'!$C:$C,'Weekly Log'!$A:$A,"&gt;="&amp;$J1635,'Weekly Log'!$A:$A,"&lt;"&amp;$J1635+7))</f>
        <v/>
      </c>
      <c r="C1635" t="str">
        <f>IF($J1635="","",IFERROR(COUNTIFS('Weekly Log'!$G:$G,"Y",'Weekly Log'!$A:$A,"&gt;="&amp;$J1635,'Weekly Log'!$A:$A,"&lt;"&amp;$J1635+7)/COUNTIFS('Weekly Log'!$G:$G,"&lt;&gt;",'Weekly Log'!$A:$A,"&gt;="&amp;$J1635,'Weekly Log'!$A:$A,"&lt;"&amp;$J1635+7),0))</f>
        <v/>
      </c>
      <c r="D1635" t="str">
        <f>IF($J1635="","",IFERROR(COUNTIFS('Weekly Log'!$H:$H,"Y",'Weekly Log'!$A:$A,"&gt;="&amp;$J1635,'Weekly Log'!$A:$A,"&lt;"&amp;$J1635+7)/COUNTIFS('Weekly Log'!$H:$H,"&lt;&gt;",'Weekly Log'!$A:$A,"&gt;="&amp;$J1635,'Weekly Log'!$A:$A,"&lt;"&amp;$J1635+7),0))</f>
        <v/>
      </c>
      <c r="E1635" t="str">
        <f>IF($J1635="","",IFERROR(AVERAGEIFS('Weekly Log'!$F:$F,'Weekly Log'!$A:$A,"&gt;="&amp;$J1635,'Weekly Log'!$A:$A,"&lt;"&amp;$J1635+7),0))</f>
        <v/>
      </c>
      <c r="F1635" t="str">
        <f>IF($J1635="","",IFERROR(SUMIFS('Weekly Log'!$F:$F,'Weekly Log'!$A:$A,"&gt;="&amp;$J1635,'Weekly Log'!$A:$A,"&lt;"&amp;$J1635+7)/SUMIFS('Weekly Log'!$E:$E,'Weekly Log'!$A:$A,"&gt;="&amp;$J1635,'Weekly Log'!$A:$A,"&lt;"&amp;$J1635+7),0))</f>
        <v/>
      </c>
      <c r="G1635" t="str">
        <f>IF($J1635="","",IFERROR(LOOKUP(2,1/(('Weekly Log'!$A$5:$A$5000&gt;=$J1635)*('Weekly Log'!$A$5:$A$5000&lt;$J1635+7)*('Weekly Log'!$M$5:$M$5000&lt;&gt;"")),'Weekly Log'!$M$5:$M$5000),0))</f>
        <v/>
      </c>
      <c r="J1635" t="str">
        <f>IF(COUNT('Weekly Log'!$A$5:$A$5000)=0,"",IF(MIN('Weekly Log'!$A$5:$A$5000)+7*(ROW()-10)&gt;MAX('Weekly Log'!$A$5:$A$5000),"",MIN('Weekly Log'!$A$5:$A$5000)+7*(ROW()-10)))</f>
        <v/>
      </c>
    </row>
    <row r="1636" spans="1:10" x14ac:dyDescent="0.25">
      <c r="A1636" t="str">
        <f t="shared" si="25"/>
        <v/>
      </c>
      <c r="B1636" t="str">
        <f>IF($J1636="","",SUMIFS('Weekly Log'!$C:$C,'Weekly Log'!$A:$A,"&gt;="&amp;$J1636,'Weekly Log'!$A:$A,"&lt;"&amp;$J1636+7))</f>
        <v/>
      </c>
      <c r="C1636" t="str">
        <f>IF($J1636="","",IFERROR(COUNTIFS('Weekly Log'!$G:$G,"Y",'Weekly Log'!$A:$A,"&gt;="&amp;$J1636,'Weekly Log'!$A:$A,"&lt;"&amp;$J1636+7)/COUNTIFS('Weekly Log'!$G:$G,"&lt;&gt;",'Weekly Log'!$A:$A,"&gt;="&amp;$J1636,'Weekly Log'!$A:$A,"&lt;"&amp;$J1636+7),0))</f>
        <v/>
      </c>
      <c r="D1636" t="str">
        <f>IF($J1636="","",IFERROR(COUNTIFS('Weekly Log'!$H:$H,"Y",'Weekly Log'!$A:$A,"&gt;="&amp;$J1636,'Weekly Log'!$A:$A,"&lt;"&amp;$J1636+7)/COUNTIFS('Weekly Log'!$H:$H,"&lt;&gt;",'Weekly Log'!$A:$A,"&gt;="&amp;$J1636,'Weekly Log'!$A:$A,"&lt;"&amp;$J1636+7),0))</f>
        <v/>
      </c>
      <c r="E1636" t="str">
        <f>IF($J1636="","",IFERROR(AVERAGEIFS('Weekly Log'!$F:$F,'Weekly Log'!$A:$A,"&gt;="&amp;$J1636,'Weekly Log'!$A:$A,"&lt;"&amp;$J1636+7),0))</f>
        <v/>
      </c>
      <c r="F1636" t="str">
        <f>IF($J1636="","",IFERROR(SUMIFS('Weekly Log'!$F:$F,'Weekly Log'!$A:$A,"&gt;="&amp;$J1636,'Weekly Log'!$A:$A,"&lt;"&amp;$J1636+7)/SUMIFS('Weekly Log'!$E:$E,'Weekly Log'!$A:$A,"&gt;="&amp;$J1636,'Weekly Log'!$A:$A,"&lt;"&amp;$J1636+7),0))</f>
        <v/>
      </c>
      <c r="G1636" t="str">
        <f>IF($J1636="","",IFERROR(LOOKUP(2,1/(('Weekly Log'!$A$5:$A$5000&gt;=$J1636)*('Weekly Log'!$A$5:$A$5000&lt;$J1636+7)*('Weekly Log'!$M$5:$M$5000&lt;&gt;"")),'Weekly Log'!$M$5:$M$5000),0))</f>
        <v/>
      </c>
      <c r="J1636" t="str">
        <f>IF(COUNT('Weekly Log'!$A$5:$A$5000)=0,"",IF(MIN('Weekly Log'!$A$5:$A$5000)+7*(ROW()-10)&gt;MAX('Weekly Log'!$A$5:$A$5000),"",MIN('Weekly Log'!$A$5:$A$5000)+7*(ROW()-10)))</f>
        <v/>
      </c>
    </row>
    <row r="1637" spans="1:10" x14ac:dyDescent="0.25">
      <c r="A1637" t="str">
        <f t="shared" si="25"/>
        <v/>
      </c>
      <c r="B1637" t="str">
        <f>IF($J1637="","",SUMIFS('Weekly Log'!$C:$C,'Weekly Log'!$A:$A,"&gt;="&amp;$J1637,'Weekly Log'!$A:$A,"&lt;"&amp;$J1637+7))</f>
        <v/>
      </c>
      <c r="C1637" t="str">
        <f>IF($J1637="","",IFERROR(COUNTIFS('Weekly Log'!$G:$G,"Y",'Weekly Log'!$A:$A,"&gt;="&amp;$J1637,'Weekly Log'!$A:$A,"&lt;"&amp;$J1637+7)/COUNTIFS('Weekly Log'!$G:$G,"&lt;&gt;",'Weekly Log'!$A:$A,"&gt;="&amp;$J1637,'Weekly Log'!$A:$A,"&lt;"&amp;$J1637+7),0))</f>
        <v/>
      </c>
      <c r="D1637" t="str">
        <f>IF($J1637="","",IFERROR(COUNTIFS('Weekly Log'!$H:$H,"Y",'Weekly Log'!$A:$A,"&gt;="&amp;$J1637,'Weekly Log'!$A:$A,"&lt;"&amp;$J1637+7)/COUNTIFS('Weekly Log'!$H:$H,"&lt;&gt;",'Weekly Log'!$A:$A,"&gt;="&amp;$J1637,'Weekly Log'!$A:$A,"&lt;"&amp;$J1637+7),0))</f>
        <v/>
      </c>
      <c r="E1637" t="str">
        <f>IF($J1637="","",IFERROR(AVERAGEIFS('Weekly Log'!$F:$F,'Weekly Log'!$A:$A,"&gt;="&amp;$J1637,'Weekly Log'!$A:$A,"&lt;"&amp;$J1637+7),0))</f>
        <v/>
      </c>
      <c r="F1637" t="str">
        <f>IF($J1637="","",IFERROR(SUMIFS('Weekly Log'!$F:$F,'Weekly Log'!$A:$A,"&gt;="&amp;$J1637,'Weekly Log'!$A:$A,"&lt;"&amp;$J1637+7)/SUMIFS('Weekly Log'!$E:$E,'Weekly Log'!$A:$A,"&gt;="&amp;$J1637,'Weekly Log'!$A:$A,"&lt;"&amp;$J1637+7),0))</f>
        <v/>
      </c>
      <c r="G1637" t="str">
        <f>IF($J1637="","",IFERROR(LOOKUP(2,1/(('Weekly Log'!$A$5:$A$5000&gt;=$J1637)*('Weekly Log'!$A$5:$A$5000&lt;$J1637+7)*('Weekly Log'!$M$5:$M$5000&lt;&gt;"")),'Weekly Log'!$M$5:$M$5000),0))</f>
        <v/>
      </c>
      <c r="J1637" t="str">
        <f>IF(COUNT('Weekly Log'!$A$5:$A$5000)=0,"",IF(MIN('Weekly Log'!$A$5:$A$5000)+7*(ROW()-10)&gt;MAX('Weekly Log'!$A$5:$A$5000),"",MIN('Weekly Log'!$A$5:$A$5000)+7*(ROW()-10)))</f>
        <v/>
      </c>
    </row>
    <row r="1638" spans="1:10" x14ac:dyDescent="0.25">
      <c r="A1638" t="str">
        <f t="shared" si="25"/>
        <v/>
      </c>
      <c r="B1638" t="str">
        <f>IF($J1638="","",SUMIFS('Weekly Log'!$C:$C,'Weekly Log'!$A:$A,"&gt;="&amp;$J1638,'Weekly Log'!$A:$A,"&lt;"&amp;$J1638+7))</f>
        <v/>
      </c>
      <c r="C1638" t="str">
        <f>IF($J1638="","",IFERROR(COUNTIFS('Weekly Log'!$G:$G,"Y",'Weekly Log'!$A:$A,"&gt;="&amp;$J1638,'Weekly Log'!$A:$A,"&lt;"&amp;$J1638+7)/COUNTIFS('Weekly Log'!$G:$G,"&lt;&gt;",'Weekly Log'!$A:$A,"&gt;="&amp;$J1638,'Weekly Log'!$A:$A,"&lt;"&amp;$J1638+7),0))</f>
        <v/>
      </c>
      <c r="D1638" t="str">
        <f>IF($J1638="","",IFERROR(COUNTIFS('Weekly Log'!$H:$H,"Y",'Weekly Log'!$A:$A,"&gt;="&amp;$J1638,'Weekly Log'!$A:$A,"&lt;"&amp;$J1638+7)/COUNTIFS('Weekly Log'!$H:$H,"&lt;&gt;",'Weekly Log'!$A:$A,"&gt;="&amp;$J1638,'Weekly Log'!$A:$A,"&lt;"&amp;$J1638+7),0))</f>
        <v/>
      </c>
      <c r="E1638" t="str">
        <f>IF($J1638="","",IFERROR(AVERAGEIFS('Weekly Log'!$F:$F,'Weekly Log'!$A:$A,"&gt;="&amp;$J1638,'Weekly Log'!$A:$A,"&lt;"&amp;$J1638+7),0))</f>
        <v/>
      </c>
      <c r="F1638" t="str">
        <f>IF($J1638="","",IFERROR(SUMIFS('Weekly Log'!$F:$F,'Weekly Log'!$A:$A,"&gt;="&amp;$J1638,'Weekly Log'!$A:$A,"&lt;"&amp;$J1638+7)/SUMIFS('Weekly Log'!$E:$E,'Weekly Log'!$A:$A,"&gt;="&amp;$J1638,'Weekly Log'!$A:$A,"&lt;"&amp;$J1638+7),0))</f>
        <v/>
      </c>
      <c r="G1638" t="str">
        <f>IF($J1638="","",IFERROR(LOOKUP(2,1/(('Weekly Log'!$A$5:$A$5000&gt;=$J1638)*('Weekly Log'!$A$5:$A$5000&lt;$J1638+7)*('Weekly Log'!$M$5:$M$5000&lt;&gt;"")),'Weekly Log'!$M$5:$M$5000),0))</f>
        <v/>
      </c>
      <c r="J1638" t="str">
        <f>IF(COUNT('Weekly Log'!$A$5:$A$5000)=0,"",IF(MIN('Weekly Log'!$A$5:$A$5000)+7*(ROW()-10)&gt;MAX('Weekly Log'!$A$5:$A$5000),"",MIN('Weekly Log'!$A$5:$A$5000)+7*(ROW()-10)))</f>
        <v/>
      </c>
    </row>
    <row r="1639" spans="1:10" x14ac:dyDescent="0.25">
      <c r="A1639" t="str">
        <f t="shared" si="25"/>
        <v/>
      </c>
      <c r="B1639" t="str">
        <f>IF($J1639="","",SUMIFS('Weekly Log'!$C:$C,'Weekly Log'!$A:$A,"&gt;="&amp;$J1639,'Weekly Log'!$A:$A,"&lt;"&amp;$J1639+7))</f>
        <v/>
      </c>
      <c r="C1639" t="str">
        <f>IF($J1639="","",IFERROR(COUNTIFS('Weekly Log'!$G:$G,"Y",'Weekly Log'!$A:$A,"&gt;="&amp;$J1639,'Weekly Log'!$A:$A,"&lt;"&amp;$J1639+7)/COUNTIFS('Weekly Log'!$G:$G,"&lt;&gt;",'Weekly Log'!$A:$A,"&gt;="&amp;$J1639,'Weekly Log'!$A:$A,"&lt;"&amp;$J1639+7),0))</f>
        <v/>
      </c>
      <c r="D1639" t="str">
        <f>IF($J1639="","",IFERROR(COUNTIFS('Weekly Log'!$H:$H,"Y",'Weekly Log'!$A:$A,"&gt;="&amp;$J1639,'Weekly Log'!$A:$A,"&lt;"&amp;$J1639+7)/COUNTIFS('Weekly Log'!$H:$H,"&lt;&gt;",'Weekly Log'!$A:$A,"&gt;="&amp;$J1639,'Weekly Log'!$A:$A,"&lt;"&amp;$J1639+7),0))</f>
        <v/>
      </c>
      <c r="E1639" t="str">
        <f>IF($J1639="","",IFERROR(AVERAGEIFS('Weekly Log'!$F:$F,'Weekly Log'!$A:$A,"&gt;="&amp;$J1639,'Weekly Log'!$A:$A,"&lt;"&amp;$J1639+7),0))</f>
        <v/>
      </c>
      <c r="F1639" t="str">
        <f>IF($J1639="","",IFERROR(SUMIFS('Weekly Log'!$F:$F,'Weekly Log'!$A:$A,"&gt;="&amp;$J1639,'Weekly Log'!$A:$A,"&lt;"&amp;$J1639+7)/SUMIFS('Weekly Log'!$E:$E,'Weekly Log'!$A:$A,"&gt;="&amp;$J1639,'Weekly Log'!$A:$A,"&lt;"&amp;$J1639+7),0))</f>
        <v/>
      </c>
      <c r="G1639" t="str">
        <f>IF($J1639="","",IFERROR(LOOKUP(2,1/(('Weekly Log'!$A$5:$A$5000&gt;=$J1639)*('Weekly Log'!$A$5:$A$5000&lt;$J1639+7)*('Weekly Log'!$M$5:$M$5000&lt;&gt;"")),'Weekly Log'!$M$5:$M$5000),0))</f>
        <v/>
      </c>
      <c r="J1639" t="str">
        <f>IF(COUNT('Weekly Log'!$A$5:$A$5000)=0,"",IF(MIN('Weekly Log'!$A$5:$A$5000)+7*(ROW()-10)&gt;MAX('Weekly Log'!$A$5:$A$5000),"",MIN('Weekly Log'!$A$5:$A$5000)+7*(ROW()-10)))</f>
        <v/>
      </c>
    </row>
    <row r="1640" spans="1:10" x14ac:dyDescent="0.25">
      <c r="A1640" t="str">
        <f t="shared" si="25"/>
        <v/>
      </c>
      <c r="B1640" t="str">
        <f>IF($J1640="","",SUMIFS('Weekly Log'!$C:$C,'Weekly Log'!$A:$A,"&gt;="&amp;$J1640,'Weekly Log'!$A:$A,"&lt;"&amp;$J1640+7))</f>
        <v/>
      </c>
      <c r="C1640" t="str">
        <f>IF($J1640="","",IFERROR(COUNTIFS('Weekly Log'!$G:$G,"Y",'Weekly Log'!$A:$A,"&gt;="&amp;$J1640,'Weekly Log'!$A:$A,"&lt;"&amp;$J1640+7)/COUNTIFS('Weekly Log'!$G:$G,"&lt;&gt;",'Weekly Log'!$A:$A,"&gt;="&amp;$J1640,'Weekly Log'!$A:$A,"&lt;"&amp;$J1640+7),0))</f>
        <v/>
      </c>
      <c r="D1640" t="str">
        <f>IF($J1640="","",IFERROR(COUNTIFS('Weekly Log'!$H:$H,"Y",'Weekly Log'!$A:$A,"&gt;="&amp;$J1640,'Weekly Log'!$A:$A,"&lt;"&amp;$J1640+7)/COUNTIFS('Weekly Log'!$H:$H,"&lt;&gt;",'Weekly Log'!$A:$A,"&gt;="&amp;$J1640,'Weekly Log'!$A:$A,"&lt;"&amp;$J1640+7),0))</f>
        <v/>
      </c>
      <c r="E1640" t="str">
        <f>IF($J1640="","",IFERROR(AVERAGEIFS('Weekly Log'!$F:$F,'Weekly Log'!$A:$A,"&gt;="&amp;$J1640,'Weekly Log'!$A:$A,"&lt;"&amp;$J1640+7),0))</f>
        <v/>
      </c>
      <c r="F1640" t="str">
        <f>IF($J1640="","",IFERROR(SUMIFS('Weekly Log'!$F:$F,'Weekly Log'!$A:$A,"&gt;="&amp;$J1640,'Weekly Log'!$A:$A,"&lt;"&amp;$J1640+7)/SUMIFS('Weekly Log'!$E:$E,'Weekly Log'!$A:$A,"&gt;="&amp;$J1640,'Weekly Log'!$A:$A,"&lt;"&amp;$J1640+7),0))</f>
        <v/>
      </c>
      <c r="G1640" t="str">
        <f>IF($J1640="","",IFERROR(LOOKUP(2,1/(('Weekly Log'!$A$5:$A$5000&gt;=$J1640)*('Weekly Log'!$A$5:$A$5000&lt;$J1640+7)*('Weekly Log'!$M$5:$M$5000&lt;&gt;"")),'Weekly Log'!$M$5:$M$5000),0))</f>
        <v/>
      </c>
      <c r="J1640" t="str">
        <f>IF(COUNT('Weekly Log'!$A$5:$A$5000)=0,"",IF(MIN('Weekly Log'!$A$5:$A$5000)+7*(ROW()-10)&gt;MAX('Weekly Log'!$A$5:$A$5000),"",MIN('Weekly Log'!$A$5:$A$5000)+7*(ROW()-10)))</f>
        <v/>
      </c>
    </row>
    <row r="1641" spans="1:10" x14ac:dyDescent="0.25">
      <c r="A1641" t="str">
        <f t="shared" si="25"/>
        <v/>
      </c>
      <c r="B1641" t="str">
        <f>IF($J1641="","",SUMIFS('Weekly Log'!$C:$C,'Weekly Log'!$A:$A,"&gt;="&amp;$J1641,'Weekly Log'!$A:$A,"&lt;"&amp;$J1641+7))</f>
        <v/>
      </c>
      <c r="C1641" t="str">
        <f>IF($J1641="","",IFERROR(COUNTIFS('Weekly Log'!$G:$G,"Y",'Weekly Log'!$A:$A,"&gt;="&amp;$J1641,'Weekly Log'!$A:$A,"&lt;"&amp;$J1641+7)/COUNTIFS('Weekly Log'!$G:$G,"&lt;&gt;",'Weekly Log'!$A:$A,"&gt;="&amp;$J1641,'Weekly Log'!$A:$A,"&lt;"&amp;$J1641+7),0))</f>
        <v/>
      </c>
      <c r="D1641" t="str">
        <f>IF($J1641="","",IFERROR(COUNTIFS('Weekly Log'!$H:$H,"Y",'Weekly Log'!$A:$A,"&gt;="&amp;$J1641,'Weekly Log'!$A:$A,"&lt;"&amp;$J1641+7)/COUNTIFS('Weekly Log'!$H:$H,"&lt;&gt;",'Weekly Log'!$A:$A,"&gt;="&amp;$J1641,'Weekly Log'!$A:$A,"&lt;"&amp;$J1641+7),0))</f>
        <v/>
      </c>
      <c r="E1641" t="str">
        <f>IF($J1641="","",IFERROR(AVERAGEIFS('Weekly Log'!$F:$F,'Weekly Log'!$A:$A,"&gt;="&amp;$J1641,'Weekly Log'!$A:$A,"&lt;"&amp;$J1641+7),0))</f>
        <v/>
      </c>
      <c r="F1641" t="str">
        <f>IF($J1641="","",IFERROR(SUMIFS('Weekly Log'!$F:$F,'Weekly Log'!$A:$A,"&gt;="&amp;$J1641,'Weekly Log'!$A:$A,"&lt;"&amp;$J1641+7)/SUMIFS('Weekly Log'!$E:$E,'Weekly Log'!$A:$A,"&gt;="&amp;$J1641,'Weekly Log'!$A:$A,"&lt;"&amp;$J1641+7),0))</f>
        <v/>
      </c>
      <c r="G1641" t="str">
        <f>IF($J1641="","",IFERROR(LOOKUP(2,1/(('Weekly Log'!$A$5:$A$5000&gt;=$J1641)*('Weekly Log'!$A$5:$A$5000&lt;$J1641+7)*('Weekly Log'!$M$5:$M$5000&lt;&gt;"")),'Weekly Log'!$M$5:$M$5000),0))</f>
        <v/>
      </c>
      <c r="J1641" t="str">
        <f>IF(COUNT('Weekly Log'!$A$5:$A$5000)=0,"",IF(MIN('Weekly Log'!$A$5:$A$5000)+7*(ROW()-10)&gt;MAX('Weekly Log'!$A$5:$A$5000),"",MIN('Weekly Log'!$A$5:$A$5000)+7*(ROW()-10)))</f>
        <v/>
      </c>
    </row>
    <row r="1642" spans="1:10" x14ac:dyDescent="0.25">
      <c r="A1642" t="str">
        <f t="shared" si="25"/>
        <v/>
      </c>
      <c r="B1642" t="str">
        <f>IF($J1642="","",SUMIFS('Weekly Log'!$C:$C,'Weekly Log'!$A:$A,"&gt;="&amp;$J1642,'Weekly Log'!$A:$A,"&lt;"&amp;$J1642+7))</f>
        <v/>
      </c>
      <c r="C1642" t="str">
        <f>IF($J1642="","",IFERROR(COUNTIFS('Weekly Log'!$G:$G,"Y",'Weekly Log'!$A:$A,"&gt;="&amp;$J1642,'Weekly Log'!$A:$A,"&lt;"&amp;$J1642+7)/COUNTIFS('Weekly Log'!$G:$G,"&lt;&gt;",'Weekly Log'!$A:$A,"&gt;="&amp;$J1642,'Weekly Log'!$A:$A,"&lt;"&amp;$J1642+7),0))</f>
        <v/>
      </c>
      <c r="D1642" t="str">
        <f>IF($J1642="","",IFERROR(COUNTIFS('Weekly Log'!$H:$H,"Y",'Weekly Log'!$A:$A,"&gt;="&amp;$J1642,'Weekly Log'!$A:$A,"&lt;"&amp;$J1642+7)/COUNTIFS('Weekly Log'!$H:$H,"&lt;&gt;",'Weekly Log'!$A:$A,"&gt;="&amp;$J1642,'Weekly Log'!$A:$A,"&lt;"&amp;$J1642+7),0))</f>
        <v/>
      </c>
      <c r="E1642" t="str">
        <f>IF($J1642="","",IFERROR(AVERAGEIFS('Weekly Log'!$F:$F,'Weekly Log'!$A:$A,"&gt;="&amp;$J1642,'Weekly Log'!$A:$A,"&lt;"&amp;$J1642+7),0))</f>
        <v/>
      </c>
      <c r="F1642" t="str">
        <f>IF($J1642="","",IFERROR(SUMIFS('Weekly Log'!$F:$F,'Weekly Log'!$A:$A,"&gt;="&amp;$J1642,'Weekly Log'!$A:$A,"&lt;"&amp;$J1642+7)/SUMIFS('Weekly Log'!$E:$E,'Weekly Log'!$A:$A,"&gt;="&amp;$J1642,'Weekly Log'!$A:$A,"&lt;"&amp;$J1642+7),0))</f>
        <v/>
      </c>
      <c r="G1642" t="str">
        <f>IF($J1642="","",IFERROR(LOOKUP(2,1/(('Weekly Log'!$A$5:$A$5000&gt;=$J1642)*('Weekly Log'!$A$5:$A$5000&lt;$J1642+7)*('Weekly Log'!$M$5:$M$5000&lt;&gt;"")),'Weekly Log'!$M$5:$M$5000),0))</f>
        <v/>
      </c>
      <c r="J1642" t="str">
        <f>IF(COUNT('Weekly Log'!$A$5:$A$5000)=0,"",IF(MIN('Weekly Log'!$A$5:$A$5000)+7*(ROW()-10)&gt;MAX('Weekly Log'!$A$5:$A$5000),"",MIN('Weekly Log'!$A$5:$A$5000)+7*(ROW()-10)))</f>
        <v/>
      </c>
    </row>
    <row r="1643" spans="1:10" x14ac:dyDescent="0.25">
      <c r="A1643" t="str">
        <f t="shared" si="25"/>
        <v/>
      </c>
      <c r="B1643" t="str">
        <f>IF($J1643="","",SUMIFS('Weekly Log'!$C:$C,'Weekly Log'!$A:$A,"&gt;="&amp;$J1643,'Weekly Log'!$A:$A,"&lt;"&amp;$J1643+7))</f>
        <v/>
      </c>
      <c r="C1643" t="str">
        <f>IF($J1643="","",IFERROR(COUNTIFS('Weekly Log'!$G:$G,"Y",'Weekly Log'!$A:$A,"&gt;="&amp;$J1643,'Weekly Log'!$A:$A,"&lt;"&amp;$J1643+7)/COUNTIFS('Weekly Log'!$G:$G,"&lt;&gt;",'Weekly Log'!$A:$A,"&gt;="&amp;$J1643,'Weekly Log'!$A:$A,"&lt;"&amp;$J1643+7),0))</f>
        <v/>
      </c>
      <c r="D1643" t="str">
        <f>IF($J1643="","",IFERROR(COUNTIFS('Weekly Log'!$H:$H,"Y",'Weekly Log'!$A:$A,"&gt;="&amp;$J1643,'Weekly Log'!$A:$A,"&lt;"&amp;$J1643+7)/COUNTIFS('Weekly Log'!$H:$H,"&lt;&gt;",'Weekly Log'!$A:$A,"&gt;="&amp;$J1643,'Weekly Log'!$A:$A,"&lt;"&amp;$J1643+7),0))</f>
        <v/>
      </c>
      <c r="E1643" t="str">
        <f>IF($J1643="","",IFERROR(AVERAGEIFS('Weekly Log'!$F:$F,'Weekly Log'!$A:$A,"&gt;="&amp;$J1643,'Weekly Log'!$A:$A,"&lt;"&amp;$J1643+7),0))</f>
        <v/>
      </c>
      <c r="F1643" t="str">
        <f>IF($J1643="","",IFERROR(SUMIFS('Weekly Log'!$F:$F,'Weekly Log'!$A:$A,"&gt;="&amp;$J1643,'Weekly Log'!$A:$A,"&lt;"&amp;$J1643+7)/SUMIFS('Weekly Log'!$E:$E,'Weekly Log'!$A:$A,"&gt;="&amp;$J1643,'Weekly Log'!$A:$A,"&lt;"&amp;$J1643+7),0))</f>
        <v/>
      </c>
      <c r="G1643" t="str">
        <f>IF($J1643="","",IFERROR(LOOKUP(2,1/(('Weekly Log'!$A$5:$A$5000&gt;=$J1643)*('Weekly Log'!$A$5:$A$5000&lt;$J1643+7)*('Weekly Log'!$M$5:$M$5000&lt;&gt;"")),'Weekly Log'!$M$5:$M$5000),0))</f>
        <v/>
      </c>
      <c r="J1643" t="str">
        <f>IF(COUNT('Weekly Log'!$A$5:$A$5000)=0,"",IF(MIN('Weekly Log'!$A$5:$A$5000)+7*(ROW()-10)&gt;MAX('Weekly Log'!$A$5:$A$5000),"",MIN('Weekly Log'!$A$5:$A$5000)+7*(ROW()-10)))</f>
        <v/>
      </c>
    </row>
    <row r="1644" spans="1:10" x14ac:dyDescent="0.25">
      <c r="A1644" t="str">
        <f t="shared" si="25"/>
        <v/>
      </c>
      <c r="B1644" t="str">
        <f>IF($J1644="","",SUMIFS('Weekly Log'!$C:$C,'Weekly Log'!$A:$A,"&gt;="&amp;$J1644,'Weekly Log'!$A:$A,"&lt;"&amp;$J1644+7))</f>
        <v/>
      </c>
      <c r="C1644" t="str">
        <f>IF($J1644="","",IFERROR(COUNTIFS('Weekly Log'!$G:$G,"Y",'Weekly Log'!$A:$A,"&gt;="&amp;$J1644,'Weekly Log'!$A:$A,"&lt;"&amp;$J1644+7)/COUNTIFS('Weekly Log'!$G:$G,"&lt;&gt;",'Weekly Log'!$A:$A,"&gt;="&amp;$J1644,'Weekly Log'!$A:$A,"&lt;"&amp;$J1644+7),0))</f>
        <v/>
      </c>
      <c r="D1644" t="str">
        <f>IF($J1644="","",IFERROR(COUNTIFS('Weekly Log'!$H:$H,"Y",'Weekly Log'!$A:$A,"&gt;="&amp;$J1644,'Weekly Log'!$A:$A,"&lt;"&amp;$J1644+7)/COUNTIFS('Weekly Log'!$H:$H,"&lt;&gt;",'Weekly Log'!$A:$A,"&gt;="&amp;$J1644,'Weekly Log'!$A:$A,"&lt;"&amp;$J1644+7),0))</f>
        <v/>
      </c>
      <c r="E1644" t="str">
        <f>IF($J1644="","",IFERROR(AVERAGEIFS('Weekly Log'!$F:$F,'Weekly Log'!$A:$A,"&gt;="&amp;$J1644,'Weekly Log'!$A:$A,"&lt;"&amp;$J1644+7),0))</f>
        <v/>
      </c>
      <c r="F1644" t="str">
        <f>IF($J1644="","",IFERROR(SUMIFS('Weekly Log'!$F:$F,'Weekly Log'!$A:$A,"&gt;="&amp;$J1644,'Weekly Log'!$A:$A,"&lt;"&amp;$J1644+7)/SUMIFS('Weekly Log'!$E:$E,'Weekly Log'!$A:$A,"&gt;="&amp;$J1644,'Weekly Log'!$A:$A,"&lt;"&amp;$J1644+7),0))</f>
        <v/>
      </c>
      <c r="G1644" t="str">
        <f>IF($J1644="","",IFERROR(LOOKUP(2,1/(('Weekly Log'!$A$5:$A$5000&gt;=$J1644)*('Weekly Log'!$A$5:$A$5000&lt;$J1644+7)*('Weekly Log'!$M$5:$M$5000&lt;&gt;"")),'Weekly Log'!$M$5:$M$5000),0))</f>
        <v/>
      </c>
      <c r="J1644" t="str">
        <f>IF(COUNT('Weekly Log'!$A$5:$A$5000)=0,"",IF(MIN('Weekly Log'!$A$5:$A$5000)+7*(ROW()-10)&gt;MAX('Weekly Log'!$A$5:$A$5000),"",MIN('Weekly Log'!$A$5:$A$5000)+7*(ROW()-10)))</f>
        <v/>
      </c>
    </row>
    <row r="1645" spans="1:10" x14ac:dyDescent="0.25">
      <c r="A1645" t="str">
        <f t="shared" si="25"/>
        <v/>
      </c>
      <c r="B1645" t="str">
        <f>IF($J1645="","",SUMIFS('Weekly Log'!$C:$C,'Weekly Log'!$A:$A,"&gt;="&amp;$J1645,'Weekly Log'!$A:$A,"&lt;"&amp;$J1645+7))</f>
        <v/>
      </c>
      <c r="C1645" t="str">
        <f>IF($J1645="","",IFERROR(COUNTIFS('Weekly Log'!$G:$G,"Y",'Weekly Log'!$A:$A,"&gt;="&amp;$J1645,'Weekly Log'!$A:$A,"&lt;"&amp;$J1645+7)/COUNTIFS('Weekly Log'!$G:$G,"&lt;&gt;",'Weekly Log'!$A:$A,"&gt;="&amp;$J1645,'Weekly Log'!$A:$A,"&lt;"&amp;$J1645+7),0))</f>
        <v/>
      </c>
      <c r="D1645" t="str">
        <f>IF($J1645="","",IFERROR(COUNTIFS('Weekly Log'!$H:$H,"Y",'Weekly Log'!$A:$A,"&gt;="&amp;$J1645,'Weekly Log'!$A:$A,"&lt;"&amp;$J1645+7)/COUNTIFS('Weekly Log'!$H:$H,"&lt;&gt;",'Weekly Log'!$A:$A,"&gt;="&amp;$J1645,'Weekly Log'!$A:$A,"&lt;"&amp;$J1645+7),0))</f>
        <v/>
      </c>
      <c r="E1645" t="str">
        <f>IF($J1645="","",IFERROR(AVERAGEIFS('Weekly Log'!$F:$F,'Weekly Log'!$A:$A,"&gt;="&amp;$J1645,'Weekly Log'!$A:$A,"&lt;"&amp;$J1645+7),0))</f>
        <v/>
      </c>
      <c r="F1645" t="str">
        <f>IF($J1645="","",IFERROR(SUMIFS('Weekly Log'!$F:$F,'Weekly Log'!$A:$A,"&gt;="&amp;$J1645,'Weekly Log'!$A:$A,"&lt;"&amp;$J1645+7)/SUMIFS('Weekly Log'!$E:$E,'Weekly Log'!$A:$A,"&gt;="&amp;$J1645,'Weekly Log'!$A:$A,"&lt;"&amp;$J1645+7),0))</f>
        <v/>
      </c>
      <c r="G1645" t="str">
        <f>IF($J1645="","",IFERROR(LOOKUP(2,1/(('Weekly Log'!$A$5:$A$5000&gt;=$J1645)*('Weekly Log'!$A$5:$A$5000&lt;$J1645+7)*('Weekly Log'!$M$5:$M$5000&lt;&gt;"")),'Weekly Log'!$M$5:$M$5000),0))</f>
        <v/>
      </c>
      <c r="J1645" t="str">
        <f>IF(COUNT('Weekly Log'!$A$5:$A$5000)=0,"",IF(MIN('Weekly Log'!$A$5:$A$5000)+7*(ROW()-10)&gt;MAX('Weekly Log'!$A$5:$A$5000),"",MIN('Weekly Log'!$A$5:$A$5000)+7*(ROW()-10)))</f>
        <v/>
      </c>
    </row>
    <row r="1646" spans="1:10" x14ac:dyDescent="0.25">
      <c r="A1646" t="str">
        <f t="shared" si="25"/>
        <v/>
      </c>
      <c r="B1646" t="str">
        <f>IF($J1646="","",SUMIFS('Weekly Log'!$C:$C,'Weekly Log'!$A:$A,"&gt;="&amp;$J1646,'Weekly Log'!$A:$A,"&lt;"&amp;$J1646+7))</f>
        <v/>
      </c>
      <c r="C1646" t="str">
        <f>IF($J1646="","",IFERROR(COUNTIFS('Weekly Log'!$G:$G,"Y",'Weekly Log'!$A:$A,"&gt;="&amp;$J1646,'Weekly Log'!$A:$A,"&lt;"&amp;$J1646+7)/COUNTIFS('Weekly Log'!$G:$G,"&lt;&gt;",'Weekly Log'!$A:$A,"&gt;="&amp;$J1646,'Weekly Log'!$A:$A,"&lt;"&amp;$J1646+7),0))</f>
        <v/>
      </c>
      <c r="D1646" t="str">
        <f>IF($J1646="","",IFERROR(COUNTIFS('Weekly Log'!$H:$H,"Y",'Weekly Log'!$A:$A,"&gt;="&amp;$J1646,'Weekly Log'!$A:$A,"&lt;"&amp;$J1646+7)/COUNTIFS('Weekly Log'!$H:$H,"&lt;&gt;",'Weekly Log'!$A:$A,"&gt;="&amp;$J1646,'Weekly Log'!$A:$A,"&lt;"&amp;$J1646+7),0))</f>
        <v/>
      </c>
      <c r="E1646" t="str">
        <f>IF($J1646="","",IFERROR(AVERAGEIFS('Weekly Log'!$F:$F,'Weekly Log'!$A:$A,"&gt;="&amp;$J1646,'Weekly Log'!$A:$A,"&lt;"&amp;$J1646+7),0))</f>
        <v/>
      </c>
      <c r="F1646" t="str">
        <f>IF($J1646="","",IFERROR(SUMIFS('Weekly Log'!$F:$F,'Weekly Log'!$A:$A,"&gt;="&amp;$J1646,'Weekly Log'!$A:$A,"&lt;"&amp;$J1646+7)/SUMIFS('Weekly Log'!$E:$E,'Weekly Log'!$A:$A,"&gt;="&amp;$J1646,'Weekly Log'!$A:$A,"&lt;"&amp;$J1646+7),0))</f>
        <v/>
      </c>
      <c r="G1646" t="str">
        <f>IF($J1646="","",IFERROR(LOOKUP(2,1/(('Weekly Log'!$A$5:$A$5000&gt;=$J1646)*('Weekly Log'!$A$5:$A$5000&lt;$J1646+7)*('Weekly Log'!$M$5:$M$5000&lt;&gt;"")),'Weekly Log'!$M$5:$M$5000),0))</f>
        <v/>
      </c>
      <c r="J1646" t="str">
        <f>IF(COUNT('Weekly Log'!$A$5:$A$5000)=0,"",IF(MIN('Weekly Log'!$A$5:$A$5000)+7*(ROW()-10)&gt;MAX('Weekly Log'!$A$5:$A$5000),"",MIN('Weekly Log'!$A$5:$A$5000)+7*(ROW()-10)))</f>
        <v/>
      </c>
    </row>
    <row r="1647" spans="1:10" x14ac:dyDescent="0.25">
      <c r="A1647" t="str">
        <f t="shared" si="25"/>
        <v/>
      </c>
      <c r="B1647" t="str">
        <f>IF($J1647="","",SUMIFS('Weekly Log'!$C:$C,'Weekly Log'!$A:$A,"&gt;="&amp;$J1647,'Weekly Log'!$A:$A,"&lt;"&amp;$J1647+7))</f>
        <v/>
      </c>
      <c r="C1647" t="str">
        <f>IF($J1647="","",IFERROR(COUNTIFS('Weekly Log'!$G:$G,"Y",'Weekly Log'!$A:$A,"&gt;="&amp;$J1647,'Weekly Log'!$A:$A,"&lt;"&amp;$J1647+7)/COUNTIFS('Weekly Log'!$G:$G,"&lt;&gt;",'Weekly Log'!$A:$A,"&gt;="&amp;$J1647,'Weekly Log'!$A:$A,"&lt;"&amp;$J1647+7),0))</f>
        <v/>
      </c>
      <c r="D1647" t="str">
        <f>IF($J1647="","",IFERROR(COUNTIFS('Weekly Log'!$H:$H,"Y",'Weekly Log'!$A:$A,"&gt;="&amp;$J1647,'Weekly Log'!$A:$A,"&lt;"&amp;$J1647+7)/COUNTIFS('Weekly Log'!$H:$H,"&lt;&gt;",'Weekly Log'!$A:$A,"&gt;="&amp;$J1647,'Weekly Log'!$A:$A,"&lt;"&amp;$J1647+7),0))</f>
        <v/>
      </c>
      <c r="E1647" t="str">
        <f>IF($J1647="","",IFERROR(AVERAGEIFS('Weekly Log'!$F:$F,'Weekly Log'!$A:$A,"&gt;="&amp;$J1647,'Weekly Log'!$A:$A,"&lt;"&amp;$J1647+7),0))</f>
        <v/>
      </c>
      <c r="F1647" t="str">
        <f>IF($J1647="","",IFERROR(SUMIFS('Weekly Log'!$F:$F,'Weekly Log'!$A:$A,"&gt;="&amp;$J1647,'Weekly Log'!$A:$A,"&lt;"&amp;$J1647+7)/SUMIFS('Weekly Log'!$E:$E,'Weekly Log'!$A:$A,"&gt;="&amp;$J1647,'Weekly Log'!$A:$A,"&lt;"&amp;$J1647+7),0))</f>
        <v/>
      </c>
      <c r="G1647" t="str">
        <f>IF($J1647="","",IFERROR(LOOKUP(2,1/(('Weekly Log'!$A$5:$A$5000&gt;=$J1647)*('Weekly Log'!$A$5:$A$5000&lt;$J1647+7)*('Weekly Log'!$M$5:$M$5000&lt;&gt;"")),'Weekly Log'!$M$5:$M$5000),0))</f>
        <v/>
      </c>
      <c r="J1647" t="str">
        <f>IF(COUNT('Weekly Log'!$A$5:$A$5000)=0,"",IF(MIN('Weekly Log'!$A$5:$A$5000)+7*(ROW()-10)&gt;MAX('Weekly Log'!$A$5:$A$5000),"",MIN('Weekly Log'!$A$5:$A$5000)+7*(ROW()-10)))</f>
        <v/>
      </c>
    </row>
    <row r="1648" spans="1:10" x14ac:dyDescent="0.25">
      <c r="A1648" t="str">
        <f t="shared" si="25"/>
        <v/>
      </c>
      <c r="B1648" t="str">
        <f>IF($J1648="","",SUMIFS('Weekly Log'!$C:$C,'Weekly Log'!$A:$A,"&gt;="&amp;$J1648,'Weekly Log'!$A:$A,"&lt;"&amp;$J1648+7))</f>
        <v/>
      </c>
      <c r="C1648" t="str">
        <f>IF($J1648="","",IFERROR(COUNTIFS('Weekly Log'!$G:$G,"Y",'Weekly Log'!$A:$A,"&gt;="&amp;$J1648,'Weekly Log'!$A:$A,"&lt;"&amp;$J1648+7)/COUNTIFS('Weekly Log'!$G:$G,"&lt;&gt;",'Weekly Log'!$A:$A,"&gt;="&amp;$J1648,'Weekly Log'!$A:$A,"&lt;"&amp;$J1648+7),0))</f>
        <v/>
      </c>
      <c r="D1648" t="str">
        <f>IF($J1648="","",IFERROR(COUNTIFS('Weekly Log'!$H:$H,"Y",'Weekly Log'!$A:$A,"&gt;="&amp;$J1648,'Weekly Log'!$A:$A,"&lt;"&amp;$J1648+7)/COUNTIFS('Weekly Log'!$H:$H,"&lt;&gt;",'Weekly Log'!$A:$A,"&gt;="&amp;$J1648,'Weekly Log'!$A:$A,"&lt;"&amp;$J1648+7),0))</f>
        <v/>
      </c>
      <c r="E1648" t="str">
        <f>IF($J1648="","",IFERROR(AVERAGEIFS('Weekly Log'!$F:$F,'Weekly Log'!$A:$A,"&gt;="&amp;$J1648,'Weekly Log'!$A:$A,"&lt;"&amp;$J1648+7),0))</f>
        <v/>
      </c>
      <c r="F1648" t="str">
        <f>IF($J1648="","",IFERROR(SUMIFS('Weekly Log'!$F:$F,'Weekly Log'!$A:$A,"&gt;="&amp;$J1648,'Weekly Log'!$A:$A,"&lt;"&amp;$J1648+7)/SUMIFS('Weekly Log'!$E:$E,'Weekly Log'!$A:$A,"&gt;="&amp;$J1648,'Weekly Log'!$A:$A,"&lt;"&amp;$J1648+7),0))</f>
        <v/>
      </c>
      <c r="G1648" t="str">
        <f>IF($J1648="","",IFERROR(LOOKUP(2,1/(('Weekly Log'!$A$5:$A$5000&gt;=$J1648)*('Weekly Log'!$A$5:$A$5000&lt;$J1648+7)*('Weekly Log'!$M$5:$M$5000&lt;&gt;"")),'Weekly Log'!$M$5:$M$5000),0))</f>
        <v/>
      </c>
      <c r="J1648" t="str">
        <f>IF(COUNT('Weekly Log'!$A$5:$A$5000)=0,"",IF(MIN('Weekly Log'!$A$5:$A$5000)+7*(ROW()-10)&gt;MAX('Weekly Log'!$A$5:$A$5000),"",MIN('Weekly Log'!$A$5:$A$5000)+7*(ROW()-10)))</f>
        <v/>
      </c>
    </row>
    <row r="1649" spans="1:10" x14ac:dyDescent="0.25">
      <c r="A1649" t="str">
        <f t="shared" si="25"/>
        <v/>
      </c>
      <c r="B1649" t="str">
        <f>IF($J1649="","",SUMIFS('Weekly Log'!$C:$C,'Weekly Log'!$A:$A,"&gt;="&amp;$J1649,'Weekly Log'!$A:$A,"&lt;"&amp;$J1649+7))</f>
        <v/>
      </c>
      <c r="C1649" t="str">
        <f>IF($J1649="","",IFERROR(COUNTIFS('Weekly Log'!$G:$G,"Y",'Weekly Log'!$A:$A,"&gt;="&amp;$J1649,'Weekly Log'!$A:$A,"&lt;"&amp;$J1649+7)/COUNTIFS('Weekly Log'!$G:$G,"&lt;&gt;",'Weekly Log'!$A:$A,"&gt;="&amp;$J1649,'Weekly Log'!$A:$A,"&lt;"&amp;$J1649+7),0))</f>
        <v/>
      </c>
      <c r="D1649" t="str">
        <f>IF($J1649="","",IFERROR(COUNTIFS('Weekly Log'!$H:$H,"Y",'Weekly Log'!$A:$A,"&gt;="&amp;$J1649,'Weekly Log'!$A:$A,"&lt;"&amp;$J1649+7)/COUNTIFS('Weekly Log'!$H:$H,"&lt;&gt;",'Weekly Log'!$A:$A,"&gt;="&amp;$J1649,'Weekly Log'!$A:$A,"&lt;"&amp;$J1649+7),0))</f>
        <v/>
      </c>
      <c r="E1649" t="str">
        <f>IF($J1649="","",IFERROR(AVERAGEIFS('Weekly Log'!$F:$F,'Weekly Log'!$A:$A,"&gt;="&amp;$J1649,'Weekly Log'!$A:$A,"&lt;"&amp;$J1649+7),0))</f>
        <v/>
      </c>
      <c r="F1649" t="str">
        <f>IF($J1649="","",IFERROR(SUMIFS('Weekly Log'!$F:$F,'Weekly Log'!$A:$A,"&gt;="&amp;$J1649,'Weekly Log'!$A:$A,"&lt;"&amp;$J1649+7)/SUMIFS('Weekly Log'!$E:$E,'Weekly Log'!$A:$A,"&gt;="&amp;$J1649,'Weekly Log'!$A:$A,"&lt;"&amp;$J1649+7),0))</f>
        <v/>
      </c>
      <c r="G1649" t="str">
        <f>IF($J1649="","",IFERROR(LOOKUP(2,1/(('Weekly Log'!$A$5:$A$5000&gt;=$J1649)*('Weekly Log'!$A$5:$A$5000&lt;$J1649+7)*('Weekly Log'!$M$5:$M$5000&lt;&gt;"")),'Weekly Log'!$M$5:$M$5000),0))</f>
        <v/>
      </c>
      <c r="J1649" t="str">
        <f>IF(COUNT('Weekly Log'!$A$5:$A$5000)=0,"",IF(MIN('Weekly Log'!$A$5:$A$5000)+7*(ROW()-10)&gt;MAX('Weekly Log'!$A$5:$A$5000),"",MIN('Weekly Log'!$A$5:$A$5000)+7*(ROW()-10)))</f>
        <v/>
      </c>
    </row>
    <row r="1650" spans="1:10" x14ac:dyDescent="0.25">
      <c r="A1650" t="str">
        <f t="shared" si="25"/>
        <v/>
      </c>
      <c r="B1650" t="str">
        <f>IF($J1650="","",SUMIFS('Weekly Log'!$C:$C,'Weekly Log'!$A:$A,"&gt;="&amp;$J1650,'Weekly Log'!$A:$A,"&lt;"&amp;$J1650+7))</f>
        <v/>
      </c>
      <c r="C1650" t="str">
        <f>IF($J1650="","",IFERROR(COUNTIFS('Weekly Log'!$G:$G,"Y",'Weekly Log'!$A:$A,"&gt;="&amp;$J1650,'Weekly Log'!$A:$A,"&lt;"&amp;$J1650+7)/COUNTIFS('Weekly Log'!$G:$G,"&lt;&gt;",'Weekly Log'!$A:$A,"&gt;="&amp;$J1650,'Weekly Log'!$A:$A,"&lt;"&amp;$J1650+7),0))</f>
        <v/>
      </c>
      <c r="D1650" t="str">
        <f>IF($J1650="","",IFERROR(COUNTIFS('Weekly Log'!$H:$H,"Y",'Weekly Log'!$A:$A,"&gt;="&amp;$J1650,'Weekly Log'!$A:$A,"&lt;"&amp;$J1650+7)/COUNTIFS('Weekly Log'!$H:$H,"&lt;&gt;",'Weekly Log'!$A:$A,"&gt;="&amp;$J1650,'Weekly Log'!$A:$A,"&lt;"&amp;$J1650+7),0))</f>
        <v/>
      </c>
      <c r="E1650" t="str">
        <f>IF($J1650="","",IFERROR(AVERAGEIFS('Weekly Log'!$F:$F,'Weekly Log'!$A:$A,"&gt;="&amp;$J1650,'Weekly Log'!$A:$A,"&lt;"&amp;$J1650+7),0))</f>
        <v/>
      </c>
      <c r="F1650" t="str">
        <f>IF($J1650="","",IFERROR(SUMIFS('Weekly Log'!$F:$F,'Weekly Log'!$A:$A,"&gt;="&amp;$J1650,'Weekly Log'!$A:$A,"&lt;"&amp;$J1650+7)/SUMIFS('Weekly Log'!$E:$E,'Weekly Log'!$A:$A,"&gt;="&amp;$J1650,'Weekly Log'!$A:$A,"&lt;"&amp;$J1650+7),0))</f>
        <v/>
      </c>
      <c r="G1650" t="str">
        <f>IF($J1650="","",IFERROR(LOOKUP(2,1/(('Weekly Log'!$A$5:$A$5000&gt;=$J1650)*('Weekly Log'!$A$5:$A$5000&lt;$J1650+7)*('Weekly Log'!$M$5:$M$5000&lt;&gt;"")),'Weekly Log'!$M$5:$M$5000),0))</f>
        <v/>
      </c>
      <c r="J1650" t="str">
        <f>IF(COUNT('Weekly Log'!$A$5:$A$5000)=0,"",IF(MIN('Weekly Log'!$A$5:$A$5000)+7*(ROW()-10)&gt;MAX('Weekly Log'!$A$5:$A$5000),"",MIN('Weekly Log'!$A$5:$A$5000)+7*(ROW()-10)))</f>
        <v/>
      </c>
    </row>
    <row r="1651" spans="1:10" x14ac:dyDescent="0.25">
      <c r="A1651" t="str">
        <f t="shared" si="25"/>
        <v/>
      </c>
      <c r="B1651" t="str">
        <f>IF($J1651="","",SUMIFS('Weekly Log'!$C:$C,'Weekly Log'!$A:$A,"&gt;="&amp;$J1651,'Weekly Log'!$A:$A,"&lt;"&amp;$J1651+7))</f>
        <v/>
      </c>
      <c r="C1651" t="str">
        <f>IF($J1651="","",IFERROR(COUNTIFS('Weekly Log'!$G:$G,"Y",'Weekly Log'!$A:$A,"&gt;="&amp;$J1651,'Weekly Log'!$A:$A,"&lt;"&amp;$J1651+7)/COUNTIFS('Weekly Log'!$G:$G,"&lt;&gt;",'Weekly Log'!$A:$A,"&gt;="&amp;$J1651,'Weekly Log'!$A:$A,"&lt;"&amp;$J1651+7),0))</f>
        <v/>
      </c>
      <c r="D1651" t="str">
        <f>IF($J1651="","",IFERROR(COUNTIFS('Weekly Log'!$H:$H,"Y",'Weekly Log'!$A:$A,"&gt;="&amp;$J1651,'Weekly Log'!$A:$A,"&lt;"&amp;$J1651+7)/COUNTIFS('Weekly Log'!$H:$H,"&lt;&gt;",'Weekly Log'!$A:$A,"&gt;="&amp;$J1651,'Weekly Log'!$A:$A,"&lt;"&amp;$J1651+7),0))</f>
        <v/>
      </c>
      <c r="E1651" t="str">
        <f>IF($J1651="","",IFERROR(AVERAGEIFS('Weekly Log'!$F:$F,'Weekly Log'!$A:$A,"&gt;="&amp;$J1651,'Weekly Log'!$A:$A,"&lt;"&amp;$J1651+7),0))</f>
        <v/>
      </c>
      <c r="F1651" t="str">
        <f>IF($J1651="","",IFERROR(SUMIFS('Weekly Log'!$F:$F,'Weekly Log'!$A:$A,"&gt;="&amp;$J1651,'Weekly Log'!$A:$A,"&lt;"&amp;$J1651+7)/SUMIFS('Weekly Log'!$E:$E,'Weekly Log'!$A:$A,"&gt;="&amp;$J1651,'Weekly Log'!$A:$A,"&lt;"&amp;$J1651+7),0))</f>
        <v/>
      </c>
      <c r="G1651" t="str">
        <f>IF($J1651="","",IFERROR(LOOKUP(2,1/(('Weekly Log'!$A$5:$A$5000&gt;=$J1651)*('Weekly Log'!$A$5:$A$5000&lt;$J1651+7)*('Weekly Log'!$M$5:$M$5000&lt;&gt;"")),'Weekly Log'!$M$5:$M$5000),0))</f>
        <v/>
      </c>
      <c r="J1651" t="str">
        <f>IF(COUNT('Weekly Log'!$A$5:$A$5000)=0,"",IF(MIN('Weekly Log'!$A$5:$A$5000)+7*(ROW()-10)&gt;MAX('Weekly Log'!$A$5:$A$5000),"",MIN('Weekly Log'!$A$5:$A$5000)+7*(ROW()-10)))</f>
        <v/>
      </c>
    </row>
    <row r="1652" spans="1:10" x14ac:dyDescent="0.25">
      <c r="A1652" t="str">
        <f t="shared" si="25"/>
        <v/>
      </c>
      <c r="B1652" t="str">
        <f>IF($J1652="","",SUMIFS('Weekly Log'!$C:$C,'Weekly Log'!$A:$A,"&gt;="&amp;$J1652,'Weekly Log'!$A:$A,"&lt;"&amp;$J1652+7))</f>
        <v/>
      </c>
      <c r="C1652" t="str">
        <f>IF($J1652="","",IFERROR(COUNTIFS('Weekly Log'!$G:$G,"Y",'Weekly Log'!$A:$A,"&gt;="&amp;$J1652,'Weekly Log'!$A:$A,"&lt;"&amp;$J1652+7)/COUNTIFS('Weekly Log'!$G:$G,"&lt;&gt;",'Weekly Log'!$A:$A,"&gt;="&amp;$J1652,'Weekly Log'!$A:$A,"&lt;"&amp;$J1652+7),0))</f>
        <v/>
      </c>
      <c r="D1652" t="str">
        <f>IF($J1652="","",IFERROR(COUNTIFS('Weekly Log'!$H:$H,"Y",'Weekly Log'!$A:$A,"&gt;="&amp;$J1652,'Weekly Log'!$A:$A,"&lt;"&amp;$J1652+7)/COUNTIFS('Weekly Log'!$H:$H,"&lt;&gt;",'Weekly Log'!$A:$A,"&gt;="&amp;$J1652,'Weekly Log'!$A:$A,"&lt;"&amp;$J1652+7),0))</f>
        <v/>
      </c>
      <c r="E1652" t="str">
        <f>IF($J1652="","",IFERROR(AVERAGEIFS('Weekly Log'!$F:$F,'Weekly Log'!$A:$A,"&gt;="&amp;$J1652,'Weekly Log'!$A:$A,"&lt;"&amp;$J1652+7),0))</f>
        <v/>
      </c>
      <c r="F1652" t="str">
        <f>IF($J1652="","",IFERROR(SUMIFS('Weekly Log'!$F:$F,'Weekly Log'!$A:$A,"&gt;="&amp;$J1652,'Weekly Log'!$A:$A,"&lt;"&amp;$J1652+7)/SUMIFS('Weekly Log'!$E:$E,'Weekly Log'!$A:$A,"&gt;="&amp;$J1652,'Weekly Log'!$A:$A,"&lt;"&amp;$J1652+7),0))</f>
        <v/>
      </c>
      <c r="G1652" t="str">
        <f>IF($J1652="","",IFERROR(LOOKUP(2,1/(('Weekly Log'!$A$5:$A$5000&gt;=$J1652)*('Weekly Log'!$A$5:$A$5000&lt;$J1652+7)*('Weekly Log'!$M$5:$M$5000&lt;&gt;"")),'Weekly Log'!$M$5:$M$5000),0))</f>
        <v/>
      </c>
      <c r="J1652" t="str">
        <f>IF(COUNT('Weekly Log'!$A$5:$A$5000)=0,"",IF(MIN('Weekly Log'!$A$5:$A$5000)+7*(ROW()-10)&gt;MAX('Weekly Log'!$A$5:$A$5000),"",MIN('Weekly Log'!$A$5:$A$5000)+7*(ROW()-10)))</f>
        <v/>
      </c>
    </row>
    <row r="1653" spans="1:10" x14ac:dyDescent="0.25">
      <c r="A1653" t="str">
        <f t="shared" si="25"/>
        <v/>
      </c>
      <c r="B1653" t="str">
        <f>IF($J1653="","",SUMIFS('Weekly Log'!$C:$C,'Weekly Log'!$A:$A,"&gt;="&amp;$J1653,'Weekly Log'!$A:$A,"&lt;"&amp;$J1653+7))</f>
        <v/>
      </c>
      <c r="C1653" t="str">
        <f>IF($J1653="","",IFERROR(COUNTIFS('Weekly Log'!$G:$G,"Y",'Weekly Log'!$A:$A,"&gt;="&amp;$J1653,'Weekly Log'!$A:$A,"&lt;"&amp;$J1653+7)/COUNTIFS('Weekly Log'!$G:$G,"&lt;&gt;",'Weekly Log'!$A:$A,"&gt;="&amp;$J1653,'Weekly Log'!$A:$A,"&lt;"&amp;$J1653+7),0))</f>
        <v/>
      </c>
      <c r="D1653" t="str">
        <f>IF($J1653="","",IFERROR(COUNTIFS('Weekly Log'!$H:$H,"Y",'Weekly Log'!$A:$A,"&gt;="&amp;$J1653,'Weekly Log'!$A:$A,"&lt;"&amp;$J1653+7)/COUNTIFS('Weekly Log'!$H:$H,"&lt;&gt;",'Weekly Log'!$A:$A,"&gt;="&amp;$J1653,'Weekly Log'!$A:$A,"&lt;"&amp;$J1653+7),0))</f>
        <v/>
      </c>
      <c r="E1653" t="str">
        <f>IF($J1653="","",IFERROR(AVERAGEIFS('Weekly Log'!$F:$F,'Weekly Log'!$A:$A,"&gt;="&amp;$J1653,'Weekly Log'!$A:$A,"&lt;"&amp;$J1653+7),0))</f>
        <v/>
      </c>
      <c r="F1653" t="str">
        <f>IF($J1653="","",IFERROR(SUMIFS('Weekly Log'!$F:$F,'Weekly Log'!$A:$A,"&gt;="&amp;$J1653,'Weekly Log'!$A:$A,"&lt;"&amp;$J1653+7)/SUMIFS('Weekly Log'!$E:$E,'Weekly Log'!$A:$A,"&gt;="&amp;$J1653,'Weekly Log'!$A:$A,"&lt;"&amp;$J1653+7),0))</f>
        <v/>
      </c>
      <c r="G1653" t="str">
        <f>IF($J1653="","",IFERROR(LOOKUP(2,1/(('Weekly Log'!$A$5:$A$5000&gt;=$J1653)*('Weekly Log'!$A$5:$A$5000&lt;$J1653+7)*('Weekly Log'!$M$5:$M$5000&lt;&gt;"")),'Weekly Log'!$M$5:$M$5000),0))</f>
        <v/>
      </c>
      <c r="J1653" t="str">
        <f>IF(COUNT('Weekly Log'!$A$5:$A$5000)=0,"",IF(MIN('Weekly Log'!$A$5:$A$5000)+7*(ROW()-10)&gt;MAX('Weekly Log'!$A$5:$A$5000),"",MIN('Weekly Log'!$A$5:$A$5000)+7*(ROW()-10)))</f>
        <v/>
      </c>
    </row>
    <row r="1654" spans="1:10" x14ac:dyDescent="0.25">
      <c r="A1654" t="str">
        <f t="shared" si="25"/>
        <v/>
      </c>
      <c r="B1654" t="str">
        <f>IF($J1654="","",SUMIFS('Weekly Log'!$C:$C,'Weekly Log'!$A:$A,"&gt;="&amp;$J1654,'Weekly Log'!$A:$A,"&lt;"&amp;$J1654+7))</f>
        <v/>
      </c>
      <c r="C1654" t="str">
        <f>IF($J1654="","",IFERROR(COUNTIFS('Weekly Log'!$G:$G,"Y",'Weekly Log'!$A:$A,"&gt;="&amp;$J1654,'Weekly Log'!$A:$A,"&lt;"&amp;$J1654+7)/COUNTIFS('Weekly Log'!$G:$G,"&lt;&gt;",'Weekly Log'!$A:$A,"&gt;="&amp;$J1654,'Weekly Log'!$A:$A,"&lt;"&amp;$J1654+7),0))</f>
        <v/>
      </c>
      <c r="D1654" t="str">
        <f>IF($J1654="","",IFERROR(COUNTIFS('Weekly Log'!$H:$H,"Y",'Weekly Log'!$A:$A,"&gt;="&amp;$J1654,'Weekly Log'!$A:$A,"&lt;"&amp;$J1654+7)/COUNTIFS('Weekly Log'!$H:$H,"&lt;&gt;",'Weekly Log'!$A:$A,"&gt;="&amp;$J1654,'Weekly Log'!$A:$A,"&lt;"&amp;$J1654+7),0))</f>
        <v/>
      </c>
      <c r="E1654" t="str">
        <f>IF($J1654="","",IFERROR(AVERAGEIFS('Weekly Log'!$F:$F,'Weekly Log'!$A:$A,"&gt;="&amp;$J1654,'Weekly Log'!$A:$A,"&lt;"&amp;$J1654+7),0))</f>
        <v/>
      </c>
      <c r="F1654" t="str">
        <f>IF($J1654="","",IFERROR(SUMIFS('Weekly Log'!$F:$F,'Weekly Log'!$A:$A,"&gt;="&amp;$J1654,'Weekly Log'!$A:$A,"&lt;"&amp;$J1654+7)/SUMIFS('Weekly Log'!$E:$E,'Weekly Log'!$A:$A,"&gt;="&amp;$J1654,'Weekly Log'!$A:$A,"&lt;"&amp;$J1654+7),0))</f>
        <v/>
      </c>
      <c r="G1654" t="str">
        <f>IF($J1654="","",IFERROR(LOOKUP(2,1/(('Weekly Log'!$A$5:$A$5000&gt;=$J1654)*('Weekly Log'!$A$5:$A$5000&lt;$J1654+7)*('Weekly Log'!$M$5:$M$5000&lt;&gt;"")),'Weekly Log'!$M$5:$M$5000),0))</f>
        <v/>
      </c>
      <c r="J1654" t="str">
        <f>IF(COUNT('Weekly Log'!$A$5:$A$5000)=0,"",IF(MIN('Weekly Log'!$A$5:$A$5000)+7*(ROW()-10)&gt;MAX('Weekly Log'!$A$5:$A$5000),"",MIN('Weekly Log'!$A$5:$A$5000)+7*(ROW()-10)))</f>
        <v/>
      </c>
    </row>
    <row r="1655" spans="1:10" x14ac:dyDescent="0.25">
      <c r="A1655" t="str">
        <f t="shared" si="25"/>
        <v/>
      </c>
      <c r="B1655" t="str">
        <f>IF($J1655="","",SUMIFS('Weekly Log'!$C:$C,'Weekly Log'!$A:$A,"&gt;="&amp;$J1655,'Weekly Log'!$A:$A,"&lt;"&amp;$J1655+7))</f>
        <v/>
      </c>
      <c r="C1655" t="str">
        <f>IF($J1655="","",IFERROR(COUNTIFS('Weekly Log'!$G:$G,"Y",'Weekly Log'!$A:$A,"&gt;="&amp;$J1655,'Weekly Log'!$A:$A,"&lt;"&amp;$J1655+7)/COUNTIFS('Weekly Log'!$G:$G,"&lt;&gt;",'Weekly Log'!$A:$A,"&gt;="&amp;$J1655,'Weekly Log'!$A:$A,"&lt;"&amp;$J1655+7),0))</f>
        <v/>
      </c>
      <c r="D1655" t="str">
        <f>IF($J1655="","",IFERROR(COUNTIFS('Weekly Log'!$H:$H,"Y",'Weekly Log'!$A:$A,"&gt;="&amp;$J1655,'Weekly Log'!$A:$A,"&lt;"&amp;$J1655+7)/COUNTIFS('Weekly Log'!$H:$H,"&lt;&gt;",'Weekly Log'!$A:$A,"&gt;="&amp;$J1655,'Weekly Log'!$A:$A,"&lt;"&amp;$J1655+7),0))</f>
        <v/>
      </c>
      <c r="E1655" t="str">
        <f>IF($J1655="","",IFERROR(AVERAGEIFS('Weekly Log'!$F:$F,'Weekly Log'!$A:$A,"&gt;="&amp;$J1655,'Weekly Log'!$A:$A,"&lt;"&amp;$J1655+7),0))</f>
        <v/>
      </c>
      <c r="F1655" t="str">
        <f>IF($J1655="","",IFERROR(SUMIFS('Weekly Log'!$F:$F,'Weekly Log'!$A:$A,"&gt;="&amp;$J1655,'Weekly Log'!$A:$A,"&lt;"&amp;$J1655+7)/SUMIFS('Weekly Log'!$E:$E,'Weekly Log'!$A:$A,"&gt;="&amp;$J1655,'Weekly Log'!$A:$A,"&lt;"&amp;$J1655+7),0))</f>
        <v/>
      </c>
      <c r="G1655" t="str">
        <f>IF($J1655="","",IFERROR(LOOKUP(2,1/(('Weekly Log'!$A$5:$A$5000&gt;=$J1655)*('Weekly Log'!$A$5:$A$5000&lt;$J1655+7)*('Weekly Log'!$M$5:$M$5000&lt;&gt;"")),'Weekly Log'!$M$5:$M$5000),0))</f>
        <v/>
      </c>
      <c r="J1655" t="str">
        <f>IF(COUNT('Weekly Log'!$A$5:$A$5000)=0,"",IF(MIN('Weekly Log'!$A$5:$A$5000)+7*(ROW()-10)&gt;MAX('Weekly Log'!$A$5:$A$5000),"",MIN('Weekly Log'!$A$5:$A$5000)+7*(ROW()-10)))</f>
        <v/>
      </c>
    </row>
    <row r="1656" spans="1:10" x14ac:dyDescent="0.25">
      <c r="A1656" t="str">
        <f t="shared" si="25"/>
        <v/>
      </c>
      <c r="B1656" t="str">
        <f>IF($J1656="","",SUMIFS('Weekly Log'!$C:$C,'Weekly Log'!$A:$A,"&gt;="&amp;$J1656,'Weekly Log'!$A:$A,"&lt;"&amp;$J1656+7))</f>
        <v/>
      </c>
      <c r="C1656" t="str">
        <f>IF($J1656="","",IFERROR(COUNTIFS('Weekly Log'!$G:$G,"Y",'Weekly Log'!$A:$A,"&gt;="&amp;$J1656,'Weekly Log'!$A:$A,"&lt;"&amp;$J1656+7)/COUNTIFS('Weekly Log'!$G:$G,"&lt;&gt;",'Weekly Log'!$A:$A,"&gt;="&amp;$J1656,'Weekly Log'!$A:$A,"&lt;"&amp;$J1656+7),0))</f>
        <v/>
      </c>
      <c r="D1656" t="str">
        <f>IF($J1656="","",IFERROR(COUNTIFS('Weekly Log'!$H:$H,"Y",'Weekly Log'!$A:$A,"&gt;="&amp;$J1656,'Weekly Log'!$A:$A,"&lt;"&amp;$J1656+7)/COUNTIFS('Weekly Log'!$H:$H,"&lt;&gt;",'Weekly Log'!$A:$A,"&gt;="&amp;$J1656,'Weekly Log'!$A:$A,"&lt;"&amp;$J1656+7),0))</f>
        <v/>
      </c>
      <c r="E1656" t="str">
        <f>IF($J1656="","",IFERROR(AVERAGEIFS('Weekly Log'!$F:$F,'Weekly Log'!$A:$A,"&gt;="&amp;$J1656,'Weekly Log'!$A:$A,"&lt;"&amp;$J1656+7),0))</f>
        <v/>
      </c>
      <c r="F1656" t="str">
        <f>IF($J1656="","",IFERROR(SUMIFS('Weekly Log'!$F:$F,'Weekly Log'!$A:$A,"&gt;="&amp;$J1656,'Weekly Log'!$A:$A,"&lt;"&amp;$J1656+7)/SUMIFS('Weekly Log'!$E:$E,'Weekly Log'!$A:$A,"&gt;="&amp;$J1656,'Weekly Log'!$A:$A,"&lt;"&amp;$J1656+7),0))</f>
        <v/>
      </c>
      <c r="G1656" t="str">
        <f>IF($J1656="","",IFERROR(LOOKUP(2,1/(('Weekly Log'!$A$5:$A$5000&gt;=$J1656)*('Weekly Log'!$A$5:$A$5000&lt;$J1656+7)*('Weekly Log'!$M$5:$M$5000&lt;&gt;"")),'Weekly Log'!$M$5:$M$5000),0))</f>
        <v/>
      </c>
      <c r="J1656" t="str">
        <f>IF(COUNT('Weekly Log'!$A$5:$A$5000)=0,"",IF(MIN('Weekly Log'!$A$5:$A$5000)+7*(ROW()-10)&gt;MAX('Weekly Log'!$A$5:$A$5000),"",MIN('Weekly Log'!$A$5:$A$5000)+7*(ROW()-10)))</f>
        <v/>
      </c>
    </row>
    <row r="1657" spans="1:10" x14ac:dyDescent="0.25">
      <c r="A1657" t="str">
        <f t="shared" si="25"/>
        <v/>
      </c>
      <c r="B1657" t="str">
        <f>IF($J1657="","",SUMIFS('Weekly Log'!$C:$C,'Weekly Log'!$A:$A,"&gt;="&amp;$J1657,'Weekly Log'!$A:$A,"&lt;"&amp;$J1657+7))</f>
        <v/>
      </c>
      <c r="C1657" t="str">
        <f>IF($J1657="","",IFERROR(COUNTIFS('Weekly Log'!$G:$G,"Y",'Weekly Log'!$A:$A,"&gt;="&amp;$J1657,'Weekly Log'!$A:$A,"&lt;"&amp;$J1657+7)/COUNTIFS('Weekly Log'!$G:$G,"&lt;&gt;",'Weekly Log'!$A:$A,"&gt;="&amp;$J1657,'Weekly Log'!$A:$A,"&lt;"&amp;$J1657+7),0))</f>
        <v/>
      </c>
      <c r="D1657" t="str">
        <f>IF($J1657="","",IFERROR(COUNTIFS('Weekly Log'!$H:$H,"Y",'Weekly Log'!$A:$A,"&gt;="&amp;$J1657,'Weekly Log'!$A:$A,"&lt;"&amp;$J1657+7)/COUNTIFS('Weekly Log'!$H:$H,"&lt;&gt;",'Weekly Log'!$A:$A,"&gt;="&amp;$J1657,'Weekly Log'!$A:$A,"&lt;"&amp;$J1657+7),0))</f>
        <v/>
      </c>
      <c r="E1657" t="str">
        <f>IF($J1657="","",IFERROR(AVERAGEIFS('Weekly Log'!$F:$F,'Weekly Log'!$A:$A,"&gt;="&amp;$J1657,'Weekly Log'!$A:$A,"&lt;"&amp;$J1657+7),0))</f>
        <v/>
      </c>
      <c r="F1657" t="str">
        <f>IF($J1657="","",IFERROR(SUMIFS('Weekly Log'!$F:$F,'Weekly Log'!$A:$A,"&gt;="&amp;$J1657,'Weekly Log'!$A:$A,"&lt;"&amp;$J1657+7)/SUMIFS('Weekly Log'!$E:$E,'Weekly Log'!$A:$A,"&gt;="&amp;$J1657,'Weekly Log'!$A:$A,"&lt;"&amp;$J1657+7),0))</f>
        <v/>
      </c>
      <c r="G1657" t="str">
        <f>IF($J1657="","",IFERROR(LOOKUP(2,1/(('Weekly Log'!$A$5:$A$5000&gt;=$J1657)*('Weekly Log'!$A$5:$A$5000&lt;$J1657+7)*('Weekly Log'!$M$5:$M$5000&lt;&gt;"")),'Weekly Log'!$M$5:$M$5000),0))</f>
        <v/>
      </c>
      <c r="J1657" t="str">
        <f>IF(COUNT('Weekly Log'!$A$5:$A$5000)=0,"",IF(MIN('Weekly Log'!$A$5:$A$5000)+7*(ROW()-10)&gt;MAX('Weekly Log'!$A$5:$A$5000),"",MIN('Weekly Log'!$A$5:$A$5000)+7*(ROW()-10)))</f>
        <v/>
      </c>
    </row>
    <row r="1658" spans="1:10" x14ac:dyDescent="0.25">
      <c r="A1658" t="str">
        <f t="shared" si="25"/>
        <v/>
      </c>
      <c r="B1658" t="str">
        <f>IF($J1658="","",SUMIFS('Weekly Log'!$C:$C,'Weekly Log'!$A:$A,"&gt;="&amp;$J1658,'Weekly Log'!$A:$A,"&lt;"&amp;$J1658+7))</f>
        <v/>
      </c>
      <c r="C1658" t="str">
        <f>IF($J1658="","",IFERROR(COUNTIFS('Weekly Log'!$G:$G,"Y",'Weekly Log'!$A:$A,"&gt;="&amp;$J1658,'Weekly Log'!$A:$A,"&lt;"&amp;$J1658+7)/COUNTIFS('Weekly Log'!$G:$G,"&lt;&gt;",'Weekly Log'!$A:$A,"&gt;="&amp;$J1658,'Weekly Log'!$A:$A,"&lt;"&amp;$J1658+7),0))</f>
        <v/>
      </c>
      <c r="D1658" t="str">
        <f>IF($J1658="","",IFERROR(COUNTIFS('Weekly Log'!$H:$H,"Y",'Weekly Log'!$A:$A,"&gt;="&amp;$J1658,'Weekly Log'!$A:$A,"&lt;"&amp;$J1658+7)/COUNTIFS('Weekly Log'!$H:$H,"&lt;&gt;",'Weekly Log'!$A:$A,"&gt;="&amp;$J1658,'Weekly Log'!$A:$A,"&lt;"&amp;$J1658+7),0))</f>
        <v/>
      </c>
      <c r="E1658" t="str">
        <f>IF($J1658="","",IFERROR(AVERAGEIFS('Weekly Log'!$F:$F,'Weekly Log'!$A:$A,"&gt;="&amp;$J1658,'Weekly Log'!$A:$A,"&lt;"&amp;$J1658+7),0))</f>
        <v/>
      </c>
      <c r="F1658" t="str">
        <f>IF($J1658="","",IFERROR(SUMIFS('Weekly Log'!$F:$F,'Weekly Log'!$A:$A,"&gt;="&amp;$J1658,'Weekly Log'!$A:$A,"&lt;"&amp;$J1658+7)/SUMIFS('Weekly Log'!$E:$E,'Weekly Log'!$A:$A,"&gt;="&amp;$J1658,'Weekly Log'!$A:$A,"&lt;"&amp;$J1658+7),0))</f>
        <v/>
      </c>
      <c r="G1658" t="str">
        <f>IF($J1658="","",IFERROR(LOOKUP(2,1/(('Weekly Log'!$A$5:$A$5000&gt;=$J1658)*('Weekly Log'!$A$5:$A$5000&lt;$J1658+7)*('Weekly Log'!$M$5:$M$5000&lt;&gt;"")),'Weekly Log'!$M$5:$M$5000),0))</f>
        <v/>
      </c>
      <c r="J1658" t="str">
        <f>IF(COUNT('Weekly Log'!$A$5:$A$5000)=0,"",IF(MIN('Weekly Log'!$A$5:$A$5000)+7*(ROW()-10)&gt;MAX('Weekly Log'!$A$5:$A$5000),"",MIN('Weekly Log'!$A$5:$A$5000)+7*(ROW()-10)))</f>
        <v/>
      </c>
    </row>
    <row r="1659" spans="1:10" x14ac:dyDescent="0.25">
      <c r="A1659" t="str">
        <f t="shared" si="25"/>
        <v/>
      </c>
      <c r="B1659" t="str">
        <f>IF($J1659="","",SUMIFS('Weekly Log'!$C:$C,'Weekly Log'!$A:$A,"&gt;="&amp;$J1659,'Weekly Log'!$A:$A,"&lt;"&amp;$J1659+7))</f>
        <v/>
      </c>
      <c r="C1659" t="str">
        <f>IF($J1659="","",IFERROR(COUNTIFS('Weekly Log'!$G:$G,"Y",'Weekly Log'!$A:$A,"&gt;="&amp;$J1659,'Weekly Log'!$A:$A,"&lt;"&amp;$J1659+7)/COUNTIFS('Weekly Log'!$G:$G,"&lt;&gt;",'Weekly Log'!$A:$A,"&gt;="&amp;$J1659,'Weekly Log'!$A:$A,"&lt;"&amp;$J1659+7),0))</f>
        <v/>
      </c>
      <c r="D1659" t="str">
        <f>IF($J1659="","",IFERROR(COUNTIFS('Weekly Log'!$H:$H,"Y",'Weekly Log'!$A:$A,"&gt;="&amp;$J1659,'Weekly Log'!$A:$A,"&lt;"&amp;$J1659+7)/COUNTIFS('Weekly Log'!$H:$H,"&lt;&gt;",'Weekly Log'!$A:$A,"&gt;="&amp;$J1659,'Weekly Log'!$A:$A,"&lt;"&amp;$J1659+7),0))</f>
        <v/>
      </c>
      <c r="E1659" t="str">
        <f>IF($J1659="","",IFERROR(AVERAGEIFS('Weekly Log'!$F:$F,'Weekly Log'!$A:$A,"&gt;="&amp;$J1659,'Weekly Log'!$A:$A,"&lt;"&amp;$J1659+7),0))</f>
        <v/>
      </c>
      <c r="F1659" t="str">
        <f>IF($J1659="","",IFERROR(SUMIFS('Weekly Log'!$F:$F,'Weekly Log'!$A:$A,"&gt;="&amp;$J1659,'Weekly Log'!$A:$A,"&lt;"&amp;$J1659+7)/SUMIFS('Weekly Log'!$E:$E,'Weekly Log'!$A:$A,"&gt;="&amp;$J1659,'Weekly Log'!$A:$A,"&lt;"&amp;$J1659+7),0))</f>
        <v/>
      </c>
      <c r="G1659" t="str">
        <f>IF($J1659="","",IFERROR(LOOKUP(2,1/(('Weekly Log'!$A$5:$A$5000&gt;=$J1659)*('Weekly Log'!$A$5:$A$5000&lt;$J1659+7)*('Weekly Log'!$M$5:$M$5000&lt;&gt;"")),'Weekly Log'!$M$5:$M$5000),0))</f>
        <v/>
      </c>
      <c r="J1659" t="str">
        <f>IF(COUNT('Weekly Log'!$A$5:$A$5000)=0,"",IF(MIN('Weekly Log'!$A$5:$A$5000)+7*(ROW()-10)&gt;MAX('Weekly Log'!$A$5:$A$5000),"",MIN('Weekly Log'!$A$5:$A$5000)+7*(ROW()-10)))</f>
        <v/>
      </c>
    </row>
    <row r="1660" spans="1:10" x14ac:dyDescent="0.25">
      <c r="A1660" t="str">
        <f t="shared" si="25"/>
        <v/>
      </c>
      <c r="B1660" t="str">
        <f>IF($J1660="","",SUMIFS('Weekly Log'!$C:$C,'Weekly Log'!$A:$A,"&gt;="&amp;$J1660,'Weekly Log'!$A:$A,"&lt;"&amp;$J1660+7))</f>
        <v/>
      </c>
      <c r="C1660" t="str">
        <f>IF($J1660="","",IFERROR(COUNTIFS('Weekly Log'!$G:$G,"Y",'Weekly Log'!$A:$A,"&gt;="&amp;$J1660,'Weekly Log'!$A:$A,"&lt;"&amp;$J1660+7)/COUNTIFS('Weekly Log'!$G:$G,"&lt;&gt;",'Weekly Log'!$A:$A,"&gt;="&amp;$J1660,'Weekly Log'!$A:$A,"&lt;"&amp;$J1660+7),0))</f>
        <v/>
      </c>
      <c r="D1660" t="str">
        <f>IF($J1660="","",IFERROR(COUNTIFS('Weekly Log'!$H:$H,"Y",'Weekly Log'!$A:$A,"&gt;="&amp;$J1660,'Weekly Log'!$A:$A,"&lt;"&amp;$J1660+7)/COUNTIFS('Weekly Log'!$H:$H,"&lt;&gt;",'Weekly Log'!$A:$A,"&gt;="&amp;$J1660,'Weekly Log'!$A:$A,"&lt;"&amp;$J1660+7),0))</f>
        <v/>
      </c>
      <c r="E1660" t="str">
        <f>IF($J1660="","",IFERROR(AVERAGEIFS('Weekly Log'!$F:$F,'Weekly Log'!$A:$A,"&gt;="&amp;$J1660,'Weekly Log'!$A:$A,"&lt;"&amp;$J1660+7),0))</f>
        <v/>
      </c>
      <c r="F1660" t="str">
        <f>IF($J1660="","",IFERROR(SUMIFS('Weekly Log'!$F:$F,'Weekly Log'!$A:$A,"&gt;="&amp;$J1660,'Weekly Log'!$A:$A,"&lt;"&amp;$J1660+7)/SUMIFS('Weekly Log'!$E:$E,'Weekly Log'!$A:$A,"&gt;="&amp;$J1660,'Weekly Log'!$A:$A,"&lt;"&amp;$J1660+7),0))</f>
        <v/>
      </c>
      <c r="G1660" t="str">
        <f>IF($J1660="","",IFERROR(LOOKUP(2,1/(('Weekly Log'!$A$5:$A$5000&gt;=$J1660)*('Weekly Log'!$A$5:$A$5000&lt;$J1660+7)*('Weekly Log'!$M$5:$M$5000&lt;&gt;"")),'Weekly Log'!$M$5:$M$5000),0))</f>
        <v/>
      </c>
      <c r="J1660" t="str">
        <f>IF(COUNT('Weekly Log'!$A$5:$A$5000)=0,"",IF(MIN('Weekly Log'!$A$5:$A$5000)+7*(ROW()-10)&gt;MAX('Weekly Log'!$A$5:$A$5000),"",MIN('Weekly Log'!$A$5:$A$5000)+7*(ROW()-10)))</f>
        <v/>
      </c>
    </row>
    <row r="1661" spans="1:10" x14ac:dyDescent="0.25">
      <c r="A1661" t="str">
        <f t="shared" si="25"/>
        <v/>
      </c>
      <c r="B1661" t="str">
        <f>IF($J1661="","",SUMIFS('Weekly Log'!$C:$C,'Weekly Log'!$A:$A,"&gt;="&amp;$J1661,'Weekly Log'!$A:$A,"&lt;"&amp;$J1661+7))</f>
        <v/>
      </c>
      <c r="C1661" t="str">
        <f>IF($J1661="","",IFERROR(COUNTIFS('Weekly Log'!$G:$G,"Y",'Weekly Log'!$A:$A,"&gt;="&amp;$J1661,'Weekly Log'!$A:$A,"&lt;"&amp;$J1661+7)/COUNTIFS('Weekly Log'!$G:$G,"&lt;&gt;",'Weekly Log'!$A:$A,"&gt;="&amp;$J1661,'Weekly Log'!$A:$A,"&lt;"&amp;$J1661+7),0))</f>
        <v/>
      </c>
      <c r="D1661" t="str">
        <f>IF($J1661="","",IFERROR(COUNTIFS('Weekly Log'!$H:$H,"Y",'Weekly Log'!$A:$A,"&gt;="&amp;$J1661,'Weekly Log'!$A:$A,"&lt;"&amp;$J1661+7)/COUNTIFS('Weekly Log'!$H:$H,"&lt;&gt;",'Weekly Log'!$A:$A,"&gt;="&amp;$J1661,'Weekly Log'!$A:$A,"&lt;"&amp;$J1661+7),0))</f>
        <v/>
      </c>
      <c r="E1661" t="str">
        <f>IF($J1661="","",IFERROR(AVERAGEIFS('Weekly Log'!$F:$F,'Weekly Log'!$A:$A,"&gt;="&amp;$J1661,'Weekly Log'!$A:$A,"&lt;"&amp;$J1661+7),0))</f>
        <v/>
      </c>
      <c r="F1661" t="str">
        <f>IF($J1661="","",IFERROR(SUMIFS('Weekly Log'!$F:$F,'Weekly Log'!$A:$A,"&gt;="&amp;$J1661,'Weekly Log'!$A:$A,"&lt;"&amp;$J1661+7)/SUMIFS('Weekly Log'!$E:$E,'Weekly Log'!$A:$A,"&gt;="&amp;$J1661,'Weekly Log'!$A:$A,"&lt;"&amp;$J1661+7),0))</f>
        <v/>
      </c>
      <c r="G1661" t="str">
        <f>IF($J1661="","",IFERROR(LOOKUP(2,1/(('Weekly Log'!$A$5:$A$5000&gt;=$J1661)*('Weekly Log'!$A$5:$A$5000&lt;$J1661+7)*('Weekly Log'!$M$5:$M$5000&lt;&gt;"")),'Weekly Log'!$M$5:$M$5000),0))</f>
        <v/>
      </c>
      <c r="J1661" t="str">
        <f>IF(COUNT('Weekly Log'!$A$5:$A$5000)=0,"",IF(MIN('Weekly Log'!$A$5:$A$5000)+7*(ROW()-10)&gt;MAX('Weekly Log'!$A$5:$A$5000),"",MIN('Weekly Log'!$A$5:$A$5000)+7*(ROW()-10)))</f>
        <v/>
      </c>
    </row>
    <row r="1662" spans="1:10" x14ac:dyDescent="0.25">
      <c r="A1662" t="str">
        <f t="shared" si="25"/>
        <v/>
      </c>
      <c r="B1662" t="str">
        <f>IF($J1662="","",SUMIFS('Weekly Log'!$C:$C,'Weekly Log'!$A:$A,"&gt;="&amp;$J1662,'Weekly Log'!$A:$A,"&lt;"&amp;$J1662+7))</f>
        <v/>
      </c>
      <c r="C1662" t="str">
        <f>IF($J1662="","",IFERROR(COUNTIFS('Weekly Log'!$G:$G,"Y",'Weekly Log'!$A:$A,"&gt;="&amp;$J1662,'Weekly Log'!$A:$A,"&lt;"&amp;$J1662+7)/COUNTIFS('Weekly Log'!$G:$G,"&lt;&gt;",'Weekly Log'!$A:$A,"&gt;="&amp;$J1662,'Weekly Log'!$A:$A,"&lt;"&amp;$J1662+7),0))</f>
        <v/>
      </c>
      <c r="D1662" t="str">
        <f>IF($J1662="","",IFERROR(COUNTIFS('Weekly Log'!$H:$H,"Y",'Weekly Log'!$A:$A,"&gt;="&amp;$J1662,'Weekly Log'!$A:$A,"&lt;"&amp;$J1662+7)/COUNTIFS('Weekly Log'!$H:$H,"&lt;&gt;",'Weekly Log'!$A:$A,"&gt;="&amp;$J1662,'Weekly Log'!$A:$A,"&lt;"&amp;$J1662+7),0))</f>
        <v/>
      </c>
      <c r="E1662" t="str">
        <f>IF($J1662="","",IFERROR(AVERAGEIFS('Weekly Log'!$F:$F,'Weekly Log'!$A:$A,"&gt;="&amp;$J1662,'Weekly Log'!$A:$A,"&lt;"&amp;$J1662+7),0))</f>
        <v/>
      </c>
      <c r="F1662" t="str">
        <f>IF($J1662="","",IFERROR(SUMIFS('Weekly Log'!$F:$F,'Weekly Log'!$A:$A,"&gt;="&amp;$J1662,'Weekly Log'!$A:$A,"&lt;"&amp;$J1662+7)/SUMIFS('Weekly Log'!$E:$E,'Weekly Log'!$A:$A,"&gt;="&amp;$J1662,'Weekly Log'!$A:$A,"&lt;"&amp;$J1662+7),0))</f>
        <v/>
      </c>
      <c r="G1662" t="str">
        <f>IF($J1662="","",IFERROR(LOOKUP(2,1/(('Weekly Log'!$A$5:$A$5000&gt;=$J1662)*('Weekly Log'!$A$5:$A$5000&lt;$J1662+7)*('Weekly Log'!$M$5:$M$5000&lt;&gt;"")),'Weekly Log'!$M$5:$M$5000),0))</f>
        <v/>
      </c>
      <c r="J1662" t="str">
        <f>IF(COUNT('Weekly Log'!$A$5:$A$5000)=0,"",IF(MIN('Weekly Log'!$A$5:$A$5000)+7*(ROW()-10)&gt;MAX('Weekly Log'!$A$5:$A$5000),"",MIN('Weekly Log'!$A$5:$A$5000)+7*(ROW()-10)))</f>
        <v/>
      </c>
    </row>
    <row r="1663" spans="1:10" x14ac:dyDescent="0.25">
      <c r="A1663" t="str">
        <f t="shared" si="25"/>
        <v/>
      </c>
      <c r="B1663" t="str">
        <f>IF($J1663="","",SUMIFS('Weekly Log'!$C:$C,'Weekly Log'!$A:$A,"&gt;="&amp;$J1663,'Weekly Log'!$A:$A,"&lt;"&amp;$J1663+7))</f>
        <v/>
      </c>
      <c r="C1663" t="str">
        <f>IF($J1663="","",IFERROR(COUNTIFS('Weekly Log'!$G:$G,"Y",'Weekly Log'!$A:$A,"&gt;="&amp;$J1663,'Weekly Log'!$A:$A,"&lt;"&amp;$J1663+7)/COUNTIFS('Weekly Log'!$G:$G,"&lt;&gt;",'Weekly Log'!$A:$A,"&gt;="&amp;$J1663,'Weekly Log'!$A:$A,"&lt;"&amp;$J1663+7),0))</f>
        <v/>
      </c>
      <c r="D1663" t="str">
        <f>IF($J1663="","",IFERROR(COUNTIFS('Weekly Log'!$H:$H,"Y",'Weekly Log'!$A:$A,"&gt;="&amp;$J1663,'Weekly Log'!$A:$A,"&lt;"&amp;$J1663+7)/COUNTIFS('Weekly Log'!$H:$H,"&lt;&gt;",'Weekly Log'!$A:$A,"&gt;="&amp;$J1663,'Weekly Log'!$A:$A,"&lt;"&amp;$J1663+7),0))</f>
        <v/>
      </c>
      <c r="E1663" t="str">
        <f>IF($J1663="","",IFERROR(AVERAGEIFS('Weekly Log'!$F:$F,'Weekly Log'!$A:$A,"&gt;="&amp;$J1663,'Weekly Log'!$A:$A,"&lt;"&amp;$J1663+7),0))</f>
        <v/>
      </c>
      <c r="F1663" t="str">
        <f>IF($J1663="","",IFERROR(SUMIFS('Weekly Log'!$F:$F,'Weekly Log'!$A:$A,"&gt;="&amp;$J1663,'Weekly Log'!$A:$A,"&lt;"&amp;$J1663+7)/SUMIFS('Weekly Log'!$E:$E,'Weekly Log'!$A:$A,"&gt;="&amp;$J1663,'Weekly Log'!$A:$A,"&lt;"&amp;$J1663+7),0))</f>
        <v/>
      </c>
      <c r="G1663" t="str">
        <f>IF($J1663="","",IFERROR(LOOKUP(2,1/(('Weekly Log'!$A$5:$A$5000&gt;=$J1663)*('Weekly Log'!$A$5:$A$5000&lt;$J1663+7)*('Weekly Log'!$M$5:$M$5000&lt;&gt;"")),'Weekly Log'!$M$5:$M$5000),0))</f>
        <v/>
      </c>
      <c r="J1663" t="str">
        <f>IF(COUNT('Weekly Log'!$A$5:$A$5000)=0,"",IF(MIN('Weekly Log'!$A$5:$A$5000)+7*(ROW()-10)&gt;MAX('Weekly Log'!$A$5:$A$5000),"",MIN('Weekly Log'!$A$5:$A$5000)+7*(ROW()-10)))</f>
        <v/>
      </c>
    </row>
    <row r="1664" spans="1:10" x14ac:dyDescent="0.25">
      <c r="A1664" t="str">
        <f t="shared" si="25"/>
        <v/>
      </c>
      <c r="B1664" t="str">
        <f>IF($J1664="","",SUMIFS('Weekly Log'!$C:$C,'Weekly Log'!$A:$A,"&gt;="&amp;$J1664,'Weekly Log'!$A:$A,"&lt;"&amp;$J1664+7))</f>
        <v/>
      </c>
      <c r="C1664" t="str">
        <f>IF($J1664="","",IFERROR(COUNTIFS('Weekly Log'!$G:$G,"Y",'Weekly Log'!$A:$A,"&gt;="&amp;$J1664,'Weekly Log'!$A:$A,"&lt;"&amp;$J1664+7)/COUNTIFS('Weekly Log'!$G:$G,"&lt;&gt;",'Weekly Log'!$A:$A,"&gt;="&amp;$J1664,'Weekly Log'!$A:$A,"&lt;"&amp;$J1664+7),0))</f>
        <v/>
      </c>
      <c r="D1664" t="str">
        <f>IF($J1664="","",IFERROR(COUNTIFS('Weekly Log'!$H:$H,"Y",'Weekly Log'!$A:$A,"&gt;="&amp;$J1664,'Weekly Log'!$A:$A,"&lt;"&amp;$J1664+7)/COUNTIFS('Weekly Log'!$H:$H,"&lt;&gt;",'Weekly Log'!$A:$A,"&gt;="&amp;$J1664,'Weekly Log'!$A:$A,"&lt;"&amp;$J1664+7),0))</f>
        <v/>
      </c>
      <c r="E1664" t="str">
        <f>IF($J1664="","",IFERROR(AVERAGEIFS('Weekly Log'!$F:$F,'Weekly Log'!$A:$A,"&gt;="&amp;$J1664,'Weekly Log'!$A:$A,"&lt;"&amp;$J1664+7),0))</f>
        <v/>
      </c>
      <c r="F1664" t="str">
        <f>IF($J1664="","",IFERROR(SUMIFS('Weekly Log'!$F:$F,'Weekly Log'!$A:$A,"&gt;="&amp;$J1664,'Weekly Log'!$A:$A,"&lt;"&amp;$J1664+7)/SUMIFS('Weekly Log'!$E:$E,'Weekly Log'!$A:$A,"&gt;="&amp;$J1664,'Weekly Log'!$A:$A,"&lt;"&amp;$J1664+7),0))</f>
        <v/>
      </c>
      <c r="G1664" t="str">
        <f>IF($J1664="","",IFERROR(LOOKUP(2,1/(('Weekly Log'!$A$5:$A$5000&gt;=$J1664)*('Weekly Log'!$A$5:$A$5000&lt;$J1664+7)*('Weekly Log'!$M$5:$M$5000&lt;&gt;"")),'Weekly Log'!$M$5:$M$5000),0))</f>
        <v/>
      </c>
      <c r="J1664" t="str">
        <f>IF(COUNT('Weekly Log'!$A$5:$A$5000)=0,"",IF(MIN('Weekly Log'!$A$5:$A$5000)+7*(ROW()-10)&gt;MAX('Weekly Log'!$A$5:$A$5000),"",MIN('Weekly Log'!$A$5:$A$5000)+7*(ROW()-10)))</f>
        <v/>
      </c>
    </row>
    <row r="1665" spans="1:10" x14ac:dyDescent="0.25">
      <c r="A1665" t="str">
        <f t="shared" si="25"/>
        <v/>
      </c>
      <c r="B1665" t="str">
        <f>IF($J1665="","",SUMIFS('Weekly Log'!$C:$C,'Weekly Log'!$A:$A,"&gt;="&amp;$J1665,'Weekly Log'!$A:$A,"&lt;"&amp;$J1665+7))</f>
        <v/>
      </c>
      <c r="C1665" t="str">
        <f>IF($J1665="","",IFERROR(COUNTIFS('Weekly Log'!$G:$G,"Y",'Weekly Log'!$A:$A,"&gt;="&amp;$J1665,'Weekly Log'!$A:$A,"&lt;"&amp;$J1665+7)/COUNTIFS('Weekly Log'!$G:$G,"&lt;&gt;",'Weekly Log'!$A:$A,"&gt;="&amp;$J1665,'Weekly Log'!$A:$A,"&lt;"&amp;$J1665+7),0))</f>
        <v/>
      </c>
      <c r="D1665" t="str">
        <f>IF($J1665="","",IFERROR(COUNTIFS('Weekly Log'!$H:$H,"Y",'Weekly Log'!$A:$A,"&gt;="&amp;$J1665,'Weekly Log'!$A:$A,"&lt;"&amp;$J1665+7)/COUNTIFS('Weekly Log'!$H:$H,"&lt;&gt;",'Weekly Log'!$A:$A,"&gt;="&amp;$J1665,'Weekly Log'!$A:$A,"&lt;"&amp;$J1665+7),0))</f>
        <v/>
      </c>
      <c r="E1665" t="str">
        <f>IF($J1665="","",IFERROR(AVERAGEIFS('Weekly Log'!$F:$F,'Weekly Log'!$A:$A,"&gt;="&amp;$J1665,'Weekly Log'!$A:$A,"&lt;"&amp;$J1665+7),0))</f>
        <v/>
      </c>
      <c r="F1665" t="str">
        <f>IF($J1665="","",IFERROR(SUMIFS('Weekly Log'!$F:$F,'Weekly Log'!$A:$A,"&gt;="&amp;$J1665,'Weekly Log'!$A:$A,"&lt;"&amp;$J1665+7)/SUMIFS('Weekly Log'!$E:$E,'Weekly Log'!$A:$A,"&gt;="&amp;$J1665,'Weekly Log'!$A:$A,"&lt;"&amp;$J1665+7),0))</f>
        <v/>
      </c>
      <c r="G1665" t="str">
        <f>IF($J1665="","",IFERROR(LOOKUP(2,1/(('Weekly Log'!$A$5:$A$5000&gt;=$J1665)*('Weekly Log'!$A$5:$A$5000&lt;$J1665+7)*('Weekly Log'!$M$5:$M$5000&lt;&gt;"")),'Weekly Log'!$M$5:$M$5000),0))</f>
        <v/>
      </c>
      <c r="J1665" t="str">
        <f>IF(COUNT('Weekly Log'!$A$5:$A$5000)=0,"",IF(MIN('Weekly Log'!$A$5:$A$5000)+7*(ROW()-10)&gt;MAX('Weekly Log'!$A$5:$A$5000),"",MIN('Weekly Log'!$A$5:$A$5000)+7*(ROW()-10)))</f>
        <v/>
      </c>
    </row>
    <row r="1666" spans="1:10" x14ac:dyDescent="0.25">
      <c r="A1666" t="str">
        <f t="shared" si="25"/>
        <v/>
      </c>
      <c r="B1666" t="str">
        <f>IF($J1666="","",SUMIFS('Weekly Log'!$C:$C,'Weekly Log'!$A:$A,"&gt;="&amp;$J1666,'Weekly Log'!$A:$A,"&lt;"&amp;$J1666+7))</f>
        <v/>
      </c>
      <c r="C1666" t="str">
        <f>IF($J1666="","",IFERROR(COUNTIFS('Weekly Log'!$G:$G,"Y",'Weekly Log'!$A:$A,"&gt;="&amp;$J1666,'Weekly Log'!$A:$A,"&lt;"&amp;$J1666+7)/COUNTIFS('Weekly Log'!$G:$G,"&lt;&gt;",'Weekly Log'!$A:$A,"&gt;="&amp;$J1666,'Weekly Log'!$A:$A,"&lt;"&amp;$J1666+7),0))</f>
        <v/>
      </c>
      <c r="D1666" t="str">
        <f>IF($J1666="","",IFERROR(COUNTIFS('Weekly Log'!$H:$H,"Y",'Weekly Log'!$A:$A,"&gt;="&amp;$J1666,'Weekly Log'!$A:$A,"&lt;"&amp;$J1666+7)/COUNTIFS('Weekly Log'!$H:$H,"&lt;&gt;",'Weekly Log'!$A:$A,"&gt;="&amp;$J1666,'Weekly Log'!$A:$A,"&lt;"&amp;$J1666+7),0))</f>
        <v/>
      </c>
      <c r="E1666" t="str">
        <f>IF($J1666="","",IFERROR(AVERAGEIFS('Weekly Log'!$F:$F,'Weekly Log'!$A:$A,"&gt;="&amp;$J1666,'Weekly Log'!$A:$A,"&lt;"&amp;$J1666+7),0))</f>
        <v/>
      </c>
      <c r="F1666" t="str">
        <f>IF($J1666="","",IFERROR(SUMIFS('Weekly Log'!$F:$F,'Weekly Log'!$A:$A,"&gt;="&amp;$J1666,'Weekly Log'!$A:$A,"&lt;"&amp;$J1666+7)/SUMIFS('Weekly Log'!$E:$E,'Weekly Log'!$A:$A,"&gt;="&amp;$J1666,'Weekly Log'!$A:$A,"&lt;"&amp;$J1666+7),0))</f>
        <v/>
      </c>
      <c r="G1666" t="str">
        <f>IF($J1666="","",IFERROR(LOOKUP(2,1/(('Weekly Log'!$A$5:$A$5000&gt;=$J1666)*('Weekly Log'!$A$5:$A$5000&lt;$J1666+7)*('Weekly Log'!$M$5:$M$5000&lt;&gt;"")),'Weekly Log'!$M$5:$M$5000),0))</f>
        <v/>
      </c>
      <c r="J1666" t="str">
        <f>IF(COUNT('Weekly Log'!$A$5:$A$5000)=0,"",IF(MIN('Weekly Log'!$A$5:$A$5000)+7*(ROW()-10)&gt;MAX('Weekly Log'!$A$5:$A$5000),"",MIN('Weekly Log'!$A$5:$A$5000)+7*(ROW()-10)))</f>
        <v/>
      </c>
    </row>
    <row r="1667" spans="1:10" x14ac:dyDescent="0.25">
      <c r="A1667" t="str">
        <f t="shared" si="25"/>
        <v/>
      </c>
      <c r="B1667" t="str">
        <f>IF($J1667="","",SUMIFS('Weekly Log'!$C:$C,'Weekly Log'!$A:$A,"&gt;="&amp;$J1667,'Weekly Log'!$A:$A,"&lt;"&amp;$J1667+7))</f>
        <v/>
      </c>
      <c r="C1667" t="str">
        <f>IF($J1667="","",IFERROR(COUNTIFS('Weekly Log'!$G:$G,"Y",'Weekly Log'!$A:$A,"&gt;="&amp;$J1667,'Weekly Log'!$A:$A,"&lt;"&amp;$J1667+7)/COUNTIFS('Weekly Log'!$G:$G,"&lt;&gt;",'Weekly Log'!$A:$A,"&gt;="&amp;$J1667,'Weekly Log'!$A:$A,"&lt;"&amp;$J1667+7),0))</f>
        <v/>
      </c>
      <c r="D1667" t="str">
        <f>IF($J1667="","",IFERROR(COUNTIFS('Weekly Log'!$H:$H,"Y",'Weekly Log'!$A:$A,"&gt;="&amp;$J1667,'Weekly Log'!$A:$A,"&lt;"&amp;$J1667+7)/COUNTIFS('Weekly Log'!$H:$H,"&lt;&gt;",'Weekly Log'!$A:$A,"&gt;="&amp;$J1667,'Weekly Log'!$A:$A,"&lt;"&amp;$J1667+7),0))</f>
        <v/>
      </c>
      <c r="E1667" t="str">
        <f>IF($J1667="","",IFERROR(AVERAGEIFS('Weekly Log'!$F:$F,'Weekly Log'!$A:$A,"&gt;="&amp;$J1667,'Weekly Log'!$A:$A,"&lt;"&amp;$J1667+7),0))</f>
        <v/>
      </c>
      <c r="F1667" t="str">
        <f>IF($J1667="","",IFERROR(SUMIFS('Weekly Log'!$F:$F,'Weekly Log'!$A:$A,"&gt;="&amp;$J1667,'Weekly Log'!$A:$A,"&lt;"&amp;$J1667+7)/SUMIFS('Weekly Log'!$E:$E,'Weekly Log'!$A:$A,"&gt;="&amp;$J1667,'Weekly Log'!$A:$A,"&lt;"&amp;$J1667+7),0))</f>
        <v/>
      </c>
      <c r="G1667" t="str">
        <f>IF($J1667="","",IFERROR(LOOKUP(2,1/(('Weekly Log'!$A$5:$A$5000&gt;=$J1667)*('Weekly Log'!$A$5:$A$5000&lt;$J1667+7)*('Weekly Log'!$M$5:$M$5000&lt;&gt;"")),'Weekly Log'!$M$5:$M$5000),0))</f>
        <v/>
      </c>
      <c r="J1667" t="str">
        <f>IF(COUNT('Weekly Log'!$A$5:$A$5000)=0,"",IF(MIN('Weekly Log'!$A$5:$A$5000)+7*(ROW()-10)&gt;MAX('Weekly Log'!$A$5:$A$5000),"",MIN('Weekly Log'!$A$5:$A$5000)+7*(ROW()-10)))</f>
        <v/>
      </c>
    </row>
    <row r="1668" spans="1:10" x14ac:dyDescent="0.25">
      <c r="A1668" t="str">
        <f t="shared" si="25"/>
        <v/>
      </c>
      <c r="B1668" t="str">
        <f>IF($J1668="","",SUMIFS('Weekly Log'!$C:$C,'Weekly Log'!$A:$A,"&gt;="&amp;$J1668,'Weekly Log'!$A:$A,"&lt;"&amp;$J1668+7))</f>
        <v/>
      </c>
      <c r="C1668" t="str">
        <f>IF($J1668="","",IFERROR(COUNTIFS('Weekly Log'!$G:$G,"Y",'Weekly Log'!$A:$A,"&gt;="&amp;$J1668,'Weekly Log'!$A:$A,"&lt;"&amp;$J1668+7)/COUNTIFS('Weekly Log'!$G:$G,"&lt;&gt;",'Weekly Log'!$A:$A,"&gt;="&amp;$J1668,'Weekly Log'!$A:$A,"&lt;"&amp;$J1668+7),0))</f>
        <v/>
      </c>
      <c r="D1668" t="str">
        <f>IF($J1668="","",IFERROR(COUNTIFS('Weekly Log'!$H:$H,"Y",'Weekly Log'!$A:$A,"&gt;="&amp;$J1668,'Weekly Log'!$A:$A,"&lt;"&amp;$J1668+7)/COUNTIFS('Weekly Log'!$H:$H,"&lt;&gt;",'Weekly Log'!$A:$A,"&gt;="&amp;$J1668,'Weekly Log'!$A:$A,"&lt;"&amp;$J1668+7),0))</f>
        <v/>
      </c>
      <c r="E1668" t="str">
        <f>IF($J1668="","",IFERROR(AVERAGEIFS('Weekly Log'!$F:$F,'Weekly Log'!$A:$A,"&gt;="&amp;$J1668,'Weekly Log'!$A:$A,"&lt;"&amp;$J1668+7),0))</f>
        <v/>
      </c>
      <c r="F1668" t="str">
        <f>IF($J1668="","",IFERROR(SUMIFS('Weekly Log'!$F:$F,'Weekly Log'!$A:$A,"&gt;="&amp;$J1668,'Weekly Log'!$A:$A,"&lt;"&amp;$J1668+7)/SUMIFS('Weekly Log'!$E:$E,'Weekly Log'!$A:$A,"&gt;="&amp;$J1668,'Weekly Log'!$A:$A,"&lt;"&amp;$J1668+7),0))</f>
        <v/>
      </c>
      <c r="G1668" t="str">
        <f>IF($J1668="","",IFERROR(LOOKUP(2,1/(('Weekly Log'!$A$5:$A$5000&gt;=$J1668)*('Weekly Log'!$A$5:$A$5000&lt;$J1668+7)*('Weekly Log'!$M$5:$M$5000&lt;&gt;"")),'Weekly Log'!$M$5:$M$5000),0))</f>
        <v/>
      </c>
      <c r="J1668" t="str">
        <f>IF(COUNT('Weekly Log'!$A$5:$A$5000)=0,"",IF(MIN('Weekly Log'!$A$5:$A$5000)+7*(ROW()-10)&gt;MAX('Weekly Log'!$A$5:$A$5000),"",MIN('Weekly Log'!$A$5:$A$5000)+7*(ROW()-10)))</f>
        <v/>
      </c>
    </row>
    <row r="1669" spans="1:10" x14ac:dyDescent="0.25">
      <c r="A1669" t="str">
        <f t="shared" si="25"/>
        <v/>
      </c>
      <c r="B1669" t="str">
        <f>IF($J1669="","",SUMIFS('Weekly Log'!$C:$C,'Weekly Log'!$A:$A,"&gt;="&amp;$J1669,'Weekly Log'!$A:$A,"&lt;"&amp;$J1669+7))</f>
        <v/>
      </c>
      <c r="C1669" t="str">
        <f>IF($J1669="","",IFERROR(COUNTIFS('Weekly Log'!$G:$G,"Y",'Weekly Log'!$A:$A,"&gt;="&amp;$J1669,'Weekly Log'!$A:$A,"&lt;"&amp;$J1669+7)/COUNTIFS('Weekly Log'!$G:$G,"&lt;&gt;",'Weekly Log'!$A:$A,"&gt;="&amp;$J1669,'Weekly Log'!$A:$A,"&lt;"&amp;$J1669+7),0))</f>
        <v/>
      </c>
      <c r="D1669" t="str">
        <f>IF($J1669="","",IFERROR(COUNTIFS('Weekly Log'!$H:$H,"Y",'Weekly Log'!$A:$A,"&gt;="&amp;$J1669,'Weekly Log'!$A:$A,"&lt;"&amp;$J1669+7)/COUNTIFS('Weekly Log'!$H:$H,"&lt;&gt;",'Weekly Log'!$A:$A,"&gt;="&amp;$J1669,'Weekly Log'!$A:$A,"&lt;"&amp;$J1669+7),0))</f>
        <v/>
      </c>
      <c r="E1669" t="str">
        <f>IF($J1669="","",IFERROR(AVERAGEIFS('Weekly Log'!$F:$F,'Weekly Log'!$A:$A,"&gt;="&amp;$J1669,'Weekly Log'!$A:$A,"&lt;"&amp;$J1669+7),0))</f>
        <v/>
      </c>
      <c r="F1669" t="str">
        <f>IF($J1669="","",IFERROR(SUMIFS('Weekly Log'!$F:$F,'Weekly Log'!$A:$A,"&gt;="&amp;$J1669,'Weekly Log'!$A:$A,"&lt;"&amp;$J1669+7)/SUMIFS('Weekly Log'!$E:$E,'Weekly Log'!$A:$A,"&gt;="&amp;$J1669,'Weekly Log'!$A:$A,"&lt;"&amp;$J1669+7),0))</f>
        <v/>
      </c>
      <c r="G1669" t="str">
        <f>IF($J1669="","",IFERROR(LOOKUP(2,1/(('Weekly Log'!$A$5:$A$5000&gt;=$J1669)*('Weekly Log'!$A$5:$A$5000&lt;$J1669+7)*('Weekly Log'!$M$5:$M$5000&lt;&gt;"")),'Weekly Log'!$M$5:$M$5000),0))</f>
        <v/>
      </c>
      <c r="J1669" t="str">
        <f>IF(COUNT('Weekly Log'!$A$5:$A$5000)=0,"",IF(MIN('Weekly Log'!$A$5:$A$5000)+7*(ROW()-10)&gt;MAX('Weekly Log'!$A$5:$A$5000),"",MIN('Weekly Log'!$A$5:$A$5000)+7*(ROW()-10)))</f>
        <v/>
      </c>
    </row>
    <row r="1670" spans="1:10" x14ac:dyDescent="0.25">
      <c r="A1670" t="str">
        <f t="shared" si="25"/>
        <v/>
      </c>
      <c r="B1670" t="str">
        <f>IF($J1670="","",SUMIFS('Weekly Log'!$C:$C,'Weekly Log'!$A:$A,"&gt;="&amp;$J1670,'Weekly Log'!$A:$A,"&lt;"&amp;$J1670+7))</f>
        <v/>
      </c>
      <c r="C1670" t="str">
        <f>IF($J1670="","",IFERROR(COUNTIFS('Weekly Log'!$G:$G,"Y",'Weekly Log'!$A:$A,"&gt;="&amp;$J1670,'Weekly Log'!$A:$A,"&lt;"&amp;$J1670+7)/COUNTIFS('Weekly Log'!$G:$G,"&lt;&gt;",'Weekly Log'!$A:$A,"&gt;="&amp;$J1670,'Weekly Log'!$A:$A,"&lt;"&amp;$J1670+7),0))</f>
        <v/>
      </c>
      <c r="D1670" t="str">
        <f>IF($J1670="","",IFERROR(COUNTIFS('Weekly Log'!$H:$H,"Y",'Weekly Log'!$A:$A,"&gt;="&amp;$J1670,'Weekly Log'!$A:$A,"&lt;"&amp;$J1670+7)/COUNTIFS('Weekly Log'!$H:$H,"&lt;&gt;",'Weekly Log'!$A:$A,"&gt;="&amp;$J1670,'Weekly Log'!$A:$A,"&lt;"&amp;$J1670+7),0))</f>
        <v/>
      </c>
      <c r="E1670" t="str">
        <f>IF($J1670="","",IFERROR(AVERAGEIFS('Weekly Log'!$F:$F,'Weekly Log'!$A:$A,"&gt;="&amp;$J1670,'Weekly Log'!$A:$A,"&lt;"&amp;$J1670+7),0))</f>
        <v/>
      </c>
      <c r="F1670" t="str">
        <f>IF($J1670="","",IFERROR(SUMIFS('Weekly Log'!$F:$F,'Weekly Log'!$A:$A,"&gt;="&amp;$J1670,'Weekly Log'!$A:$A,"&lt;"&amp;$J1670+7)/SUMIFS('Weekly Log'!$E:$E,'Weekly Log'!$A:$A,"&gt;="&amp;$J1670,'Weekly Log'!$A:$A,"&lt;"&amp;$J1670+7),0))</f>
        <v/>
      </c>
      <c r="G1670" t="str">
        <f>IF($J1670="","",IFERROR(LOOKUP(2,1/(('Weekly Log'!$A$5:$A$5000&gt;=$J1670)*('Weekly Log'!$A$5:$A$5000&lt;$J1670+7)*('Weekly Log'!$M$5:$M$5000&lt;&gt;"")),'Weekly Log'!$M$5:$M$5000),0))</f>
        <v/>
      </c>
      <c r="J1670" t="str">
        <f>IF(COUNT('Weekly Log'!$A$5:$A$5000)=0,"",IF(MIN('Weekly Log'!$A$5:$A$5000)+7*(ROW()-10)&gt;MAX('Weekly Log'!$A$5:$A$5000),"",MIN('Weekly Log'!$A$5:$A$5000)+7*(ROW()-10)))</f>
        <v/>
      </c>
    </row>
    <row r="1671" spans="1:10" x14ac:dyDescent="0.25">
      <c r="A1671" t="str">
        <f t="shared" si="25"/>
        <v/>
      </c>
      <c r="B1671" t="str">
        <f>IF($J1671="","",SUMIFS('Weekly Log'!$C:$C,'Weekly Log'!$A:$A,"&gt;="&amp;$J1671,'Weekly Log'!$A:$A,"&lt;"&amp;$J1671+7))</f>
        <v/>
      </c>
      <c r="C1671" t="str">
        <f>IF($J1671="","",IFERROR(COUNTIFS('Weekly Log'!$G:$G,"Y",'Weekly Log'!$A:$A,"&gt;="&amp;$J1671,'Weekly Log'!$A:$A,"&lt;"&amp;$J1671+7)/COUNTIFS('Weekly Log'!$G:$G,"&lt;&gt;",'Weekly Log'!$A:$A,"&gt;="&amp;$J1671,'Weekly Log'!$A:$A,"&lt;"&amp;$J1671+7),0))</f>
        <v/>
      </c>
      <c r="D1671" t="str">
        <f>IF($J1671="","",IFERROR(COUNTIFS('Weekly Log'!$H:$H,"Y",'Weekly Log'!$A:$A,"&gt;="&amp;$J1671,'Weekly Log'!$A:$A,"&lt;"&amp;$J1671+7)/COUNTIFS('Weekly Log'!$H:$H,"&lt;&gt;",'Weekly Log'!$A:$A,"&gt;="&amp;$J1671,'Weekly Log'!$A:$A,"&lt;"&amp;$J1671+7),0))</f>
        <v/>
      </c>
      <c r="E1671" t="str">
        <f>IF($J1671="","",IFERROR(AVERAGEIFS('Weekly Log'!$F:$F,'Weekly Log'!$A:$A,"&gt;="&amp;$J1671,'Weekly Log'!$A:$A,"&lt;"&amp;$J1671+7),0))</f>
        <v/>
      </c>
      <c r="F1671" t="str">
        <f>IF($J1671="","",IFERROR(SUMIFS('Weekly Log'!$F:$F,'Weekly Log'!$A:$A,"&gt;="&amp;$J1671,'Weekly Log'!$A:$A,"&lt;"&amp;$J1671+7)/SUMIFS('Weekly Log'!$E:$E,'Weekly Log'!$A:$A,"&gt;="&amp;$J1671,'Weekly Log'!$A:$A,"&lt;"&amp;$J1671+7),0))</f>
        <v/>
      </c>
      <c r="G1671" t="str">
        <f>IF($J1671="","",IFERROR(LOOKUP(2,1/(('Weekly Log'!$A$5:$A$5000&gt;=$J1671)*('Weekly Log'!$A$5:$A$5000&lt;$J1671+7)*('Weekly Log'!$M$5:$M$5000&lt;&gt;"")),'Weekly Log'!$M$5:$M$5000),0))</f>
        <v/>
      </c>
      <c r="J1671" t="str">
        <f>IF(COUNT('Weekly Log'!$A$5:$A$5000)=0,"",IF(MIN('Weekly Log'!$A$5:$A$5000)+7*(ROW()-10)&gt;MAX('Weekly Log'!$A$5:$A$5000),"",MIN('Weekly Log'!$A$5:$A$5000)+7*(ROW()-10)))</f>
        <v/>
      </c>
    </row>
    <row r="1672" spans="1:10" x14ac:dyDescent="0.25">
      <c r="A1672" t="str">
        <f t="shared" si="25"/>
        <v/>
      </c>
      <c r="B1672" t="str">
        <f>IF($J1672="","",SUMIFS('Weekly Log'!$C:$C,'Weekly Log'!$A:$A,"&gt;="&amp;$J1672,'Weekly Log'!$A:$A,"&lt;"&amp;$J1672+7))</f>
        <v/>
      </c>
      <c r="C1672" t="str">
        <f>IF($J1672="","",IFERROR(COUNTIFS('Weekly Log'!$G:$G,"Y",'Weekly Log'!$A:$A,"&gt;="&amp;$J1672,'Weekly Log'!$A:$A,"&lt;"&amp;$J1672+7)/COUNTIFS('Weekly Log'!$G:$G,"&lt;&gt;",'Weekly Log'!$A:$A,"&gt;="&amp;$J1672,'Weekly Log'!$A:$A,"&lt;"&amp;$J1672+7),0))</f>
        <v/>
      </c>
      <c r="D1672" t="str">
        <f>IF($J1672="","",IFERROR(COUNTIFS('Weekly Log'!$H:$H,"Y",'Weekly Log'!$A:$A,"&gt;="&amp;$J1672,'Weekly Log'!$A:$A,"&lt;"&amp;$J1672+7)/COUNTIFS('Weekly Log'!$H:$H,"&lt;&gt;",'Weekly Log'!$A:$A,"&gt;="&amp;$J1672,'Weekly Log'!$A:$A,"&lt;"&amp;$J1672+7),0))</f>
        <v/>
      </c>
      <c r="E1672" t="str">
        <f>IF($J1672="","",IFERROR(AVERAGEIFS('Weekly Log'!$F:$F,'Weekly Log'!$A:$A,"&gt;="&amp;$J1672,'Weekly Log'!$A:$A,"&lt;"&amp;$J1672+7),0))</f>
        <v/>
      </c>
      <c r="F1672" t="str">
        <f>IF($J1672="","",IFERROR(SUMIFS('Weekly Log'!$F:$F,'Weekly Log'!$A:$A,"&gt;="&amp;$J1672,'Weekly Log'!$A:$A,"&lt;"&amp;$J1672+7)/SUMIFS('Weekly Log'!$E:$E,'Weekly Log'!$A:$A,"&gt;="&amp;$J1672,'Weekly Log'!$A:$A,"&lt;"&amp;$J1672+7),0))</f>
        <v/>
      </c>
      <c r="G1672" t="str">
        <f>IF($J1672="","",IFERROR(LOOKUP(2,1/(('Weekly Log'!$A$5:$A$5000&gt;=$J1672)*('Weekly Log'!$A$5:$A$5000&lt;$J1672+7)*('Weekly Log'!$M$5:$M$5000&lt;&gt;"")),'Weekly Log'!$M$5:$M$5000),0))</f>
        <v/>
      </c>
      <c r="J1672" t="str">
        <f>IF(COUNT('Weekly Log'!$A$5:$A$5000)=0,"",IF(MIN('Weekly Log'!$A$5:$A$5000)+7*(ROW()-10)&gt;MAX('Weekly Log'!$A$5:$A$5000),"",MIN('Weekly Log'!$A$5:$A$5000)+7*(ROW()-10)))</f>
        <v/>
      </c>
    </row>
    <row r="1673" spans="1:10" x14ac:dyDescent="0.25">
      <c r="A1673" t="str">
        <f t="shared" si="25"/>
        <v/>
      </c>
      <c r="B1673" t="str">
        <f>IF($J1673="","",SUMIFS('Weekly Log'!$C:$C,'Weekly Log'!$A:$A,"&gt;="&amp;$J1673,'Weekly Log'!$A:$A,"&lt;"&amp;$J1673+7))</f>
        <v/>
      </c>
      <c r="C1673" t="str">
        <f>IF($J1673="","",IFERROR(COUNTIFS('Weekly Log'!$G:$G,"Y",'Weekly Log'!$A:$A,"&gt;="&amp;$J1673,'Weekly Log'!$A:$A,"&lt;"&amp;$J1673+7)/COUNTIFS('Weekly Log'!$G:$G,"&lt;&gt;",'Weekly Log'!$A:$A,"&gt;="&amp;$J1673,'Weekly Log'!$A:$A,"&lt;"&amp;$J1673+7),0))</f>
        <v/>
      </c>
      <c r="D1673" t="str">
        <f>IF($J1673="","",IFERROR(COUNTIFS('Weekly Log'!$H:$H,"Y",'Weekly Log'!$A:$A,"&gt;="&amp;$J1673,'Weekly Log'!$A:$A,"&lt;"&amp;$J1673+7)/COUNTIFS('Weekly Log'!$H:$H,"&lt;&gt;",'Weekly Log'!$A:$A,"&gt;="&amp;$J1673,'Weekly Log'!$A:$A,"&lt;"&amp;$J1673+7),0))</f>
        <v/>
      </c>
      <c r="E1673" t="str">
        <f>IF($J1673="","",IFERROR(AVERAGEIFS('Weekly Log'!$F:$F,'Weekly Log'!$A:$A,"&gt;="&amp;$J1673,'Weekly Log'!$A:$A,"&lt;"&amp;$J1673+7),0))</f>
        <v/>
      </c>
      <c r="F1673" t="str">
        <f>IF($J1673="","",IFERROR(SUMIFS('Weekly Log'!$F:$F,'Weekly Log'!$A:$A,"&gt;="&amp;$J1673,'Weekly Log'!$A:$A,"&lt;"&amp;$J1673+7)/SUMIFS('Weekly Log'!$E:$E,'Weekly Log'!$A:$A,"&gt;="&amp;$J1673,'Weekly Log'!$A:$A,"&lt;"&amp;$J1673+7),0))</f>
        <v/>
      </c>
      <c r="G1673" t="str">
        <f>IF($J1673="","",IFERROR(LOOKUP(2,1/(('Weekly Log'!$A$5:$A$5000&gt;=$J1673)*('Weekly Log'!$A$5:$A$5000&lt;$J1673+7)*('Weekly Log'!$M$5:$M$5000&lt;&gt;"")),'Weekly Log'!$M$5:$M$5000),0))</f>
        <v/>
      </c>
      <c r="J1673" t="str">
        <f>IF(COUNT('Weekly Log'!$A$5:$A$5000)=0,"",IF(MIN('Weekly Log'!$A$5:$A$5000)+7*(ROW()-10)&gt;MAX('Weekly Log'!$A$5:$A$5000),"",MIN('Weekly Log'!$A$5:$A$5000)+7*(ROW()-10)))</f>
        <v/>
      </c>
    </row>
    <row r="1674" spans="1:10" x14ac:dyDescent="0.25">
      <c r="A1674" t="str">
        <f t="shared" ref="A1674:A1737" si="26">IF($J1674="","",YEAR($J1674-WEEKDAY($J1674,2)+4)&amp;"-W"&amp;TEXT(WEEKNUM($J1674,21),"00"))</f>
        <v/>
      </c>
      <c r="B1674" t="str">
        <f>IF($J1674="","",SUMIFS('Weekly Log'!$C:$C,'Weekly Log'!$A:$A,"&gt;="&amp;$J1674,'Weekly Log'!$A:$A,"&lt;"&amp;$J1674+7))</f>
        <v/>
      </c>
      <c r="C1674" t="str">
        <f>IF($J1674="","",IFERROR(COUNTIFS('Weekly Log'!$G:$G,"Y",'Weekly Log'!$A:$A,"&gt;="&amp;$J1674,'Weekly Log'!$A:$A,"&lt;"&amp;$J1674+7)/COUNTIFS('Weekly Log'!$G:$G,"&lt;&gt;",'Weekly Log'!$A:$A,"&gt;="&amp;$J1674,'Weekly Log'!$A:$A,"&lt;"&amp;$J1674+7),0))</f>
        <v/>
      </c>
      <c r="D1674" t="str">
        <f>IF($J1674="","",IFERROR(COUNTIFS('Weekly Log'!$H:$H,"Y",'Weekly Log'!$A:$A,"&gt;="&amp;$J1674,'Weekly Log'!$A:$A,"&lt;"&amp;$J1674+7)/COUNTIFS('Weekly Log'!$H:$H,"&lt;&gt;",'Weekly Log'!$A:$A,"&gt;="&amp;$J1674,'Weekly Log'!$A:$A,"&lt;"&amp;$J1674+7),0))</f>
        <v/>
      </c>
      <c r="E1674" t="str">
        <f>IF($J1674="","",IFERROR(AVERAGEIFS('Weekly Log'!$F:$F,'Weekly Log'!$A:$A,"&gt;="&amp;$J1674,'Weekly Log'!$A:$A,"&lt;"&amp;$J1674+7),0))</f>
        <v/>
      </c>
      <c r="F1674" t="str">
        <f>IF($J1674="","",IFERROR(SUMIFS('Weekly Log'!$F:$F,'Weekly Log'!$A:$A,"&gt;="&amp;$J1674,'Weekly Log'!$A:$A,"&lt;"&amp;$J1674+7)/SUMIFS('Weekly Log'!$E:$E,'Weekly Log'!$A:$A,"&gt;="&amp;$J1674,'Weekly Log'!$A:$A,"&lt;"&amp;$J1674+7),0))</f>
        <v/>
      </c>
      <c r="G1674" t="str">
        <f>IF($J1674="","",IFERROR(LOOKUP(2,1/(('Weekly Log'!$A$5:$A$5000&gt;=$J1674)*('Weekly Log'!$A$5:$A$5000&lt;$J1674+7)*('Weekly Log'!$M$5:$M$5000&lt;&gt;"")),'Weekly Log'!$M$5:$M$5000),0))</f>
        <v/>
      </c>
      <c r="J1674" t="str">
        <f>IF(COUNT('Weekly Log'!$A$5:$A$5000)=0,"",IF(MIN('Weekly Log'!$A$5:$A$5000)+7*(ROW()-10)&gt;MAX('Weekly Log'!$A$5:$A$5000),"",MIN('Weekly Log'!$A$5:$A$5000)+7*(ROW()-10)))</f>
        <v/>
      </c>
    </row>
    <row r="1675" spans="1:10" x14ac:dyDescent="0.25">
      <c r="A1675" t="str">
        <f t="shared" si="26"/>
        <v/>
      </c>
      <c r="B1675" t="str">
        <f>IF($J1675="","",SUMIFS('Weekly Log'!$C:$C,'Weekly Log'!$A:$A,"&gt;="&amp;$J1675,'Weekly Log'!$A:$A,"&lt;"&amp;$J1675+7))</f>
        <v/>
      </c>
      <c r="C1675" t="str">
        <f>IF($J1675="","",IFERROR(COUNTIFS('Weekly Log'!$G:$G,"Y",'Weekly Log'!$A:$A,"&gt;="&amp;$J1675,'Weekly Log'!$A:$A,"&lt;"&amp;$J1675+7)/COUNTIFS('Weekly Log'!$G:$G,"&lt;&gt;",'Weekly Log'!$A:$A,"&gt;="&amp;$J1675,'Weekly Log'!$A:$A,"&lt;"&amp;$J1675+7),0))</f>
        <v/>
      </c>
      <c r="D1675" t="str">
        <f>IF($J1675="","",IFERROR(COUNTIFS('Weekly Log'!$H:$H,"Y",'Weekly Log'!$A:$A,"&gt;="&amp;$J1675,'Weekly Log'!$A:$A,"&lt;"&amp;$J1675+7)/COUNTIFS('Weekly Log'!$H:$H,"&lt;&gt;",'Weekly Log'!$A:$A,"&gt;="&amp;$J1675,'Weekly Log'!$A:$A,"&lt;"&amp;$J1675+7),0))</f>
        <v/>
      </c>
      <c r="E1675" t="str">
        <f>IF($J1675="","",IFERROR(AVERAGEIFS('Weekly Log'!$F:$F,'Weekly Log'!$A:$A,"&gt;="&amp;$J1675,'Weekly Log'!$A:$A,"&lt;"&amp;$J1675+7),0))</f>
        <v/>
      </c>
      <c r="F1675" t="str">
        <f>IF($J1675="","",IFERROR(SUMIFS('Weekly Log'!$F:$F,'Weekly Log'!$A:$A,"&gt;="&amp;$J1675,'Weekly Log'!$A:$A,"&lt;"&amp;$J1675+7)/SUMIFS('Weekly Log'!$E:$E,'Weekly Log'!$A:$A,"&gt;="&amp;$J1675,'Weekly Log'!$A:$A,"&lt;"&amp;$J1675+7),0))</f>
        <v/>
      </c>
      <c r="G1675" t="str">
        <f>IF($J1675="","",IFERROR(LOOKUP(2,1/(('Weekly Log'!$A$5:$A$5000&gt;=$J1675)*('Weekly Log'!$A$5:$A$5000&lt;$J1675+7)*('Weekly Log'!$M$5:$M$5000&lt;&gt;"")),'Weekly Log'!$M$5:$M$5000),0))</f>
        <v/>
      </c>
      <c r="J1675" t="str">
        <f>IF(COUNT('Weekly Log'!$A$5:$A$5000)=0,"",IF(MIN('Weekly Log'!$A$5:$A$5000)+7*(ROW()-10)&gt;MAX('Weekly Log'!$A$5:$A$5000),"",MIN('Weekly Log'!$A$5:$A$5000)+7*(ROW()-10)))</f>
        <v/>
      </c>
    </row>
    <row r="1676" spans="1:10" x14ac:dyDescent="0.25">
      <c r="A1676" t="str">
        <f t="shared" si="26"/>
        <v/>
      </c>
      <c r="B1676" t="str">
        <f>IF($J1676="","",SUMIFS('Weekly Log'!$C:$C,'Weekly Log'!$A:$A,"&gt;="&amp;$J1676,'Weekly Log'!$A:$A,"&lt;"&amp;$J1676+7))</f>
        <v/>
      </c>
      <c r="C1676" t="str">
        <f>IF($J1676="","",IFERROR(COUNTIFS('Weekly Log'!$G:$G,"Y",'Weekly Log'!$A:$A,"&gt;="&amp;$J1676,'Weekly Log'!$A:$A,"&lt;"&amp;$J1676+7)/COUNTIFS('Weekly Log'!$G:$G,"&lt;&gt;",'Weekly Log'!$A:$A,"&gt;="&amp;$J1676,'Weekly Log'!$A:$A,"&lt;"&amp;$J1676+7),0))</f>
        <v/>
      </c>
      <c r="D1676" t="str">
        <f>IF($J1676="","",IFERROR(COUNTIFS('Weekly Log'!$H:$H,"Y",'Weekly Log'!$A:$A,"&gt;="&amp;$J1676,'Weekly Log'!$A:$A,"&lt;"&amp;$J1676+7)/COUNTIFS('Weekly Log'!$H:$H,"&lt;&gt;",'Weekly Log'!$A:$A,"&gt;="&amp;$J1676,'Weekly Log'!$A:$A,"&lt;"&amp;$J1676+7),0))</f>
        <v/>
      </c>
      <c r="E1676" t="str">
        <f>IF($J1676="","",IFERROR(AVERAGEIFS('Weekly Log'!$F:$F,'Weekly Log'!$A:$A,"&gt;="&amp;$J1676,'Weekly Log'!$A:$A,"&lt;"&amp;$J1676+7),0))</f>
        <v/>
      </c>
      <c r="F1676" t="str">
        <f>IF($J1676="","",IFERROR(SUMIFS('Weekly Log'!$F:$F,'Weekly Log'!$A:$A,"&gt;="&amp;$J1676,'Weekly Log'!$A:$A,"&lt;"&amp;$J1676+7)/SUMIFS('Weekly Log'!$E:$E,'Weekly Log'!$A:$A,"&gt;="&amp;$J1676,'Weekly Log'!$A:$A,"&lt;"&amp;$J1676+7),0))</f>
        <v/>
      </c>
      <c r="G1676" t="str">
        <f>IF($J1676="","",IFERROR(LOOKUP(2,1/(('Weekly Log'!$A$5:$A$5000&gt;=$J1676)*('Weekly Log'!$A$5:$A$5000&lt;$J1676+7)*('Weekly Log'!$M$5:$M$5000&lt;&gt;"")),'Weekly Log'!$M$5:$M$5000),0))</f>
        <v/>
      </c>
      <c r="J1676" t="str">
        <f>IF(COUNT('Weekly Log'!$A$5:$A$5000)=0,"",IF(MIN('Weekly Log'!$A$5:$A$5000)+7*(ROW()-10)&gt;MAX('Weekly Log'!$A$5:$A$5000),"",MIN('Weekly Log'!$A$5:$A$5000)+7*(ROW()-10)))</f>
        <v/>
      </c>
    </row>
    <row r="1677" spans="1:10" x14ac:dyDescent="0.25">
      <c r="A1677" t="str">
        <f t="shared" si="26"/>
        <v/>
      </c>
      <c r="B1677" t="str">
        <f>IF($J1677="","",SUMIFS('Weekly Log'!$C:$C,'Weekly Log'!$A:$A,"&gt;="&amp;$J1677,'Weekly Log'!$A:$A,"&lt;"&amp;$J1677+7))</f>
        <v/>
      </c>
      <c r="C1677" t="str">
        <f>IF($J1677="","",IFERROR(COUNTIFS('Weekly Log'!$G:$G,"Y",'Weekly Log'!$A:$A,"&gt;="&amp;$J1677,'Weekly Log'!$A:$A,"&lt;"&amp;$J1677+7)/COUNTIFS('Weekly Log'!$G:$G,"&lt;&gt;",'Weekly Log'!$A:$A,"&gt;="&amp;$J1677,'Weekly Log'!$A:$A,"&lt;"&amp;$J1677+7),0))</f>
        <v/>
      </c>
      <c r="D1677" t="str">
        <f>IF($J1677="","",IFERROR(COUNTIFS('Weekly Log'!$H:$H,"Y",'Weekly Log'!$A:$A,"&gt;="&amp;$J1677,'Weekly Log'!$A:$A,"&lt;"&amp;$J1677+7)/COUNTIFS('Weekly Log'!$H:$H,"&lt;&gt;",'Weekly Log'!$A:$A,"&gt;="&amp;$J1677,'Weekly Log'!$A:$A,"&lt;"&amp;$J1677+7),0))</f>
        <v/>
      </c>
      <c r="E1677" t="str">
        <f>IF($J1677="","",IFERROR(AVERAGEIFS('Weekly Log'!$F:$F,'Weekly Log'!$A:$A,"&gt;="&amp;$J1677,'Weekly Log'!$A:$A,"&lt;"&amp;$J1677+7),0))</f>
        <v/>
      </c>
      <c r="F1677" t="str">
        <f>IF($J1677="","",IFERROR(SUMIFS('Weekly Log'!$F:$F,'Weekly Log'!$A:$A,"&gt;="&amp;$J1677,'Weekly Log'!$A:$A,"&lt;"&amp;$J1677+7)/SUMIFS('Weekly Log'!$E:$E,'Weekly Log'!$A:$A,"&gt;="&amp;$J1677,'Weekly Log'!$A:$A,"&lt;"&amp;$J1677+7),0))</f>
        <v/>
      </c>
      <c r="G1677" t="str">
        <f>IF($J1677="","",IFERROR(LOOKUP(2,1/(('Weekly Log'!$A$5:$A$5000&gt;=$J1677)*('Weekly Log'!$A$5:$A$5000&lt;$J1677+7)*('Weekly Log'!$M$5:$M$5000&lt;&gt;"")),'Weekly Log'!$M$5:$M$5000),0))</f>
        <v/>
      </c>
      <c r="J1677" t="str">
        <f>IF(COUNT('Weekly Log'!$A$5:$A$5000)=0,"",IF(MIN('Weekly Log'!$A$5:$A$5000)+7*(ROW()-10)&gt;MAX('Weekly Log'!$A$5:$A$5000),"",MIN('Weekly Log'!$A$5:$A$5000)+7*(ROW()-10)))</f>
        <v/>
      </c>
    </row>
    <row r="1678" spans="1:10" x14ac:dyDescent="0.25">
      <c r="A1678" t="str">
        <f t="shared" si="26"/>
        <v/>
      </c>
      <c r="B1678" t="str">
        <f>IF($J1678="","",SUMIFS('Weekly Log'!$C:$C,'Weekly Log'!$A:$A,"&gt;="&amp;$J1678,'Weekly Log'!$A:$A,"&lt;"&amp;$J1678+7))</f>
        <v/>
      </c>
      <c r="C1678" t="str">
        <f>IF($J1678="","",IFERROR(COUNTIFS('Weekly Log'!$G:$G,"Y",'Weekly Log'!$A:$A,"&gt;="&amp;$J1678,'Weekly Log'!$A:$A,"&lt;"&amp;$J1678+7)/COUNTIFS('Weekly Log'!$G:$G,"&lt;&gt;",'Weekly Log'!$A:$A,"&gt;="&amp;$J1678,'Weekly Log'!$A:$A,"&lt;"&amp;$J1678+7),0))</f>
        <v/>
      </c>
      <c r="D1678" t="str">
        <f>IF($J1678="","",IFERROR(COUNTIFS('Weekly Log'!$H:$H,"Y",'Weekly Log'!$A:$A,"&gt;="&amp;$J1678,'Weekly Log'!$A:$A,"&lt;"&amp;$J1678+7)/COUNTIFS('Weekly Log'!$H:$H,"&lt;&gt;",'Weekly Log'!$A:$A,"&gt;="&amp;$J1678,'Weekly Log'!$A:$A,"&lt;"&amp;$J1678+7),0))</f>
        <v/>
      </c>
      <c r="E1678" t="str">
        <f>IF($J1678="","",IFERROR(AVERAGEIFS('Weekly Log'!$F:$F,'Weekly Log'!$A:$A,"&gt;="&amp;$J1678,'Weekly Log'!$A:$A,"&lt;"&amp;$J1678+7),0))</f>
        <v/>
      </c>
      <c r="F1678" t="str">
        <f>IF($J1678="","",IFERROR(SUMIFS('Weekly Log'!$F:$F,'Weekly Log'!$A:$A,"&gt;="&amp;$J1678,'Weekly Log'!$A:$A,"&lt;"&amp;$J1678+7)/SUMIFS('Weekly Log'!$E:$E,'Weekly Log'!$A:$A,"&gt;="&amp;$J1678,'Weekly Log'!$A:$A,"&lt;"&amp;$J1678+7),0))</f>
        <v/>
      </c>
      <c r="G1678" t="str">
        <f>IF($J1678="","",IFERROR(LOOKUP(2,1/(('Weekly Log'!$A$5:$A$5000&gt;=$J1678)*('Weekly Log'!$A$5:$A$5000&lt;$J1678+7)*('Weekly Log'!$M$5:$M$5000&lt;&gt;"")),'Weekly Log'!$M$5:$M$5000),0))</f>
        <v/>
      </c>
      <c r="J1678" t="str">
        <f>IF(COUNT('Weekly Log'!$A$5:$A$5000)=0,"",IF(MIN('Weekly Log'!$A$5:$A$5000)+7*(ROW()-10)&gt;MAX('Weekly Log'!$A$5:$A$5000),"",MIN('Weekly Log'!$A$5:$A$5000)+7*(ROW()-10)))</f>
        <v/>
      </c>
    </row>
    <row r="1679" spans="1:10" x14ac:dyDescent="0.25">
      <c r="A1679" t="str">
        <f t="shared" si="26"/>
        <v/>
      </c>
      <c r="B1679" t="str">
        <f>IF($J1679="","",SUMIFS('Weekly Log'!$C:$C,'Weekly Log'!$A:$A,"&gt;="&amp;$J1679,'Weekly Log'!$A:$A,"&lt;"&amp;$J1679+7))</f>
        <v/>
      </c>
      <c r="C1679" t="str">
        <f>IF($J1679="","",IFERROR(COUNTIFS('Weekly Log'!$G:$G,"Y",'Weekly Log'!$A:$A,"&gt;="&amp;$J1679,'Weekly Log'!$A:$A,"&lt;"&amp;$J1679+7)/COUNTIFS('Weekly Log'!$G:$G,"&lt;&gt;",'Weekly Log'!$A:$A,"&gt;="&amp;$J1679,'Weekly Log'!$A:$A,"&lt;"&amp;$J1679+7),0))</f>
        <v/>
      </c>
      <c r="D1679" t="str">
        <f>IF($J1679="","",IFERROR(COUNTIFS('Weekly Log'!$H:$H,"Y",'Weekly Log'!$A:$A,"&gt;="&amp;$J1679,'Weekly Log'!$A:$A,"&lt;"&amp;$J1679+7)/COUNTIFS('Weekly Log'!$H:$H,"&lt;&gt;",'Weekly Log'!$A:$A,"&gt;="&amp;$J1679,'Weekly Log'!$A:$A,"&lt;"&amp;$J1679+7),0))</f>
        <v/>
      </c>
      <c r="E1679" t="str">
        <f>IF($J1679="","",IFERROR(AVERAGEIFS('Weekly Log'!$F:$F,'Weekly Log'!$A:$A,"&gt;="&amp;$J1679,'Weekly Log'!$A:$A,"&lt;"&amp;$J1679+7),0))</f>
        <v/>
      </c>
      <c r="F1679" t="str">
        <f>IF($J1679="","",IFERROR(SUMIFS('Weekly Log'!$F:$F,'Weekly Log'!$A:$A,"&gt;="&amp;$J1679,'Weekly Log'!$A:$A,"&lt;"&amp;$J1679+7)/SUMIFS('Weekly Log'!$E:$E,'Weekly Log'!$A:$A,"&gt;="&amp;$J1679,'Weekly Log'!$A:$A,"&lt;"&amp;$J1679+7),0))</f>
        <v/>
      </c>
      <c r="G1679" t="str">
        <f>IF($J1679="","",IFERROR(LOOKUP(2,1/(('Weekly Log'!$A$5:$A$5000&gt;=$J1679)*('Weekly Log'!$A$5:$A$5000&lt;$J1679+7)*('Weekly Log'!$M$5:$M$5000&lt;&gt;"")),'Weekly Log'!$M$5:$M$5000),0))</f>
        <v/>
      </c>
      <c r="J1679" t="str">
        <f>IF(COUNT('Weekly Log'!$A$5:$A$5000)=0,"",IF(MIN('Weekly Log'!$A$5:$A$5000)+7*(ROW()-10)&gt;MAX('Weekly Log'!$A$5:$A$5000),"",MIN('Weekly Log'!$A$5:$A$5000)+7*(ROW()-10)))</f>
        <v/>
      </c>
    </row>
    <row r="1680" spans="1:10" x14ac:dyDescent="0.25">
      <c r="A1680" t="str">
        <f t="shared" si="26"/>
        <v/>
      </c>
      <c r="B1680" t="str">
        <f>IF($J1680="","",SUMIFS('Weekly Log'!$C:$C,'Weekly Log'!$A:$A,"&gt;="&amp;$J1680,'Weekly Log'!$A:$A,"&lt;"&amp;$J1680+7))</f>
        <v/>
      </c>
      <c r="C1680" t="str">
        <f>IF($J1680="","",IFERROR(COUNTIFS('Weekly Log'!$G:$G,"Y",'Weekly Log'!$A:$A,"&gt;="&amp;$J1680,'Weekly Log'!$A:$A,"&lt;"&amp;$J1680+7)/COUNTIFS('Weekly Log'!$G:$G,"&lt;&gt;",'Weekly Log'!$A:$A,"&gt;="&amp;$J1680,'Weekly Log'!$A:$A,"&lt;"&amp;$J1680+7),0))</f>
        <v/>
      </c>
      <c r="D1680" t="str">
        <f>IF($J1680="","",IFERROR(COUNTIFS('Weekly Log'!$H:$H,"Y",'Weekly Log'!$A:$A,"&gt;="&amp;$J1680,'Weekly Log'!$A:$A,"&lt;"&amp;$J1680+7)/COUNTIFS('Weekly Log'!$H:$H,"&lt;&gt;",'Weekly Log'!$A:$A,"&gt;="&amp;$J1680,'Weekly Log'!$A:$A,"&lt;"&amp;$J1680+7),0))</f>
        <v/>
      </c>
      <c r="E1680" t="str">
        <f>IF($J1680="","",IFERROR(AVERAGEIFS('Weekly Log'!$F:$F,'Weekly Log'!$A:$A,"&gt;="&amp;$J1680,'Weekly Log'!$A:$A,"&lt;"&amp;$J1680+7),0))</f>
        <v/>
      </c>
      <c r="F1680" t="str">
        <f>IF($J1680="","",IFERROR(SUMIFS('Weekly Log'!$F:$F,'Weekly Log'!$A:$A,"&gt;="&amp;$J1680,'Weekly Log'!$A:$A,"&lt;"&amp;$J1680+7)/SUMIFS('Weekly Log'!$E:$E,'Weekly Log'!$A:$A,"&gt;="&amp;$J1680,'Weekly Log'!$A:$A,"&lt;"&amp;$J1680+7),0))</f>
        <v/>
      </c>
      <c r="G1680" t="str">
        <f>IF($J1680="","",IFERROR(LOOKUP(2,1/(('Weekly Log'!$A$5:$A$5000&gt;=$J1680)*('Weekly Log'!$A$5:$A$5000&lt;$J1680+7)*('Weekly Log'!$M$5:$M$5000&lt;&gt;"")),'Weekly Log'!$M$5:$M$5000),0))</f>
        <v/>
      </c>
      <c r="J1680" t="str">
        <f>IF(COUNT('Weekly Log'!$A$5:$A$5000)=0,"",IF(MIN('Weekly Log'!$A$5:$A$5000)+7*(ROW()-10)&gt;MAX('Weekly Log'!$A$5:$A$5000),"",MIN('Weekly Log'!$A$5:$A$5000)+7*(ROW()-10)))</f>
        <v/>
      </c>
    </row>
    <row r="1681" spans="1:10" x14ac:dyDescent="0.25">
      <c r="A1681" t="str">
        <f t="shared" si="26"/>
        <v/>
      </c>
      <c r="B1681" t="str">
        <f>IF($J1681="","",SUMIFS('Weekly Log'!$C:$C,'Weekly Log'!$A:$A,"&gt;="&amp;$J1681,'Weekly Log'!$A:$A,"&lt;"&amp;$J1681+7))</f>
        <v/>
      </c>
      <c r="C1681" t="str">
        <f>IF($J1681="","",IFERROR(COUNTIFS('Weekly Log'!$G:$G,"Y",'Weekly Log'!$A:$A,"&gt;="&amp;$J1681,'Weekly Log'!$A:$A,"&lt;"&amp;$J1681+7)/COUNTIFS('Weekly Log'!$G:$G,"&lt;&gt;",'Weekly Log'!$A:$A,"&gt;="&amp;$J1681,'Weekly Log'!$A:$A,"&lt;"&amp;$J1681+7),0))</f>
        <v/>
      </c>
      <c r="D1681" t="str">
        <f>IF($J1681="","",IFERROR(COUNTIFS('Weekly Log'!$H:$H,"Y",'Weekly Log'!$A:$A,"&gt;="&amp;$J1681,'Weekly Log'!$A:$A,"&lt;"&amp;$J1681+7)/COUNTIFS('Weekly Log'!$H:$H,"&lt;&gt;",'Weekly Log'!$A:$A,"&gt;="&amp;$J1681,'Weekly Log'!$A:$A,"&lt;"&amp;$J1681+7),0))</f>
        <v/>
      </c>
      <c r="E1681" t="str">
        <f>IF($J1681="","",IFERROR(AVERAGEIFS('Weekly Log'!$F:$F,'Weekly Log'!$A:$A,"&gt;="&amp;$J1681,'Weekly Log'!$A:$A,"&lt;"&amp;$J1681+7),0))</f>
        <v/>
      </c>
      <c r="F1681" t="str">
        <f>IF($J1681="","",IFERROR(SUMIFS('Weekly Log'!$F:$F,'Weekly Log'!$A:$A,"&gt;="&amp;$J1681,'Weekly Log'!$A:$A,"&lt;"&amp;$J1681+7)/SUMIFS('Weekly Log'!$E:$E,'Weekly Log'!$A:$A,"&gt;="&amp;$J1681,'Weekly Log'!$A:$A,"&lt;"&amp;$J1681+7),0))</f>
        <v/>
      </c>
      <c r="G1681" t="str">
        <f>IF($J1681="","",IFERROR(LOOKUP(2,1/(('Weekly Log'!$A$5:$A$5000&gt;=$J1681)*('Weekly Log'!$A$5:$A$5000&lt;$J1681+7)*('Weekly Log'!$M$5:$M$5000&lt;&gt;"")),'Weekly Log'!$M$5:$M$5000),0))</f>
        <v/>
      </c>
      <c r="J1681" t="str">
        <f>IF(COUNT('Weekly Log'!$A$5:$A$5000)=0,"",IF(MIN('Weekly Log'!$A$5:$A$5000)+7*(ROW()-10)&gt;MAX('Weekly Log'!$A$5:$A$5000),"",MIN('Weekly Log'!$A$5:$A$5000)+7*(ROW()-10)))</f>
        <v/>
      </c>
    </row>
    <row r="1682" spans="1:10" x14ac:dyDescent="0.25">
      <c r="A1682" t="str">
        <f t="shared" si="26"/>
        <v/>
      </c>
      <c r="B1682" t="str">
        <f>IF($J1682="","",SUMIFS('Weekly Log'!$C:$C,'Weekly Log'!$A:$A,"&gt;="&amp;$J1682,'Weekly Log'!$A:$A,"&lt;"&amp;$J1682+7))</f>
        <v/>
      </c>
      <c r="C1682" t="str">
        <f>IF($J1682="","",IFERROR(COUNTIFS('Weekly Log'!$G:$G,"Y",'Weekly Log'!$A:$A,"&gt;="&amp;$J1682,'Weekly Log'!$A:$A,"&lt;"&amp;$J1682+7)/COUNTIFS('Weekly Log'!$G:$G,"&lt;&gt;",'Weekly Log'!$A:$A,"&gt;="&amp;$J1682,'Weekly Log'!$A:$A,"&lt;"&amp;$J1682+7),0))</f>
        <v/>
      </c>
      <c r="D1682" t="str">
        <f>IF($J1682="","",IFERROR(COUNTIFS('Weekly Log'!$H:$H,"Y",'Weekly Log'!$A:$A,"&gt;="&amp;$J1682,'Weekly Log'!$A:$A,"&lt;"&amp;$J1682+7)/COUNTIFS('Weekly Log'!$H:$H,"&lt;&gt;",'Weekly Log'!$A:$A,"&gt;="&amp;$J1682,'Weekly Log'!$A:$A,"&lt;"&amp;$J1682+7),0))</f>
        <v/>
      </c>
      <c r="E1682" t="str">
        <f>IF($J1682="","",IFERROR(AVERAGEIFS('Weekly Log'!$F:$F,'Weekly Log'!$A:$A,"&gt;="&amp;$J1682,'Weekly Log'!$A:$A,"&lt;"&amp;$J1682+7),0))</f>
        <v/>
      </c>
      <c r="F1682" t="str">
        <f>IF($J1682="","",IFERROR(SUMIFS('Weekly Log'!$F:$F,'Weekly Log'!$A:$A,"&gt;="&amp;$J1682,'Weekly Log'!$A:$A,"&lt;"&amp;$J1682+7)/SUMIFS('Weekly Log'!$E:$E,'Weekly Log'!$A:$A,"&gt;="&amp;$J1682,'Weekly Log'!$A:$A,"&lt;"&amp;$J1682+7),0))</f>
        <v/>
      </c>
      <c r="G1682" t="str">
        <f>IF($J1682="","",IFERROR(LOOKUP(2,1/(('Weekly Log'!$A$5:$A$5000&gt;=$J1682)*('Weekly Log'!$A$5:$A$5000&lt;$J1682+7)*('Weekly Log'!$M$5:$M$5000&lt;&gt;"")),'Weekly Log'!$M$5:$M$5000),0))</f>
        <v/>
      </c>
      <c r="J1682" t="str">
        <f>IF(COUNT('Weekly Log'!$A$5:$A$5000)=0,"",IF(MIN('Weekly Log'!$A$5:$A$5000)+7*(ROW()-10)&gt;MAX('Weekly Log'!$A$5:$A$5000),"",MIN('Weekly Log'!$A$5:$A$5000)+7*(ROW()-10)))</f>
        <v/>
      </c>
    </row>
    <row r="1683" spans="1:10" x14ac:dyDescent="0.25">
      <c r="A1683" t="str">
        <f t="shared" si="26"/>
        <v/>
      </c>
      <c r="B1683" t="str">
        <f>IF($J1683="","",SUMIFS('Weekly Log'!$C:$C,'Weekly Log'!$A:$A,"&gt;="&amp;$J1683,'Weekly Log'!$A:$A,"&lt;"&amp;$J1683+7))</f>
        <v/>
      </c>
      <c r="C1683" t="str">
        <f>IF($J1683="","",IFERROR(COUNTIFS('Weekly Log'!$G:$G,"Y",'Weekly Log'!$A:$A,"&gt;="&amp;$J1683,'Weekly Log'!$A:$A,"&lt;"&amp;$J1683+7)/COUNTIFS('Weekly Log'!$G:$G,"&lt;&gt;",'Weekly Log'!$A:$A,"&gt;="&amp;$J1683,'Weekly Log'!$A:$A,"&lt;"&amp;$J1683+7),0))</f>
        <v/>
      </c>
      <c r="D1683" t="str">
        <f>IF($J1683="","",IFERROR(COUNTIFS('Weekly Log'!$H:$H,"Y",'Weekly Log'!$A:$A,"&gt;="&amp;$J1683,'Weekly Log'!$A:$A,"&lt;"&amp;$J1683+7)/COUNTIFS('Weekly Log'!$H:$H,"&lt;&gt;",'Weekly Log'!$A:$A,"&gt;="&amp;$J1683,'Weekly Log'!$A:$A,"&lt;"&amp;$J1683+7),0))</f>
        <v/>
      </c>
      <c r="E1683" t="str">
        <f>IF($J1683="","",IFERROR(AVERAGEIFS('Weekly Log'!$F:$F,'Weekly Log'!$A:$A,"&gt;="&amp;$J1683,'Weekly Log'!$A:$A,"&lt;"&amp;$J1683+7),0))</f>
        <v/>
      </c>
      <c r="F1683" t="str">
        <f>IF($J1683="","",IFERROR(SUMIFS('Weekly Log'!$F:$F,'Weekly Log'!$A:$A,"&gt;="&amp;$J1683,'Weekly Log'!$A:$A,"&lt;"&amp;$J1683+7)/SUMIFS('Weekly Log'!$E:$E,'Weekly Log'!$A:$A,"&gt;="&amp;$J1683,'Weekly Log'!$A:$A,"&lt;"&amp;$J1683+7),0))</f>
        <v/>
      </c>
      <c r="G1683" t="str">
        <f>IF($J1683="","",IFERROR(LOOKUP(2,1/(('Weekly Log'!$A$5:$A$5000&gt;=$J1683)*('Weekly Log'!$A$5:$A$5000&lt;$J1683+7)*('Weekly Log'!$M$5:$M$5000&lt;&gt;"")),'Weekly Log'!$M$5:$M$5000),0))</f>
        <v/>
      </c>
      <c r="J1683" t="str">
        <f>IF(COUNT('Weekly Log'!$A$5:$A$5000)=0,"",IF(MIN('Weekly Log'!$A$5:$A$5000)+7*(ROW()-10)&gt;MAX('Weekly Log'!$A$5:$A$5000),"",MIN('Weekly Log'!$A$5:$A$5000)+7*(ROW()-10)))</f>
        <v/>
      </c>
    </row>
    <row r="1684" spans="1:10" x14ac:dyDescent="0.25">
      <c r="A1684" t="str">
        <f t="shared" si="26"/>
        <v/>
      </c>
      <c r="B1684" t="str">
        <f>IF($J1684="","",SUMIFS('Weekly Log'!$C:$C,'Weekly Log'!$A:$A,"&gt;="&amp;$J1684,'Weekly Log'!$A:$A,"&lt;"&amp;$J1684+7))</f>
        <v/>
      </c>
      <c r="C1684" t="str">
        <f>IF($J1684="","",IFERROR(COUNTIFS('Weekly Log'!$G:$G,"Y",'Weekly Log'!$A:$A,"&gt;="&amp;$J1684,'Weekly Log'!$A:$A,"&lt;"&amp;$J1684+7)/COUNTIFS('Weekly Log'!$G:$G,"&lt;&gt;",'Weekly Log'!$A:$A,"&gt;="&amp;$J1684,'Weekly Log'!$A:$A,"&lt;"&amp;$J1684+7),0))</f>
        <v/>
      </c>
      <c r="D1684" t="str">
        <f>IF($J1684="","",IFERROR(COUNTIFS('Weekly Log'!$H:$H,"Y",'Weekly Log'!$A:$A,"&gt;="&amp;$J1684,'Weekly Log'!$A:$A,"&lt;"&amp;$J1684+7)/COUNTIFS('Weekly Log'!$H:$H,"&lt;&gt;",'Weekly Log'!$A:$A,"&gt;="&amp;$J1684,'Weekly Log'!$A:$A,"&lt;"&amp;$J1684+7),0))</f>
        <v/>
      </c>
      <c r="E1684" t="str">
        <f>IF($J1684="","",IFERROR(AVERAGEIFS('Weekly Log'!$F:$F,'Weekly Log'!$A:$A,"&gt;="&amp;$J1684,'Weekly Log'!$A:$A,"&lt;"&amp;$J1684+7),0))</f>
        <v/>
      </c>
      <c r="F1684" t="str">
        <f>IF($J1684="","",IFERROR(SUMIFS('Weekly Log'!$F:$F,'Weekly Log'!$A:$A,"&gt;="&amp;$J1684,'Weekly Log'!$A:$A,"&lt;"&amp;$J1684+7)/SUMIFS('Weekly Log'!$E:$E,'Weekly Log'!$A:$A,"&gt;="&amp;$J1684,'Weekly Log'!$A:$A,"&lt;"&amp;$J1684+7),0))</f>
        <v/>
      </c>
      <c r="G1684" t="str">
        <f>IF($J1684="","",IFERROR(LOOKUP(2,1/(('Weekly Log'!$A$5:$A$5000&gt;=$J1684)*('Weekly Log'!$A$5:$A$5000&lt;$J1684+7)*('Weekly Log'!$M$5:$M$5000&lt;&gt;"")),'Weekly Log'!$M$5:$M$5000),0))</f>
        <v/>
      </c>
      <c r="J1684" t="str">
        <f>IF(COUNT('Weekly Log'!$A$5:$A$5000)=0,"",IF(MIN('Weekly Log'!$A$5:$A$5000)+7*(ROW()-10)&gt;MAX('Weekly Log'!$A$5:$A$5000),"",MIN('Weekly Log'!$A$5:$A$5000)+7*(ROW()-10)))</f>
        <v/>
      </c>
    </row>
    <row r="1685" spans="1:10" x14ac:dyDescent="0.25">
      <c r="A1685" t="str">
        <f t="shared" si="26"/>
        <v/>
      </c>
      <c r="B1685" t="str">
        <f>IF($J1685="","",SUMIFS('Weekly Log'!$C:$C,'Weekly Log'!$A:$A,"&gt;="&amp;$J1685,'Weekly Log'!$A:$A,"&lt;"&amp;$J1685+7))</f>
        <v/>
      </c>
      <c r="C1685" t="str">
        <f>IF($J1685="","",IFERROR(COUNTIFS('Weekly Log'!$G:$G,"Y",'Weekly Log'!$A:$A,"&gt;="&amp;$J1685,'Weekly Log'!$A:$A,"&lt;"&amp;$J1685+7)/COUNTIFS('Weekly Log'!$G:$G,"&lt;&gt;",'Weekly Log'!$A:$A,"&gt;="&amp;$J1685,'Weekly Log'!$A:$A,"&lt;"&amp;$J1685+7),0))</f>
        <v/>
      </c>
      <c r="D1685" t="str">
        <f>IF($J1685="","",IFERROR(COUNTIFS('Weekly Log'!$H:$H,"Y",'Weekly Log'!$A:$A,"&gt;="&amp;$J1685,'Weekly Log'!$A:$A,"&lt;"&amp;$J1685+7)/COUNTIFS('Weekly Log'!$H:$H,"&lt;&gt;",'Weekly Log'!$A:$A,"&gt;="&amp;$J1685,'Weekly Log'!$A:$A,"&lt;"&amp;$J1685+7),0))</f>
        <v/>
      </c>
      <c r="E1685" t="str">
        <f>IF($J1685="","",IFERROR(AVERAGEIFS('Weekly Log'!$F:$F,'Weekly Log'!$A:$A,"&gt;="&amp;$J1685,'Weekly Log'!$A:$A,"&lt;"&amp;$J1685+7),0))</f>
        <v/>
      </c>
      <c r="F1685" t="str">
        <f>IF($J1685="","",IFERROR(SUMIFS('Weekly Log'!$F:$F,'Weekly Log'!$A:$A,"&gt;="&amp;$J1685,'Weekly Log'!$A:$A,"&lt;"&amp;$J1685+7)/SUMIFS('Weekly Log'!$E:$E,'Weekly Log'!$A:$A,"&gt;="&amp;$J1685,'Weekly Log'!$A:$A,"&lt;"&amp;$J1685+7),0))</f>
        <v/>
      </c>
      <c r="G1685" t="str">
        <f>IF($J1685="","",IFERROR(LOOKUP(2,1/(('Weekly Log'!$A$5:$A$5000&gt;=$J1685)*('Weekly Log'!$A$5:$A$5000&lt;$J1685+7)*('Weekly Log'!$M$5:$M$5000&lt;&gt;"")),'Weekly Log'!$M$5:$M$5000),0))</f>
        <v/>
      </c>
      <c r="J1685" t="str">
        <f>IF(COUNT('Weekly Log'!$A$5:$A$5000)=0,"",IF(MIN('Weekly Log'!$A$5:$A$5000)+7*(ROW()-10)&gt;MAX('Weekly Log'!$A$5:$A$5000),"",MIN('Weekly Log'!$A$5:$A$5000)+7*(ROW()-10)))</f>
        <v/>
      </c>
    </row>
    <row r="1686" spans="1:10" x14ac:dyDescent="0.25">
      <c r="A1686" t="str">
        <f t="shared" si="26"/>
        <v/>
      </c>
      <c r="B1686" t="str">
        <f>IF($J1686="","",SUMIFS('Weekly Log'!$C:$C,'Weekly Log'!$A:$A,"&gt;="&amp;$J1686,'Weekly Log'!$A:$A,"&lt;"&amp;$J1686+7))</f>
        <v/>
      </c>
      <c r="C1686" t="str">
        <f>IF($J1686="","",IFERROR(COUNTIFS('Weekly Log'!$G:$G,"Y",'Weekly Log'!$A:$A,"&gt;="&amp;$J1686,'Weekly Log'!$A:$A,"&lt;"&amp;$J1686+7)/COUNTIFS('Weekly Log'!$G:$G,"&lt;&gt;",'Weekly Log'!$A:$A,"&gt;="&amp;$J1686,'Weekly Log'!$A:$A,"&lt;"&amp;$J1686+7),0))</f>
        <v/>
      </c>
      <c r="D1686" t="str">
        <f>IF($J1686="","",IFERROR(COUNTIFS('Weekly Log'!$H:$H,"Y",'Weekly Log'!$A:$A,"&gt;="&amp;$J1686,'Weekly Log'!$A:$A,"&lt;"&amp;$J1686+7)/COUNTIFS('Weekly Log'!$H:$H,"&lt;&gt;",'Weekly Log'!$A:$A,"&gt;="&amp;$J1686,'Weekly Log'!$A:$A,"&lt;"&amp;$J1686+7),0))</f>
        <v/>
      </c>
      <c r="E1686" t="str">
        <f>IF($J1686="","",IFERROR(AVERAGEIFS('Weekly Log'!$F:$F,'Weekly Log'!$A:$A,"&gt;="&amp;$J1686,'Weekly Log'!$A:$A,"&lt;"&amp;$J1686+7),0))</f>
        <v/>
      </c>
      <c r="F1686" t="str">
        <f>IF($J1686="","",IFERROR(SUMIFS('Weekly Log'!$F:$F,'Weekly Log'!$A:$A,"&gt;="&amp;$J1686,'Weekly Log'!$A:$A,"&lt;"&amp;$J1686+7)/SUMIFS('Weekly Log'!$E:$E,'Weekly Log'!$A:$A,"&gt;="&amp;$J1686,'Weekly Log'!$A:$A,"&lt;"&amp;$J1686+7),0))</f>
        <v/>
      </c>
      <c r="G1686" t="str">
        <f>IF($J1686="","",IFERROR(LOOKUP(2,1/(('Weekly Log'!$A$5:$A$5000&gt;=$J1686)*('Weekly Log'!$A$5:$A$5000&lt;$J1686+7)*('Weekly Log'!$M$5:$M$5000&lt;&gt;"")),'Weekly Log'!$M$5:$M$5000),0))</f>
        <v/>
      </c>
      <c r="J1686" t="str">
        <f>IF(COUNT('Weekly Log'!$A$5:$A$5000)=0,"",IF(MIN('Weekly Log'!$A$5:$A$5000)+7*(ROW()-10)&gt;MAX('Weekly Log'!$A$5:$A$5000),"",MIN('Weekly Log'!$A$5:$A$5000)+7*(ROW()-10)))</f>
        <v/>
      </c>
    </row>
    <row r="1687" spans="1:10" x14ac:dyDescent="0.25">
      <c r="A1687" t="str">
        <f t="shared" si="26"/>
        <v/>
      </c>
      <c r="B1687" t="str">
        <f>IF($J1687="","",SUMIFS('Weekly Log'!$C:$C,'Weekly Log'!$A:$A,"&gt;="&amp;$J1687,'Weekly Log'!$A:$A,"&lt;"&amp;$J1687+7))</f>
        <v/>
      </c>
      <c r="C1687" t="str">
        <f>IF($J1687="","",IFERROR(COUNTIFS('Weekly Log'!$G:$G,"Y",'Weekly Log'!$A:$A,"&gt;="&amp;$J1687,'Weekly Log'!$A:$A,"&lt;"&amp;$J1687+7)/COUNTIFS('Weekly Log'!$G:$G,"&lt;&gt;",'Weekly Log'!$A:$A,"&gt;="&amp;$J1687,'Weekly Log'!$A:$A,"&lt;"&amp;$J1687+7),0))</f>
        <v/>
      </c>
      <c r="D1687" t="str">
        <f>IF($J1687="","",IFERROR(COUNTIFS('Weekly Log'!$H:$H,"Y",'Weekly Log'!$A:$A,"&gt;="&amp;$J1687,'Weekly Log'!$A:$A,"&lt;"&amp;$J1687+7)/COUNTIFS('Weekly Log'!$H:$H,"&lt;&gt;",'Weekly Log'!$A:$A,"&gt;="&amp;$J1687,'Weekly Log'!$A:$A,"&lt;"&amp;$J1687+7),0))</f>
        <v/>
      </c>
      <c r="E1687" t="str">
        <f>IF($J1687="","",IFERROR(AVERAGEIFS('Weekly Log'!$F:$F,'Weekly Log'!$A:$A,"&gt;="&amp;$J1687,'Weekly Log'!$A:$A,"&lt;"&amp;$J1687+7),0))</f>
        <v/>
      </c>
      <c r="F1687" t="str">
        <f>IF($J1687="","",IFERROR(SUMIFS('Weekly Log'!$F:$F,'Weekly Log'!$A:$A,"&gt;="&amp;$J1687,'Weekly Log'!$A:$A,"&lt;"&amp;$J1687+7)/SUMIFS('Weekly Log'!$E:$E,'Weekly Log'!$A:$A,"&gt;="&amp;$J1687,'Weekly Log'!$A:$A,"&lt;"&amp;$J1687+7),0))</f>
        <v/>
      </c>
      <c r="G1687" t="str">
        <f>IF($J1687="","",IFERROR(LOOKUP(2,1/(('Weekly Log'!$A$5:$A$5000&gt;=$J1687)*('Weekly Log'!$A$5:$A$5000&lt;$J1687+7)*('Weekly Log'!$M$5:$M$5000&lt;&gt;"")),'Weekly Log'!$M$5:$M$5000),0))</f>
        <v/>
      </c>
      <c r="J1687" t="str">
        <f>IF(COUNT('Weekly Log'!$A$5:$A$5000)=0,"",IF(MIN('Weekly Log'!$A$5:$A$5000)+7*(ROW()-10)&gt;MAX('Weekly Log'!$A$5:$A$5000),"",MIN('Weekly Log'!$A$5:$A$5000)+7*(ROW()-10)))</f>
        <v/>
      </c>
    </row>
    <row r="1688" spans="1:10" x14ac:dyDescent="0.25">
      <c r="A1688" t="str">
        <f t="shared" si="26"/>
        <v/>
      </c>
      <c r="B1688" t="str">
        <f>IF($J1688="","",SUMIFS('Weekly Log'!$C:$C,'Weekly Log'!$A:$A,"&gt;="&amp;$J1688,'Weekly Log'!$A:$A,"&lt;"&amp;$J1688+7))</f>
        <v/>
      </c>
      <c r="C1688" t="str">
        <f>IF($J1688="","",IFERROR(COUNTIFS('Weekly Log'!$G:$G,"Y",'Weekly Log'!$A:$A,"&gt;="&amp;$J1688,'Weekly Log'!$A:$A,"&lt;"&amp;$J1688+7)/COUNTIFS('Weekly Log'!$G:$G,"&lt;&gt;",'Weekly Log'!$A:$A,"&gt;="&amp;$J1688,'Weekly Log'!$A:$A,"&lt;"&amp;$J1688+7),0))</f>
        <v/>
      </c>
      <c r="D1688" t="str">
        <f>IF($J1688="","",IFERROR(COUNTIFS('Weekly Log'!$H:$H,"Y",'Weekly Log'!$A:$A,"&gt;="&amp;$J1688,'Weekly Log'!$A:$A,"&lt;"&amp;$J1688+7)/COUNTIFS('Weekly Log'!$H:$H,"&lt;&gt;",'Weekly Log'!$A:$A,"&gt;="&amp;$J1688,'Weekly Log'!$A:$A,"&lt;"&amp;$J1688+7),0))</f>
        <v/>
      </c>
      <c r="E1688" t="str">
        <f>IF($J1688="","",IFERROR(AVERAGEIFS('Weekly Log'!$F:$F,'Weekly Log'!$A:$A,"&gt;="&amp;$J1688,'Weekly Log'!$A:$A,"&lt;"&amp;$J1688+7),0))</f>
        <v/>
      </c>
      <c r="F1688" t="str">
        <f>IF($J1688="","",IFERROR(SUMIFS('Weekly Log'!$F:$F,'Weekly Log'!$A:$A,"&gt;="&amp;$J1688,'Weekly Log'!$A:$A,"&lt;"&amp;$J1688+7)/SUMIFS('Weekly Log'!$E:$E,'Weekly Log'!$A:$A,"&gt;="&amp;$J1688,'Weekly Log'!$A:$A,"&lt;"&amp;$J1688+7),0))</f>
        <v/>
      </c>
      <c r="G1688" t="str">
        <f>IF($J1688="","",IFERROR(LOOKUP(2,1/(('Weekly Log'!$A$5:$A$5000&gt;=$J1688)*('Weekly Log'!$A$5:$A$5000&lt;$J1688+7)*('Weekly Log'!$M$5:$M$5000&lt;&gt;"")),'Weekly Log'!$M$5:$M$5000),0))</f>
        <v/>
      </c>
      <c r="J1688" t="str">
        <f>IF(COUNT('Weekly Log'!$A$5:$A$5000)=0,"",IF(MIN('Weekly Log'!$A$5:$A$5000)+7*(ROW()-10)&gt;MAX('Weekly Log'!$A$5:$A$5000),"",MIN('Weekly Log'!$A$5:$A$5000)+7*(ROW()-10)))</f>
        <v/>
      </c>
    </row>
    <row r="1689" spans="1:10" x14ac:dyDescent="0.25">
      <c r="A1689" t="str">
        <f t="shared" si="26"/>
        <v/>
      </c>
      <c r="B1689" t="str">
        <f>IF($J1689="","",SUMIFS('Weekly Log'!$C:$C,'Weekly Log'!$A:$A,"&gt;="&amp;$J1689,'Weekly Log'!$A:$A,"&lt;"&amp;$J1689+7))</f>
        <v/>
      </c>
      <c r="C1689" t="str">
        <f>IF($J1689="","",IFERROR(COUNTIFS('Weekly Log'!$G:$G,"Y",'Weekly Log'!$A:$A,"&gt;="&amp;$J1689,'Weekly Log'!$A:$A,"&lt;"&amp;$J1689+7)/COUNTIFS('Weekly Log'!$G:$G,"&lt;&gt;",'Weekly Log'!$A:$A,"&gt;="&amp;$J1689,'Weekly Log'!$A:$A,"&lt;"&amp;$J1689+7),0))</f>
        <v/>
      </c>
      <c r="D1689" t="str">
        <f>IF($J1689="","",IFERROR(COUNTIFS('Weekly Log'!$H:$H,"Y",'Weekly Log'!$A:$A,"&gt;="&amp;$J1689,'Weekly Log'!$A:$A,"&lt;"&amp;$J1689+7)/COUNTIFS('Weekly Log'!$H:$H,"&lt;&gt;",'Weekly Log'!$A:$A,"&gt;="&amp;$J1689,'Weekly Log'!$A:$A,"&lt;"&amp;$J1689+7),0))</f>
        <v/>
      </c>
      <c r="E1689" t="str">
        <f>IF($J1689="","",IFERROR(AVERAGEIFS('Weekly Log'!$F:$F,'Weekly Log'!$A:$A,"&gt;="&amp;$J1689,'Weekly Log'!$A:$A,"&lt;"&amp;$J1689+7),0))</f>
        <v/>
      </c>
      <c r="F1689" t="str">
        <f>IF($J1689="","",IFERROR(SUMIFS('Weekly Log'!$F:$F,'Weekly Log'!$A:$A,"&gt;="&amp;$J1689,'Weekly Log'!$A:$A,"&lt;"&amp;$J1689+7)/SUMIFS('Weekly Log'!$E:$E,'Weekly Log'!$A:$A,"&gt;="&amp;$J1689,'Weekly Log'!$A:$A,"&lt;"&amp;$J1689+7),0))</f>
        <v/>
      </c>
      <c r="G1689" t="str">
        <f>IF($J1689="","",IFERROR(LOOKUP(2,1/(('Weekly Log'!$A$5:$A$5000&gt;=$J1689)*('Weekly Log'!$A$5:$A$5000&lt;$J1689+7)*('Weekly Log'!$M$5:$M$5000&lt;&gt;"")),'Weekly Log'!$M$5:$M$5000),0))</f>
        <v/>
      </c>
      <c r="J1689" t="str">
        <f>IF(COUNT('Weekly Log'!$A$5:$A$5000)=0,"",IF(MIN('Weekly Log'!$A$5:$A$5000)+7*(ROW()-10)&gt;MAX('Weekly Log'!$A$5:$A$5000),"",MIN('Weekly Log'!$A$5:$A$5000)+7*(ROW()-10)))</f>
        <v/>
      </c>
    </row>
    <row r="1690" spans="1:10" x14ac:dyDescent="0.25">
      <c r="A1690" t="str">
        <f t="shared" si="26"/>
        <v/>
      </c>
      <c r="B1690" t="str">
        <f>IF($J1690="","",SUMIFS('Weekly Log'!$C:$C,'Weekly Log'!$A:$A,"&gt;="&amp;$J1690,'Weekly Log'!$A:$A,"&lt;"&amp;$J1690+7))</f>
        <v/>
      </c>
      <c r="C1690" t="str">
        <f>IF($J1690="","",IFERROR(COUNTIFS('Weekly Log'!$G:$G,"Y",'Weekly Log'!$A:$A,"&gt;="&amp;$J1690,'Weekly Log'!$A:$A,"&lt;"&amp;$J1690+7)/COUNTIFS('Weekly Log'!$G:$G,"&lt;&gt;",'Weekly Log'!$A:$A,"&gt;="&amp;$J1690,'Weekly Log'!$A:$A,"&lt;"&amp;$J1690+7),0))</f>
        <v/>
      </c>
      <c r="D1690" t="str">
        <f>IF($J1690="","",IFERROR(COUNTIFS('Weekly Log'!$H:$H,"Y",'Weekly Log'!$A:$A,"&gt;="&amp;$J1690,'Weekly Log'!$A:$A,"&lt;"&amp;$J1690+7)/COUNTIFS('Weekly Log'!$H:$H,"&lt;&gt;",'Weekly Log'!$A:$A,"&gt;="&amp;$J1690,'Weekly Log'!$A:$A,"&lt;"&amp;$J1690+7),0))</f>
        <v/>
      </c>
      <c r="E1690" t="str">
        <f>IF($J1690="","",IFERROR(AVERAGEIFS('Weekly Log'!$F:$F,'Weekly Log'!$A:$A,"&gt;="&amp;$J1690,'Weekly Log'!$A:$A,"&lt;"&amp;$J1690+7),0))</f>
        <v/>
      </c>
      <c r="F1690" t="str">
        <f>IF($J1690="","",IFERROR(SUMIFS('Weekly Log'!$F:$F,'Weekly Log'!$A:$A,"&gt;="&amp;$J1690,'Weekly Log'!$A:$A,"&lt;"&amp;$J1690+7)/SUMIFS('Weekly Log'!$E:$E,'Weekly Log'!$A:$A,"&gt;="&amp;$J1690,'Weekly Log'!$A:$A,"&lt;"&amp;$J1690+7),0))</f>
        <v/>
      </c>
      <c r="G1690" t="str">
        <f>IF($J1690="","",IFERROR(LOOKUP(2,1/(('Weekly Log'!$A$5:$A$5000&gt;=$J1690)*('Weekly Log'!$A$5:$A$5000&lt;$J1690+7)*('Weekly Log'!$M$5:$M$5000&lt;&gt;"")),'Weekly Log'!$M$5:$M$5000),0))</f>
        <v/>
      </c>
      <c r="J1690" t="str">
        <f>IF(COUNT('Weekly Log'!$A$5:$A$5000)=0,"",IF(MIN('Weekly Log'!$A$5:$A$5000)+7*(ROW()-10)&gt;MAX('Weekly Log'!$A$5:$A$5000),"",MIN('Weekly Log'!$A$5:$A$5000)+7*(ROW()-10)))</f>
        <v/>
      </c>
    </row>
    <row r="1691" spans="1:10" x14ac:dyDescent="0.25">
      <c r="A1691" t="str">
        <f t="shared" si="26"/>
        <v/>
      </c>
      <c r="B1691" t="str">
        <f>IF($J1691="","",SUMIFS('Weekly Log'!$C:$C,'Weekly Log'!$A:$A,"&gt;="&amp;$J1691,'Weekly Log'!$A:$A,"&lt;"&amp;$J1691+7))</f>
        <v/>
      </c>
      <c r="C1691" t="str">
        <f>IF($J1691="","",IFERROR(COUNTIFS('Weekly Log'!$G:$G,"Y",'Weekly Log'!$A:$A,"&gt;="&amp;$J1691,'Weekly Log'!$A:$A,"&lt;"&amp;$J1691+7)/COUNTIFS('Weekly Log'!$G:$G,"&lt;&gt;",'Weekly Log'!$A:$A,"&gt;="&amp;$J1691,'Weekly Log'!$A:$A,"&lt;"&amp;$J1691+7),0))</f>
        <v/>
      </c>
      <c r="D1691" t="str">
        <f>IF($J1691="","",IFERROR(COUNTIFS('Weekly Log'!$H:$H,"Y",'Weekly Log'!$A:$A,"&gt;="&amp;$J1691,'Weekly Log'!$A:$A,"&lt;"&amp;$J1691+7)/COUNTIFS('Weekly Log'!$H:$H,"&lt;&gt;",'Weekly Log'!$A:$A,"&gt;="&amp;$J1691,'Weekly Log'!$A:$A,"&lt;"&amp;$J1691+7),0))</f>
        <v/>
      </c>
      <c r="E1691" t="str">
        <f>IF($J1691="","",IFERROR(AVERAGEIFS('Weekly Log'!$F:$F,'Weekly Log'!$A:$A,"&gt;="&amp;$J1691,'Weekly Log'!$A:$A,"&lt;"&amp;$J1691+7),0))</f>
        <v/>
      </c>
      <c r="F1691" t="str">
        <f>IF($J1691="","",IFERROR(SUMIFS('Weekly Log'!$F:$F,'Weekly Log'!$A:$A,"&gt;="&amp;$J1691,'Weekly Log'!$A:$A,"&lt;"&amp;$J1691+7)/SUMIFS('Weekly Log'!$E:$E,'Weekly Log'!$A:$A,"&gt;="&amp;$J1691,'Weekly Log'!$A:$A,"&lt;"&amp;$J1691+7),0))</f>
        <v/>
      </c>
      <c r="G1691" t="str">
        <f>IF($J1691="","",IFERROR(LOOKUP(2,1/(('Weekly Log'!$A$5:$A$5000&gt;=$J1691)*('Weekly Log'!$A$5:$A$5000&lt;$J1691+7)*('Weekly Log'!$M$5:$M$5000&lt;&gt;"")),'Weekly Log'!$M$5:$M$5000),0))</f>
        <v/>
      </c>
      <c r="J1691" t="str">
        <f>IF(COUNT('Weekly Log'!$A$5:$A$5000)=0,"",IF(MIN('Weekly Log'!$A$5:$A$5000)+7*(ROW()-10)&gt;MAX('Weekly Log'!$A$5:$A$5000),"",MIN('Weekly Log'!$A$5:$A$5000)+7*(ROW()-10)))</f>
        <v/>
      </c>
    </row>
    <row r="1692" spans="1:10" x14ac:dyDescent="0.25">
      <c r="A1692" t="str">
        <f t="shared" si="26"/>
        <v/>
      </c>
      <c r="B1692" t="str">
        <f>IF($J1692="","",SUMIFS('Weekly Log'!$C:$C,'Weekly Log'!$A:$A,"&gt;="&amp;$J1692,'Weekly Log'!$A:$A,"&lt;"&amp;$J1692+7))</f>
        <v/>
      </c>
      <c r="C1692" t="str">
        <f>IF($J1692="","",IFERROR(COUNTIFS('Weekly Log'!$G:$G,"Y",'Weekly Log'!$A:$A,"&gt;="&amp;$J1692,'Weekly Log'!$A:$A,"&lt;"&amp;$J1692+7)/COUNTIFS('Weekly Log'!$G:$G,"&lt;&gt;",'Weekly Log'!$A:$A,"&gt;="&amp;$J1692,'Weekly Log'!$A:$A,"&lt;"&amp;$J1692+7),0))</f>
        <v/>
      </c>
      <c r="D1692" t="str">
        <f>IF($J1692="","",IFERROR(COUNTIFS('Weekly Log'!$H:$H,"Y",'Weekly Log'!$A:$A,"&gt;="&amp;$J1692,'Weekly Log'!$A:$A,"&lt;"&amp;$J1692+7)/COUNTIFS('Weekly Log'!$H:$H,"&lt;&gt;",'Weekly Log'!$A:$A,"&gt;="&amp;$J1692,'Weekly Log'!$A:$A,"&lt;"&amp;$J1692+7),0))</f>
        <v/>
      </c>
      <c r="E1692" t="str">
        <f>IF($J1692="","",IFERROR(AVERAGEIFS('Weekly Log'!$F:$F,'Weekly Log'!$A:$A,"&gt;="&amp;$J1692,'Weekly Log'!$A:$A,"&lt;"&amp;$J1692+7),0))</f>
        <v/>
      </c>
      <c r="F1692" t="str">
        <f>IF($J1692="","",IFERROR(SUMIFS('Weekly Log'!$F:$F,'Weekly Log'!$A:$A,"&gt;="&amp;$J1692,'Weekly Log'!$A:$A,"&lt;"&amp;$J1692+7)/SUMIFS('Weekly Log'!$E:$E,'Weekly Log'!$A:$A,"&gt;="&amp;$J1692,'Weekly Log'!$A:$A,"&lt;"&amp;$J1692+7),0))</f>
        <v/>
      </c>
      <c r="G1692" t="str">
        <f>IF($J1692="","",IFERROR(LOOKUP(2,1/(('Weekly Log'!$A$5:$A$5000&gt;=$J1692)*('Weekly Log'!$A$5:$A$5000&lt;$J1692+7)*('Weekly Log'!$M$5:$M$5000&lt;&gt;"")),'Weekly Log'!$M$5:$M$5000),0))</f>
        <v/>
      </c>
      <c r="J1692" t="str">
        <f>IF(COUNT('Weekly Log'!$A$5:$A$5000)=0,"",IF(MIN('Weekly Log'!$A$5:$A$5000)+7*(ROW()-10)&gt;MAX('Weekly Log'!$A$5:$A$5000),"",MIN('Weekly Log'!$A$5:$A$5000)+7*(ROW()-10)))</f>
        <v/>
      </c>
    </row>
    <row r="1693" spans="1:10" x14ac:dyDescent="0.25">
      <c r="A1693" t="str">
        <f t="shared" si="26"/>
        <v/>
      </c>
      <c r="B1693" t="str">
        <f>IF($J1693="","",SUMIFS('Weekly Log'!$C:$C,'Weekly Log'!$A:$A,"&gt;="&amp;$J1693,'Weekly Log'!$A:$A,"&lt;"&amp;$J1693+7))</f>
        <v/>
      </c>
      <c r="C1693" t="str">
        <f>IF($J1693="","",IFERROR(COUNTIFS('Weekly Log'!$G:$G,"Y",'Weekly Log'!$A:$A,"&gt;="&amp;$J1693,'Weekly Log'!$A:$A,"&lt;"&amp;$J1693+7)/COUNTIFS('Weekly Log'!$G:$G,"&lt;&gt;",'Weekly Log'!$A:$A,"&gt;="&amp;$J1693,'Weekly Log'!$A:$A,"&lt;"&amp;$J1693+7),0))</f>
        <v/>
      </c>
      <c r="D1693" t="str">
        <f>IF($J1693="","",IFERROR(COUNTIFS('Weekly Log'!$H:$H,"Y",'Weekly Log'!$A:$A,"&gt;="&amp;$J1693,'Weekly Log'!$A:$A,"&lt;"&amp;$J1693+7)/COUNTIFS('Weekly Log'!$H:$H,"&lt;&gt;",'Weekly Log'!$A:$A,"&gt;="&amp;$J1693,'Weekly Log'!$A:$A,"&lt;"&amp;$J1693+7),0))</f>
        <v/>
      </c>
      <c r="E1693" t="str">
        <f>IF($J1693="","",IFERROR(AVERAGEIFS('Weekly Log'!$F:$F,'Weekly Log'!$A:$A,"&gt;="&amp;$J1693,'Weekly Log'!$A:$A,"&lt;"&amp;$J1693+7),0))</f>
        <v/>
      </c>
      <c r="F1693" t="str">
        <f>IF($J1693="","",IFERROR(SUMIFS('Weekly Log'!$F:$F,'Weekly Log'!$A:$A,"&gt;="&amp;$J1693,'Weekly Log'!$A:$A,"&lt;"&amp;$J1693+7)/SUMIFS('Weekly Log'!$E:$E,'Weekly Log'!$A:$A,"&gt;="&amp;$J1693,'Weekly Log'!$A:$A,"&lt;"&amp;$J1693+7),0))</f>
        <v/>
      </c>
      <c r="G1693" t="str">
        <f>IF($J1693="","",IFERROR(LOOKUP(2,1/(('Weekly Log'!$A$5:$A$5000&gt;=$J1693)*('Weekly Log'!$A$5:$A$5000&lt;$J1693+7)*('Weekly Log'!$M$5:$M$5000&lt;&gt;"")),'Weekly Log'!$M$5:$M$5000),0))</f>
        <v/>
      </c>
      <c r="J1693" t="str">
        <f>IF(COUNT('Weekly Log'!$A$5:$A$5000)=0,"",IF(MIN('Weekly Log'!$A$5:$A$5000)+7*(ROW()-10)&gt;MAX('Weekly Log'!$A$5:$A$5000),"",MIN('Weekly Log'!$A$5:$A$5000)+7*(ROW()-10)))</f>
        <v/>
      </c>
    </row>
    <row r="1694" spans="1:10" x14ac:dyDescent="0.25">
      <c r="A1694" t="str">
        <f t="shared" si="26"/>
        <v/>
      </c>
      <c r="B1694" t="str">
        <f>IF($J1694="","",SUMIFS('Weekly Log'!$C:$C,'Weekly Log'!$A:$A,"&gt;="&amp;$J1694,'Weekly Log'!$A:$A,"&lt;"&amp;$J1694+7))</f>
        <v/>
      </c>
      <c r="C1694" t="str">
        <f>IF($J1694="","",IFERROR(COUNTIFS('Weekly Log'!$G:$G,"Y",'Weekly Log'!$A:$A,"&gt;="&amp;$J1694,'Weekly Log'!$A:$A,"&lt;"&amp;$J1694+7)/COUNTIFS('Weekly Log'!$G:$G,"&lt;&gt;",'Weekly Log'!$A:$A,"&gt;="&amp;$J1694,'Weekly Log'!$A:$A,"&lt;"&amp;$J1694+7),0))</f>
        <v/>
      </c>
      <c r="D1694" t="str">
        <f>IF($J1694="","",IFERROR(COUNTIFS('Weekly Log'!$H:$H,"Y",'Weekly Log'!$A:$A,"&gt;="&amp;$J1694,'Weekly Log'!$A:$A,"&lt;"&amp;$J1694+7)/COUNTIFS('Weekly Log'!$H:$H,"&lt;&gt;",'Weekly Log'!$A:$A,"&gt;="&amp;$J1694,'Weekly Log'!$A:$A,"&lt;"&amp;$J1694+7),0))</f>
        <v/>
      </c>
      <c r="E1694" t="str">
        <f>IF($J1694="","",IFERROR(AVERAGEIFS('Weekly Log'!$F:$F,'Weekly Log'!$A:$A,"&gt;="&amp;$J1694,'Weekly Log'!$A:$A,"&lt;"&amp;$J1694+7),0))</f>
        <v/>
      </c>
      <c r="F1694" t="str">
        <f>IF($J1694="","",IFERROR(SUMIFS('Weekly Log'!$F:$F,'Weekly Log'!$A:$A,"&gt;="&amp;$J1694,'Weekly Log'!$A:$A,"&lt;"&amp;$J1694+7)/SUMIFS('Weekly Log'!$E:$E,'Weekly Log'!$A:$A,"&gt;="&amp;$J1694,'Weekly Log'!$A:$A,"&lt;"&amp;$J1694+7),0))</f>
        <v/>
      </c>
      <c r="G1694" t="str">
        <f>IF($J1694="","",IFERROR(LOOKUP(2,1/(('Weekly Log'!$A$5:$A$5000&gt;=$J1694)*('Weekly Log'!$A$5:$A$5000&lt;$J1694+7)*('Weekly Log'!$M$5:$M$5000&lt;&gt;"")),'Weekly Log'!$M$5:$M$5000),0))</f>
        <v/>
      </c>
      <c r="J1694" t="str">
        <f>IF(COUNT('Weekly Log'!$A$5:$A$5000)=0,"",IF(MIN('Weekly Log'!$A$5:$A$5000)+7*(ROW()-10)&gt;MAX('Weekly Log'!$A$5:$A$5000),"",MIN('Weekly Log'!$A$5:$A$5000)+7*(ROW()-10)))</f>
        <v/>
      </c>
    </row>
    <row r="1695" spans="1:10" x14ac:dyDescent="0.25">
      <c r="A1695" t="str">
        <f t="shared" si="26"/>
        <v/>
      </c>
      <c r="B1695" t="str">
        <f>IF($J1695="","",SUMIFS('Weekly Log'!$C:$C,'Weekly Log'!$A:$A,"&gt;="&amp;$J1695,'Weekly Log'!$A:$A,"&lt;"&amp;$J1695+7))</f>
        <v/>
      </c>
      <c r="C1695" t="str">
        <f>IF($J1695="","",IFERROR(COUNTIFS('Weekly Log'!$G:$G,"Y",'Weekly Log'!$A:$A,"&gt;="&amp;$J1695,'Weekly Log'!$A:$A,"&lt;"&amp;$J1695+7)/COUNTIFS('Weekly Log'!$G:$G,"&lt;&gt;",'Weekly Log'!$A:$A,"&gt;="&amp;$J1695,'Weekly Log'!$A:$A,"&lt;"&amp;$J1695+7),0))</f>
        <v/>
      </c>
      <c r="D1695" t="str">
        <f>IF($J1695="","",IFERROR(COUNTIFS('Weekly Log'!$H:$H,"Y",'Weekly Log'!$A:$A,"&gt;="&amp;$J1695,'Weekly Log'!$A:$A,"&lt;"&amp;$J1695+7)/COUNTIFS('Weekly Log'!$H:$H,"&lt;&gt;",'Weekly Log'!$A:$A,"&gt;="&amp;$J1695,'Weekly Log'!$A:$A,"&lt;"&amp;$J1695+7),0))</f>
        <v/>
      </c>
      <c r="E1695" t="str">
        <f>IF($J1695="","",IFERROR(AVERAGEIFS('Weekly Log'!$F:$F,'Weekly Log'!$A:$A,"&gt;="&amp;$J1695,'Weekly Log'!$A:$A,"&lt;"&amp;$J1695+7),0))</f>
        <v/>
      </c>
      <c r="F1695" t="str">
        <f>IF($J1695="","",IFERROR(SUMIFS('Weekly Log'!$F:$F,'Weekly Log'!$A:$A,"&gt;="&amp;$J1695,'Weekly Log'!$A:$A,"&lt;"&amp;$J1695+7)/SUMIFS('Weekly Log'!$E:$E,'Weekly Log'!$A:$A,"&gt;="&amp;$J1695,'Weekly Log'!$A:$A,"&lt;"&amp;$J1695+7),0))</f>
        <v/>
      </c>
      <c r="G1695" t="str">
        <f>IF($J1695="","",IFERROR(LOOKUP(2,1/(('Weekly Log'!$A$5:$A$5000&gt;=$J1695)*('Weekly Log'!$A$5:$A$5000&lt;$J1695+7)*('Weekly Log'!$M$5:$M$5000&lt;&gt;"")),'Weekly Log'!$M$5:$M$5000),0))</f>
        <v/>
      </c>
      <c r="J1695" t="str">
        <f>IF(COUNT('Weekly Log'!$A$5:$A$5000)=0,"",IF(MIN('Weekly Log'!$A$5:$A$5000)+7*(ROW()-10)&gt;MAX('Weekly Log'!$A$5:$A$5000),"",MIN('Weekly Log'!$A$5:$A$5000)+7*(ROW()-10)))</f>
        <v/>
      </c>
    </row>
    <row r="1696" spans="1:10" x14ac:dyDescent="0.25">
      <c r="A1696" t="str">
        <f t="shared" si="26"/>
        <v/>
      </c>
      <c r="B1696" t="str">
        <f>IF($J1696="","",SUMIFS('Weekly Log'!$C:$C,'Weekly Log'!$A:$A,"&gt;="&amp;$J1696,'Weekly Log'!$A:$A,"&lt;"&amp;$J1696+7))</f>
        <v/>
      </c>
      <c r="C1696" t="str">
        <f>IF($J1696="","",IFERROR(COUNTIFS('Weekly Log'!$G:$G,"Y",'Weekly Log'!$A:$A,"&gt;="&amp;$J1696,'Weekly Log'!$A:$A,"&lt;"&amp;$J1696+7)/COUNTIFS('Weekly Log'!$G:$G,"&lt;&gt;",'Weekly Log'!$A:$A,"&gt;="&amp;$J1696,'Weekly Log'!$A:$A,"&lt;"&amp;$J1696+7),0))</f>
        <v/>
      </c>
      <c r="D1696" t="str">
        <f>IF($J1696="","",IFERROR(COUNTIFS('Weekly Log'!$H:$H,"Y",'Weekly Log'!$A:$A,"&gt;="&amp;$J1696,'Weekly Log'!$A:$A,"&lt;"&amp;$J1696+7)/COUNTIFS('Weekly Log'!$H:$H,"&lt;&gt;",'Weekly Log'!$A:$A,"&gt;="&amp;$J1696,'Weekly Log'!$A:$A,"&lt;"&amp;$J1696+7),0))</f>
        <v/>
      </c>
      <c r="E1696" t="str">
        <f>IF($J1696="","",IFERROR(AVERAGEIFS('Weekly Log'!$F:$F,'Weekly Log'!$A:$A,"&gt;="&amp;$J1696,'Weekly Log'!$A:$A,"&lt;"&amp;$J1696+7),0))</f>
        <v/>
      </c>
      <c r="F1696" t="str">
        <f>IF($J1696="","",IFERROR(SUMIFS('Weekly Log'!$F:$F,'Weekly Log'!$A:$A,"&gt;="&amp;$J1696,'Weekly Log'!$A:$A,"&lt;"&amp;$J1696+7)/SUMIFS('Weekly Log'!$E:$E,'Weekly Log'!$A:$A,"&gt;="&amp;$J1696,'Weekly Log'!$A:$A,"&lt;"&amp;$J1696+7),0))</f>
        <v/>
      </c>
      <c r="G1696" t="str">
        <f>IF($J1696="","",IFERROR(LOOKUP(2,1/(('Weekly Log'!$A$5:$A$5000&gt;=$J1696)*('Weekly Log'!$A$5:$A$5000&lt;$J1696+7)*('Weekly Log'!$M$5:$M$5000&lt;&gt;"")),'Weekly Log'!$M$5:$M$5000),0))</f>
        <v/>
      </c>
      <c r="J1696" t="str">
        <f>IF(COUNT('Weekly Log'!$A$5:$A$5000)=0,"",IF(MIN('Weekly Log'!$A$5:$A$5000)+7*(ROW()-10)&gt;MAX('Weekly Log'!$A$5:$A$5000),"",MIN('Weekly Log'!$A$5:$A$5000)+7*(ROW()-10)))</f>
        <v/>
      </c>
    </row>
    <row r="1697" spans="1:10" x14ac:dyDescent="0.25">
      <c r="A1697" t="str">
        <f t="shared" si="26"/>
        <v/>
      </c>
      <c r="B1697" t="str">
        <f>IF($J1697="","",SUMIFS('Weekly Log'!$C:$C,'Weekly Log'!$A:$A,"&gt;="&amp;$J1697,'Weekly Log'!$A:$A,"&lt;"&amp;$J1697+7))</f>
        <v/>
      </c>
      <c r="C1697" t="str">
        <f>IF($J1697="","",IFERROR(COUNTIFS('Weekly Log'!$G:$G,"Y",'Weekly Log'!$A:$A,"&gt;="&amp;$J1697,'Weekly Log'!$A:$A,"&lt;"&amp;$J1697+7)/COUNTIFS('Weekly Log'!$G:$G,"&lt;&gt;",'Weekly Log'!$A:$A,"&gt;="&amp;$J1697,'Weekly Log'!$A:$A,"&lt;"&amp;$J1697+7),0))</f>
        <v/>
      </c>
      <c r="D1697" t="str">
        <f>IF($J1697="","",IFERROR(COUNTIFS('Weekly Log'!$H:$H,"Y",'Weekly Log'!$A:$A,"&gt;="&amp;$J1697,'Weekly Log'!$A:$A,"&lt;"&amp;$J1697+7)/COUNTIFS('Weekly Log'!$H:$H,"&lt;&gt;",'Weekly Log'!$A:$A,"&gt;="&amp;$J1697,'Weekly Log'!$A:$A,"&lt;"&amp;$J1697+7),0))</f>
        <v/>
      </c>
      <c r="E1697" t="str">
        <f>IF($J1697="","",IFERROR(AVERAGEIFS('Weekly Log'!$F:$F,'Weekly Log'!$A:$A,"&gt;="&amp;$J1697,'Weekly Log'!$A:$A,"&lt;"&amp;$J1697+7),0))</f>
        <v/>
      </c>
      <c r="F1697" t="str">
        <f>IF($J1697="","",IFERROR(SUMIFS('Weekly Log'!$F:$F,'Weekly Log'!$A:$A,"&gt;="&amp;$J1697,'Weekly Log'!$A:$A,"&lt;"&amp;$J1697+7)/SUMIFS('Weekly Log'!$E:$E,'Weekly Log'!$A:$A,"&gt;="&amp;$J1697,'Weekly Log'!$A:$A,"&lt;"&amp;$J1697+7),0))</f>
        <v/>
      </c>
      <c r="G1697" t="str">
        <f>IF($J1697="","",IFERROR(LOOKUP(2,1/(('Weekly Log'!$A$5:$A$5000&gt;=$J1697)*('Weekly Log'!$A$5:$A$5000&lt;$J1697+7)*('Weekly Log'!$M$5:$M$5000&lt;&gt;"")),'Weekly Log'!$M$5:$M$5000),0))</f>
        <v/>
      </c>
      <c r="J1697" t="str">
        <f>IF(COUNT('Weekly Log'!$A$5:$A$5000)=0,"",IF(MIN('Weekly Log'!$A$5:$A$5000)+7*(ROW()-10)&gt;MAX('Weekly Log'!$A$5:$A$5000),"",MIN('Weekly Log'!$A$5:$A$5000)+7*(ROW()-10)))</f>
        <v/>
      </c>
    </row>
    <row r="1698" spans="1:10" x14ac:dyDescent="0.25">
      <c r="A1698" t="str">
        <f t="shared" si="26"/>
        <v/>
      </c>
      <c r="B1698" t="str">
        <f>IF($J1698="","",SUMIFS('Weekly Log'!$C:$C,'Weekly Log'!$A:$A,"&gt;="&amp;$J1698,'Weekly Log'!$A:$A,"&lt;"&amp;$J1698+7))</f>
        <v/>
      </c>
      <c r="C1698" t="str">
        <f>IF($J1698="","",IFERROR(COUNTIFS('Weekly Log'!$G:$G,"Y",'Weekly Log'!$A:$A,"&gt;="&amp;$J1698,'Weekly Log'!$A:$A,"&lt;"&amp;$J1698+7)/COUNTIFS('Weekly Log'!$G:$G,"&lt;&gt;",'Weekly Log'!$A:$A,"&gt;="&amp;$J1698,'Weekly Log'!$A:$A,"&lt;"&amp;$J1698+7),0))</f>
        <v/>
      </c>
      <c r="D1698" t="str">
        <f>IF($J1698="","",IFERROR(COUNTIFS('Weekly Log'!$H:$H,"Y",'Weekly Log'!$A:$A,"&gt;="&amp;$J1698,'Weekly Log'!$A:$A,"&lt;"&amp;$J1698+7)/COUNTIFS('Weekly Log'!$H:$H,"&lt;&gt;",'Weekly Log'!$A:$A,"&gt;="&amp;$J1698,'Weekly Log'!$A:$A,"&lt;"&amp;$J1698+7),0))</f>
        <v/>
      </c>
      <c r="E1698" t="str">
        <f>IF($J1698="","",IFERROR(AVERAGEIFS('Weekly Log'!$F:$F,'Weekly Log'!$A:$A,"&gt;="&amp;$J1698,'Weekly Log'!$A:$A,"&lt;"&amp;$J1698+7),0))</f>
        <v/>
      </c>
      <c r="F1698" t="str">
        <f>IF($J1698="","",IFERROR(SUMIFS('Weekly Log'!$F:$F,'Weekly Log'!$A:$A,"&gt;="&amp;$J1698,'Weekly Log'!$A:$A,"&lt;"&amp;$J1698+7)/SUMIFS('Weekly Log'!$E:$E,'Weekly Log'!$A:$A,"&gt;="&amp;$J1698,'Weekly Log'!$A:$A,"&lt;"&amp;$J1698+7),0))</f>
        <v/>
      </c>
      <c r="G1698" t="str">
        <f>IF($J1698="","",IFERROR(LOOKUP(2,1/(('Weekly Log'!$A$5:$A$5000&gt;=$J1698)*('Weekly Log'!$A$5:$A$5000&lt;$J1698+7)*('Weekly Log'!$M$5:$M$5000&lt;&gt;"")),'Weekly Log'!$M$5:$M$5000),0))</f>
        <v/>
      </c>
      <c r="J1698" t="str">
        <f>IF(COUNT('Weekly Log'!$A$5:$A$5000)=0,"",IF(MIN('Weekly Log'!$A$5:$A$5000)+7*(ROW()-10)&gt;MAX('Weekly Log'!$A$5:$A$5000),"",MIN('Weekly Log'!$A$5:$A$5000)+7*(ROW()-10)))</f>
        <v/>
      </c>
    </row>
    <row r="1699" spans="1:10" x14ac:dyDescent="0.25">
      <c r="A1699" t="str">
        <f t="shared" si="26"/>
        <v/>
      </c>
      <c r="B1699" t="str">
        <f>IF($J1699="","",SUMIFS('Weekly Log'!$C:$C,'Weekly Log'!$A:$A,"&gt;="&amp;$J1699,'Weekly Log'!$A:$A,"&lt;"&amp;$J1699+7))</f>
        <v/>
      </c>
      <c r="C1699" t="str">
        <f>IF($J1699="","",IFERROR(COUNTIFS('Weekly Log'!$G:$G,"Y",'Weekly Log'!$A:$A,"&gt;="&amp;$J1699,'Weekly Log'!$A:$A,"&lt;"&amp;$J1699+7)/COUNTIFS('Weekly Log'!$G:$G,"&lt;&gt;",'Weekly Log'!$A:$A,"&gt;="&amp;$J1699,'Weekly Log'!$A:$A,"&lt;"&amp;$J1699+7),0))</f>
        <v/>
      </c>
      <c r="D1699" t="str">
        <f>IF($J1699="","",IFERROR(COUNTIFS('Weekly Log'!$H:$H,"Y",'Weekly Log'!$A:$A,"&gt;="&amp;$J1699,'Weekly Log'!$A:$A,"&lt;"&amp;$J1699+7)/COUNTIFS('Weekly Log'!$H:$H,"&lt;&gt;",'Weekly Log'!$A:$A,"&gt;="&amp;$J1699,'Weekly Log'!$A:$A,"&lt;"&amp;$J1699+7),0))</f>
        <v/>
      </c>
      <c r="E1699" t="str">
        <f>IF($J1699="","",IFERROR(AVERAGEIFS('Weekly Log'!$F:$F,'Weekly Log'!$A:$A,"&gt;="&amp;$J1699,'Weekly Log'!$A:$A,"&lt;"&amp;$J1699+7),0))</f>
        <v/>
      </c>
      <c r="F1699" t="str">
        <f>IF($J1699="","",IFERROR(SUMIFS('Weekly Log'!$F:$F,'Weekly Log'!$A:$A,"&gt;="&amp;$J1699,'Weekly Log'!$A:$A,"&lt;"&amp;$J1699+7)/SUMIFS('Weekly Log'!$E:$E,'Weekly Log'!$A:$A,"&gt;="&amp;$J1699,'Weekly Log'!$A:$A,"&lt;"&amp;$J1699+7),0))</f>
        <v/>
      </c>
      <c r="G1699" t="str">
        <f>IF($J1699="","",IFERROR(LOOKUP(2,1/(('Weekly Log'!$A$5:$A$5000&gt;=$J1699)*('Weekly Log'!$A$5:$A$5000&lt;$J1699+7)*('Weekly Log'!$M$5:$M$5000&lt;&gt;"")),'Weekly Log'!$M$5:$M$5000),0))</f>
        <v/>
      </c>
      <c r="J1699" t="str">
        <f>IF(COUNT('Weekly Log'!$A$5:$A$5000)=0,"",IF(MIN('Weekly Log'!$A$5:$A$5000)+7*(ROW()-10)&gt;MAX('Weekly Log'!$A$5:$A$5000),"",MIN('Weekly Log'!$A$5:$A$5000)+7*(ROW()-10)))</f>
        <v/>
      </c>
    </row>
    <row r="1700" spans="1:10" x14ac:dyDescent="0.25">
      <c r="A1700" t="str">
        <f t="shared" si="26"/>
        <v/>
      </c>
      <c r="B1700" t="str">
        <f>IF($J1700="","",SUMIFS('Weekly Log'!$C:$C,'Weekly Log'!$A:$A,"&gt;="&amp;$J1700,'Weekly Log'!$A:$A,"&lt;"&amp;$J1700+7))</f>
        <v/>
      </c>
      <c r="C1700" t="str">
        <f>IF($J1700="","",IFERROR(COUNTIFS('Weekly Log'!$G:$G,"Y",'Weekly Log'!$A:$A,"&gt;="&amp;$J1700,'Weekly Log'!$A:$A,"&lt;"&amp;$J1700+7)/COUNTIFS('Weekly Log'!$G:$G,"&lt;&gt;",'Weekly Log'!$A:$A,"&gt;="&amp;$J1700,'Weekly Log'!$A:$A,"&lt;"&amp;$J1700+7),0))</f>
        <v/>
      </c>
      <c r="D1700" t="str">
        <f>IF($J1700="","",IFERROR(COUNTIFS('Weekly Log'!$H:$H,"Y",'Weekly Log'!$A:$A,"&gt;="&amp;$J1700,'Weekly Log'!$A:$A,"&lt;"&amp;$J1700+7)/COUNTIFS('Weekly Log'!$H:$H,"&lt;&gt;",'Weekly Log'!$A:$A,"&gt;="&amp;$J1700,'Weekly Log'!$A:$A,"&lt;"&amp;$J1700+7),0))</f>
        <v/>
      </c>
      <c r="E1700" t="str">
        <f>IF($J1700="","",IFERROR(AVERAGEIFS('Weekly Log'!$F:$F,'Weekly Log'!$A:$A,"&gt;="&amp;$J1700,'Weekly Log'!$A:$A,"&lt;"&amp;$J1700+7),0))</f>
        <v/>
      </c>
      <c r="F1700" t="str">
        <f>IF($J1700="","",IFERROR(SUMIFS('Weekly Log'!$F:$F,'Weekly Log'!$A:$A,"&gt;="&amp;$J1700,'Weekly Log'!$A:$A,"&lt;"&amp;$J1700+7)/SUMIFS('Weekly Log'!$E:$E,'Weekly Log'!$A:$A,"&gt;="&amp;$J1700,'Weekly Log'!$A:$A,"&lt;"&amp;$J1700+7),0))</f>
        <v/>
      </c>
      <c r="G1700" t="str">
        <f>IF($J1700="","",IFERROR(LOOKUP(2,1/(('Weekly Log'!$A$5:$A$5000&gt;=$J1700)*('Weekly Log'!$A$5:$A$5000&lt;$J1700+7)*('Weekly Log'!$M$5:$M$5000&lt;&gt;"")),'Weekly Log'!$M$5:$M$5000),0))</f>
        <v/>
      </c>
      <c r="J1700" t="str">
        <f>IF(COUNT('Weekly Log'!$A$5:$A$5000)=0,"",IF(MIN('Weekly Log'!$A$5:$A$5000)+7*(ROW()-10)&gt;MAX('Weekly Log'!$A$5:$A$5000),"",MIN('Weekly Log'!$A$5:$A$5000)+7*(ROW()-10)))</f>
        <v/>
      </c>
    </row>
    <row r="1701" spans="1:10" x14ac:dyDescent="0.25">
      <c r="A1701" t="str">
        <f t="shared" si="26"/>
        <v/>
      </c>
      <c r="B1701" t="str">
        <f>IF($J1701="","",SUMIFS('Weekly Log'!$C:$C,'Weekly Log'!$A:$A,"&gt;="&amp;$J1701,'Weekly Log'!$A:$A,"&lt;"&amp;$J1701+7))</f>
        <v/>
      </c>
      <c r="C1701" t="str">
        <f>IF($J1701="","",IFERROR(COUNTIFS('Weekly Log'!$G:$G,"Y",'Weekly Log'!$A:$A,"&gt;="&amp;$J1701,'Weekly Log'!$A:$A,"&lt;"&amp;$J1701+7)/COUNTIFS('Weekly Log'!$G:$G,"&lt;&gt;",'Weekly Log'!$A:$A,"&gt;="&amp;$J1701,'Weekly Log'!$A:$A,"&lt;"&amp;$J1701+7),0))</f>
        <v/>
      </c>
      <c r="D1701" t="str">
        <f>IF($J1701="","",IFERROR(COUNTIFS('Weekly Log'!$H:$H,"Y",'Weekly Log'!$A:$A,"&gt;="&amp;$J1701,'Weekly Log'!$A:$A,"&lt;"&amp;$J1701+7)/COUNTIFS('Weekly Log'!$H:$H,"&lt;&gt;",'Weekly Log'!$A:$A,"&gt;="&amp;$J1701,'Weekly Log'!$A:$A,"&lt;"&amp;$J1701+7),0))</f>
        <v/>
      </c>
      <c r="E1701" t="str">
        <f>IF($J1701="","",IFERROR(AVERAGEIFS('Weekly Log'!$F:$F,'Weekly Log'!$A:$A,"&gt;="&amp;$J1701,'Weekly Log'!$A:$A,"&lt;"&amp;$J1701+7),0))</f>
        <v/>
      </c>
      <c r="F1701" t="str">
        <f>IF($J1701="","",IFERROR(SUMIFS('Weekly Log'!$F:$F,'Weekly Log'!$A:$A,"&gt;="&amp;$J1701,'Weekly Log'!$A:$A,"&lt;"&amp;$J1701+7)/SUMIFS('Weekly Log'!$E:$E,'Weekly Log'!$A:$A,"&gt;="&amp;$J1701,'Weekly Log'!$A:$A,"&lt;"&amp;$J1701+7),0))</f>
        <v/>
      </c>
      <c r="G1701" t="str">
        <f>IF($J1701="","",IFERROR(LOOKUP(2,1/(('Weekly Log'!$A$5:$A$5000&gt;=$J1701)*('Weekly Log'!$A$5:$A$5000&lt;$J1701+7)*('Weekly Log'!$M$5:$M$5000&lt;&gt;"")),'Weekly Log'!$M$5:$M$5000),0))</f>
        <v/>
      </c>
      <c r="J1701" t="str">
        <f>IF(COUNT('Weekly Log'!$A$5:$A$5000)=0,"",IF(MIN('Weekly Log'!$A$5:$A$5000)+7*(ROW()-10)&gt;MAX('Weekly Log'!$A$5:$A$5000),"",MIN('Weekly Log'!$A$5:$A$5000)+7*(ROW()-10)))</f>
        <v/>
      </c>
    </row>
    <row r="1702" spans="1:10" x14ac:dyDescent="0.25">
      <c r="A1702" t="str">
        <f t="shared" si="26"/>
        <v/>
      </c>
      <c r="B1702" t="str">
        <f>IF($J1702="","",SUMIFS('Weekly Log'!$C:$C,'Weekly Log'!$A:$A,"&gt;="&amp;$J1702,'Weekly Log'!$A:$A,"&lt;"&amp;$J1702+7))</f>
        <v/>
      </c>
      <c r="C1702" t="str">
        <f>IF($J1702="","",IFERROR(COUNTIFS('Weekly Log'!$G:$G,"Y",'Weekly Log'!$A:$A,"&gt;="&amp;$J1702,'Weekly Log'!$A:$A,"&lt;"&amp;$J1702+7)/COUNTIFS('Weekly Log'!$G:$G,"&lt;&gt;",'Weekly Log'!$A:$A,"&gt;="&amp;$J1702,'Weekly Log'!$A:$A,"&lt;"&amp;$J1702+7),0))</f>
        <v/>
      </c>
      <c r="D1702" t="str">
        <f>IF($J1702="","",IFERROR(COUNTIFS('Weekly Log'!$H:$H,"Y",'Weekly Log'!$A:$A,"&gt;="&amp;$J1702,'Weekly Log'!$A:$A,"&lt;"&amp;$J1702+7)/COUNTIFS('Weekly Log'!$H:$H,"&lt;&gt;",'Weekly Log'!$A:$A,"&gt;="&amp;$J1702,'Weekly Log'!$A:$A,"&lt;"&amp;$J1702+7),0))</f>
        <v/>
      </c>
      <c r="E1702" t="str">
        <f>IF($J1702="","",IFERROR(AVERAGEIFS('Weekly Log'!$F:$F,'Weekly Log'!$A:$A,"&gt;="&amp;$J1702,'Weekly Log'!$A:$A,"&lt;"&amp;$J1702+7),0))</f>
        <v/>
      </c>
      <c r="F1702" t="str">
        <f>IF($J1702="","",IFERROR(SUMIFS('Weekly Log'!$F:$F,'Weekly Log'!$A:$A,"&gt;="&amp;$J1702,'Weekly Log'!$A:$A,"&lt;"&amp;$J1702+7)/SUMIFS('Weekly Log'!$E:$E,'Weekly Log'!$A:$A,"&gt;="&amp;$J1702,'Weekly Log'!$A:$A,"&lt;"&amp;$J1702+7),0))</f>
        <v/>
      </c>
      <c r="G1702" t="str">
        <f>IF($J1702="","",IFERROR(LOOKUP(2,1/(('Weekly Log'!$A$5:$A$5000&gt;=$J1702)*('Weekly Log'!$A$5:$A$5000&lt;$J1702+7)*('Weekly Log'!$M$5:$M$5000&lt;&gt;"")),'Weekly Log'!$M$5:$M$5000),0))</f>
        <v/>
      </c>
      <c r="J1702" t="str">
        <f>IF(COUNT('Weekly Log'!$A$5:$A$5000)=0,"",IF(MIN('Weekly Log'!$A$5:$A$5000)+7*(ROW()-10)&gt;MAX('Weekly Log'!$A$5:$A$5000),"",MIN('Weekly Log'!$A$5:$A$5000)+7*(ROW()-10)))</f>
        <v/>
      </c>
    </row>
    <row r="1703" spans="1:10" x14ac:dyDescent="0.25">
      <c r="A1703" t="str">
        <f t="shared" si="26"/>
        <v/>
      </c>
      <c r="B1703" t="str">
        <f>IF($J1703="","",SUMIFS('Weekly Log'!$C:$C,'Weekly Log'!$A:$A,"&gt;="&amp;$J1703,'Weekly Log'!$A:$A,"&lt;"&amp;$J1703+7))</f>
        <v/>
      </c>
      <c r="C1703" t="str">
        <f>IF($J1703="","",IFERROR(COUNTIFS('Weekly Log'!$G:$G,"Y",'Weekly Log'!$A:$A,"&gt;="&amp;$J1703,'Weekly Log'!$A:$A,"&lt;"&amp;$J1703+7)/COUNTIFS('Weekly Log'!$G:$G,"&lt;&gt;",'Weekly Log'!$A:$A,"&gt;="&amp;$J1703,'Weekly Log'!$A:$A,"&lt;"&amp;$J1703+7),0))</f>
        <v/>
      </c>
      <c r="D1703" t="str">
        <f>IF($J1703="","",IFERROR(COUNTIFS('Weekly Log'!$H:$H,"Y",'Weekly Log'!$A:$A,"&gt;="&amp;$J1703,'Weekly Log'!$A:$A,"&lt;"&amp;$J1703+7)/COUNTIFS('Weekly Log'!$H:$H,"&lt;&gt;",'Weekly Log'!$A:$A,"&gt;="&amp;$J1703,'Weekly Log'!$A:$A,"&lt;"&amp;$J1703+7),0))</f>
        <v/>
      </c>
      <c r="E1703" t="str">
        <f>IF($J1703="","",IFERROR(AVERAGEIFS('Weekly Log'!$F:$F,'Weekly Log'!$A:$A,"&gt;="&amp;$J1703,'Weekly Log'!$A:$A,"&lt;"&amp;$J1703+7),0))</f>
        <v/>
      </c>
      <c r="F1703" t="str">
        <f>IF($J1703="","",IFERROR(SUMIFS('Weekly Log'!$F:$F,'Weekly Log'!$A:$A,"&gt;="&amp;$J1703,'Weekly Log'!$A:$A,"&lt;"&amp;$J1703+7)/SUMIFS('Weekly Log'!$E:$E,'Weekly Log'!$A:$A,"&gt;="&amp;$J1703,'Weekly Log'!$A:$A,"&lt;"&amp;$J1703+7),0))</f>
        <v/>
      </c>
      <c r="G1703" t="str">
        <f>IF($J1703="","",IFERROR(LOOKUP(2,1/(('Weekly Log'!$A$5:$A$5000&gt;=$J1703)*('Weekly Log'!$A$5:$A$5000&lt;$J1703+7)*('Weekly Log'!$M$5:$M$5000&lt;&gt;"")),'Weekly Log'!$M$5:$M$5000),0))</f>
        <v/>
      </c>
      <c r="J1703" t="str">
        <f>IF(COUNT('Weekly Log'!$A$5:$A$5000)=0,"",IF(MIN('Weekly Log'!$A$5:$A$5000)+7*(ROW()-10)&gt;MAX('Weekly Log'!$A$5:$A$5000),"",MIN('Weekly Log'!$A$5:$A$5000)+7*(ROW()-10)))</f>
        <v/>
      </c>
    </row>
    <row r="1704" spans="1:10" x14ac:dyDescent="0.25">
      <c r="A1704" t="str">
        <f t="shared" si="26"/>
        <v/>
      </c>
      <c r="B1704" t="str">
        <f>IF($J1704="","",SUMIFS('Weekly Log'!$C:$C,'Weekly Log'!$A:$A,"&gt;="&amp;$J1704,'Weekly Log'!$A:$A,"&lt;"&amp;$J1704+7))</f>
        <v/>
      </c>
      <c r="C1704" t="str">
        <f>IF($J1704="","",IFERROR(COUNTIFS('Weekly Log'!$G:$G,"Y",'Weekly Log'!$A:$A,"&gt;="&amp;$J1704,'Weekly Log'!$A:$A,"&lt;"&amp;$J1704+7)/COUNTIFS('Weekly Log'!$G:$G,"&lt;&gt;",'Weekly Log'!$A:$A,"&gt;="&amp;$J1704,'Weekly Log'!$A:$A,"&lt;"&amp;$J1704+7),0))</f>
        <v/>
      </c>
      <c r="D1704" t="str">
        <f>IF($J1704="","",IFERROR(COUNTIFS('Weekly Log'!$H:$H,"Y",'Weekly Log'!$A:$A,"&gt;="&amp;$J1704,'Weekly Log'!$A:$A,"&lt;"&amp;$J1704+7)/COUNTIFS('Weekly Log'!$H:$H,"&lt;&gt;",'Weekly Log'!$A:$A,"&gt;="&amp;$J1704,'Weekly Log'!$A:$A,"&lt;"&amp;$J1704+7),0))</f>
        <v/>
      </c>
      <c r="E1704" t="str">
        <f>IF($J1704="","",IFERROR(AVERAGEIFS('Weekly Log'!$F:$F,'Weekly Log'!$A:$A,"&gt;="&amp;$J1704,'Weekly Log'!$A:$A,"&lt;"&amp;$J1704+7),0))</f>
        <v/>
      </c>
      <c r="F1704" t="str">
        <f>IF($J1704="","",IFERROR(SUMIFS('Weekly Log'!$F:$F,'Weekly Log'!$A:$A,"&gt;="&amp;$J1704,'Weekly Log'!$A:$A,"&lt;"&amp;$J1704+7)/SUMIFS('Weekly Log'!$E:$E,'Weekly Log'!$A:$A,"&gt;="&amp;$J1704,'Weekly Log'!$A:$A,"&lt;"&amp;$J1704+7),0))</f>
        <v/>
      </c>
      <c r="G1704" t="str">
        <f>IF($J1704="","",IFERROR(LOOKUP(2,1/(('Weekly Log'!$A$5:$A$5000&gt;=$J1704)*('Weekly Log'!$A$5:$A$5000&lt;$J1704+7)*('Weekly Log'!$M$5:$M$5000&lt;&gt;"")),'Weekly Log'!$M$5:$M$5000),0))</f>
        <v/>
      </c>
      <c r="J1704" t="str">
        <f>IF(COUNT('Weekly Log'!$A$5:$A$5000)=0,"",IF(MIN('Weekly Log'!$A$5:$A$5000)+7*(ROW()-10)&gt;MAX('Weekly Log'!$A$5:$A$5000),"",MIN('Weekly Log'!$A$5:$A$5000)+7*(ROW()-10)))</f>
        <v/>
      </c>
    </row>
    <row r="1705" spans="1:10" x14ac:dyDescent="0.25">
      <c r="A1705" t="str">
        <f t="shared" si="26"/>
        <v/>
      </c>
      <c r="B1705" t="str">
        <f>IF($J1705="","",SUMIFS('Weekly Log'!$C:$C,'Weekly Log'!$A:$A,"&gt;="&amp;$J1705,'Weekly Log'!$A:$A,"&lt;"&amp;$J1705+7))</f>
        <v/>
      </c>
      <c r="C1705" t="str">
        <f>IF($J1705="","",IFERROR(COUNTIFS('Weekly Log'!$G:$G,"Y",'Weekly Log'!$A:$A,"&gt;="&amp;$J1705,'Weekly Log'!$A:$A,"&lt;"&amp;$J1705+7)/COUNTIFS('Weekly Log'!$G:$G,"&lt;&gt;",'Weekly Log'!$A:$A,"&gt;="&amp;$J1705,'Weekly Log'!$A:$A,"&lt;"&amp;$J1705+7),0))</f>
        <v/>
      </c>
      <c r="D1705" t="str">
        <f>IF($J1705="","",IFERROR(COUNTIFS('Weekly Log'!$H:$H,"Y",'Weekly Log'!$A:$A,"&gt;="&amp;$J1705,'Weekly Log'!$A:$A,"&lt;"&amp;$J1705+7)/COUNTIFS('Weekly Log'!$H:$H,"&lt;&gt;",'Weekly Log'!$A:$A,"&gt;="&amp;$J1705,'Weekly Log'!$A:$A,"&lt;"&amp;$J1705+7),0))</f>
        <v/>
      </c>
      <c r="E1705" t="str">
        <f>IF($J1705="","",IFERROR(AVERAGEIFS('Weekly Log'!$F:$F,'Weekly Log'!$A:$A,"&gt;="&amp;$J1705,'Weekly Log'!$A:$A,"&lt;"&amp;$J1705+7),0))</f>
        <v/>
      </c>
      <c r="F1705" t="str">
        <f>IF($J1705="","",IFERROR(SUMIFS('Weekly Log'!$F:$F,'Weekly Log'!$A:$A,"&gt;="&amp;$J1705,'Weekly Log'!$A:$A,"&lt;"&amp;$J1705+7)/SUMIFS('Weekly Log'!$E:$E,'Weekly Log'!$A:$A,"&gt;="&amp;$J1705,'Weekly Log'!$A:$A,"&lt;"&amp;$J1705+7),0))</f>
        <v/>
      </c>
      <c r="G1705" t="str">
        <f>IF($J1705="","",IFERROR(LOOKUP(2,1/(('Weekly Log'!$A$5:$A$5000&gt;=$J1705)*('Weekly Log'!$A$5:$A$5000&lt;$J1705+7)*('Weekly Log'!$M$5:$M$5000&lt;&gt;"")),'Weekly Log'!$M$5:$M$5000),0))</f>
        <v/>
      </c>
      <c r="J1705" t="str">
        <f>IF(COUNT('Weekly Log'!$A$5:$A$5000)=0,"",IF(MIN('Weekly Log'!$A$5:$A$5000)+7*(ROW()-10)&gt;MAX('Weekly Log'!$A$5:$A$5000),"",MIN('Weekly Log'!$A$5:$A$5000)+7*(ROW()-10)))</f>
        <v/>
      </c>
    </row>
    <row r="1706" spans="1:10" x14ac:dyDescent="0.25">
      <c r="A1706" t="str">
        <f t="shared" si="26"/>
        <v/>
      </c>
      <c r="B1706" t="str">
        <f>IF($J1706="","",SUMIFS('Weekly Log'!$C:$C,'Weekly Log'!$A:$A,"&gt;="&amp;$J1706,'Weekly Log'!$A:$A,"&lt;"&amp;$J1706+7))</f>
        <v/>
      </c>
      <c r="C1706" t="str">
        <f>IF($J1706="","",IFERROR(COUNTIFS('Weekly Log'!$G:$G,"Y",'Weekly Log'!$A:$A,"&gt;="&amp;$J1706,'Weekly Log'!$A:$A,"&lt;"&amp;$J1706+7)/COUNTIFS('Weekly Log'!$G:$G,"&lt;&gt;",'Weekly Log'!$A:$A,"&gt;="&amp;$J1706,'Weekly Log'!$A:$A,"&lt;"&amp;$J1706+7),0))</f>
        <v/>
      </c>
      <c r="D1706" t="str">
        <f>IF($J1706="","",IFERROR(COUNTIFS('Weekly Log'!$H:$H,"Y",'Weekly Log'!$A:$A,"&gt;="&amp;$J1706,'Weekly Log'!$A:$A,"&lt;"&amp;$J1706+7)/COUNTIFS('Weekly Log'!$H:$H,"&lt;&gt;",'Weekly Log'!$A:$A,"&gt;="&amp;$J1706,'Weekly Log'!$A:$A,"&lt;"&amp;$J1706+7),0))</f>
        <v/>
      </c>
      <c r="E1706" t="str">
        <f>IF($J1706="","",IFERROR(AVERAGEIFS('Weekly Log'!$F:$F,'Weekly Log'!$A:$A,"&gt;="&amp;$J1706,'Weekly Log'!$A:$A,"&lt;"&amp;$J1706+7),0))</f>
        <v/>
      </c>
      <c r="F1706" t="str">
        <f>IF($J1706="","",IFERROR(SUMIFS('Weekly Log'!$F:$F,'Weekly Log'!$A:$A,"&gt;="&amp;$J1706,'Weekly Log'!$A:$A,"&lt;"&amp;$J1706+7)/SUMIFS('Weekly Log'!$E:$E,'Weekly Log'!$A:$A,"&gt;="&amp;$J1706,'Weekly Log'!$A:$A,"&lt;"&amp;$J1706+7),0))</f>
        <v/>
      </c>
      <c r="G1706" t="str">
        <f>IF($J1706="","",IFERROR(LOOKUP(2,1/(('Weekly Log'!$A$5:$A$5000&gt;=$J1706)*('Weekly Log'!$A$5:$A$5000&lt;$J1706+7)*('Weekly Log'!$M$5:$M$5000&lt;&gt;"")),'Weekly Log'!$M$5:$M$5000),0))</f>
        <v/>
      </c>
      <c r="J1706" t="str">
        <f>IF(COUNT('Weekly Log'!$A$5:$A$5000)=0,"",IF(MIN('Weekly Log'!$A$5:$A$5000)+7*(ROW()-10)&gt;MAX('Weekly Log'!$A$5:$A$5000),"",MIN('Weekly Log'!$A$5:$A$5000)+7*(ROW()-10)))</f>
        <v/>
      </c>
    </row>
    <row r="1707" spans="1:10" x14ac:dyDescent="0.25">
      <c r="A1707" t="str">
        <f t="shared" si="26"/>
        <v/>
      </c>
      <c r="B1707" t="str">
        <f>IF($J1707="","",SUMIFS('Weekly Log'!$C:$C,'Weekly Log'!$A:$A,"&gt;="&amp;$J1707,'Weekly Log'!$A:$A,"&lt;"&amp;$J1707+7))</f>
        <v/>
      </c>
      <c r="C1707" t="str">
        <f>IF($J1707="","",IFERROR(COUNTIFS('Weekly Log'!$G:$G,"Y",'Weekly Log'!$A:$A,"&gt;="&amp;$J1707,'Weekly Log'!$A:$A,"&lt;"&amp;$J1707+7)/COUNTIFS('Weekly Log'!$G:$G,"&lt;&gt;",'Weekly Log'!$A:$A,"&gt;="&amp;$J1707,'Weekly Log'!$A:$A,"&lt;"&amp;$J1707+7),0))</f>
        <v/>
      </c>
      <c r="D1707" t="str">
        <f>IF($J1707="","",IFERROR(COUNTIFS('Weekly Log'!$H:$H,"Y",'Weekly Log'!$A:$A,"&gt;="&amp;$J1707,'Weekly Log'!$A:$A,"&lt;"&amp;$J1707+7)/COUNTIFS('Weekly Log'!$H:$H,"&lt;&gt;",'Weekly Log'!$A:$A,"&gt;="&amp;$J1707,'Weekly Log'!$A:$A,"&lt;"&amp;$J1707+7),0))</f>
        <v/>
      </c>
      <c r="E1707" t="str">
        <f>IF($J1707="","",IFERROR(AVERAGEIFS('Weekly Log'!$F:$F,'Weekly Log'!$A:$A,"&gt;="&amp;$J1707,'Weekly Log'!$A:$A,"&lt;"&amp;$J1707+7),0))</f>
        <v/>
      </c>
      <c r="F1707" t="str">
        <f>IF($J1707="","",IFERROR(SUMIFS('Weekly Log'!$F:$F,'Weekly Log'!$A:$A,"&gt;="&amp;$J1707,'Weekly Log'!$A:$A,"&lt;"&amp;$J1707+7)/SUMIFS('Weekly Log'!$E:$E,'Weekly Log'!$A:$A,"&gt;="&amp;$J1707,'Weekly Log'!$A:$A,"&lt;"&amp;$J1707+7),0))</f>
        <v/>
      </c>
      <c r="G1707" t="str">
        <f>IF($J1707="","",IFERROR(LOOKUP(2,1/(('Weekly Log'!$A$5:$A$5000&gt;=$J1707)*('Weekly Log'!$A$5:$A$5000&lt;$J1707+7)*('Weekly Log'!$M$5:$M$5000&lt;&gt;"")),'Weekly Log'!$M$5:$M$5000),0))</f>
        <v/>
      </c>
      <c r="J1707" t="str">
        <f>IF(COUNT('Weekly Log'!$A$5:$A$5000)=0,"",IF(MIN('Weekly Log'!$A$5:$A$5000)+7*(ROW()-10)&gt;MAX('Weekly Log'!$A$5:$A$5000),"",MIN('Weekly Log'!$A$5:$A$5000)+7*(ROW()-10)))</f>
        <v/>
      </c>
    </row>
    <row r="1708" spans="1:10" x14ac:dyDescent="0.25">
      <c r="A1708" t="str">
        <f t="shared" si="26"/>
        <v/>
      </c>
      <c r="B1708" t="str">
        <f>IF($J1708="","",SUMIFS('Weekly Log'!$C:$C,'Weekly Log'!$A:$A,"&gt;="&amp;$J1708,'Weekly Log'!$A:$A,"&lt;"&amp;$J1708+7))</f>
        <v/>
      </c>
      <c r="C1708" t="str">
        <f>IF($J1708="","",IFERROR(COUNTIFS('Weekly Log'!$G:$G,"Y",'Weekly Log'!$A:$A,"&gt;="&amp;$J1708,'Weekly Log'!$A:$A,"&lt;"&amp;$J1708+7)/COUNTIFS('Weekly Log'!$G:$G,"&lt;&gt;",'Weekly Log'!$A:$A,"&gt;="&amp;$J1708,'Weekly Log'!$A:$A,"&lt;"&amp;$J1708+7),0))</f>
        <v/>
      </c>
      <c r="D1708" t="str">
        <f>IF($J1708="","",IFERROR(COUNTIFS('Weekly Log'!$H:$H,"Y",'Weekly Log'!$A:$A,"&gt;="&amp;$J1708,'Weekly Log'!$A:$A,"&lt;"&amp;$J1708+7)/COUNTIFS('Weekly Log'!$H:$H,"&lt;&gt;",'Weekly Log'!$A:$A,"&gt;="&amp;$J1708,'Weekly Log'!$A:$A,"&lt;"&amp;$J1708+7),0))</f>
        <v/>
      </c>
      <c r="E1708" t="str">
        <f>IF($J1708="","",IFERROR(AVERAGEIFS('Weekly Log'!$F:$F,'Weekly Log'!$A:$A,"&gt;="&amp;$J1708,'Weekly Log'!$A:$A,"&lt;"&amp;$J1708+7),0))</f>
        <v/>
      </c>
      <c r="F1708" t="str">
        <f>IF($J1708="","",IFERROR(SUMIFS('Weekly Log'!$F:$F,'Weekly Log'!$A:$A,"&gt;="&amp;$J1708,'Weekly Log'!$A:$A,"&lt;"&amp;$J1708+7)/SUMIFS('Weekly Log'!$E:$E,'Weekly Log'!$A:$A,"&gt;="&amp;$J1708,'Weekly Log'!$A:$A,"&lt;"&amp;$J1708+7),0))</f>
        <v/>
      </c>
      <c r="G1708" t="str">
        <f>IF($J1708="","",IFERROR(LOOKUP(2,1/(('Weekly Log'!$A$5:$A$5000&gt;=$J1708)*('Weekly Log'!$A$5:$A$5000&lt;$J1708+7)*('Weekly Log'!$M$5:$M$5000&lt;&gt;"")),'Weekly Log'!$M$5:$M$5000),0))</f>
        <v/>
      </c>
      <c r="J1708" t="str">
        <f>IF(COUNT('Weekly Log'!$A$5:$A$5000)=0,"",IF(MIN('Weekly Log'!$A$5:$A$5000)+7*(ROW()-10)&gt;MAX('Weekly Log'!$A$5:$A$5000),"",MIN('Weekly Log'!$A$5:$A$5000)+7*(ROW()-10)))</f>
        <v/>
      </c>
    </row>
    <row r="1709" spans="1:10" x14ac:dyDescent="0.25">
      <c r="A1709" t="str">
        <f t="shared" si="26"/>
        <v/>
      </c>
      <c r="B1709" t="str">
        <f>IF($J1709="","",SUMIFS('Weekly Log'!$C:$C,'Weekly Log'!$A:$A,"&gt;="&amp;$J1709,'Weekly Log'!$A:$A,"&lt;"&amp;$J1709+7))</f>
        <v/>
      </c>
      <c r="C1709" t="str">
        <f>IF($J1709="","",IFERROR(COUNTIFS('Weekly Log'!$G:$G,"Y",'Weekly Log'!$A:$A,"&gt;="&amp;$J1709,'Weekly Log'!$A:$A,"&lt;"&amp;$J1709+7)/COUNTIFS('Weekly Log'!$G:$G,"&lt;&gt;",'Weekly Log'!$A:$A,"&gt;="&amp;$J1709,'Weekly Log'!$A:$A,"&lt;"&amp;$J1709+7),0))</f>
        <v/>
      </c>
      <c r="D1709" t="str">
        <f>IF($J1709="","",IFERROR(COUNTIFS('Weekly Log'!$H:$H,"Y",'Weekly Log'!$A:$A,"&gt;="&amp;$J1709,'Weekly Log'!$A:$A,"&lt;"&amp;$J1709+7)/COUNTIFS('Weekly Log'!$H:$H,"&lt;&gt;",'Weekly Log'!$A:$A,"&gt;="&amp;$J1709,'Weekly Log'!$A:$A,"&lt;"&amp;$J1709+7),0))</f>
        <v/>
      </c>
      <c r="E1709" t="str">
        <f>IF($J1709="","",IFERROR(AVERAGEIFS('Weekly Log'!$F:$F,'Weekly Log'!$A:$A,"&gt;="&amp;$J1709,'Weekly Log'!$A:$A,"&lt;"&amp;$J1709+7),0))</f>
        <v/>
      </c>
      <c r="F1709" t="str">
        <f>IF($J1709="","",IFERROR(SUMIFS('Weekly Log'!$F:$F,'Weekly Log'!$A:$A,"&gt;="&amp;$J1709,'Weekly Log'!$A:$A,"&lt;"&amp;$J1709+7)/SUMIFS('Weekly Log'!$E:$E,'Weekly Log'!$A:$A,"&gt;="&amp;$J1709,'Weekly Log'!$A:$A,"&lt;"&amp;$J1709+7),0))</f>
        <v/>
      </c>
      <c r="G1709" t="str">
        <f>IF($J1709="","",IFERROR(LOOKUP(2,1/(('Weekly Log'!$A$5:$A$5000&gt;=$J1709)*('Weekly Log'!$A$5:$A$5000&lt;$J1709+7)*('Weekly Log'!$M$5:$M$5000&lt;&gt;"")),'Weekly Log'!$M$5:$M$5000),0))</f>
        <v/>
      </c>
      <c r="J1709" t="str">
        <f>IF(COUNT('Weekly Log'!$A$5:$A$5000)=0,"",IF(MIN('Weekly Log'!$A$5:$A$5000)+7*(ROW()-10)&gt;MAX('Weekly Log'!$A$5:$A$5000),"",MIN('Weekly Log'!$A$5:$A$5000)+7*(ROW()-10)))</f>
        <v/>
      </c>
    </row>
    <row r="1710" spans="1:10" x14ac:dyDescent="0.25">
      <c r="A1710" t="str">
        <f t="shared" si="26"/>
        <v/>
      </c>
      <c r="B1710" t="str">
        <f>IF($J1710="","",SUMIFS('Weekly Log'!$C:$C,'Weekly Log'!$A:$A,"&gt;="&amp;$J1710,'Weekly Log'!$A:$A,"&lt;"&amp;$J1710+7))</f>
        <v/>
      </c>
      <c r="C1710" t="str">
        <f>IF($J1710="","",IFERROR(COUNTIFS('Weekly Log'!$G:$G,"Y",'Weekly Log'!$A:$A,"&gt;="&amp;$J1710,'Weekly Log'!$A:$A,"&lt;"&amp;$J1710+7)/COUNTIFS('Weekly Log'!$G:$G,"&lt;&gt;",'Weekly Log'!$A:$A,"&gt;="&amp;$J1710,'Weekly Log'!$A:$A,"&lt;"&amp;$J1710+7),0))</f>
        <v/>
      </c>
      <c r="D1710" t="str">
        <f>IF($J1710="","",IFERROR(COUNTIFS('Weekly Log'!$H:$H,"Y",'Weekly Log'!$A:$A,"&gt;="&amp;$J1710,'Weekly Log'!$A:$A,"&lt;"&amp;$J1710+7)/COUNTIFS('Weekly Log'!$H:$H,"&lt;&gt;",'Weekly Log'!$A:$A,"&gt;="&amp;$J1710,'Weekly Log'!$A:$A,"&lt;"&amp;$J1710+7),0))</f>
        <v/>
      </c>
      <c r="E1710" t="str">
        <f>IF($J1710="","",IFERROR(AVERAGEIFS('Weekly Log'!$F:$F,'Weekly Log'!$A:$A,"&gt;="&amp;$J1710,'Weekly Log'!$A:$A,"&lt;"&amp;$J1710+7),0))</f>
        <v/>
      </c>
      <c r="F1710" t="str">
        <f>IF($J1710="","",IFERROR(SUMIFS('Weekly Log'!$F:$F,'Weekly Log'!$A:$A,"&gt;="&amp;$J1710,'Weekly Log'!$A:$A,"&lt;"&amp;$J1710+7)/SUMIFS('Weekly Log'!$E:$E,'Weekly Log'!$A:$A,"&gt;="&amp;$J1710,'Weekly Log'!$A:$A,"&lt;"&amp;$J1710+7),0))</f>
        <v/>
      </c>
      <c r="G1710" t="str">
        <f>IF($J1710="","",IFERROR(LOOKUP(2,1/(('Weekly Log'!$A$5:$A$5000&gt;=$J1710)*('Weekly Log'!$A$5:$A$5000&lt;$J1710+7)*('Weekly Log'!$M$5:$M$5000&lt;&gt;"")),'Weekly Log'!$M$5:$M$5000),0))</f>
        <v/>
      </c>
      <c r="J1710" t="str">
        <f>IF(COUNT('Weekly Log'!$A$5:$A$5000)=0,"",IF(MIN('Weekly Log'!$A$5:$A$5000)+7*(ROW()-10)&gt;MAX('Weekly Log'!$A$5:$A$5000),"",MIN('Weekly Log'!$A$5:$A$5000)+7*(ROW()-10)))</f>
        <v/>
      </c>
    </row>
    <row r="1711" spans="1:10" x14ac:dyDescent="0.25">
      <c r="A1711" t="str">
        <f t="shared" si="26"/>
        <v/>
      </c>
      <c r="B1711" t="str">
        <f>IF($J1711="","",SUMIFS('Weekly Log'!$C:$C,'Weekly Log'!$A:$A,"&gt;="&amp;$J1711,'Weekly Log'!$A:$A,"&lt;"&amp;$J1711+7))</f>
        <v/>
      </c>
      <c r="C1711" t="str">
        <f>IF($J1711="","",IFERROR(COUNTIFS('Weekly Log'!$G:$G,"Y",'Weekly Log'!$A:$A,"&gt;="&amp;$J1711,'Weekly Log'!$A:$A,"&lt;"&amp;$J1711+7)/COUNTIFS('Weekly Log'!$G:$G,"&lt;&gt;",'Weekly Log'!$A:$A,"&gt;="&amp;$J1711,'Weekly Log'!$A:$A,"&lt;"&amp;$J1711+7),0))</f>
        <v/>
      </c>
      <c r="D1711" t="str">
        <f>IF($J1711="","",IFERROR(COUNTIFS('Weekly Log'!$H:$H,"Y",'Weekly Log'!$A:$A,"&gt;="&amp;$J1711,'Weekly Log'!$A:$A,"&lt;"&amp;$J1711+7)/COUNTIFS('Weekly Log'!$H:$H,"&lt;&gt;",'Weekly Log'!$A:$A,"&gt;="&amp;$J1711,'Weekly Log'!$A:$A,"&lt;"&amp;$J1711+7),0))</f>
        <v/>
      </c>
      <c r="E1711" t="str">
        <f>IF($J1711="","",IFERROR(AVERAGEIFS('Weekly Log'!$F:$F,'Weekly Log'!$A:$A,"&gt;="&amp;$J1711,'Weekly Log'!$A:$A,"&lt;"&amp;$J1711+7),0))</f>
        <v/>
      </c>
      <c r="F1711" t="str">
        <f>IF($J1711="","",IFERROR(SUMIFS('Weekly Log'!$F:$F,'Weekly Log'!$A:$A,"&gt;="&amp;$J1711,'Weekly Log'!$A:$A,"&lt;"&amp;$J1711+7)/SUMIFS('Weekly Log'!$E:$E,'Weekly Log'!$A:$A,"&gt;="&amp;$J1711,'Weekly Log'!$A:$A,"&lt;"&amp;$J1711+7),0))</f>
        <v/>
      </c>
      <c r="G1711" t="str">
        <f>IF($J1711="","",IFERROR(LOOKUP(2,1/(('Weekly Log'!$A$5:$A$5000&gt;=$J1711)*('Weekly Log'!$A$5:$A$5000&lt;$J1711+7)*('Weekly Log'!$M$5:$M$5000&lt;&gt;"")),'Weekly Log'!$M$5:$M$5000),0))</f>
        <v/>
      </c>
      <c r="J1711" t="str">
        <f>IF(COUNT('Weekly Log'!$A$5:$A$5000)=0,"",IF(MIN('Weekly Log'!$A$5:$A$5000)+7*(ROW()-10)&gt;MAX('Weekly Log'!$A$5:$A$5000),"",MIN('Weekly Log'!$A$5:$A$5000)+7*(ROW()-10)))</f>
        <v/>
      </c>
    </row>
    <row r="1712" spans="1:10" x14ac:dyDescent="0.25">
      <c r="A1712" t="str">
        <f t="shared" si="26"/>
        <v/>
      </c>
      <c r="B1712" t="str">
        <f>IF($J1712="","",SUMIFS('Weekly Log'!$C:$C,'Weekly Log'!$A:$A,"&gt;="&amp;$J1712,'Weekly Log'!$A:$A,"&lt;"&amp;$J1712+7))</f>
        <v/>
      </c>
      <c r="C1712" t="str">
        <f>IF($J1712="","",IFERROR(COUNTIFS('Weekly Log'!$G:$G,"Y",'Weekly Log'!$A:$A,"&gt;="&amp;$J1712,'Weekly Log'!$A:$A,"&lt;"&amp;$J1712+7)/COUNTIFS('Weekly Log'!$G:$G,"&lt;&gt;",'Weekly Log'!$A:$A,"&gt;="&amp;$J1712,'Weekly Log'!$A:$A,"&lt;"&amp;$J1712+7),0))</f>
        <v/>
      </c>
      <c r="D1712" t="str">
        <f>IF($J1712="","",IFERROR(COUNTIFS('Weekly Log'!$H:$H,"Y",'Weekly Log'!$A:$A,"&gt;="&amp;$J1712,'Weekly Log'!$A:$A,"&lt;"&amp;$J1712+7)/COUNTIFS('Weekly Log'!$H:$H,"&lt;&gt;",'Weekly Log'!$A:$A,"&gt;="&amp;$J1712,'Weekly Log'!$A:$A,"&lt;"&amp;$J1712+7),0))</f>
        <v/>
      </c>
      <c r="E1712" t="str">
        <f>IF($J1712="","",IFERROR(AVERAGEIFS('Weekly Log'!$F:$F,'Weekly Log'!$A:$A,"&gt;="&amp;$J1712,'Weekly Log'!$A:$A,"&lt;"&amp;$J1712+7),0))</f>
        <v/>
      </c>
      <c r="F1712" t="str">
        <f>IF($J1712="","",IFERROR(SUMIFS('Weekly Log'!$F:$F,'Weekly Log'!$A:$A,"&gt;="&amp;$J1712,'Weekly Log'!$A:$A,"&lt;"&amp;$J1712+7)/SUMIFS('Weekly Log'!$E:$E,'Weekly Log'!$A:$A,"&gt;="&amp;$J1712,'Weekly Log'!$A:$A,"&lt;"&amp;$J1712+7),0))</f>
        <v/>
      </c>
      <c r="G1712" t="str">
        <f>IF($J1712="","",IFERROR(LOOKUP(2,1/(('Weekly Log'!$A$5:$A$5000&gt;=$J1712)*('Weekly Log'!$A$5:$A$5000&lt;$J1712+7)*('Weekly Log'!$M$5:$M$5000&lt;&gt;"")),'Weekly Log'!$M$5:$M$5000),0))</f>
        <v/>
      </c>
      <c r="J1712" t="str">
        <f>IF(COUNT('Weekly Log'!$A$5:$A$5000)=0,"",IF(MIN('Weekly Log'!$A$5:$A$5000)+7*(ROW()-10)&gt;MAX('Weekly Log'!$A$5:$A$5000),"",MIN('Weekly Log'!$A$5:$A$5000)+7*(ROW()-10)))</f>
        <v/>
      </c>
    </row>
    <row r="1713" spans="1:10" x14ac:dyDescent="0.25">
      <c r="A1713" t="str">
        <f t="shared" si="26"/>
        <v/>
      </c>
      <c r="B1713" t="str">
        <f>IF($J1713="","",SUMIFS('Weekly Log'!$C:$C,'Weekly Log'!$A:$A,"&gt;="&amp;$J1713,'Weekly Log'!$A:$A,"&lt;"&amp;$J1713+7))</f>
        <v/>
      </c>
      <c r="C1713" t="str">
        <f>IF($J1713="","",IFERROR(COUNTIFS('Weekly Log'!$G:$G,"Y",'Weekly Log'!$A:$A,"&gt;="&amp;$J1713,'Weekly Log'!$A:$A,"&lt;"&amp;$J1713+7)/COUNTIFS('Weekly Log'!$G:$G,"&lt;&gt;",'Weekly Log'!$A:$A,"&gt;="&amp;$J1713,'Weekly Log'!$A:$A,"&lt;"&amp;$J1713+7),0))</f>
        <v/>
      </c>
      <c r="D1713" t="str">
        <f>IF($J1713="","",IFERROR(COUNTIFS('Weekly Log'!$H:$H,"Y",'Weekly Log'!$A:$A,"&gt;="&amp;$J1713,'Weekly Log'!$A:$A,"&lt;"&amp;$J1713+7)/COUNTIFS('Weekly Log'!$H:$H,"&lt;&gt;",'Weekly Log'!$A:$A,"&gt;="&amp;$J1713,'Weekly Log'!$A:$A,"&lt;"&amp;$J1713+7),0))</f>
        <v/>
      </c>
      <c r="E1713" t="str">
        <f>IF($J1713="","",IFERROR(AVERAGEIFS('Weekly Log'!$F:$F,'Weekly Log'!$A:$A,"&gt;="&amp;$J1713,'Weekly Log'!$A:$A,"&lt;"&amp;$J1713+7),0))</f>
        <v/>
      </c>
      <c r="F1713" t="str">
        <f>IF($J1713="","",IFERROR(SUMIFS('Weekly Log'!$F:$F,'Weekly Log'!$A:$A,"&gt;="&amp;$J1713,'Weekly Log'!$A:$A,"&lt;"&amp;$J1713+7)/SUMIFS('Weekly Log'!$E:$E,'Weekly Log'!$A:$A,"&gt;="&amp;$J1713,'Weekly Log'!$A:$A,"&lt;"&amp;$J1713+7),0))</f>
        <v/>
      </c>
      <c r="G1713" t="str">
        <f>IF($J1713="","",IFERROR(LOOKUP(2,1/(('Weekly Log'!$A$5:$A$5000&gt;=$J1713)*('Weekly Log'!$A$5:$A$5000&lt;$J1713+7)*('Weekly Log'!$M$5:$M$5000&lt;&gt;"")),'Weekly Log'!$M$5:$M$5000),0))</f>
        <v/>
      </c>
      <c r="J1713" t="str">
        <f>IF(COUNT('Weekly Log'!$A$5:$A$5000)=0,"",IF(MIN('Weekly Log'!$A$5:$A$5000)+7*(ROW()-10)&gt;MAX('Weekly Log'!$A$5:$A$5000),"",MIN('Weekly Log'!$A$5:$A$5000)+7*(ROW()-10)))</f>
        <v/>
      </c>
    </row>
    <row r="1714" spans="1:10" x14ac:dyDescent="0.25">
      <c r="A1714" t="str">
        <f t="shared" si="26"/>
        <v/>
      </c>
      <c r="B1714" t="str">
        <f>IF($J1714="","",SUMIFS('Weekly Log'!$C:$C,'Weekly Log'!$A:$A,"&gt;="&amp;$J1714,'Weekly Log'!$A:$A,"&lt;"&amp;$J1714+7))</f>
        <v/>
      </c>
      <c r="C1714" t="str">
        <f>IF($J1714="","",IFERROR(COUNTIFS('Weekly Log'!$G:$G,"Y",'Weekly Log'!$A:$A,"&gt;="&amp;$J1714,'Weekly Log'!$A:$A,"&lt;"&amp;$J1714+7)/COUNTIFS('Weekly Log'!$G:$G,"&lt;&gt;",'Weekly Log'!$A:$A,"&gt;="&amp;$J1714,'Weekly Log'!$A:$A,"&lt;"&amp;$J1714+7),0))</f>
        <v/>
      </c>
      <c r="D1714" t="str">
        <f>IF($J1714="","",IFERROR(COUNTIFS('Weekly Log'!$H:$H,"Y",'Weekly Log'!$A:$A,"&gt;="&amp;$J1714,'Weekly Log'!$A:$A,"&lt;"&amp;$J1714+7)/COUNTIFS('Weekly Log'!$H:$H,"&lt;&gt;",'Weekly Log'!$A:$A,"&gt;="&amp;$J1714,'Weekly Log'!$A:$A,"&lt;"&amp;$J1714+7),0))</f>
        <v/>
      </c>
      <c r="E1714" t="str">
        <f>IF($J1714="","",IFERROR(AVERAGEIFS('Weekly Log'!$F:$F,'Weekly Log'!$A:$A,"&gt;="&amp;$J1714,'Weekly Log'!$A:$A,"&lt;"&amp;$J1714+7),0))</f>
        <v/>
      </c>
      <c r="F1714" t="str">
        <f>IF($J1714="","",IFERROR(SUMIFS('Weekly Log'!$F:$F,'Weekly Log'!$A:$A,"&gt;="&amp;$J1714,'Weekly Log'!$A:$A,"&lt;"&amp;$J1714+7)/SUMIFS('Weekly Log'!$E:$E,'Weekly Log'!$A:$A,"&gt;="&amp;$J1714,'Weekly Log'!$A:$A,"&lt;"&amp;$J1714+7),0))</f>
        <v/>
      </c>
      <c r="G1714" t="str">
        <f>IF($J1714="","",IFERROR(LOOKUP(2,1/(('Weekly Log'!$A$5:$A$5000&gt;=$J1714)*('Weekly Log'!$A$5:$A$5000&lt;$J1714+7)*('Weekly Log'!$M$5:$M$5000&lt;&gt;"")),'Weekly Log'!$M$5:$M$5000),0))</f>
        <v/>
      </c>
      <c r="J1714" t="str">
        <f>IF(COUNT('Weekly Log'!$A$5:$A$5000)=0,"",IF(MIN('Weekly Log'!$A$5:$A$5000)+7*(ROW()-10)&gt;MAX('Weekly Log'!$A$5:$A$5000),"",MIN('Weekly Log'!$A$5:$A$5000)+7*(ROW()-10)))</f>
        <v/>
      </c>
    </row>
    <row r="1715" spans="1:10" x14ac:dyDescent="0.25">
      <c r="A1715" t="str">
        <f t="shared" si="26"/>
        <v/>
      </c>
      <c r="B1715" t="str">
        <f>IF($J1715="","",SUMIFS('Weekly Log'!$C:$C,'Weekly Log'!$A:$A,"&gt;="&amp;$J1715,'Weekly Log'!$A:$A,"&lt;"&amp;$J1715+7))</f>
        <v/>
      </c>
      <c r="C1715" t="str">
        <f>IF($J1715="","",IFERROR(COUNTIFS('Weekly Log'!$G:$G,"Y",'Weekly Log'!$A:$A,"&gt;="&amp;$J1715,'Weekly Log'!$A:$A,"&lt;"&amp;$J1715+7)/COUNTIFS('Weekly Log'!$G:$G,"&lt;&gt;",'Weekly Log'!$A:$A,"&gt;="&amp;$J1715,'Weekly Log'!$A:$A,"&lt;"&amp;$J1715+7),0))</f>
        <v/>
      </c>
      <c r="D1715" t="str">
        <f>IF($J1715="","",IFERROR(COUNTIFS('Weekly Log'!$H:$H,"Y",'Weekly Log'!$A:$A,"&gt;="&amp;$J1715,'Weekly Log'!$A:$A,"&lt;"&amp;$J1715+7)/COUNTIFS('Weekly Log'!$H:$H,"&lt;&gt;",'Weekly Log'!$A:$A,"&gt;="&amp;$J1715,'Weekly Log'!$A:$A,"&lt;"&amp;$J1715+7),0))</f>
        <v/>
      </c>
      <c r="E1715" t="str">
        <f>IF($J1715="","",IFERROR(AVERAGEIFS('Weekly Log'!$F:$F,'Weekly Log'!$A:$A,"&gt;="&amp;$J1715,'Weekly Log'!$A:$A,"&lt;"&amp;$J1715+7),0))</f>
        <v/>
      </c>
      <c r="F1715" t="str">
        <f>IF($J1715="","",IFERROR(SUMIFS('Weekly Log'!$F:$F,'Weekly Log'!$A:$A,"&gt;="&amp;$J1715,'Weekly Log'!$A:$A,"&lt;"&amp;$J1715+7)/SUMIFS('Weekly Log'!$E:$E,'Weekly Log'!$A:$A,"&gt;="&amp;$J1715,'Weekly Log'!$A:$A,"&lt;"&amp;$J1715+7),0))</f>
        <v/>
      </c>
      <c r="G1715" t="str">
        <f>IF($J1715="","",IFERROR(LOOKUP(2,1/(('Weekly Log'!$A$5:$A$5000&gt;=$J1715)*('Weekly Log'!$A$5:$A$5000&lt;$J1715+7)*('Weekly Log'!$M$5:$M$5000&lt;&gt;"")),'Weekly Log'!$M$5:$M$5000),0))</f>
        <v/>
      </c>
      <c r="J1715" t="str">
        <f>IF(COUNT('Weekly Log'!$A$5:$A$5000)=0,"",IF(MIN('Weekly Log'!$A$5:$A$5000)+7*(ROW()-10)&gt;MAX('Weekly Log'!$A$5:$A$5000),"",MIN('Weekly Log'!$A$5:$A$5000)+7*(ROW()-10)))</f>
        <v/>
      </c>
    </row>
    <row r="1716" spans="1:10" x14ac:dyDescent="0.25">
      <c r="A1716" t="str">
        <f t="shared" si="26"/>
        <v/>
      </c>
      <c r="B1716" t="str">
        <f>IF($J1716="","",SUMIFS('Weekly Log'!$C:$C,'Weekly Log'!$A:$A,"&gt;="&amp;$J1716,'Weekly Log'!$A:$A,"&lt;"&amp;$J1716+7))</f>
        <v/>
      </c>
      <c r="C1716" t="str">
        <f>IF($J1716="","",IFERROR(COUNTIFS('Weekly Log'!$G:$G,"Y",'Weekly Log'!$A:$A,"&gt;="&amp;$J1716,'Weekly Log'!$A:$A,"&lt;"&amp;$J1716+7)/COUNTIFS('Weekly Log'!$G:$G,"&lt;&gt;",'Weekly Log'!$A:$A,"&gt;="&amp;$J1716,'Weekly Log'!$A:$A,"&lt;"&amp;$J1716+7),0))</f>
        <v/>
      </c>
      <c r="D1716" t="str">
        <f>IF($J1716="","",IFERROR(COUNTIFS('Weekly Log'!$H:$H,"Y",'Weekly Log'!$A:$A,"&gt;="&amp;$J1716,'Weekly Log'!$A:$A,"&lt;"&amp;$J1716+7)/COUNTIFS('Weekly Log'!$H:$H,"&lt;&gt;",'Weekly Log'!$A:$A,"&gt;="&amp;$J1716,'Weekly Log'!$A:$A,"&lt;"&amp;$J1716+7),0))</f>
        <v/>
      </c>
      <c r="E1716" t="str">
        <f>IF($J1716="","",IFERROR(AVERAGEIFS('Weekly Log'!$F:$F,'Weekly Log'!$A:$A,"&gt;="&amp;$J1716,'Weekly Log'!$A:$A,"&lt;"&amp;$J1716+7),0))</f>
        <v/>
      </c>
      <c r="F1716" t="str">
        <f>IF($J1716="","",IFERROR(SUMIFS('Weekly Log'!$F:$F,'Weekly Log'!$A:$A,"&gt;="&amp;$J1716,'Weekly Log'!$A:$A,"&lt;"&amp;$J1716+7)/SUMIFS('Weekly Log'!$E:$E,'Weekly Log'!$A:$A,"&gt;="&amp;$J1716,'Weekly Log'!$A:$A,"&lt;"&amp;$J1716+7),0))</f>
        <v/>
      </c>
      <c r="G1716" t="str">
        <f>IF($J1716="","",IFERROR(LOOKUP(2,1/(('Weekly Log'!$A$5:$A$5000&gt;=$J1716)*('Weekly Log'!$A$5:$A$5000&lt;$J1716+7)*('Weekly Log'!$M$5:$M$5000&lt;&gt;"")),'Weekly Log'!$M$5:$M$5000),0))</f>
        <v/>
      </c>
      <c r="J1716" t="str">
        <f>IF(COUNT('Weekly Log'!$A$5:$A$5000)=0,"",IF(MIN('Weekly Log'!$A$5:$A$5000)+7*(ROW()-10)&gt;MAX('Weekly Log'!$A$5:$A$5000),"",MIN('Weekly Log'!$A$5:$A$5000)+7*(ROW()-10)))</f>
        <v/>
      </c>
    </row>
    <row r="1717" spans="1:10" x14ac:dyDescent="0.25">
      <c r="A1717" t="str">
        <f t="shared" si="26"/>
        <v/>
      </c>
      <c r="B1717" t="str">
        <f>IF($J1717="","",SUMIFS('Weekly Log'!$C:$C,'Weekly Log'!$A:$A,"&gt;="&amp;$J1717,'Weekly Log'!$A:$A,"&lt;"&amp;$J1717+7))</f>
        <v/>
      </c>
      <c r="C1717" t="str">
        <f>IF($J1717="","",IFERROR(COUNTIFS('Weekly Log'!$G:$G,"Y",'Weekly Log'!$A:$A,"&gt;="&amp;$J1717,'Weekly Log'!$A:$A,"&lt;"&amp;$J1717+7)/COUNTIFS('Weekly Log'!$G:$G,"&lt;&gt;",'Weekly Log'!$A:$A,"&gt;="&amp;$J1717,'Weekly Log'!$A:$A,"&lt;"&amp;$J1717+7),0))</f>
        <v/>
      </c>
      <c r="D1717" t="str">
        <f>IF($J1717="","",IFERROR(COUNTIFS('Weekly Log'!$H:$H,"Y",'Weekly Log'!$A:$A,"&gt;="&amp;$J1717,'Weekly Log'!$A:$A,"&lt;"&amp;$J1717+7)/COUNTIFS('Weekly Log'!$H:$H,"&lt;&gt;",'Weekly Log'!$A:$A,"&gt;="&amp;$J1717,'Weekly Log'!$A:$A,"&lt;"&amp;$J1717+7),0))</f>
        <v/>
      </c>
      <c r="E1717" t="str">
        <f>IF($J1717="","",IFERROR(AVERAGEIFS('Weekly Log'!$F:$F,'Weekly Log'!$A:$A,"&gt;="&amp;$J1717,'Weekly Log'!$A:$A,"&lt;"&amp;$J1717+7),0))</f>
        <v/>
      </c>
      <c r="F1717" t="str">
        <f>IF($J1717="","",IFERROR(SUMIFS('Weekly Log'!$F:$F,'Weekly Log'!$A:$A,"&gt;="&amp;$J1717,'Weekly Log'!$A:$A,"&lt;"&amp;$J1717+7)/SUMIFS('Weekly Log'!$E:$E,'Weekly Log'!$A:$A,"&gt;="&amp;$J1717,'Weekly Log'!$A:$A,"&lt;"&amp;$J1717+7),0))</f>
        <v/>
      </c>
      <c r="G1717" t="str">
        <f>IF($J1717="","",IFERROR(LOOKUP(2,1/(('Weekly Log'!$A$5:$A$5000&gt;=$J1717)*('Weekly Log'!$A$5:$A$5000&lt;$J1717+7)*('Weekly Log'!$M$5:$M$5000&lt;&gt;"")),'Weekly Log'!$M$5:$M$5000),0))</f>
        <v/>
      </c>
      <c r="J1717" t="str">
        <f>IF(COUNT('Weekly Log'!$A$5:$A$5000)=0,"",IF(MIN('Weekly Log'!$A$5:$A$5000)+7*(ROW()-10)&gt;MAX('Weekly Log'!$A$5:$A$5000),"",MIN('Weekly Log'!$A$5:$A$5000)+7*(ROW()-10)))</f>
        <v/>
      </c>
    </row>
    <row r="1718" spans="1:10" x14ac:dyDescent="0.25">
      <c r="A1718" t="str">
        <f t="shared" si="26"/>
        <v/>
      </c>
      <c r="B1718" t="str">
        <f>IF($J1718="","",SUMIFS('Weekly Log'!$C:$C,'Weekly Log'!$A:$A,"&gt;="&amp;$J1718,'Weekly Log'!$A:$A,"&lt;"&amp;$J1718+7))</f>
        <v/>
      </c>
      <c r="C1718" t="str">
        <f>IF($J1718="","",IFERROR(COUNTIFS('Weekly Log'!$G:$G,"Y",'Weekly Log'!$A:$A,"&gt;="&amp;$J1718,'Weekly Log'!$A:$A,"&lt;"&amp;$J1718+7)/COUNTIFS('Weekly Log'!$G:$G,"&lt;&gt;",'Weekly Log'!$A:$A,"&gt;="&amp;$J1718,'Weekly Log'!$A:$A,"&lt;"&amp;$J1718+7),0))</f>
        <v/>
      </c>
      <c r="D1718" t="str">
        <f>IF($J1718="","",IFERROR(COUNTIFS('Weekly Log'!$H:$H,"Y",'Weekly Log'!$A:$A,"&gt;="&amp;$J1718,'Weekly Log'!$A:$A,"&lt;"&amp;$J1718+7)/COUNTIFS('Weekly Log'!$H:$H,"&lt;&gt;",'Weekly Log'!$A:$A,"&gt;="&amp;$J1718,'Weekly Log'!$A:$A,"&lt;"&amp;$J1718+7),0))</f>
        <v/>
      </c>
      <c r="E1718" t="str">
        <f>IF($J1718="","",IFERROR(AVERAGEIFS('Weekly Log'!$F:$F,'Weekly Log'!$A:$A,"&gt;="&amp;$J1718,'Weekly Log'!$A:$A,"&lt;"&amp;$J1718+7),0))</f>
        <v/>
      </c>
      <c r="F1718" t="str">
        <f>IF($J1718="","",IFERROR(SUMIFS('Weekly Log'!$F:$F,'Weekly Log'!$A:$A,"&gt;="&amp;$J1718,'Weekly Log'!$A:$A,"&lt;"&amp;$J1718+7)/SUMIFS('Weekly Log'!$E:$E,'Weekly Log'!$A:$A,"&gt;="&amp;$J1718,'Weekly Log'!$A:$A,"&lt;"&amp;$J1718+7),0))</f>
        <v/>
      </c>
      <c r="G1718" t="str">
        <f>IF($J1718="","",IFERROR(LOOKUP(2,1/(('Weekly Log'!$A$5:$A$5000&gt;=$J1718)*('Weekly Log'!$A$5:$A$5000&lt;$J1718+7)*('Weekly Log'!$M$5:$M$5000&lt;&gt;"")),'Weekly Log'!$M$5:$M$5000),0))</f>
        <v/>
      </c>
      <c r="J1718" t="str">
        <f>IF(COUNT('Weekly Log'!$A$5:$A$5000)=0,"",IF(MIN('Weekly Log'!$A$5:$A$5000)+7*(ROW()-10)&gt;MAX('Weekly Log'!$A$5:$A$5000),"",MIN('Weekly Log'!$A$5:$A$5000)+7*(ROW()-10)))</f>
        <v/>
      </c>
    </row>
    <row r="1719" spans="1:10" x14ac:dyDescent="0.25">
      <c r="A1719" t="str">
        <f t="shared" si="26"/>
        <v/>
      </c>
      <c r="B1719" t="str">
        <f>IF($J1719="","",SUMIFS('Weekly Log'!$C:$C,'Weekly Log'!$A:$A,"&gt;="&amp;$J1719,'Weekly Log'!$A:$A,"&lt;"&amp;$J1719+7))</f>
        <v/>
      </c>
      <c r="C1719" t="str">
        <f>IF($J1719="","",IFERROR(COUNTIFS('Weekly Log'!$G:$G,"Y",'Weekly Log'!$A:$A,"&gt;="&amp;$J1719,'Weekly Log'!$A:$A,"&lt;"&amp;$J1719+7)/COUNTIFS('Weekly Log'!$G:$G,"&lt;&gt;",'Weekly Log'!$A:$A,"&gt;="&amp;$J1719,'Weekly Log'!$A:$A,"&lt;"&amp;$J1719+7),0))</f>
        <v/>
      </c>
      <c r="D1719" t="str">
        <f>IF($J1719="","",IFERROR(COUNTIFS('Weekly Log'!$H:$H,"Y",'Weekly Log'!$A:$A,"&gt;="&amp;$J1719,'Weekly Log'!$A:$A,"&lt;"&amp;$J1719+7)/COUNTIFS('Weekly Log'!$H:$H,"&lt;&gt;",'Weekly Log'!$A:$A,"&gt;="&amp;$J1719,'Weekly Log'!$A:$A,"&lt;"&amp;$J1719+7),0))</f>
        <v/>
      </c>
      <c r="E1719" t="str">
        <f>IF($J1719="","",IFERROR(AVERAGEIFS('Weekly Log'!$F:$F,'Weekly Log'!$A:$A,"&gt;="&amp;$J1719,'Weekly Log'!$A:$A,"&lt;"&amp;$J1719+7),0))</f>
        <v/>
      </c>
      <c r="F1719" t="str">
        <f>IF($J1719="","",IFERROR(SUMIFS('Weekly Log'!$F:$F,'Weekly Log'!$A:$A,"&gt;="&amp;$J1719,'Weekly Log'!$A:$A,"&lt;"&amp;$J1719+7)/SUMIFS('Weekly Log'!$E:$E,'Weekly Log'!$A:$A,"&gt;="&amp;$J1719,'Weekly Log'!$A:$A,"&lt;"&amp;$J1719+7),0))</f>
        <v/>
      </c>
      <c r="G1719" t="str">
        <f>IF($J1719="","",IFERROR(LOOKUP(2,1/(('Weekly Log'!$A$5:$A$5000&gt;=$J1719)*('Weekly Log'!$A$5:$A$5000&lt;$J1719+7)*('Weekly Log'!$M$5:$M$5000&lt;&gt;"")),'Weekly Log'!$M$5:$M$5000),0))</f>
        <v/>
      </c>
      <c r="J1719" t="str">
        <f>IF(COUNT('Weekly Log'!$A$5:$A$5000)=0,"",IF(MIN('Weekly Log'!$A$5:$A$5000)+7*(ROW()-10)&gt;MAX('Weekly Log'!$A$5:$A$5000),"",MIN('Weekly Log'!$A$5:$A$5000)+7*(ROW()-10)))</f>
        <v/>
      </c>
    </row>
    <row r="1720" spans="1:10" x14ac:dyDescent="0.25">
      <c r="A1720" t="str">
        <f t="shared" si="26"/>
        <v/>
      </c>
      <c r="B1720" t="str">
        <f>IF($J1720="","",SUMIFS('Weekly Log'!$C:$C,'Weekly Log'!$A:$A,"&gt;="&amp;$J1720,'Weekly Log'!$A:$A,"&lt;"&amp;$J1720+7))</f>
        <v/>
      </c>
      <c r="C1720" t="str">
        <f>IF($J1720="","",IFERROR(COUNTIFS('Weekly Log'!$G:$G,"Y",'Weekly Log'!$A:$A,"&gt;="&amp;$J1720,'Weekly Log'!$A:$A,"&lt;"&amp;$J1720+7)/COUNTIFS('Weekly Log'!$G:$G,"&lt;&gt;",'Weekly Log'!$A:$A,"&gt;="&amp;$J1720,'Weekly Log'!$A:$A,"&lt;"&amp;$J1720+7),0))</f>
        <v/>
      </c>
      <c r="D1720" t="str">
        <f>IF($J1720="","",IFERROR(COUNTIFS('Weekly Log'!$H:$H,"Y",'Weekly Log'!$A:$A,"&gt;="&amp;$J1720,'Weekly Log'!$A:$A,"&lt;"&amp;$J1720+7)/COUNTIFS('Weekly Log'!$H:$H,"&lt;&gt;",'Weekly Log'!$A:$A,"&gt;="&amp;$J1720,'Weekly Log'!$A:$A,"&lt;"&amp;$J1720+7),0))</f>
        <v/>
      </c>
      <c r="E1720" t="str">
        <f>IF($J1720="","",IFERROR(AVERAGEIFS('Weekly Log'!$F:$F,'Weekly Log'!$A:$A,"&gt;="&amp;$J1720,'Weekly Log'!$A:$A,"&lt;"&amp;$J1720+7),0))</f>
        <v/>
      </c>
      <c r="F1720" t="str">
        <f>IF($J1720="","",IFERROR(SUMIFS('Weekly Log'!$F:$F,'Weekly Log'!$A:$A,"&gt;="&amp;$J1720,'Weekly Log'!$A:$A,"&lt;"&amp;$J1720+7)/SUMIFS('Weekly Log'!$E:$E,'Weekly Log'!$A:$A,"&gt;="&amp;$J1720,'Weekly Log'!$A:$A,"&lt;"&amp;$J1720+7),0))</f>
        <v/>
      </c>
      <c r="G1720" t="str">
        <f>IF($J1720="","",IFERROR(LOOKUP(2,1/(('Weekly Log'!$A$5:$A$5000&gt;=$J1720)*('Weekly Log'!$A$5:$A$5000&lt;$J1720+7)*('Weekly Log'!$M$5:$M$5000&lt;&gt;"")),'Weekly Log'!$M$5:$M$5000),0))</f>
        <v/>
      </c>
      <c r="J1720" t="str">
        <f>IF(COUNT('Weekly Log'!$A$5:$A$5000)=0,"",IF(MIN('Weekly Log'!$A$5:$A$5000)+7*(ROW()-10)&gt;MAX('Weekly Log'!$A$5:$A$5000),"",MIN('Weekly Log'!$A$5:$A$5000)+7*(ROW()-10)))</f>
        <v/>
      </c>
    </row>
    <row r="1721" spans="1:10" x14ac:dyDescent="0.25">
      <c r="A1721" t="str">
        <f t="shared" si="26"/>
        <v/>
      </c>
      <c r="B1721" t="str">
        <f>IF($J1721="","",SUMIFS('Weekly Log'!$C:$C,'Weekly Log'!$A:$A,"&gt;="&amp;$J1721,'Weekly Log'!$A:$A,"&lt;"&amp;$J1721+7))</f>
        <v/>
      </c>
      <c r="C1721" t="str">
        <f>IF($J1721="","",IFERROR(COUNTIFS('Weekly Log'!$G:$G,"Y",'Weekly Log'!$A:$A,"&gt;="&amp;$J1721,'Weekly Log'!$A:$A,"&lt;"&amp;$J1721+7)/COUNTIFS('Weekly Log'!$G:$G,"&lt;&gt;",'Weekly Log'!$A:$A,"&gt;="&amp;$J1721,'Weekly Log'!$A:$A,"&lt;"&amp;$J1721+7),0))</f>
        <v/>
      </c>
      <c r="D1721" t="str">
        <f>IF($J1721="","",IFERROR(COUNTIFS('Weekly Log'!$H:$H,"Y",'Weekly Log'!$A:$A,"&gt;="&amp;$J1721,'Weekly Log'!$A:$A,"&lt;"&amp;$J1721+7)/COUNTIFS('Weekly Log'!$H:$H,"&lt;&gt;",'Weekly Log'!$A:$A,"&gt;="&amp;$J1721,'Weekly Log'!$A:$A,"&lt;"&amp;$J1721+7),0))</f>
        <v/>
      </c>
      <c r="E1721" t="str">
        <f>IF($J1721="","",IFERROR(AVERAGEIFS('Weekly Log'!$F:$F,'Weekly Log'!$A:$A,"&gt;="&amp;$J1721,'Weekly Log'!$A:$A,"&lt;"&amp;$J1721+7),0))</f>
        <v/>
      </c>
      <c r="F1721" t="str">
        <f>IF($J1721="","",IFERROR(SUMIFS('Weekly Log'!$F:$F,'Weekly Log'!$A:$A,"&gt;="&amp;$J1721,'Weekly Log'!$A:$A,"&lt;"&amp;$J1721+7)/SUMIFS('Weekly Log'!$E:$E,'Weekly Log'!$A:$A,"&gt;="&amp;$J1721,'Weekly Log'!$A:$A,"&lt;"&amp;$J1721+7),0))</f>
        <v/>
      </c>
      <c r="G1721" t="str">
        <f>IF($J1721="","",IFERROR(LOOKUP(2,1/(('Weekly Log'!$A$5:$A$5000&gt;=$J1721)*('Weekly Log'!$A$5:$A$5000&lt;$J1721+7)*('Weekly Log'!$M$5:$M$5000&lt;&gt;"")),'Weekly Log'!$M$5:$M$5000),0))</f>
        <v/>
      </c>
      <c r="J1721" t="str">
        <f>IF(COUNT('Weekly Log'!$A$5:$A$5000)=0,"",IF(MIN('Weekly Log'!$A$5:$A$5000)+7*(ROW()-10)&gt;MAX('Weekly Log'!$A$5:$A$5000),"",MIN('Weekly Log'!$A$5:$A$5000)+7*(ROW()-10)))</f>
        <v/>
      </c>
    </row>
    <row r="1722" spans="1:10" x14ac:dyDescent="0.25">
      <c r="A1722" t="str">
        <f t="shared" si="26"/>
        <v/>
      </c>
      <c r="B1722" t="str">
        <f>IF($J1722="","",SUMIFS('Weekly Log'!$C:$C,'Weekly Log'!$A:$A,"&gt;="&amp;$J1722,'Weekly Log'!$A:$A,"&lt;"&amp;$J1722+7))</f>
        <v/>
      </c>
      <c r="C1722" t="str">
        <f>IF($J1722="","",IFERROR(COUNTIFS('Weekly Log'!$G:$G,"Y",'Weekly Log'!$A:$A,"&gt;="&amp;$J1722,'Weekly Log'!$A:$A,"&lt;"&amp;$J1722+7)/COUNTIFS('Weekly Log'!$G:$G,"&lt;&gt;",'Weekly Log'!$A:$A,"&gt;="&amp;$J1722,'Weekly Log'!$A:$A,"&lt;"&amp;$J1722+7),0))</f>
        <v/>
      </c>
      <c r="D1722" t="str">
        <f>IF($J1722="","",IFERROR(COUNTIFS('Weekly Log'!$H:$H,"Y",'Weekly Log'!$A:$A,"&gt;="&amp;$J1722,'Weekly Log'!$A:$A,"&lt;"&amp;$J1722+7)/COUNTIFS('Weekly Log'!$H:$H,"&lt;&gt;",'Weekly Log'!$A:$A,"&gt;="&amp;$J1722,'Weekly Log'!$A:$A,"&lt;"&amp;$J1722+7),0))</f>
        <v/>
      </c>
      <c r="E1722" t="str">
        <f>IF($J1722="","",IFERROR(AVERAGEIFS('Weekly Log'!$F:$F,'Weekly Log'!$A:$A,"&gt;="&amp;$J1722,'Weekly Log'!$A:$A,"&lt;"&amp;$J1722+7),0))</f>
        <v/>
      </c>
      <c r="F1722" t="str">
        <f>IF($J1722="","",IFERROR(SUMIFS('Weekly Log'!$F:$F,'Weekly Log'!$A:$A,"&gt;="&amp;$J1722,'Weekly Log'!$A:$A,"&lt;"&amp;$J1722+7)/SUMIFS('Weekly Log'!$E:$E,'Weekly Log'!$A:$A,"&gt;="&amp;$J1722,'Weekly Log'!$A:$A,"&lt;"&amp;$J1722+7),0))</f>
        <v/>
      </c>
      <c r="G1722" t="str">
        <f>IF($J1722="","",IFERROR(LOOKUP(2,1/(('Weekly Log'!$A$5:$A$5000&gt;=$J1722)*('Weekly Log'!$A$5:$A$5000&lt;$J1722+7)*('Weekly Log'!$M$5:$M$5000&lt;&gt;"")),'Weekly Log'!$M$5:$M$5000),0))</f>
        <v/>
      </c>
      <c r="J1722" t="str">
        <f>IF(COUNT('Weekly Log'!$A$5:$A$5000)=0,"",IF(MIN('Weekly Log'!$A$5:$A$5000)+7*(ROW()-10)&gt;MAX('Weekly Log'!$A$5:$A$5000),"",MIN('Weekly Log'!$A$5:$A$5000)+7*(ROW()-10)))</f>
        <v/>
      </c>
    </row>
    <row r="1723" spans="1:10" x14ac:dyDescent="0.25">
      <c r="A1723" t="str">
        <f t="shared" si="26"/>
        <v/>
      </c>
      <c r="B1723" t="str">
        <f>IF($J1723="","",SUMIFS('Weekly Log'!$C:$C,'Weekly Log'!$A:$A,"&gt;="&amp;$J1723,'Weekly Log'!$A:$A,"&lt;"&amp;$J1723+7))</f>
        <v/>
      </c>
      <c r="C1723" t="str">
        <f>IF($J1723="","",IFERROR(COUNTIFS('Weekly Log'!$G:$G,"Y",'Weekly Log'!$A:$A,"&gt;="&amp;$J1723,'Weekly Log'!$A:$A,"&lt;"&amp;$J1723+7)/COUNTIFS('Weekly Log'!$G:$G,"&lt;&gt;",'Weekly Log'!$A:$A,"&gt;="&amp;$J1723,'Weekly Log'!$A:$A,"&lt;"&amp;$J1723+7),0))</f>
        <v/>
      </c>
      <c r="D1723" t="str">
        <f>IF($J1723="","",IFERROR(COUNTIFS('Weekly Log'!$H:$H,"Y",'Weekly Log'!$A:$A,"&gt;="&amp;$J1723,'Weekly Log'!$A:$A,"&lt;"&amp;$J1723+7)/COUNTIFS('Weekly Log'!$H:$H,"&lt;&gt;",'Weekly Log'!$A:$A,"&gt;="&amp;$J1723,'Weekly Log'!$A:$A,"&lt;"&amp;$J1723+7),0))</f>
        <v/>
      </c>
      <c r="E1723" t="str">
        <f>IF($J1723="","",IFERROR(AVERAGEIFS('Weekly Log'!$F:$F,'Weekly Log'!$A:$A,"&gt;="&amp;$J1723,'Weekly Log'!$A:$A,"&lt;"&amp;$J1723+7),0))</f>
        <v/>
      </c>
      <c r="F1723" t="str">
        <f>IF($J1723="","",IFERROR(SUMIFS('Weekly Log'!$F:$F,'Weekly Log'!$A:$A,"&gt;="&amp;$J1723,'Weekly Log'!$A:$A,"&lt;"&amp;$J1723+7)/SUMIFS('Weekly Log'!$E:$E,'Weekly Log'!$A:$A,"&gt;="&amp;$J1723,'Weekly Log'!$A:$A,"&lt;"&amp;$J1723+7),0))</f>
        <v/>
      </c>
      <c r="G1723" t="str">
        <f>IF($J1723="","",IFERROR(LOOKUP(2,1/(('Weekly Log'!$A$5:$A$5000&gt;=$J1723)*('Weekly Log'!$A$5:$A$5000&lt;$J1723+7)*('Weekly Log'!$M$5:$M$5000&lt;&gt;"")),'Weekly Log'!$M$5:$M$5000),0))</f>
        <v/>
      </c>
      <c r="J1723" t="str">
        <f>IF(COUNT('Weekly Log'!$A$5:$A$5000)=0,"",IF(MIN('Weekly Log'!$A$5:$A$5000)+7*(ROW()-10)&gt;MAX('Weekly Log'!$A$5:$A$5000),"",MIN('Weekly Log'!$A$5:$A$5000)+7*(ROW()-10)))</f>
        <v/>
      </c>
    </row>
    <row r="1724" spans="1:10" x14ac:dyDescent="0.25">
      <c r="A1724" t="str">
        <f t="shared" si="26"/>
        <v/>
      </c>
      <c r="B1724" t="str">
        <f>IF($J1724="","",SUMIFS('Weekly Log'!$C:$C,'Weekly Log'!$A:$A,"&gt;="&amp;$J1724,'Weekly Log'!$A:$A,"&lt;"&amp;$J1724+7))</f>
        <v/>
      </c>
      <c r="C1724" t="str">
        <f>IF($J1724="","",IFERROR(COUNTIFS('Weekly Log'!$G:$G,"Y",'Weekly Log'!$A:$A,"&gt;="&amp;$J1724,'Weekly Log'!$A:$A,"&lt;"&amp;$J1724+7)/COUNTIFS('Weekly Log'!$G:$G,"&lt;&gt;",'Weekly Log'!$A:$A,"&gt;="&amp;$J1724,'Weekly Log'!$A:$A,"&lt;"&amp;$J1724+7),0))</f>
        <v/>
      </c>
      <c r="D1724" t="str">
        <f>IF($J1724="","",IFERROR(COUNTIFS('Weekly Log'!$H:$H,"Y",'Weekly Log'!$A:$A,"&gt;="&amp;$J1724,'Weekly Log'!$A:$A,"&lt;"&amp;$J1724+7)/COUNTIFS('Weekly Log'!$H:$H,"&lt;&gt;",'Weekly Log'!$A:$A,"&gt;="&amp;$J1724,'Weekly Log'!$A:$A,"&lt;"&amp;$J1724+7),0))</f>
        <v/>
      </c>
      <c r="E1724" t="str">
        <f>IF($J1724="","",IFERROR(AVERAGEIFS('Weekly Log'!$F:$F,'Weekly Log'!$A:$A,"&gt;="&amp;$J1724,'Weekly Log'!$A:$A,"&lt;"&amp;$J1724+7),0))</f>
        <v/>
      </c>
      <c r="F1724" t="str">
        <f>IF($J1724="","",IFERROR(SUMIFS('Weekly Log'!$F:$F,'Weekly Log'!$A:$A,"&gt;="&amp;$J1724,'Weekly Log'!$A:$A,"&lt;"&amp;$J1724+7)/SUMIFS('Weekly Log'!$E:$E,'Weekly Log'!$A:$A,"&gt;="&amp;$J1724,'Weekly Log'!$A:$A,"&lt;"&amp;$J1724+7),0))</f>
        <v/>
      </c>
      <c r="G1724" t="str">
        <f>IF($J1724="","",IFERROR(LOOKUP(2,1/(('Weekly Log'!$A$5:$A$5000&gt;=$J1724)*('Weekly Log'!$A$5:$A$5000&lt;$J1724+7)*('Weekly Log'!$M$5:$M$5000&lt;&gt;"")),'Weekly Log'!$M$5:$M$5000),0))</f>
        <v/>
      </c>
      <c r="J1724" t="str">
        <f>IF(COUNT('Weekly Log'!$A$5:$A$5000)=0,"",IF(MIN('Weekly Log'!$A$5:$A$5000)+7*(ROW()-10)&gt;MAX('Weekly Log'!$A$5:$A$5000),"",MIN('Weekly Log'!$A$5:$A$5000)+7*(ROW()-10)))</f>
        <v/>
      </c>
    </row>
    <row r="1725" spans="1:10" x14ac:dyDescent="0.25">
      <c r="A1725" t="str">
        <f t="shared" si="26"/>
        <v/>
      </c>
      <c r="B1725" t="str">
        <f>IF($J1725="","",SUMIFS('Weekly Log'!$C:$C,'Weekly Log'!$A:$A,"&gt;="&amp;$J1725,'Weekly Log'!$A:$A,"&lt;"&amp;$J1725+7))</f>
        <v/>
      </c>
      <c r="C1725" t="str">
        <f>IF($J1725="","",IFERROR(COUNTIFS('Weekly Log'!$G:$G,"Y",'Weekly Log'!$A:$A,"&gt;="&amp;$J1725,'Weekly Log'!$A:$A,"&lt;"&amp;$J1725+7)/COUNTIFS('Weekly Log'!$G:$G,"&lt;&gt;",'Weekly Log'!$A:$A,"&gt;="&amp;$J1725,'Weekly Log'!$A:$A,"&lt;"&amp;$J1725+7),0))</f>
        <v/>
      </c>
      <c r="D1725" t="str">
        <f>IF($J1725="","",IFERROR(COUNTIFS('Weekly Log'!$H:$H,"Y",'Weekly Log'!$A:$A,"&gt;="&amp;$J1725,'Weekly Log'!$A:$A,"&lt;"&amp;$J1725+7)/COUNTIFS('Weekly Log'!$H:$H,"&lt;&gt;",'Weekly Log'!$A:$A,"&gt;="&amp;$J1725,'Weekly Log'!$A:$A,"&lt;"&amp;$J1725+7),0))</f>
        <v/>
      </c>
      <c r="E1725" t="str">
        <f>IF($J1725="","",IFERROR(AVERAGEIFS('Weekly Log'!$F:$F,'Weekly Log'!$A:$A,"&gt;="&amp;$J1725,'Weekly Log'!$A:$A,"&lt;"&amp;$J1725+7),0))</f>
        <v/>
      </c>
      <c r="F1725" t="str">
        <f>IF($J1725="","",IFERROR(SUMIFS('Weekly Log'!$F:$F,'Weekly Log'!$A:$A,"&gt;="&amp;$J1725,'Weekly Log'!$A:$A,"&lt;"&amp;$J1725+7)/SUMIFS('Weekly Log'!$E:$E,'Weekly Log'!$A:$A,"&gt;="&amp;$J1725,'Weekly Log'!$A:$A,"&lt;"&amp;$J1725+7),0))</f>
        <v/>
      </c>
      <c r="G1725" t="str">
        <f>IF($J1725="","",IFERROR(LOOKUP(2,1/(('Weekly Log'!$A$5:$A$5000&gt;=$J1725)*('Weekly Log'!$A$5:$A$5000&lt;$J1725+7)*('Weekly Log'!$M$5:$M$5000&lt;&gt;"")),'Weekly Log'!$M$5:$M$5000),0))</f>
        <v/>
      </c>
      <c r="J1725" t="str">
        <f>IF(COUNT('Weekly Log'!$A$5:$A$5000)=0,"",IF(MIN('Weekly Log'!$A$5:$A$5000)+7*(ROW()-10)&gt;MAX('Weekly Log'!$A$5:$A$5000),"",MIN('Weekly Log'!$A$5:$A$5000)+7*(ROW()-10)))</f>
        <v/>
      </c>
    </row>
    <row r="1726" spans="1:10" x14ac:dyDescent="0.25">
      <c r="A1726" t="str">
        <f t="shared" si="26"/>
        <v/>
      </c>
      <c r="B1726" t="str">
        <f>IF($J1726="","",SUMIFS('Weekly Log'!$C:$C,'Weekly Log'!$A:$A,"&gt;="&amp;$J1726,'Weekly Log'!$A:$A,"&lt;"&amp;$J1726+7))</f>
        <v/>
      </c>
      <c r="C1726" t="str">
        <f>IF($J1726="","",IFERROR(COUNTIFS('Weekly Log'!$G:$G,"Y",'Weekly Log'!$A:$A,"&gt;="&amp;$J1726,'Weekly Log'!$A:$A,"&lt;"&amp;$J1726+7)/COUNTIFS('Weekly Log'!$G:$G,"&lt;&gt;",'Weekly Log'!$A:$A,"&gt;="&amp;$J1726,'Weekly Log'!$A:$A,"&lt;"&amp;$J1726+7),0))</f>
        <v/>
      </c>
      <c r="D1726" t="str">
        <f>IF($J1726="","",IFERROR(COUNTIFS('Weekly Log'!$H:$H,"Y",'Weekly Log'!$A:$A,"&gt;="&amp;$J1726,'Weekly Log'!$A:$A,"&lt;"&amp;$J1726+7)/COUNTIFS('Weekly Log'!$H:$H,"&lt;&gt;",'Weekly Log'!$A:$A,"&gt;="&amp;$J1726,'Weekly Log'!$A:$A,"&lt;"&amp;$J1726+7),0))</f>
        <v/>
      </c>
      <c r="E1726" t="str">
        <f>IF($J1726="","",IFERROR(AVERAGEIFS('Weekly Log'!$F:$F,'Weekly Log'!$A:$A,"&gt;="&amp;$J1726,'Weekly Log'!$A:$A,"&lt;"&amp;$J1726+7),0))</f>
        <v/>
      </c>
      <c r="F1726" t="str">
        <f>IF($J1726="","",IFERROR(SUMIFS('Weekly Log'!$F:$F,'Weekly Log'!$A:$A,"&gt;="&amp;$J1726,'Weekly Log'!$A:$A,"&lt;"&amp;$J1726+7)/SUMIFS('Weekly Log'!$E:$E,'Weekly Log'!$A:$A,"&gt;="&amp;$J1726,'Weekly Log'!$A:$A,"&lt;"&amp;$J1726+7),0))</f>
        <v/>
      </c>
      <c r="G1726" t="str">
        <f>IF($J1726="","",IFERROR(LOOKUP(2,1/(('Weekly Log'!$A$5:$A$5000&gt;=$J1726)*('Weekly Log'!$A$5:$A$5000&lt;$J1726+7)*('Weekly Log'!$M$5:$M$5000&lt;&gt;"")),'Weekly Log'!$M$5:$M$5000),0))</f>
        <v/>
      </c>
      <c r="J1726" t="str">
        <f>IF(COUNT('Weekly Log'!$A$5:$A$5000)=0,"",IF(MIN('Weekly Log'!$A$5:$A$5000)+7*(ROW()-10)&gt;MAX('Weekly Log'!$A$5:$A$5000),"",MIN('Weekly Log'!$A$5:$A$5000)+7*(ROW()-10)))</f>
        <v/>
      </c>
    </row>
    <row r="1727" spans="1:10" x14ac:dyDescent="0.25">
      <c r="A1727" t="str">
        <f t="shared" si="26"/>
        <v/>
      </c>
      <c r="B1727" t="str">
        <f>IF($J1727="","",SUMIFS('Weekly Log'!$C:$C,'Weekly Log'!$A:$A,"&gt;="&amp;$J1727,'Weekly Log'!$A:$A,"&lt;"&amp;$J1727+7))</f>
        <v/>
      </c>
      <c r="C1727" t="str">
        <f>IF($J1727="","",IFERROR(COUNTIFS('Weekly Log'!$G:$G,"Y",'Weekly Log'!$A:$A,"&gt;="&amp;$J1727,'Weekly Log'!$A:$A,"&lt;"&amp;$J1727+7)/COUNTIFS('Weekly Log'!$G:$G,"&lt;&gt;",'Weekly Log'!$A:$A,"&gt;="&amp;$J1727,'Weekly Log'!$A:$A,"&lt;"&amp;$J1727+7),0))</f>
        <v/>
      </c>
      <c r="D1727" t="str">
        <f>IF($J1727="","",IFERROR(COUNTIFS('Weekly Log'!$H:$H,"Y",'Weekly Log'!$A:$A,"&gt;="&amp;$J1727,'Weekly Log'!$A:$A,"&lt;"&amp;$J1727+7)/COUNTIFS('Weekly Log'!$H:$H,"&lt;&gt;",'Weekly Log'!$A:$A,"&gt;="&amp;$J1727,'Weekly Log'!$A:$A,"&lt;"&amp;$J1727+7),0))</f>
        <v/>
      </c>
      <c r="E1727" t="str">
        <f>IF($J1727="","",IFERROR(AVERAGEIFS('Weekly Log'!$F:$F,'Weekly Log'!$A:$A,"&gt;="&amp;$J1727,'Weekly Log'!$A:$A,"&lt;"&amp;$J1727+7),0))</f>
        <v/>
      </c>
      <c r="F1727" t="str">
        <f>IF($J1727="","",IFERROR(SUMIFS('Weekly Log'!$F:$F,'Weekly Log'!$A:$A,"&gt;="&amp;$J1727,'Weekly Log'!$A:$A,"&lt;"&amp;$J1727+7)/SUMIFS('Weekly Log'!$E:$E,'Weekly Log'!$A:$A,"&gt;="&amp;$J1727,'Weekly Log'!$A:$A,"&lt;"&amp;$J1727+7),0))</f>
        <v/>
      </c>
      <c r="G1727" t="str">
        <f>IF($J1727="","",IFERROR(LOOKUP(2,1/(('Weekly Log'!$A$5:$A$5000&gt;=$J1727)*('Weekly Log'!$A$5:$A$5000&lt;$J1727+7)*('Weekly Log'!$M$5:$M$5000&lt;&gt;"")),'Weekly Log'!$M$5:$M$5000),0))</f>
        <v/>
      </c>
      <c r="J1727" t="str">
        <f>IF(COUNT('Weekly Log'!$A$5:$A$5000)=0,"",IF(MIN('Weekly Log'!$A$5:$A$5000)+7*(ROW()-10)&gt;MAX('Weekly Log'!$A$5:$A$5000),"",MIN('Weekly Log'!$A$5:$A$5000)+7*(ROW()-10)))</f>
        <v/>
      </c>
    </row>
    <row r="1728" spans="1:10" x14ac:dyDescent="0.25">
      <c r="A1728" t="str">
        <f t="shared" si="26"/>
        <v/>
      </c>
      <c r="B1728" t="str">
        <f>IF($J1728="","",SUMIFS('Weekly Log'!$C:$C,'Weekly Log'!$A:$A,"&gt;="&amp;$J1728,'Weekly Log'!$A:$A,"&lt;"&amp;$J1728+7))</f>
        <v/>
      </c>
      <c r="C1728" t="str">
        <f>IF($J1728="","",IFERROR(COUNTIFS('Weekly Log'!$G:$G,"Y",'Weekly Log'!$A:$A,"&gt;="&amp;$J1728,'Weekly Log'!$A:$A,"&lt;"&amp;$J1728+7)/COUNTIFS('Weekly Log'!$G:$G,"&lt;&gt;",'Weekly Log'!$A:$A,"&gt;="&amp;$J1728,'Weekly Log'!$A:$A,"&lt;"&amp;$J1728+7),0))</f>
        <v/>
      </c>
      <c r="D1728" t="str">
        <f>IF($J1728="","",IFERROR(COUNTIFS('Weekly Log'!$H:$H,"Y",'Weekly Log'!$A:$A,"&gt;="&amp;$J1728,'Weekly Log'!$A:$A,"&lt;"&amp;$J1728+7)/COUNTIFS('Weekly Log'!$H:$H,"&lt;&gt;",'Weekly Log'!$A:$A,"&gt;="&amp;$J1728,'Weekly Log'!$A:$A,"&lt;"&amp;$J1728+7),0))</f>
        <v/>
      </c>
      <c r="E1728" t="str">
        <f>IF($J1728="","",IFERROR(AVERAGEIFS('Weekly Log'!$F:$F,'Weekly Log'!$A:$A,"&gt;="&amp;$J1728,'Weekly Log'!$A:$A,"&lt;"&amp;$J1728+7),0))</f>
        <v/>
      </c>
      <c r="F1728" t="str">
        <f>IF($J1728="","",IFERROR(SUMIFS('Weekly Log'!$F:$F,'Weekly Log'!$A:$A,"&gt;="&amp;$J1728,'Weekly Log'!$A:$A,"&lt;"&amp;$J1728+7)/SUMIFS('Weekly Log'!$E:$E,'Weekly Log'!$A:$A,"&gt;="&amp;$J1728,'Weekly Log'!$A:$A,"&lt;"&amp;$J1728+7),0))</f>
        <v/>
      </c>
      <c r="G1728" t="str">
        <f>IF($J1728="","",IFERROR(LOOKUP(2,1/(('Weekly Log'!$A$5:$A$5000&gt;=$J1728)*('Weekly Log'!$A$5:$A$5000&lt;$J1728+7)*('Weekly Log'!$M$5:$M$5000&lt;&gt;"")),'Weekly Log'!$M$5:$M$5000),0))</f>
        <v/>
      </c>
      <c r="J1728" t="str">
        <f>IF(COUNT('Weekly Log'!$A$5:$A$5000)=0,"",IF(MIN('Weekly Log'!$A$5:$A$5000)+7*(ROW()-10)&gt;MAX('Weekly Log'!$A$5:$A$5000),"",MIN('Weekly Log'!$A$5:$A$5000)+7*(ROW()-10)))</f>
        <v/>
      </c>
    </row>
    <row r="1729" spans="1:10" x14ac:dyDescent="0.25">
      <c r="A1729" t="str">
        <f t="shared" si="26"/>
        <v/>
      </c>
      <c r="B1729" t="str">
        <f>IF($J1729="","",SUMIFS('Weekly Log'!$C:$C,'Weekly Log'!$A:$A,"&gt;="&amp;$J1729,'Weekly Log'!$A:$A,"&lt;"&amp;$J1729+7))</f>
        <v/>
      </c>
      <c r="C1729" t="str">
        <f>IF($J1729="","",IFERROR(COUNTIFS('Weekly Log'!$G:$G,"Y",'Weekly Log'!$A:$A,"&gt;="&amp;$J1729,'Weekly Log'!$A:$A,"&lt;"&amp;$J1729+7)/COUNTIFS('Weekly Log'!$G:$G,"&lt;&gt;",'Weekly Log'!$A:$A,"&gt;="&amp;$J1729,'Weekly Log'!$A:$A,"&lt;"&amp;$J1729+7),0))</f>
        <v/>
      </c>
      <c r="D1729" t="str">
        <f>IF($J1729="","",IFERROR(COUNTIFS('Weekly Log'!$H:$H,"Y",'Weekly Log'!$A:$A,"&gt;="&amp;$J1729,'Weekly Log'!$A:$A,"&lt;"&amp;$J1729+7)/COUNTIFS('Weekly Log'!$H:$H,"&lt;&gt;",'Weekly Log'!$A:$A,"&gt;="&amp;$J1729,'Weekly Log'!$A:$A,"&lt;"&amp;$J1729+7),0))</f>
        <v/>
      </c>
      <c r="E1729" t="str">
        <f>IF($J1729="","",IFERROR(AVERAGEIFS('Weekly Log'!$F:$F,'Weekly Log'!$A:$A,"&gt;="&amp;$J1729,'Weekly Log'!$A:$A,"&lt;"&amp;$J1729+7),0))</f>
        <v/>
      </c>
      <c r="F1729" t="str">
        <f>IF($J1729="","",IFERROR(SUMIFS('Weekly Log'!$F:$F,'Weekly Log'!$A:$A,"&gt;="&amp;$J1729,'Weekly Log'!$A:$A,"&lt;"&amp;$J1729+7)/SUMIFS('Weekly Log'!$E:$E,'Weekly Log'!$A:$A,"&gt;="&amp;$J1729,'Weekly Log'!$A:$A,"&lt;"&amp;$J1729+7),0))</f>
        <v/>
      </c>
      <c r="G1729" t="str">
        <f>IF($J1729="","",IFERROR(LOOKUP(2,1/(('Weekly Log'!$A$5:$A$5000&gt;=$J1729)*('Weekly Log'!$A$5:$A$5000&lt;$J1729+7)*('Weekly Log'!$M$5:$M$5000&lt;&gt;"")),'Weekly Log'!$M$5:$M$5000),0))</f>
        <v/>
      </c>
      <c r="J1729" t="str">
        <f>IF(COUNT('Weekly Log'!$A$5:$A$5000)=0,"",IF(MIN('Weekly Log'!$A$5:$A$5000)+7*(ROW()-10)&gt;MAX('Weekly Log'!$A$5:$A$5000),"",MIN('Weekly Log'!$A$5:$A$5000)+7*(ROW()-10)))</f>
        <v/>
      </c>
    </row>
    <row r="1730" spans="1:10" x14ac:dyDescent="0.25">
      <c r="A1730" t="str">
        <f t="shared" si="26"/>
        <v/>
      </c>
      <c r="B1730" t="str">
        <f>IF($J1730="","",SUMIFS('Weekly Log'!$C:$C,'Weekly Log'!$A:$A,"&gt;="&amp;$J1730,'Weekly Log'!$A:$A,"&lt;"&amp;$J1730+7))</f>
        <v/>
      </c>
      <c r="C1730" t="str">
        <f>IF($J1730="","",IFERROR(COUNTIFS('Weekly Log'!$G:$G,"Y",'Weekly Log'!$A:$A,"&gt;="&amp;$J1730,'Weekly Log'!$A:$A,"&lt;"&amp;$J1730+7)/COUNTIFS('Weekly Log'!$G:$G,"&lt;&gt;",'Weekly Log'!$A:$A,"&gt;="&amp;$J1730,'Weekly Log'!$A:$A,"&lt;"&amp;$J1730+7),0))</f>
        <v/>
      </c>
      <c r="D1730" t="str">
        <f>IF($J1730="","",IFERROR(COUNTIFS('Weekly Log'!$H:$H,"Y",'Weekly Log'!$A:$A,"&gt;="&amp;$J1730,'Weekly Log'!$A:$A,"&lt;"&amp;$J1730+7)/COUNTIFS('Weekly Log'!$H:$H,"&lt;&gt;",'Weekly Log'!$A:$A,"&gt;="&amp;$J1730,'Weekly Log'!$A:$A,"&lt;"&amp;$J1730+7),0))</f>
        <v/>
      </c>
      <c r="E1730" t="str">
        <f>IF($J1730="","",IFERROR(AVERAGEIFS('Weekly Log'!$F:$F,'Weekly Log'!$A:$A,"&gt;="&amp;$J1730,'Weekly Log'!$A:$A,"&lt;"&amp;$J1730+7),0))</f>
        <v/>
      </c>
      <c r="F1730" t="str">
        <f>IF($J1730="","",IFERROR(SUMIFS('Weekly Log'!$F:$F,'Weekly Log'!$A:$A,"&gt;="&amp;$J1730,'Weekly Log'!$A:$A,"&lt;"&amp;$J1730+7)/SUMIFS('Weekly Log'!$E:$E,'Weekly Log'!$A:$A,"&gt;="&amp;$J1730,'Weekly Log'!$A:$A,"&lt;"&amp;$J1730+7),0))</f>
        <v/>
      </c>
      <c r="G1730" t="str">
        <f>IF($J1730="","",IFERROR(LOOKUP(2,1/(('Weekly Log'!$A$5:$A$5000&gt;=$J1730)*('Weekly Log'!$A$5:$A$5000&lt;$J1730+7)*('Weekly Log'!$M$5:$M$5000&lt;&gt;"")),'Weekly Log'!$M$5:$M$5000),0))</f>
        <v/>
      </c>
      <c r="J1730" t="str">
        <f>IF(COUNT('Weekly Log'!$A$5:$A$5000)=0,"",IF(MIN('Weekly Log'!$A$5:$A$5000)+7*(ROW()-10)&gt;MAX('Weekly Log'!$A$5:$A$5000),"",MIN('Weekly Log'!$A$5:$A$5000)+7*(ROW()-10)))</f>
        <v/>
      </c>
    </row>
    <row r="1731" spans="1:10" x14ac:dyDescent="0.25">
      <c r="A1731" t="str">
        <f t="shared" si="26"/>
        <v/>
      </c>
      <c r="B1731" t="str">
        <f>IF($J1731="","",SUMIFS('Weekly Log'!$C:$C,'Weekly Log'!$A:$A,"&gt;="&amp;$J1731,'Weekly Log'!$A:$A,"&lt;"&amp;$J1731+7))</f>
        <v/>
      </c>
      <c r="C1731" t="str">
        <f>IF($J1731="","",IFERROR(COUNTIFS('Weekly Log'!$G:$G,"Y",'Weekly Log'!$A:$A,"&gt;="&amp;$J1731,'Weekly Log'!$A:$A,"&lt;"&amp;$J1731+7)/COUNTIFS('Weekly Log'!$G:$G,"&lt;&gt;",'Weekly Log'!$A:$A,"&gt;="&amp;$J1731,'Weekly Log'!$A:$A,"&lt;"&amp;$J1731+7),0))</f>
        <v/>
      </c>
      <c r="D1731" t="str">
        <f>IF($J1731="","",IFERROR(COUNTIFS('Weekly Log'!$H:$H,"Y",'Weekly Log'!$A:$A,"&gt;="&amp;$J1731,'Weekly Log'!$A:$A,"&lt;"&amp;$J1731+7)/COUNTIFS('Weekly Log'!$H:$H,"&lt;&gt;",'Weekly Log'!$A:$A,"&gt;="&amp;$J1731,'Weekly Log'!$A:$A,"&lt;"&amp;$J1731+7),0))</f>
        <v/>
      </c>
      <c r="E1731" t="str">
        <f>IF($J1731="","",IFERROR(AVERAGEIFS('Weekly Log'!$F:$F,'Weekly Log'!$A:$A,"&gt;="&amp;$J1731,'Weekly Log'!$A:$A,"&lt;"&amp;$J1731+7),0))</f>
        <v/>
      </c>
      <c r="F1731" t="str">
        <f>IF($J1731="","",IFERROR(SUMIFS('Weekly Log'!$F:$F,'Weekly Log'!$A:$A,"&gt;="&amp;$J1731,'Weekly Log'!$A:$A,"&lt;"&amp;$J1731+7)/SUMIFS('Weekly Log'!$E:$E,'Weekly Log'!$A:$A,"&gt;="&amp;$J1731,'Weekly Log'!$A:$A,"&lt;"&amp;$J1731+7),0))</f>
        <v/>
      </c>
      <c r="G1731" t="str">
        <f>IF($J1731="","",IFERROR(LOOKUP(2,1/(('Weekly Log'!$A$5:$A$5000&gt;=$J1731)*('Weekly Log'!$A$5:$A$5000&lt;$J1731+7)*('Weekly Log'!$M$5:$M$5000&lt;&gt;"")),'Weekly Log'!$M$5:$M$5000),0))</f>
        <v/>
      </c>
      <c r="J1731" t="str">
        <f>IF(COUNT('Weekly Log'!$A$5:$A$5000)=0,"",IF(MIN('Weekly Log'!$A$5:$A$5000)+7*(ROW()-10)&gt;MAX('Weekly Log'!$A$5:$A$5000),"",MIN('Weekly Log'!$A$5:$A$5000)+7*(ROW()-10)))</f>
        <v/>
      </c>
    </row>
    <row r="1732" spans="1:10" x14ac:dyDescent="0.25">
      <c r="A1732" t="str">
        <f t="shared" si="26"/>
        <v/>
      </c>
      <c r="B1732" t="str">
        <f>IF($J1732="","",SUMIFS('Weekly Log'!$C:$C,'Weekly Log'!$A:$A,"&gt;="&amp;$J1732,'Weekly Log'!$A:$A,"&lt;"&amp;$J1732+7))</f>
        <v/>
      </c>
      <c r="C1732" t="str">
        <f>IF($J1732="","",IFERROR(COUNTIFS('Weekly Log'!$G:$G,"Y",'Weekly Log'!$A:$A,"&gt;="&amp;$J1732,'Weekly Log'!$A:$A,"&lt;"&amp;$J1732+7)/COUNTIFS('Weekly Log'!$G:$G,"&lt;&gt;",'Weekly Log'!$A:$A,"&gt;="&amp;$J1732,'Weekly Log'!$A:$A,"&lt;"&amp;$J1732+7),0))</f>
        <v/>
      </c>
      <c r="D1732" t="str">
        <f>IF($J1732="","",IFERROR(COUNTIFS('Weekly Log'!$H:$H,"Y",'Weekly Log'!$A:$A,"&gt;="&amp;$J1732,'Weekly Log'!$A:$A,"&lt;"&amp;$J1732+7)/COUNTIFS('Weekly Log'!$H:$H,"&lt;&gt;",'Weekly Log'!$A:$A,"&gt;="&amp;$J1732,'Weekly Log'!$A:$A,"&lt;"&amp;$J1732+7),0))</f>
        <v/>
      </c>
      <c r="E1732" t="str">
        <f>IF($J1732="","",IFERROR(AVERAGEIFS('Weekly Log'!$F:$F,'Weekly Log'!$A:$A,"&gt;="&amp;$J1732,'Weekly Log'!$A:$A,"&lt;"&amp;$J1732+7),0))</f>
        <v/>
      </c>
      <c r="F1732" t="str">
        <f>IF($J1732="","",IFERROR(SUMIFS('Weekly Log'!$F:$F,'Weekly Log'!$A:$A,"&gt;="&amp;$J1732,'Weekly Log'!$A:$A,"&lt;"&amp;$J1732+7)/SUMIFS('Weekly Log'!$E:$E,'Weekly Log'!$A:$A,"&gt;="&amp;$J1732,'Weekly Log'!$A:$A,"&lt;"&amp;$J1732+7),0))</f>
        <v/>
      </c>
      <c r="G1732" t="str">
        <f>IF($J1732="","",IFERROR(LOOKUP(2,1/(('Weekly Log'!$A$5:$A$5000&gt;=$J1732)*('Weekly Log'!$A$5:$A$5000&lt;$J1732+7)*('Weekly Log'!$M$5:$M$5000&lt;&gt;"")),'Weekly Log'!$M$5:$M$5000),0))</f>
        <v/>
      </c>
      <c r="J1732" t="str">
        <f>IF(COUNT('Weekly Log'!$A$5:$A$5000)=0,"",IF(MIN('Weekly Log'!$A$5:$A$5000)+7*(ROW()-10)&gt;MAX('Weekly Log'!$A$5:$A$5000),"",MIN('Weekly Log'!$A$5:$A$5000)+7*(ROW()-10)))</f>
        <v/>
      </c>
    </row>
    <row r="1733" spans="1:10" x14ac:dyDescent="0.25">
      <c r="A1733" t="str">
        <f t="shared" si="26"/>
        <v/>
      </c>
      <c r="B1733" t="str">
        <f>IF($J1733="","",SUMIFS('Weekly Log'!$C:$C,'Weekly Log'!$A:$A,"&gt;="&amp;$J1733,'Weekly Log'!$A:$A,"&lt;"&amp;$J1733+7))</f>
        <v/>
      </c>
      <c r="C1733" t="str">
        <f>IF($J1733="","",IFERROR(COUNTIFS('Weekly Log'!$G:$G,"Y",'Weekly Log'!$A:$A,"&gt;="&amp;$J1733,'Weekly Log'!$A:$A,"&lt;"&amp;$J1733+7)/COUNTIFS('Weekly Log'!$G:$G,"&lt;&gt;",'Weekly Log'!$A:$A,"&gt;="&amp;$J1733,'Weekly Log'!$A:$A,"&lt;"&amp;$J1733+7),0))</f>
        <v/>
      </c>
      <c r="D1733" t="str">
        <f>IF($J1733="","",IFERROR(COUNTIFS('Weekly Log'!$H:$H,"Y",'Weekly Log'!$A:$A,"&gt;="&amp;$J1733,'Weekly Log'!$A:$A,"&lt;"&amp;$J1733+7)/COUNTIFS('Weekly Log'!$H:$H,"&lt;&gt;",'Weekly Log'!$A:$A,"&gt;="&amp;$J1733,'Weekly Log'!$A:$A,"&lt;"&amp;$J1733+7),0))</f>
        <v/>
      </c>
      <c r="E1733" t="str">
        <f>IF($J1733="","",IFERROR(AVERAGEIFS('Weekly Log'!$F:$F,'Weekly Log'!$A:$A,"&gt;="&amp;$J1733,'Weekly Log'!$A:$A,"&lt;"&amp;$J1733+7),0))</f>
        <v/>
      </c>
      <c r="F1733" t="str">
        <f>IF($J1733="","",IFERROR(SUMIFS('Weekly Log'!$F:$F,'Weekly Log'!$A:$A,"&gt;="&amp;$J1733,'Weekly Log'!$A:$A,"&lt;"&amp;$J1733+7)/SUMIFS('Weekly Log'!$E:$E,'Weekly Log'!$A:$A,"&gt;="&amp;$J1733,'Weekly Log'!$A:$A,"&lt;"&amp;$J1733+7),0))</f>
        <v/>
      </c>
      <c r="G1733" t="str">
        <f>IF($J1733="","",IFERROR(LOOKUP(2,1/(('Weekly Log'!$A$5:$A$5000&gt;=$J1733)*('Weekly Log'!$A$5:$A$5000&lt;$J1733+7)*('Weekly Log'!$M$5:$M$5000&lt;&gt;"")),'Weekly Log'!$M$5:$M$5000),0))</f>
        <v/>
      </c>
      <c r="J1733" t="str">
        <f>IF(COUNT('Weekly Log'!$A$5:$A$5000)=0,"",IF(MIN('Weekly Log'!$A$5:$A$5000)+7*(ROW()-10)&gt;MAX('Weekly Log'!$A$5:$A$5000),"",MIN('Weekly Log'!$A$5:$A$5000)+7*(ROW()-10)))</f>
        <v/>
      </c>
    </row>
    <row r="1734" spans="1:10" x14ac:dyDescent="0.25">
      <c r="A1734" t="str">
        <f t="shared" si="26"/>
        <v/>
      </c>
      <c r="B1734" t="str">
        <f>IF($J1734="","",SUMIFS('Weekly Log'!$C:$C,'Weekly Log'!$A:$A,"&gt;="&amp;$J1734,'Weekly Log'!$A:$A,"&lt;"&amp;$J1734+7))</f>
        <v/>
      </c>
      <c r="C1734" t="str">
        <f>IF($J1734="","",IFERROR(COUNTIFS('Weekly Log'!$G:$G,"Y",'Weekly Log'!$A:$A,"&gt;="&amp;$J1734,'Weekly Log'!$A:$A,"&lt;"&amp;$J1734+7)/COUNTIFS('Weekly Log'!$G:$G,"&lt;&gt;",'Weekly Log'!$A:$A,"&gt;="&amp;$J1734,'Weekly Log'!$A:$A,"&lt;"&amp;$J1734+7),0))</f>
        <v/>
      </c>
      <c r="D1734" t="str">
        <f>IF($J1734="","",IFERROR(COUNTIFS('Weekly Log'!$H:$H,"Y",'Weekly Log'!$A:$A,"&gt;="&amp;$J1734,'Weekly Log'!$A:$A,"&lt;"&amp;$J1734+7)/COUNTIFS('Weekly Log'!$H:$H,"&lt;&gt;",'Weekly Log'!$A:$A,"&gt;="&amp;$J1734,'Weekly Log'!$A:$A,"&lt;"&amp;$J1734+7),0))</f>
        <v/>
      </c>
      <c r="E1734" t="str">
        <f>IF($J1734="","",IFERROR(AVERAGEIFS('Weekly Log'!$F:$F,'Weekly Log'!$A:$A,"&gt;="&amp;$J1734,'Weekly Log'!$A:$A,"&lt;"&amp;$J1734+7),0))</f>
        <v/>
      </c>
      <c r="F1734" t="str">
        <f>IF($J1734="","",IFERROR(SUMIFS('Weekly Log'!$F:$F,'Weekly Log'!$A:$A,"&gt;="&amp;$J1734,'Weekly Log'!$A:$A,"&lt;"&amp;$J1734+7)/SUMIFS('Weekly Log'!$E:$E,'Weekly Log'!$A:$A,"&gt;="&amp;$J1734,'Weekly Log'!$A:$A,"&lt;"&amp;$J1734+7),0))</f>
        <v/>
      </c>
      <c r="G1734" t="str">
        <f>IF($J1734="","",IFERROR(LOOKUP(2,1/(('Weekly Log'!$A$5:$A$5000&gt;=$J1734)*('Weekly Log'!$A$5:$A$5000&lt;$J1734+7)*('Weekly Log'!$M$5:$M$5000&lt;&gt;"")),'Weekly Log'!$M$5:$M$5000),0))</f>
        <v/>
      </c>
      <c r="J1734" t="str">
        <f>IF(COUNT('Weekly Log'!$A$5:$A$5000)=0,"",IF(MIN('Weekly Log'!$A$5:$A$5000)+7*(ROW()-10)&gt;MAX('Weekly Log'!$A$5:$A$5000),"",MIN('Weekly Log'!$A$5:$A$5000)+7*(ROW()-10)))</f>
        <v/>
      </c>
    </row>
    <row r="1735" spans="1:10" x14ac:dyDescent="0.25">
      <c r="A1735" t="str">
        <f t="shared" si="26"/>
        <v/>
      </c>
      <c r="B1735" t="str">
        <f>IF($J1735="","",SUMIFS('Weekly Log'!$C:$C,'Weekly Log'!$A:$A,"&gt;="&amp;$J1735,'Weekly Log'!$A:$A,"&lt;"&amp;$J1735+7))</f>
        <v/>
      </c>
      <c r="C1735" t="str">
        <f>IF($J1735="","",IFERROR(COUNTIFS('Weekly Log'!$G:$G,"Y",'Weekly Log'!$A:$A,"&gt;="&amp;$J1735,'Weekly Log'!$A:$A,"&lt;"&amp;$J1735+7)/COUNTIFS('Weekly Log'!$G:$G,"&lt;&gt;",'Weekly Log'!$A:$A,"&gt;="&amp;$J1735,'Weekly Log'!$A:$A,"&lt;"&amp;$J1735+7),0))</f>
        <v/>
      </c>
      <c r="D1735" t="str">
        <f>IF($J1735="","",IFERROR(COUNTIFS('Weekly Log'!$H:$H,"Y",'Weekly Log'!$A:$A,"&gt;="&amp;$J1735,'Weekly Log'!$A:$A,"&lt;"&amp;$J1735+7)/COUNTIFS('Weekly Log'!$H:$H,"&lt;&gt;",'Weekly Log'!$A:$A,"&gt;="&amp;$J1735,'Weekly Log'!$A:$A,"&lt;"&amp;$J1735+7),0))</f>
        <v/>
      </c>
      <c r="E1735" t="str">
        <f>IF($J1735="","",IFERROR(AVERAGEIFS('Weekly Log'!$F:$F,'Weekly Log'!$A:$A,"&gt;="&amp;$J1735,'Weekly Log'!$A:$A,"&lt;"&amp;$J1735+7),0))</f>
        <v/>
      </c>
      <c r="F1735" t="str">
        <f>IF($J1735="","",IFERROR(SUMIFS('Weekly Log'!$F:$F,'Weekly Log'!$A:$A,"&gt;="&amp;$J1735,'Weekly Log'!$A:$A,"&lt;"&amp;$J1735+7)/SUMIFS('Weekly Log'!$E:$E,'Weekly Log'!$A:$A,"&gt;="&amp;$J1735,'Weekly Log'!$A:$A,"&lt;"&amp;$J1735+7),0))</f>
        <v/>
      </c>
      <c r="G1735" t="str">
        <f>IF($J1735="","",IFERROR(LOOKUP(2,1/(('Weekly Log'!$A$5:$A$5000&gt;=$J1735)*('Weekly Log'!$A$5:$A$5000&lt;$J1735+7)*('Weekly Log'!$M$5:$M$5000&lt;&gt;"")),'Weekly Log'!$M$5:$M$5000),0))</f>
        <v/>
      </c>
      <c r="J1735" t="str">
        <f>IF(COUNT('Weekly Log'!$A$5:$A$5000)=0,"",IF(MIN('Weekly Log'!$A$5:$A$5000)+7*(ROW()-10)&gt;MAX('Weekly Log'!$A$5:$A$5000),"",MIN('Weekly Log'!$A$5:$A$5000)+7*(ROW()-10)))</f>
        <v/>
      </c>
    </row>
    <row r="1736" spans="1:10" x14ac:dyDescent="0.25">
      <c r="A1736" t="str">
        <f t="shared" si="26"/>
        <v/>
      </c>
      <c r="B1736" t="str">
        <f>IF($J1736="","",SUMIFS('Weekly Log'!$C:$C,'Weekly Log'!$A:$A,"&gt;="&amp;$J1736,'Weekly Log'!$A:$A,"&lt;"&amp;$J1736+7))</f>
        <v/>
      </c>
      <c r="C1736" t="str">
        <f>IF($J1736="","",IFERROR(COUNTIFS('Weekly Log'!$G:$G,"Y",'Weekly Log'!$A:$A,"&gt;="&amp;$J1736,'Weekly Log'!$A:$A,"&lt;"&amp;$J1736+7)/COUNTIFS('Weekly Log'!$G:$G,"&lt;&gt;",'Weekly Log'!$A:$A,"&gt;="&amp;$J1736,'Weekly Log'!$A:$A,"&lt;"&amp;$J1736+7),0))</f>
        <v/>
      </c>
      <c r="D1736" t="str">
        <f>IF($J1736="","",IFERROR(COUNTIFS('Weekly Log'!$H:$H,"Y",'Weekly Log'!$A:$A,"&gt;="&amp;$J1736,'Weekly Log'!$A:$A,"&lt;"&amp;$J1736+7)/COUNTIFS('Weekly Log'!$H:$H,"&lt;&gt;",'Weekly Log'!$A:$A,"&gt;="&amp;$J1736,'Weekly Log'!$A:$A,"&lt;"&amp;$J1736+7),0))</f>
        <v/>
      </c>
      <c r="E1736" t="str">
        <f>IF($J1736="","",IFERROR(AVERAGEIFS('Weekly Log'!$F:$F,'Weekly Log'!$A:$A,"&gt;="&amp;$J1736,'Weekly Log'!$A:$A,"&lt;"&amp;$J1736+7),0))</f>
        <v/>
      </c>
      <c r="F1736" t="str">
        <f>IF($J1736="","",IFERROR(SUMIFS('Weekly Log'!$F:$F,'Weekly Log'!$A:$A,"&gt;="&amp;$J1736,'Weekly Log'!$A:$A,"&lt;"&amp;$J1736+7)/SUMIFS('Weekly Log'!$E:$E,'Weekly Log'!$A:$A,"&gt;="&amp;$J1736,'Weekly Log'!$A:$A,"&lt;"&amp;$J1736+7),0))</f>
        <v/>
      </c>
      <c r="G1736" t="str">
        <f>IF($J1736="","",IFERROR(LOOKUP(2,1/(('Weekly Log'!$A$5:$A$5000&gt;=$J1736)*('Weekly Log'!$A$5:$A$5000&lt;$J1736+7)*('Weekly Log'!$M$5:$M$5000&lt;&gt;"")),'Weekly Log'!$M$5:$M$5000),0))</f>
        <v/>
      </c>
      <c r="J1736" t="str">
        <f>IF(COUNT('Weekly Log'!$A$5:$A$5000)=0,"",IF(MIN('Weekly Log'!$A$5:$A$5000)+7*(ROW()-10)&gt;MAX('Weekly Log'!$A$5:$A$5000),"",MIN('Weekly Log'!$A$5:$A$5000)+7*(ROW()-10)))</f>
        <v/>
      </c>
    </row>
    <row r="1737" spans="1:10" x14ac:dyDescent="0.25">
      <c r="A1737" t="str">
        <f t="shared" si="26"/>
        <v/>
      </c>
      <c r="B1737" t="str">
        <f>IF($J1737="","",SUMIFS('Weekly Log'!$C:$C,'Weekly Log'!$A:$A,"&gt;="&amp;$J1737,'Weekly Log'!$A:$A,"&lt;"&amp;$J1737+7))</f>
        <v/>
      </c>
      <c r="C1737" t="str">
        <f>IF($J1737="","",IFERROR(COUNTIFS('Weekly Log'!$G:$G,"Y",'Weekly Log'!$A:$A,"&gt;="&amp;$J1737,'Weekly Log'!$A:$A,"&lt;"&amp;$J1737+7)/COUNTIFS('Weekly Log'!$G:$G,"&lt;&gt;",'Weekly Log'!$A:$A,"&gt;="&amp;$J1737,'Weekly Log'!$A:$A,"&lt;"&amp;$J1737+7),0))</f>
        <v/>
      </c>
      <c r="D1737" t="str">
        <f>IF($J1737="","",IFERROR(COUNTIFS('Weekly Log'!$H:$H,"Y",'Weekly Log'!$A:$A,"&gt;="&amp;$J1737,'Weekly Log'!$A:$A,"&lt;"&amp;$J1737+7)/COUNTIFS('Weekly Log'!$H:$H,"&lt;&gt;",'Weekly Log'!$A:$A,"&gt;="&amp;$J1737,'Weekly Log'!$A:$A,"&lt;"&amp;$J1737+7),0))</f>
        <v/>
      </c>
      <c r="E1737" t="str">
        <f>IF($J1737="","",IFERROR(AVERAGEIFS('Weekly Log'!$F:$F,'Weekly Log'!$A:$A,"&gt;="&amp;$J1737,'Weekly Log'!$A:$A,"&lt;"&amp;$J1737+7),0))</f>
        <v/>
      </c>
      <c r="F1737" t="str">
        <f>IF($J1737="","",IFERROR(SUMIFS('Weekly Log'!$F:$F,'Weekly Log'!$A:$A,"&gt;="&amp;$J1737,'Weekly Log'!$A:$A,"&lt;"&amp;$J1737+7)/SUMIFS('Weekly Log'!$E:$E,'Weekly Log'!$A:$A,"&gt;="&amp;$J1737,'Weekly Log'!$A:$A,"&lt;"&amp;$J1737+7),0))</f>
        <v/>
      </c>
      <c r="G1737" t="str">
        <f>IF($J1737="","",IFERROR(LOOKUP(2,1/(('Weekly Log'!$A$5:$A$5000&gt;=$J1737)*('Weekly Log'!$A$5:$A$5000&lt;$J1737+7)*('Weekly Log'!$M$5:$M$5000&lt;&gt;"")),'Weekly Log'!$M$5:$M$5000),0))</f>
        <v/>
      </c>
      <c r="J1737" t="str">
        <f>IF(COUNT('Weekly Log'!$A$5:$A$5000)=0,"",IF(MIN('Weekly Log'!$A$5:$A$5000)+7*(ROW()-10)&gt;MAX('Weekly Log'!$A$5:$A$5000),"",MIN('Weekly Log'!$A$5:$A$5000)+7*(ROW()-10)))</f>
        <v/>
      </c>
    </row>
    <row r="1738" spans="1:10" x14ac:dyDescent="0.25">
      <c r="A1738" t="str">
        <f t="shared" ref="A1738:A1801" si="27">IF($J1738="","",YEAR($J1738-WEEKDAY($J1738,2)+4)&amp;"-W"&amp;TEXT(WEEKNUM($J1738,21),"00"))</f>
        <v/>
      </c>
      <c r="B1738" t="str">
        <f>IF($J1738="","",SUMIFS('Weekly Log'!$C:$C,'Weekly Log'!$A:$A,"&gt;="&amp;$J1738,'Weekly Log'!$A:$A,"&lt;"&amp;$J1738+7))</f>
        <v/>
      </c>
      <c r="C1738" t="str">
        <f>IF($J1738="","",IFERROR(COUNTIFS('Weekly Log'!$G:$G,"Y",'Weekly Log'!$A:$A,"&gt;="&amp;$J1738,'Weekly Log'!$A:$A,"&lt;"&amp;$J1738+7)/COUNTIFS('Weekly Log'!$G:$G,"&lt;&gt;",'Weekly Log'!$A:$A,"&gt;="&amp;$J1738,'Weekly Log'!$A:$A,"&lt;"&amp;$J1738+7),0))</f>
        <v/>
      </c>
      <c r="D1738" t="str">
        <f>IF($J1738="","",IFERROR(COUNTIFS('Weekly Log'!$H:$H,"Y",'Weekly Log'!$A:$A,"&gt;="&amp;$J1738,'Weekly Log'!$A:$A,"&lt;"&amp;$J1738+7)/COUNTIFS('Weekly Log'!$H:$H,"&lt;&gt;",'Weekly Log'!$A:$A,"&gt;="&amp;$J1738,'Weekly Log'!$A:$A,"&lt;"&amp;$J1738+7),0))</f>
        <v/>
      </c>
      <c r="E1738" t="str">
        <f>IF($J1738="","",IFERROR(AVERAGEIFS('Weekly Log'!$F:$F,'Weekly Log'!$A:$A,"&gt;="&amp;$J1738,'Weekly Log'!$A:$A,"&lt;"&amp;$J1738+7),0))</f>
        <v/>
      </c>
      <c r="F1738" t="str">
        <f>IF($J1738="","",IFERROR(SUMIFS('Weekly Log'!$F:$F,'Weekly Log'!$A:$A,"&gt;="&amp;$J1738,'Weekly Log'!$A:$A,"&lt;"&amp;$J1738+7)/SUMIFS('Weekly Log'!$E:$E,'Weekly Log'!$A:$A,"&gt;="&amp;$J1738,'Weekly Log'!$A:$A,"&lt;"&amp;$J1738+7),0))</f>
        <v/>
      </c>
      <c r="G1738" t="str">
        <f>IF($J1738="","",IFERROR(LOOKUP(2,1/(('Weekly Log'!$A$5:$A$5000&gt;=$J1738)*('Weekly Log'!$A$5:$A$5000&lt;$J1738+7)*('Weekly Log'!$M$5:$M$5000&lt;&gt;"")),'Weekly Log'!$M$5:$M$5000),0))</f>
        <v/>
      </c>
      <c r="J1738" t="str">
        <f>IF(COUNT('Weekly Log'!$A$5:$A$5000)=0,"",IF(MIN('Weekly Log'!$A$5:$A$5000)+7*(ROW()-10)&gt;MAX('Weekly Log'!$A$5:$A$5000),"",MIN('Weekly Log'!$A$5:$A$5000)+7*(ROW()-10)))</f>
        <v/>
      </c>
    </row>
    <row r="1739" spans="1:10" x14ac:dyDescent="0.25">
      <c r="A1739" t="str">
        <f t="shared" si="27"/>
        <v/>
      </c>
      <c r="B1739" t="str">
        <f>IF($J1739="","",SUMIFS('Weekly Log'!$C:$C,'Weekly Log'!$A:$A,"&gt;="&amp;$J1739,'Weekly Log'!$A:$A,"&lt;"&amp;$J1739+7))</f>
        <v/>
      </c>
      <c r="C1739" t="str">
        <f>IF($J1739="","",IFERROR(COUNTIFS('Weekly Log'!$G:$G,"Y",'Weekly Log'!$A:$A,"&gt;="&amp;$J1739,'Weekly Log'!$A:$A,"&lt;"&amp;$J1739+7)/COUNTIFS('Weekly Log'!$G:$G,"&lt;&gt;",'Weekly Log'!$A:$A,"&gt;="&amp;$J1739,'Weekly Log'!$A:$A,"&lt;"&amp;$J1739+7),0))</f>
        <v/>
      </c>
      <c r="D1739" t="str">
        <f>IF($J1739="","",IFERROR(COUNTIFS('Weekly Log'!$H:$H,"Y",'Weekly Log'!$A:$A,"&gt;="&amp;$J1739,'Weekly Log'!$A:$A,"&lt;"&amp;$J1739+7)/COUNTIFS('Weekly Log'!$H:$H,"&lt;&gt;",'Weekly Log'!$A:$A,"&gt;="&amp;$J1739,'Weekly Log'!$A:$A,"&lt;"&amp;$J1739+7),0))</f>
        <v/>
      </c>
      <c r="E1739" t="str">
        <f>IF($J1739="","",IFERROR(AVERAGEIFS('Weekly Log'!$F:$F,'Weekly Log'!$A:$A,"&gt;="&amp;$J1739,'Weekly Log'!$A:$A,"&lt;"&amp;$J1739+7),0))</f>
        <v/>
      </c>
      <c r="F1739" t="str">
        <f>IF($J1739="","",IFERROR(SUMIFS('Weekly Log'!$F:$F,'Weekly Log'!$A:$A,"&gt;="&amp;$J1739,'Weekly Log'!$A:$A,"&lt;"&amp;$J1739+7)/SUMIFS('Weekly Log'!$E:$E,'Weekly Log'!$A:$A,"&gt;="&amp;$J1739,'Weekly Log'!$A:$A,"&lt;"&amp;$J1739+7),0))</f>
        <v/>
      </c>
      <c r="G1739" t="str">
        <f>IF($J1739="","",IFERROR(LOOKUP(2,1/(('Weekly Log'!$A$5:$A$5000&gt;=$J1739)*('Weekly Log'!$A$5:$A$5000&lt;$J1739+7)*('Weekly Log'!$M$5:$M$5000&lt;&gt;"")),'Weekly Log'!$M$5:$M$5000),0))</f>
        <v/>
      </c>
      <c r="J1739" t="str">
        <f>IF(COUNT('Weekly Log'!$A$5:$A$5000)=0,"",IF(MIN('Weekly Log'!$A$5:$A$5000)+7*(ROW()-10)&gt;MAX('Weekly Log'!$A$5:$A$5000),"",MIN('Weekly Log'!$A$5:$A$5000)+7*(ROW()-10)))</f>
        <v/>
      </c>
    </row>
    <row r="1740" spans="1:10" x14ac:dyDescent="0.25">
      <c r="A1740" t="str">
        <f t="shared" si="27"/>
        <v/>
      </c>
      <c r="B1740" t="str">
        <f>IF($J1740="","",SUMIFS('Weekly Log'!$C:$C,'Weekly Log'!$A:$A,"&gt;="&amp;$J1740,'Weekly Log'!$A:$A,"&lt;"&amp;$J1740+7))</f>
        <v/>
      </c>
      <c r="C1740" t="str">
        <f>IF($J1740="","",IFERROR(COUNTIFS('Weekly Log'!$G:$G,"Y",'Weekly Log'!$A:$A,"&gt;="&amp;$J1740,'Weekly Log'!$A:$A,"&lt;"&amp;$J1740+7)/COUNTIFS('Weekly Log'!$G:$G,"&lt;&gt;",'Weekly Log'!$A:$A,"&gt;="&amp;$J1740,'Weekly Log'!$A:$A,"&lt;"&amp;$J1740+7),0))</f>
        <v/>
      </c>
      <c r="D1740" t="str">
        <f>IF($J1740="","",IFERROR(COUNTIFS('Weekly Log'!$H:$H,"Y",'Weekly Log'!$A:$A,"&gt;="&amp;$J1740,'Weekly Log'!$A:$A,"&lt;"&amp;$J1740+7)/COUNTIFS('Weekly Log'!$H:$H,"&lt;&gt;",'Weekly Log'!$A:$A,"&gt;="&amp;$J1740,'Weekly Log'!$A:$A,"&lt;"&amp;$J1740+7),0))</f>
        <v/>
      </c>
      <c r="E1740" t="str">
        <f>IF($J1740="","",IFERROR(AVERAGEIFS('Weekly Log'!$F:$F,'Weekly Log'!$A:$A,"&gt;="&amp;$J1740,'Weekly Log'!$A:$A,"&lt;"&amp;$J1740+7),0))</f>
        <v/>
      </c>
      <c r="F1740" t="str">
        <f>IF($J1740="","",IFERROR(SUMIFS('Weekly Log'!$F:$F,'Weekly Log'!$A:$A,"&gt;="&amp;$J1740,'Weekly Log'!$A:$A,"&lt;"&amp;$J1740+7)/SUMIFS('Weekly Log'!$E:$E,'Weekly Log'!$A:$A,"&gt;="&amp;$J1740,'Weekly Log'!$A:$A,"&lt;"&amp;$J1740+7),0))</f>
        <v/>
      </c>
      <c r="G1740" t="str">
        <f>IF($J1740="","",IFERROR(LOOKUP(2,1/(('Weekly Log'!$A$5:$A$5000&gt;=$J1740)*('Weekly Log'!$A$5:$A$5000&lt;$J1740+7)*('Weekly Log'!$M$5:$M$5000&lt;&gt;"")),'Weekly Log'!$M$5:$M$5000),0))</f>
        <v/>
      </c>
      <c r="J1740" t="str">
        <f>IF(COUNT('Weekly Log'!$A$5:$A$5000)=0,"",IF(MIN('Weekly Log'!$A$5:$A$5000)+7*(ROW()-10)&gt;MAX('Weekly Log'!$A$5:$A$5000),"",MIN('Weekly Log'!$A$5:$A$5000)+7*(ROW()-10)))</f>
        <v/>
      </c>
    </row>
    <row r="1741" spans="1:10" x14ac:dyDescent="0.25">
      <c r="A1741" t="str">
        <f t="shared" si="27"/>
        <v/>
      </c>
      <c r="B1741" t="str">
        <f>IF($J1741="","",SUMIFS('Weekly Log'!$C:$C,'Weekly Log'!$A:$A,"&gt;="&amp;$J1741,'Weekly Log'!$A:$A,"&lt;"&amp;$J1741+7))</f>
        <v/>
      </c>
      <c r="C1741" t="str">
        <f>IF($J1741="","",IFERROR(COUNTIFS('Weekly Log'!$G:$G,"Y",'Weekly Log'!$A:$A,"&gt;="&amp;$J1741,'Weekly Log'!$A:$A,"&lt;"&amp;$J1741+7)/COUNTIFS('Weekly Log'!$G:$G,"&lt;&gt;",'Weekly Log'!$A:$A,"&gt;="&amp;$J1741,'Weekly Log'!$A:$A,"&lt;"&amp;$J1741+7),0))</f>
        <v/>
      </c>
      <c r="D1741" t="str">
        <f>IF($J1741="","",IFERROR(COUNTIFS('Weekly Log'!$H:$H,"Y",'Weekly Log'!$A:$A,"&gt;="&amp;$J1741,'Weekly Log'!$A:$A,"&lt;"&amp;$J1741+7)/COUNTIFS('Weekly Log'!$H:$H,"&lt;&gt;",'Weekly Log'!$A:$A,"&gt;="&amp;$J1741,'Weekly Log'!$A:$A,"&lt;"&amp;$J1741+7),0))</f>
        <v/>
      </c>
      <c r="E1741" t="str">
        <f>IF($J1741="","",IFERROR(AVERAGEIFS('Weekly Log'!$F:$F,'Weekly Log'!$A:$A,"&gt;="&amp;$J1741,'Weekly Log'!$A:$A,"&lt;"&amp;$J1741+7),0))</f>
        <v/>
      </c>
      <c r="F1741" t="str">
        <f>IF($J1741="","",IFERROR(SUMIFS('Weekly Log'!$F:$F,'Weekly Log'!$A:$A,"&gt;="&amp;$J1741,'Weekly Log'!$A:$A,"&lt;"&amp;$J1741+7)/SUMIFS('Weekly Log'!$E:$E,'Weekly Log'!$A:$A,"&gt;="&amp;$J1741,'Weekly Log'!$A:$A,"&lt;"&amp;$J1741+7),0))</f>
        <v/>
      </c>
      <c r="G1741" t="str">
        <f>IF($J1741="","",IFERROR(LOOKUP(2,1/(('Weekly Log'!$A$5:$A$5000&gt;=$J1741)*('Weekly Log'!$A$5:$A$5000&lt;$J1741+7)*('Weekly Log'!$M$5:$M$5000&lt;&gt;"")),'Weekly Log'!$M$5:$M$5000),0))</f>
        <v/>
      </c>
      <c r="J1741" t="str">
        <f>IF(COUNT('Weekly Log'!$A$5:$A$5000)=0,"",IF(MIN('Weekly Log'!$A$5:$A$5000)+7*(ROW()-10)&gt;MAX('Weekly Log'!$A$5:$A$5000),"",MIN('Weekly Log'!$A$5:$A$5000)+7*(ROW()-10)))</f>
        <v/>
      </c>
    </row>
    <row r="1742" spans="1:10" x14ac:dyDescent="0.25">
      <c r="A1742" t="str">
        <f t="shared" si="27"/>
        <v/>
      </c>
      <c r="B1742" t="str">
        <f>IF($J1742="","",SUMIFS('Weekly Log'!$C:$C,'Weekly Log'!$A:$A,"&gt;="&amp;$J1742,'Weekly Log'!$A:$A,"&lt;"&amp;$J1742+7))</f>
        <v/>
      </c>
      <c r="C1742" t="str">
        <f>IF($J1742="","",IFERROR(COUNTIFS('Weekly Log'!$G:$G,"Y",'Weekly Log'!$A:$A,"&gt;="&amp;$J1742,'Weekly Log'!$A:$A,"&lt;"&amp;$J1742+7)/COUNTIFS('Weekly Log'!$G:$G,"&lt;&gt;",'Weekly Log'!$A:$A,"&gt;="&amp;$J1742,'Weekly Log'!$A:$A,"&lt;"&amp;$J1742+7),0))</f>
        <v/>
      </c>
      <c r="D1742" t="str">
        <f>IF($J1742="","",IFERROR(COUNTIFS('Weekly Log'!$H:$H,"Y",'Weekly Log'!$A:$A,"&gt;="&amp;$J1742,'Weekly Log'!$A:$A,"&lt;"&amp;$J1742+7)/COUNTIFS('Weekly Log'!$H:$H,"&lt;&gt;",'Weekly Log'!$A:$A,"&gt;="&amp;$J1742,'Weekly Log'!$A:$A,"&lt;"&amp;$J1742+7),0))</f>
        <v/>
      </c>
      <c r="E1742" t="str">
        <f>IF($J1742="","",IFERROR(AVERAGEIFS('Weekly Log'!$F:$F,'Weekly Log'!$A:$A,"&gt;="&amp;$J1742,'Weekly Log'!$A:$A,"&lt;"&amp;$J1742+7),0))</f>
        <v/>
      </c>
      <c r="F1742" t="str">
        <f>IF($J1742="","",IFERROR(SUMIFS('Weekly Log'!$F:$F,'Weekly Log'!$A:$A,"&gt;="&amp;$J1742,'Weekly Log'!$A:$A,"&lt;"&amp;$J1742+7)/SUMIFS('Weekly Log'!$E:$E,'Weekly Log'!$A:$A,"&gt;="&amp;$J1742,'Weekly Log'!$A:$A,"&lt;"&amp;$J1742+7),0))</f>
        <v/>
      </c>
      <c r="G1742" t="str">
        <f>IF($J1742="","",IFERROR(LOOKUP(2,1/(('Weekly Log'!$A$5:$A$5000&gt;=$J1742)*('Weekly Log'!$A$5:$A$5000&lt;$J1742+7)*('Weekly Log'!$M$5:$M$5000&lt;&gt;"")),'Weekly Log'!$M$5:$M$5000),0))</f>
        <v/>
      </c>
      <c r="J1742" t="str">
        <f>IF(COUNT('Weekly Log'!$A$5:$A$5000)=0,"",IF(MIN('Weekly Log'!$A$5:$A$5000)+7*(ROW()-10)&gt;MAX('Weekly Log'!$A$5:$A$5000),"",MIN('Weekly Log'!$A$5:$A$5000)+7*(ROW()-10)))</f>
        <v/>
      </c>
    </row>
    <row r="1743" spans="1:10" x14ac:dyDescent="0.25">
      <c r="A1743" t="str">
        <f t="shared" si="27"/>
        <v/>
      </c>
      <c r="B1743" t="str">
        <f>IF($J1743="","",SUMIFS('Weekly Log'!$C:$C,'Weekly Log'!$A:$A,"&gt;="&amp;$J1743,'Weekly Log'!$A:$A,"&lt;"&amp;$J1743+7))</f>
        <v/>
      </c>
      <c r="C1743" t="str">
        <f>IF($J1743="","",IFERROR(COUNTIFS('Weekly Log'!$G:$G,"Y",'Weekly Log'!$A:$A,"&gt;="&amp;$J1743,'Weekly Log'!$A:$A,"&lt;"&amp;$J1743+7)/COUNTIFS('Weekly Log'!$G:$G,"&lt;&gt;",'Weekly Log'!$A:$A,"&gt;="&amp;$J1743,'Weekly Log'!$A:$A,"&lt;"&amp;$J1743+7),0))</f>
        <v/>
      </c>
      <c r="D1743" t="str">
        <f>IF($J1743="","",IFERROR(COUNTIFS('Weekly Log'!$H:$H,"Y",'Weekly Log'!$A:$A,"&gt;="&amp;$J1743,'Weekly Log'!$A:$A,"&lt;"&amp;$J1743+7)/COUNTIFS('Weekly Log'!$H:$H,"&lt;&gt;",'Weekly Log'!$A:$A,"&gt;="&amp;$J1743,'Weekly Log'!$A:$A,"&lt;"&amp;$J1743+7),0))</f>
        <v/>
      </c>
      <c r="E1743" t="str">
        <f>IF($J1743="","",IFERROR(AVERAGEIFS('Weekly Log'!$F:$F,'Weekly Log'!$A:$A,"&gt;="&amp;$J1743,'Weekly Log'!$A:$A,"&lt;"&amp;$J1743+7),0))</f>
        <v/>
      </c>
      <c r="F1743" t="str">
        <f>IF($J1743="","",IFERROR(SUMIFS('Weekly Log'!$F:$F,'Weekly Log'!$A:$A,"&gt;="&amp;$J1743,'Weekly Log'!$A:$A,"&lt;"&amp;$J1743+7)/SUMIFS('Weekly Log'!$E:$E,'Weekly Log'!$A:$A,"&gt;="&amp;$J1743,'Weekly Log'!$A:$A,"&lt;"&amp;$J1743+7),0))</f>
        <v/>
      </c>
      <c r="G1743" t="str">
        <f>IF($J1743="","",IFERROR(LOOKUP(2,1/(('Weekly Log'!$A$5:$A$5000&gt;=$J1743)*('Weekly Log'!$A$5:$A$5000&lt;$J1743+7)*('Weekly Log'!$M$5:$M$5000&lt;&gt;"")),'Weekly Log'!$M$5:$M$5000),0))</f>
        <v/>
      </c>
      <c r="J1743" t="str">
        <f>IF(COUNT('Weekly Log'!$A$5:$A$5000)=0,"",IF(MIN('Weekly Log'!$A$5:$A$5000)+7*(ROW()-10)&gt;MAX('Weekly Log'!$A$5:$A$5000),"",MIN('Weekly Log'!$A$5:$A$5000)+7*(ROW()-10)))</f>
        <v/>
      </c>
    </row>
    <row r="1744" spans="1:10" x14ac:dyDescent="0.25">
      <c r="A1744" t="str">
        <f t="shared" si="27"/>
        <v/>
      </c>
      <c r="B1744" t="str">
        <f>IF($J1744="","",SUMIFS('Weekly Log'!$C:$C,'Weekly Log'!$A:$A,"&gt;="&amp;$J1744,'Weekly Log'!$A:$A,"&lt;"&amp;$J1744+7))</f>
        <v/>
      </c>
      <c r="C1744" t="str">
        <f>IF($J1744="","",IFERROR(COUNTIFS('Weekly Log'!$G:$G,"Y",'Weekly Log'!$A:$A,"&gt;="&amp;$J1744,'Weekly Log'!$A:$A,"&lt;"&amp;$J1744+7)/COUNTIFS('Weekly Log'!$G:$G,"&lt;&gt;",'Weekly Log'!$A:$A,"&gt;="&amp;$J1744,'Weekly Log'!$A:$A,"&lt;"&amp;$J1744+7),0))</f>
        <v/>
      </c>
      <c r="D1744" t="str">
        <f>IF($J1744="","",IFERROR(COUNTIFS('Weekly Log'!$H:$H,"Y",'Weekly Log'!$A:$A,"&gt;="&amp;$J1744,'Weekly Log'!$A:$A,"&lt;"&amp;$J1744+7)/COUNTIFS('Weekly Log'!$H:$H,"&lt;&gt;",'Weekly Log'!$A:$A,"&gt;="&amp;$J1744,'Weekly Log'!$A:$A,"&lt;"&amp;$J1744+7),0))</f>
        <v/>
      </c>
      <c r="E1744" t="str">
        <f>IF($J1744="","",IFERROR(AVERAGEIFS('Weekly Log'!$F:$F,'Weekly Log'!$A:$A,"&gt;="&amp;$J1744,'Weekly Log'!$A:$A,"&lt;"&amp;$J1744+7),0))</f>
        <v/>
      </c>
      <c r="F1744" t="str">
        <f>IF($J1744="","",IFERROR(SUMIFS('Weekly Log'!$F:$F,'Weekly Log'!$A:$A,"&gt;="&amp;$J1744,'Weekly Log'!$A:$A,"&lt;"&amp;$J1744+7)/SUMIFS('Weekly Log'!$E:$E,'Weekly Log'!$A:$A,"&gt;="&amp;$J1744,'Weekly Log'!$A:$A,"&lt;"&amp;$J1744+7),0))</f>
        <v/>
      </c>
      <c r="G1744" t="str">
        <f>IF($J1744="","",IFERROR(LOOKUP(2,1/(('Weekly Log'!$A$5:$A$5000&gt;=$J1744)*('Weekly Log'!$A$5:$A$5000&lt;$J1744+7)*('Weekly Log'!$M$5:$M$5000&lt;&gt;"")),'Weekly Log'!$M$5:$M$5000),0))</f>
        <v/>
      </c>
      <c r="J1744" t="str">
        <f>IF(COUNT('Weekly Log'!$A$5:$A$5000)=0,"",IF(MIN('Weekly Log'!$A$5:$A$5000)+7*(ROW()-10)&gt;MAX('Weekly Log'!$A$5:$A$5000),"",MIN('Weekly Log'!$A$5:$A$5000)+7*(ROW()-10)))</f>
        <v/>
      </c>
    </row>
    <row r="1745" spans="1:10" x14ac:dyDescent="0.25">
      <c r="A1745" t="str">
        <f t="shared" si="27"/>
        <v/>
      </c>
      <c r="B1745" t="str">
        <f>IF($J1745="","",SUMIFS('Weekly Log'!$C:$C,'Weekly Log'!$A:$A,"&gt;="&amp;$J1745,'Weekly Log'!$A:$A,"&lt;"&amp;$J1745+7))</f>
        <v/>
      </c>
      <c r="C1745" t="str">
        <f>IF($J1745="","",IFERROR(COUNTIFS('Weekly Log'!$G:$G,"Y",'Weekly Log'!$A:$A,"&gt;="&amp;$J1745,'Weekly Log'!$A:$A,"&lt;"&amp;$J1745+7)/COUNTIFS('Weekly Log'!$G:$G,"&lt;&gt;",'Weekly Log'!$A:$A,"&gt;="&amp;$J1745,'Weekly Log'!$A:$A,"&lt;"&amp;$J1745+7),0))</f>
        <v/>
      </c>
      <c r="D1745" t="str">
        <f>IF($J1745="","",IFERROR(COUNTIFS('Weekly Log'!$H:$H,"Y",'Weekly Log'!$A:$A,"&gt;="&amp;$J1745,'Weekly Log'!$A:$A,"&lt;"&amp;$J1745+7)/COUNTIFS('Weekly Log'!$H:$H,"&lt;&gt;",'Weekly Log'!$A:$A,"&gt;="&amp;$J1745,'Weekly Log'!$A:$A,"&lt;"&amp;$J1745+7),0))</f>
        <v/>
      </c>
      <c r="E1745" t="str">
        <f>IF($J1745="","",IFERROR(AVERAGEIFS('Weekly Log'!$F:$F,'Weekly Log'!$A:$A,"&gt;="&amp;$J1745,'Weekly Log'!$A:$A,"&lt;"&amp;$J1745+7),0))</f>
        <v/>
      </c>
      <c r="F1745" t="str">
        <f>IF($J1745="","",IFERROR(SUMIFS('Weekly Log'!$F:$F,'Weekly Log'!$A:$A,"&gt;="&amp;$J1745,'Weekly Log'!$A:$A,"&lt;"&amp;$J1745+7)/SUMIFS('Weekly Log'!$E:$E,'Weekly Log'!$A:$A,"&gt;="&amp;$J1745,'Weekly Log'!$A:$A,"&lt;"&amp;$J1745+7),0))</f>
        <v/>
      </c>
      <c r="G1745" t="str">
        <f>IF($J1745="","",IFERROR(LOOKUP(2,1/(('Weekly Log'!$A$5:$A$5000&gt;=$J1745)*('Weekly Log'!$A$5:$A$5000&lt;$J1745+7)*('Weekly Log'!$M$5:$M$5000&lt;&gt;"")),'Weekly Log'!$M$5:$M$5000),0))</f>
        <v/>
      </c>
      <c r="J1745" t="str">
        <f>IF(COUNT('Weekly Log'!$A$5:$A$5000)=0,"",IF(MIN('Weekly Log'!$A$5:$A$5000)+7*(ROW()-10)&gt;MAX('Weekly Log'!$A$5:$A$5000),"",MIN('Weekly Log'!$A$5:$A$5000)+7*(ROW()-10)))</f>
        <v/>
      </c>
    </row>
    <row r="1746" spans="1:10" x14ac:dyDescent="0.25">
      <c r="A1746" t="str">
        <f t="shared" si="27"/>
        <v/>
      </c>
      <c r="B1746" t="str">
        <f>IF($J1746="","",SUMIFS('Weekly Log'!$C:$C,'Weekly Log'!$A:$A,"&gt;="&amp;$J1746,'Weekly Log'!$A:$A,"&lt;"&amp;$J1746+7))</f>
        <v/>
      </c>
      <c r="C1746" t="str">
        <f>IF($J1746="","",IFERROR(COUNTIFS('Weekly Log'!$G:$G,"Y",'Weekly Log'!$A:$A,"&gt;="&amp;$J1746,'Weekly Log'!$A:$A,"&lt;"&amp;$J1746+7)/COUNTIFS('Weekly Log'!$G:$G,"&lt;&gt;",'Weekly Log'!$A:$A,"&gt;="&amp;$J1746,'Weekly Log'!$A:$A,"&lt;"&amp;$J1746+7),0))</f>
        <v/>
      </c>
      <c r="D1746" t="str">
        <f>IF($J1746="","",IFERROR(COUNTIFS('Weekly Log'!$H:$H,"Y",'Weekly Log'!$A:$A,"&gt;="&amp;$J1746,'Weekly Log'!$A:$A,"&lt;"&amp;$J1746+7)/COUNTIFS('Weekly Log'!$H:$H,"&lt;&gt;",'Weekly Log'!$A:$A,"&gt;="&amp;$J1746,'Weekly Log'!$A:$A,"&lt;"&amp;$J1746+7),0))</f>
        <v/>
      </c>
      <c r="E1746" t="str">
        <f>IF($J1746="","",IFERROR(AVERAGEIFS('Weekly Log'!$F:$F,'Weekly Log'!$A:$A,"&gt;="&amp;$J1746,'Weekly Log'!$A:$A,"&lt;"&amp;$J1746+7),0))</f>
        <v/>
      </c>
      <c r="F1746" t="str">
        <f>IF($J1746="","",IFERROR(SUMIFS('Weekly Log'!$F:$F,'Weekly Log'!$A:$A,"&gt;="&amp;$J1746,'Weekly Log'!$A:$A,"&lt;"&amp;$J1746+7)/SUMIFS('Weekly Log'!$E:$E,'Weekly Log'!$A:$A,"&gt;="&amp;$J1746,'Weekly Log'!$A:$A,"&lt;"&amp;$J1746+7),0))</f>
        <v/>
      </c>
      <c r="G1746" t="str">
        <f>IF($J1746="","",IFERROR(LOOKUP(2,1/(('Weekly Log'!$A$5:$A$5000&gt;=$J1746)*('Weekly Log'!$A$5:$A$5000&lt;$J1746+7)*('Weekly Log'!$M$5:$M$5000&lt;&gt;"")),'Weekly Log'!$M$5:$M$5000),0))</f>
        <v/>
      </c>
      <c r="J1746" t="str">
        <f>IF(COUNT('Weekly Log'!$A$5:$A$5000)=0,"",IF(MIN('Weekly Log'!$A$5:$A$5000)+7*(ROW()-10)&gt;MAX('Weekly Log'!$A$5:$A$5000),"",MIN('Weekly Log'!$A$5:$A$5000)+7*(ROW()-10)))</f>
        <v/>
      </c>
    </row>
    <row r="1747" spans="1:10" x14ac:dyDescent="0.25">
      <c r="A1747" t="str">
        <f t="shared" si="27"/>
        <v/>
      </c>
      <c r="B1747" t="str">
        <f>IF($J1747="","",SUMIFS('Weekly Log'!$C:$C,'Weekly Log'!$A:$A,"&gt;="&amp;$J1747,'Weekly Log'!$A:$A,"&lt;"&amp;$J1747+7))</f>
        <v/>
      </c>
      <c r="C1747" t="str">
        <f>IF($J1747="","",IFERROR(COUNTIFS('Weekly Log'!$G:$G,"Y",'Weekly Log'!$A:$A,"&gt;="&amp;$J1747,'Weekly Log'!$A:$A,"&lt;"&amp;$J1747+7)/COUNTIFS('Weekly Log'!$G:$G,"&lt;&gt;",'Weekly Log'!$A:$A,"&gt;="&amp;$J1747,'Weekly Log'!$A:$A,"&lt;"&amp;$J1747+7),0))</f>
        <v/>
      </c>
      <c r="D1747" t="str">
        <f>IF($J1747="","",IFERROR(COUNTIFS('Weekly Log'!$H:$H,"Y",'Weekly Log'!$A:$A,"&gt;="&amp;$J1747,'Weekly Log'!$A:$A,"&lt;"&amp;$J1747+7)/COUNTIFS('Weekly Log'!$H:$H,"&lt;&gt;",'Weekly Log'!$A:$A,"&gt;="&amp;$J1747,'Weekly Log'!$A:$A,"&lt;"&amp;$J1747+7),0))</f>
        <v/>
      </c>
      <c r="E1747" t="str">
        <f>IF($J1747="","",IFERROR(AVERAGEIFS('Weekly Log'!$F:$F,'Weekly Log'!$A:$A,"&gt;="&amp;$J1747,'Weekly Log'!$A:$A,"&lt;"&amp;$J1747+7),0))</f>
        <v/>
      </c>
      <c r="F1747" t="str">
        <f>IF($J1747="","",IFERROR(SUMIFS('Weekly Log'!$F:$F,'Weekly Log'!$A:$A,"&gt;="&amp;$J1747,'Weekly Log'!$A:$A,"&lt;"&amp;$J1747+7)/SUMIFS('Weekly Log'!$E:$E,'Weekly Log'!$A:$A,"&gt;="&amp;$J1747,'Weekly Log'!$A:$A,"&lt;"&amp;$J1747+7),0))</f>
        <v/>
      </c>
      <c r="G1747" t="str">
        <f>IF($J1747="","",IFERROR(LOOKUP(2,1/(('Weekly Log'!$A$5:$A$5000&gt;=$J1747)*('Weekly Log'!$A$5:$A$5000&lt;$J1747+7)*('Weekly Log'!$M$5:$M$5000&lt;&gt;"")),'Weekly Log'!$M$5:$M$5000),0))</f>
        <v/>
      </c>
      <c r="J1747" t="str">
        <f>IF(COUNT('Weekly Log'!$A$5:$A$5000)=0,"",IF(MIN('Weekly Log'!$A$5:$A$5000)+7*(ROW()-10)&gt;MAX('Weekly Log'!$A$5:$A$5000),"",MIN('Weekly Log'!$A$5:$A$5000)+7*(ROW()-10)))</f>
        <v/>
      </c>
    </row>
    <row r="1748" spans="1:10" x14ac:dyDescent="0.25">
      <c r="A1748" t="str">
        <f t="shared" si="27"/>
        <v/>
      </c>
      <c r="B1748" t="str">
        <f>IF($J1748="","",SUMIFS('Weekly Log'!$C:$C,'Weekly Log'!$A:$A,"&gt;="&amp;$J1748,'Weekly Log'!$A:$A,"&lt;"&amp;$J1748+7))</f>
        <v/>
      </c>
      <c r="C1748" t="str">
        <f>IF($J1748="","",IFERROR(COUNTIFS('Weekly Log'!$G:$G,"Y",'Weekly Log'!$A:$A,"&gt;="&amp;$J1748,'Weekly Log'!$A:$A,"&lt;"&amp;$J1748+7)/COUNTIFS('Weekly Log'!$G:$G,"&lt;&gt;",'Weekly Log'!$A:$A,"&gt;="&amp;$J1748,'Weekly Log'!$A:$A,"&lt;"&amp;$J1748+7),0))</f>
        <v/>
      </c>
      <c r="D1748" t="str">
        <f>IF($J1748="","",IFERROR(COUNTIFS('Weekly Log'!$H:$H,"Y",'Weekly Log'!$A:$A,"&gt;="&amp;$J1748,'Weekly Log'!$A:$A,"&lt;"&amp;$J1748+7)/COUNTIFS('Weekly Log'!$H:$H,"&lt;&gt;",'Weekly Log'!$A:$A,"&gt;="&amp;$J1748,'Weekly Log'!$A:$A,"&lt;"&amp;$J1748+7),0))</f>
        <v/>
      </c>
      <c r="E1748" t="str">
        <f>IF($J1748="","",IFERROR(AVERAGEIFS('Weekly Log'!$F:$F,'Weekly Log'!$A:$A,"&gt;="&amp;$J1748,'Weekly Log'!$A:$A,"&lt;"&amp;$J1748+7),0))</f>
        <v/>
      </c>
      <c r="F1748" t="str">
        <f>IF($J1748="","",IFERROR(SUMIFS('Weekly Log'!$F:$F,'Weekly Log'!$A:$A,"&gt;="&amp;$J1748,'Weekly Log'!$A:$A,"&lt;"&amp;$J1748+7)/SUMIFS('Weekly Log'!$E:$E,'Weekly Log'!$A:$A,"&gt;="&amp;$J1748,'Weekly Log'!$A:$A,"&lt;"&amp;$J1748+7),0))</f>
        <v/>
      </c>
      <c r="G1748" t="str">
        <f>IF($J1748="","",IFERROR(LOOKUP(2,1/(('Weekly Log'!$A$5:$A$5000&gt;=$J1748)*('Weekly Log'!$A$5:$A$5000&lt;$J1748+7)*('Weekly Log'!$M$5:$M$5000&lt;&gt;"")),'Weekly Log'!$M$5:$M$5000),0))</f>
        <v/>
      </c>
      <c r="J1748" t="str">
        <f>IF(COUNT('Weekly Log'!$A$5:$A$5000)=0,"",IF(MIN('Weekly Log'!$A$5:$A$5000)+7*(ROW()-10)&gt;MAX('Weekly Log'!$A$5:$A$5000),"",MIN('Weekly Log'!$A$5:$A$5000)+7*(ROW()-10)))</f>
        <v/>
      </c>
    </row>
    <row r="1749" spans="1:10" x14ac:dyDescent="0.25">
      <c r="A1749" t="str">
        <f t="shared" si="27"/>
        <v/>
      </c>
      <c r="B1749" t="str">
        <f>IF($J1749="","",SUMIFS('Weekly Log'!$C:$C,'Weekly Log'!$A:$A,"&gt;="&amp;$J1749,'Weekly Log'!$A:$A,"&lt;"&amp;$J1749+7))</f>
        <v/>
      </c>
      <c r="C1749" t="str">
        <f>IF($J1749="","",IFERROR(COUNTIFS('Weekly Log'!$G:$G,"Y",'Weekly Log'!$A:$A,"&gt;="&amp;$J1749,'Weekly Log'!$A:$A,"&lt;"&amp;$J1749+7)/COUNTIFS('Weekly Log'!$G:$G,"&lt;&gt;",'Weekly Log'!$A:$A,"&gt;="&amp;$J1749,'Weekly Log'!$A:$A,"&lt;"&amp;$J1749+7),0))</f>
        <v/>
      </c>
      <c r="D1749" t="str">
        <f>IF($J1749="","",IFERROR(COUNTIFS('Weekly Log'!$H:$H,"Y",'Weekly Log'!$A:$A,"&gt;="&amp;$J1749,'Weekly Log'!$A:$A,"&lt;"&amp;$J1749+7)/COUNTIFS('Weekly Log'!$H:$H,"&lt;&gt;",'Weekly Log'!$A:$A,"&gt;="&amp;$J1749,'Weekly Log'!$A:$A,"&lt;"&amp;$J1749+7),0))</f>
        <v/>
      </c>
      <c r="E1749" t="str">
        <f>IF($J1749="","",IFERROR(AVERAGEIFS('Weekly Log'!$F:$F,'Weekly Log'!$A:$A,"&gt;="&amp;$J1749,'Weekly Log'!$A:$A,"&lt;"&amp;$J1749+7),0))</f>
        <v/>
      </c>
      <c r="F1749" t="str">
        <f>IF($J1749="","",IFERROR(SUMIFS('Weekly Log'!$F:$F,'Weekly Log'!$A:$A,"&gt;="&amp;$J1749,'Weekly Log'!$A:$A,"&lt;"&amp;$J1749+7)/SUMIFS('Weekly Log'!$E:$E,'Weekly Log'!$A:$A,"&gt;="&amp;$J1749,'Weekly Log'!$A:$A,"&lt;"&amp;$J1749+7),0))</f>
        <v/>
      </c>
      <c r="G1749" t="str">
        <f>IF($J1749="","",IFERROR(LOOKUP(2,1/(('Weekly Log'!$A$5:$A$5000&gt;=$J1749)*('Weekly Log'!$A$5:$A$5000&lt;$J1749+7)*('Weekly Log'!$M$5:$M$5000&lt;&gt;"")),'Weekly Log'!$M$5:$M$5000),0))</f>
        <v/>
      </c>
      <c r="J1749" t="str">
        <f>IF(COUNT('Weekly Log'!$A$5:$A$5000)=0,"",IF(MIN('Weekly Log'!$A$5:$A$5000)+7*(ROW()-10)&gt;MAX('Weekly Log'!$A$5:$A$5000),"",MIN('Weekly Log'!$A$5:$A$5000)+7*(ROW()-10)))</f>
        <v/>
      </c>
    </row>
    <row r="1750" spans="1:10" x14ac:dyDescent="0.25">
      <c r="A1750" t="str">
        <f t="shared" si="27"/>
        <v/>
      </c>
      <c r="B1750" t="str">
        <f>IF($J1750="","",SUMIFS('Weekly Log'!$C:$C,'Weekly Log'!$A:$A,"&gt;="&amp;$J1750,'Weekly Log'!$A:$A,"&lt;"&amp;$J1750+7))</f>
        <v/>
      </c>
      <c r="C1750" t="str">
        <f>IF($J1750="","",IFERROR(COUNTIFS('Weekly Log'!$G:$G,"Y",'Weekly Log'!$A:$A,"&gt;="&amp;$J1750,'Weekly Log'!$A:$A,"&lt;"&amp;$J1750+7)/COUNTIFS('Weekly Log'!$G:$G,"&lt;&gt;",'Weekly Log'!$A:$A,"&gt;="&amp;$J1750,'Weekly Log'!$A:$A,"&lt;"&amp;$J1750+7),0))</f>
        <v/>
      </c>
      <c r="D1750" t="str">
        <f>IF($J1750="","",IFERROR(COUNTIFS('Weekly Log'!$H:$H,"Y",'Weekly Log'!$A:$A,"&gt;="&amp;$J1750,'Weekly Log'!$A:$A,"&lt;"&amp;$J1750+7)/COUNTIFS('Weekly Log'!$H:$H,"&lt;&gt;",'Weekly Log'!$A:$A,"&gt;="&amp;$J1750,'Weekly Log'!$A:$A,"&lt;"&amp;$J1750+7),0))</f>
        <v/>
      </c>
      <c r="E1750" t="str">
        <f>IF($J1750="","",IFERROR(AVERAGEIFS('Weekly Log'!$F:$F,'Weekly Log'!$A:$A,"&gt;="&amp;$J1750,'Weekly Log'!$A:$A,"&lt;"&amp;$J1750+7),0))</f>
        <v/>
      </c>
      <c r="F1750" t="str">
        <f>IF($J1750="","",IFERROR(SUMIFS('Weekly Log'!$F:$F,'Weekly Log'!$A:$A,"&gt;="&amp;$J1750,'Weekly Log'!$A:$A,"&lt;"&amp;$J1750+7)/SUMIFS('Weekly Log'!$E:$E,'Weekly Log'!$A:$A,"&gt;="&amp;$J1750,'Weekly Log'!$A:$A,"&lt;"&amp;$J1750+7),0))</f>
        <v/>
      </c>
      <c r="G1750" t="str">
        <f>IF($J1750="","",IFERROR(LOOKUP(2,1/(('Weekly Log'!$A$5:$A$5000&gt;=$J1750)*('Weekly Log'!$A$5:$A$5000&lt;$J1750+7)*('Weekly Log'!$M$5:$M$5000&lt;&gt;"")),'Weekly Log'!$M$5:$M$5000),0))</f>
        <v/>
      </c>
      <c r="J1750" t="str">
        <f>IF(COUNT('Weekly Log'!$A$5:$A$5000)=0,"",IF(MIN('Weekly Log'!$A$5:$A$5000)+7*(ROW()-10)&gt;MAX('Weekly Log'!$A$5:$A$5000),"",MIN('Weekly Log'!$A$5:$A$5000)+7*(ROW()-10)))</f>
        <v/>
      </c>
    </row>
    <row r="1751" spans="1:10" x14ac:dyDescent="0.25">
      <c r="A1751" t="str">
        <f t="shared" si="27"/>
        <v/>
      </c>
      <c r="B1751" t="str">
        <f>IF($J1751="","",SUMIFS('Weekly Log'!$C:$C,'Weekly Log'!$A:$A,"&gt;="&amp;$J1751,'Weekly Log'!$A:$A,"&lt;"&amp;$J1751+7))</f>
        <v/>
      </c>
      <c r="C1751" t="str">
        <f>IF($J1751="","",IFERROR(COUNTIFS('Weekly Log'!$G:$G,"Y",'Weekly Log'!$A:$A,"&gt;="&amp;$J1751,'Weekly Log'!$A:$A,"&lt;"&amp;$J1751+7)/COUNTIFS('Weekly Log'!$G:$G,"&lt;&gt;",'Weekly Log'!$A:$A,"&gt;="&amp;$J1751,'Weekly Log'!$A:$A,"&lt;"&amp;$J1751+7),0))</f>
        <v/>
      </c>
      <c r="D1751" t="str">
        <f>IF($J1751="","",IFERROR(COUNTIFS('Weekly Log'!$H:$H,"Y",'Weekly Log'!$A:$A,"&gt;="&amp;$J1751,'Weekly Log'!$A:$A,"&lt;"&amp;$J1751+7)/COUNTIFS('Weekly Log'!$H:$H,"&lt;&gt;",'Weekly Log'!$A:$A,"&gt;="&amp;$J1751,'Weekly Log'!$A:$A,"&lt;"&amp;$J1751+7),0))</f>
        <v/>
      </c>
      <c r="E1751" t="str">
        <f>IF($J1751="","",IFERROR(AVERAGEIFS('Weekly Log'!$F:$F,'Weekly Log'!$A:$A,"&gt;="&amp;$J1751,'Weekly Log'!$A:$A,"&lt;"&amp;$J1751+7),0))</f>
        <v/>
      </c>
      <c r="F1751" t="str">
        <f>IF($J1751="","",IFERROR(SUMIFS('Weekly Log'!$F:$F,'Weekly Log'!$A:$A,"&gt;="&amp;$J1751,'Weekly Log'!$A:$A,"&lt;"&amp;$J1751+7)/SUMIFS('Weekly Log'!$E:$E,'Weekly Log'!$A:$A,"&gt;="&amp;$J1751,'Weekly Log'!$A:$A,"&lt;"&amp;$J1751+7),0))</f>
        <v/>
      </c>
      <c r="G1751" t="str">
        <f>IF($J1751="","",IFERROR(LOOKUP(2,1/(('Weekly Log'!$A$5:$A$5000&gt;=$J1751)*('Weekly Log'!$A$5:$A$5000&lt;$J1751+7)*('Weekly Log'!$M$5:$M$5000&lt;&gt;"")),'Weekly Log'!$M$5:$M$5000),0))</f>
        <v/>
      </c>
      <c r="J1751" t="str">
        <f>IF(COUNT('Weekly Log'!$A$5:$A$5000)=0,"",IF(MIN('Weekly Log'!$A$5:$A$5000)+7*(ROW()-10)&gt;MAX('Weekly Log'!$A$5:$A$5000),"",MIN('Weekly Log'!$A$5:$A$5000)+7*(ROW()-10)))</f>
        <v/>
      </c>
    </row>
    <row r="1752" spans="1:10" x14ac:dyDescent="0.25">
      <c r="A1752" t="str">
        <f t="shared" si="27"/>
        <v/>
      </c>
      <c r="B1752" t="str">
        <f>IF($J1752="","",SUMIFS('Weekly Log'!$C:$C,'Weekly Log'!$A:$A,"&gt;="&amp;$J1752,'Weekly Log'!$A:$A,"&lt;"&amp;$J1752+7))</f>
        <v/>
      </c>
      <c r="C1752" t="str">
        <f>IF($J1752="","",IFERROR(COUNTIFS('Weekly Log'!$G:$G,"Y",'Weekly Log'!$A:$A,"&gt;="&amp;$J1752,'Weekly Log'!$A:$A,"&lt;"&amp;$J1752+7)/COUNTIFS('Weekly Log'!$G:$G,"&lt;&gt;",'Weekly Log'!$A:$A,"&gt;="&amp;$J1752,'Weekly Log'!$A:$A,"&lt;"&amp;$J1752+7),0))</f>
        <v/>
      </c>
      <c r="D1752" t="str">
        <f>IF($J1752="","",IFERROR(COUNTIFS('Weekly Log'!$H:$H,"Y",'Weekly Log'!$A:$A,"&gt;="&amp;$J1752,'Weekly Log'!$A:$A,"&lt;"&amp;$J1752+7)/COUNTIFS('Weekly Log'!$H:$H,"&lt;&gt;",'Weekly Log'!$A:$A,"&gt;="&amp;$J1752,'Weekly Log'!$A:$A,"&lt;"&amp;$J1752+7),0))</f>
        <v/>
      </c>
      <c r="E1752" t="str">
        <f>IF($J1752="","",IFERROR(AVERAGEIFS('Weekly Log'!$F:$F,'Weekly Log'!$A:$A,"&gt;="&amp;$J1752,'Weekly Log'!$A:$A,"&lt;"&amp;$J1752+7),0))</f>
        <v/>
      </c>
      <c r="F1752" t="str">
        <f>IF($J1752="","",IFERROR(SUMIFS('Weekly Log'!$F:$F,'Weekly Log'!$A:$A,"&gt;="&amp;$J1752,'Weekly Log'!$A:$A,"&lt;"&amp;$J1752+7)/SUMIFS('Weekly Log'!$E:$E,'Weekly Log'!$A:$A,"&gt;="&amp;$J1752,'Weekly Log'!$A:$A,"&lt;"&amp;$J1752+7),0))</f>
        <v/>
      </c>
      <c r="G1752" t="str">
        <f>IF($J1752="","",IFERROR(LOOKUP(2,1/(('Weekly Log'!$A$5:$A$5000&gt;=$J1752)*('Weekly Log'!$A$5:$A$5000&lt;$J1752+7)*('Weekly Log'!$M$5:$M$5000&lt;&gt;"")),'Weekly Log'!$M$5:$M$5000),0))</f>
        <v/>
      </c>
      <c r="J1752" t="str">
        <f>IF(COUNT('Weekly Log'!$A$5:$A$5000)=0,"",IF(MIN('Weekly Log'!$A$5:$A$5000)+7*(ROW()-10)&gt;MAX('Weekly Log'!$A$5:$A$5000),"",MIN('Weekly Log'!$A$5:$A$5000)+7*(ROW()-10)))</f>
        <v/>
      </c>
    </row>
    <row r="1753" spans="1:10" x14ac:dyDescent="0.25">
      <c r="A1753" t="str">
        <f t="shared" si="27"/>
        <v/>
      </c>
      <c r="B1753" t="str">
        <f>IF($J1753="","",SUMIFS('Weekly Log'!$C:$C,'Weekly Log'!$A:$A,"&gt;="&amp;$J1753,'Weekly Log'!$A:$A,"&lt;"&amp;$J1753+7))</f>
        <v/>
      </c>
      <c r="C1753" t="str">
        <f>IF($J1753="","",IFERROR(COUNTIFS('Weekly Log'!$G:$G,"Y",'Weekly Log'!$A:$A,"&gt;="&amp;$J1753,'Weekly Log'!$A:$A,"&lt;"&amp;$J1753+7)/COUNTIFS('Weekly Log'!$G:$G,"&lt;&gt;",'Weekly Log'!$A:$A,"&gt;="&amp;$J1753,'Weekly Log'!$A:$A,"&lt;"&amp;$J1753+7),0))</f>
        <v/>
      </c>
      <c r="D1753" t="str">
        <f>IF($J1753="","",IFERROR(COUNTIFS('Weekly Log'!$H:$H,"Y",'Weekly Log'!$A:$A,"&gt;="&amp;$J1753,'Weekly Log'!$A:$A,"&lt;"&amp;$J1753+7)/COUNTIFS('Weekly Log'!$H:$H,"&lt;&gt;",'Weekly Log'!$A:$A,"&gt;="&amp;$J1753,'Weekly Log'!$A:$A,"&lt;"&amp;$J1753+7),0))</f>
        <v/>
      </c>
      <c r="E1753" t="str">
        <f>IF($J1753="","",IFERROR(AVERAGEIFS('Weekly Log'!$F:$F,'Weekly Log'!$A:$A,"&gt;="&amp;$J1753,'Weekly Log'!$A:$A,"&lt;"&amp;$J1753+7),0))</f>
        <v/>
      </c>
      <c r="F1753" t="str">
        <f>IF($J1753="","",IFERROR(SUMIFS('Weekly Log'!$F:$F,'Weekly Log'!$A:$A,"&gt;="&amp;$J1753,'Weekly Log'!$A:$A,"&lt;"&amp;$J1753+7)/SUMIFS('Weekly Log'!$E:$E,'Weekly Log'!$A:$A,"&gt;="&amp;$J1753,'Weekly Log'!$A:$A,"&lt;"&amp;$J1753+7),0))</f>
        <v/>
      </c>
      <c r="G1753" t="str">
        <f>IF($J1753="","",IFERROR(LOOKUP(2,1/(('Weekly Log'!$A$5:$A$5000&gt;=$J1753)*('Weekly Log'!$A$5:$A$5000&lt;$J1753+7)*('Weekly Log'!$M$5:$M$5000&lt;&gt;"")),'Weekly Log'!$M$5:$M$5000),0))</f>
        <v/>
      </c>
      <c r="J1753" t="str">
        <f>IF(COUNT('Weekly Log'!$A$5:$A$5000)=0,"",IF(MIN('Weekly Log'!$A$5:$A$5000)+7*(ROW()-10)&gt;MAX('Weekly Log'!$A$5:$A$5000),"",MIN('Weekly Log'!$A$5:$A$5000)+7*(ROW()-10)))</f>
        <v/>
      </c>
    </row>
    <row r="1754" spans="1:10" x14ac:dyDescent="0.25">
      <c r="A1754" t="str">
        <f t="shared" si="27"/>
        <v/>
      </c>
      <c r="B1754" t="str">
        <f>IF($J1754="","",SUMIFS('Weekly Log'!$C:$C,'Weekly Log'!$A:$A,"&gt;="&amp;$J1754,'Weekly Log'!$A:$A,"&lt;"&amp;$J1754+7))</f>
        <v/>
      </c>
      <c r="C1754" t="str">
        <f>IF($J1754="","",IFERROR(COUNTIFS('Weekly Log'!$G:$G,"Y",'Weekly Log'!$A:$A,"&gt;="&amp;$J1754,'Weekly Log'!$A:$A,"&lt;"&amp;$J1754+7)/COUNTIFS('Weekly Log'!$G:$G,"&lt;&gt;",'Weekly Log'!$A:$A,"&gt;="&amp;$J1754,'Weekly Log'!$A:$A,"&lt;"&amp;$J1754+7),0))</f>
        <v/>
      </c>
      <c r="D1754" t="str">
        <f>IF($J1754="","",IFERROR(COUNTIFS('Weekly Log'!$H:$H,"Y",'Weekly Log'!$A:$A,"&gt;="&amp;$J1754,'Weekly Log'!$A:$A,"&lt;"&amp;$J1754+7)/COUNTIFS('Weekly Log'!$H:$H,"&lt;&gt;",'Weekly Log'!$A:$A,"&gt;="&amp;$J1754,'Weekly Log'!$A:$A,"&lt;"&amp;$J1754+7),0))</f>
        <v/>
      </c>
      <c r="E1754" t="str">
        <f>IF($J1754="","",IFERROR(AVERAGEIFS('Weekly Log'!$F:$F,'Weekly Log'!$A:$A,"&gt;="&amp;$J1754,'Weekly Log'!$A:$A,"&lt;"&amp;$J1754+7),0))</f>
        <v/>
      </c>
      <c r="F1754" t="str">
        <f>IF($J1754="","",IFERROR(SUMIFS('Weekly Log'!$F:$F,'Weekly Log'!$A:$A,"&gt;="&amp;$J1754,'Weekly Log'!$A:$A,"&lt;"&amp;$J1754+7)/SUMIFS('Weekly Log'!$E:$E,'Weekly Log'!$A:$A,"&gt;="&amp;$J1754,'Weekly Log'!$A:$A,"&lt;"&amp;$J1754+7),0))</f>
        <v/>
      </c>
      <c r="G1754" t="str">
        <f>IF($J1754="","",IFERROR(LOOKUP(2,1/(('Weekly Log'!$A$5:$A$5000&gt;=$J1754)*('Weekly Log'!$A$5:$A$5000&lt;$J1754+7)*('Weekly Log'!$M$5:$M$5000&lt;&gt;"")),'Weekly Log'!$M$5:$M$5000),0))</f>
        <v/>
      </c>
      <c r="J1754" t="str">
        <f>IF(COUNT('Weekly Log'!$A$5:$A$5000)=0,"",IF(MIN('Weekly Log'!$A$5:$A$5000)+7*(ROW()-10)&gt;MAX('Weekly Log'!$A$5:$A$5000),"",MIN('Weekly Log'!$A$5:$A$5000)+7*(ROW()-10)))</f>
        <v/>
      </c>
    </row>
    <row r="1755" spans="1:10" x14ac:dyDescent="0.25">
      <c r="A1755" t="str">
        <f t="shared" si="27"/>
        <v/>
      </c>
      <c r="B1755" t="str">
        <f>IF($J1755="","",SUMIFS('Weekly Log'!$C:$C,'Weekly Log'!$A:$A,"&gt;="&amp;$J1755,'Weekly Log'!$A:$A,"&lt;"&amp;$J1755+7))</f>
        <v/>
      </c>
      <c r="C1755" t="str">
        <f>IF($J1755="","",IFERROR(COUNTIFS('Weekly Log'!$G:$G,"Y",'Weekly Log'!$A:$A,"&gt;="&amp;$J1755,'Weekly Log'!$A:$A,"&lt;"&amp;$J1755+7)/COUNTIFS('Weekly Log'!$G:$G,"&lt;&gt;",'Weekly Log'!$A:$A,"&gt;="&amp;$J1755,'Weekly Log'!$A:$A,"&lt;"&amp;$J1755+7),0))</f>
        <v/>
      </c>
      <c r="D1755" t="str">
        <f>IF($J1755="","",IFERROR(COUNTIFS('Weekly Log'!$H:$H,"Y",'Weekly Log'!$A:$A,"&gt;="&amp;$J1755,'Weekly Log'!$A:$A,"&lt;"&amp;$J1755+7)/COUNTIFS('Weekly Log'!$H:$H,"&lt;&gt;",'Weekly Log'!$A:$A,"&gt;="&amp;$J1755,'Weekly Log'!$A:$A,"&lt;"&amp;$J1755+7),0))</f>
        <v/>
      </c>
      <c r="E1755" t="str">
        <f>IF($J1755="","",IFERROR(AVERAGEIFS('Weekly Log'!$F:$F,'Weekly Log'!$A:$A,"&gt;="&amp;$J1755,'Weekly Log'!$A:$A,"&lt;"&amp;$J1755+7),0))</f>
        <v/>
      </c>
      <c r="F1755" t="str">
        <f>IF($J1755="","",IFERROR(SUMIFS('Weekly Log'!$F:$F,'Weekly Log'!$A:$A,"&gt;="&amp;$J1755,'Weekly Log'!$A:$A,"&lt;"&amp;$J1755+7)/SUMIFS('Weekly Log'!$E:$E,'Weekly Log'!$A:$A,"&gt;="&amp;$J1755,'Weekly Log'!$A:$A,"&lt;"&amp;$J1755+7),0))</f>
        <v/>
      </c>
      <c r="G1755" t="str">
        <f>IF($J1755="","",IFERROR(LOOKUP(2,1/(('Weekly Log'!$A$5:$A$5000&gt;=$J1755)*('Weekly Log'!$A$5:$A$5000&lt;$J1755+7)*('Weekly Log'!$M$5:$M$5000&lt;&gt;"")),'Weekly Log'!$M$5:$M$5000),0))</f>
        <v/>
      </c>
      <c r="J1755" t="str">
        <f>IF(COUNT('Weekly Log'!$A$5:$A$5000)=0,"",IF(MIN('Weekly Log'!$A$5:$A$5000)+7*(ROW()-10)&gt;MAX('Weekly Log'!$A$5:$A$5000),"",MIN('Weekly Log'!$A$5:$A$5000)+7*(ROW()-10)))</f>
        <v/>
      </c>
    </row>
    <row r="1756" spans="1:10" x14ac:dyDescent="0.25">
      <c r="A1756" t="str">
        <f t="shared" si="27"/>
        <v/>
      </c>
      <c r="B1756" t="str">
        <f>IF($J1756="","",SUMIFS('Weekly Log'!$C:$C,'Weekly Log'!$A:$A,"&gt;="&amp;$J1756,'Weekly Log'!$A:$A,"&lt;"&amp;$J1756+7))</f>
        <v/>
      </c>
      <c r="C1756" t="str">
        <f>IF($J1756="","",IFERROR(COUNTIFS('Weekly Log'!$G:$G,"Y",'Weekly Log'!$A:$A,"&gt;="&amp;$J1756,'Weekly Log'!$A:$A,"&lt;"&amp;$J1756+7)/COUNTIFS('Weekly Log'!$G:$G,"&lt;&gt;",'Weekly Log'!$A:$A,"&gt;="&amp;$J1756,'Weekly Log'!$A:$A,"&lt;"&amp;$J1756+7),0))</f>
        <v/>
      </c>
      <c r="D1756" t="str">
        <f>IF($J1756="","",IFERROR(COUNTIFS('Weekly Log'!$H:$H,"Y",'Weekly Log'!$A:$A,"&gt;="&amp;$J1756,'Weekly Log'!$A:$A,"&lt;"&amp;$J1756+7)/COUNTIFS('Weekly Log'!$H:$H,"&lt;&gt;",'Weekly Log'!$A:$A,"&gt;="&amp;$J1756,'Weekly Log'!$A:$A,"&lt;"&amp;$J1756+7),0))</f>
        <v/>
      </c>
      <c r="E1756" t="str">
        <f>IF($J1756="","",IFERROR(AVERAGEIFS('Weekly Log'!$F:$F,'Weekly Log'!$A:$A,"&gt;="&amp;$J1756,'Weekly Log'!$A:$A,"&lt;"&amp;$J1756+7),0))</f>
        <v/>
      </c>
      <c r="F1756" t="str">
        <f>IF($J1756="","",IFERROR(SUMIFS('Weekly Log'!$F:$F,'Weekly Log'!$A:$A,"&gt;="&amp;$J1756,'Weekly Log'!$A:$A,"&lt;"&amp;$J1756+7)/SUMIFS('Weekly Log'!$E:$E,'Weekly Log'!$A:$A,"&gt;="&amp;$J1756,'Weekly Log'!$A:$A,"&lt;"&amp;$J1756+7),0))</f>
        <v/>
      </c>
      <c r="G1756" t="str">
        <f>IF($J1756="","",IFERROR(LOOKUP(2,1/(('Weekly Log'!$A$5:$A$5000&gt;=$J1756)*('Weekly Log'!$A$5:$A$5000&lt;$J1756+7)*('Weekly Log'!$M$5:$M$5000&lt;&gt;"")),'Weekly Log'!$M$5:$M$5000),0))</f>
        <v/>
      </c>
      <c r="J1756" t="str">
        <f>IF(COUNT('Weekly Log'!$A$5:$A$5000)=0,"",IF(MIN('Weekly Log'!$A$5:$A$5000)+7*(ROW()-10)&gt;MAX('Weekly Log'!$A$5:$A$5000),"",MIN('Weekly Log'!$A$5:$A$5000)+7*(ROW()-10)))</f>
        <v/>
      </c>
    </row>
    <row r="1757" spans="1:10" x14ac:dyDescent="0.25">
      <c r="A1757" t="str">
        <f t="shared" si="27"/>
        <v/>
      </c>
      <c r="B1757" t="str">
        <f>IF($J1757="","",SUMIFS('Weekly Log'!$C:$C,'Weekly Log'!$A:$A,"&gt;="&amp;$J1757,'Weekly Log'!$A:$A,"&lt;"&amp;$J1757+7))</f>
        <v/>
      </c>
      <c r="C1757" t="str">
        <f>IF($J1757="","",IFERROR(COUNTIFS('Weekly Log'!$G:$G,"Y",'Weekly Log'!$A:$A,"&gt;="&amp;$J1757,'Weekly Log'!$A:$A,"&lt;"&amp;$J1757+7)/COUNTIFS('Weekly Log'!$G:$G,"&lt;&gt;",'Weekly Log'!$A:$A,"&gt;="&amp;$J1757,'Weekly Log'!$A:$A,"&lt;"&amp;$J1757+7),0))</f>
        <v/>
      </c>
      <c r="D1757" t="str">
        <f>IF($J1757="","",IFERROR(COUNTIFS('Weekly Log'!$H:$H,"Y",'Weekly Log'!$A:$A,"&gt;="&amp;$J1757,'Weekly Log'!$A:$A,"&lt;"&amp;$J1757+7)/COUNTIFS('Weekly Log'!$H:$H,"&lt;&gt;",'Weekly Log'!$A:$A,"&gt;="&amp;$J1757,'Weekly Log'!$A:$A,"&lt;"&amp;$J1757+7),0))</f>
        <v/>
      </c>
      <c r="E1757" t="str">
        <f>IF($J1757="","",IFERROR(AVERAGEIFS('Weekly Log'!$F:$F,'Weekly Log'!$A:$A,"&gt;="&amp;$J1757,'Weekly Log'!$A:$A,"&lt;"&amp;$J1757+7),0))</f>
        <v/>
      </c>
      <c r="F1757" t="str">
        <f>IF($J1757="","",IFERROR(SUMIFS('Weekly Log'!$F:$F,'Weekly Log'!$A:$A,"&gt;="&amp;$J1757,'Weekly Log'!$A:$A,"&lt;"&amp;$J1757+7)/SUMIFS('Weekly Log'!$E:$E,'Weekly Log'!$A:$A,"&gt;="&amp;$J1757,'Weekly Log'!$A:$A,"&lt;"&amp;$J1757+7),0))</f>
        <v/>
      </c>
      <c r="G1757" t="str">
        <f>IF($J1757="","",IFERROR(LOOKUP(2,1/(('Weekly Log'!$A$5:$A$5000&gt;=$J1757)*('Weekly Log'!$A$5:$A$5000&lt;$J1757+7)*('Weekly Log'!$M$5:$M$5000&lt;&gt;"")),'Weekly Log'!$M$5:$M$5000),0))</f>
        <v/>
      </c>
      <c r="J1757" t="str">
        <f>IF(COUNT('Weekly Log'!$A$5:$A$5000)=0,"",IF(MIN('Weekly Log'!$A$5:$A$5000)+7*(ROW()-10)&gt;MAX('Weekly Log'!$A$5:$A$5000),"",MIN('Weekly Log'!$A$5:$A$5000)+7*(ROW()-10)))</f>
        <v/>
      </c>
    </row>
    <row r="1758" spans="1:10" x14ac:dyDescent="0.25">
      <c r="A1758" t="str">
        <f t="shared" si="27"/>
        <v/>
      </c>
      <c r="B1758" t="str">
        <f>IF($J1758="","",SUMIFS('Weekly Log'!$C:$C,'Weekly Log'!$A:$A,"&gt;="&amp;$J1758,'Weekly Log'!$A:$A,"&lt;"&amp;$J1758+7))</f>
        <v/>
      </c>
      <c r="C1758" t="str">
        <f>IF($J1758="","",IFERROR(COUNTIFS('Weekly Log'!$G:$G,"Y",'Weekly Log'!$A:$A,"&gt;="&amp;$J1758,'Weekly Log'!$A:$A,"&lt;"&amp;$J1758+7)/COUNTIFS('Weekly Log'!$G:$G,"&lt;&gt;",'Weekly Log'!$A:$A,"&gt;="&amp;$J1758,'Weekly Log'!$A:$A,"&lt;"&amp;$J1758+7),0))</f>
        <v/>
      </c>
      <c r="D1758" t="str">
        <f>IF($J1758="","",IFERROR(COUNTIFS('Weekly Log'!$H:$H,"Y",'Weekly Log'!$A:$A,"&gt;="&amp;$J1758,'Weekly Log'!$A:$A,"&lt;"&amp;$J1758+7)/COUNTIFS('Weekly Log'!$H:$H,"&lt;&gt;",'Weekly Log'!$A:$A,"&gt;="&amp;$J1758,'Weekly Log'!$A:$A,"&lt;"&amp;$J1758+7),0))</f>
        <v/>
      </c>
      <c r="E1758" t="str">
        <f>IF($J1758="","",IFERROR(AVERAGEIFS('Weekly Log'!$F:$F,'Weekly Log'!$A:$A,"&gt;="&amp;$J1758,'Weekly Log'!$A:$A,"&lt;"&amp;$J1758+7),0))</f>
        <v/>
      </c>
      <c r="F1758" t="str">
        <f>IF($J1758="","",IFERROR(SUMIFS('Weekly Log'!$F:$F,'Weekly Log'!$A:$A,"&gt;="&amp;$J1758,'Weekly Log'!$A:$A,"&lt;"&amp;$J1758+7)/SUMIFS('Weekly Log'!$E:$E,'Weekly Log'!$A:$A,"&gt;="&amp;$J1758,'Weekly Log'!$A:$A,"&lt;"&amp;$J1758+7),0))</f>
        <v/>
      </c>
      <c r="G1758" t="str">
        <f>IF($J1758="","",IFERROR(LOOKUP(2,1/(('Weekly Log'!$A$5:$A$5000&gt;=$J1758)*('Weekly Log'!$A$5:$A$5000&lt;$J1758+7)*('Weekly Log'!$M$5:$M$5000&lt;&gt;"")),'Weekly Log'!$M$5:$M$5000),0))</f>
        <v/>
      </c>
      <c r="J1758" t="str">
        <f>IF(COUNT('Weekly Log'!$A$5:$A$5000)=0,"",IF(MIN('Weekly Log'!$A$5:$A$5000)+7*(ROW()-10)&gt;MAX('Weekly Log'!$A$5:$A$5000),"",MIN('Weekly Log'!$A$5:$A$5000)+7*(ROW()-10)))</f>
        <v/>
      </c>
    </row>
    <row r="1759" spans="1:10" x14ac:dyDescent="0.25">
      <c r="A1759" t="str">
        <f t="shared" si="27"/>
        <v/>
      </c>
      <c r="B1759" t="str">
        <f>IF($J1759="","",SUMIFS('Weekly Log'!$C:$C,'Weekly Log'!$A:$A,"&gt;="&amp;$J1759,'Weekly Log'!$A:$A,"&lt;"&amp;$J1759+7))</f>
        <v/>
      </c>
      <c r="C1759" t="str">
        <f>IF($J1759="","",IFERROR(COUNTIFS('Weekly Log'!$G:$G,"Y",'Weekly Log'!$A:$A,"&gt;="&amp;$J1759,'Weekly Log'!$A:$A,"&lt;"&amp;$J1759+7)/COUNTIFS('Weekly Log'!$G:$G,"&lt;&gt;",'Weekly Log'!$A:$A,"&gt;="&amp;$J1759,'Weekly Log'!$A:$A,"&lt;"&amp;$J1759+7),0))</f>
        <v/>
      </c>
      <c r="D1759" t="str">
        <f>IF($J1759="","",IFERROR(COUNTIFS('Weekly Log'!$H:$H,"Y",'Weekly Log'!$A:$A,"&gt;="&amp;$J1759,'Weekly Log'!$A:$A,"&lt;"&amp;$J1759+7)/COUNTIFS('Weekly Log'!$H:$H,"&lt;&gt;",'Weekly Log'!$A:$A,"&gt;="&amp;$J1759,'Weekly Log'!$A:$A,"&lt;"&amp;$J1759+7),0))</f>
        <v/>
      </c>
      <c r="E1759" t="str">
        <f>IF($J1759="","",IFERROR(AVERAGEIFS('Weekly Log'!$F:$F,'Weekly Log'!$A:$A,"&gt;="&amp;$J1759,'Weekly Log'!$A:$A,"&lt;"&amp;$J1759+7),0))</f>
        <v/>
      </c>
      <c r="F1759" t="str">
        <f>IF($J1759="","",IFERROR(SUMIFS('Weekly Log'!$F:$F,'Weekly Log'!$A:$A,"&gt;="&amp;$J1759,'Weekly Log'!$A:$A,"&lt;"&amp;$J1759+7)/SUMIFS('Weekly Log'!$E:$E,'Weekly Log'!$A:$A,"&gt;="&amp;$J1759,'Weekly Log'!$A:$A,"&lt;"&amp;$J1759+7),0))</f>
        <v/>
      </c>
      <c r="G1759" t="str">
        <f>IF($J1759="","",IFERROR(LOOKUP(2,1/(('Weekly Log'!$A$5:$A$5000&gt;=$J1759)*('Weekly Log'!$A$5:$A$5000&lt;$J1759+7)*('Weekly Log'!$M$5:$M$5000&lt;&gt;"")),'Weekly Log'!$M$5:$M$5000),0))</f>
        <v/>
      </c>
      <c r="J1759" t="str">
        <f>IF(COUNT('Weekly Log'!$A$5:$A$5000)=0,"",IF(MIN('Weekly Log'!$A$5:$A$5000)+7*(ROW()-10)&gt;MAX('Weekly Log'!$A$5:$A$5000),"",MIN('Weekly Log'!$A$5:$A$5000)+7*(ROW()-10)))</f>
        <v/>
      </c>
    </row>
    <row r="1760" spans="1:10" x14ac:dyDescent="0.25">
      <c r="A1760" t="str">
        <f t="shared" si="27"/>
        <v/>
      </c>
      <c r="B1760" t="str">
        <f>IF($J1760="","",SUMIFS('Weekly Log'!$C:$C,'Weekly Log'!$A:$A,"&gt;="&amp;$J1760,'Weekly Log'!$A:$A,"&lt;"&amp;$J1760+7))</f>
        <v/>
      </c>
      <c r="C1760" t="str">
        <f>IF($J1760="","",IFERROR(COUNTIFS('Weekly Log'!$G:$G,"Y",'Weekly Log'!$A:$A,"&gt;="&amp;$J1760,'Weekly Log'!$A:$A,"&lt;"&amp;$J1760+7)/COUNTIFS('Weekly Log'!$G:$G,"&lt;&gt;",'Weekly Log'!$A:$A,"&gt;="&amp;$J1760,'Weekly Log'!$A:$A,"&lt;"&amp;$J1760+7),0))</f>
        <v/>
      </c>
      <c r="D1760" t="str">
        <f>IF($J1760="","",IFERROR(COUNTIFS('Weekly Log'!$H:$H,"Y",'Weekly Log'!$A:$A,"&gt;="&amp;$J1760,'Weekly Log'!$A:$A,"&lt;"&amp;$J1760+7)/COUNTIFS('Weekly Log'!$H:$H,"&lt;&gt;",'Weekly Log'!$A:$A,"&gt;="&amp;$J1760,'Weekly Log'!$A:$A,"&lt;"&amp;$J1760+7),0))</f>
        <v/>
      </c>
      <c r="E1760" t="str">
        <f>IF($J1760="","",IFERROR(AVERAGEIFS('Weekly Log'!$F:$F,'Weekly Log'!$A:$A,"&gt;="&amp;$J1760,'Weekly Log'!$A:$A,"&lt;"&amp;$J1760+7),0))</f>
        <v/>
      </c>
      <c r="F1760" t="str">
        <f>IF($J1760="","",IFERROR(SUMIFS('Weekly Log'!$F:$F,'Weekly Log'!$A:$A,"&gt;="&amp;$J1760,'Weekly Log'!$A:$A,"&lt;"&amp;$J1760+7)/SUMIFS('Weekly Log'!$E:$E,'Weekly Log'!$A:$A,"&gt;="&amp;$J1760,'Weekly Log'!$A:$A,"&lt;"&amp;$J1760+7),0))</f>
        <v/>
      </c>
      <c r="G1760" t="str">
        <f>IF($J1760="","",IFERROR(LOOKUP(2,1/(('Weekly Log'!$A$5:$A$5000&gt;=$J1760)*('Weekly Log'!$A$5:$A$5000&lt;$J1760+7)*('Weekly Log'!$M$5:$M$5000&lt;&gt;"")),'Weekly Log'!$M$5:$M$5000),0))</f>
        <v/>
      </c>
      <c r="J1760" t="str">
        <f>IF(COUNT('Weekly Log'!$A$5:$A$5000)=0,"",IF(MIN('Weekly Log'!$A$5:$A$5000)+7*(ROW()-10)&gt;MAX('Weekly Log'!$A$5:$A$5000),"",MIN('Weekly Log'!$A$5:$A$5000)+7*(ROW()-10)))</f>
        <v/>
      </c>
    </row>
    <row r="1761" spans="1:10" x14ac:dyDescent="0.25">
      <c r="A1761" t="str">
        <f t="shared" si="27"/>
        <v/>
      </c>
      <c r="B1761" t="str">
        <f>IF($J1761="","",SUMIFS('Weekly Log'!$C:$C,'Weekly Log'!$A:$A,"&gt;="&amp;$J1761,'Weekly Log'!$A:$A,"&lt;"&amp;$J1761+7))</f>
        <v/>
      </c>
      <c r="C1761" t="str">
        <f>IF($J1761="","",IFERROR(COUNTIFS('Weekly Log'!$G:$G,"Y",'Weekly Log'!$A:$A,"&gt;="&amp;$J1761,'Weekly Log'!$A:$A,"&lt;"&amp;$J1761+7)/COUNTIFS('Weekly Log'!$G:$G,"&lt;&gt;",'Weekly Log'!$A:$A,"&gt;="&amp;$J1761,'Weekly Log'!$A:$A,"&lt;"&amp;$J1761+7),0))</f>
        <v/>
      </c>
      <c r="D1761" t="str">
        <f>IF($J1761="","",IFERROR(COUNTIFS('Weekly Log'!$H:$H,"Y",'Weekly Log'!$A:$A,"&gt;="&amp;$J1761,'Weekly Log'!$A:$A,"&lt;"&amp;$J1761+7)/COUNTIFS('Weekly Log'!$H:$H,"&lt;&gt;",'Weekly Log'!$A:$A,"&gt;="&amp;$J1761,'Weekly Log'!$A:$A,"&lt;"&amp;$J1761+7),0))</f>
        <v/>
      </c>
      <c r="E1761" t="str">
        <f>IF($J1761="","",IFERROR(AVERAGEIFS('Weekly Log'!$F:$F,'Weekly Log'!$A:$A,"&gt;="&amp;$J1761,'Weekly Log'!$A:$A,"&lt;"&amp;$J1761+7),0))</f>
        <v/>
      </c>
      <c r="F1761" t="str">
        <f>IF($J1761="","",IFERROR(SUMIFS('Weekly Log'!$F:$F,'Weekly Log'!$A:$A,"&gt;="&amp;$J1761,'Weekly Log'!$A:$A,"&lt;"&amp;$J1761+7)/SUMIFS('Weekly Log'!$E:$E,'Weekly Log'!$A:$A,"&gt;="&amp;$J1761,'Weekly Log'!$A:$A,"&lt;"&amp;$J1761+7),0))</f>
        <v/>
      </c>
      <c r="G1761" t="str">
        <f>IF($J1761="","",IFERROR(LOOKUP(2,1/(('Weekly Log'!$A$5:$A$5000&gt;=$J1761)*('Weekly Log'!$A$5:$A$5000&lt;$J1761+7)*('Weekly Log'!$M$5:$M$5000&lt;&gt;"")),'Weekly Log'!$M$5:$M$5000),0))</f>
        <v/>
      </c>
      <c r="J1761" t="str">
        <f>IF(COUNT('Weekly Log'!$A$5:$A$5000)=0,"",IF(MIN('Weekly Log'!$A$5:$A$5000)+7*(ROW()-10)&gt;MAX('Weekly Log'!$A$5:$A$5000),"",MIN('Weekly Log'!$A$5:$A$5000)+7*(ROW()-10)))</f>
        <v/>
      </c>
    </row>
    <row r="1762" spans="1:10" x14ac:dyDescent="0.25">
      <c r="A1762" t="str">
        <f t="shared" si="27"/>
        <v/>
      </c>
      <c r="B1762" t="str">
        <f>IF($J1762="","",SUMIFS('Weekly Log'!$C:$C,'Weekly Log'!$A:$A,"&gt;="&amp;$J1762,'Weekly Log'!$A:$A,"&lt;"&amp;$J1762+7))</f>
        <v/>
      </c>
      <c r="C1762" t="str">
        <f>IF($J1762="","",IFERROR(COUNTIFS('Weekly Log'!$G:$G,"Y",'Weekly Log'!$A:$A,"&gt;="&amp;$J1762,'Weekly Log'!$A:$A,"&lt;"&amp;$J1762+7)/COUNTIFS('Weekly Log'!$G:$G,"&lt;&gt;",'Weekly Log'!$A:$A,"&gt;="&amp;$J1762,'Weekly Log'!$A:$A,"&lt;"&amp;$J1762+7),0))</f>
        <v/>
      </c>
      <c r="D1762" t="str">
        <f>IF($J1762="","",IFERROR(COUNTIFS('Weekly Log'!$H:$H,"Y",'Weekly Log'!$A:$A,"&gt;="&amp;$J1762,'Weekly Log'!$A:$A,"&lt;"&amp;$J1762+7)/COUNTIFS('Weekly Log'!$H:$H,"&lt;&gt;",'Weekly Log'!$A:$A,"&gt;="&amp;$J1762,'Weekly Log'!$A:$A,"&lt;"&amp;$J1762+7),0))</f>
        <v/>
      </c>
      <c r="E1762" t="str">
        <f>IF($J1762="","",IFERROR(AVERAGEIFS('Weekly Log'!$F:$F,'Weekly Log'!$A:$A,"&gt;="&amp;$J1762,'Weekly Log'!$A:$A,"&lt;"&amp;$J1762+7),0))</f>
        <v/>
      </c>
      <c r="F1762" t="str">
        <f>IF($J1762="","",IFERROR(SUMIFS('Weekly Log'!$F:$F,'Weekly Log'!$A:$A,"&gt;="&amp;$J1762,'Weekly Log'!$A:$A,"&lt;"&amp;$J1762+7)/SUMIFS('Weekly Log'!$E:$E,'Weekly Log'!$A:$A,"&gt;="&amp;$J1762,'Weekly Log'!$A:$A,"&lt;"&amp;$J1762+7),0))</f>
        <v/>
      </c>
      <c r="G1762" t="str">
        <f>IF($J1762="","",IFERROR(LOOKUP(2,1/(('Weekly Log'!$A$5:$A$5000&gt;=$J1762)*('Weekly Log'!$A$5:$A$5000&lt;$J1762+7)*('Weekly Log'!$M$5:$M$5000&lt;&gt;"")),'Weekly Log'!$M$5:$M$5000),0))</f>
        <v/>
      </c>
      <c r="J1762" t="str">
        <f>IF(COUNT('Weekly Log'!$A$5:$A$5000)=0,"",IF(MIN('Weekly Log'!$A$5:$A$5000)+7*(ROW()-10)&gt;MAX('Weekly Log'!$A$5:$A$5000),"",MIN('Weekly Log'!$A$5:$A$5000)+7*(ROW()-10)))</f>
        <v/>
      </c>
    </row>
    <row r="1763" spans="1:10" x14ac:dyDescent="0.25">
      <c r="A1763" t="str">
        <f t="shared" si="27"/>
        <v/>
      </c>
      <c r="B1763" t="str">
        <f>IF($J1763="","",SUMIFS('Weekly Log'!$C:$C,'Weekly Log'!$A:$A,"&gt;="&amp;$J1763,'Weekly Log'!$A:$A,"&lt;"&amp;$J1763+7))</f>
        <v/>
      </c>
      <c r="C1763" t="str">
        <f>IF($J1763="","",IFERROR(COUNTIFS('Weekly Log'!$G:$G,"Y",'Weekly Log'!$A:$A,"&gt;="&amp;$J1763,'Weekly Log'!$A:$A,"&lt;"&amp;$J1763+7)/COUNTIFS('Weekly Log'!$G:$G,"&lt;&gt;",'Weekly Log'!$A:$A,"&gt;="&amp;$J1763,'Weekly Log'!$A:$A,"&lt;"&amp;$J1763+7),0))</f>
        <v/>
      </c>
      <c r="D1763" t="str">
        <f>IF($J1763="","",IFERROR(COUNTIFS('Weekly Log'!$H:$H,"Y",'Weekly Log'!$A:$A,"&gt;="&amp;$J1763,'Weekly Log'!$A:$A,"&lt;"&amp;$J1763+7)/COUNTIFS('Weekly Log'!$H:$H,"&lt;&gt;",'Weekly Log'!$A:$A,"&gt;="&amp;$J1763,'Weekly Log'!$A:$A,"&lt;"&amp;$J1763+7),0))</f>
        <v/>
      </c>
      <c r="E1763" t="str">
        <f>IF($J1763="","",IFERROR(AVERAGEIFS('Weekly Log'!$F:$F,'Weekly Log'!$A:$A,"&gt;="&amp;$J1763,'Weekly Log'!$A:$A,"&lt;"&amp;$J1763+7),0))</f>
        <v/>
      </c>
      <c r="F1763" t="str">
        <f>IF($J1763="","",IFERROR(SUMIFS('Weekly Log'!$F:$F,'Weekly Log'!$A:$A,"&gt;="&amp;$J1763,'Weekly Log'!$A:$A,"&lt;"&amp;$J1763+7)/SUMIFS('Weekly Log'!$E:$E,'Weekly Log'!$A:$A,"&gt;="&amp;$J1763,'Weekly Log'!$A:$A,"&lt;"&amp;$J1763+7),0))</f>
        <v/>
      </c>
      <c r="G1763" t="str">
        <f>IF($J1763="","",IFERROR(LOOKUP(2,1/(('Weekly Log'!$A$5:$A$5000&gt;=$J1763)*('Weekly Log'!$A$5:$A$5000&lt;$J1763+7)*('Weekly Log'!$M$5:$M$5000&lt;&gt;"")),'Weekly Log'!$M$5:$M$5000),0))</f>
        <v/>
      </c>
      <c r="J1763" t="str">
        <f>IF(COUNT('Weekly Log'!$A$5:$A$5000)=0,"",IF(MIN('Weekly Log'!$A$5:$A$5000)+7*(ROW()-10)&gt;MAX('Weekly Log'!$A$5:$A$5000),"",MIN('Weekly Log'!$A$5:$A$5000)+7*(ROW()-10)))</f>
        <v/>
      </c>
    </row>
    <row r="1764" spans="1:10" x14ac:dyDescent="0.25">
      <c r="A1764" t="str">
        <f t="shared" si="27"/>
        <v/>
      </c>
      <c r="B1764" t="str">
        <f>IF($J1764="","",SUMIFS('Weekly Log'!$C:$C,'Weekly Log'!$A:$A,"&gt;="&amp;$J1764,'Weekly Log'!$A:$A,"&lt;"&amp;$J1764+7))</f>
        <v/>
      </c>
      <c r="C1764" t="str">
        <f>IF($J1764="","",IFERROR(COUNTIFS('Weekly Log'!$G:$G,"Y",'Weekly Log'!$A:$A,"&gt;="&amp;$J1764,'Weekly Log'!$A:$A,"&lt;"&amp;$J1764+7)/COUNTIFS('Weekly Log'!$G:$G,"&lt;&gt;",'Weekly Log'!$A:$A,"&gt;="&amp;$J1764,'Weekly Log'!$A:$A,"&lt;"&amp;$J1764+7),0))</f>
        <v/>
      </c>
      <c r="D1764" t="str">
        <f>IF($J1764="","",IFERROR(COUNTIFS('Weekly Log'!$H:$H,"Y",'Weekly Log'!$A:$A,"&gt;="&amp;$J1764,'Weekly Log'!$A:$A,"&lt;"&amp;$J1764+7)/COUNTIFS('Weekly Log'!$H:$H,"&lt;&gt;",'Weekly Log'!$A:$A,"&gt;="&amp;$J1764,'Weekly Log'!$A:$A,"&lt;"&amp;$J1764+7),0))</f>
        <v/>
      </c>
      <c r="E1764" t="str">
        <f>IF($J1764="","",IFERROR(AVERAGEIFS('Weekly Log'!$F:$F,'Weekly Log'!$A:$A,"&gt;="&amp;$J1764,'Weekly Log'!$A:$A,"&lt;"&amp;$J1764+7),0))</f>
        <v/>
      </c>
      <c r="F1764" t="str">
        <f>IF($J1764="","",IFERROR(SUMIFS('Weekly Log'!$F:$F,'Weekly Log'!$A:$A,"&gt;="&amp;$J1764,'Weekly Log'!$A:$A,"&lt;"&amp;$J1764+7)/SUMIFS('Weekly Log'!$E:$E,'Weekly Log'!$A:$A,"&gt;="&amp;$J1764,'Weekly Log'!$A:$A,"&lt;"&amp;$J1764+7),0))</f>
        <v/>
      </c>
      <c r="G1764" t="str">
        <f>IF($J1764="","",IFERROR(LOOKUP(2,1/(('Weekly Log'!$A$5:$A$5000&gt;=$J1764)*('Weekly Log'!$A$5:$A$5000&lt;$J1764+7)*('Weekly Log'!$M$5:$M$5000&lt;&gt;"")),'Weekly Log'!$M$5:$M$5000),0))</f>
        <v/>
      </c>
      <c r="J1764" t="str">
        <f>IF(COUNT('Weekly Log'!$A$5:$A$5000)=0,"",IF(MIN('Weekly Log'!$A$5:$A$5000)+7*(ROW()-10)&gt;MAX('Weekly Log'!$A$5:$A$5000),"",MIN('Weekly Log'!$A$5:$A$5000)+7*(ROW()-10)))</f>
        <v/>
      </c>
    </row>
    <row r="1765" spans="1:10" x14ac:dyDescent="0.25">
      <c r="A1765" t="str">
        <f t="shared" si="27"/>
        <v/>
      </c>
      <c r="B1765" t="str">
        <f>IF($J1765="","",SUMIFS('Weekly Log'!$C:$C,'Weekly Log'!$A:$A,"&gt;="&amp;$J1765,'Weekly Log'!$A:$A,"&lt;"&amp;$J1765+7))</f>
        <v/>
      </c>
      <c r="C1765" t="str">
        <f>IF($J1765="","",IFERROR(COUNTIFS('Weekly Log'!$G:$G,"Y",'Weekly Log'!$A:$A,"&gt;="&amp;$J1765,'Weekly Log'!$A:$A,"&lt;"&amp;$J1765+7)/COUNTIFS('Weekly Log'!$G:$G,"&lt;&gt;",'Weekly Log'!$A:$A,"&gt;="&amp;$J1765,'Weekly Log'!$A:$A,"&lt;"&amp;$J1765+7),0))</f>
        <v/>
      </c>
      <c r="D1765" t="str">
        <f>IF($J1765="","",IFERROR(COUNTIFS('Weekly Log'!$H:$H,"Y",'Weekly Log'!$A:$A,"&gt;="&amp;$J1765,'Weekly Log'!$A:$A,"&lt;"&amp;$J1765+7)/COUNTIFS('Weekly Log'!$H:$H,"&lt;&gt;",'Weekly Log'!$A:$A,"&gt;="&amp;$J1765,'Weekly Log'!$A:$A,"&lt;"&amp;$J1765+7),0))</f>
        <v/>
      </c>
      <c r="E1765" t="str">
        <f>IF($J1765="","",IFERROR(AVERAGEIFS('Weekly Log'!$F:$F,'Weekly Log'!$A:$A,"&gt;="&amp;$J1765,'Weekly Log'!$A:$A,"&lt;"&amp;$J1765+7),0))</f>
        <v/>
      </c>
      <c r="F1765" t="str">
        <f>IF($J1765="","",IFERROR(SUMIFS('Weekly Log'!$F:$F,'Weekly Log'!$A:$A,"&gt;="&amp;$J1765,'Weekly Log'!$A:$A,"&lt;"&amp;$J1765+7)/SUMIFS('Weekly Log'!$E:$E,'Weekly Log'!$A:$A,"&gt;="&amp;$J1765,'Weekly Log'!$A:$A,"&lt;"&amp;$J1765+7),0))</f>
        <v/>
      </c>
      <c r="G1765" t="str">
        <f>IF($J1765="","",IFERROR(LOOKUP(2,1/(('Weekly Log'!$A$5:$A$5000&gt;=$J1765)*('Weekly Log'!$A$5:$A$5000&lt;$J1765+7)*('Weekly Log'!$M$5:$M$5000&lt;&gt;"")),'Weekly Log'!$M$5:$M$5000),0))</f>
        <v/>
      </c>
      <c r="J1765" t="str">
        <f>IF(COUNT('Weekly Log'!$A$5:$A$5000)=0,"",IF(MIN('Weekly Log'!$A$5:$A$5000)+7*(ROW()-10)&gt;MAX('Weekly Log'!$A$5:$A$5000),"",MIN('Weekly Log'!$A$5:$A$5000)+7*(ROW()-10)))</f>
        <v/>
      </c>
    </row>
    <row r="1766" spans="1:10" x14ac:dyDescent="0.25">
      <c r="A1766" t="str">
        <f t="shared" si="27"/>
        <v/>
      </c>
      <c r="B1766" t="str">
        <f>IF($J1766="","",SUMIFS('Weekly Log'!$C:$C,'Weekly Log'!$A:$A,"&gt;="&amp;$J1766,'Weekly Log'!$A:$A,"&lt;"&amp;$J1766+7))</f>
        <v/>
      </c>
      <c r="C1766" t="str">
        <f>IF($J1766="","",IFERROR(COUNTIFS('Weekly Log'!$G:$G,"Y",'Weekly Log'!$A:$A,"&gt;="&amp;$J1766,'Weekly Log'!$A:$A,"&lt;"&amp;$J1766+7)/COUNTIFS('Weekly Log'!$G:$G,"&lt;&gt;",'Weekly Log'!$A:$A,"&gt;="&amp;$J1766,'Weekly Log'!$A:$A,"&lt;"&amp;$J1766+7),0))</f>
        <v/>
      </c>
      <c r="D1766" t="str">
        <f>IF($J1766="","",IFERROR(COUNTIFS('Weekly Log'!$H:$H,"Y",'Weekly Log'!$A:$A,"&gt;="&amp;$J1766,'Weekly Log'!$A:$A,"&lt;"&amp;$J1766+7)/COUNTIFS('Weekly Log'!$H:$H,"&lt;&gt;",'Weekly Log'!$A:$A,"&gt;="&amp;$J1766,'Weekly Log'!$A:$A,"&lt;"&amp;$J1766+7),0))</f>
        <v/>
      </c>
      <c r="E1766" t="str">
        <f>IF($J1766="","",IFERROR(AVERAGEIFS('Weekly Log'!$F:$F,'Weekly Log'!$A:$A,"&gt;="&amp;$J1766,'Weekly Log'!$A:$A,"&lt;"&amp;$J1766+7),0))</f>
        <v/>
      </c>
      <c r="F1766" t="str">
        <f>IF($J1766="","",IFERROR(SUMIFS('Weekly Log'!$F:$F,'Weekly Log'!$A:$A,"&gt;="&amp;$J1766,'Weekly Log'!$A:$A,"&lt;"&amp;$J1766+7)/SUMIFS('Weekly Log'!$E:$E,'Weekly Log'!$A:$A,"&gt;="&amp;$J1766,'Weekly Log'!$A:$A,"&lt;"&amp;$J1766+7),0))</f>
        <v/>
      </c>
      <c r="G1766" t="str">
        <f>IF($J1766="","",IFERROR(LOOKUP(2,1/(('Weekly Log'!$A$5:$A$5000&gt;=$J1766)*('Weekly Log'!$A$5:$A$5000&lt;$J1766+7)*('Weekly Log'!$M$5:$M$5000&lt;&gt;"")),'Weekly Log'!$M$5:$M$5000),0))</f>
        <v/>
      </c>
      <c r="J1766" t="str">
        <f>IF(COUNT('Weekly Log'!$A$5:$A$5000)=0,"",IF(MIN('Weekly Log'!$A$5:$A$5000)+7*(ROW()-10)&gt;MAX('Weekly Log'!$A$5:$A$5000),"",MIN('Weekly Log'!$A$5:$A$5000)+7*(ROW()-10)))</f>
        <v/>
      </c>
    </row>
    <row r="1767" spans="1:10" x14ac:dyDescent="0.25">
      <c r="A1767" t="str">
        <f t="shared" si="27"/>
        <v/>
      </c>
      <c r="B1767" t="str">
        <f>IF($J1767="","",SUMIFS('Weekly Log'!$C:$C,'Weekly Log'!$A:$A,"&gt;="&amp;$J1767,'Weekly Log'!$A:$A,"&lt;"&amp;$J1767+7))</f>
        <v/>
      </c>
      <c r="C1767" t="str">
        <f>IF($J1767="","",IFERROR(COUNTIFS('Weekly Log'!$G:$G,"Y",'Weekly Log'!$A:$A,"&gt;="&amp;$J1767,'Weekly Log'!$A:$A,"&lt;"&amp;$J1767+7)/COUNTIFS('Weekly Log'!$G:$G,"&lt;&gt;",'Weekly Log'!$A:$A,"&gt;="&amp;$J1767,'Weekly Log'!$A:$A,"&lt;"&amp;$J1767+7),0))</f>
        <v/>
      </c>
      <c r="D1767" t="str">
        <f>IF($J1767="","",IFERROR(COUNTIFS('Weekly Log'!$H:$H,"Y",'Weekly Log'!$A:$A,"&gt;="&amp;$J1767,'Weekly Log'!$A:$A,"&lt;"&amp;$J1767+7)/COUNTIFS('Weekly Log'!$H:$H,"&lt;&gt;",'Weekly Log'!$A:$A,"&gt;="&amp;$J1767,'Weekly Log'!$A:$A,"&lt;"&amp;$J1767+7),0))</f>
        <v/>
      </c>
      <c r="E1767" t="str">
        <f>IF($J1767="","",IFERROR(AVERAGEIFS('Weekly Log'!$F:$F,'Weekly Log'!$A:$A,"&gt;="&amp;$J1767,'Weekly Log'!$A:$A,"&lt;"&amp;$J1767+7),0))</f>
        <v/>
      </c>
      <c r="F1767" t="str">
        <f>IF($J1767="","",IFERROR(SUMIFS('Weekly Log'!$F:$F,'Weekly Log'!$A:$A,"&gt;="&amp;$J1767,'Weekly Log'!$A:$A,"&lt;"&amp;$J1767+7)/SUMIFS('Weekly Log'!$E:$E,'Weekly Log'!$A:$A,"&gt;="&amp;$J1767,'Weekly Log'!$A:$A,"&lt;"&amp;$J1767+7),0))</f>
        <v/>
      </c>
      <c r="G1767" t="str">
        <f>IF($J1767="","",IFERROR(LOOKUP(2,1/(('Weekly Log'!$A$5:$A$5000&gt;=$J1767)*('Weekly Log'!$A$5:$A$5000&lt;$J1767+7)*('Weekly Log'!$M$5:$M$5000&lt;&gt;"")),'Weekly Log'!$M$5:$M$5000),0))</f>
        <v/>
      </c>
      <c r="J1767" t="str">
        <f>IF(COUNT('Weekly Log'!$A$5:$A$5000)=0,"",IF(MIN('Weekly Log'!$A$5:$A$5000)+7*(ROW()-10)&gt;MAX('Weekly Log'!$A$5:$A$5000),"",MIN('Weekly Log'!$A$5:$A$5000)+7*(ROW()-10)))</f>
        <v/>
      </c>
    </row>
    <row r="1768" spans="1:10" x14ac:dyDescent="0.25">
      <c r="A1768" t="str">
        <f t="shared" si="27"/>
        <v/>
      </c>
      <c r="B1768" t="str">
        <f>IF($J1768="","",SUMIFS('Weekly Log'!$C:$C,'Weekly Log'!$A:$A,"&gt;="&amp;$J1768,'Weekly Log'!$A:$A,"&lt;"&amp;$J1768+7))</f>
        <v/>
      </c>
      <c r="C1768" t="str">
        <f>IF($J1768="","",IFERROR(COUNTIFS('Weekly Log'!$G:$G,"Y",'Weekly Log'!$A:$A,"&gt;="&amp;$J1768,'Weekly Log'!$A:$A,"&lt;"&amp;$J1768+7)/COUNTIFS('Weekly Log'!$G:$G,"&lt;&gt;",'Weekly Log'!$A:$A,"&gt;="&amp;$J1768,'Weekly Log'!$A:$A,"&lt;"&amp;$J1768+7),0))</f>
        <v/>
      </c>
      <c r="D1768" t="str">
        <f>IF($J1768="","",IFERROR(COUNTIFS('Weekly Log'!$H:$H,"Y",'Weekly Log'!$A:$A,"&gt;="&amp;$J1768,'Weekly Log'!$A:$A,"&lt;"&amp;$J1768+7)/COUNTIFS('Weekly Log'!$H:$H,"&lt;&gt;",'Weekly Log'!$A:$A,"&gt;="&amp;$J1768,'Weekly Log'!$A:$A,"&lt;"&amp;$J1768+7),0))</f>
        <v/>
      </c>
      <c r="E1768" t="str">
        <f>IF($J1768="","",IFERROR(AVERAGEIFS('Weekly Log'!$F:$F,'Weekly Log'!$A:$A,"&gt;="&amp;$J1768,'Weekly Log'!$A:$A,"&lt;"&amp;$J1768+7),0))</f>
        <v/>
      </c>
      <c r="F1768" t="str">
        <f>IF($J1768="","",IFERROR(SUMIFS('Weekly Log'!$F:$F,'Weekly Log'!$A:$A,"&gt;="&amp;$J1768,'Weekly Log'!$A:$A,"&lt;"&amp;$J1768+7)/SUMIFS('Weekly Log'!$E:$E,'Weekly Log'!$A:$A,"&gt;="&amp;$J1768,'Weekly Log'!$A:$A,"&lt;"&amp;$J1768+7),0))</f>
        <v/>
      </c>
      <c r="G1768" t="str">
        <f>IF($J1768="","",IFERROR(LOOKUP(2,1/(('Weekly Log'!$A$5:$A$5000&gt;=$J1768)*('Weekly Log'!$A$5:$A$5000&lt;$J1768+7)*('Weekly Log'!$M$5:$M$5000&lt;&gt;"")),'Weekly Log'!$M$5:$M$5000),0))</f>
        <v/>
      </c>
      <c r="J1768" t="str">
        <f>IF(COUNT('Weekly Log'!$A$5:$A$5000)=0,"",IF(MIN('Weekly Log'!$A$5:$A$5000)+7*(ROW()-10)&gt;MAX('Weekly Log'!$A$5:$A$5000),"",MIN('Weekly Log'!$A$5:$A$5000)+7*(ROW()-10)))</f>
        <v/>
      </c>
    </row>
    <row r="1769" spans="1:10" x14ac:dyDescent="0.25">
      <c r="A1769" t="str">
        <f t="shared" si="27"/>
        <v/>
      </c>
      <c r="B1769" t="str">
        <f>IF($J1769="","",SUMIFS('Weekly Log'!$C:$C,'Weekly Log'!$A:$A,"&gt;="&amp;$J1769,'Weekly Log'!$A:$A,"&lt;"&amp;$J1769+7))</f>
        <v/>
      </c>
      <c r="C1769" t="str">
        <f>IF($J1769="","",IFERROR(COUNTIFS('Weekly Log'!$G:$G,"Y",'Weekly Log'!$A:$A,"&gt;="&amp;$J1769,'Weekly Log'!$A:$A,"&lt;"&amp;$J1769+7)/COUNTIFS('Weekly Log'!$G:$G,"&lt;&gt;",'Weekly Log'!$A:$A,"&gt;="&amp;$J1769,'Weekly Log'!$A:$A,"&lt;"&amp;$J1769+7),0))</f>
        <v/>
      </c>
      <c r="D1769" t="str">
        <f>IF($J1769="","",IFERROR(COUNTIFS('Weekly Log'!$H:$H,"Y",'Weekly Log'!$A:$A,"&gt;="&amp;$J1769,'Weekly Log'!$A:$A,"&lt;"&amp;$J1769+7)/COUNTIFS('Weekly Log'!$H:$H,"&lt;&gt;",'Weekly Log'!$A:$A,"&gt;="&amp;$J1769,'Weekly Log'!$A:$A,"&lt;"&amp;$J1769+7),0))</f>
        <v/>
      </c>
      <c r="E1769" t="str">
        <f>IF($J1769="","",IFERROR(AVERAGEIFS('Weekly Log'!$F:$F,'Weekly Log'!$A:$A,"&gt;="&amp;$J1769,'Weekly Log'!$A:$A,"&lt;"&amp;$J1769+7),0))</f>
        <v/>
      </c>
      <c r="F1769" t="str">
        <f>IF($J1769="","",IFERROR(SUMIFS('Weekly Log'!$F:$F,'Weekly Log'!$A:$A,"&gt;="&amp;$J1769,'Weekly Log'!$A:$A,"&lt;"&amp;$J1769+7)/SUMIFS('Weekly Log'!$E:$E,'Weekly Log'!$A:$A,"&gt;="&amp;$J1769,'Weekly Log'!$A:$A,"&lt;"&amp;$J1769+7),0))</f>
        <v/>
      </c>
      <c r="G1769" t="str">
        <f>IF($J1769="","",IFERROR(LOOKUP(2,1/(('Weekly Log'!$A$5:$A$5000&gt;=$J1769)*('Weekly Log'!$A$5:$A$5000&lt;$J1769+7)*('Weekly Log'!$M$5:$M$5000&lt;&gt;"")),'Weekly Log'!$M$5:$M$5000),0))</f>
        <v/>
      </c>
      <c r="J1769" t="str">
        <f>IF(COUNT('Weekly Log'!$A$5:$A$5000)=0,"",IF(MIN('Weekly Log'!$A$5:$A$5000)+7*(ROW()-10)&gt;MAX('Weekly Log'!$A$5:$A$5000),"",MIN('Weekly Log'!$A$5:$A$5000)+7*(ROW()-10)))</f>
        <v/>
      </c>
    </row>
    <row r="1770" spans="1:10" x14ac:dyDescent="0.25">
      <c r="A1770" t="str">
        <f t="shared" si="27"/>
        <v/>
      </c>
      <c r="B1770" t="str">
        <f>IF($J1770="","",SUMIFS('Weekly Log'!$C:$C,'Weekly Log'!$A:$A,"&gt;="&amp;$J1770,'Weekly Log'!$A:$A,"&lt;"&amp;$J1770+7))</f>
        <v/>
      </c>
      <c r="C1770" t="str">
        <f>IF($J1770="","",IFERROR(COUNTIFS('Weekly Log'!$G:$G,"Y",'Weekly Log'!$A:$A,"&gt;="&amp;$J1770,'Weekly Log'!$A:$A,"&lt;"&amp;$J1770+7)/COUNTIFS('Weekly Log'!$G:$G,"&lt;&gt;",'Weekly Log'!$A:$A,"&gt;="&amp;$J1770,'Weekly Log'!$A:$A,"&lt;"&amp;$J1770+7),0))</f>
        <v/>
      </c>
      <c r="D1770" t="str">
        <f>IF($J1770="","",IFERROR(COUNTIFS('Weekly Log'!$H:$H,"Y",'Weekly Log'!$A:$A,"&gt;="&amp;$J1770,'Weekly Log'!$A:$A,"&lt;"&amp;$J1770+7)/COUNTIFS('Weekly Log'!$H:$H,"&lt;&gt;",'Weekly Log'!$A:$A,"&gt;="&amp;$J1770,'Weekly Log'!$A:$A,"&lt;"&amp;$J1770+7),0))</f>
        <v/>
      </c>
      <c r="E1770" t="str">
        <f>IF($J1770="","",IFERROR(AVERAGEIFS('Weekly Log'!$F:$F,'Weekly Log'!$A:$A,"&gt;="&amp;$J1770,'Weekly Log'!$A:$A,"&lt;"&amp;$J1770+7),0))</f>
        <v/>
      </c>
      <c r="F1770" t="str">
        <f>IF($J1770="","",IFERROR(SUMIFS('Weekly Log'!$F:$F,'Weekly Log'!$A:$A,"&gt;="&amp;$J1770,'Weekly Log'!$A:$A,"&lt;"&amp;$J1770+7)/SUMIFS('Weekly Log'!$E:$E,'Weekly Log'!$A:$A,"&gt;="&amp;$J1770,'Weekly Log'!$A:$A,"&lt;"&amp;$J1770+7),0))</f>
        <v/>
      </c>
      <c r="G1770" t="str">
        <f>IF($J1770="","",IFERROR(LOOKUP(2,1/(('Weekly Log'!$A$5:$A$5000&gt;=$J1770)*('Weekly Log'!$A$5:$A$5000&lt;$J1770+7)*('Weekly Log'!$M$5:$M$5000&lt;&gt;"")),'Weekly Log'!$M$5:$M$5000),0))</f>
        <v/>
      </c>
      <c r="J1770" t="str">
        <f>IF(COUNT('Weekly Log'!$A$5:$A$5000)=0,"",IF(MIN('Weekly Log'!$A$5:$A$5000)+7*(ROW()-10)&gt;MAX('Weekly Log'!$A$5:$A$5000),"",MIN('Weekly Log'!$A$5:$A$5000)+7*(ROW()-10)))</f>
        <v/>
      </c>
    </row>
    <row r="1771" spans="1:10" x14ac:dyDescent="0.25">
      <c r="A1771" t="str">
        <f t="shared" si="27"/>
        <v/>
      </c>
      <c r="B1771" t="str">
        <f>IF($J1771="","",SUMIFS('Weekly Log'!$C:$C,'Weekly Log'!$A:$A,"&gt;="&amp;$J1771,'Weekly Log'!$A:$A,"&lt;"&amp;$J1771+7))</f>
        <v/>
      </c>
      <c r="C1771" t="str">
        <f>IF($J1771="","",IFERROR(COUNTIFS('Weekly Log'!$G:$G,"Y",'Weekly Log'!$A:$A,"&gt;="&amp;$J1771,'Weekly Log'!$A:$A,"&lt;"&amp;$J1771+7)/COUNTIFS('Weekly Log'!$G:$G,"&lt;&gt;",'Weekly Log'!$A:$A,"&gt;="&amp;$J1771,'Weekly Log'!$A:$A,"&lt;"&amp;$J1771+7),0))</f>
        <v/>
      </c>
      <c r="D1771" t="str">
        <f>IF($J1771="","",IFERROR(COUNTIFS('Weekly Log'!$H:$H,"Y",'Weekly Log'!$A:$A,"&gt;="&amp;$J1771,'Weekly Log'!$A:$A,"&lt;"&amp;$J1771+7)/COUNTIFS('Weekly Log'!$H:$H,"&lt;&gt;",'Weekly Log'!$A:$A,"&gt;="&amp;$J1771,'Weekly Log'!$A:$A,"&lt;"&amp;$J1771+7),0))</f>
        <v/>
      </c>
      <c r="E1771" t="str">
        <f>IF($J1771="","",IFERROR(AVERAGEIFS('Weekly Log'!$F:$F,'Weekly Log'!$A:$A,"&gt;="&amp;$J1771,'Weekly Log'!$A:$A,"&lt;"&amp;$J1771+7),0))</f>
        <v/>
      </c>
      <c r="F1771" t="str">
        <f>IF($J1771="","",IFERROR(SUMIFS('Weekly Log'!$F:$F,'Weekly Log'!$A:$A,"&gt;="&amp;$J1771,'Weekly Log'!$A:$A,"&lt;"&amp;$J1771+7)/SUMIFS('Weekly Log'!$E:$E,'Weekly Log'!$A:$A,"&gt;="&amp;$J1771,'Weekly Log'!$A:$A,"&lt;"&amp;$J1771+7),0))</f>
        <v/>
      </c>
      <c r="G1771" t="str">
        <f>IF($J1771="","",IFERROR(LOOKUP(2,1/(('Weekly Log'!$A$5:$A$5000&gt;=$J1771)*('Weekly Log'!$A$5:$A$5000&lt;$J1771+7)*('Weekly Log'!$M$5:$M$5000&lt;&gt;"")),'Weekly Log'!$M$5:$M$5000),0))</f>
        <v/>
      </c>
      <c r="J1771" t="str">
        <f>IF(COUNT('Weekly Log'!$A$5:$A$5000)=0,"",IF(MIN('Weekly Log'!$A$5:$A$5000)+7*(ROW()-10)&gt;MAX('Weekly Log'!$A$5:$A$5000),"",MIN('Weekly Log'!$A$5:$A$5000)+7*(ROW()-10)))</f>
        <v/>
      </c>
    </row>
    <row r="1772" spans="1:10" x14ac:dyDescent="0.25">
      <c r="A1772" t="str">
        <f t="shared" si="27"/>
        <v/>
      </c>
      <c r="B1772" t="str">
        <f>IF($J1772="","",SUMIFS('Weekly Log'!$C:$C,'Weekly Log'!$A:$A,"&gt;="&amp;$J1772,'Weekly Log'!$A:$A,"&lt;"&amp;$J1772+7))</f>
        <v/>
      </c>
      <c r="C1772" t="str">
        <f>IF($J1772="","",IFERROR(COUNTIFS('Weekly Log'!$G:$G,"Y",'Weekly Log'!$A:$A,"&gt;="&amp;$J1772,'Weekly Log'!$A:$A,"&lt;"&amp;$J1772+7)/COUNTIFS('Weekly Log'!$G:$G,"&lt;&gt;",'Weekly Log'!$A:$A,"&gt;="&amp;$J1772,'Weekly Log'!$A:$A,"&lt;"&amp;$J1772+7),0))</f>
        <v/>
      </c>
      <c r="D1772" t="str">
        <f>IF($J1772="","",IFERROR(COUNTIFS('Weekly Log'!$H:$H,"Y",'Weekly Log'!$A:$A,"&gt;="&amp;$J1772,'Weekly Log'!$A:$A,"&lt;"&amp;$J1772+7)/COUNTIFS('Weekly Log'!$H:$H,"&lt;&gt;",'Weekly Log'!$A:$A,"&gt;="&amp;$J1772,'Weekly Log'!$A:$A,"&lt;"&amp;$J1772+7),0))</f>
        <v/>
      </c>
      <c r="E1772" t="str">
        <f>IF($J1772="","",IFERROR(AVERAGEIFS('Weekly Log'!$F:$F,'Weekly Log'!$A:$A,"&gt;="&amp;$J1772,'Weekly Log'!$A:$A,"&lt;"&amp;$J1772+7),0))</f>
        <v/>
      </c>
      <c r="F1772" t="str">
        <f>IF($J1772="","",IFERROR(SUMIFS('Weekly Log'!$F:$F,'Weekly Log'!$A:$A,"&gt;="&amp;$J1772,'Weekly Log'!$A:$A,"&lt;"&amp;$J1772+7)/SUMIFS('Weekly Log'!$E:$E,'Weekly Log'!$A:$A,"&gt;="&amp;$J1772,'Weekly Log'!$A:$A,"&lt;"&amp;$J1772+7),0))</f>
        <v/>
      </c>
      <c r="G1772" t="str">
        <f>IF($J1772="","",IFERROR(LOOKUP(2,1/(('Weekly Log'!$A$5:$A$5000&gt;=$J1772)*('Weekly Log'!$A$5:$A$5000&lt;$J1772+7)*('Weekly Log'!$M$5:$M$5000&lt;&gt;"")),'Weekly Log'!$M$5:$M$5000),0))</f>
        <v/>
      </c>
      <c r="J1772" t="str">
        <f>IF(COUNT('Weekly Log'!$A$5:$A$5000)=0,"",IF(MIN('Weekly Log'!$A$5:$A$5000)+7*(ROW()-10)&gt;MAX('Weekly Log'!$A$5:$A$5000),"",MIN('Weekly Log'!$A$5:$A$5000)+7*(ROW()-10)))</f>
        <v/>
      </c>
    </row>
    <row r="1773" spans="1:10" x14ac:dyDescent="0.25">
      <c r="A1773" t="str">
        <f t="shared" si="27"/>
        <v/>
      </c>
      <c r="B1773" t="str">
        <f>IF($J1773="","",SUMIFS('Weekly Log'!$C:$C,'Weekly Log'!$A:$A,"&gt;="&amp;$J1773,'Weekly Log'!$A:$A,"&lt;"&amp;$J1773+7))</f>
        <v/>
      </c>
      <c r="C1773" t="str">
        <f>IF($J1773="","",IFERROR(COUNTIFS('Weekly Log'!$G:$G,"Y",'Weekly Log'!$A:$A,"&gt;="&amp;$J1773,'Weekly Log'!$A:$A,"&lt;"&amp;$J1773+7)/COUNTIFS('Weekly Log'!$G:$G,"&lt;&gt;",'Weekly Log'!$A:$A,"&gt;="&amp;$J1773,'Weekly Log'!$A:$A,"&lt;"&amp;$J1773+7),0))</f>
        <v/>
      </c>
      <c r="D1773" t="str">
        <f>IF($J1773="","",IFERROR(COUNTIFS('Weekly Log'!$H:$H,"Y",'Weekly Log'!$A:$A,"&gt;="&amp;$J1773,'Weekly Log'!$A:$A,"&lt;"&amp;$J1773+7)/COUNTIFS('Weekly Log'!$H:$H,"&lt;&gt;",'Weekly Log'!$A:$A,"&gt;="&amp;$J1773,'Weekly Log'!$A:$A,"&lt;"&amp;$J1773+7),0))</f>
        <v/>
      </c>
      <c r="E1773" t="str">
        <f>IF($J1773="","",IFERROR(AVERAGEIFS('Weekly Log'!$F:$F,'Weekly Log'!$A:$A,"&gt;="&amp;$J1773,'Weekly Log'!$A:$A,"&lt;"&amp;$J1773+7),0))</f>
        <v/>
      </c>
      <c r="F1773" t="str">
        <f>IF($J1773="","",IFERROR(SUMIFS('Weekly Log'!$F:$F,'Weekly Log'!$A:$A,"&gt;="&amp;$J1773,'Weekly Log'!$A:$A,"&lt;"&amp;$J1773+7)/SUMIFS('Weekly Log'!$E:$E,'Weekly Log'!$A:$A,"&gt;="&amp;$J1773,'Weekly Log'!$A:$A,"&lt;"&amp;$J1773+7),0))</f>
        <v/>
      </c>
      <c r="G1773" t="str">
        <f>IF($J1773="","",IFERROR(LOOKUP(2,1/(('Weekly Log'!$A$5:$A$5000&gt;=$J1773)*('Weekly Log'!$A$5:$A$5000&lt;$J1773+7)*('Weekly Log'!$M$5:$M$5000&lt;&gt;"")),'Weekly Log'!$M$5:$M$5000),0))</f>
        <v/>
      </c>
      <c r="J1773" t="str">
        <f>IF(COUNT('Weekly Log'!$A$5:$A$5000)=0,"",IF(MIN('Weekly Log'!$A$5:$A$5000)+7*(ROW()-10)&gt;MAX('Weekly Log'!$A$5:$A$5000),"",MIN('Weekly Log'!$A$5:$A$5000)+7*(ROW()-10)))</f>
        <v/>
      </c>
    </row>
    <row r="1774" spans="1:10" x14ac:dyDescent="0.25">
      <c r="A1774" t="str">
        <f t="shared" si="27"/>
        <v/>
      </c>
      <c r="B1774" t="str">
        <f>IF($J1774="","",SUMIFS('Weekly Log'!$C:$C,'Weekly Log'!$A:$A,"&gt;="&amp;$J1774,'Weekly Log'!$A:$A,"&lt;"&amp;$J1774+7))</f>
        <v/>
      </c>
      <c r="C1774" t="str">
        <f>IF($J1774="","",IFERROR(COUNTIFS('Weekly Log'!$G:$G,"Y",'Weekly Log'!$A:$A,"&gt;="&amp;$J1774,'Weekly Log'!$A:$A,"&lt;"&amp;$J1774+7)/COUNTIFS('Weekly Log'!$G:$G,"&lt;&gt;",'Weekly Log'!$A:$A,"&gt;="&amp;$J1774,'Weekly Log'!$A:$A,"&lt;"&amp;$J1774+7),0))</f>
        <v/>
      </c>
      <c r="D1774" t="str">
        <f>IF($J1774="","",IFERROR(COUNTIFS('Weekly Log'!$H:$H,"Y",'Weekly Log'!$A:$A,"&gt;="&amp;$J1774,'Weekly Log'!$A:$A,"&lt;"&amp;$J1774+7)/COUNTIFS('Weekly Log'!$H:$H,"&lt;&gt;",'Weekly Log'!$A:$A,"&gt;="&amp;$J1774,'Weekly Log'!$A:$A,"&lt;"&amp;$J1774+7),0))</f>
        <v/>
      </c>
      <c r="E1774" t="str">
        <f>IF($J1774="","",IFERROR(AVERAGEIFS('Weekly Log'!$F:$F,'Weekly Log'!$A:$A,"&gt;="&amp;$J1774,'Weekly Log'!$A:$A,"&lt;"&amp;$J1774+7),0))</f>
        <v/>
      </c>
      <c r="F1774" t="str">
        <f>IF($J1774="","",IFERROR(SUMIFS('Weekly Log'!$F:$F,'Weekly Log'!$A:$A,"&gt;="&amp;$J1774,'Weekly Log'!$A:$A,"&lt;"&amp;$J1774+7)/SUMIFS('Weekly Log'!$E:$E,'Weekly Log'!$A:$A,"&gt;="&amp;$J1774,'Weekly Log'!$A:$A,"&lt;"&amp;$J1774+7),0))</f>
        <v/>
      </c>
      <c r="G1774" t="str">
        <f>IF($J1774="","",IFERROR(LOOKUP(2,1/(('Weekly Log'!$A$5:$A$5000&gt;=$J1774)*('Weekly Log'!$A$5:$A$5000&lt;$J1774+7)*('Weekly Log'!$M$5:$M$5000&lt;&gt;"")),'Weekly Log'!$M$5:$M$5000),0))</f>
        <v/>
      </c>
      <c r="J1774" t="str">
        <f>IF(COUNT('Weekly Log'!$A$5:$A$5000)=0,"",IF(MIN('Weekly Log'!$A$5:$A$5000)+7*(ROW()-10)&gt;MAX('Weekly Log'!$A$5:$A$5000),"",MIN('Weekly Log'!$A$5:$A$5000)+7*(ROW()-10)))</f>
        <v/>
      </c>
    </row>
    <row r="1775" spans="1:10" x14ac:dyDescent="0.25">
      <c r="A1775" t="str">
        <f t="shared" si="27"/>
        <v/>
      </c>
      <c r="B1775" t="str">
        <f>IF($J1775="","",SUMIFS('Weekly Log'!$C:$C,'Weekly Log'!$A:$A,"&gt;="&amp;$J1775,'Weekly Log'!$A:$A,"&lt;"&amp;$J1775+7))</f>
        <v/>
      </c>
      <c r="C1775" t="str">
        <f>IF($J1775="","",IFERROR(COUNTIFS('Weekly Log'!$G:$G,"Y",'Weekly Log'!$A:$A,"&gt;="&amp;$J1775,'Weekly Log'!$A:$A,"&lt;"&amp;$J1775+7)/COUNTIFS('Weekly Log'!$G:$G,"&lt;&gt;",'Weekly Log'!$A:$A,"&gt;="&amp;$J1775,'Weekly Log'!$A:$A,"&lt;"&amp;$J1775+7),0))</f>
        <v/>
      </c>
      <c r="D1775" t="str">
        <f>IF($J1775="","",IFERROR(COUNTIFS('Weekly Log'!$H:$H,"Y",'Weekly Log'!$A:$A,"&gt;="&amp;$J1775,'Weekly Log'!$A:$A,"&lt;"&amp;$J1775+7)/COUNTIFS('Weekly Log'!$H:$H,"&lt;&gt;",'Weekly Log'!$A:$A,"&gt;="&amp;$J1775,'Weekly Log'!$A:$A,"&lt;"&amp;$J1775+7),0))</f>
        <v/>
      </c>
      <c r="E1775" t="str">
        <f>IF($J1775="","",IFERROR(AVERAGEIFS('Weekly Log'!$F:$F,'Weekly Log'!$A:$A,"&gt;="&amp;$J1775,'Weekly Log'!$A:$A,"&lt;"&amp;$J1775+7),0))</f>
        <v/>
      </c>
      <c r="F1775" t="str">
        <f>IF($J1775="","",IFERROR(SUMIFS('Weekly Log'!$F:$F,'Weekly Log'!$A:$A,"&gt;="&amp;$J1775,'Weekly Log'!$A:$A,"&lt;"&amp;$J1775+7)/SUMIFS('Weekly Log'!$E:$E,'Weekly Log'!$A:$A,"&gt;="&amp;$J1775,'Weekly Log'!$A:$A,"&lt;"&amp;$J1775+7),0))</f>
        <v/>
      </c>
      <c r="G1775" t="str">
        <f>IF($J1775="","",IFERROR(LOOKUP(2,1/(('Weekly Log'!$A$5:$A$5000&gt;=$J1775)*('Weekly Log'!$A$5:$A$5000&lt;$J1775+7)*('Weekly Log'!$M$5:$M$5000&lt;&gt;"")),'Weekly Log'!$M$5:$M$5000),0))</f>
        <v/>
      </c>
      <c r="J1775" t="str">
        <f>IF(COUNT('Weekly Log'!$A$5:$A$5000)=0,"",IF(MIN('Weekly Log'!$A$5:$A$5000)+7*(ROW()-10)&gt;MAX('Weekly Log'!$A$5:$A$5000),"",MIN('Weekly Log'!$A$5:$A$5000)+7*(ROW()-10)))</f>
        <v/>
      </c>
    </row>
    <row r="1776" spans="1:10" x14ac:dyDescent="0.25">
      <c r="A1776" t="str">
        <f t="shared" si="27"/>
        <v/>
      </c>
      <c r="B1776" t="str">
        <f>IF($J1776="","",SUMIFS('Weekly Log'!$C:$C,'Weekly Log'!$A:$A,"&gt;="&amp;$J1776,'Weekly Log'!$A:$A,"&lt;"&amp;$J1776+7))</f>
        <v/>
      </c>
      <c r="C1776" t="str">
        <f>IF($J1776="","",IFERROR(COUNTIFS('Weekly Log'!$G:$G,"Y",'Weekly Log'!$A:$A,"&gt;="&amp;$J1776,'Weekly Log'!$A:$A,"&lt;"&amp;$J1776+7)/COUNTIFS('Weekly Log'!$G:$G,"&lt;&gt;",'Weekly Log'!$A:$A,"&gt;="&amp;$J1776,'Weekly Log'!$A:$A,"&lt;"&amp;$J1776+7),0))</f>
        <v/>
      </c>
      <c r="D1776" t="str">
        <f>IF($J1776="","",IFERROR(COUNTIFS('Weekly Log'!$H:$H,"Y",'Weekly Log'!$A:$A,"&gt;="&amp;$J1776,'Weekly Log'!$A:$A,"&lt;"&amp;$J1776+7)/COUNTIFS('Weekly Log'!$H:$H,"&lt;&gt;",'Weekly Log'!$A:$A,"&gt;="&amp;$J1776,'Weekly Log'!$A:$A,"&lt;"&amp;$J1776+7),0))</f>
        <v/>
      </c>
      <c r="E1776" t="str">
        <f>IF($J1776="","",IFERROR(AVERAGEIFS('Weekly Log'!$F:$F,'Weekly Log'!$A:$A,"&gt;="&amp;$J1776,'Weekly Log'!$A:$A,"&lt;"&amp;$J1776+7),0))</f>
        <v/>
      </c>
      <c r="F1776" t="str">
        <f>IF($J1776="","",IFERROR(SUMIFS('Weekly Log'!$F:$F,'Weekly Log'!$A:$A,"&gt;="&amp;$J1776,'Weekly Log'!$A:$A,"&lt;"&amp;$J1776+7)/SUMIFS('Weekly Log'!$E:$E,'Weekly Log'!$A:$A,"&gt;="&amp;$J1776,'Weekly Log'!$A:$A,"&lt;"&amp;$J1776+7),0))</f>
        <v/>
      </c>
      <c r="G1776" t="str">
        <f>IF($J1776="","",IFERROR(LOOKUP(2,1/(('Weekly Log'!$A$5:$A$5000&gt;=$J1776)*('Weekly Log'!$A$5:$A$5000&lt;$J1776+7)*('Weekly Log'!$M$5:$M$5000&lt;&gt;"")),'Weekly Log'!$M$5:$M$5000),0))</f>
        <v/>
      </c>
      <c r="J1776" t="str">
        <f>IF(COUNT('Weekly Log'!$A$5:$A$5000)=0,"",IF(MIN('Weekly Log'!$A$5:$A$5000)+7*(ROW()-10)&gt;MAX('Weekly Log'!$A$5:$A$5000),"",MIN('Weekly Log'!$A$5:$A$5000)+7*(ROW()-10)))</f>
        <v/>
      </c>
    </row>
    <row r="1777" spans="1:10" x14ac:dyDescent="0.25">
      <c r="A1777" t="str">
        <f t="shared" si="27"/>
        <v/>
      </c>
      <c r="B1777" t="str">
        <f>IF($J1777="","",SUMIFS('Weekly Log'!$C:$C,'Weekly Log'!$A:$A,"&gt;="&amp;$J1777,'Weekly Log'!$A:$A,"&lt;"&amp;$J1777+7))</f>
        <v/>
      </c>
      <c r="C1777" t="str">
        <f>IF($J1777="","",IFERROR(COUNTIFS('Weekly Log'!$G:$G,"Y",'Weekly Log'!$A:$A,"&gt;="&amp;$J1777,'Weekly Log'!$A:$A,"&lt;"&amp;$J1777+7)/COUNTIFS('Weekly Log'!$G:$G,"&lt;&gt;",'Weekly Log'!$A:$A,"&gt;="&amp;$J1777,'Weekly Log'!$A:$A,"&lt;"&amp;$J1777+7),0))</f>
        <v/>
      </c>
      <c r="D1777" t="str">
        <f>IF($J1777="","",IFERROR(COUNTIFS('Weekly Log'!$H:$H,"Y",'Weekly Log'!$A:$A,"&gt;="&amp;$J1777,'Weekly Log'!$A:$A,"&lt;"&amp;$J1777+7)/COUNTIFS('Weekly Log'!$H:$H,"&lt;&gt;",'Weekly Log'!$A:$A,"&gt;="&amp;$J1777,'Weekly Log'!$A:$A,"&lt;"&amp;$J1777+7),0))</f>
        <v/>
      </c>
      <c r="E1777" t="str">
        <f>IF($J1777="","",IFERROR(AVERAGEIFS('Weekly Log'!$F:$F,'Weekly Log'!$A:$A,"&gt;="&amp;$J1777,'Weekly Log'!$A:$A,"&lt;"&amp;$J1777+7),0))</f>
        <v/>
      </c>
      <c r="F1777" t="str">
        <f>IF($J1777="","",IFERROR(SUMIFS('Weekly Log'!$F:$F,'Weekly Log'!$A:$A,"&gt;="&amp;$J1777,'Weekly Log'!$A:$A,"&lt;"&amp;$J1777+7)/SUMIFS('Weekly Log'!$E:$E,'Weekly Log'!$A:$A,"&gt;="&amp;$J1777,'Weekly Log'!$A:$A,"&lt;"&amp;$J1777+7),0))</f>
        <v/>
      </c>
      <c r="G1777" t="str">
        <f>IF($J1777="","",IFERROR(LOOKUP(2,1/(('Weekly Log'!$A$5:$A$5000&gt;=$J1777)*('Weekly Log'!$A$5:$A$5000&lt;$J1777+7)*('Weekly Log'!$M$5:$M$5000&lt;&gt;"")),'Weekly Log'!$M$5:$M$5000),0))</f>
        <v/>
      </c>
      <c r="J1777" t="str">
        <f>IF(COUNT('Weekly Log'!$A$5:$A$5000)=0,"",IF(MIN('Weekly Log'!$A$5:$A$5000)+7*(ROW()-10)&gt;MAX('Weekly Log'!$A$5:$A$5000),"",MIN('Weekly Log'!$A$5:$A$5000)+7*(ROW()-10)))</f>
        <v/>
      </c>
    </row>
    <row r="1778" spans="1:10" x14ac:dyDescent="0.25">
      <c r="A1778" t="str">
        <f t="shared" si="27"/>
        <v/>
      </c>
      <c r="B1778" t="str">
        <f>IF($J1778="","",SUMIFS('Weekly Log'!$C:$C,'Weekly Log'!$A:$A,"&gt;="&amp;$J1778,'Weekly Log'!$A:$A,"&lt;"&amp;$J1778+7))</f>
        <v/>
      </c>
      <c r="C1778" t="str">
        <f>IF($J1778="","",IFERROR(COUNTIFS('Weekly Log'!$G:$G,"Y",'Weekly Log'!$A:$A,"&gt;="&amp;$J1778,'Weekly Log'!$A:$A,"&lt;"&amp;$J1778+7)/COUNTIFS('Weekly Log'!$G:$G,"&lt;&gt;",'Weekly Log'!$A:$A,"&gt;="&amp;$J1778,'Weekly Log'!$A:$A,"&lt;"&amp;$J1778+7),0))</f>
        <v/>
      </c>
      <c r="D1778" t="str">
        <f>IF($J1778="","",IFERROR(COUNTIFS('Weekly Log'!$H:$H,"Y",'Weekly Log'!$A:$A,"&gt;="&amp;$J1778,'Weekly Log'!$A:$A,"&lt;"&amp;$J1778+7)/COUNTIFS('Weekly Log'!$H:$H,"&lt;&gt;",'Weekly Log'!$A:$A,"&gt;="&amp;$J1778,'Weekly Log'!$A:$A,"&lt;"&amp;$J1778+7),0))</f>
        <v/>
      </c>
      <c r="E1778" t="str">
        <f>IF($J1778="","",IFERROR(AVERAGEIFS('Weekly Log'!$F:$F,'Weekly Log'!$A:$A,"&gt;="&amp;$J1778,'Weekly Log'!$A:$A,"&lt;"&amp;$J1778+7),0))</f>
        <v/>
      </c>
      <c r="F1778" t="str">
        <f>IF($J1778="","",IFERROR(SUMIFS('Weekly Log'!$F:$F,'Weekly Log'!$A:$A,"&gt;="&amp;$J1778,'Weekly Log'!$A:$A,"&lt;"&amp;$J1778+7)/SUMIFS('Weekly Log'!$E:$E,'Weekly Log'!$A:$A,"&gt;="&amp;$J1778,'Weekly Log'!$A:$A,"&lt;"&amp;$J1778+7),0))</f>
        <v/>
      </c>
      <c r="G1778" t="str">
        <f>IF($J1778="","",IFERROR(LOOKUP(2,1/(('Weekly Log'!$A$5:$A$5000&gt;=$J1778)*('Weekly Log'!$A$5:$A$5000&lt;$J1778+7)*('Weekly Log'!$M$5:$M$5000&lt;&gt;"")),'Weekly Log'!$M$5:$M$5000),0))</f>
        <v/>
      </c>
      <c r="J1778" t="str">
        <f>IF(COUNT('Weekly Log'!$A$5:$A$5000)=0,"",IF(MIN('Weekly Log'!$A$5:$A$5000)+7*(ROW()-10)&gt;MAX('Weekly Log'!$A$5:$A$5000),"",MIN('Weekly Log'!$A$5:$A$5000)+7*(ROW()-10)))</f>
        <v/>
      </c>
    </row>
    <row r="1779" spans="1:10" x14ac:dyDescent="0.25">
      <c r="A1779" t="str">
        <f t="shared" si="27"/>
        <v/>
      </c>
      <c r="B1779" t="str">
        <f>IF($J1779="","",SUMIFS('Weekly Log'!$C:$C,'Weekly Log'!$A:$A,"&gt;="&amp;$J1779,'Weekly Log'!$A:$A,"&lt;"&amp;$J1779+7))</f>
        <v/>
      </c>
      <c r="C1779" t="str">
        <f>IF($J1779="","",IFERROR(COUNTIFS('Weekly Log'!$G:$G,"Y",'Weekly Log'!$A:$A,"&gt;="&amp;$J1779,'Weekly Log'!$A:$A,"&lt;"&amp;$J1779+7)/COUNTIFS('Weekly Log'!$G:$G,"&lt;&gt;",'Weekly Log'!$A:$A,"&gt;="&amp;$J1779,'Weekly Log'!$A:$A,"&lt;"&amp;$J1779+7),0))</f>
        <v/>
      </c>
      <c r="D1779" t="str">
        <f>IF($J1779="","",IFERROR(COUNTIFS('Weekly Log'!$H:$H,"Y",'Weekly Log'!$A:$A,"&gt;="&amp;$J1779,'Weekly Log'!$A:$A,"&lt;"&amp;$J1779+7)/COUNTIFS('Weekly Log'!$H:$H,"&lt;&gt;",'Weekly Log'!$A:$A,"&gt;="&amp;$J1779,'Weekly Log'!$A:$A,"&lt;"&amp;$J1779+7),0))</f>
        <v/>
      </c>
      <c r="E1779" t="str">
        <f>IF($J1779="","",IFERROR(AVERAGEIFS('Weekly Log'!$F:$F,'Weekly Log'!$A:$A,"&gt;="&amp;$J1779,'Weekly Log'!$A:$A,"&lt;"&amp;$J1779+7),0))</f>
        <v/>
      </c>
      <c r="F1779" t="str">
        <f>IF($J1779="","",IFERROR(SUMIFS('Weekly Log'!$F:$F,'Weekly Log'!$A:$A,"&gt;="&amp;$J1779,'Weekly Log'!$A:$A,"&lt;"&amp;$J1779+7)/SUMIFS('Weekly Log'!$E:$E,'Weekly Log'!$A:$A,"&gt;="&amp;$J1779,'Weekly Log'!$A:$A,"&lt;"&amp;$J1779+7),0))</f>
        <v/>
      </c>
      <c r="G1779" t="str">
        <f>IF($J1779="","",IFERROR(LOOKUP(2,1/(('Weekly Log'!$A$5:$A$5000&gt;=$J1779)*('Weekly Log'!$A$5:$A$5000&lt;$J1779+7)*('Weekly Log'!$M$5:$M$5000&lt;&gt;"")),'Weekly Log'!$M$5:$M$5000),0))</f>
        <v/>
      </c>
      <c r="J1779" t="str">
        <f>IF(COUNT('Weekly Log'!$A$5:$A$5000)=0,"",IF(MIN('Weekly Log'!$A$5:$A$5000)+7*(ROW()-10)&gt;MAX('Weekly Log'!$A$5:$A$5000),"",MIN('Weekly Log'!$A$5:$A$5000)+7*(ROW()-10)))</f>
        <v/>
      </c>
    </row>
    <row r="1780" spans="1:10" x14ac:dyDescent="0.25">
      <c r="A1780" t="str">
        <f t="shared" si="27"/>
        <v/>
      </c>
      <c r="B1780" t="str">
        <f>IF($J1780="","",SUMIFS('Weekly Log'!$C:$C,'Weekly Log'!$A:$A,"&gt;="&amp;$J1780,'Weekly Log'!$A:$A,"&lt;"&amp;$J1780+7))</f>
        <v/>
      </c>
      <c r="C1780" t="str">
        <f>IF($J1780="","",IFERROR(COUNTIFS('Weekly Log'!$G:$G,"Y",'Weekly Log'!$A:$A,"&gt;="&amp;$J1780,'Weekly Log'!$A:$A,"&lt;"&amp;$J1780+7)/COUNTIFS('Weekly Log'!$G:$G,"&lt;&gt;",'Weekly Log'!$A:$A,"&gt;="&amp;$J1780,'Weekly Log'!$A:$A,"&lt;"&amp;$J1780+7),0))</f>
        <v/>
      </c>
      <c r="D1780" t="str">
        <f>IF($J1780="","",IFERROR(COUNTIFS('Weekly Log'!$H:$H,"Y",'Weekly Log'!$A:$A,"&gt;="&amp;$J1780,'Weekly Log'!$A:$A,"&lt;"&amp;$J1780+7)/COUNTIFS('Weekly Log'!$H:$H,"&lt;&gt;",'Weekly Log'!$A:$A,"&gt;="&amp;$J1780,'Weekly Log'!$A:$A,"&lt;"&amp;$J1780+7),0))</f>
        <v/>
      </c>
      <c r="E1780" t="str">
        <f>IF($J1780="","",IFERROR(AVERAGEIFS('Weekly Log'!$F:$F,'Weekly Log'!$A:$A,"&gt;="&amp;$J1780,'Weekly Log'!$A:$A,"&lt;"&amp;$J1780+7),0))</f>
        <v/>
      </c>
      <c r="F1780" t="str">
        <f>IF($J1780="","",IFERROR(SUMIFS('Weekly Log'!$F:$F,'Weekly Log'!$A:$A,"&gt;="&amp;$J1780,'Weekly Log'!$A:$A,"&lt;"&amp;$J1780+7)/SUMIFS('Weekly Log'!$E:$E,'Weekly Log'!$A:$A,"&gt;="&amp;$J1780,'Weekly Log'!$A:$A,"&lt;"&amp;$J1780+7),0))</f>
        <v/>
      </c>
      <c r="G1780" t="str">
        <f>IF($J1780="","",IFERROR(LOOKUP(2,1/(('Weekly Log'!$A$5:$A$5000&gt;=$J1780)*('Weekly Log'!$A$5:$A$5000&lt;$J1780+7)*('Weekly Log'!$M$5:$M$5000&lt;&gt;"")),'Weekly Log'!$M$5:$M$5000),0))</f>
        <v/>
      </c>
      <c r="J1780" t="str">
        <f>IF(COUNT('Weekly Log'!$A$5:$A$5000)=0,"",IF(MIN('Weekly Log'!$A$5:$A$5000)+7*(ROW()-10)&gt;MAX('Weekly Log'!$A$5:$A$5000),"",MIN('Weekly Log'!$A$5:$A$5000)+7*(ROW()-10)))</f>
        <v/>
      </c>
    </row>
    <row r="1781" spans="1:10" x14ac:dyDescent="0.25">
      <c r="A1781" t="str">
        <f t="shared" si="27"/>
        <v/>
      </c>
      <c r="B1781" t="str">
        <f>IF($J1781="","",SUMIFS('Weekly Log'!$C:$C,'Weekly Log'!$A:$A,"&gt;="&amp;$J1781,'Weekly Log'!$A:$A,"&lt;"&amp;$J1781+7))</f>
        <v/>
      </c>
      <c r="C1781" t="str">
        <f>IF($J1781="","",IFERROR(COUNTIFS('Weekly Log'!$G:$G,"Y",'Weekly Log'!$A:$A,"&gt;="&amp;$J1781,'Weekly Log'!$A:$A,"&lt;"&amp;$J1781+7)/COUNTIFS('Weekly Log'!$G:$G,"&lt;&gt;",'Weekly Log'!$A:$A,"&gt;="&amp;$J1781,'Weekly Log'!$A:$A,"&lt;"&amp;$J1781+7),0))</f>
        <v/>
      </c>
      <c r="D1781" t="str">
        <f>IF($J1781="","",IFERROR(COUNTIFS('Weekly Log'!$H:$H,"Y",'Weekly Log'!$A:$A,"&gt;="&amp;$J1781,'Weekly Log'!$A:$A,"&lt;"&amp;$J1781+7)/COUNTIFS('Weekly Log'!$H:$H,"&lt;&gt;",'Weekly Log'!$A:$A,"&gt;="&amp;$J1781,'Weekly Log'!$A:$A,"&lt;"&amp;$J1781+7),0))</f>
        <v/>
      </c>
      <c r="E1781" t="str">
        <f>IF($J1781="","",IFERROR(AVERAGEIFS('Weekly Log'!$F:$F,'Weekly Log'!$A:$A,"&gt;="&amp;$J1781,'Weekly Log'!$A:$A,"&lt;"&amp;$J1781+7),0))</f>
        <v/>
      </c>
      <c r="F1781" t="str">
        <f>IF($J1781="","",IFERROR(SUMIFS('Weekly Log'!$F:$F,'Weekly Log'!$A:$A,"&gt;="&amp;$J1781,'Weekly Log'!$A:$A,"&lt;"&amp;$J1781+7)/SUMIFS('Weekly Log'!$E:$E,'Weekly Log'!$A:$A,"&gt;="&amp;$J1781,'Weekly Log'!$A:$A,"&lt;"&amp;$J1781+7),0))</f>
        <v/>
      </c>
      <c r="G1781" t="str">
        <f>IF($J1781="","",IFERROR(LOOKUP(2,1/(('Weekly Log'!$A$5:$A$5000&gt;=$J1781)*('Weekly Log'!$A$5:$A$5000&lt;$J1781+7)*('Weekly Log'!$M$5:$M$5000&lt;&gt;"")),'Weekly Log'!$M$5:$M$5000),0))</f>
        <v/>
      </c>
      <c r="J1781" t="str">
        <f>IF(COUNT('Weekly Log'!$A$5:$A$5000)=0,"",IF(MIN('Weekly Log'!$A$5:$A$5000)+7*(ROW()-10)&gt;MAX('Weekly Log'!$A$5:$A$5000),"",MIN('Weekly Log'!$A$5:$A$5000)+7*(ROW()-10)))</f>
        <v/>
      </c>
    </row>
    <row r="1782" spans="1:10" x14ac:dyDescent="0.25">
      <c r="A1782" t="str">
        <f t="shared" si="27"/>
        <v/>
      </c>
      <c r="B1782" t="str">
        <f>IF($J1782="","",SUMIFS('Weekly Log'!$C:$C,'Weekly Log'!$A:$A,"&gt;="&amp;$J1782,'Weekly Log'!$A:$A,"&lt;"&amp;$J1782+7))</f>
        <v/>
      </c>
      <c r="C1782" t="str">
        <f>IF($J1782="","",IFERROR(COUNTIFS('Weekly Log'!$G:$G,"Y",'Weekly Log'!$A:$A,"&gt;="&amp;$J1782,'Weekly Log'!$A:$A,"&lt;"&amp;$J1782+7)/COUNTIFS('Weekly Log'!$G:$G,"&lt;&gt;",'Weekly Log'!$A:$A,"&gt;="&amp;$J1782,'Weekly Log'!$A:$A,"&lt;"&amp;$J1782+7),0))</f>
        <v/>
      </c>
      <c r="D1782" t="str">
        <f>IF($J1782="","",IFERROR(COUNTIFS('Weekly Log'!$H:$H,"Y",'Weekly Log'!$A:$A,"&gt;="&amp;$J1782,'Weekly Log'!$A:$A,"&lt;"&amp;$J1782+7)/COUNTIFS('Weekly Log'!$H:$H,"&lt;&gt;",'Weekly Log'!$A:$A,"&gt;="&amp;$J1782,'Weekly Log'!$A:$A,"&lt;"&amp;$J1782+7),0))</f>
        <v/>
      </c>
      <c r="E1782" t="str">
        <f>IF($J1782="","",IFERROR(AVERAGEIFS('Weekly Log'!$F:$F,'Weekly Log'!$A:$A,"&gt;="&amp;$J1782,'Weekly Log'!$A:$A,"&lt;"&amp;$J1782+7),0))</f>
        <v/>
      </c>
      <c r="F1782" t="str">
        <f>IF($J1782="","",IFERROR(SUMIFS('Weekly Log'!$F:$F,'Weekly Log'!$A:$A,"&gt;="&amp;$J1782,'Weekly Log'!$A:$A,"&lt;"&amp;$J1782+7)/SUMIFS('Weekly Log'!$E:$E,'Weekly Log'!$A:$A,"&gt;="&amp;$J1782,'Weekly Log'!$A:$A,"&lt;"&amp;$J1782+7),0))</f>
        <v/>
      </c>
      <c r="G1782" t="str">
        <f>IF($J1782="","",IFERROR(LOOKUP(2,1/(('Weekly Log'!$A$5:$A$5000&gt;=$J1782)*('Weekly Log'!$A$5:$A$5000&lt;$J1782+7)*('Weekly Log'!$M$5:$M$5000&lt;&gt;"")),'Weekly Log'!$M$5:$M$5000),0))</f>
        <v/>
      </c>
      <c r="J1782" t="str">
        <f>IF(COUNT('Weekly Log'!$A$5:$A$5000)=0,"",IF(MIN('Weekly Log'!$A$5:$A$5000)+7*(ROW()-10)&gt;MAX('Weekly Log'!$A$5:$A$5000),"",MIN('Weekly Log'!$A$5:$A$5000)+7*(ROW()-10)))</f>
        <v/>
      </c>
    </row>
    <row r="1783" spans="1:10" x14ac:dyDescent="0.25">
      <c r="A1783" t="str">
        <f t="shared" si="27"/>
        <v/>
      </c>
      <c r="B1783" t="str">
        <f>IF($J1783="","",SUMIFS('Weekly Log'!$C:$C,'Weekly Log'!$A:$A,"&gt;="&amp;$J1783,'Weekly Log'!$A:$A,"&lt;"&amp;$J1783+7))</f>
        <v/>
      </c>
      <c r="C1783" t="str">
        <f>IF($J1783="","",IFERROR(COUNTIFS('Weekly Log'!$G:$G,"Y",'Weekly Log'!$A:$A,"&gt;="&amp;$J1783,'Weekly Log'!$A:$A,"&lt;"&amp;$J1783+7)/COUNTIFS('Weekly Log'!$G:$G,"&lt;&gt;",'Weekly Log'!$A:$A,"&gt;="&amp;$J1783,'Weekly Log'!$A:$A,"&lt;"&amp;$J1783+7),0))</f>
        <v/>
      </c>
      <c r="D1783" t="str">
        <f>IF($J1783="","",IFERROR(COUNTIFS('Weekly Log'!$H:$H,"Y",'Weekly Log'!$A:$A,"&gt;="&amp;$J1783,'Weekly Log'!$A:$A,"&lt;"&amp;$J1783+7)/COUNTIFS('Weekly Log'!$H:$H,"&lt;&gt;",'Weekly Log'!$A:$A,"&gt;="&amp;$J1783,'Weekly Log'!$A:$A,"&lt;"&amp;$J1783+7),0))</f>
        <v/>
      </c>
      <c r="E1783" t="str">
        <f>IF($J1783="","",IFERROR(AVERAGEIFS('Weekly Log'!$F:$F,'Weekly Log'!$A:$A,"&gt;="&amp;$J1783,'Weekly Log'!$A:$A,"&lt;"&amp;$J1783+7),0))</f>
        <v/>
      </c>
      <c r="F1783" t="str">
        <f>IF($J1783="","",IFERROR(SUMIFS('Weekly Log'!$F:$F,'Weekly Log'!$A:$A,"&gt;="&amp;$J1783,'Weekly Log'!$A:$A,"&lt;"&amp;$J1783+7)/SUMIFS('Weekly Log'!$E:$E,'Weekly Log'!$A:$A,"&gt;="&amp;$J1783,'Weekly Log'!$A:$A,"&lt;"&amp;$J1783+7),0))</f>
        <v/>
      </c>
      <c r="G1783" t="str">
        <f>IF($J1783="","",IFERROR(LOOKUP(2,1/(('Weekly Log'!$A$5:$A$5000&gt;=$J1783)*('Weekly Log'!$A$5:$A$5000&lt;$J1783+7)*('Weekly Log'!$M$5:$M$5000&lt;&gt;"")),'Weekly Log'!$M$5:$M$5000),0))</f>
        <v/>
      </c>
      <c r="J1783" t="str">
        <f>IF(COUNT('Weekly Log'!$A$5:$A$5000)=0,"",IF(MIN('Weekly Log'!$A$5:$A$5000)+7*(ROW()-10)&gt;MAX('Weekly Log'!$A$5:$A$5000),"",MIN('Weekly Log'!$A$5:$A$5000)+7*(ROW()-10)))</f>
        <v/>
      </c>
    </row>
    <row r="1784" spans="1:10" x14ac:dyDescent="0.25">
      <c r="A1784" t="str">
        <f t="shared" si="27"/>
        <v/>
      </c>
      <c r="B1784" t="str">
        <f>IF($J1784="","",SUMIFS('Weekly Log'!$C:$C,'Weekly Log'!$A:$A,"&gt;="&amp;$J1784,'Weekly Log'!$A:$A,"&lt;"&amp;$J1784+7))</f>
        <v/>
      </c>
      <c r="C1784" t="str">
        <f>IF($J1784="","",IFERROR(COUNTIFS('Weekly Log'!$G:$G,"Y",'Weekly Log'!$A:$A,"&gt;="&amp;$J1784,'Weekly Log'!$A:$A,"&lt;"&amp;$J1784+7)/COUNTIFS('Weekly Log'!$G:$G,"&lt;&gt;",'Weekly Log'!$A:$A,"&gt;="&amp;$J1784,'Weekly Log'!$A:$A,"&lt;"&amp;$J1784+7),0))</f>
        <v/>
      </c>
      <c r="D1784" t="str">
        <f>IF($J1784="","",IFERROR(COUNTIFS('Weekly Log'!$H:$H,"Y",'Weekly Log'!$A:$A,"&gt;="&amp;$J1784,'Weekly Log'!$A:$A,"&lt;"&amp;$J1784+7)/COUNTIFS('Weekly Log'!$H:$H,"&lt;&gt;",'Weekly Log'!$A:$A,"&gt;="&amp;$J1784,'Weekly Log'!$A:$A,"&lt;"&amp;$J1784+7),0))</f>
        <v/>
      </c>
      <c r="E1784" t="str">
        <f>IF($J1784="","",IFERROR(AVERAGEIFS('Weekly Log'!$F:$F,'Weekly Log'!$A:$A,"&gt;="&amp;$J1784,'Weekly Log'!$A:$A,"&lt;"&amp;$J1784+7),0))</f>
        <v/>
      </c>
      <c r="F1784" t="str">
        <f>IF($J1784="","",IFERROR(SUMIFS('Weekly Log'!$F:$F,'Weekly Log'!$A:$A,"&gt;="&amp;$J1784,'Weekly Log'!$A:$A,"&lt;"&amp;$J1784+7)/SUMIFS('Weekly Log'!$E:$E,'Weekly Log'!$A:$A,"&gt;="&amp;$J1784,'Weekly Log'!$A:$A,"&lt;"&amp;$J1784+7),0))</f>
        <v/>
      </c>
      <c r="G1784" t="str">
        <f>IF($J1784="","",IFERROR(LOOKUP(2,1/(('Weekly Log'!$A$5:$A$5000&gt;=$J1784)*('Weekly Log'!$A$5:$A$5000&lt;$J1784+7)*('Weekly Log'!$M$5:$M$5000&lt;&gt;"")),'Weekly Log'!$M$5:$M$5000),0))</f>
        <v/>
      </c>
      <c r="J1784" t="str">
        <f>IF(COUNT('Weekly Log'!$A$5:$A$5000)=0,"",IF(MIN('Weekly Log'!$A$5:$A$5000)+7*(ROW()-10)&gt;MAX('Weekly Log'!$A$5:$A$5000),"",MIN('Weekly Log'!$A$5:$A$5000)+7*(ROW()-10)))</f>
        <v/>
      </c>
    </row>
    <row r="1785" spans="1:10" x14ac:dyDescent="0.25">
      <c r="A1785" t="str">
        <f t="shared" si="27"/>
        <v/>
      </c>
      <c r="B1785" t="str">
        <f>IF($J1785="","",SUMIFS('Weekly Log'!$C:$C,'Weekly Log'!$A:$A,"&gt;="&amp;$J1785,'Weekly Log'!$A:$A,"&lt;"&amp;$J1785+7))</f>
        <v/>
      </c>
      <c r="C1785" t="str">
        <f>IF($J1785="","",IFERROR(COUNTIFS('Weekly Log'!$G:$G,"Y",'Weekly Log'!$A:$A,"&gt;="&amp;$J1785,'Weekly Log'!$A:$A,"&lt;"&amp;$J1785+7)/COUNTIFS('Weekly Log'!$G:$G,"&lt;&gt;",'Weekly Log'!$A:$A,"&gt;="&amp;$J1785,'Weekly Log'!$A:$A,"&lt;"&amp;$J1785+7),0))</f>
        <v/>
      </c>
      <c r="D1785" t="str">
        <f>IF($J1785="","",IFERROR(COUNTIFS('Weekly Log'!$H:$H,"Y",'Weekly Log'!$A:$A,"&gt;="&amp;$J1785,'Weekly Log'!$A:$A,"&lt;"&amp;$J1785+7)/COUNTIFS('Weekly Log'!$H:$H,"&lt;&gt;",'Weekly Log'!$A:$A,"&gt;="&amp;$J1785,'Weekly Log'!$A:$A,"&lt;"&amp;$J1785+7),0))</f>
        <v/>
      </c>
      <c r="E1785" t="str">
        <f>IF($J1785="","",IFERROR(AVERAGEIFS('Weekly Log'!$F:$F,'Weekly Log'!$A:$A,"&gt;="&amp;$J1785,'Weekly Log'!$A:$A,"&lt;"&amp;$J1785+7),0))</f>
        <v/>
      </c>
      <c r="F1785" t="str">
        <f>IF($J1785="","",IFERROR(SUMIFS('Weekly Log'!$F:$F,'Weekly Log'!$A:$A,"&gt;="&amp;$J1785,'Weekly Log'!$A:$A,"&lt;"&amp;$J1785+7)/SUMIFS('Weekly Log'!$E:$E,'Weekly Log'!$A:$A,"&gt;="&amp;$J1785,'Weekly Log'!$A:$A,"&lt;"&amp;$J1785+7),0))</f>
        <v/>
      </c>
      <c r="G1785" t="str">
        <f>IF($J1785="","",IFERROR(LOOKUP(2,1/(('Weekly Log'!$A$5:$A$5000&gt;=$J1785)*('Weekly Log'!$A$5:$A$5000&lt;$J1785+7)*('Weekly Log'!$M$5:$M$5000&lt;&gt;"")),'Weekly Log'!$M$5:$M$5000),0))</f>
        <v/>
      </c>
      <c r="J1785" t="str">
        <f>IF(COUNT('Weekly Log'!$A$5:$A$5000)=0,"",IF(MIN('Weekly Log'!$A$5:$A$5000)+7*(ROW()-10)&gt;MAX('Weekly Log'!$A$5:$A$5000),"",MIN('Weekly Log'!$A$5:$A$5000)+7*(ROW()-10)))</f>
        <v/>
      </c>
    </row>
    <row r="1786" spans="1:10" x14ac:dyDescent="0.25">
      <c r="A1786" t="str">
        <f t="shared" si="27"/>
        <v/>
      </c>
      <c r="B1786" t="str">
        <f>IF($J1786="","",SUMIFS('Weekly Log'!$C:$C,'Weekly Log'!$A:$A,"&gt;="&amp;$J1786,'Weekly Log'!$A:$A,"&lt;"&amp;$J1786+7))</f>
        <v/>
      </c>
      <c r="C1786" t="str">
        <f>IF($J1786="","",IFERROR(COUNTIFS('Weekly Log'!$G:$G,"Y",'Weekly Log'!$A:$A,"&gt;="&amp;$J1786,'Weekly Log'!$A:$A,"&lt;"&amp;$J1786+7)/COUNTIFS('Weekly Log'!$G:$G,"&lt;&gt;",'Weekly Log'!$A:$A,"&gt;="&amp;$J1786,'Weekly Log'!$A:$A,"&lt;"&amp;$J1786+7),0))</f>
        <v/>
      </c>
      <c r="D1786" t="str">
        <f>IF($J1786="","",IFERROR(COUNTIFS('Weekly Log'!$H:$H,"Y",'Weekly Log'!$A:$A,"&gt;="&amp;$J1786,'Weekly Log'!$A:$A,"&lt;"&amp;$J1786+7)/COUNTIFS('Weekly Log'!$H:$H,"&lt;&gt;",'Weekly Log'!$A:$A,"&gt;="&amp;$J1786,'Weekly Log'!$A:$A,"&lt;"&amp;$J1786+7),0))</f>
        <v/>
      </c>
      <c r="E1786" t="str">
        <f>IF($J1786="","",IFERROR(AVERAGEIFS('Weekly Log'!$F:$F,'Weekly Log'!$A:$A,"&gt;="&amp;$J1786,'Weekly Log'!$A:$A,"&lt;"&amp;$J1786+7),0))</f>
        <v/>
      </c>
      <c r="F1786" t="str">
        <f>IF($J1786="","",IFERROR(SUMIFS('Weekly Log'!$F:$F,'Weekly Log'!$A:$A,"&gt;="&amp;$J1786,'Weekly Log'!$A:$A,"&lt;"&amp;$J1786+7)/SUMIFS('Weekly Log'!$E:$E,'Weekly Log'!$A:$A,"&gt;="&amp;$J1786,'Weekly Log'!$A:$A,"&lt;"&amp;$J1786+7),0))</f>
        <v/>
      </c>
      <c r="G1786" t="str">
        <f>IF($J1786="","",IFERROR(LOOKUP(2,1/(('Weekly Log'!$A$5:$A$5000&gt;=$J1786)*('Weekly Log'!$A$5:$A$5000&lt;$J1786+7)*('Weekly Log'!$M$5:$M$5000&lt;&gt;"")),'Weekly Log'!$M$5:$M$5000),0))</f>
        <v/>
      </c>
      <c r="J1786" t="str">
        <f>IF(COUNT('Weekly Log'!$A$5:$A$5000)=0,"",IF(MIN('Weekly Log'!$A$5:$A$5000)+7*(ROW()-10)&gt;MAX('Weekly Log'!$A$5:$A$5000),"",MIN('Weekly Log'!$A$5:$A$5000)+7*(ROW()-10)))</f>
        <v/>
      </c>
    </row>
    <row r="1787" spans="1:10" x14ac:dyDescent="0.25">
      <c r="A1787" t="str">
        <f t="shared" si="27"/>
        <v/>
      </c>
      <c r="B1787" t="str">
        <f>IF($J1787="","",SUMIFS('Weekly Log'!$C:$C,'Weekly Log'!$A:$A,"&gt;="&amp;$J1787,'Weekly Log'!$A:$A,"&lt;"&amp;$J1787+7))</f>
        <v/>
      </c>
      <c r="C1787" t="str">
        <f>IF($J1787="","",IFERROR(COUNTIFS('Weekly Log'!$G:$G,"Y",'Weekly Log'!$A:$A,"&gt;="&amp;$J1787,'Weekly Log'!$A:$A,"&lt;"&amp;$J1787+7)/COUNTIFS('Weekly Log'!$G:$G,"&lt;&gt;",'Weekly Log'!$A:$A,"&gt;="&amp;$J1787,'Weekly Log'!$A:$A,"&lt;"&amp;$J1787+7),0))</f>
        <v/>
      </c>
      <c r="D1787" t="str">
        <f>IF($J1787="","",IFERROR(COUNTIFS('Weekly Log'!$H:$H,"Y",'Weekly Log'!$A:$A,"&gt;="&amp;$J1787,'Weekly Log'!$A:$A,"&lt;"&amp;$J1787+7)/COUNTIFS('Weekly Log'!$H:$H,"&lt;&gt;",'Weekly Log'!$A:$A,"&gt;="&amp;$J1787,'Weekly Log'!$A:$A,"&lt;"&amp;$J1787+7),0))</f>
        <v/>
      </c>
      <c r="E1787" t="str">
        <f>IF($J1787="","",IFERROR(AVERAGEIFS('Weekly Log'!$F:$F,'Weekly Log'!$A:$A,"&gt;="&amp;$J1787,'Weekly Log'!$A:$A,"&lt;"&amp;$J1787+7),0))</f>
        <v/>
      </c>
      <c r="F1787" t="str">
        <f>IF($J1787="","",IFERROR(SUMIFS('Weekly Log'!$F:$F,'Weekly Log'!$A:$A,"&gt;="&amp;$J1787,'Weekly Log'!$A:$A,"&lt;"&amp;$J1787+7)/SUMIFS('Weekly Log'!$E:$E,'Weekly Log'!$A:$A,"&gt;="&amp;$J1787,'Weekly Log'!$A:$A,"&lt;"&amp;$J1787+7),0))</f>
        <v/>
      </c>
      <c r="G1787" t="str">
        <f>IF($J1787="","",IFERROR(LOOKUP(2,1/(('Weekly Log'!$A$5:$A$5000&gt;=$J1787)*('Weekly Log'!$A$5:$A$5000&lt;$J1787+7)*('Weekly Log'!$M$5:$M$5000&lt;&gt;"")),'Weekly Log'!$M$5:$M$5000),0))</f>
        <v/>
      </c>
      <c r="J1787" t="str">
        <f>IF(COUNT('Weekly Log'!$A$5:$A$5000)=0,"",IF(MIN('Weekly Log'!$A$5:$A$5000)+7*(ROW()-10)&gt;MAX('Weekly Log'!$A$5:$A$5000),"",MIN('Weekly Log'!$A$5:$A$5000)+7*(ROW()-10)))</f>
        <v/>
      </c>
    </row>
    <row r="1788" spans="1:10" x14ac:dyDescent="0.25">
      <c r="A1788" t="str">
        <f t="shared" si="27"/>
        <v/>
      </c>
      <c r="B1788" t="str">
        <f>IF($J1788="","",SUMIFS('Weekly Log'!$C:$C,'Weekly Log'!$A:$A,"&gt;="&amp;$J1788,'Weekly Log'!$A:$A,"&lt;"&amp;$J1788+7))</f>
        <v/>
      </c>
      <c r="C1788" t="str">
        <f>IF($J1788="","",IFERROR(COUNTIFS('Weekly Log'!$G:$G,"Y",'Weekly Log'!$A:$A,"&gt;="&amp;$J1788,'Weekly Log'!$A:$A,"&lt;"&amp;$J1788+7)/COUNTIFS('Weekly Log'!$G:$G,"&lt;&gt;",'Weekly Log'!$A:$A,"&gt;="&amp;$J1788,'Weekly Log'!$A:$A,"&lt;"&amp;$J1788+7),0))</f>
        <v/>
      </c>
      <c r="D1788" t="str">
        <f>IF($J1788="","",IFERROR(COUNTIFS('Weekly Log'!$H:$H,"Y",'Weekly Log'!$A:$A,"&gt;="&amp;$J1788,'Weekly Log'!$A:$A,"&lt;"&amp;$J1788+7)/COUNTIFS('Weekly Log'!$H:$H,"&lt;&gt;",'Weekly Log'!$A:$A,"&gt;="&amp;$J1788,'Weekly Log'!$A:$A,"&lt;"&amp;$J1788+7),0))</f>
        <v/>
      </c>
      <c r="E1788" t="str">
        <f>IF($J1788="","",IFERROR(AVERAGEIFS('Weekly Log'!$F:$F,'Weekly Log'!$A:$A,"&gt;="&amp;$J1788,'Weekly Log'!$A:$A,"&lt;"&amp;$J1788+7),0))</f>
        <v/>
      </c>
      <c r="F1788" t="str">
        <f>IF($J1788="","",IFERROR(SUMIFS('Weekly Log'!$F:$F,'Weekly Log'!$A:$A,"&gt;="&amp;$J1788,'Weekly Log'!$A:$A,"&lt;"&amp;$J1788+7)/SUMIFS('Weekly Log'!$E:$E,'Weekly Log'!$A:$A,"&gt;="&amp;$J1788,'Weekly Log'!$A:$A,"&lt;"&amp;$J1788+7),0))</f>
        <v/>
      </c>
      <c r="G1788" t="str">
        <f>IF($J1788="","",IFERROR(LOOKUP(2,1/(('Weekly Log'!$A$5:$A$5000&gt;=$J1788)*('Weekly Log'!$A$5:$A$5000&lt;$J1788+7)*('Weekly Log'!$M$5:$M$5000&lt;&gt;"")),'Weekly Log'!$M$5:$M$5000),0))</f>
        <v/>
      </c>
      <c r="J1788" t="str">
        <f>IF(COUNT('Weekly Log'!$A$5:$A$5000)=0,"",IF(MIN('Weekly Log'!$A$5:$A$5000)+7*(ROW()-10)&gt;MAX('Weekly Log'!$A$5:$A$5000),"",MIN('Weekly Log'!$A$5:$A$5000)+7*(ROW()-10)))</f>
        <v/>
      </c>
    </row>
    <row r="1789" spans="1:10" x14ac:dyDescent="0.25">
      <c r="A1789" t="str">
        <f t="shared" si="27"/>
        <v/>
      </c>
      <c r="B1789" t="str">
        <f>IF($J1789="","",SUMIFS('Weekly Log'!$C:$C,'Weekly Log'!$A:$A,"&gt;="&amp;$J1789,'Weekly Log'!$A:$A,"&lt;"&amp;$J1789+7))</f>
        <v/>
      </c>
      <c r="C1789" t="str">
        <f>IF($J1789="","",IFERROR(COUNTIFS('Weekly Log'!$G:$G,"Y",'Weekly Log'!$A:$A,"&gt;="&amp;$J1789,'Weekly Log'!$A:$A,"&lt;"&amp;$J1789+7)/COUNTIFS('Weekly Log'!$G:$G,"&lt;&gt;",'Weekly Log'!$A:$A,"&gt;="&amp;$J1789,'Weekly Log'!$A:$A,"&lt;"&amp;$J1789+7),0))</f>
        <v/>
      </c>
      <c r="D1789" t="str">
        <f>IF($J1789="","",IFERROR(COUNTIFS('Weekly Log'!$H:$H,"Y",'Weekly Log'!$A:$A,"&gt;="&amp;$J1789,'Weekly Log'!$A:$A,"&lt;"&amp;$J1789+7)/COUNTIFS('Weekly Log'!$H:$H,"&lt;&gt;",'Weekly Log'!$A:$A,"&gt;="&amp;$J1789,'Weekly Log'!$A:$A,"&lt;"&amp;$J1789+7),0))</f>
        <v/>
      </c>
      <c r="E1789" t="str">
        <f>IF($J1789="","",IFERROR(AVERAGEIFS('Weekly Log'!$F:$F,'Weekly Log'!$A:$A,"&gt;="&amp;$J1789,'Weekly Log'!$A:$A,"&lt;"&amp;$J1789+7),0))</f>
        <v/>
      </c>
      <c r="F1789" t="str">
        <f>IF($J1789="","",IFERROR(SUMIFS('Weekly Log'!$F:$F,'Weekly Log'!$A:$A,"&gt;="&amp;$J1789,'Weekly Log'!$A:$A,"&lt;"&amp;$J1789+7)/SUMIFS('Weekly Log'!$E:$E,'Weekly Log'!$A:$A,"&gt;="&amp;$J1789,'Weekly Log'!$A:$A,"&lt;"&amp;$J1789+7),0))</f>
        <v/>
      </c>
      <c r="G1789" t="str">
        <f>IF($J1789="","",IFERROR(LOOKUP(2,1/(('Weekly Log'!$A$5:$A$5000&gt;=$J1789)*('Weekly Log'!$A$5:$A$5000&lt;$J1789+7)*('Weekly Log'!$M$5:$M$5000&lt;&gt;"")),'Weekly Log'!$M$5:$M$5000),0))</f>
        <v/>
      </c>
      <c r="J1789" t="str">
        <f>IF(COUNT('Weekly Log'!$A$5:$A$5000)=0,"",IF(MIN('Weekly Log'!$A$5:$A$5000)+7*(ROW()-10)&gt;MAX('Weekly Log'!$A$5:$A$5000),"",MIN('Weekly Log'!$A$5:$A$5000)+7*(ROW()-10)))</f>
        <v/>
      </c>
    </row>
    <row r="1790" spans="1:10" x14ac:dyDescent="0.25">
      <c r="A1790" t="str">
        <f t="shared" si="27"/>
        <v/>
      </c>
      <c r="B1790" t="str">
        <f>IF($J1790="","",SUMIFS('Weekly Log'!$C:$C,'Weekly Log'!$A:$A,"&gt;="&amp;$J1790,'Weekly Log'!$A:$A,"&lt;"&amp;$J1790+7))</f>
        <v/>
      </c>
      <c r="C1790" t="str">
        <f>IF($J1790="","",IFERROR(COUNTIFS('Weekly Log'!$G:$G,"Y",'Weekly Log'!$A:$A,"&gt;="&amp;$J1790,'Weekly Log'!$A:$A,"&lt;"&amp;$J1790+7)/COUNTIFS('Weekly Log'!$G:$G,"&lt;&gt;",'Weekly Log'!$A:$A,"&gt;="&amp;$J1790,'Weekly Log'!$A:$A,"&lt;"&amp;$J1790+7),0))</f>
        <v/>
      </c>
      <c r="D1790" t="str">
        <f>IF($J1790="","",IFERROR(COUNTIFS('Weekly Log'!$H:$H,"Y",'Weekly Log'!$A:$A,"&gt;="&amp;$J1790,'Weekly Log'!$A:$A,"&lt;"&amp;$J1790+7)/COUNTIFS('Weekly Log'!$H:$H,"&lt;&gt;",'Weekly Log'!$A:$A,"&gt;="&amp;$J1790,'Weekly Log'!$A:$A,"&lt;"&amp;$J1790+7),0))</f>
        <v/>
      </c>
      <c r="E1790" t="str">
        <f>IF($J1790="","",IFERROR(AVERAGEIFS('Weekly Log'!$F:$F,'Weekly Log'!$A:$A,"&gt;="&amp;$J1790,'Weekly Log'!$A:$A,"&lt;"&amp;$J1790+7),0))</f>
        <v/>
      </c>
      <c r="F1790" t="str">
        <f>IF($J1790="","",IFERROR(SUMIFS('Weekly Log'!$F:$F,'Weekly Log'!$A:$A,"&gt;="&amp;$J1790,'Weekly Log'!$A:$A,"&lt;"&amp;$J1790+7)/SUMIFS('Weekly Log'!$E:$E,'Weekly Log'!$A:$A,"&gt;="&amp;$J1790,'Weekly Log'!$A:$A,"&lt;"&amp;$J1790+7),0))</f>
        <v/>
      </c>
      <c r="G1790" t="str">
        <f>IF($J1790="","",IFERROR(LOOKUP(2,1/(('Weekly Log'!$A$5:$A$5000&gt;=$J1790)*('Weekly Log'!$A$5:$A$5000&lt;$J1790+7)*('Weekly Log'!$M$5:$M$5000&lt;&gt;"")),'Weekly Log'!$M$5:$M$5000),0))</f>
        <v/>
      </c>
      <c r="J1790" t="str">
        <f>IF(COUNT('Weekly Log'!$A$5:$A$5000)=0,"",IF(MIN('Weekly Log'!$A$5:$A$5000)+7*(ROW()-10)&gt;MAX('Weekly Log'!$A$5:$A$5000),"",MIN('Weekly Log'!$A$5:$A$5000)+7*(ROW()-10)))</f>
        <v/>
      </c>
    </row>
    <row r="1791" spans="1:10" x14ac:dyDescent="0.25">
      <c r="A1791" t="str">
        <f t="shared" si="27"/>
        <v/>
      </c>
      <c r="B1791" t="str">
        <f>IF($J1791="","",SUMIFS('Weekly Log'!$C:$C,'Weekly Log'!$A:$A,"&gt;="&amp;$J1791,'Weekly Log'!$A:$A,"&lt;"&amp;$J1791+7))</f>
        <v/>
      </c>
      <c r="C1791" t="str">
        <f>IF($J1791="","",IFERROR(COUNTIFS('Weekly Log'!$G:$G,"Y",'Weekly Log'!$A:$A,"&gt;="&amp;$J1791,'Weekly Log'!$A:$A,"&lt;"&amp;$J1791+7)/COUNTIFS('Weekly Log'!$G:$G,"&lt;&gt;",'Weekly Log'!$A:$A,"&gt;="&amp;$J1791,'Weekly Log'!$A:$A,"&lt;"&amp;$J1791+7),0))</f>
        <v/>
      </c>
      <c r="D1791" t="str">
        <f>IF($J1791="","",IFERROR(COUNTIFS('Weekly Log'!$H:$H,"Y",'Weekly Log'!$A:$A,"&gt;="&amp;$J1791,'Weekly Log'!$A:$A,"&lt;"&amp;$J1791+7)/COUNTIFS('Weekly Log'!$H:$H,"&lt;&gt;",'Weekly Log'!$A:$A,"&gt;="&amp;$J1791,'Weekly Log'!$A:$A,"&lt;"&amp;$J1791+7),0))</f>
        <v/>
      </c>
      <c r="E1791" t="str">
        <f>IF($J1791="","",IFERROR(AVERAGEIFS('Weekly Log'!$F:$F,'Weekly Log'!$A:$A,"&gt;="&amp;$J1791,'Weekly Log'!$A:$A,"&lt;"&amp;$J1791+7),0))</f>
        <v/>
      </c>
      <c r="F1791" t="str">
        <f>IF($J1791="","",IFERROR(SUMIFS('Weekly Log'!$F:$F,'Weekly Log'!$A:$A,"&gt;="&amp;$J1791,'Weekly Log'!$A:$A,"&lt;"&amp;$J1791+7)/SUMIFS('Weekly Log'!$E:$E,'Weekly Log'!$A:$A,"&gt;="&amp;$J1791,'Weekly Log'!$A:$A,"&lt;"&amp;$J1791+7),0))</f>
        <v/>
      </c>
      <c r="G1791" t="str">
        <f>IF($J1791="","",IFERROR(LOOKUP(2,1/(('Weekly Log'!$A$5:$A$5000&gt;=$J1791)*('Weekly Log'!$A$5:$A$5000&lt;$J1791+7)*('Weekly Log'!$M$5:$M$5000&lt;&gt;"")),'Weekly Log'!$M$5:$M$5000),0))</f>
        <v/>
      </c>
      <c r="J1791" t="str">
        <f>IF(COUNT('Weekly Log'!$A$5:$A$5000)=0,"",IF(MIN('Weekly Log'!$A$5:$A$5000)+7*(ROW()-10)&gt;MAX('Weekly Log'!$A$5:$A$5000),"",MIN('Weekly Log'!$A$5:$A$5000)+7*(ROW()-10)))</f>
        <v/>
      </c>
    </row>
    <row r="1792" spans="1:10" x14ac:dyDescent="0.25">
      <c r="A1792" t="str">
        <f t="shared" si="27"/>
        <v/>
      </c>
      <c r="B1792" t="str">
        <f>IF($J1792="","",SUMIFS('Weekly Log'!$C:$C,'Weekly Log'!$A:$A,"&gt;="&amp;$J1792,'Weekly Log'!$A:$A,"&lt;"&amp;$J1792+7))</f>
        <v/>
      </c>
      <c r="C1792" t="str">
        <f>IF($J1792="","",IFERROR(COUNTIFS('Weekly Log'!$G:$G,"Y",'Weekly Log'!$A:$A,"&gt;="&amp;$J1792,'Weekly Log'!$A:$A,"&lt;"&amp;$J1792+7)/COUNTIFS('Weekly Log'!$G:$G,"&lt;&gt;",'Weekly Log'!$A:$A,"&gt;="&amp;$J1792,'Weekly Log'!$A:$A,"&lt;"&amp;$J1792+7),0))</f>
        <v/>
      </c>
      <c r="D1792" t="str">
        <f>IF($J1792="","",IFERROR(COUNTIFS('Weekly Log'!$H:$H,"Y",'Weekly Log'!$A:$A,"&gt;="&amp;$J1792,'Weekly Log'!$A:$A,"&lt;"&amp;$J1792+7)/COUNTIFS('Weekly Log'!$H:$H,"&lt;&gt;",'Weekly Log'!$A:$A,"&gt;="&amp;$J1792,'Weekly Log'!$A:$A,"&lt;"&amp;$J1792+7),0))</f>
        <v/>
      </c>
      <c r="E1792" t="str">
        <f>IF($J1792="","",IFERROR(AVERAGEIFS('Weekly Log'!$F:$F,'Weekly Log'!$A:$A,"&gt;="&amp;$J1792,'Weekly Log'!$A:$A,"&lt;"&amp;$J1792+7),0))</f>
        <v/>
      </c>
      <c r="F1792" t="str">
        <f>IF($J1792="","",IFERROR(SUMIFS('Weekly Log'!$F:$F,'Weekly Log'!$A:$A,"&gt;="&amp;$J1792,'Weekly Log'!$A:$A,"&lt;"&amp;$J1792+7)/SUMIFS('Weekly Log'!$E:$E,'Weekly Log'!$A:$A,"&gt;="&amp;$J1792,'Weekly Log'!$A:$A,"&lt;"&amp;$J1792+7),0))</f>
        <v/>
      </c>
      <c r="G1792" t="str">
        <f>IF($J1792="","",IFERROR(LOOKUP(2,1/(('Weekly Log'!$A$5:$A$5000&gt;=$J1792)*('Weekly Log'!$A$5:$A$5000&lt;$J1792+7)*('Weekly Log'!$M$5:$M$5000&lt;&gt;"")),'Weekly Log'!$M$5:$M$5000),0))</f>
        <v/>
      </c>
      <c r="J1792" t="str">
        <f>IF(COUNT('Weekly Log'!$A$5:$A$5000)=0,"",IF(MIN('Weekly Log'!$A$5:$A$5000)+7*(ROW()-10)&gt;MAX('Weekly Log'!$A$5:$A$5000),"",MIN('Weekly Log'!$A$5:$A$5000)+7*(ROW()-10)))</f>
        <v/>
      </c>
    </row>
    <row r="1793" spans="1:10" x14ac:dyDescent="0.25">
      <c r="A1793" t="str">
        <f t="shared" si="27"/>
        <v/>
      </c>
      <c r="B1793" t="str">
        <f>IF($J1793="","",SUMIFS('Weekly Log'!$C:$C,'Weekly Log'!$A:$A,"&gt;="&amp;$J1793,'Weekly Log'!$A:$A,"&lt;"&amp;$J1793+7))</f>
        <v/>
      </c>
      <c r="C1793" t="str">
        <f>IF($J1793="","",IFERROR(COUNTIFS('Weekly Log'!$G:$G,"Y",'Weekly Log'!$A:$A,"&gt;="&amp;$J1793,'Weekly Log'!$A:$A,"&lt;"&amp;$J1793+7)/COUNTIFS('Weekly Log'!$G:$G,"&lt;&gt;",'Weekly Log'!$A:$A,"&gt;="&amp;$J1793,'Weekly Log'!$A:$A,"&lt;"&amp;$J1793+7),0))</f>
        <v/>
      </c>
      <c r="D1793" t="str">
        <f>IF($J1793="","",IFERROR(COUNTIFS('Weekly Log'!$H:$H,"Y",'Weekly Log'!$A:$A,"&gt;="&amp;$J1793,'Weekly Log'!$A:$A,"&lt;"&amp;$J1793+7)/COUNTIFS('Weekly Log'!$H:$H,"&lt;&gt;",'Weekly Log'!$A:$A,"&gt;="&amp;$J1793,'Weekly Log'!$A:$A,"&lt;"&amp;$J1793+7),0))</f>
        <v/>
      </c>
      <c r="E1793" t="str">
        <f>IF($J1793="","",IFERROR(AVERAGEIFS('Weekly Log'!$F:$F,'Weekly Log'!$A:$A,"&gt;="&amp;$J1793,'Weekly Log'!$A:$A,"&lt;"&amp;$J1793+7),0))</f>
        <v/>
      </c>
      <c r="F1793" t="str">
        <f>IF($J1793="","",IFERROR(SUMIFS('Weekly Log'!$F:$F,'Weekly Log'!$A:$A,"&gt;="&amp;$J1793,'Weekly Log'!$A:$A,"&lt;"&amp;$J1793+7)/SUMIFS('Weekly Log'!$E:$E,'Weekly Log'!$A:$A,"&gt;="&amp;$J1793,'Weekly Log'!$A:$A,"&lt;"&amp;$J1793+7),0))</f>
        <v/>
      </c>
      <c r="G1793" t="str">
        <f>IF($J1793="","",IFERROR(LOOKUP(2,1/(('Weekly Log'!$A$5:$A$5000&gt;=$J1793)*('Weekly Log'!$A$5:$A$5000&lt;$J1793+7)*('Weekly Log'!$M$5:$M$5000&lt;&gt;"")),'Weekly Log'!$M$5:$M$5000),0))</f>
        <v/>
      </c>
      <c r="J1793" t="str">
        <f>IF(COUNT('Weekly Log'!$A$5:$A$5000)=0,"",IF(MIN('Weekly Log'!$A$5:$A$5000)+7*(ROW()-10)&gt;MAX('Weekly Log'!$A$5:$A$5000),"",MIN('Weekly Log'!$A$5:$A$5000)+7*(ROW()-10)))</f>
        <v/>
      </c>
    </row>
    <row r="1794" spans="1:10" x14ac:dyDescent="0.25">
      <c r="A1794" t="str">
        <f t="shared" si="27"/>
        <v/>
      </c>
      <c r="B1794" t="str">
        <f>IF($J1794="","",SUMIFS('Weekly Log'!$C:$C,'Weekly Log'!$A:$A,"&gt;="&amp;$J1794,'Weekly Log'!$A:$A,"&lt;"&amp;$J1794+7))</f>
        <v/>
      </c>
      <c r="C1794" t="str">
        <f>IF($J1794="","",IFERROR(COUNTIFS('Weekly Log'!$G:$G,"Y",'Weekly Log'!$A:$A,"&gt;="&amp;$J1794,'Weekly Log'!$A:$A,"&lt;"&amp;$J1794+7)/COUNTIFS('Weekly Log'!$G:$G,"&lt;&gt;",'Weekly Log'!$A:$A,"&gt;="&amp;$J1794,'Weekly Log'!$A:$A,"&lt;"&amp;$J1794+7),0))</f>
        <v/>
      </c>
      <c r="D1794" t="str">
        <f>IF($J1794="","",IFERROR(COUNTIFS('Weekly Log'!$H:$H,"Y",'Weekly Log'!$A:$A,"&gt;="&amp;$J1794,'Weekly Log'!$A:$A,"&lt;"&amp;$J1794+7)/COUNTIFS('Weekly Log'!$H:$H,"&lt;&gt;",'Weekly Log'!$A:$A,"&gt;="&amp;$J1794,'Weekly Log'!$A:$A,"&lt;"&amp;$J1794+7),0))</f>
        <v/>
      </c>
      <c r="E1794" t="str">
        <f>IF($J1794="","",IFERROR(AVERAGEIFS('Weekly Log'!$F:$F,'Weekly Log'!$A:$A,"&gt;="&amp;$J1794,'Weekly Log'!$A:$A,"&lt;"&amp;$J1794+7),0))</f>
        <v/>
      </c>
      <c r="F1794" t="str">
        <f>IF($J1794="","",IFERROR(SUMIFS('Weekly Log'!$F:$F,'Weekly Log'!$A:$A,"&gt;="&amp;$J1794,'Weekly Log'!$A:$A,"&lt;"&amp;$J1794+7)/SUMIFS('Weekly Log'!$E:$E,'Weekly Log'!$A:$A,"&gt;="&amp;$J1794,'Weekly Log'!$A:$A,"&lt;"&amp;$J1794+7),0))</f>
        <v/>
      </c>
      <c r="G1794" t="str">
        <f>IF($J1794="","",IFERROR(LOOKUP(2,1/(('Weekly Log'!$A$5:$A$5000&gt;=$J1794)*('Weekly Log'!$A$5:$A$5000&lt;$J1794+7)*('Weekly Log'!$M$5:$M$5000&lt;&gt;"")),'Weekly Log'!$M$5:$M$5000),0))</f>
        <v/>
      </c>
      <c r="J1794" t="str">
        <f>IF(COUNT('Weekly Log'!$A$5:$A$5000)=0,"",IF(MIN('Weekly Log'!$A$5:$A$5000)+7*(ROW()-10)&gt;MAX('Weekly Log'!$A$5:$A$5000),"",MIN('Weekly Log'!$A$5:$A$5000)+7*(ROW()-10)))</f>
        <v/>
      </c>
    </row>
    <row r="1795" spans="1:10" x14ac:dyDescent="0.25">
      <c r="A1795" t="str">
        <f t="shared" si="27"/>
        <v/>
      </c>
      <c r="B1795" t="str">
        <f>IF($J1795="","",SUMIFS('Weekly Log'!$C:$C,'Weekly Log'!$A:$A,"&gt;="&amp;$J1795,'Weekly Log'!$A:$A,"&lt;"&amp;$J1795+7))</f>
        <v/>
      </c>
      <c r="C1795" t="str">
        <f>IF($J1795="","",IFERROR(COUNTIFS('Weekly Log'!$G:$G,"Y",'Weekly Log'!$A:$A,"&gt;="&amp;$J1795,'Weekly Log'!$A:$A,"&lt;"&amp;$J1795+7)/COUNTIFS('Weekly Log'!$G:$G,"&lt;&gt;",'Weekly Log'!$A:$A,"&gt;="&amp;$J1795,'Weekly Log'!$A:$A,"&lt;"&amp;$J1795+7),0))</f>
        <v/>
      </c>
      <c r="D1795" t="str">
        <f>IF($J1795="","",IFERROR(COUNTIFS('Weekly Log'!$H:$H,"Y",'Weekly Log'!$A:$A,"&gt;="&amp;$J1795,'Weekly Log'!$A:$A,"&lt;"&amp;$J1795+7)/COUNTIFS('Weekly Log'!$H:$H,"&lt;&gt;",'Weekly Log'!$A:$A,"&gt;="&amp;$J1795,'Weekly Log'!$A:$A,"&lt;"&amp;$J1795+7),0))</f>
        <v/>
      </c>
      <c r="E1795" t="str">
        <f>IF($J1795="","",IFERROR(AVERAGEIFS('Weekly Log'!$F:$F,'Weekly Log'!$A:$A,"&gt;="&amp;$J1795,'Weekly Log'!$A:$A,"&lt;"&amp;$J1795+7),0))</f>
        <v/>
      </c>
      <c r="F1795" t="str">
        <f>IF($J1795="","",IFERROR(SUMIFS('Weekly Log'!$F:$F,'Weekly Log'!$A:$A,"&gt;="&amp;$J1795,'Weekly Log'!$A:$A,"&lt;"&amp;$J1795+7)/SUMIFS('Weekly Log'!$E:$E,'Weekly Log'!$A:$A,"&gt;="&amp;$J1795,'Weekly Log'!$A:$A,"&lt;"&amp;$J1795+7),0))</f>
        <v/>
      </c>
      <c r="G1795" t="str">
        <f>IF($J1795="","",IFERROR(LOOKUP(2,1/(('Weekly Log'!$A$5:$A$5000&gt;=$J1795)*('Weekly Log'!$A$5:$A$5000&lt;$J1795+7)*('Weekly Log'!$M$5:$M$5000&lt;&gt;"")),'Weekly Log'!$M$5:$M$5000),0))</f>
        <v/>
      </c>
      <c r="J1795" t="str">
        <f>IF(COUNT('Weekly Log'!$A$5:$A$5000)=0,"",IF(MIN('Weekly Log'!$A$5:$A$5000)+7*(ROW()-10)&gt;MAX('Weekly Log'!$A$5:$A$5000),"",MIN('Weekly Log'!$A$5:$A$5000)+7*(ROW()-10)))</f>
        <v/>
      </c>
    </row>
    <row r="1796" spans="1:10" x14ac:dyDescent="0.25">
      <c r="A1796" t="str">
        <f t="shared" si="27"/>
        <v/>
      </c>
      <c r="B1796" t="str">
        <f>IF($J1796="","",SUMIFS('Weekly Log'!$C:$C,'Weekly Log'!$A:$A,"&gt;="&amp;$J1796,'Weekly Log'!$A:$A,"&lt;"&amp;$J1796+7))</f>
        <v/>
      </c>
      <c r="C1796" t="str">
        <f>IF($J1796="","",IFERROR(COUNTIFS('Weekly Log'!$G:$G,"Y",'Weekly Log'!$A:$A,"&gt;="&amp;$J1796,'Weekly Log'!$A:$A,"&lt;"&amp;$J1796+7)/COUNTIFS('Weekly Log'!$G:$G,"&lt;&gt;",'Weekly Log'!$A:$A,"&gt;="&amp;$J1796,'Weekly Log'!$A:$A,"&lt;"&amp;$J1796+7),0))</f>
        <v/>
      </c>
      <c r="D1796" t="str">
        <f>IF($J1796="","",IFERROR(COUNTIFS('Weekly Log'!$H:$H,"Y",'Weekly Log'!$A:$A,"&gt;="&amp;$J1796,'Weekly Log'!$A:$A,"&lt;"&amp;$J1796+7)/COUNTIFS('Weekly Log'!$H:$H,"&lt;&gt;",'Weekly Log'!$A:$A,"&gt;="&amp;$J1796,'Weekly Log'!$A:$A,"&lt;"&amp;$J1796+7),0))</f>
        <v/>
      </c>
      <c r="E1796" t="str">
        <f>IF($J1796="","",IFERROR(AVERAGEIFS('Weekly Log'!$F:$F,'Weekly Log'!$A:$A,"&gt;="&amp;$J1796,'Weekly Log'!$A:$A,"&lt;"&amp;$J1796+7),0))</f>
        <v/>
      </c>
      <c r="F1796" t="str">
        <f>IF($J1796="","",IFERROR(SUMIFS('Weekly Log'!$F:$F,'Weekly Log'!$A:$A,"&gt;="&amp;$J1796,'Weekly Log'!$A:$A,"&lt;"&amp;$J1796+7)/SUMIFS('Weekly Log'!$E:$E,'Weekly Log'!$A:$A,"&gt;="&amp;$J1796,'Weekly Log'!$A:$A,"&lt;"&amp;$J1796+7),0))</f>
        <v/>
      </c>
      <c r="G1796" t="str">
        <f>IF($J1796="","",IFERROR(LOOKUP(2,1/(('Weekly Log'!$A$5:$A$5000&gt;=$J1796)*('Weekly Log'!$A$5:$A$5000&lt;$J1796+7)*('Weekly Log'!$M$5:$M$5000&lt;&gt;"")),'Weekly Log'!$M$5:$M$5000),0))</f>
        <v/>
      </c>
      <c r="J1796" t="str">
        <f>IF(COUNT('Weekly Log'!$A$5:$A$5000)=0,"",IF(MIN('Weekly Log'!$A$5:$A$5000)+7*(ROW()-10)&gt;MAX('Weekly Log'!$A$5:$A$5000),"",MIN('Weekly Log'!$A$5:$A$5000)+7*(ROW()-10)))</f>
        <v/>
      </c>
    </row>
    <row r="1797" spans="1:10" x14ac:dyDescent="0.25">
      <c r="A1797" t="str">
        <f t="shared" si="27"/>
        <v/>
      </c>
      <c r="B1797" t="str">
        <f>IF($J1797="","",SUMIFS('Weekly Log'!$C:$C,'Weekly Log'!$A:$A,"&gt;="&amp;$J1797,'Weekly Log'!$A:$A,"&lt;"&amp;$J1797+7))</f>
        <v/>
      </c>
      <c r="C1797" t="str">
        <f>IF($J1797="","",IFERROR(COUNTIFS('Weekly Log'!$G:$G,"Y",'Weekly Log'!$A:$A,"&gt;="&amp;$J1797,'Weekly Log'!$A:$A,"&lt;"&amp;$J1797+7)/COUNTIFS('Weekly Log'!$G:$G,"&lt;&gt;",'Weekly Log'!$A:$A,"&gt;="&amp;$J1797,'Weekly Log'!$A:$A,"&lt;"&amp;$J1797+7),0))</f>
        <v/>
      </c>
      <c r="D1797" t="str">
        <f>IF($J1797="","",IFERROR(COUNTIFS('Weekly Log'!$H:$H,"Y",'Weekly Log'!$A:$A,"&gt;="&amp;$J1797,'Weekly Log'!$A:$A,"&lt;"&amp;$J1797+7)/COUNTIFS('Weekly Log'!$H:$H,"&lt;&gt;",'Weekly Log'!$A:$A,"&gt;="&amp;$J1797,'Weekly Log'!$A:$A,"&lt;"&amp;$J1797+7),0))</f>
        <v/>
      </c>
      <c r="E1797" t="str">
        <f>IF($J1797="","",IFERROR(AVERAGEIFS('Weekly Log'!$F:$F,'Weekly Log'!$A:$A,"&gt;="&amp;$J1797,'Weekly Log'!$A:$A,"&lt;"&amp;$J1797+7),0))</f>
        <v/>
      </c>
      <c r="F1797" t="str">
        <f>IF($J1797="","",IFERROR(SUMIFS('Weekly Log'!$F:$F,'Weekly Log'!$A:$A,"&gt;="&amp;$J1797,'Weekly Log'!$A:$A,"&lt;"&amp;$J1797+7)/SUMIFS('Weekly Log'!$E:$E,'Weekly Log'!$A:$A,"&gt;="&amp;$J1797,'Weekly Log'!$A:$A,"&lt;"&amp;$J1797+7),0))</f>
        <v/>
      </c>
      <c r="G1797" t="str">
        <f>IF($J1797="","",IFERROR(LOOKUP(2,1/(('Weekly Log'!$A$5:$A$5000&gt;=$J1797)*('Weekly Log'!$A$5:$A$5000&lt;$J1797+7)*('Weekly Log'!$M$5:$M$5000&lt;&gt;"")),'Weekly Log'!$M$5:$M$5000),0))</f>
        <v/>
      </c>
      <c r="J1797" t="str">
        <f>IF(COUNT('Weekly Log'!$A$5:$A$5000)=0,"",IF(MIN('Weekly Log'!$A$5:$A$5000)+7*(ROW()-10)&gt;MAX('Weekly Log'!$A$5:$A$5000),"",MIN('Weekly Log'!$A$5:$A$5000)+7*(ROW()-10)))</f>
        <v/>
      </c>
    </row>
    <row r="1798" spans="1:10" x14ac:dyDescent="0.25">
      <c r="A1798" t="str">
        <f t="shared" si="27"/>
        <v/>
      </c>
      <c r="B1798" t="str">
        <f>IF($J1798="","",SUMIFS('Weekly Log'!$C:$C,'Weekly Log'!$A:$A,"&gt;="&amp;$J1798,'Weekly Log'!$A:$A,"&lt;"&amp;$J1798+7))</f>
        <v/>
      </c>
      <c r="C1798" t="str">
        <f>IF($J1798="","",IFERROR(COUNTIFS('Weekly Log'!$G:$G,"Y",'Weekly Log'!$A:$A,"&gt;="&amp;$J1798,'Weekly Log'!$A:$A,"&lt;"&amp;$J1798+7)/COUNTIFS('Weekly Log'!$G:$G,"&lt;&gt;",'Weekly Log'!$A:$A,"&gt;="&amp;$J1798,'Weekly Log'!$A:$A,"&lt;"&amp;$J1798+7),0))</f>
        <v/>
      </c>
      <c r="D1798" t="str">
        <f>IF($J1798="","",IFERROR(COUNTIFS('Weekly Log'!$H:$H,"Y",'Weekly Log'!$A:$A,"&gt;="&amp;$J1798,'Weekly Log'!$A:$A,"&lt;"&amp;$J1798+7)/COUNTIFS('Weekly Log'!$H:$H,"&lt;&gt;",'Weekly Log'!$A:$A,"&gt;="&amp;$J1798,'Weekly Log'!$A:$A,"&lt;"&amp;$J1798+7),0))</f>
        <v/>
      </c>
      <c r="E1798" t="str">
        <f>IF($J1798="","",IFERROR(AVERAGEIFS('Weekly Log'!$F:$F,'Weekly Log'!$A:$A,"&gt;="&amp;$J1798,'Weekly Log'!$A:$A,"&lt;"&amp;$J1798+7),0))</f>
        <v/>
      </c>
      <c r="F1798" t="str">
        <f>IF($J1798="","",IFERROR(SUMIFS('Weekly Log'!$F:$F,'Weekly Log'!$A:$A,"&gt;="&amp;$J1798,'Weekly Log'!$A:$A,"&lt;"&amp;$J1798+7)/SUMIFS('Weekly Log'!$E:$E,'Weekly Log'!$A:$A,"&gt;="&amp;$J1798,'Weekly Log'!$A:$A,"&lt;"&amp;$J1798+7),0))</f>
        <v/>
      </c>
      <c r="G1798" t="str">
        <f>IF($J1798="","",IFERROR(LOOKUP(2,1/(('Weekly Log'!$A$5:$A$5000&gt;=$J1798)*('Weekly Log'!$A$5:$A$5000&lt;$J1798+7)*('Weekly Log'!$M$5:$M$5000&lt;&gt;"")),'Weekly Log'!$M$5:$M$5000),0))</f>
        <v/>
      </c>
      <c r="J1798" t="str">
        <f>IF(COUNT('Weekly Log'!$A$5:$A$5000)=0,"",IF(MIN('Weekly Log'!$A$5:$A$5000)+7*(ROW()-10)&gt;MAX('Weekly Log'!$A$5:$A$5000),"",MIN('Weekly Log'!$A$5:$A$5000)+7*(ROW()-10)))</f>
        <v/>
      </c>
    </row>
    <row r="1799" spans="1:10" x14ac:dyDescent="0.25">
      <c r="A1799" t="str">
        <f t="shared" si="27"/>
        <v/>
      </c>
      <c r="B1799" t="str">
        <f>IF($J1799="","",SUMIFS('Weekly Log'!$C:$C,'Weekly Log'!$A:$A,"&gt;="&amp;$J1799,'Weekly Log'!$A:$A,"&lt;"&amp;$J1799+7))</f>
        <v/>
      </c>
      <c r="C1799" t="str">
        <f>IF($J1799="","",IFERROR(COUNTIFS('Weekly Log'!$G:$G,"Y",'Weekly Log'!$A:$A,"&gt;="&amp;$J1799,'Weekly Log'!$A:$A,"&lt;"&amp;$J1799+7)/COUNTIFS('Weekly Log'!$G:$G,"&lt;&gt;",'Weekly Log'!$A:$A,"&gt;="&amp;$J1799,'Weekly Log'!$A:$A,"&lt;"&amp;$J1799+7),0))</f>
        <v/>
      </c>
      <c r="D1799" t="str">
        <f>IF($J1799="","",IFERROR(COUNTIFS('Weekly Log'!$H:$H,"Y",'Weekly Log'!$A:$A,"&gt;="&amp;$J1799,'Weekly Log'!$A:$A,"&lt;"&amp;$J1799+7)/COUNTIFS('Weekly Log'!$H:$H,"&lt;&gt;",'Weekly Log'!$A:$A,"&gt;="&amp;$J1799,'Weekly Log'!$A:$A,"&lt;"&amp;$J1799+7),0))</f>
        <v/>
      </c>
      <c r="E1799" t="str">
        <f>IF($J1799="","",IFERROR(AVERAGEIFS('Weekly Log'!$F:$F,'Weekly Log'!$A:$A,"&gt;="&amp;$J1799,'Weekly Log'!$A:$A,"&lt;"&amp;$J1799+7),0))</f>
        <v/>
      </c>
      <c r="F1799" t="str">
        <f>IF($J1799="","",IFERROR(SUMIFS('Weekly Log'!$F:$F,'Weekly Log'!$A:$A,"&gt;="&amp;$J1799,'Weekly Log'!$A:$A,"&lt;"&amp;$J1799+7)/SUMIFS('Weekly Log'!$E:$E,'Weekly Log'!$A:$A,"&gt;="&amp;$J1799,'Weekly Log'!$A:$A,"&lt;"&amp;$J1799+7),0))</f>
        <v/>
      </c>
      <c r="G1799" t="str">
        <f>IF($J1799="","",IFERROR(LOOKUP(2,1/(('Weekly Log'!$A$5:$A$5000&gt;=$J1799)*('Weekly Log'!$A$5:$A$5000&lt;$J1799+7)*('Weekly Log'!$M$5:$M$5000&lt;&gt;"")),'Weekly Log'!$M$5:$M$5000),0))</f>
        <v/>
      </c>
      <c r="J1799" t="str">
        <f>IF(COUNT('Weekly Log'!$A$5:$A$5000)=0,"",IF(MIN('Weekly Log'!$A$5:$A$5000)+7*(ROW()-10)&gt;MAX('Weekly Log'!$A$5:$A$5000),"",MIN('Weekly Log'!$A$5:$A$5000)+7*(ROW()-10)))</f>
        <v/>
      </c>
    </row>
    <row r="1800" spans="1:10" x14ac:dyDescent="0.25">
      <c r="A1800" t="str">
        <f t="shared" si="27"/>
        <v/>
      </c>
      <c r="B1800" t="str">
        <f>IF($J1800="","",SUMIFS('Weekly Log'!$C:$C,'Weekly Log'!$A:$A,"&gt;="&amp;$J1800,'Weekly Log'!$A:$A,"&lt;"&amp;$J1800+7))</f>
        <v/>
      </c>
      <c r="C1800" t="str">
        <f>IF($J1800="","",IFERROR(COUNTIFS('Weekly Log'!$G:$G,"Y",'Weekly Log'!$A:$A,"&gt;="&amp;$J1800,'Weekly Log'!$A:$A,"&lt;"&amp;$J1800+7)/COUNTIFS('Weekly Log'!$G:$G,"&lt;&gt;",'Weekly Log'!$A:$A,"&gt;="&amp;$J1800,'Weekly Log'!$A:$A,"&lt;"&amp;$J1800+7),0))</f>
        <v/>
      </c>
      <c r="D1800" t="str">
        <f>IF($J1800="","",IFERROR(COUNTIFS('Weekly Log'!$H:$H,"Y",'Weekly Log'!$A:$A,"&gt;="&amp;$J1800,'Weekly Log'!$A:$A,"&lt;"&amp;$J1800+7)/COUNTIFS('Weekly Log'!$H:$H,"&lt;&gt;",'Weekly Log'!$A:$A,"&gt;="&amp;$J1800,'Weekly Log'!$A:$A,"&lt;"&amp;$J1800+7),0))</f>
        <v/>
      </c>
      <c r="E1800" t="str">
        <f>IF($J1800="","",IFERROR(AVERAGEIFS('Weekly Log'!$F:$F,'Weekly Log'!$A:$A,"&gt;="&amp;$J1800,'Weekly Log'!$A:$A,"&lt;"&amp;$J1800+7),0))</f>
        <v/>
      </c>
      <c r="F1800" t="str">
        <f>IF($J1800="","",IFERROR(SUMIFS('Weekly Log'!$F:$F,'Weekly Log'!$A:$A,"&gt;="&amp;$J1800,'Weekly Log'!$A:$A,"&lt;"&amp;$J1800+7)/SUMIFS('Weekly Log'!$E:$E,'Weekly Log'!$A:$A,"&gt;="&amp;$J1800,'Weekly Log'!$A:$A,"&lt;"&amp;$J1800+7),0))</f>
        <v/>
      </c>
      <c r="G1800" t="str">
        <f>IF($J1800="","",IFERROR(LOOKUP(2,1/(('Weekly Log'!$A$5:$A$5000&gt;=$J1800)*('Weekly Log'!$A$5:$A$5000&lt;$J1800+7)*('Weekly Log'!$M$5:$M$5000&lt;&gt;"")),'Weekly Log'!$M$5:$M$5000),0))</f>
        <v/>
      </c>
      <c r="J1800" t="str">
        <f>IF(COUNT('Weekly Log'!$A$5:$A$5000)=0,"",IF(MIN('Weekly Log'!$A$5:$A$5000)+7*(ROW()-10)&gt;MAX('Weekly Log'!$A$5:$A$5000),"",MIN('Weekly Log'!$A$5:$A$5000)+7*(ROW()-10)))</f>
        <v/>
      </c>
    </row>
    <row r="1801" spans="1:10" x14ac:dyDescent="0.25">
      <c r="A1801" t="str">
        <f t="shared" si="27"/>
        <v/>
      </c>
      <c r="B1801" t="str">
        <f>IF($J1801="","",SUMIFS('Weekly Log'!$C:$C,'Weekly Log'!$A:$A,"&gt;="&amp;$J1801,'Weekly Log'!$A:$A,"&lt;"&amp;$J1801+7))</f>
        <v/>
      </c>
      <c r="C1801" t="str">
        <f>IF($J1801="","",IFERROR(COUNTIFS('Weekly Log'!$G:$G,"Y",'Weekly Log'!$A:$A,"&gt;="&amp;$J1801,'Weekly Log'!$A:$A,"&lt;"&amp;$J1801+7)/COUNTIFS('Weekly Log'!$G:$G,"&lt;&gt;",'Weekly Log'!$A:$A,"&gt;="&amp;$J1801,'Weekly Log'!$A:$A,"&lt;"&amp;$J1801+7),0))</f>
        <v/>
      </c>
      <c r="D1801" t="str">
        <f>IF($J1801="","",IFERROR(COUNTIFS('Weekly Log'!$H:$H,"Y",'Weekly Log'!$A:$A,"&gt;="&amp;$J1801,'Weekly Log'!$A:$A,"&lt;"&amp;$J1801+7)/COUNTIFS('Weekly Log'!$H:$H,"&lt;&gt;",'Weekly Log'!$A:$A,"&gt;="&amp;$J1801,'Weekly Log'!$A:$A,"&lt;"&amp;$J1801+7),0))</f>
        <v/>
      </c>
      <c r="E1801" t="str">
        <f>IF($J1801="","",IFERROR(AVERAGEIFS('Weekly Log'!$F:$F,'Weekly Log'!$A:$A,"&gt;="&amp;$J1801,'Weekly Log'!$A:$A,"&lt;"&amp;$J1801+7),0))</f>
        <v/>
      </c>
      <c r="F1801" t="str">
        <f>IF($J1801="","",IFERROR(SUMIFS('Weekly Log'!$F:$F,'Weekly Log'!$A:$A,"&gt;="&amp;$J1801,'Weekly Log'!$A:$A,"&lt;"&amp;$J1801+7)/SUMIFS('Weekly Log'!$E:$E,'Weekly Log'!$A:$A,"&gt;="&amp;$J1801,'Weekly Log'!$A:$A,"&lt;"&amp;$J1801+7),0))</f>
        <v/>
      </c>
      <c r="G1801" t="str">
        <f>IF($J1801="","",IFERROR(LOOKUP(2,1/(('Weekly Log'!$A$5:$A$5000&gt;=$J1801)*('Weekly Log'!$A$5:$A$5000&lt;$J1801+7)*('Weekly Log'!$M$5:$M$5000&lt;&gt;"")),'Weekly Log'!$M$5:$M$5000),0))</f>
        <v/>
      </c>
      <c r="J1801" t="str">
        <f>IF(COUNT('Weekly Log'!$A$5:$A$5000)=0,"",IF(MIN('Weekly Log'!$A$5:$A$5000)+7*(ROW()-10)&gt;MAX('Weekly Log'!$A$5:$A$5000),"",MIN('Weekly Log'!$A$5:$A$5000)+7*(ROW()-10)))</f>
        <v/>
      </c>
    </row>
    <row r="1802" spans="1:10" x14ac:dyDescent="0.25">
      <c r="A1802" t="str">
        <f t="shared" ref="A1802:A1865" si="28">IF($J1802="","",YEAR($J1802-WEEKDAY($J1802,2)+4)&amp;"-W"&amp;TEXT(WEEKNUM($J1802,21),"00"))</f>
        <v/>
      </c>
      <c r="B1802" t="str">
        <f>IF($J1802="","",SUMIFS('Weekly Log'!$C:$C,'Weekly Log'!$A:$A,"&gt;="&amp;$J1802,'Weekly Log'!$A:$A,"&lt;"&amp;$J1802+7))</f>
        <v/>
      </c>
      <c r="C1802" t="str">
        <f>IF($J1802="","",IFERROR(COUNTIFS('Weekly Log'!$G:$G,"Y",'Weekly Log'!$A:$A,"&gt;="&amp;$J1802,'Weekly Log'!$A:$A,"&lt;"&amp;$J1802+7)/COUNTIFS('Weekly Log'!$G:$G,"&lt;&gt;",'Weekly Log'!$A:$A,"&gt;="&amp;$J1802,'Weekly Log'!$A:$A,"&lt;"&amp;$J1802+7),0))</f>
        <v/>
      </c>
      <c r="D1802" t="str">
        <f>IF($J1802="","",IFERROR(COUNTIFS('Weekly Log'!$H:$H,"Y",'Weekly Log'!$A:$A,"&gt;="&amp;$J1802,'Weekly Log'!$A:$A,"&lt;"&amp;$J1802+7)/COUNTIFS('Weekly Log'!$H:$H,"&lt;&gt;",'Weekly Log'!$A:$A,"&gt;="&amp;$J1802,'Weekly Log'!$A:$A,"&lt;"&amp;$J1802+7),0))</f>
        <v/>
      </c>
      <c r="E1802" t="str">
        <f>IF($J1802="","",IFERROR(AVERAGEIFS('Weekly Log'!$F:$F,'Weekly Log'!$A:$A,"&gt;="&amp;$J1802,'Weekly Log'!$A:$A,"&lt;"&amp;$J1802+7),0))</f>
        <v/>
      </c>
      <c r="F1802" t="str">
        <f>IF($J1802="","",IFERROR(SUMIFS('Weekly Log'!$F:$F,'Weekly Log'!$A:$A,"&gt;="&amp;$J1802,'Weekly Log'!$A:$A,"&lt;"&amp;$J1802+7)/SUMIFS('Weekly Log'!$E:$E,'Weekly Log'!$A:$A,"&gt;="&amp;$J1802,'Weekly Log'!$A:$A,"&lt;"&amp;$J1802+7),0))</f>
        <v/>
      </c>
      <c r="G1802" t="str">
        <f>IF($J1802="","",IFERROR(LOOKUP(2,1/(('Weekly Log'!$A$5:$A$5000&gt;=$J1802)*('Weekly Log'!$A$5:$A$5000&lt;$J1802+7)*('Weekly Log'!$M$5:$M$5000&lt;&gt;"")),'Weekly Log'!$M$5:$M$5000),0))</f>
        <v/>
      </c>
      <c r="J1802" t="str">
        <f>IF(COUNT('Weekly Log'!$A$5:$A$5000)=0,"",IF(MIN('Weekly Log'!$A$5:$A$5000)+7*(ROW()-10)&gt;MAX('Weekly Log'!$A$5:$A$5000),"",MIN('Weekly Log'!$A$5:$A$5000)+7*(ROW()-10)))</f>
        <v/>
      </c>
    </row>
    <row r="1803" spans="1:10" x14ac:dyDescent="0.25">
      <c r="A1803" t="str">
        <f t="shared" si="28"/>
        <v/>
      </c>
      <c r="B1803" t="str">
        <f>IF($J1803="","",SUMIFS('Weekly Log'!$C:$C,'Weekly Log'!$A:$A,"&gt;="&amp;$J1803,'Weekly Log'!$A:$A,"&lt;"&amp;$J1803+7))</f>
        <v/>
      </c>
      <c r="C1803" t="str">
        <f>IF($J1803="","",IFERROR(COUNTIFS('Weekly Log'!$G:$G,"Y",'Weekly Log'!$A:$A,"&gt;="&amp;$J1803,'Weekly Log'!$A:$A,"&lt;"&amp;$J1803+7)/COUNTIFS('Weekly Log'!$G:$G,"&lt;&gt;",'Weekly Log'!$A:$A,"&gt;="&amp;$J1803,'Weekly Log'!$A:$A,"&lt;"&amp;$J1803+7),0))</f>
        <v/>
      </c>
      <c r="D1803" t="str">
        <f>IF($J1803="","",IFERROR(COUNTIFS('Weekly Log'!$H:$H,"Y",'Weekly Log'!$A:$A,"&gt;="&amp;$J1803,'Weekly Log'!$A:$A,"&lt;"&amp;$J1803+7)/COUNTIFS('Weekly Log'!$H:$H,"&lt;&gt;",'Weekly Log'!$A:$A,"&gt;="&amp;$J1803,'Weekly Log'!$A:$A,"&lt;"&amp;$J1803+7),0))</f>
        <v/>
      </c>
      <c r="E1803" t="str">
        <f>IF($J1803="","",IFERROR(AVERAGEIFS('Weekly Log'!$F:$F,'Weekly Log'!$A:$A,"&gt;="&amp;$J1803,'Weekly Log'!$A:$A,"&lt;"&amp;$J1803+7),0))</f>
        <v/>
      </c>
      <c r="F1803" t="str">
        <f>IF($J1803="","",IFERROR(SUMIFS('Weekly Log'!$F:$F,'Weekly Log'!$A:$A,"&gt;="&amp;$J1803,'Weekly Log'!$A:$A,"&lt;"&amp;$J1803+7)/SUMIFS('Weekly Log'!$E:$E,'Weekly Log'!$A:$A,"&gt;="&amp;$J1803,'Weekly Log'!$A:$A,"&lt;"&amp;$J1803+7),0))</f>
        <v/>
      </c>
      <c r="G1803" t="str">
        <f>IF($J1803="","",IFERROR(LOOKUP(2,1/(('Weekly Log'!$A$5:$A$5000&gt;=$J1803)*('Weekly Log'!$A$5:$A$5000&lt;$J1803+7)*('Weekly Log'!$M$5:$M$5000&lt;&gt;"")),'Weekly Log'!$M$5:$M$5000),0))</f>
        <v/>
      </c>
      <c r="J1803" t="str">
        <f>IF(COUNT('Weekly Log'!$A$5:$A$5000)=0,"",IF(MIN('Weekly Log'!$A$5:$A$5000)+7*(ROW()-10)&gt;MAX('Weekly Log'!$A$5:$A$5000),"",MIN('Weekly Log'!$A$5:$A$5000)+7*(ROW()-10)))</f>
        <v/>
      </c>
    </row>
    <row r="1804" spans="1:10" x14ac:dyDescent="0.25">
      <c r="A1804" t="str">
        <f t="shared" si="28"/>
        <v/>
      </c>
      <c r="B1804" t="str">
        <f>IF($J1804="","",SUMIFS('Weekly Log'!$C:$C,'Weekly Log'!$A:$A,"&gt;="&amp;$J1804,'Weekly Log'!$A:$A,"&lt;"&amp;$J1804+7))</f>
        <v/>
      </c>
      <c r="C1804" t="str">
        <f>IF($J1804="","",IFERROR(COUNTIFS('Weekly Log'!$G:$G,"Y",'Weekly Log'!$A:$A,"&gt;="&amp;$J1804,'Weekly Log'!$A:$A,"&lt;"&amp;$J1804+7)/COUNTIFS('Weekly Log'!$G:$G,"&lt;&gt;",'Weekly Log'!$A:$A,"&gt;="&amp;$J1804,'Weekly Log'!$A:$A,"&lt;"&amp;$J1804+7),0))</f>
        <v/>
      </c>
      <c r="D1804" t="str">
        <f>IF($J1804="","",IFERROR(COUNTIFS('Weekly Log'!$H:$H,"Y",'Weekly Log'!$A:$A,"&gt;="&amp;$J1804,'Weekly Log'!$A:$A,"&lt;"&amp;$J1804+7)/COUNTIFS('Weekly Log'!$H:$H,"&lt;&gt;",'Weekly Log'!$A:$A,"&gt;="&amp;$J1804,'Weekly Log'!$A:$A,"&lt;"&amp;$J1804+7),0))</f>
        <v/>
      </c>
      <c r="E1804" t="str">
        <f>IF($J1804="","",IFERROR(AVERAGEIFS('Weekly Log'!$F:$F,'Weekly Log'!$A:$A,"&gt;="&amp;$J1804,'Weekly Log'!$A:$A,"&lt;"&amp;$J1804+7),0))</f>
        <v/>
      </c>
      <c r="F1804" t="str">
        <f>IF($J1804="","",IFERROR(SUMIFS('Weekly Log'!$F:$F,'Weekly Log'!$A:$A,"&gt;="&amp;$J1804,'Weekly Log'!$A:$A,"&lt;"&amp;$J1804+7)/SUMIFS('Weekly Log'!$E:$E,'Weekly Log'!$A:$A,"&gt;="&amp;$J1804,'Weekly Log'!$A:$A,"&lt;"&amp;$J1804+7),0))</f>
        <v/>
      </c>
      <c r="G1804" t="str">
        <f>IF($J1804="","",IFERROR(LOOKUP(2,1/(('Weekly Log'!$A$5:$A$5000&gt;=$J1804)*('Weekly Log'!$A$5:$A$5000&lt;$J1804+7)*('Weekly Log'!$M$5:$M$5000&lt;&gt;"")),'Weekly Log'!$M$5:$M$5000),0))</f>
        <v/>
      </c>
      <c r="J1804" t="str">
        <f>IF(COUNT('Weekly Log'!$A$5:$A$5000)=0,"",IF(MIN('Weekly Log'!$A$5:$A$5000)+7*(ROW()-10)&gt;MAX('Weekly Log'!$A$5:$A$5000),"",MIN('Weekly Log'!$A$5:$A$5000)+7*(ROW()-10)))</f>
        <v/>
      </c>
    </row>
    <row r="1805" spans="1:10" x14ac:dyDescent="0.25">
      <c r="A1805" t="str">
        <f t="shared" si="28"/>
        <v/>
      </c>
      <c r="B1805" t="str">
        <f>IF($J1805="","",SUMIFS('Weekly Log'!$C:$C,'Weekly Log'!$A:$A,"&gt;="&amp;$J1805,'Weekly Log'!$A:$A,"&lt;"&amp;$J1805+7))</f>
        <v/>
      </c>
      <c r="C1805" t="str">
        <f>IF($J1805="","",IFERROR(COUNTIFS('Weekly Log'!$G:$G,"Y",'Weekly Log'!$A:$A,"&gt;="&amp;$J1805,'Weekly Log'!$A:$A,"&lt;"&amp;$J1805+7)/COUNTIFS('Weekly Log'!$G:$G,"&lt;&gt;",'Weekly Log'!$A:$A,"&gt;="&amp;$J1805,'Weekly Log'!$A:$A,"&lt;"&amp;$J1805+7),0))</f>
        <v/>
      </c>
      <c r="D1805" t="str">
        <f>IF($J1805="","",IFERROR(COUNTIFS('Weekly Log'!$H:$H,"Y",'Weekly Log'!$A:$A,"&gt;="&amp;$J1805,'Weekly Log'!$A:$A,"&lt;"&amp;$J1805+7)/COUNTIFS('Weekly Log'!$H:$H,"&lt;&gt;",'Weekly Log'!$A:$A,"&gt;="&amp;$J1805,'Weekly Log'!$A:$A,"&lt;"&amp;$J1805+7),0))</f>
        <v/>
      </c>
      <c r="E1805" t="str">
        <f>IF($J1805="","",IFERROR(AVERAGEIFS('Weekly Log'!$F:$F,'Weekly Log'!$A:$A,"&gt;="&amp;$J1805,'Weekly Log'!$A:$A,"&lt;"&amp;$J1805+7),0))</f>
        <v/>
      </c>
      <c r="F1805" t="str">
        <f>IF($J1805="","",IFERROR(SUMIFS('Weekly Log'!$F:$F,'Weekly Log'!$A:$A,"&gt;="&amp;$J1805,'Weekly Log'!$A:$A,"&lt;"&amp;$J1805+7)/SUMIFS('Weekly Log'!$E:$E,'Weekly Log'!$A:$A,"&gt;="&amp;$J1805,'Weekly Log'!$A:$A,"&lt;"&amp;$J1805+7),0))</f>
        <v/>
      </c>
      <c r="G1805" t="str">
        <f>IF($J1805="","",IFERROR(LOOKUP(2,1/(('Weekly Log'!$A$5:$A$5000&gt;=$J1805)*('Weekly Log'!$A$5:$A$5000&lt;$J1805+7)*('Weekly Log'!$M$5:$M$5000&lt;&gt;"")),'Weekly Log'!$M$5:$M$5000),0))</f>
        <v/>
      </c>
      <c r="J1805" t="str">
        <f>IF(COUNT('Weekly Log'!$A$5:$A$5000)=0,"",IF(MIN('Weekly Log'!$A$5:$A$5000)+7*(ROW()-10)&gt;MAX('Weekly Log'!$A$5:$A$5000),"",MIN('Weekly Log'!$A$5:$A$5000)+7*(ROW()-10)))</f>
        <v/>
      </c>
    </row>
    <row r="1806" spans="1:10" x14ac:dyDescent="0.25">
      <c r="A1806" t="str">
        <f t="shared" si="28"/>
        <v/>
      </c>
      <c r="B1806" t="str">
        <f>IF($J1806="","",SUMIFS('Weekly Log'!$C:$C,'Weekly Log'!$A:$A,"&gt;="&amp;$J1806,'Weekly Log'!$A:$A,"&lt;"&amp;$J1806+7))</f>
        <v/>
      </c>
      <c r="C1806" t="str">
        <f>IF($J1806="","",IFERROR(COUNTIFS('Weekly Log'!$G:$G,"Y",'Weekly Log'!$A:$A,"&gt;="&amp;$J1806,'Weekly Log'!$A:$A,"&lt;"&amp;$J1806+7)/COUNTIFS('Weekly Log'!$G:$G,"&lt;&gt;",'Weekly Log'!$A:$A,"&gt;="&amp;$J1806,'Weekly Log'!$A:$A,"&lt;"&amp;$J1806+7),0))</f>
        <v/>
      </c>
      <c r="D1806" t="str">
        <f>IF($J1806="","",IFERROR(COUNTIFS('Weekly Log'!$H:$H,"Y",'Weekly Log'!$A:$A,"&gt;="&amp;$J1806,'Weekly Log'!$A:$A,"&lt;"&amp;$J1806+7)/COUNTIFS('Weekly Log'!$H:$H,"&lt;&gt;",'Weekly Log'!$A:$A,"&gt;="&amp;$J1806,'Weekly Log'!$A:$A,"&lt;"&amp;$J1806+7),0))</f>
        <v/>
      </c>
      <c r="E1806" t="str">
        <f>IF($J1806="","",IFERROR(AVERAGEIFS('Weekly Log'!$F:$F,'Weekly Log'!$A:$A,"&gt;="&amp;$J1806,'Weekly Log'!$A:$A,"&lt;"&amp;$J1806+7),0))</f>
        <v/>
      </c>
      <c r="F1806" t="str">
        <f>IF($J1806="","",IFERROR(SUMIFS('Weekly Log'!$F:$F,'Weekly Log'!$A:$A,"&gt;="&amp;$J1806,'Weekly Log'!$A:$A,"&lt;"&amp;$J1806+7)/SUMIFS('Weekly Log'!$E:$E,'Weekly Log'!$A:$A,"&gt;="&amp;$J1806,'Weekly Log'!$A:$A,"&lt;"&amp;$J1806+7),0))</f>
        <v/>
      </c>
      <c r="G1806" t="str">
        <f>IF($J1806="","",IFERROR(LOOKUP(2,1/(('Weekly Log'!$A$5:$A$5000&gt;=$J1806)*('Weekly Log'!$A$5:$A$5000&lt;$J1806+7)*('Weekly Log'!$M$5:$M$5000&lt;&gt;"")),'Weekly Log'!$M$5:$M$5000),0))</f>
        <v/>
      </c>
      <c r="J1806" t="str">
        <f>IF(COUNT('Weekly Log'!$A$5:$A$5000)=0,"",IF(MIN('Weekly Log'!$A$5:$A$5000)+7*(ROW()-10)&gt;MAX('Weekly Log'!$A$5:$A$5000),"",MIN('Weekly Log'!$A$5:$A$5000)+7*(ROW()-10)))</f>
        <v/>
      </c>
    </row>
    <row r="1807" spans="1:10" x14ac:dyDescent="0.25">
      <c r="A1807" t="str">
        <f t="shared" si="28"/>
        <v/>
      </c>
      <c r="B1807" t="str">
        <f>IF($J1807="","",SUMIFS('Weekly Log'!$C:$C,'Weekly Log'!$A:$A,"&gt;="&amp;$J1807,'Weekly Log'!$A:$A,"&lt;"&amp;$J1807+7))</f>
        <v/>
      </c>
      <c r="C1807" t="str">
        <f>IF($J1807="","",IFERROR(COUNTIFS('Weekly Log'!$G:$G,"Y",'Weekly Log'!$A:$A,"&gt;="&amp;$J1807,'Weekly Log'!$A:$A,"&lt;"&amp;$J1807+7)/COUNTIFS('Weekly Log'!$G:$G,"&lt;&gt;",'Weekly Log'!$A:$A,"&gt;="&amp;$J1807,'Weekly Log'!$A:$A,"&lt;"&amp;$J1807+7),0))</f>
        <v/>
      </c>
      <c r="D1807" t="str">
        <f>IF($J1807="","",IFERROR(COUNTIFS('Weekly Log'!$H:$H,"Y",'Weekly Log'!$A:$A,"&gt;="&amp;$J1807,'Weekly Log'!$A:$A,"&lt;"&amp;$J1807+7)/COUNTIFS('Weekly Log'!$H:$H,"&lt;&gt;",'Weekly Log'!$A:$A,"&gt;="&amp;$J1807,'Weekly Log'!$A:$A,"&lt;"&amp;$J1807+7),0))</f>
        <v/>
      </c>
      <c r="E1807" t="str">
        <f>IF($J1807="","",IFERROR(AVERAGEIFS('Weekly Log'!$F:$F,'Weekly Log'!$A:$A,"&gt;="&amp;$J1807,'Weekly Log'!$A:$A,"&lt;"&amp;$J1807+7),0))</f>
        <v/>
      </c>
      <c r="F1807" t="str">
        <f>IF($J1807="","",IFERROR(SUMIFS('Weekly Log'!$F:$F,'Weekly Log'!$A:$A,"&gt;="&amp;$J1807,'Weekly Log'!$A:$A,"&lt;"&amp;$J1807+7)/SUMIFS('Weekly Log'!$E:$E,'Weekly Log'!$A:$A,"&gt;="&amp;$J1807,'Weekly Log'!$A:$A,"&lt;"&amp;$J1807+7),0))</f>
        <v/>
      </c>
      <c r="G1807" t="str">
        <f>IF($J1807="","",IFERROR(LOOKUP(2,1/(('Weekly Log'!$A$5:$A$5000&gt;=$J1807)*('Weekly Log'!$A$5:$A$5000&lt;$J1807+7)*('Weekly Log'!$M$5:$M$5000&lt;&gt;"")),'Weekly Log'!$M$5:$M$5000),0))</f>
        <v/>
      </c>
      <c r="J1807" t="str">
        <f>IF(COUNT('Weekly Log'!$A$5:$A$5000)=0,"",IF(MIN('Weekly Log'!$A$5:$A$5000)+7*(ROW()-10)&gt;MAX('Weekly Log'!$A$5:$A$5000),"",MIN('Weekly Log'!$A$5:$A$5000)+7*(ROW()-10)))</f>
        <v/>
      </c>
    </row>
    <row r="1808" spans="1:10" x14ac:dyDescent="0.25">
      <c r="A1808" t="str">
        <f t="shared" si="28"/>
        <v/>
      </c>
      <c r="B1808" t="str">
        <f>IF($J1808="","",SUMIFS('Weekly Log'!$C:$C,'Weekly Log'!$A:$A,"&gt;="&amp;$J1808,'Weekly Log'!$A:$A,"&lt;"&amp;$J1808+7))</f>
        <v/>
      </c>
      <c r="C1808" t="str">
        <f>IF($J1808="","",IFERROR(COUNTIFS('Weekly Log'!$G:$G,"Y",'Weekly Log'!$A:$A,"&gt;="&amp;$J1808,'Weekly Log'!$A:$A,"&lt;"&amp;$J1808+7)/COUNTIFS('Weekly Log'!$G:$G,"&lt;&gt;",'Weekly Log'!$A:$A,"&gt;="&amp;$J1808,'Weekly Log'!$A:$A,"&lt;"&amp;$J1808+7),0))</f>
        <v/>
      </c>
      <c r="D1808" t="str">
        <f>IF($J1808="","",IFERROR(COUNTIFS('Weekly Log'!$H:$H,"Y",'Weekly Log'!$A:$A,"&gt;="&amp;$J1808,'Weekly Log'!$A:$A,"&lt;"&amp;$J1808+7)/COUNTIFS('Weekly Log'!$H:$H,"&lt;&gt;",'Weekly Log'!$A:$A,"&gt;="&amp;$J1808,'Weekly Log'!$A:$A,"&lt;"&amp;$J1808+7),0))</f>
        <v/>
      </c>
      <c r="E1808" t="str">
        <f>IF($J1808="","",IFERROR(AVERAGEIFS('Weekly Log'!$F:$F,'Weekly Log'!$A:$A,"&gt;="&amp;$J1808,'Weekly Log'!$A:$A,"&lt;"&amp;$J1808+7),0))</f>
        <v/>
      </c>
      <c r="F1808" t="str">
        <f>IF($J1808="","",IFERROR(SUMIFS('Weekly Log'!$F:$F,'Weekly Log'!$A:$A,"&gt;="&amp;$J1808,'Weekly Log'!$A:$A,"&lt;"&amp;$J1808+7)/SUMIFS('Weekly Log'!$E:$E,'Weekly Log'!$A:$A,"&gt;="&amp;$J1808,'Weekly Log'!$A:$A,"&lt;"&amp;$J1808+7),0))</f>
        <v/>
      </c>
      <c r="G1808" t="str">
        <f>IF($J1808="","",IFERROR(LOOKUP(2,1/(('Weekly Log'!$A$5:$A$5000&gt;=$J1808)*('Weekly Log'!$A$5:$A$5000&lt;$J1808+7)*('Weekly Log'!$M$5:$M$5000&lt;&gt;"")),'Weekly Log'!$M$5:$M$5000),0))</f>
        <v/>
      </c>
      <c r="J1808" t="str">
        <f>IF(COUNT('Weekly Log'!$A$5:$A$5000)=0,"",IF(MIN('Weekly Log'!$A$5:$A$5000)+7*(ROW()-10)&gt;MAX('Weekly Log'!$A$5:$A$5000),"",MIN('Weekly Log'!$A$5:$A$5000)+7*(ROW()-10)))</f>
        <v/>
      </c>
    </row>
    <row r="1809" spans="1:10" x14ac:dyDescent="0.25">
      <c r="A1809" t="str">
        <f t="shared" si="28"/>
        <v/>
      </c>
      <c r="B1809" t="str">
        <f>IF($J1809="","",SUMIFS('Weekly Log'!$C:$C,'Weekly Log'!$A:$A,"&gt;="&amp;$J1809,'Weekly Log'!$A:$A,"&lt;"&amp;$J1809+7))</f>
        <v/>
      </c>
      <c r="C1809" t="str">
        <f>IF($J1809="","",IFERROR(COUNTIFS('Weekly Log'!$G:$G,"Y",'Weekly Log'!$A:$A,"&gt;="&amp;$J1809,'Weekly Log'!$A:$A,"&lt;"&amp;$J1809+7)/COUNTIFS('Weekly Log'!$G:$G,"&lt;&gt;",'Weekly Log'!$A:$A,"&gt;="&amp;$J1809,'Weekly Log'!$A:$A,"&lt;"&amp;$J1809+7),0))</f>
        <v/>
      </c>
      <c r="D1809" t="str">
        <f>IF($J1809="","",IFERROR(COUNTIFS('Weekly Log'!$H:$H,"Y",'Weekly Log'!$A:$A,"&gt;="&amp;$J1809,'Weekly Log'!$A:$A,"&lt;"&amp;$J1809+7)/COUNTIFS('Weekly Log'!$H:$H,"&lt;&gt;",'Weekly Log'!$A:$A,"&gt;="&amp;$J1809,'Weekly Log'!$A:$A,"&lt;"&amp;$J1809+7),0))</f>
        <v/>
      </c>
      <c r="E1809" t="str">
        <f>IF($J1809="","",IFERROR(AVERAGEIFS('Weekly Log'!$F:$F,'Weekly Log'!$A:$A,"&gt;="&amp;$J1809,'Weekly Log'!$A:$A,"&lt;"&amp;$J1809+7),0))</f>
        <v/>
      </c>
      <c r="F1809" t="str">
        <f>IF($J1809="","",IFERROR(SUMIFS('Weekly Log'!$F:$F,'Weekly Log'!$A:$A,"&gt;="&amp;$J1809,'Weekly Log'!$A:$A,"&lt;"&amp;$J1809+7)/SUMIFS('Weekly Log'!$E:$E,'Weekly Log'!$A:$A,"&gt;="&amp;$J1809,'Weekly Log'!$A:$A,"&lt;"&amp;$J1809+7),0))</f>
        <v/>
      </c>
      <c r="G1809" t="str">
        <f>IF($J1809="","",IFERROR(LOOKUP(2,1/(('Weekly Log'!$A$5:$A$5000&gt;=$J1809)*('Weekly Log'!$A$5:$A$5000&lt;$J1809+7)*('Weekly Log'!$M$5:$M$5000&lt;&gt;"")),'Weekly Log'!$M$5:$M$5000),0))</f>
        <v/>
      </c>
      <c r="J1809" t="str">
        <f>IF(COUNT('Weekly Log'!$A$5:$A$5000)=0,"",IF(MIN('Weekly Log'!$A$5:$A$5000)+7*(ROW()-10)&gt;MAX('Weekly Log'!$A$5:$A$5000),"",MIN('Weekly Log'!$A$5:$A$5000)+7*(ROW()-10)))</f>
        <v/>
      </c>
    </row>
    <row r="1810" spans="1:10" x14ac:dyDescent="0.25">
      <c r="A1810" t="str">
        <f t="shared" si="28"/>
        <v/>
      </c>
      <c r="B1810" t="str">
        <f>IF($J1810="","",SUMIFS('Weekly Log'!$C:$C,'Weekly Log'!$A:$A,"&gt;="&amp;$J1810,'Weekly Log'!$A:$A,"&lt;"&amp;$J1810+7))</f>
        <v/>
      </c>
      <c r="C1810" t="str">
        <f>IF($J1810="","",IFERROR(COUNTIFS('Weekly Log'!$G:$G,"Y",'Weekly Log'!$A:$A,"&gt;="&amp;$J1810,'Weekly Log'!$A:$A,"&lt;"&amp;$J1810+7)/COUNTIFS('Weekly Log'!$G:$G,"&lt;&gt;",'Weekly Log'!$A:$A,"&gt;="&amp;$J1810,'Weekly Log'!$A:$A,"&lt;"&amp;$J1810+7),0))</f>
        <v/>
      </c>
      <c r="D1810" t="str">
        <f>IF($J1810="","",IFERROR(COUNTIFS('Weekly Log'!$H:$H,"Y",'Weekly Log'!$A:$A,"&gt;="&amp;$J1810,'Weekly Log'!$A:$A,"&lt;"&amp;$J1810+7)/COUNTIFS('Weekly Log'!$H:$H,"&lt;&gt;",'Weekly Log'!$A:$A,"&gt;="&amp;$J1810,'Weekly Log'!$A:$A,"&lt;"&amp;$J1810+7),0))</f>
        <v/>
      </c>
      <c r="E1810" t="str">
        <f>IF($J1810="","",IFERROR(AVERAGEIFS('Weekly Log'!$F:$F,'Weekly Log'!$A:$A,"&gt;="&amp;$J1810,'Weekly Log'!$A:$A,"&lt;"&amp;$J1810+7),0))</f>
        <v/>
      </c>
      <c r="F1810" t="str">
        <f>IF($J1810="","",IFERROR(SUMIFS('Weekly Log'!$F:$F,'Weekly Log'!$A:$A,"&gt;="&amp;$J1810,'Weekly Log'!$A:$A,"&lt;"&amp;$J1810+7)/SUMIFS('Weekly Log'!$E:$E,'Weekly Log'!$A:$A,"&gt;="&amp;$J1810,'Weekly Log'!$A:$A,"&lt;"&amp;$J1810+7),0))</f>
        <v/>
      </c>
      <c r="G1810" t="str">
        <f>IF($J1810="","",IFERROR(LOOKUP(2,1/(('Weekly Log'!$A$5:$A$5000&gt;=$J1810)*('Weekly Log'!$A$5:$A$5000&lt;$J1810+7)*('Weekly Log'!$M$5:$M$5000&lt;&gt;"")),'Weekly Log'!$M$5:$M$5000),0))</f>
        <v/>
      </c>
      <c r="J1810" t="str">
        <f>IF(COUNT('Weekly Log'!$A$5:$A$5000)=0,"",IF(MIN('Weekly Log'!$A$5:$A$5000)+7*(ROW()-10)&gt;MAX('Weekly Log'!$A$5:$A$5000),"",MIN('Weekly Log'!$A$5:$A$5000)+7*(ROW()-10)))</f>
        <v/>
      </c>
    </row>
    <row r="1811" spans="1:10" x14ac:dyDescent="0.25">
      <c r="A1811" t="str">
        <f t="shared" si="28"/>
        <v/>
      </c>
      <c r="B1811" t="str">
        <f>IF($J1811="","",SUMIFS('Weekly Log'!$C:$C,'Weekly Log'!$A:$A,"&gt;="&amp;$J1811,'Weekly Log'!$A:$A,"&lt;"&amp;$J1811+7))</f>
        <v/>
      </c>
      <c r="C1811" t="str">
        <f>IF($J1811="","",IFERROR(COUNTIFS('Weekly Log'!$G:$G,"Y",'Weekly Log'!$A:$A,"&gt;="&amp;$J1811,'Weekly Log'!$A:$A,"&lt;"&amp;$J1811+7)/COUNTIFS('Weekly Log'!$G:$G,"&lt;&gt;",'Weekly Log'!$A:$A,"&gt;="&amp;$J1811,'Weekly Log'!$A:$A,"&lt;"&amp;$J1811+7),0))</f>
        <v/>
      </c>
      <c r="D1811" t="str">
        <f>IF($J1811="","",IFERROR(COUNTIFS('Weekly Log'!$H:$H,"Y",'Weekly Log'!$A:$A,"&gt;="&amp;$J1811,'Weekly Log'!$A:$A,"&lt;"&amp;$J1811+7)/COUNTIFS('Weekly Log'!$H:$H,"&lt;&gt;",'Weekly Log'!$A:$A,"&gt;="&amp;$J1811,'Weekly Log'!$A:$A,"&lt;"&amp;$J1811+7),0))</f>
        <v/>
      </c>
      <c r="E1811" t="str">
        <f>IF($J1811="","",IFERROR(AVERAGEIFS('Weekly Log'!$F:$F,'Weekly Log'!$A:$A,"&gt;="&amp;$J1811,'Weekly Log'!$A:$A,"&lt;"&amp;$J1811+7),0))</f>
        <v/>
      </c>
      <c r="F1811" t="str">
        <f>IF($J1811="","",IFERROR(SUMIFS('Weekly Log'!$F:$F,'Weekly Log'!$A:$A,"&gt;="&amp;$J1811,'Weekly Log'!$A:$A,"&lt;"&amp;$J1811+7)/SUMIFS('Weekly Log'!$E:$E,'Weekly Log'!$A:$A,"&gt;="&amp;$J1811,'Weekly Log'!$A:$A,"&lt;"&amp;$J1811+7),0))</f>
        <v/>
      </c>
      <c r="G1811" t="str">
        <f>IF($J1811="","",IFERROR(LOOKUP(2,1/(('Weekly Log'!$A$5:$A$5000&gt;=$J1811)*('Weekly Log'!$A$5:$A$5000&lt;$J1811+7)*('Weekly Log'!$M$5:$M$5000&lt;&gt;"")),'Weekly Log'!$M$5:$M$5000),0))</f>
        <v/>
      </c>
      <c r="J1811" t="str">
        <f>IF(COUNT('Weekly Log'!$A$5:$A$5000)=0,"",IF(MIN('Weekly Log'!$A$5:$A$5000)+7*(ROW()-10)&gt;MAX('Weekly Log'!$A$5:$A$5000),"",MIN('Weekly Log'!$A$5:$A$5000)+7*(ROW()-10)))</f>
        <v/>
      </c>
    </row>
    <row r="1812" spans="1:10" x14ac:dyDescent="0.25">
      <c r="A1812" t="str">
        <f t="shared" si="28"/>
        <v/>
      </c>
      <c r="B1812" t="str">
        <f>IF($J1812="","",SUMIFS('Weekly Log'!$C:$C,'Weekly Log'!$A:$A,"&gt;="&amp;$J1812,'Weekly Log'!$A:$A,"&lt;"&amp;$J1812+7))</f>
        <v/>
      </c>
      <c r="C1812" t="str">
        <f>IF($J1812="","",IFERROR(COUNTIFS('Weekly Log'!$G:$G,"Y",'Weekly Log'!$A:$A,"&gt;="&amp;$J1812,'Weekly Log'!$A:$A,"&lt;"&amp;$J1812+7)/COUNTIFS('Weekly Log'!$G:$G,"&lt;&gt;",'Weekly Log'!$A:$A,"&gt;="&amp;$J1812,'Weekly Log'!$A:$A,"&lt;"&amp;$J1812+7),0))</f>
        <v/>
      </c>
      <c r="D1812" t="str">
        <f>IF($J1812="","",IFERROR(COUNTIFS('Weekly Log'!$H:$H,"Y",'Weekly Log'!$A:$A,"&gt;="&amp;$J1812,'Weekly Log'!$A:$A,"&lt;"&amp;$J1812+7)/COUNTIFS('Weekly Log'!$H:$H,"&lt;&gt;",'Weekly Log'!$A:$A,"&gt;="&amp;$J1812,'Weekly Log'!$A:$A,"&lt;"&amp;$J1812+7),0))</f>
        <v/>
      </c>
      <c r="E1812" t="str">
        <f>IF($J1812="","",IFERROR(AVERAGEIFS('Weekly Log'!$F:$F,'Weekly Log'!$A:$A,"&gt;="&amp;$J1812,'Weekly Log'!$A:$A,"&lt;"&amp;$J1812+7),0))</f>
        <v/>
      </c>
      <c r="F1812" t="str">
        <f>IF($J1812="","",IFERROR(SUMIFS('Weekly Log'!$F:$F,'Weekly Log'!$A:$A,"&gt;="&amp;$J1812,'Weekly Log'!$A:$A,"&lt;"&amp;$J1812+7)/SUMIFS('Weekly Log'!$E:$E,'Weekly Log'!$A:$A,"&gt;="&amp;$J1812,'Weekly Log'!$A:$A,"&lt;"&amp;$J1812+7),0))</f>
        <v/>
      </c>
      <c r="G1812" t="str">
        <f>IF($J1812="","",IFERROR(LOOKUP(2,1/(('Weekly Log'!$A$5:$A$5000&gt;=$J1812)*('Weekly Log'!$A$5:$A$5000&lt;$J1812+7)*('Weekly Log'!$M$5:$M$5000&lt;&gt;"")),'Weekly Log'!$M$5:$M$5000),0))</f>
        <v/>
      </c>
      <c r="J1812" t="str">
        <f>IF(COUNT('Weekly Log'!$A$5:$A$5000)=0,"",IF(MIN('Weekly Log'!$A$5:$A$5000)+7*(ROW()-10)&gt;MAX('Weekly Log'!$A$5:$A$5000),"",MIN('Weekly Log'!$A$5:$A$5000)+7*(ROW()-10)))</f>
        <v/>
      </c>
    </row>
    <row r="1813" spans="1:10" x14ac:dyDescent="0.25">
      <c r="A1813" t="str">
        <f t="shared" si="28"/>
        <v/>
      </c>
      <c r="B1813" t="str">
        <f>IF($J1813="","",SUMIFS('Weekly Log'!$C:$C,'Weekly Log'!$A:$A,"&gt;="&amp;$J1813,'Weekly Log'!$A:$A,"&lt;"&amp;$J1813+7))</f>
        <v/>
      </c>
      <c r="C1813" t="str">
        <f>IF($J1813="","",IFERROR(COUNTIFS('Weekly Log'!$G:$G,"Y",'Weekly Log'!$A:$A,"&gt;="&amp;$J1813,'Weekly Log'!$A:$A,"&lt;"&amp;$J1813+7)/COUNTIFS('Weekly Log'!$G:$G,"&lt;&gt;",'Weekly Log'!$A:$A,"&gt;="&amp;$J1813,'Weekly Log'!$A:$A,"&lt;"&amp;$J1813+7),0))</f>
        <v/>
      </c>
      <c r="D1813" t="str">
        <f>IF($J1813="","",IFERROR(COUNTIFS('Weekly Log'!$H:$H,"Y",'Weekly Log'!$A:$A,"&gt;="&amp;$J1813,'Weekly Log'!$A:$A,"&lt;"&amp;$J1813+7)/COUNTIFS('Weekly Log'!$H:$H,"&lt;&gt;",'Weekly Log'!$A:$A,"&gt;="&amp;$J1813,'Weekly Log'!$A:$A,"&lt;"&amp;$J1813+7),0))</f>
        <v/>
      </c>
      <c r="E1813" t="str">
        <f>IF($J1813="","",IFERROR(AVERAGEIFS('Weekly Log'!$F:$F,'Weekly Log'!$A:$A,"&gt;="&amp;$J1813,'Weekly Log'!$A:$A,"&lt;"&amp;$J1813+7),0))</f>
        <v/>
      </c>
      <c r="F1813" t="str">
        <f>IF($J1813="","",IFERROR(SUMIFS('Weekly Log'!$F:$F,'Weekly Log'!$A:$A,"&gt;="&amp;$J1813,'Weekly Log'!$A:$A,"&lt;"&amp;$J1813+7)/SUMIFS('Weekly Log'!$E:$E,'Weekly Log'!$A:$A,"&gt;="&amp;$J1813,'Weekly Log'!$A:$A,"&lt;"&amp;$J1813+7),0))</f>
        <v/>
      </c>
      <c r="G1813" t="str">
        <f>IF($J1813="","",IFERROR(LOOKUP(2,1/(('Weekly Log'!$A$5:$A$5000&gt;=$J1813)*('Weekly Log'!$A$5:$A$5000&lt;$J1813+7)*('Weekly Log'!$M$5:$M$5000&lt;&gt;"")),'Weekly Log'!$M$5:$M$5000),0))</f>
        <v/>
      </c>
      <c r="J1813" t="str">
        <f>IF(COUNT('Weekly Log'!$A$5:$A$5000)=0,"",IF(MIN('Weekly Log'!$A$5:$A$5000)+7*(ROW()-10)&gt;MAX('Weekly Log'!$A$5:$A$5000),"",MIN('Weekly Log'!$A$5:$A$5000)+7*(ROW()-10)))</f>
        <v/>
      </c>
    </row>
    <row r="1814" spans="1:10" x14ac:dyDescent="0.25">
      <c r="A1814" t="str">
        <f t="shared" si="28"/>
        <v/>
      </c>
      <c r="B1814" t="str">
        <f>IF($J1814="","",SUMIFS('Weekly Log'!$C:$C,'Weekly Log'!$A:$A,"&gt;="&amp;$J1814,'Weekly Log'!$A:$A,"&lt;"&amp;$J1814+7))</f>
        <v/>
      </c>
      <c r="C1814" t="str">
        <f>IF($J1814="","",IFERROR(COUNTIFS('Weekly Log'!$G:$G,"Y",'Weekly Log'!$A:$A,"&gt;="&amp;$J1814,'Weekly Log'!$A:$A,"&lt;"&amp;$J1814+7)/COUNTIFS('Weekly Log'!$G:$G,"&lt;&gt;",'Weekly Log'!$A:$A,"&gt;="&amp;$J1814,'Weekly Log'!$A:$A,"&lt;"&amp;$J1814+7),0))</f>
        <v/>
      </c>
      <c r="D1814" t="str">
        <f>IF($J1814="","",IFERROR(COUNTIFS('Weekly Log'!$H:$H,"Y",'Weekly Log'!$A:$A,"&gt;="&amp;$J1814,'Weekly Log'!$A:$A,"&lt;"&amp;$J1814+7)/COUNTIFS('Weekly Log'!$H:$H,"&lt;&gt;",'Weekly Log'!$A:$A,"&gt;="&amp;$J1814,'Weekly Log'!$A:$A,"&lt;"&amp;$J1814+7),0))</f>
        <v/>
      </c>
      <c r="E1814" t="str">
        <f>IF($J1814="","",IFERROR(AVERAGEIFS('Weekly Log'!$F:$F,'Weekly Log'!$A:$A,"&gt;="&amp;$J1814,'Weekly Log'!$A:$A,"&lt;"&amp;$J1814+7),0))</f>
        <v/>
      </c>
      <c r="F1814" t="str">
        <f>IF($J1814="","",IFERROR(SUMIFS('Weekly Log'!$F:$F,'Weekly Log'!$A:$A,"&gt;="&amp;$J1814,'Weekly Log'!$A:$A,"&lt;"&amp;$J1814+7)/SUMIFS('Weekly Log'!$E:$E,'Weekly Log'!$A:$A,"&gt;="&amp;$J1814,'Weekly Log'!$A:$A,"&lt;"&amp;$J1814+7),0))</f>
        <v/>
      </c>
      <c r="G1814" t="str">
        <f>IF($J1814="","",IFERROR(LOOKUP(2,1/(('Weekly Log'!$A$5:$A$5000&gt;=$J1814)*('Weekly Log'!$A$5:$A$5000&lt;$J1814+7)*('Weekly Log'!$M$5:$M$5000&lt;&gt;"")),'Weekly Log'!$M$5:$M$5000),0))</f>
        <v/>
      </c>
      <c r="J1814" t="str">
        <f>IF(COUNT('Weekly Log'!$A$5:$A$5000)=0,"",IF(MIN('Weekly Log'!$A$5:$A$5000)+7*(ROW()-10)&gt;MAX('Weekly Log'!$A$5:$A$5000),"",MIN('Weekly Log'!$A$5:$A$5000)+7*(ROW()-10)))</f>
        <v/>
      </c>
    </row>
    <row r="1815" spans="1:10" x14ac:dyDescent="0.25">
      <c r="A1815" t="str">
        <f t="shared" si="28"/>
        <v/>
      </c>
      <c r="B1815" t="str">
        <f>IF($J1815="","",SUMIFS('Weekly Log'!$C:$C,'Weekly Log'!$A:$A,"&gt;="&amp;$J1815,'Weekly Log'!$A:$A,"&lt;"&amp;$J1815+7))</f>
        <v/>
      </c>
      <c r="C1815" t="str">
        <f>IF($J1815="","",IFERROR(COUNTIFS('Weekly Log'!$G:$G,"Y",'Weekly Log'!$A:$A,"&gt;="&amp;$J1815,'Weekly Log'!$A:$A,"&lt;"&amp;$J1815+7)/COUNTIFS('Weekly Log'!$G:$G,"&lt;&gt;",'Weekly Log'!$A:$A,"&gt;="&amp;$J1815,'Weekly Log'!$A:$A,"&lt;"&amp;$J1815+7),0))</f>
        <v/>
      </c>
      <c r="D1815" t="str">
        <f>IF($J1815="","",IFERROR(COUNTIFS('Weekly Log'!$H:$H,"Y",'Weekly Log'!$A:$A,"&gt;="&amp;$J1815,'Weekly Log'!$A:$A,"&lt;"&amp;$J1815+7)/COUNTIFS('Weekly Log'!$H:$H,"&lt;&gt;",'Weekly Log'!$A:$A,"&gt;="&amp;$J1815,'Weekly Log'!$A:$A,"&lt;"&amp;$J1815+7),0))</f>
        <v/>
      </c>
      <c r="E1815" t="str">
        <f>IF($J1815="","",IFERROR(AVERAGEIFS('Weekly Log'!$F:$F,'Weekly Log'!$A:$A,"&gt;="&amp;$J1815,'Weekly Log'!$A:$A,"&lt;"&amp;$J1815+7),0))</f>
        <v/>
      </c>
      <c r="F1815" t="str">
        <f>IF($J1815="","",IFERROR(SUMIFS('Weekly Log'!$F:$F,'Weekly Log'!$A:$A,"&gt;="&amp;$J1815,'Weekly Log'!$A:$A,"&lt;"&amp;$J1815+7)/SUMIFS('Weekly Log'!$E:$E,'Weekly Log'!$A:$A,"&gt;="&amp;$J1815,'Weekly Log'!$A:$A,"&lt;"&amp;$J1815+7),0))</f>
        <v/>
      </c>
      <c r="G1815" t="str">
        <f>IF($J1815="","",IFERROR(LOOKUP(2,1/(('Weekly Log'!$A$5:$A$5000&gt;=$J1815)*('Weekly Log'!$A$5:$A$5000&lt;$J1815+7)*('Weekly Log'!$M$5:$M$5000&lt;&gt;"")),'Weekly Log'!$M$5:$M$5000),0))</f>
        <v/>
      </c>
      <c r="J1815" t="str">
        <f>IF(COUNT('Weekly Log'!$A$5:$A$5000)=0,"",IF(MIN('Weekly Log'!$A$5:$A$5000)+7*(ROW()-10)&gt;MAX('Weekly Log'!$A$5:$A$5000),"",MIN('Weekly Log'!$A$5:$A$5000)+7*(ROW()-10)))</f>
        <v/>
      </c>
    </row>
    <row r="1816" spans="1:10" x14ac:dyDescent="0.25">
      <c r="A1816" t="str">
        <f t="shared" si="28"/>
        <v/>
      </c>
      <c r="B1816" t="str">
        <f>IF($J1816="","",SUMIFS('Weekly Log'!$C:$C,'Weekly Log'!$A:$A,"&gt;="&amp;$J1816,'Weekly Log'!$A:$A,"&lt;"&amp;$J1816+7))</f>
        <v/>
      </c>
      <c r="C1816" t="str">
        <f>IF($J1816="","",IFERROR(COUNTIFS('Weekly Log'!$G:$G,"Y",'Weekly Log'!$A:$A,"&gt;="&amp;$J1816,'Weekly Log'!$A:$A,"&lt;"&amp;$J1816+7)/COUNTIFS('Weekly Log'!$G:$G,"&lt;&gt;",'Weekly Log'!$A:$A,"&gt;="&amp;$J1816,'Weekly Log'!$A:$A,"&lt;"&amp;$J1816+7),0))</f>
        <v/>
      </c>
      <c r="D1816" t="str">
        <f>IF($J1816="","",IFERROR(COUNTIFS('Weekly Log'!$H:$H,"Y",'Weekly Log'!$A:$A,"&gt;="&amp;$J1816,'Weekly Log'!$A:$A,"&lt;"&amp;$J1816+7)/COUNTIFS('Weekly Log'!$H:$H,"&lt;&gt;",'Weekly Log'!$A:$A,"&gt;="&amp;$J1816,'Weekly Log'!$A:$A,"&lt;"&amp;$J1816+7),0))</f>
        <v/>
      </c>
      <c r="E1816" t="str">
        <f>IF($J1816="","",IFERROR(AVERAGEIFS('Weekly Log'!$F:$F,'Weekly Log'!$A:$A,"&gt;="&amp;$J1816,'Weekly Log'!$A:$A,"&lt;"&amp;$J1816+7),0))</f>
        <v/>
      </c>
      <c r="F1816" t="str">
        <f>IF($J1816="","",IFERROR(SUMIFS('Weekly Log'!$F:$F,'Weekly Log'!$A:$A,"&gt;="&amp;$J1816,'Weekly Log'!$A:$A,"&lt;"&amp;$J1816+7)/SUMIFS('Weekly Log'!$E:$E,'Weekly Log'!$A:$A,"&gt;="&amp;$J1816,'Weekly Log'!$A:$A,"&lt;"&amp;$J1816+7),0))</f>
        <v/>
      </c>
      <c r="G1816" t="str">
        <f>IF($J1816="","",IFERROR(LOOKUP(2,1/(('Weekly Log'!$A$5:$A$5000&gt;=$J1816)*('Weekly Log'!$A$5:$A$5000&lt;$J1816+7)*('Weekly Log'!$M$5:$M$5000&lt;&gt;"")),'Weekly Log'!$M$5:$M$5000),0))</f>
        <v/>
      </c>
      <c r="J1816" t="str">
        <f>IF(COUNT('Weekly Log'!$A$5:$A$5000)=0,"",IF(MIN('Weekly Log'!$A$5:$A$5000)+7*(ROW()-10)&gt;MAX('Weekly Log'!$A$5:$A$5000),"",MIN('Weekly Log'!$A$5:$A$5000)+7*(ROW()-10)))</f>
        <v/>
      </c>
    </row>
    <row r="1817" spans="1:10" x14ac:dyDescent="0.25">
      <c r="A1817" t="str">
        <f t="shared" si="28"/>
        <v/>
      </c>
      <c r="B1817" t="str">
        <f>IF($J1817="","",SUMIFS('Weekly Log'!$C:$C,'Weekly Log'!$A:$A,"&gt;="&amp;$J1817,'Weekly Log'!$A:$A,"&lt;"&amp;$J1817+7))</f>
        <v/>
      </c>
      <c r="C1817" t="str">
        <f>IF($J1817="","",IFERROR(COUNTIFS('Weekly Log'!$G:$G,"Y",'Weekly Log'!$A:$A,"&gt;="&amp;$J1817,'Weekly Log'!$A:$A,"&lt;"&amp;$J1817+7)/COUNTIFS('Weekly Log'!$G:$G,"&lt;&gt;",'Weekly Log'!$A:$A,"&gt;="&amp;$J1817,'Weekly Log'!$A:$A,"&lt;"&amp;$J1817+7),0))</f>
        <v/>
      </c>
      <c r="D1817" t="str">
        <f>IF($J1817="","",IFERROR(COUNTIFS('Weekly Log'!$H:$H,"Y",'Weekly Log'!$A:$A,"&gt;="&amp;$J1817,'Weekly Log'!$A:$A,"&lt;"&amp;$J1817+7)/COUNTIFS('Weekly Log'!$H:$H,"&lt;&gt;",'Weekly Log'!$A:$A,"&gt;="&amp;$J1817,'Weekly Log'!$A:$A,"&lt;"&amp;$J1817+7),0))</f>
        <v/>
      </c>
      <c r="E1817" t="str">
        <f>IF($J1817="","",IFERROR(AVERAGEIFS('Weekly Log'!$F:$F,'Weekly Log'!$A:$A,"&gt;="&amp;$J1817,'Weekly Log'!$A:$A,"&lt;"&amp;$J1817+7),0))</f>
        <v/>
      </c>
      <c r="F1817" t="str">
        <f>IF($J1817="","",IFERROR(SUMIFS('Weekly Log'!$F:$F,'Weekly Log'!$A:$A,"&gt;="&amp;$J1817,'Weekly Log'!$A:$A,"&lt;"&amp;$J1817+7)/SUMIFS('Weekly Log'!$E:$E,'Weekly Log'!$A:$A,"&gt;="&amp;$J1817,'Weekly Log'!$A:$A,"&lt;"&amp;$J1817+7),0))</f>
        <v/>
      </c>
      <c r="G1817" t="str">
        <f>IF($J1817="","",IFERROR(LOOKUP(2,1/(('Weekly Log'!$A$5:$A$5000&gt;=$J1817)*('Weekly Log'!$A$5:$A$5000&lt;$J1817+7)*('Weekly Log'!$M$5:$M$5000&lt;&gt;"")),'Weekly Log'!$M$5:$M$5000),0))</f>
        <v/>
      </c>
      <c r="J1817" t="str">
        <f>IF(COUNT('Weekly Log'!$A$5:$A$5000)=0,"",IF(MIN('Weekly Log'!$A$5:$A$5000)+7*(ROW()-10)&gt;MAX('Weekly Log'!$A$5:$A$5000),"",MIN('Weekly Log'!$A$5:$A$5000)+7*(ROW()-10)))</f>
        <v/>
      </c>
    </row>
    <row r="1818" spans="1:10" x14ac:dyDescent="0.25">
      <c r="A1818" t="str">
        <f t="shared" si="28"/>
        <v/>
      </c>
      <c r="B1818" t="str">
        <f>IF($J1818="","",SUMIFS('Weekly Log'!$C:$C,'Weekly Log'!$A:$A,"&gt;="&amp;$J1818,'Weekly Log'!$A:$A,"&lt;"&amp;$J1818+7))</f>
        <v/>
      </c>
      <c r="C1818" t="str">
        <f>IF($J1818="","",IFERROR(COUNTIFS('Weekly Log'!$G:$G,"Y",'Weekly Log'!$A:$A,"&gt;="&amp;$J1818,'Weekly Log'!$A:$A,"&lt;"&amp;$J1818+7)/COUNTIFS('Weekly Log'!$G:$G,"&lt;&gt;",'Weekly Log'!$A:$A,"&gt;="&amp;$J1818,'Weekly Log'!$A:$A,"&lt;"&amp;$J1818+7),0))</f>
        <v/>
      </c>
      <c r="D1818" t="str">
        <f>IF($J1818="","",IFERROR(COUNTIFS('Weekly Log'!$H:$H,"Y",'Weekly Log'!$A:$A,"&gt;="&amp;$J1818,'Weekly Log'!$A:$A,"&lt;"&amp;$J1818+7)/COUNTIFS('Weekly Log'!$H:$H,"&lt;&gt;",'Weekly Log'!$A:$A,"&gt;="&amp;$J1818,'Weekly Log'!$A:$A,"&lt;"&amp;$J1818+7),0))</f>
        <v/>
      </c>
      <c r="E1818" t="str">
        <f>IF($J1818="","",IFERROR(AVERAGEIFS('Weekly Log'!$F:$F,'Weekly Log'!$A:$A,"&gt;="&amp;$J1818,'Weekly Log'!$A:$A,"&lt;"&amp;$J1818+7),0))</f>
        <v/>
      </c>
      <c r="F1818" t="str">
        <f>IF($J1818="","",IFERROR(SUMIFS('Weekly Log'!$F:$F,'Weekly Log'!$A:$A,"&gt;="&amp;$J1818,'Weekly Log'!$A:$A,"&lt;"&amp;$J1818+7)/SUMIFS('Weekly Log'!$E:$E,'Weekly Log'!$A:$A,"&gt;="&amp;$J1818,'Weekly Log'!$A:$A,"&lt;"&amp;$J1818+7),0))</f>
        <v/>
      </c>
      <c r="G1818" t="str">
        <f>IF($J1818="","",IFERROR(LOOKUP(2,1/(('Weekly Log'!$A$5:$A$5000&gt;=$J1818)*('Weekly Log'!$A$5:$A$5000&lt;$J1818+7)*('Weekly Log'!$M$5:$M$5000&lt;&gt;"")),'Weekly Log'!$M$5:$M$5000),0))</f>
        <v/>
      </c>
      <c r="J1818" t="str">
        <f>IF(COUNT('Weekly Log'!$A$5:$A$5000)=0,"",IF(MIN('Weekly Log'!$A$5:$A$5000)+7*(ROW()-10)&gt;MAX('Weekly Log'!$A$5:$A$5000),"",MIN('Weekly Log'!$A$5:$A$5000)+7*(ROW()-10)))</f>
        <v/>
      </c>
    </row>
    <row r="1819" spans="1:10" x14ac:dyDescent="0.25">
      <c r="A1819" t="str">
        <f t="shared" si="28"/>
        <v/>
      </c>
      <c r="B1819" t="str">
        <f>IF($J1819="","",SUMIFS('Weekly Log'!$C:$C,'Weekly Log'!$A:$A,"&gt;="&amp;$J1819,'Weekly Log'!$A:$A,"&lt;"&amp;$J1819+7))</f>
        <v/>
      </c>
      <c r="C1819" t="str">
        <f>IF($J1819="","",IFERROR(COUNTIFS('Weekly Log'!$G:$G,"Y",'Weekly Log'!$A:$A,"&gt;="&amp;$J1819,'Weekly Log'!$A:$A,"&lt;"&amp;$J1819+7)/COUNTIFS('Weekly Log'!$G:$G,"&lt;&gt;",'Weekly Log'!$A:$A,"&gt;="&amp;$J1819,'Weekly Log'!$A:$A,"&lt;"&amp;$J1819+7),0))</f>
        <v/>
      </c>
      <c r="D1819" t="str">
        <f>IF($J1819="","",IFERROR(COUNTIFS('Weekly Log'!$H:$H,"Y",'Weekly Log'!$A:$A,"&gt;="&amp;$J1819,'Weekly Log'!$A:$A,"&lt;"&amp;$J1819+7)/COUNTIFS('Weekly Log'!$H:$H,"&lt;&gt;",'Weekly Log'!$A:$A,"&gt;="&amp;$J1819,'Weekly Log'!$A:$A,"&lt;"&amp;$J1819+7),0))</f>
        <v/>
      </c>
      <c r="E1819" t="str">
        <f>IF($J1819="","",IFERROR(AVERAGEIFS('Weekly Log'!$F:$F,'Weekly Log'!$A:$A,"&gt;="&amp;$J1819,'Weekly Log'!$A:$A,"&lt;"&amp;$J1819+7),0))</f>
        <v/>
      </c>
      <c r="F1819" t="str">
        <f>IF($J1819="","",IFERROR(SUMIFS('Weekly Log'!$F:$F,'Weekly Log'!$A:$A,"&gt;="&amp;$J1819,'Weekly Log'!$A:$A,"&lt;"&amp;$J1819+7)/SUMIFS('Weekly Log'!$E:$E,'Weekly Log'!$A:$A,"&gt;="&amp;$J1819,'Weekly Log'!$A:$A,"&lt;"&amp;$J1819+7),0))</f>
        <v/>
      </c>
      <c r="G1819" t="str">
        <f>IF($J1819="","",IFERROR(LOOKUP(2,1/(('Weekly Log'!$A$5:$A$5000&gt;=$J1819)*('Weekly Log'!$A$5:$A$5000&lt;$J1819+7)*('Weekly Log'!$M$5:$M$5000&lt;&gt;"")),'Weekly Log'!$M$5:$M$5000),0))</f>
        <v/>
      </c>
      <c r="J1819" t="str">
        <f>IF(COUNT('Weekly Log'!$A$5:$A$5000)=0,"",IF(MIN('Weekly Log'!$A$5:$A$5000)+7*(ROW()-10)&gt;MAX('Weekly Log'!$A$5:$A$5000),"",MIN('Weekly Log'!$A$5:$A$5000)+7*(ROW()-10)))</f>
        <v/>
      </c>
    </row>
    <row r="1820" spans="1:10" x14ac:dyDescent="0.25">
      <c r="A1820" t="str">
        <f t="shared" si="28"/>
        <v/>
      </c>
      <c r="B1820" t="str">
        <f>IF($J1820="","",SUMIFS('Weekly Log'!$C:$C,'Weekly Log'!$A:$A,"&gt;="&amp;$J1820,'Weekly Log'!$A:$A,"&lt;"&amp;$J1820+7))</f>
        <v/>
      </c>
      <c r="C1820" t="str">
        <f>IF($J1820="","",IFERROR(COUNTIFS('Weekly Log'!$G:$G,"Y",'Weekly Log'!$A:$A,"&gt;="&amp;$J1820,'Weekly Log'!$A:$A,"&lt;"&amp;$J1820+7)/COUNTIFS('Weekly Log'!$G:$G,"&lt;&gt;",'Weekly Log'!$A:$A,"&gt;="&amp;$J1820,'Weekly Log'!$A:$A,"&lt;"&amp;$J1820+7),0))</f>
        <v/>
      </c>
      <c r="D1820" t="str">
        <f>IF($J1820="","",IFERROR(COUNTIFS('Weekly Log'!$H:$H,"Y",'Weekly Log'!$A:$A,"&gt;="&amp;$J1820,'Weekly Log'!$A:$A,"&lt;"&amp;$J1820+7)/COUNTIFS('Weekly Log'!$H:$H,"&lt;&gt;",'Weekly Log'!$A:$A,"&gt;="&amp;$J1820,'Weekly Log'!$A:$A,"&lt;"&amp;$J1820+7),0))</f>
        <v/>
      </c>
      <c r="E1820" t="str">
        <f>IF($J1820="","",IFERROR(AVERAGEIFS('Weekly Log'!$F:$F,'Weekly Log'!$A:$A,"&gt;="&amp;$J1820,'Weekly Log'!$A:$A,"&lt;"&amp;$J1820+7),0))</f>
        <v/>
      </c>
      <c r="F1820" t="str">
        <f>IF($J1820="","",IFERROR(SUMIFS('Weekly Log'!$F:$F,'Weekly Log'!$A:$A,"&gt;="&amp;$J1820,'Weekly Log'!$A:$A,"&lt;"&amp;$J1820+7)/SUMIFS('Weekly Log'!$E:$E,'Weekly Log'!$A:$A,"&gt;="&amp;$J1820,'Weekly Log'!$A:$A,"&lt;"&amp;$J1820+7),0))</f>
        <v/>
      </c>
      <c r="G1820" t="str">
        <f>IF($J1820="","",IFERROR(LOOKUP(2,1/(('Weekly Log'!$A$5:$A$5000&gt;=$J1820)*('Weekly Log'!$A$5:$A$5000&lt;$J1820+7)*('Weekly Log'!$M$5:$M$5000&lt;&gt;"")),'Weekly Log'!$M$5:$M$5000),0))</f>
        <v/>
      </c>
      <c r="J1820" t="str">
        <f>IF(COUNT('Weekly Log'!$A$5:$A$5000)=0,"",IF(MIN('Weekly Log'!$A$5:$A$5000)+7*(ROW()-10)&gt;MAX('Weekly Log'!$A$5:$A$5000),"",MIN('Weekly Log'!$A$5:$A$5000)+7*(ROW()-10)))</f>
        <v/>
      </c>
    </row>
    <row r="1821" spans="1:10" x14ac:dyDescent="0.25">
      <c r="A1821" t="str">
        <f t="shared" si="28"/>
        <v/>
      </c>
      <c r="B1821" t="str">
        <f>IF($J1821="","",SUMIFS('Weekly Log'!$C:$C,'Weekly Log'!$A:$A,"&gt;="&amp;$J1821,'Weekly Log'!$A:$A,"&lt;"&amp;$J1821+7))</f>
        <v/>
      </c>
      <c r="C1821" t="str">
        <f>IF($J1821="","",IFERROR(COUNTIFS('Weekly Log'!$G:$G,"Y",'Weekly Log'!$A:$A,"&gt;="&amp;$J1821,'Weekly Log'!$A:$A,"&lt;"&amp;$J1821+7)/COUNTIFS('Weekly Log'!$G:$G,"&lt;&gt;",'Weekly Log'!$A:$A,"&gt;="&amp;$J1821,'Weekly Log'!$A:$A,"&lt;"&amp;$J1821+7),0))</f>
        <v/>
      </c>
      <c r="D1821" t="str">
        <f>IF($J1821="","",IFERROR(COUNTIFS('Weekly Log'!$H:$H,"Y",'Weekly Log'!$A:$A,"&gt;="&amp;$J1821,'Weekly Log'!$A:$A,"&lt;"&amp;$J1821+7)/COUNTIFS('Weekly Log'!$H:$H,"&lt;&gt;",'Weekly Log'!$A:$A,"&gt;="&amp;$J1821,'Weekly Log'!$A:$A,"&lt;"&amp;$J1821+7),0))</f>
        <v/>
      </c>
      <c r="E1821" t="str">
        <f>IF($J1821="","",IFERROR(AVERAGEIFS('Weekly Log'!$F:$F,'Weekly Log'!$A:$A,"&gt;="&amp;$J1821,'Weekly Log'!$A:$A,"&lt;"&amp;$J1821+7),0))</f>
        <v/>
      </c>
      <c r="F1821" t="str">
        <f>IF($J1821="","",IFERROR(SUMIFS('Weekly Log'!$F:$F,'Weekly Log'!$A:$A,"&gt;="&amp;$J1821,'Weekly Log'!$A:$A,"&lt;"&amp;$J1821+7)/SUMIFS('Weekly Log'!$E:$E,'Weekly Log'!$A:$A,"&gt;="&amp;$J1821,'Weekly Log'!$A:$A,"&lt;"&amp;$J1821+7),0))</f>
        <v/>
      </c>
      <c r="G1821" t="str">
        <f>IF($J1821="","",IFERROR(LOOKUP(2,1/(('Weekly Log'!$A$5:$A$5000&gt;=$J1821)*('Weekly Log'!$A$5:$A$5000&lt;$J1821+7)*('Weekly Log'!$M$5:$M$5000&lt;&gt;"")),'Weekly Log'!$M$5:$M$5000),0))</f>
        <v/>
      </c>
      <c r="J1821" t="str">
        <f>IF(COUNT('Weekly Log'!$A$5:$A$5000)=0,"",IF(MIN('Weekly Log'!$A$5:$A$5000)+7*(ROW()-10)&gt;MAX('Weekly Log'!$A$5:$A$5000),"",MIN('Weekly Log'!$A$5:$A$5000)+7*(ROW()-10)))</f>
        <v/>
      </c>
    </row>
    <row r="1822" spans="1:10" x14ac:dyDescent="0.25">
      <c r="A1822" t="str">
        <f t="shared" si="28"/>
        <v/>
      </c>
      <c r="B1822" t="str">
        <f>IF($J1822="","",SUMIFS('Weekly Log'!$C:$C,'Weekly Log'!$A:$A,"&gt;="&amp;$J1822,'Weekly Log'!$A:$A,"&lt;"&amp;$J1822+7))</f>
        <v/>
      </c>
      <c r="C1822" t="str">
        <f>IF($J1822="","",IFERROR(COUNTIFS('Weekly Log'!$G:$G,"Y",'Weekly Log'!$A:$A,"&gt;="&amp;$J1822,'Weekly Log'!$A:$A,"&lt;"&amp;$J1822+7)/COUNTIFS('Weekly Log'!$G:$G,"&lt;&gt;",'Weekly Log'!$A:$A,"&gt;="&amp;$J1822,'Weekly Log'!$A:$A,"&lt;"&amp;$J1822+7),0))</f>
        <v/>
      </c>
      <c r="D1822" t="str">
        <f>IF($J1822="","",IFERROR(COUNTIFS('Weekly Log'!$H:$H,"Y",'Weekly Log'!$A:$A,"&gt;="&amp;$J1822,'Weekly Log'!$A:$A,"&lt;"&amp;$J1822+7)/COUNTIFS('Weekly Log'!$H:$H,"&lt;&gt;",'Weekly Log'!$A:$A,"&gt;="&amp;$J1822,'Weekly Log'!$A:$A,"&lt;"&amp;$J1822+7),0))</f>
        <v/>
      </c>
      <c r="E1822" t="str">
        <f>IF($J1822="","",IFERROR(AVERAGEIFS('Weekly Log'!$F:$F,'Weekly Log'!$A:$A,"&gt;="&amp;$J1822,'Weekly Log'!$A:$A,"&lt;"&amp;$J1822+7),0))</f>
        <v/>
      </c>
      <c r="F1822" t="str">
        <f>IF($J1822="","",IFERROR(SUMIFS('Weekly Log'!$F:$F,'Weekly Log'!$A:$A,"&gt;="&amp;$J1822,'Weekly Log'!$A:$A,"&lt;"&amp;$J1822+7)/SUMIFS('Weekly Log'!$E:$E,'Weekly Log'!$A:$A,"&gt;="&amp;$J1822,'Weekly Log'!$A:$A,"&lt;"&amp;$J1822+7),0))</f>
        <v/>
      </c>
      <c r="G1822" t="str">
        <f>IF($J1822="","",IFERROR(LOOKUP(2,1/(('Weekly Log'!$A$5:$A$5000&gt;=$J1822)*('Weekly Log'!$A$5:$A$5000&lt;$J1822+7)*('Weekly Log'!$M$5:$M$5000&lt;&gt;"")),'Weekly Log'!$M$5:$M$5000),0))</f>
        <v/>
      </c>
      <c r="J1822" t="str">
        <f>IF(COUNT('Weekly Log'!$A$5:$A$5000)=0,"",IF(MIN('Weekly Log'!$A$5:$A$5000)+7*(ROW()-10)&gt;MAX('Weekly Log'!$A$5:$A$5000),"",MIN('Weekly Log'!$A$5:$A$5000)+7*(ROW()-10)))</f>
        <v/>
      </c>
    </row>
    <row r="1823" spans="1:10" x14ac:dyDescent="0.25">
      <c r="A1823" t="str">
        <f t="shared" si="28"/>
        <v/>
      </c>
      <c r="B1823" t="str">
        <f>IF($J1823="","",SUMIFS('Weekly Log'!$C:$C,'Weekly Log'!$A:$A,"&gt;="&amp;$J1823,'Weekly Log'!$A:$A,"&lt;"&amp;$J1823+7))</f>
        <v/>
      </c>
      <c r="C1823" t="str">
        <f>IF($J1823="","",IFERROR(COUNTIFS('Weekly Log'!$G:$G,"Y",'Weekly Log'!$A:$A,"&gt;="&amp;$J1823,'Weekly Log'!$A:$A,"&lt;"&amp;$J1823+7)/COUNTIFS('Weekly Log'!$G:$G,"&lt;&gt;",'Weekly Log'!$A:$A,"&gt;="&amp;$J1823,'Weekly Log'!$A:$A,"&lt;"&amp;$J1823+7),0))</f>
        <v/>
      </c>
      <c r="D1823" t="str">
        <f>IF($J1823="","",IFERROR(COUNTIFS('Weekly Log'!$H:$H,"Y",'Weekly Log'!$A:$A,"&gt;="&amp;$J1823,'Weekly Log'!$A:$A,"&lt;"&amp;$J1823+7)/COUNTIFS('Weekly Log'!$H:$H,"&lt;&gt;",'Weekly Log'!$A:$A,"&gt;="&amp;$J1823,'Weekly Log'!$A:$A,"&lt;"&amp;$J1823+7),0))</f>
        <v/>
      </c>
      <c r="E1823" t="str">
        <f>IF($J1823="","",IFERROR(AVERAGEIFS('Weekly Log'!$F:$F,'Weekly Log'!$A:$A,"&gt;="&amp;$J1823,'Weekly Log'!$A:$A,"&lt;"&amp;$J1823+7),0))</f>
        <v/>
      </c>
      <c r="F1823" t="str">
        <f>IF($J1823="","",IFERROR(SUMIFS('Weekly Log'!$F:$F,'Weekly Log'!$A:$A,"&gt;="&amp;$J1823,'Weekly Log'!$A:$A,"&lt;"&amp;$J1823+7)/SUMIFS('Weekly Log'!$E:$E,'Weekly Log'!$A:$A,"&gt;="&amp;$J1823,'Weekly Log'!$A:$A,"&lt;"&amp;$J1823+7),0))</f>
        <v/>
      </c>
      <c r="G1823" t="str">
        <f>IF($J1823="","",IFERROR(LOOKUP(2,1/(('Weekly Log'!$A$5:$A$5000&gt;=$J1823)*('Weekly Log'!$A$5:$A$5000&lt;$J1823+7)*('Weekly Log'!$M$5:$M$5000&lt;&gt;"")),'Weekly Log'!$M$5:$M$5000),0))</f>
        <v/>
      </c>
      <c r="J1823" t="str">
        <f>IF(COUNT('Weekly Log'!$A$5:$A$5000)=0,"",IF(MIN('Weekly Log'!$A$5:$A$5000)+7*(ROW()-10)&gt;MAX('Weekly Log'!$A$5:$A$5000),"",MIN('Weekly Log'!$A$5:$A$5000)+7*(ROW()-10)))</f>
        <v/>
      </c>
    </row>
    <row r="1824" spans="1:10" x14ac:dyDescent="0.25">
      <c r="A1824" t="str">
        <f t="shared" si="28"/>
        <v/>
      </c>
      <c r="B1824" t="str">
        <f>IF($J1824="","",SUMIFS('Weekly Log'!$C:$C,'Weekly Log'!$A:$A,"&gt;="&amp;$J1824,'Weekly Log'!$A:$A,"&lt;"&amp;$J1824+7))</f>
        <v/>
      </c>
      <c r="C1824" t="str">
        <f>IF($J1824="","",IFERROR(COUNTIFS('Weekly Log'!$G:$G,"Y",'Weekly Log'!$A:$A,"&gt;="&amp;$J1824,'Weekly Log'!$A:$A,"&lt;"&amp;$J1824+7)/COUNTIFS('Weekly Log'!$G:$G,"&lt;&gt;",'Weekly Log'!$A:$A,"&gt;="&amp;$J1824,'Weekly Log'!$A:$A,"&lt;"&amp;$J1824+7),0))</f>
        <v/>
      </c>
      <c r="D1824" t="str">
        <f>IF($J1824="","",IFERROR(COUNTIFS('Weekly Log'!$H:$H,"Y",'Weekly Log'!$A:$A,"&gt;="&amp;$J1824,'Weekly Log'!$A:$A,"&lt;"&amp;$J1824+7)/COUNTIFS('Weekly Log'!$H:$H,"&lt;&gt;",'Weekly Log'!$A:$A,"&gt;="&amp;$J1824,'Weekly Log'!$A:$A,"&lt;"&amp;$J1824+7),0))</f>
        <v/>
      </c>
      <c r="E1824" t="str">
        <f>IF($J1824="","",IFERROR(AVERAGEIFS('Weekly Log'!$F:$F,'Weekly Log'!$A:$A,"&gt;="&amp;$J1824,'Weekly Log'!$A:$A,"&lt;"&amp;$J1824+7),0))</f>
        <v/>
      </c>
      <c r="F1824" t="str">
        <f>IF($J1824="","",IFERROR(SUMIFS('Weekly Log'!$F:$F,'Weekly Log'!$A:$A,"&gt;="&amp;$J1824,'Weekly Log'!$A:$A,"&lt;"&amp;$J1824+7)/SUMIFS('Weekly Log'!$E:$E,'Weekly Log'!$A:$A,"&gt;="&amp;$J1824,'Weekly Log'!$A:$A,"&lt;"&amp;$J1824+7),0))</f>
        <v/>
      </c>
      <c r="G1824" t="str">
        <f>IF($J1824="","",IFERROR(LOOKUP(2,1/(('Weekly Log'!$A$5:$A$5000&gt;=$J1824)*('Weekly Log'!$A$5:$A$5000&lt;$J1824+7)*('Weekly Log'!$M$5:$M$5000&lt;&gt;"")),'Weekly Log'!$M$5:$M$5000),0))</f>
        <v/>
      </c>
      <c r="J1824" t="str">
        <f>IF(COUNT('Weekly Log'!$A$5:$A$5000)=0,"",IF(MIN('Weekly Log'!$A$5:$A$5000)+7*(ROW()-10)&gt;MAX('Weekly Log'!$A$5:$A$5000),"",MIN('Weekly Log'!$A$5:$A$5000)+7*(ROW()-10)))</f>
        <v/>
      </c>
    </row>
    <row r="1825" spans="1:10" x14ac:dyDescent="0.25">
      <c r="A1825" t="str">
        <f t="shared" si="28"/>
        <v/>
      </c>
      <c r="B1825" t="str">
        <f>IF($J1825="","",SUMIFS('Weekly Log'!$C:$C,'Weekly Log'!$A:$A,"&gt;="&amp;$J1825,'Weekly Log'!$A:$A,"&lt;"&amp;$J1825+7))</f>
        <v/>
      </c>
      <c r="C1825" t="str">
        <f>IF($J1825="","",IFERROR(COUNTIFS('Weekly Log'!$G:$G,"Y",'Weekly Log'!$A:$A,"&gt;="&amp;$J1825,'Weekly Log'!$A:$A,"&lt;"&amp;$J1825+7)/COUNTIFS('Weekly Log'!$G:$G,"&lt;&gt;",'Weekly Log'!$A:$A,"&gt;="&amp;$J1825,'Weekly Log'!$A:$A,"&lt;"&amp;$J1825+7),0))</f>
        <v/>
      </c>
      <c r="D1825" t="str">
        <f>IF($J1825="","",IFERROR(COUNTIFS('Weekly Log'!$H:$H,"Y",'Weekly Log'!$A:$A,"&gt;="&amp;$J1825,'Weekly Log'!$A:$A,"&lt;"&amp;$J1825+7)/COUNTIFS('Weekly Log'!$H:$H,"&lt;&gt;",'Weekly Log'!$A:$A,"&gt;="&amp;$J1825,'Weekly Log'!$A:$A,"&lt;"&amp;$J1825+7),0))</f>
        <v/>
      </c>
      <c r="E1825" t="str">
        <f>IF($J1825="","",IFERROR(AVERAGEIFS('Weekly Log'!$F:$F,'Weekly Log'!$A:$A,"&gt;="&amp;$J1825,'Weekly Log'!$A:$A,"&lt;"&amp;$J1825+7),0))</f>
        <v/>
      </c>
      <c r="F1825" t="str">
        <f>IF($J1825="","",IFERROR(SUMIFS('Weekly Log'!$F:$F,'Weekly Log'!$A:$A,"&gt;="&amp;$J1825,'Weekly Log'!$A:$A,"&lt;"&amp;$J1825+7)/SUMIFS('Weekly Log'!$E:$E,'Weekly Log'!$A:$A,"&gt;="&amp;$J1825,'Weekly Log'!$A:$A,"&lt;"&amp;$J1825+7),0))</f>
        <v/>
      </c>
      <c r="G1825" t="str">
        <f>IF($J1825="","",IFERROR(LOOKUP(2,1/(('Weekly Log'!$A$5:$A$5000&gt;=$J1825)*('Weekly Log'!$A$5:$A$5000&lt;$J1825+7)*('Weekly Log'!$M$5:$M$5000&lt;&gt;"")),'Weekly Log'!$M$5:$M$5000),0))</f>
        <v/>
      </c>
      <c r="J1825" t="str">
        <f>IF(COUNT('Weekly Log'!$A$5:$A$5000)=0,"",IF(MIN('Weekly Log'!$A$5:$A$5000)+7*(ROW()-10)&gt;MAX('Weekly Log'!$A$5:$A$5000),"",MIN('Weekly Log'!$A$5:$A$5000)+7*(ROW()-10)))</f>
        <v/>
      </c>
    </row>
    <row r="1826" spans="1:10" x14ac:dyDescent="0.25">
      <c r="A1826" t="str">
        <f t="shared" si="28"/>
        <v/>
      </c>
      <c r="B1826" t="str">
        <f>IF($J1826="","",SUMIFS('Weekly Log'!$C:$C,'Weekly Log'!$A:$A,"&gt;="&amp;$J1826,'Weekly Log'!$A:$A,"&lt;"&amp;$J1826+7))</f>
        <v/>
      </c>
      <c r="C1826" t="str">
        <f>IF($J1826="","",IFERROR(COUNTIFS('Weekly Log'!$G:$G,"Y",'Weekly Log'!$A:$A,"&gt;="&amp;$J1826,'Weekly Log'!$A:$A,"&lt;"&amp;$J1826+7)/COUNTIFS('Weekly Log'!$G:$G,"&lt;&gt;",'Weekly Log'!$A:$A,"&gt;="&amp;$J1826,'Weekly Log'!$A:$A,"&lt;"&amp;$J1826+7),0))</f>
        <v/>
      </c>
      <c r="D1826" t="str">
        <f>IF($J1826="","",IFERROR(COUNTIFS('Weekly Log'!$H:$H,"Y",'Weekly Log'!$A:$A,"&gt;="&amp;$J1826,'Weekly Log'!$A:$A,"&lt;"&amp;$J1826+7)/COUNTIFS('Weekly Log'!$H:$H,"&lt;&gt;",'Weekly Log'!$A:$A,"&gt;="&amp;$J1826,'Weekly Log'!$A:$A,"&lt;"&amp;$J1826+7),0))</f>
        <v/>
      </c>
      <c r="E1826" t="str">
        <f>IF($J1826="","",IFERROR(AVERAGEIFS('Weekly Log'!$F:$F,'Weekly Log'!$A:$A,"&gt;="&amp;$J1826,'Weekly Log'!$A:$A,"&lt;"&amp;$J1826+7),0))</f>
        <v/>
      </c>
      <c r="F1826" t="str">
        <f>IF($J1826="","",IFERROR(SUMIFS('Weekly Log'!$F:$F,'Weekly Log'!$A:$A,"&gt;="&amp;$J1826,'Weekly Log'!$A:$A,"&lt;"&amp;$J1826+7)/SUMIFS('Weekly Log'!$E:$E,'Weekly Log'!$A:$A,"&gt;="&amp;$J1826,'Weekly Log'!$A:$A,"&lt;"&amp;$J1826+7),0))</f>
        <v/>
      </c>
      <c r="G1826" t="str">
        <f>IF($J1826="","",IFERROR(LOOKUP(2,1/(('Weekly Log'!$A$5:$A$5000&gt;=$J1826)*('Weekly Log'!$A$5:$A$5000&lt;$J1826+7)*('Weekly Log'!$M$5:$M$5000&lt;&gt;"")),'Weekly Log'!$M$5:$M$5000),0))</f>
        <v/>
      </c>
      <c r="J1826" t="str">
        <f>IF(COUNT('Weekly Log'!$A$5:$A$5000)=0,"",IF(MIN('Weekly Log'!$A$5:$A$5000)+7*(ROW()-10)&gt;MAX('Weekly Log'!$A$5:$A$5000),"",MIN('Weekly Log'!$A$5:$A$5000)+7*(ROW()-10)))</f>
        <v/>
      </c>
    </row>
    <row r="1827" spans="1:10" x14ac:dyDescent="0.25">
      <c r="A1827" t="str">
        <f t="shared" si="28"/>
        <v/>
      </c>
      <c r="B1827" t="str">
        <f>IF($J1827="","",SUMIFS('Weekly Log'!$C:$C,'Weekly Log'!$A:$A,"&gt;="&amp;$J1827,'Weekly Log'!$A:$A,"&lt;"&amp;$J1827+7))</f>
        <v/>
      </c>
      <c r="C1827" t="str">
        <f>IF($J1827="","",IFERROR(COUNTIFS('Weekly Log'!$G:$G,"Y",'Weekly Log'!$A:$A,"&gt;="&amp;$J1827,'Weekly Log'!$A:$A,"&lt;"&amp;$J1827+7)/COUNTIFS('Weekly Log'!$G:$G,"&lt;&gt;",'Weekly Log'!$A:$A,"&gt;="&amp;$J1827,'Weekly Log'!$A:$A,"&lt;"&amp;$J1827+7),0))</f>
        <v/>
      </c>
      <c r="D1827" t="str">
        <f>IF($J1827="","",IFERROR(COUNTIFS('Weekly Log'!$H:$H,"Y",'Weekly Log'!$A:$A,"&gt;="&amp;$J1827,'Weekly Log'!$A:$A,"&lt;"&amp;$J1827+7)/COUNTIFS('Weekly Log'!$H:$H,"&lt;&gt;",'Weekly Log'!$A:$A,"&gt;="&amp;$J1827,'Weekly Log'!$A:$A,"&lt;"&amp;$J1827+7),0))</f>
        <v/>
      </c>
      <c r="E1827" t="str">
        <f>IF($J1827="","",IFERROR(AVERAGEIFS('Weekly Log'!$F:$F,'Weekly Log'!$A:$A,"&gt;="&amp;$J1827,'Weekly Log'!$A:$A,"&lt;"&amp;$J1827+7),0))</f>
        <v/>
      </c>
      <c r="F1827" t="str">
        <f>IF($J1827="","",IFERROR(SUMIFS('Weekly Log'!$F:$F,'Weekly Log'!$A:$A,"&gt;="&amp;$J1827,'Weekly Log'!$A:$A,"&lt;"&amp;$J1827+7)/SUMIFS('Weekly Log'!$E:$E,'Weekly Log'!$A:$A,"&gt;="&amp;$J1827,'Weekly Log'!$A:$A,"&lt;"&amp;$J1827+7),0))</f>
        <v/>
      </c>
      <c r="G1827" t="str">
        <f>IF($J1827="","",IFERROR(LOOKUP(2,1/(('Weekly Log'!$A$5:$A$5000&gt;=$J1827)*('Weekly Log'!$A$5:$A$5000&lt;$J1827+7)*('Weekly Log'!$M$5:$M$5000&lt;&gt;"")),'Weekly Log'!$M$5:$M$5000),0))</f>
        <v/>
      </c>
      <c r="J1827" t="str">
        <f>IF(COUNT('Weekly Log'!$A$5:$A$5000)=0,"",IF(MIN('Weekly Log'!$A$5:$A$5000)+7*(ROW()-10)&gt;MAX('Weekly Log'!$A$5:$A$5000),"",MIN('Weekly Log'!$A$5:$A$5000)+7*(ROW()-10)))</f>
        <v/>
      </c>
    </row>
    <row r="1828" spans="1:10" x14ac:dyDescent="0.25">
      <c r="A1828" t="str">
        <f t="shared" si="28"/>
        <v/>
      </c>
      <c r="B1828" t="str">
        <f>IF($J1828="","",SUMIFS('Weekly Log'!$C:$C,'Weekly Log'!$A:$A,"&gt;="&amp;$J1828,'Weekly Log'!$A:$A,"&lt;"&amp;$J1828+7))</f>
        <v/>
      </c>
      <c r="C1828" t="str">
        <f>IF($J1828="","",IFERROR(COUNTIFS('Weekly Log'!$G:$G,"Y",'Weekly Log'!$A:$A,"&gt;="&amp;$J1828,'Weekly Log'!$A:$A,"&lt;"&amp;$J1828+7)/COUNTIFS('Weekly Log'!$G:$G,"&lt;&gt;",'Weekly Log'!$A:$A,"&gt;="&amp;$J1828,'Weekly Log'!$A:$A,"&lt;"&amp;$J1828+7),0))</f>
        <v/>
      </c>
      <c r="D1828" t="str">
        <f>IF($J1828="","",IFERROR(COUNTIFS('Weekly Log'!$H:$H,"Y",'Weekly Log'!$A:$A,"&gt;="&amp;$J1828,'Weekly Log'!$A:$A,"&lt;"&amp;$J1828+7)/COUNTIFS('Weekly Log'!$H:$H,"&lt;&gt;",'Weekly Log'!$A:$A,"&gt;="&amp;$J1828,'Weekly Log'!$A:$A,"&lt;"&amp;$J1828+7),0))</f>
        <v/>
      </c>
      <c r="E1828" t="str">
        <f>IF($J1828="","",IFERROR(AVERAGEIFS('Weekly Log'!$F:$F,'Weekly Log'!$A:$A,"&gt;="&amp;$J1828,'Weekly Log'!$A:$A,"&lt;"&amp;$J1828+7),0))</f>
        <v/>
      </c>
      <c r="F1828" t="str">
        <f>IF($J1828="","",IFERROR(SUMIFS('Weekly Log'!$F:$F,'Weekly Log'!$A:$A,"&gt;="&amp;$J1828,'Weekly Log'!$A:$A,"&lt;"&amp;$J1828+7)/SUMIFS('Weekly Log'!$E:$E,'Weekly Log'!$A:$A,"&gt;="&amp;$J1828,'Weekly Log'!$A:$A,"&lt;"&amp;$J1828+7),0))</f>
        <v/>
      </c>
      <c r="G1828" t="str">
        <f>IF($J1828="","",IFERROR(LOOKUP(2,1/(('Weekly Log'!$A$5:$A$5000&gt;=$J1828)*('Weekly Log'!$A$5:$A$5000&lt;$J1828+7)*('Weekly Log'!$M$5:$M$5000&lt;&gt;"")),'Weekly Log'!$M$5:$M$5000),0))</f>
        <v/>
      </c>
      <c r="J1828" t="str">
        <f>IF(COUNT('Weekly Log'!$A$5:$A$5000)=0,"",IF(MIN('Weekly Log'!$A$5:$A$5000)+7*(ROW()-10)&gt;MAX('Weekly Log'!$A$5:$A$5000),"",MIN('Weekly Log'!$A$5:$A$5000)+7*(ROW()-10)))</f>
        <v/>
      </c>
    </row>
    <row r="1829" spans="1:10" x14ac:dyDescent="0.25">
      <c r="A1829" t="str">
        <f t="shared" si="28"/>
        <v/>
      </c>
      <c r="B1829" t="str">
        <f>IF($J1829="","",SUMIFS('Weekly Log'!$C:$C,'Weekly Log'!$A:$A,"&gt;="&amp;$J1829,'Weekly Log'!$A:$A,"&lt;"&amp;$J1829+7))</f>
        <v/>
      </c>
      <c r="C1829" t="str">
        <f>IF($J1829="","",IFERROR(COUNTIFS('Weekly Log'!$G:$G,"Y",'Weekly Log'!$A:$A,"&gt;="&amp;$J1829,'Weekly Log'!$A:$A,"&lt;"&amp;$J1829+7)/COUNTIFS('Weekly Log'!$G:$G,"&lt;&gt;",'Weekly Log'!$A:$A,"&gt;="&amp;$J1829,'Weekly Log'!$A:$A,"&lt;"&amp;$J1829+7),0))</f>
        <v/>
      </c>
      <c r="D1829" t="str">
        <f>IF($J1829="","",IFERROR(COUNTIFS('Weekly Log'!$H:$H,"Y",'Weekly Log'!$A:$A,"&gt;="&amp;$J1829,'Weekly Log'!$A:$A,"&lt;"&amp;$J1829+7)/COUNTIFS('Weekly Log'!$H:$H,"&lt;&gt;",'Weekly Log'!$A:$A,"&gt;="&amp;$J1829,'Weekly Log'!$A:$A,"&lt;"&amp;$J1829+7),0))</f>
        <v/>
      </c>
      <c r="E1829" t="str">
        <f>IF($J1829="","",IFERROR(AVERAGEIFS('Weekly Log'!$F:$F,'Weekly Log'!$A:$A,"&gt;="&amp;$J1829,'Weekly Log'!$A:$A,"&lt;"&amp;$J1829+7),0))</f>
        <v/>
      </c>
      <c r="F1829" t="str">
        <f>IF($J1829="","",IFERROR(SUMIFS('Weekly Log'!$F:$F,'Weekly Log'!$A:$A,"&gt;="&amp;$J1829,'Weekly Log'!$A:$A,"&lt;"&amp;$J1829+7)/SUMIFS('Weekly Log'!$E:$E,'Weekly Log'!$A:$A,"&gt;="&amp;$J1829,'Weekly Log'!$A:$A,"&lt;"&amp;$J1829+7),0))</f>
        <v/>
      </c>
      <c r="G1829" t="str">
        <f>IF($J1829="","",IFERROR(LOOKUP(2,1/(('Weekly Log'!$A$5:$A$5000&gt;=$J1829)*('Weekly Log'!$A$5:$A$5000&lt;$J1829+7)*('Weekly Log'!$M$5:$M$5000&lt;&gt;"")),'Weekly Log'!$M$5:$M$5000),0))</f>
        <v/>
      </c>
      <c r="J1829" t="str">
        <f>IF(COUNT('Weekly Log'!$A$5:$A$5000)=0,"",IF(MIN('Weekly Log'!$A$5:$A$5000)+7*(ROW()-10)&gt;MAX('Weekly Log'!$A$5:$A$5000),"",MIN('Weekly Log'!$A$5:$A$5000)+7*(ROW()-10)))</f>
        <v/>
      </c>
    </row>
    <row r="1830" spans="1:10" x14ac:dyDescent="0.25">
      <c r="A1830" t="str">
        <f t="shared" si="28"/>
        <v/>
      </c>
      <c r="B1830" t="str">
        <f>IF($J1830="","",SUMIFS('Weekly Log'!$C:$C,'Weekly Log'!$A:$A,"&gt;="&amp;$J1830,'Weekly Log'!$A:$A,"&lt;"&amp;$J1830+7))</f>
        <v/>
      </c>
      <c r="C1830" t="str">
        <f>IF($J1830="","",IFERROR(COUNTIFS('Weekly Log'!$G:$G,"Y",'Weekly Log'!$A:$A,"&gt;="&amp;$J1830,'Weekly Log'!$A:$A,"&lt;"&amp;$J1830+7)/COUNTIFS('Weekly Log'!$G:$G,"&lt;&gt;",'Weekly Log'!$A:$A,"&gt;="&amp;$J1830,'Weekly Log'!$A:$A,"&lt;"&amp;$J1830+7),0))</f>
        <v/>
      </c>
      <c r="D1830" t="str">
        <f>IF($J1830="","",IFERROR(COUNTIFS('Weekly Log'!$H:$H,"Y",'Weekly Log'!$A:$A,"&gt;="&amp;$J1830,'Weekly Log'!$A:$A,"&lt;"&amp;$J1830+7)/COUNTIFS('Weekly Log'!$H:$H,"&lt;&gt;",'Weekly Log'!$A:$A,"&gt;="&amp;$J1830,'Weekly Log'!$A:$A,"&lt;"&amp;$J1830+7),0))</f>
        <v/>
      </c>
      <c r="E1830" t="str">
        <f>IF($J1830="","",IFERROR(AVERAGEIFS('Weekly Log'!$F:$F,'Weekly Log'!$A:$A,"&gt;="&amp;$J1830,'Weekly Log'!$A:$A,"&lt;"&amp;$J1830+7),0))</f>
        <v/>
      </c>
      <c r="F1830" t="str">
        <f>IF($J1830="","",IFERROR(SUMIFS('Weekly Log'!$F:$F,'Weekly Log'!$A:$A,"&gt;="&amp;$J1830,'Weekly Log'!$A:$A,"&lt;"&amp;$J1830+7)/SUMIFS('Weekly Log'!$E:$E,'Weekly Log'!$A:$A,"&gt;="&amp;$J1830,'Weekly Log'!$A:$A,"&lt;"&amp;$J1830+7),0))</f>
        <v/>
      </c>
      <c r="G1830" t="str">
        <f>IF($J1830="","",IFERROR(LOOKUP(2,1/(('Weekly Log'!$A$5:$A$5000&gt;=$J1830)*('Weekly Log'!$A$5:$A$5000&lt;$J1830+7)*('Weekly Log'!$M$5:$M$5000&lt;&gt;"")),'Weekly Log'!$M$5:$M$5000),0))</f>
        <v/>
      </c>
      <c r="J1830" t="str">
        <f>IF(COUNT('Weekly Log'!$A$5:$A$5000)=0,"",IF(MIN('Weekly Log'!$A$5:$A$5000)+7*(ROW()-10)&gt;MAX('Weekly Log'!$A$5:$A$5000),"",MIN('Weekly Log'!$A$5:$A$5000)+7*(ROW()-10)))</f>
        <v/>
      </c>
    </row>
    <row r="1831" spans="1:10" x14ac:dyDescent="0.25">
      <c r="A1831" t="str">
        <f t="shared" si="28"/>
        <v/>
      </c>
      <c r="B1831" t="str">
        <f>IF($J1831="","",SUMIFS('Weekly Log'!$C:$C,'Weekly Log'!$A:$A,"&gt;="&amp;$J1831,'Weekly Log'!$A:$A,"&lt;"&amp;$J1831+7))</f>
        <v/>
      </c>
      <c r="C1831" t="str">
        <f>IF($J1831="","",IFERROR(COUNTIFS('Weekly Log'!$G:$G,"Y",'Weekly Log'!$A:$A,"&gt;="&amp;$J1831,'Weekly Log'!$A:$A,"&lt;"&amp;$J1831+7)/COUNTIFS('Weekly Log'!$G:$G,"&lt;&gt;",'Weekly Log'!$A:$A,"&gt;="&amp;$J1831,'Weekly Log'!$A:$A,"&lt;"&amp;$J1831+7),0))</f>
        <v/>
      </c>
      <c r="D1831" t="str">
        <f>IF($J1831="","",IFERROR(COUNTIFS('Weekly Log'!$H:$H,"Y",'Weekly Log'!$A:$A,"&gt;="&amp;$J1831,'Weekly Log'!$A:$A,"&lt;"&amp;$J1831+7)/COUNTIFS('Weekly Log'!$H:$H,"&lt;&gt;",'Weekly Log'!$A:$A,"&gt;="&amp;$J1831,'Weekly Log'!$A:$A,"&lt;"&amp;$J1831+7),0))</f>
        <v/>
      </c>
      <c r="E1831" t="str">
        <f>IF($J1831="","",IFERROR(AVERAGEIFS('Weekly Log'!$F:$F,'Weekly Log'!$A:$A,"&gt;="&amp;$J1831,'Weekly Log'!$A:$A,"&lt;"&amp;$J1831+7),0))</f>
        <v/>
      </c>
      <c r="F1831" t="str">
        <f>IF($J1831="","",IFERROR(SUMIFS('Weekly Log'!$F:$F,'Weekly Log'!$A:$A,"&gt;="&amp;$J1831,'Weekly Log'!$A:$A,"&lt;"&amp;$J1831+7)/SUMIFS('Weekly Log'!$E:$E,'Weekly Log'!$A:$A,"&gt;="&amp;$J1831,'Weekly Log'!$A:$A,"&lt;"&amp;$J1831+7),0))</f>
        <v/>
      </c>
      <c r="G1831" t="str">
        <f>IF($J1831="","",IFERROR(LOOKUP(2,1/(('Weekly Log'!$A$5:$A$5000&gt;=$J1831)*('Weekly Log'!$A$5:$A$5000&lt;$J1831+7)*('Weekly Log'!$M$5:$M$5000&lt;&gt;"")),'Weekly Log'!$M$5:$M$5000),0))</f>
        <v/>
      </c>
      <c r="J1831" t="str">
        <f>IF(COUNT('Weekly Log'!$A$5:$A$5000)=0,"",IF(MIN('Weekly Log'!$A$5:$A$5000)+7*(ROW()-10)&gt;MAX('Weekly Log'!$A$5:$A$5000),"",MIN('Weekly Log'!$A$5:$A$5000)+7*(ROW()-10)))</f>
        <v/>
      </c>
    </row>
    <row r="1832" spans="1:10" x14ac:dyDescent="0.25">
      <c r="A1832" t="str">
        <f t="shared" si="28"/>
        <v/>
      </c>
      <c r="B1832" t="str">
        <f>IF($J1832="","",SUMIFS('Weekly Log'!$C:$C,'Weekly Log'!$A:$A,"&gt;="&amp;$J1832,'Weekly Log'!$A:$A,"&lt;"&amp;$J1832+7))</f>
        <v/>
      </c>
      <c r="C1832" t="str">
        <f>IF($J1832="","",IFERROR(COUNTIFS('Weekly Log'!$G:$G,"Y",'Weekly Log'!$A:$A,"&gt;="&amp;$J1832,'Weekly Log'!$A:$A,"&lt;"&amp;$J1832+7)/COUNTIFS('Weekly Log'!$G:$G,"&lt;&gt;",'Weekly Log'!$A:$A,"&gt;="&amp;$J1832,'Weekly Log'!$A:$A,"&lt;"&amp;$J1832+7),0))</f>
        <v/>
      </c>
      <c r="D1832" t="str">
        <f>IF($J1832="","",IFERROR(COUNTIFS('Weekly Log'!$H:$H,"Y",'Weekly Log'!$A:$A,"&gt;="&amp;$J1832,'Weekly Log'!$A:$A,"&lt;"&amp;$J1832+7)/COUNTIFS('Weekly Log'!$H:$H,"&lt;&gt;",'Weekly Log'!$A:$A,"&gt;="&amp;$J1832,'Weekly Log'!$A:$A,"&lt;"&amp;$J1832+7),0))</f>
        <v/>
      </c>
      <c r="E1832" t="str">
        <f>IF($J1832="","",IFERROR(AVERAGEIFS('Weekly Log'!$F:$F,'Weekly Log'!$A:$A,"&gt;="&amp;$J1832,'Weekly Log'!$A:$A,"&lt;"&amp;$J1832+7),0))</f>
        <v/>
      </c>
      <c r="F1832" t="str">
        <f>IF($J1832="","",IFERROR(SUMIFS('Weekly Log'!$F:$F,'Weekly Log'!$A:$A,"&gt;="&amp;$J1832,'Weekly Log'!$A:$A,"&lt;"&amp;$J1832+7)/SUMIFS('Weekly Log'!$E:$E,'Weekly Log'!$A:$A,"&gt;="&amp;$J1832,'Weekly Log'!$A:$A,"&lt;"&amp;$J1832+7),0))</f>
        <v/>
      </c>
      <c r="G1832" t="str">
        <f>IF($J1832="","",IFERROR(LOOKUP(2,1/(('Weekly Log'!$A$5:$A$5000&gt;=$J1832)*('Weekly Log'!$A$5:$A$5000&lt;$J1832+7)*('Weekly Log'!$M$5:$M$5000&lt;&gt;"")),'Weekly Log'!$M$5:$M$5000),0))</f>
        <v/>
      </c>
      <c r="J1832" t="str">
        <f>IF(COUNT('Weekly Log'!$A$5:$A$5000)=0,"",IF(MIN('Weekly Log'!$A$5:$A$5000)+7*(ROW()-10)&gt;MAX('Weekly Log'!$A$5:$A$5000),"",MIN('Weekly Log'!$A$5:$A$5000)+7*(ROW()-10)))</f>
        <v/>
      </c>
    </row>
    <row r="1833" spans="1:10" x14ac:dyDescent="0.25">
      <c r="A1833" t="str">
        <f t="shared" si="28"/>
        <v/>
      </c>
      <c r="B1833" t="str">
        <f>IF($J1833="","",SUMIFS('Weekly Log'!$C:$C,'Weekly Log'!$A:$A,"&gt;="&amp;$J1833,'Weekly Log'!$A:$A,"&lt;"&amp;$J1833+7))</f>
        <v/>
      </c>
      <c r="C1833" t="str">
        <f>IF($J1833="","",IFERROR(COUNTIFS('Weekly Log'!$G:$G,"Y",'Weekly Log'!$A:$A,"&gt;="&amp;$J1833,'Weekly Log'!$A:$A,"&lt;"&amp;$J1833+7)/COUNTIFS('Weekly Log'!$G:$G,"&lt;&gt;",'Weekly Log'!$A:$A,"&gt;="&amp;$J1833,'Weekly Log'!$A:$A,"&lt;"&amp;$J1833+7),0))</f>
        <v/>
      </c>
      <c r="D1833" t="str">
        <f>IF($J1833="","",IFERROR(COUNTIFS('Weekly Log'!$H:$H,"Y",'Weekly Log'!$A:$A,"&gt;="&amp;$J1833,'Weekly Log'!$A:$A,"&lt;"&amp;$J1833+7)/COUNTIFS('Weekly Log'!$H:$H,"&lt;&gt;",'Weekly Log'!$A:$A,"&gt;="&amp;$J1833,'Weekly Log'!$A:$A,"&lt;"&amp;$J1833+7),0))</f>
        <v/>
      </c>
      <c r="E1833" t="str">
        <f>IF($J1833="","",IFERROR(AVERAGEIFS('Weekly Log'!$F:$F,'Weekly Log'!$A:$A,"&gt;="&amp;$J1833,'Weekly Log'!$A:$A,"&lt;"&amp;$J1833+7),0))</f>
        <v/>
      </c>
      <c r="F1833" t="str">
        <f>IF($J1833="","",IFERROR(SUMIFS('Weekly Log'!$F:$F,'Weekly Log'!$A:$A,"&gt;="&amp;$J1833,'Weekly Log'!$A:$A,"&lt;"&amp;$J1833+7)/SUMIFS('Weekly Log'!$E:$E,'Weekly Log'!$A:$A,"&gt;="&amp;$J1833,'Weekly Log'!$A:$A,"&lt;"&amp;$J1833+7),0))</f>
        <v/>
      </c>
      <c r="G1833" t="str">
        <f>IF($J1833="","",IFERROR(LOOKUP(2,1/(('Weekly Log'!$A$5:$A$5000&gt;=$J1833)*('Weekly Log'!$A$5:$A$5000&lt;$J1833+7)*('Weekly Log'!$M$5:$M$5000&lt;&gt;"")),'Weekly Log'!$M$5:$M$5000),0))</f>
        <v/>
      </c>
      <c r="J1833" t="str">
        <f>IF(COUNT('Weekly Log'!$A$5:$A$5000)=0,"",IF(MIN('Weekly Log'!$A$5:$A$5000)+7*(ROW()-10)&gt;MAX('Weekly Log'!$A$5:$A$5000),"",MIN('Weekly Log'!$A$5:$A$5000)+7*(ROW()-10)))</f>
        <v/>
      </c>
    </row>
    <row r="1834" spans="1:10" x14ac:dyDescent="0.25">
      <c r="A1834" t="str">
        <f t="shared" si="28"/>
        <v/>
      </c>
      <c r="B1834" t="str">
        <f>IF($J1834="","",SUMIFS('Weekly Log'!$C:$C,'Weekly Log'!$A:$A,"&gt;="&amp;$J1834,'Weekly Log'!$A:$A,"&lt;"&amp;$J1834+7))</f>
        <v/>
      </c>
      <c r="C1834" t="str">
        <f>IF($J1834="","",IFERROR(COUNTIFS('Weekly Log'!$G:$G,"Y",'Weekly Log'!$A:$A,"&gt;="&amp;$J1834,'Weekly Log'!$A:$A,"&lt;"&amp;$J1834+7)/COUNTIFS('Weekly Log'!$G:$G,"&lt;&gt;",'Weekly Log'!$A:$A,"&gt;="&amp;$J1834,'Weekly Log'!$A:$A,"&lt;"&amp;$J1834+7),0))</f>
        <v/>
      </c>
      <c r="D1834" t="str">
        <f>IF($J1834="","",IFERROR(COUNTIFS('Weekly Log'!$H:$H,"Y",'Weekly Log'!$A:$A,"&gt;="&amp;$J1834,'Weekly Log'!$A:$A,"&lt;"&amp;$J1834+7)/COUNTIFS('Weekly Log'!$H:$H,"&lt;&gt;",'Weekly Log'!$A:$A,"&gt;="&amp;$J1834,'Weekly Log'!$A:$A,"&lt;"&amp;$J1834+7),0))</f>
        <v/>
      </c>
      <c r="E1834" t="str">
        <f>IF($J1834="","",IFERROR(AVERAGEIFS('Weekly Log'!$F:$F,'Weekly Log'!$A:$A,"&gt;="&amp;$J1834,'Weekly Log'!$A:$A,"&lt;"&amp;$J1834+7),0))</f>
        <v/>
      </c>
      <c r="F1834" t="str">
        <f>IF($J1834="","",IFERROR(SUMIFS('Weekly Log'!$F:$F,'Weekly Log'!$A:$A,"&gt;="&amp;$J1834,'Weekly Log'!$A:$A,"&lt;"&amp;$J1834+7)/SUMIFS('Weekly Log'!$E:$E,'Weekly Log'!$A:$A,"&gt;="&amp;$J1834,'Weekly Log'!$A:$A,"&lt;"&amp;$J1834+7),0))</f>
        <v/>
      </c>
      <c r="G1834" t="str">
        <f>IF($J1834="","",IFERROR(LOOKUP(2,1/(('Weekly Log'!$A$5:$A$5000&gt;=$J1834)*('Weekly Log'!$A$5:$A$5000&lt;$J1834+7)*('Weekly Log'!$M$5:$M$5000&lt;&gt;"")),'Weekly Log'!$M$5:$M$5000),0))</f>
        <v/>
      </c>
      <c r="J1834" t="str">
        <f>IF(COUNT('Weekly Log'!$A$5:$A$5000)=0,"",IF(MIN('Weekly Log'!$A$5:$A$5000)+7*(ROW()-10)&gt;MAX('Weekly Log'!$A$5:$A$5000),"",MIN('Weekly Log'!$A$5:$A$5000)+7*(ROW()-10)))</f>
        <v/>
      </c>
    </row>
    <row r="1835" spans="1:10" x14ac:dyDescent="0.25">
      <c r="A1835" t="str">
        <f t="shared" si="28"/>
        <v/>
      </c>
      <c r="B1835" t="str">
        <f>IF($J1835="","",SUMIFS('Weekly Log'!$C:$C,'Weekly Log'!$A:$A,"&gt;="&amp;$J1835,'Weekly Log'!$A:$A,"&lt;"&amp;$J1835+7))</f>
        <v/>
      </c>
      <c r="C1835" t="str">
        <f>IF($J1835="","",IFERROR(COUNTIFS('Weekly Log'!$G:$G,"Y",'Weekly Log'!$A:$A,"&gt;="&amp;$J1835,'Weekly Log'!$A:$A,"&lt;"&amp;$J1835+7)/COUNTIFS('Weekly Log'!$G:$G,"&lt;&gt;",'Weekly Log'!$A:$A,"&gt;="&amp;$J1835,'Weekly Log'!$A:$A,"&lt;"&amp;$J1835+7),0))</f>
        <v/>
      </c>
      <c r="D1835" t="str">
        <f>IF($J1835="","",IFERROR(COUNTIFS('Weekly Log'!$H:$H,"Y",'Weekly Log'!$A:$A,"&gt;="&amp;$J1835,'Weekly Log'!$A:$A,"&lt;"&amp;$J1835+7)/COUNTIFS('Weekly Log'!$H:$H,"&lt;&gt;",'Weekly Log'!$A:$A,"&gt;="&amp;$J1835,'Weekly Log'!$A:$A,"&lt;"&amp;$J1835+7),0))</f>
        <v/>
      </c>
      <c r="E1835" t="str">
        <f>IF($J1835="","",IFERROR(AVERAGEIFS('Weekly Log'!$F:$F,'Weekly Log'!$A:$A,"&gt;="&amp;$J1835,'Weekly Log'!$A:$A,"&lt;"&amp;$J1835+7),0))</f>
        <v/>
      </c>
      <c r="F1835" t="str">
        <f>IF($J1835="","",IFERROR(SUMIFS('Weekly Log'!$F:$F,'Weekly Log'!$A:$A,"&gt;="&amp;$J1835,'Weekly Log'!$A:$A,"&lt;"&amp;$J1835+7)/SUMIFS('Weekly Log'!$E:$E,'Weekly Log'!$A:$A,"&gt;="&amp;$J1835,'Weekly Log'!$A:$A,"&lt;"&amp;$J1835+7),0))</f>
        <v/>
      </c>
      <c r="G1835" t="str">
        <f>IF($J1835="","",IFERROR(LOOKUP(2,1/(('Weekly Log'!$A$5:$A$5000&gt;=$J1835)*('Weekly Log'!$A$5:$A$5000&lt;$J1835+7)*('Weekly Log'!$M$5:$M$5000&lt;&gt;"")),'Weekly Log'!$M$5:$M$5000),0))</f>
        <v/>
      </c>
      <c r="J1835" t="str">
        <f>IF(COUNT('Weekly Log'!$A$5:$A$5000)=0,"",IF(MIN('Weekly Log'!$A$5:$A$5000)+7*(ROW()-10)&gt;MAX('Weekly Log'!$A$5:$A$5000),"",MIN('Weekly Log'!$A$5:$A$5000)+7*(ROW()-10)))</f>
        <v/>
      </c>
    </row>
    <row r="1836" spans="1:10" x14ac:dyDescent="0.25">
      <c r="A1836" t="str">
        <f t="shared" si="28"/>
        <v/>
      </c>
      <c r="B1836" t="str">
        <f>IF($J1836="","",SUMIFS('Weekly Log'!$C:$C,'Weekly Log'!$A:$A,"&gt;="&amp;$J1836,'Weekly Log'!$A:$A,"&lt;"&amp;$J1836+7))</f>
        <v/>
      </c>
      <c r="C1836" t="str">
        <f>IF($J1836="","",IFERROR(COUNTIFS('Weekly Log'!$G:$G,"Y",'Weekly Log'!$A:$A,"&gt;="&amp;$J1836,'Weekly Log'!$A:$A,"&lt;"&amp;$J1836+7)/COUNTIFS('Weekly Log'!$G:$G,"&lt;&gt;",'Weekly Log'!$A:$A,"&gt;="&amp;$J1836,'Weekly Log'!$A:$A,"&lt;"&amp;$J1836+7),0))</f>
        <v/>
      </c>
      <c r="D1836" t="str">
        <f>IF($J1836="","",IFERROR(COUNTIFS('Weekly Log'!$H:$H,"Y",'Weekly Log'!$A:$A,"&gt;="&amp;$J1836,'Weekly Log'!$A:$A,"&lt;"&amp;$J1836+7)/COUNTIFS('Weekly Log'!$H:$H,"&lt;&gt;",'Weekly Log'!$A:$A,"&gt;="&amp;$J1836,'Weekly Log'!$A:$A,"&lt;"&amp;$J1836+7),0))</f>
        <v/>
      </c>
      <c r="E1836" t="str">
        <f>IF($J1836="","",IFERROR(AVERAGEIFS('Weekly Log'!$F:$F,'Weekly Log'!$A:$A,"&gt;="&amp;$J1836,'Weekly Log'!$A:$A,"&lt;"&amp;$J1836+7),0))</f>
        <v/>
      </c>
      <c r="F1836" t="str">
        <f>IF($J1836="","",IFERROR(SUMIFS('Weekly Log'!$F:$F,'Weekly Log'!$A:$A,"&gt;="&amp;$J1836,'Weekly Log'!$A:$A,"&lt;"&amp;$J1836+7)/SUMIFS('Weekly Log'!$E:$E,'Weekly Log'!$A:$A,"&gt;="&amp;$J1836,'Weekly Log'!$A:$A,"&lt;"&amp;$J1836+7),0))</f>
        <v/>
      </c>
      <c r="G1836" t="str">
        <f>IF($J1836="","",IFERROR(LOOKUP(2,1/(('Weekly Log'!$A$5:$A$5000&gt;=$J1836)*('Weekly Log'!$A$5:$A$5000&lt;$J1836+7)*('Weekly Log'!$M$5:$M$5000&lt;&gt;"")),'Weekly Log'!$M$5:$M$5000),0))</f>
        <v/>
      </c>
      <c r="J1836" t="str">
        <f>IF(COUNT('Weekly Log'!$A$5:$A$5000)=0,"",IF(MIN('Weekly Log'!$A$5:$A$5000)+7*(ROW()-10)&gt;MAX('Weekly Log'!$A$5:$A$5000),"",MIN('Weekly Log'!$A$5:$A$5000)+7*(ROW()-10)))</f>
        <v/>
      </c>
    </row>
    <row r="1837" spans="1:10" x14ac:dyDescent="0.25">
      <c r="A1837" t="str">
        <f t="shared" si="28"/>
        <v/>
      </c>
      <c r="B1837" t="str">
        <f>IF($J1837="","",SUMIFS('Weekly Log'!$C:$C,'Weekly Log'!$A:$A,"&gt;="&amp;$J1837,'Weekly Log'!$A:$A,"&lt;"&amp;$J1837+7))</f>
        <v/>
      </c>
      <c r="C1837" t="str">
        <f>IF($J1837="","",IFERROR(COUNTIFS('Weekly Log'!$G:$G,"Y",'Weekly Log'!$A:$A,"&gt;="&amp;$J1837,'Weekly Log'!$A:$A,"&lt;"&amp;$J1837+7)/COUNTIFS('Weekly Log'!$G:$G,"&lt;&gt;",'Weekly Log'!$A:$A,"&gt;="&amp;$J1837,'Weekly Log'!$A:$A,"&lt;"&amp;$J1837+7),0))</f>
        <v/>
      </c>
      <c r="D1837" t="str">
        <f>IF($J1837="","",IFERROR(COUNTIFS('Weekly Log'!$H:$H,"Y",'Weekly Log'!$A:$A,"&gt;="&amp;$J1837,'Weekly Log'!$A:$A,"&lt;"&amp;$J1837+7)/COUNTIFS('Weekly Log'!$H:$H,"&lt;&gt;",'Weekly Log'!$A:$A,"&gt;="&amp;$J1837,'Weekly Log'!$A:$A,"&lt;"&amp;$J1837+7),0))</f>
        <v/>
      </c>
      <c r="E1837" t="str">
        <f>IF($J1837="","",IFERROR(AVERAGEIFS('Weekly Log'!$F:$F,'Weekly Log'!$A:$A,"&gt;="&amp;$J1837,'Weekly Log'!$A:$A,"&lt;"&amp;$J1837+7),0))</f>
        <v/>
      </c>
      <c r="F1837" t="str">
        <f>IF($J1837="","",IFERROR(SUMIFS('Weekly Log'!$F:$F,'Weekly Log'!$A:$A,"&gt;="&amp;$J1837,'Weekly Log'!$A:$A,"&lt;"&amp;$J1837+7)/SUMIFS('Weekly Log'!$E:$E,'Weekly Log'!$A:$A,"&gt;="&amp;$J1837,'Weekly Log'!$A:$A,"&lt;"&amp;$J1837+7),0))</f>
        <v/>
      </c>
      <c r="G1837" t="str">
        <f>IF($J1837="","",IFERROR(LOOKUP(2,1/(('Weekly Log'!$A$5:$A$5000&gt;=$J1837)*('Weekly Log'!$A$5:$A$5000&lt;$J1837+7)*('Weekly Log'!$M$5:$M$5000&lt;&gt;"")),'Weekly Log'!$M$5:$M$5000),0))</f>
        <v/>
      </c>
      <c r="J1837" t="str">
        <f>IF(COUNT('Weekly Log'!$A$5:$A$5000)=0,"",IF(MIN('Weekly Log'!$A$5:$A$5000)+7*(ROW()-10)&gt;MAX('Weekly Log'!$A$5:$A$5000),"",MIN('Weekly Log'!$A$5:$A$5000)+7*(ROW()-10)))</f>
        <v/>
      </c>
    </row>
    <row r="1838" spans="1:10" x14ac:dyDescent="0.25">
      <c r="A1838" t="str">
        <f t="shared" si="28"/>
        <v/>
      </c>
      <c r="B1838" t="str">
        <f>IF($J1838="","",SUMIFS('Weekly Log'!$C:$C,'Weekly Log'!$A:$A,"&gt;="&amp;$J1838,'Weekly Log'!$A:$A,"&lt;"&amp;$J1838+7))</f>
        <v/>
      </c>
      <c r="C1838" t="str">
        <f>IF($J1838="","",IFERROR(COUNTIFS('Weekly Log'!$G:$G,"Y",'Weekly Log'!$A:$A,"&gt;="&amp;$J1838,'Weekly Log'!$A:$A,"&lt;"&amp;$J1838+7)/COUNTIFS('Weekly Log'!$G:$G,"&lt;&gt;",'Weekly Log'!$A:$A,"&gt;="&amp;$J1838,'Weekly Log'!$A:$A,"&lt;"&amp;$J1838+7),0))</f>
        <v/>
      </c>
      <c r="D1838" t="str">
        <f>IF($J1838="","",IFERROR(COUNTIFS('Weekly Log'!$H:$H,"Y",'Weekly Log'!$A:$A,"&gt;="&amp;$J1838,'Weekly Log'!$A:$A,"&lt;"&amp;$J1838+7)/COUNTIFS('Weekly Log'!$H:$H,"&lt;&gt;",'Weekly Log'!$A:$A,"&gt;="&amp;$J1838,'Weekly Log'!$A:$A,"&lt;"&amp;$J1838+7),0))</f>
        <v/>
      </c>
      <c r="E1838" t="str">
        <f>IF($J1838="","",IFERROR(AVERAGEIFS('Weekly Log'!$F:$F,'Weekly Log'!$A:$A,"&gt;="&amp;$J1838,'Weekly Log'!$A:$A,"&lt;"&amp;$J1838+7),0))</f>
        <v/>
      </c>
      <c r="F1838" t="str">
        <f>IF($J1838="","",IFERROR(SUMIFS('Weekly Log'!$F:$F,'Weekly Log'!$A:$A,"&gt;="&amp;$J1838,'Weekly Log'!$A:$A,"&lt;"&amp;$J1838+7)/SUMIFS('Weekly Log'!$E:$E,'Weekly Log'!$A:$A,"&gt;="&amp;$J1838,'Weekly Log'!$A:$A,"&lt;"&amp;$J1838+7),0))</f>
        <v/>
      </c>
      <c r="G1838" t="str">
        <f>IF($J1838="","",IFERROR(LOOKUP(2,1/(('Weekly Log'!$A$5:$A$5000&gt;=$J1838)*('Weekly Log'!$A$5:$A$5000&lt;$J1838+7)*('Weekly Log'!$M$5:$M$5000&lt;&gt;"")),'Weekly Log'!$M$5:$M$5000),0))</f>
        <v/>
      </c>
      <c r="J1838" t="str">
        <f>IF(COUNT('Weekly Log'!$A$5:$A$5000)=0,"",IF(MIN('Weekly Log'!$A$5:$A$5000)+7*(ROW()-10)&gt;MAX('Weekly Log'!$A$5:$A$5000),"",MIN('Weekly Log'!$A$5:$A$5000)+7*(ROW()-10)))</f>
        <v/>
      </c>
    </row>
    <row r="1839" spans="1:10" x14ac:dyDescent="0.25">
      <c r="A1839" t="str">
        <f t="shared" si="28"/>
        <v/>
      </c>
      <c r="B1839" t="str">
        <f>IF($J1839="","",SUMIFS('Weekly Log'!$C:$C,'Weekly Log'!$A:$A,"&gt;="&amp;$J1839,'Weekly Log'!$A:$A,"&lt;"&amp;$J1839+7))</f>
        <v/>
      </c>
      <c r="C1839" t="str">
        <f>IF($J1839="","",IFERROR(COUNTIFS('Weekly Log'!$G:$G,"Y",'Weekly Log'!$A:$A,"&gt;="&amp;$J1839,'Weekly Log'!$A:$A,"&lt;"&amp;$J1839+7)/COUNTIFS('Weekly Log'!$G:$G,"&lt;&gt;",'Weekly Log'!$A:$A,"&gt;="&amp;$J1839,'Weekly Log'!$A:$A,"&lt;"&amp;$J1839+7),0))</f>
        <v/>
      </c>
      <c r="D1839" t="str">
        <f>IF($J1839="","",IFERROR(COUNTIFS('Weekly Log'!$H:$H,"Y",'Weekly Log'!$A:$A,"&gt;="&amp;$J1839,'Weekly Log'!$A:$A,"&lt;"&amp;$J1839+7)/COUNTIFS('Weekly Log'!$H:$H,"&lt;&gt;",'Weekly Log'!$A:$A,"&gt;="&amp;$J1839,'Weekly Log'!$A:$A,"&lt;"&amp;$J1839+7),0))</f>
        <v/>
      </c>
      <c r="E1839" t="str">
        <f>IF($J1839="","",IFERROR(AVERAGEIFS('Weekly Log'!$F:$F,'Weekly Log'!$A:$A,"&gt;="&amp;$J1839,'Weekly Log'!$A:$A,"&lt;"&amp;$J1839+7),0))</f>
        <v/>
      </c>
      <c r="F1839" t="str">
        <f>IF($J1839="","",IFERROR(SUMIFS('Weekly Log'!$F:$F,'Weekly Log'!$A:$A,"&gt;="&amp;$J1839,'Weekly Log'!$A:$A,"&lt;"&amp;$J1839+7)/SUMIFS('Weekly Log'!$E:$E,'Weekly Log'!$A:$A,"&gt;="&amp;$J1839,'Weekly Log'!$A:$A,"&lt;"&amp;$J1839+7),0))</f>
        <v/>
      </c>
      <c r="G1839" t="str">
        <f>IF($J1839="","",IFERROR(LOOKUP(2,1/(('Weekly Log'!$A$5:$A$5000&gt;=$J1839)*('Weekly Log'!$A$5:$A$5000&lt;$J1839+7)*('Weekly Log'!$M$5:$M$5000&lt;&gt;"")),'Weekly Log'!$M$5:$M$5000),0))</f>
        <v/>
      </c>
      <c r="J1839" t="str">
        <f>IF(COUNT('Weekly Log'!$A$5:$A$5000)=0,"",IF(MIN('Weekly Log'!$A$5:$A$5000)+7*(ROW()-10)&gt;MAX('Weekly Log'!$A$5:$A$5000),"",MIN('Weekly Log'!$A$5:$A$5000)+7*(ROW()-10)))</f>
        <v/>
      </c>
    </row>
    <row r="1840" spans="1:10" x14ac:dyDescent="0.25">
      <c r="A1840" t="str">
        <f t="shared" si="28"/>
        <v/>
      </c>
      <c r="B1840" t="str">
        <f>IF($J1840="","",SUMIFS('Weekly Log'!$C:$C,'Weekly Log'!$A:$A,"&gt;="&amp;$J1840,'Weekly Log'!$A:$A,"&lt;"&amp;$J1840+7))</f>
        <v/>
      </c>
      <c r="C1840" t="str">
        <f>IF($J1840="","",IFERROR(COUNTIFS('Weekly Log'!$G:$G,"Y",'Weekly Log'!$A:$A,"&gt;="&amp;$J1840,'Weekly Log'!$A:$A,"&lt;"&amp;$J1840+7)/COUNTIFS('Weekly Log'!$G:$G,"&lt;&gt;",'Weekly Log'!$A:$A,"&gt;="&amp;$J1840,'Weekly Log'!$A:$A,"&lt;"&amp;$J1840+7),0))</f>
        <v/>
      </c>
      <c r="D1840" t="str">
        <f>IF($J1840="","",IFERROR(COUNTIFS('Weekly Log'!$H:$H,"Y",'Weekly Log'!$A:$A,"&gt;="&amp;$J1840,'Weekly Log'!$A:$A,"&lt;"&amp;$J1840+7)/COUNTIFS('Weekly Log'!$H:$H,"&lt;&gt;",'Weekly Log'!$A:$A,"&gt;="&amp;$J1840,'Weekly Log'!$A:$A,"&lt;"&amp;$J1840+7),0))</f>
        <v/>
      </c>
      <c r="E1840" t="str">
        <f>IF($J1840="","",IFERROR(AVERAGEIFS('Weekly Log'!$F:$F,'Weekly Log'!$A:$A,"&gt;="&amp;$J1840,'Weekly Log'!$A:$A,"&lt;"&amp;$J1840+7),0))</f>
        <v/>
      </c>
      <c r="F1840" t="str">
        <f>IF($J1840="","",IFERROR(SUMIFS('Weekly Log'!$F:$F,'Weekly Log'!$A:$A,"&gt;="&amp;$J1840,'Weekly Log'!$A:$A,"&lt;"&amp;$J1840+7)/SUMIFS('Weekly Log'!$E:$E,'Weekly Log'!$A:$A,"&gt;="&amp;$J1840,'Weekly Log'!$A:$A,"&lt;"&amp;$J1840+7),0))</f>
        <v/>
      </c>
      <c r="G1840" t="str">
        <f>IF($J1840="","",IFERROR(LOOKUP(2,1/(('Weekly Log'!$A$5:$A$5000&gt;=$J1840)*('Weekly Log'!$A$5:$A$5000&lt;$J1840+7)*('Weekly Log'!$M$5:$M$5000&lt;&gt;"")),'Weekly Log'!$M$5:$M$5000),0))</f>
        <v/>
      </c>
      <c r="J1840" t="str">
        <f>IF(COUNT('Weekly Log'!$A$5:$A$5000)=0,"",IF(MIN('Weekly Log'!$A$5:$A$5000)+7*(ROW()-10)&gt;MAX('Weekly Log'!$A$5:$A$5000),"",MIN('Weekly Log'!$A$5:$A$5000)+7*(ROW()-10)))</f>
        <v/>
      </c>
    </row>
    <row r="1841" spans="1:10" x14ac:dyDescent="0.25">
      <c r="A1841" t="str">
        <f t="shared" si="28"/>
        <v/>
      </c>
      <c r="B1841" t="str">
        <f>IF($J1841="","",SUMIFS('Weekly Log'!$C:$C,'Weekly Log'!$A:$A,"&gt;="&amp;$J1841,'Weekly Log'!$A:$A,"&lt;"&amp;$J1841+7))</f>
        <v/>
      </c>
      <c r="C1841" t="str">
        <f>IF($J1841="","",IFERROR(COUNTIFS('Weekly Log'!$G:$G,"Y",'Weekly Log'!$A:$A,"&gt;="&amp;$J1841,'Weekly Log'!$A:$A,"&lt;"&amp;$J1841+7)/COUNTIFS('Weekly Log'!$G:$G,"&lt;&gt;",'Weekly Log'!$A:$A,"&gt;="&amp;$J1841,'Weekly Log'!$A:$A,"&lt;"&amp;$J1841+7),0))</f>
        <v/>
      </c>
      <c r="D1841" t="str">
        <f>IF($J1841="","",IFERROR(COUNTIFS('Weekly Log'!$H:$H,"Y",'Weekly Log'!$A:$A,"&gt;="&amp;$J1841,'Weekly Log'!$A:$A,"&lt;"&amp;$J1841+7)/COUNTIFS('Weekly Log'!$H:$H,"&lt;&gt;",'Weekly Log'!$A:$A,"&gt;="&amp;$J1841,'Weekly Log'!$A:$A,"&lt;"&amp;$J1841+7),0))</f>
        <v/>
      </c>
      <c r="E1841" t="str">
        <f>IF($J1841="","",IFERROR(AVERAGEIFS('Weekly Log'!$F:$F,'Weekly Log'!$A:$A,"&gt;="&amp;$J1841,'Weekly Log'!$A:$A,"&lt;"&amp;$J1841+7),0))</f>
        <v/>
      </c>
      <c r="F1841" t="str">
        <f>IF($J1841="","",IFERROR(SUMIFS('Weekly Log'!$F:$F,'Weekly Log'!$A:$A,"&gt;="&amp;$J1841,'Weekly Log'!$A:$A,"&lt;"&amp;$J1841+7)/SUMIFS('Weekly Log'!$E:$E,'Weekly Log'!$A:$A,"&gt;="&amp;$J1841,'Weekly Log'!$A:$A,"&lt;"&amp;$J1841+7),0))</f>
        <v/>
      </c>
      <c r="G1841" t="str">
        <f>IF($J1841="","",IFERROR(LOOKUP(2,1/(('Weekly Log'!$A$5:$A$5000&gt;=$J1841)*('Weekly Log'!$A$5:$A$5000&lt;$J1841+7)*('Weekly Log'!$M$5:$M$5000&lt;&gt;"")),'Weekly Log'!$M$5:$M$5000),0))</f>
        <v/>
      </c>
      <c r="J1841" t="str">
        <f>IF(COUNT('Weekly Log'!$A$5:$A$5000)=0,"",IF(MIN('Weekly Log'!$A$5:$A$5000)+7*(ROW()-10)&gt;MAX('Weekly Log'!$A$5:$A$5000),"",MIN('Weekly Log'!$A$5:$A$5000)+7*(ROW()-10)))</f>
        <v/>
      </c>
    </row>
    <row r="1842" spans="1:10" x14ac:dyDescent="0.25">
      <c r="A1842" t="str">
        <f t="shared" si="28"/>
        <v/>
      </c>
      <c r="B1842" t="str">
        <f>IF($J1842="","",SUMIFS('Weekly Log'!$C:$C,'Weekly Log'!$A:$A,"&gt;="&amp;$J1842,'Weekly Log'!$A:$A,"&lt;"&amp;$J1842+7))</f>
        <v/>
      </c>
      <c r="C1842" t="str">
        <f>IF($J1842="","",IFERROR(COUNTIFS('Weekly Log'!$G:$G,"Y",'Weekly Log'!$A:$A,"&gt;="&amp;$J1842,'Weekly Log'!$A:$A,"&lt;"&amp;$J1842+7)/COUNTIFS('Weekly Log'!$G:$G,"&lt;&gt;",'Weekly Log'!$A:$A,"&gt;="&amp;$J1842,'Weekly Log'!$A:$A,"&lt;"&amp;$J1842+7),0))</f>
        <v/>
      </c>
      <c r="D1842" t="str">
        <f>IF($J1842="","",IFERROR(COUNTIFS('Weekly Log'!$H:$H,"Y",'Weekly Log'!$A:$A,"&gt;="&amp;$J1842,'Weekly Log'!$A:$A,"&lt;"&amp;$J1842+7)/COUNTIFS('Weekly Log'!$H:$H,"&lt;&gt;",'Weekly Log'!$A:$A,"&gt;="&amp;$J1842,'Weekly Log'!$A:$A,"&lt;"&amp;$J1842+7),0))</f>
        <v/>
      </c>
      <c r="E1842" t="str">
        <f>IF($J1842="","",IFERROR(AVERAGEIFS('Weekly Log'!$F:$F,'Weekly Log'!$A:$A,"&gt;="&amp;$J1842,'Weekly Log'!$A:$A,"&lt;"&amp;$J1842+7),0))</f>
        <v/>
      </c>
      <c r="F1842" t="str">
        <f>IF($J1842="","",IFERROR(SUMIFS('Weekly Log'!$F:$F,'Weekly Log'!$A:$A,"&gt;="&amp;$J1842,'Weekly Log'!$A:$A,"&lt;"&amp;$J1842+7)/SUMIFS('Weekly Log'!$E:$E,'Weekly Log'!$A:$A,"&gt;="&amp;$J1842,'Weekly Log'!$A:$A,"&lt;"&amp;$J1842+7),0))</f>
        <v/>
      </c>
      <c r="G1842" t="str">
        <f>IF($J1842="","",IFERROR(LOOKUP(2,1/(('Weekly Log'!$A$5:$A$5000&gt;=$J1842)*('Weekly Log'!$A$5:$A$5000&lt;$J1842+7)*('Weekly Log'!$M$5:$M$5000&lt;&gt;"")),'Weekly Log'!$M$5:$M$5000),0))</f>
        <v/>
      </c>
      <c r="J1842" t="str">
        <f>IF(COUNT('Weekly Log'!$A$5:$A$5000)=0,"",IF(MIN('Weekly Log'!$A$5:$A$5000)+7*(ROW()-10)&gt;MAX('Weekly Log'!$A$5:$A$5000),"",MIN('Weekly Log'!$A$5:$A$5000)+7*(ROW()-10)))</f>
        <v/>
      </c>
    </row>
    <row r="1843" spans="1:10" x14ac:dyDescent="0.25">
      <c r="A1843" t="str">
        <f t="shared" si="28"/>
        <v/>
      </c>
      <c r="B1843" t="str">
        <f>IF($J1843="","",SUMIFS('Weekly Log'!$C:$C,'Weekly Log'!$A:$A,"&gt;="&amp;$J1843,'Weekly Log'!$A:$A,"&lt;"&amp;$J1843+7))</f>
        <v/>
      </c>
      <c r="C1843" t="str">
        <f>IF($J1843="","",IFERROR(COUNTIFS('Weekly Log'!$G:$G,"Y",'Weekly Log'!$A:$A,"&gt;="&amp;$J1843,'Weekly Log'!$A:$A,"&lt;"&amp;$J1843+7)/COUNTIFS('Weekly Log'!$G:$G,"&lt;&gt;",'Weekly Log'!$A:$A,"&gt;="&amp;$J1843,'Weekly Log'!$A:$A,"&lt;"&amp;$J1843+7),0))</f>
        <v/>
      </c>
      <c r="D1843" t="str">
        <f>IF($J1843="","",IFERROR(COUNTIFS('Weekly Log'!$H:$H,"Y",'Weekly Log'!$A:$A,"&gt;="&amp;$J1843,'Weekly Log'!$A:$A,"&lt;"&amp;$J1843+7)/COUNTIFS('Weekly Log'!$H:$H,"&lt;&gt;",'Weekly Log'!$A:$A,"&gt;="&amp;$J1843,'Weekly Log'!$A:$A,"&lt;"&amp;$J1843+7),0))</f>
        <v/>
      </c>
      <c r="E1843" t="str">
        <f>IF($J1843="","",IFERROR(AVERAGEIFS('Weekly Log'!$F:$F,'Weekly Log'!$A:$A,"&gt;="&amp;$J1843,'Weekly Log'!$A:$A,"&lt;"&amp;$J1843+7),0))</f>
        <v/>
      </c>
      <c r="F1843" t="str">
        <f>IF($J1843="","",IFERROR(SUMIFS('Weekly Log'!$F:$F,'Weekly Log'!$A:$A,"&gt;="&amp;$J1843,'Weekly Log'!$A:$A,"&lt;"&amp;$J1843+7)/SUMIFS('Weekly Log'!$E:$E,'Weekly Log'!$A:$A,"&gt;="&amp;$J1843,'Weekly Log'!$A:$A,"&lt;"&amp;$J1843+7),0))</f>
        <v/>
      </c>
      <c r="G1843" t="str">
        <f>IF($J1843="","",IFERROR(LOOKUP(2,1/(('Weekly Log'!$A$5:$A$5000&gt;=$J1843)*('Weekly Log'!$A$5:$A$5000&lt;$J1843+7)*('Weekly Log'!$M$5:$M$5000&lt;&gt;"")),'Weekly Log'!$M$5:$M$5000),0))</f>
        <v/>
      </c>
      <c r="J1843" t="str">
        <f>IF(COUNT('Weekly Log'!$A$5:$A$5000)=0,"",IF(MIN('Weekly Log'!$A$5:$A$5000)+7*(ROW()-10)&gt;MAX('Weekly Log'!$A$5:$A$5000),"",MIN('Weekly Log'!$A$5:$A$5000)+7*(ROW()-10)))</f>
        <v/>
      </c>
    </row>
    <row r="1844" spans="1:10" x14ac:dyDescent="0.25">
      <c r="A1844" t="str">
        <f t="shared" si="28"/>
        <v/>
      </c>
      <c r="B1844" t="str">
        <f>IF($J1844="","",SUMIFS('Weekly Log'!$C:$C,'Weekly Log'!$A:$A,"&gt;="&amp;$J1844,'Weekly Log'!$A:$A,"&lt;"&amp;$J1844+7))</f>
        <v/>
      </c>
      <c r="C1844" t="str">
        <f>IF($J1844="","",IFERROR(COUNTIFS('Weekly Log'!$G:$G,"Y",'Weekly Log'!$A:$A,"&gt;="&amp;$J1844,'Weekly Log'!$A:$A,"&lt;"&amp;$J1844+7)/COUNTIFS('Weekly Log'!$G:$G,"&lt;&gt;",'Weekly Log'!$A:$A,"&gt;="&amp;$J1844,'Weekly Log'!$A:$A,"&lt;"&amp;$J1844+7),0))</f>
        <v/>
      </c>
      <c r="D1844" t="str">
        <f>IF($J1844="","",IFERROR(COUNTIFS('Weekly Log'!$H:$H,"Y",'Weekly Log'!$A:$A,"&gt;="&amp;$J1844,'Weekly Log'!$A:$A,"&lt;"&amp;$J1844+7)/COUNTIFS('Weekly Log'!$H:$H,"&lt;&gt;",'Weekly Log'!$A:$A,"&gt;="&amp;$J1844,'Weekly Log'!$A:$A,"&lt;"&amp;$J1844+7),0))</f>
        <v/>
      </c>
      <c r="E1844" t="str">
        <f>IF($J1844="","",IFERROR(AVERAGEIFS('Weekly Log'!$F:$F,'Weekly Log'!$A:$A,"&gt;="&amp;$J1844,'Weekly Log'!$A:$A,"&lt;"&amp;$J1844+7),0))</f>
        <v/>
      </c>
      <c r="F1844" t="str">
        <f>IF($J1844="","",IFERROR(SUMIFS('Weekly Log'!$F:$F,'Weekly Log'!$A:$A,"&gt;="&amp;$J1844,'Weekly Log'!$A:$A,"&lt;"&amp;$J1844+7)/SUMIFS('Weekly Log'!$E:$E,'Weekly Log'!$A:$A,"&gt;="&amp;$J1844,'Weekly Log'!$A:$A,"&lt;"&amp;$J1844+7),0))</f>
        <v/>
      </c>
      <c r="G1844" t="str">
        <f>IF($J1844="","",IFERROR(LOOKUP(2,1/(('Weekly Log'!$A$5:$A$5000&gt;=$J1844)*('Weekly Log'!$A$5:$A$5000&lt;$J1844+7)*('Weekly Log'!$M$5:$M$5000&lt;&gt;"")),'Weekly Log'!$M$5:$M$5000),0))</f>
        <v/>
      </c>
      <c r="J1844" t="str">
        <f>IF(COUNT('Weekly Log'!$A$5:$A$5000)=0,"",IF(MIN('Weekly Log'!$A$5:$A$5000)+7*(ROW()-10)&gt;MAX('Weekly Log'!$A$5:$A$5000),"",MIN('Weekly Log'!$A$5:$A$5000)+7*(ROW()-10)))</f>
        <v/>
      </c>
    </row>
    <row r="1845" spans="1:10" x14ac:dyDescent="0.25">
      <c r="A1845" t="str">
        <f t="shared" si="28"/>
        <v/>
      </c>
      <c r="B1845" t="str">
        <f>IF($J1845="","",SUMIFS('Weekly Log'!$C:$C,'Weekly Log'!$A:$A,"&gt;="&amp;$J1845,'Weekly Log'!$A:$A,"&lt;"&amp;$J1845+7))</f>
        <v/>
      </c>
      <c r="C1845" t="str">
        <f>IF($J1845="","",IFERROR(COUNTIFS('Weekly Log'!$G:$G,"Y",'Weekly Log'!$A:$A,"&gt;="&amp;$J1845,'Weekly Log'!$A:$A,"&lt;"&amp;$J1845+7)/COUNTIFS('Weekly Log'!$G:$G,"&lt;&gt;",'Weekly Log'!$A:$A,"&gt;="&amp;$J1845,'Weekly Log'!$A:$A,"&lt;"&amp;$J1845+7),0))</f>
        <v/>
      </c>
      <c r="D1845" t="str">
        <f>IF($J1845="","",IFERROR(COUNTIFS('Weekly Log'!$H:$H,"Y",'Weekly Log'!$A:$A,"&gt;="&amp;$J1845,'Weekly Log'!$A:$A,"&lt;"&amp;$J1845+7)/COUNTIFS('Weekly Log'!$H:$H,"&lt;&gt;",'Weekly Log'!$A:$A,"&gt;="&amp;$J1845,'Weekly Log'!$A:$A,"&lt;"&amp;$J1845+7),0))</f>
        <v/>
      </c>
      <c r="E1845" t="str">
        <f>IF($J1845="","",IFERROR(AVERAGEIFS('Weekly Log'!$F:$F,'Weekly Log'!$A:$A,"&gt;="&amp;$J1845,'Weekly Log'!$A:$A,"&lt;"&amp;$J1845+7),0))</f>
        <v/>
      </c>
      <c r="F1845" t="str">
        <f>IF($J1845="","",IFERROR(SUMIFS('Weekly Log'!$F:$F,'Weekly Log'!$A:$A,"&gt;="&amp;$J1845,'Weekly Log'!$A:$A,"&lt;"&amp;$J1845+7)/SUMIFS('Weekly Log'!$E:$E,'Weekly Log'!$A:$A,"&gt;="&amp;$J1845,'Weekly Log'!$A:$A,"&lt;"&amp;$J1845+7),0))</f>
        <v/>
      </c>
      <c r="G1845" t="str">
        <f>IF($J1845="","",IFERROR(LOOKUP(2,1/(('Weekly Log'!$A$5:$A$5000&gt;=$J1845)*('Weekly Log'!$A$5:$A$5000&lt;$J1845+7)*('Weekly Log'!$M$5:$M$5000&lt;&gt;"")),'Weekly Log'!$M$5:$M$5000),0))</f>
        <v/>
      </c>
      <c r="J1845" t="str">
        <f>IF(COUNT('Weekly Log'!$A$5:$A$5000)=0,"",IF(MIN('Weekly Log'!$A$5:$A$5000)+7*(ROW()-10)&gt;MAX('Weekly Log'!$A$5:$A$5000),"",MIN('Weekly Log'!$A$5:$A$5000)+7*(ROW()-10)))</f>
        <v/>
      </c>
    </row>
    <row r="1846" spans="1:10" x14ac:dyDescent="0.25">
      <c r="A1846" t="str">
        <f t="shared" si="28"/>
        <v/>
      </c>
      <c r="B1846" t="str">
        <f>IF($J1846="","",SUMIFS('Weekly Log'!$C:$C,'Weekly Log'!$A:$A,"&gt;="&amp;$J1846,'Weekly Log'!$A:$A,"&lt;"&amp;$J1846+7))</f>
        <v/>
      </c>
      <c r="C1846" t="str">
        <f>IF($J1846="","",IFERROR(COUNTIFS('Weekly Log'!$G:$G,"Y",'Weekly Log'!$A:$A,"&gt;="&amp;$J1846,'Weekly Log'!$A:$A,"&lt;"&amp;$J1846+7)/COUNTIFS('Weekly Log'!$G:$G,"&lt;&gt;",'Weekly Log'!$A:$A,"&gt;="&amp;$J1846,'Weekly Log'!$A:$A,"&lt;"&amp;$J1846+7),0))</f>
        <v/>
      </c>
      <c r="D1846" t="str">
        <f>IF($J1846="","",IFERROR(COUNTIFS('Weekly Log'!$H:$H,"Y",'Weekly Log'!$A:$A,"&gt;="&amp;$J1846,'Weekly Log'!$A:$A,"&lt;"&amp;$J1846+7)/COUNTIFS('Weekly Log'!$H:$H,"&lt;&gt;",'Weekly Log'!$A:$A,"&gt;="&amp;$J1846,'Weekly Log'!$A:$A,"&lt;"&amp;$J1846+7),0))</f>
        <v/>
      </c>
      <c r="E1846" t="str">
        <f>IF($J1846="","",IFERROR(AVERAGEIFS('Weekly Log'!$F:$F,'Weekly Log'!$A:$A,"&gt;="&amp;$J1846,'Weekly Log'!$A:$A,"&lt;"&amp;$J1846+7),0))</f>
        <v/>
      </c>
      <c r="F1846" t="str">
        <f>IF($J1846="","",IFERROR(SUMIFS('Weekly Log'!$F:$F,'Weekly Log'!$A:$A,"&gt;="&amp;$J1846,'Weekly Log'!$A:$A,"&lt;"&amp;$J1846+7)/SUMIFS('Weekly Log'!$E:$E,'Weekly Log'!$A:$A,"&gt;="&amp;$J1846,'Weekly Log'!$A:$A,"&lt;"&amp;$J1846+7),0))</f>
        <v/>
      </c>
      <c r="G1846" t="str">
        <f>IF($J1846="","",IFERROR(LOOKUP(2,1/(('Weekly Log'!$A$5:$A$5000&gt;=$J1846)*('Weekly Log'!$A$5:$A$5000&lt;$J1846+7)*('Weekly Log'!$M$5:$M$5000&lt;&gt;"")),'Weekly Log'!$M$5:$M$5000),0))</f>
        <v/>
      </c>
      <c r="J1846" t="str">
        <f>IF(COUNT('Weekly Log'!$A$5:$A$5000)=0,"",IF(MIN('Weekly Log'!$A$5:$A$5000)+7*(ROW()-10)&gt;MAX('Weekly Log'!$A$5:$A$5000),"",MIN('Weekly Log'!$A$5:$A$5000)+7*(ROW()-10)))</f>
        <v/>
      </c>
    </row>
    <row r="1847" spans="1:10" x14ac:dyDescent="0.25">
      <c r="A1847" t="str">
        <f t="shared" si="28"/>
        <v/>
      </c>
      <c r="B1847" t="str">
        <f>IF($J1847="","",SUMIFS('Weekly Log'!$C:$C,'Weekly Log'!$A:$A,"&gt;="&amp;$J1847,'Weekly Log'!$A:$A,"&lt;"&amp;$J1847+7))</f>
        <v/>
      </c>
      <c r="C1847" t="str">
        <f>IF($J1847="","",IFERROR(COUNTIFS('Weekly Log'!$G:$G,"Y",'Weekly Log'!$A:$A,"&gt;="&amp;$J1847,'Weekly Log'!$A:$A,"&lt;"&amp;$J1847+7)/COUNTIFS('Weekly Log'!$G:$G,"&lt;&gt;",'Weekly Log'!$A:$A,"&gt;="&amp;$J1847,'Weekly Log'!$A:$A,"&lt;"&amp;$J1847+7),0))</f>
        <v/>
      </c>
      <c r="D1847" t="str">
        <f>IF($J1847="","",IFERROR(COUNTIFS('Weekly Log'!$H:$H,"Y",'Weekly Log'!$A:$A,"&gt;="&amp;$J1847,'Weekly Log'!$A:$A,"&lt;"&amp;$J1847+7)/COUNTIFS('Weekly Log'!$H:$H,"&lt;&gt;",'Weekly Log'!$A:$A,"&gt;="&amp;$J1847,'Weekly Log'!$A:$A,"&lt;"&amp;$J1847+7),0))</f>
        <v/>
      </c>
      <c r="E1847" t="str">
        <f>IF($J1847="","",IFERROR(AVERAGEIFS('Weekly Log'!$F:$F,'Weekly Log'!$A:$A,"&gt;="&amp;$J1847,'Weekly Log'!$A:$A,"&lt;"&amp;$J1847+7),0))</f>
        <v/>
      </c>
      <c r="F1847" t="str">
        <f>IF($J1847="","",IFERROR(SUMIFS('Weekly Log'!$F:$F,'Weekly Log'!$A:$A,"&gt;="&amp;$J1847,'Weekly Log'!$A:$A,"&lt;"&amp;$J1847+7)/SUMIFS('Weekly Log'!$E:$E,'Weekly Log'!$A:$A,"&gt;="&amp;$J1847,'Weekly Log'!$A:$A,"&lt;"&amp;$J1847+7),0))</f>
        <v/>
      </c>
      <c r="G1847" t="str">
        <f>IF($J1847="","",IFERROR(LOOKUP(2,1/(('Weekly Log'!$A$5:$A$5000&gt;=$J1847)*('Weekly Log'!$A$5:$A$5000&lt;$J1847+7)*('Weekly Log'!$M$5:$M$5000&lt;&gt;"")),'Weekly Log'!$M$5:$M$5000),0))</f>
        <v/>
      </c>
      <c r="J1847" t="str">
        <f>IF(COUNT('Weekly Log'!$A$5:$A$5000)=0,"",IF(MIN('Weekly Log'!$A$5:$A$5000)+7*(ROW()-10)&gt;MAX('Weekly Log'!$A$5:$A$5000),"",MIN('Weekly Log'!$A$5:$A$5000)+7*(ROW()-10)))</f>
        <v/>
      </c>
    </row>
    <row r="1848" spans="1:10" x14ac:dyDescent="0.25">
      <c r="A1848" t="str">
        <f t="shared" si="28"/>
        <v/>
      </c>
      <c r="B1848" t="str">
        <f>IF($J1848="","",SUMIFS('Weekly Log'!$C:$C,'Weekly Log'!$A:$A,"&gt;="&amp;$J1848,'Weekly Log'!$A:$A,"&lt;"&amp;$J1848+7))</f>
        <v/>
      </c>
      <c r="C1848" t="str">
        <f>IF($J1848="","",IFERROR(COUNTIFS('Weekly Log'!$G:$G,"Y",'Weekly Log'!$A:$A,"&gt;="&amp;$J1848,'Weekly Log'!$A:$A,"&lt;"&amp;$J1848+7)/COUNTIFS('Weekly Log'!$G:$G,"&lt;&gt;",'Weekly Log'!$A:$A,"&gt;="&amp;$J1848,'Weekly Log'!$A:$A,"&lt;"&amp;$J1848+7),0))</f>
        <v/>
      </c>
      <c r="D1848" t="str">
        <f>IF($J1848="","",IFERROR(COUNTIFS('Weekly Log'!$H:$H,"Y",'Weekly Log'!$A:$A,"&gt;="&amp;$J1848,'Weekly Log'!$A:$A,"&lt;"&amp;$J1848+7)/COUNTIFS('Weekly Log'!$H:$H,"&lt;&gt;",'Weekly Log'!$A:$A,"&gt;="&amp;$J1848,'Weekly Log'!$A:$A,"&lt;"&amp;$J1848+7),0))</f>
        <v/>
      </c>
      <c r="E1848" t="str">
        <f>IF($J1848="","",IFERROR(AVERAGEIFS('Weekly Log'!$F:$F,'Weekly Log'!$A:$A,"&gt;="&amp;$J1848,'Weekly Log'!$A:$A,"&lt;"&amp;$J1848+7),0))</f>
        <v/>
      </c>
      <c r="F1848" t="str">
        <f>IF($J1848="","",IFERROR(SUMIFS('Weekly Log'!$F:$F,'Weekly Log'!$A:$A,"&gt;="&amp;$J1848,'Weekly Log'!$A:$A,"&lt;"&amp;$J1848+7)/SUMIFS('Weekly Log'!$E:$E,'Weekly Log'!$A:$A,"&gt;="&amp;$J1848,'Weekly Log'!$A:$A,"&lt;"&amp;$J1848+7),0))</f>
        <v/>
      </c>
      <c r="G1848" t="str">
        <f>IF($J1848="","",IFERROR(LOOKUP(2,1/(('Weekly Log'!$A$5:$A$5000&gt;=$J1848)*('Weekly Log'!$A$5:$A$5000&lt;$J1848+7)*('Weekly Log'!$M$5:$M$5000&lt;&gt;"")),'Weekly Log'!$M$5:$M$5000),0))</f>
        <v/>
      </c>
      <c r="J1848" t="str">
        <f>IF(COUNT('Weekly Log'!$A$5:$A$5000)=0,"",IF(MIN('Weekly Log'!$A$5:$A$5000)+7*(ROW()-10)&gt;MAX('Weekly Log'!$A$5:$A$5000),"",MIN('Weekly Log'!$A$5:$A$5000)+7*(ROW()-10)))</f>
        <v/>
      </c>
    </row>
    <row r="1849" spans="1:10" x14ac:dyDescent="0.25">
      <c r="A1849" t="str">
        <f t="shared" si="28"/>
        <v/>
      </c>
      <c r="B1849" t="str">
        <f>IF($J1849="","",SUMIFS('Weekly Log'!$C:$C,'Weekly Log'!$A:$A,"&gt;="&amp;$J1849,'Weekly Log'!$A:$A,"&lt;"&amp;$J1849+7))</f>
        <v/>
      </c>
      <c r="C1849" t="str">
        <f>IF($J1849="","",IFERROR(COUNTIFS('Weekly Log'!$G:$G,"Y",'Weekly Log'!$A:$A,"&gt;="&amp;$J1849,'Weekly Log'!$A:$A,"&lt;"&amp;$J1849+7)/COUNTIFS('Weekly Log'!$G:$G,"&lt;&gt;",'Weekly Log'!$A:$A,"&gt;="&amp;$J1849,'Weekly Log'!$A:$A,"&lt;"&amp;$J1849+7),0))</f>
        <v/>
      </c>
      <c r="D1849" t="str">
        <f>IF($J1849="","",IFERROR(COUNTIFS('Weekly Log'!$H:$H,"Y",'Weekly Log'!$A:$A,"&gt;="&amp;$J1849,'Weekly Log'!$A:$A,"&lt;"&amp;$J1849+7)/COUNTIFS('Weekly Log'!$H:$H,"&lt;&gt;",'Weekly Log'!$A:$A,"&gt;="&amp;$J1849,'Weekly Log'!$A:$A,"&lt;"&amp;$J1849+7),0))</f>
        <v/>
      </c>
      <c r="E1849" t="str">
        <f>IF($J1849="","",IFERROR(AVERAGEIFS('Weekly Log'!$F:$F,'Weekly Log'!$A:$A,"&gt;="&amp;$J1849,'Weekly Log'!$A:$A,"&lt;"&amp;$J1849+7),0))</f>
        <v/>
      </c>
      <c r="F1849" t="str">
        <f>IF($J1849="","",IFERROR(SUMIFS('Weekly Log'!$F:$F,'Weekly Log'!$A:$A,"&gt;="&amp;$J1849,'Weekly Log'!$A:$A,"&lt;"&amp;$J1849+7)/SUMIFS('Weekly Log'!$E:$E,'Weekly Log'!$A:$A,"&gt;="&amp;$J1849,'Weekly Log'!$A:$A,"&lt;"&amp;$J1849+7),0))</f>
        <v/>
      </c>
      <c r="G1849" t="str">
        <f>IF($J1849="","",IFERROR(LOOKUP(2,1/(('Weekly Log'!$A$5:$A$5000&gt;=$J1849)*('Weekly Log'!$A$5:$A$5000&lt;$J1849+7)*('Weekly Log'!$M$5:$M$5000&lt;&gt;"")),'Weekly Log'!$M$5:$M$5000),0))</f>
        <v/>
      </c>
      <c r="J1849" t="str">
        <f>IF(COUNT('Weekly Log'!$A$5:$A$5000)=0,"",IF(MIN('Weekly Log'!$A$5:$A$5000)+7*(ROW()-10)&gt;MAX('Weekly Log'!$A$5:$A$5000),"",MIN('Weekly Log'!$A$5:$A$5000)+7*(ROW()-10)))</f>
        <v/>
      </c>
    </row>
    <row r="1850" spans="1:10" x14ac:dyDescent="0.25">
      <c r="A1850" t="str">
        <f t="shared" si="28"/>
        <v/>
      </c>
      <c r="B1850" t="str">
        <f>IF($J1850="","",SUMIFS('Weekly Log'!$C:$C,'Weekly Log'!$A:$A,"&gt;="&amp;$J1850,'Weekly Log'!$A:$A,"&lt;"&amp;$J1850+7))</f>
        <v/>
      </c>
      <c r="C1850" t="str">
        <f>IF($J1850="","",IFERROR(COUNTIFS('Weekly Log'!$G:$G,"Y",'Weekly Log'!$A:$A,"&gt;="&amp;$J1850,'Weekly Log'!$A:$A,"&lt;"&amp;$J1850+7)/COUNTIFS('Weekly Log'!$G:$G,"&lt;&gt;",'Weekly Log'!$A:$A,"&gt;="&amp;$J1850,'Weekly Log'!$A:$A,"&lt;"&amp;$J1850+7),0))</f>
        <v/>
      </c>
      <c r="D1850" t="str">
        <f>IF($J1850="","",IFERROR(COUNTIFS('Weekly Log'!$H:$H,"Y",'Weekly Log'!$A:$A,"&gt;="&amp;$J1850,'Weekly Log'!$A:$A,"&lt;"&amp;$J1850+7)/COUNTIFS('Weekly Log'!$H:$H,"&lt;&gt;",'Weekly Log'!$A:$A,"&gt;="&amp;$J1850,'Weekly Log'!$A:$A,"&lt;"&amp;$J1850+7),0))</f>
        <v/>
      </c>
      <c r="E1850" t="str">
        <f>IF($J1850="","",IFERROR(AVERAGEIFS('Weekly Log'!$F:$F,'Weekly Log'!$A:$A,"&gt;="&amp;$J1850,'Weekly Log'!$A:$A,"&lt;"&amp;$J1850+7),0))</f>
        <v/>
      </c>
      <c r="F1850" t="str">
        <f>IF($J1850="","",IFERROR(SUMIFS('Weekly Log'!$F:$F,'Weekly Log'!$A:$A,"&gt;="&amp;$J1850,'Weekly Log'!$A:$A,"&lt;"&amp;$J1850+7)/SUMIFS('Weekly Log'!$E:$E,'Weekly Log'!$A:$A,"&gt;="&amp;$J1850,'Weekly Log'!$A:$A,"&lt;"&amp;$J1850+7),0))</f>
        <v/>
      </c>
      <c r="G1850" t="str">
        <f>IF($J1850="","",IFERROR(LOOKUP(2,1/(('Weekly Log'!$A$5:$A$5000&gt;=$J1850)*('Weekly Log'!$A$5:$A$5000&lt;$J1850+7)*('Weekly Log'!$M$5:$M$5000&lt;&gt;"")),'Weekly Log'!$M$5:$M$5000),0))</f>
        <v/>
      </c>
      <c r="J1850" t="str">
        <f>IF(COUNT('Weekly Log'!$A$5:$A$5000)=0,"",IF(MIN('Weekly Log'!$A$5:$A$5000)+7*(ROW()-10)&gt;MAX('Weekly Log'!$A$5:$A$5000),"",MIN('Weekly Log'!$A$5:$A$5000)+7*(ROW()-10)))</f>
        <v/>
      </c>
    </row>
    <row r="1851" spans="1:10" x14ac:dyDescent="0.25">
      <c r="A1851" t="str">
        <f t="shared" si="28"/>
        <v/>
      </c>
      <c r="B1851" t="str">
        <f>IF($J1851="","",SUMIFS('Weekly Log'!$C:$C,'Weekly Log'!$A:$A,"&gt;="&amp;$J1851,'Weekly Log'!$A:$A,"&lt;"&amp;$J1851+7))</f>
        <v/>
      </c>
      <c r="C1851" t="str">
        <f>IF($J1851="","",IFERROR(COUNTIFS('Weekly Log'!$G:$G,"Y",'Weekly Log'!$A:$A,"&gt;="&amp;$J1851,'Weekly Log'!$A:$A,"&lt;"&amp;$J1851+7)/COUNTIFS('Weekly Log'!$G:$G,"&lt;&gt;",'Weekly Log'!$A:$A,"&gt;="&amp;$J1851,'Weekly Log'!$A:$A,"&lt;"&amp;$J1851+7),0))</f>
        <v/>
      </c>
      <c r="D1851" t="str">
        <f>IF($J1851="","",IFERROR(COUNTIFS('Weekly Log'!$H:$H,"Y",'Weekly Log'!$A:$A,"&gt;="&amp;$J1851,'Weekly Log'!$A:$A,"&lt;"&amp;$J1851+7)/COUNTIFS('Weekly Log'!$H:$H,"&lt;&gt;",'Weekly Log'!$A:$A,"&gt;="&amp;$J1851,'Weekly Log'!$A:$A,"&lt;"&amp;$J1851+7),0))</f>
        <v/>
      </c>
      <c r="E1851" t="str">
        <f>IF($J1851="","",IFERROR(AVERAGEIFS('Weekly Log'!$F:$F,'Weekly Log'!$A:$A,"&gt;="&amp;$J1851,'Weekly Log'!$A:$A,"&lt;"&amp;$J1851+7),0))</f>
        <v/>
      </c>
      <c r="F1851" t="str">
        <f>IF($J1851="","",IFERROR(SUMIFS('Weekly Log'!$F:$F,'Weekly Log'!$A:$A,"&gt;="&amp;$J1851,'Weekly Log'!$A:$A,"&lt;"&amp;$J1851+7)/SUMIFS('Weekly Log'!$E:$E,'Weekly Log'!$A:$A,"&gt;="&amp;$J1851,'Weekly Log'!$A:$A,"&lt;"&amp;$J1851+7),0))</f>
        <v/>
      </c>
      <c r="G1851" t="str">
        <f>IF($J1851="","",IFERROR(LOOKUP(2,1/(('Weekly Log'!$A$5:$A$5000&gt;=$J1851)*('Weekly Log'!$A$5:$A$5000&lt;$J1851+7)*('Weekly Log'!$M$5:$M$5000&lt;&gt;"")),'Weekly Log'!$M$5:$M$5000),0))</f>
        <v/>
      </c>
      <c r="J1851" t="str">
        <f>IF(COUNT('Weekly Log'!$A$5:$A$5000)=0,"",IF(MIN('Weekly Log'!$A$5:$A$5000)+7*(ROW()-10)&gt;MAX('Weekly Log'!$A$5:$A$5000),"",MIN('Weekly Log'!$A$5:$A$5000)+7*(ROW()-10)))</f>
        <v/>
      </c>
    </row>
    <row r="1852" spans="1:10" x14ac:dyDescent="0.25">
      <c r="A1852" t="str">
        <f t="shared" si="28"/>
        <v/>
      </c>
      <c r="B1852" t="str">
        <f>IF($J1852="","",SUMIFS('Weekly Log'!$C:$C,'Weekly Log'!$A:$A,"&gt;="&amp;$J1852,'Weekly Log'!$A:$A,"&lt;"&amp;$J1852+7))</f>
        <v/>
      </c>
      <c r="C1852" t="str">
        <f>IF($J1852="","",IFERROR(COUNTIFS('Weekly Log'!$G:$G,"Y",'Weekly Log'!$A:$A,"&gt;="&amp;$J1852,'Weekly Log'!$A:$A,"&lt;"&amp;$J1852+7)/COUNTIFS('Weekly Log'!$G:$G,"&lt;&gt;",'Weekly Log'!$A:$A,"&gt;="&amp;$J1852,'Weekly Log'!$A:$A,"&lt;"&amp;$J1852+7),0))</f>
        <v/>
      </c>
      <c r="D1852" t="str">
        <f>IF($J1852="","",IFERROR(COUNTIFS('Weekly Log'!$H:$H,"Y",'Weekly Log'!$A:$A,"&gt;="&amp;$J1852,'Weekly Log'!$A:$A,"&lt;"&amp;$J1852+7)/COUNTIFS('Weekly Log'!$H:$H,"&lt;&gt;",'Weekly Log'!$A:$A,"&gt;="&amp;$J1852,'Weekly Log'!$A:$A,"&lt;"&amp;$J1852+7),0))</f>
        <v/>
      </c>
      <c r="E1852" t="str">
        <f>IF($J1852="","",IFERROR(AVERAGEIFS('Weekly Log'!$F:$F,'Weekly Log'!$A:$A,"&gt;="&amp;$J1852,'Weekly Log'!$A:$A,"&lt;"&amp;$J1852+7),0))</f>
        <v/>
      </c>
      <c r="F1852" t="str">
        <f>IF($J1852="","",IFERROR(SUMIFS('Weekly Log'!$F:$F,'Weekly Log'!$A:$A,"&gt;="&amp;$J1852,'Weekly Log'!$A:$A,"&lt;"&amp;$J1852+7)/SUMIFS('Weekly Log'!$E:$E,'Weekly Log'!$A:$A,"&gt;="&amp;$J1852,'Weekly Log'!$A:$A,"&lt;"&amp;$J1852+7),0))</f>
        <v/>
      </c>
      <c r="G1852" t="str">
        <f>IF($J1852="","",IFERROR(LOOKUP(2,1/(('Weekly Log'!$A$5:$A$5000&gt;=$J1852)*('Weekly Log'!$A$5:$A$5000&lt;$J1852+7)*('Weekly Log'!$M$5:$M$5000&lt;&gt;"")),'Weekly Log'!$M$5:$M$5000),0))</f>
        <v/>
      </c>
      <c r="J1852" t="str">
        <f>IF(COUNT('Weekly Log'!$A$5:$A$5000)=0,"",IF(MIN('Weekly Log'!$A$5:$A$5000)+7*(ROW()-10)&gt;MAX('Weekly Log'!$A$5:$A$5000),"",MIN('Weekly Log'!$A$5:$A$5000)+7*(ROW()-10)))</f>
        <v/>
      </c>
    </row>
    <row r="1853" spans="1:10" x14ac:dyDescent="0.25">
      <c r="A1853" t="str">
        <f t="shared" si="28"/>
        <v/>
      </c>
      <c r="B1853" t="str">
        <f>IF($J1853="","",SUMIFS('Weekly Log'!$C:$C,'Weekly Log'!$A:$A,"&gt;="&amp;$J1853,'Weekly Log'!$A:$A,"&lt;"&amp;$J1853+7))</f>
        <v/>
      </c>
      <c r="C1853" t="str">
        <f>IF($J1853="","",IFERROR(COUNTIFS('Weekly Log'!$G:$G,"Y",'Weekly Log'!$A:$A,"&gt;="&amp;$J1853,'Weekly Log'!$A:$A,"&lt;"&amp;$J1853+7)/COUNTIFS('Weekly Log'!$G:$G,"&lt;&gt;",'Weekly Log'!$A:$A,"&gt;="&amp;$J1853,'Weekly Log'!$A:$A,"&lt;"&amp;$J1853+7),0))</f>
        <v/>
      </c>
      <c r="D1853" t="str">
        <f>IF($J1853="","",IFERROR(COUNTIFS('Weekly Log'!$H:$H,"Y",'Weekly Log'!$A:$A,"&gt;="&amp;$J1853,'Weekly Log'!$A:$A,"&lt;"&amp;$J1853+7)/COUNTIFS('Weekly Log'!$H:$H,"&lt;&gt;",'Weekly Log'!$A:$A,"&gt;="&amp;$J1853,'Weekly Log'!$A:$A,"&lt;"&amp;$J1853+7),0))</f>
        <v/>
      </c>
      <c r="E1853" t="str">
        <f>IF($J1853="","",IFERROR(AVERAGEIFS('Weekly Log'!$F:$F,'Weekly Log'!$A:$A,"&gt;="&amp;$J1853,'Weekly Log'!$A:$A,"&lt;"&amp;$J1853+7),0))</f>
        <v/>
      </c>
      <c r="F1853" t="str">
        <f>IF($J1853="","",IFERROR(SUMIFS('Weekly Log'!$F:$F,'Weekly Log'!$A:$A,"&gt;="&amp;$J1853,'Weekly Log'!$A:$A,"&lt;"&amp;$J1853+7)/SUMIFS('Weekly Log'!$E:$E,'Weekly Log'!$A:$A,"&gt;="&amp;$J1853,'Weekly Log'!$A:$A,"&lt;"&amp;$J1853+7),0))</f>
        <v/>
      </c>
      <c r="G1853" t="str">
        <f>IF($J1853="","",IFERROR(LOOKUP(2,1/(('Weekly Log'!$A$5:$A$5000&gt;=$J1853)*('Weekly Log'!$A$5:$A$5000&lt;$J1853+7)*('Weekly Log'!$M$5:$M$5000&lt;&gt;"")),'Weekly Log'!$M$5:$M$5000),0))</f>
        <v/>
      </c>
      <c r="J1853" t="str">
        <f>IF(COUNT('Weekly Log'!$A$5:$A$5000)=0,"",IF(MIN('Weekly Log'!$A$5:$A$5000)+7*(ROW()-10)&gt;MAX('Weekly Log'!$A$5:$A$5000),"",MIN('Weekly Log'!$A$5:$A$5000)+7*(ROW()-10)))</f>
        <v/>
      </c>
    </row>
    <row r="1854" spans="1:10" x14ac:dyDescent="0.25">
      <c r="A1854" t="str">
        <f t="shared" si="28"/>
        <v/>
      </c>
      <c r="B1854" t="str">
        <f>IF($J1854="","",SUMIFS('Weekly Log'!$C:$C,'Weekly Log'!$A:$A,"&gt;="&amp;$J1854,'Weekly Log'!$A:$A,"&lt;"&amp;$J1854+7))</f>
        <v/>
      </c>
      <c r="C1854" t="str">
        <f>IF($J1854="","",IFERROR(COUNTIFS('Weekly Log'!$G:$G,"Y",'Weekly Log'!$A:$A,"&gt;="&amp;$J1854,'Weekly Log'!$A:$A,"&lt;"&amp;$J1854+7)/COUNTIFS('Weekly Log'!$G:$G,"&lt;&gt;",'Weekly Log'!$A:$A,"&gt;="&amp;$J1854,'Weekly Log'!$A:$A,"&lt;"&amp;$J1854+7),0))</f>
        <v/>
      </c>
      <c r="D1854" t="str">
        <f>IF($J1854="","",IFERROR(COUNTIFS('Weekly Log'!$H:$H,"Y",'Weekly Log'!$A:$A,"&gt;="&amp;$J1854,'Weekly Log'!$A:$A,"&lt;"&amp;$J1854+7)/COUNTIFS('Weekly Log'!$H:$H,"&lt;&gt;",'Weekly Log'!$A:$A,"&gt;="&amp;$J1854,'Weekly Log'!$A:$A,"&lt;"&amp;$J1854+7),0))</f>
        <v/>
      </c>
      <c r="E1854" t="str">
        <f>IF($J1854="","",IFERROR(AVERAGEIFS('Weekly Log'!$F:$F,'Weekly Log'!$A:$A,"&gt;="&amp;$J1854,'Weekly Log'!$A:$A,"&lt;"&amp;$J1854+7),0))</f>
        <v/>
      </c>
      <c r="F1854" t="str">
        <f>IF($J1854="","",IFERROR(SUMIFS('Weekly Log'!$F:$F,'Weekly Log'!$A:$A,"&gt;="&amp;$J1854,'Weekly Log'!$A:$A,"&lt;"&amp;$J1854+7)/SUMIFS('Weekly Log'!$E:$E,'Weekly Log'!$A:$A,"&gt;="&amp;$J1854,'Weekly Log'!$A:$A,"&lt;"&amp;$J1854+7),0))</f>
        <v/>
      </c>
      <c r="G1854" t="str">
        <f>IF($J1854="","",IFERROR(LOOKUP(2,1/(('Weekly Log'!$A$5:$A$5000&gt;=$J1854)*('Weekly Log'!$A$5:$A$5000&lt;$J1854+7)*('Weekly Log'!$M$5:$M$5000&lt;&gt;"")),'Weekly Log'!$M$5:$M$5000),0))</f>
        <v/>
      </c>
      <c r="J1854" t="str">
        <f>IF(COUNT('Weekly Log'!$A$5:$A$5000)=0,"",IF(MIN('Weekly Log'!$A$5:$A$5000)+7*(ROW()-10)&gt;MAX('Weekly Log'!$A$5:$A$5000),"",MIN('Weekly Log'!$A$5:$A$5000)+7*(ROW()-10)))</f>
        <v/>
      </c>
    </row>
    <row r="1855" spans="1:10" x14ac:dyDescent="0.25">
      <c r="A1855" t="str">
        <f t="shared" si="28"/>
        <v/>
      </c>
      <c r="B1855" t="str">
        <f>IF($J1855="","",SUMIFS('Weekly Log'!$C:$C,'Weekly Log'!$A:$A,"&gt;="&amp;$J1855,'Weekly Log'!$A:$A,"&lt;"&amp;$J1855+7))</f>
        <v/>
      </c>
      <c r="C1855" t="str">
        <f>IF($J1855="","",IFERROR(COUNTIFS('Weekly Log'!$G:$G,"Y",'Weekly Log'!$A:$A,"&gt;="&amp;$J1855,'Weekly Log'!$A:$A,"&lt;"&amp;$J1855+7)/COUNTIFS('Weekly Log'!$G:$G,"&lt;&gt;",'Weekly Log'!$A:$A,"&gt;="&amp;$J1855,'Weekly Log'!$A:$A,"&lt;"&amp;$J1855+7),0))</f>
        <v/>
      </c>
      <c r="D1855" t="str">
        <f>IF($J1855="","",IFERROR(COUNTIFS('Weekly Log'!$H:$H,"Y",'Weekly Log'!$A:$A,"&gt;="&amp;$J1855,'Weekly Log'!$A:$A,"&lt;"&amp;$J1855+7)/COUNTIFS('Weekly Log'!$H:$H,"&lt;&gt;",'Weekly Log'!$A:$A,"&gt;="&amp;$J1855,'Weekly Log'!$A:$A,"&lt;"&amp;$J1855+7),0))</f>
        <v/>
      </c>
      <c r="E1855" t="str">
        <f>IF($J1855="","",IFERROR(AVERAGEIFS('Weekly Log'!$F:$F,'Weekly Log'!$A:$A,"&gt;="&amp;$J1855,'Weekly Log'!$A:$A,"&lt;"&amp;$J1855+7),0))</f>
        <v/>
      </c>
      <c r="F1855" t="str">
        <f>IF($J1855="","",IFERROR(SUMIFS('Weekly Log'!$F:$F,'Weekly Log'!$A:$A,"&gt;="&amp;$J1855,'Weekly Log'!$A:$A,"&lt;"&amp;$J1855+7)/SUMIFS('Weekly Log'!$E:$E,'Weekly Log'!$A:$A,"&gt;="&amp;$J1855,'Weekly Log'!$A:$A,"&lt;"&amp;$J1855+7),0))</f>
        <v/>
      </c>
      <c r="G1855" t="str">
        <f>IF($J1855="","",IFERROR(LOOKUP(2,1/(('Weekly Log'!$A$5:$A$5000&gt;=$J1855)*('Weekly Log'!$A$5:$A$5000&lt;$J1855+7)*('Weekly Log'!$M$5:$M$5000&lt;&gt;"")),'Weekly Log'!$M$5:$M$5000),0))</f>
        <v/>
      </c>
      <c r="J1855" t="str">
        <f>IF(COUNT('Weekly Log'!$A$5:$A$5000)=0,"",IF(MIN('Weekly Log'!$A$5:$A$5000)+7*(ROW()-10)&gt;MAX('Weekly Log'!$A$5:$A$5000),"",MIN('Weekly Log'!$A$5:$A$5000)+7*(ROW()-10)))</f>
        <v/>
      </c>
    </row>
    <row r="1856" spans="1:10" x14ac:dyDescent="0.25">
      <c r="A1856" t="str">
        <f t="shared" si="28"/>
        <v/>
      </c>
      <c r="B1856" t="str">
        <f>IF($J1856="","",SUMIFS('Weekly Log'!$C:$C,'Weekly Log'!$A:$A,"&gt;="&amp;$J1856,'Weekly Log'!$A:$A,"&lt;"&amp;$J1856+7))</f>
        <v/>
      </c>
      <c r="C1856" t="str">
        <f>IF($J1856="","",IFERROR(COUNTIFS('Weekly Log'!$G:$G,"Y",'Weekly Log'!$A:$A,"&gt;="&amp;$J1856,'Weekly Log'!$A:$A,"&lt;"&amp;$J1856+7)/COUNTIFS('Weekly Log'!$G:$G,"&lt;&gt;",'Weekly Log'!$A:$A,"&gt;="&amp;$J1856,'Weekly Log'!$A:$A,"&lt;"&amp;$J1856+7),0))</f>
        <v/>
      </c>
      <c r="D1856" t="str">
        <f>IF($J1856="","",IFERROR(COUNTIFS('Weekly Log'!$H:$H,"Y",'Weekly Log'!$A:$A,"&gt;="&amp;$J1856,'Weekly Log'!$A:$A,"&lt;"&amp;$J1856+7)/COUNTIFS('Weekly Log'!$H:$H,"&lt;&gt;",'Weekly Log'!$A:$A,"&gt;="&amp;$J1856,'Weekly Log'!$A:$A,"&lt;"&amp;$J1856+7),0))</f>
        <v/>
      </c>
      <c r="E1856" t="str">
        <f>IF($J1856="","",IFERROR(AVERAGEIFS('Weekly Log'!$F:$F,'Weekly Log'!$A:$A,"&gt;="&amp;$J1856,'Weekly Log'!$A:$A,"&lt;"&amp;$J1856+7),0))</f>
        <v/>
      </c>
      <c r="F1856" t="str">
        <f>IF($J1856="","",IFERROR(SUMIFS('Weekly Log'!$F:$F,'Weekly Log'!$A:$A,"&gt;="&amp;$J1856,'Weekly Log'!$A:$A,"&lt;"&amp;$J1856+7)/SUMIFS('Weekly Log'!$E:$E,'Weekly Log'!$A:$A,"&gt;="&amp;$J1856,'Weekly Log'!$A:$A,"&lt;"&amp;$J1856+7),0))</f>
        <v/>
      </c>
      <c r="G1856" t="str">
        <f>IF($J1856="","",IFERROR(LOOKUP(2,1/(('Weekly Log'!$A$5:$A$5000&gt;=$J1856)*('Weekly Log'!$A$5:$A$5000&lt;$J1856+7)*('Weekly Log'!$M$5:$M$5000&lt;&gt;"")),'Weekly Log'!$M$5:$M$5000),0))</f>
        <v/>
      </c>
      <c r="J1856" t="str">
        <f>IF(COUNT('Weekly Log'!$A$5:$A$5000)=0,"",IF(MIN('Weekly Log'!$A$5:$A$5000)+7*(ROW()-10)&gt;MAX('Weekly Log'!$A$5:$A$5000),"",MIN('Weekly Log'!$A$5:$A$5000)+7*(ROW()-10)))</f>
        <v/>
      </c>
    </row>
    <row r="1857" spans="1:10" x14ac:dyDescent="0.25">
      <c r="A1857" t="str">
        <f t="shared" si="28"/>
        <v/>
      </c>
      <c r="B1857" t="str">
        <f>IF($J1857="","",SUMIFS('Weekly Log'!$C:$C,'Weekly Log'!$A:$A,"&gt;="&amp;$J1857,'Weekly Log'!$A:$A,"&lt;"&amp;$J1857+7))</f>
        <v/>
      </c>
      <c r="C1857" t="str">
        <f>IF($J1857="","",IFERROR(COUNTIFS('Weekly Log'!$G:$G,"Y",'Weekly Log'!$A:$A,"&gt;="&amp;$J1857,'Weekly Log'!$A:$A,"&lt;"&amp;$J1857+7)/COUNTIFS('Weekly Log'!$G:$G,"&lt;&gt;",'Weekly Log'!$A:$A,"&gt;="&amp;$J1857,'Weekly Log'!$A:$A,"&lt;"&amp;$J1857+7),0))</f>
        <v/>
      </c>
      <c r="D1857" t="str">
        <f>IF($J1857="","",IFERROR(COUNTIFS('Weekly Log'!$H:$H,"Y",'Weekly Log'!$A:$A,"&gt;="&amp;$J1857,'Weekly Log'!$A:$A,"&lt;"&amp;$J1857+7)/COUNTIFS('Weekly Log'!$H:$H,"&lt;&gt;",'Weekly Log'!$A:$A,"&gt;="&amp;$J1857,'Weekly Log'!$A:$A,"&lt;"&amp;$J1857+7),0))</f>
        <v/>
      </c>
      <c r="E1857" t="str">
        <f>IF($J1857="","",IFERROR(AVERAGEIFS('Weekly Log'!$F:$F,'Weekly Log'!$A:$A,"&gt;="&amp;$J1857,'Weekly Log'!$A:$A,"&lt;"&amp;$J1857+7),0))</f>
        <v/>
      </c>
      <c r="F1857" t="str">
        <f>IF($J1857="","",IFERROR(SUMIFS('Weekly Log'!$F:$F,'Weekly Log'!$A:$A,"&gt;="&amp;$J1857,'Weekly Log'!$A:$A,"&lt;"&amp;$J1857+7)/SUMIFS('Weekly Log'!$E:$E,'Weekly Log'!$A:$A,"&gt;="&amp;$J1857,'Weekly Log'!$A:$A,"&lt;"&amp;$J1857+7),0))</f>
        <v/>
      </c>
      <c r="G1857" t="str">
        <f>IF($J1857="","",IFERROR(LOOKUP(2,1/(('Weekly Log'!$A$5:$A$5000&gt;=$J1857)*('Weekly Log'!$A$5:$A$5000&lt;$J1857+7)*('Weekly Log'!$M$5:$M$5000&lt;&gt;"")),'Weekly Log'!$M$5:$M$5000),0))</f>
        <v/>
      </c>
      <c r="J1857" t="str">
        <f>IF(COUNT('Weekly Log'!$A$5:$A$5000)=0,"",IF(MIN('Weekly Log'!$A$5:$A$5000)+7*(ROW()-10)&gt;MAX('Weekly Log'!$A$5:$A$5000),"",MIN('Weekly Log'!$A$5:$A$5000)+7*(ROW()-10)))</f>
        <v/>
      </c>
    </row>
    <row r="1858" spans="1:10" x14ac:dyDescent="0.25">
      <c r="A1858" t="str">
        <f t="shared" si="28"/>
        <v/>
      </c>
      <c r="B1858" t="str">
        <f>IF($J1858="","",SUMIFS('Weekly Log'!$C:$C,'Weekly Log'!$A:$A,"&gt;="&amp;$J1858,'Weekly Log'!$A:$A,"&lt;"&amp;$J1858+7))</f>
        <v/>
      </c>
      <c r="C1858" t="str">
        <f>IF($J1858="","",IFERROR(COUNTIFS('Weekly Log'!$G:$G,"Y",'Weekly Log'!$A:$A,"&gt;="&amp;$J1858,'Weekly Log'!$A:$A,"&lt;"&amp;$J1858+7)/COUNTIFS('Weekly Log'!$G:$G,"&lt;&gt;",'Weekly Log'!$A:$A,"&gt;="&amp;$J1858,'Weekly Log'!$A:$A,"&lt;"&amp;$J1858+7),0))</f>
        <v/>
      </c>
      <c r="D1858" t="str">
        <f>IF($J1858="","",IFERROR(COUNTIFS('Weekly Log'!$H:$H,"Y",'Weekly Log'!$A:$A,"&gt;="&amp;$J1858,'Weekly Log'!$A:$A,"&lt;"&amp;$J1858+7)/COUNTIFS('Weekly Log'!$H:$H,"&lt;&gt;",'Weekly Log'!$A:$A,"&gt;="&amp;$J1858,'Weekly Log'!$A:$A,"&lt;"&amp;$J1858+7),0))</f>
        <v/>
      </c>
      <c r="E1858" t="str">
        <f>IF($J1858="","",IFERROR(AVERAGEIFS('Weekly Log'!$F:$F,'Weekly Log'!$A:$A,"&gt;="&amp;$J1858,'Weekly Log'!$A:$A,"&lt;"&amp;$J1858+7),0))</f>
        <v/>
      </c>
      <c r="F1858" t="str">
        <f>IF($J1858="","",IFERROR(SUMIFS('Weekly Log'!$F:$F,'Weekly Log'!$A:$A,"&gt;="&amp;$J1858,'Weekly Log'!$A:$A,"&lt;"&amp;$J1858+7)/SUMIFS('Weekly Log'!$E:$E,'Weekly Log'!$A:$A,"&gt;="&amp;$J1858,'Weekly Log'!$A:$A,"&lt;"&amp;$J1858+7),0))</f>
        <v/>
      </c>
      <c r="G1858" t="str">
        <f>IF($J1858="","",IFERROR(LOOKUP(2,1/(('Weekly Log'!$A$5:$A$5000&gt;=$J1858)*('Weekly Log'!$A$5:$A$5000&lt;$J1858+7)*('Weekly Log'!$M$5:$M$5000&lt;&gt;"")),'Weekly Log'!$M$5:$M$5000),0))</f>
        <v/>
      </c>
      <c r="J1858" t="str">
        <f>IF(COUNT('Weekly Log'!$A$5:$A$5000)=0,"",IF(MIN('Weekly Log'!$A$5:$A$5000)+7*(ROW()-10)&gt;MAX('Weekly Log'!$A$5:$A$5000),"",MIN('Weekly Log'!$A$5:$A$5000)+7*(ROW()-10)))</f>
        <v/>
      </c>
    </row>
    <row r="1859" spans="1:10" x14ac:dyDescent="0.25">
      <c r="A1859" t="str">
        <f t="shared" si="28"/>
        <v/>
      </c>
      <c r="B1859" t="str">
        <f>IF($J1859="","",SUMIFS('Weekly Log'!$C:$C,'Weekly Log'!$A:$A,"&gt;="&amp;$J1859,'Weekly Log'!$A:$A,"&lt;"&amp;$J1859+7))</f>
        <v/>
      </c>
      <c r="C1859" t="str">
        <f>IF($J1859="","",IFERROR(COUNTIFS('Weekly Log'!$G:$G,"Y",'Weekly Log'!$A:$A,"&gt;="&amp;$J1859,'Weekly Log'!$A:$A,"&lt;"&amp;$J1859+7)/COUNTIFS('Weekly Log'!$G:$G,"&lt;&gt;",'Weekly Log'!$A:$A,"&gt;="&amp;$J1859,'Weekly Log'!$A:$A,"&lt;"&amp;$J1859+7),0))</f>
        <v/>
      </c>
      <c r="D1859" t="str">
        <f>IF($J1859="","",IFERROR(COUNTIFS('Weekly Log'!$H:$H,"Y",'Weekly Log'!$A:$A,"&gt;="&amp;$J1859,'Weekly Log'!$A:$A,"&lt;"&amp;$J1859+7)/COUNTIFS('Weekly Log'!$H:$H,"&lt;&gt;",'Weekly Log'!$A:$A,"&gt;="&amp;$J1859,'Weekly Log'!$A:$A,"&lt;"&amp;$J1859+7),0))</f>
        <v/>
      </c>
      <c r="E1859" t="str">
        <f>IF($J1859="","",IFERROR(AVERAGEIFS('Weekly Log'!$F:$F,'Weekly Log'!$A:$A,"&gt;="&amp;$J1859,'Weekly Log'!$A:$A,"&lt;"&amp;$J1859+7),0))</f>
        <v/>
      </c>
      <c r="F1859" t="str">
        <f>IF($J1859="","",IFERROR(SUMIFS('Weekly Log'!$F:$F,'Weekly Log'!$A:$A,"&gt;="&amp;$J1859,'Weekly Log'!$A:$A,"&lt;"&amp;$J1859+7)/SUMIFS('Weekly Log'!$E:$E,'Weekly Log'!$A:$A,"&gt;="&amp;$J1859,'Weekly Log'!$A:$A,"&lt;"&amp;$J1859+7),0))</f>
        <v/>
      </c>
      <c r="G1859" t="str">
        <f>IF($J1859="","",IFERROR(LOOKUP(2,1/(('Weekly Log'!$A$5:$A$5000&gt;=$J1859)*('Weekly Log'!$A$5:$A$5000&lt;$J1859+7)*('Weekly Log'!$M$5:$M$5000&lt;&gt;"")),'Weekly Log'!$M$5:$M$5000),0))</f>
        <v/>
      </c>
      <c r="J1859" t="str">
        <f>IF(COUNT('Weekly Log'!$A$5:$A$5000)=0,"",IF(MIN('Weekly Log'!$A$5:$A$5000)+7*(ROW()-10)&gt;MAX('Weekly Log'!$A$5:$A$5000),"",MIN('Weekly Log'!$A$5:$A$5000)+7*(ROW()-10)))</f>
        <v/>
      </c>
    </row>
    <row r="1860" spans="1:10" x14ac:dyDescent="0.25">
      <c r="A1860" t="str">
        <f t="shared" si="28"/>
        <v/>
      </c>
      <c r="B1860" t="str">
        <f>IF($J1860="","",SUMIFS('Weekly Log'!$C:$C,'Weekly Log'!$A:$A,"&gt;="&amp;$J1860,'Weekly Log'!$A:$A,"&lt;"&amp;$J1860+7))</f>
        <v/>
      </c>
      <c r="C1860" t="str">
        <f>IF($J1860="","",IFERROR(COUNTIFS('Weekly Log'!$G:$G,"Y",'Weekly Log'!$A:$A,"&gt;="&amp;$J1860,'Weekly Log'!$A:$A,"&lt;"&amp;$J1860+7)/COUNTIFS('Weekly Log'!$G:$G,"&lt;&gt;",'Weekly Log'!$A:$A,"&gt;="&amp;$J1860,'Weekly Log'!$A:$A,"&lt;"&amp;$J1860+7),0))</f>
        <v/>
      </c>
      <c r="D1860" t="str">
        <f>IF($J1860="","",IFERROR(COUNTIFS('Weekly Log'!$H:$H,"Y",'Weekly Log'!$A:$A,"&gt;="&amp;$J1860,'Weekly Log'!$A:$A,"&lt;"&amp;$J1860+7)/COUNTIFS('Weekly Log'!$H:$H,"&lt;&gt;",'Weekly Log'!$A:$A,"&gt;="&amp;$J1860,'Weekly Log'!$A:$A,"&lt;"&amp;$J1860+7),0))</f>
        <v/>
      </c>
      <c r="E1860" t="str">
        <f>IF($J1860="","",IFERROR(AVERAGEIFS('Weekly Log'!$F:$F,'Weekly Log'!$A:$A,"&gt;="&amp;$J1860,'Weekly Log'!$A:$A,"&lt;"&amp;$J1860+7),0))</f>
        <v/>
      </c>
      <c r="F1860" t="str">
        <f>IF($J1860="","",IFERROR(SUMIFS('Weekly Log'!$F:$F,'Weekly Log'!$A:$A,"&gt;="&amp;$J1860,'Weekly Log'!$A:$A,"&lt;"&amp;$J1860+7)/SUMIFS('Weekly Log'!$E:$E,'Weekly Log'!$A:$A,"&gt;="&amp;$J1860,'Weekly Log'!$A:$A,"&lt;"&amp;$J1860+7),0))</f>
        <v/>
      </c>
      <c r="G1860" t="str">
        <f>IF($J1860="","",IFERROR(LOOKUP(2,1/(('Weekly Log'!$A$5:$A$5000&gt;=$J1860)*('Weekly Log'!$A$5:$A$5000&lt;$J1860+7)*('Weekly Log'!$M$5:$M$5000&lt;&gt;"")),'Weekly Log'!$M$5:$M$5000),0))</f>
        <v/>
      </c>
      <c r="J1860" t="str">
        <f>IF(COUNT('Weekly Log'!$A$5:$A$5000)=0,"",IF(MIN('Weekly Log'!$A$5:$A$5000)+7*(ROW()-10)&gt;MAX('Weekly Log'!$A$5:$A$5000),"",MIN('Weekly Log'!$A$5:$A$5000)+7*(ROW()-10)))</f>
        <v/>
      </c>
    </row>
    <row r="1861" spans="1:10" x14ac:dyDescent="0.25">
      <c r="A1861" t="str">
        <f t="shared" si="28"/>
        <v/>
      </c>
      <c r="B1861" t="str">
        <f>IF($J1861="","",SUMIFS('Weekly Log'!$C:$C,'Weekly Log'!$A:$A,"&gt;="&amp;$J1861,'Weekly Log'!$A:$A,"&lt;"&amp;$J1861+7))</f>
        <v/>
      </c>
      <c r="C1861" t="str">
        <f>IF($J1861="","",IFERROR(COUNTIFS('Weekly Log'!$G:$G,"Y",'Weekly Log'!$A:$A,"&gt;="&amp;$J1861,'Weekly Log'!$A:$A,"&lt;"&amp;$J1861+7)/COUNTIFS('Weekly Log'!$G:$G,"&lt;&gt;",'Weekly Log'!$A:$A,"&gt;="&amp;$J1861,'Weekly Log'!$A:$A,"&lt;"&amp;$J1861+7),0))</f>
        <v/>
      </c>
      <c r="D1861" t="str">
        <f>IF($J1861="","",IFERROR(COUNTIFS('Weekly Log'!$H:$H,"Y",'Weekly Log'!$A:$A,"&gt;="&amp;$J1861,'Weekly Log'!$A:$A,"&lt;"&amp;$J1861+7)/COUNTIFS('Weekly Log'!$H:$H,"&lt;&gt;",'Weekly Log'!$A:$A,"&gt;="&amp;$J1861,'Weekly Log'!$A:$A,"&lt;"&amp;$J1861+7),0))</f>
        <v/>
      </c>
      <c r="E1861" t="str">
        <f>IF($J1861="","",IFERROR(AVERAGEIFS('Weekly Log'!$F:$F,'Weekly Log'!$A:$A,"&gt;="&amp;$J1861,'Weekly Log'!$A:$A,"&lt;"&amp;$J1861+7),0))</f>
        <v/>
      </c>
      <c r="F1861" t="str">
        <f>IF($J1861="","",IFERROR(SUMIFS('Weekly Log'!$F:$F,'Weekly Log'!$A:$A,"&gt;="&amp;$J1861,'Weekly Log'!$A:$A,"&lt;"&amp;$J1861+7)/SUMIFS('Weekly Log'!$E:$E,'Weekly Log'!$A:$A,"&gt;="&amp;$J1861,'Weekly Log'!$A:$A,"&lt;"&amp;$J1861+7),0))</f>
        <v/>
      </c>
      <c r="G1861" t="str">
        <f>IF($J1861="","",IFERROR(LOOKUP(2,1/(('Weekly Log'!$A$5:$A$5000&gt;=$J1861)*('Weekly Log'!$A$5:$A$5000&lt;$J1861+7)*('Weekly Log'!$M$5:$M$5000&lt;&gt;"")),'Weekly Log'!$M$5:$M$5000),0))</f>
        <v/>
      </c>
      <c r="J1861" t="str">
        <f>IF(COUNT('Weekly Log'!$A$5:$A$5000)=0,"",IF(MIN('Weekly Log'!$A$5:$A$5000)+7*(ROW()-10)&gt;MAX('Weekly Log'!$A$5:$A$5000),"",MIN('Weekly Log'!$A$5:$A$5000)+7*(ROW()-10)))</f>
        <v/>
      </c>
    </row>
    <row r="1862" spans="1:10" x14ac:dyDescent="0.25">
      <c r="A1862" t="str">
        <f t="shared" si="28"/>
        <v/>
      </c>
      <c r="B1862" t="str">
        <f>IF($J1862="","",SUMIFS('Weekly Log'!$C:$C,'Weekly Log'!$A:$A,"&gt;="&amp;$J1862,'Weekly Log'!$A:$A,"&lt;"&amp;$J1862+7))</f>
        <v/>
      </c>
      <c r="C1862" t="str">
        <f>IF($J1862="","",IFERROR(COUNTIFS('Weekly Log'!$G:$G,"Y",'Weekly Log'!$A:$A,"&gt;="&amp;$J1862,'Weekly Log'!$A:$A,"&lt;"&amp;$J1862+7)/COUNTIFS('Weekly Log'!$G:$G,"&lt;&gt;",'Weekly Log'!$A:$A,"&gt;="&amp;$J1862,'Weekly Log'!$A:$A,"&lt;"&amp;$J1862+7),0))</f>
        <v/>
      </c>
      <c r="D1862" t="str">
        <f>IF($J1862="","",IFERROR(COUNTIFS('Weekly Log'!$H:$H,"Y",'Weekly Log'!$A:$A,"&gt;="&amp;$J1862,'Weekly Log'!$A:$A,"&lt;"&amp;$J1862+7)/COUNTIFS('Weekly Log'!$H:$H,"&lt;&gt;",'Weekly Log'!$A:$A,"&gt;="&amp;$J1862,'Weekly Log'!$A:$A,"&lt;"&amp;$J1862+7),0))</f>
        <v/>
      </c>
      <c r="E1862" t="str">
        <f>IF($J1862="","",IFERROR(AVERAGEIFS('Weekly Log'!$F:$F,'Weekly Log'!$A:$A,"&gt;="&amp;$J1862,'Weekly Log'!$A:$A,"&lt;"&amp;$J1862+7),0))</f>
        <v/>
      </c>
      <c r="F1862" t="str">
        <f>IF($J1862="","",IFERROR(SUMIFS('Weekly Log'!$F:$F,'Weekly Log'!$A:$A,"&gt;="&amp;$J1862,'Weekly Log'!$A:$A,"&lt;"&amp;$J1862+7)/SUMIFS('Weekly Log'!$E:$E,'Weekly Log'!$A:$A,"&gt;="&amp;$J1862,'Weekly Log'!$A:$A,"&lt;"&amp;$J1862+7),0))</f>
        <v/>
      </c>
      <c r="G1862" t="str">
        <f>IF($J1862="","",IFERROR(LOOKUP(2,1/(('Weekly Log'!$A$5:$A$5000&gt;=$J1862)*('Weekly Log'!$A$5:$A$5000&lt;$J1862+7)*('Weekly Log'!$M$5:$M$5000&lt;&gt;"")),'Weekly Log'!$M$5:$M$5000),0))</f>
        <v/>
      </c>
      <c r="J1862" t="str">
        <f>IF(COUNT('Weekly Log'!$A$5:$A$5000)=0,"",IF(MIN('Weekly Log'!$A$5:$A$5000)+7*(ROW()-10)&gt;MAX('Weekly Log'!$A$5:$A$5000),"",MIN('Weekly Log'!$A$5:$A$5000)+7*(ROW()-10)))</f>
        <v/>
      </c>
    </row>
    <row r="1863" spans="1:10" x14ac:dyDescent="0.25">
      <c r="A1863" t="str">
        <f t="shared" si="28"/>
        <v/>
      </c>
      <c r="B1863" t="str">
        <f>IF($J1863="","",SUMIFS('Weekly Log'!$C:$C,'Weekly Log'!$A:$A,"&gt;="&amp;$J1863,'Weekly Log'!$A:$A,"&lt;"&amp;$J1863+7))</f>
        <v/>
      </c>
      <c r="C1863" t="str">
        <f>IF($J1863="","",IFERROR(COUNTIFS('Weekly Log'!$G:$G,"Y",'Weekly Log'!$A:$A,"&gt;="&amp;$J1863,'Weekly Log'!$A:$A,"&lt;"&amp;$J1863+7)/COUNTIFS('Weekly Log'!$G:$G,"&lt;&gt;",'Weekly Log'!$A:$A,"&gt;="&amp;$J1863,'Weekly Log'!$A:$A,"&lt;"&amp;$J1863+7),0))</f>
        <v/>
      </c>
      <c r="D1863" t="str">
        <f>IF($J1863="","",IFERROR(COUNTIFS('Weekly Log'!$H:$H,"Y",'Weekly Log'!$A:$A,"&gt;="&amp;$J1863,'Weekly Log'!$A:$A,"&lt;"&amp;$J1863+7)/COUNTIFS('Weekly Log'!$H:$H,"&lt;&gt;",'Weekly Log'!$A:$A,"&gt;="&amp;$J1863,'Weekly Log'!$A:$A,"&lt;"&amp;$J1863+7),0))</f>
        <v/>
      </c>
      <c r="E1863" t="str">
        <f>IF($J1863="","",IFERROR(AVERAGEIFS('Weekly Log'!$F:$F,'Weekly Log'!$A:$A,"&gt;="&amp;$J1863,'Weekly Log'!$A:$A,"&lt;"&amp;$J1863+7),0))</f>
        <v/>
      </c>
      <c r="F1863" t="str">
        <f>IF($J1863="","",IFERROR(SUMIFS('Weekly Log'!$F:$F,'Weekly Log'!$A:$A,"&gt;="&amp;$J1863,'Weekly Log'!$A:$A,"&lt;"&amp;$J1863+7)/SUMIFS('Weekly Log'!$E:$E,'Weekly Log'!$A:$A,"&gt;="&amp;$J1863,'Weekly Log'!$A:$A,"&lt;"&amp;$J1863+7),0))</f>
        <v/>
      </c>
      <c r="G1863" t="str">
        <f>IF($J1863="","",IFERROR(LOOKUP(2,1/(('Weekly Log'!$A$5:$A$5000&gt;=$J1863)*('Weekly Log'!$A$5:$A$5000&lt;$J1863+7)*('Weekly Log'!$M$5:$M$5000&lt;&gt;"")),'Weekly Log'!$M$5:$M$5000),0))</f>
        <v/>
      </c>
      <c r="J1863" t="str">
        <f>IF(COUNT('Weekly Log'!$A$5:$A$5000)=0,"",IF(MIN('Weekly Log'!$A$5:$A$5000)+7*(ROW()-10)&gt;MAX('Weekly Log'!$A$5:$A$5000),"",MIN('Weekly Log'!$A$5:$A$5000)+7*(ROW()-10)))</f>
        <v/>
      </c>
    </row>
    <row r="1864" spans="1:10" x14ac:dyDescent="0.25">
      <c r="A1864" t="str">
        <f t="shared" si="28"/>
        <v/>
      </c>
      <c r="B1864" t="str">
        <f>IF($J1864="","",SUMIFS('Weekly Log'!$C:$C,'Weekly Log'!$A:$A,"&gt;="&amp;$J1864,'Weekly Log'!$A:$A,"&lt;"&amp;$J1864+7))</f>
        <v/>
      </c>
      <c r="C1864" t="str">
        <f>IF($J1864="","",IFERROR(COUNTIFS('Weekly Log'!$G:$G,"Y",'Weekly Log'!$A:$A,"&gt;="&amp;$J1864,'Weekly Log'!$A:$A,"&lt;"&amp;$J1864+7)/COUNTIFS('Weekly Log'!$G:$G,"&lt;&gt;",'Weekly Log'!$A:$A,"&gt;="&amp;$J1864,'Weekly Log'!$A:$A,"&lt;"&amp;$J1864+7),0))</f>
        <v/>
      </c>
      <c r="D1864" t="str">
        <f>IF($J1864="","",IFERROR(COUNTIFS('Weekly Log'!$H:$H,"Y",'Weekly Log'!$A:$A,"&gt;="&amp;$J1864,'Weekly Log'!$A:$A,"&lt;"&amp;$J1864+7)/COUNTIFS('Weekly Log'!$H:$H,"&lt;&gt;",'Weekly Log'!$A:$A,"&gt;="&amp;$J1864,'Weekly Log'!$A:$A,"&lt;"&amp;$J1864+7),0))</f>
        <v/>
      </c>
      <c r="E1864" t="str">
        <f>IF($J1864="","",IFERROR(AVERAGEIFS('Weekly Log'!$F:$F,'Weekly Log'!$A:$A,"&gt;="&amp;$J1864,'Weekly Log'!$A:$A,"&lt;"&amp;$J1864+7),0))</f>
        <v/>
      </c>
      <c r="F1864" t="str">
        <f>IF($J1864="","",IFERROR(SUMIFS('Weekly Log'!$F:$F,'Weekly Log'!$A:$A,"&gt;="&amp;$J1864,'Weekly Log'!$A:$A,"&lt;"&amp;$J1864+7)/SUMIFS('Weekly Log'!$E:$E,'Weekly Log'!$A:$A,"&gt;="&amp;$J1864,'Weekly Log'!$A:$A,"&lt;"&amp;$J1864+7),0))</f>
        <v/>
      </c>
      <c r="G1864" t="str">
        <f>IF($J1864="","",IFERROR(LOOKUP(2,1/(('Weekly Log'!$A$5:$A$5000&gt;=$J1864)*('Weekly Log'!$A$5:$A$5000&lt;$J1864+7)*('Weekly Log'!$M$5:$M$5000&lt;&gt;"")),'Weekly Log'!$M$5:$M$5000),0))</f>
        <v/>
      </c>
      <c r="J1864" t="str">
        <f>IF(COUNT('Weekly Log'!$A$5:$A$5000)=0,"",IF(MIN('Weekly Log'!$A$5:$A$5000)+7*(ROW()-10)&gt;MAX('Weekly Log'!$A$5:$A$5000),"",MIN('Weekly Log'!$A$5:$A$5000)+7*(ROW()-10)))</f>
        <v/>
      </c>
    </row>
    <row r="1865" spans="1:10" x14ac:dyDescent="0.25">
      <c r="A1865" t="str">
        <f t="shared" si="28"/>
        <v/>
      </c>
      <c r="B1865" t="str">
        <f>IF($J1865="","",SUMIFS('Weekly Log'!$C:$C,'Weekly Log'!$A:$A,"&gt;="&amp;$J1865,'Weekly Log'!$A:$A,"&lt;"&amp;$J1865+7))</f>
        <v/>
      </c>
      <c r="C1865" t="str">
        <f>IF($J1865="","",IFERROR(COUNTIFS('Weekly Log'!$G:$G,"Y",'Weekly Log'!$A:$A,"&gt;="&amp;$J1865,'Weekly Log'!$A:$A,"&lt;"&amp;$J1865+7)/COUNTIFS('Weekly Log'!$G:$G,"&lt;&gt;",'Weekly Log'!$A:$A,"&gt;="&amp;$J1865,'Weekly Log'!$A:$A,"&lt;"&amp;$J1865+7),0))</f>
        <v/>
      </c>
      <c r="D1865" t="str">
        <f>IF($J1865="","",IFERROR(COUNTIFS('Weekly Log'!$H:$H,"Y",'Weekly Log'!$A:$A,"&gt;="&amp;$J1865,'Weekly Log'!$A:$A,"&lt;"&amp;$J1865+7)/COUNTIFS('Weekly Log'!$H:$H,"&lt;&gt;",'Weekly Log'!$A:$A,"&gt;="&amp;$J1865,'Weekly Log'!$A:$A,"&lt;"&amp;$J1865+7),0))</f>
        <v/>
      </c>
      <c r="E1865" t="str">
        <f>IF($J1865="","",IFERROR(AVERAGEIFS('Weekly Log'!$F:$F,'Weekly Log'!$A:$A,"&gt;="&amp;$J1865,'Weekly Log'!$A:$A,"&lt;"&amp;$J1865+7),0))</f>
        <v/>
      </c>
      <c r="F1865" t="str">
        <f>IF($J1865="","",IFERROR(SUMIFS('Weekly Log'!$F:$F,'Weekly Log'!$A:$A,"&gt;="&amp;$J1865,'Weekly Log'!$A:$A,"&lt;"&amp;$J1865+7)/SUMIFS('Weekly Log'!$E:$E,'Weekly Log'!$A:$A,"&gt;="&amp;$J1865,'Weekly Log'!$A:$A,"&lt;"&amp;$J1865+7),0))</f>
        <v/>
      </c>
      <c r="G1865" t="str">
        <f>IF($J1865="","",IFERROR(LOOKUP(2,1/(('Weekly Log'!$A$5:$A$5000&gt;=$J1865)*('Weekly Log'!$A$5:$A$5000&lt;$J1865+7)*('Weekly Log'!$M$5:$M$5000&lt;&gt;"")),'Weekly Log'!$M$5:$M$5000),0))</f>
        <v/>
      </c>
      <c r="J1865" t="str">
        <f>IF(COUNT('Weekly Log'!$A$5:$A$5000)=0,"",IF(MIN('Weekly Log'!$A$5:$A$5000)+7*(ROW()-10)&gt;MAX('Weekly Log'!$A$5:$A$5000),"",MIN('Weekly Log'!$A$5:$A$5000)+7*(ROW()-10)))</f>
        <v/>
      </c>
    </row>
    <row r="1866" spans="1:10" x14ac:dyDescent="0.25">
      <c r="A1866" t="str">
        <f t="shared" ref="A1866:A1929" si="29">IF($J1866="","",YEAR($J1866-WEEKDAY($J1866,2)+4)&amp;"-W"&amp;TEXT(WEEKNUM($J1866,21),"00"))</f>
        <v/>
      </c>
      <c r="B1866" t="str">
        <f>IF($J1866="","",SUMIFS('Weekly Log'!$C:$C,'Weekly Log'!$A:$A,"&gt;="&amp;$J1866,'Weekly Log'!$A:$A,"&lt;"&amp;$J1866+7))</f>
        <v/>
      </c>
      <c r="C1866" t="str">
        <f>IF($J1866="","",IFERROR(COUNTIFS('Weekly Log'!$G:$G,"Y",'Weekly Log'!$A:$A,"&gt;="&amp;$J1866,'Weekly Log'!$A:$A,"&lt;"&amp;$J1866+7)/COUNTIFS('Weekly Log'!$G:$G,"&lt;&gt;",'Weekly Log'!$A:$A,"&gt;="&amp;$J1866,'Weekly Log'!$A:$A,"&lt;"&amp;$J1866+7),0))</f>
        <v/>
      </c>
      <c r="D1866" t="str">
        <f>IF($J1866="","",IFERROR(COUNTIFS('Weekly Log'!$H:$H,"Y",'Weekly Log'!$A:$A,"&gt;="&amp;$J1866,'Weekly Log'!$A:$A,"&lt;"&amp;$J1866+7)/COUNTIFS('Weekly Log'!$H:$H,"&lt;&gt;",'Weekly Log'!$A:$A,"&gt;="&amp;$J1866,'Weekly Log'!$A:$A,"&lt;"&amp;$J1866+7),0))</f>
        <v/>
      </c>
      <c r="E1866" t="str">
        <f>IF($J1866="","",IFERROR(AVERAGEIFS('Weekly Log'!$F:$F,'Weekly Log'!$A:$A,"&gt;="&amp;$J1866,'Weekly Log'!$A:$A,"&lt;"&amp;$J1866+7),0))</f>
        <v/>
      </c>
      <c r="F1866" t="str">
        <f>IF($J1866="","",IFERROR(SUMIFS('Weekly Log'!$F:$F,'Weekly Log'!$A:$A,"&gt;="&amp;$J1866,'Weekly Log'!$A:$A,"&lt;"&amp;$J1866+7)/SUMIFS('Weekly Log'!$E:$E,'Weekly Log'!$A:$A,"&gt;="&amp;$J1866,'Weekly Log'!$A:$A,"&lt;"&amp;$J1866+7),0))</f>
        <v/>
      </c>
      <c r="G1866" t="str">
        <f>IF($J1866="","",IFERROR(LOOKUP(2,1/(('Weekly Log'!$A$5:$A$5000&gt;=$J1866)*('Weekly Log'!$A$5:$A$5000&lt;$J1866+7)*('Weekly Log'!$M$5:$M$5000&lt;&gt;"")),'Weekly Log'!$M$5:$M$5000),0))</f>
        <v/>
      </c>
      <c r="J1866" t="str">
        <f>IF(COUNT('Weekly Log'!$A$5:$A$5000)=0,"",IF(MIN('Weekly Log'!$A$5:$A$5000)+7*(ROW()-10)&gt;MAX('Weekly Log'!$A$5:$A$5000),"",MIN('Weekly Log'!$A$5:$A$5000)+7*(ROW()-10)))</f>
        <v/>
      </c>
    </row>
    <row r="1867" spans="1:10" x14ac:dyDescent="0.25">
      <c r="A1867" t="str">
        <f t="shared" si="29"/>
        <v/>
      </c>
      <c r="B1867" t="str">
        <f>IF($J1867="","",SUMIFS('Weekly Log'!$C:$C,'Weekly Log'!$A:$A,"&gt;="&amp;$J1867,'Weekly Log'!$A:$A,"&lt;"&amp;$J1867+7))</f>
        <v/>
      </c>
      <c r="C1867" t="str">
        <f>IF($J1867="","",IFERROR(COUNTIFS('Weekly Log'!$G:$G,"Y",'Weekly Log'!$A:$A,"&gt;="&amp;$J1867,'Weekly Log'!$A:$A,"&lt;"&amp;$J1867+7)/COUNTIFS('Weekly Log'!$G:$G,"&lt;&gt;",'Weekly Log'!$A:$A,"&gt;="&amp;$J1867,'Weekly Log'!$A:$A,"&lt;"&amp;$J1867+7),0))</f>
        <v/>
      </c>
      <c r="D1867" t="str">
        <f>IF($J1867="","",IFERROR(COUNTIFS('Weekly Log'!$H:$H,"Y",'Weekly Log'!$A:$A,"&gt;="&amp;$J1867,'Weekly Log'!$A:$A,"&lt;"&amp;$J1867+7)/COUNTIFS('Weekly Log'!$H:$H,"&lt;&gt;",'Weekly Log'!$A:$A,"&gt;="&amp;$J1867,'Weekly Log'!$A:$A,"&lt;"&amp;$J1867+7),0))</f>
        <v/>
      </c>
      <c r="E1867" t="str">
        <f>IF($J1867="","",IFERROR(AVERAGEIFS('Weekly Log'!$F:$F,'Weekly Log'!$A:$A,"&gt;="&amp;$J1867,'Weekly Log'!$A:$A,"&lt;"&amp;$J1867+7),0))</f>
        <v/>
      </c>
      <c r="F1867" t="str">
        <f>IF($J1867="","",IFERROR(SUMIFS('Weekly Log'!$F:$F,'Weekly Log'!$A:$A,"&gt;="&amp;$J1867,'Weekly Log'!$A:$A,"&lt;"&amp;$J1867+7)/SUMIFS('Weekly Log'!$E:$E,'Weekly Log'!$A:$A,"&gt;="&amp;$J1867,'Weekly Log'!$A:$A,"&lt;"&amp;$J1867+7),0))</f>
        <v/>
      </c>
      <c r="G1867" t="str">
        <f>IF($J1867="","",IFERROR(LOOKUP(2,1/(('Weekly Log'!$A$5:$A$5000&gt;=$J1867)*('Weekly Log'!$A$5:$A$5000&lt;$J1867+7)*('Weekly Log'!$M$5:$M$5000&lt;&gt;"")),'Weekly Log'!$M$5:$M$5000),0))</f>
        <v/>
      </c>
      <c r="J1867" t="str">
        <f>IF(COUNT('Weekly Log'!$A$5:$A$5000)=0,"",IF(MIN('Weekly Log'!$A$5:$A$5000)+7*(ROW()-10)&gt;MAX('Weekly Log'!$A$5:$A$5000),"",MIN('Weekly Log'!$A$5:$A$5000)+7*(ROW()-10)))</f>
        <v/>
      </c>
    </row>
    <row r="1868" spans="1:10" x14ac:dyDescent="0.25">
      <c r="A1868" t="str">
        <f t="shared" si="29"/>
        <v/>
      </c>
      <c r="B1868" t="str">
        <f>IF($J1868="","",SUMIFS('Weekly Log'!$C:$C,'Weekly Log'!$A:$A,"&gt;="&amp;$J1868,'Weekly Log'!$A:$A,"&lt;"&amp;$J1868+7))</f>
        <v/>
      </c>
      <c r="C1868" t="str">
        <f>IF($J1868="","",IFERROR(COUNTIFS('Weekly Log'!$G:$G,"Y",'Weekly Log'!$A:$A,"&gt;="&amp;$J1868,'Weekly Log'!$A:$A,"&lt;"&amp;$J1868+7)/COUNTIFS('Weekly Log'!$G:$G,"&lt;&gt;",'Weekly Log'!$A:$A,"&gt;="&amp;$J1868,'Weekly Log'!$A:$A,"&lt;"&amp;$J1868+7),0))</f>
        <v/>
      </c>
      <c r="D1868" t="str">
        <f>IF($J1868="","",IFERROR(COUNTIFS('Weekly Log'!$H:$H,"Y",'Weekly Log'!$A:$A,"&gt;="&amp;$J1868,'Weekly Log'!$A:$A,"&lt;"&amp;$J1868+7)/COUNTIFS('Weekly Log'!$H:$H,"&lt;&gt;",'Weekly Log'!$A:$A,"&gt;="&amp;$J1868,'Weekly Log'!$A:$A,"&lt;"&amp;$J1868+7),0))</f>
        <v/>
      </c>
      <c r="E1868" t="str">
        <f>IF($J1868="","",IFERROR(AVERAGEIFS('Weekly Log'!$F:$F,'Weekly Log'!$A:$A,"&gt;="&amp;$J1868,'Weekly Log'!$A:$A,"&lt;"&amp;$J1868+7),0))</f>
        <v/>
      </c>
      <c r="F1868" t="str">
        <f>IF($J1868="","",IFERROR(SUMIFS('Weekly Log'!$F:$F,'Weekly Log'!$A:$A,"&gt;="&amp;$J1868,'Weekly Log'!$A:$A,"&lt;"&amp;$J1868+7)/SUMIFS('Weekly Log'!$E:$E,'Weekly Log'!$A:$A,"&gt;="&amp;$J1868,'Weekly Log'!$A:$A,"&lt;"&amp;$J1868+7),0))</f>
        <v/>
      </c>
      <c r="G1868" t="str">
        <f>IF($J1868="","",IFERROR(LOOKUP(2,1/(('Weekly Log'!$A$5:$A$5000&gt;=$J1868)*('Weekly Log'!$A$5:$A$5000&lt;$J1868+7)*('Weekly Log'!$M$5:$M$5000&lt;&gt;"")),'Weekly Log'!$M$5:$M$5000),0))</f>
        <v/>
      </c>
      <c r="J1868" t="str">
        <f>IF(COUNT('Weekly Log'!$A$5:$A$5000)=0,"",IF(MIN('Weekly Log'!$A$5:$A$5000)+7*(ROW()-10)&gt;MAX('Weekly Log'!$A$5:$A$5000),"",MIN('Weekly Log'!$A$5:$A$5000)+7*(ROW()-10)))</f>
        <v/>
      </c>
    </row>
    <row r="1869" spans="1:10" x14ac:dyDescent="0.25">
      <c r="A1869" t="str">
        <f t="shared" si="29"/>
        <v/>
      </c>
      <c r="B1869" t="str">
        <f>IF($J1869="","",SUMIFS('Weekly Log'!$C:$C,'Weekly Log'!$A:$A,"&gt;="&amp;$J1869,'Weekly Log'!$A:$A,"&lt;"&amp;$J1869+7))</f>
        <v/>
      </c>
      <c r="C1869" t="str">
        <f>IF($J1869="","",IFERROR(COUNTIFS('Weekly Log'!$G:$G,"Y",'Weekly Log'!$A:$A,"&gt;="&amp;$J1869,'Weekly Log'!$A:$A,"&lt;"&amp;$J1869+7)/COUNTIFS('Weekly Log'!$G:$G,"&lt;&gt;",'Weekly Log'!$A:$A,"&gt;="&amp;$J1869,'Weekly Log'!$A:$A,"&lt;"&amp;$J1869+7),0))</f>
        <v/>
      </c>
      <c r="D1869" t="str">
        <f>IF($J1869="","",IFERROR(COUNTIFS('Weekly Log'!$H:$H,"Y",'Weekly Log'!$A:$A,"&gt;="&amp;$J1869,'Weekly Log'!$A:$A,"&lt;"&amp;$J1869+7)/COUNTIFS('Weekly Log'!$H:$H,"&lt;&gt;",'Weekly Log'!$A:$A,"&gt;="&amp;$J1869,'Weekly Log'!$A:$A,"&lt;"&amp;$J1869+7),0))</f>
        <v/>
      </c>
      <c r="E1869" t="str">
        <f>IF($J1869="","",IFERROR(AVERAGEIFS('Weekly Log'!$F:$F,'Weekly Log'!$A:$A,"&gt;="&amp;$J1869,'Weekly Log'!$A:$A,"&lt;"&amp;$J1869+7),0))</f>
        <v/>
      </c>
      <c r="F1869" t="str">
        <f>IF($J1869="","",IFERROR(SUMIFS('Weekly Log'!$F:$F,'Weekly Log'!$A:$A,"&gt;="&amp;$J1869,'Weekly Log'!$A:$A,"&lt;"&amp;$J1869+7)/SUMIFS('Weekly Log'!$E:$E,'Weekly Log'!$A:$A,"&gt;="&amp;$J1869,'Weekly Log'!$A:$A,"&lt;"&amp;$J1869+7),0))</f>
        <v/>
      </c>
      <c r="G1869" t="str">
        <f>IF($J1869="","",IFERROR(LOOKUP(2,1/(('Weekly Log'!$A$5:$A$5000&gt;=$J1869)*('Weekly Log'!$A$5:$A$5000&lt;$J1869+7)*('Weekly Log'!$M$5:$M$5000&lt;&gt;"")),'Weekly Log'!$M$5:$M$5000),0))</f>
        <v/>
      </c>
      <c r="J1869" t="str">
        <f>IF(COUNT('Weekly Log'!$A$5:$A$5000)=0,"",IF(MIN('Weekly Log'!$A$5:$A$5000)+7*(ROW()-10)&gt;MAX('Weekly Log'!$A$5:$A$5000),"",MIN('Weekly Log'!$A$5:$A$5000)+7*(ROW()-10)))</f>
        <v/>
      </c>
    </row>
    <row r="1870" spans="1:10" x14ac:dyDescent="0.25">
      <c r="A1870" t="str">
        <f t="shared" si="29"/>
        <v/>
      </c>
      <c r="B1870" t="str">
        <f>IF($J1870="","",SUMIFS('Weekly Log'!$C:$C,'Weekly Log'!$A:$A,"&gt;="&amp;$J1870,'Weekly Log'!$A:$A,"&lt;"&amp;$J1870+7))</f>
        <v/>
      </c>
      <c r="C1870" t="str">
        <f>IF($J1870="","",IFERROR(COUNTIFS('Weekly Log'!$G:$G,"Y",'Weekly Log'!$A:$A,"&gt;="&amp;$J1870,'Weekly Log'!$A:$A,"&lt;"&amp;$J1870+7)/COUNTIFS('Weekly Log'!$G:$G,"&lt;&gt;",'Weekly Log'!$A:$A,"&gt;="&amp;$J1870,'Weekly Log'!$A:$A,"&lt;"&amp;$J1870+7),0))</f>
        <v/>
      </c>
      <c r="D1870" t="str">
        <f>IF($J1870="","",IFERROR(COUNTIFS('Weekly Log'!$H:$H,"Y",'Weekly Log'!$A:$A,"&gt;="&amp;$J1870,'Weekly Log'!$A:$A,"&lt;"&amp;$J1870+7)/COUNTIFS('Weekly Log'!$H:$H,"&lt;&gt;",'Weekly Log'!$A:$A,"&gt;="&amp;$J1870,'Weekly Log'!$A:$A,"&lt;"&amp;$J1870+7),0))</f>
        <v/>
      </c>
      <c r="E1870" t="str">
        <f>IF($J1870="","",IFERROR(AVERAGEIFS('Weekly Log'!$F:$F,'Weekly Log'!$A:$A,"&gt;="&amp;$J1870,'Weekly Log'!$A:$A,"&lt;"&amp;$J1870+7),0))</f>
        <v/>
      </c>
      <c r="F1870" t="str">
        <f>IF($J1870="","",IFERROR(SUMIFS('Weekly Log'!$F:$F,'Weekly Log'!$A:$A,"&gt;="&amp;$J1870,'Weekly Log'!$A:$A,"&lt;"&amp;$J1870+7)/SUMIFS('Weekly Log'!$E:$E,'Weekly Log'!$A:$A,"&gt;="&amp;$J1870,'Weekly Log'!$A:$A,"&lt;"&amp;$J1870+7),0))</f>
        <v/>
      </c>
      <c r="G1870" t="str">
        <f>IF($J1870="","",IFERROR(LOOKUP(2,1/(('Weekly Log'!$A$5:$A$5000&gt;=$J1870)*('Weekly Log'!$A$5:$A$5000&lt;$J1870+7)*('Weekly Log'!$M$5:$M$5000&lt;&gt;"")),'Weekly Log'!$M$5:$M$5000),0))</f>
        <v/>
      </c>
      <c r="J1870" t="str">
        <f>IF(COUNT('Weekly Log'!$A$5:$A$5000)=0,"",IF(MIN('Weekly Log'!$A$5:$A$5000)+7*(ROW()-10)&gt;MAX('Weekly Log'!$A$5:$A$5000),"",MIN('Weekly Log'!$A$5:$A$5000)+7*(ROW()-10)))</f>
        <v/>
      </c>
    </row>
    <row r="1871" spans="1:10" x14ac:dyDescent="0.25">
      <c r="A1871" t="str">
        <f t="shared" si="29"/>
        <v/>
      </c>
      <c r="B1871" t="str">
        <f>IF($J1871="","",SUMIFS('Weekly Log'!$C:$C,'Weekly Log'!$A:$A,"&gt;="&amp;$J1871,'Weekly Log'!$A:$A,"&lt;"&amp;$J1871+7))</f>
        <v/>
      </c>
      <c r="C1871" t="str">
        <f>IF($J1871="","",IFERROR(COUNTIFS('Weekly Log'!$G:$G,"Y",'Weekly Log'!$A:$A,"&gt;="&amp;$J1871,'Weekly Log'!$A:$A,"&lt;"&amp;$J1871+7)/COUNTIFS('Weekly Log'!$G:$G,"&lt;&gt;",'Weekly Log'!$A:$A,"&gt;="&amp;$J1871,'Weekly Log'!$A:$A,"&lt;"&amp;$J1871+7),0))</f>
        <v/>
      </c>
      <c r="D1871" t="str">
        <f>IF($J1871="","",IFERROR(COUNTIFS('Weekly Log'!$H:$H,"Y",'Weekly Log'!$A:$A,"&gt;="&amp;$J1871,'Weekly Log'!$A:$A,"&lt;"&amp;$J1871+7)/COUNTIFS('Weekly Log'!$H:$H,"&lt;&gt;",'Weekly Log'!$A:$A,"&gt;="&amp;$J1871,'Weekly Log'!$A:$A,"&lt;"&amp;$J1871+7),0))</f>
        <v/>
      </c>
      <c r="E1871" t="str">
        <f>IF($J1871="","",IFERROR(AVERAGEIFS('Weekly Log'!$F:$F,'Weekly Log'!$A:$A,"&gt;="&amp;$J1871,'Weekly Log'!$A:$A,"&lt;"&amp;$J1871+7),0))</f>
        <v/>
      </c>
      <c r="F1871" t="str">
        <f>IF($J1871="","",IFERROR(SUMIFS('Weekly Log'!$F:$F,'Weekly Log'!$A:$A,"&gt;="&amp;$J1871,'Weekly Log'!$A:$A,"&lt;"&amp;$J1871+7)/SUMIFS('Weekly Log'!$E:$E,'Weekly Log'!$A:$A,"&gt;="&amp;$J1871,'Weekly Log'!$A:$A,"&lt;"&amp;$J1871+7),0))</f>
        <v/>
      </c>
      <c r="G1871" t="str">
        <f>IF($J1871="","",IFERROR(LOOKUP(2,1/(('Weekly Log'!$A$5:$A$5000&gt;=$J1871)*('Weekly Log'!$A$5:$A$5000&lt;$J1871+7)*('Weekly Log'!$M$5:$M$5000&lt;&gt;"")),'Weekly Log'!$M$5:$M$5000),0))</f>
        <v/>
      </c>
      <c r="J1871" t="str">
        <f>IF(COUNT('Weekly Log'!$A$5:$A$5000)=0,"",IF(MIN('Weekly Log'!$A$5:$A$5000)+7*(ROW()-10)&gt;MAX('Weekly Log'!$A$5:$A$5000),"",MIN('Weekly Log'!$A$5:$A$5000)+7*(ROW()-10)))</f>
        <v/>
      </c>
    </row>
    <row r="1872" spans="1:10" x14ac:dyDescent="0.25">
      <c r="A1872" t="str">
        <f t="shared" si="29"/>
        <v/>
      </c>
      <c r="B1872" t="str">
        <f>IF($J1872="","",SUMIFS('Weekly Log'!$C:$C,'Weekly Log'!$A:$A,"&gt;="&amp;$J1872,'Weekly Log'!$A:$A,"&lt;"&amp;$J1872+7))</f>
        <v/>
      </c>
      <c r="C1872" t="str">
        <f>IF($J1872="","",IFERROR(COUNTIFS('Weekly Log'!$G:$G,"Y",'Weekly Log'!$A:$A,"&gt;="&amp;$J1872,'Weekly Log'!$A:$A,"&lt;"&amp;$J1872+7)/COUNTIFS('Weekly Log'!$G:$G,"&lt;&gt;",'Weekly Log'!$A:$A,"&gt;="&amp;$J1872,'Weekly Log'!$A:$A,"&lt;"&amp;$J1872+7),0))</f>
        <v/>
      </c>
      <c r="D1872" t="str">
        <f>IF($J1872="","",IFERROR(COUNTIFS('Weekly Log'!$H:$H,"Y",'Weekly Log'!$A:$A,"&gt;="&amp;$J1872,'Weekly Log'!$A:$A,"&lt;"&amp;$J1872+7)/COUNTIFS('Weekly Log'!$H:$H,"&lt;&gt;",'Weekly Log'!$A:$A,"&gt;="&amp;$J1872,'Weekly Log'!$A:$A,"&lt;"&amp;$J1872+7),0))</f>
        <v/>
      </c>
      <c r="E1872" t="str">
        <f>IF($J1872="","",IFERROR(AVERAGEIFS('Weekly Log'!$F:$F,'Weekly Log'!$A:$A,"&gt;="&amp;$J1872,'Weekly Log'!$A:$A,"&lt;"&amp;$J1872+7),0))</f>
        <v/>
      </c>
      <c r="F1872" t="str">
        <f>IF($J1872="","",IFERROR(SUMIFS('Weekly Log'!$F:$F,'Weekly Log'!$A:$A,"&gt;="&amp;$J1872,'Weekly Log'!$A:$A,"&lt;"&amp;$J1872+7)/SUMIFS('Weekly Log'!$E:$E,'Weekly Log'!$A:$A,"&gt;="&amp;$J1872,'Weekly Log'!$A:$A,"&lt;"&amp;$J1872+7),0))</f>
        <v/>
      </c>
      <c r="G1872" t="str">
        <f>IF($J1872="","",IFERROR(LOOKUP(2,1/(('Weekly Log'!$A$5:$A$5000&gt;=$J1872)*('Weekly Log'!$A$5:$A$5000&lt;$J1872+7)*('Weekly Log'!$M$5:$M$5000&lt;&gt;"")),'Weekly Log'!$M$5:$M$5000),0))</f>
        <v/>
      </c>
      <c r="J1872" t="str">
        <f>IF(COUNT('Weekly Log'!$A$5:$A$5000)=0,"",IF(MIN('Weekly Log'!$A$5:$A$5000)+7*(ROW()-10)&gt;MAX('Weekly Log'!$A$5:$A$5000),"",MIN('Weekly Log'!$A$5:$A$5000)+7*(ROW()-10)))</f>
        <v/>
      </c>
    </row>
    <row r="1873" spans="1:10" x14ac:dyDescent="0.25">
      <c r="A1873" t="str">
        <f t="shared" si="29"/>
        <v/>
      </c>
      <c r="B1873" t="str">
        <f>IF($J1873="","",SUMIFS('Weekly Log'!$C:$C,'Weekly Log'!$A:$A,"&gt;="&amp;$J1873,'Weekly Log'!$A:$A,"&lt;"&amp;$J1873+7))</f>
        <v/>
      </c>
      <c r="C1873" t="str">
        <f>IF($J1873="","",IFERROR(COUNTIFS('Weekly Log'!$G:$G,"Y",'Weekly Log'!$A:$A,"&gt;="&amp;$J1873,'Weekly Log'!$A:$A,"&lt;"&amp;$J1873+7)/COUNTIFS('Weekly Log'!$G:$G,"&lt;&gt;",'Weekly Log'!$A:$A,"&gt;="&amp;$J1873,'Weekly Log'!$A:$A,"&lt;"&amp;$J1873+7),0))</f>
        <v/>
      </c>
      <c r="D1873" t="str">
        <f>IF($J1873="","",IFERROR(COUNTIFS('Weekly Log'!$H:$H,"Y",'Weekly Log'!$A:$A,"&gt;="&amp;$J1873,'Weekly Log'!$A:$A,"&lt;"&amp;$J1873+7)/COUNTIFS('Weekly Log'!$H:$H,"&lt;&gt;",'Weekly Log'!$A:$A,"&gt;="&amp;$J1873,'Weekly Log'!$A:$A,"&lt;"&amp;$J1873+7),0))</f>
        <v/>
      </c>
      <c r="E1873" t="str">
        <f>IF($J1873="","",IFERROR(AVERAGEIFS('Weekly Log'!$F:$F,'Weekly Log'!$A:$A,"&gt;="&amp;$J1873,'Weekly Log'!$A:$A,"&lt;"&amp;$J1873+7),0))</f>
        <v/>
      </c>
      <c r="F1873" t="str">
        <f>IF($J1873="","",IFERROR(SUMIFS('Weekly Log'!$F:$F,'Weekly Log'!$A:$A,"&gt;="&amp;$J1873,'Weekly Log'!$A:$A,"&lt;"&amp;$J1873+7)/SUMIFS('Weekly Log'!$E:$E,'Weekly Log'!$A:$A,"&gt;="&amp;$J1873,'Weekly Log'!$A:$A,"&lt;"&amp;$J1873+7),0))</f>
        <v/>
      </c>
      <c r="G1873" t="str">
        <f>IF($J1873="","",IFERROR(LOOKUP(2,1/(('Weekly Log'!$A$5:$A$5000&gt;=$J1873)*('Weekly Log'!$A$5:$A$5000&lt;$J1873+7)*('Weekly Log'!$M$5:$M$5000&lt;&gt;"")),'Weekly Log'!$M$5:$M$5000),0))</f>
        <v/>
      </c>
      <c r="J1873" t="str">
        <f>IF(COUNT('Weekly Log'!$A$5:$A$5000)=0,"",IF(MIN('Weekly Log'!$A$5:$A$5000)+7*(ROW()-10)&gt;MAX('Weekly Log'!$A$5:$A$5000),"",MIN('Weekly Log'!$A$5:$A$5000)+7*(ROW()-10)))</f>
        <v/>
      </c>
    </row>
    <row r="1874" spans="1:10" x14ac:dyDescent="0.25">
      <c r="A1874" t="str">
        <f t="shared" si="29"/>
        <v/>
      </c>
      <c r="B1874" t="str">
        <f>IF($J1874="","",SUMIFS('Weekly Log'!$C:$C,'Weekly Log'!$A:$A,"&gt;="&amp;$J1874,'Weekly Log'!$A:$A,"&lt;"&amp;$J1874+7))</f>
        <v/>
      </c>
      <c r="C1874" t="str">
        <f>IF($J1874="","",IFERROR(COUNTIFS('Weekly Log'!$G:$G,"Y",'Weekly Log'!$A:$A,"&gt;="&amp;$J1874,'Weekly Log'!$A:$A,"&lt;"&amp;$J1874+7)/COUNTIFS('Weekly Log'!$G:$G,"&lt;&gt;",'Weekly Log'!$A:$A,"&gt;="&amp;$J1874,'Weekly Log'!$A:$A,"&lt;"&amp;$J1874+7),0))</f>
        <v/>
      </c>
      <c r="D1874" t="str">
        <f>IF($J1874="","",IFERROR(COUNTIFS('Weekly Log'!$H:$H,"Y",'Weekly Log'!$A:$A,"&gt;="&amp;$J1874,'Weekly Log'!$A:$A,"&lt;"&amp;$J1874+7)/COUNTIFS('Weekly Log'!$H:$H,"&lt;&gt;",'Weekly Log'!$A:$A,"&gt;="&amp;$J1874,'Weekly Log'!$A:$A,"&lt;"&amp;$J1874+7),0))</f>
        <v/>
      </c>
      <c r="E1874" t="str">
        <f>IF($J1874="","",IFERROR(AVERAGEIFS('Weekly Log'!$F:$F,'Weekly Log'!$A:$A,"&gt;="&amp;$J1874,'Weekly Log'!$A:$A,"&lt;"&amp;$J1874+7),0))</f>
        <v/>
      </c>
      <c r="F1874" t="str">
        <f>IF($J1874="","",IFERROR(SUMIFS('Weekly Log'!$F:$F,'Weekly Log'!$A:$A,"&gt;="&amp;$J1874,'Weekly Log'!$A:$A,"&lt;"&amp;$J1874+7)/SUMIFS('Weekly Log'!$E:$E,'Weekly Log'!$A:$A,"&gt;="&amp;$J1874,'Weekly Log'!$A:$A,"&lt;"&amp;$J1874+7),0))</f>
        <v/>
      </c>
      <c r="G1874" t="str">
        <f>IF($J1874="","",IFERROR(LOOKUP(2,1/(('Weekly Log'!$A$5:$A$5000&gt;=$J1874)*('Weekly Log'!$A$5:$A$5000&lt;$J1874+7)*('Weekly Log'!$M$5:$M$5000&lt;&gt;"")),'Weekly Log'!$M$5:$M$5000),0))</f>
        <v/>
      </c>
      <c r="J1874" t="str">
        <f>IF(COUNT('Weekly Log'!$A$5:$A$5000)=0,"",IF(MIN('Weekly Log'!$A$5:$A$5000)+7*(ROW()-10)&gt;MAX('Weekly Log'!$A$5:$A$5000),"",MIN('Weekly Log'!$A$5:$A$5000)+7*(ROW()-10)))</f>
        <v/>
      </c>
    </row>
    <row r="1875" spans="1:10" x14ac:dyDescent="0.25">
      <c r="A1875" t="str">
        <f t="shared" si="29"/>
        <v/>
      </c>
      <c r="B1875" t="str">
        <f>IF($J1875="","",SUMIFS('Weekly Log'!$C:$C,'Weekly Log'!$A:$A,"&gt;="&amp;$J1875,'Weekly Log'!$A:$A,"&lt;"&amp;$J1875+7))</f>
        <v/>
      </c>
      <c r="C1875" t="str">
        <f>IF($J1875="","",IFERROR(COUNTIFS('Weekly Log'!$G:$G,"Y",'Weekly Log'!$A:$A,"&gt;="&amp;$J1875,'Weekly Log'!$A:$A,"&lt;"&amp;$J1875+7)/COUNTIFS('Weekly Log'!$G:$G,"&lt;&gt;",'Weekly Log'!$A:$A,"&gt;="&amp;$J1875,'Weekly Log'!$A:$A,"&lt;"&amp;$J1875+7),0))</f>
        <v/>
      </c>
      <c r="D1875" t="str">
        <f>IF($J1875="","",IFERROR(COUNTIFS('Weekly Log'!$H:$H,"Y",'Weekly Log'!$A:$A,"&gt;="&amp;$J1875,'Weekly Log'!$A:$A,"&lt;"&amp;$J1875+7)/COUNTIFS('Weekly Log'!$H:$H,"&lt;&gt;",'Weekly Log'!$A:$A,"&gt;="&amp;$J1875,'Weekly Log'!$A:$A,"&lt;"&amp;$J1875+7),0))</f>
        <v/>
      </c>
      <c r="E1875" t="str">
        <f>IF($J1875="","",IFERROR(AVERAGEIFS('Weekly Log'!$F:$F,'Weekly Log'!$A:$A,"&gt;="&amp;$J1875,'Weekly Log'!$A:$A,"&lt;"&amp;$J1875+7),0))</f>
        <v/>
      </c>
      <c r="F1875" t="str">
        <f>IF($J1875="","",IFERROR(SUMIFS('Weekly Log'!$F:$F,'Weekly Log'!$A:$A,"&gt;="&amp;$J1875,'Weekly Log'!$A:$A,"&lt;"&amp;$J1875+7)/SUMIFS('Weekly Log'!$E:$E,'Weekly Log'!$A:$A,"&gt;="&amp;$J1875,'Weekly Log'!$A:$A,"&lt;"&amp;$J1875+7),0))</f>
        <v/>
      </c>
      <c r="G1875" t="str">
        <f>IF($J1875="","",IFERROR(LOOKUP(2,1/(('Weekly Log'!$A$5:$A$5000&gt;=$J1875)*('Weekly Log'!$A$5:$A$5000&lt;$J1875+7)*('Weekly Log'!$M$5:$M$5000&lt;&gt;"")),'Weekly Log'!$M$5:$M$5000),0))</f>
        <v/>
      </c>
      <c r="J1875" t="str">
        <f>IF(COUNT('Weekly Log'!$A$5:$A$5000)=0,"",IF(MIN('Weekly Log'!$A$5:$A$5000)+7*(ROW()-10)&gt;MAX('Weekly Log'!$A$5:$A$5000),"",MIN('Weekly Log'!$A$5:$A$5000)+7*(ROW()-10)))</f>
        <v/>
      </c>
    </row>
    <row r="1876" spans="1:10" x14ac:dyDescent="0.25">
      <c r="A1876" t="str">
        <f t="shared" si="29"/>
        <v/>
      </c>
      <c r="B1876" t="str">
        <f>IF($J1876="","",SUMIFS('Weekly Log'!$C:$C,'Weekly Log'!$A:$A,"&gt;="&amp;$J1876,'Weekly Log'!$A:$A,"&lt;"&amp;$J1876+7))</f>
        <v/>
      </c>
      <c r="C1876" t="str">
        <f>IF($J1876="","",IFERROR(COUNTIFS('Weekly Log'!$G:$G,"Y",'Weekly Log'!$A:$A,"&gt;="&amp;$J1876,'Weekly Log'!$A:$A,"&lt;"&amp;$J1876+7)/COUNTIFS('Weekly Log'!$G:$G,"&lt;&gt;",'Weekly Log'!$A:$A,"&gt;="&amp;$J1876,'Weekly Log'!$A:$A,"&lt;"&amp;$J1876+7),0))</f>
        <v/>
      </c>
      <c r="D1876" t="str">
        <f>IF($J1876="","",IFERROR(COUNTIFS('Weekly Log'!$H:$H,"Y",'Weekly Log'!$A:$A,"&gt;="&amp;$J1876,'Weekly Log'!$A:$A,"&lt;"&amp;$J1876+7)/COUNTIFS('Weekly Log'!$H:$H,"&lt;&gt;",'Weekly Log'!$A:$A,"&gt;="&amp;$J1876,'Weekly Log'!$A:$A,"&lt;"&amp;$J1876+7),0))</f>
        <v/>
      </c>
      <c r="E1876" t="str">
        <f>IF($J1876="","",IFERROR(AVERAGEIFS('Weekly Log'!$F:$F,'Weekly Log'!$A:$A,"&gt;="&amp;$J1876,'Weekly Log'!$A:$A,"&lt;"&amp;$J1876+7),0))</f>
        <v/>
      </c>
      <c r="F1876" t="str">
        <f>IF($J1876="","",IFERROR(SUMIFS('Weekly Log'!$F:$F,'Weekly Log'!$A:$A,"&gt;="&amp;$J1876,'Weekly Log'!$A:$A,"&lt;"&amp;$J1876+7)/SUMIFS('Weekly Log'!$E:$E,'Weekly Log'!$A:$A,"&gt;="&amp;$J1876,'Weekly Log'!$A:$A,"&lt;"&amp;$J1876+7),0))</f>
        <v/>
      </c>
      <c r="G1876" t="str">
        <f>IF($J1876="","",IFERROR(LOOKUP(2,1/(('Weekly Log'!$A$5:$A$5000&gt;=$J1876)*('Weekly Log'!$A$5:$A$5000&lt;$J1876+7)*('Weekly Log'!$M$5:$M$5000&lt;&gt;"")),'Weekly Log'!$M$5:$M$5000),0))</f>
        <v/>
      </c>
      <c r="J1876" t="str">
        <f>IF(COUNT('Weekly Log'!$A$5:$A$5000)=0,"",IF(MIN('Weekly Log'!$A$5:$A$5000)+7*(ROW()-10)&gt;MAX('Weekly Log'!$A$5:$A$5000),"",MIN('Weekly Log'!$A$5:$A$5000)+7*(ROW()-10)))</f>
        <v/>
      </c>
    </row>
    <row r="1877" spans="1:10" x14ac:dyDescent="0.25">
      <c r="A1877" t="str">
        <f t="shared" si="29"/>
        <v/>
      </c>
      <c r="B1877" t="str">
        <f>IF($J1877="","",SUMIFS('Weekly Log'!$C:$C,'Weekly Log'!$A:$A,"&gt;="&amp;$J1877,'Weekly Log'!$A:$A,"&lt;"&amp;$J1877+7))</f>
        <v/>
      </c>
      <c r="C1877" t="str">
        <f>IF($J1877="","",IFERROR(COUNTIFS('Weekly Log'!$G:$G,"Y",'Weekly Log'!$A:$A,"&gt;="&amp;$J1877,'Weekly Log'!$A:$A,"&lt;"&amp;$J1877+7)/COUNTIFS('Weekly Log'!$G:$G,"&lt;&gt;",'Weekly Log'!$A:$A,"&gt;="&amp;$J1877,'Weekly Log'!$A:$A,"&lt;"&amp;$J1877+7),0))</f>
        <v/>
      </c>
      <c r="D1877" t="str">
        <f>IF($J1877="","",IFERROR(COUNTIFS('Weekly Log'!$H:$H,"Y",'Weekly Log'!$A:$A,"&gt;="&amp;$J1877,'Weekly Log'!$A:$A,"&lt;"&amp;$J1877+7)/COUNTIFS('Weekly Log'!$H:$H,"&lt;&gt;",'Weekly Log'!$A:$A,"&gt;="&amp;$J1877,'Weekly Log'!$A:$A,"&lt;"&amp;$J1877+7),0))</f>
        <v/>
      </c>
      <c r="E1877" t="str">
        <f>IF($J1877="","",IFERROR(AVERAGEIFS('Weekly Log'!$F:$F,'Weekly Log'!$A:$A,"&gt;="&amp;$J1877,'Weekly Log'!$A:$A,"&lt;"&amp;$J1877+7),0))</f>
        <v/>
      </c>
      <c r="F1877" t="str">
        <f>IF($J1877="","",IFERROR(SUMIFS('Weekly Log'!$F:$F,'Weekly Log'!$A:$A,"&gt;="&amp;$J1877,'Weekly Log'!$A:$A,"&lt;"&amp;$J1877+7)/SUMIFS('Weekly Log'!$E:$E,'Weekly Log'!$A:$A,"&gt;="&amp;$J1877,'Weekly Log'!$A:$A,"&lt;"&amp;$J1877+7),0))</f>
        <v/>
      </c>
      <c r="G1877" t="str">
        <f>IF($J1877="","",IFERROR(LOOKUP(2,1/(('Weekly Log'!$A$5:$A$5000&gt;=$J1877)*('Weekly Log'!$A$5:$A$5000&lt;$J1877+7)*('Weekly Log'!$M$5:$M$5000&lt;&gt;"")),'Weekly Log'!$M$5:$M$5000),0))</f>
        <v/>
      </c>
      <c r="J1877" t="str">
        <f>IF(COUNT('Weekly Log'!$A$5:$A$5000)=0,"",IF(MIN('Weekly Log'!$A$5:$A$5000)+7*(ROW()-10)&gt;MAX('Weekly Log'!$A$5:$A$5000),"",MIN('Weekly Log'!$A$5:$A$5000)+7*(ROW()-10)))</f>
        <v/>
      </c>
    </row>
    <row r="1878" spans="1:10" x14ac:dyDescent="0.25">
      <c r="A1878" t="str">
        <f t="shared" si="29"/>
        <v/>
      </c>
      <c r="B1878" t="str">
        <f>IF($J1878="","",SUMIFS('Weekly Log'!$C:$C,'Weekly Log'!$A:$A,"&gt;="&amp;$J1878,'Weekly Log'!$A:$A,"&lt;"&amp;$J1878+7))</f>
        <v/>
      </c>
      <c r="C1878" t="str">
        <f>IF($J1878="","",IFERROR(COUNTIFS('Weekly Log'!$G:$G,"Y",'Weekly Log'!$A:$A,"&gt;="&amp;$J1878,'Weekly Log'!$A:$A,"&lt;"&amp;$J1878+7)/COUNTIFS('Weekly Log'!$G:$G,"&lt;&gt;",'Weekly Log'!$A:$A,"&gt;="&amp;$J1878,'Weekly Log'!$A:$A,"&lt;"&amp;$J1878+7),0))</f>
        <v/>
      </c>
      <c r="D1878" t="str">
        <f>IF($J1878="","",IFERROR(COUNTIFS('Weekly Log'!$H:$H,"Y",'Weekly Log'!$A:$A,"&gt;="&amp;$J1878,'Weekly Log'!$A:$A,"&lt;"&amp;$J1878+7)/COUNTIFS('Weekly Log'!$H:$H,"&lt;&gt;",'Weekly Log'!$A:$A,"&gt;="&amp;$J1878,'Weekly Log'!$A:$A,"&lt;"&amp;$J1878+7),0))</f>
        <v/>
      </c>
      <c r="E1878" t="str">
        <f>IF($J1878="","",IFERROR(AVERAGEIFS('Weekly Log'!$F:$F,'Weekly Log'!$A:$A,"&gt;="&amp;$J1878,'Weekly Log'!$A:$A,"&lt;"&amp;$J1878+7),0))</f>
        <v/>
      </c>
      <c r="F1878" t="str">
        <f>IF($J1878="","",IFERROR(SUMIFS('Weekly Log'!$F:$F,'Weekly Log'!$A:$A,"&gt;="&amp;$J1878,'Weekly Log'!$A:$A,"&lt;"&amp;$J1878+7)/SUMIFS('Weekly Log'!$E:$E,'Weekly Log'!$A:$A,"&gt;="&amp;$J1878,'Weekly Log'!$A:$A,"&lt;"&amp;$J1878+7),0))</f>
        <v/>
      </c>
      <c r="G1878" t="str">
        <f>IF($J1878="","",IFERROR(LOOKUP(2,1/(('Weekly Log'!$A$5:$A$5000&gt;=$J1878)*('Weekly Log'!$A$5:$A$5000&lt;$J1878+7)*('Weekly Log'!$M$5:$M$5000&lt;&gt;"")),'Weekly Log'!$M$5:$M$5000),0))</f>
        <v/>
      </c>
      <c r="J1878" t="str">
        <f>IF(COUNT('Weekly Log'!$A$5:$A$5000)=0,"",IF(MIN('Weekly Log'!$A$5:$A$5000)+7*(ROW()-10)&gt;MAX('Weekly Log'!$A$5:$A$5000),"",MIN('Weekly Log'!$A$5:$A$5000)+7*(ROW()-10)))</f>
        <v/>
      </c>
    </row>
    <row r="1879" spans="1:10" x14ac:dyDescent="0.25">
      <c r="A1879" t="str">
        <f t="shared" si="29"/>
        <v/>
      </c>
      <c r="B1879" t="str">
        <f>IF($J1879="","",SUMIFS('Weekly Log'!$C:$C,'Weekly Log'!$A:$A,"&gt;="&amp;$J1879,'Weekly Log'!$A:$A,"&lt;"&amp;$J1879+7))</f>
        <v/>
      </c>
      <c r="C1879" t="str">
        <f>IF($J1879="","",IFERROR(COUNTIFS('Weekly Log'!$G:$G,"Y",'Weekly Log'!$A:$A,"&gt;="&amp;$J1879,'Weekly Log'!$A:$A,"&lt;"&amp;$J1879+7)/COUNTIFS('Weekly Log'!$G:$G,"&lt;&gt;",'Weekly Log'!$A:$A,"&gt;="&amp;$J1879,'Weekly Log'!$A:$A,"&lt;"&amp;$J1879+7),0))</f>
        <v/>
      </c>
      <c r="D1879" t="str">
        <f>IF($J1879="","",IFERROR(COUNTIFS('Weekly Log'!$H:$H,"Y",'Weekly Log'!$A:$A,"&gt;="&amp;$J1879,'Weekly Log'!$A:$A,"&lt;"&amp;$J1879+7)/COUNTIFS('Weekly Log'!$H:$H,"&lt;&gt;",'Weekly Log'!$A:$A,"&gt;="&amp;$J1879,'Weekly Log'!$A:$A,"&lt;"&amp;$J1879+7),0))</f>
        <v/>
      </c>
      <c r="E1879" t="str">
        <f>IF($J1879="","",IFERROR(AVERAGEIFS('Weekly Log'!$F:$F,'Weekly Log'!$A:$A,"&gt;="&amp;$J1879,'Weekly Log'!$A:$A,"&lt;"&amp;$J1879+7),0))</f>
        <v/>
      </c>
      <c r="F1879" t="str">
        <f>IF($J1879="","",IFERROR(SUMIFS('Weekly Log'!$F:$F,'Weekly Log'!$A:$A,"&gt;="&amp;$J1879,'Weekly Log'!$A:$A,"&lt;"&amp;$J1879+7)/SUMIFS('Weekly Log'!$E:$E,'Weekly Log'!$A:$A,"&gt;="&amp;$J1879,'Weekly Log'!$A:$A,"&lt;"&amp;$J1879+7),0))</f>
        <v/>
      </c>
      <c r="G1879" t="str">
        <f>IF($J1879="","",IFERROR(LOOKUP(2,1/(('Weekly Log'!$A$5:$A$5000&gt;=$J1879)*('Weekly Log'!$A$5:$A$5000&lt;$J1879+7)*('Weekly Log'!$M$5:$M$5000&lt;&gt;"")),'Weekly Log'!$M$5:$M$5000),0))</f>
        <v/>
      </c>
      <c r="J1879" t="str">
        <f>IF(COUNT('Weekly Log'!$A$5:$A$5000)=0,"",IF(MIN('Weekly Log'!$A$5:$A$5000)+7*(ROW()-10)&gt;MAX('Weekly Log'!$A$5:$A$5000),"",MIN('Weekly Log'!$A$5:$A$5000)+7*(ROW()-10)))</f>
        <v/>
      </c>
    </row>
    <row r="1880" spans="1:10" x14ac:dyDescent="0.25">
      <c r="A1880" t="str">
        <f t="shared" si="29"/>
        <v/>
      </c>
      <c r="B1880" t="str">
        <f>IF($J1880="","",SUMIFS('Weekly Log'!$C:$C,'Weekly Log'!$A:$A,"&gt;="&amp;$J1880,'Weekly Log'!$A:$A,"&lt;"&amp;$J1880+7))</f>
        <v/>
      </c>
      <c r="C1880" t="str">
        <f>IF($J1880="","",IFERROR(COUNTIFS('Weekly Log'!$G:$G,"Y",'Weekly Log'!$A:$A,"&gt;="&amp;$J1880,'Weekly Log'!$A:$A,"&lt;"&amp;$J1880+7)/COUNTIFS('Weekly Log'!$G:$G,"&lt;&gt;",'Weekly Log'!$A:$A,"&gt;="&amp;$J1880,'Weekly Log'!$A:$A,"&lt;"&amp;$J1880+7),0))</f>
        <v/>
      </c>
      <c r="D1880" t="str">
        <f>IF($J1880="","",IFERROR(COUNTIFS('Weekly Log'!$H:$H,"Y",'Weekly Log'!$A:$A,"&gt;="&amp;$J1880,'Weekly Log'!$A:$A,"&lt;"&amp;$J1880+7)/COUNTIFS('Weekly Log'!$H:$H,"&lt;&gt;",'Weekly Log'!$A:$A,"&gt;="&amp;$J1880,'Weekly Log'!$A:$A,"&lt;"&amp;$J1880+7),0))</f>
        <v/>
      </c>
      <c r="E1880" t="str">
        <f>IF($J1880="","",IFERROR(AVERAGEIFS('Weekly Log'!$F:$F,'Weekly Log'!$A:$A,"&gt;="&amp;$J1880,'Weekly Log'!$A:$A,"&lt;"&amp;$J1880+7),0))</f>
        <v/>
      </c>
      <c r="F1880" t="str">
        <f>IF($J1880="","",IFERROR(SUMIFS('Weekly Log'!$F:$F,'Weekly Log'!$A:$A,"&gt;="&amp;$J1880,'Weekly Log'!$A:$A,"&lt;"&amp;$J1880+7)/SUMIFS('Weekly Log'!$E:$E,'Weekly Log'!$A:$A,"&gt;="&amp;$J1880,'Weekly Log'!$A:$A,"&lt;"&amp;$J1880+7),0))</f>
        <v/>
      </c>
      <c r="G1880" t="str">
        <f>IF($J1880="","",IFERROR(LOOKUP(2,1/(('Weekly Log'!$A$5:$A$5000&gt;=$J1880)*('Weekly Log'!$A$5:$A$5000&lt;$J1880+7)*('Weekly Log'!$M$5:$M$5000&lt;&gt;"")),'Weekly Log'!$M$5:$M$5000),0))</f>
        <v/>
      </c>
      <c r="J1880" t="str">
        <f>IF(COUNT('Weekly Log'!$A$5:$A$5000)=0,"",IF(MIN('Weekly Log'!$A$5:$A$5000)+7*(ROW()-10)&gt;MAX('Weekly Log'!$A$5:$A$5000),"",MIN('Weekly Log'!$A$5:$A$5000)+7*(ROW()-10)))</f>
        <v/>
      </c>
    </row>
    <row r="1881" spans="1:10" x14ac:dyDescent="0.25">
      <c r="A1881" t="str">
        <f t="shared" si="29"/>
        <v/>
      </c>
      <c r="B1881" t="str">
        <f>IF($J1881="","",SUMIFS('Weekly Log'!$C:$C,'Weekly Log'!$A:$A,"&gt;="&amp;$J1881,'Weekly Log'!$A:$A,"&lt;"&amp;$J1881+7))</f>
        <v/>
      </c>
      <c r="C1881" t="str">
        <f>IF($J1881="","",IFERROR(COUNTIFS('Weekly Log'!$G:$G,"Y",'Weekly Log'!$A:$A,"&gt;="&amp;$J1881,'Weekly Log'!$A:$A,"&lt;"&amp;$J1881+7)/COUNTIFS('Weekly Log'!$G:$G,"&lt;&gt;",'Weekly Log'!$A:$A,"&gt;="&amp;$J1881,'Weekly Log'!$A:$A,"&lt;"&amp;$J1881+7),0))</f>
        <v/>
      </c>
      <c r="D1881" t="str">
        <f>IF($J1881="","",IFERROR(COUNTIFS('Weekly Log'!$H:$H,"Y",'Weekly Log'!$A:$A,"&gt;="&amp;$J1881,'Weekly Log'!$A:$A,"&lt;"&amp;$J1881+7)/COUNTIFS('Weekly Log'!$H:$H,"&lt;&gt;",'Weekly Log'!$A:$A,"&gt;="&amp;$J1881,'Weekly Log'!$A:$A,"&lt;"&amp;$J1881+7),0))</f>
        <v/>
      </c>
      <c r="E1881" t="str">
        <f>IF($J1881="","",IFERROR(AVERAGEIFS('Weekly Log'!$F:$F,'Weekly Log'!$A:$A,"&gt;="&amp;$J1881,'Weekly Log'!$A:$A,"&lt;"&amp;$J1881+7),0))</f>
        <v/>
      </c>
      <c r="F1881" t="str">
        <f>IF($J1881="","",IFERROR(SUMIFS('Weekly Log'!$F:$F,'Weekly Log'!$A:$A,"&gt;="&amp;$J1881,'Weekly Log'!$A:$A,"&lt;"&amp;$J1881+7)/SUMIFS('Weekly Log'!$E:$E,'Weekly Log'!$A:$A,"&gt;="&amp;$J1881,'Weekly Log'!$A:$A,"&lt;"&amp;$J1881+7),0))</f>
        <v/>
      </c>
      <c r="G1881" t="str">
        <f>IF($J1881="","",IFERROR(LOOKUP(2,1/(('Weekly Log'!$A$5:$A$5000&gt;=$J1881)*('Weekly Log'!$A$5:$A$5000&lt;$J1881+7)*('Weekly Log'!$M$5:$M$5000&lt;&gt;"")),'Weekly Log'!$M$5:$M$5000),0))</f>
        <v/>
      </c>
      <c r="J1881" t="str">
        <f>IF(COUNT('Weekly Log'!$A$5:$A$5000)=0,"",IF(MIN('Weekly Log'!$A$5:$A$5000)+7*(ROW()-10)&gt;MAX('Weekly Log'!$A$5:$A$5000),"",MIN('Weekly Log'!$A$5:$A$5000)+7*(ROW()-10)))</f>
        <v/>
      </c>
    </row>
    <row r="1882" spans="1:10" x14ac:dyDescent="0.25">
      <c r="A1882" t="str">
        <f t="shared" si="29"/>
        <v/>
      </c>
      <c r="B1882" t="str">
        <f>IF($J1882="","",SUMIFS('Weekly Log'!$C:$C,'Weekly Log'!$A:$A,"&gt;="&amp;$J1882,'Weekly Log'!$A:$A,"&lt;"&amp;$J1882+7))</f>
        <v/>
      </c>
      <c r="C1882" t="str">
        <f>IF($J1882="","",IFERROR(COUNTIFS('Weekly Log'!$G:$G,"Y",'Weekly Log'!$A:$A,"&gt;="&amp;$J1882,'Weekly Log'!$A:$A,"&lt;"&amp;$J1882+7)/COUNTIFS('Weekly Log'!$G:$G,"&lt;&gt;",'Weekly Log'!$A:$A,"&gt;="&amp;$J1882,'Weekly Log'!$A:$A,"&lt;"&amp;$J1882+7),0))</f>
        <v/>
      </c>
      <c r="D1882" t="str">
        <f>IF($J1882="","",IFERROR(COUNTIFS('Weekly Log'!$H:$H,"Y",'Weekly Log'!$A:$A,"&gt;="&amp;$J1882,'Weekly Log'!$A:$A,"&lt;"&amp;$J1882+7)/COUNTIFS('Weekly Log'!$H:$H,"&lt;&gt;",'Weekly Log'!$A:$A,"&gt;="&amp;$J1882,'Weekly Log'!$A:$A,"&lt;"&amp;$J1882+7),0))</f>
        <v/>
      </c>
      <c r="E1882" t="str">
        <f>IF($J1882="","",IFERROR(AVERAGEIFS('Weekly Log'!$F:$F,'Weekly Log'!$A:$A,"&gt;="&amp;$J1882,'Weekly Log'!$A:$A,"&lt;"&amp;$J1882+7),0))</f>
        <v/>
      </c>
      <c r="F1882" t="str">
        <f>IF($J1882="","",IFERROR(SUMIFS('Weekly Log'!$F:$F,'Weekly Log'!$A:$A,"&gt;="&amp;$J1882,'Weekly Log'!$A:$A,"&lt;"&amp;$J1882+7)/SUMIFS('Weekly Log'!$E:$E,'Weekly Log'!$A:$A,"&gt;="&amp;$J1882,'Weekly Log'!$A:$A,"&lt;"&amp;$J1882+7),0))</f>
        <v/>
      </c>
      <c r="G1882" t="str">
        <f>IF($J1882="","",IFERROR(LOOKUP(2,1/(('Weekly Log'!$A$5:$A$5000&gt;=$J1882)*('Weekly Log'!$A$5:$A$5000&lt;$J1882+7)*('Weekly Log'!$M$5:$M$5000&lt;&gt;"")),'Weekly Log'!$M$5:$M$5000),0))</f>
        <v/>
      </c>
      <c r="J1882" t="str">
        <f>IF(COUNT('Weekly Log'!$A$5:$A$5000)=0,"",IF(MIN('Weekly Log'!$A$5:$A$5000)+7*(ROW()-10)&gt;MAX('Weekly Log'!$A$5:$A$5000),"",MIN('Weekly Log'!$A$5:$A$5000)+7*(ROW()-10)))</f>
        <v/>
      </c>
    </row>
    <row r="1883" spans="1:10" x14ac:dyDescent="0.25">
      <c r="A1883" t="str">
        <f t="shared" si="29"/>
        <v/>
      </c>
      <c r="B1883" t="str">
        <f>IF($J1883="","",SUMIFS('Weekly Log'!$C:$C,'Weekly Log'!$A:$A,"&gt;="&amp;$J1883,'Weekly Log'!$A:$A,"&lt;"&amp;$J1883+7))</f>
        <v/>
      </c>
      <c r="C1883" t="str">
        <f>IF($J1883="","",IFERROR(COUNTIFS('Weekly Log'!$G:$G,"Y",'Weekly Log'!$A:$A,"&gt;="&amp;$J1883,'Weekly Log'!$A:$A,"&lt;"&amp;$J1883+7)/COUNTIFS('Weekly Log'!$G:$G,"&lt;&gt;",'Weekly Log'!$A:$A,"&gt;="&amp;$J1883,'Weekly Log'!$A:$A,"&lt;"&amp;$J1883+7),0))</f>
        <v/>
      </c>
      <c r="D1883" t="str">
        <f>IF($J1883="","",IFERROR(COUNTIFS('Weekly Log'!$H:$H,"Y",'Weekly Log'!$A:$A,"&gt;="&amp;$J1883,'Weekly Log'!$A:$A,"&lt;"&amp;$J1883+7)/COUNTIFS('Weekly Log'!$H:$H,"&lt;&gt;",'Weekly Log'!$A:$A,"&gt;="&amp;$J1883,'Weekly Log'!$A:$A,"&lt;"&amp;$J1883+7),0))</f>
        <v/>
      </c>
      <c r="E1883" t="str">
        <f>IF($J1883="","",IFERROR(AVERAGEIFS('Weekly Log'!$F:$F,'Weekly Log'!$A:$A,"&gt;="&amp;$J1883,'Weekly Log'!$A:$A,"&lt;"&amp;$J1883+7),0))</f>
        <v/>
      </c>
      <c r="F1883" t="str">
        <f>IF($J1883="","",IFERROR(SUMIFS('Weekly Log'!$F:$F,'Weekly Log'!$A:$A,"&gt;="&amp;$J1883,'Weekly Log'!$A:$A,"&lt;"&amp;$J1883+7)/SUMIFS('Weekly Log'!$E:$E,'Weekly Log'!$A:$A,"&gt;="&amp;$J1883,'Weekly Log'!$A:$A,"&lt;"&amp;$J1883+7),0))</f>
        <v/>
      </c>
      <c r="G1883" t="str">
        <f>IF($J1883="","",IFERROR(LOOKUP(2,1/(('Weekly Log'!$A$5:$A$5000&gt;=$J1883)*('Weekly Log'!$A$5:$A$5000&lt;$J1883+7)*('Weekly Log'!$M$5:$M$5000&lt;&gt;"")),'Weekly Log'!$M$5:$M$5000),0))</f>
        <v/>
      </c>
      <c r="J1883" t="str">
        <f>IF(COUNT('Weekly Log'!$A$5:$A$5000)=0,"",IF(MIN('Weekly Log'!$A$5:$A$5000)+7*(ROW()-10)&gt;MAX('Weekly Log'!$A$5:$A$5000),"",MIN('Weekly Log'!$A$5:$A$5000)+7*(ROW()-10)))</f>
        <v/>
      </c>
    </row>
    <row r="1884" spans="1:10" x14ac:dyDescent="0.25">
      <c r="A1884" t="str">
        <f t="shared" si="29"/>
        <v/>
      </c>
      <c r="B1884" t="str">
        <f>IF($J1884="","",SUMIFS('Weekly Log'!$C:$C,'Weekly Log'!$A:$A,"&gt;="&amp;$J1884,'Weekly Log'!$A:$A,"&lt;"&amp;$J1884+7))</f>
        <v/>
      </c>
      <c r="C1884" t="str">
        <f>IF($J1884="","",IFERROR(COUNTIFS('Weekly Log'!$G:$G,"Y",'Weekly Log'!$A:$A,"&gt;="&amp;$J1884,'Weekly Log'!$A:$A,"&lt;"&amp;$J1884+7)/COUNTIFS('Weekly Log'!$G:$G,"&lt;&gt;",'Weekly Log'!$A:$A,"&gt;="&amp;$J1884,'Weekly Log'!$A:$A,"&lt;"&amp;$J1884+7),0))</f>
        <v/>
      </c>
      <c r="D1884" t="str">
        <f>IF($J1884="","",IFERROR(COUNTIFS('Weekly Log'!$H:$H,"Y",'Weekly Log'!$A:$A,"&gt;="&amp;$J1884,'Weekly Log'!$A:$A,"&lt;"&amp;$J1884+7)/COUNTIFS('Weekly Log'!$H:$H,"&lt;&gt;",'Weekly Log'!$A:$A,"&gt;="&amp;$J1884,'Weekly Log'!$A:$A,"&lt;"&amp;$J1884+7),0))</f>
        <v/>
      </c>
      <c r="E1884" t="str">
        <f>IF($J1884="","",IFERROR(AVERAGEIFS('Weekly Log'!$F:$F,'Weekly Log'!$A:$A,"&gt;="&amp;$J1884,'Weekly Log'!$A:$A,"&lt;"&amp;$J1884+7),0))</f>
        <v/>
      </c>
      <c r="F1884" t="str">
        <f>IF($J1884="","",IFERROR(SUMIFS('Weekly Log'!$F:$F,'Weekly Log'!$A:$A,"&gt;="&amp;$J1884,'Weekly Log'!$A:$A,"&lt;"&amp;$J1884+7)/SUMIFS('Weekly Log'!$E:$E,'Weekly Log'!$A:$A,"&gt;="&amp;$J1884,'Weekly Log'!$A:$A,"&lt;"&amp;$J1884+7),0))</f>
        <v/>
      </c>
      <c r="G1884" t="str">
        <f>IF($J1884="","",IFERROR(LOOKUP(2,1/(('Weekly Log'!$A$5:$A$5000&gt;=$J1884)*('Weekly Log'!$A$5:$A$5000&lt;$J1884+7)*('Weekly Log'!$M$5:$M$5000&lt;&gt;"")),'Weekly Log'!$M$5:$M$5000),0))</f>
        <v/>
      </c>
      <c r="J1884" t="str">
        <f>IF(COUNT('Weekly Log'!$A$5:$A$5000)=0,"",IF(MIN('Weekly Log'!$A$5:$A$5000)+7*(ROW()-10)&gt;MAX('Weekly Log'!$A$5:$A$5000),"",MIN('Weekly Log'!$A$5:$A$5000)+7*(ROW()-10)))</f>
        <v/>
      </c>
    </row>
    <row r="1885" spans="1:10" x14ac:dyDescent="0.25">
      <c r="A1885" t="str">
        <f t="shared" si="29"/>
        <v/>
      </c>
      <c r="B1885" t="str">
        <f>IF($J1885="","",SUMIFS('Weekly Log'!$C:$C,'Weekly Log'!$A:$A,"&gt;="&amp;$J1885,'Weekly Log'!$A:$A,"&lt;"&amp;$J1885+7))</f>
        <v/>
      </c>
      <c r="C1885" t="str">
        <f>IF($J1885="","",IFERROR(COUNTIFS('Weekly Log'!$G:$G,"Y",'Weekly Log'!$A:$A,"&gt;="&amp;$J1885,'Weekly Log'!$A:$A,"&lt;"&amp;$J1885+7)/COUNTIFS('Weekly Log'!$G:$G,"&lt;&gt;",'Weekly Log'!$A:$A,"&gt;="&amp;$J1885,'Weekly Log'!$A:$A,"&lt;"&amp;$J1885+7),0))</f>
        <v/>
      </c>
      <c r="D1885" t="str">
        <f>IF($J1885="","",IFERROR(COUNTIFS('Weekly Log'!$H:$H,"Y",'Weekly Log'!$A:$A,"&gt;="&amp;$J1885,'Weekly Log'!$A:$A,"&lt;"&amp;$J1885+7)/COUNTIFS('Weekly Log'!$H:$H,"&lt;&gt;",'Weekly Log'!$A:$A,"&gt;="&amp;$J1885,'Weekly Log'!$A:$A,"&lt;"&amp;$J1885+7),0))</f>
        <v/>
      </c>
      <c r="E1885" t="str">
        <f>IF($J1885="","",IFERROR(AVERAGEIFS('Weekly Log'!$F:$F,'Weekly Log'!$A:$A,"&gt;="&amp;$J1885,'Weekly Log'!$A:$A,"&lt;"&amp;$J1885+7),0))</f>
        <v/>
      </c>
      <c r="F1885" t="str">
        <f>IF($J1885="","",IFERROR(SUMIFS('Weekly Log'!$F:$F,'Weekly Log'!$A:$A,"&gt;="&amp;$J1885,'Weekly Log'!$A:$A,"&lt;"&amp;$J1885+7)/SUMIFS('Weekly Log'!$E:$E,'Weekly Log'!$A:$A,"&gt;="&amp;$J1885,'Weekly Log'!$A:$A,"&lt;"&amp;$J1885+7),0))</f>
        <v/>
      </c>
      <c r="G1885" t="str">
        <f>IF($J1885="","",IFERROR(LOOKUP(2,1/(('Weekly Log'!$A$5:$A$5000&gt;=$J1885)*('Weekly Log'!$A$5:$A$5000&lt;$J1885+7)*('Weekly Log'!$M$5:$M$5000&lt;&gt;"")),'Weekly Log'!$M$5:$M$5000),0))</f>
        <v/>
      </c>
      <c r="J1885" t="str">
        <f>IF(COUNT('Weekly Log'!$A$5:$A$5000)=0,"",IF(MIN('Weekly Log'!$A$5:$A$5000)+7*(ROW()-10)&gt;MAX('Weekly Log'!$A$5:$A$5000),"",MIN('Weekly Log'!$A$5:$A$5000)+7*(ROW()-10)))</f>
        <v/>
      </c>
    </row>
    <row r="1886" spans="1:10" x14ac:dyDescent="0.25">
      <c r="A1886" t="str">
        <f t="shared" si="29"/>
        <v/>
      </c>
      <c r="B1886" t="str">
        <f>IF($J1886="","",SUMIFS('Weekly Log'!$C:$C,'Weekly Log'!$A:$A,"&gt;="&amp;$J1886,'Weekly Log'!$A:$A,"&lt;"&amp;$J1886+7))</f>
        <v/>
      </c>
      <c r="C1886" t="str">
        <f>IF($J1886="","",IFERROR(COUNTIFS('Weekly Log'!$G:$G,"Y",'Weekly Log'!$A:$A,"&gt;="&amp;$J1886,'Weekly Log'!$A:$A,"&lt;"&amp;$J1886+7)/COUNTIFS('Weekly Log'!$G:$G,"&lt;&gt;",'Weekly Log'!$A:$A,"&gt;="&amp;$J1886,'Weekly Log'!$A:$A,"&lt;"&amp;$J1886+7),0))</f>
        <v/>
      </c>
      <c r="D1886" t="str">
        <f>IF($J1886="","",IFERROR(COUNTIFS('Weekly Log'!$H:$H,"Y",'Weekly Log'!$A:$A,"&gt;="&amp;$J1886,'Weekly Log'!$A:$A,"&lt;"&amp;$J1886+7)/COUNTIFS('Weekly Log'!$H:$H,"&lt;&gt;",'Weekly Log'!$A:$A,"&gt;="&amp;$J1886,'Weekly Log'!$A:$A,"&lt;"&amp;$J1886+7),0))</f>
        <v/>
      </c>
      <c r="E1886" t="str">
        <f>IF($J1886="","",IFERROR(AVERAGEIFS('Weekly Log'!$F:$F,'Weekly Log'!$A:$A,"&gt;="&amp;$J1886,'Weekly Log'!$A:$A,"&lt;"&amp;$J1886+7),0))</f>
        <v/>
      </c>
      <c r="F1886" t="str">
        <f>IF($J1886="","",IFERROR(SUMIFS('Weekly Log'!$F:$F,'Weekly Log'!$A:$A,"&gt;="&amp;$J1886,'Weekly Log'!$A:$A,"&lt;"&amp;$J1886+7)/SUMIFS('Weekly Log'!$E:$E,'Weekly Log'!$A:$A,"&gt;="&amp;$J1886,'Weekly Log'!$A:$A,"&lt;"&amp;$J1886+7),0))</f>
        <v/>
      </c>
      <c r="G1886" t="str">
        <f>IF($J1886="","",IFERROR(LOOKUP(2,1/(('Weekly Log'!$A$5:$A$5000&gt;=$J1886)*('Weekly Log'!$A$5:$A$5000&lt;$J1886+7)*('Weekly Log'!$M$5:$M$5000&lt;&gt;"")),'Weekly Log'!$M$5:$M$5000),0))</f>
        <v/>
      </c>
      <c r="J1886" t="str">
        <f>IF(COUNT('Weekly Log'!$A$5:$A$5000)=0,"",IF(MIN('Weekly Log'!$A$5:$A$5000)+7*(ROW()-10)&gt;MAX('Weekly Log'!$A$5:$A$5000),"",MIN('Weekly Log'!$A$5:$A$5000)+7*(ROW()-10)))</f>
        <v/>
      </c>
    </row>
    <row r="1887" spans="1:10" x14ac:dyDescent="0.25">
      <c r="A1887" t="str">
        <f t="shared" si="29"/>
        <v/>
      </c>
      <c r="B1887" t="str">
        <f>IF($J1887="","",SUMIFS('Weekly Log'!$C:$C,'Weekly Log'!$A:$A,"&gt;="&amp;$J1887,'Weekly Log'!$A:$A,"&lt;"&amp;$J1887+7))</f>
        <v/>
      </c>
      <c r="C1887" t="str">
        <f>IF($J1887="","",IFERROR(COUNTIFS('Weekly Log'!$G:$G,"Y",'Weekly Log'!$A:$A,"&gt;="&amp;$J1887,'Weekly Log'!$A:$A,"&lt;"&amp;$J1887+7)/COUNTIFS('Weekly Log'!$G:$G,"&lt;&gt;",'Weekly Log'!$A:$A,"&gt;="&amp;$J1887,'Weekly Log'!$A:$A,"&lt;"&amp;$J1887+7),0))</f>
        <v/>
      </c>
      <c r="D1887" t="str">
        <f>IF($J1887="","",IFERROR(COUNTIFS('Weekly Log'!$H:$H,"Y",'Weekly Log'!$A:$A,"&gt;="&amp;$J1887,'Weekly Log'!$A:$A,"&lt;"&amp;$J1887+7)/COUNTIFS('Weekly Log'!$H:$H,"&lt;&gt;",'Weekly Log'!$A:$A,"&gt;="&amp;$J1887,'Weekly Log'!$A:$A,"&lt;"&amp;$J1887+7),0))</f>
        <v/>
      </c>
      <c r="E1887" t="str">
        <f>IF($J1887="","",IFERROR(AVERAGEIFS('Weekly Log'!$F:$F,'Weekly Log'!$A:$A,"&gt;="&amp;$J1887,'Weekly Log'!$A:$A,"&lt;"&amp;$J1887+7),0))</f>
        <v/>
      </c>
      <c r="F1887" t="str">
        <f>IF($J1887="","",IFERROR(SUMIFS('Weekly Log'!$F:$F,'Weekly Log'!$A:$A,"&gt;="&amp;$J1887,'Weekly Log'!$A:$A,"&lt;"&amp;$J1887+7)/SUMIFS('Weekly Log'!$E:$E,'Weekly Log'!$A:$A,"&gt;="&amp;$J1887,'Weekly Log'!$A:$A,"&lt;"&amp;$J1887+7),0))</f>
        <v/>
      </c>
      <c r="G1887" t="str">
        <f>IF($J1887="","",IFERROR(LOOKUP(2,1/(('Weekly Log'!$A$5:$A$5000&gt;=$J1887)*('Weekly Log'!$A$5:$A$5000&lt;$J1887+7)*('Weekly Log'!$M$5:$M$5000&lt;&gt;"")),'Weekly Log'!$M$5:$M$5000),0))</f>
        <v/>
      </c>
      <c r="J1887" t="str">
        <f>IF(COUNT('Weekly Log'!$A$5:$A$5000)=0,"",IF(MIN('Weekly Log'!$A$5:$A$5000)+7*(ROW()-10)&gt;MAX('Weekly Log'!$A$5:$A$5000),"",MIN('Weekly Log'!$A$5:$A$5000)+7*(ROW()-10)))</f>
        <v/>
      </c>
    </row>
    <row r="1888" spans="1:10" x14ac:dyDescent="0.25">
      <c r="A1888" t="str">
        <f t="shared" si="29"/>
        <v/>
      </c>
      <c r="B1888" t="str">
        <f>IF($J1888="","",SUMIFS('Weekly Log'!$C:$C,'Weekly Log'!$A:$A,"&gt;="&amp;$J1888,'Weekly Log'!$A:$A,"&lt;"&amp;$J1888+7))</f>
        <v/>
      </c>
      <c r="C1888" t="str">
        <f>IF($J1888="","",IFERROR(COUNTIFS('Weekly Log'!$G:$G,"Y",'Weekly Log'!$A:$A,"&gt;="&amp;$J1888,'Weekly Log'!$A:$A,"&lt;"&amp;$J1888+7)/COUNTIFS('Weekly Log'!$G:$G,"&lt;&gt;",'Weekly Log'!$A:$A,"&gt;="&amp;$J1888,'Weekly Log'!$A:$A,"&lt;"&amp;$J1888+7),0))</f>
        <v/>
      </c>
      <c r="D1888" t="str">
        <f>IF($J1888="","",IFERROR(COUNTIFS('Weekly Log'!$H:$H,"Y",'Weekly Log'!$A:$A,"&gt;="&amp;$J1888,'Weekly Log'!$A:$A,"&lt;"&amp;$J1888+7)/COUNTIFS('Weekly Log'!$H:$H,"&lt;&gt;",'Weekly Log'!$A:$A,"&gt;="&amp;$J1888,'Weekly Log'!$A:$A,"&lt;"&amp;$J1888+7),0))</f>
        <v/>
      </c>
      <c r="E1888" t="str">
        <f>IF($J1888="","",IFERROR(AVERAGEIFS('Weekly Log'!$F:$F,'Weekly Log'!$A:$A,"&gt;="&amp;$J1888,'Weekly Log'!$A:$A,"&lt;"&amp;$J1888+7),0))</f>
        <v/>
      </c>
      <c r="F1888" t="str">
        <f>IF($J1888="","",IFERROR(SUMIFS('Weekly Log'!$F:$F,'Weekly Log'!$A:$A,"&gt;="&amp;$J1888,'Weekly Log'!$A:$A,"&lt;"&amp;$J1888+7)/SUMIFS('Weekly Log'!$E:$E,'Weekly Log'!$A:$A,"&gt;="&amp;$J1888,'Weekly Log'!$A:$A,"&lt;"&amp;$J1888+7),0))</f>
        <v/>
      </c>
      <c r="G1888" t="str">
        <f>IF($J1888="","",IFERROR(LOOKUP(2,1/(('Weekly Log'!$A$5:$A$5000&gt;=$J1888)*('Weekly Log'!$A$5:$A$5000&lt;$J1888+7)*('Weekly Log'!$M$5:$M$5000&lt;&gt;"")),'Weekly Log'!$M$5:$M$5000),0))</f>
        <v/>
      </c>
      <c r="J1888" t="str">
        <f>IF(COUNT('Weekly Log'!$A$5:$A$5000)=0,"",IF(MIN('Weekly Log'!$A$5:$A$5000)+7*(ROW()-10)&gt;MAX('Weekly Log'!$A$5:$A$5000),"",MIN('Weekly Log'!$A$5:$A$5000)+7*(ROW()-10)))</f>
        <v/>
      </c>
    </row>
    <row r="1889" spans="1:10" x14ac:dyDescent="0.25">
      <c r="A1889" t="str">
        <f t="shared" si="29"/>
        <v/>
      </c>
      <c r="B1889" t="str">
        <f>IF($J1889="","",SUMIFS('Weekly Log'!$C:$C,'Weekly Log'!$A:$A,"&gt;="&amp;$J1889,'Weekly Log'!$A:$A,"&lt;"&amp;$J1889+7))</f>
        <v/>
      </c>
      <c r="C1889" t="str">
        <f>IF($J1889="","",IFERROR(COUNTIFS('Weekly Log'!$G:$G,"Y",'Weekly Log'!$A:$A,"&gt;="&amp;$J1889,'Weekly Log'!$A:$A,"&lt;"&amp;$J1889+7)/COUNTIFS('Weekly Log'!$G:$G,"&lt;&gt;",'Weekly Log'!$A:$A,"&gt;="&amp;$J1889,'Weekly Log'!$A:$A,"&lt;"&amp;$J1889+7),0))</f>
        <v/>
      </c>
      <c r="D1889" t="str">
        <f>IF($J1889="","",IFERROR(COUNTIFS('Weekly Log'!$H:$H,"Y",'Weekly Log'!$A:$A,"&gt;="&amp;$J1889,'Weekly Log'!$A:$A,"&lt;"&amp;$J1889+7)/COUNTIFS('Weekly Log'!$H:$H,"&lt;&gt;",'Weekly Log'!$A:$A,"&gt;="&amp;$J1889,'Weekly Log'!$A:$A,"&lt;"&amp;$J1889+7),0))</f>
        <v/>
      </c>
      <c r="E1889" t="str">
        <f>IF($J1889="","",IFERROR(AVERAGEIFS('Weekly Log'!$F:$F,'Weekly Log'!$A:$A,"&gt;="&amp;$J1889,'Weekly Log'!$A:$A,"&lt;"&amp;$J1889+7),0))</f>
        <v/>
      </c>
      <c r="F1889" t="str">
        <f>IF($J1889="","",IFERROR(SUMIFS('Weekly Log'!$F:$F,'Weekly Log'!$A:$A,"&gt;="&amp;$J1889,'Weekly Log'!$A:$A,"&lt;"&amp;$J1889+7)/SUMIFS('Weekly Log'!$E:$E,'Weekly Log'!$A:$A,"&gt;="&amp;$J1889,'Weekly Log'!$A:$A,"&lt;"&amp;$J1889+7),0))</f>
        <v/>
      </c>
      <c r="G1889" t="str">
        <f>IF($J1889="","",IFERROR(LOOKUP(2,1/(('Weekly Log'!$A$5:$A$5000&gt;=$J1889)*('Weekly Log'!$A$5:$A$5000&lt;$J1889+7)*('Weekly Log'!$M$5:$M$5000&lt;&gt;"")),'Weekly Log'!$M$5:$M$5000),0))</f>
        <v/>
      </c>
      <c r="J1889" t="str">
        <f>IF(COUNT('Weekly Log'!$A$5:$A$5000)=0,"",IF(MIN('Weekly Log'!$A$5:$A$5000)+7*(ROW()-10)&gt;MAX('Weekly Log'!$A$5:$A$5000),"",MIN('Weekly Log'!$A$5:$A$5000)+7*(ROW()-10)))</f>
        <v/>
      </c>
    </row>
    <row r="1890" spans="1:10" x14ac:dyDescent="0.25">
      <c r="A1890" t="str">
        <f t="shared" si="29"/>
        <v/>
      </c>
      <c r="B1890" t="str">
        <f>IF($J1890="","",SUMIFS('Weekly Log'!$C:$C,'Weekly Log'!$A:$A,"&gt;="&amp;$J1890,'Weekly Log'!$A:$A,"&lt;"&amp;$J1890+7))</f>
        <v/>
      </c>
      <c r="C1890" t="str">
        <f>IF($J1890="","",IFERROR(COUNTIFS('Weekly Log'!$G:$G,"Y",'Weekly Log'!$A:$A,"&gt;="&amp;$J1890,'Weekly Log'!$A:$A,"&lt;"&amp;$J1890+7)/COUNTIFS('Weekly Log'!$G:$G,"&lt;&gt;",'Weekly Log'!$A:$A,"&gt;="&amp;$J1890,'Weekly Log'!$A:$A,"&lt;"&amp;$J1890+7),0))</f>
        <v/>
      </c>
      <c r="D1890" t="str">
        <f>IF($J1890="","",IFERROR(COUNTIFS('Weekly Log'!$H:$H,"Y",'Weekly Log'!$A:$A,"&gt;="&amp;$J1890,'Weekly Log'!$A:$A,"&lt;"&amp;$J1890+7)/COUNTIFS('Weekly Log'!$H:$H,"&lt;&gt;",'Weekly Log'!$A:$A,"&gt;="&amp;$J1890,'Weekly Log'!$A:$A,"&lt;"&amp;$J1890+7),0))</f>
        <v/>
      </c>
      <c r="E1890" t="str">
        <f>IF($J1890="","",IFERROR(AVERAGEIFS('Weekly Log'!$F:$F,'Weekly Log'!$A:$A,"&gt;="&amp;$J1890,'Weekly Log'!$A:$A,"&lt;"&amp;$J1890+7),0))</f>
        <v/>
      </c>
      <c r="F1890" t="str">
        <f>IF($J1890="","",IFERROR(SUMIFS('Weekly Log'!$F:$F,'Weekly Log'!$A:$A,"&gt;="&amp;$J1890,'Weekly Log'!$A:$A,"&lt;"&amp;$J1890+7)/SUMIFS('Weekly Log'!$E:$E,'Weekly Log'!$A:$A,"&gt;="&amp;$J1890,'Weekly Log'!$A:$A,"&lt;"&amp;$J1890+7),0))</f>
        <v/>
      </c>
      <c r="G1890" t="str">
        <f>IF($J1890="","",IFERROR(LOOKUP(2,1/(('Weekly Log'!$A$5:$A$5000&gt;=$J1890)*('Weekly Log'!$A$5:$A$5000&lt;$J1890+7)*('Weekly Log'!$M$5:$M$5000&lt;&gt;"")),'Weekly Log'!$M$5:$M$5000),0))</f>
        <v/>
      </c>
      <c r="J1890" t="str">
        <f>IF(COUNT('Weekly Log'!$A$5:$A$5000)=0,"",IF(MIN('Weekly Log'!$A$5:$A$5000)+7*(ROW()-10)&gt;MAX('Weekly Log'!$A$5:$A$5000),"",MIN('Weekly Log'!$A$5:$A$5000)+7*(ROW()-10)))</f>
        <v/>
      </c>
    </row>
    <row r="1891" spans="1:10" x14ac:dyDescent="0.25">
      <c r="A1891" t="str">
        <f t="shared" si="29"/>
        <v/>
      </c>
      <c r="B1891" t="str">
        <f>IF($J1891="","",SUMIFS('Weekly Log'!$C:$C,'Weekly Log'!$A:$A,"&gt;="&amp;$J1891,'Weekly Log'!$A:$A,"&lt;"&amp;$J1891+7))</f>
        <v/>
      </c>
      <c r="C1891" t="str">
        <f>IF($J1891="","",IFERROR(COUNTIFS('Weekly Log'!$G:$G,"Y",'Weekly Log'!$A:$A,"&gt;="&amp;$J1891,'Weekly Log'!$A:$A,"&lt;"&amp;$J1891+7)/COUNTIFS('Weekly Log'!$G:$G,"&lt;&gt;",'Weekly Log'!$A:$A,"&gt;="&amp;$J1891,'Weekly Log'!$A:$A,"&lt;"&amp;$J1891+7),0))</f>
        <v/>
      </c>
      <c r="D1891" t="str">
        <f>IF($J1891="","",IFERROR(COUNTIFS('Weekly Log'!$H:$H,"Y",'Weekly Log'!$A:$A,"&gt;="&amp;$J1891,'Weekly Log'!$A:$A,"&lt;"&amp;$J1891+7)/COUNTIFS('Weekly Log'!$H:$H,"&lt;&gt;",'Weekly Log'!$A:$A,"&gt;="&amp;$J1891,'Weekly Log'!$A:$A,"&lt;"&amp;$J1891+7),0))</f>
        <v/>
      </c>
      <c r="E1891" t="str">
        <f>IF($J1891="","",IFERROR(AVERAGEIFS('Weekly Log'!$F:$F,'Weekly Log'!$A:$A,"&gt;="&amp;$J1891,'Weekly Log'!$A:$A,"&lt;"&amp;$J1891+7),0))</f>
        <v/>
      </c>
      <c r="F1891" t="str">
        <f>IF($J1891="","",IFERROR(SUMIFS('Weekly Log'!$F:$F,'Weekly Log'!$A:$A,"&gt;="&amp;$J1891,'Weekly Log'!$A:$A,"&lt;"&amp;$J1891+7)/SUMIFS('Weekly Log'!$E:$E,'Weekly Log'!$A:$A,"&gt;="&amp;$J1891,'Weekly Log'!$A:$A,"&lt;"&amp;$J1891+7),0))</f>
        <v/>
      </c>
      <c r="G1891" t="str">
        <f>IF($J1891="","",IFERROR(LOOKUP(2,1/(('Weekly Log'!$A$5:$A$5000&gt;=$J1891)*('Weekly Log'!$A$5:$A$5000&lt;$J1891+7)*('Weekly Log'!$M$5:$M$5000&lt;&gt;"")),'Weekly Log'!$M$5:$M$5000),0))</f>
        <v/>
      </c>
      <c r="J1891" t="str">
        <f>IF(COUNT('Weekly Log'!$A$5:$A$5000)=0,"",IF(MIN('Weekly Log'!$A$5:$A$5000)+7*(ROW()-10)&gt;MAX('Weekly Log'!$A$5:$A$5000),"",MIN('Weekly Log'!$A$5:$A$5000)+7*(ROW()-10)))</f>
        <v/>
      </c>
    </row>
    <row r="1892" spans="1:10" x14ac:dyDescent="0.25">
      <c r="A1892" t="str">
        <f t="shared" si="29"/>
        <v/>
      </c>
      <c r="B1892" t="str">
        <f>IF($J1892="","",SUMIFS('Weekly Log'!$C:$C,'Weekly Log'!$A:$A,"&gt;="&amp;$J1892,'Weekly Log'!$A:$A,"&lt;"&amp;$J1892+7))</f>
        <v/>
      </c>
      <c r="C1892" t="str">
        <f>IF($J1892="","",IFERROR(COUNTIFS('Weekly Log'!$G:$G,"Y",'Weekly Log'!$A:$A,"&gt;="&amp;$J1892,'Weekly Log'!$A:$A,"&lt;"&amp;$J1892+7)/COUNTIFS('Weekly Log'!$G:$G,"&lt;&gt;",'Weekly Log'!$A:$A,"&gt;="&amp;$J1892,'Weekly Log'!$A:$A,"&lt;"&amp;$J1892+7),0))</f>
        <v/>
      </c>
      <c r="D1892" t="str">
        <f>IF($J1892="","",IFERROR(COUNTIFS('Weekly Log'!$H:$H,"Y",'Weekly Log'!$A:$A,"&gt;="&amp;$J1892,'Weekly Log'!$A:$A,"&lt;"&amp;$J1892+7)/COUNTIFS('Weekly Log'!$H:$H,"&lt;&gt;",'Weekly Log'!$A:$A,"&gt;="&amp;$J1892,'Weekly Log'!$A:$A,"&lt;"&amp;$J1892+7),0))</f>
        <v/>
      </c>
      <c r="E1892" t="str">
        <f>IF($J1892="","",IFERROR(AVERAGEIFS('Weekly Log'!$F:$F,'Weekly Log'!$A:$A,"&gt;="&amp;$J1892,'Weekly Log'!$A:$A,"&lt;"&amp;$J1892+7),0))</f>
        <v/>
      </c>
      <c r="F1892" t="str">
        <f>IF($J1892="","",IFERROR(SUMIFS('Weekly Log'!$F:$F,'Weekly Log'!$A:$A,"&gt;="&amp;$J1892,'Weekly Log'!$A:$A,"&lt;"&amp;$J1892+7)/SUMIFS('Weekly Log'!$E:$E,'Weekly Log'!$A:$A,"&gt;="&amp;$J1892,'Weekly Log'!$A:$A,"&lt;"&amp;$J1892+7),0))</f>
        <v/>
      </c>
      <c r="G1892" t="str">
        <f>IF($J1892="","",IFERROR(LOOKUP(2,1/(('Weekly Log'!$A$5:$A$5000&gt;=$J1892)*('Weekly Log'!$A$5:$A$5000&lt;$J1892+7)*('Weekly Log'!$M$5:$M$5000&lt;&gt;"")),'Weekly Log'!$M$5:$M$5000),0))</f>
        <v/>
      </c>
      <c r="J1892" t="str">
        <f>IF(COUNT('Weekly Log'!$A$5:$A$5000)=0,"",IF(MIN('Weekly Log'!$A$5:$A$5000)+7*(ROW()-10)&gt;MAX('Weekly Log'!$A$5:$A$5000),"",MIN('Weekly Log'!$A$5:$A$5000)+7*(ROW()-10)))</f>
        <v/>
      </c>
    </row>
    <row r="1893" spans="1:10" x14ac:dyDescent="0.25">
      <c r="A1893" t="str">
        <f t="shared" si="29"/>
        <v/>
      </c>
      <c r="B1893" t="str">
        <f>IF($J1893="","",SUMIFS('Weekly Log'!$C:$C,'Weekly Log'!$A:$A,"&gt;="&amp;$J1893,'Weekly Log'!$A:$A,"&lt;"&amp;$J1893+7))</f>
        <v/>
      </c>
      <c r="C1893" t="str">
        <f>IF($J1893="","",IFERROR(COUNTIFS('Weekly Log'!$G:$G,"Y",'Weekly Log'!$A:$A,"&gt;="&amp;$J1893,'Weekly Log'!$A:$A,"&lt;"&amp;$J1893+7)/COUNTIFS('Weekly Log'!$G:$G,"&lt;&gt;",'Weekly Log'!$A:$A,"&gt;="&amp;$J1893,'Weekly Log'!$A:$A,"&lt;"&amp;$J1893+7),0))</f>
        <v/>
      </c>
      <c r="D1893" t="str">
        <f>IF($J1893="","",IFERROR(COUNTIFS('Weekly Log'!$H:$H,"Y",'Weekly Log'!$A:$A,"&gt;="&amp;$J1893,'Weekly Log'!$A:$A,"&lt;"&amp;$J1893+7)/COUNTIFS('Weekly Log'!$H:$H,"&lt;&gt;",'Weekly Log'!$A:$A,"&gt;="&amp;$J1893,'Weekly Log'!$A:$A,"&lt;"&amp;$J1893+7),0))</f>
        <v/>
      </c>
      <c r="E1893" t="str">
        <f>IF($J1893="","",IFERROR(AVERAGEIFS('Weekly Log'!$F:$F,'Weekly Log'!$A:$A,"&gt;="&amp;$J1893,'Weekly Log'!$A:$A,"&lt;"&amp;$J1893+7),0))</f>
        <v/>
      </c>
      <c r="F1893" t="str">
        <f>IF($J1893="","",IFERROR(SUMIFS('Weekly Log'!$F:$F,'Weekly Log'!$A:$A,"&gt;="&amp;$J1893,'Weekly Log'!$A:$A,"&lt;"&amp;$J1893+7)/SUMIFS('Weekly Log'!$E:$E,'Weekly Log'!$A:$A,"&gt;="&amp;$J1893,'Weekly Log'!$A:$A,"&lt;"&amp;$J1893+7),0))</f>
        <v/>
      </c>
      <c r="G1893" t="str">
        <f>IF($J1893="","",IFERROR(LOOKUP(2,1/(('Weekly Log'!$A$5:$A$5000&gt;=$J1893)*('Weekly Log'!$A$5:$A$5000&lt;$J1893+7)*('Weekly Log'!$M$5:$M$5000&lt;&gt;"")),'Weekly Log'!$M$5:$M$5000),0))</f>
        <v/>
      </c>
      <c r="J1893" t="str">
        <f>IF(COUNT('Weekly Log'!$A$5:$A$5000)=0,"",IF(MIN('Weekly Log'!$A$5:$A$5000)+7*(ROW()-10)&gt;MAX('Weekly Log'!$A$5:$A$5000),"",MIN('Weekly Log'!$A$5:$A$5000)+7*(ROW()-10)))</f>
        <v/>
      </c>
    </row>
    <row r="1894" spans="1:10" x14ac:dyDescent="0.25">
      <c r="A1894" t="str">
        <f t="shared" si="29"/>
        <v/>
      </c>
      <c r="B1894" t="str">
        <f>IF($J1894="","",SUMIFS('Weekly Log'!$C:$C,'Weekly Log'!$A:$A,"&gt;="&amp;$J1894,'Weekly Log'!$A:$A,"&lt;"&amp;$J1894+7))</f>
        <v/>
      </c>
      <c r="C1894" t="str">
        <f>IF($J1894="","",IFERROR(COUNTIFS('Weekly Log'!$G:$G,"Y",'Weekly Log'!$A:$A,"&gt;="&amp;$J1894,'Weekly Log'!$A:$A,"&lt;"&amp;$J1894+7)/COUNTIFS('Weekly Log'!$G:$G,"&lt;&gt;",'Weekly Log'!$A:$A,"&gt;="&amp;$J1894,'Weekly Log'!$A:$A,"&lt;"&amp;$J1894+7),0))</f>
        <v/>
      </c>
      <c r="D1894" t="str">
        <f>IF($J1894="","",IFERROR(COUNTIFS('Weekly Log'!$H:$H,"Y",'Weekly Log'!$A:$A,"&gt;="&amp;$J1894,'Weekly Log'!$A:$A,"&lt;"&amp;$J1894+7)/COUNTIFS('Weekly Log'!$H:$H,"&lt;&gt;",'Weekly Log'!$A:$A,"&gt;="&amp;$J1894,'Weekly Log'!$A:$A,"&lt;"&amp;$J1894+7),0))</f>
        <v/>
      </c>
      <c r="E1894" t="str">
        <f>IF($J1894="","",IFERROR(AVERAGEIFS('Weekly Log'!$F:$F,'Weekly Log'!$A:$A,"&gt;="&amp;$J1894,'Weekly Log'!$A:$A,"&lt;"&amp;$J1894+7),0))</f>
        <v/>
      </c>
      <c r="F1894" t="str">
        <f>IF($J1894="","",IFERROR(SUMIFS('Weekly Log'!$F:$F,'Weekly Log'!$A:$A,"&gt;="&amp;$J1894,'Weekly Log'!$A:$A,"&lt;"&amp;$J1894+7)/SUMIFS('Weekly Log'!$E:$E,'Weekly Log'!$A:$A,"&gt;="&amp;$J1894,'Weekly Log'!$A:$A,"&lt;"&amp;$J1894+7),0))</f>
        <v/>
      </c>
      <c r="G1894" t="str">
        <f>IF($J1894="","",IFERROR(LOOKUP(2,1/(('Weekly Log'!$A$5:$A$5000&gt;=$J1894)*('Weekly Log'!$A$5:$A$5000&lt;$J1894+7)*('Weekly Log'!$M$5:$M$5000&lt;&gt;"")),'Weekly Log'!$M$5:$M$5000),0))</f>
        <v/>
      </c>
      <c r="J1894" t="str">
        <f>IF(COUNT('Weekly Log'!$A$5:$A$5000)=0,"",IF(MIN('Weekly Log'!$A$5:$A$5000)+7*(ROW()-10)&gt;MAX('Weekly Log'!$A$5:$A$5000),"",MIN('Weekly Log'!$A$5:$A$5000)+7*(ROW()-10)))</f>
        <v/>
      </c>
    </row>
    <row r="1895" spans="1:10" x14ac:dyDescent="0.25">
      <c r="A1895" t="str">
        <f t="shared" si="29"/>
        <v/>
      </c>
      <c r="B1895" t="str">
        <f>IF($J1895="","",SUMIFS('Weekly Log'!$C:$C,'Weekly Log'!$A:$A,"&gt;="&amp;$J1895,'Weekly Log'!$A:$A,"&lt;"&amp;$J1895+7))</f>
        <v/>
      </c>
      <c r="C1895" t="str">
        <f>IF($J1895="","",IFERROR(COUNTIFS('Weekly Log'!$G:$G,"Y",'Weekly Log'!$A:$A,"&gt;="&amp;$J1895,'Weekly Log'!$A:$A,"&lt;"&amp;$J1895+7)/COUNTIFS('Weekly Log'!$G:$G,"&lt;&gt;",'Weekly Log'!$A:$A,"&gt;="&amp;$J1895,'Weekly Log'!$A:$A,"&lt;"&amp;$J1895+7),0))</f>
        <v/>
      </c>
      <c r="D1895" t="str">
        <f>IF($J1895="","",IFERROR(COUNTIFS('Weekly Log'!$H:$H,"Y",'Weekly Log'!$A:$A,"&gt;="&amp;$J1895,'Weekly Log'!$A:$A,"&lt;"&amp;$J1895+7)/COUNTIFS('Weekly Log'!$H:$H,"&lt;&gt;",'Weekly Log'!$A:$A,"&gt;="&amp;$J1895,'Weekly Log'!$A:$A,"&lt;"&amp;$J1895+7),0))</f>
        <v/>
      </c>
      <c r="E1895" t="str">
        <f>IF($J1895="","",IFERROR(AVERAGEIFS('Weekly Log'!$F:$F,'Weekly Log'!$A:$A,"&gt;="&amp;$J1895,'Weekly Log'!$A:$A,"&lt;"&amp;$J1895+7),0))</f>
        <v/>
      </c>
      <c r="F1895" t="str">
        <f>IF($J1895="","",IFERROR(SUMIFS('Weekly Log'!$F:$F,'Weekly Log'!$A:$A,"&gt;="&amp;$J1895,'Weekly Log'!$A:$A,"&lt;"&amp;$J1895+7)/SUMIFS('Weekly Log'!$E:$E,'Weekly Log'!$A:$A,"&gt;="&amp;$J1895,'Weekly Log'!$A:$A,"&lt;"&amp;$J1895+7),0))</f>
        <v/>
      </c>
      <c r="G1895" t="str">
        <f>IF($J1895="","",IFERROR(LOOKUP(2,1/(('Weekly Log'!$A$5:$A$5000&gt;=$J1895)*('Weekly Log'!$A$5:$A$5000&lt;$J1895+7)*('Weekly Log'!$M$5:$M$5000&lt;&gt;"")),'Weekly Log'!$M$5:$M$5000),0))</f>
        <v/>
      </c>
      <c r="J1895" t="str">
        <f>IF(COUNT('Weekly Log'!$A$5:$A$5000)=0,"",IF(MIN('Weekly Log'!$A$5:$A$5000)+7*(ROW()-10)&gt;MAX('Weekly Log'!$A$5:$A$5000),"",MIN('Weekly Log'!$A$5:$A$5000)+7*(ROW()-10)))</f>
        <v/>
      </c>
    </row>
    <row r="1896" spans="1:10" x14ac:dyDescent="0.25">
      <c r="A1896" t="str">
        <f t="shared" si="29"/>
        <v/>
      </c>
      <c r="B1896" t="str">
        <f>IF($J1896="","",SUMIFS('Weekly Log'!$C:$C,'Weekly Log'!$A:$A,"&gt;="&amp;$J1896,'Weekly Log'!$A:$A,"&lt;"&amp;$J1896+7))</f>
        <v/>
      </c>
      <c r="C1896" t="str">
        <f>IF($J1896="","",IFERROR(COUNTIFS('Weekly Log'!$G:$G,"Y",'Weekly Log'!$A:$A,"&gt;="&amp;$J1896,'Weekly Log'!$A:$A,"&lt;"&amp;$J1896+7)/COUNTIFS('Weekly Log'!$G:$G,"&lt;&gt;",'Weekly Log'!$A:$A,"&gt;="&amp;$J1896,'Weekly Log'!$A:$A,"&lt;"&amp;$J1896+7),0))</f>
        <v/>
      </c>
      <c r="D1896" t="str">
        <f>IF($J1896="","",IFERROR(COUNTIFS('Weekly Log'!$H:$H,"Y",'Weekly Log'!$A:$A,"&gt;="&amp;$J1896,'Weekly Log'!$A:$A,"&lt;"&amp;$J1896+7)/COUNTIFS('Weekly Log'!$H:$H,"&lt;&gt;",'Weekly Log'!$A:$A,"&gt;="&amp;$J1896,'Weekly Log'!$A:$A,"&lt;"&amp;$J1896+7),0))</f>
        <v/>
      </c>
      <c r="E1896" t="str">
        <f>IF($J1896="","",IFERROR(AVERAGEIFS('Weekly Log'!$F:$F,'Weekly Log'!$A:$A,"&gt;="&amp;$J1896,'Weekly Log'!$A:$A,"&lt;"&amp;$J1896+7),0))</f>
        <v/>
      </c>
      <c r="F1896" t="str">
        <f>IF($J1896="","",IFERROR(SUMIFS('Weekly Log'!$F:$F,'Weekly Log'!$A:$A,"&gt;="&amp;$J1896,'Weekly Log'!$A:$A,"&lt;"&amp;$J1896+7)/SUMIFS('Weekly Log'!$E:$E,'Weekly Log'!$A:$A,"&gt;="&amp;$J1896,'Weekly Log'!$A:$A,"&lt;"&amp;$J1896+7),0))</f>
        <v/>
      </c>
      <c r="G1896" t="str">
        <f>IF($J1896="","",IFERROR(LOOKUP(2,1/(('Weekly Log'!$A$5:$A$5000&gt;=$J1896)*('Weekly Log'!$A$5:$A$5000&lt;$J1896+7)*('Weekly Log'!$M$5:$M$5000&lt;&gt;"")),'Weekly Log'!$M$5:$M$5000),0))</f>
        <v/>
      </c>
      <c r="J1896" t="str">
        <f>IF(COUNT('Weekly Log'!$A$5:$A$5000)=0,"",IF(MIN('Weekly Log'!$A$5:$A$5000)+7*(ROW()-10)&gt;MAX('Weekly Log'!$A$5:$A$5000),"",MIN('Weekly Log'!$A$5:$A$5000)+7*(ROW()-10)))</f>
        <v/>
      </c>
    </row>
    <row r="1897" spans="1:10" x14ac:dyDescent="0.25">
      <c r="A1897" t="str">
        <f t="shared" si="29"/>
        <v/>
      </c>
      <c r="B1897" t="str">
        <f>IF($J1897="","",SUMIFS('Weekly Log'!$C:$C,'Weekly Log'!$A:$A,"&gt;="&amp;$J1897,'Weekly Log'!$A:$A,"&lt;"&amp;$J1897+7))</f>
        <v/>
      </c>
      <c r="C1897" t="str">
        <f>IF($J1897="","",IFERROR(COUNTIFS('Weekly Log'!$G:$G,"Y",'Weekly Log'!$A:$A,"&gt;="&amp;$J1897,'Weekly Log'!$A:$A,"&lt;"&amp;$J1897+7)/COUNTIFS('Weekly Log'!$G:$G,"&lt;&gt;",'Weekly Log'!$A:$A,"&gt;="&amp;$J1897,'Weekly Log'!$A:$A,"&lt;"&amp;$J1897+7),0))</f>
        <v/>
      </c>
      <c r="D1897" t="str">
        <f>IF($J1897="","",IFERROR(COUNTIFS('Weekly Log'!$H:$H,"Y",'Weekly Log'!$A:$A,"&gt;="&amp;$J1897,'Weekly Log'!$A:$A,"&lt;"&amp;$J1897+7)/COUNTIFS('Weekly Log'!$H:$H,"&lt;&gt;",'Weekly Log'!$A:$A,"&gt;="&amp;$J1897,'Weekly Log'!$A:$A,"&lt;"&amp;$J1897+7),0))</f>
        <v/>
      </c>
      <c r="E1897" t="str">
        <f>IF($J1897="","",IFERROR(AVERAGEIFS('Weekly Log'!$F:$F,'Weekly Log'!$A:$A,"&gt;="&amp;$J1897,'Weekly Log'!$A:$A,"&lt;"&amp;$J1897+7),0))</f>
        <v/>
      </c>
      <c r="F1897" t="str">
        <f>IF($J1897="","",IFERROR(SUMIFS('Weekly Log'!$F:$F,'Weekly Log'!$A:$A,"&gt;="&amp;$J1897,'Weekly Log'!$A:$A,"&lt;"&amp;$J1897+7)/SUMIFS('Weekly Log'!$E:$E,'Weekly Log'!$A:$A,"&gt;="&amp;$J1897,'Weekly Log'!$A:$A,"&lt;"&amp;$J1897+7),0))</f>
        <v/>
      </c>
      <c r="G1897" t="str">
        <f>IF($J1897="","",IFERROR(LOOKUP(2,1/(('Weekly Log'!$A$5:$A$5000&gt;=$J1897)*('Weekly Log'!$A$5:$A$5000&lt;$J1897+7)*('Weekly Log'!$M$5:$M$5000&lt;&gt;"")),'Weekly Log'!$M$5:$M$5000),0))</f>
        <v/>
      </c>
      <c r="J1897" t="str">
        <f>IF(COUNT('Weekly Log'!$A$5:$A$5000)=0,"",IF(MIN('Weekly Log'!$A$5:$A$5000)+7*(ROW()-10)&gt;MAX('Weekly Log'!$A$5:$A$5000),"",MIN('Weekly Log'!$A$5:$A$5000)+7*(ROW()-10)))</f>
        <v/>
      </c>
    </row>
    <row r="1898" spans="1:10" x14ac:dyDescent="0.25">
      <c r="A1898" t="str">
        <f t="shared" si="29"/>
        <v/>
      </c>
      <c r="B1898" t="str">
        <f>IF($J1898="","",SUMIFS('Weekly Log'!$C:$C,'Weekly Log'!$A:$A,"&gt;="&amp;$J1898,'Weekly Log'!$A:$A,"&lt;"&amp;$J1898+7))</f>
        <v/>
      </c>
      <c r="C1898" t="str">
        <f>IF($J1898="","",IFERROR(COUNTIFS('Weekly Log'!$G:$G,"Y",'Weekly Log'!$A:$A,"&gt;="&amp;$J1898,'Weekly Log'!$A:$A,"&lt;"&amp;$J1898+7)/COUNTIFS('Weekly Log'!$G:$G,"&lt;&gt;",'Weekly Log'!$A:$A,"&gt;="&amp;$J1898,'Weekly Log'!$A:$A,"&lt;"&amp;$J1898+7),0))</f>
        <v/>
      </c>
      <c r="D1898" t="str">
        <f>IF($J1898="","",IFERROR(COUNTIFS('Weekly Log'!$H:$H,"Y",'Weekly Log'!$A:$A,"&gt;="&amp;$J1898,'Weekly Log'!$A:$A,"&lt;"&amp;$J1898+7)/COUNTIFS('Weekly Log'!$H:$H,"&lt;&gt;",'Weekly Log'!$A:$A,"&gt;="&amp;$J1898,'Weekly Log'!$A:$A,"&lt;"&amp;$J1898+7),0))</f>
        <v/>
      </c>
      <c r="E1898" t="str">
        <f>IF($J1898="","",IFERROR(AVERAGEIFS('Weekly Log'!$F:$F,'Weekly Log'!$A:$A,"&gt;="&amp;$J1898,'Weekly Log'!$A:$A,"&lt;"&amp;$J1898+7),0))</f>
        <v/>
      </c>
      <c r="F1898" t="str">
        <f>IF($J1898="","",IFERROR(SUMIFS('Weekly Log'!$F:$F,'Weekly Log'!$A:$A,"&gt;="&amp;$J1898,'Weekly Log'!$A:$A,"&lt;"&amp;$J1898+7)/SUMIFS('Weekly Log'!$E:$E,'Weekly Log'!$A:$A,"&gt;="&amp;$J1898,'Weekly Log'!$A:$A,"&lt;"&amp;$J1898+7),0))</f>
        <v/>
      </c>
      <c r="G1898" t="str">
        <f>IF($J1898="","",IFERROR(LOOKUP(2,1/(('Weekly Log'!$A$5:$A$5000&gt;=$J1898)*('Weekly Log'!$A$5:$A$5000&lt;$J1898+7)*('Weekly Log'!$M$5:$M$5000&lt;&gt;"")),'Weekly Log'!$M$5:$M$5000),0))</f>
        <v/>
      </c>
      <c r="J1898" t="str">
        <f>IF(COUNT('Weekly Log'!$A$5:$A$5000)=0,"",IF(MIN('Weekly Log'!$A$5:$A$5000)+7*(ROW()-10)&gt;MAX('Weekly Log'!$A$5:$A$5000),"",MIN('Weekly Log'!$A$5:$A$5000)+7*(ROW()-10)))</f>
        <v/>
      </c>
    </row>
    <row r="1899" spans="1:10" x14ac:dyDescent="0.25">
      <c r="A1899" t="str">
        <f t="shared" si="29"/>
        <v/>
      </c>
      <c r="B1899" t="str">
        <f>IF($J1899="","",SUMIFS('Weekly Log'!$C:$C,'Weekly Log'!$A:$A,"&gt;="&amp;$J1899,'Weekly Log'!$A:$A,"&lt;"&amp;$J1899+7))</f>
        <v/>
      </c>
      <c r="C1899" t="str">
        <f>IF($J1899="","",IFERROR(COUNTIFS('Weekly Log'!$G:$G,"Y",'Weekly Log'!$A:$A,"&gt;="&amp;$J1899,'Weekly Log'!$A:$A,"&lt;"&amp;$J1899+7)/COUNTIFS('Weekly Log'!$G:$G,"&lt;&gt;",'Weekly Log'!$A:$A,"&gt;="&amp;$J1899,'Weekly Log'!$A:$A,"&lt;"&amp;$J1899+7),0))</f>
        <v/>
      </c>
      <c r="D1899" t="str">
        <f>IF($J1899="","",IFERROR(COUNTIFS('Weekly Log'!$H:$H,"Y",'Weekly Log'!$A:$A,"&gt;="&amp;$J1899,'Weekly Log'!$A:$A,"&lt;"&amp;$J1899+7)/COUNTIFS('Weekly Log'!$H:$H,"&lt;&gt;",'Weekly Log'!$A:$A,"&gt;="&amp;$J1899,'Weekly Log'!$A:$A,"&lt;"&amp;$J1899+7),0))</f>
        <v/>
      </c>
      <c r="E1899" t="str">
        <f>IF($J1899="","",IFERROR(AVERAGEIFS('Weekly Log'!$F:$F,'Weekly Log'!$A:$A,"&gt;="&amp;$J1899,'Weekly Log'!$A:$A,"&lt;"&amp;$J1899+7),0))</f>
        <v/>
      </c>
      <c r="F1899" t="str">
        <f>IF($J1899="","",IFERROR(SUMIFS('Weekly Log'!$F:$F,'Weekly Log'!$A:$A,"&gt;="&amp;$J1899,'Weekly Log'!$A:$A,"&lt;"&amp;$J1899+7)/SUMIFS('Weekly Log'!$E:$E,'Weekly Log'!$A:$A,"&gt;="&amp;$J1899,'Weekly Log'!$A:$A,"&lt;"&amp;$J1899+7),0))</f>
        <v/>
      </c>
      <c r="G1899" t="str">
        <f>IF($J1899="","",IFERROR(LOOKUP(2,1/(('Weekly Log'!$A$5:$A$5000&gt;=$J1899)*('Weekly Log'!$A$5:$A$5000&lt;$J1899+7)*('Weekly Log'!$M$5:$M$5000&lt;&gt;"")),'Weekly Log'!$M$5:$M$5000),0))</f>
        <v/>
      </c>
      <c r="J1899" t="str">
        <f>IF(COUNT('Weekly Log'!$A$5:$A$5000)=0,"",IF(MIN('Weekly Log'!$A$5:$A$5000)+7*(ROW()-10)&gt;MAX('Weekly Log'!$A$5:$A$5000),"",MIN('Weekly Log'!$A$5:$A$5000)+7*(ROW()-10)))</f>
        <v/>
      </c>
    </row>
    <row r="1900" spans="1:10" x14ac:dyDescent="0.25">
      <c r="A1900" t="str">
        <f t="shared" si="29"/>
        <v/>
      </c>
      <c r="B1900" t="str">
        <f>IF($J1900="","",SUMIFS('Weekly Log'!$C:$C,'Weekly Log'!$A:$A,"&gt;="&amp;$J1900,'Weekly Log'!$A:$A,"&lt;"&amp;$J1900+7))</f>
        <v/>
      </c>
      <c r="C1900" t="str">
        <f>IF($J1900="","",IFERROR(COUNTIFS('Weekly Log'!$G:$G,"Y",'Weekly Log'!$A:$A,"&gt;="&amp;$J1900,'Weekly Log'!$A:$A,"&lt;"&amp;$J1900+7)/COUNTIFS('Weekly Log'!$G:$G,"&lt;&gt;",'Weekly Log'!$A:$A,"&gt;="&amp;$J1900,'Weekly Log'!$A:$A,"&lt;"&amp;$J1900+7),0))</f>
        <v/>
      </c>
      <c r="D1900" t="str">
        <f>IF($J1900="","",IFERROR(COUNTIFS('Weekly Log'!$H:$H,"Y",'Weekly Log'!$A:$A,"&gt;="&amp;$J1900,'Weekly Log'!$A:$A,"&lt;"&amp;$J1900+7)/COUNTIFS('Weekly Log'!$H:$H,"&lt;&gt;",'Weekly Log'!$A:$A,"&gt;="&amp;$J1900,'Weekly Log'!$A:$A,"&lt;"&amp;$J1900+7),0))</f>
        <v/>
      </c>
      <c r="E1900" t="str">
        <f>IF($J1900="","",IFERROR(AVERAGEIFS('Weekly Log'!$F:$F,'Weekly Log'!$A:$A,"&gt;="&amp;$J1900,'Weekly Log'!$A:$A,"&lt;"&amp;$J1900+7),0))</f>
        <v/>
      </c>
      <c r="F1900" t="str">
        <f>IF($J1900="","",IFERROR(SUMIFS('Weekly Log'!$F:$F,'Weekly Log'!$A:$A,"&gt;="&amp;$J1900,'Weekly Log'!$A:$A,"&lt;"&amp;$J1900+7)/SUMIFS('Weekly Log'!$E:$E,'Weekly Log'!$A:$A,"&gt;="&amp;$J1900,'Weekly Log'!$A:$A,"&lt;"&amp;$J1900+7),0))</f>
        <v/>
      </c>
      <c r="G1900" t="str">
        <f>IF($J1900="","",IFERROR(LOOKUP(2,1/(('Weekly Log'!$A$5:$A$5000&gt;=$J1900)*('Weekly Log'!$A$5:$A$5000&lt;$J1900+7)*('Weekly Log'!$M$5:$M$5000&lt;&gt;"")),'Weekly Log'!$M$5:$M$5000),0))</f>
        <v/>
      </c>
      <c r="J1900" t="str">
        <f>IF(COUNT('Weekly Log'!$A$5:$A$5000)=0,"",IF(MIN('Weekly Log'!$A$5:$A$5000)+7*(ROW()-10)&gt;MAX('Weekly Log'!$A$5:$A$5000),"",MIN('Weekly Log'!$A$5:$A$5000)+7*(ROW()-10)))</f>
        <v/>
      </c>
    </row>
    <row r="1901" spans="1:10" x14ac:dyDescent="0.25">
      <c r="A1901" t="str">
        <f t="shared" si="29"/>
        <v/>
      </c>
      <c r="B1901" t="str">
        <f>IF($J1901="","",SUMIFS('Weekly Log'!$C:$C,'Weekly Log'!$A:$A,"&gt;="&amp;$J1901,'Weekly Log'!$A:$A,"&lt;"&amp;$J1901+7))</f>
        <v/>
      </c>
      <c r="C1901" t="str">
        <f>IF($J1901="","",IFERROR(COUNTIFS('Weekly Log'!$G:$G,"Y",'Weekly Log'!$A:$A,"&gt;="&amp;$J1901,'Weekly Log'!$A:$A,"&lt;"&amp;$J1901+7)/COUNTIFS('Weekly Log'!$G:$G,"&lt;&gt;",'Weekly Log'!$A:$A,"&gt;="&amp;$J1901,'Weekly Log'!$A:$A,"&lt;"&amp;$J1901+7),0))</f>
        <v/>
      </c>
      <c r="D1901" t="str">
        <f>IF($J1901="","",IFERROR(COUNTIFS('Weekly Log'!$H:$H,"Y",'Weekly Log'!$A:$A,"&gt;="&amp;$J1901,'Weekly Log'!$A:$A,"&lt;"&amp;$J1901+7)/COUNTIFS('Weekly Log'!$H:$H,"&lt;&gt;",'Weekly Log'!$A:$A,"&gt;="&amp;$J1901,'Weekly Log'!$A:$A,"&lt;"&amp;$J1901+7),0))</f>
        <v/>
      </c>
      <c r="E1901" t="str">
        <f>IF($J1901="","",IFERROR(AVERAGEIFS('Weekly Log'!$F:$F,'Weekly Log'!$A:$A,"&gt;="&amp;$J1901,'Weekly Log'!$A:$A,"&lt;"&amp;$J1901+7),0))</f>
        <v/>
      </c>
      <c r="F1901" t="str">
        <f>IF($J1901="","",IFERROR(SUMIFS('Weekly Log'!$F:$F,'Weekly Log'!$A:$A,"&gt;="&amp;$J1901,'Weekly Log'!$A:$A,"&lt;"&amp;$J1901+7)/SUMIFS('Weekly Log'!$E:$E,'Weekly Log'!$A:$A,"&gt;="&amp;$J1901,'Weekly Log'!$A:$A,"&lt;"&amp;$J1901+7),0))</f>
        <v/>
      </c>
      <c r="G1901" t="str">
        <f>IF($J1901="","",IFERROR(LOOKUP(2,1/(('Weekly Log'!$A$5:$A$5000&gt;=$J1901)*('Weekly Log'!$A$5:$A$5000&lt;$J1901+7)*('Weekly Log'!$M$5:$M$5000&lt;&gt;"")),'Weekly Log'!$M$5:$M$5000),0))</f>
        <v/>
      </c>
      <c r="J1901" t="str">
        <f>IF(COUNT('Weekly Log'!$A$5:$A$5000)=0,"",IF(MIN('Weekly Log'!$A$5:$A$5000)+7*(ROW()-10)&gt;MAX('Weekly Log'!$A$5:$A$5000),"",MIN('Weekly Log'!$A$5:$A$5000)+7*(ROW()-10)))</f>
        <v/>
      </c>
    </row>
    <row r="1902" spans="1:10" x14ac:dyDescent="0.25">
      <c r="A1902" t="str">
        <f t="shared" si="29"/>
        <v/>
      </c>
      <c r="B1902" t="str">
        <f>IF($J1902="","",SUMIFS('Weekly Log'!$C:$C,'Weekly Log'!$A:$A,"&gt;="&amp;$J1902,'Weekly Log'!$A:$A,"&lt;"&amp;$J1902+7))</f>
        <v/>
      </c>
      <c r="C1902" t="str">
        <f>IF($J1902="","",IFERROR(COUNTIFS('Weekly Log'!$G:$G,"Y",'Weekly Log'!$A:$A,"&gt;="&amp;$J1902,'Weekly Log'!$A:$A,"&lt;"&amp;$J1902+7)/COUNTIFS('Weekly Log'!$G:$G,"&lt;&gt;",'Weekly Log'!$A:$A,"&gt;="&amp;$J1902,'Weekly Log'!$A:$A,"&lt;"&amp;$J1902+7),0))</f>
        <v/>
      </c>
      <c r="D1902" t="str">
        <f>IF($J1902="","",IFERROR(COUNTIFS('Weekly Log'!$H:$H,"Y",'Weekly Log'!$A:$A,"&gt;="&amp;$J1902,'Weekly Log'!$A:$A,"&lt;"&amp;$J1902+7)/COUNTIFS('Weekly Log'!$H:$H,"&lt;&gt;",'Weekly Log'!$A:$A,"&gt;="&amp;$J1902,'Weekly Log'!$A:$A,"&lt;"&amp;$J1902+7),0))</f>
        <v/>
      </c>
      <c r="E1902" t="str">
        <f>IF($J1902="","",IFERROR(AVERAGEIFS('Weekly Log'!$F:$F,'Weekly Log'!$A:$A,"&gt;="&amp;$J1902,'Weekly Log'!$A:$A,"&lt;"&amp;$J1902+7),0))</f>
        <v/>
      </c>
      <c r="F1902" t="str">
        <f>IF($J1902="","",IFERROR(SUMIFS('Weekly Log'!$F:$F,'Weekly Log'!$A:$A,"&gt;="&amp;$J1902,'Weekly Log'!$A:$A,"&lt;"&amp;$J1902+7)/SUMIFS('Weekly Log'!$E:$E,'Weekly Log'!$A:$A,"&gt;="&amp;$J1902,'Weekly Log'!$A:$A,"&lt;"&amp;$J1902+7),0))</f>
        <v/>
      </c>
      <c r="G1902" t="str">
        <f>IF($J1902="","",IFERROR(LOOKUP(2,1/(('Weekly Log'!$A$5:$A$5000&gt;=$J1902)*('Weekly Log'!$A$5:$A$5000&lt;$J1902+7)*('Weekly Log'!$M$5:$M$5000&lt;&gt;"")),'Weekly Log'!$M$5:$M$5000),0))</f>
        <v/>
      </c>
      <c r="J1902" t="str">
        <f>IF(COUNT('Weekly Log'!$A$5:$A$5000)=0,"",IF(MIN('Weekly Log'!$A$5:$A$5000)+7*(ROW()-10)&gt;MAX('Weekly Log'!$A$5:$A$5000),"",MIN('Weekly Log'!$A$5:$A$5000)+7*(ROW()-10)))</f>
        <v/>
      </c>
    </row>
    <row r="1903" spans="1:10" x14ac:dyDescent="0.25">
      <c r="A1903" t="str">
        <f t="shared" si="29"/>
        <v/>
      </c>
      <c r="B1903" t="str">
        <f>IF($J1903="","",SUMIFS('Weekly Log'!$C:$C,'Weekly Log'!$A:$A,"&gt;="&amp;$J1903,'Weekly Log'!$A:$A,"&lt;"&amp;$J1903+7))</f>
        <v/>
      </c>
      <c r="C1903" t="str">
        <f>IF($J1903="","",IFERROR(COUNTIFS('Weekly Log'!$G:$G,"Y",'Weekly Log'!$A:$A,"&gt;="&amp;$J1903,'Weekly Log'!$A:$A,"&lt;"&amp;$J1903+7)/COUNTIFS('Weekly Log'!$G:$G,"&lt;&gt;",'Weekly Log'!$A:$A,"&gt;="&amp;$J1903,'Weekly Log'!$A:$A,"&lt;"&amp;$J1903+7),0))</f>
        <v/>
      </c>
      <c r="D1903" t="str">
        <f>IF($J1903="","",IFERROR(COUNTIFS('Weekly Log'!$H:$H,"Y",'Weekly Log'!$A:$A,"&gt;="&amp;$J1903,'Weekly Log'!$A:$A,"&lt;"&amp;$J1903+7)/COUNTIFS('Weekly Log'!$H:$H,"&lt;&gt;",'Weekly Log'!$A:$A,"&gt;="&amp;$J1903,'Weekly Log'!$A:$A,"&lt;"&amp;$J1903+7),0))</f>
        <v/>
      </c>
      <c r="E1903" t="str">
        <f>IF($J1903="","",IFERROR(AVERAGEIFS('Weekly Log'!$F:$F,'Weekly Log'!$A:$A,"&gt;="&amp;$J1903,'Weekly Log'!$A:$A,"&lt;"&amp;$J1903+7),0))</f>
        <v/>
      </c>
      <c r="F1903" t="str">
        <f>IF($J1903="","",IFERROR(SUMIFS('Weekly Log'!$F:$F,'Weekly Log'!$A:$A,"&gt;="&amp;$J1903,'Weekly Log'!$A:$A,"&lt;"&amp;$J1903+7)/SUMIFS('Weekly Log'!$E:$E,'Weekly Log'!$A:$A,"&gt;="&amp;$J1903,'Weekly Log'!$A:$A,"&lt;"&amp;$J1903+7),0))</f>
        <v/>
      </c>
      <c r="G1903" t="str">
        <f>IF($J1903="","",IFERROR(LOOKUP(2,1/(('Weekly Log'!$A$5:$A$5000&gt;=$J1903)*('Weekly Log'!$A$5:$A$5000&lt;$J1903+7)*('Weekly Log'!$M$5:$M$5000&lt;&gt;"")),'Weekly Log'!$M$5:$M$5000),0))</f>
        <v/>
      </c>
      <c r="J1903" t="str">
        <f>IF(COUNT('Weekly Log'!$A$5:$A$5000)=0,"",IF(MIN('Weekly Log'!$A$5:$A$5000)+7*(ROW()-10)&gt;MAX('Weekly Log'!$A$5:$A$5000),"",MIN('Weekly Log'!$A$5:$A$5000)+7*(ROW()-10)))</f>
        <v/>
      </c>
    </row>
    <row r="1904" spans="1:10" x14ac:dyDescent="0.25">
      <c r="A1904" t="str">
        <f t="shared" si="29"/>
        <v/>
      </c>
      <c r="B1904" t="str">
        <f>IF($J1904="","",SUMIFS('Weekly Log'!$C:$C,'Weekly Log'!$A:$A,"&gt;="&amp;$J1904,'Weekly Log'!$A:$A,"&lt;"&amp;$J1904+7))</f>
        <v/>
      </c>
      <c r="C1904" t="str">
        <f>IF($J1904="","",IFERROR(COUNTIFS('Weekly Log'!$G:$G,"Y",'Weekly Log'!$A:$A,"&gt;="&amp;$J1904,'Weekly Log'!$A:$A,"&lt;"&amp;$J1904+7)/COUNTIFS('Weekly Log'!$G:$G,"&lt;&gt;",'Weekly Log'!$A:$A,"&gt;="&amp;$J1904,'Weekly Log'!$A:$A,"&lt;"&amp;$J1904+7),0))</f>
        <v/>
      </c>
      <c r="D1904" t="str">
        <f>IF($J1904="","",IFERROR(COUNTIFS('Weekly Log'!$H:$H,"Y",'Weekly Log'!$A:$A,"&gt;="&amp;$J1904,'Weekly Log'!$A:$A,"&lt;"&amp;$J1904+7)/COUNTIFS('Weekly Log'!$H:$H,"&lt;&gt;",'Weekly Log'!$A:$A,"&gt;="&amp;$J1904,'Weekly Log'!$A:$A,"&lt;"&amp;$J1904+7),0))</f>
        <v/>
      </c>
      <c r="E1904" t="str">
        <f>IF($J1904="","",IFERROR(AVERAGEIFS('Weekly Log'!$F:$F,'Weekly Log'!$A:$A,"&gt;="&amp;$J1904,'Weekly Log'!$A:$A,"&lt;"&amp;$J1904+7),0))</f>
        <v/>
      </c>
      <c r="F1904" t="str">
        <f>IF($J1904="","",IFERROR(SUMIFS('Weekly Log'!$F:$F,'Weekly Log'!$A:$A,"&gt;="&amp;$J1904,'Weekly Log'!$A:$A,"&lt;"&amp;$J1904+7)/SUMIFS('Weekly Log'!$E:$E,'Weekly Log'!$A:$A,"&gt;="&amp;$J1904,'Weekly Log'!$A:$A,"&lt;"&amp;$J1904+7),0))</f>
        <v/>
      </c>
      <c r="G1904" t="str">
        <f>IF($J1904="","",IFERROR(LOOKUP(2,1/(('Weekly Log'!$A$5:$A$5000&gt;=$J1904)*('Weekly Log'!$A$5:$A$5000&lt;$J1904+7)*('Weekly Log'!$M$5:$M$5000&lt;&gt;"")),'Weekly Log'!$M$5:$M$5000),0))</f>
        <v/>
      </c>
      <c r="J1904" t="str">
        <f>IF(COUNT('Weekly Log'!$A$5:$A$5000)=0,"",IF(MIN('Weekly Log'!$A$5:$A$5000)+7*(ROW()-10)&gt;MAX('Weekly Log'!$A$5:$A$5000),"",MIN('Weekly Log'!$A$5:$A$5000)+7*(ROW()-10)))</f>
        <v/>
      </c>
    </row>
    <row r="1905" spans="1:10" x14ac:dyDescent="0.25">
      <c r="A1905" t="str">
        <f t="shared" si="29"/>
        <v/>
      </c>
      <c r="B1905" t="str">
        <f>IF($J1905="","",SUMIFS('Weekly Log'!$C:$C,'Weekly Log'!$A:$A,"&gt;="&amp;$J1905,'Weekly Log'!$A:$A,"&lt;"&amp;$J1905+7))</f>
        <v/>
      </c>
      <c r="C1905" t="str">
        <f>IF($J1905="","",IFERROR(COUNTIFS('Weekly Log'!$G:$G,"Y",'Weekly Log'!$A:$A,"&gt;="&amp;$J1905,'Weekly Log'!$A:$A,"&lt;"&amp;$J1905+7)/COUNTIFS('Weekly Log'!$G:$G,"&lt;&gt;",'Weekly Log'!$A:$A,"&gt;="&amp;$J1905,'Weekly Log'!$A:$A,"&lt;"&amp;$J1905+7),0))</f>
        <v/>
      </c>
      <c r="D1905" t="str">
        <f>IF($J1905="","",IFERROR(COUNTIFS('Weekly Log'!$H:$H,"Y",'Weekly Log'!$A:$A,"&gt;="&amp;$J1905,'Weekly Log'!$A:$A,"&lt;"&amp;$J1905+7)/COUNTIFS('Weekly Log'!$H:$H,"&lt;&gt;",'Weekly Log'!$A:$A,"&gt;="&amp;$J1905,'Weekly Log'!$A:$A,"&lt;"&amp;$J1905+7),0))</f>
        <v/>
      </c>
      <c r="E1905" t="str">
        <f>IF($J1905="","",IFERROR(AVERAGEIFS('Weekly Log'!$F:$F,'Weekly Log'!$A:$A,"&gt;="&amp;$J1905,'Weekly Log'!$A:$A,"&lt;"&amp;$J1905+7),0))</f>
        <v/>
      </c>
      <c r="F1905" t="str">
        <f>IF($J1905="","",IFERROR(SUMIFS('Weekly Log'!$F:$F,'Weekly Log'!$A:$A,"&gt;="&amp;$J1905,'Weekly Log'!$A:$A,"&lt;"&amp;$J1905+7)/SUMIFS('Weekly Log'!$E:$E,'Weekly Log'!$A:$A,"&gt;="&amp;$J1905,'Weekly Log'!$A:$A,"&lt;"&amp;$J1905+7),0))</f>
        <v/>
      </c>
      <c r="G1905" t="str">
        <f>IF($J1905="","",IFERROR(LOOKUP(2,1/(('Weekly Log'!$A$5:$A$5000&gt;=$J1905)*('Weekly Log'!$A$5:$A$5000&lt;$J1905+7)*('Weekly Log'!$M$5:$M$5000&lt;&gt;"")),'Weekly Log'!$M$5:$M$5000),0))</f>
        <v/>
      </c>
      <c r="J1905" t="str">
        <f>IF(COUNT('Weekly Log'!$A$5:$A$5000)=0,"",IF(MIN('Weekly Log'!$A$5:$A$5000)+7*(ROW()-10)&gt;MAX('Weekly Log'!$A$5:$A$5000),"",MIN('Weekly Log'!$A$5:$A$5000)+7*(ROW()-10)))</f>
        <v/>
      </c>
    </row>
    <row r="1906" spans="1:10" x14ac:dyDescent="0.25">
      <c r="A1906" t="str">
        <f t="shared" si="29"/>
        <v/>
      </c>
      <c r="B1906" t="str">
        <f>IF($J1906="","",SUMIFS('Weekly Log'!$C:$C,'Weekly Log'!$A:$A,"&gt;="&amp;$J1906,'Weekly Log'!$A:$A,"&lt;"&amp;$J1906+7))</f>
        <v/>
      </c>
      <c r="C1906" t="str">
        <f>IF($J1906="","",IFERROR(COUNTIFS('Weekly Log'!$G:$G,"Y",'Weekly Log'!$A:$A,"&gt;="&amp;$J1906,'Weekly Log'!$A:$A,"&lt;"&amp;$J1906+7)/COUNTIFS('Weekly Log'!$G:$G,"&lt;&gt;",'Weekly Log'!$A:$A,"&gt;="&amp;$J1906,'Weekly Log'!$A:$A,"&lt;"&amp;$J1906+7),0))</f>
        <v/>
      </c>
      <c r="D1906" t="str">
        <f>IF($J1906="","",IFERROR(COUNTIFS('Weekly Log'!$H:$H,"Y",'Weekly Log'!$A:$A,"&gt;="&amp;$J1906,'Weekly Log'!$A:$A,"&lt;"&amp;$J1906+7)/COUNTIFS('Weekly Log'!$H:$H,"&lt;&gt;",'Weekly Log'!$A:$A,"&gt;="&amp;$J1906,'Weekly Log'!$A:$A,"&lt;"&amp;$J1906+7),0))</f>
        <v/>
      </c>
      <c r="E1906" t="str">
        <f>IF($J1906="","",IFERROR(AVERAGEIFS('Weekly Log'!$F:$F,'Weekly Log'!$A:$A,"&gt;="&amp;$J1906,'Weekly Log'!$A:$A,"&lt;"&amp;$J1906+7),0))</f>
        <v/>
      </c>
      <c r="F1906" t="str">
        <f>IF($J1906="","",IFERROR(SUMIFS('Weekly Log'!$F:$F,'Weekly Log'!$A:$A,"&gt;="&amp;$J1906,'Weekly Log'!$A:$A,"&lt;"&amp;$J1906+7)/SUMIFS('Weekly Log'!$E:$E,'Weekly Log'!$A:$A,"&gt;="&amp;$J1906,'Weekly Log'!$A:$A,"&lt;"&amp;$J1906+7),0))</f>
        <v/>
      </c>
      <c r="G1906" t="str">
        <f>IF($J1906="","",IFERROR(LOOKUP(2,1/(('Weekly Log'!$A$5:$A$5000&gt;=$J1906)*('Weekly Log'!$A$5:$A$5000&lt;$J1906+7)*('Weekly Log'!$M$5:$M$5000&lt;&gt;"")),'Weekly Log'!$M$5:$M$5000),0))</f>
        <v/>
      </c>
      <c r="J1906" t="str">
        <f>IF(COUNT('Weekly Log'!$A$5:$A$5000)=0,"",IF(MIN('Weekly Log'!$A$5:$A$5000)+7*(ROW()-10)&gt;MAX('Weekly Log'!$A$5:$A$5000),"",MIN('Weekly Log'!$A$5:$A$5000)+7*(ROW()-10)))</f>
        <v/>
      </c>
    </row>
    <row r="1907" spans="1:10" x14ac:dyDescent="0.25">
      <c r="A1907" t="str">
        <f t="shared" si="29"/>
        <v/>
      </c>
      <c r="B1907" t="str">
        <f>IF($J1907="","",SUMIFS('Weekly Log'!$C:$C,'Weekly Log'!$A:$A,"&gt;="&amp;$J1907,'Weekly Log'!$A:$A,"&lt;"&amp;$J1907+7))</f>
        <v/>
      </c>
      <c r="C1907" t="str">
        <f>IF($J1907="","",IFERROR(COUNTIFS('Weekly Log'!$G:$G,"Y",'Weekly Log'!$A:$A,"&gt;="&amp;$J1907,'Weekly Log'!$A:$A,"&lt;"&amp;$J1907+7)/COUNTIFS('Weekly Log'!$G:$G,"&lt;&gt;",'Weekly Log'!$A:$A,"&gt;="&amp;$J1907,'Weekly Log'!$A:$A,"&lt;"&amp;$J1907+7),0))</f>
        <v/>
      </c>
      <c r="D1907" t="str">
        <f>IF($J1907="","",IFERROR(COUNTIFS('Weekly Log'!$H:$H,"Y",'Weekly Log'!$A:$A,"&gt;="&amp;$J1907,'Weekly Log'!$A:$A,"&lt;"&amp;$J1907+7)/COUNTIFS('Weekly Log'!$H:$H,"&lt;&gt;",'Weekly Log'!$A:$A,"&gt;="&amp;$J1907,'Weekly Log'!$A:$A,"&lt;"&amp;$J1907+7),0))</f>
        <v/>
      </c>
      <c r="E1907" t="str">
        <f>IF($J1907="","",IFERROR(AVERAGEIFS('Weekly Log'!$F:$F,'Weekly Log'!$A:$A,"&gt;="&amp;$J1907,'Weekly Log'!$A:$A,"&lt;"&amp;$J1907+7),0))</f>
        <v/>
      </c>
      <c r="F1907" t="str">
        <f>IF($J1907="","",IFERROR(SUMIFS('Weekly Log'!$F:$F,'Weekly Log'!$A:$A,"&gt;="&amp;$J1907,'Weekly Log'!$A:$A,"&lt;"&amp;$J1907+7)/SUMIFS('Weekly Log'!$E:$E,'Weekly Log'!$A:$A,"&gt;="&amp;$J1907,'Weekly Log'!$A:$A,"&lt;"&amp;$J1907+7),0))</f>
        <v/>
      </c>
      <c r="G1907" t="str">
        <f>IF($J1907="","",IFERROR(LOOKUP(2,1/(('Weekly Log'!$A$5:$A$5000&gt;=$J1907)*('Weekly Log'!$A$5:$A$5000&lt;$J1907+7)*('Weekly Log'!$M$5:$M$5000&lt;&gt;"")),'Weekly Log'!$M$5:$M$5000),0))</f>
        <v/>
      </c>
      <c r="J1907" t="str">
        <f>IF(COUNT('Weekly Log'!$A$5:$A$5000)=0,"",IF(MIN('Weekly Log'!$A$5:$A$5000)+7*(ROW()-10)&gt;MAX('Weekly Log'!$A$5:$A$5000),"",MIN('Weekly Log'!$A$5:$A$5000)+7*(ROW()-10)))</f>
        <v/>
      </c>
    </row>
    <row r="1908" spans="1:10" x14ac:dyDescent="0.25">
      <c r="A1908" t="str">
        <f t="shared" si="29"/>
        <v/>
      </c>
      <c r="B1908" t="str">
        <f>IF($J1908="","",SUMIFS('Weekly Log'!$C:$C,'Weekly Log'!$A:$A,"&gt;="&amp;$J1908,'Weekly Log'!$A:$A,"&lt;"&amp;$J1908+7))</f>
        <v/>
      </c>
      <c r="C1908" t="str">
        <f>IF($J1908="","",IFERROR(COUNTIFS('Weekly Log'!$G:$G,"Y",'Weekly Log'!$A:$A,"&gt;="&amp;$J1908,'Weekly Log'!$A:$A,"&lt;"&amp;$J1908+7)/COUNTIFS('Weekly Log'!$G:$G,"&lt;&gt;",'Weekly Log'!$A:$A,"&gt;="&amp;$J1908,'Weekly Log'!$A:$A,"&lt;"&amp;$J1908+7),0))</f>
        <v/>
      </c>
      <c r="D1908" t="str">
        <f>IF($J1908="","",IFERROR(COUNTIFS('Weekly Log'!$H:$H,"Y",'Weekly Log'!$A:$A,"&gt;="&amp;$J1908,'Weekly Log'!$A:$A,"&lt;"&amp;$J1908+7)/COUNTIFS('Weekly Log'!$H:$H,"&lt;&gt;",'Weekly Log'!$A:$A,"&gt;="&amp;$J1908,'Weekly Log'!$A:$A,"&lt;"&amp;$J1908+7),0))</f>
        <v/>
      </c>
      <c r="E1908" t="str">
        <f>IF($J1908="","",IFERROR(AVERAGEIFS('Weekly Log'!$F:$F,'Weekly Log'!$A:$A,"&gt;="&amp;$J1908,'Weekly Log'!$A:$A,"&lt;"&amp;$J1908+7),0))</f>
        <v/>
      </c>
      <c r="F1908" t="str">
        <f>IF($J1908="","",IFERROR(SUMIFS('Weekly Log'!$F:$F,'Weekly Log'!$A:$A,"&gt;="&amp;$J1908,'Weekly Log'!$A:$A,"&lt;"&amp;$J1908+7)/SUMIFS('Weekly Log'!$E:$E,'Weekly Log'!$A:$A,"&gt;="&amp;$J1908,'Weekly Log'!$A:$A,"&lt;"&amp;$J1908+7),0))</f>
        <v/>
      </c>
      <c r="G1908" t="str">
        <f>IF($J1908="","",IFERROR(LOOKUP(2,1/(('Weekly Log'!$A$5:$A$5000&gt;=$J1908)*('Weekly Log'!$A$5:$A$5000&lt;$J1908+7)*('Weekly Log'!$M$5:$M$5000&lt;&gt;"")),'Weekly Log'!$M$5:$M$5000),0))</f>
        <v/>
      </c>
      <c r="J1908" t="str">
        <f>IF(COUNT('Weekly Log'!$A$5:$A$5000)=0,"",IF(MIN('Weekly Log'!$A$5:$A$5000)+7*(ROW()-10)&gt;MAX('Weekly Log'!$A$5:$A$5000),"",MIN('Weekly Log'!$A$5:$A$5000)+7*(ROW()-10)))</f>
        <v/>
      </c>
    </row>
    <row r="1909" spans="1:10" x14ac:dyDescent="0.25">
      <c r="A1909" t="str">
        <f t="shared" si="29"/>
        <v/>
      </c>
      <c r="B1909" t="str">
        <f>IF($J1909="","",SUMIFS('Weekly Log'!$C:$C,'Weekly Log'!$A:$A,"&gt;="&amp;$J1909,'Weekly Log'!$A:$A,"&lt;"&amp;$J1909+7))</f>
        <v/>
      </c>
      <c r="C1909" t="str">
        <f>IF($J1909="","",IFERROR(COUNTIFS('Weekly Log'!$G:$G,"Y",'Weekly Log'!$A:$A,"&gt;="&amp;$J1909,'Weekly Log'!$A:$A,"&lt;"&amp;$J1909+7)/COUNTIFS('Weekly Log'!$G:$G,"&lt;&gt;",'Weekly Log'!$A:$A,"&gt;="&amp;$J1909,'Weekly Log'!$A:$A,"&lt;"&amp;$J1909+7),0))</f>
        <v/>
      </c>
      <c r="D1909" t="str">
        <f>IF($J1909="","",IFERROR(COUNTIFS('Weekly Log'!$H:$H,"Y",'Weekly Log'!$A:$A,"&gt;="&amp;$J1909,'Weekly Log'!$A:$A,"&lt;"&amp;$J1909+7)/COUNTIFS('Weekly Log'!$H:$H,"&lt;&gt;",'Weekly Log'!$A:$A,"&gt;="&amp;$J1909,'Weekly Log'!$A:$A,"&lt;"&amp;$J1909+7),0))</f>
        <v/>
      </c>
      <c r="E1909" t="str">
        <f>IF($J1909="","",IFERROR(AVERAGEIFS('Weekly Log'!$F:$F,'Weekly Log'!$A:$A,"&gt;="&amp;$J1909,'Weekly Log'!$A:$A,"&lt;"&amp;$J1909+7),0))</f>
        <v/>
      </c>
      <c r="F1909" t="str">
        <f>IF($J1909="","",IFERROR(SUMIFS('Weekly Log'!$F:$F,'Weekly Log'!$A:$A,"&gt;="&amp;$J1909,'Weekly Log'!$A:$A,"&lt;"&amp;$J1909+7)/SUMIFS('Weekly Log'!$E:$E,'Weekly Log'!$A:$A,"&gt;="&amp;$J1909,'Weekly Log'!$A:$A,"&lt;"&amp;$J1909+7),0))</f>
        <v/>
      </c>
      <c r="G1909" t="str">
        <f>IF($J1909="","",IFERROR(LOOKUP(2,1/(('Weekly Log'!$A$5:$A$5000&gt;=$J1909)*('Weekly Log'!$A$5:$A$5000&lt;$J1909+7)*('Weekly Log'!$M$5:$M$5000&lt;&gt;"")),'Weekly Log'!$M$5:$M$5000),0))</f>
        <v/>
      </c>
      <c r="J1909" t="str">
        <f>IF(COUNT('Weekly Log'!$A$5:$A$5000)=0,"",IF(MIN('Weekly Log'!$A$5:$A$5000)+7*(ROW()-10)&gt;MAX('Weekly Log'!$A$5:$A$5000),"",MIN('Weekly Log'!$A$5:$A$5000)+7*(ROW()-10)))</f>
        <v/>
      </c>
    </row>
    <row r="1910" spans="1:10" x14ac:dyDescent="0.25">
      <c r="A1910" t="str">
        <f t="shared" si="29"/>
        <v/>
      </c>
      <c r="B1910" t="str">
        <f>IF($J1910="","",SUMIFS('Weekly Log'!$C:$C,'Weekly Log'!$A:$A,"&gt;="&amp;$J1910,'Weekly Log'!$A:$A,"&lt;"&amp;$J1910+7))</f>
        <v/>
      </c>
      <c r="C1910" t="str">
        <f>IF($J1910="","",IFERROR(COUNTIFS('Weekly Log'!$G:$G,"Y",'Weekly Log'!$A:$A,"&gt;="&amp;$J1910,'Weekly Log'!$A:$A,"&lt;"&amp;$J1910+7)/COUNTIFS('Weekly Log'!$G:$G,"&lt;&gt;",'Weekly Log'!$A:$A,"&gt;="&amp;$J1910,'Weekly Log'!$A:$A,"&lt;"&amp;$J1910+7),0))</f>
        <v/>
      </c>
      <c r="D1910" t="str">
        <f>IF($J1910="","",IFERROR(COUNTIFS('Weekly Log'!$H:$H,"Y",'Weekly Log'!$A:$A,"&gt;="&amp;$J1910,'Weekly Log'!$A:$A,"&lt;"&amp;$J1910+7)/COUNTIFS('Weekly Log'!$H:$H,"&lt;&gt;",'Weekly Log'!$A:$A,"&gt;="&amp;$J1910,'Weekly Log'!$A:$A,"&lt;"&amp;$J1910+7),0))</f>
        <v/>
      </c>
      <c r="E1910" t="str">
        <f>IF($J1910="","",IFERROR(AVERAGEIFS('Weekly Log'!$F:$F,'Weekly Log'!$A:$A,"&gt;="&amp;$J1910,'Weekly Log'!$A:$A,"&lt;"&amp;$J1910+7),0))</f>
        <v/>
      </c>
      <c r="F1910" t="str">
        <f>IF($J1910="","",IFERROR(SUMIFS('Weekly Log'!$F:$F,'Weekly Log'!$A:$A,"&gt;="&amp;$J1910,'Weekly Log'!$A:$A,"&lt;"&amp;$J1910+7)/SUMIFS('Weekly Log'!$E:$E,'Weekly Log'!$A:$A,"&gt;="&amp;$J1910,'Weekly Log'!$A:$A,"&lt;"&amp;$J1910+7),0))</f>
        <v/>
      </c>
      <c r="G1910" t="str">
        <f>IF($J1910="","",IFERROR(LOOKUP(2,1/(('Weekly Log'!$A$5:$A$5000&gt;=$J1910)*('Weekly Log'!$A$5:$A$5000&lt;$J1910+7)*('Weekly Log'!$M$5:$M$5000&lt;&gt;"")),'Weekly Log'!$M$5:$M$5000),0))</f>
        <v/>
      </c>
      <c r="J1910" t="str">
        <f>IF(COUNT('Weekly Log'!$A$5:$A$5000)=0,"",IF(MIN('Weekly Log'!$A$5:$A$5000)+7*(ROW()-10)&gt;MAX('Weekly Log'!$A$5:$A$5000),"",MIN('Weekly Log'!$A$5:$A$5000)+7*(ROW()-10)))</f>
        <v/>
      </c>
    </row>
    <row r="1911" spans="1:10" x14ac:dyDescent="0.25">
      <c r="A1911" t="str">
        <f t="shared" si="29"/>
        <v/>
      </c>
      <c r="B1911" t="str">
        <f>IF($J1911="","",SUMIFS('Weekly Log'!$C:$C,'Weekly Log'!$A:$A,"&gt;="&amp;$J1911,'Weekly Log'!$A:$A,"&lt;"&amp;$J1911+7))</f>
        <v/>
      </c>
      <c r="C1911" t="str">
        <f>IF($J1911="","",IFERROR(COUNTIFS('Weekly Log'!$G:$G,"Y",'Weekly Log'!$A:$A,"&gt;="&amp;$J1911,'Weekly Log'!$A:$A,"&lt;"&amp;$J1911+7)/COUNTIFS('Weekly Log'!$G:$G,"&lt;&gt;",'Weekly Log'!$A:$A,"&gt;="&amp;$J1911,'Weekly Log'!$A:$A,"&lt;"&amp;$J1911+7),0))</f>
        <v/>
      </c>
      <c r="D1911" t="str">
        <f>IF($J1911="","",IFERROR(COUNTIFS('Weekly Log'!$H:$H,"Y",'Weekly Log'!$A:$A,"&gt;="&amp;$J1911,'Weekly Log'!$A:$A,"&lt;"&amp;$J1911+7)/COUNTIFS('Weekly Log'!$H:$H,"&lt;&gt;",'Weekly Log'!$A:$A,"&gt;="&amp;$J1911,'Weekly Log'!$A:$A,"&lt;"&amp;$J1911+7),0))</f>
        <v/>
      </c>
      <c r="E1911" t="str">
        <f>IF($J1911="","",IFERROR(AVERAGEIFS('Weekly Log'!$F:$F,'Weekly Log'!$A:$A,"&gt;="&amp;$J1911,'Weekly Log'!$A:$A,"&lt;"&amp;$J1911+7),0))</f>
        <v/>
      </c>
      <c r="F1911" t="str">
        <f>IF($J1911="","",IFERROR(SUMIFS('Weekly Log'!$F:$F,'Weekly Log'!$A:$A,"&gt;="&amp;$J1911,'Weekly Log'!$A:$A,"&lt;"&amp;$J1911+7)/SUMIFS('Weekly Log'!$E:$E,'Weekly Log'!$A:$A,"&gt;="&amp;$J1911,'Weekly Log'!$A:$A,"&lt;"&amp;$J1911+7),0))</f>
        <v/>
      </c>
      <c r="G1911" t="str">
        <f>IF($J1911="","",IFERROR(LOOKUP(2,1/(('Weekly Log'!$A$5:$A$5000&gt;=$J1911)*('Weekly Log'!$A$5:$A$5000&lt;$J1911+7)*('Weekly Log'!$M$5:$M$5000&lt;&gt;"")),'Weekly Log'!$M$5:$M$5000),0))</f>
        <v/>
      </c>
      <c r="J1911" t="str">
        <f>IF(COUNT('Weekly Log'!$A$5:$A$5000)=0,"",IF(MIN('Weekly Log'!$A$5:$A$5000)+7*(ROW()-10)&gt;MAX('Weekly Log'!$A$5:$A$5000),"",MIN('Weekly Log'!$A$5:$A$5000)+7*(ROW()-10)))</f>
        <v/>
      </c>
    </row>
    <row r="1912" spans="1:10" x14ac:dyDescent="0.25">
      <c r="A1912" t="str">
        <f t="shared" si="29"/>
        <v/>
      </c>
      <c r="B1912" t="str">
        <f>IF($J1912="","",SUMIFS('Weekly Log'!$C:$C,'Weekly Log'!$A:$A,"&gt;="&amp;$J1912,'Weekly Log'!$A:$A,"&lt;"&amp;$J1912+7))</f>
        <v/>
      </c>
      <c r="C1912" t="str">
        <f>IF($J1912="","",IFERROR(COUNTIFS('Weekly Log'!$G:$G,"Y",'Weekly Log'!$A:$A,"&gt;="&amp;$J1912,'Weekly Log'!$A:$A,"&lt;"&amp;$J1912+7)/COUNTIFS('Weekly Log'!$G:$G,"&lt;&gt;",'Weekly Log'!$A:$A,"&gt;="&amp;$J1912,'Weekly Log'!$A:$A,"&lt;"&amp;$J1912+7),0))</f>
        <v/>
      </c>
      <c r="D1912" t="str">
        <f>IF($J1912="","",IFERROR(COUNTIFS('Weekly Log'!$H:$H,"Y",'Weekly Log'!$A:$A,"&gt;="&amp;$J1912,'Weekly Log'!$A:$A,"&lt;"&amp;$J1912+7)/COUNTIFS('Weekly Log'!$H:$H,"&lt;&gt;",'Weekly Log'!$A:$A,"&gt;="&amp;$J1912,'Weekly Log'!$A:$A,"&lt;"&amp;$J1912+7),0))</f>
        <v/>
      </c>
      <c r="E1912" t="str">
        <f>IF($J1912="","",IFERROR(AVERAGEIFS('Weekly Log'!$F:$F,'Weekly Log'!$A:$A,"&gt;="&amp;$J1912,'Weekly Log'!$A:$A,"&lt;"&amp;$J1912+7),0))</f>
        <v/>
      </c>
      <c r="F1912" t="str">
        <f>IF($J1912="","",IFERROR(SUMIFS('Weekly Log'!$F:$F,'Weekly Log'!$A:$A,"&gt;="&amp;$J1912,'Weekly Log'!$A:$A,"&lt;"&amp;$J1912+7)/SUMIFS('Weekly Log'!$E:$E,'Weekly Log'!$A:$A,"&gt;="&amp;$J1912,'Weekly Log'!$A:$A,"&lt;"&amp;$J1912+7),0))</f>
        <v/>
      </c>
      <c r="G1912" t="str">
        <f>IF($J1912="","",IFERROR(LOOKUP(2,1/(('Weekly Log'!$A$5:$A$5000&gt;=$J1912)*('Weekly Log'!$A$5:$A$5000&lt;$J1912+7)*('Weekly Log'!$M$5:$M$5000&lt;&gt;"")),'Weekly Log'!$M$5:$M$5000),0))</f>
        <v/>
      </c>
      <c r="J1912" t="str">
        <f>IF(COUNT('Weekly Log'!$A$5:$A$5000)=0,"",IF(MIN('Weekly Log'!$A$5:$A$5000)+7*(ROW()-10)&gt;MAX('Weekly Log'!$A$5:$A$5000),"",MIN('Weekly Log'!$A$5:$A$5000)+7*(ROW()-10)))</f>
        <v/>
      </c>
    </row>
    <row r="1913" spans="1:10" x14ac:dyDescent="0.25">
      <c r="A1913" t="str">
        <f t="shared" si="29"/>
        <v/>
      </c>
      <c r="B1913" t="str">
        <f>IF($J1913="","",SUMIFS('Weekly Log'!$C:$C,'Weekly Log'!$A:$A,"&gt;="&amp;$J1913,'Weekly Log'!$A:$A,"&lt;"&amp;$J1913+7))</f>
        <v/>
      </c>
      <c r="C1913" t="str">
        <f>IF($J1913="","",IFERROR(COUNTIFS('Weekly Log'!$G:$G,"Y",'Weekly Log'!$A:$A,"&gt;="&amp;$J1913,'Weekly Log'!$A:$A,"&lt;"&amp;$J1913+7)/COUNTIFS('Weekly Log'!$G:$G,"&lt;&gt;",'Weekly Log'!$A:$A,"&gt;="&amp;$J1913,'Weekly Log'!$A:$A,"&lt;"&amp;$J1913+7),0))</f>
        <v/>
      </c>
      <c r="D1913" t="str">
        <f>IF($J1913="","",IFERROR(COUNTIFS('Weekly Log'!$H:$H,"Y",'Weekly Log'!$A:$A,"&gt;="&amp;$J1913,'Weekly Log'!$A:$A,"&lt;"&amp;$J1913+7)/COUNTIFS('Weekly Log'!$H:$H,"&lt;&gt;",'Weekly Log'!$A:$A,"&gt;="&amp;$J1913,'Weekly Log'!$A:$A,"&lt;"&amp;$J1913+7),0))</f>
        <v/>
      </c>
      <c r="E1913" t="str">
        <f>IF($J1913="","",IFERROR(AVERAGEIFS('Weekly Log'!$F:$F,'Weekly Log'!$A:$A,"&gt;="&amp;$J1913,'Weekly Log'!$A:$A,"&lt;"&amp;$J1913+7),0))</f>
        <v/>
      </c>
      <c r="F1913" t="str">
        <f>IF($J1913="","",IFERROR(SUMIFS('Weekly Log'!$F:$F,'Weekly Log'!$A:$A,"&gt;="&amp;$J1913,'Weekly Log'!$A:$A,"&lt;"&amp;$J1913+7)/SUMIFS('Weekly Log'!$E:$E,'Weekly Log'!$A:$A,"&gt;="&amp;$J1913,'Weekly Log'!$A:$A,"&lt;"&amp;$J1913+7),0))</f>
        <v/>
      </c>
      <c r="G1913" t="str">
        <f>IF($J1913="","",IFERROR(LOOKUP(2,1/(('Weekly Log'!$A$5:$A$5000&gt;=$J1913)*('Weekly Log'!$A$5:$A$5000&lt;$J1913+7)*('Weekly Log'!$M$5:$M$5000&lt;&gt;"")),'Weekly Log'!$M$5:$M$5000),0))</f>
        <v/>
      </c>
      <c r="J1913" t="str">
        <f>IF(COUNT('Weekly Log'!$A$5:$A$5000)=0,"",IF(MIN('Weekly Log'!$A$5:$A$5000)+7*(ROW()-10)&gt;MAX('Weekly Log'!$A$5:$A$5000),"",MIN('Weekly Log'!$A$5:$A$5000)+7*(ROW()-10)))</f>
        <v/>
      </c>
    </row>
    <row r="1914" spans="1:10" x14ac:dyDescent="0.25">
      <c r="A1914" t="str">
        <f t="shared" si="29"/>
        <v/>
      </c>
      <c r="B1914" t="str">
        <f>IF($J1914="","",SUMIFS('Weekly Log'!$C:$C,'Weekly Log'!$A:$A,"&gt;="&amp;$J1914,'Weekly Log'!$A:$A,"&lt;"&amp;$J1914+7))</f>
        <v/>
      </c>
      <c r="C1914" t="str">
        <f>IF($J1914="","",IFERROR(COUNTIFS('Weekly Log'!$G:$G,"Y",'Weekly Log'!$A:$A,"&gt;="&amp;$J1914,'Weekly Log'!$A:$A,"&lt;"&amp;$J1914+7)/COUNTIFS('Weekly Log'!$G:$G,"&lt;&gt;",'Weekly Log'!$A:$A,"&gt;="&amp;$J1914,'Weekly Log'!$A:$A,"&lt;"&amp;$J1914+7),0))</f>
        <v/>
      </c>
      <c r="D1914" t="str">
        <f>IF($J1914="","",IFERROR(COUNTIFS('Weekly Log'!$H:$H,"Y",'Weekly Log'!$A:$A,"&gt;="&amp;$J1914,'Weekly Log'!$A:$A,"&lt;"&amp;$J1914+7)/COUNTIFS('Weekly Log'!$H:$H,"&lt;&gt;",'Weekly Log'!$A:$A,"&gt;="&amp;$J1914,'Weekly Log'!$A:$A,"&lt;"&amp;$J1914+7),0))</f>
        <v/>
      </c>
      <c r="E1914" t="str">
        <f>IF($J1914="","",IFERROR(AVERAGEIFS('Weekly Log'!$F:$F,'Weekly Log'!$A:$A,"&gt;="&amp;$J1914,'Weekly Log'!$A:$A,"&lt;"&amp;$J1914+7),0))</f>
        <v/>
      </c>
      <c r="F1914" t="str">
        <f>IF($J1914="","",IFERROR(SUMIFS('Weekly Log'!$F:$F,'Weekly Log'!$A:$A,"&gt;="&amp;$J1914,'Weekly Log'!$A:$A,"&lt;"&amp;$J1914+7)/SUMIFS('Weekly Log'!$E:$E,'Weekly Log'!$A:$A,"&gt;="&amp;$J1914,'Weekly Log'!$A:$A,"&lt;"&amp;$J1914+7),0))</f>
        <v/>
      </c>
      <c r="G1914" t="str">
        <f>IF($J1914="","",IFERROR(LOOKUP(2,1/(('Weekly Log'!$A$5:$A$5000&gt;=$J1914)*('Weekly Log'!$A$5:$A$5000&lt;$J1914+7)*('Weekly Log'!$M$5:$M$5000&lt;&gt;"")),'Weekly Log'!$M$5:$M$5000),0))</f>
        <v/>
      </c>
      <c r="J1914" t="str">
        <f>IF(COUNT('Weekly Log'!$A$5:$A$5000)=0,"",IF(MIN('Weekly Log'!$A$5:$A$5000)+7*(ROW()-10)&gt;MAX('Weekly Log'!$A$5:$A$5000),"",MIN('Weekly Log'!$A$5:$A$5000)+7*(ROW()-10)))</f>
        <v/>
      </c>
    </row>
    <row r="1915" spans="1:10" x14ac:dyDescent="0.25">
      <c r="A1915" t="str">
        <f t="shared" si="29"/>
        <v/>
      </c>
      <c r="B1915" t="str">
        <f>IF($J1915="","",SUMIFS('Weekly Log'!$C:$C,'Weekly Log'!$A:$A,"&gt;="&amp;$J1915,'Weekly Log'!$A:$A,"&lt;"&amp;$J1915+7))</f>
        <v/>
      </c>
      <c r="C1915" t="str">
        <f>IF($J1915="","",IFERROR(COUNTIFS('Weekly Log'!$G:$G,"Y",'Weekly Log'!$A:$A,"&gt;="&amp;$J1915,'Weekly Log'!$A:$A,"&lt;"&amp;$J1915+7)/COUNTIFS('Weekly Log'!$G:$G,"&lt;&gt;",'Weekly Log'!$A:$A,"&gt;="&amp;$J1915,'Weekly Log'!$A:$A,"&lt;"&amp;$J1915+7),0))</f>
        <v/>
      </c>
      <c r="D1915" t="str">
        <f>IF($J1915="","",IFERROR(COUNTIFS('Weekly Log'!$H:$H,"Y",'Weekly Log'!$A:$A,"&gt;="&amp;$J1915,'Weekly Log'!$A:$A,"&lt;"&amp;$J1915+7)/COUNTIFS('Weekly Log'!$H:$H,"&lt;&gt;",'Weekly Log'!$A:$A,"&gt;="&amp;$J1915,'Weekly Log'!$A:$A,"&lt;"&amp;$J1915+7),0))</f>
        <v/>
      </c>
      <c r="E1915" t="str">
        <f>IF($J1915="","",IFERROR(AVERAGEIFS('Weekly Log'!$F:$F,'Weekly Log'!$A:$A,"&gt;="&amp;$J1915,'Weekly Log'!$A:$A,"&lt;"&amp;$J1915+7),0))</f>
        <v/>
      </c>
      <c r="F1915" t="str">
        <f>IF($J1915="","",IFERROR(SUMIFS('Weekly Log'!$F:$F,'Weekly Log'!$A:$A,"&gt;="&amp;$J1915,'Weekly Log'!$A:$A,"&lt;"&amp;$J1915+7)/SUMIFS('Weekly Log'!$E:$E,'Weekly Log'!$A:$A,"&gt;="&amp;$J1915,'Weekly Log'!$A:$A,"&lt;"&amp;$J1915+7),0))</f>
        <v/>
      </c>
      <c r="G1915" t="str">
        <f>IF($J1915="","",IFERROR(LOOKUP(2,1/(('Weekly Log'!$A$5:$A$5000&gt;=$J1915)*('Weekly Log'!$A$5:$A$5000&lt;$J1915+7)*('Weekly Log'!$M$5:$M$5000&lt;&gt;"")),'Weekly Log'!$M$5:$M$5000),0))</f>
        <v/>
      </c>
      <c r="J1915" t="str">
        <f>IF(COUNT('Weekly Log'!$A$5:$A$5000)=0,"",IF(MIN('Weekly Log'!$A$5:$A$5000)+7*(ROW()-10)&gt;MAX('Weekly Log'!$A$5:$A$5000),"",MIN('Weekly Log'!$A$5:$A$5000)+7*(ROW()-10)))</f>
        <v/>
      </c>
    </row>
    <row r="1916" spans="1:10" x14ac:dyDescent="0.25">
      <c r="A1916" t="str">
        <f t="shared" si="29"/>
        <v/>
      </c>
      <c r="B1916" t="str">
        <f>IF($J1916="","",SUMIFS('Weekly Log'!$C:$C,'Weekly Log'!$A:$A,"&gt;="&amp;$J1916,'Weekly Log'!$A:$A,"&lt;"&amp;$J1916+7))</f>
        <v/>
      </c>
      <c r="C1916" t="str">
        <f>IF($J1916="","",IFERROR(COUNTIFS('Weekly Log'!$G:$G,"Y",'Weekly Log'!$A:$A,"&gt;="&amp;$J1916,'Weekly Log'!$A:$A,"&lt;"&amp;$J1916+7)/COUNTIFS('Weekly Log'!$G:$G,"&lt;&gt;",'Weekly Log'!$A:$A,"&gt;="&amp;$J1916,'Weekly Log'!$A:$A,"&lt;"&amp;$J1916+7),0))</f>
        <v/>
      </c>
      <c r="D1916" t="str">
        <f>IF($J1916="","",IFERROR(COUNTIFS('Weekly Log'!$H:$H,"Y",'Weekly Log'!$A:$A,"&gt;="&amp;$J1916,'Weekly Log'!$A:$A,"&lt;"&amp;$J1916+7)/COUNTIFS('Weekly Log'!$H:$H,"&lt;&gt;",'Weekly Log'!$A:$A,"&gt;="&amp;$J1916,'Weekly Log'!$A:$A,"&lt;"&amp;$J1916+7),0))</f>
        <v/>
      </c>
      <c r="E1916" t="str">
        <f>IF($J1916="","",IFERROR(AVERAGEIFS('Weekly Log'!$F:$F,'Weekly Log'!$A:$A,"&gt;="&amp;$J1916,'Weekly Log'!$A:$A,"&lt;"&amp;$J1916+7),0))</f>
        <v/>
      </c>
      <c r="F1916" t="str">
        <f>IF($J1916="","",IFERROR(SUMIFS('Weekly Log'!$F:$F,'Weekly Log'!$A:$A,"&gt;="&amp;$J1916,'Weekly Log'!$A:$A,"&lt;"&amp;$J1916+7)/SUMIFS('Weekly Log'!$E:$E,'Weekly Log'!$A:$A,"&gt;="&amp;$J1916,'Weekly Log'!$A:$A,"&lt;"&amp;$J1916+7),0))</f>
        <v/>
      </c>
      <c r="G1916" t="str">
        <f>IF($J1916="","",IFERROR(LOOKUP(2,1/(('Weekly Log'!$A$5:$A$5000&gt;=$J1916)*('Weekly Log'!$A$5:$A$5000&lt;$J1916+7)*('Weekly Log'!$M$5:$M$5000&lt;&gt;"")),'Weekly Log'!$M$5:$M$5000),0))</f>
        <v/>
      </c>
      <c r="J1916" t="str">
        <f>IF(COUNT('Weekly Log'!$A$5:$A$5000)=0,"",IF(MIN('Weekly Log'!$A$5:$A$5000)+7*(ROW()-10)&gt;MAX('Weekly Log'!$A$5:$A$5000),"",MIN('Weekly Log'!$A$5:$A$5000)+7*(ROW()-10)))</f>
        <v/>
      </c>
    </row>
    <row r="1917" spans="1:10" x14ac:dyDescent="0.25">
      <c r="A1917" t="str">
        <f t="shared" si="29"/>
        <v/>
      </c>
      <c r="B1917" t="str">
        <f>IF($J1917="","",SUMIFS('Weekly Log'!$C:$C,'Weekly Log'!$A:$A,"&gt;="&amp;$J1917,'Weekly Log'!$A:$A,"&lt;"&amp;$J1917+7))</f>
        <v/>
      </c>
      <c r="C1917" t="str">
        <f>IF($J1917="","",IFERROR(COUNTIFS('Weekly Log'!$G:$G,"Y",'Weekly Log'!$A:$A,"&gt;="&amp;$J1917,'Weekly Log'!$A:$A,"&lt;"&amp;$J1917+7)/COUNTIFS('Weekly Log'!$G:$G,"&lt;&gt;",'Weekly Log'!$A:$A,"&gt;="&amp;$J1917,'Weekly Log'!$A:$A,"&lt;"&amp;$J1917+7),0))</f>
        <v/>
      </c>
      <c r="D1917" t="str">
        <f>IF($J1917="","",IFERROR(COUNTIFS('Weekly Log'!$H:$H,"Y",'Weekly Log'!$A:$A,"&gt;="&amp;$J1917,'Weekly Log'!$A:$A,"&lt;"&amp;$J1917+7)/COUNTIFS('Weekly Log'!$H:$H,"&lt;&gt;",'Weekly Log'!$A:$A,"&gt;="&amp;$J1917,'Weekly Log'!$A:$A,"&lt;"&amp;$J1917+7),0))</f>
        <v/>
      </c>
      <c r="E1917" t="str">
        <f>IF($J1917="","",IFERROR(AVERAGEIFS('Weekly Log'!$F:$F,'Weekly Log'!$A:$A,"&gt;="&amp;$J1917,'Weekly Log'!$A:$A,"&lt;"&amp;$J1917+7),0))</f>
        <v/>
      </c>
      <c r="F1917" t="str">
        <f>IF($J1917="","",IFERROR(SUMIFS('Weekly Log'!$F:$F,'Weekly Log'!$A:$A,"&gt;="&amp;$J1917,'Weekly Log'!$A:$A,"&lt;"&amp;$J1917+7)/SUMIFS('Weekly Log'!$E:$E,'Weekly Log'!$A:$A,"&gt;="&amp;$J1917,'Weekly Log'!$A:$A,"&lt;"&amp;$J1917+7),0))</f>
        <v/>
      </c>
      <c r="G1917" t="str">
        <f>IF($J1917="","",IFERROR(LOOKUP(2,1/(('Weekly Log'!$A$5:$A$5000&gt;=$J1917)*('Weekly Log'!$A$5:$A$5000&lt;$J1917+7)*('Weekly Log'!$M$5:$M$5000&lt;&gt;"")),'Weekly Log'!$M$5:$M$5000),0))</f>
        <v/>
      </c>
      <c r="J1917" t="str">
        <f>IF(COUNT('Weekly Log'!$A$5:$A$5000)=0,"",IF(MIN('Weekly Log'!$A$5:$A$5000)+7*(ROW()-10)&gt;MAX('Weekly Log'!$A$5:$A$5000),"",MIN('Weekly Log'!$A$5:$A$5000)+7*(ROW()-10)))</f>
        <v/>
      </c>
    </row>
    <row r="1918" spans="1:10" x14ac:dyDescent="0.25">
      <c r="A1918" t="str">
        <f t="shared" si="29"/>
        <v/>
      </c>
      <c r="B1918" t="str">
        <f>IF($J1918="","",SUMIFS('Weekly Log'!$C:$C,'Weekly Log'!$A:$A,"&gt;="&amp;$J1918,'Weekly Log'!$A:$A,"&lt;"&amp;$J1918+7))</f>
        <v/>
      </c>
      <c r="C1918" t="str">
        <f>IF($J1918="","",IFERROR(COUNTIFS('Weekly Log'!$G:$G,"Y",'Weekly Log'!$A:$A,"&gt;="&amp;$J1918,'Weekly Log'!$A:$A,"&lt;"&amp;$J1918+7)/COUNTIFS('Weekly Log'!$G:$G,"&lt;&gt;",'Weekly Log'!$A:$A,"&gt;="&amp;$J1918,'Weekly Log'!$A:$A,"&lt;"&amp;$J1918+7),0))</f>
        <v/>
      </c>
      <c r="D1918" t="str">
        <f>IF($J1918="","",IFERROR(COUNTIFS('Weekly Log'!$H:$H,"Y",'Weekly Log'!$A:$A,"&gt;="&amp;$J1918,'Weekly Log'!$A:$A,"&lt;"&amp;$J1918+7)/COUNTIFS('Weekly Log'!$H:$H,"&lt;&gt;",'Weekly Log'!$A:$A,"&gt;="&amp;$J1918,'Weekly Log'!$A:$A,"&lt;"&amp;$J1918+7),0))</f>
        <v/>
      </c>
      <c r="E1918" t="str">
        <f>IF($J1918="","",IFERROR(AVERAGEIFS('Weekly Log'!$F:$F,'Weekly Log'!$A:$A,"&gt;="&amp;$J1918,'Weekly Log'!$A:$A,"&lt;"&amp;$J1918+7),0))</f>
        <v/>
      </c>
      <c r="F1918" t="str">
        <f>IF($J1918="","",IFERROR(SUMIFS('Weekly Log'!$F:$F,'Weekly Log'!$A:$A,"&gt;="&amp;$J1918,'Weekly Log'!$A:$A,"&lt;"&amp;$J1918+7)/SUMIFS('Weekly Log'!$E:$E,'Weekly Log'!$A:$A,"&gt;="&amp;$J1918,'Weekly Log'!$A:$A,"&lt;"&amp;$J1918+7),0))</f>
        <v/>
      </c>
      <c r="G1918" t="str">
        <f>IF($J1918="","",IFERROR(LOOKUP(2,1/(('Weekly Log'!$A$5:$A$5000&gt;=$J1918)*('Weekly Log'!$A$5:$A$5000&lt;$J1918+7)*('Weekly Log'!$M$5:$M$5000&lt;&gt;"")),'Weekly Log'!$M$5:$M$5000),0))</f>
        <v/>
      </c>
      <c r="J1918" t="str">
        <f>IF(COUNT('Weekly Log'!$A$5:$A$5000)=0,"",IF(MIN('Weekly Log'!$A$5:$A$5000)+7*(ROW()-10)&gt;MAX('Weekly Log'!$A$5:$A$5000),"",MIN('Weekly Log'!$A$5:$A$5000)+7*(ROW()-10)))</f>
        <v/>
      </c>
    </row>
    <row r="1919" spans="1:10" x14ac:dyDescent="0.25">
      <c r="A1919" t="str">
        <f t="shared" si="29"/>
        <v/>
      </c>
      <c r="B1919" t="str">
        <f>IF($J1919="","",SUMIFS('Weekly Log'!$C:$C,'Weekly Log'!$A:$A,"&gt;="&amp;$J1919,'Weekly Log'!$A:$A,"&lt;"&amp;$J1919+7))</f>
        <v/>
      </c>
      <c r="C1919" t="str">
        <f>IF($J1919="","",IFERROR(COUNTIFS('Weekly Log'!$G:$G,"Y",'Weekly Log'!$A:$A,"&gt;="&amp;$J1919,'Weekly Log'!$A:$A,"&lt;"&amp;$J1919+7)/COUNTIFS('Weekly Log'!$G:$G,"&lt;&gt;",'Weekly Log'!$A:$A,"&gt;="&amp;$J1919,'Weekly Log'!$A:$A,"&lt;"&amp;$J1919+7),0))</f>
        <v/>
      </c>
      <c r="D1919" t="str">
        <f>IF($J1919="","",IFERROR(COUNTIFS('Weekly Log'!$H:$H,"Y",'Weekly Log'!$A:$A,"&gt;="&amp;$J1919,'Weekly Log'!$A:$A,"&lt;"&amp;$J1919+7)/COUNTIFS('Weekly Log'!$H:$H,"&lt;&gt;",'Weekly Log'!$A:$A,"&gt;="&amp;$J1919,'Weekly Log'!$A:$A,"&lt;"&amp;$J1919+7),0))</f>
        <v/>
      </c>
      <c r="E1919" t="str">
        <f>IF($J1919="","",IFERROR(AVERAGEIFS('Weekly Log'!$F:$F,'Weekly Log'!$A:$A,"&gt;="&amp;$J1919,'Weekly Log'!$A:$A,"&lt;"&amp;$J1919+7),0))</f>
        <v/>
      </c>
      <c r="F1919" t="str">
        <f>IF($J1919="","",IFERROR(SUMIFS('Weekly Log'!$F:$F,'Weekly Log'!$A:$A,"&gt;="&amp;$J1919,'Weekly Log'!$A:$A,"&lt;"&amp;$J1919+7)/SUMIFS('Weekly Log'!$E:$E,'Weekly Log'!$A:$A,"&gt;="&amp;$J1919,'Weekly Log'!$A:$A,"&lt;"&amp;$J1919+7),0))</f>
        <v/>
      </c>
      <c r="G1919" t="str">
        <f>IF($J1919="","",IFERROR(LOOKUP(2,1/(('Weekly Log'!$A$5:$A$5000&gt;=$J1919)*('Weekly Log'!$A$5:$A$5000&lt;$J1919+7)*('Weekly Log'!$M$5:$M$5000&lt;&gt;"")),'Weekly Log'!$M$5:$M$5000),0))</f>
        <v/>
      </c>
      <c r="J1919" t="str">
        <f>IF(COUNT('Weekly Log'!$A$5:$A$5000)=0,"",IF(MIN('Weekly Log'!$A$5:$A$5000)+7*(ROW()-10)&gt;MAX('Weekly Log'!$A$5:$A$5000),"",MIN('Weekly Log'!$A$5:$A$5000)+7*(ROW()-10)))</f>
        <v/>
      </c>
    </row>
    <row r="1920" spans="1:10" x14ac:dyDescent="0.25">
      <c r="A1920" t="str">
        <f t="shared" si="29"/>
        <v/>
      </c>
      <c r="B1920" t="str">
        <f>IF($J1920="","",SUMIFS('Weekly Log'!$C:$C,'Weekly Log'!$A:$A,"&gt;="&amp;$J1920,'Weekly Log'!$A:$A,"&lt;"&amp;$J1920+7))</f>
        <v/>
      </c>
      <c r="C1920" t="str">
        <f>IF($J1920="","",IFERROR(COUNTIFS('Weekly Log'!$G:$G,"Y",'Weekly Log'!$A:$A,"&gt;="&amp;$J1920,'Weekly Log'!$A:$A,"&lt;"&amp;$J1920+7)/COUNTIFS('Weekly Log'!$G:$G,"&lt;&gt;",'Weekly Log'!$A:$A,"&gt;="&amp;$J1920,'Weekly Log'!$A:$A,"&lt;"&amp;$J1920+7),0))</f>
        <v/>
      </c>
      <c r="D1920" t="str">
        <f>IF($J1920="","",IFERROR(COUNTIFS('Weekly Log'!$H:$H,"Y",'Weekly Log'!$A:$A,"&gt;="&amp;$J1920,'Weekly Log'!$A:$A,"&lt;"&amp;$J1920+7)/COUNTIFS('Weekly Log'!$H:$H,"&lt;&gt;",'Weekly Log'!$A:$A,"&gt;="&amp;$J1920,'Weekly Log'!$A:$A,"&lt;"&amp;$J1920+7),0))</f>
        <v/>
      </c>
      <c r="E1920" t="str">
        <f>IF($J1920="","",IFERROR(AVERAGEIFS('Weekly Log'!$F:$F,'Weekly Log'!$A:$A,"&gt;="&amp;$J1920,'Weekly Log'!$A:$A,"&lt;"&amp;$J1920+7),0))</f>
        <v/>
      </c>
      <c r="F1920" t="str">
        <f>IF($J1920="","",IFERROR(SUMIFS('Weekly Log'!$F:$F,'Weekly Log'!$A:$A,"&gt;="&amp;$J1920,'Weekly Log'!$A:$A,"&lt;"&amp;$J1920+7)/SUMIFS('Weekly Log'!$E:$E,'Weekly Log'!$A:$A,"&gt;="&amp;$J1920,'Weekly Log'!$A:$A,"&lt;"&amp;$J1920+7),0))</f>
        <v/>
      </c>
      <c r="G1920" t="str">
        <f>IF($J1920="","",IFERROR(LOOKUP(2,1/(('Weekly Log'!$A$5:$A$5000&gt;=$J1920)*('Weekly Log'!$A$5:$A$5000&lt;$J1920+7)*('Weekly Log'!$M$5:$M$5000&lt;&gt;"")),'Weekly Log'!$M$5:$M$5000),0))</f>
        <v/>
      </c>
      <c r="J1920" t="str">
        <f>IF(COUNT('Weekly Log'!$A$5:$A$5000)=0,"",IF(MIN('Weekly Log'!$A$5:$A$5000)+7*(ROW()-10)&gt;MAX('Weekly Log'!$A$5:$A$5000),"",MIN('Weekly Log'!$A$5:$A$5000)+7*(ROW()-10)))</f>
        <v/>
      </c>
    </row>
    <row r="1921" spans="1:10" x14ac:dyDescent="0.25">
      <c r="A1921" t="str">
        <f t="shared" si="29"/>
        <v/>
      </c>
      <c r="B1921" t="str">
        <f>IF($J1921="","",SUMIFS('Weekly Log'!$C:$C,'Weekly Log'!$A:$A,"&gt;="&amp;$J1921,'Weekly Log'!$A:$A,"&lt;"&amp;$J1921+7))</f>
        <v/>
      </c>
      <c r="C1921" t="str">
        <f>IF($J1921="","",IFERROR(COUNTIFS('Weekly Log'!$G:$G,"Y",'Weekly Log'!$A:$A,"&gt;="&amp;$J1921,'Weekly Log'!$A:$A,"&lt;"&amp;$J1921+7)/COUNTIFS('Weekly Log'!$G:$G,"&lt;&gt;",'Weekly Log'!$A:$A,"&gt;="&amp;$J1921,'Weekly Log'!$A:$A,"&lt;"&amp;$J1921+7),0))</f>
        <v/>
      </c>
      <c r="D1921" t="str">
        <f>IF($J1921="","",IFERROR(COUNTIFS('Weekly Log'!$H:$H,"Y",'Weekly Log'!$A:$A,"&gt;="&amp;$J1921,'Weekly Log'!$A:$A,"&lt;"&amp;$J1921+7)/COUNTIFS('Weekly Log'!$H:$H,"&lt;&gt;",'Weekly Log'!$A:$A,"&gt;="&amp;$J1921,'Weekly Log'!$A:$A,"&lt;"&amp;$J1921+7),0))</f>
        <v/>
      </c>
      <c r="E1921" t="str">
        <f>IF($J1921="","",IFERROR(AVERAGEIFS('Weekly Log'!$F:$F,'Weekly Log'!$A:$A,"&gt;="&amp;$J1921,'Weekly Log'!$A:$A,"&lt;"&amp;$J1921+7),0))</f>
        <v/>
      </c>
      <c r="F1921" t="str">
        <f>IF($J1921="","",IFERROR(SUMIFS('Weekly Log'!$F:$F,'Weekly Log'!$A:$A,"&gt;="&amp;$J1921,'Weekly Log'!$A:$A,"&lt;"&amp;$J1921+7)/SUMIFS('Weekly Log'!$E:$E,'Weekly Log'!$A:$A,"&gt;="&amp;$J1921,'Weekly Log'!$A:$A,"&lt;"&amp;$J1921+7),0))</f>
        <v/>
      </c>
      <c r="G1921" t="str">
        <f>IF($J1921="","",IFERROR(LOOKUP(2,1/(('Weekly Log'!$A$5:$A$5000&gt;=$J1921)*('Weekly Log'!$A$5:$A$5000&lt;$J1921+7)*('Weekly Log'!$M$5:$M$5000&lt;&gt;"")),'Weekly Log'!$M$5:$M$5000),0))</f>
        <v/>
      </c>
      <c r="J1921" t="str">
        <f>IF(COUNT('Weekly Log'!$A$5:$A$5000)=0,"",IF(MIN('Weekly Log'!$A$5:$A$5000)+7*(ROW()-10)&gt;MAX('Weekly Log'!$A$5:$A$5000),"",MIN('Weekly Log'!$A$5:$A$5000)+7*(ROW()-10)))</f>
        <v/>
      </c>
    </row>
    <row r="1922" spans="1:10" x14ac:dyDescent="0.25">
      <c r="A1922" t="str">
        <f t="shared" si="29"/>
        <v/>
      </c>
      <c r="B1922" t="str">
        <f>IF($J1922="","",SUMIFS('Weekly Log'!$C:$C,'Weekly Log'!$A:$A,"&gt;="&amp;$J1922,'Weekly Log'!$A:$A,"&lt;"&amp;$J1922+7))</f>
        <v/>
      </c>
      <c r="C1922" t="str">
        <f>IF($J1922="","",IFERROR(COUNTIFS('Weekly Log'!$G:$G,"Y",'Weekly Log'!$A:$A,"&gt;="&amp;$J1922,'Weekly Log'!$A:$A,"&lt;"&amp;$J1922+7)/COUNTIFS('Weekly Log'!$G:$G,"&lt;&gt;",'Weekly Log'!$A:$A,"&gt;="&amp;$J1922,'Weekly Log'!$A:$A,"&lt;"&amp;$J1922+7),0))</f>
        <v/>
      </c>
      <c r="D1922" t="str">
        <f>IF($J1922="","",IFERROR(COUNTIFS('Weekly Log'!$H:$H,"Y",'Weekly Log'!$A:$A,"&gt;="&amp;$J1922,'Weekly Log'!$A:$A,"&lt;"&amp;$J1922+7)/COUNTIFS('Weekly Log'!$H:$H,"&lt;&gt;",'Weekly Log'!$A:$A,"&gt;="&amp;$J1922,'Weekly Log'!$A:$A,"&lt;"&amp;$J1922+7),0))</f>
        <v/>
      </c>
      <c r="E1922" t="str">
        <f>IF($J1922="","",IFERROR(AVERAGEIFS('Weekly Log'!$F:$F,'Weekly Log'!$A:$A,"&gt;="&amp;$J1922,'Weekly Log'!$A:$A,"&lt;"&amp;$J1922+7),0))</f>
        <v/>
      </c>
      <c r="F1922" t="str">
        <f>IF($J1922="","",IFERROR(SUMIFS('Weekly Log'!$F:$F,'Weekly Log'!$A:$A,"&gt;="&amp;$J1922,'Weekly Log'!$A:$A,"&lt;"&amp;$J1922+7)/SUMIFS('Weekly Log'!$E:$E,'Weekly Log'!$A:$A,"&gt;="&amp;$J1922,'Weekly Log'!$A:$A,"&lt;"&amp;$J1922+7),0))</f>
        <v/>
      </c>
      <c r="G1922" t="str">
        <f>IF($J1922="","",IFERROR(LOOKUP(2,1/(('Weekly Log'!$A$5:$A$5000&gt;=$J1922)*('Weekly Log'!$A$5:$A$5000&lt;$J1922+7)*('Weekly Log'!$M$5:$M$5000&lt;&gt;"")),'Weekly Log'!$M$5:$M$5000),0))</f>
        <v/>
      </c>
      <c r="J1922" t="str">
        <f>IF(COUNT('Weekly Log'!$A$5:$A$5000)=0,"",IF(MIN('Weekly Log'!$A$5:$A$5000)+7*(ROW()-10)&gt;MAX('Weekly Log'!$A$5:$A$5000),"",MIN('Weekly Log'!$A$5:$A$5000)+7*(ROW()-10)))</f>
        <v/>
      </c>
    </row>
    <row r="1923" spans="1:10" x14ac:dyDescent="0.25">
      <c r="A1923" t="str">
        <f t="shared" si="29"/>
        <v/>
      </c>
      <c r="B1923" t="str">
        <f>IF($J1923="","",SUMIFS('Weekly Log'!$C:$C,'Weekly Log'!$A:$A,"&gt;="&amp;$J1923,'Weekly Log'!$A:$A,"&lt;"&amp;$J1923+7))</f>
        <v/>
      </c>
      <c r="C1923" t="str">
        <f>IF($J1923="","",IFERROR(COUNTIFS('Weekly Log'!$G:$G,"Y",'Weekly Log'!$A:$A,"&gt;="&amp;$J1923,'Weekly Log'!$A:$A,"&lt;"&amp;$J1923+7)/COUNTIFS('Weekly Log'!$G:$G,"&lt;&gt;",'Weekly Log'!$A:$A,"&gt;="&amp;$J1923,'Weekly Log'!$A:$A,"&lt;"&amp;$J1923+7),0))</f>
        <v/>
      </c>
      <c r="D1923" t="str">
        <f>IF($J1923="","",IFERROR(COUNTIFS('Weekly Log'!$H:$H,"Y",'Weekly Log'!$A:$A,"&gt;="&amp;$J1923,'Weekly Log'!$A:$A,"&lt;"&amp;$J1923+7)/COUNTIFS('Weekly Log'!$H:$H,"&lt;&gt;",'Weekly Log'!$A:$A,"&gt;="&amp;$J1923,'Weekly Log'!$A:$A,"&lt;"&amp;$J1923+7),0))</f>
        <v/>
      </c>
      <c r="E1923" t="str">
        <f>IF($J1923="","",IFERROR(AVERAGEIFS('Weekly Log'!$F:$F,'Weekly Log'!$A:$A,"&gt;="&amp;$J1923,'Weekly Log'!$A:$A,"&lt;"&amp;$J1923+7),0))</f>
        <v/>
      </c>
      <c r="F1923" t="str">
        <f>IF($J1923="","",IFERROR(SUMIFS('Weekly Log'!$F:$F,'Weekly Log'!$A:$A,"&gt;="&amp;$J1923,'Weekly Log'!$A:$A,"&lt;"&amp;$J1923+7)/SUMIFS('Weekly Log'!$E:$E,'Weekly Log'!$A:$A,"&gt;="&amp;$J1923,'Weekly Log'!$A:$A,"&lt;"&amp;$J1923+7),0))</f>
        <v/>
      </c>
      <c r="G1923" t="str">
        <f>IF($J1923="","",IFERROR(LOOKUP(2,1/(('Weekly Log'!$A$5:$A$5000&gt;=$J1923)*('Weekly Log'!$A$5:$A$5000&lt;$J1923+7)*('Weekly Log'!$M$5:$M$5000&lt;&gt;"")),'Weekly Log'!$M$5:$M$5000),0))</f>
        <v/>
      </c>
      <c r="J1923" t="str">
        <f>IF(COUNT('Weekly Log'!$A$5:$A$5000)=0,"",IF(MIN('Weekly Log'!$A$5:$A$5000)+7*(ROW()-10)&gt;MAX('Weekly Log'!$A$5:$A$5000),"",MIN('Weekly Log'!$A$5:$A$5000)+7*(ROW()-10)))</f>
        <v/>
      </c>
    </row>
    <row r="1924" spans="1:10" x14ac:dyDescent="0.25">
      <c r="A1924" t="str">
        <f t="shared" si="29"/>
        <v/>
      </c>
      <c r="B1924" t="str">
        <f>IF($J1924="","",SUMIFS('Weekly Log'!$C:$C,'Weekly Log'!$A:$A,"&gt;="&amp;$J1924,'Weekly Log'!$A:$A,"&lt;"&amp;$J1924+7))</f>
        <v/>
      </c>
      <c r="C1924" t="str">
        <f>IF($J1924="","",IFERROR(COUNTIFS('Weekly Log'!$G:$G,"Y",'Weekly Log'!$A:$A,"&gt;="&amp;$J1924,'Weekly Log'!$A:$A,"&lt;"&amp;$J1924+7)/COUNTIFS('Weekly Log'!$G:$G,"&lt;&gt;",'Weekly Log'!$A:$A,"&gt;="&amp;$J1924,'Weekly Log'!$A:$A,"&lt;"&amp;$J1924+7),0))</f>
        <v/>
      </c>
      <c r="D1924" t="str">
        <f>IF($J1924="","",IFERROR(COUNTIFS('Weekly Log'!$H:$H,"Y",'Weekly Log'!$A:$A,"&gt;="&amp;$J1924,'Weekly Log'!$A:$A,"&lt;"&amp;$J1924+7)/COUNTIFS('Weekly Log'!$H:$H,"&lt;&gt;",'Weekly Log'!$A:$A,"&gt;="&amp;$J1924,'Weekly Log'!$A:$A,"&lt;"&amp;$J1924+7),0))</f>
        <v/>
      </c>
      <c r="E1924" t="str">
        <f>IF($J1924="","",IFERROR(AVERAGEIFS('Weekly Log'!$F:$F,'Weekly Log'!$A:$A,"&gt;="&amp;$J1924,'Weekly Log'!$A:$A,"&lt;"&amp;$J1924+7),0))</f>
        <v/>
      </c>
      <c r="F1924" t="str">
        <f>IF($J1924="","",IFERROR(SUMIFS('Weekly Log'!$F:$F,'Weekly Log'!$A:$A,"&gt;="&amp;$J1924,'Weekly Log'!$A:$A,"&lt;"&amp;$J1924+7)/SUMIFS('Weekly Log'!$E:$E,'Weekly Log'!$A:$A,"&gt;="&amp;$J1924,'Weekly Log'!$A:$A,"&lt;"&amp;$J1924+7),0))</f>
        <v/>
      </c>
      <c r="G1924" t="str">
        <f>IF($J1924="","",IFERROR(LOOKUP(2,1/(('Weekly Log'!$A$5:$A$5000&gt;=$J1924)*('Weekly Log'!$A$5:$A$5000&lt;$J1924+7)*('Weekly Log'!$M$5:$M$5000&lt;&gt;"")),'Weekly Log'!$M$5:$M$5000),0))</f>
        <v/>
      </c>
      <c r="J1924" t="str">
        <f>IF(COUNT('Weekly Log'!$A$5:$A$5000)=0,"",IF(MIN('Weekly Log'!$A$5:$A$5000)+7*(ROW()-10)&gt;MAX('Weekly Log'!$A$5:$A$5000),"",MIN('Weekly Log'!$A$5:$A$5000)+7*(ROW()-10)))</f>
        <v/>
      </c>
    </row>
    <row r="1925" spans="1:10" x14ac:dyDescent="0.25">
      <c r="A1925" t="str">
        <f t="shared" si="29"/>
        <v/>
      </c>
      <c r="B1925" t="str">
        <f>IF($J1925="","",SUMIFS('Weekly Log'!$C:$C,'Weekly Log'!$A:$A,"&gt;="&amp;$J1925,'Weekly Log'!$A:$A,"&lt;"&amp;$J1925+7))</f>
        <v/>
      </c>
      <c r="C1925" t="str">
        <f>IF($J1925="","",IFERROR(COUNTIFS('Weekly Log'!$G:$G,"Y",'Weekly Log'!$A:$A,"&gt;="&amp;$J1925,'Weekly Log'!$A:$A,"&lt;"&amp;$J1925+7)/COUNTIFS('Weekly Log'!$G:$G,"&lt;&gt;",'Weekly Log'!$A:$A,"&gt;="&amp;$J1925,'Weekly Log'!$A:$A,"&lt;"&amp;$J1925+7),0))</f>
        <v/>
      </c>
      <c r="D1925" t="str">
        <f>IF($J1925="","",IFERROR(COUNTIFS('Weekly Log'!$H:$H,"Y",'Weekly Log'!$A:$A,"&gt;="&amp;$J1925,'Weekly Log'!$A:$A,"&lt;"&amp;$J1925+7)/COUNTIFS('Weekly Log'!$H:$H,"&lt;&gt;",'Weekly Log'!$A:$A,"&gt;="&amp;$J1925,'Weekly Log'!$A:$A,"&lt;"&amp;$J1925+7),0))</f>
        <v/>
      </c>
      <c r="E1925" t="str">
        <f>IF($J1925="","",IFERROR(AVERAGEIFS('Weekly Log'!$F:$F,'Weekly Log'!$A:$A,"&gt;="&amp;$J1925,'Weekly Log'!$A:$A,"&lt;"&amp;$J1925+7),0))</f>
        <v/>
      </c>
      <c r="F1925" t="str">
        <f>IF($J1925="","",IFERROR(SUMIFS('Weekly Log'!$F:$F,'Weekly Log'!$A:$A,"&gt;="&amp;$J1925,'Weekly Log'!$A:$A,"&lt;"&amp;$J1925+7)/SUMIFS('Weekly Log'!$E:$E,'Weekly Log'!$A:$A,"&gt;="&amp;$J1925,'Weekly Log'!$A:$A,"&lt;"&amp;$J1925+7),0))</f>
        <v/>
      </c>
      <c r="G1925" t="str">
        <f>IF($J1925="","",IFERROR(LOOKUP(2,1/(('Weekly Log'!$A$5:$A$5000&gt;=$J1925)*('Weekly Log'!$A$5:$A$5000&lt;$J1925+7)*('Weekly Log'!$M$5:$M$5000&lt;&gt;"")),'Weekly Log'!$M$5:$M$5000),0))</f>
        <v/>
      </c>
      <c r="J1925" t="str">
        <f>IF(COUNT('Weekly Log'!$A$5:$A$5000)=0,"",IF(MIN('Weekly Log'!$A$5:$A$5000)+7*(ROW()-10)&gt;MAX('Weekly Log'!$A$5:$A$5000),"",MIN('Weekly Log'!$A$5:$A$5000)+7*(ROW()-10)))</f>
        <v/>
      </c>
    </row>
    <row r="1926" spans="1:10" x14ac:dyDescent="0.25">
      <c r="A1926" t="str">
        <f t="shared" si="29"/>
        <v/>
      </c>
      <c r="B1926" t="str">
        <f>IF($J1926="","",SUMIFS('Weekly Log'!$C:$C,'Weekly Log'!$A:$A,"&gt;="&amp;$J1926,'Weekly Log'!$A:$A,"&lt;"&amp;$J1926+7))</f>
        <v/>
      </c>
      <c r="C1926" t="str">
        <f>IF($J1926="","",IFERROR(COUNTIFS('Weekly Log'!$G:$G,"Y",'Weekly Log'!$A:$A,"&gt;="&amp;$J1926,'Weekly Log'!$A:$A,"&lt;"&amp;$J1926+7)/COUNTIFS('Weekly Log'!$G:$G,"&lt;&gt;",'Weekly Log'!$A:$A,"&gt;="&amp;$J1926,'Weekly Log'!$A:$A,"&lt;"&amp;$J1926+7),0))</f>
        <v/>
      </c>
      <c r="D1926" t="str">
        <f>IF($J1926="","",IFERROR(COUNTIFS('Weekly Log'!$H:$H,"Y",'Weekly Log'!$A:$A,"&gt;="&amp;$J1926,'Weekly Log'!$A:$A,"&lt;"&amp;$J1926+7)/COUNTIFS('Weekly Log'!$H:$H,"&lt;&gt;",'Weekly Log'!$A:$A,"&gt;="&amp;$J1926,'Weekly Log'!$A:$A,"&lt;"&amp;$J1926+7),0))</f>
        <v/>
      </c>
      <c r="E1926" t="str">
        <f>IF($J1926="","",IFERROR(AVERAGEIFS('Weekly Log'!$F:$F,'Weekly Log'!$A:$A,"&gt;="&amp;$J1926,'Weekly Log'!$A:$A,"&lt;"&amp;$J1926+7),0))</f>
        <v/>
      </c>
      <c r="F1926" t="str">
        <f>IF($J1926="","",IFERROR(SUMIFS('Weekly Log'!$F:$F,'Weekly Log'!$A:$A,"&gt;="&amp;$J1926,'Weekly Log'!$A:$A,"&lt;"&amp;$J1926+7)/SUMIFS('Weekly Log'!$E:$E,'Weekly Log'!$A:$A,"&gt;="&amp;$J1926,'Weekly Log'!$A:$A,"&lt;"&amp;$J1926+7),0))</f>
        <v/>
      </c>
      <c r="G1926" t="str">
        <f>IF($J1926="","",IFERROR(LOOKUP(2,1/(('Weekly Log'!$A$5:$A$5000&gt;=$J1926)*('Weekly Log'!$A$5:$A$5000&lt;$J1926+7)*('Weekly Log'!$M$5:$M$5000&lt;&gt;"")),'Weekly Log'!$M$5:$M$5000),0))</f>
        <v/>
      </c>
      <c r="J1926" t="str">
        <f>IF(COUNT('Weekly Log'!$A$5:$A$5000)=0,"",IF(MIN('Weekly Log'!$A$5:$A$5000)+7*(ROW()-10)&gt;MAX('Weekly Log'!$A$5:$A$5000),"",MIN('Weekly Log'!$A$5:$A$5000)+7*(ROW()-10)))</f>
        <v/>
      </c>
    </row>
    <row r="1927" spans="1:10" x14ac:dyDescent="0.25">
      <c r="A1927" t="str">
        <f t="shared" si="29"/>
        <v/>
      </c>
      <c r="B1927" t="str">
        <f>IF($J1927="","",SUMIFS('Weekly Log'!$C:$C,'Weekly Log'!$A:$A,"&gt;="&amp;$J1927,'Weekly Log'!$A:$A,"&lt;"&amp;$J1927+7))</f>
        <v/>
      </c>
      <c r="C1927" t="str">
        <f>IF($J1927="","",IFERROR(COUNTIFS('Weekly Log'!$G:$G,"Y",'Weekly Log'!$A:$A,"&gt;="&amp;$J1927,'Weekly Log'!$A:$A,"&lt;"&amp;$J1927+7)/COUNTIFS('Weekly Log'!$G:$G,"&lt;&gt;",'Weekly Log'!$A:$A,"&gt;="&amp;$J1927,'Weekly Log'!$A:$A,"&lt;"&amp;$J1927+7),0))</f>
        <v/>
      </c>
      <c r="D1927" t="str">
        <f>IF($J1927="","",IFERROR(COUNTIFS('Weekly Log'!$H:$H,"Y",'Weekly Log'!$A:$A,"&gt;="&amp;$J1927,'Weekly Log'!$A:$A,"&lt;"&amp;$J1927+7)/COUNTIFS('Weekly Log'!$H:$H,"&lt;&gt;",'Weekly Log'!$A:$A,"&gt;="&amp;$J1927,'Weekly Log'!$A:$A,"&lt;"&amp;$J1927+7),0))</f>
        <v/>
      </c>
      <c r="E1927" t="str">
        <f>IF($J1927="","",IFERROR(AVERAGEIFS('Weekly Log'!$F:$F,'Weekly Log'!$A:$A,"&gt;="&amp;$J1927,'Weekly Log'!$A:$A,"&lt;"&amp;$J1927+7),0))</f>
        <v/>
      </c>
      <c r="F1927" t="str">
        <f>IF($J1927="","",IFERROR(SUMIFS('Weekly Log'!$F:$F,'Weekly Log'!$A:$A,"&gt;="&amp;$J1927,'Weekly Log'!$A:$A,"&lt;"&amp;$J1927+7)/SUMIFS('Weekly Log'!$E:$E,'Weekly Log'!$A:$A,"&gt;="&amp;$J1927,'Weekly Log'!$A:$A,"&lt;"&amp;$J1927+7),0))</f>
        <v/>
      </c>
      <c r="G1927" t="str">
        <f>IF($J1927="","",IFERROR(LOOKUP(2,1/(('Weekly Log'!$A$5:$A$5000&gt;=$J1927)*('Weekly Log'!$A$5:$A$5000&lt;$J1927+7)*('Weekly Log'!$M$5:$M$5000&lt;&gt;"")),'Weekly Log'!$M$5:$M$5000),0))</f>
        <v/>
      </c>
      <c r="J1927" t="str">
        <f>IF(COUNT('Weekly Log'!$A$5:$A$5000)=0,"",IF(MIN('Weekly Log'!$A$5:$A$5000)+7*(ROW()-10)&gt;MAX('Weekly Log'!$A$5:$A$5000),"",MIN('Weekly Log'!$A$5:$A$5000)+7*(ROW()-10)))</f>
        <v/>
      </c>
    </row>
    <row r="1928" spans="1:10" x14ac:dyDescent="0.25">
      <c r="A1928" t="str">
        <f t="shared" si="29"/>
        <v/>
      </c>
      <c r="B1928" t="str">
        <f>IF($J1928="","",SUMIFS('Weekly Log'!$C:$C,'Weekly Log'!$A:$A,"&gt;="&amp;$J1928,'Weekly Log'!$A:$A,"&lt;"&amp;$J1928+7))</f>
        <v/>
      </c>
      <c r="C1928" t="str">
        <f>IF($J1928="","",IFERROR(COUNTIFS('Weekly Log'!$G:$G,"Y",'Weekly Log'!$A:$A,"&gt;="&amp;$J1928,'Weekly Log'!$A:$A,"&lt;"&amp;$J1928+7)/COUNTIFS('Weekly Log'!$G:$G,"&lt;&gt;",'Weekly Log'!$A:$A,"&gt;="&amp;$J1928,'Weekly Log'!$A:$A,"&lt;"&amp;$J1928+7),0))</f>
        <v/>
      </c>
      <c r="D1928" t="str">
        <f>IF($J1928="","",IFERROR(COUNTIFS('Weekly Log'!$H:$H,"Y",'Weekly Log'!$A:$A,"&gt;="&amp;$J1928,'Weekly Log'!$A:$A,"&lt;"&amp;$J1928+7)/COUNTIFS('Weekly Log'!$H:$H,"&lt;&gt;",'Weekly Log'!$A:$A,"&gt;="&amp;$J1928,'Weekly Log'!$A:$A,"&lt;"&amp;$J1928+7),0))</f>
        <v/>
      </c>
      <c r="E1928" t="str">
        <f>IF($J1928="","",IFERROR(AVERAGEIFS('Weekly Log'!$F:$F,'Weekly Log'!$A:$A,"&gt;="&amp;$J1928,'Weekly Log'!$A:$A,"&lt;"&amp;$J1928+7),0))</f>
        <v/>
      </c>
      <c r="F1928" t="str">
        <f>IF($J1928="","",IFERROR(SUMIFS('Weekly Log'!$F:$F,'Weekly Log'!$A:$A,"&gt;="&amp;$J1928,'Weekly Log'!$A:$A,"&lt;"&amp;$J1928+7)/SUMIFS('Weekly Log'!$E:$E,'Weekly Log'!$A:$A,"&gt;="&amp;$J1928,'Weekly Log'!$A:$A,"&lt;"&amp;$J1928+7),0))</f>
        <v/>
      </c>
      <c r="G1928" t="str">
        <f>IF($J1928="","",IFERROR(LOOKUP(2,1/(('Weekly Log'!$A$5:$A$5000&gt;=$J1928)*('Weekly Log'!$A$5:$A$5000&lt;$J1928+7)*('Weekly Log'!$M$5:$M$5000&lt;&gt;"")),'Weekly Log'!$M$5:$M$5000),0))</f>
        <v/>
      </c>
      <c r="J1928" t="str">
        <f>IF(COUNT('Weekly Log'!$A$5:$A$5000)=0,"",IF(MIN('Weekly Log'!$A$5:$A$5000)+7*(ROW()-10)&gt;MAX('Weekly Log'!$A$5:$A$5000),"",MIN('Weekly Log'!$A$5:$A$5000)+7*(ROW()-10)))</f>
        <v/>
      </c>
    </row>
    <row r="1929" spans="1:10" x14ac:dyDescent="0.25">
      <c r="A1929" t="str">
        <f t="shared" si="29"/>
        <v/>
      </c>
      <c r="B1929" t="str">
        <f>IF($J1929="","",SUMIFS('Weekly Log'!$C:$C,'Weekly Log'!$A:$A,"&gt;="&amp;$J1929,'Weekly Log'!$A:$A,"&lt;"&amp;$J1929+7))</f>
        <v/>
      </c>
      <c r="C1929" t="str">
        <f>IF($J1929="","",IFERROR(COUNTIFS('Weekly Log'!$G:$G,"Y",'Weekly Log'!$A:$A,"&gt;="&amp;$J1929,'Weekly Log'!$A:$A,"&lt;"&amp;$J1929+7)/COUNTIFS('Weekly Log'!$G:$G,"&lt;&gt;",'Weekly Log'!$A:$A,"&gt;="&amp;$J1929,'Weekly Log'!$A:$A,"&lt;"&amp;$J1929+7),0))</f>
        <v/>
      </c>
      <c r="D1929" t="str">
        <f>IF($J1929="","",IFERROR(COUNTIFS('Weekly Log'!$H:$H,"Y",'Weekly Log'!$A:$A,"&gt;="&amp;$J1929,'Weekly Log'!$A:$A,"&lt;"&amp;$J1929+7)/COUNTIFS('Weekly Log'!$H:$H,"&lt;&gt;",'Weekly Log'!$A:$A,"&gt;="&amp;$J1929,'Weekly Log'!$A:$A,"&lt;"&amp;$J1929+7),0))</f>
        <v/>
      </c>
      <c r="E1929" t="str">
        <f>IF($J1929="","",IFERROR(AVERAGEIFS('Weekly Log'!$F:$F,'Weekly Log'!$A:$A,"&gt;="&amp;$J1929,'Weekly Log'!$A:$A,"&lt;"&amp;$J1929+7),0))</f>
        <v/>
      </c>
      <c r="F1929" t="str">
        <f>IF($J1929="","",IFERROR(SUMIFS('Weekly Log'!$F:$F,'Weekly Log'!$A:$A,"&gt;="&amp;$J1929,'Weekly Log'!$A:$A,"&lt;"&amp;$J1929+7)/SUMIFS('Weekly Log'!$E:$E,'Weekly Log'!$A:$A,"&gt;="&amp;$J1929,'Weekly Log'!$A:$A,"&lt;"&amp;$J1929+7),0))</f>
        <v/>
      </c>
      <c r="G1929" t="str">
        <f>IF($J1929="","",IFERROR(LOOKUP(2,1/(('Weekly Log'!$A$5:$A$5000&gt;=$J1929)*('Weekly Log'!$A$5:$A$5000&lt;$J1929+7)*('Weekly Log'!$M$5:$M$5000&lt;&gt;"")),'Weekly Log'!$M$5:$M$5000),0))</f>
        <v/>
      </c>
      <c r="J1929" t="str">
        <f>IF(COUNT('Weekly Log'!$A$5:$A$5000)=0,"",IF(MIN('Weekly Log'!$A$5:$A$5000)+7*(ROW()-10)&gt;MAX('Weekly Log'!$A$5:$A$5000),"",MIN('Weekly Log'!$A$5:$A$5000)+7*(ROW()-10)))</f>
        <v/>
      </c>
    </row>
    <row r="1930" spans="1:10" x14ac:dyDescent="0.25">
      <c r="A1930" t="str">
        <f t="shared" ref="A1930:A1993" si="30">IF($J1930="","",YEAR($J1930-WEEKDAY($J1930,2)+4)&amp;"-W"&amp;TEXT(WEEKNUM($J1930,21),"00"))</f>
        <v/>
      </c>
      <c r="B1930" t="str">
        <f>IF($J1930="","",SUMIFS('Weekly Log'!$C:$C,'Weekly Log'!$A:$A,"&gt;="&amp;$J1930,'Weekly Log'!$A:$A,"&lt;"&amp;$J1930+7))</f>
        <v/>
      </c>
      <c r="C1930" t="str">
        <f>IF($J1930="","",IFERROR(COUNTIFS('Weekly Log'!$G:$G,"Y",'Weekly Log'!$A:$A,"&gt;="&amp;$J1930,'Weekly Log'!$A:$A,"&lt;"&amp;$J1930+7)/COUNTIFS('Weekly Log'!$G:$G,"&lt;&gt;",'Weekly Log'!$A:$A,"&gt;="&amp;$J1930,'Weekly Log'!$A:$A,"&lt;"&amp;$J1930+7),0))</f>
        <v/>
      </c>
      <c r="D1930" t="str">
        <f>IF($J1930="","",IFERROR(COUNTIFS('Weekly Log'!$H:$H,"Y",'Weekly Log'!$A:$A,"&gt;="&amp;$J1930,'Weekly Log'!$A:$A,"&lt;"&amp;$J1930+7)/COUNTIFS('Weekly Log'!$H:$H,"&lt;&gt;",'Weekly Log'!$A:$A,"&gt;="&amp;$J1930,'Weekly Log'!$A:$A,"&lt;"&amp;$J1930+7),0))</f>
        <v/>
      </c>
      <c r="E1930" t="str">
        <f>IF($J1930="","",IFERROR(AVERAGEIFS('Weekly Log'!$F:$F,'Weekly Log'!$A:$A,"&gt;="&amp;$J1930,'Weekly Log'!$A:$A,"&lt;"&amp;$J1930+7),0))</f>
        <v/>
      </c>
      <c r="F1930" t="str">
        <f>IF($J1930="","",IFERROR(SUMIFS('Weekly Log'!$F:$F,'Weekly Log'!$A:$A,"&gt;="&amp;$J1930,'Weekly Log'!$A:$A,"&lt;"&amp;$J1930+7)/SUMIFS('Weekly Log'!$E:$E,'Weekly Log'!$A:$A,"&gt;="&amp;$J1930,'Weekly Log'!$A:$A,"&lt;"&amp;$J1930+7),0))</f>
        <v/>
      </c>
      <c r="G1930" t="str">
        <f>IF($J1930="","",IFERROR(LOOKUP(2,1/(('Weekly Log'!$A$5:$A$5000&gt;=$J1930)*('Weekly Log'!$A$5:$A$5000&lt;$J1930+7)*('Weekly Log'!$M$5:$M$5000&lt;&gt;"")),'Weekly Log'!$M$5:$M$5000),0))</f>
        <v/>
      </c>
      <c r="J1930" t="str">
        <f>IF(COUNT('Weekly Log'!$A$5:$A$5000)=0,"",IF(MIN('Weekly Log'!$A$5:$A$5000)+7*(ROW()-10)&gt;MAX('Weekly Log'!$A$5:$A$5000),"",MIN('Weekly Log'!$A$5:$A$5000)+7*(ROW()-10)))</f>
        <v/>
      </c>
    </row>
    <row r="1931" spans="1:10" x14ac:dyDescent="0.25">
      <c r="A1931" t="str">
        <f t="shared" si="30"/>
        <v/>
      </c>
      <c r="B1931" t="str">
        <f>IF($J1931="","",SUMIFS('Weekly Log'!$C:$C,'Weekly Log'!$A:$A,"&gt;="&amp;$J1931,'Weekly Log'!$A:$A,"&lt;"&amp;$J1931+7))</f>
        <v/>
      </c>
      <c r="C1931" t="str">
        <f>IF($J1931="","",IFERROR(COUNTIFS('Weekly Log'!$G:$G,"Y",'Weekly Log'!$A:$A,"&gt;="&amp;$J1931,'Weekly Log'!$A:$A,"&lt;"&amp;$J1931+7)/COUNTIFS('Weekly Log'!$G:$G,"&lt;&gt;",'Weekly Log'!$A:$A,"&gt;="&amp;$J1931,'Weekly Log'!$A:$A,"&lt;"&amp;$J1931+7),0))</f>
        <v/>
      </c>
      <c r="D1931" t="str">
        <f>IF($J1931="","",IFERROR(COUNTIFS('Weekly Log'!$H:$H,"Y",'Weekly Log'!$A:$A,"&gt;="&amp;$J1931,'Weekly Log'!$A:$A,"&lt;"&amp;$J1931+7)/COUNTIFS('Weekly Log'!$H:$H,"&lt;&gt;",'Weekly Log'!$A:$A,"&gt;="&amp;$J1931,'Weekly Log'!$A:$A,"&lt;"&amp;$J1931+7),0))</f>
        <v/>
      </c>
      <c r="E1931" t="str">
        <f>IF($J1931="","",IFERROR(AVERAGEIFS('Weekly Log'!$F:$F,'Weekly Log'!$A:$A,"&gt;="&amp;$J1931,'Weekly Log'!$A:$A,"&lt;"&amp;$J1931+7),0))</f>
        <v/>
      </c>
      <c r="F1931" t="str">
        <f>IF($J1931="","",IFERROR(SUMIFS('Weekly Log'!$F:$F,'Weekly Log'!$A:$A,"&gt;="&amp;$J1931,'Weekly Log'!$A:$A,"&lt;"&amp;$J1931+7)/SUMIFS('Weekly Log'!$E:$E,'Weekly Log'!$A:$A,"&gt;="&amp;$J1931,'Weekly Log'!$A:$A,"&lt;"&amp;$J1931+7),0))</f>
        <v/>
      </c>
      <c r="G1931" t="str">
        <f>IF($J1931="","",IFERROR(LOOKUP(2,1/(('Weekly Log'!$A$5:$A$5000&gt;=$J1931)*('Weekly Log'!$A$5:$A$5000&lt;$J1931+7)*('Weekly Log'!$M$5:$M$5000&lt;&gt;"")),'Weekly Log'!$M$5:$M$5000),0))</f>
        <v/>
      </c>
      <c r="J1931" t="str">
        <f>IF(COUNT('Weekly Log'!$A$5:$A$5000)=0,"",IF(MIN('Weekly Log'!$A$5:$A$5000)+7*(ROW()-10)&gt;MAX('Weekly Log'!$A$5:$A$5000),"",MIN('Weekly Log'!$A$5:$A$5000)+7*(ROW()-10)))</f>
        <v/>
      </c>
    </row>
    <row r="1932" spans="1:10" x14ac:dyDescent="0.25">
      <c r="A1932" t="str">
        <f t="shared" si="30"/>
        <v/>
      </c>
      <c r="B1932" t="str">
        <f>IF($J1932="","",SUMIFS('Weekly Log'!$C:$C,'Weekly Log'!$A:$A,"&gt;="&amp;$J1932,'Weekly Log'!$A:$A,"&lt;"&amp;$J1932+7))</f>
        <v/>
      </c>
      <c r="C1932" t="str">
        <f>IF($J1932="","",IFERROR(COUNTIFS('Weekly Log'!$G:$G,"Y",'Weekly Log'!$A:$A,"&gt;="&amp;$J1932,'Weekly Log'!$A:$A,"&lt;"&amp;$J1932+7)/COUNTIFS('Weekly Log'!$G:$G,"&lt;&gt;",'Weekly Log'!$A:$A,"&gt;="&amp;$J1932,'Weekly Log'!$A:$A,"&lt;"&amp;$J1932+7),0))</f>
        <v/>
      </c>
      <c r="D1932" t="str">
        <f>IF($J1932="","",IFERROR(COUNTIFS('Weekly Log'!$H:$H,"Y",'Weekly Log'!$A:$A,"&gt;="&amp;$J1932,'Weekly Log'!$A:$A,"&lt;"&amp;$J1932+7)/COUNTIFS('Weekly Log'!$H:$H,"&lt;&gt;",'Weekly Log'!$A:$A,"&gt;="&amp;$J1932,'Weekly Log'!$A:$A,"&lt;"&amp;$J1932+7),0))</f>
        <v/>
      </c>
      <c r="E1932" t="str">
        <f>IF($J1932="","",IFERROR(AVERAGEIFS('Weekly Log'!$F:$F,'Weekly Log'!$A:$A,"&gt;="&amp;$J1932,'Weekly Log'!$A:$A,"&lt;"&amp;$J1932+7),0))</f>
        <v/>
      </c>
      <c r="F1932" t="str">
        <f>IF($J1932="","",IFERROR(SUMIFS('Weekly Log'!$F:$F,'Weekly Log'!$A:$A,"&gt;="&amp;$J1932,'Weekly Log'!$A:$A,"&lt;"&amp;$J1932+7)/SUMIFS('Weekly Log'!$E:$E,'Weekly Log'!$A:$A,"&gt;="&amp;$J1932,'Weekly Log'!$A:$A,"&lt;"&amp;$J1932+7),0))</f>
        <v/>
      </c>
      <c r="G1932" t="str">
        <f>IF($J1932="","",IFERROR(LOOKUP(2,1/(('Weekly Log'!$A$5:$A$5000&gt;=$J1932)*('Weekly Log'!$A$5:$A$5000&lt;$J1932+7)*('Weekly Log'!$M$5:$M$5000&lt;&gt;"")),'Weekly Log'!$M$5:$M$5000),0))</f>
        <v/>
      </c>
      <c r="J1932" t="str">
        <f>IF(COUNT('Weekly Log'!$A$5:$A$5000)=0,"",IF(MIN('Weekly Log'!$A$5:$A$5000)+7*(ROW()-10)&gt;MAX('Weekly Log'!$A$5:$A$5000),"",MIN('Weekly Log'!$A$5:$A$5000)+7*(ROW()-10)))</f>
        <v/>
      </c>
    </row>
    <row r="1933" spans="1:10" x14ac:dyDescent="0.25">
      <c r="A1933" t="str">
        <f t="shared" si="30"/>
        <v/>
      </c>
      <c r="B1933" t="str">
        <f>IF($J1933="","",SUMIFS('Weekly Log'!$C:$C,'Weekly Log'!$A:$A,"&gt;="&amp;$J1933,'Weekly Log'!$A:$A,"&lt;"&amp;$J1933+7))</f>
        <v/>
      </c>
      <c r="C1933" t="str">
        <f>IF($J1933="","",IFERROR(COUNTIFS('Weekly Log'!$G:$G,"Y",'Weekly Log'!$A:$A,"&gt;="&amp;$J1933,'Weekly Log'!$A:$A,"&lt;"&amp;$J1933+7)/COUNTIFS('Weekly Log'!$G:$G,"&lt;&gt;",'Weekly Log'!$A:$A,"&gt;="&amp;$J1933,'Weekly Log'!$A:$A,"&lt;"&amp;$J1933+7),0))</f>
        <v/>
      </c>
      <c r="D1933" t="str">
        <f>IF($J1933="","",IFERROR(COUNTIFS('Weekly Log'!$H:$H,"Y",'Weekly Log'!$A:$A,"&gt;="&amp;$J1933,'Weekly Log'!$A:$A,"&lt;"&amp;$J1933+7)/COUNTIFS('Weekly Log'!$H:$H,"&lt;&gt;",'Weekly Log'!$A:$A,"&gt;="&amp;$J1933,'Weekly Log'!$A:$A,"&lt;"&amp;$J1933+7),0))</f>
        <v/>
      </c>
      <c r="E1933" t="str">
        <f>IF($J1933="","",IFERROR(AVERAGEIFS('Weekly Log'!$F:$F,'Weekly Log'!$A:$A,"&gt;="&amp;$J1933,'Weekly Log'!$A:$A,"&lt;"&amp;$J1933+7),0))</f>
        <v/>
      </c>
      <c r="F1933" t="str">
        <f>IF($J1933="","",IFERROR(SUMIFS('Weekly Log'!$F:$F,'Weekly Log'!$A:$A,"&gt;="&amp;$J1933,'Weekly Log'!$A:$A,"&lt;"&amp;$J1933+7)/SUMIFS('Weekly Log'!$E:$E,'Weekly Log'!$A:$A,"&gt;="&amp;$J1933,'Weekly Log'!$A:$A,"&lt;"&amp;$J1933+7),0))</f>
        <v/>
      </c>
      <c r="G1933" t="str">
        <f>IF($J1933="","",IFERROR(LOOKUP(2,1/(('Weekly Log'!$A$5:$A$5000&gt;=$J1933)*('Weekly Log'!$A$5:$A$5000&lt;$J1933+7)*('Weekly Log'!$M$5:$M$5000&lt;&gt;"")),'Weekly Log'!$M$5:$M$5000),0))</f>
        <v/>
      </c>
      <c r="J1933" t="str">
        <f>IF(COUNT('Weekly Log'!$A$5:$A$5000)=0,"",IF(MIN('Weekly Log'!$A$5:$A$5000)+7*(ROW()-10)&gt;MAX('Weekly Log'!$A$5:$A$5000),"",MIN('Weekly Log'!$A$5:$A$5000)+7*(ROW()-10)))</f>
        <v/>
      </c>
    </row>
    <row r="1934" spans="1:10" x14ac:dyDescent="0.25">
      <c r="A1934" t="str">
        <f t="shared" si="30"/>
        <v/>
      </c>
      <c r="B1934" t="str">
        <f>IF($J1934="","",SUMIFS('Weekly Log'!$C:$C,'Weekly Log'!$A:$A,"&gt;="&amp;$J1934,'Weekly Log'!$A:$A,"&lt;"&amp;$J1934+7))</f>
        <v/>
      </c>
      <c r="C1934" t="str">
        <f>IF($J1934="","",IFERROR(COUNTIFS('Weekly Log'!$G:$G,"Y",'Weekly Log'!$A:$A,"&gt;="&amp;$J1934,'Weekly Log'!$A:$A,"&lt;"&amp;$J1934+7)/COUNTIFS('Weekly Log'!$G:$G,"&lt;&gt;",'Weekly Log'!$A:$A,"&gt;="&amp;$J1934,'Weekly Log'!$A:$A,"&lt;"&amp;$J1934+7),0))</f>
        <v/>
      </c>
      <c r="D1934" t="str">
        <f>IF($J1934="","",IFERROR(COUNTIFS('Weekly Log'!$H:$H,"Y",'Weekly Log'!$A:$A,"&gt;="&amp;$J1934,'Weekly Log'!$A:$A,"&lt;"&amp;$J1934+7)/COUNTIFS('Weekly Log'!$H:$H,"&lt;&gt;",'Weekly Log'!$A:$A,"&gt;="&amp;$J1934,'Weekly Log'!$A:$A,"&lt;"&amp;$J1934+7),0))</f>
        <v/>
      </c>
      <c r="E1934" t="str">
        <f>IF($J1934="","",IFERROR(AVERAGEIFS('Weekly Log'!$F:$F,'Weekly Log'!$A:$A,"&gt;="&amp;$J1934,'Weekly Log'!$A:$A,"&lt;"&amp;$J1934+7),0))</f>
        <v/>
      </c>
      <c r="F1934" t="str">
        <f>IF($J1934="","",IFERROR(SUMIFS('Weekly Log'!$F:$F,'Weekly Log'!$A:$A,"&gt;="&amp;$J1934,'Weekly Log'!$A:$A,"&lt;"&amp;$J1934+7)/SUMIFS('Weekly Log'!$E:$E,'Weekly Log'!$A:$A,"&gt;="&amp;$J1934,'Weekly Log'!$A:$A,"&lt;"&amp;$J1934+7),0))</f>
        <v/>
      </c>
      <c r="G1934" t="str">
        <f>IF($J1934="","",IFERROR(LOOKUP(2,1/(('Weekly Log'!$A$5:$A$5000&gt;=$J1934)*('Weekly Log'!$A$5:$A$5000&lt;$J1934+7)*('Weekly Log'!$M$5:$M$5000&lt;&gt;"")),'Weekly Log'!$M$5:$M$5000),0))</f>
        <v/>
      </c>
      <c r="J1934" t="str">
        <f>IF(COUNT('Weekly Log'!$A$5:$A$5000)=0,"",IF(MIN('Weekly Log'!$A$5:$A$5000)+7*(ROW()-10)&gt;MAX('Weekly Log'!$A$5:$A$5000),"",MIN('Weekly Log'!$A$5:$A$5000)+7*(ROW()-10)))</f>
        <v/>
      </c>
    </row>
    <row r="1935" spans="1:10" x14ac:dyDescent="0.25">
      <c r="A1935" t="str">
        <f t="shared" si="30"/>
        <v/>
      </c>
      <c r="B1935" t="str">
        <f>IF($J1935="","",SUMIFS('Weekly Log'!$C:$C,'Weekly Log'!$A:$A,"&gt;="&amp;$J1935,'Weekly Log'!$A:$A,"&lt;"&amp;$J1935+7))</f>
        <v/>
      </c>
      <c r="C1935" t="str">
        <f>IF($J1935="","",IFERROR(COUNTIFS('Weekly Log'!$G:$G,"Y",'Weekly Log'!$A:$A,"&gt;="&amp;$J1935,'Weekly Log'!$A:$A,"&lt;"&amp;$J1935+7)/COUNTIFS('Weekly Log'!$G:$G,"&lt;&gt;",'Weekly Log'!$A:$A,"&gt;="&amp;$J1935,'Weekly Log'!$A:$A,"&lt;"&amp;$J1935+7),0))</f>
        <v/>
      </c>
      <c r="D1935" t="str">
        <f>IF($J1935="","",IFERROR(COUNTIFS('Weekly Log'!$H:$H,"Y",'Weekly Log'!$A:$A,"&gt;="&amp;$J1935,'Weekly Log'!$A:$A,"&lt;"&amp;$J1935+7)/COUNTIFS('Weekly Log'!$H:$H,"&lt;&gt;",'Weekly Log'!$A:$A,"&gt;="&amp;$J1935,'Weekly Log'!$A:$A,"&lt;"&amp;$J1935+7),0))</f>
        <v/>
      </c>
      <c r="E1935" t="str">
        <f>IF($J1935="","",IFERROR(AVERAGEIFS('Weekly Log'!$F:$F,'Weekly Log'!$A:$A,"&gt;="&amp;$J1935,'Weekly Log'!$A:$A,"&lt;"&amp;$J1935+7),0))</f>
        <v/>
      </c>
      <c r="F1935" t="str">
        <f>IF($J1935="","",IFERROR(SUMIFS('Weekly Log'!$F:$F,'Weekly Log'!$A:$A,"&gt;="&amp;$J1935,'Weekly Log'!$A:$A,"&lt;"&amp;$J1935+7)/SUMIFS('Weekly Log'!$E:$E,'Weekly Log'!$A:$A,"&gt;="&amp;$J1935,'Weekly Log'!$A:$A,"&lt;"&amp;$J1935+7),0))</f>
        <v/>
      </c>
      <c r="G1935" t="str">
        <f>IF($J1935="","",IFERROR(LOOKUP(2,1/(('Weekly Log'!$A$5:$A$5000&gt;=$J1935)*('Weekly Log'!$A$5:$A$5000&lt;$J1935+7)*('Weekly Log'!$M$5:$M$5000&lt;&gt;"")),'Weekly Log'!$M$5:$M$5000),0))</f>
        <v/>
      </c>
      <c r="J1935" t="str">
        <f>IF(COUNT('Weekly Log'!$A$5:$A$5000)=0,"",IF(MIN('Weekly Log'!$A$5:$A$5000)+7*(ROW()-10)&gt;MAX('Weekly Log'!$A$5:$A$5000),"",MIN('Weekly Log'!$A$5:$A$5000)+7*(ROW()-10)))</f>
        <v/>
      </c>
    </row>
    <row r="1936" spans="1:10" x14ac:dyDescent="0.25">
      <c r="A1936" t="str">
        <f t="shared" si="30"/>
        <v/>
      </c>
      <c r="B1936" t="str">
        <f>IF($J1936="","",SUMIFS('Weekly Log'!$C:$C,'Weekly Log'!$A:$A,"&gt;="&amp;$J1936,'Weekly Log'!$A:$A,"&lt;"&amp;$J1936+7))</f>
        <v/>
      </c>
      <c r="C1936" t="str">
        <f>IF($J1936="","",IFERROR(COUNTIFS('Weekly Log'!$G:$G,"Y",'Weekly Log'!$A:$A,"&gt;="&amp;$J1936,'Weekly Log'!$A:$A,"&lt;"&amp;$J1936+7)/COUNTIFS('Weekly Log'!$G:$G,"&lt;&gt;",'Weekly Log'!$A:$A,"&gt;="&amp;$J1936,'Weekly Log'!$A:$A,"&lt;"&amp;$J1936+7),0))</f>
        <v/>
      </c>
      <c r="D1936" t="str">
        <f>IF($J1936="","",IFERROR(COUNTIFS('Weekly Log'!$H:$H,"Y",'Weekly Log'!$A:$A,"&gt;="&amp;$J1936,'Weekly Log'!$A:$A,"&lt;"&amp;$J1936+7)/COUNTIFS('Weekly Log'!$H:$H,"&lt;&gt;",'Weekly Log'!$A:$A,"&gt;="&amp;$J1936,'Weekly Log'!$A:$A,"&lt;"&amp;$J1936+7),0))</f>
        <v/>
      </c>
      <c r="E1936" t="str">
        <f>IF($J1936="","",IFERROR(AVERAGEIFS('Weekly Log'!$F:$F,'Weekly Log'!$A:$A,"&gt;="&amp;$J1936,'Weekly Log'!$A:$A,"&lt;"&amp;$J1936+7),0))</f>
        <v/>
      </c>
      <c r="F1936" t="str">
        <f>IF($J1936="","",IFERROR(SUMIFS('Weekly Log'!$F:$F,'Weekly Log'!$A:$A,"&gt;="&amp;$J1936,'Weekly Log'!$A:$A,"&lt;"&amp;$J1936+7)/SUMIFS('Weekly Log'!$E:$E,'Weekly Log'!$A:$A,"&gt;="&amp;$J1936,'Weekly Log'!$A:$A,"&lt;"&amp;$J1936+7),0))</f>
        <v/>
      </c>
      <c r="G1936" t="str">
        <f>IF($J1936="","",IFERROR(LOOKUP(2,1/(('Weekly Log'!$A$5:$A$5000&gt;=$J1936)*('Weekly Log'!$A$5:$A$5000&lt;$J1936+7)*('Weekly Log'!$M$5:$M$5000&lt;&gt;"")),'Weekly Log'!$M$5:$M$5000),0))</f>
        <v/>
      </c>
      <c r="J1936" t="str">
        <f>IF(COUNT('Weekly Log'!$A$5:$A$5000)=0,"",IF(MIN('Weekly Log'!$A$5:$A$5000)+7*(ROW()-10)&gt;MAX('Weekly Log'!$A$5:$A$5000),"",MIN('Weekly Log'!$A$5:$A$5000)+7*(ROW()-10)))</f>
        <v/>
      </c>
    </row>
    <row r="1937" spans="1:10" x14ac:dyDescent="0.25">
      <c r="A1937" t="str">
        <f t="shared" si="30"/>
        <v/>
      </c>
      <c r="B1937" t="str">
        <f>IF($J1937="","",SUMIFS('Weekly Log'!$C:$C,'Weekly Log'!$A:$A,"&gt;="&amp;$J1937,'Weekly Log'!$A:$A,"&lt;"&amp;$J1937+7))</f>
        <v/>
      </c>
      <c r="C1937" t="str">
        <f>IF($J1937="","",IFERROR(COUNTIFS('Weekly Log'!$G:$G,"Y",'Weekly Log'!$A:$A,"&gt;="&amp;$J1937,'Weekly Log'!$A:$A,"&lt;"&amp;$J1937+7)/COUNTIFS('Weekly Log'!$G:$G,"&lt;&gt;",'Weekly Log'!$A:$A,"&gt;="&amp;$J1937,'Weekly Log'!$A:$A,"&lt;"&amp;$J1937+7),0))</f>
        <v/>
      </c>
      <c r="D1937" t="str">
        <f>IF($J1937="","",IFERROR(COUNTIFS('Weekly Log'!$H:$H,"Y",'Weekly Log'!$A:$A,"&gt;="&amp;$J1937,'Weekly Log'!$A:$A,"&lt;"&amp;$J1937+7)/COUNTIFS('Weekly Log'!$H:$H,"&lt;&gt;",'Weekly Log'!$A:$A,"&gt;="&amp;$J1937,'Weekly Log'!$A:$A,"&lt;"&amp;$J1937+7),0))</f>
        <v/>
      </c>
      <c r="E1937" t="str">
        <f>IF($J1937="","",IFERROR(AVERAGEIFS('Weekly Log'!$F:$F,'Weekly Log'!$A:$A,"&gt;="&amp;$J1937,'Weekly Log'!$A:$A,"&lt;"&amp;$J1937+7),0))</f>
        <v/>
      </c>
      <c r="F1937" t="str">
        <f>IF($J1937="","",IFERROR(SUMIFS('Weekly Log'!$F:$F,'Weekly Log'!$A:$A,"&gt;="&amp;$J1937,'Weekly Log'!$A:$A,"&lt;"&amp;$J1937+7)/SUMIFS('Weekly Log'!$E:$E,'Weekly Log'!$A:$A,"&gt;="&amp;$J1937,'Weekly Log'!$A:$A,"&lt;"&amp;$J1937+7),0))</f>
        <v/>
      </c>
      <c r="G1937" t="str">
        <f>IF($J1937="","",IFERROR(LOOKUP(2,1/(('Weekly Log'!$A$5:$A$5000&gt;=$J1937)*('Weekly Log'!$A$5:$A$5000&lt;$J1937+7)*('Weekly Log'!$M$5:$M$5000&lt;&gt;"")),'Weekly Log'!$M$5:$M$5000),0))</f>
        <v/>
      </c>
      <c r="J1937" t="str">
        <f>IF(COUNT('Weekly Log'!$A$5:$A$5000)=0,"",IF(MIN('Weekly Log'!$A$5:$A$5000)+7*(ROW()-10)&gt;MAX('Weekly Log'!$A$5:$A$5000),"",MIN('Weekly Log'!$A$5:$A$5000)+7*(ROW()-10)))</f>
        <v/>
      </c>
    </row>
    <row r="1938" spans="1:10" x14ac:dyDescent="0.25">
      <c r="A1938" t="str">
        <f t="shared" si="30"/>
        <v/>
      </c>
      <c r="B1938" t="str">
        <f>IF($J1938="","",SUMIFS('Weekly Log'!$C:$C,'Weekly Log'!$A:$A,"&gt;="&amp;$J1938,'Weekly Log'!$A:$A,"&lt;"&amp;$J1938+7))</f>
        <v/>
      </c>
      <c r="C1938" t="str">
        <f>IF($J1938="","",IFERROR(COUNTIFS('Weekly Log'!$G:$G,"Y",'Weekly Log'!$A:$A,"&gt;="&amp;$J1938,'Weekly Log'!$A:$A,"&lt;"&amp;$J1938+7)/COUNTIFS('Weekly Log'!$G:$G,"&lt;&gt;",'Weekly Log'!$A:$A,"&gt;="&amp;$J1938,'Weekly Log'!$A:$A,"&lt;"&amp;$J1938+7),0))</f>
        <v/>
      </c>
      <c r="D1938" t="str">
        <f>IF($J1938="","",IFERROR(COUNTIFS('Weekly Log'!$H:$H,"Y",'Weekly Log'!$A:$A,"&gt;="&amp;$J1938,'Weekly Log'!$A:$A,"&lt;"&amp;$J1938+7)/COUNTIFS('Weekly Log'!$H:$H,"&lt;&gt;",'Weekly Log'!$A:$A,"&gt;="&amp;$J1938,'Weekly Log'!$A:$A,"&lt;"&amp;$J1938+7),0))</f>
        <v/>
      </c>
      <c r="E1938" t="str">
        <f>IF($J1938="","",IFERROR(AVERAGEIFS('Weekly Log'!$F:$F,'Weekly Log'!$A:$A,"&gt;="&amp;$J1938,'Weekly Log'!$A:$A,"&lt;"&amp;$J1938+7),0))</f>
        <v/>
      </c>
      <c r="F1938" t="str">
        <f>IF($J1938="","",IFERROR(SUMIFS('Weekly Log'!$F:$F,'Weekly Log'!$A:$A,"&gt;="&amp;$J1938,'Weekly Log'!$A:$A,"&lt;"&amp;$J1938+7)/SUMIFS('Weekly Log'!$E:$E,'Weekly Log'!$A:$A,"&gt;="&amp;$J1938,'Weekly Log'!$A:$A,"&lt;"&amp;$J1938+7),0))</f>
        <v/>
      </c>
      <c r="G1938" t="str">
        <f>IF($J1938="","",IFERROR(LOOKUP(2,1/(('Weekly Log'!$A$5:$A$5000&gt;=$J1938)*('Weekly Log'!$A$5:$A$5000&lt;$J1938+7)*('Weekly Log'!$M$5:$M$5000&lt;&gt;"")),'Weekly Log'!$M$5:$M$5000),0))</f>
        <v/>
      </c>
      <c r="J1938" t="str">
        <f>IF(COUNT('Weekly Log'!$A$5:$A$5000)=0,"",IF(MIN('Weekly Log'!$A$5:$A$5000)+7*(ROW()-10)&gt;MAX('Weekly Log'!$A$5:$A$5000),"",MIN('Weekly Log'!$A$5:$A$5000)+7*(ROW()-10)))</f>
        <v/>
      </c>
    </row>
    <row r="1939" spans="1:10" x14ac:dyDescent="0.25">
      <c r="A1939" t="str">
        <f t="shared" si="30"/>
        <v/>
      </c>
      <c r="B1939" t="str">
        <f>IF($J1939="","",SUMIFS('Weekly Log'!$C:$C,'Weekly Log'!$A:$A,"&gt;="&amp;$J1939,'Weekly Log'!$A:$A,"&lt;"&amp;$J1939+7))</f>
        <v/>
      </c>
      <c r="C1939" t="str">
        <f>IF($J1939="","",IFERROR(COUNTIFS('Weekly Log'!$G:$G,"Y",'Weekly Log'!$A:$A,"&gt;="&amp;$J1939,'Weekly Log'!$A:$A,"&lt;"&amp;$J1939+7)/COUNTIFS('Weekly Log'!$G:$G,"&lt;&gt;",'Weekly Log'!$A:$A,"&gt;="&amp;$J1939,'Weekly Log'!$A:$A,"&lt;"&amp;$J1939+7),0))</f>
        <v/>
      </c>
      <c r="D1939" t="str">
        <f>IF($J1939="","",IFERROR(COUNTIFS('Weekly Log'!$H:$H,"Y",'Weekly Log'!$A:$A,"&gt;="&amp;$J1939,'Weekly Log'!$A:$A,"&lt;"&amp;$J1939+7)/COUNTIFS('Weekly Log'!$H:$H,"&lt;&gt;",'Weekly Log'!$A:$A,"&gt;="&amp;$J1939,'Weekly Log'!$A:$A,"&lt;"&amp;$J1939+7),0))</f>
        <v/>
      </c>
      <c r="E1939" t="str">
        <f>IF($J1939="","",IFERROR(AVERAGEIFS('Weekly Log'!$F:$F,'Weekly Log'!$A:$A,"&gt;="&amp;$J1939,'Weekly Log'!$A:$A,"&lt;"&amp;$J1939+7),0))</f>
        <v/>
      </c>
      <c r="F1939" t="str">
        <f>IF($J1939="","",IFERROR(SUMIFS('Weekly Log'!$F:$F,'Weekly Log'!$A:$A,"&gt;="&amp;$J1939,'Weekly Log'!$A:$A,"&lt;"&amp;$J1939+7)/SUMIFS('Weekly Log'!$E:$E,'Weekly Log'!$A:$A,"&gt;="&amp;$J1939,'Weekly Log'!$A:$A,"&lt;"&amp;$J1939+7),0))</f>
        <v/>
      </c>
      <c r="G1939" t="str">
        <f>IF($J1939="","",IFERROR(LOOKUP(2,1/(('Weekly Log'!$A$5:$A$5000&gt;=$J1939)*('Weekly Log'!$A$5:$A$5000&lt;$J1939+7)*('Weekly Log'!$M$5:$M$5000&lt;&gt;"")),'Weekly Log'!$M$5:$M$5000),0))</f>
        <v/>
      </c>
      <c r="J1939" t="str">
        <f>IF(COUNT('Weekly Log'!$A$5:$A$5000)=0,"",IF(MIN('Weekly Log'!$A$5:$A$5000)+7*(ROW()-10)&gt;MAX('Weekly Log'!$A$5:$A$5000),"",MIN('Weekly Log'!$A$5:$A$5000)+7*(ROW()-10)))</f>
        <v/>
      </c>
    </row>
    <row r="1940" spans="1:10" x14ac:dyDescent="0.25">
      <c r="A1940" t="str">
        <f t="shared" si="30"/>
        <v/>
      </c>
      <c r="B1940" t="str">
        <f>IF($J1940="","",SUMIFS('Weekly Log'!$C:$C,'Weekly Log'!$A:$A,"&gt;="&amp;$J1940,'Weekly Log'!$A:$A,"&lt;"&amp;$J1940+7))</f>
        <v/>
      </c>
      <c r="C1940" t="str">
        <f>IF($J1940="","",IFERROR(COUNTIFS('Weekly Log'!$G:$G,"Y",'Weekly Log'!$A:$A,"&gt;="&amp;$J1940,'Weekly Log'!$A:$A,"&lt;"&amp;$J1940+7)/COUNTIFS('Weekly Log'!$G:$G,"&lt;&gt;",'Weekly Log'!$A:$A,"&gt;="&amp;$J1940,'Weekly Log'!$A:$A,"&lt;"&amp;$J1940+7),0))</f>
        <v/>
      </c>
      <c r="D1940" t="str">
        <f>IF($J1940="","",IFERROR(COUNTIFS('Weekly Log'!$H:$H,"Y",'Weekly Log'!$A:$A,"&gt;="&amp;$J1940,'Weekly Log'!$A:$A,"&lt;"&amp;$J1940+7)/COUNTIFS('Weekly Log'!$H:$H,"&lt;&gt;",'Weekly Log'!$A:$A,"&gt;="&amp;$J1940,'Weekly Log'!$A:$A,"&lt;"&amp;$J1940+7),0))</f>
        <v/>
      </c>
      <c r="E1940" t="str">
        <f>IF($J1940="","",IFERROR(AVERAGEIFS('Weekly Log'!$F:$F,'Weekly Log'!$A:$A,"&gt;="&amp;$J1940,'Weekly Log'!$A:$A,"&lt;"&amp;$J1940+7),0))</f>
        <v/>
      </c>
      <c r="F1940" t="str">
        <f>IF($J1940="","",IFERROR(SUMIFS('Weekly Log'!$F:$F,'Weekly Log'!$A:$A,"&gt;="&amp;$J1940,'Weekly Log'!$A:$A,"&lt;"&amp;$J1940+7)/SUMIFS('Weekly Log'!$E:$E,'Weekly Log'!$A:$A,"&gt;="&amp;$J1940,'Weekly Log'!$A:$A,"&lt;"&amp;$J1940+7),0))</f>
        <v/>
      </c>
      <c r="G1940" t="str">
        <f>IF($J1940="","",IFERROR(LOOKUP(2,1/(('Weekly Log'!$A$5:$A$5000&gt;=$J1940)*('Weekly Log'!$A$5:$A$5000&lt;$J1940+7)*('Weekly Log'!$M$5:$M$5000&lt;&gt;"")),'Weekly Log'!$M$5:$M$5000),0))</f>
        <v/>
      </c>
      <c r="J1940" t="str">
        <f>IF(COUNT('Weekly Log'!$A$5:$A$5000)=0,"",IF(MIN('Weekly Log'!$A$5:$A$5000)+7*(ROW()-10)&gt;MAX('Weekly Log'!$A$5:$A$5000),"",MIN('Weekly Log'!$A$5:$A$5000)+7*(ROW()-10)))</f>
        <v/>
      </c>
    </row>
    <row r="1941" spans="1:10" x14ac:dyDescent="0.25">
      <c r="A1941" t="str">
        <f t="shared" si="30"/>
        <v/>
      </c>
      <c r="B1941" t="str">
        <f>IF($J1941="","",SUMIFS('Weekly Log'!$C:$C,'Weekly Log'!$A:$A,"&gt;="&amp;$J1941,'Weekly Log'!$A:$A,"&lt;"&amp;$J1941+7))</f>
        <v/>
      </c>
      <c r="C1941" t="str">
        <f>IF($J1941="","",IFERROR(COUNTIFS('Weekly Log'!$G:$G,"Y",'Weekly Log'!$A:$A,"&gt;="&amp;$J1941,'Weekly Log'!$A:$A,"&lt;"&amp;$J1941+7)/COUNTIFS('Weekly Log'!$G:$G,"&lt;&gt;",'Weekly Log'!$A:$A,"&gt;="&amp;$J1941,'Weekly Log'!$A:$A,"&lt;"&amp;$J1941+7),0))</f>
        <v/>
      </c>
      <c r="D1941" t="str">
        <f>IF($J1941="","",IFERROR(COUNTIFS('Weekly Log'!$H:$H,"Y",'Weekly Log'!$A:$A,"&gt;="&amp;$J1941,'Weekly Log'!$A:$A,"&lt;"&amp;$J1941+7)/COUNTIFS('Weekly Log'!$H:$H,"&lt;&gt;",'Weekly Log'!$A:$A,"&gt;="&amp;$J1941,'Weekly Log'!$A:$A,"&lt;"&amp;$J1941+7),0))</f>
        <v/>
      </c>
      <c r="E1941" t="str">
        <f>IF($J1941="","",IFERROR(AVERAGEIFS('Weekly Log'!$F:$F,'Weekly Log'!$A:$A,"&gt;="&amp;$J1941,'Weekly Log'!$A:$A,"&lt;"&amp;$J1941+7),0))</f>
        <v/>
      </c>
      <c r="F1941" t="str">
        <f>IF($J1941="","",IFERROR(SUMIFS('Weekly Log'!$F:$F,'Weekly Log'!$A:$A,"&gt;="&amp;$J1941,'Weekly Log'!$A:$A,"&lt;"&amp;$J1941+7)/SUMIFS('Weekly Log'!$E:$E,'Weekly Log'!$A:$A,"&gt;="&amp;$J1941,'Weekly Log'!$A:$A,"&lt;"&amp;$J1941+7),0))</f>
        <v/>
      </c>
      <c r="G1941" t="str">
        <f>IF($J1941="","",IFERROR(LOOKUP(2,1/(('Weekly Log'!$A$5:$A$5000&gt;=$J1941)*('Weekly Log'!$A$5:$A$5000&lt;$J1941+7)*('Weekly Log'!$M$5:$M$5000&lt;&gt;"")),'Weekly Log'!$M$5:$M$5000),0))</f>
        <v/>
      </c>
      <c r="J1941" t="str">
        <f>IF(COUNT('Weekly Log'!$A$5:$A$5000)=0,"",IF(MIN('Weekly Log'!$A$5:$A$5000)+7*(ROW()-10)&gt;MAX('Weekly Log'!$A$5:$A$5000),"",MIN('Weekly Log'!$A$5:$A$5000)+7*(ROW()-10)))</f>
        <v/>
      </c>
    </row>
    <row r="1942" spans="1:10" x14ac:dyDescent="0.25">
      <c r="A1942" t="str">
        <f t="shared" si="30"/>
        <v/>
      </c>
      <c r="B1942" t="str">
        <f>IF($J1942="","",SUMIFS('Weekly Log'!$C:$C,'Weekly Log'!$A:$A,"&gt;="&amp;$J1942,'Weekly Log'!$A:$A,"&lt;"&amp;$J1942+7))</f>
        <v/>
      </c>
      <c r="C1942" t="str">
        <f>IF($J1942="","",IFERROR(COUNTIFS('Weekly Log'!$G:$G,"Y",'Weekly Log'!$A:$A,"&gt;="&amp;$J1942,'Weekly Log'!$A:$A,"&lt;"&amp;$J1942+7)/COUNTIFS('Weekly Log'!$G:$G,"&lt;&gt;",'Weekly Log'!$A:$A,"&gt;="&amp;$J1942,'Weekly Log'!$A:$A,"&lt;"&amp;$J1942+7),0))</f>
        <v/>
      </c>
      <c r="D1942" t="str">
        <f>IF($J1942="","",IFERROR(COUNTIFS('Weekly Log'!$H:$H,"Y",'Weekly Log'!$A:$A,"&gt;="&amp;$J1942,'Weekly Log'!$A:$A,"&lt;"&amp;$J1942+7)/COUNTIFS('Weekly Log'!$H:$H,"&lt;&gt;",'Weekly Log'!$A:$A,"&gt;="&amp;$J1942,'Weekly Log'!$A:$A,"&lt;"&amp;$J1942+7),0))</f>
        <v/>
      </c>
      <c r="E1942" t="str">
        <f>IF($J1942="","",IFERROR(AVERAGEIFS('Weekly Log'!$F:$F,'Weekly Log'!$A:$A,"&gt;="&amp;$J1942,'Weekly Log'!$A:$A,"&lt;"&amp;$J1942+7),0))</f>
        <v/>
      </c>
      <c r="F1942" t="str">
        <f>IF($J1942="","",IFERROR(SUMIFS('Weekly Log'!$F:$F,'Weekly Log'!$A:$A,"&gt;="&amp;$J1942,'Weekly Log'!$A:$A,"&lt;"&amp;$J1942+7)/SUMIFS('Weekly Log'!$E:$E,'Weekly Log'!$A:$A,"&gt;="&amp;$J1942,'Weekly Log'!$A:$A,"&lt;"&amp;$J1942+7),0))</f>
        <v/>
      </c>
      <c r="G1942" t="str">
        <f>IF($J1942="","",IFERROR(LOOKUP(2,1/(('Weekly Log'!$A$5:$A$5000&gt;=$J1942)*('Weekly Log'!$A$5:$A$5000&lt;$J1942+7)*('Weekly Log'!$M$5:$M$5000&lt;&gt;"")),'Weekly Log'!$M$5:$M$5000),0))</f>
        <v/>
      </c>
      <c r="J1942" t="str">
        <f>IF(COUNT('Weekly Log'!$A$5:$A$5000)=0,"",IF(MIN('Weekly Log'!$A$5:$A$5000)+7*(ROW()-10)&gt;MAX('Weekly Log'!$A$5:$A$5000),"",MIN('Weekly Log'!$A$5:$A$5000)+7*(ROW()-10)))</f>
        <v/>
      </c>
    </row>
    <row r="1943" spans="1:10" x14ac:dyDescent="0.25">
      <c r="A1943" t="str">
        <f t="shared" si="30"/>
        <v/>
      </c>
      <c r="B1943" t="str">
        <f>IF($J1943="","",SUMIFS('Weekly Log'!$C:$C,'Weekly Log'!$A:$A,"&gt;="&amp;$J1943,'Weekly Log'!$A:$A,"&lt;"&amp;$J1943+7))</f>
        <v/>
      </c>
      <c r="C1943" t="str">
        <f>IF($J1943="","",IFERROR(COUNTIFS('Weekly Log'!$G:$G,"Y",'Weekly Log'!$A:$A,"&gt;="&amp;$J1943,'Weekly Log'!$A:$A,"&lt;"&amp;$J1943+7)/COUNTIFS('Weekly Log'!$G:$G,"&lt;&gt;",'Weekly Log'!$A:$A,"&gt;="&amp;$J1943,'Weekly Log'!$A:$A,"&lt;"&amp;$J1943+7),0))</f>
        <v/>
      </c>
      <c r="D1943" t="str">
        <f>IF($J1943="","",IFERROR(COUNTIFS('Weekly Log'!$H:$H,"Y",'Weekly Log'!$A:$A,"&gt;="&amp;$J1943,'Weekly Log'!$A:$A,"&lt;"&amp;$J1943+7)/COUNTIFS('Weekly Log'!$H:$H,"&lt;&gt;",'Weekly Log'!$A:$A,"&gt;="&amp;$J1943,'Weekly Log'!$A:$A,"&lt;"&amp;$J1943+7),0))</f>
        <v/>
      </c>
      <c r="E1943" t="str">
        <f>IF($J1943="","",IFERROR(AVERAGEIFS('Weekly Log'!$F:$F,'Weekly Log'!$A:$A,"&gt;="&amp;$J1943,'Weekly Log'!$A:$A,"&lt;"&amp;$J1943+7),0))</f>
        <v/>
      </c>
      <c r="F1943" t="str">
        <f>IF($J1943="","",IFERROR(SUMIFS('Weekly Log'!$F:$F,'Weekly Log'!$A:$A,"&gt;="&amp;$J1943,'Weekly Log'!$A:$A,"&lt;"&amp;$J1943+7)/SUMIFS('Weekly Log'!$E:$E,'Weekly Log'!$A:$A,"&gt;="&amp;$J1943,'Weekly Log'!$A:$A,"&lt;"&amp;$J1943+7),0))</f>
        <v/>
      </c>
      <c r="G1943" t="str">
        <f>IF($J1943="","",IFERROR(LOOKUP(2,1/(('Weekly Log'!$A$5:$A$5000&gt;=$J1943)*('Weekly Log'!$A$5:$A$5000&lt;$J1943+7)*('Weekly Log'!$M$5:$M$5000&lt;&gt;"")),'Weekly Log'!$M$5:$M$5000),0))</f>
        <v/>
      </c>
      <c r="J1943" t="str">
        <f>IF(COUNT('Weekly Log'!$A$5:$A$5000)=0,"",IF(MIN('Weekly Log'!$A$5:$A$5000)+7*(ROW()-10)&gt;MAX('Weekly Log'!$A$5:$A$5000),"",MIN('Weekly Log'!$A$5:$A$5000)+7*(ROW()-10)))</f>
        <v/>
      </c>
    </row>
    <row r="1944" spans="1:10" x14ac:dyDescent="0.25">
      <c r="A1944" t="str">
        <f t="shared" si="30"/>
        <v/>
      </c>
      <c r="B1944" t="str">
        <f>IF($J1944="","",SUMIFS('Weekly Log'!$C:$C,'Weekly Log'!$A:$A,"&gt;="&amp;$J1944,'Weekly Log'!$A:$A,"&lt;"&amp;$J1944+7))</f>
        <v/>
      </c>
      <c r="C1944" t="str">
        <f>IF($J1944="","",IFERROR(COUNTIFS('Weekly Log'!$G:$G,"Y",'Weekly Log'!$A:$A,"&gt;="&amp;$J1944,'Weekly Log'!$A:$A,"&lt;"&amp;$J1944+7)/COUNTIFS('Weekly Log'!$G:$G,"&lt;&gt;",'Weekly Log'!$A:$A,"&gt;="&amp;$J1944,'Weekly Log'!$A:$A,"&lt;"&amp;$J1944+7),0))</f>
        <v/>
      </c>
      <c r="D1944" t="str">
        <f>IF($J1944="","",IFERROR(COUNTIFS('Weekly Log'!$H:$H,"Y",'Weekly Log'!$A:$A,"&gt;="&amp;$J1944,'Weekly Log'!$A:$A,"&lt;"&amp;$J1944+7)/COUNTIFS('Weekly Log'!$H:$H,"&lt;&gt;",'Weekly Log'!$A:$A,"&gt;="&amp;$J1944,'Weekly Log'!$A:$A,"&lt;"&amp;$J1944+7),0))</f>
        <v/>
      </c>
      <c r="E1944" t="str">
        <f>IF($J1944="","",IFERROR(AVERAGEIFS('Weekly Log'!$F:$F,'Weekly Log'!$A:$A,"&gt;="&amp;$J1944,'Weekly Log'!$A:$A,"&lt;"&amp;$J1944+7),0))</f>
        <v/>
      </c>
      <c r="F1944" t="str">
        <f>IF($J1944="","",IFERROR(SUMIFS('Weekly Log'!$F:$F,'Weekly Log'!$A:$A,"&gt;="&amp;$J1944,'Weekly Log'!$A:$A,"&lt;"&amp;$J1944+7)/SUMIFS('Weekly Log'!$E:$E,'Weekly Log'!$A:$A,"&gt;="&amp;$J1944,'Weekly Log'!$A:$A,"&lt;"&amp;$J1944+7),0))</f>
        <v/>
      </c>
      <c r="G1944" t="str">
        <f>IF($J1944="","",IFERROR(LOOKUP(2,1/(('Weekly Log'!$A$5:$A$5000&gt;=$J1944)*('Weekly Log'!$A$5:$A$5000&lt;$J1944+7)*('Weekly Log'!$M$5:$M$5000&lt;&gt;"")),'Weekly Log'!$M$5:$M$5000),0))</f>
        <v/>
      </c>
      <c r="J1944" t="str">
        <f>IF(COUNT('Weekly Log'!$A$5:$A$5000)=0,"",IF(MIN('Weekly Log'!$A$5:$A$5000)+7*(ROW()-10)&gt;MAX('Weekly Log'!$A$5:$A$5000),"",MIN('Weekly Log'!$A$5:$A$5000)+7*(ROW()-10)))</f>
        <v/>
      </c>
    </row>
    <row r="1945" spans="1:10" x14ac:dyDescent="0.25">
      <c r="A1945" t="str">
        <f t="shared" si="30"/>
        <v/>
      </c>
      <c r="B1945" t="str">
        <f>IF($J1945="","",SUMIFS('Weekly Log'!$C:$C,'Weekly Log'!$A:$A,"&gt;="&amp;$J1945,'Weekly Log'!$A:$A,"&lt;"&amp;$J1945+7))</f>
        <v/>
      </c>
      <c r="C1945" t="str">
        <f>IF($J1945="","",IFERROR(COUNTIFS('Weekly Log'!$G:$G,"Y",'Weekly Log'!$A:$A,"&gt;="&amp;$J1945,'Weekly Log'!$A:$A,"&lt;"&amp;$J1945+7)/COUNTIFS('Weekly Log'!$G:$G,"&lt;&gt;",'Weekly Log'!$A:$A,"&gt;="&amp;$J1945,'Weekly Log'!$A:$A,"&lt;"&amp;$J1945+7),0))</f>
        <v/>
      </c>
      <c r="D1945" t="str">
        <f>IF($J1945="","",IFERROR(COUNTIFS('Weekly Log'!$H:$H,"Y",'Weekly Log'!$A:$A,"&gt;="&amp;$J1945,'Weekly Log'!$A:$A,"&lt;"&amp;$J1945+7)/COUNTIFS('Weekly Log'!$H:$H,"&lt;&gt;",'Weekly Log'!$A:$A,"&gt;="&amp;$J1945,'Weekly Log'!$A:$A,"&lt;"&amp;$J1945+7),0))</f>
        <v/>
      </c>
      <c r="E1945" t="str">
        <f>IF($J1945="","",IFERROR(AVERAGEIFS('Weekly Log'!$F:$F,'Weekly Log'!$A:$A,"&gt;="&amp;$J1945,'Weekly Log'!$A:$A,"&lt;"&amp;$J1945+7),0))</f>
        <v/>
      </c>
      <c r="F1945" t="str">
        <f>IF($J1945="","",IFERROR(SUMIFS('Weekly Log'!$F:$F,'Weekly Log'!$A:$A,"&gt;="&amp;$J1945,'Weekly Log'!$A:$A,"&lt;"&amp;$J1945+7)/SUMIFS('Weekly Log'!$E:$E,'Weekly Log'!$A:$A,"&gt;="&amp;$J1945,'Weekly Log'!$A:$A,"&lt;"&amp;$J1945+7),0))</f>
        <v/>
      </c>
      <c r="G1945" t="str">
        <f>IF($J1945="","",IFERROR(LOOKUP(2,1/(('Weekly Log'!$A$5:$A$5000&gt;=$J1945)*('Weekly Log'!$A$5:$A$5000&lt;$J1945+7)*('Weekly Log'!$M$5:$M$5000&lt;&gt;"")),'Weekly Log'!$M$5:$M$5000),0))</f>
        <v/>
      </c>
      <c r="J1945" t="str">
        <f>IF(COUNT('Weekly Log'!$A$5:$A$5000)=0,"",IF(MIN('Weekly Log'!$A$5:$A$5000)+7*(ROW()-10)&gt;MAX('Weekly Log'!$A$5:$A$5000),"",MIN('Weekly Log'!$A$5:$A$5000)+7*(ROW()-10)))</f>
        <v/>
      </c>
    </row>
    <row r="1946" spans="1:10" x14ac:dyDescent="0.25">
      <c r="A1946" t="str">
        <f t="shared" si="30"/>
        <v/>
      </c>
      <c r="B1946" t="str">
        <f>IF($J1946="","",SUMIFS('Weekly Log'!$C:$C,'Weekly Log'!$A:$A,"&gt;="&amp;$J1946,'Weekly Log'!$A:$A,"&lt;"&amp;$J1946+7))</f>
        <v/>
      </c>
      <c r="C1946" t="str">
        <f>IF($J1946="","",IFERROR(COUNTIFS('Weekly Log'!$G:$G,"Y",'Weekly Log'!$A:$A,"&gt;="&amp;$J1946,'Weekly Log'!$A:$A,"&lt;"&amp;$J1946+7)/COUNTIFS('Weekly Log'!$G:$G,"&lt;&gt;",'Weekly Log'!$A:$A,"&gt;="&amp;$J1946,'Weekly Log'!$A:$A,"&lt;"&amp;$J1946+7),0))</f>
        <v/>
      </c>
      <c r="D1946" t="str">
        <f>IF($J1946="","",IFERROR(COUNTIFS('Weekly Log'!$H:$H,"Y",'Weekly Log'!$A:$A,"&gt;="&amp;$J1946,'Weekly Log'!$A:$A,"&lt;"&amp;$J1946+7)/COUNTIFS('Weekly Log'!$H:$H,"&lt;&gt;",'Weekly Log'!$A:$A,"&gt;="&amp;$J1946,'Weekly Log'!$A:$A,"&lt;"&amp;$J1946+7),0))</f>
        <v/>
      </c>
      <c r="E1946" t="str">
        <f>IF($J1946="","",IFERROR(AVERAGEIFS('Weekly Log'!$F:$F,'Weekly Log'!$A:$A,"&gt;="&amp;$J1946,'Weekly Log'!$A:$A,"&lt;"&amp;$J1946+7),0))</f>
        <v/>
      </c>
      <c r="F1946" t="str">
        <f>IF($J1946="","",IFERROR(SUMIFS('Weekly Log'!$F:$F,'Weekly Log'!$A:$A,"&gt;="&amp;$J1946,'Weekly Log'!$A:$A,"&lt;"&amp;$J1946+7)/SUMIFS('Weekly Log'!$E:$E,'Weekly Log'!$A:$A,"&gt;="&amp;$J1946,'Weekly Log'!$A:$A,"&lt;"&amp;$J1946+7),0))</f>
        <v/>
      </c>
      <c r="G1946" t="str">
        <f>IF($J1946="","",IFERROR(LOOKUP(2,1/(('Weekly Log'!$A$5:$A$5000&gt;=$J1946)*('Weekly Log'!$A$5:$A$5000&lt;$J1946+7)*('Weekly Log'!$M$5:$M$5000&lt;&gt;"")),'Weekly Log'!$M$5:$M$5000),0))</f>
        <v/>
      </c>
      <c r="J1946" t="str">
        <f>IF(COUNT('Weekly Log'!$A$5:$A$5000)=0,"",IF(MIN('Weekly Log'!$A$5:$A$5000)+7*(ROW()-10)&gt;MAX('Weekly Log'!$A$5:$A$5000),"",MIN('Weekly Log'!$A$5:$A$5000)+7*(ROW()-10)))</f>
        <v/>
      </c>
    </row>
    <row r="1947" spans="1:10" x14ac:dyDescent="0.25">
      <c r="A1947" t="str">
        <f t="shared" si="30"/>
        <v/>
      </c>
      <c r="B1947" t="str">
        <f>IF($J1947="","",SUMIFS('Weekly Log'!$C:$C,'Weekly Log'!$A:$A,"&gt;="&amp;$J1947,'Weekly Log'!$A:$A,"&lt;"&amp;$J1947+7))</f>
        <v/>
      </c>
      <c r="C1947" t="str">
        <f>IF($J1947="","",IFERROR(COUNTIFS('Weekly Log'!$G:$G,"Y",'Weekly Log'!$A:$A,"&gt;="&amp;$J1947,'Weekly Log'!$A:$A,"&lt;"&amp;$J1947+7)/COUNTIFS('Weekly Log'!$G:$G,"&lt;&gt;",'Weekly Log'!$A:$A,"&gt;="&amp;$J1947,'Weekly Log'!$A:$A,"&lt;"&amp;$J1947+7),0))</f>
        <v/>
      </c>
      <c r="D1947" t="str">
        <f>IF($J1947="","",IFERROR(COUNTIFS('Weekly Log'!$H:$H,"Y",'Weekly Log'!$A:$A,"&gt;="&amp;$J1947,'Weekly Log'!$A:$A,"&lt;"&amp;$J1947+7)/COUNTIFS('Weekly Log'!$H:$H,"&lt;&gt;",'Weekly Log'!$A:$A,"&gt;="&amp;$J1947,'Weekly Log'!$A:$A,"&lt;"&amp;$J1947+7),0))</f>
        <v/>
      </c>
      <c r="E1947" t="str">
        <f>IF($J1947="","",IFERROR(AVERAGEIFS('Weekly Log'!$F:$F,'Weekly Log'!$A:$A,"&gt;="&amp;$J1947,'Weekly Log'!$A:$A,"&lt;"&amp;$J1947+7),0))</f>
        <v/>
      </c>
      <c r="F1947" t="str">
        <f>IF($J1947="","",IFERROR(SUMIFS('Weekly Log'!$F:$F,'Weekly Log'!$A:$A,"&gt;="&amp;$J1947,'Weekly Log'!$A:$A,"&lt;"&amp;$J1947+7)/SUMIFS('Weekly Log'!$E:$E,'Weekly Log'!$A:$A,"&gt;="&amp;$J1947,'Weekly Log'!$A:$A,"&lt;"&amp;$J1947+7),0))</f>
        <v/>
      </c>
      <c r="G1947" t="str">
        <f>IF($J1947="","",IFERROR(LOOKUP(2,1/(('Weekly Log'!$A$5:$A$5000&gt;=$J1947)*('Weekly Log'!$A$5:$A$5000&lt;$J1947+7)*('Weekly Log'!$M$5:$M$5000&lt;&gt;"")),'Weekly Log'!$M$5:$M$5000),0))</f>
        <v/>
      </c>
      <c r="J1947" t="str">
        <f>IF(COUNT('Weekly Log'!$A$5:$A$5000)=0,"",IF(MIN('Weekly Log'!$A$5:$A$5000)+7*(ROW()-10)&gt;MAX('Weekly Log'!$A$5:$A$5000),"",MIN('Weekly Log'!$A$5:$A$5000)+7*(ROW()-10)))</f>
        <v/>
      </c>
    </row>
    <row r="1948" spans="1:10" x14ac:dyDescent="0.25">
      <c r="A1948" t="str">
        <f t="shared" si="30"/>
        <v/>
      </c>
      <c r="B1948" t="str">
        <f>IF($J1948="","",SUMIFS('Weekly Log'!$C:$C,'Weekly Log'!$A:$A,"&gt;="&amp;$J1948,'Weekly Log'!$A:$A,"&lt;"&amp;$J1948+7))</f>
        <v/>
      </c>
      <c r="C1948" t="str">
        <f>IF($J1948="","",IFERROR(COUNTIFS('Weekly Log'!$G:$G,"Y",'Weekly Log'!$A:$A,"&gt;="&amp;$J1948,'Weekly Log'!$A:$A,"&lt;"&amp;$J1948+7)/COUNTIFS('Weekly Log'!$G:$G,"&lt;&gt;",'Weekly Log'!$A:$A,"&gt;="&amp;$J1948,'Weekly Log'!$A:$A,"&lt;"&amp;$J1948+7),0))</f>
        <v/>
      </c>
      <c r="D1948" t="str">
        <f>IF($J1948="","",IFERROR(COUNTIFS('Weekly Log'!$H:$H,"Y",'Weekly Log'!$A:$A,"&gt;="&amp;$J1948,'Weekly Log'!$A:$A,"&lt;"&amp;$J1948+7)/COUNTIFS('Weekly Log'!$H:$H,"&lt;&gt;",'Weekly Log'!$A:$A,"&gt;="&amp;$J1948,'Weekly Log'!$A:$A,"&lt;"&amp;$J1948+7),0))</f>
        <v/>
      </c>
      <c r="E1948" t="str">
        <f>IF($J1948="","",IFERROR(AVERAGEIFS('Weekly Log'!$F:$F,'Weekly Log'!$A:$A,"&gt;="&amp;$J1948,'Weekly Log'!$A:$A,"&lt;"&amp;$J1948+7),0))</f>
        <v/>
      </c>
      <c r="F1948" t="str">
        <f>IF($J1948="","",IFERROR(SUMIFS('Weekly Log'!$F:$F,'Weekly Log'!$A:$A,"&gt;="&amp;$J1948,'Weekly Log'!$A:$A,"&lt;"&amp;$J1948+7)/SUMIFS('Weekly Log'!$E:$E,'Weekly Log'!$A:$A,"&gt;="&amp;$J1948,'Weekly Log'!$A:$A,"&lt;"&amp;$J1948+7),0))</f>
        <v/>
      </c>
      <c r="G1948" t="str">
        <f>IF($J1948="","",IFERROR(LOOKUP(2,1/(('Weekly Log'!$A$5:$A$5000&gt;=$J1948)*('Weekly Log'!$A$5:$A$5000&lt;$J1948+7)*('Weekly Log'!$M$5:$M$5000&lt;&gt;"")),'Weekly Log'!$M$5:$M$5000),0))</f>
        <v/>
      </c>
      <c r="J1948" t="str">
        <f>IF(COUNT('Weekly Log'!$A$5:$A$5000)=0,"",IF(MIN('Weekly Log'!$A$5:$A$5000)+7*(ROW()-10)&gt;MAX('Weekly Log'!$A$5:$A$5000),"",MIN('Weekly Log'!$A$5:$A$5000)+7*(ROW()-10)))</f>
        <v/>
      </c>
    </row>
    <row r="1949" spans="1:10" x14ac:dyDescent="0.25">
      <c r="A1949" t="str">
        <f t="shared" si="30"/>
        <v/>
      </c>
      <c r="B1949" t="str">
        <f>IF($J1949="","",SUMIFS('Weekly Log'!$C:$C,'Weekly Log'!$A:$A,"&gt;="&amp;$J1949,'Weekly Log'!$A:$A,"&lt;"&amp;$J1949+7))</f>
        <v/>
      </c>
      <c r="C1949" t="str">
        <f>IF($J1949="","",IFERROR(COUNTIFS('Weekly Log'!$G:$G,"Y",'Weekly Log'!$A:$A,"&gt;="&amp;$J1949,'Weekly Log'!$A:$A,"&lt;"&amp;$J1949+7)/COUNTIFS('Weekly Log'!$G:$G,"&lt;&gt;",'Weekly Log'!$A:$A,"&gt;="&amp;$J1949,'Weekly Log'!$A:$A,"&lt;"&amp;$J1949+7),0))</f>
        <v/>
      </c>
      <c r="D1949" t="str">
        <f>IF($J1949="","",IFERROR(COUNTIFS('Weekly Log'!$H:$H,"Y",'Weekly Log'!$A:$A,"&gt;="&amp;$J1949,'Weekly Log'!$A:$A,"&lt;"&amp;$J1949+7)/COUNTIFS('Weekly Log'!$H:$H,"&lt;&gt;",'Weekly Log'!$A:$A,"&gt;="&amp;$J1949,'Weekly Log'!$A:$A,"&lt;"&amp;$J1949+7),0))</f>
        <v/>
      </c>
      <c r="E1949" t="str">
        <f>IF($J1949="","",IFERROR(AVERAGEIFS('Weekly Log'!$F:$F,'Weekly Log'!$A:$A,"&gt;="&amp;$J1949,'Weekly Log'!$A:$A,"&lt;"&amp;$J1949+7),0))</f>
        <v/>
      </c>
      <c r="F1949" t="str">
        <f>IF($J1949="","",IFERROR(SUMIFS('Weekly Log'!$F:$F,'Weekly Log'!$A:$A,"&gt;="&amp;$J1949,'Weekly Log'!$A:$A,"&lt;"&amp;$J1949+7)/SUMIFS('Weekly Log'!$E:$E,'Weekly Log'!$A:$A,"&gt;="&amp;$J1949,'Weekly Log'!$A:$A,"&lt;"&amp;$J1949+7),0))</f>
        <v/>
      </c>
      <c r="G1949" t="str">
        <f>IF($J1949="","",IFERROR(LOOKUP(2,1/(('Weekly Log'!$A$5:$A$5000&gt;=$J1949)*('Weekly Log'!$A$5:$A$5000&lt;$J1949+7)*('Weekly Log'!$M$5:$M$5000&lt;&gt;"")),'Weekly Log'!$M$5:$M$5000),0))</f>
        <v/>
      </c>
      <c r="J1949" t="str">
        <f>IF(COUNT('Weekly Log'!$A$5:$A$5000)=0,"",IF(MIN('Weekly Log'!$A$5:$A$5000)+7*(ROW()-10)&gt;MAX('Weekly Log'!$A$5:$A$5000),"",MIN('Weekly Log'!$A$5:$A$5000)+7*(ROW()-10)))</f>
        <v/>
      </c>
    </row>
    <row r="1950" spans="1:10" x14ac:dyDescent="0.25">
      <c r="A1950" t="str">
        <f t="shared" si="30"/>
        <v/>
      </c>
      <c r="B1950" t="str">
        <f>IF($J1950="","",SUMIFS('Weekly Log'!$C:$C,'Weekly Log'!$A:$A,"&gt;="&amp;$J1950,'Weekly Log'!$A:$A,"&lt;"&amp;$J1950+7))</f>
        <v/>
      </c>
      <c r="C1950" t="str">
        <f>IF($J1950="","",IFERROR(COUNTIFS('Weekly Log'!$G:$G,"Y",'Weekly Log'!$A:$A,"&gt;="&amp;$J1950,'Weekly Log'!$A:$A,"&lt;"&amp;$J1950+7)/COUNTIFS('Weekly Log'!$G:$G,"&lt;&gt;",'Weekly Log'!$A:$A,"&gt;="&amp;$J1950,'Weekly Log'!$A:$A,"&lt;"&amp;$J1950+7),0))</f>
        <v/>
      </c>
      <c r="D1950" t="str">
        <f>IF($J1950="","",IFERROR(COUNTIFS('Weekly Log'!$H:$H,"Y",'Weekly Log'!$A:$A,"&gt;="&amp;$J1950,'Weekly Log'!$A:$A,"&lt;"&amp;$J1950+7)/COUNTIFS('Weekly Log'!$H:$H,"&lt;&gt;",'Weekly Log'!$A:$A,"&gt;="&amp;$J1950,'Weekly Log'!$A:$A,"&lt;"&amp;$J1950+7),0))</f>
        <v/>
      </c>
      <c r="E1950" t="str">
        <f>IF($J1950="","",IFERROR(AVERAGEIFS('Weekly Log'!$F:$F,'Weekly Log'!$A:$A,"&gt;="&amp;$J1950,'Weekly Log'!$A:$A,"&lt;"&amp;$J1950+7),0))</f>
        <v/>
      </c>
      <c r="F1950" t="str">
        <f>IF($J1950="","",IFERROR(SUMIFS('Weekly Log'!$F:$F,'Weekly Log'!$A:$A,"&gt;="&amp;$J1950,'Weekly Log'!$A:$A,"&lt;"&amp;$J1950+7)/SUMIFS('Weekly Log'!$E:$E,'Weekly Log'!$A:$A,"&gt;="&amp;$J1950,'Weekly Log'!$A:$A,"&lt;"&amp;$J1950+7),0))</f>
        <v/>
      </c>
      <c r="G1950" t="str">
        <f>IF($J1950="","",IFERROR(LOOKUP(2,1/(('Weekly Log'!$A$5:$A$5000&gt;=$J1950)*('Weekly Log'!$A$5:$A$5000&lt;$J1950+7)*('Weekly Log'!$M$5:$M$5000&lt;&gt;"")),'Weekly Log'!$M$5:$M$5000),0))</f>
        <v/>
      </c>
      <c r="J1950" t="str">
        <f>IF(COUNT('Weekly Log'!$A$5:$A$5000)=0,"",IF(MIN('Weekly Log'!$A$5:$A$5000)+7*(ROW()-10)&gt;MAX('Weekly Log'!$A$5:$A$5000),"",MIN('Weekly Log'!$A$5:$A$5000)+7*(ROW()-10)))</f>
        <v/>
      </c>
    </row>
    <row r="1951" spans="1:10" x14ac:dyDescent="0.25">
      <c r="A1951" t="str">
        <f t="shared" si="30"/>
        <v/>
      </c>
      <c r="B1951" t="str">
        <f>IF($J1951="","",SUMIFS('Weekly Log'!$C:$C,'Weekly Log'!$A:$A,"&gt;="&amp;$J1951,'Weekly Log'!$A:$A,"&lt;"&amp;$J1951+7))</f>
        <v/>
      </c>
      <c r="C1951" t="str">
        <f>IF($J1951="","",IFERROR(COUNTIFS('Weekly Log'!$G:$G,"Y",'Weekly Log'!$A:$A,"&gt;="&amp;$J1951,'Weekly Log'!$A:$A,"&lt;"&amp;$J1951+7)/COUNTIFS('Weekly Log'!$G:$G,"&lt;&gt;",'Weekly Log'!$A:$A,"&gt;="&amp;$J1951,'Weekly Log'!$A:$A,"&lt;"&amp;$J1951+7),0))</f>
        <v/>
      </c>
      <c r="D1951" t="str">
        <f>IF($J1951="","",IFERROR(COUNTIFS('Weekly Log'!$H:$H,"Y",'Weekly Log'!$A:$A,"&gt;="&amp;$J1951,'Weekly Log'!$A:$A,"&lt;"&amp;$J1951+7)/COUNTIFS('Weekly Log'!$H:$H,"&lt;&gt;",'Weekly Log'!$A:$A,"&gt;="&amp;$J1951,'Weekly Log'!$A:$A,"&lt;"&amp;$J1951+7),0))</f>
        <v/>
      </c>
      <c r="E1951" t="str">
        <f>IF($J1951="","",IFERROR(AVERAGEIFS('Weekly Log'!$F:$F,'Weekly Log'!$A:$A,"&gt;="&amp;$J1951,'Weekly Log'!$A:$A,"&lt;"&amp;$J1951+7),0))</f>
        <v/>
      </c>
      <c r="F1951" t="str">
        <f>IF($J1951="","",IFERROR(SUMIFS('Weekly Log'!$F:$F,'Weekly Log'!$A:$A,"&gt;="&amp;$J1951,'Weekly Log'!$A:$A,"&lt;"&amp;$J1951+7)/SUMIFS('Weekly Log'!$E:$E,'Weekly Log'!$A:$A,"&gt;="&amp;$J1951,'Weekly Log'!$A:$A,"&lt;"&amp;$J1951+7),0))</f>
        <v/>
      </c>
      <c r="G1951" t="str">
        <f>IF($J1951="","",IFERROR(LOOKUP(2,1/(('Weekly Log'!$A$5:$A$5000&gt;=$J1951)*('Weekly Log'!$A$5:$A$5000&lt;$J1951+7)*('Weekly Log'!$M$5:$M$5000&lt;&gt;"")),'Weekly Log'!$M$5:$M$5000),0))</f>
        <v/>
      </c>
      <c r="J1951" t="str">
        <f>IF(COUNT('Weekly Log'!$A$5:$A$5000)=0,"",IF(MIN('Weekly Log'!$A$5:$A$5000)+7*(ROW()-10)&gt;MAX('Weekly Log'!$A$5:$A$5000),"",MIN('Weekly Log'!$A$5:$A$5000)+7*(ROW()-10)))</f>
        <v/>
      </c>
    </row>
    <row r="1952" spans="1:10" x14ac:dyDescent="0.25">
      <c r="A1952" t="str">
        <f t="shared" si="30"/>
        <v/>
      </c>
      <c r="B1952" t="str">
        <f>IF($J1952="","",SUMIFS('Weekly Log'!$C:$C,'Weekly Log'!$A:$A,"&gt;="&amp;$J1952,'Weekly Log'!$A:$A,"&lt;"&amp;$J1952+7))</f>
        <v/>
      </c>
      <c r="C1952" t="str">
        <f>IF($J1952="","",IFERROR(COUNTIFS('Weekly Log'!$G:$G,"Y",'Weekly Log'!$A:$A,"&gt;="&amp;$J1952,'Weekly Log'!$A:$A,"&lt;"&amp;$J1952+7)/COUNTIFS('Weekly Log'!$G:$G,"&lt;&gt;",'Weekly Log'!$A:$A,"&gt;="&amp;$J1952,'Weekly Log'!$A:$A,"&lt;"&amp;$J1952+7),0))</f>
        <v/>
      </c>
      <c r="D1952" t="str">
        <f>IF($J1952="","",IFERROR(COUNTIFS('Weekly Log'!$H:$H,"Y",'Weekly Log'!$A:$A,"&gt;="&amp;$J1952,'Weekly Log'!$A:$A,"&lt;"&amp;$J1952+7)/COUNTIFS('Weekly Log'!$H:$H,"&lt;&gt;",'Weekly Log'!$A:$A,"&gt;="&amp;$J1952,'Weekly Log'!$A:$A,"&lt;"&amp;$J1952+7),0))</f>
        <v/>
      </c>
      <c r="E1952" t="str">
        <f>IF($J1952="","",IFERROR(AVERAGEIFS('Weekly Log'!$F:$F,'Weekly Log'!$A:$A,"&gt;="&amp;$J1952,'Weekly Log'!$A:$A,"&lt;"&amp;$J1952+7),0))</f>
        <v/>
      </c>
      <c r="F1952" t="str">
        <f>IF($J1952="","",IFERROR(SUMIFS('Weekly Log'!$F:$F,'Weekly Log'!$A:$A,"&gt;="&amp;$J1952,'Weekly Log'!$A:$A,"&lt;"&amp;$J1952+7)/SUMIFS('Weekly Log'!$E:$E,'Weekly Log'!$A:$A,"&gt;="&amp;$J1952,'Weekly Log'!$A:$A,"&lt;"&amp;$J1952+7),0))</f>
        <v/>
      </c>
      <c r="G1952" t="str">
        <f>IF($J1952="","",IFERROR(LOOKUP(2,1/(('Weekly Log'!$A$5:$A$5000&gt;=$J1952)*('Weekly Log'!$A$5:$A$5000&lt;$J1952+7)*('Weekly Log'!$M$5:$M$5000&lt;&gt;"")),'Weekly Log'!$M$5:$M$5000),0))</f>
        <v/>
      </c>
      <c r="J1952" t="str">
        <f>IF(COUNT('Weekly Log'!$A$5:$A$5000)=0,"",IF(MIN('Weekly Log'!$A$5:$A$5000)+7*(ROW()-10)&gt;MAX('Weekly Log'!$A$5:$A$5000),"",MIN('Weekly Log'!$A$5:$A$5000)+7*(ROW()-10)))</f>
        <v/>
      </c>
    </row>
    <row r="1953" spans="1:10" x14ac:dyDescent="0.25">
      <c r="A1953" t="str">
        <f t="shared" si="30"/>
        <v/>
      </c>
      <c r="B1953" t="str">
        <f>IF($J1953="","",SUMIFS('Weekly Log'!$C:$C,'Weekly Log'!$A:$A,"&gt;="&amp;$J1953,'Weekly Log'!$A:$A,"&lt;"&amp;$J1953+7))</f>
        <v/>
      </c>
      <c r="C1953" t="str">
        <f>IF($J1953="","",IFERROR(COUNTIFS('Weekly Log'!$G:$G,"Y",'Weekly Log'!$A:$A,"&gt;="&amp;$J1953,'Weekly Log'!$A:$A,"&lt;"&amp;$J1953+7)/COUNTIFS('Weekly Log'!$G:$G,"&lt;&gt;",'Weekly Log'!$A:$A,"&gt;="&amp;$J1953,'Weekly Log'!$A:$A,"&lt;"&amp;$J1953+7),0))</f>
        <v/>
      </c>
      <c r="D1953" t="str">
        <f>IF($J1953="","",IFERROR(COUNTIFS('Weekly Log'!$H:$H,"Y",'Weekly Log'!$A:$A,"&gt;="&amp;$J1953,'Weekly Log'!$A:$A,"&lt;"&amp;$J1953+7)/COUNTIFS('Weekly Log'!$H:$H,"&lt;&gt;",'Weekly Log'!$A:$A,"&gt;="&amp;$J1953,'Weekly Log'!$A:$A,"&lt;"&amp;$J1953+7),0))</f>
        <v/>
      </c>
      <c r="E1953" t="str">
        <f>IF($J1953="","",IFERROR(AVERAGEIFS('Weekly Log'!$F:$F,'Weekly Log'!$A:$A,"&gt;="&amp;$J1953,'Weekly Log'!$A:$A,"&lt;"&amp;$J1953+7),0))</f>
        <v/>
      </c>
      <c r="F1953" t="str">
        <f>IF($J1953="","",IFERROR(SUMIFS('Weekly Log'!$F:$F,'Weekly Log'!$A:$A,"&gt;="&amp;$J1953,'Weekly Log'!$A:$A,"&lt;"&amp;$J1953+7)/SUMIFS('Weekly Log'!$E:$E,'Weekly Log'!$A:$A,"&gt;="&amp;$J1953,'Weekly Log'!$A:$A,"&lt;"&amp;$J1953+7),0))</f>
        <v/>
      </c>
      <c r="G1953" t="str">
        <f>IF($J1953="","",IFERROR(LOOKUP(2,1/(('Weekly Log'!$A$5:$A$5000&gt;=$J1953)*('Weekly Log'!$A$5:$A$5000&lt;$J1953+7)*('Weekly Log'!$M$5:$M$5000&lt;&gt;"")),'Weekly Log'!$M$5:$M$5000),0))</f>
        <v/>
      </c>
      <c r="J1953" t="str">
        <f>IF(COUNT('Weekly Log'!$A$5:$A$5000)=0,"",IF(MIN('Weekly Log'!$A$5:$A$5000)+7*(ROW()-10)&gt;MAX('Weekly Log'!$A$5:$A$5000),"",MIN('Weekly Log'!$A$5:$A$5000)+7*(ROW()-10)))</f>
        <v/>
      </c>
    </row>
    <row r="1954" spans="1:10" x14ac:dyDescent="0.25">
      <c r="A1954" t="str">
        <f t="shared" si="30"/>
        <v/>
      </c>
      <c r="B1954" t="str">
        <f>IF($J1954="","",SUMIFS('Weekly Log'!$C:$C,'Weekly Log'!$A:$A,"&gt;="&amp;$J1954,'Weekly Log'!$A:$A,"&lt;"&amp;$J1954+7))</f>
        <v/>
      </c>
      <c r="C1954" t="str">
        <f>IF($J1954="","",IFERROR(COUNTIFS('Weekly Log'!$G:$G,"Y",'Weekly Log'!$A:$A,"&gt;="&amp;$J1954,'Weekly Log'!$A:$A,"&lt;"&amp;$J1954+7)/COUNTIFS('Weekly Log'!$G:$G,"&lt;&gt;",'Weekly Log'!$A:$A,"&gt;="&amp;$J1954,'Weekly Log'!$A:$A,"&lt;"&amp;$J1954+7),0))</f>
        <v/>
      </c>
      <c r="D1954" t="str">
        <f>IF($J1954="","",IFERROR(COUNTIFS('Weekly Log'!$H:$H,"Y",'Weekly Log'!$A:$A,"&gt;="&amp;$J1954,'Weekly Log'!$A:$A,"&lt;"&amp;$J1954+7)/COUNTIFS('Weekly Log'!$H:$H,"&lt;&gt;",'Weekly Log'!$A:$A,"&gt;="&amp;$J1954,'Weekly Log'!$A:$A,"&lt;"&amp;$J1954+7),0))</f>
        <v/>
      </c>
      <c r="E1954" t="str">
        <f>IF($J1954="","",IFERROR(AVERAGEIFS('Weekly Log'!$F:$F,'Weekly Log'!$A:$A,"&gt;="&amp;$J1954,'Weekly Log'!$A:$A,"&lt;"&amp;$J1954+7),0))</f>
        <v/>
      </c>
      <c r="F1954" t="str">
        <f>IF($J1954="","",IFERROR(SUMIFS('Weekly Log'!$F:$F,'Weekly Log'!$A:$A,"&gt;="&amp;$J1954,'Weekly Log'!$A:$A,"&lt;"&amp;$J1954+7)/SUMIFS('Weekly Log'!$E:$E,'Weekly Log'!$A:$A,"&gt;="&amp;$J1954,'Weekly Log'!$A:$A,"&lt;"&amp;$J1954+7),0))</f>
        <v/>
      </c>
      <c r="G1954" t="str">
        <f>IF($J1954="","",IFERROR(LOOKUP(2,1/(('Weekly Log'!$A$5:$A$5000&gt;=$J1954)*('Weekly Log'!$A$5:$A$5000&lt;$J1954+7)*('Weekly Log'!$M$5:$M$5000&lt;&gt;"")),'Weekly Log'!$M$5:$M$5000),0))</f>
        <v/>
      </c>
      <c r="J1954" t="str">
        <f>IF(COUNT('Weekly Log'!$A$5:$A$5000)=0,"",IF(MIN('Weekly Log'!$A$5:$A$5000)+7*(ROW()-10)&gt;MAX('Weekly Log'!$A$5:$A$5000),"",MIN('Weekly Log'!$A$5:$A$5000)+7*(ROW()-10)))</f>
        <v/>
      </c>
    </row>
    <row r="1955" spans="1:10" x14ac:dyDescent="0.25">
      <c r="A1955" t="str">
        <f t="shared" si="30"/>
        <v/>
      </c>
      <c r="B1955" t="str">
        <f>IF($J1955="","",SUMIFS('Weekly Log'!$C:$C,'Weekly Log'!$A:$A,"&gt;="&amp;$J1955,'Weekly Log'!$A:$A,"&lt;"&amp;$J1955+7))</f>
        <v/>
      </c>
      <c r="C1955" t="str">
        <f>IF($J1955="","",IFERROR(COUNTIFS('Weekly Log'!$G:$G,"Y",'Weekly Log'!$A:$A,"&gt;="&amp;$J1955,'Weekly Log'!$A:$A,"&lt;"&amp;$J1955+7)/COUNTIFS('Weekly Log'!$G:$G,"&lt;&gt;",'Weekly Log'!$A:$A,"&gt;="&amp;$J1955,'Weekly Log'!$A:$A,"&lt;"&amp;$J1955+7),0))</f>
        <v/>
      </c>
      <c r="D1955" t="str">
        <f>IF($J1955="","",IFERROR(COUNTIFS('Weekly Log'!$H:$H,"Y",'Weekly Log'!$A:$A,"&gt;="&amp;$J1955,'Weekly Log'!$A:$A,"&lt;"&amp;$J1955+7)/COUNTIFS('Weekly Log'!$H:$H,"&lt;&gt;",'Weekly Log'!$A:$A,"&gt;="&amp;$J1955,'Weekly Log'!$A:$A,"&lt;"&amp;$J1955+7),0))</f>
        <v/>
      </c>
      <c r="E1955" t="str">
        <f>IF($J1955="","",IFERROR(AVERAGEIFS('Weekly Log'!$F:$F,'Weekly Log'!$A:$A,"&gt;="&amp;$J1955,'Weekly Log'!$A:$A,"&lt;"&amp;$J1955+7),0))</f>
        <v/>
      </c>
      <c r="F1955" t="str">
        <f>IF($J1955="","",IFERROR(SUMIFS('Weekly Log'!$F:$F,'Weekly Log'!$A:$A,"&gt;="&amp;$J1955,'Weekly Log'!$A:$A,"&lt;"&amp;$J1955+7)/SUMIFS('Weekly Log'!$E:$E,'Weekly Log'!$A:$A,"&gt;="&amp;$J1955,'Weekly Log'!$A:$A,"&lt;"&amp;$J1955+7),0))</f>
        <v/>
      </c>
      <c r="G1955" t="str">
        <f>IF($J1955="","",IFERROR(LOOKUP(2,1/(('Weekly Log'!$A$5:$A$5000&gt;=$J1955)*('Weekly Log'!$A$5:$A$5000&lt;$J1955+7)*('Weekly Log'!$M$5:$M$5000&lt;&gt;"")),'Weekly Log'!$M$5:$M$5000),0))</f>
        <v/>
      </c>
      <c r="J1955" t="str">
        <f>IF(COUNT('Weekly Log'!$A$5:$A$5000)=0,"",IF(MIN('Weekly Log'!$A$5:$A$5000)+7*(ROW()-10)&gt;MAX('Weekly Log'!$A$5:$A$5000),"",MIN('Weekly Log'!$A$5:$A$5000)+7*(ROW()-10)))</f>
        <v/>
      </c>
    </row>
    <row r="1956" spans="1:10" x14ac:dyDescent="0.25">
      <c r="A1956" t="str">
        <f t="shared" si="30"/>
        <v/>
      </c>
      <c r="B1956" t="str">
        <f>IF($J1956="","",SUMIFS('Weekly Log'!$C:$C,'Weekly Log'!$A:$A,"&gt;="&amp;$J1956,'Weekly Log'!$A:$A,"&lt;"&amp;$J1956+7))</f>
        <v/>
      </c>
      <c r="C1956" t="str">
        <f>IF($J1956="","",IFERROR(COUNTIFS('Weekly Log'!$G:$G,"Y",'Weekly Log'!$A:$A,"&gt;="&amp;$J1956,'Weekly Log'!$A:$A,"&lt;"&amp;$J1956+7)/COUNTIFS('Weekly Log'!$G:$G,"&lt;&gt;",'Weekly Log'!$A:$A,"&gt;="&amp;$J1956,'Weekly Log'!$A:$A,"&lt;"&amp;$J1956+7),0))</f>
        <v/>
      </c>
      <c r="D1956" t="str">
        <f>IF($J1956="","",IFERROR(COUNTIFS('Weekly Log'!$H:$H,"Y",'Weekly Log'!$A:$A,"&gt;="&amp;$J1956,'Weekly Log'!$A:$A,"&lt;"&amp;$J1956+7)/COUNTIFS('Weekly Log'!$H:$H,"&lt;&gt;",'Weekly Log'!$A:$A,"&gt;="&amp;$J1956,'Weekly Log'!$A:$A,"&lt;"&amp;$J1956+7),0))</f>
        <v/>
      </c>
      <c r="E1956" t="str">
        <f>IF($J1956="","",IFERROR(AVERAGEIFS('Weekly Log'!$F:$F,'Weekly Log'!$A:$A,"&gt;="&amp;$J1956,'Weekly Log'!$A:$A,"&lt;"&amp;$J1956+7),0))</f>
        <v/>
      </c>
      <c r="F1956" t="str">
        <f>IF($J1956="","",IFERROR(SUMIFS('Weekly Log'!$F:$F,'Weekly Log'!$A:$A,"&gt;="&amp;$J1956,'Weekly Log'!$A:$A,"&lt;"&amp;$J1956+7)/SUMIFS('Weekly Log'!$E:$E,'Weekly Log'!$A:$A,"&gt;="&amp;$J1956,'Weekly Log'!$A:$A,"&lt;"&amp;$J1956+7),0))</f>
        <v/>
      </c>
      <c r="G1956" t="str">
        <f>IF($J1956="","",IFERROR(LOOKUP(2,1/(('Weekly Log'!$A$5:$A$5000&gt;=$J1956)*('Weekly Log'!$A$5:$A$5000&lt;$J1956+7)*('Weekly Log'!$M$5:$M$5000&lt;&gt;"")),'Weekly Log'!$M$5:$M$5000),0))</f>
        <v/>
      </c>
      <c r="J1956" t="str">
        <f>IF(COUNT('Weekly Log'!$A$5:$A$5000)=0,"",IF(MIN('Weekly Log'!$A$5:$A$5000)+7*(ROW()-10)&gt;MAX('Weekly Log'!$A$5:$A$5000),"",MIN('Weekly Log'!$A$5:$A$5000)+7*(ROW()-10)))</f>
        <v/>
      </c>
    </row>
    <row r="1957" spans="1:10" x14ac:dyDescent="0.25">
      <c r="A1957" t="str">
        <f t="shared" si="30"/>
        <v/>
      </c>
      <c r="B1957" t="str">
        <f>IF($J1957="","",SUMIFS('Weekly Log'!$C:$C,'Weekly Log'!$A:$A,"&gt;="&amp;$J1957,'Weekly Log'!$A:$A,"&lt;"&amp;$J1957+7))</f>
        <v/>
      </c>
      <c r="C1957" t="str">
        <f>IF($J1957="","",IFERROR(COUNTIFS('Weekly Log'!$G:$G,"Y",'Weekly Log'!$A:$A,"&gt;="&amp;$J1957,'Weekly Log'!$A:$A,"&lt;"&amp;$J1957+7)/COUNTIFS('Weekly Log'!$G:$G,"&lt;&gt;",'Weekly Log'!$A:$A,"&gt;="&amp;$J1957,'Weekly Log'!$A:$A,"&lt;"&amp;$J1957+7),0))</f>
        <v/>
      </c>
      <c r="D1957" t="str">
        <f>IF($J1957="","",IFERROR(COUNTIFS('Weekly Log'!$H:$H,"Y",'Weekly Log'!$A:$A,"&gt;="&amp;$J1957,'Weekly Log'!$A:$A,"&lt;"&amp;$J1957+7)/COUNTIFS('Weekly Log'!$H:$H,"&lt;&gt;",'Weekly Log'!$A:$A,"&gt;="&amp;$J1957,'Weekly Log'!$A:$A,"&lt;"&amp;$J1957+7),0))</f>
        <v/>
      </c>
      <c r="E1957" t="str">
        <f>IF($J1957="","",IFERROR(AVERAGEIFS('Weekly Log'!$F:$F,'Weekly Log'!$A:$A,"&gt;="&amp;$J1957,'Weekly Log'!$A:$A,"&lt;"&amp;$J1957+7),0))</f>
        <v/>
      </c>
      <c r="F1957" t="str">
        <f>IF($J1957="","",IFERROR(SUMIFS('Weekly Log'!$F:$F,'Weekly Log'!$A:$A,"&gt;="&amp;$J1957,'Weekly Log'!$A:$A,"&lt;"&amp;$J1957+7)/SUMIFS('Weekly Log'!$E:$E,'Weekly Log'!$A:$A,"&gt;="&amp;$J1957,'Weekly Log'!$A:$A,"&lt;"&amp;$J1957+7),0))</f>
        <v/>
      </c>
      <c r="G1957" t="str">
        <f>IF($J1957="","",IFERROR(LOOKUP(2,1/(('Weekly Log'!$A$5:$A$5000&gt;=$J1957)*('Weekly Log'!$A$5:$A$5000&lt;$J1957+7)*('Weekly Log'!$M$5:$M$5000&lt;&gt;"")),'Weekly Log'!$M$5:$M$5000),0))</f>
        <v/>
      </c>
      <c r="J1957" t="str">
        <f>IF(COUNT('Weekly Log'!$A$5:$A$5000)=0,"",IF(MIN('Weekly Log'!$A$5:$A$5000)+7*(ROW()-10)&gt;MAX('Weekly Log'!$A$5:$A$5000),"",MIN('Weekly Log'!$A$5:$A$5000)+7*(ROW()-10)))</f>
        <v/>
      </c>
    </row>
    <row r="1958" spans="1:10" x14ac:dyDescent="0.25">
      <c r="A1958" t="str">
        <f t="shared" si="30"/>
        <v/>
      </c>
      <c r="B1958" t="str">
        <f>IF($J1958="","",SUMIFS('Weekly Log'!$C:$C,'Weekly Log'!$A:$A,"&gt;="&amp;$J1958,'Weekly Log'!$A:$A,"&lt;"&amp;$J1958+7))</f>
        <v/>
      </c>
      <c r="C1958" t="str">
        <f>IF($J1958="","",IFERROR(COUNTIFS('Weekly Log'!$G:$G,"Y",'Weekly Log'!$A:$A,"&gt;="&amp;$J1958,'Weekly Log'!$A:$A,"&lt;"&amp;$J1958+7)/COUNTIFS('Weekly Log'!$G:$G,"&lt;&gt;",'Weekly Log'!$A:$A,"&gt;="&amp;$J1958,'Weekly Log'!$A:$A,"&lt;"&amp;$J1958+7),0))</f>
        <v/>
      </c>
      <c r="D1958" t="str">
        <f>IF($J1958="","",IFERROR(COUNTIFS('Weekly Log'!$H:$H,"Y",'Weekly Log'!$A:$A,"&gt;="&amp;$J1958,'Weekly Log'!$A:$A,"&lt;"&amp;$J1958+7)/COUNTIFS('Weekly Log'!$H:$H,"&lt;&gt;",'Weekly Log'!$A:$A,"&gt;="&amp;$J1958,'Weekly Log'!$A:$A,"&lt;"&amp;$J1958+7),0))</f>
        <v/>
      </c>
      <c r="E1958" t="str">
        <f>IF($J1958="","",IFERROR(AVERAGEIFS('Weekly Log'!$F:$F,'Weekly Log'!$A:$A,"&gt;="&amp;$J1958,'Weekly Log'!$A:$A,"&lt;"&amp;$J1958+7),0))</f>
        <v/>
      </c>
      <c r="F1958" t="str">
        <f>IF($J1958="","",IFERROR(SUMIFS('Weekly Log'!$F:$F,'Weekly Log'!$A:$A,"&gt;="&amp;$J1958,'Weekly Log'!$A:$A,"&lt;"&amp;$J1958+7)/SUMIFS('Weekly Log'!$E:$E,'Weekly Log'!$A:$A,"&gt;="&amp;$J1958,'Weekly Log'!$A:$A,"&lt;"&amp;$J1958+7),0))</f>
        <v/>
      </c>
      <c r="G1958" t="str">
        <f>IF($J1958="","",IFERROR(LOOKUP(2,1/(('Weekly Log'!$A$5:$A$5000&gt;=$J1958)*('Weekly Log'!$A$5:$A$5000&lt;$J1958+7)*('Weekly Log'!$M$5:$M$5000&lt;&gt;"")),'Weekly Log'!$M$5:$M$5000),0))</f>
        <v/>
      </c>
      <c r="J1958" t="str">
        <f>IF(COUNT('Weekly Log'!$A$5:$A$5000)=0,"",IF(MIN('Weekly Log'!$A$5:$A$5000)+7*(ROW()-10)&gt;MAX('Weekly Log'!$A$5:$A$5000),"",MIN('Weekly Log'!$A$5:$A$5000)+7*(ROW()-10)))</f>
        <v/>
      </c>
    </row>
    <row r="1959" spans="1:10" x14ac:dyDescent="0.25">
      <c r="A1959" t="str">
        <f t="shared" si="30"/>
        <v/>
      </c>
      <c r="B1959" t="str">
        <f>IF($J1959="","",SUMIFS('Weekly Log'!$C:$C,'Weekly Log'!$A:$A,"&gt;="&amp;$J1959,'Weekly Log'!$A:$A,"&lt;"&amp;$J1959+7))</f>
        <v/>
      </c>
      <c r="C1959" t="str">
        <f>IF($J1959="","",IFERROR(COUNTIFS('Weekly Log'!$G:$G,"Y",'Weekly Log'!$A:$A,"&gt;="&amp;$J1959,'Weekly Log'!$A:$A,"&lt;"&amp;$J1959+7)/COUNTIFS('Weekly Log'!$G:$G,"&lt;&gt;",'Weekly Log'!$A:$A,"&gt;="&amp;$J1959,'Weekly Log'!$A:$A,"&lt;"&amp;$J1959+7),0))</f>
        <v/>
      </c>
      <c r="D1959" t="str">
        <f>IF($J1959="","",IFERROR(COUNTIFS('Weekly Log'!$H:$H,"Y",'Weekly Log'!$A:$A,"&gt;="&amp;$J1959,'Weekly Log'!$A:$A,"&lt;"&amp;$J1959+7)/COUNTIFS('Weekly Log'!$H:$H,"&lt;&gt;",'Weekly Log'!$A:$A,"&gt;="&amp;$J1959,'Weekly Log'!$A:$A,"&lt;"&amp;$J1959+7),0))</f>
        <v/>
      </c>
      <c r="E1959" t="str">
        <f>IF($J1959="","",IFERROR(AVERAGEIFS('Weekly Log'!$F:$F,'Weekly Log'!$A:$A,"&gt;="&amp;$J1959,'Weekly Log'!$A:$A,"&lt;"&amp;$J1959+7),0))</f>
        <v/>
      </c>
      <c r="F1959" t="str">
        <f>IF($J1959="","",IFERROR(SUMIFS('Weekly Log'!$F:$F,'Weekly Log'!$A:$A,"&gt;="&amp;$J1959,'Weekly Log'!$A:$A,"&lt;"&amp;$J1959+7)/SUMIFS('Weekly Log'!$E:$E,'Weekly Log'!$A:$A,"&gt;="&amp;$J1959,'Weekly Log'!$A:$A,"&lt;"&amp;$J1959+7),0))</f>
        <v/>
      </c>
      <c r="G1959" t="str">
        <f>IF($J1959="","",IFERROR(LOOKUP(2,1/(('Weekly Log'!$A$5:$A$5000&gt;=$J1959)*('Weekly Log'!$A$5:$A$5000&lt;$J1959+7)*('Weekly Log'!$M$5:$M$5000&lt;&gt;"")),'Weekly Log'!$M$5:$M$5000),0))</f>
        <v/>
      </c>
      <c r="J1959" t="str">
        <f>IF(COUNT('Weekly Log'!$A$5:$A$5000)=0,"",IF(MIN('Weekly Log'!$A$5:$A$5000)+7*(ROW()-10)&gt;MAX('Weekly Log'!$A$5:$A$5000),"",MIN('Weekly Log'!$A$5:$A$5000)+7*(ROW()-10)))</f>
        <v/>
      </c>
    </row>
    <row r="1960" spans="1:10" x14ac:dyDescent="0.25">
      <c r="A1960" t="str">
        <f t="shared" si="30"/>
        <v/>
      </c>
      <c r="B1960" t="str">
        <f>IF($J1960="","",SUMIFS('Weekly Log'!$C:$C,'Weekly Log'!$A:$A,"&gt;="&amp;$J1960,'Weekly Log'!$A:$A,"&lt;"&amp;$J1960+7))</f>
        <v/>
      </c>
      <c r="C1960" t="str">
        <f>IF($J1960="","",IFERROR(COUNTIFS('Weekly Log'!$G:$G,"Y",'Weekly Log'!$A:$A,"&gt;="&amp;$J1960,'Weekly Log'!$A:$A,"&lt;"&amp;$J1960+7)/COUNTIFS('Weekly Log'!$G:$G,"&lt;&gt;",'Weekly Log'!$A:$A,"&gt;="&amp;$J1960,'Weekly Log'!$A:$A,"&lt;"&amp;$J1960+7),0))</f>
        <v/>
      </c>
      <c r="D1960" t="str">
        <f>IF($J1960="","",IFERROR(COUNTIFS('Weekly Log'!$H:$H,"Y",'Weekly Log'!$A:$A,"&gt;="&amp;$J1960,'Weekly Log'!$A:$A,"&lt;"&amp;$J1960+7)/COUNTIFS('Weekly Log'!$H:$H,"&lt;&gt;",'Weekly Log'!$A:$A,"&gt;="&amp;$J1960,'Weekly Log'!$A:$A,"&lt;"&amp;$J1960+7),0))</f>
        <v/>
      </c>
      <c r="E1960" t="str">
        <f>IF($J1960="","",IFERROR(AVERAGEIFS('Weekly Log'!$F:$F,'Weekly Log'!$A:$A,"&gt;="&amp;$J1960,'Weekly Log'!$A:$A,"&lt;"&amp;$J1960+7),0))</f>
        <v/>
      </c>
      <c r="F1960" t="str">
        <f>IF($J1960="","",IFERROR(SUMIFS('Weekly Log'!$F:$F,'Weekly Log'!$A:$A,"&gt;="&amp;$J1960,'Weekly Log'!$A:$A,"&lt;"&amp;$J1960+7)/SUMIFS('Weekly Log'!$E:$E,'Weekly Log'!$A:$A,"&gt;="&amp;$J1960,'Weekly Log'!$A:$A,"&lt;"&amp;$J1960+7),0))</f>
        <v/>
      </c>
      <c r="G1960" t="str">
        <f>IF($J1960="","",IFERROR(LOOKUP(2,1/(('Weekly Log'!$A$5:$A$5000&gt;=$J1960)*('Weekly Log'!$A$5:$A$5000&lt;$J1960+7)*('Weekly Log'!$M$5:$M$5000&lt;&gt;"")),'Weekly Log'!$M$5:$M$5000),0))</f>
        <v/>
      </c>
      <c r="J1960" t="str">
        <f>IF(COUNT('Weekly Log'!$A$5:$A$5000)=0,"",IF(MIN('Weekly Log'!$A$5:$A$5000)+7*(ROW()-10)&gt;MAX('Weekly Log'!$A$5:$A$5000),"",MIN('Weekly Log'!$A$5:$A$5000)+7*(ROW()-10)))</f>
        <v/>
      </c>
    </row>
    <row r="1961" spans="1:10" x14ac:dyDescent="0.25">
      <c r="A1961" t="str">
        <f t="shared" si="30"/>
        <v/>
      </c>
      <c r="B1961" t="str">
        <f>IF($J1961="","",SUMIFS('Weekly Log'!$C:$C,'Weekly Log'!$A:$A,"&gt;="&amp;$J1961,'Weekly Log'!$A:$A,"&lt;"&amp;$J1961+7))</f>
        <v/>
      </c>
      <c r="C1961" t="str">
        <f>IF($J1961="","",IFERROR(COUNTIFS('Weekly Log'!$G:$G,"Y",'Weekly Log'!$A:$A,"&gt;="&amp;$J1961,'Weekly Log'!$A:$A,"&lt;"&amp;$J1961+7)/COUNTIFS('Weekly Log'!$G:$G,"&lt;&gt;",'Weekly Log'!$A:$A,"&gt;="&amp;$J1961,'Weekly Log'!$A:$A,"&lt;"&amp;$J1961+7),0))</f>
        <v/>
      </c>
      <c r="D1961" t="str">
        <f>IF($J1961="","",IFERROR(COUNTIFS('Weekly Log'!$H:$H,"Y",'Weekly Log'!$A:$A,"&gt;="&amp;$J1961,'Weekly Log'!$A:$A,"&lt;"&amp;$J1961+7)/COUNTIFS('Weekly Log'!$H:$H,"&lt;&gt;",'Weekly Log'!$A:$A,"&gt;="&amp;$J1961,'Weekly Log'!$A:$A,"&lt;"&amp;$J1961+7),0))</f>
        <v/>
      </c>
      <c r="E1961" t="str">
        <f>IF($J1961="","",IFERROR(AVERAGEIFS('Weekly Log'!$F:$F,'Weekly Log'!$A:$A,"&gt;="&amp;$J1961,'Weekly Log'!$A:$A,"&lt;"&amp;$J1961+7),0))</f>
        <v/>
      </c>
      <c r="F1961" t="str">
        <f>IF($J1961="","",IFERROR(SUMIFS('Weekly Log'!$F:$F,'Weekly Log'!$A:$A,"&gt;="&amp;$J1961,'Weekly Log'!$A:$A,"&lt;"&amp;$J1961+7)/SUMIFS('Weekly Log'!$E:$E,'Weekly Log'!$A:$A,"&gt;="&amp;$J1961,'Weekly Log'!$A:$A,"&lt;"&amp;$J1961+7),0))</f>
        <v/>
      </c>
      <c r="G1961" t="str">
        <f>IF($J1961="","",IFERROR(LOOKUP(2,1/(('Weekly Log'!$A$5:$A$5000&gt;=$J1961)*('Weekly Log'!$A$5:$A$5000&lt;$J1961+7)*('Weekly Log'!$M$5:$M$5000&lt;&gt;"")),'Weekly Log'!$M$5:$M$5000),0))</f>
        <v/>
      </c>
      <c r="J1961" t="str">
        <f>IF(COUNT('Weekly Log'!$A$5:$A$5000)=0,"",IF(MIN('Weekly Log'!$A$5:$A$5000)+7*(ROW()-10)&gt;MAX('Weekly Log'!$A$5:$A$5000),"",MIN('Weekly Log'!$A$5:$A$5000)+7*(ROW()-10)))</f>
        <v/>
      </c>
    </row>
    <row r="1962" spans="1:10" x14ac:dyDescent="0.25">
      <c r="A1962" t="str">
        <f t="shared" si="30"/>
        <v/>
      </c>
      <c r="B1962" t="str">
        <f>IF($J1962="","",SUMIFS('Weekly Log'!$C:$C,'Weekly Log'!$A:$A,"&gt;="&amp;$J1962,'Weekly Log'!$A:$A,"&lt;"&amp;$J1962+7))</f>
        <v/>
      </c>
      <c r="C1962" t="str">
        <f>IF($J1962="","",IFERROR(COUNTIFS('Weekly Log'!$G:$G,"Y",'Weekly Log'!$A:$A,"&gt;="&amp;$J1962,'Weekly Log'!$A:$A,"&lt;"&amp;$J1962+7)/COUNTIFS('Weekly Log'!$G:$G,"&lt;&gt;",'Weekly Log'!$A:$A,"&gt;="&amp;$J1962,'Weekly Log'!$A:$A,"&lt;"&amp;$J1962+7),0))</f>
        <v/>
      </c>
      <c r="D1962" t="str">
        <f>IF($J1962="","",IFERROR(COUNTIFS('Weekly Log'!$H:$H,"Y",'Weekly Log'!$A:$A,"&gt;="&amp;$J1962,'Weekly Log'!$A:$A,"&lt;"&amp;$J1962+7)/COUNTIFS('Weekly Log'!$H:$H,"&lt;&gt;",'Weekly Log'!$A:$A,"&gt;="&amp;$J1962,'Weekly Log'!$A:$A,"&lt;"&amp;$J1962+7),0))</f>
        <v/>
      </c>
      <c r="E1962" t="str">
        <f>IF($J1962="","",IFERROR(AVERAGEIFS('Weekly Log'!$F:$F,'Weekly Log'!$A:$A,"&gt;="&amp;$J1962,'Weekly Log'!$A:$A,"&lt;"&amp;$J1962+7),0))</f>
        <v/>
      </c>
      <c r="F1962" t="str">
        <f>IF($J1962="","",IFERROR(SUMIFS('Weekly Log'!$F:$F,'Weekly Log'!$A:$A,"&gt;="&amp;$J1962,'Weekly Log'!$A:$A,"&lt;"&amp;$J1962+7)/SUMIFS('Weekly Log'!$E:$E,'Weekly Log'!$A:$A,"&gt;="&amp;$J1962,'Weekly Log'!$A:$A,"&lt;"&amp;$J1962+7),0))</f>
        <v/>
      </c>
      <c r="G1962" t="str">
        <f>IF($J1962="","",IFERROR(LOOKUP(2,1/(('Weekly Log'!$A$5:$A$5000&gt;=$J1962)*('Weekly Log'!$A$5:$A$5000&lt;$J1962+7)*('Weekly Log'!$M$5:$M$5000&lt;&gt;"")),'Weekly Log'!$M$5:$M$5000),0))</f>
        <v/>
      </c>
      <c r="J1962" t="str">
        <f>IF(COUNT('Weekly Log'!$A$5:$A$5000)=0,"",IF(MIN('Weekly Log'!$A$5:$A$5000)+7*(ROW()-10)&gt;MAX('Weekly Log'!$A$5:$A$5000),"",MIN('Weekly Log'!$A$5:$A$5000)+7*(ROW()-10)))</f>
        <v/>
      </c>
    </row>
    <row r="1963" spans="1:10" x14ac:dyDescent="0.25">
      <c r="A1963" t="str">
        <f t="shared" si="30"/>
        <v/>
      </c>
      <c r="B1963" t="str">
        <f>IF($J1963="","",SUMIFS('Weekly Log'!$C:$C,'Weekly Log'!$A:$A,"&gt;="&amp;$J1963,'Weekly Log'!$A:$A,"&lt;"&amp;$J1963+7))</f>
        <v/>
      </c>
      <c r="C1963" t="str">
        <f>IF($J1963="","",IFERROR(COUNTIFS('Weekly Log'!$G:$G,"Y",'Weekly Log'!$A:$A,"&gt;="&amp;$J1963,'Weekly Log'!$A:$A,"&lt;"&amp;$J1963+7)/COUNTIFS('Weekly Log'!$G:$G,"&lt;&gt;",'Weekly Log'!$A:$A,"&gt;="&amp;$J1963,'Weekly Log'!$A:$A,"&lt;"&amp;$J1963+7),0))</f>
        <v/>
      </c>
      <c r="D1963" t="str">
        <f>IF($J1963="","",IFERROR(COUNTIFS('Weekly Log'!$H:$H,"Y",'Weekly Log'!$A:$A,"&gt;="&amp;$J1963,'Weekly Log'!$A:$A,"&lt;"&amp;$J1963+7)/COUNTIFS('Weekly Log'!$H:$H,"&lt;&gt;",'Weekly Log'!$A:$A,"&gt;="&amp;$J1963,'Weekly Log'!$A:$A,"&lt;"&amp;$J1963+7),0))</f>
        <v/>
      </c>
      <c r="E1963" t="str">
        <f>IF($J1963="","",IFERROR(AVERAGEIFS('Weekly Log'!$F:$F,'Weekly Log'!$A:$A,"&gt;="&amp;$J1963,'Weekly Log'!$A:$A,"&lt;"&amp;$J1963+7),0))</f>
        <v/>
      </c>
      <c r="F1963" t="str">
        <f>IF($J1963="","",IFERROR(SUMIFS('Weekly Log'!$F:$F,'Weekly Log'!$A:$A,"&gt;="&amp;$J1963,'Weekly Log'!$A:$A,"&lt;"&amp;$J1963+7)/SUMIFS('Weekly Log'!$E:$E,'Weekly Log'!$A:$A,"&gt;="&amp;$J1963,'Weekly Log'!$A:$A,"&lt;"&amp;$J1963+7),0))</f>
        <v/>
      </c>
      <c r="G1963" t="str">
        <f>IF($J1963="","",IFERROR(LOOKUP(2,1/(('Weekly Log'!$A$5:$A$5000&gt;=$J1963)*('Weekly Log'!$A$5:$A$5000&lt;$J1963+7)*('Weekly Log'!$M$5:$M$5000&lt;&gt;"")),'Weekly Log'!$M$5:$M$5000),0))</f>
        <v/>
      </c>
      <c r="J1963" t="str">
        <f>IF(COUNT('Weekly Log'!$A$5:$A$5000)=0,"",IF(MIN('Weekly Log'!$A$5:$A$5000)+7*(ROW()-10)&gt;MAX('Weekly Log'!$A$5:$A$5000),"",MIN('Weekly Log'!$A$5:$A$5000)+7*(ROW()-10)))</f>
        <v/>
      </c>
    </row>
    <row r="1964" spans="1:10" x14ac:dyDescent="0.25">
      <c r="A1964" t="str">
        <f t="shared" si="30"/>
        <v/>
      </c>
      <c r="B1964" t="str">
        <f>IF($J1964="","",SUMIFS('Weekly Log'!$C:$C,'Weekly Log'!$A:$A,"&gt;="&amp;$J1964,'Weekly Log'!$A:$A,"&lt;"&amp;$J1964+7))</f>
        <v/>
      </c>
      <c r="C1964" t="str">
        <f>IF($J1964="","",IFERROR(COUNTIFS('Weekly Log'!$G:$G,"Y",'Weekly Log'!$A:$A,"&gt;="&amp;$J1964,'Weekly Log'!$A:$A,"&lt;"&amp;$J1964+7)/COUNTIFS('Weekly Log'!$G:$G,"&lt;&gt;",'Weekly Log'!$A:$A,"&gt;="&amp;$J1964,'Weekly Log'!$A:$A,"&lt;"&amp;$J1964+7),0))</f>
        <v/>
      </c>
      <c r="D1964" t="str">
        <f>IF($J1964="","",IFERROR(COUNTIFS('Weekly Log'!$H:$H,"Y",'Weekly Log'!$A:$A,"&gt;="&amp;$J1964,'Weekly Log'!$A:$A,"&lt;"&amp;$J1964+7)/COUNTIFS('Weekly Log'!$H:$H,"&lt;&gt;",'Weekly Log'!$A:$A,"&gt;="&amp;$J1964,'Weekly Log'!$A:$A,"&lt;"&amp;$J1964+7),0))</f>
        <v/>
      </c>
      <c r="E1964" t="str">
        <f>IF($J1964="","",IFERROR(AVERAGEIFS('Weekly Log'!$F:$F,'Weekly Log'!$A:$A,"&gt;="&amp;$J1964,'Weekly Log'!$A:$A,"&lt;"&amp;$J1964+7),0))</f>
        <v/>
      </c>
      <c r="F1964" t="str">
        <f>IF($J1964="","",IFERROR(SUMIFS('Weekly Log'!$F:$F,'Weekly Log'!$A:$A,"&gt;="&amp;$J1964,'Weekly Log'!$A:$A,"&lt;"&amp;$J1964+7)/SUMIFS('Weekly Log'!$E:$E,'Weekly Log'!$A:$A,"&gt;="&amp;$J1964,'Weekly Log'!$A:$A,"&lt;"&amp;$J1964+7),0))</f>
        <v/>
      </c>
      <c r="G1964" t="str">
        <f>IF($J1964="","",IFERROR(LOOKUP(2,1/(('Weekly Log'!$A$5:$A$5000&gt;=$J1964)*('Weekly Log'!$A$5:$A$5000&lt;$J1964+7)*('Weekly Log'!$M$5:$M$5000&lt;&gt;"")),'Weekly Log'!$M$5:$M$5000),0))</f>
        <v/>
      </c>
      <c r="J1964" t="str">
        <f>IF(COUNT('Weekly Log'!$A$5:$A$5000)=0,"",IF(MIN('Weekly Log'!$A$5:$A$5000)+7*(ROW()-10)&gt;MAX('Weekly Log'!$A$5:$A$5000),"",MIN('Weekly Log'!$A$5:$A$5000)+7*(ROW()-10)))</f>
        <v/>
      </c>
    </row>
    <row r="1965" spans="1:10" x14ac:dyDescent="0.25">
      <c r="A1965" t="str">
        <f t="shared" si="30"/>
        <v/>
      </c>
      <c r="B1965" t="str">
        <f>IF($J1965="","",SUMIFS('Weekly Log'!$C:$C,'Weekly Log'!$A:$A,"&gt;="&amp;$J1965,'Weekly Log'!$A:$A,"&lt;"&amp;$J1965+7))</f>
        <v/>
      </c>
      <c r="C1965" t="str">
        <f>IF($J1965="","",IFERROR(COUNTIFS('Weekly Log'!$G:$G,"Y",'Weekly Log'!$A:$A,"&gt;="&amp;$J1965,'Weekly Log'!$A:$A,"&lt;"&amp;$J1965+7)/COUNTIFS('Weekly Log'!$G:$G,"&lt;&gt;",'Weekly Log'!$A:$A,"&gt;="&amp;$J1965,'Weekly Log'!$A:$A,"&lt;"&amp;$J1965+7),0))</f>
        <v/>
      </c>
      <c r="D1965" t="str">
        <f>IF($J1965="","",IFERROR(COUNTIFS('Weekly Log'!$H:$H,"Y",'Weekly Log'!$A:$A,"&gt;="&amp;$J1965,'Weekly Log'!$A:$A,"&lt;"&amp;$J1965+7)/COUNTIFS('Weekly Log'!$H:$H,"&lt;&gt;",'Weekly Log'!$A:$A,"&gt;="&amp;$J1965,'Weekly Log'!$A:$A,"&lt;"&amp;$J1965+7),0))</f>
        <v/>
      </c>
      <c r="E1965" t="str">
        <f>IF($J1965="","",IFERROR(AVERAGEIFS('Weekly Log'!$F:$F,'Weekly Log'!$A:$A,"&gt;="&amp;$J1965,'Weekly Log'!$A:$A,"&lt;"&amp;$J1965+7),0))</f>
        <v/>
      </c>
      <c r="F1965" t="str">
        <f>IF($J1965="","",IFERROR(SUMIFS('Weekly Log'!$F:$F,'Weekly Log'!$A:$A,"&gt;="&amp;$J1965,'Weekly Log'!$A:$A,"&lt;"&amp;$J1965+7)/SUMIFS('Weekly Log'!$E:$E,'Weekly Log'!$A:$A,"&gt;="&amp;$J1965,'Weekly Log'!$A:$A,"&lt;"&amp;$J1965+7),0))</f>
        <v/>
      </c>
      <c r="G1965" t="str">
        <f>IF($J1965="","",IFERROR(LOOKUP(2,1/(('Weekly Log'!$A$5:$A$5000&gt;=$J1965)*('Weekly Log'!$A$5:$A$5000&lt;$J1965+7)*('Weekly Log'!$M$5:$M$5000&lt;&gt;"")),'Weekly Log'!$M$5:$M$5000),0))</f>
        <v/>
      </c>
      <c r="J1965" t="str">
        <f>IF(COUNT('Weekly Log'!$A$5:$A$5000)=0,"",IF(MIN('Weekly Log'!$A$5:$A$5000)+7*(ROW()-10)&gt;MAX('Weekly Log'!$A$5:$A$5000),"",MIN('Weekly Log'!$A$5:$A$5000)+7*(ROW()-10)))</f>
        <v/>
      </c>
    </row>
    <row r="1966" spans="1:10" x14ac:dyDescent="0.25">
      <c r="A1966" t="str">
        <f t="shared" si="30"/>
        <v/>
      </c>
      <c r="B1966" t="str">
        <f>IF($J1966="","",SUMIFS('Weekly Log'!$C:$C,'Weekly Log'!$A:$A,"&gt;="&amp;$J1966,'Weekly Log'!$A:$A,"&lt;"&amp;$J1966+7))</f>
        <v/>
      </c>
      <c r="C1966" t="str">
        <f>IF($J1966="","",IFERROR(COUNTIFS('Weekly Log'!$G:$G,"Y",'Weekly Log'!$A:$A,"&gt;="&amp;$J1966,'Weekly Log'!$A:$A,"&lt;"&amp;$J1966+7)/COUNTIFS('Weekly Log'!$G:$G,"&lt;&gt;",'Weekly Log'!$A:$A,"&gt;="&amp;$J1966,'Weekly Log'!$A:$A,"&lt;"&amp;$J1966+7),0))</f>
        <v/>
      </c>
      <c r="D1966" t="str">
        <f>IF($J1966="","",IFERROR(COUNTIFS('Weekly Log'!$H:$H,"Y",'Weekly Log'!$A:$A,"&gt;="&amp;$J1966,'Weekly Log'!$A:$A,"&lt;"&amp;$J1966+7)/COUNTIFS('Weekly Log'!$H:$H,"&lt;&gt;",'Weekly Log'!$A:$A,"&gt;="&amp;$J1966,'Weekly Log'!$A:$A,"&lt;"&amp;$J1966+7),0))</f>
        <v/>
      </c>
      <c r="E1966" t="str">
        <f>IF($J1966="","",IFERROR(AVERAGEIFS('Weekly Log'!$F:$F,'Weekly Log'!$A:$A,"&gt;="&amp;$J1966,'Weekly Log'!$A:$A,"&lt;"&amp;$J1966+7),0))</f>
        <v/>
      </c>
      <c r="F1966" t="str">
        <f>IF($J1966="","",IFERROR(SUMIFS('Weekly Log'!$F:$F,'Weekly Log'!$A:$A,"&gt;="&amp;$J1966,'Weekly Log'!$A:$A,"&lt;"&amp;$J1966+7)/SUMIFS('Weekly Log'!$E:$E,'Weekly Log'!$A:$A,"&gt;="&amp;$J1966,'Weekly Log'!$A:$A,"&lt;"&amp;$J1966+7),0))</f>
        <v/>
      </c>
      <c r="G1966" t="str">
        <f>IF($J1966="","",IFERROR(LOOKUP(2,1/(('Weekly Log'!$A$5:$A$5000&gt;=$J1966)*('Weekly Log'!$A$5:$A$5000&lt;$J1966+7)*('Weekly Log'!$M$5:$M$5000&lt;&gt;"")),'Weekly Log'!$M$5:$M$5000),0))</f>
        <v/>
      </c>
      <c r="J1966" t="str">
        <f>IF(COUNT('Weekly Log'!$A$5:$A$5000)=0,"",IF(MIN('Weekly Log'!$A$5:$A$5000)+7*(ROW()-10)&gt;MAX('Weekly Log'!$A$5:$A$5000),"",MIN('Weekly Log'!$A$5:$A$5000)+7*(ROW()-10)))</f>
        <v/>
      </c>
    </row>
    <row r="1967" spans="1:10" x14ac:dyDescent="0.25">
      <c r="A1967" t="str">
        <f t="shared" si="30"/>
        <v/>
      </c>
      <c r="B1967" t="str">
        <f>IF($J1967="","",SUMIFS('Weekly Log'!$C:$C,'Weekly Log'!$A:$A,"&gt;="&amp;$J1967,'Weekly Log'!$A:$A,"&lt;"&amp;$J1967+7))</f>
        <v/>
      </c>
      <c r="C1967" t="str">
        <f>IF($J1967="","",IFERROR(COUNTIFS('Weekly Log'!$G:$G,"Y",'Weekly Log'!$A:$A,"&gt;="&amp;$J1967,'Weekly Log'!$A:$A,"&lt;"&amp;$J1967+7)/COUNTIFS('Weekly Log'!$G:$G,"&lt;&gt;",'Weekly Log'!$A:$A,"&gt;="&amp;$J1967,'Weekly Log'!$A:$A,"&lt;"&amp;$J1967+7),0))</f>
        <v/>
      </c>
      <c r="D1967" t="str">
        <f>IF($J1967="","",IFERROR(COUNTIFS('Weekly Log'!$H:$H,"Y",'Weekly Log'!$A:$A,"&gt;="&amp;$J1967,'Weekly Log'!$A:$A,"&lt;"&amp;$J1967+7)/COUNTIFS('Weekly Log'!$H:$H,"&lt;&gt;",'Weekly Log'!$A:$A,"&gt;="&amp;$J1967,'Weekly Log'!$A:$A,"&lt;"&amp;$J1967+7),0))</f>
        <v/>
      </c>
      <c r="E1967" t="str">
        <f>IF($J1967="","",IFERROR(AVERAGEIFS('Weekly Log'!$F:$F,'Weekly Log'!$A:$A,"&gt;="&amp;$J1967,'Weekly Log'!$A:$A,"&lt;"&amp;$J1967+7),0))</f>
        <v/>
      </c>
      <c r="F1967" t="str">
        <f>IF($J1967="","",IFERROR(SUMIFS('Weekly Log'!$F:$F,'Weekly Log'!$A:$A,"&gt;="&amp;$J1967,'Weekly Log'!$A:$A,"&lt;"&amp;$J1967+7)/SUMIFS('Weekly Log'!$E:$E,'Weekly Log'!$A:$A,"&gt;="&amp;$J1967,'Weekly Log'!$A:$A,"&lt;"&amp;$J1967+7),0))</f>
        <v/>
      </c>
      <c r="G1967" t="str">
        <f>IF($J1967="","",IFERROR(LOOKUP(2,1/(('Weekly Log'!$A$5:$A$5000&gt;=$J1967)*('Weekly Log'!$A$5:$A$5000&lt;$J1967+7)*('Weekly Log'!$M$5:$M$5000&lt;&gt;"")),'Weekly Log'!$M$5:$M$5000),0))</f>
        <v/>
      </c>
      <c r="J1967" t="str">
        <f>IF(COUNT('Weekly Log'!$A$5:$A$5000)=0,"",IF(MIN('Weekly Log'!$A$5:$A$5000)+7*(ROW()-10)&gt;MAX('Weekly Log'!$A$5:$A$5000),"",MIN('Weekly Log'!$A$5:$A$5000)+7*(ROW()-10)))</f>
        <v/>
      </c>
    </row>
    <row r="1968" spans="1:10" x14ac:dyDescent="0.25">
      <c r="A1968" t="str">
        <f t="shared" si="30"/>
        <v/>
      </c>
      <c r="B1968" t="str">
        <f>IF($J1968="","",SUMIFS('Weekly Log'!$C:$C,'Weekly Log'!$A:$A,"&gt;="&amp;$J1968,'Weekly Log'!$A:$A,"&lt;"&amp;$J1968+7))</f>
        <v/>
      </c>
      <c r="C1968" t="str">
        <f>IF($J1968="","",IFERROR(COUNTIFS('Weekly Log'!$G:$G,"Y",'Weekly Log'!$A:$A,"&gt;="&amp;$J1968,'Weekly Log'!$A:$A,"&lt;"&amp;$J1968+7)/COUNTIFS('Weekly Log'!$G:$G,"&lt;&gt;",'Weekly Log'!$A:$A,"&gt;="&amp;$J1968,'Weekly Log'!$A:$A,"&lt;"&amp;$J1968+7),0))</f>
        <v/>
      </c>
      <c r="D1968" t="str">
        <f>IF($J1968="","",IFERROR(COUNTIFS('Weekly Log'!$H:$H,"Y",'Weekly Log'!$A:$A,"&gt;="&amp;$J1968,'Weekly Log'!$A:$A,"&lt;"&amp;$J1968+7)/COUNTIFS('Weekly Log'!$H:$H,"&lt;&gt;",'Weekly Log'!$A:$A,"&gt;="&amp;$J1968,'Weekly Log'!$A:$A,"&lt;"&amp;$J1968+7),0))</f>
        <v/>
      </c>
      <c r="E1968" t="str">
        <f>IF($J1968="","",IFERROR(AVERAGEIFS('Weekly Log'!$F:$F,'Weekly Log'!$A:$A,"&gt;="&amp;$J1968,'Weekly Log'!$A:$A,"&lt;"&amp;$J1968+7),0))</f>
        <v/>
      </c>
      <c r="F1968" t="str">
        <f>IF($J1968="","",IFERROR(SUMIFS('Weekly Log'!$F:$F,'Weekly Log'!$A:$A,"&gt;="&amp;$J1968,'Weekly Log'!$A:$A,"&lt;"&amp;$J1968+7)/SUMIFS('Weekly Log'!$E:$E,'Weekly Log'!$A:$A,"&gt;="&amp;$J1968,'Weekly Log'!$A:$A,"&lt;"&amp;$J1968+7),0))</f>
        <v/>
      </c>
      <c r="G1968" t="str">
        <f>IF($J1968="","",IFERROR(LOOKUP(2,1/(('Weekly Log'!$A$5:$A$5000&gt;=$J1968)*('Weekly Log'!$A$5:$A$5000&lt;$J1968+7)*('Weekly Log'!$M$5:$M$5000&lt;&gt;"")),'Weekly Log'!$M$5:$M$5000),0))</f>
        <v/>
      </c>
      <c r="J1968" t="str">
        <f>IF(COUNT('Weekly Log'!$A$5:$A$5000)=0,"",IF(MIN('Weekly Log'!$A$5:$A$5000)+7*(ROW()-10)&gt;MAX('Weekly Log'!$A$5:$A$5000),"",MIN('Weekly Log'!$A$5:$A$5000)+7*(ROW()-10)))</f>
        <v/>
      </c>
    </row>
    <row r="1969" spans="1:10" x14ac:dyDescent="0.25">
      <c r="A1969" t="str">
        <f t="shared" si="30"/>
        <v/>
      </c>
      <c r="B1969" t="str">
        <f>IF($J1969="","",SUMIFS('Weekly Log'!$C:$C,'Weekly Log'!$A:$A,"&gt;="&amp;$J1969,'Weekly Log'!$A:$A,"&lt;"&amp;$J1969+7))</f>
        <v/>
      </c>
      <c r="C1969" t="str">
        <f>IF($J1969="","",IFERROR(COUNTIFS('Weekly Log'!$G:$G,"Y",'Weekly Log'!$A:$A,"&gt;="&amp;$J1969,'Weekly Log'!$A:$A,"&lt;"&amp;$J1969+7)/COUNTIFS('Weekly Log'!$G:$G,"&lt;&gt;",'Weekly Log'!$A:$A,"&gt;="&amp;$J1969,'Weekly Log'!$A:$A,"&lt;"&amp;$J1969+7),0))</f>
        <v/>
      </c>
      <c r="D1969" t="str">
        <f>IF($J1969="","",IFERROR(COUNTIFS('Weekly Log'!$H:$H,"Y",'Weekly Log'!$A:$A,"&gt;="&amp;$J1969,'Weekly Log'!$A:$A,"&lt;"&amp;$J1969+7)/COUNTIFS('Weekly Log'!$H:$H,"&lt;&gt;",'Weekly Log'!$A:$A,"&gt;="&amp;$J1969,'Weekly Log'!$A:$A,"&lt;"&amp;$J1969+7),0))</f>
        <v/>
      </c>
      <c r="E1969" t="str">
        <f>IF($J1969="","",IFERROR(AVERAGEIFS('Weekly Log'!$F:$F,'Weekly Log'!$A:$A,"&gt;="&amp;$J1969,'Weekly Log'!$A:$A,"&lt;"&amp;$J1969+7),0))</f>
        <v/>
      </c>
      <c r="F1969" t="str">
        <f>IF($J1969="","",IFERROR(SUMIFS('Weekly Log'!$F:$F,'Weekly Log'!$A:$A,"&gt;="&amp;$J1969,'Weekly Log'!$A:$A,"&lt;"&amp;$J1969+7)/SUMIFS('Weekly Log'!$E:$E,'Weekly Log'!$A:$A,"&gt;="&amp;$J1969,'Weekly Log'!$A:$A,"&lt;"&amp;$J1969+7),0))</f>
        <v/>
      </c>
      <c r="G1969" t="str">
        <f>IF($J1969="","",IFERROR(LOOKUP(2,1/(('Weekly Log'!$A$5:$A$5000&gt;=$J1969)*('Weekly Log'!$A$5:$A$5000&lt;$J1969+7)*('Weekly Log'!$M$5:$M$5000&lt;&gt;"")),'Weekly Log'!$M$5:$M$5000),0))</f>
        <v/>
      </c>
      <c r="J1969" t="str">
        <f>IF(COUNT('Weekly Log'!$A$5:$A$5000)=0,"",IF(MIN('Weekly Log'!$A$5:$A$5000)+7*(ROW()-10)&gt;MAX('Weekly Log'!$A$5:$A$5000),"",MIN('Weekly Log'!$A$5:$A$5000)+7*(ROW()-10)))</f>
        <v/>
      </c>
    </row>
    <row r="1970" spans="1:10" x14ac:dyDescent="0.25">
      <c r="A1970" t="str">
        <f t="shared" si="30"/>
        <v/>
      </c>
      <c r="B1970" t="str">
        <f>IF($J1970="","",SUMIFS('Weekly Log'!$C:$C,'Weekly Log'!$A:$A,"&gt;="&amp;$J1970,'Weekly Log'!$A:$A,"&lt;"&amp;$J1970+7))</f>
        <v/>
      </c>
      <c r="C1970" t="str">
        <f>IF($J1970="","",IFERROR(COUNTIFS('Weekly Log'!$G:$G,"Y",'Weekly Log'!$A:$A,"&gt;="&amp;$J1970,'Weekly Log'!$A:$A,"&lt;"&amp;$J1970+7)/COUNTIFS('Weekly Log'!$G:$G,"&lt;&gt;",'Weekly Log'!$A:$A,"&gt;="&amp;$J1970,'Weekly Log'!$A:$A,"&lt;"&amp;$J1970+7),0))</f>
        <v/>
      </c>
      <c r="D1970" t="str">
        <f>IF($J1970="","",IFERROR(COUNTIFS('Weekly Log'!$H:$H,"Y",'Weekly Log'!$A:$A,"&gt;="&amp;$J1970,'Weekly Log'!$A:$A,"&lt;"&amp;$J1970+7)/COUNTIFS('Weekly Log'!$H:$H,"&lt;&gt;",'Weekly Log'!$A:$A,"&gt;="&amp;$J1970,'Weekly Log'!$A:$A,"&lt;"&amp;$J1970+7),0))</f>
        <v/>
      </c>
      <c r="E1970" t="str">
        <f>IF($J1970="","",IFERROR(AVERAGEIFS('Weekly Log'!$F:$F,'Weekly Log'!$A:$A,"&gt;="&amp;$J1970,'Weekly Log'!$A:$A,"&lt;"&amp;$J1970+7),0))</f>
        <v/>
      </c>
      <c r="F1970" t="str">
        <f>IF($J1970="","",IFERROR(SUMIFS('Weekly Log'!$F:$F,'Weekly Log'!$A:$A,"&gt;="&amp;$J1970,'Weekly Log'!$A:$A,"&lt;"&amp;$J1970+7)/SUMIFS('Weekly Log'!$E:$E,'Weekly Log'!$A:$A,"&gt;="&amp;$J1970,'Weekly Log'!$A:$A,"&lt;"&amp;$J1970+7),0))</f>
        <v/>
      </c>
      <c r="G1970" t="str">
        <f>IF($J1970="","",IFERROR(LOOKUP(2,1/(('Weekly Log'!$A$5:$A$5000&gt;=$J1970)*('Weekly Log'!$A$5:$A$5000&lt;$J1970+7)*('Weekly Log'!$M$5:$M$5000&lt;&gt;"")),'Weekly Log'!$M$5:$M$5000),0))</f>
        <v/>
      </c>
      <c r="J1970" t="str">
        <f>IF(COUNT('Weekly Log'!$A$5:$A$5000)=0,"",IF(MIN('Weekly Log'!$A$5:$A$5000)+7*(ROW()-10)&gt;MAX('Weekly Log'!$A$5:$A$5000),"",MIN('Weekly Log'!$A$5:$A$5000)+7*(ROW()-10)))</f>
        <v/>
      </c>
    </row>
    <row r="1971" spans="1:10" x14ac:dyDescent="0.25">
      <c r="A1971" t="str">
        <f t="shared" si="30"/>
        <v/>
      </c>
      <c r="B1971" t="str">
        <f>IF($J1971="","",SUMIFS('Weekly Log'!$C:$C,'Weekly Log'!$A:$A,"&gt;="&amp;$J1971,'Weekly Log'!$A:$A,"&lt;"&amp;$J1971+7))</f>
        <v/>
      </c>
      <c r="C1971" t="str">
        <f>IF($J1971="","",IFERROR(COUNTIFS('Weekly Log'!$G:$G,"Y",'Weekly Log'!$A:$A,"&gt;="&amp;$J1971,'Weekly Log'!$A:$A,"&lt;"&amp;$J1971+7)/COUNTIFS('Weekly Log'!$G:$G,"&lt;&gt;",'Weekly Log'!$A:$A,"&gt;="&amp;$J1971,'Weekly Log'!$A:$A,"&lt;"&amp;$J1971+7),0))</f>
        <v/>
      </c>
      <c r="D1971" t="str">
        <f>IF($J1971="","",IFERROR(COUNTIFS('Weekly Log'!$H:$H,"Y",'Weekly Log'!$A:$A,"&gt;="&amp;$J1971,'Weekly Log'!$A:$A,"&lt;"&amp;$J1971+7)/COUNTIFS('Weekly Log'!$H:$H,"&lt;&gt;",'Weekly Log'!$A:$A,"&gt;="&amp;$J1971,'Weekly Log'!$A:$A,"&lt;"&amp;$J1971+7),0))</f>
        <v/>
      </c>
      <c r="E1971" t="str">
        <f>IF($J1971="","",IFERROR(AVERAGEIFS('Weekly Log'!$F:$F,'Weekly Log'!$A:$A,"&gt;="&amp;$J1971,'Weekly Log'!$A:$A,"&lt;"&amp;$J1971+7),0))</f>
        <v/>
      </c>
      <c r="F1971" t="str">
        <f>IF($J1971="","",IFERROR(SUMIFS('Weekly Log'!$F:$F,'Weekly Log'!$A:$A,"&gt;="&amp;$J1971,'Weekly Log'!$A:$A,"&lt;"&amp;$J1971+7)/SUMIFS('Weekly Log'!$E:$E,'Weekly Log'!$A:$A,"&gt;="&amp;$J1971,'Weekly Log'!$A:$A,"&lt;"&amp;$J1971+7),0))</f>
        <v/>
      </c>
      <c r="G1971" t="str">
        <f>IF($J1971="","",IFERROR(LOOKUP(2,1/(('Weekly Log'!$A$5:$A$5000&gt;=$J1971)*('Weekly Log'!$A$5:$A$5000&lt;$J1971+7)*('Weekly Log'!$M$5:$M$5000&lt;&gt;"")),'Weekly Log'!$M$5:$M$5000),0))</f>
        <v/>
      </c>
      <c r="J1971" t="str">
        <f>IF(COUNT('Weekly Log'!$A$5:$A$5000)=0,"",IF(MIN('Weekly Log'!$A$5:$A$5000)+7*(ROW()-10)&gt;MAX('Weekly Log'!$A$5:$A$5000),"",MIN('Weekly Log'!$A$5:$A$5000)+7*(ROW()-10)))</f>
        <v/>
      </c>
    </row>
    <row r="1972" spans="1:10" x14ac:dyDescent="0.25">
      <c r="A1972" t="str">
        <f t="shared" si="30"/>
        <v/>
      </c>
      <c r="B1972" t="str">
        <f>IF($J1972="","",SUMIFS('Weekly Log'!$C:$C,'Weekly Log'!$A:$A,"&gt;="&amp;$J1972,'Weekly Log'!$A:$A,"&lt;"&amp;$J1972+7))</f>
        <v/>
      </c>
      <c r="C1972" t="str">
        <f>IF($J1972="","",IFERROR(COUNTIFS('Weekly Log'!$G:$G,"Y",'Weekly Log'!$A:$A,"&gt;="&amp;$J1972,'Weekly Log'!$A:$A,"&lt;"&amp;$J1972+7)/COUNTIFS('Weekly Log'!$G:$G,"&lt;&gt;",'Weekly Log'!$A:$A,"&gt;="&amp;$J1972,'Weekly Log'!$A:$A,"&lt;"&amp;$J1972+7),0))</f>
        <v/>
      </c>
      <c r="D1972" t="str">
        <f>IF($J1972="","",IFERROR(COUNTIFS('Weekly Log'!$H:$H,"Y",'Weekly Log'!$A:$A,"&gt;="&amp;$J1972,'Weekly Log'!$A:$A,"&lt;"&amp;$J1972+7)/COUNTIFS('Weekly Log'!$H:$H,"&lt;&gt;",'Weekly Log'!$A:$A,"&gt;="&amp;$J1972,'Weekly Log'!$A:$A,"&lt;"&amp;$J1972+7),0))</f>
        <v/>
      </c>
      <c r="E1972" t="str">
        <f>IF($J1972="","",IFERROR(AVERAGEIFS('Weekly Log'!$F:$F,'Weekly Log'!$A:$A,"&gt;="&amp;$J1972,'Weekly Log'!$A:$A,"&lt;"&amp;$J1972+7),0))</f>
        <v/>
      </c>
      <c r="F1972" t="str">
        <f>IF($J1972="","",IFERROR(SUMIFS('Weekly Log'!$F:$F,'Weekly Log'!$A:$A,"&gt;="&amp;$J1972,'Weekly Log'!$A:$A,"&lt;"&amp;$J1972+7)/SUMIFS('Weekly Log'!$E:$E,'Weekly Log'!$A:$A,"&gt;="&amp;$J1972,'Weekly Log'!$A:$A,"&lt;"&amp;$J1972+7),0))</f>
        <v/>
      </c>
      <c r="G1972" t="str">
        <f>IF($J1972="","",IFERROR(LOOKUP(2,1/(('Weekly Log'!$A$5:$A$5000&gt;=$J1972)*('Weekly Log'!$A$5:$A$5000&lt;$J1972+7)*('Weekly Log'!$M$5:$M$5000&lt;&gt;"")),'Weekly Log'!$M$5:$M$5000),0))</f>
        <v/>
      </c>
      <c r="J1972" t="str">
        <f>IF(COUNT('Weekly Log'!$A$5:$A$5000)=0,"",IF(MIN('Weekly Log'!$A$5:$A$5000)+7*(ROW()-10)&gt;MAX('Weekly Log'!$A$5:$A$5000),"",MIN('Weekly Log'!$A$5:$A$5000)+7*(ROW()-10)))</f>
        <v/>
      </c>
    </row>
    <row r="1973" spans="1:10" x14ac:dyDescent="0.25">
      <c r="A1973" t="str">
        <f t="shared" si="30"/>
        <v/>
      </c>
      <c r="B1973" t="str">
        <f>IF($J1973="","",SUMIFS('Weekly Log'!$C:$C,'Weekly Log'!$A:$A,"&gt;="&amp;$J1973,'Weekly Log'!$A:$A,"&lt;"&amp;$J1973+7))</f>
        <v/>
      </c>
      <c r="C1973" t="str">
        <f>IF($J1973="","",IFERROR(COUNTIFS('Weekly Log'!$G:$G,"Y",'Weekly Log'!$A:$A,"&gt;="&amp;$J1973,'Weekly Log'!$A:$A,"&lt;"&amp;$J1973+7)/COUNTIFS('Weekly Log'!$G:$G,"&lt;&gt;",'Weekly Log'!$A:$A,"&gt;="&amp;$J1973,'Weekly Log'!$A:$A,"&lt;"&amp;$J1973+7),0))</f>
        <v/>
      </c>
      <c r="D1973" t="str">
        <f>IF($J1973="","",IFERROR(COUNTIFS('Weekly Log'!$H:$H,"Y",'Weekly Log'!$A:$A,"&gt;="&amp;$J1973,'Weekly Log'!$A:$A,"&lt;"&amp;$J1973+7)/COUNTIFS('Weekly Log'!$H:$H,"&lt;&gt;",'Weekly Log'!$A:$A,"&gt;="&amp;$J1973,'Weekly Log'!$A:$A,"&lt;"&amp;$J1973+7),0))</f>
        <v/>
      </c>
      <c r="E1973" t="str">
        <f>IF($J1973="","",IFERROR(AVERAGEIFS('Weekly Log'!$F:$F,'Weekly Log'!$A:$A,"&gt;="&amp;$J1973,'Weekly Log'!$A:$A,"&lt;"&amp;$J1973+7),0))</f>
        <v/>
      </c>
      <c r="F1973" t="str">
        <f>IF($J1973="","",IFERROR(SUMIFS('Weekly Log'!$F:$F,'Weekly Log'!$A:$A,"&gt;="&amp;$J1973,'Weekly Log'!$A:$A,"&lt;"&amp;$J1973+7)/SUMIFS('Weekly Log'!$E:$E,'Weekly Log'!$A:$A,"&gt;="&amp;$J1973,'Weekly Log'!$A:$A,"&lt;"&amp;$J1973+7),0))</f>
        <v/>
      </c>
      <c r="G1973" t="str">
        <f>IF($J1973="","",IFERROR(LOOKUP(2,1/(('Weekly Log'!$A$5:$A$5000&gt;=$J1973)*('Weekly Log'!$A$5:$A$5000&lt;$J1973+7)*('Weekly Log'!$M$5:$M$5000&lt;&gt;"")),'Weekly Log'!$M$5:$M$5000),0))</f>
        <v/>
      </c>
      <c r="J1973" t="str">
        <f>IF(COUNT('Weekly Log'!$A$5:$A$5000)=0,"",IF(MIN('Weekly Log'!$A$5:$A$5000)+7*(ROW()-10)&gt;MAX('Weekly Log'!$A$5:$A$5000),"",MIN('Weekly Log'!$A$5:$A$5000)+7*(ROW()-10)))</f>
        <v/>
      </c>
    </row>
    <row r="1974" spans="1:10" x14ac:dyDescent="0.25">
      <c r="A1974" t="str">
        <f t="shared" si="30"/>
        <v/>
      </c>
      <c r="B1974" t="str">
        <f>IF($J1974="","",SUMIFS('Weekly Log'!$C:$C,'Weekly Log'!$A:$A,"&gt;="&amp;$J1974,'Weekly Log'!$A:$A,"&lt;"&amp;$J1974+7))</f>
        <v/>
      </c>
      <c r="C1974" t="str">
        <f>IF($J1974="","",IFERROR(COUNTIFS('Weekly Log'!$G:$G,"Y",'Weekly Log'!$A:$A,"&gt;="&amp;$J1974,'Weekly Log'!$A:$A,"&lt;"&amp;$J1974+7)/COUNTIFS('Weekly Log'!$G:$G,"&lt;&gt;",'Weekly Log'!$A:$A,"&gt;="&amp;$J1974,'Weekly Log'!$A:$A,"&lt;"&amp;$J1974+7),0))</f>
        <v/>
      </c>
      <c r="D1974" t="str">
        <f>IF($J1974="","",IFERROR(COUNTIFS('Weekly Log'!$H:$H,"Y",'Weekly Log'!$A:$A,"&gt;="&amp;$J1974,'Weekly Log'!$A:$A,"&lt;"&amp;$J1974+7)/COUNTIFS('Weekly Log'!$H:$H,"&lt;&gt;",'Weekly Log'!$A:$A,"&gt;="&amp;$J1974,'Weekly Log'!$A:$A,"&lt;"&amp;$J1974+7),0))</f>
        <v/>
      </c>
      <c r="E1974" t="str">
        <f>IF($J1974="","",IFERROR(AVERAGEIFS('Weekly Log'!$F:$F,'Weekly Log'!$A:$A,"&gt;="&amp;$J1974,'Weekly Log'!$A:$A,"&lt;"&amp;$J1974+7),0))</f>
        <v/>
      </c>
      <c r="F1974" t="str">
        <f>IF($J1974="","",IFERROR(SUMIFS('Weekly Log'!$F:$F,'Weekly Log'!$A:$A,"&gt;="&amp;$J1974,'Weekly Log'!$A:$A,"&lt;"&amp;$J1974+7)/SUMIFS('Weekly Log'!$E:$E,'Weekly Log'!$A:$A,"&gt;="&amp;$J1974,'Weekly Log'!$A:$A,"&lt;"&amp;$J1974+7),0))</f>
        <v/>
      </c>
      <c r="G1974" t="str">
        <f>IF($J1974="","",IFERROR(LOOKUP(2,1/(('Weekly Log'!$A$5:$A$5000&gt;=$J1974)*('Weekly Log'!$A$5:$A$5000&lt;$J1974+7)*('Weekly Log'!$M$5:$M$5000&lt;&gt;"")),'Weekly Log'!$M$5:$M$5000),0))</f>
        <v/>
      </c>
      <c r="J1974" t="str">
        <f>IF(COUNT('Weekly Log'!$A$5:$A$5000)=0,"",IF(MIN('Weekly Log'!$A$5:$A$5000)+7*(ROW()-10)&gt;MAX('Weekly Log'!$A$5:$A$5000),"",MIN('Weekly Log'!$A$5:$A$5000)+7*(ROW()-10)))</f>
        <v/>
      </c>
    </row>
    <row r="1975" spans="1:10" x14ac:dyDescent="0.25">
      <c r="A1975" t="str">
        <f t="shared" si="30"/>
        <v/>
      </c>
      <c r="B1975" t="str">
        <f>IF($J1975="","",SUMIFS('Weekly Log'!$C:$C,'Weekly Log'!$A:$A,"&gt;="&amp;$J1975,'Weekly Log'!$A:$A,"&lt;"&amp;$J1975+7))</f>
        <v/>
      </c>
      <c r="C1975" t="str">
        <f>IF($J1975="","",IFERROR(COUNTIFS('Weekly Log'!$G:$G,"Y",'Weekly Log'!$A:$A,"&gt;="&amp;$J1975,'Weekly Log'!$A:$A,"&lt;"&amp;$J1975+7)/COUNTIFS('Weekly Log'!$G:$G,"&lt;&gt;",'Weekly Log'!$A:$A,"&gt;="&amp;$J1975,'Weekly Log'!$A:$A,"&lt;"&amp;$J1975+7),0))</f>
        <v/>
      </c>
      <c r="D1975" t="str">
        <f>IF($J1975="","",IFERROR(COUNTIFS('Weekly Log'!$H:$H,"Y",'Weekly Log'!$A:$A,"&gt;="&amp;$J1975,'Weekly Log'!$A:$A,"&lt;"&amp;$J1975+7)/COUNTIFS('Weekly Log'!$H:$H,"&lt;&gt;",'Weekly Log'!$A:$A,"&gt;="&amp;$J1975,'Weekly Log'!$A:$A,"&lt;"&amp;$J1975+7),0))</f>
        <v/>
      </c>
      <c r="E1975" t="str">
        <f>IF($J1975="","",IFERROR(AVERAGEIFS('Weekly Log'!$F:$F,'Weekly Log'!$A:$A,"&gt;="&amp;$J1975,'Weekly Log'!$A:$A,"&lt;"&amp;$J1975+7),0))</f>
        <v/>
      </c>
      <c r="F1975" t="str">
        <f>IF($J1975="","",IFERROR(SUMIFS('Weekly Log'!$F:$F,'Weekly Log'!$A:$A,"&gt;="&amp;$J1975,'Weekly Log'!$A:$A,"&lt;"&amp;$J1975+7)/SUMIFS('Weekly Log'!$E:$E,'Weekly Log'!$A:$A,"&gt;="&amp;$J1975,'Weekly Log'!$A:$A,"&lt;"&amp;$J1975+7),0))</f>
        <v/>
      </c>
      <c r="G1975" t="str">
        <f>IF($J1975="","",IFERROR(LOOKUP(2,1/(('Weekly Log'!$A$5:$A$5000&gt;=$J1975)*('Weekly Log'!$A$5:$A$5000&lt;$J1975+7)*('Weekly Log'!$M$5:$M$5000&lt;&gt;"")),'Weekly Log'!$M$5:$M$5000),0))</f>
        <v/>
      </c>
      <c r="J1975" t="str">
        <f>IF(COUNT('Weekly Log'!$A$5:$A$5000)=0,"",IF(MIN('Weekly Log'!$A$5:$A$5000)+7*(ROW()-10)&gt;MAX('Weekly Log'!$A$5:$A$5000),"",MIN('Weekly Log'!$A$5:$A$5000)+7*(ROW()-10)))</f>
        <v/>
      </c>
    </row>
    <row r="1976" spans="1:10" x14ac:dyDescent="0.25">
      <c r="A1976" t="str">
        <f t="shared" si="30"/>
        <v/>
      </c>
      <c r="B1976" t="str">
        <f>IF($J1976="","",SUMIFS('Weekly Log'!$C:$C,'Weekly Log'!$A:$A,"&gt;="&amp;$J1976,'Weekly Log'!$A:$A,"&lt;"&amp;$J1976+7))</f>
        <v/>
      </c>
      <c r="C1976" t="str">
        <f>IF($J1976="","",IFERROR(COUNTIFS('Weekly Log'!$G:$G,"Y",'Weekly Log'!$A:$A,"&gt;="&amp;$J1976,'Weekly Log'!$A:$A,"&lt;"&amp;$J1976+7)/COUNTIFS('Weekly Log'!$G:$G,"&lt;&gt;",'Weekly Log'!$A:$A,"&gt;="&amp;$J1976,'Weekly Log'!$A:$A,"&lt;"&amp;$J1976+7),0))</f>
        <v/>
      </c>
      <c r="D1976" t="str">
        <f>IF($J1976="","",IFERROR(COUNTIFS('Weekly Log'!$H:$H,"Y",'Weekly Log'!$A:$A,"&gt;="&amp;$J1976,'Weekly Log'!$A:$A,"&lt;"&amp;$J1976+7)/COUNTIFS('Weekly Log'!$H:$H,"&lt;&gt;",'Weekly Log'!$A:$A,"&gt;="&amp;$J1976,'Weekly Log'!$A:$A,"&lt;"&amp;$J1976+7),0))</f>
        <v/>
      </c>
      <c r="E1976" t="str">
        <f>IF($J1976="","",IFERROR(AVERAGEIFS('Weekly Log'!$F:$F,'Weekly Log'!$A:$A,"&gt;="&amp;$J1976,'Weekly Log'!$A:$A,"&lt;"&amp;$J1976+7),0))</f>
        <v/>
      </c>
      <c r="F1976" t="str">
        <f>IF($J1976="","",IFERROR(SUMIFS('Weekly Log'!$F:$F,'Weekly Log'!$A:$A,"&gt;="&amp;$J1976,'Weekly Log'!$A:$A,"&lt;"&amp;$J1976+7)/SUMIFS('Weekly Log'!$E:$E,'Weekly Log'!$A:$A,"&gt;="&amp;$J1976,'Weekly Log'!$A:$A,"&lt;"&amp;$J1976+7),0))</f>
        <v/>
      </c>
      <c r="G1976" t="str">
        <f>IF($J1976="","",IFERROR(LOOKUP(2,1/(('Weekly Log'!$A$5:$A$5000&gt;=$J1976)*('Weekly Log'!$A$5:$A$5000&lt;$J1976+7)*('Weekly Log'!$M$5:$M$5000&lt;&gt;"")),'Weekly Log'!$M$5:$M$5000),0))</f>
        <v/>
      </c>
      <c r="J1976" t="str">
        <f>IF(COUNT('Weekly Log'!$A$5:$A$5000)=0,"",IF(MIN('Weekly Log'!$A$5:$A$5000)+7*(ROW()-10)&gt;MAX('Weekly Log'!$A$5:$A$5000),"",MIN('Weekly Log'!$A$5:$A$5000)+7*(ROW()-10)))</f>
        <v/>
      </c>
    </row>
    <row r="1977" spans="1:10" x14ac:dyDescent="0.25">
      <c r="A1977" t="str">
        <f t="shared" si="30"/>
        <v/>
      </c>
      <c r="B1977" t="str">
        <f>IF($J1977="","",SUMIFS('Weekly Log'!$C:$C,'Weekly Log'!$A:$A,"&gt;="&amp;$J1977,'Weekly Log'!$A:$A,"&lt;"&amp;$J1977+7))</f>
        <v/>
      </c>
      <c r="C1977" t="str">
        <f>IF($J1977="","",IFERROR(COUNTIFS('Weekly Log'!$G:$G,"Y",'Weekly Log'!$A:$A,"&gt;="&amp;$J1977,'Weekly Log'!$A:$A,"&lt;"&amp;$J1977+7)/COUNTIFS('Weekly Log'!$G:$G,"&lt;&gt;",'Weekly Log'!$A:$A,"&gt;="&amp;$J1977,'Weekly Log'!$A:$A,"&lt;"&amp;$J1977+7),0))</f>
        <v/>
      </c>
      <c r="D1977" t="str">
        <f>IF($J1977="","",IFERROR(COUNTIFS('Weekly Log'!$H:$H,"Y",'Weekly Log'!$A:$A,"&gt;="&amp;$J1977,'Weekly Log'!$A:$A,"&lt;"&amp;$J1977+7)/COUNTIFS('Weekly Log'!$H:$H,"&lt;&gt;",'Weekly Log'!$A:$A,"&gt;="&amp;$J1977,'Weekly Log'!$A:$A,"&lt;"&amp;$J1977+7),0))</f>
        <v/>
      </c>
      <c r="E1977" t="str">
        <f>IF($J1977="","",IFERROR(AVERAGEIFS('Weekly Log'!$F:$F,'Weekly Log'!$A:$A,"&gt;="&amp;$J1977,'Weekly Log'!$A:$A,"&lt;"&amp;$J1977+7),0))</f>
        <v/>
      </c>
      <c r="F1977" t="str">
        <f>IF($J1977="","",IFERROR(SUMIFS('Weekly Log'!$F:$F,'Weekly Log'!$A:$A,"&gt;="&amp;$J1977,'Weekly Log'!$A:$A,"&lt;"&amp;$J1977+7)/SUMIFS('Weekly Log'!$E:$E,'Weekly Log'!$A:$A,"&gt;="&amp;$J1977,'Weekly Log'!$A:$A,"&lt;"&amp;$J1977+7),0))</f>
        <v/>
      </c>
      <c r="G1977" t="str">
        <f>IF($J1977="","",IFERROR(LOOKUP(2,1/(('Weekly Log'!$A$5:$A$5000&gt;=$J1977)*('Weekly Log'!$A$5:$A$5000&lt;$J1977+7)*('Weekly Log'!$M$5:$M$5000&lt;&gt;"")),'Weekly Log'!$M$5:$M$5000),0))</f>
        <v/>
      </c>
      <c r="J1977" t="str">
        <f>IF(COUNT('Weekly Log'!$A$5:$A$5000)=0,"",IF(MIN('Weekly Log'!$A$5:$A$5000)+7*(ROW()-10)&gt;MAX('Weekly Log'!$A$5:$A$5000),"",MIN('Weekly Log'!$A$5:$A$5000)+7*(ROW()-10)))</f>
        <v/>
      </c>
    </row>
    <row r="1978" spans="1:10" x14ac:dyDescent="0.25">
      <c r="A1978" t="str">
        <f t="shared" si="30"/>
        <v/>
      </c>
      <c r="B1978" t="str">
        <f>IF($J1978="","",SUMIFS('Weekly Log'!$C:$C,'Weekly Log'!$A:$A,"&gt;="&amp;$J1978,'Weekly Log'!$A:$A,"&lt;"&amp;$J1978+7))</f>
        <v/>
      </c>
      <c r="C1978" t="str">
        <f>IF($J1978="","",IFERROR(COUNTIFS('Weekly Log'!$G:$G,"Y",'Weekly Log'!$A:$A,"&gt;="&amp;$J1978,'Weekly Log'!$A:$A,"&lt;"&amp;$J1978+7)/COUNTIFS('Weekly Log'!$G:$G,"&lt;&gt;",'Weekly Log'!$A:$A,"&gt;="&amp;$J1978,'Weekly Log'!$A:$A,"&lt;"&amp;$J1978+7),0))</f>
        <v/>
      </c>
      <c r="D1978" t="str">
        <f>IF($J1978="","",IFERROR(COUNTIFS('Weekly Log'!$H:$H,"Y",'Weekly Log'!$A:$A,"&gt;="&amp;$J1978,'Weekly Log'!$A:$A,"&lt;"&amp;$J1978+7)/COUNTIFS('Weekly Log'!$H:$H,"&lt;&gt;",'Weekly Log'!$A:$A,"&gt;="&amp;$J1978,'Weekly Log'!$A:$A,"&lt;"&amp;$J1978+7),0))</f>
        <v/>
      </c>
      <c r="E1978" t="str">
        <f>IF($J1978="","",IFERROR(AVERAGEIFS('Weekly Log'!$F:$F,'Weekly Log'!$A:$A,"&gt;="&amp;$J1978,'Weekly Log'!$A:$A,"&lt;"&amp;$J1978+7),0))</f>
        <v/>
      </c>
      <c r="F1978" t="str">
        <f>IF($J1978="","",IFERROR(SUMIFS('Weekly Log'!$F:$F,'Weekly Log'!$A:$A,"&gt;="&amp;$J1978,'Weekly Log'!$A:$A,"&lt;"&amp;$J1978+7)/SUMIFS('Weekly Log'!$E:$E,'Weekly Log'!$A:$A,"&gt;="&amp;$J1978,'Weekly Log'!$A:$A,"&lt;"&amp;$J1978+7),0))</f>
        <v/>
      </c>
      <c r="G1978" t="str">
        <f>IF($J1978="","",IFERROR(LOOKUP(2,1/(('Weekly Log'!$A$5:$A$5000&gt;=$J1978)*('Weekly Log'!$A$5:$A$5000&lt;$J1978+7)*('Weekly Log'!$M$5:$M$5000&lt;&gt;"")),'Weekly Log'!$M$5:$M$5000),0))</f>
        <v/>
      </c>
      <c r="J1978" t="str">
        <f>IF(COUNT('Weekly Log'!$A$5:$A$5000)=0,"",IF(MIN('Weekly Log'!$A$5:$A$5000)+7*(ROW()-10)&gt;MAX('Weekly Log'!$A$5:$A$5000),"",MIN('Weekly Log'!$A$5:$A$5000)+7*(ROW()-10)))</f>
        <v/>
      </c>
    </row>
    <row r="1979" spans="1:10" x14ac:dyDescent="0.25">
      <c r="A1979" t="str">
        <f t="shared" si="30"/>
        <v/>
      </c>
      <c r="B1979" t="str">
        <f>IF($J1979="","",SUMIFS('Weekly Log'!$C:$C,'Weekly Log'!$A:$A,"&gt;="&amp;$J1979,'Weekly Log'!$A:$A,"&lt;"&amp;$J1979+7))</f>
        <v/>
      </c>
      <c r="C1979" t="str">
        <f>IF($J1979="","",IFERROR(COUNTIFS('Weekly Log'!$G:$G,"Y",'Weekly Log'!$A:$A,"&gt;="&amp;$J1979,'Weekly Log'!$A:$A,"&lt;"&amp;$J1979+7)/COUNTIFS('Weekly Log'!$G:$G,"&lt;&gt;",'Weekly Log'!$A:$A,"&gt;="&amp;$J1979,'Weekly Log'!$A:$A,"&lt;"&amp;$J1979+7),0))</f>
        <v/>
      </c>
      <c r="D1979" t="str">
        <f>IF($J1979="","",IFERROR(COUNTIFS('Weekly Log'!$H:$H,"Y",'Weekly Log'!$A:$A,"&gt;="&amp;$J1979,'Weekly Log'!$A:$A,"&lt;"&amp;$J1979+7)/COUNTIFS('Weekly Log'!$H:$H,"&lt;&gt;",'Weekly Log'!$A:$A,"&gt;="&amp;$J1979,'Weekly Log'!$A:$A,"&lt;"&amp;$J1979+7),0))</f>
        <v/>
      </c>
      <c r="E1979" t="str">
        <f>IF($J1979="","",IFERROR(AVERAGEIFS('Weekly Log'!$F:$F,'Weekly Log'!$A:$A,"&gt;="&amp;$J1979,'Weekly Log'!$A:$A,"&lt;"&amp;$J1979+7),0))</f>
        <v/>
      </c>
      <c r="F1979" t="str">
        <f>IF($J1979="","",IFERROR(SUMIFS('Weekly Log'!$F:$F,'Weekly Log'!$A:$A,"&gt;="&amp;$J1979,'Weekly Log'!$A:$A,"&lt;"&amp;$J1979+7)/SUMIFS('Weekly Log'!$E:$E,'Weekly Log'!$A:$A,"&gt;="&amp;$J1979,'Weekly Log'!$A:$A,"&lt;"&amp;$J1979+7),0))</f>
        <v/>
      </c>
      <c r="G1979" t="str">
        <f>IF($J1979="","",IFERROR(LOOKUP(2,1/(('Weekly Log'!$A$5:$A$5000&gt;=$J1979)*('Weekly Log'!$A$5:$A$5000&lt;$J1979+7)*('Weekly Log'!$M$5:$M$5000&lt;&gt;"")),'Weekly Log'!$M$5:$M$5000),0))</f>
        <v/>
      </c>
      <c r="J1979" t="str">
        <f>IF(COUNT('Weekly Log'!$A$5:$A$5000)=0,"",IF(MIN('Weekly Log'!$A$5:$A$5000)+7*(ROW()-10)&gt;MAX('Weekly Log'!$A$5:$A$5000),"",MIN('Weekly Log'!$A$5:$A$5000)+7*(ROW()-10)))</f>
        <v/>
      </c>
    </row>
    <row r="1980" spans="1:10" x14ac:dyDescent="0.25">
      <c r="A1980" t="str">
        <f t="shared" si="30"/>
        <v/>
      </c>
      <c r="B1980" t="str">
        <f>IF($J1980="","",SUMIFS('Weekly Log'!$C:$C,'Weekly Log'!$A:$A,"&gt;="&amp;$J1980,'Weekly Log'!$A:$A,"&lt;"&amp;$J1980+7))</f>
        <v/>
      </c>
      <c r="C1980" t="str">
        <f>IF($J1980="","",IFERROR(COUNTIFS('Weekly Log'!$G:$G,"Y",'Weekly Log'!$A:$A,"&gt;="&amp;$J1980,'Weekly Log'!$A:$A,"&lt;"&amp;$J1980+7)/COUNTIFS('Weekly Log'!$G:$G,"&lt;&gt;",'Weekly Log'!$A:$A,"&gt;="&amp;$J1980,'Weekly Log'!$A:$A,"&lt;"&amp;$J1980+7),0))</f>
        <v/>
      </c>
      <c r="D1980" t="str">
        <f>IF($J1980="","",IFERROR(COUNTIFS('Weekly Log'!$H:$H,"Y",'Weekly Log'!$A:$A,"&gt;="&amp;$J1980,'Weekly Log'!$A:$A,"&lt;"&amp;$J1980+7)/COUNTIFS('Weekly Log'!$H:$H,"&lt;&gt;",'Weekly Log'!$A:$A,"&gt;="&amp;$J1980,'Weekly Log'!$A:$A,"&lt;"&amp;$J1980+7),0))</f>
        <v/>
      </c>
      <c r="E1980" t="str">
        <f>IF($J1980="","",IFERROR(AVERAGEIFS('Weekly Log'!$F:$F,'Weekly Log'!$A:$A,"&gt;="&amp;$J1980,'Weekly Log'!$A:$A,"&lt;"&amp;$J1980+7),0))</f>
        <v/>
      </c>
      <c r="F1980" t="str">
        <f>IF($J1980="","",IFERROR(SUMIFS('Weekly Log'!$F:$F,'Weekly Log'!$A:$A,"&gt;="&amp;$J1980,'Weekly Log'!$A:$A,"&lt;"&amp;$J1980+7)/SUMIFS('Weekly Log'!$E:$E,'Weekly Log'!$A:$A,"&gt;="&amp;$J1980,'Weekly Log'!$A:$A,"&lt;"&amp;$J1980+7),0))</f>
        <v/>
      </c>
      <c r="G1980" t="str">
        <f>IF($J1980="","",IFERROR(LOOKUP(2,1/(('Weekly Log'!$A$5:$A$5000&gt;=$J1980)*('Weekly Log'!$A$5:$A$5000&lt;$J1980+7)*('Weekly Log'!$M$5:$M$5000&lt;&gt;"")),'Weekly Log'!$M$5:$M$5000),0))</f>
        <v/>
      </c>
      <c r="J1980" t="str">
        <f>IF(COUNT('Weekly Log'!$A$5:$A$5000)=0,"",IF(MIN('Weekly Log'!$A$5:$A$5000)+7*(ROW()-10)&gt;MAX('Weekly Log'!$A$5:$A$5000),"",MIN('Weekly Log'!$A$5:$A$5000)+7*(ROW()-10)))</f>
        <v/>
      </c>
    </row>
    <row r="1981" spans="1:10" x14ac:dyDescent="0.25">
      <c r="A1981" t="str">
        <f t="shared" si="30"/>
        <v/>
      </c>
      <c r="B1981" t="str">
        <f>IF($J1981="","",SUMIFS('Weekly Log'!$C:$C,'Weekly Log'!$A:$A,"&gt;="&amp;$J1981,'Weekly Log'!$A:$A,"&lt;"&amp;$J1981+7))</f>
        <v/>
      </c>
      <c r="C1981" t="str">
        <f>IF($J1981="","",IFERROR(COUNTIFS('Weekly Log'!$G:$G,"Y",'Weekly Log'!$A:$A,"&gt;="&amp;$J1981,'Weekly Log'!$A:$A,"&lt;"&amp;$J1981+7)/COUNTIFS('Weekly Log'!$G:$G,"&lt;&gt;",'Weekly Log'!$A:$A,"&gt;="&amp;$J1981,'Weekly Log'!$A:$A,"&lt;"&amp;$J1981+7),0))</f>
        <v/>
      </c>
      <c r="D1981" t="str">
        <f>IF($J1981="","",IFERROR(COUNTIFS('Weekly Log'!$H:$H,"Y",'Weekly Log'!$A:$A,"&gt;="&amp;$J1981,'Weekly Log'!$A:$A,"&lt;"&amp;$J1981+7)/COUNTIFS('Weekly Log'!$H:$H,"&lt;&gt;",'Weekly Log'!$A:$A,"&gt;="&amp;$J1981,'Weekly Log'!$A:$A,"&lt;"&amp;$J1981+7),0))</f>
        <v/>
      </c>
      <c r="E1981" t="str">
        <f>IF($J1981="","",IFERROR(AVERAGEIFS('Weekly Log'!$F:$F,'Weekly Log'!$A:$A,"&gt;="&amp;$J1981,'Weekly Log'!$A:$A,"&lt;"&amp;$J1981+7),0))</f>
        <v/>
      </c>
      <c r="F1981" t="str">
        <f>IF($J1981="","",IFERROR(SUMIFS('Weekly Log'!$F:$F,'Weekly Log'!$A:$A,"&gt;="&amp;$J1981,'Weekly Log'!$A:$A,"&lt;"&amp;$J1981+7)/SUMIFS('Weekly Log'!$E:$E,'Weekly Log'!$A:$A,"&gt;="&amp;$J1981,'Weekly Log'!$A:$A,"&lt;"&amp;$J1981+7),0))</f>
        <v/>
      </c>
      <c r="G1981" t="str">
        <f>IF($J1981="","",IFERROR(LOOKUP(2,1/(('Weekly Log'!$A$5:$A$5000&gt;=$J1981)*('Weekly Log'!$A$5:$A$5000&lt;$J1981+7)*('Weekly Log'!$M$5:$M$5000&lt;&gt;"")),'Weekly Log'!$M$5:$M$5000),0))</f>
        <v/>
      </c>
      <c r="J1981" t="str">
        <f>IF(COUNT('Weekly Log'!$A$5:$A$5000)=0,"",IF(MIN('Weekly Log'!$A$5:$A$5000)+7*(ROW()-10)&gt;MAX('Weekly Log'!$A$5:$A$5000),"",MIN('Weekly Log'!$A$5:$A$5000)+7*(ROW()-10)))</f>
        <v/>
      </c>
    </row>
    <row r="1982" spans="1:10" x14ac:dyDescent="0.25">
      <c r="A1982" t="str">
        <f t="shared" si="30"/>
        <v/>
      </c>
      <c r="B1982" t="str">
        <f>IF($J1982="","",SUMIFS('Weekly Log'!$C:$C,'Weekly Log'!$A:$A,"&gt;="&amp;$J1982,'Weekly Log'!$A:$A,"&lt;"&amp;$J1982+7))</f>
        <v/>
      </c>
      <c r="C1982" t="str">
        <f>IF($J1982="","",IFERROR(COUNTIFS('Weekly Log'!$G:$G,"Y",'Weekly Log'!$A:$A,"&gt;="&amp;$J1982,'Weekly Log'!$A:$A,"&lt;"&amp;$J1982+7)/COUNTIFS('Weekly Log'!$G:$G,"&lt;&gt;",'Weekly Log'!$A:$A,"&gt;="&amp;$J1982,'Weekly Log'!$A:$A,"&lt;"&amp;$J1982+7),0))</f>
        <v/>
      </c>
      <c r="D1982" t="str">
        <f>IF($J1982="","",IFERROR(COUNTIFS('Weekly Log'!$H:$H,"Y",'Weekly Log'!$A:$A,"&gt;="&amp;$J1982,'Weekly Log'!$A:$A,"&lt;"&amp;$J1982+7)/COUNTIFS('Weekly Log'!$H:$H,"&lt;&gt;",'Weekly Log'!$A:$A,"&gt;="&amp;$J1982,'Weekly Log'!$A:$A,"&lt;"&amp;$J1982+7),0))</f>
        <v/>
      </c>
      <c r="E1982" t="str">
        <f>IF($J1982="","",IFERROR(AVERAGEIFS('Weekly Log'!$F:$F,'Weekly Log'!$A:$A,"&gt;="&amp;$J1982,'Weekly Log'!$A:$A,"&lt;"&amp;$J1982+7),0))</f>
        <v/>
      </c>
      <c r="F1982" t="str">
        <f>IF($J1982="","",IFERROR(SUMIFS('Weekly Log'!$F:$F,'Weekly Log'!$A:$A,"&gt;="&amp;$J1982,'Weekly Log'!$A:$A,"&lt;"&amp;$J1982+7)/SUMIFS('Weekly Log'!$E:$E,'Weekly Log'!$A:$A,"&gt;="&amp;$J1982,'Weekly Log'!$A:$A,"&lt;"&amp;$J1982+7),0))</f>
        <v/>
      </c>
      <c r="G1982" t="str">
        <f>IF($J1982="","",IFERROR(LOOKUP(2,1/(('Weekly Log'!$A$5:$A$5000&gt;=$J1982)*('Weekly Log'!$A$5:$A$5000&lt;$J1982+7)*('Weekly Log'!$M$5:$M$5000&lt;&gt;"")),'Weekly Log'!$M$5:$M$5000),0))</f>
        <v/>
      </c>
      <c r="J1982" t="str">
        <f>IF(COUNT('Weekly Log'!$A$5:$A$5000)=0,"",IF(MIN('Weekly Log'!$A$5:$A$5000)+7*(ROW()-10)&gt;MAX('Weekly Log'!$A$5:$A$5000),"",MIN('Weekly Log'!$A$5:$A$5000)+7*(ROW()-10)))</f>
        <v/>
      </c>
    </row>
    <row r="1983" spans="1:10" x14ac:dyDescent="0.25">
      <c r="A1983" t="str">
        <f t="shared" si="30"/>
        <v/>
      </c>
      <c r="B1983" t="str">
        <f>IF($J1983="","",SUMIFS('Weekly Log'!$C:$C,'Weekly Log'!$A:$A,"&gt;="&amp;$J1983,'Weekly Log'!$A:$A,"&lt;"&amp;$J1983+7))</f>
        <v/>
      </c>
      <c r="C1983" t="str">
        <f>IF($J1983="","",IFERROR(COUNTIFS('Weekly Log'!$G:$G,"Y",'Weekly Log'!$A:$A,"&gt;="&amp;$J1983,'Weekly Log'!$A:$A,"&lt;"&amp;$J1983+7)/COUNTIFS('Weekly Log'!$G:$G,"&lt;&gt;",'Weekly Log'!$A:$A,"&gt;="&amp;$J1983,'Weekly Log'!$A:$A,"&lt;"&amp;$J1983+7),0))</f>
        <v/>
      </c>
      <c r="D1983" t="str">
        <f>IF($J1983="","",IFERROR(COUNTIFS('Weekly Log'!$H:$H,"Y",'Weekly Log'!$A:$A,"&gt;="&amp;$J1983,'Weekly Log'!$A:$A,"&lt;"&amp;$J1983+7)/COUNTIFS('Weekly Log'!$H:$H,"&lt;&gt;",'Weekly Log'!$A:$A,"&gt;="&amp;$J1983,'Weekly Log'!$A:$A,"&lt;"&amp;$J1983+7),0))</f>
        <v/>
      </c>
      <c r="E1983" t="str">
        <f>IF($J1983="","",IFERROR(AVERAGEIFS('Weekly Log'!$F:$F,'Weekly Log'!$A:$A,"&gt;="&amp;$J1983,'Weekly Log'!$A:$A,"&lt;"&amp;$J1983+7),0))</f>
        <v/>
      </c>
      <c r="F1983" t="str">
        <f>IF($J1983="","",IFERROR(SUMIFS('Weekly Log'!$F:$F,'Weekly Log'!$A:$A,"&gt;="&amp;$J1983,'Weekly Log'!$A:$A,"&lt;"&amp;$J1983+7)/SUMIFS('Weekly Log'!$E:$E,'Weekly Log'!$A:$A,"&gt;="&amp;$J1983,'Weekly Log'!$A:$A,"&lt;"&amp;$J1983+7),0))</f>
        <v/>
      </c>
      <c r="G1983" t="str">
        <f>IF($J1983="","",IFERROR(LOOKUP(2,1/(('Weekly Log'!$A$5:$A$5000&gt;=$J1983)*('Weekly Log'!$A$5:$A$5000&lt;$J1983+7)*('Weekly Log'!$M$5:$M$5000&lt;&gt;"")),'Weekly Log'!$M$5:$M$5000),0))</f>
        <v/>
      </c>
      <c r="J1983" t="str">
        <f>IF(COUNT('Weekly Log'!$A$5:$A$5000)=0,"",IF(MIN('Weekly Log'!$A$5:$A$5000)+7*(ROW()-10)&gt;MAX('Weekly Log'!$A$5:$A$5000),"",MIN('Weekly Log'!$A$5:$A$5000)+7*(ROW()-10)))</f>
        <v/>
      </c>
    </row>
    <row r="1984" spans="1:10" x14ac:dyDescent="0.25">
      <c r="A1984" t="str">
        <f t="shared" si="30"/>
        <v/>
      </c>
      <c r="B1984" t="str">
        <f>IF($J1984="","",SUMIFS('Weekly Log'!$C:$C,'Weekly Log'!$A:$A,"&gt;="&amp;$J1984,'Weekly Log'!$A:$A,"&lt;"&amp;$J1984+7))</f>
        <v/>
      </c>
      <c r="C1984" t="str">
        <f>IF($J1984="","",IFERROR(COUNTIFS('Weekly Log'!$G:$G,"Y",'Weekly Log'!$A:$A,"&gt;="&amp;$J1984,'Weekly Log'!$A:$A,"&lt;"&amp;$J1984+7)/COUNTIFS('Weekly Log'!$G:$G,"&lt;&gt;",'Weekly Log'!$A:$A,"&gt;="&amp;$J1984,'Weekly Log'!$A:$A,"&lt;"&amp;$J1984+7),0))</f>
        <v/>
      </c>
      <c r="D1984" t="str">
        <f>IF($J1984="","",IFERROR(COUNTIFS('Weekly Log'!$H:$H,"Y",'Weekly Log'!$A:$A,"&gt;="&amp;$J1984,'Weekly Log'!$A:$A,"&lt;"&amp;$J1984+7)/COUNTIFS('Weekly Log'!$H:$H,"&lt;&gt;",'Weekly Log'!$A:$A,"&gt;="&amp;$J1984,'Weekly Log'!$A:$A,"&lt;"&amp;$J1984+7),0))</f>
        <v/>
      </c>
      <c r="E1984" t="str">
        <f>IF($J1984="","",IFERROR(AVERAGEIFS('Weekly Log'!$F:$F,'Weekly Log'!$A:$A,"&gt;="&amp;$J1984,'Weekly Log'!$A:$A,"&lt;"&amp;$J1984+7),0))</f>
        <v/>
      </c>
      <c r="F1984" t="str">
        <f>IF($J1984="","",IFERROR(SUMIFS('Weekly Log'!$F:$F,'Weekly Log'!$A:$A,"&gt;="&amp;$J1984,'Weekly Log'!$A:$A,"&lt;"&amp;$J1984+7)/SUMIFS('Weekly Log'!$E:$E,'Weekly Log'!$A:$A,"&gt;="&amp;$J1984,'Weekly Log'!$A:$A,"&lt;"&amp;$J1984+7),0))</f>
        <v/>
      </c>
      <c r="G1984" t="str">
        <f>IF($J1984="","",IFERROR(LOOKUP(2,1/(('Weekly Log'!$A$5:$A$5000&gt;=$J1984)*('Weekly Log'!$A$5:$A$5000&lt;$J1984+7)*('Weekly Log'!$M$5:$M$5000&lt;&gt;"")),'Weekly Log'!$M$5:$M$5000),0))</f>
        <v/>
      </c>
      <c r="J1984" t="str">
        <f>IF(COUNT('Weekly Log'!$A$5:$A$5000)=0,"",IF(MIN('Weekly Log'!$A$5:$A$5000)+7*(ROW()-10)&gt;MAX('Weekly Log'!$A$5:$A$5000),"",MIN('Weekly Log'!$A$5:$A$5000)+7*(ROW()-10)))</f>
        <v/>
      </c>
    </row>
    <row r="1985" spans="1:10" x14ac:dyDescent="0.25">
      <c r="A1985" t="str">
        <f t="shared" si="30"/>
        <v/>
      </c>
      <c r="B1985" t="str">
        <f>IF($J1985="","",SUMIFS('Weekly Log'!$C:$C,'Weekly Log'!$A:$A,"&gt;="&amp;$J1985,'Weekly Log'!$A:$A,"&lt;"&amp;$J1985+7))</f>
        <v/>
      </c>
      <c r="C1985" t="str">
        <f>IF($J1985="","",IFERROR(COUNTIFS('Weekly Log'!$G:$G,"Y",'Weekly Log'!$A:$A,"&gt;="&amp;$J1985,'Weekly Log'!$A:$A,"&lt;"&amp;$J1985+7)/COUNTIFS('Weekly Log'!$G:$G,"&lt;&gt;",'Weekly Log'!$A:$A,"&gt;="&amp;$J1985,'Weekly Log'!$A:$A,"&lt;"&amp;$J1985+7),0))</f>
        <v/>
      </c>
      <c r="D1985" t="str">
        <f>IF($J1985="","",IFERROR(COUNTIFS('Weekly Log'!$H:$H,"Y",'Weekly Log'!$A:$A,"&gt;="&amp;$J1985,'Weekly Log'!$A:$A,"&lt;"&amp;$J1985+7)/COUNTIFS('Weekly Log'!$H:$H,"&lt;&gt;",'Weekly Log'!$A:$A,"&gt;="&amp;$J1985,'Weekly Log'!$A:$A,"&lt;"&amp;$J1985+7),0))</f>
        <v/>
      </c>
      <c r="E1985" t="str">
        <f>IF($J1985="","",IFERROR(AVERAGEIFS('Weekly Log'!$F:$F,'Weekly Log'!$A:$A,"&gt;="&amp;$J1985,'Weekly Log'!$A:$A,"&lt;"&amp;$J1985+7),0))</f>
        <v/>
      </c>
      <c r="F1985" t="str">
        <f>IF($J1985="","",IFERROR(SUMIFS('Weekly Log'!$F:$F,'Weekly Log'!$A:$A,"&gt;="&amp;$J1985,'Weekly Log'!$A:$A,"&lt;"&amp;$J1985+7)/SUMIFS('Weekly Log'!$E:$E,'Weekly Log'!$A:$A,"&gt;="&amp;$J1985,'Weekly Log'!$A:$A,"&lt;"&amp;$J1985+7),0))</f>
        <v/>
      </c>
      <c r="G1985" t="str">
        <f>IF($J1985="","",IFERROR(LOOKUP(2,1/(('Weekly Log'!$A$5:$A$5000&gt;=$J1985)*('Weekly Log'!$A$5:$A$5000&lt;$J1985+7)*('Weekly Log'!$M$5:$M$5000&lt;&gt;"")),'Weekly Log'!$M$5:$M$5000),0))</f>
        <v/>
      </c>
      <c r="J1985" t="str">
        <f>IF(COUNT('Weekly Log'!$A$5:$A$5000)=0,"",IF(MIN('Weekly Log'!$A$5:$A$5000)+7*(ROW()-10)&gt;MAX('Weekly Log'!$A$5:$A$5000),"",MIN('Weekly Log'!$A$5:$A$5000)+7*(ROW()-10)))</f>
        <v/>
      </c>
    </row>
    <row r="1986" spans="1:10" x14ac:dyDescent="0.25">
      <c r="A1986" t="str">
        <f t="shared" si="30"/>
        <v/>
      </c>
      <c r="B1986" t="str">
        <f>IF($J1986="","",SUMIFS('Weekly Log'!$C:$C,'Weekly Log'!$A:$A,"&gt;="&amp;$J1986,'Weekly Log'!$A:$A,"&lt;"&amp;$J1986+7))</f>
        <v/>
      </c>
      <c r="C1986" t="str">
        <f>IF($J1986="","",IFERROR(COUNTIFS('Weekly Log'!$G:$G,"Y",'Weekly Log'!$A:$A,"&gt;="&amp;$J1986,'Weekly Log'!$A:$A,"&lt;"&amp;$J1986+7)/COUNTIFS('Weekly Log'!$G:$G,"&lt;&gt;",'Weekly Log'!$A:$A,"&gt;="&amp;$J1986,'Weekly Log'!$A:$A,"&lt;"&amp;$J1986+7),0))</f>
        <v/>
      </c>
      <c r="D1986" t="str">
        <f>IF($J1986="","",IFERROR(COUNTIFS('Weekly Log'!$H:$H,"Y",'Weekly Log'!$A:$A,"&gt;="&amp;$J1986,'Weekly Log'!$A:$A,"&lt;"&amp;$J1986+7)/COUNTIFS('Weekly Log'!$H:$H,"&lt;&gt;",'Weekly Log'!$A:$A,"&gt;="&amp;$J1986,'Weekly Log'!$A:$A,"&lt;"&amp;$J1986+7),0))</f>
        <v/>
      </c>
      <c r="E1986" t="str">
        <f>IF($J1986="","",IFERROR(AVERAGEIFS('Weekly Log'!$F:$F,'Weekly Log'!$A:$A,"&gt;="&amp;$J1986,'Weekly Log'!$A:$A,"&lt;"&amp;$J1986+7),0))</f>
        <v/>
      </c>
      <c r="F1986" t="str">
        <f>IF($J1986="","",IFERROR(SUMIFS('Weekly Log'!$F:$F,'Weekly Log'!$A:$A,"&gt;="&amp;$J1986,'Weekly Log'!$A:$A,"&lt;"&amp;$J1986+7)/SUMIFS('Weekly Log'!$E:$E,'Weekly Log'!$A:$A,"&gt;="&amp;$J1986,'Weekly Log'!$A:$A,"&lt;"&amp;$J1986+7),0))</f>
        <v/>
      </c>
      <c r="G1986" t="str">
        <f>IF($J1986="","",IFERROR(LOOKUP(2,1/(('Weekly Log'!$A$5:$A$5000&gt;=$J1986)*('Weekly Log'!$A$5:$A$5000&lt;$J1986+7)*('Weekly Log'!$M$5:$M$5000&lt;&gt;"")),'Weekly Log'!$M$5:$M$5000),0))</f>
        <v/>
      </c>
      <c r="J1986" t="str">
        <f>IF(COUNT('Weekly Log'!$A$5:$A$5000)=0,"",IF(MIN('Weekly Log'!$A$5:$A$5000)+7*(ROW()-10)&gt;MAX('Weekly Log'!$A$5:$A$5000),"",MIN('Weekly Log'!$A$5:$A$5000)+7*(ROW()-10)))</f>
        <v/>
      </c>
    </row>
    <row r="1987" spans="1:10" x14ac:dyDescent="0.25">
      <c r="A1987" t="str">
        <f t="shared" si="30"/>
        <v/>
      </c>
      <c r="B1987" t="str">
        <f>IF($J1987="","",SUMIFS('Weekly Log'!$C:$C,'Weekly Log'!$A:$A,"&gt;="&amp;$J1987,'Weekly Log'!$A:$A,"&lt;"&amp;$J1987+7))</f>
        <v/>
      </c>
      <c r="C1987" t="str">
        <f>IF($J1987="","",IFERROR(COUNTIFS('Weekly Log'!$G:$G,"Y",'Weekly Log'!$A:$A,"&gt;="&amp;$J1987,'Weekly Log'!$A:$A,"&lt;"&amp;$J1987+7)/COUNTIFS('Weekly Log'!$G:$G,"&lt;&gt;",'Weekly Log'!$A:$A,"&gt;="&amp;$J1987,'Weekly Log'!$A:$A,"&lt;"&amp;$J1987+7),0))</f>
        <v/>
      </c>
      <c r="D1987" t="str">
        <f>IF($J1987="","",IFERROR(COUNTIFS('Weekly Log'!$H:$H,"Y",'Weekly Log'!$A:$A,"&gt;="&amp;$J1987,'Weekly Log'!$A:$A,"&lt;"&amp;$J1987+7)/COUNTIFS('Weekly Log'!$H:$H,"&lt;&gt;",'Weekly Log'!$A:$A,"&gt;="&amp;$J1987,'Weekly Log'!$A:$A,"&lt;"&amp;$J1987+7),0))</f>
        <v/>
      </c>
      <c r="E1987" t="str">
        <f>IF($J1987="","",IFERROR(AVERAGEIFS('Weekly Log'!$F:$F,'Weekly Log'!$A:$A,"&gt;="&amp;$J1987,'Weekly Log'!$A:$A,"&lt;"&amp;$J1987+7),0))</f>
        <v/>
      </c>
      <c r="F1987" t="str">
        <f>IF($J1987="","",IFERROR(SUMIFS('Weekly Log'!$F:$F,'Weekly Log'!$A:$A,"&gt;="&amp;$J1987,'Weekly Log'!$A:$A,"&lt;"&amp;$J1987+7)/SUMIFS('Weekly Log'!$E:$E,'Weekly Log'!$A:$A,"&gt;="&amp;$J1987,'Weekly Log'!$A:$A,"&lt;"&amp;$J1987+7),0))</f>
        <v/>
      </c>
      <c r="G1987" t="str">
        <f>IF($J1987="","",IFERROR(LOOKUP(2,1/(('Weekly Log'!$A$5:$A$5000&gt;=$J1987)*('Weekly Log'!$A$5:$A$5000&lt;$J1987+7)*('Weekly Log'!$M$5:$M$5000&lt;&gt;"")),'Weekly Log'!$M$5:$M$5000),0))</f>
        <v/>
      </c>
      <c r="J1987" t="str">
        <f>IF(COUNT('Weekly Log'!$A$5:$A$5000)=0,"",IF(MIN('Weekly Log'!$A$5:$A$5000)+7*(ROW()-10)&gt;MAX('Weekly Log'!$A$5:$A$5000),"",MIN('Weekly Log'!$A$5:$A$5000)+7*(ROW()-10)))</f>
        <v/>
      </c>
    </row>
    <row r="1988" spans="1:10" x14ac:dyDescent="0.25">
      <c r="A1988" t="str">
        <f t="shared" si="30"/>
        <v/>
      </c>
      <c r="B1988" t="str">
        <f>IF($J1988="","",SUMIFS('Weekly Log'!$C:$C,'Weekly Log'!$A:$A,"&gt;="&amp;$J1988,'Weekly Log'!$A:$A,"&lt;"&amp;$J1988+7))</f>
        <v/>
      </c>
      <c r="C1988" t="str">
        <f>IF($J1988="","",IFERROR(COUNTIFS('Weekly Log'!$G:$G,"Y",'Weekly Log'!$A:$A,"&gt;="&amp;$J1988,'Weekly Log'!$A:$A,"&lt;"&amp;$J1988+7)/COUNTIFS('Weekly Log'!$G:$G,"&lt;&gt;",'Weekly Log'!$A:$A,"&gt;="&amp;$J1988,'Weekly Log'!$A:$A,"&lt;"&amp;$J1988+7),0))</f>
        <v/>
      </c>
      <c r="D1988" t="str">
        <f>IF($J1988="","",IFERROR(COUNTIFS('Weekly Log'!$H:$H,"Y",'Weekly Log'!$A:$A,"&gt;="&amp;$J1988,'Weekly Log'!$A:$A,"&lt;"&amp;$J1988+7)/COUNTIFS('Weekly Log'!$H:$H,"&lt;&gt;",'Weekly Log'!$A:$A,"&gt;="&amp;$J1988,'Weekly Log'!$A:$A,"&lt;"&amp;$J1988+7),0))</f>
        <v/>
      </c>
      <c r="E1988" t="str">
        <f>IF($J1988="","",IFERROR(AVERAGEIFS('Weekly Log'!$F:$F,'Weekly Log'!$A:$A,"&gt;="&amp;$J1988,'Weekly Log'!$A:$A,"&lt;"&amp;$J1988+7),0))</f>
        <v/>
      </c>
      <c r="F1988" t="str">
        <f>IF($J1988="","",IFERROR(SUMIFS('Weekly Log'!$F:$F,'Weekly Log'!$A:$A,"&gt;="&amp;$J1988,'Weekly Log'!$A:$A,"&lt;"&amp;$J1988+7)/SUMIFS('Weekly Log'!$E:$E,'Weekly Log'!$A:$A,"&gt;="&amp;$J1988,'Weekly Log'!$A:$A,"&lt;"&amp;$J1988+7),0))</f>
        <v/>
      </c>
      <c r="G1988" t="str">
        <f>IF($J1988="","",IFERROR(LOOKUP(2,1/(('Weekly Log'!$A$5:$A$5000&gt;=$J1988)*('Weekly Log'!$A$5:$A$5000&lt;$J1988+7)*('Weekly Log'!$M$5:$M$5000&lt;&gt;"")),'Weekly Log'!$M$5:$M$5000),0))</f>
        <v/>
      </c>
      <c r="J1988" t="str">
        <f>IF(COUNT('Weekly Log'!$A$5:$A$5000)=0,"",IF(MIN('Weekly Log'!$A$5:$A$5000)+7*(ROW()-10)&gt;MAX('Weekly Log'!$A$5:$A$5000),"",MIN('Weekly Log'!$A$5:$A$5000)+7*(ROW()-10)))</f>
        <v/>
      </c>
    </row>
    <row r="1989" spans="1:10" x14ac:dyDescent="0.25">
      <c r="A1989" t="str">
        <f t="shared" si="30"/>
        <v/>
      </c>
      <c r="B1989" t="str">
        <f>IF($J1989="","",SUMIFS('Weekly Log'!$C:$C,'Weekly Log'!$A:$A,"&gt;="&amp;$J1989,'Weekly Log'!$A:$A,"&lt;"&amp;$J1989+7))</f>
        <v/>
      </c>
      <c r="C1989" t="str">
        <f>IF($J1989="","",IFERROR(COUNTIFS('Weekly Log'!$G:$G,"Y",'Weekly Log'!$A:$A,"&gt;="&amp;$J1989,'Weekly Log'!$A:$A,"&lt;"&amp;$J1989+7)/COUNTIFS('Weekly Log'!$G:$G,"&lt;&gt;",'Weekly Log'!$A:$A,"&gt;="&amp;$J1989,'Weekly Log'!$A:$A,"&lt;"&amp;$J1989+7),0))</f>
        <v/>
      </c>
      <c r="D1989" t="str">
        <f>IF($J1989="","",IFERROR(COUNTIFS('Weekly Log'!$H:$H,"Y",'Weekly Log'!$A:$A,"&gt;="&amp;$J1989,'Weekly Log'!$A:$A,"&lt;"&amp;$J1989+7)/COUNTIFS('Weekly Log'!$H:$H,"&lt;&gt;",'Weekly Log'!$A:$A,"&gt;="&amp;$J1989,'Weekly Log'!$A:$A,"&lt;"&amp;$J1989+7),0))</f>
        <v/>
      </c>
      <c r="E1989" t="str">
        <f>IF($J1989="","",IFERROR(AVERAGEIFS('Weekly Log'!$F:$F,'Weekly Log'!$A:$A,"&gt;="&amp;$J1989,'Weekly Log'!$A:$A,"&lt;"&amp;$J1989+7),0))</f>
        <v/>
      </c>
      <c r="F1989" t="str">
        <f>IF($J1989="","",IFERROR(SUMIFS('Weekly Log'!$F:$F,'Weekly Log'!$A:$A,"&gt;="&amp;$J1989,'Weekly Log'!$A:$A,"&lt;"&amp;$J1989+7)/SUMIFS('Weekly Log'!$E:$E,'Weekly Log'!$A:$A,"&gt;="&amp;$J1989,'Weekly Log'!$A:$A,"&lt;"&amp;$J1989+7),0))</f>
        <v/>
      </c>
      <c r="G1989" t="str">
        <f>IF($J1989="","",IFERROR(LOOKUP(2,1/(('Weekly Log'!$A$5:$A$5000&gt;=$J1989)*('Weekly Log'!$A$5:$A$5000&lt;$J1989+7)*('Weekly Log'!$M$5:$M$5000&lt;&gt;"")),'Weekly Log'!$M$5:$M$5000),0))</f>
        <v/>
      </c>
      <c r="J1989" t="str">
        <f>IF(COUNT('Weekly Log'!$A$5:$A$5000)=0,"",IF(MIN('Weekly Log'!$A$5:$A$5000)+7*(ROW()-10)&gt;MAX('Weekly Log'!$A$5:$A$5000),"",MIN('Weekly Log'!$A$5:$A$5000)+7*(ROW()-10)))</f>
        <v/>
      </c>
    </row>
    <row r="1990" spans="1:10" x14ac:dyDescent="0.25">
      <c r="A1990" t="str">
        <f t="shared" si="30"/>
        <v/>
      </c>
      <c r="B1990" t="str">
        <f>IF($J1990="","",SUMIFS('Weekly Log'!$C:$C,'Weekly Log'!$A:$A,"&gt;="&amp;$J1990,'Weekly Log'!$A:$A,"&lt;"&amp;$J1990+7))</f>
        <v/>
      </c>
      <c r="C1990" t="str">
        <f>IF($J1990="","",IFERROR(COUNTIFS('Weekly Log'!$G:$G,"Y",'Weekly Log'!$A:$A,"&gt;="&amp;$J1990,'Weekly Log'!$A:$A,"&lt;"&amp;$J1990+7)/COUNTIFS('Weekly Log'!$G:$G,"&lt;&gt;",'Weekly Log'!$A:$A,"&gt;="&amp;$J1990,'Weekly Log'!$A:$A,"&lt;"&amp;$J1990+7),0))</f>
        <v/>
      </c>
      <c r="D1990" t="str">
        <f>IF($J1990="","",IFERROR(COUNTIFS('Weekly Log'!$H:$H,"Y",'Weekly Log'!$A:$A,"&gt;="&amp;$J1990,'Weekly Log'!$A:$A,"&lt;"&amp;$J1990+7)/COUNTIFS('Weekly Log'!$H:$H,"&lt;&gt;",'Weekly Log'!$A:$A,"&gt;="&amp;$J1990,'Weekly Log'!$A:$A,"&lt;"&amp;$J1990+7),0))</f>
        <v/>
      </c>
      <c r="E1990" t="str">
        <f>IF($J1990="","",IFERROR(AVERAGEIFS('Weekly Log'!$F:$F,'Weekly Log'!$A:$A,"&gt;="&amp;$J1990,'Weekly Log'!$A:$A,"&lt;"&amp;$J1990+7),0))</f>
        <v/>
      </c>
      <c r="F1990" t="str">
        <f>IF($J1990="","",IFERROR(SUMIFS('Weekly Log'!$F:$F,'Weekly Log'!$A:$A,"&gt;="&amp;$J1990,'Weekly Log'!$A:$A,"&lt;"&amp;$J1990+7)/SUMIFS('Weekly Log'!$E:$E,'Weekly Log'!$A:$A,"&gt;="&amp;$J1990,'Weekly Log'!$A:$A,"&lt;"&amp;$J1990+7),0))</f>
        <v/>
      </c>
      <c r="G1990" t="str">
        <f>IF($J1990="","",IFERROR(LOOKUP(2,1/(('Weekly Log'!$A$5:$A$5000&gt;=$J1990)*('Weekly Log'!$A$5:$A$5000&lt;$J1990+7)*('Weekly Log'!$M$5:$M$5000&lt;&gt;"")),'Weekly Log'!$M$5:$M$5000),0))</f>
        <v/>
      </c>
      <c r="J1990" t="str">
        <f>IF(COUNT('Weekly Log'!$A$5:$A$5000)=0,"",IF(MIN('Weekly Log'!$A$5:$A$5000)+7*(ROW()-10)&gt;MAX('Weekly Log'!$A$5:$A$5000),"",MIN('Weekly Log'!$A$5:$A$5000)+7*(ROW()-10)))</f>
        <v/>
      </c>
    </row>
    <row r="1991" spans="1:10" x14ac:dyDescent="0.25">
      <c r="A1991" t="str">
        <f t="shared" si="30"/>
        <v/>
      </c>
      <c r="B1991" t="str">
        <f>IF($J1991="","",SUMIFS('Weekly Log'!$C:$C,'Weekly Log'!$A:$A,"&gt;="&amp;$J1991,'Weekly Log'!$A:$A,"&lt;"&amp;$J1991+7))</f>
        <v/>
      </c>
      <c r="C1991" t="str">
        <f>IF($J1991="","",IFERROR(COUNTIFS('Weekly Log'!$G:$G,"Y",'Weekly Log'!$A:$A,"&gt;="&amp;$J1991,'Weekly Log'!$A:$A,"&lt;"&amp;$J1991+7)/COUNTIFS('Weekly Log'!$G:$G,"&lt;&gt;",'Weekly Log'!$A:$A,"&gt;="&amp;$J1991,'Weekly Log'!$A:$A,"&lt;"&amp;$J1991+7),0))</f>
        <v/>
      </c>
      <c r="D1991" t="str">
        <f>IF($J1991="","",IFERROR(COUNTIFS('Weekly Log'!$H:$H,"Y",'Weekly Log'!$A:$A,"&gt;="&amp;$J1991,'Weekly Log'!$A:$A,"&lt;"&amp;$J1991+7)/COUNTIFS('Weekly Log'!$H:$H,"&lt;&gt;",'Weekly Log'!$A:$A,"&gt;="&amp;$J1991,'Weekly Log'!$A:$A,"&lt;"&amp;$J1991+7),0))</f>
        <v/>
      </c>
      <c r="E1991" t="str">
        <f>IF($J1991="","",IFERROR(AVERAGEIFS('Weekly Log'!$F:$F,'Weekly Log'!$A:$A,"&gt;="&amp;$J1991,'Weekly Log'!$A:$A,"&lt;"&amp;$J1991+7),0))</f>
        <v/>
      </c>
      <c r="F1991" t="str">
        <f>IF($J1991="","",IFERROR(SUMIFS('Weekly Log'!$F:$F,'Weekly Log'!$A:$A,"&gt;="&amp;$J1991,'Weekly Log'!$A:$A,"&lt;"&amp;$J1991+7)/SUMIFS('Weekly Log'!$E:$E,'Weekly Log'!$A:$A,"&gt;="&amp;$J1991,'Weekly Log'!$A:$A,"&lt;"&amp;$J1991+7),0))</f>
        <v/>
      </c>
      <c r="G1991" t="str">
        <f>IF($J1991="","",IFERROR(LOOKUP(2,1/(('Weekly Log'!$A$5:$A$5000&gt;=$J1991)*('Weekly Log'!$A$5:$A$5000&lt;$J1991+7)*('Weekly Log'!$M$5:$M$5000&lt;&gt;"")),'Weekly Log'!$M$5:$M$5000),0))</f>
        <v/>
      </c>
      <c r="J1991" t="str">
        <f>IF(COUNT('Weekly Log'!$A$5:$A$5000)=0,"",IF(MIN('Weekly Log'!$A$5:$A$5000)+7*(ROW()-10)&gt;MAX('Weekly Log'!$A$5:$A$5000),"",MIN('Weekly Log'!$A$5:$A$5000)+7*(ROW()-10)))</f>
        <v/>
      </c>
    </row>
    <row r="1992" spans="1:10" x14ac:dyDescent="0.25">
      <c r="A1992" t="str">
        <f t="shared" si="30"/>
        <v/>
      </c>
      <c r="B1992" t="str">
        <f>IF($J1992="","",SUMIFS('Weekly Log'!$C:$C,'Weekly Log'!$A:$A,"&gt;="&amp;$J1992,'Weekly Log'!$A:$A,"&lt;"&amp;$J1992+7))</f>
        <v/>
      </c>
      <c r="C1992" t="str">
        <f>IF($J1992="","",IFERROR(COUNTIFS('Weekly Log'!$G:$G,"Y",'Weekly Log'!$A:$A,"&gt;="&amp;$J1992,'Weekly Log'!$A:$A,"&lt;"&amp;$J1992+7)/COUNTIFS('Weekly Log'!$G:$G,"&lt;&gt;",'Weekly Log'!$A:$A,"&gt;="&amp;$J1992,'Weekly Log'!$A:$A,"&lt;"&amp;$J1992+7),0))</f>
        <v/>
      </c>
      <c r="D1992" t="str">
        <f>IF($J1992="","",IFERROR(COUNTIFS('Weekly Log'!$H:$H,"Y",'Weekly Log'!$A:$A,"&gt;="&amp;$J1992,'Weekly Log'!$A:$A,"&lt;"&amp;$J1992+7)/COUNTIFS('Weekly Log'!$H:$H,"&lt;&gt;",'Weekly Log'!$A:$A,"&gt;="&amp;$J1992,'Weekly Log'!$A:$A,"&lt;"&amp;$J1992+7),0))</f>
        <v/>
      </c>
      <c r="E1992" t="str">
        <f>IF($J1992="","",IFERROR(AVERAGEIFS('Weekly Log'!$F:$F,'Weekly Log'!$A:$A,"&gt;="&amp;$J1992,'Weekly Log'!$A:$A,"&lt;"&amp;$J1992+7),0))</f>
        <v/>
      </c>
      <c r="F1992" t="str">
        <f>IF($J1992="","",IFERROR(SUMIFS('Weekly Log'!$F:$F,'Weekly Log'!$A:$A,"&gt;="&amp;$J1992,'Weekly Log'!$A:$A,"&lt;"&amp;$J1992+7)/SUMIFS('Weekly Log'!$E:$E,'Weekly Log'!$A:$A,"&gt;="&amp;$J1992,'Weekly Log'!$A:$A,"&lt;"&amp;$J1992+7),0))</f>
        <v/>
      </c>
      <c r="G1992" t="str">
        <f>IF($J1992="","",IFERROR(LOOKUP(2,1/(('Weekly Log'!$A$5:$A$5000&gt;=$J1992)*('Weekly Log'!$A$5:$A$5000&lt;$J1992+7)*('Weekly Log'!$M$5:$M$5000&lt;&gt;"")),'Weekly Log'!$M$5:$M$5000),0))</f>
        <v/>
      </c>
      <c r="J1992" t="str">
        <f>IF(COUNT('Weekly Log'!$A$5:$A$5000)=0,"",IF(MIN('Weekly Log'!$A$5:$A$5000)+7*(ROW()-10)&gt;MAX('Weekly Log'!$A$5:$A$5000),"",MIN('Weekly Log'!$A$5:$A$5000)+7*(ROW()-10)))</f>
        <v/>
      </c>
    </row>
    <row r="1993" spans="1:10" x14ac:dyDescent="0.25">
      <c r="A1993" t="str">
        <f t="shared" si="30"/>
        <v/>
      </c>
      <c r="B1993" t="str">
        <f>IF($J1993="","",SUMIFS('Weekly Log'!$C:$C,'Weekly Log'!$A:$A,"&gt;="&amp;$J1993,'Weekly Log'!$A:$A,"&lt;"&amp;$J1993+7))</f>
        <v/>
      </c>
      <c r="C1993" t="str">
        <f>IF($J1993="","",IFERROR(COUNTIFS('Weekly Log'!$G:$G,"Y",'Weekly Log'!$A:$A,"&gt;="&amp;$J1993,'Weekly Log'!$A:$A,"&lt;"&amp;$J1993+7)/COUNTIFS('Weekly Log'!$G:$G,"&lt;&gt;",'Weekly Log'!$A:$A,"&gt;="&amp;$J1993,'Weekly Log'!$A:$A,"&lt;"&amp;$J1993+7),0))</f>
        <v/>
      </c>
      <c r="D1993" t="str">
        <f>IF($J1993="","",IFERROR(COUNTIFS('Weekly Log'!$H:$H,"Y",'Weekly Log'!$A:$A,"&gt;="&amp;$J1993,'Weekly Log'!$A:$A,"&lt;"&amp;$J1993+7)/COUNTIFS('Weekly Log'!$H:$H,"&lt;&gt;",'Weekly Log'!$A:$A,"&gt;="&amp;$J1993,'Weekly Log'!$A:$A,"&lt;"&amp;$J1993+7),0))</f>
        <v/>
      </c>
      <c r="E1993" t="str">
        <f>IF($J1993="","",IFERROR(AVERAGEIFS('Weekly Log'!$F:$F,'Weekly Log'!$A:$A,"&gt;="&amp;$J1993,'Weekly Log'!$A:$A,"&lt;"&amp;$J1993+7),0))</f>
        <v/>
      </c>
      <c r="F1993" t="str">
        <f>IF($J1993="","",IFERROR(SUMIFS('Weekly Log'!$F:$F,'Weekly Log'!$A:$A,"&gt;="&amp;$J1993,'Weekly Log'!$A:$A,"&lt;"&amp;$J1993+7)/SUMIFS('Weekly Log'!$E:$E,'Weekly Log'!$A:$A,"&gt;="&amp;$J1993,'Weekly Log'!$A:$A,"&lt;"&amp;$J1993+7),0))</f>
        <v/>
      </c>
      <c r="G1993" t="str">
        <f>IF($J1993="","",IFERROR(LOOKUP(2,1/(('Weekly Log'!$A$5:$A$5000&gt;=$J1993)*('Weekly Log'!$A$5:$A$5000&lt;$J1993+7)*('Weekly Log'!$M$5:$M$5000&lt;&gt;"")),'Weekly Log'!$M$5:$M$5000),0))</f>
        <v/>
      </c>
      <c r="J1993" t="str">
        <f>IF(COUNT('Weekly Log'!$A$5:$A$5000)=0,"",IF(MIN('Weekly Log'!$A$5:$A$5000)+7*(ROW()-10)&gt;MAX('Weekly Log'!$A$5:$A$5000),"",MIN('Weekly Log'!$A$5:$A$5000)+7*(ROW()-10)))</f>
        <v/>
      </c>
    </row>
    <row r="1994" spans="1:10" x14ac:dyDescent="0.25">
      <c r="A1994" t="str">
        <f t="shared" ref="A1994:A2000" si="31">IF($J1994="","",YEAR($J1994-WEEKDAY($J1994,2)+4)&amp;"-W"&amp;TEXT(WEEKNUM($J1994,21),"00"))</f>
        <v/>
      </c>
      <c r="B1994" t="str">
        <f>IF($J1994="","",SUMIFS('Weekly Log'!$C:$C,'Weekly Log'!$A:$A,"&gt;="&amp;$J1994,'Weekly Log'!$A:$A,"&lt;"&amp;$J1994+7))</f>
        <v/>
      </c>
      <c r="C1994" t="str">
        <f>IF($J1994="","",IFERROR(COUNTIFS('Weekly Log'!$G:$G,"Y",'Weekly Log'!$A:$A,"&gt;="&amp;$J1994,'Weekly Log'!$A:$A,"&lt;"&amp;$J1994+7)/COUNTIFS('Weekly Log'!$G:$G,"&lt;&gt;",'Weekly Log'!$A:$A,"&gt;="&amp;$J1994,'Weekly Log'!$A:$A,"&lt;"&amp;$J1994+7),0))</f>
        <v/>
      </c>
      <c r="D1994" t="str">
        <f>IF($J1994="","",IFERROR(COUNTIFS('Weekly Log'!$H:$H,"Y",'Weekly Log'!$A:$A,"&gt;="&amp;$J1994,'Weekly Log'!$A:$A,"&lt;"&amp;$J1994+7)/COUNTIFS('Weekly Log'!$H:$H,"&lt;&gt;",'Weekly Log'!$A:$A,"&gt;="&amp;$J1994,'Weekly Log'!$A:$A,"&lt;"&amp;$J1994+7),0))</f>
        <v/>
      </c>
      <c r="E1994" t="str">
        <f>IF($J1994="","",IFERROR(AVERAGEIFS('Weekly Log'!$F:$F,'Weekly Log'!$A:$A,"&gt;="&amp;$J1994,'Weekly Log'!$A:$A,"&lt;"&amp;$J1994+7),0))</f>
        <v/>
      </c>
      <c r="F1994" t="str">
        <f>IF($J1994="","",IFERROR(SUMIFS('Weekly Log'!$F:$F,'Weekly Log'!$A:$A,"&gt;="&amp;$J1994,'Weekly Log'!$A:$A,"&lt;"&amp;$J1994+7)/SUMIFS('Weekly Log'!$E:$E,'Weekly Log'!$A:$A,"&gt;="&amp;$J1994,'Weekly Log'!$A:$A,"&lt;"&amp;$J1994+7),0))</f>
        <v/>
      </c>
      <c r="G1994" t="str">
        <f>IF($J1994="","",IFERROR(LOOKUP(2,1/(('Weekly Log'!$A$5:$A$5000&gt;=$J1994)*('Weekly Log'!$A$5:$A$5000&lt;$J1994+7)*('Weekly Log'!$M$5:$M$5000&lt;&gt;"")),'Weekly Log'!$M$5:$M$5000),0))</f>
        <v/>
      </c>
      <c r="J1994" t="str">
        <f>IF(COUNT('Weekly Log'!$A$5:$A$5000)=0,"",IF(MIN('Weekly Log'!$A$5:$A$5000)+7*(ROW()-10)&gt;MAX('Weekly Log'!$A$5:$A$5000),"",MIN('Weekly Log'!$A$5:$A$5000)+7*(ROW()-10)))</f>
        <v/>
      </c>
    </row>
    <row r="1995" spans="1:10" x14ac:dyDescent="0.25">
      <c r="A1995" t="str">
        <f t="shared" si="31"/>
        <v/>
      </c>
      <c r="B1995" t="str">
        <f>IF($J1995="","",SUMIFS('Weekly Log'!$C:$C,'Weekly Log'!$A:$A,"&gt;="&amp;$J1995,'Weekly Log'!$A:$A,"&lt;"&amp;$J1995+7))</f>
        <v/>
      </c>
      <c r="C1995" t="str">
        <f>IF($J1995="","",IFERROR(COUNTIFS('Weekly Log'!$G:$G,"Y",'Weekly Log'!$A:$A,"&gt;="&amp;$J1995,'Weekly Log'!$A:$A,"&lt;"&amp;$J1995+7)/COUNTIFS('Weekly Log'!$G:$G,"&lt;&gt;",'Weekly Log'!$A:$A,"&gt;="&amp;$J1995,'Weekly Log'!$A:$A,"&lt;"&amp;$J1995+7),0))</f>
        <v/>
      </c>
      <c r="D1995" t="str">
        <f>IF($J1995="","",IFERROR(COUNTIFS('Weekly Log'!$H:$H,"Y",'Weekly Log'!$A:$A,"&gt;="&amp;$J1995,'Weekly Log'!$A:$A,"&lt;"&amp;$J1995+7)/COUNTIFS('Weekly Log'!$H:$H,"&lt;&gt;",'Weekly Log'!$A:$A,"&gt;="&amp;$J1995,'Weekly Log'!$A:$A,"&lt;"&amp;$J1995+7),0))</f>
        <v/>
      </c>
      <c r="E1995" t="str">
        <f>IF($J1995="","",IFERROR(AVERAGEIFS('Weekly Log'!$F:$F,'Weekly Log'!$A:$A,"&gt;="&amp;$J1995,'Weekly Log'!$A:$A,"&lt;"&amp;$J1995+7),0))</f>
        <v/>
      </c>
      <c r="F1995" t="str">
        <f>IF($J1995="","",IFERROR(SUMIFS('Weekly Log'!$F:$F,'Weekly Log'!$A:$A,"&gt;="&amp;$J1995,'Weekly Log'!$A:$A,"&lt;"&amp;$J1995+7)/SUMIFS('Weekly Log'!$E:$E,'Weekly Log'!$A:$A,"&gt;="&amp;$J1995,'Weekly Log'!$A:$A,"&lt;"&amp;$J1995+7),0))</f>
        <v/>
      </c>
      <c r="G1995" t="str">
        <f>IF($J1995="","",IFERROR(LOOKUP(2,1/(('Weekly Log'!$A$5:$A$5000&gt;=$J1995)*('Weekly Log'!$A$5:$A$5000&lt;$J1995+7)*('Weekly Log'!$M$5:$M$5000&lt;&gt;"")),'Weekly Log'!$M$5:$M$5000),0))</f>
        <v/>
      </c>
      <c r="J1995" t="str">
        <f>IF(COUNT('Weekly Log'!$A$5:$A$5000)=0,"",IF(MIN('Weekly Log'!$A$5:$A$5000)+7*(ROW()-10)&gt;MAX('Weekly Log'!$A$5:$A$5000),"",MIN('Weekly Log'!$A$5:$A$5000)+7*(ROW()-10)))</f>
        <v/>
      </c>
    </row>
    <row r="1996" spans="1:10" x14ac:dyDescent="0.25">
      <c r="A1996" t="str">
        <f t="shared" si="31"/>
        <v/>
      </c>
      <c r="B1996" t="str">
        <f>IF($J1996="","",SUMIFS('Weekly Log'!$C:$C,'Weekly Log'!$A:$A,"&gt;="&amp;$J1996,'Weekly Log'!$A:$A,"&lt;"&amp;$J1996+7))</f>
        <v/>
      </c>
      <c r="C1996" t="str">
        <f>IF($J1996="","",IFERROR(COUNTIFS('Weekly Log'!$G:$G,"Y",'Weekly Log'!$A:$A,"&gt;="&amp;$J1996,'Weekly Log'!$A:$A,"&lt;"&amp;$J1996+7)/COUNTIFS('Weekly Log'!$G:$G,"&lt;&gt;",'Weekly Log'!$A:$A,"&gt;="&amp;$J1996,'Weekly Log'!$A:$A,"&lt;"&amp;$J1996+7),0))</f>
        <v/>
      </c>
      <c r="D1996" t="str">
        <f>IF($J1996="","",IFERROR(COUNTIFS('Weekly Log'!$H:$H,"Y",'Weekly Log'!$A:$A,"&gt;="&amp;$J1996,'Weekly Log'!$A:$A,"&lt;"&amp;$J1996+7)/COUNTIFS('Weekly Log'!$H:$H,"&lt;&gt;",'Weekly Log'!$A:$A,"&gt;="&amp;$J1996,'Weekly Log'!$A:$A,"&lt;"&amp;$J1996+7),0))</f>
        <v/>
      </c>
      <c r="E1996" t="str">
        <f>IF($J1996="","",IFERROR(AVERAGEIFS('Weekly Log'!$F:$F,'Weekly Log'!$A:$A,"&gt;="&amp;$J1996,'Weekly Log'!$A:$A,"&lt;"&amp;$J1996+7),0))</f>
        <v/>
      </c>
      <c r="F1996" t="str">
        <f>IF($J1996="","",IFERROR(SUMIFS('Weekly Log'!$F:$F,'Weekly Log'!$A:$A,"&gt;="&amp;$J1996,'Weekly Log'!$A:$A,"&lt;"&amp;$J1996+7)/SUMIFS('Weekly Log'!$E:$E,'Weekly Log'!$A:$A,"&gt;="&amp;$J1996,'Weekly Log'!$A:$A,"&lt;"&amp;$J1996+7),0))</f>
        <v/>
      </c>
      <c r="G1996" t="str">
        <f>IF($J1996="","",IFERROR(LOOKUP(2,1/(('Weekly Log'!$A$5:$A$5000&gt;=$J1996)*('Weekly Log'!$A$5:$A$5000&lt;$J1996+7)*('Weekly Log'!$M$5:$M$5000&lt;&gt;"")),'Weekly Log'!$M$5:$M$5000),0))</f>
        <v/>
      </c>
      <c r="J1996" t="str">
        <f>IF(COUNT('Weekly Log'!$A$5:$A$5000)=0,"",IF(MIN('Weekly Log'!$A$5:$A$5000)+7*(ROW()-10)&gt;MAX('Weekly Log'!$A$5:$A$5000),"",MIN('Weekly Log'!$A$5:$A$5000)+7*(ROW()-10)))</f>
        <v/>
      </c>
    </row>
    <row r="1997" spans="1:10" x14ac:dyDescent="0.25">
      <c r="A1997" t="str">
        <f t="shared" si="31"/>
        <v/>
      </c>
      <c r="B1997" t="str">
        <f>IF($J1997="","",SUMIFS('Weekly Log'!$C:$C,'Weekly Log'!$A:$A,"&gt;="&amp;$J1997,'Weekly Log'!$A:$A,"&lt;"&amp;$J1997+7))</f>
        <v/>
      </c>
      <c r="C1997" t="str">
        <f>IF($J1997="","",IFERROR(COUNTIFS('Weekly Log'!$G:$G,"Y",'Weekly Log'!$A:$A,"&gt;="&amp;$J1997,'Weekly Log'!$A:$A,"&lt;"&amp;$J1997+7)/COUNTIFS('Weekly Log'!$G:$G,"&lt;&gt;",'Weekly Log'!$A:$A,"&gt;="&amp;$J1997,'Weekly Log'!$A:$A,"&lt;"&amp;$J1997+7),0))</f>
        <v/>
      </c>
      <c r="D1997" t="str">
        <f>IF($J1997="","",IFERROR(COUNTIFS('Weekly Log'!$H:$H,"Y",'Weekly Log'!$A:$A,"&gt;="&amp;$J1997,'Weekly Log'!$A:$A,"&lt;"&amp;$J1997+7)/COUNTIFS('Weekly Log'!$H:$H,"&lt;&gt;",'Weekly Log'!$A:$A,"&gt;="&amp;$J1997,'Weekly Log'!$A:$A,"&lt;"&amp;$J1997+7),0))</f>
        <v/>
      </c>
      <c r="E1997" t="str">
        <f>IF($J1997="","",IFERROR(AVERAGEIFS('Weekly Log'!$F:$F,'Weekly Log'!$A:$A,"&gt;="&amp;$J1997,'Weekly Log'!$A:$A,"&lt;"&amp;$J1997+7),0))</f>
        <v/>
      </c>
      <c r="F1997" t="str">
        <f>IF($J1997="","",IFERROR(SUMIFS('Weekly Log'!$F:$F,'Weekly Log'!$A:$A,"&gt;="&amp;$J1997,'Weekly Log'!$A:$A,"&lt;"&amp;$J1997+7)/SUMIFS('Weekly Log'!$E:$E,'Weekly Log'!$A:$A,"&gt;="&amp;$J1997,'Weekly Log'!$A:$A,"&lt;"&amp;$J1997+7),0))</f>
        <v/>
      </c>
      <c r="G1997" t="str">
        <f>IF($J1997="","",IFERROR(LOOKUP(2,1/(('Weekly Log'!$A$5:$A$5000&gt;=$J1997)*('Weekly Log'!$A$5:$A$5000&lt;$J1997+7)*('Weekly Log'!$M$5:$M$5000&lt;&gt;"")),'Weekly Log'!$M$5:$M$5000),0))</f>
        <v/>
      </c>
      <c r="J1997" t="str">
        <f>IF(COUNT('Weekly Log'!$A$5:$A$5000)=0,"",IF(MIN('Weekly Log'!$A$5:$A$5000)+7*(ROW()-10)&gt;MAX('Weekly Log'!$A$5:$A$5000),"",MIN('Weekly Log'!$A$5:$A$5000)+7*(ROW()-10)))</f>
        <v/>
      </c>
    </row>
    <row r="1998" spans="1:10" x14ac:dyDescent="0.25">
      <c r="A1998" t="str">
        <f t="shared" si="31"/>
        <v/>
      </c>
      <c r="B1998" t="str">
        <f>IF($J1998="","",SUMIFS('Weekly Log'!$C:$C,'Weekly Log'!$A:$A,"&gt;="&amp;$J1998,'Weekly Log'!$A:$A,"&lt;"&amp;$J1998+7))</f>
        <v/>
      </c>
      <c r="C1998" t="str">
        <f>IF($J1998="","",IFERROR(COUNTIFS('Weekly Log'!$G:$G,"Y",'Weekly Log'!$A:$A,"&gt;="&amp;$J1998,'Weekly Log'!$A:$A,"&lt;"&amp;$J1998+7)/COUNTIFS('Weekly Log'!$G:$G,"&lt;&gt;",'Weekly Log'!$A:$A,"&gt;="&amp;$J1998,'Weekly Log'!$A:$A,"&lt;"&amp;$J1998+7),0))</f>
        <v/>
      </c>
      <c r="D1998" t="str">
        <f>IF($J1998="","",IFERROR(COUNTIFS('Weekly Log'!$H:$H,"Y",'Weekly Log'!$A:$A,"&gt;="&amp;$J1998,'Weekly Log'!$A:$A,"&lt;"&amp;$J1998+7)/COUNTIFS('Weekly Log'!$H:$H,"&lt;&gt;",'Weekly Log'!$A:$A,"&gt;="&amp;$J1998,'Weekly Log'!$A:$A,"&lt;"&amp;$J1998+7),0))</f>
        <v/>
      </c>
      <c r="E1998" t="str">
        <f>IF($J1998="","",IFERROR(AVERAGEIFS('Weekly Log'!$F:$F,'Weekly Log'!$A:$A,"&gt;="&amp;$J1998,'Weekly Log'!$A:$A,"&lt;"&amp;$J1998+7),0))</f>
        <v/>
      </c>
      <c r="F1998" t="str">
        <f>IF($J1998="","",IFERROR(SUMIFS('Weekly Log'!$F:$F,'Weekly Log'!$A:$A,"&gt;="&amp;$J1998,'Weekly Log'!$A:$A,"&lt;"&amp;$J1998+7)/SUMIFS('Weekly Log'!$E:$E,'Weekly Log'!$A:$A,"&gt;="&amp;$J1998,'Weekly Log'!$A:$A,"&lt;"&amp;$J1998+7),0))</f>
        <v/>
      </c>
      <c r="G1998" t="str">
        <f>IF($J1998="","",IFERROR(LOOKUP(2,1/(('Weekly Log'!$A$5:$A$5000&gt;=$J1998)*('Weekly Log'!$A$5:$A$5000&lt;$J1998+7)*('Weekly Log'!$M$5:$M$5000&lt;&gt;"")),'Weekly Log'!$M$5:$M$5000),0))</f>
        <v/>
      </c>
      <c r="J1998" t="str">
        <f>IF(COUNT('Weekly Log'!$A$5:$A$5000)=0,"",IF(MIN('Weekly Log'!$A$5:$A$5000)+7*(ROW()-10)&gt;MAX('Weekly Log'!$A$5:$A$5000),"",MIN('Weekly Log'!$A$5:$A$5000)+7*(ROW()-10)))</f>
        <v/>
      </c>
    </row>
    <row r="1999" spans="1:10" x14ac:dyDescent="0.25">
      <c r="A1999" t="str">
        <f t="shared" si="31"/>
        <v/>
      </c>
      <c r="B1999" t="str">
        <f>IF($J1999="","",SUMIFS('Weekly Log'!$C:$C,'Weekly Log'!$A:$A,"&gt;="&amp;$J1999,'Weekly Log'!$A:$A,"&lt;"&amp;$J1999+7))</f>
        <v/>
      </c>
      <c r="C1999" t="str">
        <f>IF($J1999="","",IFERROR(COUNTIFS('Weekly Log'!$G:$G,"Y",'Weekly Log'!$A:$A,"&gt;="&amp;$J1999,'Weekly Log'!$A:$A,"&lt;"&amp;$J1999+7)/COUNTIFS('Weekly Log'!$G:$G,"&lt;&gt;",'Weekly Log'!$A:$A,"&gt;="&amp;$J1999,'Weekly Log'!$A:$A,"&lt;"&amp;$J1999+7),0))</f>
        <v/>
      </c>
      <c r="D1999" t="str">
        <f>IF($J1999="","",IFERROR(COUNTIFS('Weekly Log'!$H:$H,"Y",'Weekly Log'!$A:$A,"&gt;="&amp;$J1999,'Weekly Log'!$A:$A,"&lt;"&amp;$J1999+7)/COUNTIFS('Weekly Log'!$H:$H,"&lt;&gt;",'Weekly Log'!$A:$A,"&gt;="&amp;$J1999,'Weekly Log'!$A:$A,"&lt;"&amp;$J1999+7),0))</f>
        <v/>
      </c>
      <c r="E1999" t="str">
        <f>IF($J1999="","",IFERROR(AVERAGEIFS('Weekly Log'!$F:$F,'Weekly Log'!$A:$A,"&gt;="&amp;$J1999,'Weekly Log'!$A:$A,"&lt;"&amp;$J1999+7),0))</f>
        <v/>
      </c>
      <c r="F1999" t="str">
        <f>IF($J1999="","",IFERROR(SUMIFS('Weekly Log'!$F:$F,'Weekly Log'!$A:$A,"&gt;="&amp;$J1999,'Weekly Log'!$A:$A,"&lt;"&amp;$J1999+7)/SUMIFS('Weekly Log'!$E:$E,'Weekly Log'!$A:$A,"&gt;="&amp;$J1999,'Weekly Log'!$A:$A,"&lt;"&amp;$J1999+7),0))</f>
        <v/>
      </c>
      <c r="G1999" t="str">
        <f>IF($J1999="","",IFERROR(LOOKUP(2,1/(('Weekly Log'!$A$5:$A$5000&gt;=$J1999)*('Weekly Log'!$A$5:$A$5000&lt;$J1999+7)*('Weekly Log'!$M$5:$M$5000&lt;&gt;"")),'Weekly Log'!$M$5:$M$5000),0))</f>
        <v/>
      </c>
      <c r="J1999" t="str">
        <f>IF(COUNT('Weekly Log'!$A$5:$A$5000)=0,"",IF(MIN('Weekly Log'!$A$5:$A$5000)+7*(ROW()-10)&gt;MAX('Weekly Log'!$A$5:$A$5000),"",MIN('Weekly Log'!$A$5:$A$5000)+7*(ROW()-10)))</f>
        <v/>
      </c>
    </row>
    <row r="2000" spans="1:10" x14ac:dyDescent="0.25">
      <c r="A2000" t="str">
        <f t="shared" si="31"/>
        <v/>
      </c>
      <c r="B2000" t="str">
        <f>IF($J2000="","",SUMIFS('Weekly Log'!$C:$C,'Weekly Log'!$A:$A,"&gt;="&amp;$J2000,'Weekly Log'!$A:$A,"&lt;"&amp;$J2000+7))</f>
        <v/>
      </c>
      <c r="C2000" t="str">
        <f>IF($J2000="","",IFERROR(COUNTIFS('Weekly Log'!$G:$G,"Y",'Weekly Log'!$A:$A,"&gt;="&amp;$J2000,'Weekly Log'!$A:$A,"&lt;"&amp;$J2000+7)/COUNTIFS('Weekly Log'!$G:$G,"&lt;&gt;",'Weekly Log'!$A:$A,"&gt;="&amp;$J2000,'Weekly Log'!$A:$A,"&lt;"&amp;$J2000+7),0))</f>
        <v/>
      </c>
      <c r="D2000" t="str">
        <f>IF($J2000="","",IFERROR(COUNTIFS('Weekly Log'!$H:$H,"Y",'Weekly Log'!$A:$A,"&gt;="&amp;$J2000,'Weekly Log'!$A:$A,"&lt;"&amp;$J2000+7)/COUNTIFS('Weekly Log'!$H:$H,"&lt;&gt;",'Weekly Log'!$A:$A,"&gt;="&amp;$J2000,'Weekly Log'!$A:$A,"&lt;"&amp;$J2000+7),0))</f>
        <v/>
      </c>
      <c r="E2000" t="str">
        <f>IF($J2000="","",IFERROR(AVERAGEIFS('Weekly Log'!$F:$F,'Weekly Log'!$A:$A,"&gt;="&amp;$J2000,'Weekly Log'!$A:$A,"&lt;"&amp;$J2000+7),0))</f>
        <v/>
      </c>
      <c r="F2000" t="str">
        <f>IF($J2000="","",IFERROR(SUMIFS('Weekly Log'!$F:$F,'Weekly Log'!$A:$A,"&gt;="&amp;$J2000,'Weekly Log'!$A:$A,"&lt;"&amp;$J2000+7)/SUMIFS('Weekly Log'!$E:$E,'Weekly Log'!$A:$A,"&gt;="&amp;$J2000,'Weekly Log'!$A:$A,"&lt;"&amp;$J2000+7),0))</f>
        <v/>
      </c>
      <c r="G2000" t="str">
        <f>IF($J2000="","",IFERROR(LOOKUP(2,1/(('Weekly Log'!$A$5:$A$5000&gt;=$J2000)*('Weekly Log'!$A$5:$A$5000&lt;$J2000+7)*('Weekly Log'!$M$5:$M$5000&lt;&gt;"")),'Weekly Log'!$M$5:$M$5000),0))</f>
        <v/>
      </c>
      <c r="J2000" t="str">
        <f>IF(COUNT('Weekly Log'!$A$5:$A$5000)=0,"",IF(MIN('Weekly Log'!$A$5:$A$5000)+7*(ROW()-10)&gt;MAX('Weekly Log'!$A$5:$A$5000),"",MIN('Weekly Log'!$A$5:$A$5000)+7*(ROW()-10)))</f>
        <v/>
      </c>
    </row>
  </sheetData>
  <mergeCells count="4">
    <mergeCell ref="A1:J1"/>
    <mergeCell ref="A4:J4"/>
    <mergeCell ref="A8:J8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554"/>
  <sheetViews>
    <sheetView zoomScaleNormal="100" workbookViewId="0">
      <pane ySplit="4" topLeftCell="A5" activePane="bottomLeft" state="frozen"/>
      <selection pane="bottomLeft" activeCell="A5" sqref="A5"/>
    </sheetView>
  </sheetViews>
  <sheetFormatPr defaultRowHeight="15" x14ac:dyDescent="0.25"/>
  <cols>
    <col min="1" max="1" width="12" style="26" customWidth="1"/>
    <col min="2" max="2" width="12" style="16" customWidth="1"/>
    <col min="3" max="3" width="10" style="16" customWidth="1"/>
    <col min="4" max="4" width="14" style="16" customWidth="1"/>
    <col min="5" max="6" width="12" style="16" customWidth="1"/>
    <col min="7" max="8" width="10" style="16" customWidth="1"/>
    <col min="9" max="11" width="12" style="16" customWidth="1"/>
    <col min="12" max="12" width="14" style="16" customWidth="1"/>
    <col min="13" max="13" width="10" style="16" customWidth="1"/>
    <col min="14" max="15" width="9.140625" style="16" customWidth="1"/>
    <col min="16" max="16384" width="9.140625" style="16"/>
  </cols>
  <sheetData>
    <row r="1" spans="1:13" ht="30" customHeight="1" x14ac:dyDescent="0.25">
      <c r="A1" s="36" t="s">
        <v>26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spans="1:13" ht="15.95" customHeight="1" x14ac:dyDescent="0.25">
      <c r="A2" s="42" t="s">
        <v>27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3" ht="39.950000000000003" customHeight="1" x14ac:dyDescent="0.25">
      <c r="A3" s="5" t="s">
        <v>28</v>
      </c>
      <c r="B3" s="5" t="s">
        <v>29</v>
      </c>
      <c r="C3" s="5" t="s">
        <v>30</v>
      </c>
      <c r="D3" s="5" t="s">
        <v>31</v>
      </c>
      <c r="E3" s="5" t="s">
        <v>32</v>
      </c>
      <c r="F3" s="5" t="s">
        <v>33</v>
      </c>
      <c r="G3" s="5" t="s">
        <v>34</v>
      </c>
      <c r="H3" s="5" t="s">
        <v>35</v>
      </c>
      <c r="I3" s="5" t="s">
        <v>36</v>
      </c>
      <c r="J3" s="5" t="s">
        <v>37</v>
      </c>
      <c r="K3" s="5" t="s">
        <v>38</v>
      </c>
      <c r="L3" s="5" t="s">
        <v>39</v>
      </c>
      <c r="M3" s="5" t="s">
        <v>40</v>
      </c>
    </row>
    <row r="4" spans="1:13" ht="21.95" customHeight="1" x14ac:dyDescent="0.25">
      <c r="A4" s="16"/>
      <c r="I4" s="43" t="s">
        <v>41</v>
      </c>
      <c r="J4" s="40"/>
      <c r="K4" s="40"/>
      <c r="L4" s="40"/>
      <c r="M4" s="41"/>
    </row>
    <row r="5" spans="1:13" x14ac:dyDescent="0.25">
      <c r="A5" s="27">
        <v>45614</v>
      </c>
      <c r="B5" s="17" t="s">
        <v>42</v>
      </c>
      <c r="C5" s="30">
        <v>1</v>
      </c>
      <c r="D5" s="17" t="s">
        <v>43</v>
      </c>
      <c r="E5" s="31">
        <v>3.4</v>
      </c>
      <c r="F5" s="31">
        <v>2.9</v>
      </c>
      <c r="G5" s="17" t="s">
        <v>44</v>
      </c>
      <c r="H5" s="17" t="s">
        <v>45</v>
      </c>
      <c r="I5" s="19">
        <f>COUNTIF(G$5:G5,"Y")/COUNTA(G$5:G5)</f>
        <v>1</v>
      </c>
      <c r="J5" s="19">
        <f>COUNTIF(H$5:H5,"Y")/COUNTA(H$5:H5)</f>
        <v>0</v>
      </c>
      <c r="K5" s="20">
        <f>AVERAGE(F$5:F5)</f>
        <v>2.9</v>
      </c>
      <c r="L5" s="19">
        <f>SUM(F$5:F5)/SUM(E$5:E5)</f>
        <v>0.8529411764705882</v>
      </c>
      <c r="M5" s="21"/>
    </row>
    <row r="6" spans="1:13" x14ac:dyDescent="0.25">
      <c r="A6" s="28">
        <v>45615</v>
      </c>
      <c r="B6" s="22" t="s">
        <v>46</v>
      </c>
      <c r="C6" s="32">
        <v>1</v>
      </c>
      <c r="D6" s="22" t="s">
        <v>47</v>
      </c>
      <c r="E6" s="33">
        <v>2.4</v>
      </c>
      <c r="F6" s="33">
        <v>1.9</v>
      </c>
      <c r="G6" s="22" t="s">
        <v>44</v>
      </c>
      <c r="H6" s="22" t="s">
        <v>45</v>
      </c>
      <c r="I6" s="19">
        <f>COUNTIF(G$5:G6,"Y")/COUNTA(G$5:G6)</f>
        <v>1</v>
      </c>
      <c r="J6" s="19">
        <f>COUNTIF(H$5:H6,"Y")/COUNTA(H$5:H6)</f>
        <v>0</v>
      </c>
      <c r="K6" s="20">
        <f>AVERAGE(F$5:F6)</f>
        <v>2.4</v>
      </c>
      <c r="L6" s="19">
        <f>SUM(F$5:F6)/SUM(E$5:E6)</f>
        <v>0.82758620689655171</v>
      </c>
      <c r="M6" s="21"/>
    </row>
    <row r="7" spans="1:13" x14ac:dyDescent="0.25">
      <c r="A7" s="27">
        <v>45616</v>
      </c>
      <c r="B7" s="17" t="s">
        <v>48</v>
      </c>
      <c r="C7" s="30">
        <v>1</v>
      </c>
      <c r="D7" s="17" t="s">
        <v>47</v>
      </c>
      <c r="E7" s="31">
        <v>4.5</v>
      </c>
      <c r="F7" s="31">
        <v>3.2</v>
      </c>
      <c r="G7" s="17" t="s">
        <v>44</v>
      </c>
      <c r="H7" s="17" t="s">
        <v>45</v>
      </c>
      <c r="I7" s="19">
        <f>COUNTIF(G$5:G7,"Y")/COUNTA(G$5:G7)</f>
        <v>1</v>
      </c>
      <c r="J7" s="19">
        <f>COUNTIF(H$5:H7,"Y")/COUNTA(H$5:H7)</f>
        <v>0</v>
      </c>
      <c r="K7" s="20">
        <f>AVERAGE(F$5:F7)</f>
        <v>2.6666666666666665</v>
      </c>
      <c r="L7" s="19">
        <f>SUM(F$5:F7)/SUM(E$5:E7)</f>
        <v>0.77669902912621358</v>
      </c>
      <c r="M7" s="21"/>
    </row>
    <row r="8" spans="1:13" x14ac:dyDescent="0.25">
      <c r="A8" s="28">
        <v>45617</v>
      </c>
      <c r="B8" s="22" t="s">
        <v>49</v>
      </c>
      <c r="C8" s="32">
        <v>1</v>
      </c>
      <c r="D8" s="22" t="s">
        <v>50</v>
      </c>
      <c r="E8" s="33">
        <v>4.4000000000000004</v>
      </c>
      <c r="F8" s="33">
        <v>3.7</v>
      </c>
      <c r="G8" s="22" t="s">
        <v>44</v>
      </c>
      <c r="H8" s="22" t="s">
        <v>45</v>
      </c>
      <c r="I8" s="19">
        <f>COUNTIF(G$5:G8,"Y")/COUNTA(G$5:G8)</f>
        <v>1</v>
      </c>
      <c r="J8" s="19">
        <f>COUNTIF(H$5:H8,"Y")/COUNTA(H$5:H8)</f>
        <v>0</v>
      </c>
      <c r="K8" s="20">
        <f>AVERAGE(F$5:F8)</f>
        <v>2.9249999999999998</v>
      </c>
      <c r="L8" s="19">
        <f>SUM(F$5:F8)/SUM(E$5:E8)</f>
        <v>0.79591836734693866</v>
      </c>
      <c r="M8" s="21"/>
    </row>
    <row r="9" spans="1:13" x14ac:dyDescent="0.25">
      <c r="A9" s="27">
        <v>45618</v>
      </c>
      <c r="B9" s="17" t="s">
        <v>51</v>
      </c>
      <c r="C9" s="30">
        <v>1</v>
      </c>
      <c r="D9" s="17" t="s">
        <v>52</v>
      </c>
      <c r="E9" s="31">
        <v>2.7</v>
      </c>
      <c r="F9" s="31">
        <v>2.2999999999999998</v>
      </c>
      <c r="G9" s="17" t="s">
        <v>44</v>
      </c>
      <c r="H9" s="17" t="s">
        <v>45</v>
      </c>
      <c r="I9" s="19">
        <f>COUNTIF(G$5:G9,"Y")/COUNTA(G$5:G9)</f>
        <v>1</v>
      </c>
      <c r="J9" s="19">
        <f>COUNTIF(H$5:H9,"Y")/COUNTA(H$5:H9)</f>
        <v>0</v>
      </c>
      <c r="K9" s="20">
        <f>AVERAGE(F$5:F9)</f>
        <v>2.8</v>
      </c>
      <c r="L9" s="19">
        <f>SUM(F$5:F9)/SUM(E$5:E9)</f>
        <v>0.80459770114942519</v>
      </c>
      <c r="M9" s="21"/>
    </row>
    <row r="10" spans="1:13" x14ac:dyDescent="0.25">
      <c r="A10" s="28">
        <v>45614</v>
      </c>
      <c r="B10" s="22" t="s">
        <v>53</v>
      </c>
      <c r="C10" s="32">
        <v>1</v>
      </c>
      <c r="D10" s="22" t="s">
        <v>52</v>
      </c>
      <c r="E10" s="33">
        <v>2.2999999999999998</v>
      </c>
      <c r="F10" s="33">
        <v>1.7</v>
      </c>
      <c r="G10" s="22" t="s">
        <v>44</v>
      </c>
      <c r="H10" s="22" t="s">
        <v>45</v>
      </c>
      <c r="I10" s="19">
        <f>COUNTIF(G$5:G10,"Y")/COUNTA(G$5:G10)</f>
        <v>1</v>
      </c>
      <c r="J10" s="19">
        <f>COUNTIF(H$5:H10,"Y")/COUNTA(H$5:H10)</f>
        <v>0</v>
      </c>
      <c r="K10" s="20">
        <f>AVERAGE(F$5:F10)</f>
        <v>2.6166666666666667</v>
      </c>
      <c r="L10" s="19">
        <f>SUM(F$5:F10)/SUM(E$5:E10)</f>
        <v>0.79695431472081202</v>
      </c>
      <c r="M10" s="21"/>
    </row>
    <row r="11" spans="1:13" x14ac:dyDescent="0.25">
      <c r="A11" s="27">
        <v>45615</v>
      </c>
      <c r="B11" s="17" t="s">
        <v>54</v>
      </c>
      <c r="C11" s="30">
        <v>1</v>
      </c>
      <c r="D11" s="17" t="s">
        <v>50</v>
      </c>
      <c r="E11" s="31">
        <v>1.5</v>
      </c>
      <c r="F11" s="31">
        <v>1.2</v>
      </c>
      <c r="G11" s="17" t="s">
        <v>44</v>
      </c>
      <c r="H11" s="17" t="s">
        <v>45</v>
      </c>
      <c r="I11" s="19">
        <f>COUNTIF(G$5:G11,"Y")/COUNTA(G$5:G11)</f>
        <v>1</v>
      </c>
      <c r="J11" s="19">
        <f>COUNTIF(H$5:H11,"Y")/COUNTA(H$5:H11)</f>
        <v>0</v>
      </c>
      <c r="K11" s="20">
        <f>AVERAGE(F$5:F11)</f>
        <v>2.4142857142857141</v>
      </c>
      <c r="L11" s="19">
        <f>SUM(F$5:F11)/SUM(E$5:E11)</f>
        <v>0.7971698113207546</v>
      </c>
      <c r="M11" s="21"/>
    </row>
    <row r="12" spans="1:13" x14ac:dyDescent="0.25">
      <c r="A12" s="28">
        <v>45616</v>
      </c>
      <c r="B12" s="22" t="s">
        <v>55</v>
      </c>
      <c r="C12" s="32">
        <v>1</v>
      </c>
      <c r="D12" s="22" t="s">
        <v>56</v>
      </c>
      <c r="E12" s="33">
        <v>4.0999999999999996</v>
      </c>
      <c r="F12" s="33">
        <v>3</v>
      </c>
      <c r="G12" s="22" t="s">
        <v>44</v>
      </c>
      <c r="H12" s="22" t="s">
        <v>45</v>
      </c>
      <c r="I12" s="19">
        <f>COUNTIF(G$5:G12,"Y")/COUNTA(G$5:G12)</f>
        <v>1</v>
      </c>
      <c r="J12" s="19">
        <f>COUNTIF(H$5:H12,"Y")/COUNTA(H$5:H12)</f>
        <v>0</v>
      </c>
      <c r="K12" s="20">
        <f>AVERAGE(F$5:F12)</f>
        <v>2.4874999999999998</v>
      </c>
      <c r="L12" s="19">
        <f>SUM(F$5:F12)/SUM(E$5:E12)</f>
        <v>0.78656126482213418</v>
      </c>
      <c r="M12" s="21"/>
    </row>
    <row r="13" spans="1:13" x14ac:dyDescent="0.25">
      <c r="A13" s="29">
        <v>45617</v>
      </c>
      <c r="B13" s="16" t="s">
        <v>57</v>
      </c>
      <c r="C13" s="34">
        <v>1</v>
      </c>
      <c r="D13" s="16" t="s">
        <v>47</v>
      </c>
      <c r="E13" s="35">
        <v>2.4</v>
      </c>
      <c r="F13" s="35">
        <v>1.7</v>
      </c>
      <c r="G13" s="16" t="s">
        <v>44</v>
      </c>
      <c r="H13" s="16" t="s">
        <v>45</v>
      </c>
      <c r="I13" s="16">
        <f>COUNTIF(G$5:G13,"Y")/COUNTA(G$5:G13)</f>
        <v>1</v>
      </c>
      <c r="J13" s="16">
        <f>COUNTIF(H$5:H13,"Y")/COUNTA(H$5:H13)</f>
        <v>0</v>
      </c>
      <c r="K13" s="16">
        <f>AVERAGE(F$5:F13)</f>
        <v>2.4</v>
      </c>
      <c r="L13" s="16">
        <f>SUM(F$5:F13)/SUM(E$5:E13)</f>
        <v>0.77978339350180492</v>
      </c>
    </row>
    <row r="14" spans="1:13" x14ac:dyDescent="0.25">
      <c r="A14" s="29">
        <v>45618</v>
      </c>
      <c r="B14" s="16" t="s">
        <v>58</v>
      </c>
      <c r="C14" s="34">
        <v>1</v>
      </c>
      <c r="D14" s="16" t="s">
        <v>56</v>
      </c>
      <c r="E14" s="35">
        <v>3.9</v>
      </c>
      <c r="F14" s="35">
        <v>3.4</v>
      </c>
      <c r="G14" s="16" t="s">
        <v>44</v>
      </c>
      <c r="H14" s="16" t="s">
        <v>45</v>
      </c>
      <c r="I14" s="16">
        <f>COUNTIF(G$5:G14,"Y")/COUNTA(G$5:G14)</f>
        <v>1</v>
      </c>
      <c r="J14" s="16">
        <f>COUNTIF(H$5:H14,"Y")/COUNTA(H$5:H14)</f>
        <v>0</v>
      </c>
      <c r="K14" s="16">
        <f>AVERAGE(F$5:F14)</f>
        <v>2.4999999999999996</v>
      </c>
      <c r="L14" s="16">
        <f>SUM(F$5:F14)/SUM(E$5:E14)</f>
        <v>0.791139240506329</v>
      </c>
    </row>
    <row r="15" spans="1:13" x14ac:dyDescent="0.25">
      <c r="A15" s="29">
        <v>45614</v>
      </c>
      <c r="B15" s="16" t="s">
        <v>59</v>
      </c>
      <c r="C15" s="34">
        <v>1</v>
      </c>
      <c r="D15" s="16" t="s">
        <v>60</v>
      </c>
      <c r="E15" s="35">
        <v>4.9000000000000004</v>
      </c>
      <c r="F15" s="35">
        <v>3.4</v>
      </c>
      <c r="G15" s="16" t="s">
        <v>44</v>
      </c>
      <c r="H15" s="16" t="s">
        <v>45</v>
      </c>
      <c r="I15" s="16">
        <f>COUNTIF(G$5:G15,"Y")/COUNTA(G$5:G15)</f>
        <v>1</v>
      </c>
      <c r="J15" s="16">
        <f>COUNTIF(H$5:H15,"Y")/COUNTA(H$5:H15)</f>
        <v>0</v>
      </c>
      <c r="K15" s="16">
        <f>AVERAGE(F$5:F15)</f>
        <v>2.5818181818181816</v>
      </c>
      <c r="L15" s="16">
        <f>SUM(F$5:F15)/SUM(E$5:E15)</f>
        <v>0.77808219178082183</v>
      </c>
    </row>
    <row r="16" spans="1:13" x14ac:dyDescent="0.25">
      <c r="A16" s="29">
        <v>45615</v>
      </c>
      <c r="B16" s="16" t="s">
        <v>61</v>
      </c>
      <c r="C16" s="34">
        <v>1</v>
      </c>
      <c r="D16" s="16" t="s">
        <v>47</v>
      </c>
      <c r="E16" s="35">
        <v>2.5</v>
      </c>
      <c r="F16" s="35">
        <v>2.1</v>
      </c>
      <c r="G16" s="16" t="s">
        <v>44</v>
      </c>
      <c r="H16" s="16" t="s">
        <v>45</v>
      </c>
      <c r="I16" s="16">
        <f>COUNTIF(G$5:G16,"Y")/COUNTA(G$5:G16)</f>
        <v>1</v>
      </c>
      <c r="J16" s="16">
        <f>COUNTIF(H$5:H16,"Y")/COUNTA(H$5:H16)</f>
        <v>0</v>
      </c>
      <c r="K16" s="16">
        <f>AVERAGE(F$5:F16)</f>
        <v>2.5416666666666665</v>
      </c>
      <c r="L16" s="16">
        <f>SUM(F$5:F16)/SUM(E$5:E16)</f>
        <v>0.78205128205128194</v>
      </c>
    </row>
    <row r="17" spans="1:12" x14ac:dyDescent="0.25">
      <c r="A17" s="29">
        <v>45616</v>
      </c>
      <c r="B17" s="16" t="s">
        <v>62</v>
      </c>
      <c r="C17" s="34">
        <v>1</v>
      </c>
      <c r="D17" s="16" t="s">
        <v>47</v>
      </c>
      <c r="E17" s="35">
        <v>4.9000000000000004</v>
      </c>
      <c r="F17" s="35">
        <v>3.8</v>
      </c>
      <c r="G17" s="16" t="s">
        <v>44</v>
      </c>
      <c r="H17" s="16" t="s">
        <v>45</v>
      </c>
      <c r="I17" s="16">
        <f>COUNTIF(G$5:G17,"Y")/COUNTA(G$5:G17)</f>
        <v>1</v>
      </c>
      <c r="J17" s="16">
        <f>COUNTIF(H$5:H17,"Y")/COUNTA(H$5:H17)</f>
        <v>0</v>
      </c>
      <c r="K17" s="16">
        <f>AVERAGE(F$5:F17)</f>
        <v>2.6384615384615384</v>
      </c>
      <c r="L17" s="16">
        <f>SUM(F$5:F17)/SUM(E$5:E17)</f>
        <v>0.78132118451025057</v>
      </c>
    </row>
    <row r="18" spans="1:12" x14ac:dyDescent="0.25">
      <c r="A18" s="29">
        <v>45617</v>
      </c>
      <c r="B18" s="16" t="s">
        <v>63</v>
      </c>
      <c r="C18" s="34">
        <v>1</v>
      </c>
      <c r="D18" s="16" t="s">
        <v>64</v>
      </c>
      <c r="E18" s="35">
        <v>1.7</v>
      </c>
      <c r="F18" s="35">
        <v>1.4</v>
      </c>
      <c r="G18" s="16" t="s">
        <v>44</v>
      </c>
      <c r="H18" s="16" t="s">
        <v>44</v>
      </c>
      <c r="I18" s="16">
        <f>COUNTIF(G$5:G18,"Y")/COUNTA(G$5:G18)</f>
        <v>1</v>
      </c>
      <c r="J18" s="23">
        <f>COUNTIF(H$5:H18,"Y")/COUNTA(H$5:H18)</f>
        <v>7.1428571428571425E-2</v>
      </c>
      <c r="K18" s="16">
        <f>AVERAGE(F$5:F18)</f>
        <v>2.5499999999999998</v>
      </c>
      <c r="L18" s="16">
        <f>SUM(F$5:F18)/SUM(E$5:E18)</f>
        <v>0.7828947368421052</v>
      </c>
    </row>
    <row r="19" spans="1:12" x14ac:dyDescent="0.25">
      <c r="A19" s="29">
        <v>45618</v>
      </c>
      <c r="B19" s="16" t="s">
        <v>65</v>
      </c>
      <c r="C19" s="34">
        <v>1</v>
      </c>
      <c r="D19" s="16" t="s">
        <v>43</v>
      </c>
      <c r="E19" s="35">
        <v>4.9000000000000004</v>
      </c>
      <c r="F19" s="35">
        <v>3.5</v>
      </c>
      <c r="G19" s="16" t="s">
        <v>44</v>
      </c>
      <c r="H19" s="16" t="s">
        <v>45</v>
      </c>
      <c r="I19" s="16">
        <f>COUNTIF(G$5:G19,"Y")/COUNTA(G$5:G19)</f>
        <v>1</v>
      </c>
      <c r="J19" s="16">
        <f>COUNTIF(H$5:H19,"Y")/COUNTA(H$5:H19)</f>
        <v>6.6666666666666666E-2</v>
      </c>
      <c r="K19" s="16">
        <f>AVERAGE(F$5:F19)</f>
        <v>2.6133333333333328</v>
      </c>
      <c r="L19" s="16">
        <f>SUM(F$5:F19)/SUM(E$5:E19)</f>
        <v>0.77623762376237615</v>
      </c>
    </row>
    <row r="20" spans="1:12" x14ac:dyDescent="0.25">
      <c r="A20" s="29">
        <v>45614</v>
      </c>
      <c r="B20" s="16" t="s">
        <v>66</v>
      </c>
      <c r="C20" s="34">
        <v>1</v>
      </c>
      <c r="D20" s="16" t="s">
        <v>52</v>
      </c>
      <c r="E20" s="35">
        <v>4.9000000000000004</v>
      </c>
      <c r="F20" s="35">
        <v>3.4</v>
      </c>
      <c r="G20" s="16" t="s">
        <v>44</v>
      </c>
      <c r="H20" s="16" t="s">
        <v>45</v>
      </c>
      <c r="I20" s="16">
        <f>COUNTIF(G$5:G20,"Y")/COUNTA(G$5:G20)</f>
        <v>1</v>
      </c>
      <c r="J20" s="16">
        <f>COUNTIF(H$5:H20,"Y")/COUNTA(H$5:H20)</f>
        <v>6.25E-2</v>
      </c>
      <c r="K20" s="16">
        <f>AVERAGE(F$5:F20)</f>
        <v>2.6624999999999996</v>
      </c>
      <c r="L20" s="16">
        <f>SUM(F$5:F20)/SUM(E$5:E20)</f>
        <v>0.7689530685920577</v>
      </c>
    </row>
    <row r="21" spans="1:12" x14ac:dyDescent="0.25">
      <c r="A21" s="29">
        <v>45615</v>
      </c>
      <c r="B21" s="16" t="s">
        <v>67</v>
      </c>
      <c r="C21" s="34">
        <v>1</v>
      </c>
      <c r="D21" s="16" t="s">
        <v>47</v>
      </c>
      <c r="E21" s="35">
        <v>4</v>
      </c>
      <c r="F21" s="35">
        <v>2.6</v>
      </c>
      <c r="G21" s="16" t="s">
        <v>44</v>
      </c>
      <c r="H21" s="16" t="s">
        <v>45</v>
      </c>
      <c r="I21" s="16">
        <f>COUNTIF(G$5:G21,"Y")/COUNTA(G$5:G21)</f>
        <v>1</v>
      </c>
      <c r="J21" s="16">
        <f>COUNTIF(H$5:H21,"Y")/COUNTA(H$5:H21)</f>
        <v>5.8823529411764705E-2</v>
      </c>
      <c r="K21" s="16">
        <f>AVERAGE(F$5:F21)</f>
        <v>2.6588235294117646</v>
      </c>
      <c r="L21" s="16">
        <f>SUM(F$5:F21)/SUM(E$5:E21)</f>
        <v>0.76094276094276092</v>
      </c>
    </row>
    <row r="22" spans="1:12" x14ac:dyDescent="0.25">
      <c r="A22" s="29">
        <v>45616</v>
      </c>
      <c r="B22" s="16" t="s">
        <v>68</v>
      </c>
      <c r="C22" s="34">
        <v>1</v>
      </c>
      <c r="D22" s="16" t="s">
        <v>52</v>
      </c>
      <c r="E22" s="35">
        <v>3</v>
      </c>
      <c r="F22" s="35">
        <v>2.2000000000000002</v>
      </c>
      <c r="G22" s="16" t="s">
        <v>44</v>
      </c>
      <c r="H22" s="16" t="s">
        <v>45</v>
      </c>
      <c r="I22" s="16">
        <f>COUNTIF(G$5:G22,"Y")/COUNTA(G$5:G22)</f>
        <v>1</v>
      </c>
      <c r="J22" s="16">
        <f>COUNTIF(H$5:H22,"Y")/COUNTA(H$5:H22)</f>
        <v>5.5555555555555552E-2</v>
      </c>
      <c r="K22" s="16">
        <f>AVERAGE(F$5:F22)</f>
        <v>2.6333333333333333</v>
      </c>
      <c r="L22" s="16">
        <f>SUM(F$5:F22)/SUM(E$5:E22)</f>
        <v>0.75961538461538458</v>
      </c>
    </row>
    <row r="23" spans="1:12" x14ac:dyDescent="0.25">
      <c r="A23" s="29">
        <v>45617</v>
      </c>
      <c r="B23" s="16" t="s">
        <v>69</v>
      </c>
      <c r="C23" s="34">
        <v>1</v>
      </c>
      <c r="D23" s="16" t="s">
        <v>60</v>
      </c>
      <c r="E23" s="35">
        <v>4.9000000000000004</v>
      </c>
      <c r="F23" s="35">
        <v>3.5</v>
      </c>
      <c r="G23" s="16" t="s">
        <v>45</v>
      </c>
      <c r="H23" s="16" t="s">
        <v>45</v>
      </c>
      <c r="I23" s="16">
        <f>COUNTIF(G$5:G23,"Y")/COUNTA(G$5:G23)</f>
        <v>0.94736842105263153</v>
      </c>
      <c r="J23" s="16">
        <f>COUNTIF(H$5:H23,"Y")/COUNTA(H$5:H23)</f>
        <v>5.2631578947368418E-2</v>
      </c>
      <c r="K23" s="16">
        <f>AVERAGE(F$5:F23)</f>
        <v>2.6789473684210527</v>
      </c>
      <c r="L23" s="16">
        <f>SUM(F$5:F23)/SUM(E$5:E23)</f>
        <v>0.75631500742942048</v>
      </c>
    </row>
    <row r="24" spans="1:12" x14ac:dyDescent="0.25">
      <c r="A24" s="29">
        <v>45618</v>
      </c>
      <c r="B24" s="16" t="s">
        <v>70</v>
      </c>
      <c r="C24" s="34">
        <v>1</v>
      </c>
      <c r="D24" s="16" t="s">
        <v>52</v>
      </c>
      <c r="E24" s="35">
        <v>5</v>
      </c>
      <c r="F24" s="35">
        <v>3.6</v>
      </c>
      <c r="G24" s="16" t="s">
        <v>44</v>
      </c>
      <c r="H24" s="16" t="s">
        <v>45</v>
      </c>
      <c r="I24" s="16">
        <f>COUNTIF(G$5:G24,"Y")/COUNTA(G$5:G24)</f>
        <v>0.95</v>
      </c>
      <c r="J24" s="16">
        <f>COUNTIF(H$5:H24,"Y")/COUNTA(H$5:H24)</f>
        <v>0.05</v>
      </c>
      <c r="K24" s="16">
        <f>AVERAGE(F$5:F24)</f>
        <v>2.7250000000000001</v>
      </c>
      <c r="L24" s="16">
        <f>SUM(F$5:F24)/SUM(E$5:E24)</f>
        <v>0.75380359612724757</v>
      </c>
    </row>
    <row r="25" spans="1:12" x14ac:dyDescent="0.25">
      <c r="A25" s="29">
        <v>45614</v>
      </c>
      <c r="B25" s="16" t="s">
        <v>71</v>
      </c>
      <c r="C25" s="34">
        <v>1</v>
      </c>
      <c r="D25" s="16" t="s">
        <v>56</v>
      </c>
      <c r="E25" s="35">
        <v>3.6</v>
      </c>
      <c r="F25" s="35">
        <v>3.1</v>
      </c>
      <c r="G25" s="16" t="s">
        <v>45</v>
      </c>
      <c r="H25" s="16" t="s">
        <v>45</v>
      </c>
      <c r="I25" s="16">
        <f>COUNTIF(G$5:G25,"Y")/COUNTA(G$5:G25)</f>
        <v>0.90476190476190477</v>
      </c>
      <c r="J25" s="16">
        <f>COUNTIF(H$5:H25,"Y")/COUNTA(H$5:H25)</f>
        <v>4.7619047619047616E-2</v>
      </c>
      <c r="K25" s="16">
        <f>AVERAGE(F$5:F25)</f>
        <v>2.7428571428571429</v>
      </c>
      <c r="L25" s="16">
        <f>SUM(F$5:F25)/SUM(E$5:E25)</f>
        <v>0.75889328063241113</v>
      </c>
    </row>
    <row r="26" spans="1:12" x14ac:dyDescent="0.25">
      <c r="A26" s="29">
        <v>45615</v>
      </c>
      <c r="B26" s="16" t="s">
        <v>72</v>
      </c>
      <c r="C26" s="34">
        <v>1</v>
      </c>
      <c r="D26" s="16" t="s">
        <v>56</v>
      </c>
      <c r="E26" s="35">
        <v>2.2999999999999998</v>
      </c>
      <c r="F26" s="35">
        <v>1.8</v>
      </c>
      <c r="G26" s="16" t="s">
        <v>44</v>
      </c>
      <c r="H26" s="16" t="s">
        <v>45</v>
      </c>
      <c r="I26" s="16">
        <f>COUNTIF(G$5:G26,"Y")/COUNTA(G$5:G26)</f>
        <v>0.90909090909090906</v>
      </c>
      <c r="J26" s="16">
        <f>COUNTIF(H$5:H26,"Y")/COUNTA(H$5:H26)</f>
        <v>4.5454545454545456E-2</v>
      </c>
      <c r="K26" s="16">
        <f>AVERAGE(F$5:F26)</f>
        <v>2.6999999999999997</v>
      </c>
      <c r="L26" s="16">
        <f>SUM(F$5:F26)/SUM(E$5:E26)</f>
        <v>0.75959079283887476</v>
      </c>
    </row>
    <row r="27" spans="1:12" x14ac:dyDescent="0.25">
      <c r="A27" s="29">
        <v>45616</v>
      </c>
      <c r="B27" s="16" t="s">
        <v>73</v>
      </c>
      <c r="C27" s="34">
        <v>1</v>
      </c>
      <c r="D27" s="16" t="s">
        <v>64</v>
      </c>
      <c r="E27" s="35">
        <v>1.6</v>
      </c>
      <c r="F27" s="35">
        <v>1.3</v>
      </c>
      <c r="G27" s="16" t="s">
        <v>44</v>
      </c>
      <c r="H27" s="16" t="s">
        <v>45</v>
      </c>
      <c r="I27" s="16">
        <f>COUNTIF(G$5:G27,"Y")/COUNTA(G$5:G27)</f>
        <v>0.91304347826086951</v>
      </c>
      <c r="J27" s="16">
        <f>COUNTIF(H$5:H27,"Y")/COUNTA(H$5:H27)</f>
        <v>4.3478260869565216E-2</v>
      </c>
      <c r="K27" s="16">
        <f>AVERAGE(F$5:F27)</f>
        <v>2.6391304347826083</v>
      </c>
      <c r="L27" s="16">
        <f>SUM(F$5:F27)/SUM(E$5:E27)</f>
        <v>0.7606516290726818</v>
      </c>
    </row>
    <row r="28" spans="1:12" x14ac:dyDescent="0.25">
      <c r="A28" s="29">
        <v>45617</v>
      </c>
      <c r="B28" s="16" t="s">
        <v>74</v>
      </c>
      <c r="C28" s="34">
        <v>1</v>
      </c>
      <c r="D28" s="16" t="s">
        <v>43</v>
      </c>
      <c r="E28" s="35">
        <v>1.8</v>
      </c>
      <c r="F28" s="35">
        <v>1.4</v>
      </c>
      <c r="G28" s="16" t="s">
        <v>44</v>
      </c>
      <c r="H28" s="16" t="s">
        <v>45</v>
      </c>
      <c r="I28" s="16">
        <f>COUNTIF(G$5:G28,"Y")/COUNTA(G$5:G28)</f>
        <v>0.91666666666666663</v>
      </c>
      <c r="J28" s="16">
        <f>COUNTIF(H$5:H28,"Y")/COUNTA(H$5:H28)</f>
        <v>4.1666666666666664E-2</v>
      </c>
      <c r="K28" s="16">
        <f>AVERAGE(F$5:F28)</f>
        <v>2.5874999999999999</v>
      </c>
      <c r="L28" s="16">
        <f>SUM(F$5:F28)/SUM(E$5:E28)</f>
        <v>0.76102941176470595</v>
      </c>
    </row>
    <row r="29" spans="1:12" x14ac:dyDescent="0.25">
      <c r="A29" s="29">
        <v>45618</v>
      </c>
      <c r="B29" s="16" t="s">
        <v>75</v>
      </c>
      <c r="C29" s="34">
        <v>1</v>
      </c>
      <c r="D29" s="16" t="s">
        <v>60</v>
      </c>
      <c r="E29" s="35">
        <v>3.8</v>
      </c>
      <c r="F29" s="35">
        <v>2.9</v>
      </c>
      <c r="G29" s="16" t="s">
        <v>44</v>
      </c>
      <c r="H29" s="16" t="s">
        <v>45</v>
      </c>
      <c r="I29" s="16">
        <f>COUNTIF(G$5:G29,"Y")/COUNTA(G$5:G29)</f>
        <v>0.92</v>
      </c>
      <c r="J29" s="16">
        <f>COUNTIF(H$5:H29,"Y")/COUNTA(H$5:H29)</f>
        <v>0.04</v>
      </c>
      <c r="K29" s="16">
        <f>AVERAGE(F$5:F29)</f>
        <v>2.6</v>
      </c>
      <c r="L29" s="16">
        <f>SUM(F$5:F29)/SUM(E$5:E29)</f>
        <v>0.76112412177985966</v>
      </c>
    </row>
    <row r="30" spans="1:12" x14ac:dyDescent="0.25">
      <c r="A30" s="29">
        <v>45614</v>
      </c>
      <c r="B30" s="16" t="s">
        <v>76</v>
      </c>
      <c r="C30" s="34">
        <v>1</v>
      </c>
      <c r="D30" s="16" t="s">
        <v>56</v>
      </c>
      <c r="E30" s="35">
        <v>2.7</v>
      </c>
      <c r="F30" s="35">
        <v>2.2000000000000002</v>
      </c>
      <c r="G30" s="16" t="s">
        <v>44</v>
      </c>
      <c r="H30" s="16" t="s">
        <v>45</v>
      </c>
      <c r="I30" s="16">
        <f>COUNTIF(G$5:G30,"Y")/COUNTA(G$5:G30)</f>
        <v>0.92307692307692313</v>
      </c>
      <c r="J30" s="16">
        <f>COUNTIF(H$5:H30,"Y")/COUNTA(H$5:H30)</f>
        <v>3.8461538461538464E-2</v>
      </c>
      <c r="K30" s="16">
        <f>AVERAGE(F$5:F30)</f>
        <v>2.5846153846153848</v>
      </c>
      <c r="L30" s="16">
        <f>SUM(F$5:F30)/SUM(E$5:E30)</f>
        <v>0.76276958002270168</v>
      </c>
    </row>
    <row r="31" spans="1:12" x14ac:dyDescent="0.25">
      <c r="A31" s="29">
        <v>45615</v>
      </c>
      <c r="B31" s="16" t="s">
        <v>77</v>
      </c>
      <c r="C31" s="34">
        <v>1</v>
      </c>
      <c r="D31" s="16" t="s">
        <v>50</v>
      </c>
      <c r="E31" s="35">
        <v>2.9</v>
      </c>
      <c r="F31" s="35">
        <v>1.9</v>
      </c>
      <c r="G31" s="16" t="s">
        <v>44</v>
      </c>
      <c r="H31" s="16" t="s">
        <v>45</v>
      </c>
      <c r="I31" s="16">
        <f>COUNTIF(G$5:G31,"Y")/COUNTA(G$5:G31)</f>
        <v>0.92592592592592593</v>
      </c>
      <c r="J31" s="16">
        <f>COUNTIF(H$5:H31,"Y")/COUNTA(H$5:H31)</f>
        <v>3.7037037037037035E-2</v>
      </c>
      <c r="K31" s="16">
        <f>AVERAGE(F$5:F31)</f>
        <v>2.5592592592592598</v>
      </c>
      <c r="L31" s="16">
        <f>SUM(F$5:F31)/SUM(E$5:E31)</f>
        <v>0.75934065934065953</v>
      </c>
    </row>
    <row r="32" spans="1:12" x14ac:dyDescent="0.25">
      <c r="A32" s="29">
        <v>45616</v>
      </c>
      <c r="B32" s="16" t="s">
        <v>78</v>
      </c>
      <c r="C32" s="34">
        <v>1</v>
      </c>
      <c r="D32" s="16" t="s">
        <v>60</v>
      </c>
      <c r="E32" s="35">
        <v>4.2</v>
      </c>
      <c r="F32" s="35">
        <v>3</v>
      </c>
      <c r="G32" s="16" t="s">
        <v>44</v>
      </c>
      <c r="H32" s="16" t="s">
        <v>45</v>
      </c>
      <c r="I32" s="16">
        <f>COUNTIF(G$5:G32,"Y")/COUNTA(G$5:G32)</f>
        <v>0.9285714285714286</v>
      </c>
      <c r="J32" s="16">
        <f>COUNTIF(H$5:H32,"Y")/COUNTA(H$5:H32)</f>
        <v>3.5714285714285712E-2</v>
      </c>
      <c r="K32" s="16">
        <f>AVERAGE(F$5:F32)</f>
        <v>2.5750000000000002</v>
      </c>
      <c r="L32" s="16">
        <f>SUM(F$5:F32)/SUM(E$5:E32)</f>
        <v>0.75735294117647078</v>
      </c>
    </row>
    <row r="33" spans="1:13" x14ac:dyDescent="0.25">
      <c r="A33" s="29">
        <v>45617</v>
      </c>
      <c r="B33" s="16" t="s">
        <v>79</v>
      </c>
      <c r="C33" s="34">
        <v>1</v>
      </c>
      <c r="D33" s="16" t="s">
        <v>52</v>
      </c>
      <c r="E33" s="35">
        <v>2.2999999999999998</v>
      </c>
      <c r="F33" s="35">
        <v>1.6</v>
      </c>
      <c r="G33" s="16" t="s">
        <v>45</v>
      </c>
      <c r="H33" s="16" t="s">
        <v>45</v>
      </c>
      <c r="I33" s="16">
        <f>COUNTIF(G$5:G33,"Y")/COUNTA(G$5:G33)</f>
        <v>0.89655172413793105</v>
      </c>
      <c r="J33" s="16">
        <f>COUNTIF(H$5:H33,"Y")/COUNTA(H$5:H33)</f>
        <v>3.4482758620689655E-2</v>
      </c>
      <c r="K33" s="16">
        <f>AVERAGE(F$5:F33)</f>
        <v>2.5413793103448277</v>
      </c>
      <c r="L33" s="16">
        <f>SUM(F$5:F33)/SUM(E$5:E33)</f>
        <v>0.75589743589743608</v>
      </c>
    </row>
    <row r="34" spans="1:13" x14ac:dyDescent="0.25">
      <c r="A34" s="29">
        <v>45618</v>
      </c>
      <c r="B34" s="16" t="s">
        <v>80</v>
      </c>
      <c r="C34" s="34">
        <v>1</v>
      </c>
      <c r="D34" s="16" t="s">
        <v>60</v>
      </c>
      <c r="E34" s="35">
        <v>2.1</v>
      </c>
      <c r="F34" s="35">
        <v>1.6</v>
      </c>
      <c r="G34" s="16" t="s">
        <v>44</v>
      </c>
      <c r="H34" s="16" t="s">
        <v>45</v>
      </c>
      <c r="I34" s="16">
        <f>COUNTIF(G$5:G34,"Y")/COUNTA(G$5:G34)</f>
        <v>0.9</v>
      </c>
      <c r="J34" s="16">
        <f>COUNTIF(H$5:H34,"Y")/COUNTA(H$5:H34)</f>
        <v>3.3333333333333333E-2</v>
      </c>
      <c r="K34" s="16">
        <f>AVERAGE(F$5:F34)</f>
        <v>2.5099999999999998</v>
      </c>
      <c r="L34" s="16">
        <f>SUM(F$5:F34)/SUM(E$5:E34)</f>
        <v>0.75602409638554224</v>
      </c>
    </row>
    <row r="35" spans="1:13" x14ac:dyDescent="0.25">
      <c r="A35" s="29">
        <v>45614</v>
      </c>
      <c r="B35" s="16" t="s">
        <v>81</v>
      </c>
      <c r="C35" s="34">
        <v>1</v>
      </c>
      <c r="D35" s="16" t="s">
        <v>43</v>
      </c>
      <c r="E35" s="35">
        <v>2</v>
      </c>
      <c r="F35" s="35">
        <v>1.4</v>
      </c>
      <c r="G35" s="16" t="s">
        <v>44</v>
      </c>
      <c r="H35" s="16" t="s">
        <v>45</v>
      </c>
      <c r="I35" s="16">
        <f>COUNTIF(G$5:G35,"Y")/COUNTA(G$5:G35)</f>
        <v>0.90322580645161288</v>
      </c>
      <c r="J35" s="16">
        <f>COUNTIF(H$5:H35,"Y")/COUNTA(H$5:H35)</f>
        <v>3.2258064516129031E-2</v>
      </c>
      <c r="K35" s="16">
        <f>AVERAGE(F$5:F35)</f>
        <v>2.4741935483870967</v>
      </c>
      <c r="L35" s="16">
        <f>SUM(F$5:F35)/SUM(E$5:E35)</f>
        <v>0.7549212598425199</v>
      </c>
    </row>
    <row r="36" spans="1:13" x14ac:dyDescent="0.25">
      <c r="A36" s="29">
        <v>45615</v>
      </c>
      <c r="B36" s="16" t="s">
        <v>82</v>
      </c>
      <c r="C36" s="34">
        <v>1</v>
      </c>
      <c r="D36" s="16" t="s">
        <v>56</v>
      </c>
      <c r="E36" s="35">
        <v>0.7</v>
      </c>
      <c r="F36" s="35">
        <v>0.5</v>
      </c>
      <c r="G36" s="16" t="s">
        <v>44</v>
      </c>
      <c r="H36" s="16" t="s">
        <v>45</v>
      </c>
      <c r="I36" s="16">
        <f>COUNTIF(G$5:G36,"Y")/COUNTA(G$5:G36)</f>
        <v>0.90625</v>
      </c>
      <c r="J36" s="16">
        <f>COUNTIF(H$5:H36,"Y")/COUNTA(H$5:H36)</f>
        <v>3.125E-2</v>
      </c>
      <c r="K36" s="16">
        <f>AVERAGE(F$5:F36)</f>
        <v>2.4125000000000001</v>
      </c>
      <c r="L36" s="16">
        <f>SUM(F$5:F36)/SUM(E$5:E36)</f>
        <v>0.75464320625610959</v>
      </c>
    </row>
    <row r="37" spans="1:13" x14ac:dyDescent="0.25">
      <c r="A37" s="29">
        <v>45616</v>
      </c>
      <c r="B37" s="16" t="s">
        <v>83</v>
      </c>
      <c r="C37" s="34">
        <v>1</v>
      </c>
      <c r="D37" s="16" t="s">
        <v>60</v>
      </c>
      <c r="E37" s="35">
        <v>0.7</v>
      </c>
      <c r="F37" s="35">
        <v>0.5</v>
      </c>
      <c r="G37" s="16" t="s">
        <v>45</v>
      </c>
      <c r="H37" s="16" t="s">
        <v>44</v>
      </c>
      <c r="I37" s="16">
        <f>COUNTIF(G$5:G37,"Y")/COUNTA(G$5:G37)</f>
        <v>0.87878787878787878</v>
      </c>
      <c r="J37" s="16">
        <f>COUNTIF(H$5:H37,"Y")/COUNTA(H$5:H37)</f>
        <v>6.0606060606060608E-2</v>
      </c>
      <c r="K37" s="16">
        <f>AVERAGE(F$5:F37)</f>
        <v>2.3545454545454545</v>
      </c>
      <c r="L37" s="16">
        <f>SUM(F$5:F37)/SUM(E$5:E37)</f>
        <v>0.75436893203883504</v>
      </c>
    </row>
    <row r="38" spans="1:13" x14ac:dyDescent="0.25">
      <c r="A38" s="29">
        <v>45617</v>
      </c>
      <c r="B38" s="16" t="s">
        <v>84</v>
      </c>
      <c r="C38" s="34">
        <v>1</v>
      </c>
      <c r="D38" s="16" t="s">
        <v>52</v>
      </c>
      <c r="E38" s="35">
        <v>0.6</v>
      </c>
      <c r="F38" s="35">
        <v>0.5</v>
      </c>
      <c r="G38" s="16" t="s">
        <v>45</v>
      </c>
      <c r="H38" s="16" t="s">
        <v>45</v>
      </c>
      <c r="I38" s="16">
        <f>COUNTIF(G$5:G38,"Y")/COUNTA(G$5:G38)</f>
        <v>0.8529411764705882</v>
      </c>
      <c r="J38" s="16">
        <f>COUNTIF(H$5:H38,"Y")/COUNTA(H$5:H38)</f>
        <v>5.8823529411764705E-2</v>
      </c>
      <c r="K38" s="16">
        <f>AVERAGE(F$5:F38)</f>
        <v>2.3000000000000003</v>
      </c>
      <c r="L38" s="16">
        <f>SUM(F$5:F38)/SUM(E$5:E38)</f>
        <v>0.75482625482625498</v>
      </c>
    </row>
    <row r="39" spans="1:13" x14ac:dyDescent="0.25">
      <c r="A39" s="29">
        <v>45618</v>
      </c>
      <c r="B39" s="16" t="s">
        <v>85</v>
      </c>
      <c r="C39" s="34">
        <v>1</v>
      </c>
      <c r="D39" s="16" t="s">
        <v>64</v>
      </c>
      <c r="E39" s="35">
        <v>0.6</v>
      </c>
      <c r="F39" s="35">
        <v>0.5</v>
      </c>
      <c r="G39" s="16" t="s">
        <v>44</v>
      </c>
      <c r="H39" s="16" t="s">
        <v>45</v>
      </c>
      <c r="I39" s="16">
        <f>COUNTIF(G$5:G39,"Y")/COUNTA(G$5:G39)</f>
        <v>0.8571428571428571</v>
      </c>
      <c r="J39" s="16">
        <f>COUNTIF(H$5:H39,"Y")/COUNTA(H$5:H39)</f>
        <v>5.7142857142857141E-2</v>
      </c>
      <c r="K39" s="16">
        <f>AVERAGE(F$5:F39)</f>
        <v>2.2485714285714287</v>
      </c>
      <c r="L39" s="16">
        <f>SUM(F$5:F39)/SUM(E$5:E39)</f>
        <v>0.75527831094049924</v>
      </c>
    </row>
    <row r="40" spans="1:13" x14ac:dyDescent="0.25">
      <c r="A40" s="29">
        <v>45614</v>
      </c>
      <c r="B40" s="16" t="s">
        <v>86</v>
      </c>
      <c r="C40" s="34">
        <v>1</v>
      </c>
      <c r="D40" s="16" t="s">
        <v>64</v>
      </c>
      <c r="E40" s="35">
        <v>2.7</v>
      </c>
      <c r="F40" s="35">
        <v>0.5</v>
      </c>
      <c r="G40" s="16" t="s">
        <v>44</v>
      </c>
      <c r="H40" s="16" t="s">
        <v>45</v>
      </c>
      <c r="I40" s="16">
        <f>COUNTIF(G$5:G40,"Y")/COUNTA(G$5:G40)</f>
        <v>0.86111111111111116</v>
      </c>
      <c r="J40" s="16">
        <f>COUNTIF(H$5:H40,"Y")/COUNTA(H$5:H40)</f>
        <v>5.5555555555555552E-2</v>
      </c>
      <c r="K40" s="16">
        <f>AVERAGE(F$5:F40)</f>
        <v>2.2000000000000002</v>
      </c>
      <c r="L40" s="16">
        <f>SUM(F$5:F40)/SUM(E$5:E40)</f>
        <v>0.74087932647333976</v>
      </c>
      <c r="M40" s="16">
        <v>16</v>
      </c>
    </row>
    <row r="41" spans="1:13" x14ac:dyDescent="0.25">
      <c r="A41" s="29">
        <v>45621</v>
      </c>
      <c r="B41" s="16" t="s">
        <v>87</v>
      </c>
      <c r="C41" s="34">
        <v>1</v>
      </c>
      <c r="D41" s="16" t="s">
        <v>64</v>
      </c>
      <c r="E41" s="35">
        <v>2</v>
      </c>
      <c r="F41" s="35">
        <v>1.6</v>
      </c>
      <c r="G41" s="16" t="s">
        <v>44</v>
      </c>
      <c r="H41" s="16" t="s">
        <v>45</v>
      </c>
      <c r="I41" s="16">
        <f>COUNTIF(G$5:G41,"Y")/COUNTA(G$5:G41)</f>
        <v>0.86486486486486491</v>
      </c>
      <c r="J41" s="16">
        <f>COUNTIF(H$5:H41,"Y")/COUNTA(H$5:H41)</f>
        <v>5.4054054054054057E-2</v>
      </c>
      <c r="K41" s="16">
        <f>AVERAGE(F$5:F41)</f>
        <v>2.1837837837837837</v>
      </c>
      <c r="L41" s="16">
        <f>SUM(F$5:F41)/SUM(E$5:E41)</f>
        <v>0.74196510560146933</v>
      </c>
    </row>
    <row r="42" spans="1:13" x14ac:dyDescent="0.25">
      <c r="A42" s="29">
        <v>45622</v>
      </c>
      <c r="B42" s="16" t="s">
        <v>88</v>
      </c>
      <c r="C42" s="34">
        <v>1</v>
      </c>
      <c r="D42" s="16" t="s">
        <v>60</v>
      </c>
      <c r="E42" s="35">
        <v>5.3</v>
      </c>
      <c r="F42" s="35">
        <v>3.8</v>
      </c>
      <c r="G42" s="16" t="s">
        <v>44</v>
      </c>
      <c r="H42" s="16" t="s">
        <v>45</v>
      </c>
      <c r="I42" s="16">
        <f>COUNTIF(G$5:G42,"Y")/COUNTA(G$5:G42)</f>
        <v>0.86842105263157898</v>
      </c>
      <c r="J42" s="16">
        <f>COUNTIF(H$5:H42,"Y")/COUNTA(H$5:H42)</f>
        <v>5.2631578947368418E-2</v>
      </c>
      <c r="K42" s="16">
        <f>AVERAGE(F$5:F42)</f>
        <v>2.2263157894736842</v>
      </c>
      <c r="L42" s="16">
        <f>SUM(F$5:F42)/SUM(E$5:E42)</f>
        <v>0.74080560420315245</v>
      </c>
    </row>
    <row r="43" spans="1:13" x14ac:dyDescent="0.25">
      <c r="A43" s="29">
        <v>45623</v>
      </c>
      <c r="B43" s="16" t="s">
        <v>89</v>
      </c>
      <c r="C43" s="34">
        <v>1</v>
      </c>
      <c r="D43" s="16" t="s">
        <v>56</v>
      </c>
      <c r="E43" s="35">
        <v>3</v>
      </c>
      <c r="F43" s="35">
        <v>2.2000000000000002</v>
      </c>
      <c r="G43" s="16" t="s">
        <v>44</v>
      </c>
      <c r="H43" s="16" t="s">
        <v>45</v>
      </c>
      <c r="I43" s="16">
        <f>COUNTIF(G$5:G43,"Y")/COUNTA(G$5:G43)</f>
        <v>0.87179487179487181</v>
      </c>
      <c r="J43" s="16">
        <f>COUNTIF(H$5:H43,"Y")/COUNTA(H$5:H43)</f>
        <v>5.128205128205128E-2</v>
      </c>
      <c r="K43" s="16">
        <f>AVERAGE(F$5:F43)</f>
        <v>2.2256410256410257</v>
      </c>
      <c r="L43" s="16">
        <f>SUM(F$5:F43)/SUM(E$5:E43)</f>
        <v>0.7406143344709899</v>
      </c>
    </row>
    <row r="44" spans="1:13" x14ac:dyDescent="0.25">
      <c r="A44" s="29">
        <v>45624</v>
      </c>
      <c r="B44" s="16" t="s">
        <v>90</v>
      </c>
      <c r="C44" s="34">
        <v>1</v>
      </c>
      <c r="D44" s="16" t="s">
        <v>50</v>
      </c>
      <c r="E44" s="35">
        <v>1.7</v>
      </c>
      <c r="F44" s="35">
        <v>1.4</v>
      </c>
      <c r="G44" s="16" t="s">
        <v>44</v>
      </c>
      <c r="H44" s="16" t="s">
        <v>45</v>
      </c>
      <c r="I44" s="16">
        <f>COUNTIF(G$5:G44,"Y")/COUNTA(G$5:G44)</f>
        <v>0.875</v>
      </c>
      <c r="J44" s="16">
        <f>COUNTIF(H$5:H44,"Y")/COUNTA(H$5:H44)</f>
        <v>0.05</v>
      </c>
      <c r="K44" s="16">
        <f>AVERAGE(F$5:F44)</f>
        <v>2.2050000000000001</v>
      </c>
      <c r="L44" s="16">
        <f>SUM(F$5:F44)/SUM(E$5:E44)</f>
        <v>0.7417998317914215</v>
      </c>
    </row>
    <row r="45" spans="1:13" x14ac:dyDescent="0.25">
      <c r="A45" s="29">
        <v>45625</v>
      </c>
      <c r="B45" s="16" t="s">
        <v>91</v>
      </c>
      <c r="C45" s="34">
        <v>1</v>
      </c>
      <c r="D45" s="16" t="s">
        <v>50</v>
      </c>
      <c r="E45" s="35">
        <v>2.7</v>
      </c>
      <c r="F45" s="35">
        <v>2</v>
      </c>
      <c r="G45" s="16" t="s">
        <v>44</v>
      </c>
      <c r="H45" s="16" t="s">
        <v>44</v>
      </c>
      <c r="I45" s="16">
        <f>COUNTIF(G$5:G45,"Y")/COUNTA(G$5:G45)</f>
        <v>0.87804878048780488</v>
      </c>
      <c r="J45" s="16">
        <f>COUNTIF(H$5:H45,"Y")/COUNTA(H$5:H45)</f>
        <v>7.3170731707317069E-2</v>
      </c>
      <c r="K45" s="16">
        <f>AVERAGE(F$5:F45)</f>
        <v>2.2000000000000002</v>
      </c>
      <c r="L45" s="16">
        <f>SUM(F$5:F45)/SUM(E$5:E45)</f>
        <v>0.74177631578947378</v>
      </c>
    </row>
    <row r="46" spans="1:13" x14ac:dyDescent="0.25">
      <c r="A46" s="29">
        <v>45621</v>
      </c>
      <c r="B46" s="16" t="s">
        <v>92</v>
      </c>
      <c r="C46" s="34">
        <v>1</v>
      </c>
      <c r="D46" s="16" t="s">
        <v>60</v>
      </c>
      <c r="E46" s="35">
        <v>2.1</v>
      </c>
      <c r="F46" s="35">
        <v>1.7</v>
      </c>
      <c r="G46" s="16" t="s">
        <v>44</v>
      </c>
      <c r="H46" s="16" t="s">
        <v>45</v>
      </c>
      <c r="I46" s="16">
        <f>COUNTIF(G$5:G46,"Y")/COUNTA(G$5:G46)</f>
        <v>0.88095238095238093</v>
      </c>
      <c r="J46" s="16">
        <f>COUNTIF(H$5:H46,"Y")/COUNTA(H$5:H46)</f>
        <v>7.1428571428571425E-2</v>
      </c>
      <c r="K46" s="16">
        <f>AVERAGE(F$5:F46)</f>
        <v>2.1880952380952383</v>
      </c>
      <c r="L46" s="16">
        <f>SUM(F$5:F46)/SUM(E$5:E46)</f>
        <v>0.74292643492320154</v>
      </c>
    </row>
    <row r="47" spans="1:13" x14ac:dyDescent="0.25">
      <c r="A47" s="29">
        <v>45622</v>
      </c>
      <c r="B47" s="16" t="s">
        <v>93</v>
      </c>
      <c r="C47" s="34">
        <v>1</v>
      </c>
      <c r="D47" s="16" t="s">
        <v>56</v>
      </c>
      <c r="E47" s="35">
        <v>1.7</v>
      </c>
      <c r="F47" s="35">
        <v>1.2</v>
      </c>
      <c r="G47" s="16" t="s">
        <v>44</v>
      </c>
      <c r="H47" s="16" t="s">
        <v>45</v>
      </c>
      <c r="I47" s="16">
        <f>COUNTIF(G$5:G47,"Y")/COUNTA(G$5:G47)</f>
        <v>0.88372093023255816</v>
      </c>
      <c r="J47" s="16">
        <f>COUNTIF(H$5:H47,"Y")/COUNTA(H$5:H47)</f>
        <v>6.9767441860465115E-2</v>
      </c>
      <c r="K47" s="16">
        <f>AVERAGE(F$5:F47)</f>
        <v>2.1651162790697676</v>
      </c>
      <c r="L47" s="16">
        <f>SUM(F$5:F47)/SUM(E$5:E47)</f>
        <v>0.74242424242424265</v>
      </c>
    </row>
    <row r="48" spans="1:13" x14ac:dyDescent="0.25">
      <c r="A48" s="29">
        <v>45623</v>
      </c>
      <c r="B48" s="16" t="s">
        <v>94</v>
      </c>
      <c r="C48" s="34">
        <v>1</v>
      </c>
      <c r="D48" s="16" t="s">
        <v>64</v>
      </c>
      <c r="E48" s="35">
        <v>2.5</v>
      </c>
      <c r="F48" s="35">
        <v>1.7</v>
      </c>
      <c r="G48" s="16" t="s">
        <v>44</v>
      </c>
      <c r="H48" s="16" t="s">
        <v>45</v>
      </c>
      <c r="I48" s="16">
        <f>COUNTIF(G$5:G48,"Y")/COUNTA(G$5:G48)</f>
        <v>0.88636363636363635</v>
      </c>
      <c r="J48" s="16">
        <f>COUNTIF(H$5:H48,"Y")/COUNTA(H$5:H48)</f>
        <v>6.8181818181818177E-2</v>
      </c>
      <c r="K48" s="16">
        <f>AVERAGE(F$5:F48)</f>
        <v>2.1545454545454548</v>
      </c>
      <c r="L48" s="16">
        <f>SUM(F$5:F48)/SUM(E$5:E48)</f>
        <v>0.74120406567630981</v>
      </c>
    </row>
    <row r="49" spans="1:12" x14ac:dyDescent="0.25">
      <c r="A49" s="29">
        <v>45624</v>
      </c>
      <c r="B49" s="16" t="s">
        <v>95</v>
      </c>
      <c r="C49" s="34">
        <v>1</v>
      </c>
      <c r="D49" s="16" t="s">
        <v>50</v>
      </c>
      <c r="E49" s="35">
        <v>4</v>
      </c>
      <c r="F49" s="35">
        <v>3.4</v>
      </c>
      <c r="G49" s="16" t="s">
        <v>44</v>
      </c>
      <c r="H49" s="16" t="s">
        <v>45</v>
      </c>
      <c r="I49" s="16">
        <f>COUNTIF(G$5:G49,"Y")/COUNTA(G$5:G49)</f>
        <v>0.88888888888888884</v>
      </c>
      <c r="J49" s="16">
        <f>COUNTIF(H$5:H49,"Y")/COUNTA(H$5:H49)</f>
        <v>6.6666666666666666E-2</v>
      </c>
      <c r="K49" s="16">
        <f>AVERAGE(F$5:F49)</f>
        <v>2.1822222222222227</v>
      </c>
      <c r="L49" s="16">
        <f>SUM(F$5:F49)/SUM(E$5:E49)</f>
        <v>0.74450341167551204</v>
      </c>
    </row>
    <row r="50" spans="1:12" x14ac:dyDescent="0.25">
      <c r="A50" s="29">
        <v>45625</v>
      </c>
      <c r="B50" s="16" t="s">
        <v>96</v>
      </c>
      <c r="C50" s="34">
        <v>1</v>
      </c>
      <c r="D50" s="16" t="s">
        <v>56</v>
      </c>
      <c r="E50" s="35">
        <v>2.4</v>
      </c>
      <c r="F50" s="35">
        <v>1.7</v>
      </c>
      <c r="G50" s="16" t="s">
        <v>44</v>
      </c>
      <c r="H50" s="16" t="s">
        <v>45</v>
      </c>
      <c r="I50" s="16">
        <f>COUNTIF(G$5:G50,"Y")/COUNTA(G$5:G50)</f>
        <v>0.89130434782608692</v>
      </c>
      <c r="J50" s="16">
        <f>COUNTIF(H$5:H50,"Y")/COUNTA(H$5:H50)</f>
        <v>6.5217391304347824E-2</v>
      </c>
      <c r="K50" s="16">
        <f>AVERAGE(F$5:F50)</f>
        <v>2.1717391304347831</v>
      </c>
      <c r="L50" s="16">
        <f>SUM(F$5:F50)/SUM(E$5:E50)</f>
        <v>0.74385703648548052</v>
      </c>
    </row>
    <row r="51" spans="1:12" x14ac:dyDescent="0.25">
      <c r="A51" s="29">
        <v>45621</v>
      </c>
      <c r="B51" s="16" t="s">
        <v>97</v>
      </c>
      <c r="C51" s="34">
        <v>1</v>
      </c>
      <c r="D51" s="16" t="s">
        <v>64</v>
      </c>
      <c r="E51" s="35">
        <v>1.9</v>
      </c>
      <c r="F51" s="35">
        <v>1.6</v>
      </c>
      <c r="G51" s="16" t="s">
        <v>44</v>
      </c>
      <c r="H51" s="16" t="s">
        <v>45</v>
      </c>
      <c r="I51" s="16">
        <f>COUNTIF(G$5:G51,"Y")/COUNTA(G$5:G51)</f>
        <v>0.8936170212765957</v>
      </c>
      <c r="J51" s="16">
        <f>COUNTIF(H$5:H51,"Y")/COUNTA(H$5:H51)</f>
        <v>6.3829787234042548E-2</v>
      </c>
      <c r="K51" s="16">
        <f>AVERAGE(F$5:F51)</f>
        <v>2.1595744680851068</v>
      </c>
      <c r="L51" s="16">
        <f>SUM(F$5:F51)/SUM(E$5:E51)</f>
        <v>0.74522760646108677</v>
      </c>
    </row>
    <row r="52" spans="1:12" x14ac:dyDescent="0.25">
      <c r="A52" s="29">
        <v>45622</v>
      </c>
      <c r="B52" s="16" t="s">
        <v>98</v>
      </c>
      <c r="C52" s="34">
        <v>1</v>
      </c>
      <c r="D52" s="16" t="s">
        <v>64</v>
      </c>
      <c r="E52" s="35">
        <v>4.9000000000000004</v>
      </c>
      <c r="F52" s="35">
        <v>3.6</v>
      </c>
      <c r="G52" s="16" t="s">
        <v>45</v>
      </c>
      <c r="H52" s="16" t="s">
        <v>45</v>
      </c>
      <c r="I52" s="16">
        <f>COUNTIF(G$5:G52,"Y")/COUNTA(G$5:G52)</f>
        <v>0.875</v>
      </c>
      <c r="J52" s="16">
        <f>COUNTIF(H$5:H52,"Y")/COUNTA(H$5:H52)</f>
        <v>6.25E-2</v>
      </c>
      <c r="K52" s="16">
        <f>AVERAGE(F$5:F52)</f>
        <v>2.1895833333333337</v>
      </c>
      <c r="L52" s="16">
        <f>SUM(F$5:F52)/SUM(E$5:E52)</f>
        <v>0.74486180014174352</v>
      </c>
    </row>
    <row r="53" spans="1:12" x14ac:dyDescent="0.25">
      <c r="A53" s="29">
        <v>45623</v>
      </c>
      <c r="B53" s="16" t="s">
        <v>99</v>
      </c>
      <c r="C53" s="34">
        <v>1</v>
      </c>
      <c r="D53" s="16" t="s">
        <v>52</v>
      </c>
      <c r="E53" s="35">
        <v>3.3</v>
      </c>
      <c r="F53" s="35">
        <v>2.2999999999999998</v>
      </c>
      <c r="G53" s="16" t="s">
        <v>44</v>
      </c>
      <c r="H53" s="16" t="s">
        <v>45</v>
      </c>
      <c r="I53" s="16">
        <f>COUNTIF(G$5:G53,"Y")/COUNTA(G$5:G53)</f>
        <v>0.87755102040816324</v>
      </c>
      <c r="J53" s="16">
        <f>COUNTIF(H$5:H53,"Y")/COUNTA(H$5:H53)</f>
        <v>6.1224489795918366E-2</v>
      </c>
      <c r="K53" s="16">
        <f>AVERAGE(F$5:F53)</f>
        <v>2.1918367346938776</v>
      </c>
      <c r="L53" s="16">
        <f>SUM(F$5:F53)/SUM(E$5:E53)</f>
        <v>0.74376731301939059</v>
      </c>
    </row>
    <row r="54" spans="1:12" x14ac:dyDescent="0.25">
      <c r="A54" s="29">
        <v>45624</v>
      </c>
      <c r="B54" s="16" t="s">
        <v>100</v>
      </c>
      <c r="C54" s="34">
        <v>1</v>
      </c>
      <c r="D54" s="16" t="s">
        <v>50</v>
      </c>
      <c r="E54" s="35">
        <v>4</v>
      </c>
      <c r="F54" s="35">
        <v>3.3</v>
      </c>
      <c r="G54" s="16" t="s">
        <v>44</v>
      </c>
      <c r="H54" s="16" t="s">
        <v>45</v>
      </c>
      <c r="I54" s="16">
        <f>COUNTIF(G$5:G54,"Y")/COUNTA(G$5:G54)</f>
        <v>0.88</v>
      </c>
      <c r="J54" s="16">
        <f>COUNTIF(H$5:H54,"Y")/COUNTA(H$5:H54)</f>
        <v>0.06</v>
      </c>
      <c r="K54" s="16">
        <f>AVERAGE(F$5:F54)</f>
        <v>2.214</v>
      </c>
      <c r="L54" s="16">
        <f>SUM(F$5:F54)/SUM(E$5:E54)</f>
        <v>0.74595687331536387</v>
      </c>
    </row>
    <row r="55" spans="1:12" x14ac:dyDescent="0.25">
      <c r="A55" s="29">
        <v>45625</v>
      </c>
      <c r="B55" s="16" t="s">
        <v>101</v>
      </c>
      <c r="C55" s="34">
        <v>1</v>
      </c>
      <c r="D55" s="16" t="s">
        <v>60</v>
      </c>
      <c r="E55" s="35">
        <v>1.7</v>
      </c>
      <c r="F55" s="35">
        <v>1.3</v>
      </c>
      <c r="G55" s="16" t="s">
        <v>44</v>
      </c>
      <c r="H55" s="16" t="s">
        <v>45</v>
      </c>
      <c r="I55" s="16">
        <f>COUNTIF(G$5:G55,"Y")/COUNTA(G$5:G55)</f>
        <v>0.88235294117647056</v>
      </c>
      <c r="J55" s="16">
        <f>COUNTIF(H$5:H55,"Y")/COUNTA(H$5:H55)</f>
        <v>5.8823529411764705E-2</v>
      </c>
      <c r="K55" s="16">
        <f>AVERAGE(F$5:F55)</f>
        <v>2.1960784313725492</v>
      </c>
      <c r="L55" s="16">
        <f>SUM(F$5:F55)/SUM(E$5:E55)</f>
        <v>0.74616922051965362</v>
      </c>
    </row>
    <row r="56" spans="1:12" x14ac:dyDescent="0.25">
      <c r="A56" s="29">
        <v>45621</v>
      </c>
      <c r="B56" s="16" t="s">
        <v>102</v>
      </c>
      <c r="C56" s="34">
        <v>1</v>
      </c>
      <c r="D56" s="16" t="s">
        <v>43</v>
      </c>
      <c r="E56" s="35">
        <v>2.9</v>
      </c>
      <c r="F56" s="35">
        <v>2.2000000000000002</v>
      </c>
      <c r="G56" s="16" t="s">
        <v>44</v>
      </c>
      <c r="H56" s="16" t="s">
        <v>45</v>
      </c>
      <c r="I56" s="16">
        <f>COUNTIF(G$5:G56,"Y")/COUNTA(G$5:G56)</f>
        <v>0.88461538461538458</v>
      </c>
      <c r="J56" s="16">
        <f>COUNTIF(H$5:H56,"Y")/COUNTA(H$5:H56)</f>
        <v>5.7692307692307696E-2</v>
      </c>
      <c r="K56" s="16">
        <f>AVERAGE(F$5:F56)</f>
        <v>2.1961538461538463</v>
      </c>
      <c r="L56" s="16">
        <f>SUM(F$5:F56)/SUM(E$5:E56)</f>
        <v>0.74640522875816995</v>
      </c>
    </row>
    <row r="57" spans="1:12" x14ac:dyDescent="0.25">
      <c r="A57" s="29">
        <v>45622</v>
      </c>
      <c r="B57" s="16" t="s">
        <v>103</v>
      </c>
      <c r="C57" s="34">
        <v>1</v>
      </c>
      <c r="D57" s="16" t="s">
        <v>50</v>
      </c>
      <c r="E57" s="35">
        <v>4.2</v>
      </c>
      <c r="F57" s="35">
        <v>3</v>
      </c>
      <c r="G57" s="16" t="s">
        <v>44</v>
      </c>
      <c r="H57" s="16" t="s">
        <v>45</v>
      </c>
      <c r="I57" s="16">
        <f>COUNTIF(G$5:G57,"Y")/COUNTA(G$5:G57)</f>
        <v>0.8867924528301887</v>
      </c>
      <c r="J57" s="16">
        <f>COUNTIF(H$5:H57,"Y")/COUNTA(H$5:H57)</f>
        <v>5.6603773584905662E-2</v>
      </c>
      <c r="K57" s="16">
        <f>AVERAGE(F$5:F57)</f>
        <v>2.2113207547169811</v>
      </c>
      <c r="L57" s="16">
        <f>SUM(F$5:F57)/SUM(E$5:E57)</f>
        <v>0.74554707379134866</v>
      </c>
    </row>
    <row r="58" spans="1:12" x14ac:dyDescent="0.25">
      <c r="A58" s="29">
        <v>45623</v>
      </c>
      <c r="B58" s="16" t="s">
        <v>104</v>
      </c>
      <c r="C58" s="34">
        <v>1</v>
      </c>
      <c r="D58" s="16" t="s">
        <v>52</v>
      </c>
      <c r="E58" s="35">
        <v>4.4000000000000004</v>
      </c>
      <c r="F58" s="35">
        <v>3.7</v>
      </c>
      <c r="G58" s="16" t="s">
        <v>44</v>
      </c>
      <c r="H58" s="16" t="s">
        <v>45</v>
      </c>
      <c r="I58" s="16">
        <f>COUNTIF(G$5:G58,"Y")/COUNTA(G$5:G58)</f>
        <v>0.88888888888888884</v>
      </c>
      <c r="J58" s="16">
        <f>COUNTIF(H$5:H58,"Y")/COUNTA(H$5:H58)</f>
        <v>5.5555555555555552E-2</v>
      </c>
      <c r="K58" s="16">
        <f>AVERAGE(F$5:F58)</f>
        <v>2.2388888888888889</v>
      </c>
      <c r="L58" s="16">
        <f>SUM(F$5:F58)/SUM(E$5:E58)</f>
        <v>0.7481435643564357</v>
      </c>
    </row>
    <row r="59" spans="1:12" x14ac:dyDescent="0.25">
      <c r="A59" s="29">
        <v>45624</v>
      </c>
      <c r="B59" s="16" t="s">
        <v>105</v>
      </c>
      <c r="C59" s="34">
        <v>1</v>
      </c>
      <c r="D59" s="16" t="s">
        <v>47</v>
      </c>
      <c r="E59" s="35">
        <v>2.7</v>
      </c>
      <c r="F59" s="35">
        <v>2.1</v>
      </c>
      <c r="G59" s="16" t="s">
        <v>44</v>
      </c>
      <c r="H59" s="16" t="s">
        <v>45</v>
      </c>
      <c r="I59" s="16">
        <f>COUNTIF(G$5:G59,"Y")/COUNTA(G$5:G59)</f>
        <v>0.89090909090909087</v>
      </c>
      <c r="J59" s="16">
        <f>COUNTIF(H$5:H59,"Y")/COUNTA(H$5:H59)</f>
        <v>5.4545454545454543E-2</v>
      </c>
      <c r="K59" s="16">
        <f>AVERAGE(F$5:F59)</f>
        <v>2.2363636363636363</v>
      </c>
      <c r="L59" s="16">
        <f>SUM(F$5:F59)/SUM(E$5:E59)</f>
        <v>0.74863055386488142</v>
      </c>
    </row>
    <row r="60" spans="1:12" x14ac:dyDescent="0.25">
      <c r="A60" s="29">
        <v>45625</v>
      </c>
      <c r="B60" s="16" t="s">
        <v>106</v>
      </c>
      <c r="C60" s="34">
        <v>1</v>
      </c>
      <c r="D60" s="16" t="s">
        <v>47</v>
      </c>
      <c r="E60" s="35">
        <v>4.2</v>
      </c>
      <c r="F60" s="35">
        <v>3.4</v>
      </c>
      <c r="G60" s="16" t="s">
        <v>45</v>
      </c>
      <c r="H60" s="16" t="s">
        <v>45</v>
      </c>
      <c r="I60" s="16">
        <f>COUNTIF(G$5:G60,"Y")/COUNTA(G$5:G60)</f>
        <v>0.875</v>
      </c>
      <c r="J60" s="16">
        <f>COUNTIF(H$5:H60,"Y")/COUNTA(H$5:H60)</f>
        <v>5.3571428571428568E-2</v>
      </c>
      <c r="K60" s="16">
        <f>AVERAGE(F$5:F60)</f>
        <v>2.2571428571428571</v>
      </c>
      <c r="L60" s="16">
        <f>SUM(F$5:F60)/SUM(E$5:E60)</f>
        <v>0.75014836795252238</v>
      </c>
    </row>
    <row r="61" spans="1:12" x14ac:dyDescent="0.25">
      <c r="A61" s="29">
        <v>45621</v>
      </c>
      <c r="B61" s="16" t="s">
        <v>107</v>
      </c>
      <c r="C61" s="34">
        <v>1</v>
      </c>
      <c r="D61" s="16" t="s">
        <v>64</v>
      </c>
      <c r="E61" s="35">
        <v>2.1</v>
      </c>
      <c r="F61" s="35">
        <v>1.6</v>
      </c>
      <c r="G61" s="16" t="s">
        <v>44</v>
      </c>
      <c r="H61" s="16" t="s">
        <v>45</v>
      </c>
      <c r="I61" s="16">
        <f>COUNTIF(G$5:G61,"Y")/COUNTA(G$5:G61)</f>
        <v>0.8771929824561403</v>
      </c>
      <c r="J61" s="16">
        <f>COUNTIF(H$5:H61,"Y")/COUNTA(H$5:H61)</f>
        <v>5.2631578947368418E-2</v>
      </c>
      <c r="K61" s="16">
        <f>AVERAGE(F$5:F61)</f>
        <v>2.2456140350877192</v>
      </c>
      <c r="L61" s="16">
        <f>SUM(F$5:F61)/SUM(E$5:E61)</f>
        <v>0.75029308323563904</v>
      </c>
    </row>
    <row r="62" spans="1:12" x14ac:dyDescent="0.25">
      <c r="A62" s="29">
        <v>45622</v>
      </c>
      <c r="B62" s="16" t="s">
        <v>108</v>
      </c>
      <c r="C62" s="34">
        <v>1</v>
      </c>
      <c r="D62" s="16" t="s">
        <v>43</v>
      </c>
      <c r="E62" s="35">
        <v>2.7</v>
      </c>
      <c r="F62" s="35">
        <v>2.2000000000000002</v>
      </c>
      <c r="G62" s="16" t="s">
        <v>44</v>
      </c>
      <c r="H62" s="16" t="s">
        <v>45</v>
      </c>
      <c r="I62" s="16">
        <f>COUNTIF(G$5:G62,"Y")/COUNTA(G$5:G62)</f>
        <v>0.87931034482758619</v>
      </c>
      <c r="J62" s="16">
        <f>COUNTIF(H$5:H62,"Y")/COUNTA(H$5:H62)</f>
        <v>5.1724137931034482E-2</v>
      </c>
      <c r="K62" s="16">
        <f>AVERAGE(F$5:F62)</f>
        <v>2.2448275862068963</v>
      </c>
      <c r="L62" s="16">
        <f>SUM(F$5:F62)/SUM(E$5:E62)</f>
        <v>0.75129832660126961</v>
      </c>
    </row>
    <row r="63" spans="1:12" x14ac:dyDescent="0.25">
      <c r="A63" s="29">
        <v>45623</v>
      </c>
      <c r="B63" s="16" t="s">
        <v>109</v>
      </c>
      <c r="C63" s="34">
        <v>1</v>
      </c>
      <c r="D63" s="16" t="s">
        <v>52</v>
      </c>
      <c r="E63" s="35">
        <v>2.6</v>
      </c>
      <c r="F63" s="35">
        <v>1.7</v>
      </c>
      <c r="G63" s="16" t="s">
        <v>44</v>
      </c>
      <c r="H63" s="16" t="s">
        <v>45</v>
      </c>
      <c r="I63" s="16">
        <f>COUNTIF(G$5:G63,"Y")/COUNTA(G$5:G63)</f>
        <v>0.88135593220338981</v>
      </c>
      <c r="J63" s="16">
        <f>COUNTIF(H$5:H63,"Y")/COUNTA(H$5:H63)</f>
        <v>5.0847457627118647E-2</v>
      </c>
      <c r="K63" s="16">
        <f>AVERAGE(F$5:F63)</f>
        <v>2.2355932203389828</v>
      </c>
      <c r="L63" s="16">
        <f>SUM(F$5:F63)/SUM(E$5:E63)</f>
        <v>0.74985787379192737</v>
      </c>
    </row>
    <row r="64" spans="1:12" x14ac:dyDescent="0.25">
      <c r="A64" s="29">
        <v>45624</v>
      </c>
      <c r="B64" s="16" t="s">
        <v>110</v>
      </c>
      <c r="C64" s="34">
        <v>1</v>
      </c>
      <c r="D64" s="16" t="s">
        <v>50</v>
      </c>
      <c r="E64" s="35">
        <v>3.4</v>
      </c>
      <c r="F64" s="35">
        <v>2.2999999999999998</v>
      </c>
      <c r="G64" s="16" t="s">
        <v>44</v>
      </c>
      <c r="H64" s="16" t="s">
        <v>45</v>
      </c>
      <c r="I64" s="16">
        <f>COUNTIF(G$5:G64,"Y")/COUNTA(G$5:G64)</f>
        <v>0.8833333333333333</v>
      </c>
      <c r="J64" s="16">
        <f>COUNTIF(H$5:H64,"Y")/COUNTA(H$5:H64)</f>
        <v>0.05</v>
      </c>
      <c r="K64" s="16">
        <f>AVERAGE(F$5:F64)</f>
        <v>2.2366666666666664</v>
      </c>
      <c r="L64" s="16">
        <f>SUM(F$5:F64)/SUM(E$5:E64)</f>
        <v>0.74846625766871178</v>
      </c>
    </row>
    <row r="65" spans="1:13" x14ac:dyDescent="0.25">
      <c r="A65" s="29">
        <v>45625</v>
      </c>
      <c r="B65" s="16" t="s">
        <v>111</v>
      </c>
      <c r="C65" s="34">
        <v>1</v>
      </c>
      <c r="D65" s="16" t="s">
        <v>47</v>
      </c>
      <c r="E65" s="35">
        <v>3</v>
      </c>
      <c r="F65" s="35">
        <v>2.6</v>
      </c>
      <c r="G65" s="16" t="s">
        <v>44</v>
      </c>
      <c r="H65" s="16" t="s">
        <v>45</v>
      </c>
      <c r="I65" s="16">
        <f>COUNTIF(G$5:G65,"Y")/COUNTA(G$5:G65)</f>
        <v>0.88524590163934425</v>
      </c>
      <c r="J65" s="16">
        <f>COUNTIF(H$5:H65,"Y")/COUNTA(H$5:H65)</f>
        <v>4.9180327868852458E-2</v>
      </c>
      <c r="K65" s="16">
        <f>AVERAGE(F$5:F65)</f>
        <v>2.2426229508196718</v>
      </c>
      <c r="L65" s="16">
        <f>SUM(F$5:F65)/SUM(E$5:E65)</f>
        <v>0.75041140976412513</v>
      </c>
    </row>
    <row r="66" spans="1:13" x14ac:dyDescent="0.25">
      <c r="A66" s="29">
        <v>45621</v>
      </c>
      <c r="B66" s="16" t="s">
        <v>112</v>
      </c>
      <c r="C66" s="34">
        <v>1</v>
      </c>
      <c r="D66" s="16" t="s">
        <v>47</v>
      </c>
      <c r="E66" s="35">
        <v>5.6</v>
      </c>
      <c r="F66" s="35">
        <v>3.8</v>
      </c>
      <c r="G66" s="16" t="s">
        <v>44</v>
      </c>
      <c r="H66" s="16" t="s">
        <v>45</v>
      </c>
      <c r="I66" s="16">
        <f>COUNTIF(G$5:G66,"Y")/COUNTA(G$5:G66)</f>
        <v>0.88709677419354838</v>
      </c>
      <c r="J66" s="16">
        <f>COUNTIF(H$5:H66,"Y")/COUNTA(H$5:H66)</f>
        <v>4.8387096774193547E-2</v>
      </c>
      <c r="K66" s="16">
        <f>AVERAGE(F$5:F66)</f>
        <v>2.2677419354838708</v>
      </c>
      <c r="L66" s="16">
        <f>SUM(F$5:F66)/SUM(E$5:E66)</f>
        <v>0.74827035657264518</v>
      </c>
    </row>
    <row r="67" spans="1:13" x14ac:dyDescent="0.25">
      <c r="A67" s="29">
        <v>45622</v>
      </c>
      <c r="B67" s="16" t="s">
        <v>113</v>
      </c>
      <c r="C67" s="34">
        <v>1</v>
      </c>
      <c r="D67" s="16" t="s">
        <v>50</v>
      </c>
      <c r="E67" s="35">
        <v>5.6</v>
      </c>
      <c r="F67" s="35">
        <v>3.7</v>
      </c>
      <c r="G67" s="16" t="s">
        <v>44</v>
      </c>
      <c r="H67" s="16" t="s">
        <v>45</v>
      </c>
      <c r="I67" s="16">
        <f>COUNTIF(G$5:G67,"Y")/COUNTA(G$5:G67)</f>
        <v>0.88888888888888884</v>
      </c>
      <c r="J67" s="16">
        <f>COUNTIF(H$5:H67,"Y")/COUNTA(H$5:H67)</f>
        <v>4.7619047619047616E-2</v>
      </c>
      <c r="K67" s="16">
        <f>AVERAGE(F$5:F67)</f>
        <v>2.2904761904761903</v>
      </c>
      <c r="L67" s="16">
        <f>SUM(F$5:F67)/SUM(E$5:E67)</f>
        <v>0.7457364341085273</v>
      </c>
    </row>
    <row r="68" spans="1:13" x14ac:dyDescent="0.25">
      <c r="A68" s="29">
        <v>45623</v>
      </c>
      <c r="B68" s="16" t="s">
        <v>114</v>
      </c>
      <c r="C68" s="34">
        <v>1</v>
      </c>
      <c r="D68" s="16" t="s">
        <v>52</v>
      </c>
      <c r="E68" s="35">
        <v>4.0999999999999996</v>
      </c>
      <c r="F68" s="35">
        <v>3.4</v>
      </c>
      <c r="G68" s="16" t="s">
        <v>44</v>
      </c>
      <c r="H68" s="16" t="s">
        <v>45</v>
      </c>
      <c r="I68" s="16">
        <f>COUNTIF(G$5:G68,"Y")/COUNTA(G$5:G68)</f>
        <v>0.890625</v>
      </c>
      <c r="J68" s="16">
        <f>COUNTIF(H$5:H68,"Y")/COUNTA(H$5:H68)</f>
        <v>4.6875E-2</v>
      </c>
      <c r="K68" s="16">
        <f>AVERAGE(F$5:F68)</f>
        <v>2.3078124999999998</v>
      </c>
      <c r="L68" s="16">
        <f>SUM(F$5:F68)/SUM(E$5:E68)</f>
        <v>0.74746963562753055</v>
      </c>
    </row>
    <row r="69" spans="1:13" x14ac:dyDescent="0.25">
      <c r="A69" s="29">
        <v>45624</v>
      </c>
      <c r="B69" s="16" t="s">
        <v>115</v>
      </c>
      <c r="C69" s="34">
        <v>1</v>
      </c>
      <c r="D69" s="16" t="s">
        <v>56</v>
      </c>
      <c r="E69" s="35">
        <v>2.9</v>
      </c>
      <c r="F69" s="35">
        <v>2.4</v>
      </c>
      <c r="G69" s="16" t="s">
        <v>44</v>
      </c>
      <c r="H69" s="16" t="s">
        <v>45</v>
      </c>
      <c r="I69" s="16">
        <f>COUNTIF(G$5:G69,"Y")/COUNTA(G$5:G69)</f>
        <v>0.89230769230769236</v>
      </c>
      <c r="J69" s="16">
        <f>COUNTIF(H$5:H69,"Y")/COUNTA(H$5:H69)</f>
        <v>4.6153846153846156E-2</v>
      </c>
      <c r="K69" s="16">
        <f>AVERAGE(F$5:F69)</f>
        <v>2.3092307692307692</v>
      </c>
      <c r="L69" s="16">
        <f>SUM(F$5:F69)/SUM(E$5:E69)</f>
        <v>0.748628428927681</v>
      </c>
    </row>
    <row r="70" spans="1:13" x14ac:dyDescent="0.25">
      <c r="A70" s="29">
        <v>45625</v>
      </c>
      <c r="B70" s="16" t="s">
        <v>116</v>
      </c>
      <c r="C70" s="34">
        <v>1</v>
      </c>
      <c r="D70" s="16" t="s">
        <v>64</v>
      </c>
      <c r="E70" s="35">
        <v>2.4</v>
      </c>
      <c r="F70" s="35">
        <v>2.1</v>
      </c>
      <c r="G70" s="16" t="s">
        <v>44</v>
      </c>
      <c r="H70" s="16" t="s">
        <v>45</v>
      </c>
      <c r="I70" s="16">
        <f>COUNTIF(G$5:G70,"Y")/COUNTA(G$5:G70)</f>
        <v>0.89393939393939392</v>
      </c>
      <c r="J70" s="16">
        <f>COUNTIF(H$5:H70,"Y")/COUNTA(H$5:H70)</f>
        <v>4.5454545454545456E-2</v>
      </c>
      <c r="K70" s="16">
        <f>AVERAGE(F$5:F70)</f>
        <v>2.3060606060606057</v>
      </c>
      <c r="L70" s="16">
        <f>SUM(F$5:F70)/SUM(E$5:E70)</f>
        <v>0.75012321340561872</v>
      </c>
    </row>
    <row r="71" spans="1:13" x14ac:dyDescent="0.25">
      <c r="A71" s="29">
        <v>45621</v>
      </c>
      <c r="B71" s="16" t="s">
        <v>117</v>
      </c>
      <c r="C71" s="34">
        <v>1</v>
      </c>
      <c r="D71" s="16" t="s">
        <v>50</v>
      </c>
      <c r="E71" s="35">
        <v>3.2</v>
      </c>
      <c r="F71" s="35">
        <v>2.1</v>
      </c>
      <c r="G71" s="16" t="s">
        <v>44</v>
      </c>
      <c r="H71" s="16" t="s">
        <v>45</v>
      </c>
      <c r="I71" s="16">
        <f>COUNTIF(G$5:G71,"Y")/COUNTA(G$5:G71)</f>
        <v>0.89552238805970152</v>
      </c>
      <c r="J71" s="16">
        <f>COUNTIF(H$5:H71,"Y")/COUNTA(H$5:H71)</f>
        <v>4.4776119402985072E-2</v>
      </c>
      <c r="K71" s="16">
        <f>AVERAGE(F$5:F71)</f>
        <v>2.3029850746268656</v>
      </c>
      <c r="L71" s="16">
        <f>SUM(F$5:F71)/SUM(E$5:E71)</f>
        <v>0.74866569626394963</v>
      </c>
    </row>
    <row r="72" spans="1:13" x14ac:dyDescent="0.25">
      <c r="A72" s="29">
        <v>45622</v>
      </c>
      <c r="B72" s="16" t="s">
        <v>118</v>
      </c>
      <c r="C72" s="34">
        <v>1</v>
      </c>
      <c r="D72" s="16" t="s">
        <v>56</v>
      </c>
      <c r="E72" s="35">
        <v>2.5</v>
      </c>
      <c r="F72" s="35">
        <v>1.7</v>
      </c>
      <c r="G72" s="16" t="s">
        <v>44</v>
      </c>
      <c r="H72" s="16" t="s">
        <v>45</v>
      </c>
      <c r="I72" s="16">
        <f>COUNTIF(G$5:G72,"Y")/COUNTA(G$5:G72)</f>
        <v>0.8970588235294118</v>
      </c>
      <c r="J72" s="16">
        <f>COUNTIF(H$5:H72,"Y")/COUNTA(H$5:H72)</f>
        <v>4.4117647058823532E-2</v>
      </c>
      <c r="K72" s="16">
        <f>AVERAGE(F$5:F72)</f>
        <v>2.2941176470588229</v>
      </c>
      <c r="L72" s="16">
        <f>SUM(F$5:F72)/SUM(E$5:E72)</f>
        <v>0.74784276126558014</v>
      </c>
    </row>
    <row r="73" spans="1:13" x14ac:dyDescent="0.25">
      <c r="A73" s="29">
        <v>45623</v>
      </c>
      <c r="B73" s="16" t="s">
        <v>119</v>
      </c>
      <c r="C73" s="34">
        <v>1</v>
      </c>
      <c r="D73" s="16" t="s">
        <v>64</v>
      </c>
      <c r="E73" s="35">
        <v>0.7</v>
      </c>
      <c r="F73" s="35">
        <v>0.5</v>
      </c>
      <c r="G73" s="16" t="s">
        <v>44</v>
      </c>
      <c r="H73" s="16" t="s">
        <v>44</v>
      </c>
      <c r="I73" s="16">
        <f>COUNTIF(G$5:G73,"Y")/COUNTA(G$5:G73)</f>
        <v>0.89855072463768115</v>
      </c>
      <c r="J73" s="16">
        <f>COUNTIF(H$5:H73,"Y")/COUNTA(H$5:H73)</f>
        <v>5.7971014492753624E-2</v>
      </c>
      <c r="K73" s="16">
        <f>AVERAGE(F$5:F73)</f>
        <v>2.2681159420289849</v>
      </c>
      <c r="L73" s="16">
        <f>SUM(F$5:F73)/SUM(E$5:E73)</f>
        <v>0.7477305303392261</v>
      </c>
    </row>
    <row r="74" spans="1:13" x14ac:dyDescent="0.25">
      <c r="A74" s="29">
        <v>45624</v>
      </c>
      <c r="B74" s="16" t="s">
        <v>120</v>
      </c>
      <c r="C74" s="34">
        <v>1</v>
      </c>
      <c r="D74" s="16" t="s">
        <v>43</v>
      </c>
      <c r="E74" s="35">
        <v>0.8</v>
      </c>
      <c r="F74" s="35">
        <v>0.5</v>
      </c>
      <c r="G74" s="16" t="s">
        <v>45</v>
      </c>
      <c r="H74" s="16" t="s">
        <v>45</v>
      </c>
      <c r="I74" s="16">
        <f>COUNTIF(G$5:G74,"Y")/COUNTA(G$5:G74)</f>
        <v>0.88571428571428568</v>
      </c>
      <c r="J74" s="16">
        <f>COUNTIF(H$5:H74,"Y")/COUNTA(H$5:H74)</f>
        <v>5.7142857142857141E-2</v>
      </c>
      <c r="K74" s="16">
        <f>AVERAGE(F$5:F74)</f>
        <v>2.2428571428571424</v>
      </c>
      <c r="L74" s="16">
        <f>SUM(F$5:F74)/SUM(E$5:E74)</f>
        <v>0.74726320799619239</v>
      </c>
    </row>
    <row r="75" spans="1:13" x14ac:dyDescent="0.25">
      <c r="A75" s="29">
        <v>45625</v>
      </c>
      <c r="B75" s="16" t="s">
        <v>121</v>
      </c>
      <c r="C75" s="34">
        <v>1</v>
      </c>
      <c r="D75" s="16" t="s">
        <v>60</v>
      </c>
      <c r="E75" s="35">
        <v>0.7</v>
      </c>
      <c r="F75" s="35">
        <v>0.5</v>
      </c>
      <c r="G75" s="16" t="s">
        <v>45</v>
      </c>
      <c r="H75" s="16" t="s">
        <v>45</v>
      </c>
      <c r="I75" s="16">
        <f>COUNTIF(G$5:G75,"Y")/COUNTA(G$5:G75)</f>
        <v>0.87323943661971826</v>
      </c>
      <c r="J75" s="16">
        <f>COUNTIF(H$5:H75,"Y")/COUNTA(H$5:H75)</f>
        <v>5.6338028169014086E-2</v>
      </c>
      <c r="K75" s="16">
        <f>AVERAGE(F$5:F75)</f>
        <v>2.2183098591549291</v>
      </c>
      <c r="L75" s="16">
        <f>SUM(F$5:F75)/SUM(E$5:E75)</f>
        <v>0.74715370018975347</v>
      </c>
    </row>
    <row r="76" spans="1:13" x14ac:dyDescent="0.25">
      <c r="A76" s="29">
        <v>45621</v>
      </c>
      <c r="B76" s="16" t="s">
        <v>122</v>
      </c>
      <c r="C76" s="34">
        <v>1</v>
      </c>
      <c r="D76" s="16" t="s">
        <v>64</v>
      </c>
      <c r="E76" s="35">
        <v>0.6</v>
      </c>
      <c r="F76" s="35">
        <v>0.5</v>
      </c>
      <c r="G76" s="16" t="s">
        <v>44</v>
      </c>
      <c r="H76" s="16" t="s">
        <v>45</v>
      </c>
      <c r="I76" s="16">
        <f>COUNTIF(G$5:G76,"Y")/COUNTA(G$5:G76)</f>
        <v>0.875</v>
      </c>
      <c r="J76" s="16">
        <f>COUNTIF(H$5:H76,"Y")/COUNTA(H$5:H76)</f>
        <v>5.5555555555555552E-2</v>
      </c>
      <c r="K76" s="16">
        <f>AVERAGE(F$5:F76)</f>
        <v>2.1944444444444442</v>
      </c>
      <c r="L76" s="16">
        <f>SUM(F$5:F76)/SUM(E$5:E76)</f>
        <v>0.74739829706717142</v>
      </c>
    </row>
    <row r="77" spans="1:13" x14ac:dyDescent="0.25">
      <c r="A77" s="29">
        <v>45622</v>
      </c>
      <c r="B77" s="16" t="s">
        <v>123</v>
      </c>
      <c r="C77" s="34">
        <v>1</v>
      </c>
      <c r="D77" s="16" t="s">
        <v>43</v>
      </c>
      <c r="E77" s="35">
        <v>0.7</v>
      </c>
      <c r="F77" s="35">
        <v>0.5</v>
      </c>
      <c r="G77" s="16" t="s">
        <v>44</v>
      </c>
      <c r="H77" s="16" t="s">
        <v>45</v>
      </c>
      <c r="I77" s="16">
        <f>COUNTIF(G$5:G77,"Y")/COUNTA(G$5:G77)</f>
        <v>0.87671232876712324</v>
      </c>
      <c r="J77" s="16">
        <f>COUNTIF(H$5:H77,"Y")/COUNTA(H$5:H77)</f>
        <v>5.4794520547945202E-2</v>
      </c>
      <c r="K77" s="16">
        <f>AVERAGE(F$5:F77)</f>
        <v>2.1712328767123283</v>
      </c>
      <c r="L77" s="16">
        <f>SUM(F$5:F77)/SUM(E$5:E77)</f>
        <v>0.74728901461574748</v>
      </c>
    </row>
    <row r="78" spans="1:13" x14ac:dyDescent="0.25">
      <c r="A78" s="29">
        <v>45623</v>
      </c>
      <c r="B78" s="16" t="s">
        <v>124</v>
      </c>
      <c r="C78" s="34">
        <v>1</v>
      </c>
      <c r="D78" s="16" t="s">
        <v>60</v>
      </c>
      <c r="E78" s="35">
        <v>1.5</v>
      </c>
      <c r="F78" s="35">
        <v>0.5</v>
      </c>
      <c r="G78" s="16" t="s">
        <v>45</v>
      </c>
      <c r="H78" s="16" t="s">
        <v>45</v>
      </c>
      <c r="I78" s="16">
        <f>COUNTIF(G$5:G78,"Y")/COUNTA(G$5:G78)</f>
        <v>0.86486486486486491</v>
      </c>
      <c r="J78" s="16">
        <f>COUNTIF(H$5:H78,"Y")/COUNTA(H$5:H78)</f>
        <v>5.4054054054054057E-2</v>
      </c>
      <c r="K78" s="16">
        <f>AVERAGE(F$5:F78)</f>
        <v>2.1486486486486482</v>
      </c>
      <c r="L78" s="16">
        <f>SUM(F$5:F78)/SUM(E$5:E78)</f>
        <v>0.74438202247191032</v>
      </c>
      <c r="M78" s="16">
        <v>15</v>
      </c>
    </row>
    <row r="79" spans="1:13" x14ac:dyDescent="0.25">
      <c r="A79" s="29">
        <v>45628</v>
      </c>
      <c r="B79" s="16" t="s">
        <v>125</v>
      </c>
      <c r="C79" s="34">
        <v>1</v>
      </c>
      <c r="D79" s="16" t="s">
        <v>47</v>
      </c>
      <c r="E79" s="35">
        <v>1.4</v>
      </c>
      <c r="F79" s="35">
        <v>1.2</v>
      </c>
      <c r="G79" s="16" t="s">
        <v>44</v>
      </c>
      <c r="H79" s="16" t="s">
        <v>45</v>
      </c>
      <c r="I79" s="16">
        <f>COUNTIF(G$5:G79,"Y")/COUNTA(G$5:G79)</f>
        <v>0.8666666666666667</v>
      </c>
      <c r="J79" s="16">
        <f>COUNTIF(H$5:H79,"Y")/COUNTA(H$5:H79)</f>
        <v>5.3333333333333337E-2</v>
      </c>
      <c r="K79" s="16">
        <f>AVERAGE(F$5:F79)</f>
        <v>2.1359999999999997</v>
      </c>
      <c r="L79" s="16">
        <f>SUM(F$5:F79)/SUM(E$5:E79)</f>
        <v>0.74511627906976752</v>
      </c>
    </row>
    <row r="80" spans="1:13" x14ac:dyDescent="0.25">
      <c r="A80" s="29">
        <v>45629</v>
      </c>
      <c r="B80" s="16" t="s">
        <v>126</v>
      </c>
      <c r="C80" s="34">
        <v>1</v>
      </c>
      <c r="D80" s="16" t="s">
        <v>47</v>
      </c>
      <c r="E80" s="35">
        <v>5.8</v>
      </c>
      <c r="F80" s="35">
        <v>3.8</v>
      </c>
      <c r="G80" s="16" t="s">
        <v>44</v>
      </c>
      <c r="H80" s="16" t="s">
        <v>45</v>
      </c>
      <c r="I80" s="16">
        <f>COUNTIF(G$5:G80,"Y")/COUNTA(G$5:G80)</f>
        <v>0.86842105263157898</v>
      </c>
      <c r="J80" s="16">
        <f>COUNTIF(H$5:H80,"Y")/COUNTA(H$5:H80)</f>
        <v>5.2631578947368418E-2</v>
      </c>
      <c r="K80" s="16">
        <f>AVERAGE(F$5:F80)</f>
        <v>2.1578947368421049</v>
      </c>
      <c r="L80" s="16">
        <f>SUM(F$5:F80)/SUM(E$5:E80)</f>
        <v>0.74275362318840588</v>
      </c>
    </row>
    <row r="81" spans="1:12" x14ac:dyDescent="0.25">
      <c r="A81" s="29">
        <v>45630</v>
      </c>
      <c r="B81" s="16" t="s">
        <v>127</v>
      </c>
      <c r="C81" s="34">
        <v>1</v>
      </c>
      <c r="D81" s="16" t="s">
        <v>56</v>
      </c>
      <c r="E81" s="35">
        <v>4.2</v>
      </c>
      <c r="F81" s="35">
        <v>2.8</v>
      </c>
      <c r="G81" s="16" t="s">
        <v>44</v>
      </c>
      <c r="H81" s="16" t="s">
        <v>45</v>
      </c>
      <c r="I81" s="16">
        <f>COUNTIF(G$5:G81,"Y")/COUNTA(G$5:G81)</f>
        <v>0.87012987012987009</v>
      </c>
      <c r="J81" s="16">
        <f>COUNTIF(H$5:H81,"Y")/COUNTA(H$5:H81)</f>
        <v>5.1948051948051951E-2</v>
      </c>
      <c r="K81" s="16">
        <f>AVERAGE(F$5:F81)</f>
        <v>2.1662337662337658</v>
      </c>
      <c r="L81" s="16">
        <f>SUM(F$5:F81)/SUM(E$5:E81)</f>
        <v>0.74133333333333351</v>
      </c>
    </row>
    <row r="82" spans="1:12" x14ac:dyDescent="0.25">
      <c r="A82" s="29">
        <v>45631</v>
      </c>
      <c r="B82" s="16" t="s">
        <v>128</v>
      </c>
      <c r="C82" s="34">
        <v>1</v>
      </c>
      <c r="D82" s="16" t="s">
        <v>43</v>
      </c>
      <c r="E82" s="35">
        <v>3.5</v>
      </c>
      <c r="F82" s="35">
        <v>2.9</v>
      </c>
      <c r="G82" s="16" t="s">
        <v>44</v>
      </c>
      <c r="H82" s="16" t="s">
        <v>45</v>
      </c>
      <c r="I82" s="16">
        <f>COUNTIF(G$5:G82,"Y")/COUNTA(G$5:G82)</f>
        <v>0.87179487179487181</v>
      </c>
      <c r="J82" s="16">
        <f>COUNTIF(H$5:H82,"Y")/COUNTA(H$5:H82)</f>
        <v>5.128205128205128E-2</v>
      </c>
      <c r="K82" s="16">
        <f>AVERAGE(F$5:F82)</f>
        <v>2.1756410256410255</v>
      </c>
      <c r="L82" s="16">
        <f>SUM(F$5:F82)/SUM(E$5:E82)</f>
        <v>0.74266958424507679</v>
      </c>
    </row>
    <row r="83" spans="1:12" x14ac:dyDescent="0.25">
      <c r="A83" s="29">
        <v>45632</v>
      </c>
      <c r="B83" s="16" t="s">
        <v>129</v>
      </c>
      <c r="C83" s="34">
        <v>1</v>
      </c>
      <c r="D83" s="16" t="s">
        <v>60</v>
      </c>
      <c r="E83" s="35">
        <v>1.9</v>
      </c>
      <c r="F83" s="35">
        <v>1.5</v>
      </c>
      <c r="G83" s="16" t="s">
        <v>45</v>
      </c>
      <c r="H83" s="16" t="s">
        <v>45</v>
      </c>
      <c r="I83" s="16">
        <f>COUNTIF(G$5:G83,"Y")/COUNTA(G$5:G83)</f>
        <v>0.86075949367088611</v>
      </c>
      <c r="J83" s="16">
        <f>COUNTIF(H$5:H83,"Y")/COUNTA(H$5:H83)</f>
        <v>5.0632911392405063E-2</v>
      </c>
      <c r="K83" s="16">
        <f>AVERAGE(F$5:F83)</f>
        <v>2.1670886075949367</v>
      </c>
      <c r="L83" s="16">
        <f>SUM(F$5:F83)/SUM(E$5:E83)</f>
        <v>0.7430555555555558</v>
      </c>
    </row>
    <row r="84" spans="1:12" x14ac:dyDescent="0.25">
      <c r="A84" s="29">
        <v>45628</v>
      </c>
      <c r="B84" s="16" t="s">
        <v>130</v>
      </c>
      <c r="C84" s="34">
        <v>1</v>
      </c>
      <c r="D84" s="16" t="s">
        <v>52</v>
      </c>
      <c r="E84" s="35">
        <v>5.6</v>
      </c>
      <c r="F84" s="35">
        <v>3.8</v>
      </c>
      <c r="G84" s="16" t="s">
        <v>44</v>
      </c>
      <c r="H84" s="16" t="s">
        <v>45</v>
      </c>
      <c r="I84" s="16">
        <f>COUNTIF(G$5:G84,"Y")/COUNTA(G$5:G84)</f>
        <v>0.86250000000000004</v>
      </c>
      <c r="J84" s="16">
        <f>COUNTIF(H$5:H84,"Y")/COUNTA(H$5:H84)</f>
        <v>0.05</v>
      </c>
      <c r="K84" s="16">
        <f>AVERAGE(F$5:F84)</f>
        <v>2.1875</v>
      </c>
      <c r="L84" s="16">
        <f>SUM(F$5:F84)/SUM(E$5:E84)</f>
        <v>0.7415254237288138</v>
      </c>
    </row>
    <row r="85" spans="1:12" x14ac:dyDescent="0.25">
      <c r="A85" s="29">
        <v>45629</v>
      </c>
      <c r="B85" s="16" t="s">
        <v>131</v>
      </c>
      <c r="C85" s="34">
        <v>1</v>
      </c>
      <c r="D85" s="16" t="s">
        <v>52</v>
      </c>
      <c r="E85" s="35">
        <v>5.6</v>
      </c>
      <c r="F85" s="35">
        <v>3.7</v>
      </c>
      <c r="G85" s="16" t="s">
        <v>44</v>
      </c>
      <c r="H85" s="16" t="s">
        <v>45</v>
      </c>
      <c r="I85" s="16">
        <f>COUNTIF(G$5:G85,"Y")/COUNTA(G$5:G85)</f>
        <v>0.86419753086419748</v>
      </c>
      <c r="J85" s="16">
        <f>COUNTIF(H$5:H85,"Y")/COUNTA(H$5:H85)</f>
        <v>4.9382716049382713E-2</v>
      </c>
      <c r="K85" s="16">
        <f>AVERAGE(F$5:F85)</f>
        <v>2.2061728395061726</v>
      </c>
      <c r="L85" s="16">
        <f>SUM(F$5:F85)/SUM(E$5:E85)</f>
        <v>0.73965231788079489</v>
      </c>
    </row>
    <row r="86" spans="1:12" x14ac:dyDescent="0.25">
      <c r="A86" s="29">
        <v>45630</v>
      </c>
      <c r="B86" s="16" t="s">
        <v>132</v>
      </c>
      <c r="C86" s="34">
        <v>1</v>
      </c>
      <c r="D86" s="16" t="s">
        <v>47</v>
      </c>
      <c r="E86" s="35">
        <v>2.2999999999999998</v>
      </c>
      <c r="F86" s="35">
        <v>1.8</v>
      </c>
      <c r="G86" s="16" t="s">
        <v>44</v>
      </c>
      <c r="H86" s="16" t="s">
        <v>45</v>
      </c>
      <c r="I86" s="16">
        <f>COUNTIF(G$5:G86,"Y")/COUNTA(G$5:G86)</f>
        <v>0.86585365853658536</v>
      </c>
      <c r="J86" s="16">
        <f>COUNTIF(H$5:H86,"Y")/COUNTA(H$5:H86)</f>
        <v>4.878048780487805E-2</v>
      </c>
      <c r="K86" s="16">
        <f>AVERAGE(F$5:F86)</f>
        <v>2.2012195121951219</v>
      </c>
      <c r="L86" s="16">
        <f>SUM(F$5:F86)/SUM(E$5:E86)</f>
        <v>0.74005740057400593</v>
      </c>
    </row>
    <row r="87" spans="1:12" x14ac:dyDescent="0.25">
      <c r="A87" s="29">
        <v>45631</v>
      </c>
      <c r="B87" s="16" t="s">
        <v>133</v>
      </c>
      <c r="C87" s="34">
        <v>1</v>
      </c>
      <c r="D87" s="16" t="s">
        <v>43</v>
      </c>
      <c r="E87" s="35">
        <v>2.2000000000000002</v>
      </c>
      <c r="F87" s="35">
        <v>1.5</v>
      </c>
      <c r="G87" s="16" t="s">
        <v>44</v>
      </c>
      <c r="H87" s="16" t="s">
        <v>45</v>
      </c>
      <c r="I87" s="16">
        <f>COUNTIF(G$5:G87,"Y")/COUNTA(G$5:G87)</f>
        <v>0.86746987951807231</v>
      </c>
      <c r="J87" s="16">
        <f>COUNTIF(H$5:H87,"Y")/COUNTA(H$5:H87)</f>
        <v>4.8192771084337352E-2</v>
      </c>
      <c r="K87" s="16">
        <f>AVERAGE(F$5:F87)</f>
        <v>2.1927710843373496</v>
      </c>
      <c r="L87" s="16">
        <f>SUM(F$5:F87)/SUM(E$5:E87)</f>
        <v>0.73953677366924042</v>
      </c>
    </row>
    <row r="88" spans="1:12" x14ac:dyDescent="0.25">
      <c r="A88" s="29">
        <v>45632</v>
      </c>
      <c r="B88" s="16" t="s">
        <v>134</v>
      </c>
      <c r="C88" s="34">
        <v>1</v>
      </c>
      <c r="D88" s="16" t="s">
        <v>43</v>
      </c>
      <c r="E88" s="35">
        <v>5</v>
      </c>
      <c r="F88" s="35">
        <v>3.8</v>
      </c>
      <c r="G88" s="16" t="s">
        <v>44</v>
      </c>
      <c r="H88" s="16" t="s">
        <v>44</v>
      </c>
      <c r="I88" s="16">
        <f>COUNTIF(G$5:G88,"Y")/COUNTA(G$5:G88)</f>
        <v>0.86904761904761907</v>
      </c>
      <c r="J88" s="16">
        <f>COUNTIF(H$5:H88,"Y")/COUNTA(H$5:H88)</f>
        <v>5.9523809523809521E-2</v>
      </c>
      <c r="K88" s="16">
        <f>AVERAGE(F$5:F88)</f>
        <v>2.211904761904762</v>
      </c>
      <c r="L88" s="16">
        <f>SUM(F$5:F88)/SUM(E$5:E88)</f>
        <v>0.73994424532058967</v>
      </c>
    </row>
    <row r="89" spans="1:12" x14ac:dyDescent="0.25">
      <c r="A89" s="29">
        <v>45628</v>
      </c>
      <c r="B89" s="16" t="s">
        <v>135</v>
      </c>
      <c r="C89" s="34">
        <v>1</v>
      </c>
      <c r="D89" s="16" t="s">
        <v>64</v>
      </c>
      <c r="E89" s="35">
        <v>3.7</v>
      </c>
      <c r="F89" s="35">
        <v>3</v>
      </c>
      <c r="G89" s="16" t="s">
        <v>44</v>
      </c>
      <c r="H89" s="16" t="s">
        <v>45</v>
      </c>
      <c r="I89" s="16">
        <f>COUNTIF(G$5:G89,"Y")/COUNTA(G$5:G89)</f>
        <v>0.87058823529411766</v>
      </c>
      <c r="J89" s="16">
        <f>COUNTIF(H$5:H89,"Y")/COUNTA(H$5:H89)</f>
        <v>5.8823529411764705E-2</v>
      </c>
      <c r="K89" s="16">
        <f>AVERAGE(F$5:F89)</f>
        <v>2.2211764705882353</v>
      </c>
      <c r="L89" s="16">
        <f>SUM(F$5:F89)/SUM(E$5:E89)</f>
        <v>0.74097331240188413</v>
      </c>
    </row>
    <row r="90" spans="1:12" x14ac:dyDescent="0.25">
      <c r="A90" s="29">
        <v>45629</v>
      </c>
      <c r="B90" s="16" t="s">
        <v>136</v>
      </c>
      <c r="C90" s="34">
        <v>1</v>
      </c>
      <c r="D90" s="16" t="s">
        <v>60</v>
      </c>
      <c r="E90" s="35">
        <v>5.9</v>
      </c>
      <c r="F90" s="35">
        <v>3.9</v>
      </c>
      <c r="G90" s="16" t="s">
        <v>44</v>
      </c>
      <c r="H90" s="16" t="s">
        <v>45</v>
      </c>
      <c r="I90" s="16">
        <f>COUNTIF(G$5:G90,"Y")/COUNTA(G$5:G90)</f>
        <v>0.87209302325581395</v>
      </c>
      <c r="J90" s="16">
        <f>COUNTIF(H$5:H90,"Y")/COUNTA(H$5:H90)</f>
        <v>5.8139534883720929E-2</v>
      </c>
      <c r="K90" s="16">
        <f>AVERAGE(F$5:F90)</f>
        <v>2.2406976744186049</v>
      </c>
      <c r="L90" s="16">
        <f>SUM(F$5:F90)/SUM(E$5:E90)</f>
        <v>0.73916378979670161</v>
      </c>
    </row>
    <row r="91" spans="1:12" x14ac:dyDescent="0.25">
      <c r="A91" s="29">
        <v>45630</v>
      </c>
      <c r="B91" s="16" t="s">
        <v>137</v>
      </c>
      <c r="C91" s="34">
        <v>1</v>
      </c>
      <c r="D91" s="16" t="s">
        <v>56</v>
      </c>
      <c r="E91" s="35">
        <v>6.1</v>
      </c>
      <c r="F91" s="35">
        <v>4.0999999999999996</v>
      </c>
      <c r="G91" s="16" t="s">
        <v>44</v>
      </c>
      <c r="H91" s="16" t="s">
        <v>45</v>
      </c>
      <c r="I91" s="16">
        <f>COUNTIF(G$5:G91,"Y")/COUNTA(G$5:G91)</f>
        <v>0.87356321839080464</v>
      </c>
      <c r="J91" s="16">
        <f>COUNTIF(H$5:H91,"Y")/COUNTA(H$5:H91)</f>
        <v>5.7471264367816091E-2</v>
      </c>
      <c r="K91" s="16">
        <f>AVERAGE(F$5:F91)</f>
        <v>2.2620689655172415</v>
      </c>
      <c r="L91" s="16">
        <f>SUM(F$5:F91)/SUM(E$5:E91)</f>
        <v>0.7376311844077964</v>
      </c>
    </row>
    <row r="92" spans="1:12" x14ac:dyDescent="0.25">
      <c r="A92" s="29">
        <v>45631</v>
      </c>
      <c r="B92" s="16" t="s">
        <v>138</v>
      </c>
      <c r="C92" s="34">
        <v>1</v>
      </c>
      <c r="D92" s="16" t="s">
        <v>64</v>
      </c>
      <c r="E92" s="35">
        <v>4.4000000000000004</v>
      </c>
      <c r="F92" s="35">
        <v>3.8</v>
      </c>
      <c r="G92" s="16" t="s">
        <v>45</v>
      </c>
      <c r="H92" s="16" t="s">
        <v>45</v>
      </c>
      <c r="I92" s="16">
        <f>COUNTIF(G$5:G92,"Y")/COUNTA(G$5:G92)</f>
        <v>0.86363636363636365</v>
      </c>
      <c r="J92" s="16">
        <f>COUNTIF(H$5:H92,"Y")/COUNTA(H$5:H92)</f>
        <v>5.6818181818181816E-2</v>
      </c>
      <c r="K92" s="16">
        <f>AVERAGE(F$5:F92)</f>
        <v>2.2795454545454548</v>
      </c>
      <c r="L92" s="16">
        <f>SUM(F$5:F92)/SUM(E$5:E92)</f>
        <v>0.73967551622418926</v>
      </c>
    </row>
    <row r="93" spans="1:12" x14ac:dyDescent="0.25">
      <c r="A93" s="29">
        <v>45632</v>
      </c>
      <c r="B93" s="16" t="s">
        <v>139</v>
      </c>
      <c r="C93" s="34">
        <v>1</v>
      </c>
      <c r="D93" s="16" t="s">
        <v>64</v>
      </c>
      <c r="E93" s="35">
        <v>4.4000000000000004</v>
      </c>
      <c r="F93" s="35">
        <v>3.4</v>
      </c>
      <c r="G93" s="16" t="s">
        <v>44</v>
      </c>
      <c r="H93" s="16" t="s">
        <v>45</v>
      </c>
      <c r="I93" s="16">
        <f>COUNTIF(G$5:G93,"Y")/COUNTA(G$5:G93)</f>
        <v>0.8651685393258427</v>
      </c>
      <c r="J93" s="16">
        <f>COUNTIF(H$5:H93,"Y")/COUNTA(H$5:H93)</f>
        <v>5.6179775280898875E-2</v>
      </c>
      <c r="K93" s="16">
        <f>AVERAGE(F$5:F93)</f>
        <v>2.2921348314606744</v>
      </c>
      <c r="L93" s="16">
        <f>SUM(F$5:F93)/SUM(E$5:E93)</f>
        <v>0.74020319303338222</v>
      </c>
    </row>
    <row r="94" spans="1:12" x14ac:dyDescent="0.25">
      <c r="A94" s="29">
        <v>45628</v>
      </c>
      <c r="B94" s="16" t="s">
        <v>140</v>
      </c>
      <c r="C94" s="34">
        <v>1</v>
      </c>
      <c r="D94" s="16" t="s">
        <v>43</v>
      </c>
      <c r="E94" s="35">
        <v>5.8</v>
      </c>
      <c r="F94" s="35">
        <v>3.9</v>
      </c>
      <c r="G94" s="16" t="s">
        <v>44</v>
      </c>
      <c r="H94" s="16" t="s">
        <v>45</v>
      </c>
      <c r="I94" s="16">
        <f>COUNTIF(G$5:G94,"Y")/COUNTA(G$5:G94)</f>
        <v>0.8666666666666667</v>
      </c>
      <c r="J94" s="16">
        <f>COUNTIF(H$5:H94,"Y")/COUNTA(H$5:H94)</f>
        <v>5.5555555555555552E-2</v>
      </c>
      <c r="K94" s="16">
        <f>AVERAGE(F$5:F94)</f>
        <v>2.3100000000000005</v>
      </c>
      <c r="L94" s="16">
        <f>SUM(F$5:F94)/SUM(E$5:E94)</f>
        <v>0.7388059701492542</v>
      </c>
    </row>
    <row r="95" spans="1:12" x14ac:dyDescent="0.25">
      <c r="A95" s="29">
        <v>45629</v>
      </c>
      <c r="B95" s="16" t="s">
        <v>141</v>
      </c>
      <c r="C95" s="34">
        <v>1</v>
      </c>
      <c r="D95" s="16" t="s">
        <v>43</v>
      </c>
      <c r="E95" s="35">
        <v>5.5</v>
      </c>
      <c r="F95" s="35">
        <v>3.7</v>
      </c>
      <c r="G95" s="16" t="s">
        <v>44</v>
      </c>
      <c r="H95" s="16" t="s">
        <v>45</v>
      </c>
      <c r="I95" s="16">
        <f>COUNTIF(G$5:G95,"Y")/COUNTA(G$5:G95)</f>
        <v>0.86813186813186816</v>
      </c>
      <c r="J95" s="16">
        <f>COUNTIF(H$5:H95,"Y")/COUNTA(H$5:H95)</f>
        <v>5.4945054945054944E-2</v>
      </c>
      <c r="K95" s="16">
        <f>AVERAGE(F$5:F95)</f>
        <v>2.3252747252747255</v>
      </c>
      <c r="L95" s="16">
        <f>SUM(F$5:F95)/SUM(E$5:E95)</f>
        <v>0.7375392122690837</v>
      </c>
    </row>
    <row r="96" spans="1:12" x14ac:dyDescent="0.25">
      <c r="A96" s="29">
        <v>45630</v>
      </c>
      <c r="B96" s="16" t="s">
        <v>142</v>
      </c>
      <c r="C96" s="34">
        <v>1</v>
      </c>
      <c r="D96" s="16" t="s">
        <v>43</v>
      </c>
      <c r="E96" s="35">
        <v>2.8</v>
      </c>
      <c r="F96" s="35">
        <v>1.9</v>
      </c>
      <c r="G96" s="16" t="s">
        <v>44</v>
      </c>
      <c r="H96" s="16" t="s">
        <v>45</v>
      </c>
      <c r="I96" s="16">
        <f>COUNTIF(G$5:G96,"Y")/COUNTA(G$5:G96)</f>
        <v>0.86956521739130432</v>
      </c>
      <c r="J96" s="16">
        <f>COUNTIF(H$5:H96,"Y")/COUNTA(H$5:H96)</f>
        <v>5.434782608695652E-2</v>
      </c>
      <c r="K96" s="16">
        <f>AVERAGE(F$5:F96)</f>
        <v>2.3206521739130439</v>
      </c>
      <c r="L96" s="16">
        <f>SUM(F$5:F96)/SUM(E$5:E96)</f>
        <v>0.73696927856403216</v>
      </c>
    </row>
    <row r="97" spans="1:13" x14ac:dyDescent="0.25">
      <c r="A97" s="29">
        <v>45631</v>
      </c>
      <c r="B97" s="16" t="s">
        <v>143</v>
      </c>
      <c r="C97" s="34">
        <v>1</v>
      </c>
      <c r="D97" s="16" t="s">
        <v>56</v>
      </c>
      <c r="E97" s="35">
        <v>2.2999999999999998</v>
      </c>
      <c r="F97" s="35">
        <v>1.5</v>
      </c>
      <c r="G97" s="16" t="s">
        <v>45</v>
      </c>
      <c r="H97" s="16" t="s">
        <v>45</v>
      </c>
      <c r="I97" s="16">
        <f>COUNTIF(G$5:G97,"Y")/COUNTA(G$5:G97)</f>
        <v>0.86021505376344087</v>
      </c>
      <c r="J97" s="16">
        <f>COUNTIF(H$5:H97,"Y")/COUNTA(H$5:H97)</f>
        <v>5.3763440860215055E-2</v>
      </c>
      <c r="K97" s="16">
        <f>AVERAGE(F$5:F97)</f>
        <v>2.3118279569892475</v>
      </c>
      <c r="L97" s="16">
        <f>SUM(F$5:F97)/SUM(E$5:E97)</f>
        <v>0.73630136986301409</v>
      </c>
    </row>
    <row r="98" spans="1:13" x14ac:dyDescent="0.25">
      <c r="A98" s="29">
        <v>45632</v>
      </c>
      <c r="B98" s="16" t="s">
        <v>144</v>
      </c>
      <c r="C98" s="34">
        <v>1</v>
      </c>
      <c r="D98" s="16" t="s">
        <v>56</v>
      </c>
      <c r="E98" s="35">
        <v>4.5999999999999996</v>
      </c>
      <c r="F98" s="35">
        <v>3.7</v>
      </c>
      <c r="G98" s="16" t="s">
        <v>44</v>
      </c>
      <c r="H98" s="16" t="s">
        <v>45</v>
      </c>
      <c r="I98" s="16">
        <f>COUNTIF(G$5:G98,"Y")/COUNTA(G$5:G98)</f>
        <v>0.86170212765957444</v>
      </c>
      <c r="J98" s="16">
        <f>COUNTIF(H$5:H98,"Y")/COUNTA(H$5:H98)</f>
        <v>5.3191489361702128E-2</v>
      </c>
      <c r="K98" s="16">
        <f>AVERAGE(F$5:F98)</f>
        <v>2.3265957446808514</v>
      </c>
      <c r="L98" s="16">
        <f>SUM(F$5:F98)/SUM(E$5:E98)</f>
        <v>0.7373567093728931</v>
      </c>
    </row>
    <row r="99" spans="1:13" x14ac:dyDescent="0.25">
      <c r="A99" s="29">
        <v>45628</v>
      </c>
      <c r="B99" s="16" t="s">
        <v>145</v>
      </c>
      <c r="C99" s="34">
        <v>1</v>
      </c>
      <c r="D99" s="16" t="s">
        <v>64</v>
      </c>
      <c r="E99" s="35">
        <v>4.8</v>
      </c>
      <c r="F99" s="35">
        <v>3.6</v>
      </c>
      <c r="G99" s="16" t="s">
        <v>45</v>
      </c>
      <c r="H99" s="16" t="s">
        <v>45</v>
      </c>
      <c r="I99" s="16">
        <f>COUNTIF(G$5:G99,"Y")/COUNTA(G$5:G99)</f>
        <v>0.85263157894736841</v>
      </c>
      <c r="J99" s="16">
        <f>COUNTIF(H$5:H99,"Y")/COUNTA(H$5:H99)</f>
        <v>5.2631578947368418E-2</v>
      </c>
      <c r="K99" s="16">
        <f>AVERAGE(F$5:F99)</f>
        <v>2.3400000000000003</v>
      </c>
      <c r="L99" s="16">
        <f>SUM(F$5:F99)/SUM(E$5:E99)</f>
        <v>0.73755806237558086</v>
      </c>
    </row>
    <row r="100" spans="1:13" x14ac:dyDescent="0.25">
      <c r="A100" s="29">
        <v>45629</v>
      </c>
      <c r="B100" s="16" t="s">
        <v>146</v>
      </c>
      <c r="C100" s="34">
        <v>1</v>
      </c>
      <c r="D100" s="16" t="s">
        <v>64</v>
      </c>
      <c r="E100" s="35">
        <v>3.1</v>
      </c>
      <c r="F100" s="35">
        <v>2.1</v>
      </c>
      <c r="G100" s="16" t="s">
        <v>44</v>
      </c>
      <c r="H100" s="16" t="s">
        <v>45</v>
      </c>
      <c r="I100" s="16">
        <f>COUNTIF(G$5:G100,"Y")/COUNTA(G$5:G100)</f>
        <v>0.85416666666666663</v>
      </c>
      <c r="J100" s="16">
        <f>COUNTIF(H$5:H100,"Y")/COUNTA(H$5:H100)</f>
        <v>5.2083333333333336E-2</v>
      </c>
      <c r="K100" s="16">
        <f>AVERAGE(F$5:F100)</f>
        <v>2.3374999999999999</v>
      </c>
      <c r="L100" s="16">
        <f>SUM(F$5:F100)/SUM(E$5:E100)</f>
        <v>0.73694581280788196</v>
      </c>
    </row>
    <row r="101" spans="1:13" x14ac:dyDescent="0.25">
      <c r="A101" s="29">
        <v>45630</v>
      </c>
      <c r="B101" s="16" t="s">
        <v>147</v>
      </c>
      <c r="C101" s="34">
        <v>1</v>
      </c>
      <c r="D101" s="16" t="s">
        <v>47</v>
      </c>
      <c r="E101" s="35">
        <v>2.1</v>
      </c>
      <c r="F101" s="35">
        <v>1.8</v>
      </c>
      <c r="G101" s="16" t="s">
        <v>44</v>
      </c>
      <c r="H101" s="16" t="s">
        <v>45</v>
      </c>
      <c r="I101" s="16">
        <f>COUNTIF(G$5:G101,"Y")/COUNTA(G$5:G101)</f>
        <v>0.85567010309278346</v>
      </c>
      <c r="J101" s="16">
        <f>COUNTIF(H$5:H101,"Y")/COUNTA(H$5:H101)</f>
        <v>5.1546391752577317E-2</v>
      </c>
      <c r="K101" s="16">
        <f>AVERAGE(F$5:F101)</f>
        <v>2.3319587628865981</v>
      </c>
      <c r="L101" s="16">
        <f>SUM(F$5:F101)/SUM(E$5:E101)</f>
        <v>0.73776908023483379</v>
      </c>
    </row>
    <row r="102" spans="1:13" x14ac:dyDescent="0.25">
      <c r="A102" s="29">
        <v>45631</v>
      </c>
      <c r="B102" s="16" t="s">
        <v>148</v>
      </c>
      <c r="C102" s="34">
        <v>1</v>
      </c>
      <c r="D102" s="16" t="s">
        <v>52</v>
      </c>
      <c r="E102" s="35">
        <v>2.2000000000000002</v>
      </c>
      <c r="F102" s="35">
        <v>1.7</v>
      </c>
      <c r="G102" s="16" t="s">
        <v>44</v>
      </c>
      <c r="H102" s="16" t="s">
        <v>45</v>
      </c>
      <c r="I102" s="16">
        <f>COUNTIF(G$5:G102,"Y")/COUNTA(G$5:G102)</f>
        <v>0.8571428571428571</v>
      </c>
      <c r="J102" s="16">
        <f>COUNTIF(H$5:H102,"Y")/COUNTA(H$5:H102)</f>
        <v>5.1020408163265307E-2</v>
      </c>
      <c r="K102" s="16">
        <f>AVERAGE(F$5:F102)</f>
        <v>2.3255102040816329</v>
      </c>
      <c r="L102" s="16">
        <f>SUM(F$5:F102)/SUM(E$5:E102)</f>
        <v>0.73801813471502609</v>
      </c>
    </row>
    <row r="103" spans="1:13" x14ac:dyDescent="0.25">
      <c r="A103" s="29">
        <v>45632</v>
      </c>
      <c r="B103" s="16" t="s">
        <v>149</v>
      </c>
      <c r="C103" s="34">
        <v>1</v>
      </c>
      <c r="D103" s="16" t="s">
        <v>52</v>
      </c>
      <c r="E103" s="35">
        <v>5.7</v>
      </c>
      <c r="F103" s="35">
        <v>3.7</v>
      </c>
      <c r="G103" s="16" t="s">
        <v>44</v>
      </c>
      <c r="H103" s="16" t="s">
        <v>45</v>
      </c>
      <c r="I103" s="16">
        <f>COUNTIF(G$5:G103,"Y")/COUNTA(G$5:G103)</f>
        <v>0.85858585858585856</v>
      </c>
      <c r="J103" s="16">
        <f>COUNTIF(H$5:H103,"Y")/COUNTA(H$5:H103)</f>
        <v>5.0505050505050504E-2</v>
      </c>
      <c r="K103" s="16">
        <f>AVERAGE(F$5:F103)</f>
        <v>2.3393939393939394</v>
      </c>
      <c r="L103" s="16">
        <f>SUM(F$5:F103)/SUM(E$5:E103)</f>
        <v>0.73640699523052477</v>
      </c>
    </row>
    <row r="104" spans="1:13" x14ac:dyDescent="0.25">
      <c r="A104" s="29">
        <v>45628</v>
      </c>
      <c r="B104" s="16" t="s">
        <v>150</v>
      </c>
      <c r="C104" s="34">
        <v>1</v>
      </c>
      <c r="D104" s="16" t="s">
        <v>52</v>
      </c>
      <c r="E104" s="35">
        <v>1.5</v>
      </c>
      <c r="F104" s="35">
        <v>1.6</v>
      </c>
      <c r="G104" s="16" t="s">
        <v>44</v>
      </c>
      <c r="H104" s="16" t="s">
        <v>45</v>
      </c>
      <c r="I104" s="16">
        <f>COUNTIF(G$5:G104,"Y")/COUNTA(G$5:G104)</f>
        <v>0.86</v>
      </c>
      <c r="J104" s="16">
        <f>COUNTIF(H$5:H104,"Y")/COUNTA(H$5:H104)</f>
        <v>0.05</v>
      </c>
      <c r="K104" s="16">
        <f>AVERAGE(F$5:F104)</f>
        <v>2.3319999999999999</v>
      </c>
      <c r="L104" s="16">
        <f>SUM(F$5:F104)/SUM(E$5:E104)</f>
        <v>0.73797468354430384</v>
      </c>
    </row>
    <row r="105" spans="1:13" x14ac:dyDescent="0.25">
      <c r="A105" s="29">
        <v>45629</v>
      </c>
      <c r="B105" s="16" t="s">
        <v>151</v>
      </c>
      <c r="C105" s="34">
        <v>1</v>
      </c>
      <c r="D105" s="16" t="s">
        <v>47</v>
      </c>
      <c r="E105" s="35">
        <v>0.5</v>
      </c>
      <c r="F105" s="35">
        <v>0.5</v>
      </c>
      <c r="G105" s="16" t="s">
        <v>44</v>
      </c>
      <c r="H105" s="16" t="s">
        <v>45</v>
      </c>
      <c r="I105" s="16">
        <f>COUNTIF(G$5:G105,"Y")/COUNTA(G$5:G105)</f>
        <v>0.86138613861386137</v>
      </c>
      <c r="J105" s="16">
        <f>COUNTIF(H$5:H105,"Y")/COUNTA(H$5:H105)</f>
        <v>4.9504950495049507E-2</v>
      </c>
      <c r="K105" s="16">
        <f>AVERAGE(F$5:F105)</f>
        <v>2.3138613861386137</v>
      </c>
      <c r="L105" s="16">
        <f>SUM(F$5:F105)/SUM(E$5:E105)</f>
        <v>0.73838862559241714</v>
      </c>
    </row>
    <row r="106" spans="1:13" x14ac:dyDescent="0.25">
      <c r="A106" s="29">
        <v>45630</v>
      </c>
      <c r="B106" s="16" t="s">
        <v>152</v>
      </c>
      <c r="C106" s="34">
        <v>1</v>
      </c>
      <c r="D106" s="16" t="s">
        <v>52</v>
      </c>
      <c r="E106" s="35">
        <v>0.5</v>
      </c>
      <c r="F106" s="35">
        <v>0.5</v>
      </c>
      <c r="G106" s="16" t="s">
        <v>44</v>
      </c>
      <c r="H106" s="16" t="s">
        <v>44</v>
      </c>
      <c r="I106" s="16">
        <f>COUNTIF(G$5:G106,"Y")/COUNTA(G$5:G106)</f>
        <v>0.86274509803921573</v>
      </c>
      <c r="J106" s="16">
        <f>COUNTIF(H$5:H106,"Y")/COUNTA(H$5:H106)</f>
        <v>5.8823529411764705E-2</v>
      </c>
      <c r="K106" s="16">
        <f>AVERAGE(F$5:F106)</f>
        <v>2.2960784313725489</v>
      </c>
      <c r="L106" s="16">
        <f>SUM(F$5:F106)/SUM(E$5:E106)</f>
        <v>0.73880126182965311</v>
      </c>
    </row>
    <row r="107" spans="1:13" x14ac:dyDescent="0.25">
      <c r="A107" s="29">
        <v>45631</v>
      </c>
      <c r="B107" s="16" t="s">
        <v>153</v>
      </c>
      <c r="C107" s="34">
        <v>1</v>
      </c>
      <c r="D107" s="16" t="s">
        <v>43</v>
      </c>
      <c r="E107" s="35">
        <v>0.5</v>
      </c>
      <c r="F107" s="35">
        <v>0.5</v>
      </c>
      <c r="G107" s="16" t="s">
        <v>44</v>
      </c>
      <c r="H107" s="16" t="s">
        <v>45</v>
      </c>
      <c r="I107" s="16">
        <f>COUNTIF(G$5:G107,"Y")/COUNTA(G$5:G107)</f>
        <v>0.86407766990291257</v>
      </c>
      <c r="J107" s="16">
        <f>COUNTIF(H$5:H107,"Y")/COUNTA(H$5:H107)</f>
        <v>5.8252427184466021E-2</v>
      </c>
      <c r="K107" s="16">
        <f>AVERAGE(F$5:F107)</f>
        <v>2.2786407766990289</v>
      </c>
      <c r="L107" s="16">
        <f>SUM(F$5:F107)/SUM(E$5:E107)</f>
        <v>0.73921259842519693</v>
      </c>
    </row>
    <row r="108" spans="1:13" x14ac:dyDescent="0.25">
      <c r="A108" s="29">
        <v>45632</v>
      </c>
      <c r="B108" s="16" t="s">
        <v>154</v>
      </c>
      <c r="C108" s="34">
        <v>1</v>
      </c>
      <c r="D108" s="16" t="s">
        <v>56</v>
      </c>
      <c r="E108" s="35">
        <v>0.5</v>
      </c>
      <c r="F108" s="35">
        <v>0.5</v>
      </c>
      <c r="G108" s="16" t="s">
        <v>44</v>
      </c>
      <c r="H108" s="16" t="s">
        <v>45</v>
      </c>
      <c r="I108" s="16">
        <f>COUNTIF(G$5:G108,"Y")/COUNTA(G$5:G108)</f>
        <v>0.86538461538461542</v>
      </c>
      <c r="J108" s="16">
        <f>COUNTIF(H$5:H108,"Y")/COUNTA(H$5:H108)</f>
        <v>5.7692307692307696E-2</v>
      </c>
      <c r="K108" s="16">
        <f>AVERAGE(F$5:F108)</f>
        <v>2.2615384615384615</v>
      </c>
      <c r="L108" s="16">
        <f>SUM(F$5:F108)/SUM(E$5:E108)</f>
        <v>0.73962264150943402</v>
      </c>
    </row>
    <row r="109" spans="1:13" x14ac:dyDescent="0.25">
      <c r="A109" s="29">
        <v>45628</v>
      </c>
      <c r="B109" s="16" t="s">
        <v>155</v>
      </c>
      <c r="C109" s="34">
        <v>1</v>
      </c>
      <c r="D109" s="16" t="s">
        <v>56</v>
      </c>
      <c r="E109" s="35">
        <v>0.5</v>
      </c>
      <c r="F109" s="35">
        <v>0.5</v>
      </c>
      <c r="G109" s="16" t="s">
        <v>44</v>
      </c>
      <c r="H109" s="16" t="s">
        <v>45</v>
      </c>
      <c r="I109" s="16">
        <f>COUNTIF(G$5:G109,"Y")/COUNTA(G$5:G109)</f>
        <v>0.8666666666666667</v>
      </c>
      <c r="J109" s="16">
        <f>COUNTIF(H$5:H109,"Y")/COUNTA(H$5:H109)</f>
        <v>5.7142857142857141E-2</v>
      </c>
      <c r="K109" s="16">
        <f>AVERAGE(F$5:F109)</f>
        <v>2.2447619047619045</v>
      </c>
      <c r="L109" s="16">
        <f>SUM(F$5:F109)/SUM(E$5:E109)</f>
        <v>0.74003139717425437</v>
      </c>
    </row>
    <row r="110" spans="1:13" x14ac:dyDescent="0.25">
      <c r="A110" s="29">
        <v>45629</v>
      </c>
      <c r="B110" s="16" t="s">
        <v>156</v>
      </c>
      <c r="C110" s="34">
        <v>1</v>
      </c>
      <c r="D110" s="16" t="s">
        <v>52</v>
      </c>
      <c r="E110" s="35">
        <v>0.5</v>
      </c>
      <c r="F110" s="35">
        <v>0.5</v>
      </c>
      <c r="G110" s="16" t="s">
        <v>44</v>
      </c>
      <c r="H110" s="16" t="s">
        <v>45</v>
      </c>
      <c r="I110" s="16">
        <f>COUNTIF(G$5:G110,"Y")/COUNTA(G$5:G110)</f>
        <v>0.86792452830188682</v>
      </c>
      <c r="J110" s="16">
        <f>COUNTIF(H$5:H110,"Y")/COUNTA(H$5:H110)</f>
        <v>5.6603773584905662E-2</v>
      </c>
      <c r="K110" s="16">
        <f>AVERAGE(F$5:F110)</f>
        <v>2.2283018867924529</v>
      </c>
      <c r="L110" s="16">
        <f>SUM(F$5:F110)/SUM(E$5:E110)</f>
        <v>0.7404388714733543</v>
      </c>
    </row>
    <row r="111" spans="1:13" x14ac:dyDescent="0.25">
      <c r="A111" s="29">
        <v>45630</v>
      </c>
      <c r="B111" s="16" t="s">
        <v>157</v>
      </c>
      <c r="C111" s="34">
        <v>1</v>
      </c>
      <c r="D111" s="16" t="s">
        <v>64</v>
      </c>
      <c r="E111" s="35">
        <v>0.5</v>
      </c>
      <c r="F111" s="35">
        <v>0.5</v>
      </c>
      <c r="G111" s="16" t="s">
        <v>44</v>
      </c>
      <c r="H111" s="16" t="s">
        <v>45</v>
      </c>
      <c r="I111" s="16">
        <f>COUNTIF(G$5:G111,"Y")/COUNTA(G$5:G111)</f>
        <v>0.86915887850467288</v>
      </c>
      <c r="J111" s="16">
        <f>COUNTIF(H$5:H111,"Y")/COUNTA(H$5:H111)</f>
        <v>5.6074766355140186E-2</v>
      </c>
      <c r="K111" s="16">
        <f>AVERAGE(F$5:F111)</f>
        <v>2.2121495327102805</v>
      </c>
      <c r="L111" s="16">
        <f>SUM(F$5:F111)/SUM(E$5:E111)</f>
        <v>0.74084507042253533</v>
      </c>
    </row>
    <row r="112" spans="1:13" x14ac:dyDescent="0.25">
      <c r="A112" s="29">
        <v>45631</v>
      </c>
      <c r="B112" s="16" t="s">
        <v>158</v>
      </c>
      <c r="C112" s="34">
        <v>1</v>
      </c>
      <c r="D112" s="16" t="s">
        <v>60</v>
      </c>
      <c r="E112" s="35">
        <v>0.5</v>
      </c>
      <c r="F112" s="35">
        <v>0.5</v>
      </c>
      <c r="G112" s="16" t="s">
        <v>45</v>
      </c>
      <c r="H112" s="16" t="s">
        <v>45</v>
      </c>
      <c r="I112" s="16">
        <f>COUNTIF(G$5:G112,"Y")/COUNTA(G$5:G112)</f>
        <v>0.86111111111111116</v>
      </c>
      <c r="J112" s="16">
        <f>COUNTIF(H$5:H112,"Y")/COUNTA(H$5:H112)</f>
        <v>5.5555555555555552E-2</v>
      </c>
      <c r="K112" s="16">
        <f>AVERAGE(F$5:F112)</f>
        <v>2.1962962962962962</v>
      </c>
      <c r="L112" s="16">
        <f>SUM(F$5:F112)/SUM(E$5:E112)</f>
        <v>0.74125000000000008</v>
      </c>
      <c r="M112" s="16">
        <v>18</v>
      </c>
    </row>
    <row r="113" spans="1:12" x14ac:dyDescent="0.25">
      <c r="A113" s="29">
        <v>45635</v>
      </c>
      <c r="B113" s="16" t="s">
        <v>159</v>
      </c>
      <c r="C113" s="34">
        <v>1</v>
      </c>
      <c r="D113" s="16" t="s">
        <v>52</v>
      </c>
      <c r="E113" s="35">
        <v>3.4</v>
      </c>
      <c r="F113" s="35">
        <v>2.4</v>
      </c>
      <c r="G113" s="16" t="s">
        <v>44</v>
      </c>
      <c r="H113" s="16" t="s">
        <v>45</v>
      </c>
      <c r="I113" s="16">
        <f>COUNTIF(G$5:G113,"Y")/COUNTA(G$5:G113)</f>
        <v>0.86238532110091748</v>
      </c>
      <c r="J113" s="16">
        <f>COUNTIF(H$5:H113,"Y")/COUNTA(H$5:H113)</f>
        <v>5.5045871559633031E-2</v>
      </c>
      <c r="K113" s="16">
        <f>AVERAGE(F$5:F113)</f>
        <v>2.1981651376146787</v>
      </c>
      <c r="L113" s="16">
        <f>SUM(F$5:F113)/SUM(E$5:E113)</f>
        <v>0.74087816944959817</v>
      </c>
    </row>
    <row r="114" spans="1:12" x14ac:dyDescent="0.25">
      <c r="A114" s="29">
        <v>45636</v>
      </c>
      <c r="B114" s="16" t="s">
        <v>160</v>
      </c>
      <c r="C114" s="34">
        <v>1</v>
      </c>
      <c r="D114" s="16" t="s">
        <v>50</v>
      </c>
      <c r="E114" s="35">
        <v>4.5999999999999996</v>
      </c>
      <c r="F114" s="35">
        <v>3.7</v>
      </c>
      <c r="G114" s="16" t="s">
        <v>44</v>
      </c>
      <c r="H114" s="16" t="s">
        <v>45</v>
      </c>
      <c r="I114" s="16">
        <f>COUNTIF(G$5:G114,"Y")/COUNTA(G$5:G114)</f>
        <v>0.86363636363636365</v>
      </c>
      <c r="J114" s="16">
        <f>COUNTIF(H$5:H114,"Y")/COUNTA(H$5:H114)</f>
        <v>5.4545454545454543E-2</v>
      </c>
      <c r="K114" s="16">
        <f>AVERAGE(F$5:F114)</f>
        <v>2.2118181818181815</v>
      </c>
      <c r="L114" s="16">
        <f>SUM(F$5:F114)/SUM(E$5:E114)</f>
        <v>0.74176829268292688</v>
      </c>
    </row>
    <row r="115" spans="1:12" x14ac:dyDescent="0.25">
      <c r="A115" s="29">
        <v>45637</v>
      </c>
      <c r="B115" s="16" t="s">
        <v>161</v>
      </c>
      <c r="C115" s="34">
        <v>1</v>
      </c>
      <c r="D115" s="16" t="s">
        <v>56</v>
      </c>
      <c r="E115" s="35">
        <v>2.1</v>
      </c>
      <c r="F115" s="35">
        <v>1.5</v>
      </c>
      <c r="G115" s="16" t="s">
        <v>44</v>
      </c>
      <c r="H115" s="16" t="s">
        <v>45</v>
      </c>
      <c r="I115" s="16">
        <f>COUNTIF(G$5:G115,"Y")/COUNTA(G$5:G115)</f>
        <v>0.86486486486486491</v>
      </c>
      <c r="J115" s="16">
        <f>COUNTIF(H$5:H115,"Y")/COUNTA(H$5:H115)</f>
        <v>5.4054054054054057E-2</v>
      </c>
      <c r="K115" s="16">
        <f>AVERAGE(F$5:F115)</f>
        <v>2.2054054054054051</v>
      </c>
      <c r="L115" s="16">
        <f>SUM(F$5:F115)/SUM(E$5:E115)</f>
        <v>0.74159345652832476</v>
      </c>
    </row>
    <row r="116" spans="1:12" x14ac:dyDescent="0.25">
      <c r="A116" s="29">
        <v>45638</v>
      </c>
      <c r="B116" s="16" t="s">
        <v>162</v>
      </c>
      <c r="C116" s="34">
        <v>1</v>
      </c>
      <c r="D116" s="16" t="s">
        <v>60</v>
      </c>
      <c r="E116" s="35">
        <v>3.7</v>
      </c>
      <c r="F116" s="35">
        <v>2.6</v>
      </c>
      <c r="G116" s="16" t="s">
        <v>44</v>
      </c>
      <c r="H116" s="16" t="s">
        <v>45</v>
      </c>
      <c r="I116" s="16">
        <f>COUNTIF(G$5:G116,"Y")/COUNTA(G$5:G116)</f>
        <v>0.8660714285714286</v>
      </c>
      <c r="J116" s="16">
        <f>COUNTIF(H$5:H116,"Y")/COUNTA(H$5:H116)</f>
        <v>5.3571428571428568E-2</v>
      </c>
      <c r="K116" s="16">
        <f>AVERAGE(F$5:F116)</f>
        <v>2.2089285714285714</v>
      </c>
      <c r="L116" s="16">
        <f>SUM(F$5:F116)/SUM(E$5:E116)</f>
        <v>0.74116237267825047</v>
      </c>
    </row>
    <row r="117" spans="1:12" x14ac:dyDescent="0.25">
      <c r="A117" s="29">
        <v>45639</v>
      </c>
      <c r="B117" s="16" t="s">
        <v>163</v>
      </c>
      <c r="C117" s="34">
        <v>1</v>
      </c>
      <c r="D117" s="16" t="s">
        <v>60</v>
      </c>
      <c r="E117" s="35">
        <v>3</v>
      </c>
      <c r="F117" s="35">
        <v>2</v>
      </c>
      <c r="G117" s="16" t="s">
        <v>44</v>
      </c>
      <c r="H117" s="16" t="s">
        <v>45</v>
      </c>
      <c r="I117" s="16">
        <f>COUNTIF(G$5:G117,"Y")/COUNTA(G$5:G117)</f>
        <v>0.86725663716814161</v>
      </c>
      <c r="J117" s="16">
        <f>COUNTIF(H$5:H117,"Y")/COUNTA(H$5:H117)</f>
        <v>5.3097345132743362E-2</v>
      </c>
      <c r="K117" s="16">
        <f>AVERAGE(F$5:F117)</f>
        <v>2.2070796460176991</v>
      </c>
      <c r="L117" s="16">
        <f>SUM(F$5:F117)/SUM(E$5:E117)</f>
        <v>0.74049881235154402</v>
      </c>
    </row>
    <row r="118" spans="1:12" x14ac:dyDescent="0.25">
      <c r="A118" s="29">
        <v>45635</v>
      </c>
      <c r="B118" s="16" t="s">
        <v>164</v>
      </c>
      <c r="C118" s="34">
        <v>1</v>
      </c>
      <c r="D118" s="16" t="s">
        <v>64</v>
      </c>
      <c r="E118" s="35">
        <v>3.7</v>
      </c>
      <c r="F118" s="35">
        <v>2.4</v>
      </c>
      <c r="G118" s="16" t="s">
        <v>44</v>
      </c>
      <c r="H118" s="16" t="s">
        <v>45</v>
      </c>
      <c r="I118" s="16">
        <f>COUNTIF(G$5:G118,"Y")/COUNTA(G$5:G118)</f>
        <v>0.86842105263157898</v>
      </c>
      <c r="J118" s="16">
        <f>COUNTIF(H$5:H118,"Y")/COUNTA(H$5:H118)</f>
        <v>5.2631578947368418E-2</v>
      </c>
      <c r="K118" s="16">
        <f>AVERAGE(F$5:F118)</f>
        <v>2.2087719298245614</v>
      </c>
      <c r="L118" s="16">
        <f>SUM(F$5:F118)/SUM(E$5:E118)</f>
        <v>0.73950073421439066</v>
      </c>
    </row>
    <row r="119" spans="1:12" x14ac:dyDescent="0.25">
      <c r="A119" s="29">
        <v>45636</v>
      </c>
      <c r="B119" s="16" t="s">
        <v>165</v>
      </c>
      <c r="C119" s="34">
        <v>1</v>
      </c>
      <c r="D119" s="16" t="s">
        <v>64</v>
      </c>
      <c r="E119" s="35">
        <v>5</v>
      </c>
      <c r="F119" s="35">
        <v>3.7</v>
      </c>
      <c r="G119" s="16" t="s">
        <v>44</v>
      </c>
      <c r="H119" s="16" t="s">
        <v>45</v>
      </c>
      <c r="I119" s="16">
        <f>COUNTIF(G$5:G119,"Y")/COUNTA(G$5:G119)</f>
        <v>0.86956521739130432</v>
      </c>
      <c r="J119" s="16">
        <f>COUNTIF(H$5:H119,"Y")/COUNTA(H$5:H119)</f>
        <v>5.2173913043478258E-2</v>
      </c>
      <c r="K119" s="16">
        <f>AVERAGE(F$5:F119)</f>
        <v>2.2217391304347824</v>
      </c>
      <c r="L119" s="16">
        <f>SUM(F$5:F119)/SUM(E$5:E119)</f>
        <v>0.73950795947901593</v>
      </c>
    </row>
    <row r="120" spans="1:12" x14ac:dyDescent="0.25">
      <c r="A120" s="29">
        <v>45637</v>
      </c>
      <c r="B120" s="16" t="s">
        <v>166</v>
      </c>
      <c r="C120" s="34">
        <v>1</v>
      </c>
      <c r="D120" s="16" t="s">
        <v>47</v>
      </c>
      <c r="E120" s="35">
        <v>5.0999999999999996</v>
      </c>
      <c r="F120" s="35">
        <v>3.7</v>
      </c>
      <c r="G120" s="16" t="s">
        <v>45</v>
      </c>
      <c r="H120" s="16" t="s">
        <v>45</v>
      </c>
      <c r="I120" s="16">
        <f>COUNTIF(G$5:G120,"Y")/COUNTA(G$5:G120)</f>
        <v>0.86206896551724133</v>
      </c>
      <c r="J120" s="16">
        <f>COUNTIF(H$5:H120,"Y")/COUNTA(H$5:H120)</f>
        <v>5.1724137931034482E-2</v>
      </c>
      <c r="K120" s="16">
        <f>AVERAGE(F$5:F120)</f>
        <v>2.2344827586206897</v>
      </c>
      <c r="L120" s="16">
        <f>SUM(F$5:F120)/SUM(E$5:E120)</f>
        <v>0.73930405019965773</v>
      </c>
    </row>
    <row r="121" spans="1:12" x14ac:dyDescent="0.25">
      <c r="A121" s="29">
        <v>45638</v>
      </c>
      <c r="B121" s="16" t="s">
        <v>167</v>
      </c>
      <c r="C121" s="34">
        <v>1</v>
      </c>
      <c r="D121" s="16" t="s">
        <v>52</v>
      </c>
      <c r="E121" s="35">
        <v>2.5</v>
      </c>
      <c r="F121" s="35">
        <v>1.6</v>
      </c>
      <c r="G121" s="16" t="s">
        <v>44</v>
      </c>
      <c r="H121" s="16" t="s">
        <v>45</v>
      </c>
      <c r="I121" s="16">
        <f>COUNTIF(G$5:G121,"Y")/COUNTA(G$5:G121)</f>
        <v>0.86324786324786329</v>
      </c>
      <c r="J121" s="16">
        <f>COUNTIF(H$5:H121,"Y")/COUNTA(H$5:H121)</f>
        <v>5.128205128205128E-2</v>
      </c>
      <c r="K121" s="16">
        <f>AVERAGE(F$5:F121)</f>
        <v>2.2290598290598291</v>
      </c>
      <c r="L121" s="16">
        <f>SUM(F$5:F121)/SUM(E$5:E121)</f>
        <v>0.73860096290002841</v>
      </c>
    </row>
    <row r="122" spans="1:12" x14ac:dyDescent="0.25">
      <c r="A122" s="29">
        <v>45639</v>
      </c>
      <c r="B122" s="16" t="s">
        <v>168</v>
      </c>
      <c r="C122" s="34">
        <v>1</v>
      </c>
      <c r="D122" s="16" t="s">
        <v>52</v>
      </c>
      <c r="E122" s="35">
        <v>3.6</v>
      </c>
      <c r="F122" s="35">
        <v>2.4</v>
      </c>
      <c r="G122" s="16" t="s">
        <v>45</v>
      </c>
      <c r="H122" s="16" t="s">
        <v>45</v>
      </c>
      <c r="I122" s="16">
        <f>COUNTIF(G$5:G122,"Y")/COUNTA(G$5:G122)</f>
        <v>0.85593220338983056</v>
      </c>
      <c r="J122" s="16">
        <f>COUNTIF(H$5:H122,"Y")/COUNTA(H$5:H122)</f>
        <v>5.0847457627118647E-2</v>
      </c>
      <c r="K122" s="16">
        <f>AVERAGE(F$5:F122)</f>
        <v>2.2305084745762711</v>
      </c>
      <c r="L122" s="16">
        <f>SUM(F$5:F122)/SUM(E$5:E122)</f>
        <v>0.73787496495654614</v>
      </c>
    </row>
    <row r="123" spans="1:12" x14ac:dyDescent="0.25">
      <c r="A123" s="29">
        <v>45635</v>
      </c>
      <c r="B123" s="16" t="s">
        <v>169</v>
      </c>
      <c r="C123" s="34">
        <v>1</v>
      </c>
      <c r="D123" s="16" t="s">
        <v>56</v>
      </c>
      <c r="E123" s="35">
        <v>4.5</v>
      </c>
      <c r="F123" s="35">
        <v>3.5</v>
      </c>
      <c r="G123" s="16" t="s">
        <v>45</v>
      </c>
      <c r="H123" s="16" t="s">
        <v>45</v>
      </c>
      <c r="I123" s="16">
        <f>COUNTIF(G$5:G123,"Y")/COUNTA(G$5:G123)</f>
        <v>0.84873949579831931</v>
      </c>
      <c r="J123" s="16">
        <f>COUNTIF(H$5:H123,"Y")/COUNTA(H$5:H123)</f>
        <v>5.0420168067226892E-2</v>
      </c>
      <c r="K123" s="16">
        <f>AVERAGE(F$5:F123)</f>
        <v>2.2411764705882353</v>
      </c>
      <c r="L123" s="16">
        <f>SUM(F$5:F123)/SUM(E$5:E123)</f>
        <v>0.73837209302325579</v>
      </c>
    </row>
    <row r="124" spans="1:12" x14ac:dyDescent="0.25">
      <c r="A124" s="29">
        <v>45636</v>
      </c>
      <c r="B124" s="16" t="s">
        <v>170</v>
      </c>
      <c r="C124" s="34">
        <v>1</v>
      </c>
      <c r="D124" s="16" t="s">
        <v>50</v>
      </c>
      <c r="E124" s="35">
        <v>4.5999999999999996</v>
      </c>
      <c r="F124" s="35">
        <v>3.3</v>
      </c>
      <c r="G124" s="16" t="s">
        <v>44</v>
      </c>
      <c r="H124" s="16" t="s">
        <v>45</v>
      </c>
      <c r="I124" s="16">
        <f>COUNTIF(G$5:G124,"Y")/COUNTA(G$5:G124)</f>
        <v>0.85</v>
      </c>
      <c r="J124" s="16">
        <f>COUNTIF(H$5:H124,"Y")/COUNTA(H$5:H124)</f>
        <v>0.05</v>
      </c>
      <c r="K124" s="16">
        <f>AVERAGE(F$5:F124)</f>
        <v>2.25</v>
      </c>
      <c r="L124" s="16">
        <f>SUM(F$5:F124)/SUM(E$5:E124)</f>
        <v>0.73810825587752871</v>
      </c>
    </row>
    <row r="125" spans="1:12" x14ac:dyDescent="0.25">
      <c r="A125" s="29">
        <v>45637</v>
      </c>
      <c r="B125" s="16" t="s">
        <v>171</v>
      </c>
      <c r="C125" s="34">
        <v>1</v>
      </c>
      <c r="D125" s="16" t="s">
        <v>47</v>
      </c>
      <c r="E125" s="35">
        <v>2.5</v>
      </c>
      <c r="F125" s="35">
        <v>1.8</v>
      </c>
      <c r="G125" s="16" t="s">
        <v>44</v>
      </c>
      <c r="H125" s="16" t="s">
        <v>45</v>
      </c>
      <c r="I125" s="16">
        <f>COUNTIF(G$5:G125,"Y")/COUNTA(G$5:G125)</f>
        <v>0.85123966942148765</v>
      </c>
      <c r="J125" s="16">
        <f>COUNTIF(H$5:H125,"Y")/COUNTA(H$5:H125)</f>
        <v>4.9586776859504134E-2</v>
      </c>
      <c r="K125" s="16">
        <f>AVERAGE(F$5:F125)</f>
        <v>2.2462809917355373</v>
      </c>
      <c r="L125" s="16">
        <f>SUM(F$5:F125)/SUM(E$5:E125)</f>
        <v>0.73798533803964161</v>
      </c>
    </row>
    <row r="126" spans="1:12" x14ac:dyDescent="0.25">
      <c r="A126" s="29">
        <v>45638</v>
      </c>
      <c r="B126" s="16" t="s">
        <v>172</v>
      </c>
      <c r="C126" s="34">
        <v>1</v>
      </c>
      <c r="D126" s="16" t="s">
        <v>60</v>
      </c>
      <c r="E126" s="35">
        <v>4</v>
      </c>
      <c r="F126" s="35">
        <v>3.1</v>
      </c>
      <c r="G126" s="16" t="s">
        <v>44</v>
      </c>
      <c r="H126" s="16" t="s">
        <v>45</v>
      </c>
      <c r="I126" s="16">
        <f>COUNTIF(G$5:G126,"Y")/COUNTA(G$5:G126)</f>
        <v>0.85245901639344257</v>
      </c>
      <c r="J126" s="16">
        <f>COUNTIF(H$5:H126,"Y")/COUNTA(H$5:H126)</f>
        <v>4.9180327868852458E-2</v>
      </c>
      <c r="K126" s="16">
        <f>AVERAGE(F$5:F126)</f>
        <v>2.2532786885245906</v>
      </c>
      <c r="L126" s="16">
        <f>SUM(F$5:F126)/SUM(E$5:E126)</f>
        <v>0.7383830244426538</v>
      </c>
    </row>
    <row r="127" spans="1:12" x14ac:dyDescent="0.25">
      <c r="A127" s="29">
        <v>45639</v>
      </c>
      <c r="B127" s="16" t="s">
        <v>173</v>
      </c>
      <c r="C127" s="34">
        <v>1</v>
      </c>
      <c r="D127" s="16" t="s">
        <v>47</v>
      </c>
      <c r="E127" s="35">
        <v>3.3</v>
      </c>
      <c r="F127" s="35">
        <v>2.1</v>
      </c>
      <c r="G127" s="16" t="s">
        <v>44</v>
      </c>
      <c r="H127" s="16" t="s">
        <v>45</v>
      </c>
      <c r="I127" s="16">
        <f>COUNTIF(G$5:G127,"Y")/COUNTA(G$5:G127)</f>
        <v>0.85365853658536583</v>
      </c>
      <c r="J127" s="16">
        <f>COUNTIF(H$5:H127,"Y")/COUNTA(H$5:H127)</f>
        <v>4.878048780487805E-2</v>
      </c>
      <c r="K127" s="16">
        <f>AVERAGE(F$5:F127)</f>
        <v>2.2520325203252036</v>
      </c>
      <c r="L127" s="16">
        <f>SUM(F$5:F127)/SUM(E$5:E127)</f>
        <v>0.73748668796592132</v>
      </c>
    </row>
    <row r="128" spans="1:12" x14ac:dyDescent="0.25">
      <c r="A128" s="29">
        <v>45635</v>
      </c>
      <c r="B128" s="16" t="s">
        <v>174</v>
      </c>
      <c r="C128" s="34">
        <v>1</v>
      </c>
      <c r="D128" s="16" t="s">
        <v>50</v>
      </c>
      <c r="E128" s="35">
        <v>1.6</v>
      </c>
      <c r="F128" s="35">
        <v>1.3</v>
      </c>
      <c r="G128" s="16" t="s">
        <v>44</v>
      </c>
      <c r="H128" s="16" t="s">
        <v>45</v>
      </c>
      <c r="I128" s="16">
        <f>COUNTIF(G$5:G128,"Y")/COUNTA(G$5:G128)</f>
        <v>0.85483870967741937</v>
      </c>
      <c r="J128" s="16">
        <f>COUNTIF(H$5:H128,"Y")/COUNTA(H$5:H128)</f>
        <v>4.8387096774193547E-2</v>
      </c>
      <c r="K128" s="16">
        <f>AVERAGE(F$5:F128)</f>
        <v>2.2443548387096781</v>
      </c>
      <c r="L128" s="16">
        <f>SUM(F$5:F128)/SUM(E$5:E128)</f>
        <v>0.73780487804878059</v>
      </c>
    </row>
    <row r="129" spans="1:13" x14ac:dyDescent="0.25">
      <c r="A129" s="29">
        <v>45636</v>
      </c>
      <c r="B129" s="16" t="s">
        <v>175</v>
      </c>
      <c r="C129" s="34">
        <v>1</v>
      </c>
      <c r="D129" s="16" t="s">
        <v>60</v>
      </c>
      <c r="E129" s="35">
        <v>2.7</v>
      </c>
      <c r="F129" s="35">
        <v>2.2000000000000002</v>
      </c>
      <c r="G129" s="16" t="s">
        <v>44</v>
      </c>
      <c r="H129" s="16" t="s">
        <v>45</v>
      </c>
      <c r="I129" s="16">
        <f>COUNTIF(G$5:G129,"Y")/COUNTA(G$5:G129)</f>
        <v>0.85599999999999998</v>
      </c>
      <c r="J129" s="16">
        <f>COUNTIF(H$5:H129,"Y")/COUNTA(H$5:H129)</f>
        <v>4.8000000000000001E-2</v>
      </c>
      <c r="K129" s="16">
        <f>AVERAGE(F$5:F129)</f>
        <v>2.2440000000000007</v>
      </c>
      <c r="L129" s="16">
        <f>SUM(F$5:F129)/SUM(E$5:E129)</f>
        <v>0.73835219794682816</v>
      </c>
    </row>
    <row r="130" spans="1:13" x14ac:dyDescent="0.25">
      <c r="A130" s="29">
        <v>45637</v>
      </c>
      <c r="B130" s="16" t="s">
        <v>176</v>
      </c>
      <c r="C130" s="34">
        <v>1</v>
      </c>
      <c r="D130" s="16" t="s">
        <v>64</v>
      </c>
      <c r="E130" s="35">
        <v>2.2999999999999998</v>
      </c>
      <c r="F130" s="35">
        <v>1.7</v>
      </c>
      <c r="G130" s="16" t="s">
        <v>44</v>
      </c>
      <c r="H130" s="16" t="s">
        <v>45</v>
      </c>
      <c r="I130" s="16">
        <f>COUNTIF(G$5:G130,"Y")/COUNTA(G$5:G130)</f>
        <v>0.8571428571428571</v>
      </c>
      <c r="J130" s="16">
        <f>COUNTIF(H$5:H130,"Y")/COUNTA(H$5:H130)</f>
        <v>4.7619047619047616E-2</v>
      </c>
      <c r="K130" s="16">
        <f>AVERAGE(F$5:F130)</f>
        <v>2.2396825396825402</v>
      </c>
      <c r="L130" s="16">
        <f>SUM(F$5:F130)/SUM(E$5:E130)</f>
        <v>0.7383568812140241</v>
      </c>
    </row>
    <row r="131" spans="1:13" x14ac:dyDescent="0.25">
      <c r="A131" s="29">
        <v>45638</v>
      </c>
      <c r="B131" s="16" t="s">
        <v>177</v>
      </c>
      <c r="C131" s="34">
        <v>1</v>
      </c>
      <c r="D131" s="16" t="s">
        <v>43</v>
      </c>
      <c r="E131" s="35">
        <v>2.8</v>
      </c>
      <c r="F131" s="35">
        <v>2</v>
      </c>
      <c r="G131" s="16" t="s">
        <v>44</v>
      </c>
      <c r="H131" s="16" t="s">
        <v>45</v>
      </c>
      <c r="I131" s="16">
        <f>COUNTIF(G$5:G131,"Y")/COUNTA(G$5:G131)</f>
        <v>0.8582677165354331</v>
      </c>
      <c r="J131" s="16">
        <f>COUNTIF(H$5:H131,"Y")/COUNTA(H$5:H131)</f>
        <v>4.7244094488188976E-2</v>
      </c>
      <c r="K131" s="16">
        <f>AVERAGE(F$5:F131)</f>
        <v>2.2377952755905515</v>
      </c>
      <c r="L131" s="16">
        <f>SUM(F$5:F131)/SUM(E$5:E131)</f>
        <v>0.73818181818181816</v>
      </c>
    </row>
    <row r="132" spans="1:13" x14ac:dyDescent="0.25">
      <c r="A132" s="29">
        <v>45639</v>
      </c>
      <c r="B132" s="16" t="s">
        <v>178</v>
      </c>
      <c r="C132" s="34">
        <v>1</v>
      </c>
      <c r="D132" s="16" t="s">
        <v>43</v>
      </c>
      <c r="E132" s="35">
        <v>2</v>
      </c>
      <c r="F132" s="35">
        <v>1.3</v>
      </c>
      <c r="G132" s="16" t="s">
        <v>45</v>
      </c>
      <c r="H132" s="16" t="s">
        <v>45</v>
      </c>
      <c r="I132" s="16">
        <f>COUNTIF(G$5:G132,"Y")/COUNTA(G$5:G132)</f>
        <v>0.8515625</v>
      </c>
      <c r="J132" s="16">
        <f>COUNTIF(H$5:H132,"Y")/COUNTA(H$5:H132)</f>
        <v>4.6875E-2</v>
      </c>
      <c r="K132" s="16">
        <f>AVERAGE(F$5:F132)</f>
        <v>2.2304687500000004</v>
      </c>
      <c r="L132" s="16">
        <f>SUM(F$5:F132)/SUM(E$5:E132)</f>
        <v>0.73772609819121449</v>
      </c>
    </row>
    <row r="133" spans="1:13" x14ac:dyDescent="0.25">
      <c r="A133" s="29">
        <v>45635</v>
      </c>
      <c r="B133" s="16" t="s">
        <v>179</v>
      </c>
      <c r="C133" s="34">
        <v>1</v>
      </c>
      <c r="D133" s="16" t="s">
        <v>64</v>
      </c>
      <c r="E133" s="35">
        <v>3.3</v>
      </c>
      <c r="F133" s="35">
        <v>2.2000000000000002</v>
      </c>
      <c r="G133" s="16" t="s">
        <v>44</v>
      </c>
      <c r="H133" s="16" t="s">
        <v>45</v>
      </c>
      <c r="I133" s="16">
        <f>COUNTIF(G$5:G133,"Y")/COUNTA(G$5:G133)</f>
        <v>0.8527131782945736</v>
      </c>
      <c r="J133" s="16">
        <f>COUNTIF(H$5:H133,"Y")/COUNTA(H$5:H133)</f>
        <v>4.6511627906976744E-2</v>
      </c>
      <c r="K133" s="16">
        <f>AVERAGE(F$5:F133)</f>
        <v>2.230232558139535</v>
      </c>
      <c r="L133" s="16">
        <f>SUM(F$5:F133)/SUM(E$5:E133)</f>
        <v>0.73712528823981549</v>
      </c>
    </row>
    <row r="134" spans="1:13" x14ac:dyDescent="0.25">
      <c r="A134" s="29">
        <v>45636</v>
      </c>
      <c r="B134" s="16" t="s">
        <v>180</v>
      </c>
      <c r="C134" s="34">
        <v>1</v>
      </c>
      <c r="D134" s="16" t="s">
        <v>56</v>
      </c>
      <c r="E134" s="35">
        <v>4.5</v>
      </c>
      <c r="F134" s="35">
        <v>3.8</v>
      </c>
      <c r="G134" s="16" t="s">
        <v>44</v>
      </c>
      <c r="H134" s="16" t="s">
        <v>44</v>
      </c>
      <c r="I134" s="16">
        <f>COUNTIF(G$5:G134,"Y")/COUNTA(G$5:G134)</f>
        <v>0.85384615384615381</v>
      </c>
      <c r="J134" s="16">
        <f>COUNTIF(H$5:H134,"Y")/COUNTA(H$5:H134)</f>
        <v>5.3846153846153849E-2</v>
      </c>
      <c r="K134" s="16">
        <f>AVERAGE(F$5:F134)</f>
        <v>2.2423076923076928</v>
      </c>
      <c r="L134" s="16">
        <f>SUM(F$5:F134)/SUM(E$5:E134)</f>
        <v>0.73834853090172237</v>
      </c>
    </row>
    <row r="135" spans="1:13" x14ac:dyDescent="0.25">
      <c r="A135" s="29">
        <v>45637</v>
      </c>
      <c r="B135" s="16" t="s">
        <v>181</v>
      </c>
      <c r="C135" s="34">
        <v>1</v>
      </c>
      <c r="D135" s="16" t="s">
        <v>47</v>
      </c>
      <c r="E135" s="35">
        <v>5.0999999999999996</v>
      </c>
      <c r="F135" s="35">
        <v>3.6</v>
      </c>
      <c r="G135" s="16" t="s">
        <v>44</v>
      </c>
      <c r="H135" s="16" t="s">
        <v>45</v>
      </c>
      <c r="I135" s="16">
        <f>COUNTIF(G$5:G135,"Y")/COUNTA(G$5:G135)</f>
        <v>0.85496183206106868</v>
      </c>
      <c r="J135" s="16">
        <f>COUNTIF(H$5:H135,"Y")/COUNTA(H$5:H135)</f>
        <v>5.3435114503816793E-2</v>
      </c>
      <c r="K135" s="16">
        <f>AVERAGE(F$5:F135)</f>
        <v>2.2526717557251916</v>
      </c>
      <c r="L135" s="16">
        <f>SUM(F$5:F135)/SUM(E$5:E135)</f>
        <v>0.7379344836209053</v>
      </c>
    </row>
    <row r="136" spans="1:13" x14ac:dyDescent="0.25">
      <c r="A136" s="29">
        <v>45638</v>
      </c>
      <c r="B136" s="16" t="s">
        <v>182</v>
      </c>
      <c r="C136" s="34">
        <v>1</v>
      </c>
      <c r="D136" s="16" t="s">
        <v>60</v>
      </c>
      <c r="E136" s="35">
        <v>3.9</v>
      </c>
      <c r="F136" s="35">
        <v>2.5</v>
      </c>
      <c r="G136" s="16" t="s">
        <v>44</v>
      </c>
      <c r="H136" s="16" t="s">
        <v>44</v>
      </c>
      <c r="I136" s="16">
        <f>COUNTIF(G$5:G136,"Y")/COUNTA(G$5:G136)</f>
        <v>0.85606060606060608</v>
      </c>
      <c r="J136" s="16">
        <f>COUNTIF(H$5:H136,"Y")/COUNTA(H$5:H136)</f>
        <v>6.0606060606060608E-2</v>
      </c>
      <c r="K136" s="16">
        <f>AVERAGE(F$5:F136)</f>
        <v>2.2545454545454553</v>
      </c>
      <c r="L136" s="16">
        <f>SUM(F$5:F136)/SUM(E$5:E136)</f>
        <v>0.73699851411589901</v>
      </c>
    </row>
    <row r="137" spans="1:13" x14ac:dyDescent="0.25">
      <c r="A137" s="29">
        <v>45639</v>
      </c>
      <c r="B137" s="16" t="s">
        <v>183</v>
      </c>
      <c r="C137" s="34">
        <v>1</v>
      </c>
      <c r="D137" s="16" t="s">
        <v>64</v>
      </c>
      <c r="E137" s="35">
        <v>2.7</v>
      </c>
      <c r="F137" s="35">
        <v>2</v>
      </c>
      <c r="G137" s="16" t="s">
        <v>44</v>
      </c>
      <c r="H137" s="16" t="s">
        <v>45</v>
      </c>
      <c r="I137" s="16">
        <f>COUNTIF(G$5:G137,"Y")/COUNTA(G$5:G137)</f>
        <v>0.8571428571428571</v>
      </c>
      <c r="J137" s="16">
        <f>COUNTIF(H$5:H137,"Y")/COUNTA(H$5:H137)</f>
        <v>6.0150375939849621E-2</v>
      </c>
      <c r="K137" s="16">
        <f>AVERAGE(F$5:F137)</f>
        <v>2.2526315789473692</v>
      </c>
      <c r="L137" s="16">
        <f>SUM(F$5:F137)/SUM(E$5:E137)</f>
        <v>0.73702337023370246</v>
      </c>
    </row>
    <row r="138" spans="1:13" x14ac:dyDescent="0.25">
      <c r="A138" s="29">
        <v>45635</v>
      </c>
      <c r="B138" s="16" t="s">
        <v>184</v>
      </c>
      <c r="C138" s="34">
        <v>1</v>
      </c>
      <c r="D138" s="16" t="s">
        <v>52</v>
      </c>
      <c r="E138" s="35">
        <v>5.0999999999999996</v>
      </c>
      <c r="F138" s="35">
        <v>3.3</v>
      </c>
      <c r="G138" s="16" t="s">
        <v>44</v>
      </c>
      <c r="H138" s="16" t="s">
        <v>45</v>
      </c>
      <c r="I138" s="16">
        <f>COUNTIF(G$5:G138,"Y")/COUNTA(G$5:G138)</f>
        <v>0.85820895522388063</v>
      </c>
      <c r="J138" s="16">
        <f>COUNTIF(H$5:H138,"Y")/COUNTA(H$5:H138)</f>
        <v>5.9701492537313432E-2</v>
      </c>
      <c r="K138" s="16">
        <f>AVERAGE(F$5:F138)</f>
        <v>2.2604477611940306</v>
      </c>
      <c r="L138" s="16">
        <f>SUM(F$5:F138)/SUM(E$5:E138)</f>
        <v>0.73590864917395538</v>
      </c>
    </row>
    <row r="139" spans="1:13" x14ac:dyDescent="0.25">
      <c r="A139" s="29">
        <v>45636</v>
      </c>
      <c r="B139" s="16" t="s">
        <v>185</v>
      </c>
      <c r="C139" s="34">
        <v>1</v>
      </c>
      <c r="D139" s="16" t="s">
        <v>64</v>
      </c>
      <c r="E139" s="35">
        <v>0.7</v>
      </c>
      <c r="F139" s="35">
        <v>0.5</v>
      </c>
      <c r="G139" s="16" t="s">
        <v>44</v>
      </c>
      <c r="H139" s="16" t="s">
        <v>45</v>
      </c>
      <c r="I139" s="16">
        <f>COUNTIF(G$5:G139,"Y")/COUNTA(G$5:G139)</f>
        <v>0.85925925925925928</v>
      </c>
      <c r="J139" s="16">
        <f>COUNTIF(H$5:H139,"Y")/COUNTA(H$5:H139)</f>
        <v>5.9259259259259262E-2</v>
      </c>
      <c r="K139" s="16">
        <f>AVERAGE(F$5:F139)</f>
        <v>2.2474074074074082</v>
      </c>
      <c r="L139" s="16">
        <f>SUM(F$5:F139)/SUM(E$5:E139)</f>
        <v>0.7358719379092894</v>
      </c>
    </row>
    <row r="140" spans="1:13" x14ac:dyDescent="0.25">
      <c r="A140" s="29">
        <v>45637</v>
      </c>
      <c r="B140" s="16" t="s">
        <v>186</v>
      </c>
      <c r="C140" s="34">
        <v>1</v>
      </c>
      <c r="D140" s="16" t="s">
        <v>56</v>
      </c>
      <c r="E140" s="35">
        <v>0.8</v>
      </c>
      <c r="F140" s="35">
        <v>0.5</v>
      </c>
      <c r="G140" s="16" t="s">
        <v>44</v>
      </c>
      <c r="H140" s="16" t="s">
        <v>45</v>
      </c>
      <c r="I140" s="16">
        <f>COUNTIF(G$5:G140,"Y")/COUNTA(G$5:G140)</f>
        <v>0.86029411764705888</v>
      </c>
      <c r="J140" s="16">
        <f>COUNTIF(H$5:H140,"Y")/COUNTA(H$5:H140)</f>
        <v>5.8823529411764705E-2</v>
      </c>
      <c r="K140" s="16">
        <f>AVERAGE(F$5:F140)</f>
        <v>2.2345588235294125</v>
      </c>
      <c r="L140" s="16">
        <f>SUM(F$5:F140)/SUM(E$5:E140)</f>
        <v>0.7356572258533044</v>
      </c>
    </row>
    <row r="141" spans="1:13" x14ac:dyDescent="0.25">
      <c r="A141" s="29">
        <v>45638</v>
      </c>
      <c r="B141" s="16" t="s">
        <v>187</v>
      </c>
      <c r="C141" s="34">
        <v>1</v>
      </c>
      <c r="D141" s="16" t="s">
        <v>47</v>
      </c>
      <c r="E141" s="35">
        <v>0.6</v>
      </c>
      <c r="F141" s="35">
        <v>0.5</v>
      </c>
      <c r="G141" s="16" t="s">
        <v>44</v>
      </c>
      <c r="H141" s="16" t="s">
        <v>45</v>
      </c>
      <c r="I141" s="16">
        <f>COUNTIF(G$5:G141,"Y")/COUNTA(G$5:G141)</f>
        <v>0.86131386861313863</v>
      </c>
      <c r="J141" s="16">
        <f>COUNTIF(H$5:H141,"Y")/COUNTA(H$5:H141)</f>
        <v>5.8394160583941604E-2</v>
      </c>
      <c r="K141" s="16">
        <f>AVERAGE(F$5:F141)</f>
        <v>2.2218978102189788</v>
      </c>
      <c r="L141" s="16">
        <f>SUM(F$5:F141)/SUM(E$5:E141)</f>
        <v>0.73579888808315208</v>
      </c>
    </row>
    <row r="142" spans="1:13" x14ac:dyDescent="0.25">
      <c r="A142" s="29">
        <v>45639</v>
      </c>
      <c r="B142" s="16" t="s">
        <v>188</v>
      </c>
      <c r="C142" s="34">
        <v>1</v>
      </c>
      <c r="D142" s="16" t="s">
        <v>64</v>
      </c>
      <c r="E142" s="35">
        <v>0.7</v>
      </c>
      <c r="F142" s="35">
        <v>0.5</v>
      </c>
      <c r="G142" s="16" t="s">
        <v>45</v>
      </c>
      <c r="H142" s="16" t="s">
        <v>45</v>
      </c>
      <c r="I142" s="16">
        <f>COUNTIF(G$5:G142,"Y")/COUNTA(G$5:G142)</f>
        <v>0.85507246376811596</v>
      </c>
      <c r="J142" s="16">
        <f>COUNTIF(H$5:H142,"Y")/COUNTA(H$5:H142)</f>
        <v>5.7971014492753624E-2</v>
      </c>
      <c r="K142" s="16">
        <f>AVERAGE(F$5:F142)</f>
        <v>2.209420289855073</v>
      </c>
      <c r="L142" s="16">
        <f>SUM(F$5:F142)/SUM(E$5:E142)</f>
        <v>0.73576254826254828</v>
      </c>
    </row>
    <row r="143" spans="1:13" x14ac:dyDescent="0.25">
      <c r="A143" s="29">
        <v>45635</v>
      </c>
      <c r="B143" s="16" t="s">
        <v>189</v>
      </c>
      <c r="C143" s="34">
        <v>1</v>
      </c>
      <c r="D143" s="16" t="s">
        <v>52</v>
      </c>
      <c r="E143" s="35">
        <v>0.6</v>
      </c>
      <c r="F143" s="35">
        <v>0.5</v>
      </c>
      <c r="G143" s="16" t="s">
        <v>44</v>
      </c>
      <c r="H143" s="16" t="s">
        <v>45</v>
      </c>
      <c r="I143" s="16">
        <f>COUNTIF(G$5:G143,"Y")/COUNTA(G$5:G143)</f>
        <v>0.85611510791366907</v>
      </c>
      <c r="J143" s="16">
        <f>COUNTIF(H$5:H143,"Y")/COUNTA(H$5:H143)</f>
        <v>5.7553956834532377E-2</v>
      </c>
      <c r="K143" s="16">
        <f>AVERAGE(F$5:F143)</f>
        <v>2.1971223021582742</v>
      </c>
      <c r="L143" s="16">
        <f>SUM(F$5:F143)/SUM(E$5:E143)</f>
        <v>0.73590361445783137</v>
      </c>
      <c r="M143" s="16">
        <v>20</v>
      </c>
    </row>
    <row r="144" spans="1:13" x14ac:dyDescent="0.25">
      <c r="A144" s="29">
        <v>45642</v>
      </c>
      <c r="B144" s="16" t="s">
        <v>190</v>
      </c>
      <c r="C144" s="34">
        <v>1</v>
      </c>
      <c r="D144" s="16" t="s">
        <v>60</v>
      </c>
      <c r="E144" s="35">
        <v>2.7</v>
      </c>
      <c r="F144" s="35">
        <v>1.8</v>
      </c>
      <c r="G144" s="16" t="s">
        <v>44</v>
      </c>
      <c r="H144" s="16" t="s">
        <v>45</v>
      </c>
      <c r="I144" s="16">
        <f>COUNTIF(G$5:G144,"Y")/COUNTA(G$5:G144)</f>
        <v>0.8571428571428571</v>
      </c>
      <c r="J144" s="16">
        <f>COUNTIF(H$5:H144,"Y")/COUNTA(H$5:H144)</f>
        <v>5.7142857142857141E-2</v>
      </c>
      <c r="K144" s="16">
        <f>AVERAGE(F$5:F144)</f>
        <v>2.1942857142857148</v>
      </c>
      <c r="L144" s="16">
        <f>SUM(F$5:F144)/SUM(E$5:E144)</f>
        <v>0.7354560689490065</v>
      </c>
    </row>
    <row r="145" spans="1:12" x14ac:dyDescent="0.25">
      <c r="A145" s="29">
        <v>45643</v>
      </c>
      <c r="B145" s="16" t="s">
        <v>191</v>
      </c>
      <c r="C145" s="34">
        <v>1</v>
      </c>
      <c r="D145" s="16" t="s">
        <v>50</v>
      </c>
      <c r="E145" s="35">
        <v>4.8</v>
      </c>
      <c r="F145" s="35">
        <v>3.1</v>
      </c>
      <c r="G145" s="16" t="s">
        <v>44</v>
      </c>
      <c r="H145" s="16" t="s">
        <v>45</v>
      </c>
      <c r="I145" s="16">
        <f>COUNTIF(G$5:G145,"Y")/COUNTA(G$5:G145)</f>
        <v>0.85815602836879434</v>
      </c>
      <c r="J145" s="16">
        <f>COUNTIF(H$5:H145,"Y")/COUNTA(H$5:H145)</f>
        <v>5.6737588652482268E-2</v>
      </c>
      <c r="K145" s="16">
        <f>AVERAGE(F$5:F145)</f>
        <v>2.2007092198581568</v>
      </c>
      <c r="L145" s="16">
        <f>SUM(F$5:F145)/SUM(E$5:E145)</f>
        <v>0.73443786982248527</v>
      </c>
    </row>
    <row r="146" spans="1:12" x14ac:dyDescent="0.25">
      <c r="A146" s="29">
        <v>45644</v>
      </c>
      <c r="B146" s="16" t="s">
        <v>192</v>
      </c>
      <c r="C146" s="34">
        <v>1</v>
      </c>
      <c r="D146" s="16" t="s">
        <v>64</v>
      </c>
      <c r="E146" s="35">
        <v>3.1</v>
      </c>
      <c r="F146" s="35">
        <v>2.5</v>
      </c>
      <c r="G146" s="16" t="s">
        <v>44</v>
      </c>
      <c r="H146" s="16" t="s">
        <v>45</v>
      </c>
      <c r="I146" s="16">
        <f>COUNTIF(G$5:G146,"Y")/COUNTA(G$5:G146)</f>
        <v>0.85915492957746475</v>
      </c>
      <c r="J146" s="16">
        <f>COUNTIF(H$5:H146,"Y")/COUNTA(H$5:H146)</f>
        <v>5.6338028169014086E-2</v>
      </c>
      <c r="K146" s="16">
        <f>AVERAGE(F$5:F146)</f>
        <v>2.2028169014084518</v>
      </c>
      <c r="L146" s="16">
        <f>SUM(F$5:F146)/SUM(E$5:E146)</f>
        <v>0.73496240601503771</v>
      </c>
    </row>
    <row r="147" spans="1:12" x14ac:dyDescent="0.25">
      <c r="A147" s="29">
        <v>45645</v>
      </c>
      <c r="B147" s="16" t="s">
        <v>193</v>
      </c>
      <c r="C147" s="34">
        <v>1</v>
      </c>
      <c r="D147" s="16" t="s">
        <v>56</v>
      </c>
      <c r="E147" s="35">
        <v>3.6</v>
      </c>
      <c r="F147" s="35">
        <v>2.4</v>
      </c>
      <c r="G147" s="16" t="s">
        <v>44</v>
      </c>
      <c r="H147" s="16" t="s">
        <v>45</v>
      </c>
      <c r="I147" s="16">
        <f>COUNTIF(G$5:G147,"Y")/COUNTA(G$5:G147)</f>
        <v>0.8601398601398601</v>
      </c>
      <c r="J147" s="16">
        <f>COUNTIF(H$5:H147,"Y")/COUNTA(H$5:H147)</f>
        <v>5.5944055944055944E-2</v>
      </c>
      <c r="K147" s="16">
        <f>AVERAGE(F$5:F147)</f>
        <v>2.204195804195805</v>
      </c>
      <c r="L147" s="16">
        <f>SUM(F$5:F147)/SUM(E$5:E147)</f>
        <v>0.73438956197576888</v>
      </c>
    </row>
    <row r="148" spans="1:12" x14ac:dyDescent="0.25">
      <c r="A148" s="29">
        <v>45646</v>
      </c>
      <c r="B148" s="16" t="s">
        <v>194</v>
      </c>
      <c r="C148" s="34">
        <v>1</v>
      </c>
      <c r="D148" s="16" t="s">
        <v>64</v>
      </c>
      <c r="E148" s="35">
        <v>1.8</v>
      </c>
      <c r="F148" s="35">
        <v>1.2</v>
      </c>
      <c r="G148" s="16" t="s">
        <v>45</v>
      </c>
      <c r="H148" s="16" t="s">
        <v>44</v>
      </c>
      <c r="I148" s="16">
        <f>COUNTIF(G$5:G148,"Y")/COUNTA(G$5:G148)</f>
        <v>0.85416666666666663</v>
      </c>
      <c r="J148" s="16">
        <f>COUNTIF(H$5:H148,"Y")/COUNTA(H$5:H148)</f>
        <v>6.25E-2</v>
      </c>
      <c r="K148" s="16">
        <f>AVERAGE(F$5:F148)</f>
        <v>2.1972222222222229</v>
      </c>
      <c r="L148" s="16">
        <f>SUM(F$5:F148)/SUM(E$5:E148)</f>
        <v>0.73410672853828296</v>
      </c>
    </row>
    <row r="149" spans="1:12" x14ac:dyDescent="0.25">
      <c r="A149" s="29">
        <v>45642</v>
      </c>
      <c r="B149" s="16" t="s">
        <v>195</v>
      </c>
      <c r="C149" s="34">
        <v>1</v>
      </c>
      <c r="D149" s="16" t="s">
        <v>52</v>
      </c>
      <c r="E149" s="35">
        <v>1.4</v>
      </c>
      <c r="F149" s="35">
        <v>1</v>
      </c>
      <c r="G149" s="16" t="s">
        <v>44</v>
      </c>
      <c r="H149" s="16" t="s">
        <v>45</v>
      </c>
      <c r="I149" s="16">
        <f>COUNTIF(G$5:G149,"Y")/COUNTA(G$5:G149)</f>
        <v>0.85517241379310349</v>
      </c>
      <c r="J149" s="16">
        <f>COUNTIF(H$5:H149,"Y")/COUNTA(H$5:H149)</f>
        <v>6.2068965517241378E-2</v>
      </c>
      <c r="K149" s="16">
        <f>AVERAGE(F$5:F149)</f>
        <v>2.18896551724138</v>
      </c>
      <c r="L149" s="16">
        <f>SUM(F$5:F149)/SUM(E$5:E149)</f>
        <v>0.73404255319148937</v>
      </c>
    </row>
    <row r="150" spans="1:12" x14ac:dyDescent="0.25">
      <c r="A150" s="29">
        <v>45643</v>
      </c>
      <c r="B150" s="16" t="s">
        <v>196</v>
      </c>
      <c r="C150" s="34">
        <v>1</v>
      </c>
      <c r="D150" s="16" t="s">
        <v>52</v>
      </c>
      <c r="E150" s="35">
        <v>3.2</v>
      </c>
      <c r="F150" s="35">
        <v>2.2999999999999998</v>
      </c>
      <c r="G150" s="16" t="s">
        <v>45</v>
      </c>
      <c r="H150" s="16" t="s">
        <v>45</v>
      </c>
      <c r="I150" s="16">
        <f>COUNTIF(G$5:G150,"Y")/COUNTA(G$5:G150)</f>
        <v>0.84931506849315064</v>
      </c>
      <c r="J150" s="16">
        <f>COUNTIF(H$5:H150,"Y")/COUNTA(H$5:H150)</f>
        <v>6.1643835616438353E-2</v>
      </c>
      <c r="K150" s="16">
        <f>AVERAGE(F$5:F150)</f>
        <v>2.1897260273972612</v>
      </c>
      <c r="L150" s="16">
        <f>SUM(F$5:F150)/SUM(E$5:E150)</f>
        <v>0.73393021120293844</v>
      </c>
    </row>
    <row r="151" spans="1:12" x14ac:dyDescent="0.25">
      <c r="A151" s="29">
        <v>45644</v>
      </c>
      <c r="B151" s="16" t="s">
        <v>197</v>
      </c>
      <c r="C151" s="34">
        <v>1</v>
      </c>
      <c r="D151" s="16" t="s">
        <v>43</v>
      </c>
      <c r="E151" s="35">
        <v>3</v>
      </c>
      <c r="F151" s="35">
        <v>1.9</v>
      </c>
      <c r="G151" s="16" t="s">
        <v>45</v>
      </c>
      <c r="H151" s="16" t="s">
        <v>44</v>
      </c>
      <c r="I151" s="16">
        <f>COUNTIF(G$5:G151,"Y")/COUNTA(G$5:G151)</f>
        <v>0.84353741496598644</v>
      </c>
      <c r="J151" s="16">
        <f>COUNTIF(H$5:H151,"Y")/COUNTA(H$5:H151)</f>
        <v>6.8027210884353748E-2</v>
      </c>
      <c r="K151" s="16">
        <f>AVERAGE(F$5:F151)</f>
        <v>2.1877551020408168</v>
      </c>
      <c r="L151" s="16">
        <f>SUM(F$5:F151)/SUM(E$5:E151)</f>
        <v>0.73324213406292749</v>
      </c>
    </row>
    <row r="152" spans="1:12" x14ac:dyDescent="0.25">
      <c r="A152" s="29">
        <v>45645</v>
      </c>
      <c r="B152" s="16" t="s">
        <v>198</v>
      </c>
      <c r="C152" s="34">
        <v>1</v>
      </c>
      <c r="D152" s="16" t="s">
        <v>47</v>
      </c>
      <c r="E152" s="35">
        <v>2.8</v>
      </c>
      <c r="F152" s="35">
        <v>2.2000000000000002</v>
      </c>
      <c r="G152" s="16" t="s">
        <v>44</v>
      </c>
      <c r="H152" s="16" t="s">
        <v>45</v>
      </c>
      <c r="I152" s="16">
        <f>COUNTIF(G$5:G152,"Y")/COUNTA(G$5:G152)</f>
        <v>0.84459459459459463</v>
      </c>
      <c r="J152" s="16">
        <f>COUNTIF(H$5:H152,"Y")/COUNTA(H$5:H152)</f>
        <v>6.7567567567567571E-2</v>
      </c>
      <c r="K152" s="16">
        <f>AVERAGE(F$5:F152)</f>
        <v>2.1878378378378383</v>
      </c>
      <c r="L152" s="16">
        <f>SUM(F$5:F152)/SUM(E$5:E152)</f>
        <v>0.73357498867240589</v>
      </c>
    </row>
    <row r="153" spans="1:12" x14ac:dyDescent="0.25">
      <c r="A153" s="29">
        <v>45646</v>
      </c>
      <c r="B153" s="16" t="s">
        <v>199</v>
      </c>
      <c r="C153" s="34">
        <v>1</v>
      </c>
      <c r="D153" s="16" t="s">
        <v>52</v>
      </c>
      <c r="E153" s="35">
        <v>2.1</v>
      </c>
      <c r="F153" s="35">
        <v>1.5</v>
      </c>
      <c r="G153" s="16" t="s">
        <v>44</v>
      </c>
      <c r="H153" s="16" t="s">
        <v>45</v>
      </c>
      <c r="I153" s="16">
        <f>COUNTIF(G$5:G153,"Y")/COUNTA(G$5:G153)</f>
        <v>0.84563758389261745</v>
      </c>
      <c r="J153" s="16">
        <f>COUNTIF(H$5:H153,"Y")/COUNTA(H$5:H153)</f>
        <v>6.7114093959731544E-2</v>
      </c>
      <c r="K153" s="16">
        <f>AVERAGE(F$5:F153)</f>
        <v>2.1832214765100675</v>
      </c>
      <c r="L153" s="16">
        <f>SUM(F$5:F153)/SUM(E$5:E153)</f>
        <v>0.73348365276211935</v>
      </c>
    </row>
    <row r="154" spans="1:12" x14ac:dyDescent="0.25">
      <c r="A154" s="29">
        <v>45642</v>
      </c>
      <c r="B154" s="16" t="s">
        <v>200</v>
      </c>
      <c r="C154" s="34">
        <v>1</v>
      </c>
      <c r="D154" s="16" t="s">
        <v>47</v>
      </c>
      <c r="E154" s="35">
        <v>4</v>
      </c>
      <c r="F154" s="35">
        <v>2.7</v>
      </c>
      <c r="G154" s="16" t="s">
        <v>44</v>
      </c>
      <c r="H154" s="16" t="s">
        <v>45</v>
      </c>
      <c r="I154" s="16">
        <f>COUNTIF(G$5:G154,"Y")/COUNTA(G$5:G154)</f>
        <v>0.84666666666666668</v>
      </c>
      <c r="J154" s="16">
        <f>COUNTIF(H$5:H154,"Y")/COUNTA(H$5:H154)</f>
        <v>6.6666666666666666E-2</v>
      </c>
      <c r="K154" s="16">
        <f>AVERAGE(F$5:F154)</f>
        <v>2.186666666666667</v>
      </c>
      <c r="L154" s="16">
        <f>SUM(F$5:F154)/SUM(E$5:E154)</f>
        <v>0.7329608938547485</v>
      </c>
    </row>
    <row r="155" spans="1:12" x14ac:dyDescent="0.25">
      <c r="A155" s="29">
        <v>45643</v>
      </c>
      <c r="B155" s="16" t="s">
        <v>201</v>
      </c>
      <c r="C155" s="34">
        <v>1</v>
      </c>
      <c r="D155" s="16" t="s">
        <v>60</v>
      </c>
      <c r="E155" s="35">
        <v>5.2</v>
      </c>
      <c r="F155" s="35">
        <v>3.4</v>
      </c>
      <c r="G155" s="16" t="s">
        <v>44</v>
      </c>
      <c r="H155" s="16" t="s">
        <v>45</v>
      </c>
      <c r="I155" s="16">
        <f>COUNTIF(G$5:G155,"Y")/COUNTA(G$5:G155)</f>
        <v>0.84768211920529801</v>
      </c>
      <c r="J155" s="16">
        <f>COUNTIF(H$5:H155,"Y")/COUNTA(H$5:H155)</f>
        <v>6.6225165562913912E-2</v>
      </c>
      <c r="K155" s="16">
        <f>AVERAGE(F$5:F155)</f>
        <v>2.1947019867549673</v>
      </c>
      <c r="L155" s="16">
        <f>SUM(F$5:F155)/SUM(E$5:E155)</f>
        <v>0.73205213165451721</v>
      </c>
    </row>
    <row r="156" spans="1:12" x14ac:dyDescent="0.25">
      <c r="A156" s="29">
        <v>45644</v>
      </c>
      <c r="B156" s="16" t="s">
        <v>202</v>
      </c>
      <c r="C156" s="34">
        <v>1</v>
      </c>
      <c r="D156" s="16" t="s">
        <v>50</v>
      </c>
      <c r="E156" s="35">
        <v>3.4</v>
      </c>
      <c r="F156" s="35">
        <v>2.2000000000000002</v>
      </c>
      <c r="G156" s="16" t="s">
        <v>44</v>
      </c>
      <c r="H156" s="16" t="s">
        <v>45</v>
      </c>
      <c r="I156" s="16">
        <f>COUNTIF(G$5:G156,"Y")/COUNTA(G$5:G156)</f>
        <v>0.84868421052631582</v>
      </c>
      <c r="J156" s="16">
        <f>COUNTIF(H$5:H156,"Y")/COUNTA(H$5:H156)</f>
        <v>6.5789473684210523E-2</v>
      </c>
      <c r="K156" s="16">
        <f>AVERAGE(F$5:F156)</f>
        <v>2.1947368421052631</v>
      </c>
      <c r="L156" s="16">
        <f>SUM(F$5:F156)/SUM(E$5:E156)</f>
        <v>0.73141854856391131</v>
      </c>
    </row>
    <row r="157" spans="1:12" x14ac:dyDescent="0.25">
      <c r="A157" s="29">
        <v>45645</v>
      </c>
      <c r="B157" s="16" t="s">
        <v>203</v>
      </c>
      <c r="C157" s="34">
        <v>1</v>
      </c>
      <c r="D157" s="16" t="s">
        <v>43</v>
      </c>
      <c r="E157" s="35">
        <v>3.4</v>
      </c>
      <c r="F157" s="35">
        <v>2.5</v>
      </c>
      <c r="G157" s="16" t="s">
        <v>44</v>
      </c>
      <c r="H157" s="16" t="s">
        <v>45</v>
      </c>
      <c r="I157" s="16">
        <f>COUNTIF(G$5:G157,"Y")/COUNTA(G$5:G157)</f>
        <v>0.84967320261437906</v>
      </c>
      <c r="J157" s="16">
        <f>COUNTIF(H$5:H157,"Y")/COUNTA(H$5:H157)</f>
        <v>6.535947712418301E-2</v>
      </c>
      <c r="K157" s="16">
        <f>AVERAGE(F$5:F157)</f>
        <v>2.196732026143791</v>
      </c>
      <c r="L157" s="16">
        <f>SUM(F$5:F157)/SUM(E$5:E157)</f>
        <v>0.73144722524483119</v>
      </c>
    </row>
    <row r="158" spans="1:12" x14ac:dyDescent="0.25">
      <c r="A158" s="29">
        <v>45646</v>
      </c>
      <c r="B158" s="16" t="s">
        <v>204</v>
      </c>
      <c r="C158" s="34">
        <v>1</v>
      </c>
      <c r="D158" s="16" t="s">
        <v>43</v>
      </c>
      <c r="E158" s="35">
        <v>2.6</v>
      </c>
      <c r="F158" s="35">
        <v>1.6</v>
      </c>
      <c r="G158" s="16" t="s">
        <v>44</v>
      </c>
      <c r="H158" s="16" t="s">
        <v>45</v>
      </c>
      <c r="I158" s="16">
        <f>COUNTIF(G$5:G158,"Y")/COUNTA(G$5:G158)</f>
        <v>0.85064935064935066</v>
      </c>
      <c r="J158" s="16">
        <f>COUNTIF(H$5:H158,"Y")/COUNTA(H$5:H158)</f>
        <v>6.4935064935064929E-2</v>
      </c>
      <c r="K158" s="16">
        <f>AVERAGE(F$5:F158)</f>
        <v>2.1928571428571431</v>
      </c>
      <c r="L158" s="16">
        <f>SUM(F$5:F158)/SUM(E$5:E158)</f>
        <v>0.73079420038952592</v>
      </c>
    </row>
    <row r="159" spans="1:12" x14ac:dyDescent="0.25">
      <c r="A159" s="29">
        <v>45642</v>
      </c>
      <c r="B159" s="16" t="s">
        <v>205</v>
      </c>
      <c r="C159" s="34">
        <v>1</v>
      </c>
      <c r="D159" s="16" t="s">
        <v>43</v>
      </c>
      <c r="E159" s="35">
        <v>2.4</v>
      </c>
      <c r="F159" s="35">
        <v>1.7</v>
      </c>
      <c r="G159" s="16" t="s">
        <v>44</v>
      </c>
      <c r="H159" s="16" t="s">
        <v>45</v>
      </c>
      <c r="I159" s="16">
        <f>COUNTIF(G$5:G159,"Y")/COUNTA(G$5:G159)</f>
        <v>0.85161290322580641</v>
      </c>
      <c r="J159" s="16">
        <f>COUNTIF(H$5:H159,"Y")/COUNTA(H$5:H159)</f>
        <v>6.4516129032258063E-2</v>
      </c>
      <c r="K159" s="16">
        <f>AVERAGE(F$5:F159)</f>
        <v>2.1896774193548389</v>
      </c>
      <c r="L159" s="16">
        <f>SUM(F$5:F159)/SUM(E$5:E159)</f>
        <v>0.73067814854682445</v>
      </c>
    </row>
    <row r="160" spans="1:12" x14ac:dyDescent="0.25">
      <c r="A160" s="29">
        <v>45643</v>
      </c>
      <c r="B160" s="16" t="s">
        <v>206</v>
      </c>
      <c r="C160" s="34">
        <v>1</v>
      </c>
      <c r="D160" s="16" t="s">
        <v>50</v>
      </c>
      <c r="E160" s="35">
        <v>4.3</v>
      </c>
      <c r="F160" s="35">
        <v>3</v>
      </c>
      <c r="G160" s="16" t="s">
        <v>44</v>
      </c>
      <c r="H160" s="16" t="s">
        <v>45</v>
      </c>
      <c r="I160" s="16">
        <f>COUNTIF(G$5:G160,"Y")/COUNTA(G$5:G160)</f>
        <v>0.85256410256410253</v>
      </c>
      <c r="J160" s="16">
        <f>COUNTIF(H$5:H160,"Y")/COUNTA(H$5:H160)</f>
        <v>6.4102564102564097E-2</v>
      </c>
      <c r="K160" s="16">
        <f>AVERAGE(F$5:F160)</f>
        <v>2.1948717948717951</v>
      </c>
      <c r="L160" s="16">
        <f>SUM(F$5:F160)/SUM(E$5:E160)</f>
        <v>0.73037542662116028</v>
      </c>
    </row>
    <row r="161" spans="1:13" x14ac:dyDescent="0.25">
      <c r="A161" s="29">
        <v>45644</v>
      </c>
      <c r="B161" s="16" t="s">
        <v>207</v>
      </c>
      <c r="C161" s="34">
        <v>1</v>
      </c>
      <c r="D161" s="16" t="s">
        <v>56</v>
      </c>
      <c r="E161" s="35">
        <v>3.6</v>
      </c>
      <c r="F161" s="35">
        <v>2.7</v>
      </c>
      <c r="G161" s="16" t="s">
        <v>44</v>
      </c>
      <c r="H161" s="16" t="s">
        <v>45</v>
      </c>
      <c r="I161" s="16">
        <f>COUNTIF(G$5:G161,"Y")/COUNTA(G$5:G161)</f>
        <v>0.85350318471337583</v>
      </c>
      <c r="J161" s="16">
        <f>COUNTIF(H$5:H161,"Y")/COUNTA(H$5:H161)</f>
        <v>6.3694267515923567E-2</v>
      </c>
      <c r="K161" s="16">
        <f>AVERAGE(F$5:F161)</f>
        <v>2.1980891719745226</v>
      </c>
      <c r="L161" s="16">
        <f>SUM(F$5:F161)/SUM(E$5:E161)</f>
        <v>0.73052497883149858</v>
      </c>
    </row>
    <row r="162" spans="1:13" x14ac:dyDescent="0.25">
      <c r="A162" s="29">
        <v>45645</v>
      </c>
      <c r="B162" s="16" t="s">
        <v>208</v>
      </c>
      <c r="C162" s="34">
        <v>1</v>
      </c>
      <c r="D162" s="16" t="s">
        <v>47</v>
      </c>
      <c r="E162" s="35">
        <v>3.1</v>
      </c>
      <c r="F162" s="35">
        <v>2.2999999999999998</v>
      </c>
      <c r="G162" s="16" t="s">
        <v>44</v>
      </c>
      <c r="H162" s="16" t="s">
        <v>45</v>
      </c>
      <c r="I162" s="16">
        <f>COUNTIF(G$5:G162,"Y")/COUNTA(G$5:G162)</f>
        <v>0.85443037974683544</v>
      </c>
      <c r="J162" s="16">
        <f>COUNTIF(H$5:H162,"Y")/COUNTA(H$5:H162)</f>
        <v>6.3291139240506333E-2</v>
      </c>
      <c r="K162" s="16">
        <f>AVERAGE(F$5:F162)</f>
        <v>2.19873417721519</v>
      </c>
      <c r="L162" s="16">
        <f>SUM(F$5:F162)/SUM(E$5:E162)</f>
        <v>0.73059936908517331</v>
      </c>
    </row>
    <row r="163" spans="1:13" x14ac:dyDescent="0.25">
      <c r="A163" s="29">
        <v>45646</v>
      </c>
      <c r="B163" s="16" t="s">
        <v>209</v>
      </c>
      <c r="C163" s="34">
        <v>1</v>
      </c>
      <c r="D163" s="16" t="s">
        <v>50</v>
      </c>
      <c r="E163" s="35">
        <v>3.1</v>
      </c>
      <c r="F163" s="35">
        <v>2.2999999999999998</v>
      </c>
      <c r="G163" s="16" t="s">
        <v>44</v>
      </c>
      <c r="H163" s="16" t="s">
        <v>45</v>
      </c>
      <c r="I163" s="16">
        <f>COUNTIF(G$5:G163,"Y")/COUNTA(G$5:G163)</f>
        <v>0.85534591194968557</v>
      </c>
      <c r="J163" s="16">
        <f>COUNTIF(H$5:H163,"Y")/COUNTA(H$5:H163)</f>
        <v>6.2893081761006289E-2</v>
      </c>
      <c r="K163" s="16">
        <f>AVERAGE(F$5:F163)</f>
        <v>2.1993710691823902</v>
      </c>
      <c r="L163" s="16">
        <f>SUM(F$5:F163)/SUM(E$5:E163)</f>
        <v>0.73067279565399057</v>
      </c>
    </row>
    <row r="164" spans="1:13" x14ac:dyDescent="0.25">
      <c r="A164" s="29">
        <v>45642</v>
      </c>
      <c r="B164" s="16" t="s">
        <v>210</v>
      </c>
      <c r="C164" s="34">
        <v>1</v>
      </c>
      <c r="D164" s="16" t="s">
        <v>52</v>
      </c>
      <c r="E164" s="35">
        <v>2.2999999999999998</v>
      </c>
      <c r="F164" s="35">
        <v>1.7</v>
      </c>
      <c r="G164" s="16" t="s">
        <v>45</v>
      </c>
      <c r="H164" s="16" t="s">
        <v>45</v>
      </c>
      <c r="I164" s="16">
        <f>COUNTIF(G$5:G164,"Y")/COUNTA(G$5:G164)</f>
        <v>0.85</v>
      </c>
      <c r="J164" s="16">
        <f>COUNTIF(H$5:H164,"Y")/COUNTA(H$5:H164)</f>
        <v>6.25E-2</v>
      </c>
      <c r="K164" s="16">
        <f>AVERAGE(F$5:F164)</f>
        <v>2.19625</v>
      </c>
      <c r="L164" s="16">
        <f>SUM(F$5:F164)/SUM(E$5:E164)</f>
        <v>0.73071324599708853</v>
      </c>
    </row>
    <row r="165" spans="1:13" x14ac:dyDescent="0.25">
      <c r="A165" s="29">
        <v>45643</v>
      </c>
      <c r="B165" s="16" t="s">
        <v>211</v>
      </c>
      <c r="C165" s="34">
        <v>1</v>
      </c>
      <c r="D165" s="16" t="s">
        <v>43</v>
      </c>
      <c r="E165" s="35">
        <v>4.0999999999999996</v>
      </c>
      <c r="F165" s="35">
        <v>2.6</v>
      </c>
      <c r="G165" s="16" t="s">
        <v>45</v>
      </c>
      <c r="H165" s="16" t="s">
        <v>45</v>
      </c>
      <c r="I165" s="16">
        <f>COUNTIF(G$5:G165,"Y")/COUNTA(G$5:G165)</f>
        <v>0.84472049689440998</v>
      </c>
      <c r="J165" s="16">
        <f>COUNTIF(H$5:H165,"Y")/COUNTA(H$5:H165)</f>
        <v>6.2111801242236024E-2</v>
      </c>
      <c r="K165" s="16">
        <f>AVERAGE(F$5:F165)</f>
        <v>2.1987577639751557</v>
      </c>
      <c r="L165" s="16">
        <f>SUM(F$5:F165)/SUM(E$5:E165)</f>
        <v>0.72989690721649458</v>
      </c>
    </row>
    <row r="166" spans="1:13" x14ac:dyDescent="0.25">
      <c r="A166" s="29">
        <v>45644</v>
      </c>
      <c r="B166" s="16" t="s">
        <v>212</v>
      </c>
      <c r="C166" s="34">
        <v>1</v>
      </c>
      <c r="D166" s="16" t="s">
        <v>47</v>
      </c>
      <c r="E166" s="35">
        <v>3.4</v>
      </c>
      <c r="F166" s="35">
        <v>2.4</v>
      </c>
      <c r="G166" s="16" t="s">
        <v>44</v>
      </c>
      <c r="H166" s="16" t="s">
        <v>45</v>
      </c>
      <c r="I166" s="16">
        <f>COUNTIF(G$5:G166,"Y")/COUNTA(G$5:G166)</f>
        <v>0.84567901234567899</v>
      </c>
      <c r="J166" s="16">
        <f>COUNTIF(H$5:H166,"Y")/COUNTA(H$5:H166)</f>
        <v>6.1728395061728392E-2</v>
      </c>
      <c r="K166" s="16">
        <f>AVERAGE(F$5:F166)</f>
        <v>2.2000000000000002</v>
      </c>
      <c r="L166" s="16">
        <f>SUM(F$5:F166)/SUM(E$5:E166)</f>
        <v>0.72972972972972949</v>
      </c>
    </row>
    <row r="167" spans="1:13" x14ac:dyDescent="0.25">
      <c r="A167" s="29">
        <v>45645</v>
      </c>
      <c r="B167" s="16" t="s">
        <v>213</v>
      </c>
      <c r="C167" s="34">
        <v>1</v>
      </c>
      <c r="D167" s="16" t="s">
        <v>52</v>
      </c>
      <c r="E167" s="35">
        <v>2</v>
      </c>
      <c r="F167" s="35">
        <v>1.5</v>
      </c>
      <c r="G167" s="16" t="s">
        <v>44</v>
      </c>
      <c r="H167" s="16" t="s">
        <v>45</v>
      </c>
      <c r="I167" s="16">
        <f>COUNTIF(G$5:G167,"Y")/COUNTA(G$5:G167)</f>
        <v>0.84662576687116564</v>
      </c>
      <c r="J167" s="16">
        <f>COUNTIF(H$5:H167,"Y")/COUNTA(H$5:H167)</f>
        <v>6.1349693251533742E-2</v>
      </c>
      <c r="K167" s="16">
        <f>AVERAGE(F$5:F167)</f>
        <v>2.1957055214723931</v>
      </c>
      <c r="L167" s="16">
        <f>SUM(F$5:F167)/SUM(E$5:E167)</f>
        <v>0.72981239804241416</v>
      </c>
    </row>
    <row r="168" spans="1:13" x14ac:dyDescent="0.25">
      <c r="A168" s="29">
        <v>45646</v>
      </c>
      <c r="B168" s="16" t="s">
        <v>214</v>
      </c>
      <c r="C168" s="34">
        <v>1</v>
      </c>
      <c r="D168" s="16" t="s">
        <v>47</v>
      </c>
      <c r="E168" s="35">
        <v>2.6</v>
      </c>
      <c r="F168" s="35">
        <v>2</v>
      </c>
      <c r="G168" s="16" t="s">
        <v>44</v>
      </c>
      <c r="H168" s="16" t="s">
        <v>45</v>
      </c>
      <c r="I168" s="16">
        <f>COUNTIF(G$5:G168,"Y")/COUNTA(G$5:G168)</f>
        <v>0.84756097560975607</v>
      </c>
      <c r="J168" s="16">
        <f>COUNTIF(H$5:H168,"Y")/COUNTA(H$5:H168)</f>
        <v>6.097560975609756E-2</v>
      </c>
      <c r="K168" s="16">
        <f>AVERAGE(F$5:F168)</f>
        <v>2.1945121951219515</v>
      </c>
      <c r="L168" s="16">
        <f>SUM(F$5:F168)/SUM(E$5:E168)</f>
        <v>0.73002028397565899</v>
      </c>
    </row>
    <row r="169" spans="1:13" x14ac:dyDescent="0.25">
      <c r="A169" s="29">
        <v>45642</v>
      </c>
      <c r="B169" s="16" t="s">
        <v>215</v>
      </c>
      <c r="C169" s="34">
        <v>1</v>
      </c>
      <c r="D169" s="16" t="s">
        <v>43</v>
      </c>
      <c r="E169" s="35">
        <v>0.5</v>
      </c>
      <c r="F169" s="35">
        <v>0.5</v>
      </c>
      <c r="G169" s="16" t="s">
        <v>44</v>
      </c>
      <c r="H169" s="16" t="s">
        <v>45</v>
      </c>
      <c r="I169" s="16">
        <f>COUNTIF(G$5:G169,"Y")/COUNTA(G$5:G169)</f>
        <v>0.84848484848484851</v>
      </c>
      <c r="J169" s="16">
        <f>COUNTIF(H$5:H169,"Y")/COUNTA(H$5:H169)</f>
        <v>6.0606060606060608E-2</v>
      </c>
      <c r="K169" s="16">
        <f>AVERAGE(F$5:F169)</f>
        <v>2.1842424242424245</v>
      </c>
      <c r="L169" s="16">
        <f>SUM(F$5:F169)/SUM(E$5:E169)</f>
        <v>0.73029381965552154</v>
      </c>
    </row>
    <row r="170" spans="1:13" x14ac:dyDescent="0.25">
      <c r="A170" s="29">
        <v>45643</v>
      </c>
      <c r="B170" s="16" t="s">
        <v>216</v>
      </c>
      <c r="C170" s="34">
        <v>1</v>
      </c>
      <c r="D170" s="16" t="s">
        <v>43</v>
      </c>
      <c r="E170" s="35">
        <v>0.5</v>
      </c>
      <c r="F170" s="35">
        <v>0.5</v>
      </c>
      <c r="G170" s="16" t="s">
        <v>44</v>
      </c>
      <c r="H170" s="16" t="s">
        <v>45</v>
      </c>
      <c r="I170" s="16">
        <f>COUNTIF(G$5:G170,"Y")/COUNTA(G$5:G170)</f>
        <v>0.8493975903614458</v>
      </c>
      <c r="J170" s="16">
        <f>COUNTIF(H$5:H170,"Y")/COUNTA(H$5:H170)</f>
        <v>6.0240963855421686E-2</v>
      </c>
      <c r="K170" s="16">
        <f>AVERAGE(F$5:F170)</f>
        <v>2.1740963855421689</v>
      </c>
      <c r="L170" s="16">
        <f>SUM(F$5:F170)/SUM(E$5:E170)</f>
        <v>0.73056680161943288</v>
      </c>
    </row>
    <row r="171" spans="1:13" x14ac:dyDescent="0.25">
      <c r="A171" s="29">
        <v>45644</v>
      </c>
      <c r="B171" s="16" t="s">
        <v>217</v>
      </c>
      <c r="C171" s="34">
        <v>1</v>
      </c>
      <c r="D171" s="16" t="s">
        <v>47</v>
      </c>
      <c r="E171" s="35">
        <v>0.5</v>
      </c>
      <c r="F171" s="35">
        <v>0.5</v>
      </c>
      <c r="G171" s="16" t="s">
        <v>44</v>
      </c>
      <c r="H171" s="16" t="s">
        <v>45</v>
      </c>
      <c r="I171" s="16">
        <f>COUNTIF(G$5:G171,"Y")/COUNTA(G$5:G171)</f>
        <v>0.85029940119760483</v>
      </c>
      <c r="J171" s="16">
        <f>COUNTIF(H$5:H171,"Y")/COUNTA(H$5:H171)</f>
        <v>5.9880239520958084E-2</v>
      </c>
      <c r="K171" s="16">
        <f>AVERAGE(F$5:F171)</f>
        <v>2.1640718562874253</v>
      </c>
      <c r="L171" s="16">
        <f>SUM(F$5:F171)/SUM(E$5:E171)</f>
        <v>0.73083923154701691</v>
      </c>
      <c r="M171" s="16">
        <v>22</v>
      </c>
    </row>
    <row r="172" spans="1:13" x14ac:dyDescent="0.25">
      <c r="A172" s="29">
        <v>45649</v>
      </c>
      <c r="B172" s="16" t="s">
        <v>218</v>
      </c>
      <c r="C172" s="34">
        <v>1</v>
      </c>
      <c r="D172" s="16" t="s">
        <v>50</v>
      </c>
      <c r="E172" s="35">
        <v>3.7</v>
      </c>
      <c r="F172" s="35">
        <v>2.4</v>
      </c>
      <c r="G172" s="16" t="s">
        <v>44</v>
      </c>
      <c r="H172" s="16" t="s">
        <v>45</v>
      </c>
      <c r="I172" s="16">
        <f>COUNTIF(G$5:G172,"Y")/COUNTA(G$5:G172)</f>
        <v>0.85119047619047616</v>
      </c>
      <c r="J172" s="16">
        <f>COUNTIF(H$5:H172,"Y")/COUNTA(H$5:H172)</f>
        <v>5.9523809523809521E-2</v>
      </c>
      <c r="K172" s="16">
        <f>AVERAGE(F$5:F172)</f>
        <v>2.1654761904761903</v>
      </c>
      <c r="L172" s="16">
        <f>SUM(F$5:F172)/SUM(E$5:E172)</f>
        <v>0.73022882376555576</v>
      </c>
    </row>
    <row r="173" spans="1:13" x14ac:dyDescent="0.25">
      <c r="A173" s="29">
        <v>45650</v>
      </c>
      <c r="B173" s="16" t="s">
        <v>219</v>
      </c>
      <c r="C173" s="34">
        <v>1</v>
      </c>
      <c r="D173" s="16" t="s">
        <v>56</v>
      </c>
      <c r="E173" s="35">
        <v>2.1</v>
      </c>
      <c r="F173" s="35">
        <v>1.3</v>
      </c>
      <c r="G173" s="16" t="s">
        <v>45</v>
      </c>
      <c r="H173" s="16" t="s">
        <v>45</v>
      </c>
      <c r="I173" s="16">
        <f>COUNTIF(G$5:G173,"Y")/COUNTA(G$5:G173)</f>
        <v>0.84615384615384615</v>
      </c>
      <c r="J173" s="16">
        <f>COUNTIF(H$5:H173,"Y")/COUNTA(H$5:H173)</f>
        <v>5.9171597633136092E-2</v>
      </c>
      <c r="K173" s="16">
        <f>AVERAGE(F$5:F173)</f>
        <v>2.1603550295857992</v>
      </c>
      <c r="L173" s="16">
        <f>SUM(F$5:F173)/SUM(E$5:E173)</f>
        <v>0.72976214271437112</v>
      </c>
    </row>
    <row r="174" spans="1:13" x14ac:dyDescent="0.25">
      <c r="A174" s="29">
        <v>45651</v>
      </c>
      <c r="B174" s="16" t="s">
        <v>220</v>
      </c>
      <c r="C174" s="34">
        <v>1</v>
      </c>
      <c r="D174" s="16" t="s">
        <v>60</v>
      </c>
      <c r="E174" s="35">
        <v>4.2</v>
      </c>
      <c r="F174" s="35">
        <v>3.3</v>
      </c>
      <c r="G174" s="16" t="s">
        <v>44</v>
      </c>
      <c r="H174" s="16" t="s">
        <v>45</v>
      </c>
      <c r="I174" s="16">
        <f>COUNTIF(G$5:G174,"Y")/COUNTA(G$5:G174)</f>
        <v>0.84705882352941175</v>
      </c>
      <c r="J174" s="16">
        <f>COUNTIF(H$5:H174,"Y")/COUNTA(H$5:H174)</f>
        <v>5.8823529411764705E-2</v>
      </c>
      <c r="K174" s="16">
        <f>AVERAGE(F$5:F174)</f>
        <v>2.1670588235294121</v>
      </c>
      <c r="L174" s="16">
        <f>SUM(F$5:F174)/SUM(E$5:E174)</f>
        <v>0.73022794846382533</v>
      </c>
    </row>
    <row r="175" spans="1:13" x14ac:dyDescent="0.25">
      <c r="A175" s="29">
        <v>45652</v>
      </c>
      <c r="B175" s="16" t="s">
        <v>221</v>
      </c>
      <c r="C175" s="34">
        <v>1</v>
      </c>
      <c r="D175" s="16" t="s">
        <v>43</v>
      </c>
      <c r="E175" s="35">
        <v>2.4</v>
      </c>
      <c r="F175" s="35">
        <v>1.6</v>
      </c>
      <c r="G175" s="16" t="s">
        <v>44</v>
      </c>
      <c r="H175" s="16" t="s">
        <v>45</v>
      </c>
      <c r="I175" s="16">
        <f>COUNTIF(G$5:G175,"Y")/COUNTA(G$5:G175)</f>
        <v>0.84795321637426901</v>
      </c>
      <c r="J175" s="16">
        <f>COUNTIF(H$5:H175,"Y")/COUNTA(H$5:H175)</f>
        <v>5.8479532163742687E-2</v>
      </c>
      <c r="K175" s="16">
        <f>AVERAGE(F$5:F175)</f>
        <v>2.1637426900584797</v>
      </c>
      <c r="L175" s="16">
        <f>SUM(F$5:F175)/SUM(E$5:E175)</f>
        <v>0.72992700729926985</v>
      </c>
    </row>
    <row r="176" spans="1:13" x14ac:dyDescent="0.25">
      <c r="A176" s="29">
        <v>45653</v>
      </c>
      <c r="B176" s="16" t="s">
        <v>222</v>
      </c>
      <c r="C176" s="34">
        <v>1</v>
      </c>
      <c r="D176" s="16" t="s">
        <v>64</v>
      </c>
      <c r="E176" s="35">
        <v>3</v>
      </c>
      <c r="F176" s="35">
        <v>2</v>
      </c>
      <c r="G176" s="16" t="s">
        <v>44</v>
      </c>
      <c r="H176" s="16" t="s">
        <v>45</v>
      </c>
      <c r="I176" s="16">
        <f>COUNTIF(G$5:G176,"Y")/COUNTA(G$5:G176)</f>
        <v>0.84883720930232553</v>
      </c>
      <c r="J176" s="16">
        <f>COUNTIF(H$5:H176,"Y")/COUNTA(H$5:H176)</f>
        <v>5.8139534883720929E-2</v>
      </c>
      <c r="K176" s="16">
        <f>AVERAGE(F$5:F176)</f>
        <v>2.1627906976744189</v>
      </c>
      <c r="L176" s="16">
        <f>SUM(F$5:F176)/SUM(E$5:E176)</f>
        <v>0.72955481466954286</v>
      </c>
    </row>
    <row r="177" spans="1:12" x14ac:dyDescent="0.25">
      <c r="A177" s="29">
        <v>45649</v>
      </c>
      <c r="B177" s="16" t="s">
        <v>223</v>
      </c>
      <c r="C177" s="34">
        <v>1</v>
      </c>
      <c r="D177" s="16" t="s">
        <v>52</v>
      </c>
      <c r="E177" s="35">
        <v>4</v>
      </c>
      <c r="F177" s="35">
        <v>2.5</v>
      </c>
      <c r="G177" s="16" t="s">
        <v>45</v>
      </c>
      <c r="H177" s="16" t="s">
        <v>45</v>
      </c>
      <c r="I177" s="16">
        <f>COUNTIF(G$5:G177,"Y")/COUNTA(G$5:G177)</f>
        <v>0.84393063583815031</v>
      </c>
      <c r="J177" s="16">
        <f>COUNTIF(H$5:H177,"Y")/COUNTA(H$5:H177)</f>
        <v>5.7803468208092484E-2</v>
      </c>
      <c r="K177" s="16">
        <f>AVERAGE(F$5:F177)</f>
        <v>2.1647398843930641</v>
      </c>
      <c r="L177" s="16">
        <f>SUM(F$5:F177)/SUM(E$5:E177)</f>
        <v>0.7287410001945902</v>
      </c>
    </row>
    <row r="178" spans="1:12" x14ac:dyDescent="0.25">
      <c r="A178" s="29">
        <v>45650</v>
      </c>
      <c r="B178" s="16" t="s">
        <v>224</v>
      </c>
      <c r="C178" s="34">
        <v>1</v>
      </c>
      <c r="D178" s="16" t="s">
        <v>43</v>
      </c>
      <c r="E178" s="35">
        <v>3.1</v>
      </c>
      <c r="F178" s="35">
        <v>1.9</v>
      </c>
      <c r="G178" s="16" t="s">
        <v>44</v>
      </c>
      <c r="H178" s="16" t="s">
        <v>45</v>
      </c>
      <c r="I178" s="16">
        <f>COUNTIF(G$5:G178,"Y")/COUNTA(G$5:G178)</f>
        <v>0.84482758620689657</v>
      </c>
      <c r="J178" s="16">
        <f>COUNTIF(H$5:H178,"Y")/COUNTA(H$5:H178)</f>
        <v>5.7471264367816091E-2</v>
      </c>
      <c r="K178" s="16">
        <f>AVERAGE(F$5:F178)</f>
        <v>2.1632183908045981</v>
      </c>
      <c r="L178" s="16">
        <f>SUM(F$5:F178)/SUM(E$5:E178)</f>
        <v>0.72804642166344269</v>
      </c>
    </row>
    <row r="179" spans="1:12" x14ac:dyDescent="0.25">
      <c r="A179" s="29">
        <v>45651</v>
      </c>
      <c r="B179" s="16" t="s">
        <v>225</v>
      </c>
      <c r="C179" s="34">
        <v>1</v>
      </c>
      <c r="D179" s="16" t="s">
        <v>47</v>
      </c>
      <c r="E179" s="35">
        <v>2.6</v>
      </c>
      <c r="F179" s="35">
        <v>1.7</v>
      </c>
      <c r="G179" s="16" t="s">
        <v>45</v>
      </c>
      <c r="H179" s="16" t="s">
        <v>45</v>
      </c>
      <c r="I179" s="16">
        <f>COUNTIF(G$5:G179,"Y")/COUNTA(G$5:G179)</f>
        <v>0.84</v>
      </c>
      <c r="J179" s="16">
        <f>COUNTIF(H$5:H179,"Y")/COUNTA(H$5:H179)</f>
        <v>5.7142857142857141E-2</v>
      </c>
      <c r="K179" s="16">
        <f>AVERAGE(F$5:F179)</f>
        <v>2.1605714285714286</v>
      </c>
      <c r="L179" s="16">
        <f>SUM(F$5:F179)/SUM(E$5:E179)</f>
        <v>0.72767513471901435</v>
      </c>
    </row>
    <row r="180" spans="1:12" x14ac:dyDescent="0.25">
      <c r="A180" s="29">
        <v>45652</v>
      </c>
      <c r="B180" s="16" t="s">
        <v>226</v>
      </c>
      <c r="C180" s="34">
        <v>1</v>
      </c>
      <c r="D180" s="16" t="s">
        <v>43</v>
      </c>
      <c r="E180" s="35">
        <v>3</v>
      </c>
      <c r="F180" s="35">
        <v>2</v>
      </c>
      <c r="G180" s="16" t="s">
        <v>44</v>
      </c>
      <c r="H180" s="16" t="s">
        <v>45</v>
      </c>
      <c r="I180" s="16">
        <f>COUNTIF(G$5:G180,"Y")/COUNTA(G$5:G180)</f>
        <v>0.84090909090909094</v>
      </c>
      <c r="J180" s="16">
        <f>COUNTIF(H$5:H180,"Y")/COUNTA(H$5:H180)</f>
        <v>5.6818181818181816E-2</v>
      </c>
      <c r="K180" s="16">
        <f>AVERAGE(F$5:F180)</f>
        <v>2.1596590909090909</v>
      </c>
      <c r="L180" s="16">
        <f>SUM(F$5:F180)/SUM(E$5:E180)</f>
        <v>0.72732491389207776</v>
      </c>
    </row>
    <row r="181" spans="1:12" x14ac:dyDescent="0.25">
      <c r="A181" s="29">
        <v>45653</v>
      </c>
      <c r="B181" s="16" t="s">
        <v>227</v>
      </c>
      <c r="C181" s="34">
        <v>1</v>
      </c>
      <c r="D181" s="16" t="s">
        <v>50</v>
      </c>
      <c r="E181" s="35">
        <v>1.8</v>
      </c>
      <c r="F181" s="35">
        <v>1.1000000000000001</v>
      </c>
      <c r="G181" s="16" t="s">
        <v>44</v>
      </c>
      <c r="H181" s="16" t="s">
        <v>45</v>
      </c>
      <c r="I181" s="16">
        <f>COUNTIF(G$5:G181,"Y")/COUNTA(G$5:G181)</f>
        <v>0.84180790960451979</v>
      </c>
      <c r="J181" s="16">
        <f>COUNTIF(H$5:H181,"Y")/COUNTA(H$5:H181)</f>
        <v>5.6497175141242938E-2</v>
      </c>
      <c r="K181" s="16">
        <f>AVERAGE(F$5:F181)</f>
        <v>2.1536723163841809</v>
      </c>
      <c r="L181" s="16">
        <f>SUM(F$5:F181)/SUM(E$5:E181)</f>
        <v>0.72692601067887086</v>
      </c>
    </row>
    <row r="182" spans="1:12" x14ac:dyDescent="0.25">
      <c r="A182" s="29">
        <v>45649</v>
      </c>
      <c r="B182" s="16" t="s">
        <v>228</v>
      </c>
      <c r="C182" s="34">
        <v>1</v>
      </c>
      <c r="D182" s="16" t="s">
        <v>43</v>
      </c>
      <c r="E182" s="35">
        <v>1.9</v>
      </c>
      <c r="F182" s="35">
        <v>1.2</v>
      </c>
      <c r="G182" s="16" t="s">
        <v>44</v>
      </c>
      <c r="H182" s="16" t="s">
        <v>45</v>
      </c>
      <c r="I182" s="16">
        <f>COUNTIF(G$5:G182,"Y")/COUNTA(G$5:G182)</f>
        <v>0.84269662921348309</v>
      </c>
      <c r="J182" s="16">
        <f>COUNTIF(H$5:H182,"Y")/COUNTA(H$5:H182)</f>
        <v>5.6179775280898875E-2</v>
      </c>
      <c r="K182" s="16">
        <f>AVERAGE(F$5:F182)</f>
        <v>2.148314606741573</v>
      </c>
      <c r="L182" s="16">
        <f>SUM(F$5:F182)/SUM(E$5:E182)</f>
        <v>0.72658179745392348</v>
      </c>
    </row>
    <row r="183" spans="1:12" x14ac:dyDescent="0.25">
      <c r="A183" s="29">
        <v>45650</v>
      </c>
      <c r="B183" s="16" t="s">
        <v>229</v>
      </c>
      <c r="C183" s="34">
        <v>1</v>
      </c>
      <c r="D183" s="16" t="s">
        <v>50</v>
      </c>
      <c r="E183" s="35">
        <v>3.4</v>
      </c>
      <c r="F183" s="35">
        <v>2.5</v>
      </c>
      <c r="G183" s="16" t="s">
        <v>44</v>
      </c>
      <c r="H183" s="16" t="s">
        <v>45</v>
      </c>
      <c r="I183" s="16">
        <f>COUNTIF(G$5:G183,"Y")/COUNTA(G$5:G183)</f>
        <v>0.84357541899441346</v>
      </c>
      <c r="J183" s="16">
        <f>COUNTIF(H$5:H183,"Y")/COUNTA(H$5:H183)</f>
        <v>5.5865921787709494E-2</v>
      </c>
      <c r="K183" s="16">
        <f>AVERAGE(F$5:F183)</f>
        <v>2.1502793296089386</v>
      </c>
      <c r="L183" s="16">
        <f>SUM(F$5:F183)/SUM(E$5:E183)</f>
        <v>0.72663771946384725</v>
      </c>
    </row>
    <row r="184" spans="1:12" x14ac:dyDescent="0.25">
      <c r="A184" s="29">
        <v>45651</v>
      </c>
      <c r="B184" s="16" t="s">
        <v>230</v>
      </c>
      <c r="C184" s="34">
        <v>1</v>
      </c>
      <c r="D184" s="16" t="s">
        <v>50</v>
      </c>
      <c r="E184" s="35">
        <v>1.6</v>
      </c>
      <c r="F184" s="35">
        <v>1.2</v>
      </c>
      <c r="G184" s="16" t="s">
        <v>44</v>
      </c>
      <c r="H184" s="16" t="s">
        <v>45</v>
      </c>
      <c r="I184" s="16">
        <f>COUNTIF(G$5:G184,"Y")/COUNTA(G$5:G184)</f>
        <v>0.84444444444444444</v>
      </c>
      <c r="J184" s="16">
        <f>COUNTIF(H$5:H184,"Y")/COUNTA(H$5:H184)</f>
        <v>5.5555555555555552E-2</v>
      </c>
      <c r="K184" s="16">
        <f>AVERAGE(F$5:F184)</f>
        <v>2.145</v>
      </c>
      <c r="L184" s="16">
        <f>SUM(F$5:F184)/SUM(E$5:E184)</f>
        <v>0.72670807453416131</v>
      </c>
    </row>
    <row r="185" spans="1:12" x14ac:dyDescent="0.25">
      <c r="A185" s="29">
        <v>45652</v>
      </c>
      <c r="B185" s="16" t="s">
        <v>231</v>
      </c>
      <c r="C185" s="34">
        <v>1</v>
      </c>
      <c r="D185" s="16" t="s">
        <v>64</v>
      </c>
      <c r="E185" s="35">
        <v>3</v>
      </c>
      <c r="F185" s="35">
        <v>2.2999999999999998</v>
      </c>
      <c r="G185" s="16" t="s">
        <v>44</v>
      </c>
      <c r="H185" s="16" t="s">
        <v>45</v>
      </c>
      <c r="I185" s="16">
        <f>COUNTIF(G$5:G185,"Y")/COUNTA(G$5:G185)</f>
        <v>0.84530386740331487</v>
      </c>
      <c r="J185" s="16">
        <f>COUNTIF(H$5:H185,"Y")/COUNTA(H$5:H185)</f>
        <v>5.5248618784530384E-2</v>
      </c>
      <c r="K185" s="16">
        <f>AVERAGE(F$5:F185)</f>
        <v>2.1458563535911606</v>
      </c>
      <c r="L185" s="16">
        <f>SUM(F$5:F185)/SUM(E$5:E185)</f>
        <v>0.72693243496163185</v>
      </c>
    </row>
    <row r="186" spans="1:12" x14ac:dyDescent="0.25">
      <c r="A186" s="29">
        <v>45653</v>
      </c>
      <c r="B186" s="16" t="s">
        <v>232</v>
      </c>
      <c r="C186" s="34">
        <v>1</v>
      </c>
      <c r="D186" s="16" t="s">
        <v>47</v>
      </c>
      <c r="E186" s="35">
        <v>3.1</v>
      </c>
      <c r="F186" s="35">
        <v>2</v>
      </c>
      <c r="G186" s="16" t="s">
        <v>44</v>
      </c>
      <c r="H186" s="16" t="s">
        <v>44</v>
      </c>
      <c r="I186" s="16">
        <f>COUNTIF(G$5:G186,"Y")/COUNTA(G$5:G186)</f>
        <v>0.84615384615384615</v>
      </c>
      <c r="J186" s="16">
        <f>COUNTIF(H$5:H186,"Y")/COUNTA(H$5:H186)</f>
        <v>6.043956043956044E-2</v>
      </c>
      <c r="K186" s="16">
        <f>AVERAGE(F$5:F186)</f>
        <v>2.1450549450549454</v>
      </c>
      <c r="L186" s="16">
        <f>SUM(F$5:F186)/SUM(E$5:E186)</f>
        <v>0.72646073688127999</v>
      </c>
    </row>
    <row r="187" spans="1:12" x14ac:dyDescent="0.25">
      <c r="A187" s="29">
        <v>45649</v>
      </c>
      <c r="B187" s="16" t="s">
        <v>233</v>
      </c>
      <c r="C187" s="34">
        <v>1</v>
      </c>
      <c r="D187" s="16" t="s">
        <v>52</v>
      </c>
      <c r="E187" s="35">
        <v>2.7</v>
      </c>
      <c r="F187" s="35">
        <v>2.1</v>
      </c>
      <c r="G187" s="16" t="s">
        <v>44</v>
      </c>
      <c r="H187" s="16" t="s">
        <v>45</v>
      </c>
      <c r="I187" s="16">
        <f>COUNTIF(G$5:G187,"Y")/COUNTA(G$5:G187)</f>
        <v>0.84699453551912574</v>
      </c>
      <c r="J187" s="16">
        <f>COUNTIF(H$5:H187,"Y")/COUNTA(H$5:H187)</f>
        <v>6.0109289617486336E-2</v>
      </c>
      <c r="K187" s="16">
        <f>AVERAGE(F$5:F187)</f>
        <v>2.1448087431693992</v>
      </c>
      <c r="L187" s="16">
        <f>SUM(F$5:F187)/SUM(E$5:E187)</f>
        <v>0.72671727457878144</v>
      </c>
    </row>
    <row r="188" spans="1:12" x14ac:dyDescent="0.25">
      <c r="A188" s="29">
        <v>45650</v>
      </c>
      <c r="B188" s="16" t="s">
        <v>234</v>
      </c>
      <c r="C188" s="34">
        <v>1</v>
      </c>
      <c r="D188" s="16" t="s">
        <v>56</v>
      </c>
      <c r="E188" s="35">
        <v>2.2999999999999998</v>
      </c>
      <c r="F188" s="35">
        <v>1.7</v>
      </c>
      <c r="G188" s="16" t="s">
        <v>45</v>
      </c>
      <c r="H188" s="16" t="s">
        <v>45</v>
      </c>
      <c r="I188" s="16">
        <f>COUNTIF(G$5:G188,"Y")/COUNTA(G$5:G188)</f>
        <v>0.84239130434782605</v>
      </c>
      <c r="J188" s="16">
        <f>COUNTIF(H$5:H188,"Y")/COUNTA(H$5:H188)</f>
        <v>5.9782608695652176E-2</v>
      </c>
      <c r="K188" s="16">
        <f>AVERAGE(F$5:F188)</f>
        <v>2.1423913043478264</v>
      </c>
      <c r="L188" s="16">
        <f>SUM(F$5:F188)/SUM(E$5:E188)</f>
        <v>0.7267699115044246</v>
      </c>
    </row>
    <row r="189" spans="1:12" x14ac:dyDescent="0.25">
      <c r="A189" s="29">
        <v>45651</v>
      </c>
      <c r="B189" s="16" t="s">
        <v>235</v>
      </c>
      <c r="C189" s="34">
        <v>1</v>
      </c>
      <c r="D189" s="16" t="s">
        <v>50</v>
      </c>
      <c r="E189" s="35">
        <v>4</v>
      </c>
      <c r="F189" s="35">
        <v>3.1</v>
      </c>
      <c r="G189" s="16" t="s">
        <v>44</v>
      </c>
      <c r="H189" s="16" t="s">
        <v>45</v>
      </c>
      <c r="I189" s="16">
        <f>COUNTIF(G$5:G189,"Y")/COUNTA(G$5:G189)</f>
        <v>0.84324324324324329</v>
      </c>
      <c r="J189" s="16">
        <f>COUNTIF(H$5:H189,"Y")/COUNTA(H$5:H189)</f>
        <v>5.9459459459459463E-2</v>
      </c>
      <c r="K189" s="16">
        <f>AVERAGE(F$5:F189)</f>
        <v>2.1475675675675681</v>
      </c>
      <c r="L189" s="16">
        <f>SUM(F$5:F189)/SUM(E$5:E189)</f>
        <v>0.72712298682284027</v>
      </c>
    </row>
    <row r="190" spans="1:12" x14ac:dyDescent="0.25">
      <c r="A190" s="29">
        <v>45652</v>
      </c>
      <c r="B190" s="16" t="s">
        <v>236</v>
      </c>
      <c r="C190" s="34">
        <v>1</v>
      </c>
      <c r="D190" s="16" t="s">
        <v>43</v>
      </c>
      <c r="E190" s="35">
        <v>2</v>
      </c>
      <c r="F190" s="35">
        <v>1.5</v>
      </c>
      <c r="G190" s="16" t="s">
        <v>44</v>
      </c>
      <c r="H190" s="16" t="s">
        <v>44</v>
      </c>
      <c r="I190" s="16">
        <f>COUNTIF(G$5:G190,"Y")/COUNTA(G$5:G190)</f>
        <v>0.84408602150537637</v>
      </c>
      <c r="J190" s="16">
        <f>COUNTIF(H$5:H190,"Y")/COUNTA(H$5:H190)</f>
        <v>6.4516129032258063E-2</v>
      </c>
      <c r="K190" s="16">
        <f>AVERAGE(F$5:F190)</f>
        <v>2.1440860215053767</v>
      </c>
      <c r="L190" s="16">
        <f>SUM(F$5:F190)/SUM(E$5:E190)</f>
        <v>0.72720641867250169</v>
      </c>
    </row>
    <row r="191" spans="1:12" x14ac:dyDescent="0.25">
      <c r="A191" s="29">
        <v>45653</v>
      </c>
      <c r="B191" s="16" t="s">
        <v>237</v>
      </c>
      <c r="C191" s="34">
        <v>1</v>
      </c>
      <c r="D191" s="16" t="s">
        <v>64</v>
      </c>
      <c r="E191" s="35">
        <v>4.4000000000000004</v>
      </c>
      <c r="F191" s="35">
        <v>2.9</v>
      </c>
      <c r="G191" s="16" t="s">
        <v>44</v>
      </c>
      <c r="H191" s="16" t="s">
        <v>45</v>
      </c>
      <c r="I191" s="16">
        <f>COUNTIF(G$5:G191,"Y")/COUNTA(G$5:G191)</f>
        <v>0.84491978609625673</v>
      </c>
      <c r="J191" s="16">
        <f>COUNTIF(H$5:H191,"Y")/COUNTA(H$5:H191)</f>
        <v>6.4171122994652413E-2</v>
      </c>
      <c r="K191" s="16">
        <f>AVERAGE(F$5:F191)</f>
        <v>2.1481283422459896</v>
      </c>
      <c r="L191" s="16">
        <f>SUM(F$5:F191)/SUM(E$5:E191)</f>
        <v>0.7266642547033284</v>
      </c>
    </row>
    <row r="192" spans="1:12" x14ac:dyDescent="0.25">
      <c r="A192" s="29">
        <v>45649</v>
      </c>
      <c r="B192" s="16" t="s">
        <v>238</v>
      </c>
      <c r="C192" s="34">
        <v>1</v>
      </c>
      <c r="D192" s="16" t="s">
        <v>43</v>
      </c>
      <c r="E192" s="35">
        <v>1.3</v>
      </c>
      <c r="F192" s="35">
        <v>1</v>
      </c>
      <c r="G192" s="16" t="s">
        <v>44</v>
      </c>
      <c r="H192" s="16" t="s">
        <v>45</v>
      </c>
      <c r="I192" s="16">
        <f>COUNTIF(G$5:G192,"Y")/COUNTA(G$5:G192)</f>
        <v>0.8457446808510638</v>
      </c>
      <c r="J192" s="16">
        <f>COUNTIF(H$5:H192,"Y")/COUNTA(H$5:H192)</f>
        <v>6.3829787234042548E-2</v>
      </c>
      <c r="K192" s="16">
        <f>AVERAGE(F$5:F192)</f>
        <v>2.1420212765957447</v>
      </c>
      <c r="L192" s="16">
        <f>SUM(F$5:F192)/SUM(E$5:E192)</f>
        <v>0.72676412199963891</v>
      </c>
    </row>
    <row r="193" spans="1:13" x14ac:dyDescent="0.25">
      <c r="A193" s="29">
        <v>45650</v>
      </c>
      <c r="B193" s="16" t="s">
        <v>239</v>
      </c>
      <c r="C193" s="34">
        <v>1</v>
      </c>
      <c r="D193" s="16" t="s">
        <v>50</v>
      </c>
      <c r="E193" s="35">
        <v>1.8</v>
      </c>
      <c r="F193" s="35">
        <v>0.5</v>
      </c>
      <c r="G193" s="16" t="s">
        <v>44</v>
      </c>
      <c r="H193" s="16" t="s">
        <v>45</v>
      </c>
      <c r="I193" s="16">
        <f>COUNTIF(G$5:G193,"Y")/COUNTA(G$5:G193)</f>
        <v>0.84656084656084651</v>
      </c>
      <c r="J193" s="16">
        <f>COUNTIF(H$5:H193,"Y")/COUNTA(H$5:H193)</f>
        <v>6.3492063492063489E-2</v>
      </c>
      <c r="K193" s="16">
        <f>AVERAGE(F$5:F193)</f>
        <v>2.1333333333333337</v>
      </c>
      <c r="L193" s="16">
        <f>SUM(F$5:F193)/SUM(E$5:E193)</f>
        <v>0.72531030760928217</v>
      </c>
      <c r="M193" s="16">
        <v>24</v>
      </c>
    </row>
    <row r="194" spans="1:13" x14ac:dyDescent="0.25">
      <c r="A194" s="29">
        <v>45656</v>
      </c>
      <c r="B194" s="16" t="s">
        <v>240</v>
      </c>
      <c r="C194" s="34">
        <v>1</v>
      </c>
      <c r="D194" s="16" t="s">
        <v>50</v>
      </c>
      <c r="E194" s="35">
        <v>3.8</v>
      </c>
      <c r="F194" s="35">
        <v>2.9</v>
      </c>
      <c r="G194" s="16" t="s">
        <v>44</v>
      </c>
      <c r="H194" s="16" t="s">
        <v>45</v>
      </c>
      <c r="I194" s="16">
        <f>COUNTIF(G$5:G194,"Y")/COUNTA(G$5:G194)</f>
        <v>0.84736842105263155</v>
      </c>
      <c r="J194" s="16">
        <f>COUNTIF(H$5:H194,"Y")/COUNTA(H$5:H194)</f>
        <v>6.3157894736842107E-2</v>
      </c>
      <c r="K194" s="16">
        <f>AVERAGE(F$5:F194)</f>
        <v>2.1373684210526318</v>
      </c>
      <c r="L194" s="16">
        <f>SUM(F$5:F194)/SUM(E$5:E194)</f>
        <v>0.72556726817938177</v>
      </c>
    </row>
    <row r="195" spans="1:13" x14ac:dyDescent="0.25">
      <c r="A195" s="29">
        <v>45657</v>
      </c>
      <c r="B195" s="16" t="s">
        <v>241</v>
      </c>
      <c r="C195" s="34">
        <v>1</v>
      </c>
      <c r="D195" s="16" t="s">
        <v>50</v>
      </c>
      <c r="E195" s="35">
        <v>3.6</v>
      </c>
      <c r="F195" s="35">
        <v>3.1</v>
      </c>
      <c r="G195" s="16" t="s">
        <v>44</v>
      </c>
      <c r="H195" s="16" t="s">
        <v>45</v>
      </c>
      <c r="I195" s="16">
        <f>COUNTIF(G$5:G195,"Y")/COUNTA(G$5:G195)</f>
        <v>0.84816753926701571</v>
      </c>
      <c r="J195" s="16">
        <f>COUNTIF(H$5:H195,"Y")/COUNTA(H$5:H195)</f>
        <v>6.2827225130890049E-2</v>
      </c>
      <c r="K195" s="16">
        <f>AVERAGE(F$5:F195)</f>
        <v>2.1424083769633508</v>
      </c>
      <c r="L195" s="16">
        <f>SUM(F$5:F195)/SUM(E$5:E195)</f>
        <v>0.72643351677614054</v>
      </c>
    </row>
    <row r="196" spans="1:13" x14ac:dyDescent="0.25">
      <c r="A196" s="29">
        <v>45658</v>
      </c>
      <c r="B196" s="16" t="s">
        <v>242</v>
      </c>
      <c r="C196" s="34">
        <v>1</v>
      </c>
      <c r="D196" s="16" t="s">
        <v>50</v>
      </c>
      <c r="E196" s="35">
        <v>1.6</v>
      </c>
      <c r="F196" s="35">
        <v>1.3</v>
      </c>
      <c r="G196" s="16" t="s">
        <v>44</v>
      </c>
      <c r="H196" s="16" t="s">
        <v>45</v>
      </c>
      <c r="I196" s="16">
        <f>COUNTIF(G$5:G196,"Y")/COUNTA(G$5:G196)</f>
        <v>0.84895833333333337</v>
      </c>
      <c r="J196" s="16">
        <f>COUNTIF(H$5:H196,"Y")/COUNTA(H$5:H196)</f>
        <v>6.25E-2</v>
      </c>
      <c r="K196" s="16">
        <f>AVERAGE(F$5:F196)</f>
        <v>2.1380208333333335</v>
      </c>
      <c r="L196" s="16">
        <f>SUM(F$5:F196)/SUM(E$5:E196)</f>
        <v>0.72667728801557796</v>
      </c>
    </row>
    <row r="197" spans="1:13" x14ac:dyDescent="0.25">
      <c r="A197" s="29">
        <v>45659</v>
      </c>
      <c r="B197" s="16" t="s">
        <v>243</v>
      </c>
      <c r="C197" s="34">
        <v>1</v>
      </c>
      <c r="D197" s="16" t="s">
        <v>43</v>
      </c>
      <c r="E197" s="35">
        <v>2.1</v>
      </c>
      <c r="F197" s="35">
        <v>1.4</v>
      </c>
      <c r="G197" s="16" t="s">
        <v>44</v>
      </c>
      <c r="H197" s="16" t="s">
        <v>45</v>
      </c>
      <c r="I197" s="16">
        <f>COUNTIF(G$5:G197,"Y")/COUNTA(G$5:G197)</f>
        <v>0.84974093264248707</v>
      </c>
      <c r="J197" s="16">
        <f>COUNTIF(H$5:H197,"Y")/COUNTA(H$5:H197)</f>
        <v>6.2176165803108807E-2</v>
      </c>
      <c r="K197" s="16">
        <f>AVERAGE(F$5:F197)</f>
        <v>2.13419689119171</v>
      </c>
      <c r="L197" s="16">
        <f>SUM(F$5:F197)/SUM(E$5:E197)</f>
        <v>0.72645502645502635</v>
      </c>
    </row>
    <row r="198" spans="1:13" x14ac:dyDescent="0.25">
      <c r="A198" s="29">
        <v>45660</v>
      </c>
      <c r="B198" s="16" t="s">
        <v>244</v>
      </c>
      <c r="C198" s="34">
        <v>1</v>
      </c>
      <c r="D198" s="16" t="s">
        <v>56</v>
      </c>
      <c r="E198" s="35">
        <v>5.0999999999999996</v>
      </c>
      <c r="F198" s="35">
        <v>3.4</v>
      </c>
      <c r="G198" s="16" t="s">
        <v>44</v>
      </c>
      <c r="H198" s="16" t="s">
        <v>44</v>
      </c>
      <c r="I198" s="16">
        <f>COUNTIF(G$5:G198,"Y")/COUNTA(G$5:G198)</f>
        <v>0.85051546391752575</v>
      </c>
      <c r="J198" s="16">
        <f>COUNTIF(H$5:H198,"Y")/COUNTA(H$5:H198)</f>
        <v>6.7010309278350513E-2</v>
      </c>
      <c r="K198" s="16">
        <f>AVERAGE(F$5:F198)</f>
        <v>2.140721649484536</v>
      </c>
      <c r="L198" s="16">
        <f>SUM(F$5:F198)/SUM(E$5:E198)</f>
        <v>0.72592204160111851</v>
      </c>
    </row>
    <row r="199" spans="1:13" x14ac:dyDescent="0.25">
      <c r="A199" s="29">
        <v>45656</v>
      </c>
      <c r="B199" s="16" t="s">
        <v>245</v>
      </c>
      <c r="C199" s="34">
        <v>1</v>
      </c>
      <c r="D199" s="16" t="s">
        <v>56</v>
      </c>
      <c r="E199" s="35">
        <v>1.7</v>
      </c>
      <c r="F199" s="35">
        <v>1.1000000000000001</v>
      </c>
      <c r="G199" s="16" t="s">
        <v>44</v>
      </c>
      <c r="H199" s="16" t="s">
        <v>45</v>
      </c>
      <c r="I199" s="16">
        <f>COUNTIF(G$5:G199,"Y")/COUNTA(G$5:G199)</f>
        <v>0.85128205128205126</v>
      </c>
      <c r="J199" s="16">
        <f>COUNTIF(H$5:H199,"Y")/COUNTA(H$5:H199)</f>
        <v>6.6666666666666666E-2</v>
      </c>
      <c r="K199" s="16">
        <f>AVERAGE(F$5:F199)</f>
        <v>2.1353846153846154</v>
      </c>
      <c r="L199" s="16">
        <f>SUM(F$5:F199)/SUM(E$5:E199)</f>
        <v>0.72568839316835121</v>
      </c>
    </row>
    <row r="200" spans="1:13" x14ac:dyDescent="0.25">
      <c r="A200" s="29">
        <v>45657</v>
      </c>
      <c r="B200" s="16" t="s">
        <v>246</v>
      </c>
      <c r="C200" s="34">
        <v>1</v>
      </c>
      <c r="D200" s="16" t="s">
        <v>60</v>
      </c>
      <c r="E200" s="35">
        <v>2.7</v>
      </c>
      <c r="F200" s="35">
        <v>2.2999999999999998</v>
      </c>
      <c r="G200" s="16" t="s">
        <v>44</v>
      </c>
      <c r="H200" s="16" t="s">
        <v>45</v>
      </c>
      <c r="I200" s="16">
        <f>COUNTIF(G$5:G200,"Y")/COUNTA(G$5:G200)</f>
        <v>0.85204081632653061</v>
      </c>
      <c r="J200" s="16">
        <f>COUNTIF(H$5:H200,"Y")/COUNTA(H$5:H200)</f>
        <v>6.6326530612244902E-2</v>
      </c>
      <c r="K200" s="16">
        <f>AVERAGE(F$5:F200)</f>
        <v>2.1362244897959184</v>
      </c>
      <c r="L200" s="16">
        <f>SUM(F$5:F200)/SUM(E$5:E200)</f>
        <v>0.72627927146574134</v>
      </c>
    </row>
    <row r="201" spans="1:13" x14ac:dyDescent="0.25">
      <c r="A201" s="29">
        <v>45658</v>
      </c>
      <c r="B201" s="16" t="s">
        <v>247</v>
      </c>
      <c r="C201" s="34">
        <v>1</v>
      </c>
      <c r="D201" s="16" t="s">
        <v>43</v>
      </c>
      <c r="E201" s="35">
        <v>3.5</v>
      </c>
      <c r="F201" s="35">
        <v>2.5</v>
      </c>
      <c r="G201" s="16" t="s">
        <v>44</v>
      </c>
      <c r="H201" s="16" t="s">
        <v>45</v>
      </c>
      <c r="I201" s="16">
        <f>COUNTIF(G$5:G201,"Y")/COUNTA(G$5:G201)</f>
        <v>0.85279187817258884</v>
      </c>
      <c r="J201" s="16">
        <f>COUNTIF(H$5:H201,"Y")/COUNTA(H$5:H201)</f>
        <v>6.5989847715736044E-2</v>
      </c>
      <c r="K201" s="16">
        <f>AVERAGE(F$5:F201)</f>
        <v>2.1380710659898479</v>
      </c>
      <c r="L201" s="16">
        <f>SUM(F$5:F201)/SUM(E$5:E201)</f>
        <v>0.72620689655172388</v>
      </c>
    </row>
    <row r="202" spans="1:13" x14ac:dyDescent="0.25">
      <c r="A202" s="29">
        <v>45659</v>
      </c>
      <c r="B202" s="16" t="s">
        <v>248</v>
      </c>
      <c r="C202" s="34">
        <v>1</v>
      </c>
      <c r="D202" s="16" t="s">
        <v>60</v>
      </c>
      <c r="E202" s="35">
        <v>3.2</v>
      </c>
      <c r="F202" s="35">
        <v>2.4</v>
      </c>
      <c r="G202" s="16" t="s">
        <v>44</v>
      </c>
      <c r="H202" s="16" t="s">
        <v>45</v>
      </c>
      <c r="I202" s="16">
        <f>COUNTIF(G$5:G202,"Y")/COUNTA(G$5:G202)</f>
        <v>0.85353535353535348</v>
      </c>
      <c r="J202" s="16">
        <f>COUNTIF(H$5:H202,"Y")/COUNTA(H$5:H202)</f>
        <v>6.5656565656565663E-2</v>
      </c>
      <c r="K202" s="16">
        <f>AVERAGE(F$5:F202)</f>
        <v>2.1393939393939396</v>
      </c>
      <c r="L202" s="16">
        <f>SUM(F$5:F202)/SUM(E$5:E202)</f>
        <v>0.72633744855967053</v>
      </c>
    </row>
    <row r="203" spans="1:13" x14ac:dyDescent="0.25">
      <c r="A203" s="29">
        <v>45660</v>
      </c>
      <c r="B203" s="16" t="s">
        <v>249</v>
      </c>
      <c r="C203" s="34">
        <v>1</v>
      </c>
      <c r="D203" s="16" t="s">
        <v>64</v>
      </c>
      <c r="E203" s="35">
        <v>1.5</v>
      </c>
      <c r="F203" s="35">
        <v>1.2</v>
      </c>
      <c r="G203" s="16" t="s">
        <v>44</v>
      </c>
      <c r="H203" s="16" t="s">
        <v>45</v>
      </c>
      <c r="I203" s="16">
        <f>COUNTIF(G$5:G203,"Y")/COUNTA(G$5:G203)</f>
        <v>0.85427135678391963</v>
      </c>
      <c r="J203" s="16">
        <f>COUNTIF(H$5:H203,"Y")/COUNTA(H$5:H203)</f>
        <v>6.5326633165829151E-2</v>
      </c>
      <c r="K203" s="16">
        <f>AVERAGE(F$5:F203)</f>
        <v>2.1346733668341709</v>
      </c>
      <c r="L203" s="16">
        <f>SUM(F$5:F203)/SUM(E$5:E203)</f>
        <v>0.72652642380708021</v>
      </c>
    </row>
    <row r="204" spans="1:13" x14ac:dyDescent="0.25">
      <c r="A204" s="29">
        <v>45656</v>
      </c>
      <c r="B204" s="16" t="s">
        <v>250</v>
      </c>
      <c r="C204" s="34">
        <v>1</v>
      </c>
      <c r="D204" s="16" t="s">
        <v>52</v>
      </c>
      <c r="E204" s="35">
        <v>1.8</v>
      </c>
      <c r="F204" s="35">
        <v>1.4</v>
      </c>
      <c r="G204" s="16" t="s">
        <v>44</v>
      </c>
      <c r="H204" s="16" t="s">
        <v>45</v>
      </c>
      <c r="I204" s="16">
        <f>COUNTIF(G$5:G204,"Y")/COUNTA(G$5:G204)</f>
        <v>0.85499999999999998</v>
      </c>
      <c r="J204" s="16">
        <f>COUNTIF(H$5:H204,"Y")/COUNTA(H$5:H204)</f>
        <v>6.5000000000000002E-2</v>
      </c>
      <c r="K204" s="16">
        <f>AVERAGE(F$5:F204)</f>
        <v>2.1309999999999998</v>
      </c>
      <c r="L204" s="16">
        <f>SUM(F$5:F204)/SUM(E$5:E204)</f>
        <v>0.72668371696504663</v>
      </c>
    </row>
    <row r="205" spans="1:13" x14ac:dyDescent="0.25">
      <c r="A205" s="29">
        <v>45657</v>
      </c>
      <c r="B205" s="16" t="s">
        <v>251</v>
      </c>
      <c r="C205" s="34">
        <v>1</v>
      </c>
      <c r="D205" s="16" t="s">
        <v>56</v>
      </c>
      <c r="E205" s="35">
        <v>4.7</v>
      </c>
      <c r="F205" s="35">
        <v>3.5</v>
      </c>
      <c r="G205" s="16" t="s">
        <v>45</v>
      </c>
      <c r="H205" s="16" t="s">
        <v>45</v>
      </c>
      <c r="I205" s="16">
        <f>COUNTIF(G$5:G205,"Y")/COUNTA(G$5:G205)</f>
        <v>0.85074626865671643</v>
      </c>
      <c r="J205" s="16">
        <f>COUNTIF(H$5:H205,"Y")/COUNTA(H$5:H205)</f>
        <v>6.4676616915422883E-2</v>
      </c>
      <c r="K205" s="16">
        <f>AVERAGE(F$5:F205)</f>
        <v>2.1378109452736318</v>
      </c>
      <c r="L205" s="16">
        <f>SUM(F$5:F205)/SUM(E$5:E205)</f>
        <v>0.72682679296346375</v>
      </c>
    </row>
    <row r="206" spans="1:13" x14ac:dyDescent="0.25">
      <c r="A206" s="29">
        <v>45658</v>
      </c>
      <c r="B206" s="16" t="s">
        <v>252</v>
      </c>
      <c r="C206" s="34">
        <v>1</v>
      </c>
      <c r="D206" s="16" t="s">
        <v>56</v>
      </c>
      <c r="E206" s="35">
        <v>1.5</v>
      </c>
      <c r="F206" s="35">
        <v>1.1000000000000001</v>
      </c>
      <c r="G206" s="16" t="s">
        <v>44</v>
      </c>
      <c r="H206" s="16" t="s">
        <v>45</v>
      </c>
      <c r="I206" s="16">
        <f>COUNTIF(G$5:G206,"Y")/COUNTA(G$5:G206)</f>
        <v>0.85148514851485146</v>
      </c>
      <c r="J206" s="16">
        <f>COUNTIF(H$5:H206,"Y")/COUNTA(H$5:H206)</f>
        <v>6.4356435643564358E-2</v>
      </c>
      <c r="K206" s="16">
        <f>AVERAGE(F$5:F206)</f>
        <v>2.1326732673267328</v>
      </c>
      <c r="L206" s="16">
        <f>SUM(F$5:F206)/SUM(E$5:E206)</f>
        <v>0.7268432596591865</v>
      </c>
    </row>
    <row r="207" spans="1:13" x14ac:dyDescent="0.25">
      <c r="A207" s="29">
        <v>45659</v>
      </c>
      <c r="B207" s="16" t="s">
        <v>253</v>
      </c>
      <c r="C207" s="34">
        <v>1</v>
      </c>
      <c r="D207" s="16" t="s">
        <v>56</v>
      </c>
      <c r="E207" s="35">
        <v>4.5999999999999996</v>
      </c>
      <c r="F207" s="35">
        <v>3.2</v>
      </c>
      <c r="G207" s="16" t="s">
        <v>44</v>
      </c>
      <c r="H207" s="16" t="s">
        <v>45</v>
      </c>
      <c r="I207" s="16">
        <f>COUNTIF(G$5:G207,"Y")/COUNTA(G$5:G207)</f>
        <v>0.85221674876847286</v>
      </c>
      <c r="J207" s="16">
        <f>COUNTIF(H$5:H207,"Y")/COUNTA(H$5:H207)</f>
        <v>6.4039408866995079E-2</v>
      </c>
      <c r="K207" s="16">
        <f>AVERAGE(F$5:F207)</f>
        <v>2.1379310344827585</v>
      </c>
      <c r="L207" s="16">
        <f>SUM(F$5:F207)/SUM(E$5:E207)</f>
        <v>0.72660304704503564</v>
      </c>
    </row>
    <row r="208" spans="1:13" x14ac:dyDescent="0.25">
      <c r="A208" s="29">
        <v>45660</v>
      </c>
      <c r="B208" s="16" t="s">
        <v>254</v>
      </c>
      <c r="C208" s="34">
        <v>1</v>
      </c>
      <c r="D208" s="16" t="s">
        <v>47</v>
      </c>
      <c r="E208" s="35">
        <v>2.2000000000000002</v>
      </c>
      <c r="F208" s="35">
        <v>1.9</v>
      </c>
      <c r="G208" s="16" t="s">
        <v>44</v>
      </c>
      <c r="H208" s="16" t="s">
        <v>45</v>
      </c>
      <c r="I208" s="16">
        <f>COUNTIF(G$5:G208,"Y")/COUNTA(G$5:G208)</f>
        <v>0.8529411764705882</v>
      </c>
      <c r="J208" s="16">
        <f>COUNTIF(H$5:H208,"Y")/COUNTA(H$5:H208)</f>
        <v>6.3725490196078427E-2</v>
      </c>
      <c r="K208" s="16">
        <f>AVERAGE(F$5:F208)</f>
        <v>2.1367647058823529</v>
      </c>
      <c r="L208" s="16">
        <f>SUM(F$5:F208)/SUM(E$5:E208)</f>
        <v>0.72710592160133403</v>
      </c>
    </row>
    <row r="209" spans="1:12" x14ac:dyDescent="0.25">
      <c r="A209" s="29">
        <v>45656</v>
      </c>
      <c r="B209" s="16" t="s">
        <v>255</v>
      </c>
      <c r="C209" s="34">
        <v>1</v>
      </c>
      <c r="D209" s="16" t="s">
        <v>60</v>
      </c>
      <c r="E209" s="35">
        <v>2.7</v>
      </c>
      <c r="F209" s="35">
        <v>2.2000000000000002</v>
      </c>
      <c r="G209" s="16" t="s">
        <v>44</v>
      </c>
      <c r="H209" s="16" t="s">
        <v>45</v>
      </c>
      <c r="I209" s="16">
        <f>COUNTIF(G$5:G209,"Y")/COUNTA(G$5:G209)</f>
        <v>0.85365853658536583</v>
      </c>
      <c r="J209" s="16">
        <f>COUNTIF(H$5:H209,"Y")/COUNTA(H$5:H209)</f>
        <v>6.3414634146341464E-2</v>
      </c>
      <c r="K209" s="16">
        <f>AVERAGE(F$5:F209)</f>
        <v>2.137073170731707</v>
      </c>
      <c r="L209" s="16">
        <f>SUM(F$5:F209)/SUM(E$5:E209)</f>
        <v>0.72749916971105888</v>
      </c>
    </row>
    <row r="210" spans="1:12" x14ac:dyDescent="0.25">
      <c r="A210" s="29">
        <v>45657</v>
      </c>
      <c r="B210" s="16" t="s">
        <v>256</v>
      </c>
      <c r="C210" s="34">
        <v>1</v>
      </c>
      <c r="D210" s="16" t="s">
        <v>52</v>
      </c>
      <c r="E210" s="35">
        <v>4</v>
      </c>
      <c r="F210" s="35">
        <v>3.3</v>
      </c>
      <c r="G210" s="16" t="s">
        <v>44</v>
      </c>
      <c r="H210" s="16" t="s">
        <v>45</v>
      </c>
      <c r="I210" s="16">
        <f>COUNTIF(G$5:G210,"Y")/COUNTA(G$5:G210)</f>
        <v>0.85436893203883491</v>
      </c>
      <c r="J210" s="16">
        <f>COUNTIF(H$5:H210,"Y")/COUNTA(H$5:H210)</f>
        <v>6.3106796116504854E-2</v>
      </c>
      <c r="K210" s="16">
        <f>AVERAGE(F$5:F210)</f>
        <v>2.1427184466019416</v>
      </c>
      <c r="L210" s="16">
        <f>SUM(F$5:F210)/SUM(E$5:E210)</f>
        <v>0.72814252721873918</v>
      </c>
    </row>
    <row r="211" spans="1:12" x14ac:dyDescent="0.25">
      <c r="A211" s="29">
        <v>45658</v>
      </c>
      <c r="B211" s="16" t="s">
        <v>257</v>
      </c>
      <c r="C211" s="34">
        <v>1</v>
      </c>
      <c r="D211" s="16" t="s">
        <v>43</v>
      </c>
      <c r="E211" s="35">
        <v>5.0999999999999996</v>
      </c>
      <c r="F211" s="35">
        <v>3.6</v>
      </c>
      <c r="G211" s="16" t="s">
        <v>45</v>
      </c>
      <c r="H211" s="16" t="s">
        <v>45</v>
      </c>
      <c r="I211" s="16">
        <f>COUNTIF(G$5:G211,"Y")/COUNTA(G$5:G211)</f>
        <v>0.85024154589371981</v>
      </c>
      <c r="J211" s="16">
        <f>COUNTIF(H$5:H211,"Y")/COUNTA(H$5:H211)</f>
        <v>6.280193236714976E-2</v>
      </c>
      <c r="K211" s="16">
        <f>AVERAGE(F$5:F211)</f>
        <v>2.1497584541062804</v>
      </c>
      <c r="L211" s="16">
        <f>SUM(F$5:F211)/SUM(E$5:E211)</f>
        <v>0.72795681334860085</v>
      </c>
    </row>
    <row r="212" spans="1:12" x14ac:dyDescent="0.25">
      <c r="A212" s="29">
        <v>45659</v>
      </c>
      <c r="B212" s="16" t="s">
        <v>258</v>
      </c>
      <c r="C212" s="34">
        <v>1</v>
      </c>
      <c r="D212" s="16" t="s">
        <v>60</v>
      </c>
      <c r="E212" s="35">
        <v>2.2999999999999998</v>
      </c>
      <c r="F212" s="35">
        <v>1.5</v>
      </c>
      <c r="G212" s="16" t="s">
        <v>45</v>
      </c>
      <c r="H212" s="16" t="s">
        <v>45</v>
      </c>
      <c r="I212" s="16">
        <f>COUNTIF(G$5:G212,"Y")/COUNTA(G$5:G212)</f>
        <v>0.84615384615384615</v>
      </c>
      <c r="J212" s="16">
        <f>COUNTIF(H$5:H212,"Y")/COUNTA(H$5:H212)</f>
        <v>6.25E-2</v>
      </c>
      <c r="K212" s="16">
        <f>AVERAGE(F$5:F212)</f>
        <v>2.1466346153846154</v>
      </c>
      <c r="L212" s="16">
        <f>SUM(F$5:F212)/SUM(E$5:E212)</f>
        <v>0.72767275097783535</v>
      </c>
    </row>
    <row r="213" spans="1:12" x14ac:dyDescent="0.25">
      <c r="A213" s="29">
        <v>45660</v>
      </c>
      <c r="B213" s="16" t="s">
        <v>259</v>
      </c>
      <c r="C213" s="34">
        <v>1</v>
      </c>
      <c r="D213" s="16" t="s">
        <v>64</v>
      </c>
      <c r="E213" s="35">
        <v>2.6</v>
      </c>
      <c r="F213" s="35">
        <v>1.8</v>
      </c>
      <c r="G213" s="16" t="s">
        <v>44</v>
      </c>
      <c r="H213" s="16" t="s">
        <v>45</v>
      </c>
      <c r="I213" s="16">
        <f>COUNTIF(G$5:G213,"Y")/COUNTA(G$5:G213)</f>
        <v>0.84688995215311003</v>
      </c>
      <c r="J213" s="16">
        <f>COUNTIF(H$5:H213,"Y")/COUNTA(H$5:H213)</f>
        <v>6.2200956937799042E-2</v>
      </c>
      <c r="K213" s="16">
        <f>AVERAGE(F$5:F213)</f>
        <v>2.1449760765550239</v>
      </c>
      <c r="L213" s="16">
        <f>SUM(F$5:F213)/SUM(E$5:E213)</f>
        <v>0.72752353132099923</v>
      </c>
    </row>
    <row r="214" spans="1:12" x14ac:dyDescent="0.25">
      <c r="A214" s="29">
        <v>45656</v>
      </c>
      <c r="B214" s="16" t="s">
        <v>260</v>
      </c>
      <c r="C214" s="34">
        <v>1</v>
      </c>
      <c r="D214" s="16" t="s">
        <v>56</v>
      </c>
      <c r="E214" s="35">
        <v>3</v>
      </c>
      <c r="F214" s="35">
        <v>2.2000000000000002</v>
      </c>
      <c r="G214" s="16" t="s">
        <v>44</v>
      </c>
      <c r="H214" s="16" t="s">
        <v>44</v>
      </c>
      <c r="I214" s="16">
        <f>COUNTIF(G$5:G214,"Y")/COUNTA(G$5:G214)</f>
        <v>0.84761904761904761</v>
      </c>
      <c r="J214" s="16">
        <f>COUNTIF(H$5:H214,"Y")/COUNTA(H$5:H214)</f>
        <v>6.6666666666666666E-2</v>
      </c>
      <c r="K214" s="16">
        <f>AVERAGE(F$5:F214)</f>
        <v>2.1452380952380952</v>
      </c>
      <c r="L214" s="16">
        <f>SUM(F$5:F214)/SUM(E$5:E214)</f>
        <v>0.72755167958656286</v>
      </c>
    </row>
    <row r="215" spans="1:12" x14ac:dyDescent="0.25">
      <c r="A215" s="29">
        <v>45657</v>
      </c>
      <c r="B215" s="16" t="s">
        <v>261</v>
      </c>
      <c r="C215" s="34">
        <v>1</v>
      </c>
      <c r="D215" s="16" t="s">
        <v>43</v>
      </c>
      <c r="E215" s="35">
        <v>3.1</v>
      </c>
      <c r="F215" s="35">
        <v>2.2999999999999998</v>
      </c>
      <c r="G215" s="16" t="s">
        <v>44</v>
      </c>
      <c r="H215" s="16" t="s">
        <v>45</v>
      </c>
      <c r="I215" s="16">
        <f>COUNTIF(G$5:G215,"Y")/COUNTA(G$5:G215)</f>
        <v>0.84834123222748814</v>
      </c>
      <c r="J215" s="16">
        <f>COUNTIF(H$5:H215,"Y")/COUNTA(H$5:H215)</f>
        <v>6.6350710900473939E-2</v>
      </c>
      <c r="K215" s="16">
        <f>AVERAGE(F$5:F215)</f>
        <v>2.1459715639810426</v>
      </c>
      <c r="L215" s="16">
        <f>SUM(F$5:F215)/SUM(E$5:E215)</f>
        <v>0.72762333279768554</v>
      </c>
    </row>
    <row r="216" spans="1:12" x14ac:dyDescent="0.25">
      <c r="A216" s="29">
        <v>45658</v>
      </c>
      <c r="B216" s="16" t="s">
        <v>262</v>
      </c>
      <c r="C216" s="34">
        <v>1</v>
      </c>
      <c r="D216" s="16" t="s">
        <v>60</v>
      </c>
      <c r="E216" s="35">
        <v>1.7</v>
      </c>
      <c r="F216" s="35">
        <v>1.4</v>
      </c>
      <c r="G216" s="16" t="s">
        <v>44</v>
      </c>
      <c r="H216" s="16" t="s">
        <v>45</v>
      </c>
      <c r="I216" s="16">
        <f>COUNTIF(G$5:G216,"Y")/COUNTA(G$5:G216)</f>
        <v>0.84905660377358494</v>
      </c>
      <c r="J216" s="16">
        <f>COUNTIF(H$5:H216,"Y")/COUNTA(H$5:H216)</f>
        <v>6.6037735849056603E-2</v>
      </c>
      <c r="K216" s="16">
        <f>AVERAGE(F$5:F216)</f>
        <v>2.1424528301886792</v>
      </c>
      <c r="L216" s="16">
        <f>SUM(F$5:F216)/SUM(E$5:E216)</f>
        <v>0.7278846153846148</v>
      </c>
    </row>
    <row r="217" spans="1:12" x14ac:dyDescent="0.25">
      <c r="A217" s="29">
        <v>45659</v>
      </c>
      <c r="B217" s="16" t="s">
        <v>263</v>
      </c>
      <c r="C217" s="34">
        <v>1</v>
      </c>
      <c r="D217" s="16" t="s">
        <v>56</v>
      </c>
      <c r="E217" s="35">
        <v>3.9</v>
      </c>
      <c r="F217" s="35">
        <v>2.7</v>
      </c>
      <c r="G217" s="16" t="s">
        <v>45</v>
      </c>
      <c r="H217" s="16" t="s">
        <v>45</v>
      </c>
      <c r="I217" s="16">
        <f>COUNTIF(G$5:G217,"Y")/COUNTA(G$5:G217)</f>
        <v>0.84507042253521125</v>
      </c>
      <c r="J217" s="16">
        <f>COUNTIF(H$5:H217,"Y")/COUNTA(H$5:H217)</f>
        <v>6.5727699530516437E-2</v>
      </c>
      <c r="K217" s="16">
        <f>AVERAGE(F$5:F217)</f>
        <v>2.1450704225352113</v>
      </c>
      <c r="L217" s="16">
        <f>SUM(F$5:F217)/SUM(E$5:E217)</f>
        <v>0.72766364070711842</v>
      </c>
    </row>
    <row r="218" spans="1:12" x14ac:dyDescent="0.25">
      <c r="A218" s="29">
        <v>45660</v>
      </c>
      <c r="B218" s="16" t="s">
        <v>264</v>
      </c>
      <c r="C218" s="34">
        <v>1</v>
      </c>
      <c r="D218" s="16" t="s">
        <v>56</v>
      </c>
      <c r="E218" s="35">
        <v>1.7</v>
      </c>
      <c r="F218" s="35">
        <v>1.4</v>
      </c>
      <c r="G218" s="16" t="s">
        <v>44</v>
      </c>
      <c r="H218" s="16" t="s">
        <v>45</v>
      </c>
      <c r="I218" s="16">
        <f>COUNTIF(G$5:G218,"Y")/COUNTA(G$5:G218)</f>
        <v>0.84579439252336452</v>
      </c>
      <c r="J218" s="16">
        <f>COUNTIF(H$5:H218,"Y")/COUNTA(H$5:H218)</f>
        <v>6.5420560747663545E-2</v>
      </c>
      <c r="K218" s="16">
        <f>AVERAGE(F$5:F218)</f>
        <v>2.1415887850467286</v>
      </c>
      <c r="L218" s="16">
        <f>SUM(F$5:F218)/SUM(E$5:E218)</f>
        <v>0.72792249047013913</v>
      </c>
    </row>
    <row r="219" spans="1:12" x14ac:dyDescent="0.25">
      <c r="A219" s="29">
        <v>45656</v>
      </c>
      <c r="B219" s="16" t="s">
        <v>265</v>
      </c>
      <c r="C219" s="34">
        <v>1</v>
      </c>
      <c r="D219" s="16" t="s">
        <v>43</v>
      </c>
      <c r="E219" s="35">
        <v>4.8</v>
      </c>
      <c r="F219" s="35">
        <v>3.2</v>
      </c>
      <c r="G219" s="16" t="s">
        <v>44</v>
      </c>
      <c r="H219" s="16" t="s">
        <v>45</v>
      </c>
      <c r="I219" s="16">
        <f>COUNTIF(G$5:G219,"Y")/COUNTA(G$5:G219)</f>
        <v>0.84651162790697676</v>
      </c>
      <c r="J219" s="16">
        <f>COUNTIF(H$5:H219,"Y")/COUNTA(H$5:H219)</f>
        <v>6.5116279069767441E-2</v>
      </c>
      <c r="K219" s="16">
        <f>AVERAGE(F$5:F219)</f>
        <v>2.1465116279069765</v>
      </c>
      <c r="L219" s="16">
        <f>SUM(F$5:F219)/SUM(E$5:E219)</f>
        <v>0.72745901639344202</v>
      </c>
    </row>
    <row r="220" spans="1:12" x14ac:dyDescent="0.25">
      <c r="A220" s="29">
        <v>45657</v>
      </c>
      <c r="B220" s="16" t="s">
        <v>266</v>
      </c>
      <c r="C220" s="34">
        <v>1</v>
      </c>
      <c r="D220" s="16" t="s">
        <v>64</v>
      </c>
      <c r="E220" s="35">
        <v>2.9</v>
      </c>
      <c r="F220" s="35">
        <v>2</v>
      </c>
      <c r="G220" s="16" t="s">
        <v>44</v>
      </c>
      <c r="H220" s="16" t="s">
        <v>45</v>
      </c>
      <c r="I220" s="16">
        <f>COUNTIF(G$5:G220,"Y")/COUNTA(G$5:G220)</f>
        <v>0.84722222222222221</v>
      </c>
      <c r="J220" s="16">
        <f>COUNTIF(H$5:H220,"Y")/COUNTA(H$5:H220)</f>
        <v>6.4814814814814811E-2</v>
      </c>
      <c r="K220" s="16">
        <f>AVERAGE(F$5:F220)</f>
        <v>2.145833333333333</v>
      </c>
      <c r="L220" s="16">
        <f>SUM(F$5:F220)/SUM(E$5:E220)</f>
        <v>0.72728699199748881</v>
      </c>
    </row>
    <row r="221" spans="1:12" x14ac:dyDescent="0.25">
      <c r="A221" s="29">
        <v>45658</v>
      </c>
      <c r="B221" s="16" t="s">
        <v>267</v>
      </c>
      <c r="C221" s="34">
        <v>1</v>
      </c>
      <c r="D221" s="16" t="s">
        <v>50</v>
      </c>
      <c r="E221" s="35">
        <v>2.1</v>
      </c>
      <c r="F221" s="35">
        <v>1.8</v>
      </c>
      <c r="G221" s="16" t="s">
        <v>45</v>
      </c>
      <c r="H221" s="16" t="s">
        <v>45</v>
      </c>
      <c r="I221" s="16">
        <f>COUNTIF(G$5:G221,"Y")/COUNTA(G$5:G221)</f>
        <v>0.84331797235023043</v>
      </c>
      <c r="J221" s="16">
        <f>COUNTIF(H$5:H221,"Y")/COUNTA(H$5:H221)</f>
        <v>6.4516129032258063E-2</v>
      </c>
      <c r="K221" s="16">
        <f>AVERAGE(F$5:F221)</f>
        <v>2.1442396313364052</v>
      </c>
      <c r="L221" s="16">
        <f>SUM(F$5:F221)/SUM(E$5:E221)</f>
        <v>0.72771348138880143</v>
      </c>
    </row>
    <row r="222" spans="1:12" x14ac:dyDescent="0.25">
      <c r="A222" s="29">
        <v>45659</v>
      </c>
      <c r="B222" s="16" t="s">
        <v>268</v>
      </c>
      <c r="C222" s="34">
        <v>1</v>
      </c>
      <c r="D222" s="16" t="s">
        <v>43</v>
      </c>
      <c r="E222" s="35">
        <v>4.5</v>
      </c>
      <c r="F222" s="35">
        <v>3</v>
      </c>
      <c r="G222" s="16" t="s">
        <v>44</v>
      </c>
      <c r="H222" s="16" t="s">
        <v>45</v>
      </c>
      <c r="I222" s="16">
        <f>COUNTIF(G$5:G222,"Y")/COUNTA(G$5:G222)</f>
        <v>0.84403669724770647</v>
      </c>
      <c r="J222" s="16">
        <f>COUNTIF(H$5:H222,"Y")/COUNTA(H$5:H222)</f>
        <v>6.4220183486238536E-2</v>
      </c>
      <c r="K222" s="16">
        <f>AVERAGE(F$5:F222)</f>
        <v>2.1481651376146789</v>
      </c>
      <c r="L222" s="16">
        <f>SUM(F$5:F222)/SUM(E$5:E222)</f>
        <v>0.72728684578350622</v>
      </c>
    </row>
    <row r="223" spans="1:12" x14ac:dyDescent="0.25">
      <c r="A223" s="29">
        <v>45660</v>
      </c>
      <c r="B223" s="16" t="s">
        <v>269</v>
      </c>
      <c r="C223" s="34">
        <v>1</v>
      </c>
      <c r="D223" s="16" t="s">
        <v>50</v>
      </c>
      <c r="E223" s="35">
        <v>3.7</v>
      </c>
      <c r="F223" s="35">
        <v>2.6</v>
      </c>
      <c r="G223" s="16" t="s">
        <v>44</v>
      </c>
      <c r="H223" s="16" t="s">
        <v>45</v>
      </c>
      <c r="I223" s="16">
        <f>COUNTIF(G$5:G223,"Y")/COUNTA(G$5:G223)</f>
        <v>0.84474885844748859</v>
      </c>
      <c r="J223" s="16">
        <f>COUNTIF(H$5:H223,"Y")/COUNTA(H$5:H223)</f>
        <v>6.3926940639269403E-2</v>
      </c>
      <c r="K223" s="16">
        <f>AVERAGE(F$5:F223)</f>
        <v>2.1502283105022828</v>
      </c>
      <c r="L223" s="16">
        <f>SUM(F$5:F223)/SUM(E$5:E223)</f>
        <v>0.72714638665843057</v>
      </c>
    </row>
    <row r="224" spans="1:12" x14ac:dyDescent="0.25">
      <c r="A224" s="29">
        <v>45656</v>
      </c>
      <c r="B224" s="16" t="s">
        <v>270</v>
      </c>
      <c r="C224" s="34">
        <v>1</v>
      </c>
      <c r="D224" s="16" t="s">
        <v>64</v>
      </c>
      <c r="E224" s="35">
        <v>4.5</v>
      </c>
      <c r="F224" s="35">
        <v>3.4</v>
      </c>
      <c r="G224" s="16" t="s">
        <v>44</v>
      </c>
      <c r="H224" s="16" t="s">
        <v>45</v>
      </c>
      <c r="I224" s="16">
        <f>COUNTIF(G$5:G224,"Y")/COUNTA(G$5:G224)</f>
        <v>0.84545454545454546</v>
      </c>
      <c r="J224" s="16">
        <f>COUNTIF(H$5:H224,"Y")/COUNTA(H$5:H224)</f>
        <v>6.363636363636363E-2</v>
      </c>
      <c r="K224" s="16">
        <f>AVERAGE(F$5:F224)</f>
        <v>2.1559090909090908</v>
      </c>
      <c r="L224" s="16">
        <f>SUM(F$5:F224)/SUM(E$5:E224)</f>
        <v>0.72734243214230887</v>
      </c>
    </row>
    <row r="225" spans="1:13" x14ac:dyDescent="0.25">
      <c r="A225" s="29">
        <v>45657</v>
      </c>
      <c r="B225" s="16" t="s">
        <v>271</v>
      </c>
      <c r="C225" s="34">
        <v>1</v>
      </c>
      <c r="D225" s="16" t="s">
        <v>47</v>
      </c>
      <c r="E225" s="35">
        <v>1.2</v>
      </c>
      <c r="F225" s="35">
        <v>0.9</v>
      </c>
      <c r="G225" s="16" t="s">
        <v>44</v>
      </c>
      <c r="H225" s="16" t="s">
        <v>45</v>
      </c>
      <c r="I225" s="16">
        <f>COUNTIF(G$5:G225,"Y")/COUNTA(G$5:G225)</f>
        <v>0.84615384615384615</v>
      </c>
      <c r="J225" s="16">
        <f>COUNTIF(H$5:H225,"Y")/COUNTA(H$5:H225)</f>
        <v>6.3348416289592757E-2</v>
      </c>
      <c r="K225" s="16">
        <f>AVERAGE(F$5:F225)</f>
        <v>2.1502262443438913</v>
      </c>
      <c r="L225" s="16">
        <f>SUM(F$5:F225)/SUM(E$5:E225)</f>
        <v>0.72738405020664254</v>
      </c>
    </row>
    <row r="226" spans="1:13" x14ac:dyDescent="0.25">
      <c r="A226" s="29">
        <v>45658</v>
      </c>
      <c r="B226" s="16" t="s">
        <v>272</v>
      </c>
      <c r="C226" s="34">
        <v>1</v>
      </c>
      <c r="D226" s="16" t="s">
        <v>52</v>
      </c>
      <c r="E226" s="35">
        <v>0.7</v>
      </c>
      <c r="F226" s="35">
        <v>0.5</v>
      </c>
      <c r="G226" s="16" t="s">
        <v>44</v>
      </c>
      <c r="H226" s="16" t="s">
        <v>45</v>
      </c>
      <c r="I226" s="16">
        <f>COUNTIF(G$5:G226,"Y")/COUNTA(G$5:G226)</f>
        <v>0.84684684684684686</v>
      </c>
      <c r="J226" s="16">
        <f>COUNTIF(H$5:H226,"Y")/COUNTA(H$5:H226)</f>
        <v>6.3063063063063057E-2</v>
      </c>
      <c r="K226" s="16">
        <f>AVERAGE(F$5:F226)</f>
        <v>2.1427927927927923</v>
      </c>
      <c r="L226" s="16">
        <f>SUM(F$5:F226)/SUM(E$5:E226)</f>
        <v>0.727370030581039</v>
      </c>
    </row>
    <row r="227" spans="1:13" x14ac:dyDescent="0.25">
      <c r="A227" s="29">
        <v>45659</v>
      </c>
      <c r="B227" s="16" t="s">
        <v>273</v>
      </c>
      <c r="C227" s="34">
        <v>1</v>
      </c>
      <c r="D227" s="16" t="s">
        <v>43</v>
      </c>
      <c r="E227" s="35">
        <v>0.8</v>
      </c>
      <c r="F227" s="35">
        <v>0.5</v>
      </c>
      <c r="G227" s="16" t="s">
        <v>44</v>
      </c>
      <c r="H227" s="16" t="s">
        <v>45</v>
      </c>
      <c r="I227" s="16">
        <f>COUNTIF(G$5:G227,"Y")/COUNTA(G$5:G227)</f>
        <v>0.84753363228699552</v>
      </c>
      <c r="J227" s="16">
        <f>COUNTIF(H$5:H227,"Y")/COUNTA(H$5:H227)</f>
        <v>6.2780269058295965E-2</v>
      </c>
      <c r="K227" s="16">
        <f>AVERAGE(F$5:F227)</f>
        <v>2.1354260089686097</v>
      </c>
      <c r="L227" s="16">
        <f>SUM(F$5:F227)/SUM(E$5:E227)</f>
        <v>0.72724496029321861</v>
      </c>
    </row>
    <row r="228" spans="1:13" x14ac:dyDescent="0.25">
      <c r="A228" s="29">
        <v>45660</v>
      </c>
      <c r="B228" s="16" t="s">
        <v>274</v>
      </c>
      <c r="C228" s="34">
        <v>1</v>
      </c>
      <c r="D228" s="16" t="s">
        <v>50</v>
      </c>
      <c r="E228" s="35">
        <v>0.7</v>
      </c>
      <c r="F228" s="35">
        <v>0.5</v>
      </c>
      <c r="G228" s="16" t="s">
        <v>44</v>
      </c>
      <c r="H228" s="16" t="s">
        <v>45</v>
      </c>
      <c r="I228" s="16">
        <f>COUNTIF(G$5:G228,"Y")/COUNTA(G$5:G228)</f>
        <v>0.8482142857142857</v>
      </c>
      <c r="J228" s="16">
        <f>COUNTIF(H$5:H228,"Y")/COUNTA(H$5:H228)</f>
        <v>6.25E-2</v>
      </c>
      <c r="K228" s="16">
        <f>AVERAGE(F$5:F228)</f>
        <v>2.1281249999999998</v>
      </c>
      <c r="L228" s="16">
        <f>SUM(F$5:F228)/SUM(E$5:E228)</f>
        <v>0.72723112128146383</v>
      </c>
      <c r="M228" s="16">
        <v>17</v>
      </c>
    </row>
    <row r="229" spans="1:13" x14ac:dyDescent="0.25">
      <c r="A229" s="29">
        <v>45663</v>
      </c>
      <c r="B229" s="16" t="s">
        <v>275</v>
      </c>
      <c r="C229" s="34">
        <v>1</v>
      </c>
      <c r="D229" s="16" t="s">
        <v>47</v>
      </c>
      <c r="E229" s="35">
        <v>3.6</v>
      </c>
      <c r="F229" s="35">
        <v>3</v>
      </c>
      <c r="G229" s="16" t="s">
        <v>44</v>
      </c>
      <c r="H229" s="16" t="s">
        <v>45</v>
      </c>
      <c r="I229" s="16">
        <f>COUNTIF(G$5:G229,"Y")/COUNTA(G$5:G229)</f>
        <v>0.84888888888888892</v>
      </c>
      <c r="J229" s="16">
        <f>COUNTIF(H$5:H229,"Y")/COUNTA(H$5:H229)</f>
        <v>6.222222222222222E-2</v>
      </c>
      <c r="K229" s="16">
        <f>AVERAGE(F$5:F229)</f>
        <v>2.1319999999999997</v>
      </c>
      <c r="L229" s="16">
        <f>SUM(F$5:F229)/SUM(E$5:E229)</f>
        <v>0.72781065088757324</v>
      </c>
    </row>
    <row r="230" spans="1:13" x14ac:dyDescent="0.25">
      <c r="A230" s="29">
        <v>45664</v>
      </c>
      <c r="B230" s="16" t="s">
        <v>276</v>
      </c>
      <c r="C230" s="34">
        <v>1</v>
      </c>
      <c r="D230" s="16" t="s">
        <v>52</v>
      </c>
      <c r="E230" s="35">
        <v>3.1</v>
      </c>
      <c r="F230" s="35">
        <v>2.4</v>
      </c>
      <c r="G230" s="16" t="s">
        <v>44</v>
      </c>
      <c r="H230" s="16" t="s">
        <v>45</v>
      </c>
      <c r="I230" s="16">
        <f>COUNTIF(G$5:G230,"Y")/COUNTA(G$5:G230)</f>
        <v>0.84955752212389379</v>
      </c>
      <c r="J230" s="16">
        <f>COUNTIF(H$5:H230,"Y")/COUNTA(H$5:H230)</f>
        <v>6.1946902654867256E-2</v>
      </c>
      <c r="K230" s="16">
        <f>AVERAGE(F$5:F230)</f>
        <v>2.1331858407079642</v>
      </c>
      <c r="L230" s="16">
        <f>SUM(F$5:F230)/SUM(E$5:E230)</f>
        <v>0.72802778616732022</v>
      </c>
    </row>
    <row r="231" spans="1:13" x14ac:dyDescent="0.25">
      <c r="A231" s="29">
        <v>45665</v>
      </c>
      <c r="B231" s="16" t="s">
        <v>277</v>
      </c>
      <c r="C231" s="34">
        <v>1</v>
      </c>
      <c r="D231" s="16" t="s">
        <v>52</v>
      </c>
      <c r="E231" s="35">
        <v>3.9</v>
      </c>
      <c r="F231" s="35">
        <v>2.8</v>
      </c>
      <c r="G231" s="16" t="s">
        <v>44</v>
      </c>
      <c r="H231" s="16" t="s">
        <v>45</v>
      </c>
      <c r="I231" s="16">
        <f>COUNTIF(G$5:G231,"Y")/COUNTA(G$5:G231)</f>
        <v>0.85022026431718056</v>
      </c>
      <c r="J231" s="16">
        <f>COUNTIF(H$5:H231,"Y")/COUNTA(H$5:H231)</f>
        <v>6.1674008810572688E-2</v>
      </c>
      <c r="K231" s="16">
        <f>AVERAGE(F$5:F231)</f>
        <v>2.1361233480176209</v>
      </c>
      <c r="L231" s="16">
        <f>SUM(F$5:F231)/SUM(E$5:E231)</f>
        <v>0.72796877345743805</v>
      </c>
    </row>
    <row r="232" spans="1:13" x14ac:dyDescent="0.25">
      <c r="A232" s="29">
        <v>45666</v>
      </c>
      <c r="B232" s="16" t="s">
        <v>278</v>
      </c>
      <c r="C232" s="34">
        <v>1</v>
      </c>
      <c r="D232" s="16" t="s">
        <v>60</v>
      </c>
      <c r="E232" s="35">
        <v>2.9</v>
      </c>
      <c r="F232" s="35">
        <v>2.2999999999999998</v>
      </c>
      <c r="G232" s="16" t="s">
        <v>44</v>
      </c>
      <c r="H232" s="16" t="s">
        <v>45</v>
      </c>
      <c r="I232" s="16">
        <f>COUNTIF(G$5:G232,"Y")/COUNTA(G$5:G232)</f>
        <v>0.85087719298245612</v>
      </c>
      <c r="J232" s="16">
        <f>COUNTIF(H$5:H232,"Y")/COUNTA(H$5:H232)</f>
        <v>6.1403508771929821E-2</v>
      </c>
      <c r="K232" s="16">
        <f>AVERAGE(F$5:F232)</f>
        <v>2.1368421052631574</v>
      </c>
      <c r="L232" s="16">
        <f>SUM(F$5:F232)/SUM(E$5:E232)</f>
        <v>0.72825112107623247</v>
      </c>
    </row>
    <row r="233" spans="1:13" x14ac:dyDescent="0.25">
      <c r="A233" s="29">
        <v>45667</v>
      </c>
      <c r="B233" s="16" t="s">
        <v>279</v>
      </c>
      <c r="C233" s="34">
        <v>1</v>
      </c>
      <c r="D233" s="16" t="s">
        <v>56</v>
      </c>
      <c r="E233" s="35">
        <v>4.3</v>
      </c>
      <c r="F233" s="35">
        <v>3.5</v>
      </c>
      <c r="G233" s="16" t="s">
        <v>44</v>
      </c>
      <c r="H233" s="16" t="s">
        <v>45</v>
      </c>
      <c r="I233" s="16">
        <f>COUNTIF(G$5:G233,"Y")/COUNTA(G$5:G233)</f>
        <v>0.85152838427947597</v>
      </c>
      <c r="J233" s="16">
        <f>COUNTIF(H$5:H233,"Y")/COUNTA(H$5:H233)</f>
        <v>6.1135371179039298E-2</v>
      </c>
      <c r="K233" s="16">
        <f>AVERAGE(F$5:F233)</f>
        <v>2.1427947598253274</v>
      </c>
      <c r="L233" s="16">
        <f>SUM(F$5:F233)/SUM(E$5:E233)</f>
        <v>0.72879845536907706</v>
      </c>
    </row>
    <row r="234" spans="1:13" x14ac:dyDescent="0.25">
      <c r="A234" s="29">
        <v>45663</v>
      </c>
      <c r="B234" s="16" t="s">
        <v>280</v>
      </c>
      <c r="C234" s="34">
        <v>1</v>
      </c>
      <c r="D234" s="16" t="s">
        <v>60</v>
      </c>
      <c r="E234" s="35">
        <v>2.9</v>
      </c>
      <c r="F234" s="35">
        <v>2.2000000000000002</v>
      </c>
      <c r="G234" s="16" t="s">
        <v>44</v>
      </c>
      <c r="H234" s="16" t="s">
        <v>45</v>
      </c>
      <c r="I234" s="16">
        <f>COUNTIF(G$5:G234,"Y")/COUNTA(G$5:G234)</f>
        <v>0.85217391304347823</v>
      </c>
      <c r="J234" s="16">
        <f>COUNTIF(H$5:H234,"Y")/COUNTA(H$5:H234)</f>
        <v>6.0869565217391307E-2</v>
      </c>
      <c r="K234" s="16">
        <f>AVERAGE(F$5:F234)</f>
        <v>2.1430434782608692</v>
      </c>
      <c r="L234" s="16">
        <f>SUM(F$5:F234)/SUM(E$5:E234)</f>
        <v>0.72892635314995502</v>
      </c>
    </row>
    <row r="235" spans="1:13" x14ac:dyDescent="0.25">
      <c r="A235" s="29">
        <v>45664</v>
      </c>
      <c r="B235" s="16" t="s">
        <v>281</v>
      </c>
      <c r="C235" s="34">
        <v>1</v>
      </c>
      <c r="D235" s="16" t="s">
        <v>56</v>
      </c>
      <c r="E235" s="35">
        <v>2.5</v>
      </c>
      <c r="F235" s="35">
        <v>1.8</v>
      </c>
      <c r="G235" s="16" t="s">
        <v>44</v>
      </c>
      <c r="H235" s="16" t="s">
        <v>45</v>
      </c>
      <c r="I235" s="16">
        <f>COUNTIF(G$5:G235,"Y")/COUNTA(G$5:G235)</f>
        <v>0.8528138528138528</v>
      </c>
      <c r="J235" s="16">
        <f>COUNTIF(H$5:H235,"Y")/COUNTA(H$5:H235)</f>
        <v>6.0606060606060608E-2</v>
      </c>
      <c r="K235" s="16">
        <f>AVERAGE(F$5:F235)</f>
        <v>2.1415584415584412</v>
      </c>
      <c r="L235" s="16">
        <f>SUM(F$5:F235)/SUM(E$5:E235)</f>
        <v>0.7288934728156764</v>
      </c>
    </row>
    <row r="236" spans="1:13" x14ac:dyDescent="0.25">
      <c r="A236" s="29">
        <v>45665</v>
      </c>
      <c r="B236" s="16" t="s">
        <v>282</v>
      </c>
      <c r="C236" s="34">
        <v>1</v>
      </c>
      <c r="D236" s="16" t="s">
        <v>52</v>
      </c>
      <c r="E236" s="35">
        <v>4.2</v>
      </c>
      <c r="F236" s="35">
        <v>2.7</v>
      </c>
      <c r="G236" s="16" t="s">
        <v>45</v>
      </c>
      <c r="H236" s="16" t="s">
        <v>45</v>
      </c>
      <c r="I236" s="16">
        <f>COUNTIF(G$5:G236,"Y")/COUNTA(G$5:G236)</f>
        <v>0.84913793103448276</v>
      </c>
      <c r="J236" s="16">
        <f>COUNTIF(H$5:H236,"Y")/COUNTA(H$5:H236)</f>
        <v>6.0344827586206899E-2</v>
      </c>
      <c r="K236" s="16">
        <f>AVERAGE(F$5:F236)</f>
        <v>2.1439655172413792</v>
      </c>
      <c r="L236" s="16">
        <f>SUM(F$5:F236)/SUM(E$5:E236)</f>
        <v>0.72836432859862277</v>
      </c>
    </row>
    <row r="237" spans="1:13" x14ac:dyDescent="0.25">
      <c r="A237" s="29">
        <v>45666</v>
      </c>
      <c r="B237" s="16" t="s">
        <v>283</v>
      </c>
      <c r="C237" s="34">
        <v>1</v>
      </c>
      <c r="D237" s="16" t="s">
        <v>52</v>
      </c>
      <c r="E237" s="35">
        <v>2.9</v>
      </c>
      <c r="F237" s="35">
        <v>1.9</v>
      </c>
      <c r="G237" s="16" t="s">
        <v>45</v>
      </c>
      <c r="H237" s="16" t="s">
        <v>44</v>
      </c>
      <c r="I237" s="16">
        <f>COUNTIF(G$5:G237,"Y")/COUNTA(G$5:G237)</f>
        <v>0.84549356223175964</v>
      </c>
      <c r="J237" s="16">
        <f>COUNTIF(H$5:H237,"Y")/COUNTA(H$5:H237)</f>
        <v>6.4377682403433473E-2</v>
      </c>
      <c r="K237" s="16">
        <f>AVERAGE(F$5:F237)</f>
        <v>2.1429184549356219</v>
      </c>
      <c r="L237" s="16">
        <f>SUM(F$5:F237)/SUM(E$5:E237)</f>
        <v>0.72805482648002262</v>
      </c>
    </row>
    <row r="238" spans="1:13" x14ac:dyDescent="0.25">
      <c r="A238" s="29">
        <v>45667</v>
      </c>
      <c r="B238" s="16" t="s">
        <v>284</v>
      </c>
      <c r="C238" s="34">
        <v>1</v>
      </c>
      <c r="D238" s="16" t="s">
        <v>56</v>
      </c>
      <c r="E238" s="35">
        <v>3.8</v>
      </c>
      <c r="F238" s="35">
        <v>3</v>
      </c>
      <c r="G238" s="16" t="s">
        <v>44</v>
      </c>
      <c r="H238" s="16" t="s">
        <v>45</v>
      </c>
      <c r="I238" s="16">
        <f>COUNTIF(G$5:G238,"Y")/COUNTA(G$5:G238)</f>
        <v>0.84615384615384615</v>
      </c>
      <c r="J238" s="16">
        <f>COUNTIF(H$5:H238,"Y")/COUNTA(H$5:H238)</f>
        <v>6.4102564102564097E-2</v>
      </c>
      <c r="K238" s="16">
        <f>AVERAGE(F$5:F238)</f>
        <v>2.1465811965811961</v>
      </c>
      <c r="L238" s="16">
        <f>SUM(F$5:F238)/SUM(E$5:E238)</f>
        <v>0.72839327146171629</v>
      </c>
    </row>
    <row r="239" spans="1:13" x14ac:dyDescent="0.25">
      <c r="A239" s="29">
        <v>45663</v>
      </c>
      <c r="B239" s="16" t="s">
        <v>285</v>
      </c>
      <c r="C239" s="34">
        <v>1</v>
      </c>
      <c r="D239" s="16" t="s">
        <v>50</v>
      </c>
      <c r="E239" s="35">
        <v>3.8</v>
      </c>
      <c r="F239" s="35">
        <v>2.7</v>
      </c>
      <c r="G239" s="16" t="s">
        <v>44</v>
      </c>
      <c r="H239" s="16" t="s">
        <v>45</v>
      </c>
      <c r="I239" s="16">
        <f>COUNTIF(G$5:G239,"Y")/COUNTA(G$5:G239)</f>
        <v>0.84680851063829787</v>
      </c>
      <c r="J239" s="16">
        <f>COUNTIF(H$5:H239,"Y")/COUNTA(H$5:H239)</f>
        <v>6.3829787234042548E-2</v>
      </c>
      <c r="K239" s="16">
        <f>AVERAGE(F$5:F239)</f>
        <v>2.1489361702127656</v>
      </c>
      <c r="L239" s="16">
        <f>SUM(F$5:F239)/SUM(E$5:E239)</f>
        <v>0.72829535621574781</v>
      </c>
    </row>
    <row r="240" spans="1:13" x14ac:dyDescent="0.25">
      <c r="A240" s="29">
        <v>45664</v>
      </c>
      <c r="B240" s="16" t="s">
        <v>286</v>
      </c>
      <c r="C240" s="34">
        <v>1</v>
      </c>
      <c r="D240" s="16" t="s">
        <v>52</v>
      </c>
      <c r="E240" s="35">
        <v>3.7</v>
      </c>
      <c r="F240" s="35">
        <v>3.2</v>
      </c>
      <c r="G240" s="16" t="s">
        <v>44</v>
      </c>
      <c r="H240" s="16" t="s">
        <v>45</v>
      </c>
      <c r="I240" s="16">
        <f>COUNTIF(G$5:G240,"Y")/COUNTA(G$5:G240)</f>
        <v>0.84745762711864403</v>
      </c>
      <c r="J240" s="16">
        <f>COUNTIF(H$5:H240,"Y")/COUNTA(H$5:H240)</f>
        <v>6.3559322033898302E-2</v>
      </c>
      <c r="K240" s="16">
        <f>AVERAGE(F$5:F240)</f>
        <v>2.1533898305084742</v>
      </c>
      <c r="L240" s="16">
        <f>SUM(F$5:F240)/SUM(E$5:E240)</f>
        <v>0.72902022665327715</v>
      </c>
    </row>
    <row r="241" spans="1:12" x14ac:dyDescent="0.25">
      <c r="A241" s="29">
        <v>45665</v>
      </c>
      <c r="B241" s="16" t="s">
        <v>287</v>
      </c>
      <c r="C241" s="34">
        <v>1</v>
      </c>
      <c r="D241" s="16" t="s">
        <v>56</v>
      </c>
      <c r="E241" s="35">
        <v>3.8</v>
      </c>
      <c r="F241" s="35">
        <v>2.8</v>
      </c>
      <c r="G241" s="16" t="s">
        <v>44</v>
      </c>
      <c r="H241" s="16" t="s">
        <v>45</v>
      </c>
      <c r="I241" s="16">
        <f>COUNTIF(G$5:G241,"Y")/COUNTA(G$5:G241)</f>
        <v>0.84810126582278478</v>
      </c>
      <c r="J241" s="16">
        <f>COUNTIF(H$5:H241,"Y")/COUNTA(H$5:H241)</f>
        <v>6.3291139240506333E-2</v>
      </c>
      <c r="K241" s="16">
        <f>AVERAGE(F$5:F241)</f>
        <v>2.1561181434599153</v>
      </c>
      <c r="L241" s="16">
        <f>SUM(F$5:F241)/SUM(E$5:E241)</f>
        <v>0.72906263375659808</v>
      </c>
    </row>
    <row r="242" spans="1:12" x14ac:dyDescent="0.25">
      <c r="A242" s="29">
        <v>45666</v>
      </c>
      <c r="B242" s="16" t="s">
        <v>288</v>
      </c>
      <c r="C242" s="34">
        <v>1</v>
      </c>
      <c r="D242" s="16" t="s">
        <v>52</v>
      </c>
      <c r="E242" s="35">
        <v>4.5999999999999996</v>
      </c>
      <c r="F242" s="35">
        <v>3.7</v>
      </c>
      <c r="G242" s="16" t="s">
        <v>44</v>
      </c>
      <c r="H242" s="16" t="s">
        <v>45</v>
      </c>
      <c r="I242" s="16">
        <f>COUNTIF(G$5:G242,"Y")/COUNTA(G$5:G242)</f>
        <v>0.84873949579831931</v>
      </c>
      <c r="J242" s="16">
        <f>COUNTIF(H$5:H242,"Y")/COUNTA(H$5:H242)</f>
        <v>6.3025210084033612E-2</v>
      </c>
      <c r="K242" s="16">
        <f>AVERAGE(F$5:F242)</f>
        <v>2.1626050420168066</v>
      </c>
      <c r="L242" s="16">
        <f>SUM(F$5:F242)/SUM(E$5:E242)</f>
        <v>0.72955350815024744</v>
      </c>
    </row>
    <row r="243" spans="1:12" x14ac:dyDescent="0.25">
      <c r="A243" s="29">
        <v>45667</v>
      </c>
      <c r="B243" s="16" t="s">
        <v>289</v>
      </c>
      <c r="C243" s="34">
        <v>1</v>
      </c>
      <c r="D243" s="16" t="s">
        <v>60</v>
      </c>
      <c r="E243" s="35">
        <v>4.7</v>
      </c>
      <c r="F243" s="35">
        <v>3.4</v>
      </c>
      <c r="G243" s="16" t="s">
        <v>44</v>
      </c>
      <c r="H243" s="16" t="s">
        <v>45</v>
      </c>
      <c r="I243" s="16">
        <f>COUNTIF(G$5:G243,"Y")/COUNTA(G$5:G243)</f>
        <v>0.84937238493723854</v>
      </c>
      <c r="J243" s="16">
        <f>COUNTIF(H$5:H243,"Y")/COUNTA(H$5:H243)</f>
        <v>6.2761506276150625E-2</v>
      </c>
      <c r="K243" s="16">
        <f>AVERAGE(F$5:F243)</f>
        <v>2.1677824267782424</v>
      </c>
      <c r="L243" s="16">
        <f>SUM(F$5:F243)/SUM(E$5:E243)</f>
        <v>0.72951281329202977</v>
      </c>
    </row>
    <row r="244" spans="1:12" x14ac:dyDescent="0.25">
      <c r="A244" s="29">
        <v>45663</v>
      </c>
      <c r="B244" s="16" t="s">
        <v>290</v>
      </c>
      <c r="C244" s="34">
        <v>1</v>
      </c>
      <c r="D244" s="16" t="s">
        <v>47</v>
      </c>
      <c r="E244" s="35">
        <v>2.9</v>
      </c>
      <c r="F244" s="35">
        <v>2.1</v>
      </c>
      <c r="G244" s="16" t="s">
        <v>45</v>
      </c>
      <c r="H244" s="16" t="s">
        <v>45</v>
      </c>
      <c r="I244" s="16">
        <f>COUNTIF(G$5:G244,"Y")/COUNTA(G$5:G244)</f>
        <v>0.84583333333333333</v>
      </c>
      <c r="J244" s="16">
        <f>COUNTIF(H$5:H244,"Y")/COUNTA(H$5:H244)</f>
        <v>6.25E-2</v>
      </c>
      <c r="K244" s="16">
        <f>AVERAGE(F$5:F244)</f>
        <v>2.1674999999999995</v>
      </c>
      <c r="L244" s="16">
        <f>SUM(F$5:F244)/SUM(E$5:E244)</f>
        <v>0.72949095498527494</v>
      </c>
    </row>
    <row r="245" spans="1:12" x14ac:dyDescent="0.25">
      <c r="A245" s="29">
        <v>45664</v>
      </c>
      <c r="B245" s="16" t="s">
        <v>291</v>
      </c>
      <c r="C245" s="34">
        <v>1</v>
      </c>
      <c r="D245" s="16" t="s">
        <v>50</v>
      </c>
      <c r="E245" s="35">
        <v>4.0999999999999996</v>
      </c>
      <c r="F245" s="35">
        <v>2.9</v>
      </c>
      <c r="G245" s="16" t="s">
        <v>44</v>
      </c>
      <c r="H245" s="16" t="s">
        <v>45</v>
      </c>
      <c r="I245" s="16">
        <f>COUNTIF(G$5:G245,"Y")/COUNTA(G$5:G245)</f>
        <v>0.84647302904564314</v>
      </c>
      <c r="J245" s="16">
        <f>COUNTIF(H$5:H245,"Y")/COUNTA(H$5:H245)</f>
        <v>6.2240663900414939E-2</v>
      </c>
      <c r="K245" s="16">
        <f>AVERAGE(F$5:F245)</f>
        <v>2.1705394190871368</v>
      </c>
      <c r="L245" s="16">
        <f>SUM(F$5:F245)/SUM(E$5:E245)</f>
        <v>0.72936419408811981</v>
      </c>
    </row>
    <row r="246" spans="1:12" x14ac:dyDescent="0.25">
      <c r="A246" s="29">
        <v>45665</v>
      </c>
      <c r="B246" s="16" t="s">
        <v>292</v>
      </c>
      <c r="C246" s="34">
        <v>1</v>
      </c>
      <c r="D246" s="16" t="s">
        <v>52</v>
      </c>
      <c r="E246" s="35">
        <v>4.5</v>
      </c>
      <c r="F246" s="35">
        <v>3.2</v>
      </c>
      <c r="G246" s="16" t="s">
        <v>44</v>
      </c>
      <c r="H246" s="16" t="s">
        <v>45</v>
      </c>
      <c r="I246" s="16">
        <f>COUNTIF(G$5:G246,"Y")/COUNTA(G$5:G246)</f>
        <v>0.84710743801652888</v>
      </c>
      <c r="J246" s="16">
        <f>COUNTIF(H$5:H246,"Y")/COUNTA(H$5:H246)</f>
        <v>6.1983471074380167E-2</v>
      </c>
      <c r="K246" s="16">
        <f>AVERAGE(F$5:F246)</f>
        <v>2.1747933884297517</v>
      </c>
      <c r="L246" s="16">
        <f>SUM(F$5:F246)/SUM(E$5:E246)</f>
        <v>0.72925038104475493</v>
      </c>
    </row>
    <row r="247" spans="1:12" x14ac:dyDescent="0.25">
      <c r="A247" s="29">
        <v>45666</v>
      </c>
      <c r="B247" s="16" t="s">
        <v>293</v>
      </c>
      <c r="C247" s="34">
        <v>1</v>
      </c>
      <c r="D247" s="16" t="s">
        <v>56</v>
      </c>
      <c r="E247" s="35">
        <v>4.9000000000000004</v>
      </c>
      <c r="F247" s="35">
        <v>3.5</v>
      </c>
      <c r="G247" s="16" t="s">
        <v>44</v>
      </c>
      <c r="H247" s="16" t="s">
        <v>45</v>
      </c>
      <c r="I247" s="16">
        <f>COUNTIF(G$5:G247,"Y")/COUNTA(G$5:G247)</f>
        <v>0.84773662551440332</v>
      </c>
      <c r="J247" s="16">
        <f>COUNTIF(H$5:H247,"Y")/COUNTA(H$5:H247)</f>
        <v>6.1728395061728392E-2</v>
      </c>
      <c r="K247" s="16">
        <f>AVERAGE(F$5:F247)</f>
        <v>2.1802469135802469</v>
      </c>
      <c r="L247" s="16">
        <f>SUM(F$5:F247)/SUM(E$5:E247)</f>
        <v>0.72914946325350893</v>
      </c>
    </row>
    <row r="248" spans="1:12" x14ac:dyDescent="0.25">
      <c r="A248" s="29">
        <v>45667</v>
      </c>
      <c r="B248" s="16" t="s">
        <v>294</v>
      </c>
      <c r="C248" s="34">
        <v>1</v>
      </c>
      <c r="D248" s="16" t="s">
        <v>56</v>
      </c>
      <c r="E248" s="35">
        <v>5.2</v>
      </c>
      <c r="F248" s="35">
        <v>3.7</v>
      </c>
      <c r="G248" s="16" t="s">
        <v>44</v>
      </c>
      <c r="H248" s="16" t="s">
        <v>44</v>
      </c>
      <c r="I248" s="16">
        <f>COUNTIF(G$5:G248,"Y")/COUNTA(G$5:G248)</f>
        <v>0.84836065573770492</v>
      </c>
      <c r="J248" s="16">
        <f>COUNTIF(H$5:H248,"Y")/COUNTA(H$5:H248)</f>
        <v>6.5573770491803282E-2</v>
      </c>
      <c r="K248" s="16">
        <f>AVERAGE(F$5:F248)</f>
        <v>2.1864754098360657</v>
      </c>
      <c r="L248" s="16">
        <f>SUM(F$5:F248)/SUM(E$5:E248)</f>
        <v>0.72902432358567859</v>
      </c>
    </row>
    <row r="249" spans="1:12" x14ac:dyDescent="0.25">
      <c r="A249" s="29">
        <v>45663</v>
      </c>
      <c r="B249" s="16" t="s">
        <v>295</v>
      </c>
      <c r="C249" s="34">
        <v>1</v>
      </c>
      <c r="D249" s="16" t="s">
        <v>60</v>
      </c>
      <c r="E249" s="35">
        <v>2.6</v>
      </c>
      <c r="F249" s="35">
        <v>2</v>
      </c>
      <c r="G249" s="16" t="s">
        <v>44</v>
      </c>
      <c r="H249" s="16" t="s">
        <v>45</v>
      </c>
      <c r="I249" s="16">
        <f>COUNTIF(G$5:G249,"Y")/COUNTA(G$5:G249)</f>
        <v>0.84897959183673466</v>
      </c>
      <c r="J249" s="16">
        <f>COUNTIF(H$5:H249,"Y")/COUNTA(H$5:H249)</f>
        <v>6.5306122448979598E-2</v>
      </c>
      <c r="K249" s="16">
        <f>AVERAGE(F$5:F249)</f>
        <v>2.1857142857142855</v>
      </c>
      <c r="L249" s="16">
        <f>SUM(F$5:F249)/SUM(E$5:E249)</f>
        <v>0.72916666666666607</v>
      </c>
    </row>
    <row r="250" spans="1:12" x14ac:dyDescent="0.25">
      <c r="A250" s="29">
        <v>45664</v>
      </c>
      <c r="B250" s="16" t="s">
        <v>296</v>
      </c>
      <c r="C250" s="34">
        <v>1</v>
      </c>
      <c r="D250" s="16" t="s">
        <v>50</v>
      </c>
      <c r="E250" s="35">
        <v>4</v>
      </c>
      <c r="F250" s="35">
        <v>2.8</v>
      </c>
      <c r="G250" s="16" t="s">
        <v>45</v>
      </c>
      <c r="H250" s="16" t="s">
        <v>45</v>
      </c>
      <c r="I250" s="16">
        <f>COUNTIF(G$5:G250,"Y")/COUNTA(G$5:G250)</f>
        <v>0.84552845528455289</v>
      </c>
      <c r="J250" s="16">
        <f>COUNTIF(H$5:H250,"Y")/COUNTA(H$5:H250)</f>
        <v>6.5040650406504072E-2</v>
      </c>
      <c r="K250" s="16">
        <f>AVERAGE(F$5:F250)</f>
        <v>2.1882113821138209</v>
      </c>
      <c r="L250" s="16">
        <f>SUM(F$5:F250)/SUM(E$5:E250)</f>
        <v>0.72900866738894843</v>
      </c>
    </row>
    <row r="251" spans="1:12" x14ac:dyDescent="0.25">
      <c r="A251" s="29">
        <v>45665</v>
      </c>
      <c r="B251" s="16" t="s">
        <v>297</v>
      </c>
      <c r="C251" s="34">
        <v>1</v>
      </c>
      <c r="D251" s="16" t="s">
        <v>52</v>
      </c>
      <c r="E251" s="35">
        <v>1.8</v>
      </c>
      <c r="F251" s="35">
        <v>1.4</v>
      </c>
      <c r="G251" s="16" t="s">
        <v>45</v>
      </c>
      <c r="H251" s="16" t="s">
        <v>45</v>
      </c>
      <c r="I251" s="16">
        <f>COUNTIF(G$5:G251,"Y")/COUNTA(G$5:G251)</f>
        <v>0.84210526315789469</v>
      </c>
      <c r="J251" s="16">
        <f>COUNTIF(H$5:H251,"Y")/COUNTA(H$5:H251)</f>
        <v>6.4777327935222673E-2</v>
      </c>
      <c r="K251" s="16">
        <f>AVERAGE(F$5:F251)</f>
        <v>2.1850202429149794</v>
      </c>
      <c r="L251" s="16">
        <f>SUM(F$5:F251)/SUM(E$5:E251)</f>
        <v>0.72912726290191776</v>
      </c>
    </row>
    <row r="252" spans="1:12" x14ac:dyDescent="0.25">
      <c r="A252" s="29">
        <v>45666</v>
      </c>
      <c r="B252" s="16" t="s">
        <v>298</v>
      </c>
      <c r="C252" s="34">
        <v>1</v>
      </c>
      <c r="D252" s="16" t="s">
        <v>56</v>
      </c>
      <c r="E252" s="35">
        <v>3.9</v>
      </c>
      <c r="F252" s="35">
        <v>3.2</v>
      </c>
      <c r="G252" s="16" t="s">
        <v>44</v>
      </c>
      <c r="H252" s="16" t="s">
        <v>45</v>
      </c>
      <c r="I252" s="16">
        <f>COUNTIF(G$5:G252,"Y")/COUNTA(G$5:G252)</f>
        <v>0.842741935483871</v>
      </c>
      <c r="J252" s="16">
        <f>COUNTIF(H$5:H252,"Y")/COUNTA(H$5:H252)</f>
        <v>6.4516129032258063E-2</v>
      </c>
      <c r="K252" s="16">
        <f>AVERAGE(F$5:F252)</f>
        <v>2.1891129032258063</v>
      </c>
      <c r="L252" s="16">
        <f>SUM(F$5:F252)/SUM(E$5:E252)</f>
        <v>0.72960623572100469</v>
      </c>
    </row>
    <row r="253" spans="1:12" x14ac:dyDescent="0.25">
      <c r="A253" s="29">
        <v>45667</v>
      </c>
      <c r="B253" s="16" t="s">
        <v>299</v>
      </c>
      <c r="C253" s="34">
        <v>1</v>
      </c>
      <c r="D253" s="16" t="s">
        <v>47</v>
      </c>
      <c r="E253" s="35">
        <v>2</v>
      </c>
      <c r="F253" s="35">
        <v>1.5</v>
      </c>
      <c r="G253" s="16" t="s">
        <v>44</v>
      </c>
      <c r="H253" s="16" t="s">
        <v>45</v>
      </c>
      <c r="I253" s="16">
        <f>COUNTIF(G$5:G253,"Y")/COUNTA(G$5:G253)</f>
        <v>0.84337349397590367</v>
      </c>
      <c r="J253" s="16">
        <f>COUNTIF(H$5:H253,"Y")/COUNTA(H$5:H253)</f>
        <v>6.4257028112449793E-2</v>
      </c>
      <c r="K253" s="16">
        <f>AVERAGE(F$5:F253)</f>
        <v>2.1863453815261042</v>
      </c>
      <c r="L253" s="16">
        <f>SUM(F$5:F253)/SUM(E$5:E253)</f>
        <v>0.72966090336415979</v>
      </c>
    </row>
    <row r="254" spans="1:12" x14ac:dyDescent="0.25">
      <c r="A254" s="29">
        <v>45663</v>
      </c>
      <c r="B254" s="16" t="s">
        <v>300</v>
      </c>
      <c r="C254" s="34">
        <v>1</v>
      </c>
      <c r="D254" s="16" t="s">
        <v>64</v>
      </c>
      <c r="E254" s="35">
        <v>5.3</v>
      </c>
      <c r="F254" s="35">
        <v>3.9</v>
      </c>
      <c r="G254" s="16" t="s">
        <v>44</v>
      </c>
      <c r="H254" s="16" t="s">
        <v>45</v>
      </c>
      <c r="I254" s="16">
        <f>COUNTIF(G$5:G254,"Y")/COUNTA(G$5:G254)</f>
        <v>0.84399999999999997</v>
      </c>
      <c r="J254" s="16">
        <f>COUNTIF(H$5:H254,"Y")/COUNTA(H$5:H254)</f>
        <v>6.4000000000000001E-2</v>
      </c>
      <c r="K254" s="16">
        <f>AVERAGE(F$5:F254)</f>
        <v>2.1932</v>
      </c>
      <c r="L254" s="16">
        <f>SUM(F$5:F254)/SUM(E$5:E254)</f>
        <v>0.72970455150385893</v>
      </c>
    </row>
    <row r="255" spans="1:12" x14ac:dyDescent="0.25">
      <c r="A255" s="29">
        <v>45664</v>
      </c>
      <c r="B255" s="16" t="s">
        <v>301</v>
      </c>
      <c r="C255" s="34">
        <v>1</v>
      </c>
      <c r="D255" s="16" t="s">
        <v>52</v>
      </c>
      <c r="E255" s="35">
        <v>5.5</v>
      </c>
      <c r="F255" s="35">
        <v>3.7</v>
      </c>
      <c r="G255" s="16" t="s">
        <v>44</v>
      </c>
      <c r="H255" s="16" t="s">
        <v>45</v>
      </c>
      <c r="I255" s="16">
        <f>COUNTIF(G$5:G255,"Y")/COUNTA(G$5:G255)</f>
        <v>0.84462151394422313</v>
      </c>
      <c r="J255" s="16">
        <f>COUNTIF(H$5:H255,"Y")/COUNTA(H$5:H255)</f>
        <v>6.3745019920318724E-2</v>
      </c>
      <c r="K255" s="16">
        <f>AVERAGE(F$5:F255)</f>
        <v>2.1992031872509958</v>
      </c>
      <c r="L255" s="16">
        <f>SUM(F$5:F255)/SUM(E$5:E255)</f>
        <v>0.72929052715021758</v>
      </c>
    </row>
    <row r="256" spans="1:12" x14ac:dyDescent="0.25">
      <c r="A256" s="29">
        <v>45665</v>
      </c>
      <c r="B256" s="16" t="s">
        <v>302</v>
      </c>
      <c r="C256" s="34">
        <v>1</v>
      </c>
      <c r="D256" s="16" t="s">
        <v>47</v>
      </c>
      <c r="E256" s="35">
        <v>2.7</v>
      </c>
      <c r="F256" s="35">
        <v>1.8</v>
      </c>
      <c r="G256" s="16" t="s">
        <v>44</v>
      </c>
      <c r="H256" s="16" t="s">
        <v>45</v>
      </c>
      <c r="I256" s="16">
        <f>COUNTIF(G$5:G256,"Y")/COUNTA(G$5:G256)</f>
        <v>0.84523809523809523</v>
      </c>
      <c r="J256" s="16">
        <f>COUNTIF(H$5:H256,"Y")/COUNTA(H$5:H256)</f>
        <v>6.3492063492063489E-2</v>
      </c>
      <c r="K256" s="16">
        <f>AVERAGE(F$5:F256)</f>
        <v>2.1976190476190474</v>
      </c>
      <c r="L256" s="16">
        <f>SUM(F$5:F256)/SUM(E$5:E256)</f>
        <v>0.72906793048973095</v>
      </c>
    </row>
    <row r="257" spans="1:13" x14ac:dyDescent="0.25">
      <c r="A257" s="29">
        <v>45666</v>
      </c>
      <c r="B257" s="16" t="s">
        <v>303</v>
      </c>
      <c r="C257" s="34">
        <v>1</v>
      </c>
      <c r="D257" s="16" t="s">
        <v>56</v>
      </c>
      <c r="E257" s="35">
        <v>2.9</v>
      </c>
      <c r="F257" s="35">
        <v>2</v>
      </c>
      <c r="G257" s="16" t="s">
        <v>44</v>
      </c>
      <c r="H257" s="16" t="s">
        <v>45</v>
      </c>
      <c r="I257" s="16">
        <f>COUNTIF(G$5:G257,"Y")/COUNTA(G$5:G257)</f>
        <v>0.8458498023715415</v>
      </c>
      <c r="J257" s="16">
        <f>COUNTIF(H$5:H257,"Y")/COUNTA(H$5:H257)</f>
        <v>6.3241106719367585E-2</v>
      </c>
      <c r="K257" s="16">
        <f>AVERAGE(F$5:F257)</f>
        <v>2.1968379446640314</v>
      </c>
      <c r="L257" s="16">
        <f>SUM(F$5:F257)/SUM(E$5:E257)</f>
        <v>0.72891803278688472</v>
      </c>
    </row>
    <row r="258" spans="1:13" x14ac:dyDescent="0.25">
      <c r="A258" s="29">
        <v>45667</v>
      </c>
      <c r="B258" s="16" t="s">
        <v>304</v>
      </c>
      <c r="C258" s="34">
        <v>1</v>
      </c>
      <c r="D258" s="16" t="s">
        <v>47</v>
      </c>
      <c r="E258" s="35">
        <v>0.6</v>
      </c>
      <c r="F258" s="35">
        <v>0.5</v>
      </c>
      <c r="G258" s="16" t="s">
        <v>44</v>
      </c>
      <c r="H258" s="16" t="s">
        <v>45</v>
      </c>
      <c r="I258" s="16">
        <f>COUNTIF(G$5:G258,"Y")/COUNTA(G$5:G258)</f>
        <v>0.84645669291338588</v>
      </c>
      <c r="J258" s="16">
        <f>COUNTIF(H$5:H258,"Y")/COUNTA(H$5:H258)</f>
        <v>6.2992125984251968E-2</v>
      </c>
      <c r="K258" s="16">
        <f>AVERAGE(F$5:F258)</f>
        <v>2.1901574803149604</v>
      </c>
      <c r="L258" s="16">
        <f>SUM(F$5:F258)/SUM(E$5:E258)</f>
        <v>0.72900013104442352</v>
      </c>
    </row>
    <row r="259" spans="1:13" x14ac:dyDescent="0.25">
      <c r="A259" s="29">
        <v>45663</v>
      </c>
      <c r="B259" s="16" t="s">
        <v>305</v>
      </c>
      <c r="C259" s="34">
        <v>1</v>
      </c>
      <c r="D259" s="16" t="s">
        <v>50</v>
      </c>
      <c r="E259" s="35">
        <v>0.8</v>
      </c>
      <c r="F259" s="35">
        <v>0.5</v>
      </c>
      <c r="G259" s="16" t="s">
        <v>44</v>
      </c>
      <c r="H259" s="16" t="s">
        <v>45</v>
      </c>
      <c r="I259" s="16">
        <f>COUNTIF(G$5:G259,"Y")/COUNTA(G$5:G259)</f>
        <v>0.84705882352941175</v>
      </c>
      <c r="J259" s="16">
        <f>COUNTIF(H$5:H259,"Y")/COUNTA(H$5:H259)</f>
        <v>6.2745098039215685E-2</v>
      </c>
      <c r="K259" s="16">
        <f>AVERAGE(F$5:F259)</f>
        <v>2.1835294117647055</v>
      </c>
      <c r="L259" s="16">
        <f>SUM(F$5:F259)/SUM(E$5:E259)</f>
        <v>0.72889121612776497</v>
      </c>
    </row>
    <row r="260" spans="1:13" x14ac:dyDescent="0.25">
      <c r="A260" s="29">
        <v>45664</v>
      </c>
      <c r="B260" s="16" t="s">
        <v>306</v>
      </c>
      <c r="C260" s="34">
        <v>1</v>
      </c>
      <c r="D260" s="16" t="s">
        <v>52</v>
      </c>
      <c r="E260" s="35">
        <v>0.8</v>
      </c>
      <c r="F260" s="35">
        <v>0.5</v>
      </c>
      <c r="G260" s="16" t="s">
        <v>44</v>
      </c>
      <c r="H260" s="16" t="s">
        <v>45</v>
      </c>
      <c r="I260" s="16">
        <f>COUNTIF(G$5:G260,"Y")/COUNTA(G$5:G260)</f>
        <v>0.84765625</v>
      </c>
      <c r="J260" s="16">
        <f>COUNTIF(H$5:H260,"Y")/COUNTA(H$5:H260)</f>
        <v>6.25E-2</v>
      </c>
      <c r="K260" s="16">
        <f>AVERAGE(F$5:F260)</f>
        <v>2.1769531249999998</v>
      </c>
      <c r="L260" s="16">
        <f>SUM(F$5:F260)/SUM(E$5:E260)</f>
        <v>0.7287825290963772</v>
      </c>
    </row>
    <row r="261" spans="1:13" x14ac:dyDescent="0.25">
      <c r="A261" s="29">
        <v>45665</v>
      </c>
      <c r="B261" s="16" t="s">
        <v>307</v>
      </c>
      <c r="C261" s="34">
        <v>1</v>
      </c>
      <c r="D261" s="16" t="s">
        <v>52</v>
      </c>
      <c r="E261" s="35">
        <v>0.5</v>
      </c>
      <c r="F261" s="35">
        <v>0.5</v>
      </c>
      <c r="G261" s="16" t="s">
        <v>44</v>
      </c>
      <c r="H261" s="16" t="s">
        <v>45</v>
      </c>
      <c r="I261" s="16">
        <f>COUNTIF(G$5:G261,"Y")/COUNTA(G$5:G261)</f>
        <v>0.84824902723735407</v>
      </c>
      <c r="J261" s="16">
        <f>COUNTIF(H$5:H261,"Y")/COUNTA(H$5:H261)</f>
        <v>6.2256809338521402E-2</v>
      </c>
      <c r="K261" s="16">
        <f>AVERAGE(F$5:F261)</f>
        <v>2.1704280155642022</v>
      </c>
      <c r="L261" s="16">
        <f>SUM(F$5:F261)/SUM(E$5:E261)</f>
        <v>0.728959749085206</v>
      </c>
    </row>
    <row r="262" spans="1:13" x14ac:dyDescent="0.25">
      <c r="A262" s="29">
        <v>45666</v>
      </c>
      <c r="B262" s="16" t="s">
        <v>308</v>
      </c>
      <c r="C262" s="34">
        <v>1</v>
      </c>
      <c r="D262" s="16" t="s">
        <v>56</v>
      </c>
      <c r="E262" s="35">
        <v>0.5</v>
      </c>
      <c r="F262" s="35">
        <v>0.5</v>
      </c>
      <c r="G262" s="16" t="s">
        <v>44</v>
      </c>
      <c r="H262" s="16" t="s">
        <v>45</v>
      </c>
      <c r="I262" s="16">
        <f>COUNTIF(G$5:G262,"Y")/COUNTA(G$5:G262)</f>
        <v>0.84883720930232553</v>
      </c>
      <c r="J262" s="16">
        <f>COUNTIF(H$5:H262,"Y")/COUNTA(H$5:H262)</f>
        <v>6.2015503875968991E-2</v>
      </c>
      <c r="K262" s="16">
        <f>AVERAGE(F$5:F262)</f>
        <v>2.1639534883720928</v>
      </c>
      <c r="L262" s="16">
        <f>SUM(F$5:F262)/SUM(E$5:E262)</f>
        <v>0.72913673762570153</v>
      </c>
    </row>
    <row r="263" spans="1:13" x14ac:dyDescent="0.25">
      <c r="A263" s="29">
        <v>45667</v>
      </c>
      <c r="B263" s="16" t="s">
        <v>309</v>
      </c>
      <c r="C263" s="34">
        <v>1</v>
      </c>
      <c r="D263" s="16" t="s">
        <v>60</v>
      </c>
      <c r="E263" s="35">
        <v>0.5</v>
      </c>
      <c r="F263" s="35">
        <v>0.5</v>
      </c>
      <c r="G263" s="16" t="s">
        <v>44</v>
      </c>
      <c r="H263" s="16" t="s">
        <v>45</v>
      </c>
      <c r="I263" s="16">
        <f>COUNTIF(G$5:G263,"Y")/COUNTA(G$5:G263)</f>
        <v>0.84942084942084939</v>
      </c>
      <c r="J263" s="16">
        <f>COUNTIF(H$5:H263,"Y")/COUNTA(H$5:H263)</f>
        <v>6.1776061776061778E-2</v>
      </c>
      <c r="K263" s="16">
        <f>AVERAGE(F$5:F263)</f>
        <v>2.1575289575289576</v>
      </c>
      <c r="L263" s="16">
        <f>SUM(F$5:F263)/SUM(E$5:E263)</f>
        <v>0.72931349517097321</v>
      </c>
    </row>
    <row r="264" spans="1:13" x14ac:dyDescent="0.25">
      <c r="A264" s="29">
        <v>45663</v>
      </c>
      <c r="B264" s="16" t="s">
        <v>310</v>
      </c>
      <c r="C264" s="34">
        <v>1</v>
      </c>
      <c r="D264" s="16" t="s">
        <v>50</v>
      </c>
      <c r="E264" s="35">
        <v>0.5</v>
      </c>
      <c r="F264" s="35">
        <v>0.5</v>
      </c>
      <c r="G264" s="16" t="s">
        <v>44</v>
      </c>
      <c r="H264" s="16" t="s">
        <v>45</v>
      </c>
      <c r="I264" s="16">
        <f>COUNTIF(G$5:G264,"Y")/COUNTA(G$5:G264)</f>
        <v>0.85</v>
      </c>
      <c r="J264" s="16">
        <f>COUNTIF(H$5:H264,"Y")/COUNTA(H$5:H264)</f>
        <v>6.1538461538461542E-2</v>
      </c>
      <c r="K264" s="16">
        <f>AVERAGE(F$5:F264)</f>
        <v>2.151153846153846</v>
      </c>
      <c r="L264" s="16">
        <f>SUM(F$5:F264)/SUM(E$5:E264)</f>
        <v>0.72949002217294856</v>
      </c>
    </row>
    <row r="265" spans="1:13" x14ac:dyDescent="0.25">
      <c r="A265" s="29">
        <v>45664</v>
      </c>
      <c r="B265" s="16" t="s">
        <v>311</v>
      </c>
      <c r="C265" s="34">
        <v>1</v>
      </c>
      <c r="D265" s="16" t="s">
        <v>47</v>
      </c>
      <c r="E265" s="35">
        <v>0.5</v>
      </c>
      <c r="F265" s="35">
        <v>0.5</v>
      </c>
      <c r="G265" s="16" t="s">
        <v>44</v>
      </c>
      <c r="H265" s="16" t="s">
        <v>45</v>
      </c>
      <c r="I265" s="16">
        <f>COUNTIF(G$5:G265,"Y")/COUNTA(G$5:G265)</f>
        <v>0.85057471264367812</v>
      </c>
      <c r="J265" s="16">
        <f>COUNTIF(H$5:H265,"Y")/COUNTA(H$5:H265)</f>
        <v>6.1302681992337162E-2</v>
      </c>
      <c r="K265" s="16">
        <f>AVERAGE(F$5:F265)</f>
        <v>2.1448275862068962</v>
      </c>
      <c r="L265" s="16">
        <f>SUM(F$5:F265)/SUM(E$5:E265)</f>
        <v>0.729666319082377</v>
      </c>
    </row>
    <row r="266" spans="1:13" x14ac:dyDescent="0.25">
      <c r="A266" s="29">
        <v>45665</v>
      </c>
      <c r="B266" s="16" t="s">
        <v>312</v>
      </c>
      <c r="C266" s="34">
        <v>1</v>
      </c>
      <c r="D266" s="16" t="s">
        <v>56</v>
      </c>
      <c r="E266" s="35">
        <v>0.5</v>
      </c>
      <c r="F266" s="35">
        <v>0.5</v>
      </c>
      <c r="G266" s="16" t="s">
        <v>44</v>
      </c>
      <c r="H266" s="16" t="s">
        <v>45</v>
      </c>
      <c r="I266" s="16">
        <f>COUNTIF(G$5:G266,"Y")/COUNTA(G$5:G266)</f>
        <v>0.85114503816793896</v>
      </c>
      <c r="J266" s="16">
        <f>COUNTIF(H$5:H266,"Y")/COUNTA(H$5:H266)</f>
        <v>6.1068702290076333E-2</v>
      </c>
      <c r="K266" s="16">
        <f>AVERAGE(F$5:F266)</f>
        <v>2.1385496183206105</v>
      </c>
      <c r="L266" s="16">
        <f>SUM(F$5:F266)/SUM(E$5:E266)</f>
        <v>0.7298423863488338</v>
      </c>
      <c r="M266" s="16">
        <v>15</v>
      </c>
    </row>
    <row r="267" spans="1:13" x14ac:dyDescent="0.25">
      <c r="A267" s="29">
        <v>45670</v>
      </c>
      <c r="B267" s="16" t="s">
        <v>313</v>
      </c>
      <c r="C267" s="34">
        <v>1</v>
      </c>
      <c r="D267" s="16" t="s">
        <v>43</v>
      </c>
      <c r="E267" s="35">
        <v>2.2000000000000002</v>
      </c>
      <c r="F267" s="35">
        <v>1.9</v>
      </c>
      <c r="G267" s="16" t="s">
        <v>44</v>
      </c>
      <c r="H267" s="16" t="s">
        <v>45</v>
      </c>
      <c r="I267" s="16">
        <f>COUNTIF(G$5:G267,"Y")/COUNTA(G$5:G267)</f>
        <v>0.85171102661596954</v>
      </c>
      <c r="J267" s="16">
        <f>COUNTIF(H$5:H267,"Y")/COUNTA(H$5:H267)</f>
        <v>6.0836501901140684E-2</v>
      </c>
      <c r="K267" s="16">
        <f>AVERAGE(F$5:F267)</f>
        <v>2.1376425855513306</v>
      </c>
      <c r="L267" s="16">
        <f>SUM(F$5:F267)/SUM(E$5:E267)</f>
        <v>0.73022470450707833</v>
      </c>
    </row>
    <row r="268" spans="1:13" x14ac:dyDescent="0.25">
      <c r="A268" s="29">
        <v>45671</v>
      </c>
      <c r="B268" s="16" t="s">
        <v>314</v>
      </c>
      <c r="C268" s="34">
        <v>1</v>
      </c>
      <c r="D268" s="16" t="s">
        <v>64</v>
      </c>
      <c r="E268" s="35">
        <v>2.7</v>
      </c>
      <c r="F268" s="35">
        <v>2.2999999999999998</v>
      </c>
      <c r="G268" s="16" t="s">
        <v>44</v>
      </c>
      <c r="H268" s="16" t="s">
        <v>45</v>
      </c>
      <c r="I268" s="16">
        <f>COUNTIF(G$5:G268,"Y")/COUNTA(G$5:G268)</f>
        <v>0.85227272727272729</v>
      </c>
      <c r="J268" s="16">
        <f>COUNTIF(H$5:H268,"Y")/COUNTA(H$5:H268)</f>
        <v>6.0606060606060608E-2</v>
      </c>
      <c r="K268" s="16">
        <f>AVERAGE(F$5:F268)</f>
        <v>2.1382575757575752</v>
      </c>
      <c r="L268" s="16">
        <f>SUM(F$5:F268)/SUM(E$5:E268)</f>
        <v>0.7306497540771415</v>
      </c>
    </row>
    <row r="269" spans="1:13" x14ac:dyDescent="0.25">
      <c r="A269" s="29">
        <v>45672</v>
      </c>
      <c r="B269" s="16" t="s">
        <v>315</v>
      </c>
      <c r="C269" s="34">
        <v>1</v>
      </c>
      <c r="D269" s="16" t="s">
        <v>43</v>
      </c>
      <c r="E269" s="35">
        <v>1.7</v>
      </c>
      <c r="F269" s="35">
        <v>1.3</v>
      </c>
      <c r="G269" s="16" t="s">
        <v>44</v>
      </c>
      <c r="H269" s="16" t="s">
        <v>45</v>
      </c>
      <c r="I269" s="16">
        <f>COUNTIF(G$5:G269,"Y")/COUNTA(G$5:G269)</f>
        <v>0.85283018867924532</v>
      </c>
      <c r="J269" s="16">
        <f>COUNTIF(H$5:H269,"Y")/COUNTA(H$5:H269)</f>
        <v>6.0377358490566038E-2</v>
      </c>
      <c r="K269" s="16">
        <f>AVERAGE(F$5:F269)</f>
        <v>2.1350943396226407</v>
      </c>
      <c r="L269" s="16">
        <f>SUM(F$5:F269)/SUM(E$5:E269)</f>
        <v>0.73072452537775989</v>
      </c>
    </row>
    <row r="270" spans="1:13" x14ac:dyDescent="0.25">
      <c r="A270" s="29">
        <v>45673</v>
      </c>
      <c r="B270" s="16" t="s">
        <v>316</v>
      </c>
      <c r="C270" s="34">
        <v>1</v>
      </c>
      <c r="D270" s="16" t="s">
        <v>56</v>
      </c>
      <c r="E270" s="35">
        <v>2.9</v>
      </c>
      <c r="F270" s="35">
        <v>2.1</v>
      </c>
      <c r="G270" s="16" t="s">
        <v>44</v>
      </c>
      <c r="H270" s="16" t="s">
        <v>45</v>
      </c>
      <c r="I270" s="16">
        <f>COUNTIF(G$5:G270,"Y")/COUNTA(G$5:G270)</f>
        <v>0.85338345864661658</v>
      </c>
      <c r="J270" s="16">
        <f>COUNTIF(H$5:H270,"Y")/COUNTA(H$5:H270)</f>
        <v>6.0150375939849621E-2</v>
      </c>
      <c r="K270" s="16">
        <f>AVERAGE(F$5:F270)</f>
        <v>2.134962406015037</v>
      </c>
      <c r="L270" s="16">
        <f>SUM(F$5:F270)/SUM(E$5:E270)</f>
        <v>0.73069994853319542</v>
      </c>
    </row>
    <row r="271" spans="1:13" x14ac:dyDescent="0.25">
      <c r="A271" s="29">
        <v>45674</v>
      </c>
      <c r="B271" s="16" t="s">
        <v>317</v>
      </c>
      <c r="C271" s="34">
        <v>1</v>
      </c>
      <c r="D271" s="16" t="s">
        <v>56</v>
      </c>
      <c r="E271" s="35">
        <v>2.9</v>
      </c>
      <c r="F271" s="35">
        <v>2.4</v>
      </c>
      <c r="G271" s="16" t="s">
        <v>44</v>
      </c>
      <c r="H271" s="16" t="s">
        <v>45</v>
      </c>
      <c r="I271" s="16">
        <f>COUNTIF(G$5:G271,"Y")/COUNTA(G$5:G271)</f>
        <v>0.8539325842696629</v>
      </c>
      <c r="J271" s="16">
        <f>COUNTIF(H$5:H271,"Y")/COUNTA(H$5:H271)</f>
        <v>5.9925093632958802E-2</v>
      </c>
      <c r="K271" s="16">
        <f>AVERAGE(F$5:F271)</f>
        <v>2.1359550561797747</v>
      </c>
      <c r="L271" s="16">
        <f>SUM(F$5:F271)/SUM(E$5:E271)</f>
        <v>0.73106012049737146</v>
      </c>
    </row>
    <row r="272" spans="1:13" x14ac:dyDescent="0.25">
      <c r="A272" s="29">
        <v>45670</v>
      </c>
      <c r="B272" s="16" t="s">
        <v>318</v>
      </c>
      <c r="C272" s="34">
        <v>1</v>
      </c>
      <c r="D272" s="16" t="s">
        <v>43</v>
      </c>
      <c r="E272" s="35">
        <v>4.0999999999999996</v>
      </c>
      <c r="F272" s="35">
        <v>2.9</v>
      </c>
      <c r="G272" s="16" t="s">
        <v>44</v>
      </c>
      <c r="H272" s="16" t="s">
        <v>45</v>
      </c>
      <c r="I272" s="16">
        <f>COUNTIF(G$5:G272,"Y")/COUNTA(G$5:G272)</f>
        <v>0.85447761194029848</v>
      </c>
      <c r="J272" s="16">
        <f>COUNTIF(H$5:H272,"Y")/COUNTA(H$5:H272)</f>
        <v>5.9701492537313432E-2</v>
      </c>
      <c r="K272" s="16">
        <f>AVERAGE(F$5:F272)</f>
        <v>2.138805970149253</v>
      </c>
      <c r="L272" s="16">
        <f>SUM(F$5:F272)/SUM(E$5:E272)</f>
        <v>0.73093598571792839</v>
      </c>
    </row>
    <row r="273" spans="1:12" x14ac:dyDescent="0.25">
      <c r="A273" s="29">
        <v>45671</v>
      </c>
      <c r="B273" s="16" t="s">
        <v>319</v>
      </c>
      <c r="C273" s="34">
        <v>1</v>
      </c>
      <c r="D273" s="16" t="s">
        <v>60</v>
      </c>
      <c r="E273" s="35">
        <v>5.2</v>
      </c>
      <c r="F273" s="35">
        <v>3.7</v>
      </c>
      <c r="G273" s="16" t="s">
        <v>44</v>
      </c>
      <c r="H273" s="16" t="s">
        <v>45</v>
      </c>
      <c r="I273" s="16">
        <f>COUNTIF(G$5:G273,"Y")/COUNTA(G$5:G273)</f>
        <v>0.85501858736059477</v>
      </c>
      <c r="J273" s="16">
        <f>COUNTIF(H$5:H273,"Y")/COUNTA(H$5:H273)</f>
        <v>5.9479553903345722E-2</v>
      </c>
      <c r="K273" s="16">
        <f>AVERAGE(F$5:F273)</f>
        <v>2.1446096654275086</v>
      </c>
      <c r="L273" s="16">
        <f>SUM(F$5:F273)/SUM(E$5:E273)</f>
        <v>0.73080820876615082</v>
      </c>
    </row>
    <row r="274" spans="1:12" x14ac:dyDescent="0.25">
      <c r="A274" s="29">
        <v>45672</v>
      </c>
      <c r="B274" s="16" t="s">
        <v>320</v>
      </c>
      <c r="C274" s="34">
        <v>1</v>
      </c>
      <c r="D274" s="16" t="s">
        <v>64</v>
      </c>
      <c r="E274" s="35">
        <v>2.8</v>
      </c>
      <c r="F274" s="35">
        <v>2</v>
      </c>
      <c r="G274" s="16" t="s">
        <v>45</v>
      </c>
      <c r="H274" s="16" t="s">
        <v>45</v>
      </c>
      <c r="I274" s="16">
        <f>COUNTIF(G$5:G274,"Y")/COUNTA(G$5:G274)</f>
        <v>0.85185185185185186</v>
      </c>
      <c r="J274" s="16">
        <f>COUNTIF(H$5:H274,"Y")/COUNTA(H$5:H274)</f>
        <v>5.9259259259259262E-2</v>
      </c>
      <c r="K274" s="16">
        <f>AVERAGE(F$5:F274)</f>
        <v>2.1440740740740734</v>
      </c>
      <c r="L274" s="16">
        <f>SUM(F$5:F274)/SUM(E$5:E274)</f>
        <v>0.73074981065387468</v>
      </c>
    </row>
    <row r="275" spans="1:12" x14ac:dyDescent="0.25">
      <c r="A275" s="29">
        <v>45673</v>
      </c>
      <c r="B275" s="16" t="s">
        <v>321</v>
      </c>
      <c r="C275" s="34">
        <v>1</v>
      </c>
      <c r="D275" s="16" t="s">
        <v>56</v>
      </c>
      <c r="E275" s="35">
        <v>1.8</v>
      </c>
      <c r="F275" s="35">
        <v>1.2</v>
      </c>
      <c r="G275" s="16" t="s">
        <v>44</v>
      </c>
      <c r="H275" s="16" t="s">
        <v>45</v>
      </c>
      <c r="I275" s="16">
        <f>COUNTIF(G$5:G275,"Y")/COUNTA(G$5:G275)</f>
        <v>0.85239852398523985</v>
      </c>
      <c r="J275" s="16">
        <f>COUNTIF(H$5:H275,"Y")/COUNTA(H$5:H275)</f>
        <v>5.9040590405904057E-2</v>
      </c>
      <c r="K275" s="16">
        <f>AVERAGE(F$5:F275)</f>
        <v>2.1405904059040588</v>
      </c>
      <c r="L275" s="16">
        <f>SUM(F$5:F275)/SUM(E$5:E275)</f>
        <v>0.73060453400503722</v>
      </c>
    </row>
    <row r="276" spans="1:12" x14ac:dyDescent="0.25">
      <c r="A276" s="29">
        <v>45674</v>
      </c>
      <c r="B276" s="16" t="s">
        <v>322</v>
      </c>
      <c r="C276" s="34">
        <v>1</v>
      </c>
      <c r="D276" s="16" t="s">
        <v>60</v>
      </c>
      <c r="E276" s="35">
        <v>4.5999999999999996</v>
      </c>
      <c r="F276" s="35">
        <v>3.5</v>
      </c>
      <c r="G276" s="16" t="s">
        <v>44</v>
      </c>
      <c r="H276" s="16" t="s">
        <v>45</v>
      </c>
      <c r="I276" s="16">
        <f>COUNTIF(G$5:G276,"Y")/COUNTA(G$5:G276)</f>
        <v>0.8529411764705882</v>
      </c>
      <c r="J276" s="16">
        <f>COUNTIF(H$5:H276,"Y")/COUNTA(H$5:H276)</f>
        <v>5.8823529411764705E-2</v>
      </c>
      <c r="K276" s="16">
        <f>AVERAGE(F$5:F276)</f>
        <v>2.1455882352941171</v>
      </c>
      <c r="L276" s="16">
        <f>SUM(F$5:F276)/SUM(E$5:E276)</f>
        <v>0.7307788630102674</v>
      </c>
    </row>
    <row r="277" spans="1:12" x14ac:dyDescent="0.25">
      <c r="A277" s="29">
        <v>45670</v>
      </c>
      <c r="B277" s="16" t="s">
        <v>323</v>
      </c>
      <c r="C277" s="34">
        <v>1</v>
      </c>
      <c r="D277" s="16" t="s">
        <v>60</v>
      </c>
      <c r="E277" s="35">
        <v>2</v>
      </c>
      <c r="F277" s="35">
        <v>1.4</v>
      </c>
      <c r="G277" s="16" t="s">
        <v>44</v>
      </c>
      <c r="H277" s="16" t="s">
        <v>45</v>
      </c>
      <c r="I277" s="16">
        <f>COUNTIF(G$5:G277,"Y")/COUNTA(G$5:G277)</f>
        <v>0.85347985347985345</v>
      </c>
      <c r="J277" s="16">
        <f>COUNTIF(H$5:H277,"Y")/COUNTA(H$5:H277)</f>
        <v>5.8608058608058608E-2</v>
      </c>
      <c r="K277" s="16">
        <f>AVERAGE(F$5:F277)</f>
        <v>2.1428571428571423</v>
      </c>
      <c r="L277" s="16">
        <f>SUM(F$5:F277)/SUM(E$5:E277)</f>
        <v>0.73070197351985955</v>
      </c>
    </row>
    <row r="278" spans="1:12" x14ac:dyDescent="0.25">
      <c r="A278" s="29">
        <v>45671</v>
      </c>
      <c r="B278" s="16" t="s">
        <v>324</v>
      </c>
      <c r="C278" s="34">
        <v>1</v>
      </c>
      <c r="D278" s="16" t="s">
        <v>52</v>
      </c>
      <c r="E278" s="35">
        <v>3.6</v>
      </c>
      <c r="F278" s="35">
        <v>2.4</v>
      </c>
      <c r="G278" s="16" t="s">
        <v>44</v>
      </c>
      <c r="H278" s="16" t="s">
        <v>45</v>
      </c>
      <c r="I278" s="16">
        <f>COUNTIF(G$5:G278,"Y")/COUNTA(G$5:G278)</f>
        <v>0.85401459854014594</v>
      </c>
      <c r="J278" s="16">
        <f>COUNTIF(H$5:H278,"Y")/COUNTA(H$5:H278)</f>
        <v>5.8394160583941604E-2</v>
      </c>
      <c r="K278" s="16">
        <f>AVERAGE(F$5:F278)</f>
        <v>2.1437956204379556</v>
      </c>
      <c r="L278" s="16">
        <f>SUM(F$5:F278)/SUM(E$5:E278)</f>
        <v>0.73041531957224504</v>
      </c>
    </row>
    <row r="279" spans="1:12" x14ac:dyDescent="0.25">
      <c r="A279" s="29">
        <v>45672</v>
      </c>
      <c r="B279" s="16" t="s">
        <v>325</v>
      </c>
      <c r="C279" s="34">
        <v>1</v>
      </c>
      <c r="D279" s="16" t="s">
        <v>64</v>
      </c>
      <c r="E279" s="35">
        <v>2.4</v>
      </c>
      <c r="F279" s="35">
        <v>2</v>
      </c>
      <c r="G279" s="16" t="s">
        <v>45</v>
      </c>
      <c r="H279" s="16" t="s">
        <v>44</v>
      </c>
      <c r="I279" s="16">
        <f>COUNTIF(G$5:G279,"Y")/COUNTA(G$5:G279)</f>
        <v>0.85090909090909095</v>
      </c>
      <c r="J279" s="16">
        <f>COUNTIF(H$5:H279,"Y")/COUNTA(H$5:H279)</f>
        <v>6.1818181818181821E-2</v>
      </c>
      <c r="K279" s="16">
        <f>AVERAGE(F$5:F279)</f>
        <v>2.143272727272727</v>
      </c>
      <c r="L279" s="16">
        <f>SUM(F$5:F279)/SUM(E$5:E279)</f>
        <v>0.73072154723530813</v>
      </c>
    </row>
    <row r="280" spans="1:12" x14ac:dyDescent="0.25">
      <c r="A280" s="29">
        <v>45673</v>
      </c>
      <c r="B280" s="16" t="s">
        <v>326</v>
      </c>
      <c r="C280" s="34">
        <v>1</v>
      </c>
      <c r="D280" s="16" t="s">
        <v>52</v>
      </c>
      <c r="E280" s="35">
        <v>2.1</v>
      </c>
      <c r="F280" s="35">
        <v>1.5</v>
      </c>
      <c r="G280" s="16" t="s">
        <v>45</v>
      </c>
      <c r="H280" s="16" t="s">
        <v>45</v>
      </c>
      <c r="I280" s="16">
        <f>COUNTIF(G$5:G280,"Y")/COUNTA(G$5:G280)</f>
        <v>0.84782608695652173</v>
      </c>
      <c r="J280" s="16">
        <f>COUNTIF(H$5:H280,"Y")/COUNTA(H$5:H280)</f>
        <v>6.1594202898550728E-2</v>
      </c>
      <c r="K280" s="16">
        <f>AVERAGE(F$5:F280)</f>
        <v>2.1409420289855068</v>
      </c>
      <c r="L280" s="16">
        <f>SUM(F$5:F280)/SUM(E$5:E280)</f>
        <v>0.73067886731791698</v>
      </c>
    </row>
    <row r="281" spans="1:12" x14ac:dyDescent="0.25">
      <c r="A281" s="29">
        <v>45674</v>
      </c>
      <c r="B281" s="16" t="s">
        <v>327</v>
      </c>
      <c r="C281" s="34">
        <v>1</v>
      </c>
      <c r="D281" s="16" t="s">
        <v>50</v>
      </c>
      <c r="E281" s="35">
        <v>4</v>
      </c>
      <c r="F281" s="35">
        <v>2.8</v>
      </c>
      <c r="G281" s="16" t="s">
        <v>44</v>
      </c>
      <c r="H281" s="16" t="s">
        <v>45</v>
      </c>
      <c r="I281" s="16">
        <f>COUNTIF(G$5:G281,"Y")/COUNTA(G$5:G281)</f>
        <v>0.84837545126353786</v>
      </c>
      <c r="J281" s="16">
        <f>COUNTIF(H$5:H281,"Y")/COUNTA(H$5:H281)</f>
        <v>6.1371841155234655E-2</v>
      </c>
      <c r="K281" s="16">
        <f>AVERAGE(F$5:F281)</f>
        <v>2.1433212996389885</v>
      </c>
      <c r="L281" s="16">
        <f>SUM(F$5:F281)/SUM(E$5:E281)</f>
        <v>0.7305278700627531</v>
      </c>
    </row>
    <row r="282" spans="1:12" x14ac:dyDescent="0.25">
      <c r="A282" s="29">
        <v>45670</v>
      </c>
      <c r="B282" s="16" t="s">
        <v>328</v>
      </c>
      <c r="C282" s="34">
        <v>1</v>
      </c>
      <c r="D282" s="16" t="s">
        <v>47</v>
      </c>
      <c r="E282" s="35">
        <v>3</v>
      </c>
      <c r="F282" s="35">
        <v>2.2000000000000002</v>
      </c>
      <c r="G282" s="16" t="s">
        <v>44</v>
      </c>
      <c r="H282" s="16" t="s">
        <v>45</v>
      </c>
      <c r="I282" s="16">
        <f>COUNTIF(G$5:G282,"Y")/COUNTA(G$5:G282)</f>
        <v>0.84892086330935257</v>
      </c>
      <c r="J282" s="16">
        <f>COUNTIF(H$5:H282,"Y")/COUNTA(H$5:H282)</f>
        <v>6.1151079136690649E-2</v>
      </c>
      <c r="K282" s="16">
        <f>AVERAGE(F$5:F282)</f>
        <v>2.1435251798561148</v>
      </c>
      <c r="L282" s="16">
        <f>SUM(F$5:F282)/SUM(E$5:E282)</f>
        <v>0.7305381880593349</v>
      </c>
    </row>
    <row r="283" spans="1:12" x14ac:dyDescent="0.25">
      <c r="A283" s="29">
        <v>45671</v>
      </c>
      <c r="B283" s="16" t="s">
        <v>329</v>
      </c>
      <c r="C283" s="34">
        <v>1</v>
      </c>
      <c r="D283" s="16" t="s">
        <v>43</v>
      </c>
      <c r="E283" s="35">
        <v>2.5</v>
      </c>
      <c r="F283" s="35">
        <v>1.9</v>
      </c>
      <c r="G283" s="16" t="s">
        <v>44</v>
      </c>
      <c r="H283" s="16" t="s">
        <v>44</v>
      </c>
      <c r="I283" s="16">
        <f>COUNTIF(G$5:G283,"Y")/COUNTA(G$5:G283)</f>
        <v>0.84946236559139787</v>
      </c>
      <c r="J283" s="16">
        <f>COUNTIF(H$5:H283,"Y")/COUNTA(H$5:H283)</f>
        <v>6.4516129032258063E-2</v>
      </c>
      <c r="K283" s="16">
        <f>AVERAGE(F$5:F283)</f>
        <v>2.1426523297491036</v>
      </c>
      <c r="L283" s="16">
        <f>SUM(F$5:F283)/SUM(E$5:E283)</f>
        <v>0.730628208262038</v>
      </c>
    </row>
    <row r="284" spans="1:12" x14ac:dyDescent="0.25">
      <c r="A284" s="29">
        <v>45672</v>
      </c>
      <c r="B284" s="16" t="s">
        <v>330</v>
      </c>
      <c r="C284" s="34">
        <v>1</v>
      </c>
      <c r="D284" s="16" t="s">
        <v>52</v>
      </c>
      <c r="E284" s="35">
        <v>3.3</v>
      </c>
      <c r="F284" s="35">
        <v>2.2999999999999998</v>
      </c>
      <c r="G284" s="16" t="s">
        <v>44</v>
      </c>
      <c r="H284" s="16" t="s">
        <v>45</v>
      </c>
      <c r="I284" s="16">
        <f>COUNTIF(G$5:G284,"Y")/COUNTA(G$5:G284)</f>
        <v>0.85</v>
      </c>
      <c r="J284" s="16">
        <f>COUNTIF(H$5:H284,"Y")/COUNTA(H$5:H284)</f>
        <v>6.4285714285714279E-2</v>
      </c>
      <c r="K284" s="16">
        <f>AVERAGE(F$5:F284)</f>
        <v>2.1432142857142851</v>
      </c>
      <c r="L284" s="16">
        <f>SUM(F$5:F284)/SUM(E$5:E284)</f>
        <v>0.73049300060864208</v>
      </c>
    </row>
    <row r="285" spans="1:12" x14ac:dyDescent="0.25">
      <c r="A285" s="29">
        <v>45673</v>
      </c>
      <c r="B285" s="16" t="s">
        <v>331</v>
      </c>
      <c r="C285" s="34">
        <v>1</v>
      </c>
      <c r="D285" s="16" t="s">
        <v>64</v>
      </c>
      <c r="E285" s="35">
        <v>1.9</v>
      </c>
      <c r="F285" s="35">
        <v>1.4</v>
      </c>
      <c r="G285" s="16" t="s">
        <v>44</v>
      </c>
      <c r="H285" s="16" t="s">
        <v>45</v>
      </c>
      <c r="I285" s="16">
        <f>COUNTIF(G$5:G285,"Y")/COUNTA(G$5:G285)</f>
        <v>0.85053380782918153</v>
      </c>
      <c r="J285" s="16">
        <f>COUNTIF(H$5:H285,"Y")/COUNTA(H$5:H285)</f>
        <v>6.4056939501779361E-2</v>
      </c>
      <c r="K285" s="16">
        <f>AVERAGE(F$5:F285)</f>
        <v>2.1405693950177929</v>
      </c>
      <c r="L285" s="16">
        <f>SUM(F$5:F285)/SUM(E$5:E285)</f>
        <v>0.73050765120233119</v>
      </c>
    </row>
    <row r="286" spans="1:12" x14ac:dyDescent="0.25">
      <c r="A286" s="29">
        <v>45674</v>
      </c>
      <c r="B286" s="16" t="s">
        <v>332</v>
      </c>
      <c r="C286" s="34">
        <v>1</v>
      </c>
      <c r="D286" s="16" t="s">
        <v>47</v>
      </c>
      <c r="E286" s="35">
        <v>4.9000000000000004</v>
      </c>
      <c r="F286" s="35">
        <v>3.6</v>
      </c>
      <c r="G286" s="16" t="s">
        <v>44</v>
      </c>
      <c r="H286" s="16" t="s">
        <v>45</v>
      </c>
      <c r="I286" s="16">
        <f>COUNTIF(G$5:G286,"Y")/COUNTA(G$5:G286)</f>
        <v>0.85106382978723405</v>
      </c>
      <c r="J286" s="16">
        <f>COUNTIF(H$5:H286,"Y")/COUNTA(H$5:H286)</f>
        <v>6.3829787234042548E-2</v>
      </c>
      <c r="K286" s="16">
        <f>AVERAGE(F$5:F286)</f>
        <v>2.1457446808510632</v>
      </c>
      <c r="L286" s="16">
        <f>SUM(F$5:F286)/SUM(E$5:E286)</f>
        <v>0.73053241579137929</v>
      </c>
    </row>
    <row r="287" spans="1:12" x14ac:dyDescent="0.25">
      <c r="A287" s="29">
        <v>45670</v>
      </c>
      <c r="B287" s="16" t="s">
        <v>333</v>
      </c>
      <c r="C287" s="34">
        <v>1</v>
      </c>
      <c r="D287" s="16" t="s">
        <v>43</v>
      </c>
      <c r="E287" s="35">
        <v>4.7</v>
      </c>
      <c r="F287" s="35">
        <v>3.6</v>
      </c>
      <c r="G287" s="16" t="s">
        <v>44</v>
      </c>
      <c r="H287" s="16" t="s">
        <v>45</v>
      </c>
      <c r="I287" s="16">
        <f>COUNTIF(G$5:G287,"Y")/COUNTA(G$5:G287)</f>
        <v>0.85159010600706708</v>
      </c>
      <c r="J287" s="16">
        <f>COUNTIF(H$5:H287,"Y")/COUNTA(H$5:H287)</f>
        <v>6.3604240282685506E-2</v>
      </c>
      <c r="K287" s="16">
        <f>AVERAGE(F$5:F287)</f>
        <v>2.1508833922261479</v>
      </c>
      <c r="L287" s="16">
        <f>SUM(F$5:F287)/SUM(E$5:E287)</f>
        <v>0.73073229291716624</v>
      </c>
    </row>
    <row r="288" spans="1:12" x14ac:dyDescent="0.25">
      <c r="A288" s="29">
        <v>45671</v>
      </c>
      <c r="B288" s="16" t="s">
        <v>334</v>
      </c>
      <c r="C288" s="34">
        <v>1</v>
      </c>
      <c r="D288" s="16" t="s">
        <v>47</v>
      </c>
      <c r="E288" s="35">
        <v>4.7</v>
      </c>
      <c r="F288" s="35">
        <v>3.6</v>
      </c>
      <c r="G288" s="16" t="s">
        <v>44</v>
      </c>
      <c r="H288" s="16" t="s">
        <v>45</v>
      </c>
      <c r="I288" s="16">
        <f>COUNTIF(G$5:G288,"Y")/COUNTA(G$5:G288)</f>
        <v>0.852112676056338</v>
      </c>
      <c r="J288" s="16">
        <f>COUNTIF(H$5:H288,"Y")/COUNTA(H$5:H288)</f>
        <v>6.3380281690140844E-2</v>
      </c>
      <c r="K288" s="16">
        <f>AVERAGE(F$5:F288)</f>
        <v>2.1559859154929573</v>
      </c>
      <c r="L288" s="16">
        <f>SUM(F$5:F288)/SUM(E$5:E288)</f>
        <v>0.73092992718156791</v>
      </c>
    </row>
    <row r="289" spans="1:12" x14ac:dyDescent="0.25">
      <c r="A289" s="29">
        <v>45672</v>
      </c>
      <c r="B289" s="16" t="s">
        <v>335</v>
      </c>
      <c r="C289" s="34">
        <v>1</v>
      </c>
      <c r="D289" s="16" t="s">
        <v>43</v>
      </c>
      <c r="E289" s="35">
        <v>4.5</v>
      </c>
      <c r="F289" s="35">
        <v>3.5</v>
      </c>
      <c r="G289" s="16" t="s">
        <v>44</v>
      </c>
      <c r="H289" s="16" t="s">
        <v>45</v>
      </c>
      <c r="I289" s="16">
        <f>COUNTIF(G$5:G289,"Y")/COUNTA(G$5:G289)</f>
        <v>0.85263157894736841</v>
      </c>
      <c r="J289" s="16">
        <f>COUNTIF(H$5:H289,"Y")/COUNTA(H$5:H289)</f>
        <v>6.3157894736842107E-2</v>
      </c>
      <c r="K289" s="16">
        <f>AVERAGE(F$5:F289)</f>
        <v>2.1607017543859643</v>
      </c>
      <c r="L289" s="16">
        <f>SUM(F$5:F289)/SUM(E$5:E289)</f>
        <v>0.73118024222274935</v>
      </c>
    </row>
    <row r="290" spans="1:12" x14ac:dyDescent="0.25">
      <c r="A290" s="29">
        <v>45673</v>
      </c>
      <c r="B290" s="16" t="s">
        <v>336</v>
      </c>
      <c r="C290" s="34">
        <v>1</v>
      </c>
      <c r="D290" s="16" t="s">
        <v>47</v>
      </c>
      <c r="E290" s="35">
        <v>4</v>
      </c>
      <c r="F290" s="35">
        <v>3.2</v>
      </c>
      <c r="G290" s="16" t="s">
        <v>44</v>
      </c>
      <c r="H290" s="16" t="s">
        <v>45</v>
      </c>
      <c r="I290" s="16">
        <f>COUNTIF(G$5:G290,"Y")/COUNTA(G$5:G290)</f>
        <v>0.85314685314685312</v>
      </c>
      <c r="J290" s="16">
        <f>COUNTIF(H$5:H290,"Y")/COUNTA(H$5:H290)</f>
        <v>6.2937062937062943E-2</v>
      </c>
      <c r="K290" s="16">
        <f>AVERAGE(F$5:F290)</f>
        <v>2.1643356643356642</v>
      </c>
      <c r="L290" s="16">
        <f>SUM(F$5:F290)/SUM(E$5:E290)</f>
        <v>0.7315055542424953</v>
      </c>
    </row>
    <row r="291" spans="1:12" x14ac:dyDescent="0.25">
      <c r="A291" s="29">
        <v>45674</v>
      </c>
      <c r="B291" s="16" t="s">
        <v>337</v>
      </c>
      <c r="C291" s="34">
        <v>1</v>
      </c>
      <c r="D291" s="16" t="s">
        <v>52</v>
      </c>
      <c r="E291" s="35">
        <v>2.5</v>
      </c>
      <c r="F291" s="35">
        <v>2</v>
      </c>
      <c r="G291" s="16" t="s">
        <v>44</v>
      </c>
      <c r="H291" s="16" t="s">
        <v>45</v>
      </c>
      <c r="I291" s="16">
        <f>COUNTIF(G$5:G291,"Y")/COUNTA(G$5:G291)</f>
        <v>0.85365853658536583</v>
      </c>
      <c r="J291" s="16">
        <f>COUNTIF(H$5:H291,"Y")/COUNTA(H$5:H291)</f>
        <v>6.2717770034843204E-2</v>
      </c>
      <c r="K291" s="16">
        <f>AVERAGE(F$5:F291)</f>
        <v>2.1637630662020904</v>
      </c>
      <c r="L291" s="16">
        <f>SUM(F$5:F291)/SUM(E$5:E291)</f>
        <v>0.73170731707317016</v>
      </c>
    </row>
    <row r="292" spans="1:12" x14ac:dyDescent="0.25">
      <c r="A292" s="29">
        <v>45670</v>
      </c>
      <c r="B292" s="16" t="s">
        <v>338</v>
      </c>
      <c r="C292" s="34">
        <v>1</v>
      </c>
      <c r="D292" s="16" t="s">
        <v>50</v>
      </c>
      <c r="E292" s="35">
        <v>5.3</v>
      </c>
      <c r="F292" s="35">
        <v>3.8</v>
      </c>
      <c r="G292" s="16" t="s">
        <v>44</v>
      </c>
      <c r="H292" s="16" t="s">
        <v>45</v>
      </c>
      <c r="I292" s="16">
        <f>COUNTIF(G$5:G292,"Y")/COUNTA(G$5:G292)</f>
        <v>0.85416666666666663</v>
      </c>
      <c r="J292" s="16">
        <f>COUNTIF(H$5:H292,"Y")/COUNTA(H$5:H292)</f>
        <v>6.25E-2</v>
      </c>
      <c r="K292" s="16">
        <f>AVERAGE(F$5:F292)</f>
        <v>2.1694444444444438</v>
      </c>
      <c r="L292" s="16">
        <f>SUM(F$5:F292)/SUM(E$5:E292)</f>
        <v>0.73161592505854744</v>
      </c>
    </row>
    <row r="293" spans="1:12" x14ac:dyDescent="0.25">
      <c r="A293" s="29">
        <v>45671</v>
      </c>
      <c r="B293" s="16" t="s">
        <v>339</v>
      </c>
      <c r="C293" s="34">
        <v>1</v>
      </c>
      <c r="D293" s="16" t="s">
        <v>60</v>
      </c>
      <c r="E293" s="35">
        <v>2.9</v>
      </c>
      <c r="F293" s="35">
        <v>2.5</v>
      </c>
      <c r="G293" s="16" t="s">
        <v>44</v>
      </c>
      <c r="H293" s="16" t="s">
        <v>45</v>
      </c>
      <c r="I293" s="16">
        <f>COUNTIF(G$5:G293,"Y")/COUNTA(G$5:G293)</f>
        <v>0.8546712802768166</v>
      </c>
      <c r="J293" s="16">
        <f>COUNTIF(H$5:H293,"Y")/COUNTA(H$5:H293)</f>
        <v>6.228373702422145E-2</v>
      </c>
      <c r="K293" s="16">
        <f>AVERAGE(F$5:F293)</f>
        <v>2.170588235294117</v>
      </c>
      <c r="L293" s="16">
        <f>SUM(F$5:F293)/SUM(E$5:E293)</f>
        <v>0.73205741626794207</v>
      </c>
    </row>
    <row r="294" spans="1:12" x14ac:dyDescent="0.25">
      <c r="A294" s="29">
        <v>45672</v>
      </c>
      <c r="B294" s="16" t="s">
        <v>340</v>
      </c>
      <c r="C294" s="34">
        <v>1</v>
      </c>
      <c r="D294" s="16" t="s">
        <v>43</v>
      </c>
      <c r="E294" s="35">
        <v>1.7</v>
      </c>
      <c r="F294" s="35">
        <v>1.3</v>
      </c>
      <c r="G294" s="16" t="s">
        <v>44</v>
      </c>
      <c r="H294" s="16" t="s">
        <v>45</v>
      </c>
      <c r="I294" s="16">
        <f>COUNTIF(G$5:G294,"Y")/COUNTA(G$5:G294)</f>
        <v>0.85517241379310349</v>
      </c>
      <c r="J294" s="16">
        <f>COUNTIF(H$5:H294,"Y")/COUNTA(H$5:H294)</f>
        <v>6.2068965517241378E-2</v>
      </c>
      <c r="K294" s="16">
        <f>AVERAGE(F$5:F294)</f>
        <v>2.167586206896551</v>
      </c>
      <c r="L294" s="16">
        <f>SUM(F$5:F294)/SUM(E$5:E294)</f>
        <v>0.73212205916608364</v>
      </c>
    </row>
    <row r="295" spans="1:12" x14ac:dyDescent="0.25">
      <c r="A295" s="29">
        <v>45673</v>
      </c>
      <c r="B295" s="16" t="s">
        <v>341</v>
      </c>
      <c r="C295" s="34">
        <v>1</v>
      </c>
      <c r="D295" s="16" t="s">
        <v>60</v>
      </c>
      <c r="E295" s="35">
        <v>4.0999999999999996</v>
      </c>
      <c r="F295" s="35">
        <v>3.2</v>
      </c>
      <c r="G295" s="16" t="s">
        <v>44</v>
      </c>
      <c r="H295" s="16" t="s">
        <v>45</v>
      </c>
      <c r="I295" s="16">
        <f>COUNTIF(G$5:G295,"Y")/COUNTA(G$5:G295)</f>
        <v>0.85567010309278346</v>
      </c>
      <c r="J295" s="16">
        <f>COUNTIF(H$5:H295,"Y")/COUNTA(H$5:H295)</f>
        <v>6.1855670103092786E-2</v>
      </c>
      <c r="K295" s="16">
        <f>AVERAGE(F$5:F295)</f>
        <v>2.1711340206185561</v>
      </c>
      <c r="L295" s="16">
        <f>SUM(F$5:F295)/SUM(E$5:E295)</f>
        <v>0.73235191839573366</v>
      </c>
    </row>
    <row r="296" spans="1:12" x14ac:dyDescent="0.25">
      <c r="A296" s="29">
        <v>45674</v>
      </c>
      <c r="B296" s="16" t="s">
        <v>342</v>
      </c>
      <c r="C296" s="34">
        <v>1</v>
      </c>
      <c r="D296" s="16" t="s">
        <v>43</v>
      </c>
      <c r="E296" s="35">
        <v>1.7</v>
      </c>
      <c r="F296" s="35">
        <v>1.5</v>
      </c>
      <c r="G296" s="16" t="s">
        <v>44</v>
      </c>
      <c r="H296" s="16" t="s">
        <v>45</v>
      </c>
      <c r="I296" s="16">
        <f>COUNTIF(G$5:G296,"Y")/COUNTA(G$5:G296)</f>
        <v>0.85616438356164382</v>
      </c>
      <c r="J296" s="16">
        <f>COUNTIF(H$5:H296,"Y")/COUNTA(H$5:H296)</f>
        <v>6.1643835616438353E-2</v>
      </c>
      <c r="K296" s="16">
        <f>AVERAGE(F$5:F296)</f>
        <v>2.1688356164383555</v>
      </c>
      <c r="L296" s="16">
        <f>SUM(F$5:F296)/SUM(E$5:E296)</f>
        <v>0.73264692272096188</v>
      </c>
    </row>
    <row r="297" spans="1:12" x14ac:dyDescent="0.25">
      <c r="A297" s="29">
        <v>45670</v>
      </c>
      <c r="B297" s="16" t="s">
        <v>343</v>
      </c>
      <c r="C297" s="34">
        <v>1</v>
      </c>
      <c r="D297" s="16" t="s">
        <v>64</v>
      </c>
      <c r="E297" s="35">
        <v>5.0999999999999996</v>
      </c>
      <c r="F297" s="35">
        <v>3.8</v>
      </c>
      <c r="G297" s="16" t="s">
        <v>44</v>
      </c>
      <c r="H297" s="16" t="s">
        <v>45</v>
      </c>
      <c r="I297" s="16">
        <f>COUNTIF(G$5:G297,"Y")/COUNTA(G$5:G297)</f>
        <v>0.85665529010238906</v>
      </c>
      <c r="J297" s="16">
        <f>COUNTIF(H$5:H297,"Y")/COUNTA(H$5:H297)</f>
        <v>6.1433447098976107E-2</v>
      </c>
      <c r="K297" s="16">
        <f>AVERAGE(F$5:F297)</f>
        <v>2.1744027303754261</v>
      </c>
      <c r="L297" s="16">
        <f>SUM(F$5:F297)/SUM(E$5:E297)</f>
        <v>0.73271995399654899</v>
      </c>
    </row>
    <row r="298" spans="1:12" x14ac:dyDescent="0.25">
      <c r="A298" s="29">
        <v>45671</v>
      </c>
      <c r="B298" s="16" t="s">
        <v>344</v>
      </c>
      <c r="C298" s="34">
        <v>1</v>
      </c>
      <c r="D298" s="16" t="s">
        <v>64</v>
      </c>
      <c r="E298" s="35">
        <v>3.9</v>
      </c>
      <c r="F298" s="35">
        <v>3</v>
      </c>
      <c r="G298" s="16" t="s">
        <v>44</v>
      </c>
      <c r="H298" s="16" t="s">
        <v>45</v>
      </c>
      <c r="I298" s="16">
        <f>COUNTIF(G$5:G298,"Y")/COUNTA(G$5:G298)</f>
        <v>0.8571428571428571</v>
      </c>
      <c r="J298" s="16">
        <f>COUNTIF(H$5:H298,"Y")/COUNTA(H$5:H298)</f>
        <v>6.1224489795918366E-2</v>
      </c>
      <c r="K298" s="16">
        <f>AVERAGE(F$5:F298)</f>
        <v>2.177210884353741</v>
      </c>
      <c r="L298" s="16">
        <f>SUM(F$5:F298)/SUM(E$5:E298)</f>
        <v>0.73288298603159996</v>
      </c>
    </row>
    <row r="299" spans="1:12" x14ac:dyDescent="0.25">
      <c r="A299" s="29">
        <v>45672</v>
      </c>
      <c r="B299" s="16" t="s">
        <v>345</v>
      </c>
      <c r="C299" s="34">
        <v>1</v>
      </c>
      <c r="D299" s="16" t="s">
        <v>43</v>
      </c>
      <c r="E299" s="35">
        <v>5.4</v>
      </c>
      <c r="F299" s="35">
        <v>3.6</v>
      </c>
      <c r="G299" s="16" t="s">
        <v>44</v>
      </c>
      <c r="H299" s="16" t="s">
        <v>45</v>
      </c>
      <c r="I299" s="16">
        <f>COUNTIF(G$5:G299,"Y")/COUNTA(G$5:G299)</f>
        <v>0.85762711864406782</v>
      </c>
      <c r="J299" s="16">
        <f>COUNTIF(H$5:H299,"Y")/COUNTA(H$5:H299)</f>
        <v>6.1016949152542375E-2</v>
      </c>
      <c r="K299" s="16">
        <f>AVERAGE(F$5:F299)</f>
        <v>2.1820338983050842</v>
      </c>
      <c r="L299" s="16">
        <f>SUM(F$5:F299)/SUM(E$5:E299)</f>
        <v>0.73247610377787831</v>
      </c>
    </row>
    <row r="300" spans="1:12" x14ac:dyDescent="0.25">
      <c r="A300" s="29">
        <v>45673</v>
      </c>
      <c r="B300" s="16" t="s">
        <v>346</v>
      </c>
      <c r="C300" s="34">
        <v>1</v>
      </c>
      <c r="D300" s="16" t="s">
        <v>50</v>
      </c>
      <c r="E300" s="35">
        <v>2.4</v>
      </c>
      <c r="F300" s="35">
        <v>1.6</v>
      </c>
      <c r="G300" s="16" t="s">
        <v>45</v>
      </c>
      <c r="H300" s="16" t="s">
        <v>45</v>
      </c>
      <c r="I300" s="16">
        <f>COUNTIF(G$5:G300,"Y")/COUNTA(G$5:G300)</f>
        <v>0.85472972972972971</v>
      </c>
      <c r="J300" s="16">
        <f>COUNTIF(H$5:H300,"Y")/COUNTA(H$5:H300)</f>
        <v>6.0810810810810814E-2</v>
      </c>
      <c r="K300" s="16">
        <f>AVERAGE(F$5:F300)</f>
        <v>2.1800675675675669</v>
      </c>
      <c r="L300" s="16">
        <f>SUM(F$5:F300)/SUM(E$5:E300)</f>
        <v>0.73229686790739845</v>
      </c>
    </row>
    <row r="301" spans="1:12" x14ac:dyDescent="0.25">
      <c r="A301" s="29">
        <v>45674</v>
      </c>
      <c r="B301" s="16" t="s">
        <v>347</v>
      </c>
      <c r="C301" s="34">
        <v>1</v>
      </c>
      <c r="D301" s="16" t="s">
        <v>47</v>
      </c>
      <c r="E301" s="35">
        <v>0.6</v>
      </c>
      <c r="F301" s="35">
        <v>0.5</v>
      </c>
      <c r="G301" s="16" t="s">
        <v>44</v>
      </c>
      <c r="H301" s="16" t="s">
        <v>45</v>
      </c>
      <c r="I301" s="16">
        <f>COUNTIF(G$5:G301,"Y")/COUNTA(G$5:G301)</f>
        <v>0.85521885521885521</v>
      </c>
      <c r="J301" s="16">
        <f>COUNTIF(H$5:H301,"Y")/COUNTA(H$5:H301)</f>
        <v>6.0606060606060608E-2</v>
      </c>
      <c r="K301" s="16">
        <f>AVERAGE(F$5:F301)</f>
        <v>2.1744107744107737</v>
      </c>
      <c r="L301" s="16">
        <f>SUM(F$5:F301)/SUM(E$5:E301)</f>
        <v>0.73236561578589188</v>
      </c>
    </row>
    <row r="302" spans="1:12" x14ac:dyDescent="0.25">
      <c r="A302" s="29">
        <v>45670</v>
      </c>
      <c r="B302" s="16" t="s">
        <v>348</v>
      </c>
      <c r="C302" s="34">
        <v>1</v>
      </c>
      <c r="D302" s="16" t="s">
        <v>43</v>
      </c>
      <c r="E302" s="35">
        <v>0.6</v>
      </c>
      <c r="F302" s="35">
        <v>0.5</v>
      </c>
      <c r="G302" s="16" t="s">
        <v>44</v>
      </c>
      <c r="H302" s="16" t="s">
        <v>45</v>
      </c>
      <c r="I302" s="16">
        <f>COUNTIF(G$5:G302,"Y")/COUNTA(G$5:G302)</f>
        <v>0.85570469798657722</v>
      </c>
      <c r="J302" s="16">
        <f>COUNTIF(H$5:H302,"Y")/COUNTA(H$5:H302)</f>
        <v>6.0402684563758392E-2</v>
      </c>
      <c r="K302" s="16">
        <f>AVERAGE(F$5:F302)</f>
        <v>2.1687919463087244</v>
      </c>
      <c r="L302" s="16">
        <f>SUM(F$5:F302)/SUM(E$5:E302)</f>
        <v>0.73243427017225682</v>
      </c>
    </row>
    <row r="303" spans="1:12" x14ac:dyDescent="0.25">
      <c r="A303" s="29">
        <v>45671</v>
      </c>
      <c r="B303" s="16" t="s">
        <v>349</v>
      </c>
      <c r="C303" s="34">
        <v>1</v>
      </c>
      <c r="D303" s="16" t="s">
        <v>47</v>
      </c>
      <c r="E303" s="35">
        <v>0.6</v>
      </c>
      <c r="F303" s="35">
        <v>0.5</v>
      </c>
      <c r="G303" s="16" t="s">
        <v>44</v>
      </c>
      <c r="H303" s="16" t="s">
        <v>45</v>
      </c>
      <c r="I303" s="16">
        <f>COUNTIF(G$5:G303,"Y")/COUNTA(G$5:G303)</f>
        <v>0.85618729096989965</v>
      </c>
      <c r="J303" s="16">
        <f>COUNTIF(H$5:H303,"Y")/COUNTA(H$5:H303)</f>
        <v>6.0200668896321072E-2</v>
      </c>
      <c r="K303" s="16">
        <f>AVERAGE(F$5:F303)</f>
        <v>2.1632107023411367</v>
      </c>
      <c r="L303" s="16">
        <f>SUM(F$5:F303)/SUM(E$5:E303)</f>
        <v>0.73250283125707749</v>
      </c>
    </row>
    <row r="304" spans="1:12" x14ac:dyDescent="0.25">
      <c r="A304" s="29">
        <v>45672</v>
      </c>
      <c r="B304" s="16" t="s">
        <v>350</v>
      </c>
      <c r="C304" s="34">
        <v>1</v>
      </c>
      <c r="D304" s="16" t="s">
        <v>50</v>
      </c>
      <c r="E304" s="35">
        <v>0.7</v>
      </c>
      <c r="F304" s="35">
        <v>0.5</v>
      </c>
      <c r="G304" s="16" t="s">
        <v>45</v>
      </c>
      <c r="H304" s="16" t="s">
        <v>45</v>
      </c>
      <c r="I304" s="16">
        <f>COUNTIF(G$5:G304,"Y")/COUNTA(G$5:G304)</f>
        <v>0.85333333333333339</v>
      </c>
      <c r="J304" s="16">
        <f>COUNTIF(H$5:H304,"Y")/COUNTA(H$5:H304)</f>
        <v>0.06</v>
      </c>
      <c r="K304" s="16">
        <f>AVERAGE(F$5:F304)</f>
        <v>2.1576666666666662</v>
      </c>
      <c r="L304" s="16">
        <f>SUM(F$5:F304)/SUM(E$5:E304)</f>
        <v>0.7324884010410766</v>
      </c>
    </row>
    <row r="305" spans="1:13" x14ac:dyDescent="0.25">
      <c r="A305" s="29">
        <v>45673</v>
      </c>
      <c r="B305" s="16" t="s">
        <v>351</v>
      </c>
      <c r="C305" s="34">
        <v>1</v>
      </c>
      <c r="D305" s="16" t="s">
        <v>56</v>
      </c>
      <c r="E305" s="35">
        <v>0.5</v>
      </c>
      <c r="F305" s="35">
        <v>0.5</v>
      </c>
      <c r="G305" s="16" t="s">
        <v>44</v>
      </c>
      <c r="H305" s="16" t="s">
        <v>45</v>
      </c>
      <c r="I305" s="16">
        <f>COUNTIF(G$5:G305,"Y")/COUNTA(G$5:G305)</f>
        <v>0.85382059800664456</v>
      </c>
      <c r="J305" s="16">
        <f>COUNTIF(H$5:H305,"Y")/COUNTA(H$5:H305)</f>
        <v>5.9800664451827246E-2</v>
      </c>
      <c r="K305" s="16">
        <f>AVERAGE(F$5:F305)</f>
        <v>2.1521594684385379</v>
      </c>
      <c r="L305" s="16">
        <f>SUM(F$5:F305)/SUM(E$5:E305)</f>
        <v>0.73263967428183596</v>
      </c>
    </row>
    <row r="306" spans="1:13" x14ac:dyDescent="0.25">
      <c r="A306" s="29">
        <v>45674</v>
      </c>
      <c r="B306" s="16" t="s">
        <v>352</v>
      </c>
      <c r="C306" s="34">
        <v>1</v>
      </c>
      <c r="D306" s="16" t="s">
        <v>52</v>
      </c>
      <c r="E306" s="35">
        <v>0.5</v>
      </c>
      <c r="F306" s="35">
        <v>0.5</v>
      </c>
      <c r="G306" s="16" t="s">
        <v>44</v>
      </c>
      <c r="H306" s="16" t="s">
        <v>45</v>
      </c>
      <c r="I306" s="16">
        <f>COUNTIF(G$5:G306,"Y")/COUNTA(G$5:G306)</f>
        <v>0.85430463576158944</v>
      </c>
      <c r="J306" s="16">
        <f>COUNTIF(H$5:H306,"Y")/COUNTA(H$5:H306)</f>
        <v>5.9602649006622516E-2</v>
      </c>
      <c r="K306" s="16">
        <f>AVERAGE(F$5:F306)</f>
        <v>2.1466887417218539</v>
      </c>
      <c r="L306" s="16">
        <f>SUM(F$5:F306)/SUM(E$5:E306)</f>
        <v>0.73279077653441771</v>
      </c>
      <c r="M306" s="16">
        <v>14</v>
      </c>
    </row>
    <row r="307" spans="1:13" x14ac:dyDescent="0.25">
      <c r="A307" s="29">
        <v>45677</v>
      </c>
      <c r="B307" s="16" t="s">
        <v>353</v>
      </c>
      <c r="C307" s="34">
        <v>1</v>
      </c>
      <c r="D307" s="16" t="s">
        <v>52</v>
      </c>
      <c r="E307" s="35">
        <v>5.3</v>
      </c>
      <c r="F307" s="35">
        <v>4</v>
      </c>
      <c r="G307" s="16" t="s">
        <v>44</v>
      </c>
      <c r="H307" s="16" t="s">
        <v>45</v>
      </c>
      <c r="I307" s="16">
        <f>COUNTIF(G$5:G307,"Y")/COUNTA(G$5:G307)</f>
        <v>0.8547854785478548</v>
      </c>
      <c r="J307" s="16">
        <f>COUNTIF(H$5:H307,"Y")/COUNTA(H$5:H307)</f>
        <v>5.9405940594059403E-2</v>
      </c>
      <c r="K307" s="16">
        <f>AVERAGE(F$5:F307)</f>
        <v>2.1528052805280522</v>
      </c>
      <c r="L307" s="16">
        <f>SUM(F$5:F307)/SUM(E$5:E307)</f>
        <v>0.73292134831460609</v>
      </c>
    </row>
    <row r="308" spans="1:13" x14ac:dyDescent="0.25">
      <c r="A308" s="29">
        <v>45678</v>
      </c>
      <c r="B308" s="16" t="s">
        <v>354</v>
      </c>
      <c r="C308" s="34">
        <v>1</v>
      </c>
      <c r="D308" s="16" t="s">
        <v>60</v>
      </c>
      <c r="E308" s="35">
        <v>4.0999999999999996</v>
      </c>
      <c r="F308" s="35">
        <v>3.2</v>
      </c>
      <c r="G308" s="16" t="s">
        <v>44</v>
      </c>
      <c r="H308" s="16" t="s">
        <v>44</v>
      </c>
      <c r="I308" s="16">
        <f>COUNTIF(G$5:G308,"Y")/COUNTA(G$5:G308)</f>
        <v>0.85526315789473684</v>
      </c>
      <c r="J308" s="16">
        <f>COUNTIF(H$5:H308,"Y")/COUNTA(H$5:H308)</f>
        <v>6.25E-2</v>
      </c>
      <c r="K308" s="16">
        <f>AVERAGE(F$5:F308)</f>
        <v>2.1562499999999996</v>
      </c>
      <c r="L308" s="16">
        <f>SUM(F$5:F308)/SUM(E$5:E308)</f>
        <v>0.73313946985795708</v>
      </c>
    </row>
    <row r="309" spans="1:13" x14ac:dyDescent="0.25">
      <c r="A309" s="29">
        <v>45679</v>
      </c>
      <c r="B309" s="16" t="s">
        <v>355</v>
      </c>
      <c r="C309" s="34">
        <v>1</v>
      </c>
      <c r="D309" s="16" t="s">
        <v>56</v>
      </c>
      <c r="E309" s="35">
        <v>3</v>
      </c>
      <c r="F309" s="35">
        <v>2.5</v>
      </c>
      <c r="G309" s="16" t="s">
        <v>44</v>
      </c>
      <c r="H309" s="16" t="s">
        <v>45</v>
      </c>
      <c r="I309" s="16">
        <f>COUNTIF(G$5:G309,"Y")/COUNTA(G$5:G309)</f>
        <v>0.8557377049180328</v>
      </c>
      <c r="J309" s="16">
        <f>COUNTIF(H$5:H309,"Y")/COUNTA(H$5:H309)</f>
        <v>6.2295081967213117E-2</v>
      </c>
      <c r="K309" s="16">
        <f>AVERAGE(F$5:F309)</f>
        <v>2.1573770491803277</v>
      </c>
      <c r="L309" s="16">
        <f>SUM(F$5:F309)/SUM(E$5:E309)</f>
        <v>0.7334745290380108</v>
      </c>
    </row>
    <row r="310" spans="1:13" x14ac:dyDescent="0.25">
      <c r="A310" s="29">
        <v>45680</v>
      </c>
      <c r="B310" s="16" t="s">
        <v>356</v>
      </c>
      <c r="C310" s="34">
        <v>1</v>
      </c>
      <c r="D310" s="16" t="s">
        <v>60</v>
      </c>
      <c r="E310" s="35">
        <v>3.3</v>
      </c>
      <c r="F310" s="35">
        <v>2.5</v>
      </c>
      <c r="G310" s="16" t="s">
        <v>45</v>
      </c>
      <c r="H310" s="16" t="s">
        <v>45</v>
      </c>
      <c r="I310" s="16">
        <f>COUNTIF(G$5:G310,"Y")/COUNTA(G$5:G310)</f>
        <v>0.8529411764705882</v>
      </c>
      <c r="J310" s="16">
        <f>COUNTIF(H$5:H310,"Y")/COUNTA(H$5:H310)</f>
        <v>6.2091503267973858E-2</v>
      </c>
      <c r="K310" s="16">
        <f>AVERAGE(F$5:F310)</f>
        <v>2.1584967320261432</v>
      </c>
      <c r="L310" s="16">
        <f>SUM(F$5:F310)/SUM(E$5:E310)</f>
        <v>0.73356286095068801</v>
      </c>
    </row>
    <row r="311" spans="1:13" x14ac:dyDescent="0.25">
      <c r="A311" s="29">
        <v>45681</v>
      </c>
      <c r="B311" s="16" t="s">
        <v>357</v>
      </c>
      <c r="C311" s="34">
        <v>1</v>
      </c>
      <c r="D311" s="16" t="s">
        <v>43</v>
      </c>
      <c r="E311" s="35">
        <v>2.1</v>
      </c>
      <c r="F311" s="35">
        <v>1.4</v>
      </c>
      <c r="G311" s="16" t="s">
        <v>44</v>
      </c>
      <c r="H311" s="16" t="s">
        <v>45</v>
      </c>
      <c r="I311" s="16">
        <f>COUNTIF(G$5:G311,"Y")/COUNTA(G$5:G311)</f>
        <v>0.85342019543973946</v>
      </c>
      <c r="J311" s="16">
        <f>COUNTIF(H$5:H311,"Y")/COUNTA(H$5:H311)</f>
        <v>6.1889250814332247E-2</v>
      </c>
      <c r="K311" s="16">
        <f>AVERAGE(F$5:F311)</f>
        <v>2.1560260586319213</v>
      </c>
      <c r="L311" s="16">
        <f>SUM(F$5:F311)/SUM(E$5:E311)</f>
        <v>0.73340720221606592</v>
      </c>
    </row>
    <row r="312" spans="1:13" x14ac:dyDescent="0.25">
      <c r="A312" s="29">
        <v>45677</v>
      </c>
      <c r="B312" s="16" t="s">
        <v>358</v>
      </c>
      <c r="C312" s="34">
        <v>1</v>
      </c>
      <c r="D312" s="16" t="s">
        <v>56</v>
      </c>
      <c r="E312" s="35">
        <v>4.2</v>
      </c>
      <c r="F312" s="35">
        <v>3.4</v>
      </c>
      <c r="G312" s="16" t="s">
        <v>44</v>
      </c>
      <c r="H312" s="16" t="s">
        <v>45</v>
      </c>
      <c r="I312" s="16">
        <f>COUNTIF(G$5:G312,"Y")/COUNTA(G$5:G312)</f>
        <v>0.85389610389610393</v>
      </c>
      <c r="J312" s="16">
        <f>COUNTIF(H$5:H312,"Y")/COUNTA(H$5:H312)</f>
        <v>6.1688311688311688E-2</v>
      </c>
      <c r="K312" s="16">
        <f>AVERAGE(F$5:F312)</f>
        <v>2.1600649350649346</v>
      </c>
      <c r="L312" s="16">
        <f>SUM(F$5:F312)/SUM(E$5:E312)</f>
        <v>0.73375978824307864</v>
      </c>
    </row>
    <row r="313" spans="1:13" x14ac:dyDescent="0.25">
      <c r="A313" s="29">
        <v>45678</v>
      </c>
      <c r="B313" s="16" t="s">
        <v>359</v>
      </c>
      <c r="C313" s="34">
        <v>1</v>
      </c>
      <c r="D313" s="16" t="s">
        <v>56</v>
      </c>
      <c r="E313" s="35">
        <v>4.0999999999999996</v>
      </c>
      <c r="F313" s="35">
        <v>3.5</v>
      </c>
      <c r="G313" s="16" t="s">
        <v>44</v>
      </c>
      <c r="H313" s="16" t="s">
        <v>45</v>
      </c>
      <c r="I313" s="16">
        <f>COUNTIF(G$5:G313,"Y")/COUNTA(G$5:G313)</f>
        <v>0.85436893203883491</v>
      </c>
      <c r="J313" s="16">
        <f>COUNTIF(H$5:H313,"Y")/COUNTA(H$5:H313)</f>
        <v>6.1488673139158574E-2</v>
      </c>
      <c r="K313" s="16">
        <f>AVERAGE(F$5:F313)</f>
        <v>2.1644012944983815</v>
      </c>
      <c r="L313" s="16">
        <f>SUM(F$5:F313)/SUM(E$5:E313)</f>
        <v>0.73429951690821182</v>
      </c>
    </row>
    <row r="314" spans="1:13" x14ac:dyDescent="0.25">
      <c r="A314" s="29">
        <v>45679</v>
      </c>
      <c r="B314" s="16" t="s">
        <v>360</v>
      </c>
      <c r="C314" s="34">
        <v>1</v>
      </c>
      <c r="D314" s="16" t="s">
        <v>56</v>
      </c>
      <c r="E314" s="35">
        <v>4.0999999999999996</v>
      </c>
      <c r="F314" s="35">
        <v>3</v>
      </c>
      <c r="G314" s="16" t="s">
        <v>44</v>
      </c>
      <c r="H314" s="16" t="s">
        <v>45</v>
      </c>
      <c r="I314" s="16">
        <f>COUNTIF(G$5:G314,"Y")/COUNTA(G$5:G314)</f>
        <v>0.85483870967741937</v>
      </c>
      <c r="J314" s="16">
        <f>COUNTIF(H$5:H314,"Y")/COUNTA(H$5:H314)</f>
        <v>6.1290322580645158E-2</v>
      </c>
      <c r="K314" s="16">
        <f>AVERAGE(F$5:F314)</f>
        <v>2.1670967741935478</v>
      </c>
      <c r="L314" s="16">
        <f>SUM(F$5:F314)/SUM(E$5:E314)</f>
        <v>0.73428790031697388</v>
      </c>
    </row>
    <row r="315" spans="1:13" x14ac:dyDescent="0.25">
      <c r="A315" s="29">
        <v>45680</v>
      </c>
      <c r="B315" s="16" t="s">
        <v>361</v>
      </c>
      <c r="C315" s="34">
        <v>1</v>
      </c>
      <c r="D315" s="16" t="s">
        <v>52</v>
      </c>
      <c r="E315" s="35">
        <v>2.5</v>
      </c>
      <c r="F315" s="35">
        <v>1.7</v>
      </c>
      <c r="G315" s="16" t="s">
        <v>44</v>
      </c>
      <c r="H315" s="16" t="s">
        <v>45</v>
      </c>
      <c r="I315" s="16">
        <f>COUNTIF(G$5:G315,"Y")/COUNTA(G$5:G315)</f>
        <v>0.85530546623794212</v>
      </c>
      <c r="J315" s="16">
        <f>COUNTIF(H$5:H315,"Y")/COUNTA(H$5:H315)</f>
        <v>6.1093247588424437E-2</v>
      </c>
      <c r="K315" s="16">
        <f>AVERAGE(F$5:F315)</f>
        <v>2.165594855305466</v>
      </c>
      <c r="L315" s="16">
        <f>SUM(F$5:F315)/SUM(E$5:E315)</f>
        <v>0.73413996075866517</v>
      </c>
    </row>
    <row r="316" spans="1:13" x14ac:dyDescent="0.25">
      <c r="A316" s="29">
        <v>45681</v>
      </c>
      <c r="B316" s="16" t="s">
        <v>362</v>
      </c>
      <c r="C316" s="34">
        <v>1</v>
      </c>
      <c r="D316" s="16" t="s">
        <v>64</v>
      </c>
      <c r="E316" s="35">
        <v>3.4</v>
      </c>
      <c r="F316" s="35">
        <v>2.2000000000000002</v>
      </c>
      <c r="G316" s="16" t="s">
        <v>44</v>
      </c>
      <c r="H316" s="16" t="s">
        <v>45</v>
      </c>
      <c r="I316" s="16">
        <f>COUNTIF(G$5:G316,"Y")/COUNTA(G$5:G316)</f>
        <v>0.85576923076923073</v>
      </c>
      <c r="J316" s="16">
        <f>COUNTIF(H$5:H316,"Y")/COUNTA(H$5:H316)</f>
        <v>6.0897435897435896E-2</v>
      </c>
      <c r="K316" s="16">
        <f>AVERAGE(F$5:F316)</f>
        <v>2.1657051282051278</v>
      </c>
      <c r="L316" s="16">
        <f>SUM(F$5:F316)/SUM(E$5:E316)</f>
        <v>0.73381841876628962</v>
      </c>
    </row>
    <row r="317" spans="1:13" x14ac:dyDescent="0.25">
      <c r="A317" s="29">
        <v>45677</v>
      </c>
      <c r="B317" s="16" t="s">
        <v>363</v>
      </c>
      <c r="C317" s="34">
        <v>1</v>
      </c>
      <c r="D317" s="16" t="s">
        <v>52</v>
      </c>
      <c r="E317" s="35">
        <v>3.7</v>
      </c>
      <c r="F317" s="35">
        <v>3.1</v>
      </c>
      <c r="G317" s="16" t="s">
        <v>45</v>
      </c>
      <c r="H317" s="16" t="s">
        <v>45</v>
      </c>
      <c r="I317" s="16">
        <f>COUNTIF(G$5:G317,"Y")/COUNTA(G$5:G317)</f>
        <v>0.85303514376996803</v>
      </c>
      <c r="J317" s="16">
        <f>COUNTIF(H$5:H317,"Y")/COUNTA(H$5:H317)</f>
        <v>6.070287539936102E-2</v>
      </c>
      <c r="K317" s="16">
        <f>AVERAGE(F$5:F317)</f>
        <v>2.1686900958466451</v>
      </c>
      <c r="L317" s="16">
        <f>SUM(F$5:F317)/SUM(E$5:E317)</f>
        <v>0.73423472147106483</v>
      </c>
    </row>
    <row r="318" spans="1:13" x14ac:dyDescent="0.25">
      <c r="A318" s="29">
        <v>45678</v>
      </c>
      <c r="B318" s="16" t="s">
        <v>364</v>
      </c>
      <c r="C318" s="34">
        <v>1</v>
      </c>
      <c r="D318" s="16" t="s">
        <v>60</v>
      </c>
      <c r="E318" s="35">
        <v>1.9</v>
      </c>
      <c r="F318" s="35">
        <v>1.5</v>
      </c>
      <c r="G318" s="16" t="s">
        <v>44</v>
      </c>
      <c r="H318" s="16" t="s">
        <v>45</v>
      </c>
      <c r="I318" s="16">
        <f>COUNTIF(G$5:G318,"Y")/COUNTA(G$5:G318)</f>
        <v>0.85350318471337583</v>
      </c>
      <c r="J318" s="16">
        <f>COUNTIF(H$5:H318,"Y")/COUNTA(H$5:H318)</f>
        <v>6.0509554140127389E-2</v>
      </c>
      <c r="K318" s="16">
        <f>AVERAGE(F$5:F318)</f>
        <v>2.1665605095541398</v>
      </c>
      <c r="L318" s="16">
        <f>SUM(F$5:F318)/SUM(E$5:E318)</f>
        <v>0.73434801381692516</v>
      </c>
    </row>
    <row r="319" spans="1:13" x14ac:dyDescent="0.25">
      <c r="A319" s="29">
        <v>45679</v>
      </c>
      <c r="B319" s="16" t="s">
        <v>365</v>
      </c>
      <c r="C319" s="34">
        <v>1</v>
      </c>
      <c r="D319" s="16" t="s">
        <v>52</v>
      </c>
      <c r="E319" s="35">
        <v>2.1</v>
      </c>
      <c r="F319" s="35">
        <v>1.7</v>
      </c>
      <c r="G319" s="16" t="s">
        <v>44</v>
      </c>
      <c r="H319" s="16" t="s">
        <v>45</v>
      </c>
      <c r="I319" s="16">
        <f>COUNTIF(G$5:G319,"Y")/COUNTA(G$5:G319)</f>
        <v>0.85396825396825393</v>
      </c>
      <c r="J319" s="16">
        <f>COUNTIF(H$5:H319,"Y")/COUNTA(H$5:H319)</f>
        <v>6.0317460317460318E-2</v>
      </c>
      <c r="K319" s="16">
        <f>AVERAGE(F$5:F319)</f>
        <v>2.1650793650793649</v>
      </c>
      <c r="L319" s="16">
        <f>SUM(F$5:F319)/SUM(E$5:E319)</f>
        <v>0.7345180398492186</v>
      </c>
    </row>
    <row r="320" spans="1:13" x14ac:dyDescent="0.25">
      <c r="A320" s="29">
        <v>45680</v>
      </c>
      <c r="B320" s="16" t="s">
        <v>366</v>
      </c>
      <c r="C320" s="34">
        <v>1</v>
      </c>
      <c r="D320" s="16" t="s">
        <v>56</v>
      </c>
      <c r="E320" s="35">
        <v>4</v>
      </c>
      <c r="F320" s="35">
        <v>3.4</v>
      </c>
      <c r="G320" s="16" t="s">
        <v>44</v>
      </c>
      <c r="H320" s="16" t="s">
        <v>45</v>
      </c>
      <c r="I320" s="16">
        <f>COUNTIF(G$5:G320,"Y")/COUNTA(G$5:G320)</f>
        <v>0.85443037974683544</v>
      </c>
      <c r="J320" s="16">
        <f>COUNTIF(H$5:H320,"Y")/COUNTA(H$5:H320)</f>
        <v>6.0126582278481014E-2</v>
      </c>
      <c r="K320" s="16">
        <f>AVERAGE(F$5:F320)</f>
        <v>2.1689873417721519</v>
      </c>
      <c r="L320" s="16">
        <f>SUM(F$5:F320)/SUM(E$5:E320)</f>
        <v>0.73501340482573674</v>
      </c>
    </row>
    <row r="321" spans="1:12" x14ac:dyDescent="0.25">
      <c r="A321" s="29">
        <v>45681</v>
      </c>
      <c r="B321" s="16" t="s">
        <v>367</v>
      </c>
      <c r="C321" s="34">
        <v>1</v>
      </c>
      <c r="D321" s="16" t="s">
        <v>64</v>
      </c>
      <c r="E321" s="35">
        <v>5.6</v>
      </c>
      <c r="F321" s="35">
        <v>4</v>
      </c>
      <c r="G321" s="16" t="s">
        <v>44</v>
      </c>
      <c r="H321" s="16" t="s">
        <v>45</v>
      </c>
      <c r="I321" s="16">
        <f>COUNTIF(G$5:G321,"Y")/COUNTA(G$5:G321)</f>
        <v>0.85488958990536279</v>
      </c>
      <c r="J321" s="16">
        <f>COUNTIF(H$5:H321,"Y")/COUNTA(H$5:H321)</f>
        <v>5.993690851735016E-2</v>
      </c>
      <c r="K321" s="16">
        <f>AVERAGE(F$5:F321)</f>
        <v>2.174763406940063</v>
      </c>
      <c r="L321" s="16">
        <f>SUM(F$5:F321)/SUM(E$5:E321)</f>
        <v>0.73488967061080845</v>
      </c>
    </row>
    <row r="322" spans="1:12" x14ac:dyDescent="0.25">
      <c r="A322" s="29">
        <v>45677</v>
      </c>
      <c r="B322" s="16" t="s">
        <v>368</v>
      </c>
      <c r="C322" s="34">
        <v>1</v>
      </c>
      <c r="D322" s="16" t="s">
        <v>43</v>
      </c>
      <c r="E322" s="35">
        <v>3.4</v>
      </c>
      <c r="F322" s="35">
        <v>2.5</v>
      </c>
      <c r="G322" s="16" t="s">
        <v>44</v>
      </c>
      <c r="H322" s="16" t="s">
        <v>45</v>
      </c>
      <c r="I322" s="16">
        <f>COUNTIF(G$5:G322,"Y")/COUNTA(G$5:G322)</f>
        <v>0.85534591194968557</v>
      </c>
      <c r="J322" s="16">
        <f>COUNTIF(H$5:H322,"Y")/COUNTA(H$5:H322)</f>
        <v>5.9748427672955975E-2</v>
      </c>
      <c r="K322" s="16">
        <f>AVERAGE(F$5:F322)</f>
        <v>2.1757861635220124</v>
      </c>
      <c r="L322" s="16">
        <f>SUM(F$5:F322)/SUM(E$5:E322)</f>
        <v>0.73489113117365845</v>
      </c>
    </row>
    <row r="323" spans="1:12" x14ac:dyDescent="0.25">
      <c r="A323" s="29">
        <v>45678</v>
      </c>
      <c r="B323" s="16" t="s">
        <v>369</v>
      </c>
      <c r="C323" s="34">
        <v>1</v>
      </c>
      <c r="D323" s="16" t="s">
        <v>47</v>
      </c>
      <c r="E323" s="35">
        <v>4.0999999999999996</v>
      </c>
      <c r="F323" s="35">
        <v>2.9</v>
      </c>
      <c r="G323" s="16" t="s">
        <v>44</v>
      </c>
      <c r="H323" s="16" t="s">
        <v>45</v>
      </c>
      <c r="I323" s="16">
        <f>COUNTIF(G$5:G323,"Y")/COUNTA(G$5:G323)</f>
        <v>0.85579937304075238</v>
      </c>
      <c r="J323" s="16">
        <f>COUNTIF(H$5:H323,"Y")/COUNTA(H$5:H323)</f>
        <v>5.9561128526645767E-2</v>
      </c>
      <c r="K323" s="16">
        <f>AVERAGE(F$5:F323)</f>
        <v>2.1780564263322884</v>
      </c>
      <c r="L323" s="16">
        <f>SUM(F$5:F323)/SUM(E$5:E323)</f>
        <v>0.73477157360406031</v>
      </c>
    </row>
    <row r="324" spans="1:12" x14ac:dyDescent="0.25">
      <c r="A324" s="29">
        <v>45679</v>
      </c>
      <c r="B324" s="16" t="s">
        <v>370</v>
      </c>
      <c r="C324" s="34">
        <v>1</v>
      </c>
      <c r="D324" s="16" t="s">
        <v>43</v>
      </c>
      <c r="E324" s="35">
        <v>5.3</v>
      </c>
      <c r="F324" s="35">
        <v>3.8</v>
      </c>
      <c r="G324" s="16" t="s">
        <v>44</v>
      </c>
      <c r="H324" s="16" t="s">
        <v>45</v>
      </c>
      <c r="I324" s="16">
        <f>COUNTIF(G$5:G324,"Y")/COUNTA(G$5:G324)</f>
        <v>0.85624999999999996</v>
      </c>
      <c r="J324" s="16">
        <f>COUNTIF(H$5:H324,"Y")/COUNTA(H$5:H324)</f>
        <v>5.9374999999999997E-2</v>
      </c>
      <c r="K324" s="16">
        <f>AVERAGE(F$5:F324)</f>
        <v>2.1831249999999995</v>
      </c>
      <c r="L324" s="16">
        <f>SUM(F$5:F324)/SUM(E$5:E324)</f>
        <v>0.73467241560626717</v>
      </c>
    </row>
    <row r="325" spans="1:12" x14ac:dyDescent="0.25">
      <c r="A325" s="29">
        <v>45680</v>
      </c>
      <c r="B325" s="16" t="s">
        <v>371</v>
      </c>
      <c r="C325" s="34">
        <v>1</v>
      </c>
      <c r="D325" s="16" t="s">
        <v>50</v>
      </c>
      <c r="E325" s="35">
        <v>5.2</v>
      </c>
      <c r="F325" s="35">
        <v>4.0999999999999996</v>
      </c>
      <c r="G325" s="16" t="s">
        <v>45</v>
      </c>
      <c r="H325" s="16" t="s">
        <v>44</v>
      </c>
      <c r="I325" s="16">
        <f>COUNTIF(G$5:G325,"Y")/COUNTA(G$5:G325)</f>
        <v>0.85358255451713394</v>
      </c>
      <c r="J325" s="16">
        <f>COUNTIF(H$5:H325,"Y")/COUNTA(H$5:H325)</f>
        <v>6.2305295950155763E-2</v>
      </c>
      <c r="K325" s="16">
        <f>AVERAGE(F$5:F325)</f>
        <v>2.1890965732087224</v>
      </c>
      <c r="L325" s="16">
        <f>SUM(F$5:F325)/SUM(E$5:E325)</f>
        <v>0.73496496182407633</v>
      </c>
    </row>
    <row r="326" spans="1:12" x14ac:dyDescent="0.25">
      <c r="A326" s="29">
        <v>45681</v>
      </c>
      <c r="B326" s="16" t="s">
        <v>372</v>
      </c>
      <c r="C326" s="34">
        <v>1</v>
      </c>
      <c r="D326" s="16" t="s">
        <v>64</v>
      </c>
      <c r="E326" s="35">
        <v>5.2</v>
      </c>
      <c r="F326" s="35">
        <v>4.0999999999999996</v>
      </c>
      <c r="G326" s="16" t="s">
        <v>44</v>
      </c>
      <c r="H326" s="16" t="s">
        <v>45</v>
      </c>
      <c r="I326" s="16">
        <f>COUNTIF(G$5:G326,"Y")/COUNTA(G$5:G326)</f>
        <v>0.85403726708074534</v>
      </c>
      <c r="J326" s="16">
        <f>COUNTIF(H$5:H326,"Y")/COUNTA(H$5:H326)</f>
        <v>6.2111801242236024E-2</v>
      </c>
      <c r="K326" s="16">
        <f>AVERAGE(F$5:F326)</f>
        <v>2.1950310559006212</v>
      </c>
      <c r="L326" s="16">
        <f>SUM(F$5:F326)/SUM(E$5:E326)</f>
        <v>0.73525434307708248</v>
      </c>
    </row>
    <row r="327" spans="1:12" x14ac:dyDescent="0.25">
      <c r="A327" s="29">
        <v>45677</v>
      </c>
      <c r="B327" s="16" t="s">
        <v>373</v>
      </c>
      <c r="C327" s="34">
        <v>1</v>
      </c>
      <c r="D327" s="16" t="s">
        <v>64</v>
      </c>
      <c r="E327" s="35">
        <v>3.3</v>
      </c>
      <c r="F327" s="35">
        <v>2.5</v>
      </c>
      <c r="G327" s="16" t="s">
        <v>44</v>
      </c>
      <c r="H327" s="16" t="s">
        <v>45</v>
      </c>
      <c r="I327" s="16">
        <f>COUNTIF(G$5:G327,"Y")/COUNTA(G$5:G327)</f>
        <v>0.85448916408668729</v>
      </c>
      <c r="J327" s="16">
        <f>COUNTIF(H$5:H327,"Y")/COUNTA(H$5:H327)</f>
        <v>6.1919504643962849E-2</v>
      </c>
      <c r="K327" s="16">
        <f>AVERAGE(F$5:F327)</f>
        <v>2.1959752321981423</v>
      </c>
      <c r="L327" s="16">
        <f>SUM(F$5:F327)/SUM(E$5:E327)</f>
        <v>0.73533070702881964</v>
      </c>
    </row>
    <row r="328" spans="1:12" x14ac:dyDescent="0.25">
      <c r="A328" s="29">
        <v>45678</v>
      </c>
      <c r="B328" s="16" t="s">
        <v>374</v>
      </c>
      <c r="C328" s="34">
        <v>1</v>
      </c>
      <c r="D328" s="16" t="s">
        <v>56</v>
      </c>
      <c r="E328" s="35">
        <v>4.4000000000000004</v>
      </c>
      <c r="F328" s="35">
        <v>3</v>
      </c>
      <c r="G328" s="16" t="s">
        <v>44</v>
      </c>
      <c r="H328" s="16" t="s">
        <v>45</v>
      </c>
      <c r="I328" s="16">
        <f>COUNTIF(G$5:G328,"Y")/COUNTA(G$5:G328)</f>
        <v>0.85493827160493829</v>
      </c>
      <c r="J328" s="16">
        <f>COUNTIF(H$5:H328,"Y")/COUNTA(H$5:H328)</f>
        <v>6.1728395061728392E-2</v>
      </c>
      <c r="K328" s="16">
        <f>AVERAGE(F$5:F328)</f>
        <v>2.1984567901234566</v>
      </c>
      <c r="L328" s="16">
        <f>SUM(F$5:F328)/SUM(E$5:E328)</f>
        <v>0.73508771929824501</v>
      </c>
    </row>
    <row r="329" spans="1:12" x14ac:dyDescent="0.25">
      <c r="A329" s="29">
        <v>45679</v>
      </c>
      <c r="B329" s="16" t="s">
        <v>375</v>
      </c>
      <c r="C329" s="34">
        <v>1</v>
      </c>
      <c r="D329" s="16" t="s">
        <v>43</v>
      </c>
      <c r="E329" s="35">
        <v>3.7</v>
      </c>
      <c r="F329" s="35">
        <v>2.9</v>
      </c>
      <c r="G329" s="16" t="s">
        <v>44</v>
      </c>
      <c r="H329" s="16" t="s">
        <v>45</v>
      </c>
      <c r="I329" s="16">
        <f>COUNTIF(G$5:G329,"Y")/COUNTA(G$5:G329)</f>
        <v>0.85538461538461541</v>
      </c>
      <c r="J329" s="16">
        <f>COUNTIF(H$5:H329,"Y")/COUNTA(H$5:H329)</f>
        <v>6.1538461538461542E-2</v>
      </c>
      <c r="K329" s="16">
        <f>AVERAGE(F$5:F329)</f>
        <v>2.2006153846153844</v>
      </c>
      <c r="L329" s="16">
        <f>SUM(F$5:F329)/SUM(E$5:E329)</f>
        <v>0.73527295157808104</v>
      </c>
    </row>
    <row r="330" spans="1:12" x14ac:dyDescent="0.25">
      <c r="A330" s="29">
        <v>45680</v>
      </c>
      <c r="B330" s="16" t="s">
        <v>376</v>
      </c>
      <c r="C330" s="34">
        <v>1</v>
      </c>
      <c r="D330" s="16" t="s">
        <v>60</v>
      </c>
      <c r="E330" s="35">
        <v>1.9</v>
      </c>
      <c r="F330" s="35">
        <v>1.4</v>
      </c>
      <c r="G330" s="16" t="s">
        <v>44</v>
      </c>
      <c r="H330" s="16" t="s">
        <v>45</v>
      </c>
      <c r="I330" s="16">
        <f>COUNTIF(G$5:G330,"Y")/COUNTA(G$5:G330)</f>
        <v>0.85582822085889576</v>
      </c>
      <c r="J330" s="16">
        <f>COUNTIF(H$5:H330,"Y")/COUNTA(H$5:H330)</f>
        <v>6.1349693251533742E-2</v>
      </c>
      <c r="K330" s="16">
        <f>AVERAGE(F$5:F330)</f>
        <v>2.1981595092024535</v>
      </c>
      <c r="L330" s="16">
        <f>SUM(F$5:F330)/SUM(E$5:E330)</f>
        <v>0.73527601067104387</v>
      </c>
    </row>
    <row r="331" spans="1:12" x14ac:dyDescent="0.25">
      <c r="A331" s="29">
        <v>45681</v>
      </c>
      <c r="B331" s="16" t="s">
        <v>377</v>
      </c>
      <c r="C331" s="34">
        <v>1</v>
      </c>
      <c r="D331" s="16" t="s">
        <v>50</v>
      </c>
      <c r="E331" s="35">
        <v>1.7</v>
      </c>
      <c r="F331" s="35">
        <v>1.3</v>
      </c>
      <c r="G331" s="16" t="s">
        <v>45</v>
      </c>
      <c r="H331" s="16" t="s">
        <v>45</v>
      </c>
      <c r="I331" s="16">
        <f>COUNTIF(G$5:G331,"Y")/COUNTA(G$5:G331)</f>
        <v>0.85321100917431192</v>
      </c>
      <c r="J331" s="16">
        <f>COUNTIF(H$5:H331,"Y")/COUNTA(H$5:H331)</f>
        <v>6.1162079510703363E-2</v>
      </c>
      <c r="K331" s="16">
        <f>AVERAGE(F$5:F331)</f>
        <v>2.1954128440366967</v>
      </c>
      <c r="L331" s="16">
        <f>SUM(F$5:F331)/SUM(E$5:E331)</f>
        <v>0.73532725596640303</v>
      </c>
    </row>
    <row r="332" spans="1:12" x14ac:dyDescent="0.25">
      <c r="A332" s="29">
        <v>45677</v>
      </c>
      <c r="B332" s="16" t="s">
        <v>378</v>
      </c>
      <c r="C332" s="34">
        <v>1</v>
      </c>
      <c r="D332" s="16" t="s">
        <v>52</v>
      </c>
      <c r="E332" s="35">
        <v>2.8</v>
      </c>
      <c r="F332" s="35">
        <v>2</v>
      </c>
      <c r="G332" s="16" t="s">
        <v>44</v>
      </c>
      <c r="H332" s="16" t="s">
        <v>45</v>
      </c>
      <c r="I332" s="16">
        <f>COUNTIF(G$5:G332,"Y")/COUNTA(G$5:G332)</f>
        <v>0.85365853658536583</v>
      </c>
      <c r="J332" s="16">
        <f>COUNTIF(H$5:H332,"Y")/COUNTA(H$5:H332)</f>
        <v>6.097560975609756E-2</v>
      </c>
      <c r="K332" s="16">
        <f>AVERAGE(F$5:F332)</f>
        <v>2.1948170731707313</v>
      </c>
      <c r="L332" s="16">
        <f>SUM(F$5:F332)/SUM(E$5:E332)</f>
        <v>0.73526708201409385</v>
      </c>
    </row>
    <row r="333" spans="1:12" x14ac:dyDescent="0.25">
      <c r="A333" s="29">
        <v>45678</v>
      </c>
      <c r="B333" s="16" t="s">
        <v>379</v>
      </c>
      <c r="C333" s="34">
        <v>1</v>
      </c>
      <c r="D333" s="16" t="s">
        <v>64</v>
      </c>
      <c r="E333" s="35">
        <v>4.8</v>
      </c>
      <c r="F333" s="35">
        <v>4.0999999999999996</v>
      </c>
      <c r="G333" s="16" t="s">
        <v>44</v>
      </c>
      <c r="H333" s="16" t="s">
        <v>45</v>
      </c>
      <c r="I333" s="16">
        <f>COUNTIF(G$5:G333,"Y")/COUNTA(G$5:G333)</f>
        <v>0.85410334346504557</v>
      </c>
      <c r="J333" s="16">
        <f>COUNTIF(H$5:H333,"Y")/COUNTA(H$5:H333)</f>
        <v>6.0790273556231005E-2</v>
      </c>
      <c r="K333" s="16">
        <f>AVERAGE(F$5:F333)</f>
        <v>2.2006079027355621</v>
      </c>
      <c r="L333" s="16">
        <f>SUM(F$5:F333)/SUM(E$5:E333)</f>
        <v>0.73584713893688325</v>
      </c>
    </row>
    <row r="334" spans="1:12" x14ac:dyDescent="0.25">
      <c r="A334" s="29">
        <v>45679</v>
      </c>
      <c r="B334" s="16" t="s">
        <v>380</v>
      </c>
      <c r="C334" s="34">
        <v>1</v>
      </c>
      <c r="D334" s="16" t="s">
        <v>52</v>
      </c>
      <c r="E334" s="35">
        <v>3.8</v>
      </c>
      <c r="F334" s="35">
        <v>2.9</v>
      </c>
      <c r="G334" s="16" t="s">
        <v>44</v>
      </c>
      <c r="H334" s="16" t="s">
        <v>45</v>
      </c>
      <c r="I334" s="16">
        <f>COUNTIF(G$5:G334,"Y")/COUNTA(G$5:G334)</f>
        <v>0.8545454545454545</v>
      </c>
      <c r="J334" s="16">
        <f>COUNTIF(H$5:H334,"Y")/COUNTA(H$5:H334)</f>
        <v>6.0606060606060608E-2</v>
      </c>
      <c r="K334" s="16">
        <f>AVERAGE(F$5:F334)</f>
        <v>2.2027272727272722</v>
      </c>
      <c r="L334" s="16">
        <f>SUM(F$5:F334)/SUM(E$5:E334)</f>
        <v>0.7359522122101847</v>
      </c>
    </row>
    <row r="335" spans="1:12" x14ac:dyDescent="0.25">
      <c r="A335" s="29">
        <v>45680</v>
      </c>
      <c r="B335" s="16" t="s">
        <v>381</v>
      </c>
      <c r="C335" s="34">
        <v>1</v>
      </c>
      <c r="D335" s="16" t="s">
        <v>43</v>
      </c>
      <c r="E335" s="35">
        <v>3.8</v>
      </c>
      <c r="F335" s="35">
        <v>2.5</v>
      </c>
      <c r="G335" s="16" t="s">
        <v>44</v>
      </c>
      <c r="H335" s="16" t="s">
        <v>45</v>
      </c>
      <c r="I335" s="16">
        <f>COUNTIF(G$5:G335,"Y")/COUNTA(G$5:G335)</f>
        <v>0.85498489425981872</v>
      </c>
      <c r="J335" s="16">
        <f>COUNTIF(H$5:H335,"Y")/COUNTA(H$5:H335)</f>
        <v>6.0422960725075532E-2</v>
      </c>
      <c r="K335" s="16">
        <f>AVERAGE(F$5:F335)</f>
        <v>2.2036253776435042</v>
      </c>
      <c r="L335" s="16">
        <f>SUM(F$5:F335)/SUM(E$5:E335)</f>
        <v>0.73565305093292932</v>
      </c>
    </row>
    <row r="336" spans="1:12" x14ac:dyDescent="0.25">
      <c r="A336" s="29">
        <v>45681</v>
      </c>
      <c r="B336" s="16" t="s">
        <v>382</v>
      </c>
      <c r="C336" s="34">
        <v>1</v>
      </c>
      <c r="D336" s="16" t="s">
        <v>56</v>
      </c>
      <c r="E336" s="35">
        <v>0.6</v>
      </c>
      <c r="F336" s="35">
        <v>0.5</v>
      </c>
      <c r="G336" s="16" t="s">
        <v>44</v>
      </c>
      <c r="H336" s="16" t="s">
        <v>45</v>
      </c>
      <c r="I336" s="16">
        <f>COUNTIF(G$5:G336,"Y")/COUNTA(G$5:G336)</f>
        <v>0.85542168674698793</v>
      </c>
      <c r="J336" s="16">
        <f>COUNTIF(H$5:H336,"Y")/COUNTA(H$5:H336)</f>
        <v>6.0240963855421686E-2</v>
      </c>
      <c r="K336" s="16">
        <f>AVERAGE(F$5:F336)</f>
        <v>2.198493975903614</v>
      </c>
      <c r="L336" s="16">
        <f>SUM(F$5:F336)/SUM(E$5:E336)</f>
        <v>0.73571212579377021</v>
      </c>
    </row>
    <row r="337" spans="1:13" x14ac:dyDescent="0.25">
      <c r="A337" s="29">
        <v>45677</v>
      </c>
      <c r="B337" s="16" t="s">
        <v>383</v>
      </c>
      <c r="C337" s="34">
        <v>1</v>
      </c>
      <c r="D337" s="16" t="s">
        <v>60</v>
      </c>
      <c r="E337" s="35">
        <v>0.7</v>
      </c>
      <c r="F337" s="35">
        <v>0.5</v>
      </c>
      <c r="G337" s="16" t="s">
        <v>44</v>
      </c>
      <c r="H337" s="16" t="s">
        <v>45</v>
      </c>
      <c r="I337" s="16">
        <f>COUNTIF(G$5:G337,"Y")/COUNTA(G$5:G337)</f>
        <v>0.85585585585585588</v>
      </c>
      <c r="J337" s="16">
        <f>COUNTIF(H$5:H337,"Y")/COUNTA(H$5:H337)</f>
        <v>6.006006006006006E-2</v>
      </c>
      <c r="K337" s="16">
        <f>AVERAGE(F$5:F337)</f>
        <v>2.1933933933933929</v>
      </c>
      <c r="L337" s="16">
        <f>SUM(F$5:F337)/SUM(E$5:E337)</f>
        <v>0.73569701853344016</v>
      </c>
    </row>
    <row r="338" spans="1:13" x14ac:dyDescent="0.25">
      <c r="A338" s="29">
        <v>45678</v>
      </c>
      <c r="B338" s="16" t="s">
        <v>384</v>
      </c>
      <c r="C338" s="34">
        <v>1</v>
      </c>
      <c r="D338" s="16" t="s">
        <v>56</v>
      </c>
      <c r="E338" s="35">
        <v>0.7</v>
      </c>
      <c r="F338" s="35">
        <v>0.5</v>
      </c>
      <c r="G338" s="16" t="s">
        <v>44</v>
      </c>
      <c r="H338" s="16" t="s">
        <v>45</v>
      </c>
      <c r="I338" s="16">
        <f>COUNTIF(G$5:G338,"Y")/COUNTA(G$5:G338)</f>
        <v>0.85628742514970058</v>
      </c>
      <c r="J338" s="16">
        <f>COUNTIF(H$5:H338,"Y")/COUNTA(H$5:H338)</f>
        <v>5.9880239520958084E-2</v>
      </c>
      <c r="K338" s="16">
        <f>AVERAGE(F$5:F338)</f>
        <v>2.1883233532934128</v>
      </c>
      <c r="L338" s="16">
        <f>SUM(F$5:F338)/SUM(E$5:E338)</f>
        <v>0.73568193256165004</v>
      </c>
    </row>
    <row r="339" spans="1:13" x14ac:dyDescent="0.25">
      <c r="A339" s="29">
        <v>45679</v>
      </c>
      <c r="B339" s="16" t="s">
        <v>385</v>
      </c>
      <c r="C339" s="34">
        <v>1</v>
      </c>
      <c r="D339" s="16" t="s">
        <v>50</v>
      </c>
      <c r="E339" s="35">
        <v>0.8</v>
      </c>
      <c r="F339" s="35">
        <v>0.5</v>
      </c>
      <c r="G339" s="16" t="s">
        <v>44</v>
      </c>
      <c r="H339" s="16" t="s">
        <v>45</v>
      </c>
      <c r="I339" s="16">
        <f>COUNTIF(G$5:G339,"Y")/COUNTA(G$5:G339)</f>
        <v>0.85671641791044773</v>
      </c>
      <c r="J339" s="16">
        <f>COUNTIF(H$5:H339,"Y")/COUNTA(H$5:H339)</f>
        <v>5.9701492537313432E-2</v>
      </c>
      <c r="K339" s="16">
        <f>AVERAGE(F$5:F339)</f>
        <v>2.183283582089552</v>
      </c>
      <c r="L339" s="16">
        <f>SUM(F$5:F339)/SUM(E$5:E339)</f>
        <v>0.7355928794126515</v>
      </c>
    </row>
    <row r="340" spans="1:13" x14ac:dyDescent="0.25">
      <c r="A340" s="29">
        <v>45680</v>
      </c>
      <c r="B340" s="16" t="s">
        <v>386</v>
      </c>
      <c r="C340" s="34">
        <v>1</v>
      </c>
      <c r="D340" s="16" t="s">
        <v>52</v>
      </c>
      <c r="E340" s="35">
        <v>0.7</v>
      </c>
      <c r="F340" s="35">
        <v>0.5</v>
      </c>
      <c r="G340" s="16" t="s">
        <v>45</v>
      </c>
      <c r="H340" s="16" t="s">
        <v>45</v>
      </c>
      <c r="I340" s="16">
        <f>COUNTIF(G$5:G340,"Y")/COUNTA(G$5:G340)</f>
        <v>0.85416666666666663</v>
      </c>
      <c r="J340" s="16">
        <f>COUNTIF(H$5:H340,"Y")/COUNTA(H$5:H340)</f>
        <v>5.9523809523809521E-2</v>
      </c>
      <c r="K340" s="16">
        <f>AVERAGE(F$5:F340)</f>
        <v>2.1782738095238092</v>
      </c>
      <c r="L340" s="16">
        <f>SUM(F$5:F340)/SUM(E$5:E340)</f>
        <v>0.73557788944723557</v>
      </c>
    </row>
    <row r="341" spans="1:13" x14ac:dyDescent="0.25">
      <c r="A341" s="29">
        <v>45681</v>
      </c>
      <c r="B341" s="16" t="s">
        <v>387</v>
      </c>
      <c r="C341" s="34">
        <v>1</v>
      </c>
      <c r="D341" s="16" t="s">
        <v>52</v>
      </c>
      <c r="E341" s="35">
        <v>0.8</v>
      </c>
      <c r="F341" s="35">
        <v>0.5</v>
      </c>
      <c r="G341" s="16" t="s">
        <v>44</v>
      </c>
      <c r="H341" s="16" t="s">
        <v>45</v>
      </c>
      <c r="I341" s="16">
        <f>COUNTIF(G$5:G341,"Y")/COUNTA(G$5:G341)</f>
        <v>0.85459940652818989</v>
      </c>
      <c r="J341" s="16">
        <f>COUNTIF(H$5:H341,"Y")/COUNTA(H$5:H341)</f>
        <v>5.9347181008902079E-2</v>
      </c>
      <c r="K341" s="16">
        <f>AVERAGE(F$5:F341)</f>
        <v>2.1732937685459937</v>
      </c>
      <c r="L341" s="16">
        <f>SUM(F$5:F341)/SUM(E$5:E341)</f>
        <v>0.73548905402691245</v>
      </c>
    </row>
    <row r="342" spans="1:13" x14ac:dyDescent="0.25">
      <c r="A342" s="29">
        <v>45677</v>
      </c>
      <c r="B342" s="16" t="s">
        <v>388</v>
      </c>
      <c r="C342" s="34">
        <v>1</v>
      </c>
      <c r="D342" s="16" t="s">
        <v>43</v>
      </c>
      <c r="E342" s="35">
        <v>0.7</v>
      </c>
      <c r="F342" s="35">
        <v>0.5</v>
      </c>
      <c r="G342" s="16" t="s">
        <v>44</v>
      </c>
      <c r="H342" s="16" t="s">
        <v>45</v>
      </c>
      <c r="I342" s="16">
        <f>COUNTIF(G$5:G342,"Y")/COUNTA(G$5:G342)</f>
        <v>0.8550295857988166</v>
      </c>
      <c r="J342" s="16">
        <f>COUNTIF(H$5:H342,"Y")/COUNTA(H$5:H342)</f>
        <v>5.9171597633136092E-2</v>
      </c>
      <c r="K342" s="16">
        <f>AVERAGE(F$5:F342)</f>
        <v>2.1683431952662717</v>
      </c>
      <c r="L342" s="16">
        <f>SUM(F$5:F342)/SUM(E$5:E342)</f>
        <v>0.73547415955845397</v>
      </c>
    </row>
    <row r="343" spans="1:13" x14ac:dyDescent="0.25">
      <c r="A343" s="29">
        <v>45678</v>
      </c>
      <c r="B343" s="16" t="s">
        <v>389</v>
      </c>
      <c r="C343" s="34">
        <v>1</v>
      </c>
      <c r="D343" s="16" t="s">
        <v>52</v>
      </c>
      <c r="E343" s="35">
        <v>2.9</v>
      </c>
      <c r="F343" s="35">
        <v>0.5</v>
      </c>
      <c r="G343" s="16" t="s">
        <v>44</v>
      </c>
      <c r="H343" s="16" t="s">
        <v>45</v>
      </c>
      <c r="I343" s="16">
        <f>COUNTIF(G$5:G343,"Y")/COUNTA(G$5:G343)</f>
        <v>0.85545722713864303</v>
      </c>
      <c r="J343" s="16">
        <f>COUNTIF(H$5:H343,"Y")/COUNTA(H$5:H343)</f>
        <v>5.8997050147492625E-2</v>
      </c>
      <c r="K343" s="16">
        <f>AVERAGE(F$5:F343)</f>
        <v>2.1634218289085543</v>
      </c>
      <c r="L343" s="16">
        <f>SUM(F$5:F343)/SUM(E$5:E343)</f>
        <v>0.7338403041825089</v>
      </c>
      <c r="M343" s="16">
        <v>16</v>
      </c>
    </row>
    <row r="344" spans="1:13" x14ac:dyDescent="0.25">
      <c r="A344" s="29">
        <v>45684</v>
      </c>
      <c r="B344" s="16" t="s">
        <v>390</v>
      </c>
      <c r="C344" s="34">
        <v>1</v>
      </c>
      <c r="D344" s="16" t="s">
        <v>47</v>
      </c>
      <c r="E344" s="35">
        <v>2.2000000000000002</v>
      </c>
      <c r="F344" s="35">
        <v>1.6</v>
      </c>
      <c r="G344" s="16" t="s">
        <v>44</v>
      </c>
      <c r="H344" s="16" t="s">
        <v>45</v>
      </c>
      <c r="I344" s="16">
        <f>COUNTIF(G$5:G344,"Y")/COUNTA(G$5:G344)</f>
        <v>0.85588235294117643</v>
      </c>
      <c r="J344" s="16">
        <f>COUNTIF(H$5:H344,"Y")/COUNTA(H$5:H344)</f>
        <v>5.8823529411764705E-2</v>
      </c>
      <c r="K344" s="16">
        <f>AVERAGE(F$5:F344)</f>
        <v>2.1617647058823528</v>
      </c>
      <c r="L344" s="16">
        <f>SUM(F$5:F344)/SUM(E$5:E344)</f>
        <v>0.73382587859424853</v>
      </c>
    </row>
    <row r="345" spans="1:13" x14ac:dyDescent="0.25">
      <c r="A345" s="29">
        <v>45685</v>
      </c>
      <c r="B345" s="16" t="s">
        <v>391</v>
      </c>
      <c r="C345" s="34">
        <v>1</v>
      </c>
      <c r="D345" s="16" t="s">
        <v>50</v>
      </c>
      <c r="E345" s="35">
        <v>3.4</v>
      </c>
      <c r="F345" s="35">
        <v>2.6</v>
      </c>
      <c r="G345" s="16" t="s">
        <v>44</v>
      </c>
      <c r="H345" s="16" t="s">
        <v>44</v>
      </c>
      <c r="I345" s="16">
        <f>COUNTIF(G$5:G345,"Y")/COUNTA(G$5:G345)</f>
        <v>0.85630498533724342</v>
      </c>
      <c r="J345" s="16">
        <f>COUNTIF(H$5:H345,"Y")/COUNTA(H$5:H345)</f>
        <v>6.1583577712609971E-2</v>
      </c>
      <c r="K345" s="16">
        <f>AVERAGE(F$5:F345)</f>
        <v>2.1630498533724336</v>
      </c>
      <c r="L345" s="16">
        <f>SUM(F$5:F345)/SUM(E$5:E345)</f>
        <v>0.73393034825870584</v>
      </c>
    </row>
    <row r="346" spans="1:13" x14ac:dyDescent="0.25">
      <c r="A346" s="29">
        <v>45686</v>
      </c>
      <c r="B346" s="16" t="s">
        <v>392</v>
      </c>
      <c r="C346" s="34">
        <v>1</v>
      </c>
      <c r="D346" s="16" t="s">
        <v>64</v>
      </c>
      <c r="E346" s="35">
        <v>4.5999999999999996</v>
      </c>
      <c r="F346" s="35">
        <v>3.2</v>
      </c>
      <c r="G346" s="16" t="s">
        <v>44</v>
      </c>
      <c r="H346" s="16" t="s">
        <v>45</v>
      </c>
      <c r="I346" s="16">
        <f>COUNTIF(G$5:G346,"Y")/COUNTA(G$5:G346)</f>
        <v>0.85672514619883045</v>
      </c>
      <c r="J346" s="16">
        <f>COUNTIF(H$5:H346,"Y")/COUNTA(H$5:H346)</f>
        <v>6.1403508771929821E-2</v>
      </c>
      <c r="K346" s="16">
        <f>AVERAGE(F$5:F346)</f>
        <v>2.1660818713450292</v>
      </c>
      <c r="L346" s="16">
        <f>SUM(F$5:F346)/SUM(E$5:E346)</f>
        <v>0.73375594294770152</v>
      </c>
    </row>
    <row r="347" spans="1:13" x14ac:dyDescent="0.25">
      <c r="A347" s="29">
        <v>45687</v>
      </c>
      <c r="B347" s="16" t="s">
        <v>393</v>
      </c>
      <c r="C347" s="34">
        <v>1</v>
      </c>
      <c r="D347" s="16" t="s">
        <v>50</v>
      </c>
      <c r="E347" s="35">
        <v>3.1</v>
      </c>
      <c r="F347" s="35">
        <v>2.4</v>
      </c>
      <c r="G347" s="16" t="s">
        <v>44</v>
      </c>
      <c r="H347" s="16" t="s">
        <v>45</v>
      </c>
      <c r="I347" s="16">
        <f>COUNTIF(G$5:G347,"Y")/COUNTA(G$5:G347)</f>
        <v>0.8571428571428571</v>
      </c>
      <c r="J347" s="16">
        <f>COUNTIF(H$5:H347,"Y")/COUNTA(H$5:H347)</f>
        <v>6.1224489795918366E-2</v>
      </c>
      <c r="K347" s="16">
        <f>AVERAGE(F$5:F347)</f>
        <v>2.166763848396501</v>
      </c>
      <c r="L347" s="16">
        <f>SUM(F$5:F347)/SUM(E$5:E347)</f>
        <v>0.73387972746124164</v>
      </c>
    </row>
    <row r="348" spans="1:13" x14ac:dyDescent="0.25">
      <c r="A348" s="29">
        <v>45688</v>
      </c>
      <c r="B348" s="16" t="s">
        <v>394</v>
      </c>
      <c r="C348" s="34">
        <v>1</v>
      </c>
      <c r="D348" s="16" t="s">
        <v>50</v>
      </c>
      <c r="E348" s="35">
        <v>1.8</v>
      </c>
      <c r="F348" s="35">
        <v>1.5</v>
      </c>
      <c r="G348" s="16" t="s">
        <v>44</v>
      </c>
      <c r="H348" s="16" t="s">
        <v>45</v>
      </c>
      <c r="I348" s="16">
        <f>COUNTIF(G$5:G348,"Y")/COUNTA(G$5:G348)</f>
        <v>0.85755813953488369</v>
      </c>
      <c r="J348" s="16">
        <f>COUNTIF(H$5:H348,"Y")/COUNTA(H$5:H348)</f>
        <v>6.1046511627906974E-2</v>
      </c>
      <c r="K348" s="16">
        <f>AVERAGE(F$5:F348)</f>
        <v>2.1648255813953488</v>
      </c>
      <c r="L348" s="16">
        <f>SUM(F$5:F348)/SUM(E$5:E348)</f>
        <v>0.73405618531296146</v>
      </c>
    </row>
    <row r="349" spans="1:13" x14ac:dyDescent="0.25">
      <c r="A349" s="29">
        <v>45684</v>
      </c>
      <c r="B349" s="16" t="s">
        <v>395</v>
      </c>
      <c r="C349" s="34">
        <v>1</v>
      </c>
      <c r="D349" s="16" t="s">
        <v>43</v>
      </c>
      <c r="E349" s="35">
        <v>4</v>
      </c>
      <c r="F349" s="35">
        <v>2.7</v>
      </c>
      <c r="G349" s="16" t="s">
        <v>44</v>
      </c>
      <c r="H349" s="16" t="s">
        <v>45</v>
      </c>
      <c r="I349" s="16">
        <f>COUNTIF(G$5:G349,"Y")/COUNTA(G$5:G349)</f>
        <v>0.85797101449275359</v>
      </c>
      <c r="J349" s="16">
        <f>COUNTIF(H$5:H349,"Y")/COUNTA(H$5:H349)</f>
        <v>6.0869565217391307E-2</v>
      </c>
      <c r="K349" s="16">
        <f>AVERAGE(F$5:F349)</f>
        <v>2.166376811594203</v>
      </c>
      <c r="L349" s="16">
        <f>SUM(F$5:F349)/SUM(E$5:E349)</f>
        <v>0.73382425135002405</v>
      </c>
    </row>
    <row r="350" spans="1:13" x14ac:dyDescent="0.25">
      <c r="A350" s="29">
        <v>45685</v>
      </c>
      <c r="B350" s="16" t="s">
        <v>396</v>
      </c>
      <c r="C350" s="34">
        <v>1</v>
      </c>
      <c r="D350" s="16" t="s">
        <v>60</v>
      </c>
      <c r="E350" s="35">
        <v>1.6</v>
      </c>
      <c r="F350" s="35">
        <v>1.2</v>
      </c>
      <c r="G350" s="16" t="s">
        <v>45</v>
      </c>
      <c r="H350" s="16" t="s">
        <v>45</v>
      </c>
      <c r="I350" s="16">
        <f>COUNTIF(G$5:G350,"Y")/COUNTA(G$5:G350)</f>
        <v>0.8554913294797688</v>
      </c>
      <c r="J350" s="16">
        <f>COUNTIF(H$5:H350,"Y")/COUNTA(H$5:H350)</f>
        <v>6.0693641618497107E-2</v>
      </c>
      <c r="K350" s="16">
        <f>AVERAGE(F$5:F350)</f>
        <v>2.1635838150289017</v>
      </c>
      <c r="L350" s="16">
        <f>SUM(F$5:F350)/SUM(E$5:E350)</f>
        <v>0.73384962258602049</v>
      </c>
    </row>
    <row r="351" spans="1:13" x14ac:dyDescent="0.25">
      <c r="A351" s="29">
        <v>45686</v>
      </c>
      <c r="B351" s="16" t="s">
        <v>397</v>
      </c>
      <c r="C351" s="34">
        <v>1</v>
      </c>
      <c r="D351" s="16" t="s">
        <v>64</v>
      </c>
      <c r="E351" s="35">
        <v>3.1</v>
      </c>
      <c r="F351" s="35">
        <v>2.1</v>
      </c>
      <c r="G351" s="16" t="s">
        <v>44</v>
      </c>
      <c r="H351" s="16" t="s">
        <v>45</v>
      </c>
      <c r="I351" s="16">
        <f>COUNTIF(G$5:G351,"Y")/COUNTA(G$5:G351)</f>
        <v>0.85590778097982712</v>
      </c>
      <c r="J351" s="16">
        <f>COUNTIF(H$5:H351,"Y")/COUNTA(H$5:H351)</f>
        <v>6.0518731988472622E-2</v>
      </c>
      <c r="K351" s="16">
        <f>AVERAGE(F$5:F351)</f>
        <v>2.1634005763688764</v>
      </c>
      <c r="L351" s="16">
        <f>SUM(F$5:F351)/SUM(E$5:E351)</f>
        <v>0.73367865519937403</v>
      </c>
    </row>
    <row r="352" spans="1:13" x14ac:dyDescent="0.25">
      <c r="A352" s="29">
        <v>45687</v>
      </c>
      <c r="B352" s="16" t="s">
        <v>398</v>
      </c>
      <c r="C352" s="34">
        <v>1</v>
      </c>
      <c r="D352" s="16" t="s">
        <v>43</v>
      </c>
      <c r="E352" s="35">
        <v>4</v>
      </c>
      <c r="F352" s="35">
        <v>3</v>
      </c>
      <c r="G352" s="16" t="s">
        <v>44</v>
      </c>
      <c r="H352" s="16" t="s">
        <v>45</v>
      </c>
      <c r="I352" s="16">
        <f>COUNTIF(G$5:G352,"Y")/COUNTA(G$5:G352)</f>
        <v>0.85632183908045978</v>
      </c>
      <c r="J352" s="16">
        <f>COUNTIF(H$5:H352,"Y")/COUNTA(H$5:H352)</f>
        <v>6.0344827586206899E-2</v>
      </c>
      <c r="K352" s="16">
        <f>AVERAGE(F$5:F352)</f>
        <v>2.1658045977011495</v>
      </c>
      <c r="L352" s="16">
        <f>SUM(F$5:F352)/SUM(E$5:E352)</f>
        <v>0.73374221183800581</v>
      </c>
    </row>
    <row r="353" spans="1:12" x14ac:dyDescent="0.25">
      <c r="A353" s="29">
        <v>45688</v>
      </c>
      <c r="B353" s="16" t="s">
        <v>399</v>
      </c>
      <c r="C353" s="34">
        <v>1</v>
      </c>
      <c r="D353" s="16" t="s">
        <v>56</v>
      </c>
      <c r="E353" s="35">
        <v>1.6</v>
      </c>
      <c r="F353" s="35">
        <v>1.4</v>
      </c>
      <c r="G353" s="16" t="s">
        <v>44</v>
      </c>
      <c r="H353" s="16" t="s">
        <v>45</v>
      </c>
      <c r="I353" s="16">
        <f>COUNTIF(G$5:G353,"Y")/COUNTA(G$5:G353)</f>
        <v>0.85673352435530081</v>
      </c>
      <c r="J353" s="16">
        <f>COUNTIF(H$5:H353,"Y")/COUNTA(H$5:H353)</f>
        <v>6.0171919770773637E-2</v>
      </c>
      <c r="K353" s="16">
        <f>AVERAGE(F$5:F353)</f>
        <v>2.1636103151862467</v>
      </c>
      <c r="L353" s="16">
        <f>SUM(F$5:F353)/SUM(E$5:E353)</f>
        <v>0.7339618973561427</v>
      </c>
    </row>
    <row r="354" spans="1:12" x14ac:dyDescent="0.25">
      <c r="A354" s="29">
        <v>45684</v>
      </c>
      <c r="B354" s="16" t="s">
        <v>400</v>
      </c>
      <c r="C354" s="34">
        <v>1</v>
      </c>
      <c r="D354" s="16" t="s">
        <v>64</v>
      </c>
      <c r="E354" s="35">
        <v>1.9</v>
      </c>
      <c r="F354" s="35">
        <v>1.5</v>
      </c>
      <c r="G354" s="16" t="s">
        <v>44</v>
      </c>
      <c r="H354" s="16" t="s">
        <v>44</v>
      </c>
      <c r="I354" s="16">
        <f>COUNTIF(G$5:G354,"Y")/COUNTA(G$5:G354)</f>
        <v>0.8571428571428571</v>
      </c>
      <c r="J354" s="16">
        <f>COUNTIF(H$5:H354,"Y")/COUNTA(H$5:H354)</f>
        <v>6.2857142857142861E-2</v>
      </c>
      <c r="K354" s="16">
        <f>AVERAGE(F$5:F354)</f>
        <v>2.1617142857142859</v>
      </c>
      <c r="L354" s="16">
        <f>SUM(F$5:F354)/SUM(E$5:E354)</f>
        <v>0.73406422819443051</v>
      </c>
    </row>
    <row r="355" spans="1:12" x14ac:dyDescent="0.25">
      <c r="A355" s="29">
        <v>45685</v>
      </c>
      <c r="B355" s="16" t="s">
        <v>401</v>
      </c>
      <c r="C355" s="34">
        <v>1</v>
      </c>
      <c r="D355" s="16" t="s">
        <v>43</v>
      </c>
      <c r="E355" s="35">
        <v>3.6</v>
      </c>
      <c r="F355" s="35">
        <v>2.5</v>
      </c>
      <c r="G355" s="16" t="s">
        <v>44</v>
      </c>
      <c r="H355" s="16" t="s">
        <v>45</v>
      </c>
      <c r="I355" s="16">
        <f>COUNTIF(G$5:G355,"Y")/COUNTA(G$5:G355)</f>
        <v>0.85754985754985757</v>
      </c>
      <c r="J355" s="16">
        <f>COUNTIF(H$5:H355,"Y")/COUNTA(H$5:H355)</f>
        <v>6.2678062678062682E-2</v>
      </c>
      <c r="K355" s="16">
        <f>AVERAGE(F$5:F355)</f>
        <v>2.1626780626780628</v>
      </c>
      <c r="L355" s="16">
        <f>SUM(F$5:F355)/SUM(E$5:E355)</f>
        <v>0.7339263269844335</v>
      </c>
    </row>
    <row r="356" spans="1:12" x14ac:dyDescent="0.25">
      <c r="A356" s="29">
        <v>45686</v>
      </c>
      <c r="B356" s="16" t="s">
        <v>402</v>
      </c>
      <c r="C356" s="34">
        <v>1</v>
      </c>
      <c r="D356" s="16" t="s">
        <v>50</v>
      </c>
      <c r="E356" s="35">
        <v>1.9</v>
      </c>
      <c r="F356" s="35">
        <v>1.3</v>
      </c>
      <c r="G356" s="16" t="s">
        <v>44</v>
      </c>
      <c r="H356" s="16" t="s">
        <v>45</v>
      </c>
      <c r="I356" s="16">
        <f>COUNTIF(G$5:G356,"Y")/COUNTA(G$5:G356)</f>
        <v>0.85795454545454541</v>
      </c>
      <c r="J356" s="16">
        <f>COUNTIF(H$5:H356,"Y")/COUNTA(H$5:H356)</f>
        <v>6.25E-2</v>
      </c>
      <c r="K356" s="16">
        <f>AVERAGE(F$5:F356)</f>
        <v>2.1602272727272727</v>
      </c>
      <c r="L356" s="16">
        <f>SUM(F$5:F356)/SUM(E$5:E356)</f>
        <v>0.73383516695618556</v>
      </c>
    </row>
    <row r="357" spans="1:12" x14ac:dyDescent="0.25">
      <c r="A357" s="29">
        <v>45687</v>
      </c>
      <c r="B357" s="16" t="s">
        <v>403</v>
      </c>
      <c r="C357" s="34">
        <v>1</v>
      </c>
      <c r="D357" s="16" t="s">
        <v>43</v>
      </c>
      <c r="E357" s="35">
        <v>4.9000000000000004</v>
      </c>
      <c r="F357" s="35">
        <v>3.3</v>
      </c>
      <c r="G357" s="16" t="s">
        <v>45</v>
      </c>
      <c r="H357" s="16" t="s">
        <v>45</v>
      </c>
      <c r="I357" s="16">
        <f>COUNTIF(G$5:G357,"Y")/COUNTA(G$5:G357)</f>
        <v>0.85552407932011332</v>
      </c>
      <c r="J357" s="16">
        <f>COUNTIF(H$5:H357,"Y")/COUNTA(H$5:H357)</f>
        <v>6.2322946175637391E-2</v>
      </c>
      <c r="K357" s="16">
        <f>AVERAGE(F$5:F357)</f>
        <v>2.1634560906515579</v>
      </c>
      <c r="L357" s="16">
        <f>SUM(F$5:F357)/SUM(E$5:E357)</f>
        <v>0.7335510517721634</v>
      </c>
    </row>
    <row r="358" spans="1:12" x14ac:dyDescent="0.25">
      <c r="A358" s="29">
        <v>45688</v>
      </c>
      <c r="B358" s="16" t="s">
        <v>404</v>
      </c>
      <c r="C358" s="34">
        <v>1</v>
      </c>
      <c r="D358" s="16" t="s">
        <v>47</v>
      </c>
      <c r="E358" s="35">
        <v>4.5999999999999996</v>
      </c>
      <c r="F358" s="35">
        <v>3.6</v>
      </c>
      <c r="G358" s="16" t="s">
        <v>44</v>
      </c>
      <c r="H358" s="16" t="s">
        <v>45</v>
      </c>
      <c r="I358" s="16">
        <f>COUNTIF(G$5:G358,"Y")/COUNTA(G$5:G358)</f>
        <v>0.85593220338983056</v>
      </c>
      <c r="J358" s="16">
        <f>COUNTIF(H$5:H358,"Y")/COUNTA(H$5:H358)</f>
        <v>6.2146892655367235E-2</v>
      </c>
      <c r="K358" s="16">
        <f>AVERAGE(F$5:F358)</f>
        <v>2.1675141242937852</v>
      </c>
      <c r="L358" s="16">
        <f>SUM(F$5:F358)/SUM(E$5:E358)</f>
        <v>0.73376685473845216</v>
      </c>
    </row>
    <row r="359" spans="1:12" x14ac:dyDescent="0.25">
      <c r="A359" s="29">
        <v>45684</v>
      </c>
      <c r="B359" s="16" t="s">
        <v>405</v>
      </c>
      <c r="C359" s="34">
        <v>1</v>
      </c>
      <c r="D359" s="16" t="s">
        <v>64</v>
      </c>
      <c r="E359" s="35">
        <v>2.7</v>
      </c>
      <c r="F359" s="35">
        <v>2.1</v>
      </c>
      <c r="G359" s="16" t="s">
        <v>44</v>
      </c>
      <c r="H359" s="16" t="s">
        <v>45</v>
      </c>
      <c r="I359" s="16">
        <f>COUNTIF(G$5:G359,"Y")/COUNTA(G$5:G359)</f>
        <v>0.85633802816901405</v>
      </c>
      <c r="J359" s="16">
        <f>COUNTIF(H$5:H359,"Y")/COUNTA(H$5:H359)</f>
        <v>6.1971830985915494E-2</v>
      </c>
      <c r="K359" s="16">
        <f>AVERAGE(F$5:F359)</f>
        <v>2.1673239436619718</v>
      </c>
      <c r="L359" s="16">
        <f>SUM(F$5:F359)/SUM(E$5:E359)</f>
        <v>0.73388019839755758</v>
      </c>
    </row>
    <row r="360" spans="1:12" x14ac:dyDescent="0.25">
      <c r="A360" s="29">
        <v>45685</v>
      </c>
      <c r="B360" s="16" t="s">
        <v>406</v>
      </c>
      <c r="C360" s="34">
        <v>1</v>
      </c>
      <c r="D360" s="16" t="s">
        <v>52</v>
      </c>
      <c r="E360" s="35">
        <v>2.4</v>
      </c>
      <c r="F360" s="35">
        <v>2.1</v>
      </c>
      <c r="G360" s="16" t="s">
        <v>44</v>
      </c>
      <c r="H360" s="16" t="s">
        <v>45</v>
      </c>
      <c r="I360" s="16">
        <f>COUNTIF(G$5:G360,"Y")/COUNTA(G$5:G360)</f>
        <v>0.8567415730337079</v>
      </c>
      <c r="J360" s="16">
        <f>COUNTIF(H$5:H360,"Y")/COUNTA(H$5:H360)</f>
        <v>6.1797752808988762E-2</v>
      </c>
      <c r="K360" s="16">
        <f>AVERAGE(F$5:F360)</f>
        <v>2.167134831460674</v>
      </c>
      <c r="L360" s="16">
        <f>SUM(F$5:F360)/SUM(E$5:E360)</f>
        <v>0.73420251237152589</v>
      </c>
    </row>
    <row r="361" spans="1:12" x14ac:dyDescent="0.25">
      <c r="A361" s="29">
        <v>45686</v>
      </c>
      <c r="B361" s="16" t="s">
        <v>407</v>
      </c>
      <c r="C361" s="34">
        <v>1</v>
      </c>
      <c r="D361" s="16" t="s">
        <v>50</v>
      </c>
      <c r="E361" s="35">
        <v>2.1</v>
      </c>
      <c r="F361" s="35">
        <v>1.7</v>
      </c>
      <c r="G361" s="16" t="s">
        <v>44</v>
      </c>
      <c r="H361" s="16" t="s">
        <v>45</v>
      </c>
      <c r="I361" s="16">
        <f>COUNTIF(G$5:G361,"Y")/COUNTA(G$5:G361)</f>
        <v>0.8571428571428571</v>
      </c>
      <c r="J361" s="16">
        <f>COUNTIF(H$5:H361,"Y")/COUNTA(H$5:H361)</f>
        <v>6.1624649859943981E-2</v>
      </c>
      <c r="K361" s="16">
        <f>AVERAGE(F$5:F361)</f>
        <v>2.1658263305322132</v>
      </c>
      <c r="L361" s="16">
        <f>SUM(F$5:F361)/SUM(E$5:E361)</f>
        <v>0.73435274005128648</v>
      </c>
    </row>
    <row r="362" spans="1:12" x14ac:dyDescent="0.25">
      <c r="A362" s="29">
        <v>45687</v>
      </c>
      <c r="B362" s="16" t="s">
        <v>408</v>
      </c>
      <c r="C362" s="34">
        <v>1</v>
      </c>
      <c r="D362" s="16" t="s">
        <v>60</v>
      </c>
      <c r="E362" s="35">
        <v>1.8</v>
      </c>
      <c r="F362" s="35">
        <v>1.3</v>
      </c>
      <c r="G362" s="16" t="s">
        <v>44</v>
      </c>
      <c r="H362" s="16" t="s">
        <v>45</v>
      </c>
      <c r="I362" s="16">
        <f>COUNTIF(G$5:G362,"Y")/COUNTA(G$5:G362)</f>
        <v>0.85754189944134074</v>
      </c>
      <c r="J362" s="16">
        <f>COUNTIF(H$5:H362,"Y")/COUNTA(H$5:H362)</f>
        <v>6.1452513966480445E-2</v>
      </c>
      <c r="K362" s="16">
        <f>AVERAGE(F$5:F362)</f>
        <v>2.1634078212290504</v>
      </c>
      <c r="L362" s="16">
        <f>SUM(F$5:F362)/SUM(E$5:E362)</f>
        <v>0.73433203754622112</v>
      </c>
    </row>
    <row r="363" spans="1:12" x14ac:dyDescent="0.25">
      <c r="A363" s="29">
        <v>45688</v>
      </c>
      <c r="B363" s="16" t="s">
        <v>409</v>
      </c>
      <c r="C363" s="34">
        <v>1</v>
      </c>
      <c r="D363" s="16" t="s">
        <v>43</v>
      </c>
      <c r="E363" s="35">
        <v>2.4</v>
      </c>
      <c r="F363" s="35">
        <v>2</v>
      </c>
      <c r="G363" s="16" t="s">
        <v>44</v>
      </c>
      <c r="H363" s="16" t="s">
        <v>45</v>
      </c>
      <c r="I363" s="16">
        <f>COUNTIF(G$5:G363,"Y")/COUNTA(G$5:G363)</f>
        <v>0.85793871866295268</v>
      </c>
      <c r="J363" s="16">
        <f>COUNTIF(H$5:H363,"Y")/COUNTA(H$5:H363)</f>
        <v>6.1281337047353758E-2</v>
      </c>
      <c r="K363" s="16">
        <f>AVERAGE(F$5:F363)</f>
        <v>2.1629526462395545</v>
      </c>
      <c r="L363" s="16">
        <f>SUM(F$5:F363)/SUM(E$5:E363)</f>
        <v>0.73455680635701393</v>
      </c>
    </row>
    <row r="364" spans="1:12" x14ac:dyDescent="0.25">
      <c r="A364" s="29">
        <v>45684</v>
      </c>
      <c r="B364" s="16" t="s">
        <v>410</v>
      </c>
      <c r="C364" s="34">
        <v>1</v>
      </c>
      <c r="D364" s="16" t="s">
        <v>50</v>
      </c>
      <c r="E364" s="35">
        <v>1.8</v>
      </c>
      <c r="F364" s="35">
        <v>1.2</v>
      </c>
      <c r="G364" s="16" t="s">
        <v>44</v>
      </c>
      <c r="H364" s="16" t="s">
        <v>45</v>
      </c>
      <c r="I364" s="16">
        <f>COUNTIF(G$5:G364,"Y")/COUNTA(G$5:G364)</f>
        <v>0.85833333333333328</v>
      </c>
      <c r="J364" s="16">
        <f>COUNTIF(H$5:H364,"Y")/COUNTA(H$5:H364)</f>
        <v>6.1111111111111109E-2</v>
      </c>
      <c r="K364" s="16">
        <f>AVERAGE(F$5:F364)</f>
        <v>2.160277777777778</v>
      </c>
      <c r="L364" s="16">
        <f>SUM(F$5:F364)/SUM(E$5:E364)</f>
        <v>0.73444140145433889</v>
      </c>
    </row>
    <row r="365" spans="1:12" x14ac:dyDescent="0.25">
      <c r="A365" s="29">
        <v>45685</v>
      </c>
      <c r="B365" s="16" t="s">
        <v>411</v>
      </c>
      <c r="C365" s="34">
        <v>1</v>
      </c>
      <c r="D365" s="16" t="s">
        <v>64</v>
      </c>
      <c r="E365" s="35">
        <v>3.3</v>
      </c>
      <c r="F365" s="35">
        <v>2.2999999999999998</v>
      </c>
      <c r="G365" s="16" t="s">
        <v>44</v>
      </c>
      <c r="H365" s="16" t="s">
        <v>45</v>
      </c>
      <c r="I365" s="16">
        <f>COUNTIF(G$5:G365,"Y")/COUNTA(G$5:G365)</f>
        <v>0.8587257617728532</v>
      </c>
      <c r="J365" s="16">
        <f>COUNTIF(H$5:H365,"Y")/COUNTA(H$5:H365)</f>
        <v>6.0941828254847646E-2</v>
      </c>
      <c r="K365" s="16">
        <f>AVERAGE(F$5:F365)</f>
        <v>2.1606648199445981</v>
      </c>
      <c r="L365" s="16">
        <f>SUM(F$5:F365)/SUM(E$5:E365)</f>
        <v>0.73432498587836514</v>
      </c>
    </row>
    <row r="366" spans="1:12" x14ac:dyDescent="0.25">
      <c r="A366" s="29">
        <v>45686</v>
      </c>
      <c r="B366" s="16" t="s">
        <v>412</v>
      </c>
      <c r="C366" s="34">
        <v>1</v>
      </c>
      <c r="D366" s="16" t="s">
        <v>52</v>
      </c>
      <c r="E366" s="35">
        <v>4.0999999999999996</v>
      </c>
      <c r="F366" s="35">
        <v>3.1</v>
      </c>
      <c r="G366" s="16" t="s">
        <v>44</v>
      </c>
      <c r="H366" s="16" t="s">
        <v>45</v>
      </c>
      <c r="I366" s="16">
        <f>COUNTIF(G$5:G366,"Y")/COUNTA(G$5:G366)</f>
        <v>0.85911602209944748</v>
      </c>
      <c r="J366" s="16">
        <f>COUNTIF(H$5:H366,"Y")/COUNTA(H$5:H366)</f>
        <v>6.0773480662983423E-2</v>
      </c>
      <c r="K366" s="16">
        <f>AVERAGE(F$5:F366)</f>
        <v>2.1632596685082874</v>
      </c>
      <c r="L366" s="16">
        <f>SUM(F$5:F366)/SUM(E$5:E366)</f>
        <v>0.73440870299165295</v>
      </c>
    </row>
    <row r="367" spans="1:12" x14ac:dyDescent="0.25">
      <c r="A367" s="29">
        <v>45687</v>
      </c>
      <c r="B367" s="16" t="s">
        <v>413</v>
      </c>
      <c r="C367" s="34">
        <v>1</v>
      </c>
      <c r="D367" s="16" t="s">
        <v>47</v>
      </c>
      <c r="E367" s="35">
        <v>4</v>
      </c>
      <c r="F367" s="35">
        <v>2.7</v>
      </c>
      <c r="G367" s="16" t="s">
        <v>44</v>
      </c>
      <c r="H367" s="16" t="s">
        <v>45</v>
      </c>
      <c r="I367" s="16">
        <f>COUNTIF(G$5:G367,"Y")/COUNTA(G$5:G367)</f>
        <v>0.85950413223140498</v>
      </c>
      <c r="J367" s="16">
        <f>COUNTIF(H$5:H367,"Y")/COUNTA(H$5:H367)</f>
        <v>6.0606060606060608E-2</v>
      </c>
      <c r="K367" s="16">
        <f>AVERAGE(F$5:F367)</f>
        <v>2.1647382920110196</v>
      </c>
      <c r="L367" s="16">
        <f>SUM(F$5:F367)/SUM(E$5:E367)</f>
        <v>0.73418667663271941</v>
      </c>
    </row>
    <row r="368" spans="1:12" x14ac:dyDescent="0.25">
      <c r="A368" s="29">
        <v>45688</v>
      </c>
      <c r="B368" s="16" t="s">
        <v>414</v>
      </c>
      <c r="C368" s="34">
        <v>1</v>
      </c>
      <c r="D368" s="16" t="s">
        <v>47</v>
      </c>
      <c r="E368" s="35">
        <v>1.3</v>
      </c>
      <c r="F368" s="35">
        <v>1.1000000000000001</v>
      </c>
      <c r="G368" s="16" t="s">
        <v>45</v>
      </c>
      <c r="H368" s="16" t="s">
        <v>45</v>
      </c>
      <c r="I368" s="16">
        <f>COUNTIF(G$5:G368,"Y")/COUNTA(G$5:G368)</f>
        <v>0.8571428571428571</v>
      </c>
      <c r="J368" s="16">
        <f>COUNTIF(H$5:H368,"Y")/COUNTA(H$5:H368)</f>
        <v>6.043956043956044E-2</v>
      </c>
      <c r="K368" s="16">
        <f>AVERAGE(F$5:F368)</f>
        <v>2.1618131868131871</v>
      </c>
      <c r="L368" s="16">
        <f>SUM(F$5:F368)/SUM(E$5:E368)</f>
        <v>0.73432250839865587</v>
      </c>
    </row>
    <row r="369" spans="1:13" x14ac:dyDescent="0.25">
      <c r="A369" s="29">
        <v>45684</v>
      </c>
      <c r="B369" s="16" t="s">
        <v>415</v>
      </c>
      <c r="C369" s="34">
        <v>1</v>
      </c>
      <c r="D369" s="16" t="s">
        <v>64</v>
      </c>
      <c r="E369" s="35">
        <v>2.2000000000000002</v>
      </c>
      <c r="F369" s="35">
        <v>1.5</v>
      </c>
      <c r="G369" s="16" t="s">
        <v>44</v>
      </c>
      <c r="H369" s="16" t="s">
        <v>45</v>
      </c>
      <c r="I369" s="16">
        <f>COUNTIF(G$5:G369,"Y")/COUNTA(G$5:G369)</f>
        <v>0.8575342465753425</v>
      </c>
      <c r="J369" s="16">
        <f>COUNTIF(H$5:H369,"Y")/COUNTA(H$5:H369)</f>
        <v>6.0273972602739728E-2</v>
      </c>
      <c r="K369" s="16">
        <f>AVERAGE(F$5:F369)</f>
        <v>2.16</v>
      </c>
      <c r="L369" s="16">
        <f>SUM(F$5:F369)/SUM(E$5:E369)</f>
        <v>0.73421493760476775</v>
      </c>
    </row>
    <row r="370" spans="1:13" x14ac:dyDescent="0.25">
      <c r="A370" s="29">
        <v>45685</v>
      </c>
      <c r="B370" s="16" t="s">
        <v>416</v>
      </c>
      <c r="C370" s="34">
        <v>1</v>
      </c>
      <c r="D370" s="16" t="s">
        <v>64</v>
      </c>
      <c r="E370" s="35">
        <v>3.5</v>
      </c>
      <c r="F370" s="35">
        <v>2.7</v>
      </c>
      <c r="G370" s="16" t="s">
        <v>45</v>
      </c>
      <c r="H370" s="16" t="s">
        <v>45</v>
      </c>
      <c r="I370" s="16">
        <f>COUNTIF(G$5:G370,"Y")/COUNTA(G$5:G370)</f>
        <v>0.85519125683060104</v>
      </c>
      <c r="J370" s="16">
        <f>COUNTIF(H$5:H370,"Y")/COUNTA(H$5:H370)</f>
        <v>6.0109289617486336E-2</v>
      </c>
      <c r="K370" s="16">
        <f>AVERAGE(F$5:F370)</f>
        <v>2.1614754098360658</v>
      </c>
      <c r="L370" s="16">
        <f>SUM(F$5:F370)/SUM(E$5:E370)</f>
        <v>0.73433583959899718</v>
      </c>
    </row>
    <row r="371" spans="1:13" x14ac:dyDescent="0.25">
      <c r="A371" s="29">
        <v>45686</v>
      </c>
      <c r="B371" s="16" t="s">
        <v>417</v>
      </c>
      <c r="C371" s="34">
        <v>1</v>
      </c>
      <c r="D371" s="16" t="s">
        <v>43</v>
      </c>
      <c r="E371" s="35">
        <v>3.9</v>
      </c>
      <c r="F371" s="35">
        <v>3.2</v>
      </c>
      <c r="G371" s="16" t="s">
        <v>44</v>
      </c>
      <c r="H371" s="16" t="s">
        <v>45</v>
      </c>
      <c r="I371" s="16">
        <f>COUNTIF(G$5:G371,"Y")/COUNTA(G$5:G371)</f>
        <v>0.85558583106267028</v>
      </c>
      <c r="J371" s="16">
        <f>COUNTIF(H$5:H371,"Y")/COUNTA(H$5:H371)</f>
        <v>5.9945504087193457E-2</v>
      </c>
      <c r="K371" s="16">
        <f>AVERAGE(F$5:F371)</f>
        <v>2.164305177111717</v>
      </c>
      <c r="L371" s="16">
        <f>SUM(F$5:F371)/SUM(E$5:E371)</f>
        <v>0.73464668886422457</v>
      </c>
    </row>
    <row r="372" spans="1:13" x14ac:dyDescent="0.25">
      <c r="A372" s="29">
        <v>45687</v>
      </c>
      <c r="B372" s="16" t="s">
        <v>418</v>
      </c>
      <c r="C372" s="34">
        <v>1</v>
      </c>
      <c r="D372" s="16" t="s">
        <v>50</v>
      </c>
      <c r="E372" s="35">
        <v>1.7</v>
      </c>
      <c r="F372" s="35">
        <v>1.4</v>
      </c>
      <c r="G372" s="16" t="s">
        <v>44</v>
      </c>
      <c r="H372" s="16" t="s">
        <v>45</v>
      </c>
      <c r="I372" s="16">
        <f>COUNTIF(G$5:G372,"Y")/COUNTA(G$5:G372)</f>
        <v>0.85597826086956519</v>
      </c>
      <c r="J372" s="16">
        <f>COUNTIF(H$5:H372,"Y")/COUNTA(H$5:H372)</f>
        <v>5.9782608695652176E-2</v>
      </c>
      <c r="K372" s="16">
        <f>AVERAGE(F$5:F372)</f>
        <v>2.1622282608695658</v>
      </c>
      <c r="L372" s="16">
        <f>SUM(F$5:F372)/SUM(E$5:E372)</f>
        <v>0.73478622218117984</v>
      </c>
    </row>
    <row r="373" spans="1:13" x14ac:dyDescent="0.25">
      <c r="A373" s="29">
        <v>45688</v>
      </c>
      <c r="B373" s="16" t="s">
        <v>419</v>
      </c>
      <c r="C373" s="34">
        <v>1</v>
      </c>
      <c r="D373" s="16" t="s">
        <v>60</v>
      </c>
      <c r="E373" s="35">
        <v>3.8</v>
      </c>
      <c r="F373" s="35">
        <v>2.8</v>
      </c>
      <c r="G373" s="16" t="s">
        <v>44</v>
      </c>
      <c r="H373" s="16" t="s">
        <v>45</v>
      </c>
      <c r="I373" s="16">
        <f>COUNTIF(G$5:G373,"Y")/COUNTA(G$5:G373)</f>
        <v>0.85636856368563685</v>
      </c>
      <c r="J373" s="16">
        <f>COUNTIF(H$5:H373,"Y")/COUNTA(H$5:H373)</f>
        <v>5.9620596205962058E-2</v>
      </c>
      <c r="K373" s="16">
        <f>AVERAGE(F$5:F373)</f>
        <v>2.1639566395663961</v>
      </c>
      <c r="L373" s="16">
        <f>SUM(F$5:F373)/SUM(E$5:E373)</f>
        <v>0.73479341124505348</v>
      </c>
    </row>
    <row r="374" spans="1:13" x14ac:dyDescent="0.25">
      <c r="A374" s="29">
        <v>45684</v>
      </c>
      <c r="B374" s="16" t="s">
        <v>420</v>
      </c>
      <c r="C374" s="34">
        <v>1</v>
      </c>
      <c r="D374" s="16" t="s">
        <v>52</v>
      </c>
      <c r="E374" s="35">
        <v>1.7</v>
      </c>
      <c r="F374" s="35">
        <v>1.2</v>
      </c>
      <c r="G374" s="16" t="s">
        <v>45</v>
      </c>
      <c r="H374" s="16" t="s">
        <v>45</v>
      </c>
      <c r="I374" s="16">
        <f>COUNTIF(G$5:G374,"Y")/COUNTA(G$5:G374)</f>
        <v>0.8540540540540541</v>
      </c>
      <c r="J374" s="16">
        <f>COUNTIF(H$5:H374,"Y")/COUNTA(H$5:H374)</f>
        <v>5.9459459459459463E-2</v>
      </c>
      <c r="K374" s="16">
        <f>AVERAGE(F$5:F374)</f>
        <v>2.1613513513513518</v>
      </c>
      <c r="L374" s="16">
        <f>SUM(F$5:F374)/SUM(E$5:E374)</f>
        <v>0.73474825431826496</v>
      </c>
    </row>
    <row r="375" spans="1:13" x14ac:dyDescent="0.25">
      <c r="A375" s="29">
        <v>45685</v>
      </c>
      <c r="B375" s="16" t="s">
        <v>421</v>
      </c>
      <c r="C375" s="34">
        <v>1</v>
      </c>
      <c r="D375" s="16" t="s">
        <v>64</v>
      </c>
      <c r="E375" s="35">
        <v>3.2</v>
      </c>
      <c r="F375" s="35">
        <v>2.4</v>
      </c>
      <c r="G375" s="16" t="s">
        <v>44</v>
      </c>
      <c r="H375" s="16" t="s">
        <v>45</v>
      </c>
      <c r="I375" s="16">
        <f>COUNTIF(G$5:G375,"Y")/COUNTA(G$5:G375)</f>
        <v>0.85444743935309975</v>
      </c>
      <c r="J375" s="16">
        <f>COUNTIF(H$5:H375,"Y")/COUNTA(H$5:H375)</f>
        <v>5.9299191374663072E-2</v>
      </c>
      <c r="K375" s="16">
        <f>AVERAGE(F$5:F375)</f>
        <v>2.1619946091644207</v>
      </c>
      <c r="L375" s="16">
        <f>SUM(F$5:F375)/SUM(E$5:E375)</f>
        <v>0.73479296445584419</v>
      </c>
    </row>
    <row r="376" spans="1:13" x14ac:dyDescent="0.25">
      <c r="A376" s="29">
        <v>45686</v>
      </c>
      <c r="B376" s="16" t="s">
        <v>422</v>
      </c>
      <c r="C376" s="34">
        <v>1</v>
      </c>
      <c r="D376" s="16" t="s">
        <v>64</v>
      </c>
      <c r="E376" s="35">
        <v>3.8</v>
      </c>
      <c r="F376" s="35">
        <v>2.8</v>
      </c>
      <c r="G376" s="16" t="s">
        <v>44</v>
      </c>
      <c r="H376" s="16" t="s">
        <v>45</v>
      </c>
      <c r="I376" s="16">
        <f>COUNTIF(G$5:G376,"Y")/COUNTA(G$5:G376)</f>
        <v>0.85483870967741937</v>
      </c>
      <c r="J376" s="16">
        <f>COUNTIF(H$5:H376,"Y")/COUNTA(H$5:H376)</f>
        <v>5.9139784946236562E-2</v>
      </c>
      <c r="K376" s="16">
        <f>AVERAGE(F$5:F376)</f>
        <v>2.1637096774193552</v>
      </c>
      <c r="L376" s="16">
        <f>SUM(F$5:F376)/SUM(E$5:E376)</f>
        <v>0.73480007303268169</v>
      </c>
    </row>
    <row r="377" spans="1:13" x14ac:dyDescent="0.25">
      <c r="A377" s="29">
        <v>45687</v>
      </c>
      <c r="B377" s="16" t="s">
        <v>423</v>
      </c>
      <c r="C377" s="34">
        <v>1</v>
      </c>
      <c r="D377" s="16" t="s">
        <v>56</v>
      </c>
      <c r="E377" s="35">
        <v>3.7</v>
      </c>
      <c r="F377" s="35">
        <v>3</v>
      </c>
      <c r="G377" s="16" t="s">
        <v>44</v>
      </c>
      <c r="H377" s="16" t="s">
        <v>45</v>
      </c>
      <c r="I377" s="16">
        <f>COUNTIF(G$5:G377,"Y")/COUNTA(G$5:G377)</f>
        <v>0.85522788203753353</v>
      </c>
      <c r="J377" s="16">
        <f>COUNTIF(H$5:H377,"Y")/COUNTA(H$5:H377)</f>
        <v>5.8981233243967826E-2</v>
      </c>
      <c r="K377" s="16">
        <f>AVERAGE(F$5:F377)</f>
        <v>2.165951742627346</v>
      </c>
      <c r="L377" s="16">
        <f>SUM(F$5:F377)/SUM(E$5:E377)</f>
        <v>0.73505595487216768</v>
      </c>
    </row>
    <row r="378" spans="1:13" x14ac:dyDescent="0.25">
      <c r="A378" s="29">
        <v>45688</v>
      </c>
      <c r="B378" s="16" t="s">
        <v>424</v>
      </c>
      <c r="C378" s="34">
        <v>1</v>
      </c>
      <c r="D378" s="16" t="s">
        <v>47</v>
      </c>
      <c r="E378" s="35">
        <v>1.4</v>
      </c>
      <c r="F378" s="35">
        <v>1.1000000000000001</v>
      </c>
      <c r="G378" s="16" t="s">
        <v>44</v>
      </c>
      <c r="H378" s="16" t="s">
        <v>45</v>
      </c>
      <c r="I378" s="16">
        <f>COUNTIF(G$5:G378,"Y")/COUNTA(G$5:G378)</f>
        <v>0.85561497326203206</v>
      </c>
      <c r="J378" s="16">
        <f>COUNTIF(H$5:H378,"Y")/COUNTA(H$5:H378)</f>
        <v>5.8823529411764705E-2</v>
      </c>
      <c r="K378" s="16">
        <f>AVERAGE(F$5:F378)</f>
        <v>2.1631016042780753</v>
      </c>
      <c r="L378" s="16">
        <f>SUM(F$5:F378)/SUM(E$5:E378)</f>
        <v>0.73512039981826394</v>
      </c>
    </row>
    <row r="379" spans="1:13" x14ac:dyDescent="0.25">
      <c r="A379" s="29">
        <v>45684</v>
      </c>
      <c r="B379" s="16" t="s">
        <v>425</v>
      </c>
      <c r="C379" s="34">
        <v>1</v>
      </c>
      <c r="D379" s="16" t="s">
        <v>56</v>
      </c>
      <c r="E379" s="35">
        <v>3.1</v>
      </c>
      <c r="F379" s="35">
        <v>2.6</v>
      </c>
      <c r="G379" s="16" t="s">
        <v>44</v>
      </c>
      <c r="H379" s="16" t="s">
        <v>45</v>
      </c>
      <c r="I379" s="16">
        <f>COUNTIF(G$5:G379,"Y")/COUNTA(G$5:G379)</f>
        <v>0.85599999999999998</v>
      </c>
      <c r="J379" s="16">
        <f>COUNTIF(H$5:H379,"Y")/COUNTA(H$5:H379)</f>
        <v>5.8666666666666666E-2</v>
      </c>
      <c r="K379" s="16">
        <f>AVERAGE(F$5:F379)</f>
        <v>2.1642666666666672</v>
      </c>
      <c r="L379" s="16">
        <f>SUM(F$5:F379)/SUM(E$5:E379)</f>
        <v>0.73541138093512104</v>
      </c>
    </row>
    <row r="380" spans="1:13" x14ac:dyDescent="0.25">
      <c r="A380" s="29">
        <v>45685</v>
      </c>
      <c r="B380" s="16" t="s">
        <v>426</v>
      </c>
      <c r="C380" s="34">
        <v>1</v>
      </c>
      <c r="D380" s="16" t="s">
        <v>52</v>
      </c>
      <c r="E380" s="35">
        <v>3.9</v>
      </c>
      <c r="F380" s="35">
        <v>2.9</v>
      </c>
      <c r="G380" s="16" t="s">
        <v>44</v>
      </c>
      <c r="H380" s="16" t="s">
        <v>45</v>
      </c>
      <c r="I380" s="16">
        <f>COUNTIF(G$5:G380,"Y")/COUNTA(G$5:G380)</f>
        <v>0.8563829787234043</v>
      </c>
      <c r="J380" s="16">
        <f>COUNTIF(H$5:H380,"Y")/COUNTA(H$5:H380)</f>
        <v>5.8510638297872342E-2</v>
      </c>
      <c r="K380" s="16">
        <f>AVERAGE(F$5:F380)</f>
        <v>2.1662234042553195</v>
      </c>
      <c r="L380" s="16">
        <f>SUM(F$5:F380)/SUM(E$5:E380)</f>
        <v>0.73544018058690697</v>
      </c>
    </row>
    <row r="381" spans="1:13" x14ac:dyDescent="0.25">
      <c r="A381" s="29">
        <v>45686</v>
      </c>
      <c r="B381" s="16" t="s">
        <v>427</v>
      </c>
      <c r="C381" s="34">
        <v>1</v>
      </c>
      <c r="D381" s="16" t="s">
        <v>60</v>
      </c>
      <c r="E381" s="35">
        <v>3</v>
      </c>
      <c r="F381" s="35">
        <v>2</v>
      </c>
      <c r="G381" s="16" t="s">
        <v>44</v>
      </c>
      <c r="H381" s="16" t="s">
        <v>45</v>
      </c>
      <c r="I381" s="16">
        <f>COUNTIF(G$5:G381,"Y")/COUNTA(G$5:G381)</f>
        <v>0.85676392572944293</v>
      </c>
      <c r="J381" s="16">
        <f>COUNTIF(H$5:H381,"Y")/COUNTA(H$5:H381)</f>
        <v>5.8355437665782495E-2</v>
      </c>
      <c r="K381" s="16">
        <f>AVERAGE(F$5:F381)</f>
        <v>2.1657824933687007</v>
      </c>
      <c r="L381" s="16">
        <f>SUM(F$5:F381)/SUM(E$5:E381)</f>
        <v>0.73525438991445247</v>
      </c>
    </row>
    <row r="382" spans="1:13" x14ac:dyDescent="0.25">
      <c r="A382" s="29">
        <v>45687</v>
      </c>
      <c r="B382" s="16" t="s">
        <v>428</v>
      </c>
      <c r="C382" s="34">
        <v>1</v>
      </c>
      <c r="D382" s="16" t="s">
        <v>64</v>
      </c>
      <c r="E382" s="35">
        <v>1.5</v>
      </c>
      <c r="F382" s="35">
        <v>2</v>
      </c>
      <c r="G382" s="16" t="s">
        <v>44</v>
      </c>
      <c r="H382" s="16" t="s">
        <v>45</v>
      </c>
      <c r="I382" s="16">
        <f>COUNTIF(G$5:G382,"Y")/COUNTA(G$5:G382)</f>
        <v>0.8571428571428571</v>
      </c>
      <c r="J382" s="16">
        <f>COUNTIF(H$5:H382,"Y")/COUNTA(H$5:H382)</f>
        <v>5.8201058201058198E-2</v>
      </c>
      <c r="K382" s="16">
        <f>AVERAGE(F$5:F382)</f>
        <v>2.1653439153439158</v>
      </c>
      <c r="L382" s="16">
        <f>SUM(F$5:F382)/SUM(E$5:E382)</f>
        <v>0.73606115107913617</v>
      </c>
    </row>
    <row r="383" spans="1:13" x14ac:dyDescent="0.25">
      <c r="A383" s="29">
        <v>45688</v>
      </c>
      <c r="B383" s="16" t="s">
        <v>429</v>
      </c>
      <c r="C383" s="34">
        <v>1</v>
      </c>
      <c r="D383" s="16" t="s">
        <v>52</v>
      </c>
      <c r="E383" s="35">
        <v>0.5</v>
      </c>
      <c r="F383" s="35">
        <v>0.5</v>
      </c>
      <c r="G383" s="16" t="s">
        <v>44</v>
      </c>
      <c r="H383" s="16" t="s">
        <v>45</v>
      </c>
      <c r="I383" s="16">
        <f>COUNTIF(G$5:G383,"Y")/COUNTA(G$5:G383)</f>
        <v>0.85751978891820579</v>
      </c>
      <c r="J383" s="16">
        <f>COUNTIF(H$5:H383,"Y")/COUNTA(H$5:H383)</f>
        <v>5.8047493403693931E-2</v>
      </c>
      <c r="K383" s="16">
        <f>AVERAGE(F$5:F383)</f>
        <v>2.160949868073879</v>
      </c>
      <c r="L383" s="16">
        <f>SUM(F$5:F383)/SUM(E$5:E383)</f>
        <v>0.7361797752808984</v>
      </c>
    </row>
    <row r="384" spans="1:13" x14ac:dyDescent="0.25">
      <c r="A384" s="29">
        <v>45684</v>
      </c>
      <c r="B384" s="16" t="s">
        <v>430</v>
      </c>
      <c r="C384" s="34">
        <v>1</v>
      </c>
      <c r="D384" s="16" t="s">
        <v>43</v>
      </c>
      <c r="E384" s="35">
        <v>0.5</v>
      </c>
      <c r="F384" s="35">
        <v>0.5</v>
      </c>
      <c r="G384" s="16" t="s">
        <v>44</v>
      </c>
      <c r="H384" s="16" t="s">
        <v>45</v>
      </c>
      <c r="I384" s="16">
        <f>COUNTIF(G$5:G384,"Y")/COUNTA(G$5:G384)</f>
        <v>0.85789473684210527</v>
      </c>
      <c r="J384" s="16">
        <f>COUNTIF(H$5:H384,"Y")/COUNTA(H$5:H384)</f>
        <v>5.7894736842105263E-2</v>
      </c>
      <c r="K384" s="16">
        <f>AVERAGE(F$5:F384)</f>
        <v>2.1565789473684212</v>
      </c>
      <c r="L384" s="16">
        <f>SUM(F$5:F384)/SUM(E$5:E384)</f>
        <v>0.73629829290206594</v>
      </c>
      <c r="M384" s="16">
        <v>13</v>
      </c>
    </row>
    <row r="385" spans="1:12" x14ac:dyDescent="0.25">
      <c r="A385" s="29">
        <v>45691</v>
      </c>
      <c r="B385" s="16" t="s">
        <v>431</v>
      </c>
      <c r="C385" s="34">
        <v>1</v>
      </c>
      <c r="D385" s="16" t="s">
        <v>43</v>
      </c>
      <c r="E385" s="35">
        <v>1.4</v>
      </c>
      <c r="F385" s="35">
        <v>1.2</v>
      </c>
      <c r="G385" s="16" t="s">
        <v>44</v>
      </c>
      <c r="H385" s="16" t="s">
        <v>45</v>
      </c>
      <c r="I385" s="16">
        <f>COUNTIF(G$5:G385,"Y")/COUNTA(G$5:G385)</f>
        <v>0.8582677165354331</v>
      </c>
      <c r="J385" s="16">
        <f>COUNTIF(H$5:H385,"Y")/COUNTA(H$5:H385)</f>
        <v>5.774278215223097E-2</v>
      </c>
      <c r="K385" s="16">
        <f>AVERAGE(F$5:F385)</f>
        <v>2.1540682414698167</v>
      </c>
      <c r="L385" s="16">
        <f>SUM(F$5:F385)/SUM(E$5:E385)</f>
        <v>0.73645010768126296</v>
      </c>
    </row>
    <row r="386" spans="1:12" x14ac:dyDescent="0.25">
      <c r="A386" s="29">
        <v>45692</v>
      </c>
      <c r="B386" s="16" t="s">
        <v>432</v>
      </c>
      <c r="C386" s="34">
        <v>1</v>
      </c>
      <c r="D386" s="16" t="s">
        <v>47</v>
      </c>
      <c r="E386" s="35">
        <v>4.2</v>
      </c>
      <c r="F386" s="35">
        <v>3.3</v>
      </c>
      <c r="G386" s="16" t="s">
        <v>44</v>
      </c>
      <c r="H386" s="16" t="s">
        <v>45</v>
      </c>
      <c r="I386" s="16">
        <f>COUNTIF(G$5:G386,"Y")/COUNTA(G$5:G386)</f>
        <v>0.8586387434554974</v>
      </c>
      <c r="J386" s="16">
        <f>COUNTIF(H$5:H386,"Y")/COUNTA(H$5:H386)</f>
        <v>5.7591623036649213E-2</v>
      </c>
      <c r="K386" s="16">
        <f>AVERAGE(F$5:F386)</f>
        <v>2.1570680628272254</v>
      </c>
      <c r="L386" s="16">
        <f>SUM(F$5:F386)/SUM(E$5:E386)</f>
        <v>0.73663507956373975</v>
      </c>
    </row>
    <row r="387" spans="1:12" x14ac:dyDescent="0.25">
      <c r="A387" s="29">
        <v>45693</v>
      </c>
      <c r="B387" s="16" t="s">
        <v>433</v>
      </c>
      <c r="C387" s="34">
        <v>1</v>
      </c>
      <c r="D387" s="16" t="s">
        <v>50</v>
      </c>
      <c r="E387" s="35">
        <v>3</v>
      </c>
      <c r="F387" s="35">
        <v>2.2000000000000002</v>
      </c>
      <c r="G387" s="16" t="s">
        <v>44</v>
      </c>
      <c r="H387" s="16" t="s">
        <v>45</v>
      </c>
      <c r="I387" s="16">
        <f>COUNTIF(G$5:G387,"Y")/COUNTA(G$5:G387)</f>
        <v>0.85900783289817229</v>
      </c>
      <c r="J387" s="16">
        <f>COUNTIF(H$5:H387,"Y")/COUNTA(H$5:H387)</f>
        <v>5.7441253263707574E-2</v>
      </c>
      <c r="K387" s="16">
        <f>AVERAGE(F$5:F387)</f>
        <v>2.1571801566579638</v>
      </c>
      <c r="L387" s="16">
        <f>SUM(F$5:F387)/SUM(E$5:E387)</f>
        <v>0.73662624821683254</v>
      </c>
    </row>
    <row r="388" spans="1:12" x14ac:dyDescent="0.25">
      <c r="A388" s="29">
        <v>45694</v>
      </c>
      <c r="B388" s="16" t="s">
        <v>434</v>
      </c>
      <c r="C388" s="34">
        <v>1</v>
      </c>
      <c r="D388" s="16" t="s">
        <v>43</v>
      </c>
      <c r="E388" s="35">
        <v>3.9</v>
      </c>
      <c r="F388" s="35">
        <v>2.8</v>
      </c>
      <c r="G388" s="16" t="s">
        <v>44</v>
      </c>
      <c r="H388" s="16" t="s">
        <v>44</v>
      </c>
      <c r="I388" s="16">
        <f>COUNTIF(G$5:G388,"Y")/COUNTA(G$5:G388)</f>
        <v>0.859375</v>
      </c>
      <c r="J388" s="16">
        <f>COUNTIF(H$5:H388,"Y")/COUNTA(H$5:H388)</f>
        <v>5.9895833333333336E-2</v>
      </c>
      <c r="K388" s="16">
        <f>AVERAGE(F$5:F388)</f>
        <v>2.158854166666667</v>
      </c>
      <c r="L388" s="16">
        <f>SUM(F$5:F388)/SUM(E$5:E388)</f>
        <v>0.7365615282096839</v>
      </c>
    </row>
    <row r="389" spans="1:12" x14ac:dyDescent="0.25">
      <c r="A389" s="29">
        <v>45695</v>
      </c>
      <c r="B389" s="16" t="s">
        <v>435</v>
      </c>
      <c r="C389" s="34">
        <v>1</v>
      </c>
      <c r="D389" s="16" t="s">
        <v>56</v>
      </c>
      <c r="E389" s="35">
        <v>4.9000000000000004</v>
      </c>
      <c r="F389" s="35">
        <v>3.8</v>
      </c>
      <c r="G389" s="16" t="s">
        <v>44</v>
      </c>
      <c r="H389" s="16" t="s">
        <v>45</v>
      </c>
      <c r="I389" s="16">
        <f>COUNTIF(G$5:G389,"Y")/COUNTA(G$5:G389)</f>
        <v>0.85974025974025969</v>
      </c>
      <c r="J389" s="16">
        <f>COUNTIF(H$5:H389,"Y")/COUNTA(H$5:H389)</f>
        <v>5.9740259740259739E-2</v>
      </c>
      <c r="K389" s="16">
        <f>AVERAGE(F$5:F389)</f>
        <v>2.1631168831168832</v>
      </c>
      <c r="L389" s="16">
        <f>SUM(F$5:F389)/SUM(E$5:E389)</f>
        <v>0.73673036093418187</v>
      </c>
    </row>
    <row r="390" spans="1:12" x14ac:dyDescent="0.25">
      <c r="A390" s="29">
        <v>45691</v>
      </c>
      <c r="B390" s="16" t="s">
        <v>436</v>
      </c>
      <c r="C390" s="34">
        <v>1</v>
      </c>
      <c r="D390" s="16" t="s">
        <v>56</v>
      </c>
      <c r="E390" s="35">
        <v>4.5</v>
      </c>
      <c r="F390" s="35">
        <v>3.3</v>
      </c>
      <c r="G390" s="16" t="s">
        <v>45</v>
      </c>
      <c r="H390" s="16" t="s">
        <v>45</v>
      </c>
      <c r="I390" s="16">
        <f>COUNTIF(G$5:G390,"Y")/COUNTA(G$5:G390)</f>
        <v>0.8575129533678757</v>
      </c>
      <c r="J390" s="16">
        <f>COUNTIF(H$5:H390,"Y")/COUNTA(H$5:H390)</f>
        <v>5.9585492227979271E-2</v>
      </c>
      <c r="K390" s="16">
        <f>AVERAGE(F$5:F390)</f>
        <v>2.166062176165803</v>
      </c>
      <c r="L390" s="16">
        <f>SUM(F$5:F390)/SUM(E$5:E390)</f>
        <v>0.73671689135606588</v>
      </c>
    </row>
    <row r="391" spans="1:12" x14ac:dyDescent="0.25">
      <c r="A391" s="29">
        <v>45692</v>
      </c>
      <c r="B391" s="16" t="s">
        <v>437</v>
      </c>
      <c r="C391" s="34">
        <v>1</v>
      </c>
      <c r="D391" s="16" t="s">
        <v>47</v>
      </c>
      <c r="E391" s="35">
        <v>3.4</v>
      </c>
      <c r="F391" s="35">
        <v>2.6</v>
      </c>
      <c r="G391" s="16" t="s">
        <v>44</v>
      </c>
      <c r="H391" s="16" t="s">
        <v>45</v>
      </c>
      <c r="I391" s="16">
        <f>COUNTIF(G$5:G391,"Y")/COUNTA(G$5:G391)</f>
        <v>0.8578811369509044</v>
      </c>
      <c r="J391" s="16">
        <f>COUNTIF(H$5:H391,"Y")/COUNTA(H$5:H391)</f>
        <v>5.9431524547803614E-2</v>
      </c>
      <c r="K391" s="16">
        <f>AVERAGE(F$5:F391)</f>
        <v>2.1671834625322997</v>
      </c>
      <c r="L391" s="16">
        <f>SUM(F$5:F391)/SUM(E$5:E391)</f>
        <v>0.7368004919616965</v>
      </c>
    </row>
    <row r="392" spans="1:12" x14ac:dyDescent="0.25">
      <c r="A392" s="29">
        <v>45693</v>
      </c>
      <c r="B392" s="16" t="s">
        <v>438</v>
      </c>
      <c r="C392" s="34">
        <v>1</v>
      </c>
      <c r="D392" s="16" t="s">
        <v>47</v>
      </c>
      <c r="E392" s="35">
        <v>3.7</v>
      </c>
      <c r="F392" s="35">
        <v>3</v>
      </c>
      <c r="G392" s="16" t="s">
        <v>44</v>
      </c>
      <c r="H392" s="16" t="s">
        <v>45</v>
      </c>
      <c r="I392" s="16">
        <f>COUNTIF(G$5:G392,"Y")/COUNTA(G$5:G392)</f>
        <v>0.85824742268041232</v>
      </c>
      <c r="J392" s="16">
        <f>COUNTIF(H$5:H392,"Y")/COUNTA(H$5:H392)</f>
        <v>5.9278350515463915E-2</v>
      </c>
      <c r="K392" s="16">
        <f>AVERAGE(F$5:F392)</f>
        <v>2.1693298969072168</v>
      </c>
      <c r="L392" s="16">
        <f>SUM(F$5:F392)/SUM(E$5:E392)</f>
        <v>0.73704028021015677</v>
      </c>
    </row>
    <row r="393" spans="1:12" x14ac:dyDescent="0.25">
      <c r="A393" s="29">
        <v>45694</v>
      </c>
      <c r="B393" s="16" t="s">
        <v>439</v>
      </c>
      <c r="C393" s="34">
        <v>1</v>
      </c>
      <c r="D393" s="16" t="s">
        <v>50</v>
      </c>
      <c r="E393" s="35">
        <v>2</v>
      </c>
      <c r="F393" s="35">
        <v>1.4</v>
      </c>
      <c r="G393" s="16" t="s">
        <v>44</v>
      </c>
      <c r="H393" s="16" t="s">
        <v>45</v>
      </c>
      <c r="I393" s="16">
        <f>COUNTIF(G$5:G393,"Y")/COUNTA(G$5:G393)</f>
        <v>0.8586118251928021</v>
      </c>
      <c r="J393" s="16">
        <f>COUNTIF(H$5:H393,"Y")/COUNTA(H$5:H393)</f>
        <v>5.9125964010282778E-2</v>
      </c>
      <c r="K393" s="16">
        <f>AVERAGE(F$5:F393)</f>
        <v>2.1673521850899742</v>
      </c>
      <c r="L393" s="16">
        <f>SUM(F$5:F393)/SUM(E$5:E393)</f>
        <v>0.73697552447552361</v>
      </c>
    </row>
    <row r="394" spans="1:12" x14ac:dyDescent="0.25">
      <c r="A394" s="29">
        <v>45695</v>
      </c>
      <c r="B394" s="16" t="s">
        <v>440</v>
      </c>
      <c r="C394" s="34">
        <v>1</v>
      </c>
      <c r="D394" s="16" t="s">
        <v>43</v>
      </c>
      <c r="E394" s="35">
        <v>3.2</v>
      </c>
      <c r="F394" s="35">
        <v>2.5</v>
      </c>
      <c r="G394" s="16" t="s">
        <v>44</v>
      </c>
      <c r="H394" s="16" t="s">
        <v>45</v>
      </c>
      <c r="I394" s="16">
        <f>COUNTIF(G$5:G394,"Y")/COUNTA(G$5:G394)</f>
        <v>0.85897435897435892</v>
      </c>
      <c r="J394" s="16">
        <f>COUNTIF(H$5:H394,"Y")/COUNTA(H$5:H394)</f>
        <v>5.8974358974358973E-2</v>
      </c>
      <c r="K394" s="16">
        <f>AVERAGE(F$5:F394)</f>
        <v>2.1682051282051282</v>
      </c>
      <c r="L394" s="16">
        <f>SUM(F$5:F394)/SUM(E$5:E394)</f>
        <v>0.73709902370990144</v>
      </c>
    </row>
    <row r="395" spans="1:12" x14ac:dyDescent="0.25">
      <c r="A395" s="29">
        <v>45691</v>
      </c>
      <c r="B395" s="16" t="s">
        <v>441</v>
      </c>
      <c r="C395" s="34">
        <v>1</v>
      </c>
      <c r="D395" s="16" t="s">
        <v>52</v>
      </c>
      <c r="E395" s="35">
        <v>3.3</v>
      </c>
      <c r="F395" s="35">
        <v>2.7</v>
      </c>
      <c r="G395" s="16" t="s">
        <v>44</v>
      </c>
      <c r="H395" s="16" t="s">
        <v>45</v>
      </c>
      <c r="I395" s="16">
        <f>COUNTIF(G$5:G395,"Y")/COUNTA(G$5:G395)</f>
        <v>0.85933503836317138</v>
      </c>
      <c r="J395" s="16">
        <f>COUNTIF(H$5:H395,"Y")/COUNTA(H$5:H395)</f>
        <v>5.8823529411764705E-2</v>
      </c>
      <c r="K395" s="16">
        <f>AVERAGE(F$5:F395)</f>
        <v>2.1695652173913045</v>
      </c>
      <c r="L395" s="16">
        <f>SUM(F$5:F395)/SUM(E$5:E395)</f>
        <v>0.73733159495871281</v>
      </c>
    </row>
    <row r="396" spans="1:12" x14ac:dyDescent="0.25">
      <c r="A396" s="29">
        <v>45692</v>
      </c>
      <c r="B396" s="16" t="s">
        <v>442</v>
      </c>
      <c r="C396" s="34">
        <v>1</v>
      </c>
      <c r="D396" s="16" t="s">
        <v>60</v>
      </c>
      <c r="E396" s="35">
        <v>2.4</v>
      </c>
      <c r="F396" s="35">
        <v>1.8</v>
      </c>
      <c r="G396" s="16" t="s">
        <v>44</v>
      </c>
      <c r="H396" s="16" t="s">
        <v>45</v>
      </c>
      <c r="I396" s="16">
        <f>COUNTIF(G$5:G396,"Y")/COUNTA(G$5:G396)</f>
        <v>0.85969387755102045</v>
      </c>
      <c r="J396" s="16">
        <f>COUNTIF(H$5:H396,"Y")/COUNTA(H$5:H396)</f>
        <v>5.8673469387755105E-2</v>
      </c>
      <c r="K396" s="16">
        <f>AVERAGE(F$5:F396)</f>
        <v>2.1686224489795918</v>
      </c>
      <c r="L396" s="16">
        <f>SUM(F$5:F396)/SUM(E$5:E396)</f>
        <v>0.73735796686616273</v>
      </c>
    </row>
    <row r="397" spans="1:12" x14ac:dyDescent="0.25">
      <c r="A397" s="29">
        <v>45693</v>
      </c>
      <c r="B397" s="16" t="s">
        <v>443</v>
      </c>
      <c r="C397" s="34">
        <v>1</v>
      </c>
      <c r="D397" s="16" t="s">
        <v>43</v>
      </c>
      <c r="E397" s="35">
        <v>4.9000000000000004</v>
      </c>
      <c r="F397" s="35">
        <v>3.9</v>
      </c>
      <c r="G397" s="16" t="s">
        <v>44</v>
      </c>
      <c r="H397" s="16" t="s">
        <v>45</v>
      </c>
      <c r="I397" s="16">
        <f>COUNTIF(G$5:G397,"Y")/COUNTA(G$5:G397)</f>
        <v>0.86005089058524176</v>
      </c>
      <c r="J397" s="16">
        <f>COUNTIF(H$5:H397,"Y")/COUNTA(H$5:H397)</f>
        <v>5.8524173027989825E-2</v>
      </c>
      <c r="K397" s="16">
        <f>AVERAGE(F$5:F397)</f>
        <v>2.1730279898218829</v>
      </c>
      <c r="L397" s="16">
        <f>SUM(F$5:F397)/SUM(E$5:E397)</f>
        <v>0.73760580411124443</v>
      </c>
    </row>
    <row r="398" spans="1:12" x14ac:dyDescent="0.25">
      <c r="A398" s="29">
        <v>45694</v>
      </c>
      <c r="B398" s="16" t="s">
        <v>444</v>
      </c>
      <c r="C398" s="34">
        <v>1</v>
      </c>
      <c r="D398" s="16" t="s">
        <v>56</v>
      </c>
      <c r="E398" s="35">
        <v>4.9000000000000004</v>
      </c>
      <c r="F398" s="35">
        <v>3.7</v>
      </c>
      <c r="G398" s="16" t="s">
        <v>44</v>
      </c>
      <c r="H398" s="16" t="s">
        <v>45</v>
      </c>
      <c r="I398" s="16">
        <f>COUNTIF(G$5:G398,"Y")/COUNTA(G$5:G398)</f>
        <v>0.86040609137055835</v>
      </c>
      <c r="J398" s="16">
        <f>COUNTIF(H$5:H398,"Y")/COUNTA(H$5:H398)</f>
        <v>5.8375634517766499E-2</v>
      </c>
      <c r="K398" s="16">
        <f>AVERAGE(F$5:F398)</f>
        <v>2.1769035532994927</v>
      </c>
      <c r="L398" s="16">
        <f>SUM(F$5:F398)/SUM(E$5:E398)</f>
        <v>0.73767953900404126</v>
      </c>
    </row>
    <row r="399" spans="1:12" x14ac:dyDescent="0.25">
      <c r="A399" s="29">
        <v>45695</v>
      </c>
      <c r="B399" s="16" t="s">
        <v>445</v>
      </c>
      <c r="C399" s="34">
        <v>1</v>
      </c>
      <c r="D399" s="16" t="s">
        <v>52</v>
      </c>
      <c r="E399" s="35">
        <v>2.2000000000000002</v>
      </c>
      <c r="F399" s="35">
        <v>1.5</v>
      </c>
      <c r="G399" s="16" t="s">
        <v>45</v>
      </c>
      <c r="H399" s="16" t="s">
        <v>45</v>
      </c>
      <c r="I399" s="16">
        <f>COUNTIF(G$5:G399,"Y")/COUNTA(G$5:G399)</f>
        <v>0.85822784810126584</v>
      </c>
      <c r="J399" s="16">
        <f>COUNTIF(H$5:H399,"Y")/COUNTA(H$5:H399)</f>
        <v>5.8227848101265821E-2</v>
      </c>
      <c r="K399" s="16">
        <f>AVERAGE(F$5:F399)</f>
        <v>2.1751898734177217</v>
      </c>
      <c r="L399" s="16">
        <f>SUM(F$5:F399)/SUM(E$5:E399)</f>
        <v>0.73757404069018695</v>
      </c>
    </row>
    <row r="400" spans="1:12" x14ac:dyDescent="0.25">
      <c r="A400" s="29">
        <v>45691</v>
      </c>
      <c r="B400" s="16" t="s">
        <v>446</v>
      </c>
      <c r="C400" s="34">
        <v>1</v>
      </c>
      <c r="D400" s="16" t="s">
        <v>56</v>
      </c>
      <c r="E400" s="35">
        <v>3.6</v>
      </c>
      <c r="F400" s="35">
        <v>2.4</v>
      </c>
      <c r="G400" s="16" t="s">
        <v>44</v>
      </c>
      <c r="H400" s="16" t="s">
        <v>45</v>
      </c>
      <c r="I400" s="16">
        <f>COUNTIF(G$5:G400,"Y")/COUNTA(G$5:G400)</f>
        <v>0.85858585858585856</v>
      </c>
      <c r="J400" s="16">
        <f>COUNTIF(H$5:H400,"Y")/COUNTA(H$5:H400)</f>
        <v>5.808080808080808E-2</v>
      </c>
      <c r="K400" s="16">
        <f>AVERAGE(F$5:F400)</f>
        <v>2.1757575757575758</v>
      </c>
      <c r="L400" s="16">
        <f>SUM(F$5:F400)/SUM(E$5:E400)</f>
        <v>0.73735558408215562</v>
      </c>
    </row>
    <row r="401" spans="1:12" x14ac:dyDescent="0.25">
      <c r="A401" s="29">
        <v>45692</v>
      </c>
      <c r="B401" s="16" t="s">
        <v>447</v>
      </c>
      <c r="C401" s="34">
        <v>1</v>
      </c>
      <c r="D401" s="16" t="s">
        <v>52</v>
      </c>
      <c r="E401" s="35">
        <v>2.8</v>
      </c>
      <c r="F401" s="35">
        <v>2.4</v>
      </c>
      <c r="G401" s="16" t="s">
        <v>44</v>
      </c>
      <c r="H401" s="16" t="s">
        <v>45</v>
      </c>
      <c r="I401" s="16">
        <f>COUNTIF(G$5:G401,"Y")/COUNTA(G$5:G401)</f>
        <v>0.8589420654911839</v>
      </c>
      <c r="J401" s="16">
        <f>COUNTIF(H$5:H401,"Y")/COUNTA(H$5:H401)</f>
        <v>5.793450881612091E-2</v>
      </c>
      <c r="K401" s="16">
        <f>AVERAGE(F$5:F401)</f>
        <v>2.1763224181360203</v>
      </c>
      <c r="L401" s="16">
        <f>SUM(F$5:F401)/SUM(E$5:E401)</f>
        <v>0.73764193631008179</v>
      </c>
    </row>
    <row r="402" spans="1:12" x14ac:dyDescent="0.25">
      <c r="A402" s="29">
        <v>45693</v>
      </c>
      <c r="B402" s="16" t="s">
        <v>448</v>
      </c>
      <c r="C402" s="34">
        <v>1</v>
      </c>
      <c r="D402" s="16" t="s">
        <v>50</v>
      </c>
      <c r="E402" s="35">
        <v>4.5999999999999996</v>
      </c>
      <c r="F402" s="35">
        <v>3.1</v>
      </c>
      <c r="G402" s="16" t="s">
        <v>44</v>
      </c>
      <c r="H402" s="16" t="s">
        <v>45</v>
      </c>
      <c r="I402" s="16">
        <f>COUNTIF(G$5:G402,"Y")/COUNTA(G$5:G402)</f>
        <v>0.85929648241206025</v>
      </c>
      <c r="J402" s="16">
        <f>COUNTIF(H$5:H402,"Y")/COUNTA(H$5:H402)</f>
        <v>5.7788944723618091E-2</v>
      </c>
      <c r="K402" s="16">
        <f>AVERAGE(F$5:F402)</f>
        <v>2.1786432160804021</v>
      </c>
      <c r="L402" s="16">
        <f>SUM(F$5:F402)/SUM(E$5:E402)</f>
        <v>0.73739263542818179</v>
      </c>
    </row>
    <row r="403" spans="1:12" x14ac:dyDescent="0.25">
      <c r="A403" s="29">
        <v>45694</v>
      </c>
      <c r="B403" s="16" t="s">
        <v>449</v>
      </c>
      <c r="C403" s="34">
        <v>1</v>
      </c>
      <c r="D403" s="16" t="s">
        <v>60</v>
      </c>
      <c r="E403" s="35">
        <v>2.5</v>
      </c>
      <c r="F403" s="35">
        <v>2</v>
      </c>
      <c r="G403" s="16" t="s">
        <v>44</v>
      </c>
      <c r="H403" s="16" t="s">
        <v>45</v>
      </c>
      <c r="I403" s="16">
        <f>COUNTIF(G$5:G403,"Y")/COUNTA(G$5:G403)</f>
        <v>0.85964912280701755</v>
      </c>
      <c r="J403" s="16">
        <f>COUNTIF(H$5:H403,"Y")/COUNTA(H$5:H403)</f>
        <v>5.764411027568922E-2</v>
      </c>
      <c r="K403" s="16">
        <f>AVERAGE(F$5:F403)</f>
        <v>2.1781954887218045</v>
      </c>
      <c r="L403" s="16">
        <f>SUM(F$5:F403)/SUM(E$5:E403)</f>
        <v>0.7375254582484716</v>
      </c>
    </row>
    <row r="404" spans="1:12" x14ac:dyDescent="0.25">
      <c r="A404" s="29">
        <v>45695</v>
      </c>
      <c r="B404" s="16" t="s">
        <v>450</v>
      </c>
      <c r="C404" s="34">
        <v>1</v>
      </c>
      <c r="D404" s="16" t="s">
        <v>64</v>
      </c>
      <c r="E404" s="35">
        <v>1.8</v>
      </c>
      <c r="F404" s="35">
        <v>1.3</v>
      </c>
      <c r="G404" s="16" t="s">
        <v>44</v>
      </c>
      <c r="H404" s="16" t="s">
        <v>45</v>
      </c>
      <c r="I404" s="16">
        <f>COUNTIF(G$5:G404,"Y")/COUNTA(G$5:G404)</f>
        <v>0.86</v>
      </c>
      <c r="J404" s="16">
        <f>COUNTIF(H$5:H404,"Y")/COUNTA(H$5:H404)</f>
        <v>5.7500000000000002E-2</v>
      </c>
      <c r="K404" s="16">
        <f>AVERAGE(F$5:F404)</f>
        <v>2.1760000000000002</v>
      </c>
      <c r="L404" s="16">
        <f>SUM(F$5:F404)/SUM(E$5:E404)</f>
        <v>0.73750211828503554</v>
      </c>
    </row>
    <row r="405" spans="1:12" x14ac:dyDescent="0.25">
      <c r="A405" s="29">
        <v>45691</v>
      </c>
      <c r="B405" s="16" t="s">
        <v>451</v>
      </c>
      <c r="C405" s="34">
        <v>1</v>
      </c>
      <c r="D405" s="16" t="s">
        <v>50</v>
      </c>
      <c r="E405" s="35">
        <v>5.3</v>
      </c>
      <c r="F405" s="35">
        <v>3.6</v>
      </c>
      <c r="G405" s="16" t="s">
        <v>44</v>
      </c>
      <c r="H405" s="16" t="s">
        <v>45</v>
      </c>
      <c r="I405" s="16">
        <f>COUNTIF(G$5:G405,"Y")/COUNTA(G$5:G405)</f>
        <v>0.86034912718204493</v>
      </c>
      <c r="J405" s="16">
        <f>COUNTIF(H$5:H405,"Y")/COUNTA(H$5:H405)</f>
        <v>5.7356608478802994E-2</v>
      </c>
      <c r="K405" s="16">
        <f>AVERAGE(F$5:F405)</f>
        <v>2.1795511221945136</v>
      </c>
      <c r="L405" s="16">
        <f>SUM(F$5:F405)/SUM(E$5:E405)</f>
        <v>0.73724167018135722</v>
      </c>
    </row>
    <row r="406" spans="1:12" x14ac:dyDescent="0.25">
      <c r="A406" s="29">
        <v>45692</v>
      </c>
      <c r="B406" s="16" t="s">
        <v>452</v>
      </c>
      <c r="C406" s="34">
        <v>1</v>
      </c>
      <c r="D406" s="16" t="s">
        <v>56</v>
      </c>
      <c r="E406" s="35">
        <v>4.7</v>
      </c>
      <c r="F406" s="35">
        <v>3.1</v>
      </c>
      <c r="G406" s="16" t="s">
        <v>44</v>
      </c>
      <c r="H406" s="16" t="s">
        <v>45</v>
      </c>
      <c r="I406" s="16">
        <f>COUNTIF(G$5:G406,"Y")/COUNTA(G$5:G406)</f>
        <v>0.86069651741293529</v>
      </c>
      <c r="J406" s="16">
        <f>COUNTIF(H$5:H406,"Y")/COUNTA(H$5:H406)</f>
        <v>5.721393034825871E-2</v>
      </c>
      <c r="K406" s="16">
        <f>AVERAGE(F$5:F406)</f>
        <v>2.1818407960199004</v>
      </c>
      <c r="L406" s="16">
        <f>SUM(F$5:F406)/SUM(E$5:E406)</f>
        <v>0.73693496891278687</v>
      </c>
    </row>
    <row r="407" spans="1:12" x14ac:dyDescent="0.25">
      <c r="A407" s="29">
        <v>45693</v>
      </c>
      <c r="B407" s="16" t="s">
        <v>453</v>
      </c>
      <c r="C407" s="34">
        <v>1</v>
      </c>
      <c r="D407" s="16" t="s">
        <v>52</v>
      </c>
      <c r="E407" s="35">
        <v>4.2</v>
      </c>
      <c r="F407" s="35">
        <v>2.9</v>
      </c>
      <c r="G407" s="16" t="s">
        <v>44</v>
      </c>
      <c r="H407" s="16" t="s">
        <v>45</v>
      </c>
      <c r="I407" s="16">
        <f>COUNTIF(G$5:G407,"Y")/COUNTA(G$5:G407)</f>
        <v>0.86104218362282881</v>
      </c>
      <c r="J407" s="16">
        <f>COUNTIF(H$5:H407,"Y")/COUNTA(H$5:H407)</f>
        <v>5.7071960297766747E-2</v>
      </c>
      <c r="K407" s="16">
        <f>AVERAGE(F$5:F407)</f>
        <v>2.1836228287841193</v>
      </c>
      <c r="L407" s="16">
        <f>SUM(F$5:F407)/SUM(E$5:E407)</f>
        <v>0.73677160080374993</v>
      </c>
    </row>
    <row r="408" spans="1:12" x14ac:dyDescent="0.25">
      <c r="A408" s="29">
        <v>45694</v>
      </c>
      <c r="B408" s="16" t="s">
        <v>454</v>
      </c>
      <c r="C408" s="34">
        <v>1</v>
      </c>
      <c r="D408" s="16" t="s">
        <v>56</v>
      </c>
      <c r="E408" s="35">
        <v>3.1</v>
      </c>
      <c r="F408" s="35">
        <v>2.6</v>
      </c>
      <c r="G408" s="16" t="s">
        <v>45</v>
      </c>
      <c r="H408" s="16" t="s">
        <v>45</v>
      </c>
      <c r="I408" s="16">
        <f>COUNTIF(G$5:G408,"Y")/COUNTA(G$5:G408)</f>
        <v>0.8589108910891089</v>
      </c>
      <c r="J408" s="16">
        <f>COUNTIF(H$5:H408,"Y")/COUNTA(H$5:H408)</f>
        <v>5.6930693069306933E-2</v>
      </c>
      <c r="K408" s="16">
        <f>AVERAGE(F$5:F408)</f>
        <v>2.1846534653465346</v>
      </c>
      <c r="L408" s="16">
        <f>SUM(F$5:F408)/SUM(E$5:E408)</f>
        <v>0.73703549060542717</v>
      </c>
    </row>
    <row r="409" spans="1:12" x14ac:dyDescent="0.25">
      <c r="A409" s="29">
        <v>45695</v>
      </c>
      <c r="B409" s="16" t="s">
        <v>455</v>
      </c>
      <c r="C409" s="34">
        <v>1</v>
      </c>
      <c r="D409" s="16" t="s">
        <v>43</v>
      </c>
      <c r="E409" s="35">
        <v>2</v>
      </c>
      <c r="F409" s="35">
        <v>1.7</v>
      </c>
      <c r="G409" s="16" t="s">
        <v>44</v>
      </c>
      <c r="H409" s="16" t="s">
        <v>45</v>
      </c>
      <c r="I409" s="16">
        <f>COUNTIF(G$5:G409,"Y")/COUNTA(G$5:G409)</f>
        <v>0.85925925925925928</v>
      </c>
      <c r="J409" s="16">
        <f>COUNTIF(H$5:H409,"Y")/COUNTA(H$5:H409)</f>
        <v>5.6790123456790124E-2</v>
      </c>
      <c r="K409" s="16">
        <f>AVERAGE(F$5:F409)</f>
        <v>2.1834567901234569</v>
      </c>
      <c r="L409" s="16">
        <f>SUM(F$5:F409)/SUM(E$5:E409)</f>
        <v>0.73722384326802759</v>
      </c>
    </row>
    <row r="410" spans="1:12" x14ac:dyDescent="0.25">
      <c r="A410" s="29">
        <v>45691</v>
      </c>
      <c r="B410" s="16" t="s">
        <v>456</v>
      </c>
      <c r="C410" s="34">
        <v>1</v>
      </c>
      <c r="D410" s="16" t="s">
        <v>60</v>
      </c>
      <c r="E410" s="35">
        <v>3.9</v>
      </c>
      <c r="F410" s="35">
        <v>3.4</v>
      </c>
      <c r="G410" s="16" t="s">
        <v>44</v>
      </c>
      <c r="H410" s="16" t="s">
        <v>45</v>
      </c>
      <c r="I410" s="16">
        <f>COUNTIF(G$5:G410,"Y")/COUNTA(G$5:G410)</f>
        <v>0.85960591133004927</v>
      </c>
      <c r="J410" s="16">
        <f>COUNTIF(H$5:H410,"Y")/COUNTA(H$5:H410)</f>
        <v>5.6650246305418719E-2</v>
      </c>
      <c r="K410" s="16">
        <f>AVERAGE(F$5:F410)</f>
        <v>2.1864532019704437</v>
      </c>
      <c r="L410" s="16">
        <f>SUM(F$5:F410)/SUM(E$5:E410)</f>
        <v>0.73765996343692786</v>
      </c>
    </row>
    <row r="411" spans="1:12" x14ac:dyDescent="0.25">
      <c r="A411" s="29">
        <v>45692</v>
      </c>
      <c r="B411" s="16" t="s">
        <v>457</v>
      </c>
      <c r="C411" s="34">
        <v>1</v>
      </c>
      <c r="D411" s="16" t="s">
        <v>43</v>
      </c>
      <c r="E411" s="35">
        <v>3.5</v>
      </c>
      <c r="F411" s="35">
        <v>2.7</v>
      </c>
      <c r="G411" s="16" t="s">
        <v>44</v>
      </c>
      <c r="H411" s="16" t="s">
        <v>45</v>
      </c>
      <c r="I411" s="16">
        <f>COUNTIF(G$5:G411,"Y")/COUNTA(G$5:G411)</f>
        <v>0.85995085995085996</v>
      </c>
      <c r="J411" s="16">
        <f>COUNTIF(H$5:H411,"Y")/COUNTA(H$5:H411)</f>
        <v>5.6511056511056514E-2</v>
      </c>
      <c r="K411" s="16">
        <f>AVERAGE(F$5:F411)</f>
        <v>2.1877149877149877</v>
      </c>
      <c r="L411" s="16">
        <f>SUM(F$5:F411)/SUM(E$5:E411)</f>
        <v>0.7377578921203074</v>
      </c>
    </row>
    <row r="412" spans="1:12" x14ac:dyDescent="0.25">
      <c r="A412" s="29">
        <v>45693</v>
      </c>
      <c r="B412" s="16" t="s">
        <v>458</v>
      </c>
      <c r="C412" s="34">
        <v>1</v>
      </c>
      <c r="D412" s="16" t="s">
        <v>43</v>
      </c>
      <c r="E412" s="35">
        <v>4.5999999999999996</v>
      </c>
      <c r="F412" s="35">
        <v>3.4</v>
      </c>
      <c r="G412" s="16" t="s">
        <v>45</v>
      </c>
      <c r="H412" s="16" t="s">
        <v>45</v>
      </c>
      <c r="I412" s="16">
        <f>COUNTIF(G$5:G412,"Y")/COUNTA(G$5:G412)</f>
        <v>0.85784313725490191</v>
      </c>
      <c r="J412" s="16">
        <f>COUNTIF(H$5:H412,"Y")/COUNTA(H$5:H412)</f>
        <v>5.6372549019607844E-2</v>
      </c>
      <c r="K412" s="16">
        <f>AVERAGE(F$5:F412)</f>
        <v>2.1906862745098041</v>
      </c>
      <c r="L412" s="16">
        <f>SUM(F$5:F412)/SUM(E$5:E412)</f>
        <v>0.73776310359058939</v>
      </c>
    </row>
    <row r="413" spans="1:12" x14ac:dyDescent="0.25">
      <c r="A413" s="29">
        <v>45694</v>
      </c>
      <c r="B413" s="16" t="s">
        <v>459</v>
      </c>
      <c r="C413" s="34">
        <v>1</v>
      </c>
      <c r="D413" s="16" t="s">
        <v>50</v>
      </c>
      <c r="E413" s="35">
        <v>3.4</v>
      </c>
      <c r="F413" s="35">
        <v>2.9</v>
      </c>
      <c r="G413" s="16" t="s">
        <v>44</v>
      </c>
      <c r="H413" s="16" t="s">
        <v>45</v>
      </c>
      <c r="I413" s="16">
        <f>COUNTIF(G$5:G413,"Y")/COUNTA(G$5:G413)</f>
        <v>0.85819070904645478</v>
      </c>
      <c r="J413" s="16">
        <f>COUNTIF(H$5:H413,"Y")/COUNTA(H$5:H413)</f>
        <v>5.623471882640587E-2</v>
      </c>
      <c r="K413" s="16">
        <f>AVERAGE(F$5:F413)</f>
        <v>2.1924205378973105</v>
      </c>
      <c r="L413" s="16">
        <f>SUM(F$5:F413)/SUM(E$5:E413)</f>
        <v>0.73808543913079183</v>
      </c>
    </row>
    <row r="414" spans="1:12" x14ac:dyDescent="0.25">
      <c r="A414" s="29">
        <v>45695</v>
      </c>
      <c r="B414" s="16" t="s">
        <v>460</v>
      </c>
      <c r="C414" s="34">
        <v>1</v>
      </c>
      <c r="D414" s="16" t="s">
        <v>43</v>
      </c>
      <c r="E414" s="35">
        <v>3.1</v>
      </c>
      <c r="F414" s="35">
        <v>2</v>
      </c>
      <c r="G414" s="16" t="s">
        <v>44</v>
      </c>
      <c r="H414" s="16" t="s">
        <v>45</v>
      </c>
      <c r="I414" s="16">
        <f>COUNTIF(G$5:G414,"Y")/COUNTA(G$5:G414)</f>
        <v>0.85853658536585364</v>
      </c>
      <c r="J414" s="16">
        <f>COUNTIF(H$5:H414,"Y")/COUNTA(H$5:H414)</f>
        <v>5.6097560975609757E-2</v>
      </c>
      <c r="K414" s="16">
        <f>AVERAGE(F$5:F414)</f>
        <v>2.1919512195121951</v>
      </c>
      <c r="L414" s="16">
        <f>SUM(F$5:F414)/SUM(E$5:E414)</f>
        <v>0.73784893267651808</v>
      </c>
    </row>
    <row r="415" spans="1:12" x14ac:dyDescent="0.25">
      <c r="A415" s="29">
        <v>45691</v>
      </c>
      <c r="B415" s="16" t="s">
        <v>461</v>
      </c>
      <c r="C415" s="34">
        <v>1</v>
      </c>
      <c r="D415" s="16" t="s">
        <v>47</v>
      </c>
      <c r="E415" s="35">
        <v>4.3</v>
      </c>
      <c r="F415" s="35">
        <v>3.2</v>
      </c>
      <c r="G415" s="16" t="s">
        <v>44</v>
      </c>
      <c r="H415" s="16" t="s">
        <v>45</v>
      </c>
      <c r="I415" s="16">
        <f>COUNTIF(G$5:G415,"Y")/COUNTA(G$5:G415)</f>
        <v>0.85888077858880774</v>
      </c>
      <c r="J415" s="16">
        <f>COUNTIF(H$5:H415,"Y")/COUNTA(H$5:H415)</f>
        <v>5.5961070559610707E-2</v>
      </c>
      <c r="K415" s="16">
        <f>AVERAGE(F$5:F415)</f>
        <v>2.194403892944039</v>
      </c>
      <c r="L415" s="16">
        <f>SUM(F$5:F415)/SUM(E$5:E415)</f>
        <v>0.7378712263765026</v>
      </c>
    </row>
    <row r="416" spans="1:12" x14ac:dyDescent="0.25">
      <c r="A416" s="29">
        <v>45692</v>
      </c>
      <c r="B416" s="16" t="s">
        <v>462</v>
      </c>
      <c r="C416" s="34">
        <v>1</v>
      </c>
      <c r="D416" s="16" t="s">
        <v>47</v>
      </c>
      <c r="E416" s="35">
        <v>2.2999999999999998</v>
      </c>
      <c r="F416" s="35">
        <v>1.6</v>
      </c>
      <c r="G416" s="16" t="s">
        <v>44</v>
      </c>
      <c r="H416" s="16" t="s">
        <v>45</v>
      </c>
      <c r="I416" s="16">
        <f>COUNTIF(G$5:G416,"Y")/COUNTA(G$5:G416)</f>
        <v>0.85922330097087374</v>
      </c>
      <c r="J416" s="16">
        <f>COUNTIF(H$5:H416,"Y")/COUNTA(H$5:H416)</f>
        <v>5.5825242718446605E-2</v>
      </c>
      <c r="K416" s="16">
        <f>AVERAGE(F$5:F416)</f>
        <v>2.1929611650485441</v>
      </c>
      <c r="L416" s="16">
        <f>SUM(F$5:F416)/SUM(E$5:E416)</f>
        <v>0.73779193205944726</v>
      </c>
    </row>
    <row r="417" spans="1:13" x14ac:dyDescent="0.25">
      <c r="A417" s="29">
        <v>45693</v>
      </c>
      <c r="B417" s="16" t="s">
        <v>463</v>
      </c>
      <c r="C417" s="34">
        <v>1</v>
      </c>
      <c r="D417" s="16" t="s">
        <v>43</v>
      </c>
      <c r="E417" s="35">
        <v>0.8</v>
      </c>
      <c r="F417" s="35">
        <v>0.5</v>
      </c>
      <c r="G417" s="16" t="s">
        <v>44</v>
      </c>
      <c r="H417" s="16" t="s">
        <v>45</v>
      </c>
      <c r="I417" s="16">
        <f>COUNTIF(G$5:G417,"Y")/COUNTA(G$5:G417)</f>
        <v>0.85956416464891039</v>
      </c>
      <c r="J417" s="16">
        <f>COUNTIF(H$5:H417,"Y")/COUNTA(H$5:H417)</f>
        <v>5.569007263922518E-2</v>
      </c>
      <c r="K417" s="16">
        <f>AVERAGE(F$5:F417)</f>
        <v>2.1888619854721552</v>
      </c>
      <c r="L417" s="16">
        <f>SUM(F$5:F417)/SUM(E$5:E417)</f>
        <v>0.7377182960665899</v>
      </c>
    </row>
    <row r="418" spans="1:13" x14ac:dyDescent="0.25">
      <c r="A418" s="29">
        <v>45694</v>
      </c>
      <c r="B418" s="16" t="s">
        <v>464</v>
      </c>
      <c r="C418" s="34">
        <v>1</v>
      </c>
      <c r="D418" s="16" t="s">
        <v>60</v>
      </c>
      <c r="E418" s="35">
        <v>0.7</v>
      </c>
      <c r="F418" s="35">
        <v>0.5</v>
      </c>
      <c r="G418" s="16" t="s">
        <v>44</v>
      </c>
      <c r="H418" s="16" t="s">
        <v>45</v>
      </c>
      <c r="I418" s="16">
        <f>COUNTIF(G$5:G418,"Y")/COUNTA(G$5:G418)</f>
        <v>0.85990338164251212</v>
      </c>
      <c r="J418" s="16">
        <f>COUNTIF(H$5:H418,"Y")/COUNTA(H$5:H418)</f>
        <v>5.5555555555555552E-2</v>
      </c>
      <c r="K418" s="16">
        <f>AVERAGE(F$5:F418)</f>
        <v>2.1847826086956523</v>
      </c>
      <c r="L418" s="16">
        <f>SUM(F$5:F418)/SUM(E$5:E418)</f>
        <v>0.73770491803278626</v>
      </c>
    </row>
    <row r="419" spans="1:13" x14ac:dyDescent="0.25">
      <c r="A419" s="29">
        <v>45695</v>
      </c>
      <c r="B419" s="16" t="s">
        <v>465</v>
      </c>
      <c r="C419" s="34">
        <v>1</v>
      </c>
      <c r="D419" s="16" t="s">
        <v>43</v>
      </c>
      <c r="E419" s="35">
        <v>0.6</v>
      </c>
      <c r="F419" s="35">
        <v>0.5</v>
      </c>
      <c r="G419" s="16" t="s">
        <v>45</v>
      </c>
      <c r="H419" s="16" t="s">
        <v>45</v>
      </c>
      <c r="I419" s="16">
        <f>COUNTIF(G$5:G419,"Y")/COUNTA(G$5:G419)</f>
        <v>0.85783132530120487</v>
      </c>
      <c r="J419" s="16">
        <f>COUNTIF(H$5:H419,"Y")/COUNTA(H$5:H419)</f>
        <v>5.5421686746987948E-2</v>
      </c>
      <c r="K419" s="16">
        <f>AVERAGE(F$5:F419)</f>
        <v>2.1807228915662655</v>
      </c>
      <c r="L419" s="16">
        <f>SUM(F$5:F419)/SUM(E$5:E419)</f>
        <v>0.73775169153012088</v>
      </c>
    </row>
    <row r="420" spans="1:13" x14ac:dyDescent="0.25">
      <c r="A420" s="29">
        <v>45691</v>
      </c>
      <c r="B420" s="16" t="s">
        <v>466</v>
      </c>
      <c r="C420" s="34">
        <v>1</v>
      </c>
      <c r="D420" s="16" t="s">
        <v>56</v>
      </c>
      <c r="E420" s="35">
        <v>0.7</v>
      </c>
      <c r="F420" s="35">
        <v>0.5</v>
      </c>
      <c r="G420" s="16" t="s">
        <v>44</v>
      </c>
      <c r="H420" s="16" t="s">
        <v>45</v>
      </c>
      <c r="I420" s="16">
        <f>COUNTIF(G$5:G420,"Y")/COUNTA(G$5:G420)</f>
        <v>0.85817307692307687</v>
      </c>
      <c r="J420" s="16">
        <f>COUNTIF(H$5:H420,"Y")/COUNTA(H$5:H420)</f>
        <v>5.5288461538461536E-2</v>
      </c>
      <c r="K420" s="16">
        <f>AVERAGE(F$5:F420)</f>
        <v>2.1766826923076925</v>
      </c>
      <c r="L420" s="16">
        <f>SUM(F$5:F420)/SUM(E$5:E420)</f>
        <v>0.73773830861984624</v>
      </c>
    </row>
    <row r="421" spans="1:13" x14ac:dyDescent="0.25">
      <c r="A421" s="29">
        <v>45692</v>
      </c>
      <c r="B421" s="16" t="s">
        <v>467</v>
      </c>
      <c r="C421" s="34">
        <v>1</v>
      </c>
      <c r="D421" s="16" t="s">
        <v>56</v>
      </c>
      <c r="E421" s="35">
        <v>0.6</v>
      </c>
      <c r="F421" s="35">
        <v>0.5</v>
      </c>
      <c r="G421" s="16" t="s">
        <v>44</v>
      </c>
      <c r="H421" s="16" t="s">
        <v>44</v>
      </c>
      <c r="I421" s="16">
        <f>COUNTIF(G$5:G421,"Y")/COUNTA(G$5:G421)</f>
        <v>0.85851318944844124</v>
      </c>
      <c r="J421" s="16">
        <f>COUNTIF(H$5:H421,"Y")/COUNTA(H$5:H421)</f>
        <v>5.7553956834532377E-2</v>
      </c>
      <c r="K421" s="16">
        <f>AVERAGE(F$5:F421)</f>
        <v>2.1726618705035974</v>
      </c>
      <c r="L421" s="16">
        <f>SUM(F$5:F421)/SUM(E$5:E421)</f>
        <v>0.73778501628664439</v>
      </c>
    </row>
    <row r="422" spans="1:13" x14ac:dyDescent="0.25">
      <c r="A422" s="29">
        <v>45693</v>
      </c>
      <c r="B422" s="16" t="s">
        <v>468</v>
      </c>
      <c r="C422" s="34">
        <v>1</v>
      </c>
      <c r="D422" s="16" t="s">
        <v>60</v>
      </c>
      <c r="E422" s="35">
        <v>0.7</v>
      </c>
      <c r="F422" s="35">
        <v>0.5</v>
      </c>
      <c r="G422" s="16" t="s">
        <v>44</v>
      </c>
      <c r="H422" s="16" t="s">
        <v>45</v>
      </c>
      <c r="I422" s="16">
        <f>COUNTIF(G$5:G422,"Y")/COUNTA(G$5:G422)</f>
        <v>0.85885167464114831</v>
      </c>
      <c r="J422" s="16">
        <f>COUNTIF(H$5:H422,"Y")/COUNTA(H$5:H422)</f>
        <v>5.7416267942583733E-2</v>
      </c>
      <c r="K422" s="16">
        <f>AVERAGE(F$5:F422)</f>
        <v>2.1686602870813401</v>
      </c>
      <c r="L422" s="16">
        <f>SUM(F$5:F422)/SUM(E$5:E422)</f>
        <v>0.73777162855049994</v>
      </c>
    </row>
    <row r="423" spans="1:13" x14ac:dyDescent="0.25">
      <c r="A423" s="29">
        <v>45694</v>
      </c>
      <c r="B423" s="16" t="s">
        <v>469</v>
      </c>
      <c r="C423" s="34">
        <v>1</v>
      </c>
      <c r="D423" s="16" t="s">
        <v>50</v>
      </c>
      <c r="E423" s="35">
        <v>0.6</v>
      </c>
      <c r="F423" s="35">
        <v>0.5</v>
      </c>
      <c r="G423" s="16" t="s">
        <v>44</v>
      </c>
      <c r="H423" s="16" t="s">
        <v>45</v>
      </c>
      <c r="I423" s="16">
        <f>COUNTIF(G$5:G423,"Y")/COUNTA(G$5:G423)</f>
        <v>0.85918854415274459</v>
      </c>
      <c r="J423" s="16">
        <f>COUNTIF(H$5:H423,"Y")/COUNTA(H$5:H423)</f>
        <v>5.7279236276849645E-2</v>
      </c>
      <c r="K423" s="16">
        <f>AVERAGE(F$5:F423)</f>
        <v>2.1646778042959429</v>
      </c>
      <c r="L423" s="16">
        <f>SUM(F$5:F423)/SUM(E$5:E423)</f>
        <v>0.73781827056048099</v>
      </c>
    </row>
    <row r="424" spans="1:13" x14ac:dyDescent="0.25">
      <c r="A424" s="29">
        <v>45695</v>
      </c>
      <c r="B424" s="16" t="s">
        <v>470</v>
      </c>
      <c r="C424" s="34">
        <v>1</v>
      </c>
      <c r="D424" s="16" t="s">
        <v>47</v>
      </c>
      <c r="E424" s="35">
        <v>0.9</v>
      </c>
      <c r="F424" s="35">
        <v>0.5</v>
      </c>
      <c r="G424" s="16" t="s">
        <v>44</v>
      </c>
      <c r="H424" s="16" t="s">
        <v>45</v>
      </c>
      <c r="I424" s="16">
        <f>COUNTIF(G$5:G424,"Y")/COUNTA(G$5:G424)</f>
        <v>0.85952380952380958</v>
      </c>
      <c r="J424" s="16">
        <f>COUNTIF(H$5:H424,"Y")/COUNTA(H$5:H424)</f>
        <v>5.7142857142857141E-2</v>
      </c>
      <c r="K424" s="16">
        <f>AVERAGE(F$5:F424)</f>
        <v>2.160714285714286</v>
      </c>
      <c r="L424" s="16">
        <f>SUM(F$5:F424)/SUM(E$5:E424)</f>
        <v>0.73768492927979123</v>
      </c>
      <c r="M424" s="16">
        <v>14</v>
      </c>
    </row>
    <row r="425" spans="1:13" x14ac:dyDescent="0.25">
      <c r="A425" s="29">
        <v>45698</v>
      </c>
      <c r="B425" s="16" t="s">
        <v>471</v>
      </c>
      <c r="C425" s="34">
        <v>1</v>
      </c>
      <c r="D425" s="16" t="s">
        <v>47</v>
      </c>
      <c r="E425" s="35">
        <v>1.7</v>
      </c>
      <c r="F425" s="35">
        <v>1.3</v>
      </c>
      <c r="G425" s="16" t="s">
        <v>44</v>
      </c>
      <c r="H425" s="16" t="s">
        <v>45</v>
      </c>
      <c r="I425" s="16">
        <f>COUNTIF(G$5:G425,"Y")/COUNTA(G$5:G425)</f>
        <v>0.85985748218527314</v>
      </c>
      <c r="J425" s="16">
        <f>COUNTIF(H$5:H425,"Y")/COUNTA(H$5:H425)</f>
        <v>5.7007125890736345E-2</v>
      </c>
      <c r="K425" s="16">
        <f>AVERAGE(F$5:F425)</f>
        <v>2.1586698337292165</v>
      </c>
      <c r="L425" s="16">
        <f>SUM(F$5:F425)/SUM(E$5:E425)</f>
        <v>0.73772221771247604</v>
      </c>
    </row>
    <row r="426" spans="1:13" x14ac:dyDescent="0.25">
      <c r="A426" s="29">
        <v>45699</v>
      </c>
      <c r="B426" s="16" t="s">
        <v>472</v>
      </c>
      <c r="C426" s="34">
        <v>1</v>
      </c>
      <c r="D426" s="16" t="s">
        <v>60</v>
      </c>
      <c r="E426" s="35">
        <v>5.2</v>
      </c>
      <c r="F426" s="35">
        <v>3.8</v>
      </c>
      <c r="G426" s="16" t="s">
        <v>44</v>
      </c>
      <c r="H426" s="16" t="s">
        <v>45</v>
      </c>
      <c r="I426" s="16">
        <f>COUNTIF(G$5:G426,"Y")/COUNTA(G$5:G426)</f>
        <v>0.8601895734597157</v>
      </c>
      <c r="J426" s="16">
        <f>COUNTIF(H$5:H426,"Y")/COUNTA(H$5:H426)</f>
        <v>5.6872037914691941E-2</v>
      </c>
      <c r="K426" s="16">
        <f>AVERAGE(F$5:F426)</f>
        <v>2.1625592417061612</v>
      </c>
      <c r="L426" s="16">
        <f>SUM(F$5:F426)/SUM(E$5:E426)</f>
        <v>0.73769299167407576</v>
      </c>
    </row>
    <row r="427" spans="1:13" x14ac:dyDescent="0.25">
      <c r="A427" s="29">
        <v>45700</v>
      </c>
      <c r="B427" s="16" t="s">
        <v>473</v>
      </c>
      <c r="C427" s="34">
        <v>1</v>
      </c>
      <c r="D427" s="16" t="s">
        <v>56</v>
      </c>
      <c r="E427" s="35">
        <v>3.5</v>
      </c>
      <c r="F427" s="35">
        <v>2.6</v>
      </c>
      <c r="G427" s="16" t="s">
        <v>44</v>
      </c>
      <c r="H427" s="16" t="s">
        <v>45</v>
      </c>
      <c r="I427" s="16">
        <f>COUNTIF(G$5:G427,"Y")/COUNTA(G$5:G427)</f>
        <v>0.86052009456264777</v>
      </c>
      <c r="J427" s="16">
        <f>COUNTIF(H$5:H427,"Y")/COUNTA(H$5:H427)</f>
        <v>5.6737588652482268E-2</v>
      </c>
      <c r="K427" s="16">
        <f>AVERAGE(F$5:F427)</f>
        <v>2.1635933806146572</v>
      </c>
      <c r="L427" s="16">
        <f>SUM(F$5:F427)/SUM(E$5:E427)</f>
        <v>0.73770756085764877</v>
      </c>
    </row>
    <row r="428" spans="1:13" x14ac:dyDescent="0.25">
      <c r="A428" s="29">
        <v>45701</v>
      </c>
      <c r="B428" s="16" t="s">
        <v>474</v>
      </c>
      <c r="C428" s="34">
        <v>1</v>
      </c>
      <c r="D428" s="16" t="s">
        <v>43</v>
      </c>
      <c r="E428" s="35">
        <v>4.8</v>
      </c>
      <c r="F428" s="35">
        <v>3.7</v>
      </c>
      <c r="G428" s="16" t="s">
        <v>45</v>
      </c>
      <c r="H428" s="16" t="s">
        <v>45</v>
      </c>
      <c r="I428" s="16">
        <f>COUNTIF(G$5:G428,"Y")/COUNTA(G$5:G428)</f>
        <v>0.85849056603773588</v>
      </c>
      <c r="J428" s="16">
        <f>COUNTIF(H$5:H428,"Y")/COUNTA(H$5:H428)</f>
        <v>5.6603773584905662E-2</v>
      </c>
      <c r="K428" s="16">
        <f>AVERAGE(F$5:F428)</f>
        <v>2.1672169811320758</v>
      </c>
      <c r="L428" s="16">
        <f>SUM(F$5:F428)/SUM(E$5:E428)</f>
        <v>0.7378352336598677</v>
      </c>
    </row>
    <row r="429" spans="1:13" x14ac:dyDescent="0.25">
      <c r="A429" s="29">
        <v>45702</v>
      </c>
      <c r="B429" s="16" t="s">
        <v>475</v>
      </c>
      <c r="C429" s="34">
        <v>1</v>
      </c>
      <c r="D429" s="16" t="s">
        <v>64</v>
      </c>
      <c r="E429" s="35">
        <v>5.3</v>
      </c>
      <c r="F429" s="35">
        <v>3.8</v>
      </c>
      <c r="G429" s="16" t="s">
        <v>44</v>
      </c>
      <c r="H429" s="16" t="s">
        <v>45</v>
      </c>
      <c r="I429" s="16">
        <f>COUNTIF(G$5:G429,"Y")/COUNTA(G$5:G429)</f>
        <v>0.85882352941176465</v>
      </c>
      <c r="J429" s="16">
        <f>COUNTIF(H$5:H429,"Y")/COUNTA(H$5:H429)</f>
        <v>5.647058823529412E-2</v>
      </c>
      <c r="K429" s="16">
        <f>AVERAGE(F$5:F429)</f>
        <v>2.1710588235294117</v>
      </c>
      <c r="L429" s="16">
        <f>SUM(F$5:F429)/SUM(E$5:E429)</f>
        <v>0.73774686175741522</v>
      </c>
    </row>
    <row r="430" spans="1:13" x14ac:dyDescent="0.25">
      <c r="A430" s="29">
        <v>45698</v>
      </c>
      <c r="B430" s="16" t="s">
        <v>476</v>
      </c>
      <c r="C430" s="34">
        <v>1</v>
      </c>
      <c r="D430" s="16" t="s">
        <v>43</v>
      </c>
      <c r="E430" s="35">
        <v>4.3</v>
      </c>
      <c r="F430" s="35">
        <v>3.4</v>
      </c>
      <c r="G430" s="16" t="s">
        <v>44</v>
      </c>
      <c r="H430" s="16" t="s">
        <v>45</v>
      </c>
      <c r="I430" s="16">
        <f>COUNTIF(G$5:G430,"Y")/COUNTA(G$5:G430)</f>
        <v>0.85915492957746475</v>
      </c>
      <c r="J430" s="16">
        <f>COUNTIF(H$5:H430,"Y")/COUNTA(H$5:H430)</f>
        <v>5.6338028169014086E-2</v>
      </c>
      <c r="K430" s="16">
        <f>AVERAGE(F$5:F430)</f>
        <v>2.1739436619718311</v>
      </c>
      <c r="L430" s="16">
        <f>SUM(F$5:F430)/SUM(E$5:E430)</f>
        <v>0.73792828685258904</v>
      </c>
    </row>
    <row r="431" spans="1:13" x14ac:dyDescent="0.25">
      <c r="A431" s="29">
        <v>45699</v>
      </c>
      <c r="B431" s="16" t="s">
        <v>477</v>
      </c>
      <c r="C431" s="34">
        <v>1</v>
      </c>
      <c r="D431" s="16" t="s">
        <v>43</v>
      </c>
      <c r="E431" s="35">
        <v>3.1</v>
      </c>
      <c r="F431" s="35">
        <v>2.2999999999999998</v>
      </c>
      <c r="G431" s="16" t="s">
        <v>44</v>
      </c>
      <c r="H431" s="16" t="s">
        <v>45</v>
      </c>
      <c r="I431" s="16">
        <f>COUNTIF(G$5:G431,"Y")/COUNTA(G$5:G431)</f>
        <v>0.85948477751756436</v>
      </c>
      <c r="J431" s="16">
        <f>COUNTIF(H$5:H431,"Y")/COUNTA(H$5:H431)</f>
        <v>5.6206088992974239E-2</v>
      </c>
      <c r="K431" s="16">
        <f>AVERAGE(F$5:F431)</f>
        <v>2.1742388758782201</v>
      </c>
      <c r="L431" s="16">
        <f>SUM(F$5:F431)/SUM(E$5:E431)</f>
        <v>0.73793816071854323</v>
      </c>
    </row>
    <row r="432" spans="1:13" x14ac:dyDescent="0.25">
      <c r="A432" s="29">
        <v>45700</v>
      </c>
      <c r="B432" s="16" t="s">
        <v>478</v>
      </c>
      <c r="C432" s="34">
        <v>1</v>
      </c>
      <c r="D432" s="16" t="s">
        <v>64</v>
      </c>
      <c r="E432" s="35">
        <v>2.2999999999999998</v>
      </c>
      <c r="F432" s="35">
        <v>1.7</v>
      </c>
      <c r="G432" s="16" t="s">
        <v>44</v>
      </c>
      <c r="H432" s="16" t="s">
        <v>44</v>
      </c>
      <c r="I432" s="16">
        <f>COUNTIF(G$5:G432,"Y")/COUNTA(G$5:G432)</f>
        <v>0.85981308411214952</v>
      </c>
      <c r="J432" s="16">
        <f>COUNTIF(H$5:H432,"Y")/COUNTA(H$5:H432)</f>
        <v>5.8411214953271028E-2</v>
      </c>
      <c r="K432" s="16">
        <f>AVERAGE(F$5:F432)</f>
        <v>2.1731308411214956</v>
      </c>
      <c r="L432" s="16">
        <f>SUM(F$5:F432)/SUM(E$5:E432)</f>
        <v>0.73794033640114187</v>
      </c>
    </row>
    <row r="433" spans="1:12" x14ac:dyDescent="0.25">
      <c r="A433" s="29">
        <v>45701</v>
      </c>
      <c r="B433" s="16" t="s">
        <v>479</v>
      </c>
      <c r="C433" s="34">
        <v>1</v>
      </c>
      <c r="D433" s="16" t="s">
        <v>56</v>
      </c>
      <c r="E433" s="35">
        <v>1.8</v>
      </c>
      <c r="F433" s="35">
        <v>1.4</v>
      </c>
      <c r="G433" s="16" t="s">
        <v>44</v>
      </c>
      <c r="H433" s="16" t="s">
        <v>45</v>
      </c>
      <c r="I433" s="16">
        <f>COUNTIF(G$5:G433,"Y")/COUNTA(G$5:G433)</f>
        <v>0.8601398601398601</v>
      </c>
      <c r="J433" s="16">
        <f>COUNTIF(H$5:H433,"Y")/COUNTA(H$5:H433)</f>
        <v>5.8275058275058272E-2</v>
      </c>
      <c r="K433" s="16">
        <f>AVERAGE(F$5:F433)</f>
        <v>2.1713286713286712</v>
      </c>
      <c r="L433" s="16">
        <f>SUM(F$5:F433)/SUM(E$5:E433)</f>
        <v>0.73799714783710924</v>
      </c>
    </row>
    <row r="434" spans="1:12" x14ac:dyDescent="0.25">
      <c r="A434" s="29">
        <v>45702</v>
      </c>
      <c r="B434" s="16" t="s">
        <v>480</v>
      </c>
      <c r="C434" s="34">
        <v>1</v>
      </c>
      <c r="D434" s="16" t="s">
        <v>52</v>
      </c>
      <c r="E434" s="35">
        <v>4.2</v>
      </c>
      <c r="F434" s="35">
        <v>3.4</v>
      </c>
      <c r="G434" s="16" t="s">
        <v>44</v>
      </c>
      <c r="H434" s="16" t="s">
        <v>45</v>
      </c>
      <c r="I434" s="16">
        <f>COUNTIF(G$5:G434,"Y")/COUNTA(G$5:G434)</f>
        <v>0.86046511627906974</v>
      </c>
      <c r="J434" s="16">
        <f>COUNTIF(H$5:H434,"Y")/COUNTA(H$5:H434)</f>
        <v>5.8139534883720929E-2</v>
      </c>
      <c r="K434" s="16">
        <f>AVERAGE(F$5:F434)</f>
        <v>2.1741860465116281</v>
      </c>
      <c r="L434" s="16">
        <f>SUM(F$5:F434)/SUM(E$5:E434)</f>
        <v>0.73823436512950036</v>
      </c>
    </row>
    <row r="435" spans="1:12" x14ac:dyDescent="0.25">
      <c r="A435" s="29">
        <v>45698</v>
      </c>
      <c r="B435" s="16" t="s">
        <v>481</v>
      </c>
      <c r="C435" s="34">
        <v>1</v>
      </c>
      <c r="D435" s="16" t="s">
        <v>50</v>
      </c>
      <c r="E435" s="35">
        <v>5.7</v>
      </c>
      <c r="F435" s="35">
        <v>4.0999999999999996</v>
      </c>
      <c r="G435" s="16" t="s">
        <v>44</v>
      </c>
      <c r="H435" s="16" t="s">
        <v>45</v>
      </c>
      <c r="I435" s="16">
        <f>COUNTIF(G$5:G435,"Y")/COUNTA(G$5:G435)</f>
        <v>0.86078886310904867</v>
      </c>
      <c r="J435" s="16">
        <f>COUNTIF(H$5:H435,"Y")/COUNTA(H$5:H435)</f>
        <v>5.8004640371229696E-2</v>
      </c>
      <c r="K435" s="16">
        <f>AVERAGE(F$5:F435)</f>
        <v>2.1786542923433876</v>
      </c>
      <c r="L435" s="16">
        <f>SUM(F$5:F435)/SUM(E$5:E435)</f>
        <v>0.73814951654744065</v>
      </c>
    </row>
    <row r="436" spans="1:12" x14ac:dyDescent="0.25">
      <c r="A436" s="29">
        <v>45699</v>
      </c>
      <c r="B436" s="16" t="s">
        <v>482</v>
      </c>
      <c r="C436" s="34">
        <v>1</v>
      </c>
      <c r="D436" s="16" t="s">
        <v>50</v>
      </c>
      <c r="E436" s="35">
        <v>2.2000000000000002</v>
      </c>
      <c r="F436" s="35">
        <v>1.5</v>
      </c>
      <c r="G436" s="16" t="s">
        <v>45</v>
      </c>
      <c r="H436" s="16" t="s">
        <v>45</v>
      </c>
      <c r="I436" s="16">
        <f>COUNTIF(G$5:G436,"Y")/COUNTA(G$5:G436)</f>
        <v>0.85879629629629628</v>
      </c>
      <c r="J436" s="16">
        <f>COUNTIF(H$5:H436,"Y")/COUNTA(H$5:H436)</f>
        <v>5.7870370370370371E-2</v>
      </c>
      <c r="K436" s="16">
        <f>AVERAGE(F$5:F436)</f>
        <v>2.1770833333333335</v>
      </c>
      <c r="L436" s="16">
        <f>SUM(F$5:F436)/SUM(E$5:E436)</f>
        <v>0.73805226398807122</v>
      </c>
    </row>
    <row r="437" spans="1:12" x14ac:dyDescent="0.25">
      <c r="A437" s="29">
        <v>45700</v>
      </c>
      <c r="B437" s="16" t="s">
        <v>483</v>
      </c>
      <c r="C437" s="34">
        <v>1</v>
      </c>
      <c r="D437" s="16" t="s">
        <v>50</v>
      </c>
      <c r="E437" s="35">
        <v>3.3</v>
      </c>
      <c r="F437" s="35">
        <v>2.2999999999999998</v>
      </c>
      <c r="G437" s="16" t="s">
        <v>45</v>
      </c>
      <c r="H437" s="16" t="s">
        <v>45</v>
      </c>
      <c r="I437" s="16">
        <f>COUNTIF(G$5:G437,"Y")/COUNTA(G$5:G437)</f>
        <v>0.85681293302540418</v>
      </c>
      <c r="J437" s="16">
        <f>COUNTIF(H$5:H437,"Y")/COUNTA(H$5:H437)</f>
        <v>5.7736720554272515E-2</v>
      </c>
      <c r="K437" s="16">
        <f>AVERAGE(F$5:F437)</f>
        <v>2.1773672055427249</v>
      </c>
      <c r="L437" s="16">
        <f>SUM(F$5:F437)/SUM(E$5:E437)</f>
        <v>0.73794614902942957</v>
      </c>
    </row>
    <row r="438" spans="1:12" x14ac:dyDescent="0.25">
      <c r="A438" s="29">
        <v>45701</v>
      </c>
      <c r="B438" s="16" t="s">
        <v>484</v>
      </c>
      <c r="C438" s="34">
        <v>1</v>
      </c>
      <c r="D438" s="16" t="s">
        <v>64</v>
      </c>
      <c r="E438" s="35">
        <v>3.3</v>
      </c>
      <c r="F438" s="35">
        <v>2.2000000000000002</v>
      </c>
      <c r="G438" s="16" t="s">
        <v>44</v>
      </c>
      <c r="H438" s="16" t="s">
        <v>45</v>
      </c>
      <c r="I438" s="16">
        <f>COUNTIF(G$5:G438,"Y")/COUNTA(G$5:G438)</f>
        <v>0.8571428571428571</v>
      </c>
      <c r="J438" s="16">
        <f>COUNTIF(H$5:H438,"Y")/COUNTA(H$5:H438)</f>
        <v>5.7603686635944701E-2</v>
      </c>
      <c r="K438" s="16">
        <f>AVERAGE(F$5:F438)</f>
        <v>2.1774193548387095</v>
      </c>
      <c r="L438" s="16">
        <f>SUM(F$5:F438)/SUM(E$5:E438)</f>
        <v>0.73776251073463917</v>
      </c>
    </row>
    <row r="439" spans="1:12" x14ac:dyDescent="0.25">
      <c r="A439" s="29">
        <v>45702</v>
      </c>
      <c r="B439" s="16" t="s">
        <v>485</v>
      </c>
      <c r="C439" s="34">
        <v>1</v>
      </c>
      <c r="D439" s="16" t="s">
        <v>47</v>
      </c>
      <c r="E439" s="35">
        <v>4.0999999999999996</v>
      </c>
      <c r="F439" s="35">
        <v>3.4</v>
      </c>
      <c r="G439" s="16" t="s">
        <v>44</v>
      </c>
      <c r="H439" s="16" t="s">
        <v>44</v>
      </c>
      <c r="I439" s="16">
        <f>COUNTIF(G$5:G439,"Y")/COUNTA(G$5:G439)</f>
        <v>0.85747126436781607</v>
      </c>
      <c r="J439" s="16">
        <f>COUNTIF(H$5:H439,"Y")/COUNTA(H$5:H439)</f>
        <v>5.9770114942528735E-2</v>
      </c>
      <c r="K439" s="16">
        <f>AVERAGE(F$5:F439)</f>
        <v>2.1802298850574711</v>
      </c>
      <c r="L439" s="16">
        <f>SUM(F$5:F439)/SUM(E$5:E439)</f>
        <v>0.73805447470817065</v>
      </c>
    </row>
    <row r="440" spans="1:12" x14ac:dyDescent="0.25">
      <c r="A440" s="29">
        <v>45698</v>
      </c>
      <c r="B440" s="16" t="s">
        <v>486</v>
      </c>
      <c r="C440" s="34">
        <v>1</v>
      </c>
      <c r="D440" s="16" t="s">
        <v>52</v>
      </c>
      <c r="E440" s="35">
        <v>3.5</v>
      </c>
      <c r="F440" s="35">
        <v>2.7</v>
      </c>
      <c r="G440" s="16" t="s">
        <v>44</v>
      </c>
      <c r="H440" s="16" t="s">
        <v>45</v>
      </c>
      <c r="I440" s="16">
        <f>COUNTIF(G$5:G440,"Y")/COUNTA(G$5:G440)</f>
        <v>0.85779816513761464</v>
      </c>
      <c r="J440" s="16">
        <f>COUNTIF(H$5:H440,"Y")/COUNTA(H$5:H440)</f>
        <v>5.9633027522935783E-2</v>
      </c>
      <c r="K440" s="16">
        <f>AVERAGE(F$5:F440)</f>
        <v>2.1814220183486239</v>
      </c>
      <c r="L440" s="16">
        <f>SUM(F$5:F440)/SUM(E$5:E440)</f>
        <v>0.73814512999611903</v>
      </c>
    </row>
    <row r="441" spans="1:12" x14ac:dyDescent="0.25">
      <c r="A441" s="29">
        <v>45699</v>
      </c>
      <c r="B441" s="16" t="s">
        <v>487</v>
      </c>
      <c r="C441" s="34">
        <v>1</v>
      </c>
      <c r="D441" s="16" t="s">
        <v>47</v>
      </c>
      <c r="E441" s="35">
        <v>1.5</v>
      </c>
      <c r="F441" s="35">
        <v>1.3</v>
      </c>
      <c r="G441" s="16" t="s">
        <v>44</v>
      </c>
      <c r="H441" s="16" t="s">
        <v>45</v>
      </c>
      <c r="I441" s="16">
        <f>COUNTIF(G$5:G441,"Y")/COUNTA(G$5:G441)</f>
        <v>0.85812356979405036</v>
      </c>
      <c r="J441" s="16">
        <f>COUNTIF(H$5:H441,"Y")/COUNTA(H$5:H441)</f>
        <v>5.9496567505720827E-2</v>
      </c>
      <c r="K441" s="16">
        <f>AVERAGE(F$5:F441)</f>
        <v>2.1794050343249429</v>
      </c>
      <c r="L441" s="16">
        <f>SUM(F$5:F441)/SUM(E$5:E441)</f>
        <v>0.73829457364341033</v>
      </c>
    </row>
    <row r="442" spans="1:12" x14ac:dyDescent="0.25">
      <c r="A442" s="29">
        <v>45700</v>
      </c>
      <c r="B442" s="16" t="s">
        <v>488</v>
      </c>
      <c r="C442" s="34">
        <v>1</v>
      </c>
      <c r="D442" s="16" t="s">
        <v>64</v>
      </c>
      <c r="E442" s="35">
        <v>2.7</v>
      </c>
      <c r="F442" s="35">
        <v>2.1</v>
      </c>
      <c r="G442" s="16" t="s">
        <v>44</v>
      </c>
      <c r="H442" s="16" t="s">
        <v>45</v>
      </c>
      <c r="I442" s="16">
        <f>COUNTIF(G$5:G442,"Y")/COUNTA(G$5:G442)</f>
        <v>0.85844748858447484</v>
      </c>
      <c r="J442" s="16">
        <f>COUNTIF(H$5:H442,"Y")/COUNTA(H$5:H442)</f>
        <v>5.9360730593607303E-2</v>
      </c>
      <c r="K442" s="16">
        <f>AVERAGE(F$5:F442)</f>
        <v>2.1792237442922375</v>
      </c>
      <c r="L442" s="16">
        <f>SUM(F$5:F442)/SUM(E$5:E442)</f>
        <v>0.73837704030324069</v>
      </c>
    </row>
    <row r="443" spans="1:12" x14ac:dyDescent="0.25">
      <c r="A443" s="29">
        <v>45701</v>
      </c>
      <c r="B443" s="16" t="s">
        <v>489</v>
      </c>
      <c r="C443" s="34">
        <v>1</v>
      </c>
      <c r="D443" s="16" t="s">
        <v>60</v>
      </c>
      <c r="E443" s="35">
        <v>3.4</v>
      </c>
      <c r="F443" s="35">
        <v>2.5</v>
      </c>
      <c r="G443" s="16" t="s">
        <v>44</v>
      </c>
      <c r="H443" s="16" t="s">
        <v>45</v>
      </c>
      <c r="I443" s="16">
        <f>COUNTIF(G$5:G443,"Y")/COUNTA(G$5:G443)</f>
        <v>0.85876993166287019</v>
      </c>
      <c r="J443" s="16">
        <f>COUNTIF(H$5:H443,"Y")/COUNTA(H$5:H443)</f>
        <v>5.9225512528473807E-2</v>
      </c>
      <c r="K443" s="16">
        <f>AVERAGE(F$5:F443)</f>
        <v>2.1799544419134396</v>
      </c>
      <c r="L443" s="16">
        <f>SUM(F$5:F443)/SUM(E$5:E443)</f>
        <v>0.73836895301288419</v>
      </c>
    </row>
    <row r="444" spans="1:12" x14ac:dyDescent="0.25">
      <c r="A444" s="29">
        <v>45702</v>
      </c>
      <c r="B444" s="16" t="s">
        <v>490</v>
      </c>
      <c r="C444" s="34">
        <v>1</v>
      </c>
      <c r="D444" s="16" t="s">
        <v>56</v>
      </c>
      <c r="E444" s="35">
        <v>3.4</v>
      </c>
      <c r="F444" s="35">
        <v>2.7</v>
      </c>
      <c r="G444" s="16" t="s">
        <v>44</v>
      </c>
      <c r="H444" s="16" t="s">
        <v>45</v>
      </c>
      <c r="I444" s="16">
        <f>COUNTIF(G$5:G444,"Y")/COUNTA(G$5:G444)</f>
        <v>0.85909090909090913</v>
      </c>
      <c r="J444" s="16">
        <f>COUNTIF(H$5:H444,"Y")/COUNTA(H$5:H444)</f>
        <v>5.909090909090909E-2</v>
      </c>
      <c r="K444" s="16">
        <f>AVERAGE(F$5:F444)</f>
        <v>2.1811363636363637</v>
      </c>
      <c r="L444" s="16">
        <f>SUM(F$5:F444)/SUM(E$5:E444)</f>
        <v>0.73851481338976466</v>
      </c>
    </row>
    <row r="445" spans="1:12" x14ac:dyDescent="0.25">
      <c r="A445" s="29">
        <v>45698</v>
      </c>
      <c r="B445" s="16" t="s">
        <v>491</v>
      </c>
      <c r="C445" s="34">
        <v>1</v>
      </c>
      <c r="D445" s="16" t="s">
        <v>60</v>
      </c>
      <c r="E445" s="35">
        <v>3.5</v>
      </c>
      <c r="F445" s="35">
        <v>3</v>
      </c>
      <c r="G445" s="16" t="s">
        <v>45</v>
      </c>
      <c r="H445" s="16" t="s">
        <v>45</v>
      </c>
      <c r="I445" s="16">
        <f>COUNTIF(G$5:G445,"Y")/COUNTA(G$5:G445)</f>
        <v>0.8571428571428571</v>
      </c>
      <c r="J445" s="16">
        <f>COUNTIF(H$5:H445,"Y")/COUNTA(H$5:H445)</f>
        <v>5.8956916099773243E-2</v>
      </c>
      <c r="K445" s="16">
        <f>AVERAGE(F$5:F445)</f>
        <v>2.1829931972789116</v>
      </c>
      <c r="L445" s="16">
        <f>SUM(F$5:F445)/SUM(E$5:E445)</f>
        <v>0.73883346124328408</v>
      </c>
    </row>
    <row r="446" spans="1:12" x14ac:dyDescent="0.25">
      <c r="A446" s="29">
        <v>45699</v>
      </c>
      <c r="B446" s="16" t="s">
        <v>492</v>
      </c>
      <c r="C446" s="34">
        <v>1</v>
      </c>
      <c r="D446" s="16" t="s">
        <v>64</v>
      </c>
      <c r="E446" s="35">
        <v>5.8</v>
      </c>
      <c r="F446" s="35">
        <v>4.0999999999999996</v>
      </c>
      <c r="G446" s="16" t="s">
        <v>44</v>
      </c>
      <c r="H446" s="16" t="s">
        <v>45</v>
      </c>
      <c r="I446" s="16">
        <f>COUNTIF(G$5:G446,"Y")/COUNTA(G$5:G446)</f>
        <v>0.85746606334841624</v>
      </c>
      <c r="J446" s="16">
        <f>COUNTIF(H$5:H446,"Y")/COUNTA(H$5:H446)</f>
        <v>5.8823529411764705E-2</v>
      </c>
      <c r="K446" s="16">
        <f>AVERAGE(F$5:F446)</f>
        <v>2.1873303167420817</v>
      </c>
      <c r="L446" s="16">
        <f>SUM(F$5:F446)/SUM(E$5:E446)</f>
        <v>0.73869193154034174</v>
      </c>
    </row>
    <row r="447" spans="1:12" x14ac:dyDescent="0.25">
      <c r="A447" s="29">
        <v>45700</v>
      </c>
      <c r="B447" s="16" t="s">
        <v>493</v>
      </c>
      <c r="C447" s="34">
        <v>1</v>
      </c>
      <c r="D447" s="16" t="s">
        <v>64</v>
      </c>
      <c r="E447" s="35">
        <v>2.5</v>
      </c>
      <c r="F447" s="35">
        <v>2</v>
      </c>
      <c r="G447" s="16" t="s">
        <v>44</v>
      </c>
      <c r="H447" s="16" t="s">
        <v>45</v>
      </c>
      <c r="I447" s="16">
        <f>COUNTIF(G$5:G447,"Y")/COUNTA(G$5:G447)</f>
        <v>0.85778781038374718</v>
      </c>
      <c r="J447" s="16">
        <f>COUNTIF(H$5:H447,"Y")/COUNTA(H$5:H447)</f>
        <v>5.8690744920993229E-2</v>
      </c>
      <c r="K447" s="16">
        <f>AVERAGE(F$5:F447)</f>
        <v>2.1869074492099325</v>
      </c>
      <c r="L447" s="16">
        <f>SUM(F$5:F447)/SUM(E$5:E447)</f>
        <v>0.73880881567909651</v>
      </c>
    </row>
    <row r="448" spans="1:12" x14ac:dyDescent="0.25">
      <c r="A448" s="29">
        <v>45701</v>
      </c>
      <c r="B448" s="16" t="s">
        <v>494</v>
      </c>
      <c r="C448" s="34">
        <v>1</v>
      </c>
      <c r="D448" s="16" t="s">
        <v>52</v>
      </c>
      <c r="E448" s="35">
        <v>4.8</v>
      </c>
      <c r="F448" s="35">
        <v>3.6</v>
      </c>
      <c r="G448" s="16" t="s">
        <v>44</v>
      </c>
      <c r="H448" s="16" t="s">
        <v>45</v>
      </c>
      <c r="I448" s="16">
        <f>COUNTIF(G$5:G448,"Y")/COUNTA(G$5:G448)</f>
        <v>0.85810810810810811</v>
      </c>
      <c r="J448" s="16">
        <f>COUNTIF(H$5:H448,"Y")/COUNTA(H$5:H448)</f>
        <v>5.8558558558558557E-2</v>
      </c>
      <c r="K448" s="16">
        <f>AVERAGE(F$5:F448)</f>
        <v>2.1900900900900901</v>
      </c>
      <c r="L448" s="16">
        <f>SUM(F$5:F448)/SUM(E$5:E448)</f>
        <v>0.73884963148696858</v>
      </c>
    </row>
    <row r="449" spans="1:12" x14ac:dyDescent="0.25">
      <c r="A449" s="29">
        <v>45702</v>
      </c>
      <c r="B449" s="16" t="s">
        <v>495</v>
      </c>
      <c r="C449" s="34">
        <v>1</v>
      </c>
      <c r="D449" s="16" t="s">
        <v>47</v>
      </c>
      <c r="E449" s="35">
        <v>4.0999999999999996</v>
      </c>
      <c r="F449" s="35">
        <v>3.3</v>
      </c>
      <c r="G449" s="16" t="s">
        <v>44</v>
      </c>
      <c r="H449" s="16" t="s">
        <v>45</v>
      </c>
      <c r="I449" s="16">
        <f>COUNTIF(G$5:G449,"Y")/COUNTA(G$5:G449)</f>
        <v>0.85842696629213489</v>
      </c>
      <c r="J449" s="16">
        <f>COUNTIF(H$5:H449,"Y")/COUNTA(H$5:H449)</f>
        <v>5.8426966292134834E-2</v>
      </c>
      <c r="K449" s="16">
        <f>AVERAGE(F$5:F449)</f>
        <v>2.1925842696629214</v>
      </c>
      <c r="L449" s="16">
        <f>SUM(F$5:F449)/SUM(E$5:E449)</f>
        <v>0.7390546886835323</v>
      </c>
    </row>
    <row r="450" spans="1:12" x14ac:dyDescent="0.25">
      <c r="A450" s="29">
        <v>45698</v>
      </c>
      <c r="B450" s="16" t="s">
        <v>496</v>
      </c>
      <c r="C450" s="34">
        <v>1</v>
      </c>
      <c r="D450" s="16" t="s">
        <v>56</v>
      </c>
      <c r="E450" s="35">
        <v>4.5</v>
      </c>
      <c r="F450" s="35">
        <v>3.6</v>
      </c>
      <c r="G450" s="16" t="s">
        <v>44</v>
      </c>
      <c r="H450" s="16" t="s">
        <v>45</v>
      </c>
      <c r="I450" s="16">
        <f>COUNTIF(G$5:G450,"Y")/COUNTA(G$5:G450)</f>
        <v>0.85874439461883412</v>
      </c>
      <c r="J450" s="16">
        <f>COUNTIF(H$5:H450,"Y")/COUNTA(H$5:H450)</f>
        <v>5.829596412556054E-2</v>
      </c>
      <c r="K450" s="16">
        <f>AVERAGE(F$5:F450)</f>
        <v>2.1957399103139017</v>
      </c>
      <c r="L450" s="16">
        <f>SUM(F$5:F450)/SUM(E$5:E450)</f>
        <v>0.73926171963463383</v>
      </c>
    </row>
    <row r="451" spans="1:12" x14ac:dyDescent="0.25">
      <c r="A451" s="29">
        <v>45699</v>
      </c>
      <c r="B451" s="16" t="s">
        <v>497</v>
      </c>
      <c r="C451" s="34">
        <v>1</v>
      </c>
      <c r="D451" s="16" t="s">
        <v>43</v>
      </c>
      <c r="E451" s="35">
        <v>4.8</v>
      </c>
      <c r="F451" s="35">
        <v>3.2</v>
      </c>
      <c r="G451" s="16" t="s">
        <v>44</v>
      </c>
      <c r="H451" s="16" t="s">
        <v>45</v>
      </c>
      <c r="I451" s="16">
        <f>COUNTIF(G$5:G451,"Y")/COUNTA(G$5:G451)</f>
        <v>0.85906040268456374</v>
      </c>
      <c r="J451" s="16">
        <f>COUNTIF(H$5:H451,"Y")/COUNTA(H$5:H451)</f>
        <v>5.8165548098434001E-2</v>
      </c>
      <c r="K451" s="16">
        <f>AVERAGE(F$5:F451)</f>
        <v>2.1979865771812084</v>
      </c>
      <c r="L451" s="16">
        <f>SUM(F$5:F451)/SUM(E$5:E451)</f>
        <v>0.73899962391876606</v>
      </c>
    </row>
    <row r="452" spans="1:12" x14ac:dyDescent="0.25">
      <c r="A452" s="29">
        <v>45700</v>
      </c>
      <c r="B452" s="16" t="s">
        <v>498</v>
      </c>
      <c r="C452" s="34">
        <v>1</v>
      </c>
      <c r="D452" s="16" t="s">
        <v>52</v>
      </c>
      <c r="E452" s="35">
        <v>4.0999999999999996</v>
      </c>
      <c r="F452" s="35">
        <v>2.9</v>
      </c>
      <c r="G452" s="16" t="s">
        <v>44</v>
      </c>
      <c r="H452" s="16" t="s">
        <v>45</v>
      </c>
      <c r="I452" s="16">
        <f>COUNTIF(G$5:G452,"Y")/COUNTA(G$5:G452)</f>
        <v>0.859375</v>
      </c>
      <c r="J452" s="16">
        <f>COUNTIF(H$5:H452,"Y")/COUNTA(H$5:H452)</f>
        <v>5.8035714285714288E-2</v>
      </c>
      <c r="K452" s="16">
        <f>AVERAGE(F$5:F452)</f>
        <v>2.1995535714285714</v>
      </c>
      <c r="L452" s="16">
        <f>SUM(F$5:F452)/SUM(E$5:E452)</f>
        <v>0.73890221955608837</v>
      </c>
    </row>
    <row r="453" spans="1:12" x14ac:dyDescent="0.25">
      <c r="A453" s="29">
        <v>45701</v>
      </c>
      <c r="B453" s="16" t="s">
        <v>499</v>
      </c>
      <c r="C453" s="34">
        <v>1</v>
      </c>
      <c r="D453" s="16" t="s">
        <v>56</v>
      </c>
      <c r="E453" s="35">
        <v>4.5999999999999996</v>
      </c>
      <c r="F453" s="35">
        <v>3.3</v>
      </c>
      <c r="G453" s="16" t="s">
        <v>44</v>
      </c>
      <c r="H453" s="16" t="s">
        <v>45</v>
      </c>
      <c r="I453" s="16">
        <f>COUNTIF(G$5:G453,"Y")/COUNTA(G$5:G453)</f>
        <v>0.85968819599109136</v>
      </c>
      <c r="J453" s="16">
        <f>COUNTIF(H$5:H453,"Y")/COUNTA(H$5:H453)</f>
        <v>5.7906458797327393E-2</v>
      </c>
      <c r="K453" s="16">
        <f>AVERAGE(F$5:F453)</f>
        <v>2.2020044543429846</v>
      </c>
      <c r="L453" s="16">
        <f>SUM(F$5:F453)/SUM(E$5:E453)</f>
        <v>0.73882827678971719</v>
      </c>
    </row>
    <row r="454" spans="1:12" x14ac:dyDescent="0.25">
      <c r="A454" s="29">
        <v>45702</v>
      </c>
      <c r="B454" s="16" t="s">
        <v>500</v>
      </c>
      <c r="C454" s="34">
        <v>1</v>
      </c>
      <c r="D454" s="16" t="s">
        <v>47</v>
      </c>
      <c r="E454" s="35">
        <v>1.6</v>
      </c>
      <c r="F454" s="35">
        <v>1.2</v>
      </c>
      <c r="G454" s="16" t="s">
        <v>44</v>
      </c>
      <c r="H454" s="16" t="s">
        <v>45</v>
      </c>
      <c r="I454" s="16">
        <f>COUNTIF(G$5:G454,"Y")/COUNTA(G$5:G454)</f>
        <v>0.86</v>
      </c>
      <c r="J454" s="16">
        <f>COUNTIF(H$5:H454,"Y")/COUNTA(H$5:H454)</f>
        <v>5.7777777777777775E-2</v>
      </c>
      <c r="K454" s="16">
        <f>AVERAGE(F$5:F454)</f>
        <v>2.1997777777777778</v>
      </c>
      <c r="L454" s="16">
        <f>SUM(F$5:F454)/SUM(E$5:E454)</f>
        <v>0.7388416181519627</v>
      </c>
    </row>
    <row r="455" spans="1:12" x14ac:dyDescent="0.25">
      <c r="A455" s="29">
        <v>45698</v>
      </c>
      <c r="B455" s="16" t="s">
        <v>501</v>
      </c>
      <c r="C455" s="34">
        <v>1</v>
      </c>
      <c r="D455" s="16" t="s">
        <v>52</v>
      </c>
      <c r="E455" s="35">
        <v>5.7</v>
      </c>
      <c r="F455" s="35">
        <v>4</v>
      </c>
      <c r="G455" s="16" t="s">
        <v>44</v>
      </c>
      <c r="H455" s="16" t="s">
        <v>45</v>
      </c>
      <c r="I455" s="16">
        <f>COUNTIF(G$5:G455,"Y")/COUNTA(G$5:G455)</f>
        <v>0.86031042128603108</v>
      </c>
      <c r="J455" s="16">
        <f>COUNTIF(H$5:H455,"Y")/COUNTA(H$5:H455)</f>
        <v>5.7649667405764965E-2</v>
      </c>
      <c r="K455" s="16">
        <f>AVERAGE(F$5:F455)</f>
        <v>2.2037694013303772</v>
      </c>
      <c r="L455" s="16">
        <f>SUM(F$5:F455)/SUM(E$5:E455)</f>
        <v>0.73868450390189488</v>
      </c>
    </row>
    <row r="456" spans="1:12" x14ac:dyDescent="0.25">
      <c r="A456" s="29">
        <v>45699</v>
      </c>
      <c r="B456" s="16" t="s">
        <v>502</v>
      </c>
      <c r="C456" s="34">
        <v>1</v>
      </c>
      <c r="D456" s="16" t="s">
        <v>43</v>
      </c>
      <c r="E456" s="35">
        <v>4.7</v>
      </c>
      <c r="F456" s="35">
        <v>3.5</v>
      </c>
      <c r="G456" s="16" t="s">
        <v>44</v>
      </c>
      <c r="H456" s="16" t="s">
        <v>45</v>
      </c>
      <c r="I456" s="16">
        <f>COUNTIF(G$5:G456,"Y")/COUNTA(G$5:G456)</f>
        <v>0.86061946902654862</v>
      </c>
      <c r="J456" s="16">
        <f>COUNTIF(H$5:H456,"Y")/COUNTA(H$5:H456)</f>
        <v>5.7522123893805309E-2</v>
      </c>
      <c r="K456" s="16">
        <f>AVERAGE(F$5:F456)</f>
        <v>2.2066371681415933</v>
      </c>
      <c r="L456" s="16">
        <f>SUM(F$5:F456)/SUM(E$5:E456)</f>
        <v>0.73870537698118766</v>
      </c>
    </row>
    <row r="457" spans="1:12" x14ac:dyDescent="0.25">
      <c r="A457" s="29">
        <v>45700</v>
      </c>
      <c r="B457" s="16" t="s">
        <v>503</v>
      </c>
      <c r="C457" s="34">
        <v>1</v>
      </c>
      <c r="D457" s="16" t="s">
        <v>52</v>
      </c>
      <c r="E457" s="35">
        <v>2.2999999999999998</v>
      </c>
      <c r="F457" s="35">
        <v>2.2000000000000002</v>
      </c>
      <c r="G457" s="16" t="s">
        <v>44</v>
      </c>
      <c r="H457" s="16" t="s">
        <v>45</v>
      </c>
      <c r="I457" s="16">
        <f>COUNTIF(G$5:G457,"Y")/COUNTA(G$5:G457)</f>
        <v>0.86092715231788075</v>
      </c>
      <c r="J457" s="16">
        <f>COUNTIF(H$5:H457,"Y")/COUNTA(H$5:H457)</f>
        <v>5.7395143487858721E-2</v>
      </c>
      <c r="K457" s="16">
        <f>AVERAGE(F$5:F457)</f>
        <v>2.2066225165562918</v>
      </c>
      <c r="L457" s="16">
        <f>SUM(F$5:F457)/SUM(E$5:E457)</f>
        <v>0.73907578558225484</v>
      </c>
    </row>
    <row r="458" spans="1:12" x14ac:dyDescent="0.25">
      <c r="A458" s="29">
        <v>45701</v>
      </c>
      <c r="B458" s="16" t="s">
        <v>504</v>
      </c>
      <c r="C458" s="34">
        <v>1</v>
      </c>
      <c r="D458" s="16" t="s">
        <v>43</v>
      </c>
      <c r="E458" s="35">
        <v>0.5</v>
      </c>
      <c r="F458" s="35">
        <v>0.5</v>
      </c>
      <c r="G458" s="16" t="s">
        <v>44</v>
      </c>
      <c r="H458" s="16" t="s">
        <v>45</v>
      </c>
      <c r="I458" s="16">
        <f>COUNTIF(G$5:G458,"Y")/COUNTA(G$5:G458)</f>
        <v>0.86123348017621149</v>
      </c>
      <c r="J458" s="16">
        <f>COUNTIF(H$5:H458,"Y")/COUNTA(H$5:H458)</f>
        <v>5.7268722466960353E-2</v>
      </c>
      <c r="K458" s="16">
        <f>AVERAGE(F$5:F458)</f>
        <v>2.2028634361233483</v>
      </c>
      <c r="L458" s="16">
        <f>SUM(F$5:F458)/SUM(E$5:E458)</f>
        <v>0.73917220990391697</v>
      </c>
    </row>
    <row r="459" spans="1:12" x14ac:dyDescent="0.25">
      <c r="A459" s="29">
        <v>45702</v>
      </c>
      <c r="B459" s="16" t="s">
        <v>505</v>
      </c>
      <c r="C459" s="34">
        <v>1</v>
      </c>
      <c r="D459" s="16" t="s">
        <v>56</v>
      </c>
      <c r="E459" s="35">
        <v>0.5</v>
      </c>
      <c r="F459" s="35">
        <v>0.5</v>
      </c>
      <c r="G459" s="16" t="s">
        <v>45</v>
      </c>
      <c r="H459" s="16" t="s">
        <v>45</v>
      </c>
      <c r="I459" s="16">
        <f>COUNTIF(G$5:G459,"Y")/COUNTA(G$5:G459)</f>
        <v>0.85934065934065929</v>
      </c>
      <c r="J459" s="16">
        <f>COUNTIF(H$5:H459,"Y")/COUNTA(H$5:H459)</f>
        <v>5.7142857142857141E-2</v>
      </c>
      <c r="K459" s="16">
        <f>AVERAGE(F$5:F459)</f>
        <v>2.1991208791208794</v>
      </c>
      <c r="L459" s="16">
        <f>SUM(F$5:F459)/SUM(E$5:E459)</f>
        <v>0.73926856298485377</v>
      </c>
    </row>
    <row r="460" spans="1:12" x14ac:dyDescent="0.25">
      <c r="A460" s="29">
        <v>45698</v>
      </c>
      <c r="B460" s="16" t="s">
        <v>506</v>
      </c>
      <c r="C460" s="34">
        <v>1</v>
      </c>
      <c r="D460" s="16" t="s">
        <v>64</v>
      </c>
      <c r="E460" s="35">
        <v>0.5</v>
      </c>
      <c r="F460" s="35">
        <v>0.5</v>
      </c>
      <c r="G460" s="16" t="s">
        <v>44</v>
      </c>
      <c r="H460" s="16" t="s">
        <v>45</v>
      </c>
      <c r="I460" s="16">
        <f>COUNTIF(G$5:G460,"Y")/COUNTA(G$5:G460)</f>
        <v>0.85964912280701755</v>
      </c>
      <c r="J460" s="16">
        <f>COUNTIF(H$5:H460,"Y")/COUNTA(H$5:H460)</f>
        <v>5.701754385964912E-2</v>
      </c>
      <c r="K460" s="16">
        <f>AVERAGE(F$5:F460)</f>
        <v>2.1953947368421054</v>
      </c>
      <c r="L460" s="16">
        <f>SUM(F$5:F460)/SUM(E$5:E460)</f>
        <v>0.73936484490398791</v>
      </c>
    </row>
    <row r="461" spans="1:12" x14ac:dyDescent="0.25">
      <c r="A461" s="29">
        <v>45699</v>
      </c>
      <c r="B461" s="16" t="s">
        <v>507</v>
      </c>
      <c r="C461" s="34">
        <v>1</v>
      </c>
      <c r="D461" s="16" t="s">
        <v>52</v>
      </c>
      <c r="E461" s="35">
        <v>0.5</v>
      </c>
      <c r="F461" s="35">
        <v>0.5</v>
      </c>
      <c r="G461" s="16" t="s">
        <v>44</v>
      </c>
      <c r="H461" s="16" t="s">
        <v>45</v>
      </c>
      <c r="I461" s="16">
        <f>COUNTIF(G$5:G461,"Y")/COUNTA(G$5:G461)</f>
        <v>0.85995623632385121</v>
      </c>
      <c r="J461" s="16">
        <f>COUNTIF(H$5:H461,"Y")/COUNTA(H$5:H461)</f>
        <v>5.689277899343545E-2</v>
      </c>
      <c r="K461" s="16">
        <f>AVERAGE(F$5:F461)</f>
        <v>2.1916849015317288</v>
      </c>
      <c r="L461" s="16">
        <f>SUM(F$5:F461)/SUM(E$5:E461)</f>
        <v>0.73946105574012522</v>
      </c>
    </row>
    <row r="462" spans="1:12" x14ac:dyDescent="0.25">
      <c r="A462" s="29">
        <v>45700</v>
      </c>
      <c r="B462" s="16" t="s">
        <v>508</v>
      </c>
      <c r="C462" s="34">
        <v>1</v>
      </c>
      <c r="D462" s="16" t="s">
        <v>50</v>
      </c>
      <c r="E462" s="35">
        <v>0.5</v>
      </c>
      <c r="F462" s="35">
        <v>0.5</v>
      </c>
      <c r="G462" s="16" t="s">
        <v>44</v>
      </c>
      <c r="H462" s="16" t="s">
        <v>45</v>
      </c>
      <c r="I462" s="16">
        <f>COUNTIF(G$5:G462,"Y")/COUNTA(G$5:G462)</f>
        <v>0.86026200873362446</v>
      </c>
      <c r="J462" s="16">
        <f>COUNTIF(H$5:H462,"Y")/COUNTA(H$5:H462)</f>
        <v>5.6768558951965066E-2</v>
      </c>
      <c r="K462" s="16">
        <f>AVERAGE(F$5:F462)</f>
        <v>2.1879912663755463</v>
      </c>
      <c r="L462" s="16">
        <f>SUM(F$5:F462)/SUM(E$5:E462)</f>
        <v>0.73955719557195543</v>
      </c>
    </row>
    <row r="463" spans="1:12" x14ac:dyDescent="0.25">
      <c r="A463" s="29">
        <v>45701</v>
      </c>
      <c r="B463" s="16" t="s">
        <v>509</v>
      </c>
      <c r="C463" s="34">
        <v>1</v>
      </c>
      <c r="D463" s="16" t="s">
        <v>47</v>
      </c>
      <c r="E463" s="35">
        <v>0.5</v>
      </c>
      <c r="F463" s="35">
        <v>0.5</v>
      </c>
      <c r="G463" s="16" t="s">
        <v>44</v>
      </c>
      <c r="H463" s="16" t="s">
        <v>45</v>
      </c>
      <c r="I463" s="16">
        <f>COUNTIF(G$5:G463,"Y")/COUNTA(G$5:G463)</f>
        <v>0.86056644880174293</v>
      </c>
      <c r="J463" s="16">
        <f>COUNTIF(H$5:H463,"Y")/COUNTA(H$5:H463)</f>
        <v>5.6644880174291937E-2</v>
      </c>
      <c r="K463" s="16">
        <f>AVERAGE(F$5:F463)</f>
        <v>2.1843137254901963</v>
      </c>
      <c r="L463" s="16">
        <f>SUM(F$5:F463)/SUM(E$5:E463)</f>
        <v>0.73965326447805213</v>
      </c>
    </row>
    <row r="464" spans="1:12" x14ac:dyDescent="0.25">
      <c r="A464" s="29">
        <v>45702</v>
      </c>
      <c r="B464" s="16" t="s">
        <v>510</v>
      </c>
      <c r="C464" s="34">
        <v>1</v>
      </c>
      <c r="D464" s="16" t="s">
        <v>47</v>
      </c>
      <c r="E464" s="35">
        <v>0.5</v>
      </c>
      <c r="F464" s="35">
        <v>0.5</v>
      </c>
      <c r="G464" s="16" t="s">
        <v>44</v>
      </c>
      <c r="H464" s="16" t="s">
        <v>45</v>
      </c>
      <c r="I464" s="16">
        <f>COUNTIF(G$5:G464,"Y")/COUNTA(G$5:G464)</f>
        <v>0.86086956521739133</v>
      </c>
      <c r="J464" s="16">
        <f>COUNTIF(H$5:H464,"Y")/COUNTA(H$5:H464)</f>
        <v>5.6521739130434782E-2</v>
      </c>
      <c r="K464" s="16">
        <f>AVERAGE(F$5:F464)</f>
        <v>2.1806521739130438</v>
      </c>
      <c r="L464" s="16">
        <f>SUM(F$5:F464)/SUM(E$5:E464)</f>
        <v>0.7397492625368729</v>
      </c>
    </row>
    <row r="465" spans="1:13" x14ac:dyDescent="0.25">
      <c r="A465" s="29">
        <v>45698</v>
      </c>
      <c r="B465" s="16" t="s">
        <v>511</v>
      </c>
      <c r="C465" s="34">
        <v>1</v>
      </c>
      <c r="D465" s="16" t="s">
        <v>50</v>
      </c>
      <c r="E465" s="35">
        <v>0.5</v>
      </c>
      <c r="F465" s="35">
        <v>0.5</v>
      </c>
      <c r="G465" s="16" t="s">
        <v>44</v>
      </c>
      <c r="H465" s="16" t="s">
        <v>45</v>
      </c>
      <c r="I465" s="16">
        <f>COUNTIF(G$5:G465,"Y")/COUNTA(G$5:G465)</f>
        <v>0.86117136659436011</v>
      </c>
      <c r="J465" s="16">
        <f>COUNTIF(H$5:H465,"Y")/COUNTA(H$5:H465)</f>
        <v>5.6399132321041212E-2</v>
      </c>
      <c r="K465" s="16">
        <f>AVERAGE(F$5:F465)</f>
        <v>2.1770065075921914</v>
      </c>
      <c r="L465" s="16">
        <f>SUM(F$5:F465)/SUM(E$5:E465)</f>
        <v>0.73984518982675973</v>
      </c>
    </row>
    <row r="466" spans="1:13" x14ac:dyDescent="0.25">
      <c r="A466" s="29">
        <v>45699</v>
      </c>
      <c r="B466" s="16" t="s">
        <v>512</v>
      </c>
      <c r="C466" s="34">
        <v>1</v>
      </c>
      <c r="D466" s="16" t="s">
        <v>60</v>
      </c>
      <c r="E466" s="35">
        <v>0.5</v>
      </c>
      <c r="F466" s="35">
        <v>0.5</v>
      </c>
      <c r="G466" s="16" t="s">
        <v>44</v>
      </c>
      <c r="H466" s="16" t="s">
        <v>45</v>
      </c>
      <c r="I466" s="16">
        <f>COUNTIF(G$5:G466,"Y")/COUNTA(G$5:G466)</f>
        <v>0.8614718614718615</v>
      </c>
      <c r="J466" s="16">
        <f>COUNTIF(H$5:H466,"Y")/COUNTA(H$5:H466)</f>
        <v>5.627705627705628E-2</v>
      </c>
      <c r="K466" s="16">
        <f>AVERAGE(F$5:F466)</f>
        <v>2.1733766233766239</v>
      </c>
      <c r="L466" s="16">
        <f>SUM(F$5:F466)/SUM(E$5:E466)</f>
        <v>0.73994104642593928</v>
      </c>
      <c r="M466" s="16">
        <v>12</v>
      </c>
    </row>
    <row r="467" spans="1:13" x14ac:dyDescent="0.25">
      <c r="A467" s="29">
        <v>45705</v>
      </c>
      <c r="B467" s="16" t="s">
        <v>513</v>
      </c>
      <c r="C467" s="34">
        <v>1</v>
      </c>
      <c r="D467" s="16" t="s">
        <v>56</v>
      </c>
      <c r="E467" s="35">
        <v>4.0999999999999996</v>
      </c>
      <c r="F467" s="35">
        <v>2.8</v>
      </c>
      <c r="G467" s="16" t="s">
        <v>44</v>
      </c>
      <c r="H467" s="16" t="s">
        <v>45</v>
      </c>
      <c r="I467" s="16">
        <f>COUNTIF(G$5:G467,"Y")/COUNTA(G$5:G467)</f>
        <v>0.86177105831533474</v>
      </c>
      <c r="J467" s="16">
        <f>COUNTIF(H$5:H467,"Y")/COUNTA(H$5:H467)</f>
        <v>5.6155507559395246E-2</v>
      </c>
      <c r="K467" s="16">
        <f>AVERAGE(F$5:F467)</f>
        <v>2.1747300215982723</v>
      </c>
      <c r="L467" s="16">
        <f>SUM(F$5:F467)/SUM(E$5:E467)</f>
        <v>0.73976930423921805</v>
      </c>
    </row>
    <row r="468" spans="1:13" x14ac:dyDescent="0.25">
      <c r="A468" s="29">
        <v>45706</v>
      </c>
      <c r="B468" s="16" t="s">
        <v>514</v>
      </c>
      <c r="C468" s="34">
        <v>1</v>
      </c>
      <c r="D468" s="16" t="s">
        <v>64</v>
      </c>
      <c r="E468" s="35">
        <v>2.7</v>
      </c>
      <c r="F468" s="35">
        <v>2.1</v>
      </c>
      <c r="G468" s="16" t="s">
        <v>44</v>
      </c>
      <c r="H468" s="16" t="s">
        <v>45</v>
      </c>
      <c r="I468" s="16">
        <f>COUNTIF(G$5:G468,"Y")/COUNTA(G$5:G468)</f>
        <v>0.86206896551724133</v>
      </c>
      <c r="J468" s="16">
        <f>COUNTIF(H$5:H468,"Y")/COUNTA(H$5:H468)</f>
        <v>5.6034482758620691E-2</v>
      </c>
      <c r="K468" s="16">
        <f>AVERAGE(F$5:F468)</f>
        <v>2.1745689655172415</v>
      </c>
      <c r="L468" s="16">
        <f>SUM(F$5:F468)/SUM(E$5:E468)</f>
        <v>0.73984455198709465</v>
      </c>
    </row>
    <row r="469" spans="1:13" x14ac:dyDescent="0.25">
      <c r="A469" s="29">
        <v>45707</v>
      </c>
      <c r="B469" s="16" t="s">
        <v>515</v>
      </c>
      <c r="C469" s="34">
        <v>1</v>
      </c>
      <c r="D469" s="16" t="s">
        <v>47</v>
      </c>
      <c r="E469" s="35">
        <v>3.8</v>
      </c>
      <c r="F469" s="35">
        <v>2.9</v>
      </c>
      <c r="G469" s="16" t="s">
        <v>44</v>
      </c>
      <c r="H469" s="16" t="s">
        <v>45</v>
      </c>
      <c r="I469" s="16">
        <f>COUNTIF(G$5:G469,"Y")/COUNTA(G$5:G469)</f>
        <v>0.86236559139784941</v>
      </c>
      <c r="J469" s="16">
        <f>COUNTIF(H$5:H469,"Y")/COUNTA(H$5:H469)</f>
        <v>5.5913978494623658E-2</v>
      </c>
      <c r="K469" s="16">
        <f>AVERAGE(F$5:F469)</f>
        <v>2.1761290322580646</v>
      </c>
      <c r="L469" s="16">
        <f>SUM(F$5:F469)/SUM(E$5:E469)</f>
        <v>0.73990933021351246</v>
      </c>
    </row>
    <row r="470" spans="1:13" x14ac:dyDescent="0.25">
      <c r="A470" s="29">
        <v>45708</v>
      </c>
      <c r="B470" s="16" t="s">
        <v>516</v>
      </c>
      <c r="C470" s="34">
        <v>1</v>
      </c>
      <c r="D470" s="16" t="s">
        <v>43</v>
      </c>
      <c r="E470" s="35">
        <v>4.2</v>
      </c>
      <c r="F470" s="35">
        <v>3.6</v>
      </c>
      <c r="G470" s="16" t="s">
        <v>45</v>
      </c>
      <c r="H470" s="16" t="s">
        <v>45</v>
      </c>
      <c r="I470" s="16">
        <f>COUNTIF(G$5:G470,"Y")/COUNTA(G$5:G470)</f>
        <v>0.86051502145922742</v>
      </c>
      <c r="J470" s="16">
        <f>COUNTIF(H$5:H470,"Y")/COUNTA(H$5:H470)</f>
        <v>5.5793991416309016E-2</v>
      </c>
      <c r="K470" s="16">
        <f>AVERAGE(F$5:F470)</f>
        <v>2.1791845493562234</v>
      </c>
      <c r="L470" s="16">
        <f>SUM(F$5:F470)/SUM(E$5:E470)</f>
        <v>0.7402682606793991</v>
      </c>
    </row>
    <row r="471" spans="1:13" x14ac:dyDescent="0.25">
      <c r="A471" s="29">
        <v>45709</v>
      </c>
      <c r="B471" s="16" t="s">
        <v>517</v>
      </c>
      <c r="C471" s="34">
        <v>1</v>
      </c>
      <c r="D471" s="16" t="s">
        <v>43</v>
      </c>
      <c r="E471" s="35">
        <v>3</v>
      </c>
      <c r="F471" s="35">
        <v>2.5</v>
      </c>
      <c r="G471" s="16" t="s">
        <v>45</v>
      </c>
      <c r="H471" s="16" t="s">
        <v>45</v>
      </c>
      <c r="I471" s="16">
        <f>COUNTIF(G$5:G471,"Y")/COUNTA(G$5:G471)</f>
        <v>0.85867237687366171</v>
      </c>
      <c r="J471" s="16">
        <f>COUNTIF(H$5:H471,"Y")/COUNTA(H$5:H471)</f>
        <v>5.5674518201284794E-2</v>
      </c>
      <c r="K471" s="16">
        <f>AVERAGE(F$5:F471)</f>
        <v>2.1798715203426124</v>
      </c>
      <c r="L471" s="16">
        <f>SUM(F$5:F471)/SUM(E$5:E471)</f>
        <v>0.740471341286005</v>
      </c>
    </row>
    <row r="472" spans="1:13" x14ac:dyDescent="0.25">
      <c r="A472" s="29">
        <v>45705</v>
      </c>
      <c r="B472" s="16" t="s">
        <v>518</v>
      </c>
      <c r="C472" s="34">
        <v>1</v>
      </c>
      <c r="D472" s="16" t="s">
        <v>56</v>
      </c>
      <c r="E472" s="35">
        <v>4.2</v>
      </c>
      <c r="F472" s="35">
        <v>3.4</v>
      </c>
      <c r="G472" s="16" t="s">
        <v>44</v>
      </c>
      <c r="H472" s="16" t="s">
        <v>45</v>
      </c>
      <c r="I472" s="16">
        <f>COUNTIF(G$5:G472,"Y")/COUNTA(G$5:G472)</f>
        <v>0.85897435897435892</v>
      </c>
      <c r="J472" s="16">
        <f>COUNTIF(H$5:H472,"Y")/COUNTA(H$5:H472)</f>
        <v>5.5555555555555552E-2</v>
      </c>
      <c r="K472" s="16">
        <f>AVERAGE(F$5:F472)</f>
        <v>2.1824786324786327</v>
      </c>
      <c r="L472" s="16">
        <f>SUM(F$5:F472)/SUM(E$5:E472)</f>
        <v>0.74068165337200842</v>
      </c>
    </row>
    <row r="473" spans="1:13" x14ac:dyDescent="0.25">
      <c r="A473" s="29">
        <v>45706</v>
      </c>
      <c r="B473" s="16" t="s">
        <v>519</v>
      </c>
      <c r="C473" s="34">
        <v>1</v>
      </c>
      <c r="D473" s="16" t="s">
        <v>60</v>
      </c>
      <c r="E473" s="35">
        <v>4.4000000000000004</v>
      </c>
      <c r="F473" s="35">
        <v>3.2</v>
      </c>
      <c r="G473" s="16" t="s">
        <v>44</v>
      </c>
      <c r="H473" s="16" t="s">
        <v>45</v>
      </c>
      <c r="I473" s="16">
        <f>COUNTIF(G$5:G473,"Y")/COUNTA(G$5:G473)</f>
        <v>0.85927505330490406</v>
      </c>
      <c r="J473" s="16">
        <f>COUNTIF(H$5:H473,"Y")/COUNTA(H$5:H473)</f>
        <v>5.5437100213219619E-2</v>
      </c>
      <c r="K473" s="16">
        <f>AVERAGE(F$5:F473)</f>
        <v>2.1846481876332624</v>
      </c>
      <c r="L473" s="16">
        <f>SUM(F$5:F473)/SUM(E$5:E473)</f>
        <v>0.74063900534913951</v>
      </c>
    </row>
    <row r="474" spans="1:13" x14ac:dyDescent="0.25">
      <c r="A474" s="29">
        <v>45707</v>
      </c>
      <c r="B474" s="16" t="s">
        <v>520</v>
      </c>
      <c r="C474" s="34">
        <v>1</v>
      </c>
      <c r="D474" s="16" t="s">
        <v>56</v>
      </c>
      <c r="E474" s="35">
        <v>3.6</v>
      </c>
      <c r="F474" s="35">
        <v>3.2</v>
      </c>
      <c r="G474" s="16" t="s">
        <v>44</v>
      </c>
      <c r="H474" s="16" t="s">
        <v>45</v>
      </c>
      <c r="I474" s="16">
        <f>COUNTIF(G$5:G474,"Y")/COUNTA(G$5:G474)</f>
        <v>0.8595744680851064</v>
      </c>
      <c r="J474" s="16">
        <f>COUNTIF(H$5:H474,"Y")/COUNTA(H$5:H474)</f>
        <v>5.5319148936170209E-2</v>
      </c>
      <c r="K474" s="16">
        <f>AVERAGE(F$5:F474)</f>
        <v>2.1868085106382984</v>
      </c>
      <c r="L474" s="16">
        <f>SUM(F$5:F474)/SUM(E$5:E474)</f>
        <v>0.74102379235760607</v>
      </c>
    </row>
    <row r="475" spans="1:13" x14ac:dyDescent="0.25">
      <c r="A475" s="29">
        <v>45708</v>
      </c>
      <c r="B475" s="16" t="s">
        <v>521</v>
      </c>
      <c r="C475" s="34">
        <v>1</v>
      </c>
      <c r="D475" s="16" t="s">
        <v>52</v>
      </c>
      <c r="E475" s="35">
        <v>2.6</v>
      </c>
      <c r="F475" s="35">
        <v>2.1</v>
      </c>
      <c r="G475" s="16" t="s">
        <v>44</v>
      </c>
      <c r="H475" s="16" t="s">
        <v>45</v>
      </c>
      <c r="I475" s="16">
        <f>COUNTIF(G$5:G475,"Y")/COUNTA(G$5:G475)</f>
        <v>0.85987261146496818</v>
      </c>
      <c r="J475" s="16">
        <f>COUNTIF(H$5:H475,"Y")/COUNTA(H$5:H475)</f>
        <v>5.5201698513800426E-2</v>
      </c>
      <c r="K475" s="16">
        <f>AVERAGE(F$5:F475)</f>
        <v>2.1866242038216561</v>
      </c>
      <c r="L475" s="16">
        <f>SUM(F$5:F475)/SUM(E$5:E475)</f>
        <v>0.74114853195164054</v>
      </c>
    </row>
    <row r="476" spans="1:13" x14ac:dyDescent="0.25">
      <c r="A476" s="29">
        <v>45709</v>
      </c>
      <c r="B476" s="16" t="s">
        <v>522</v>
      </c>
      <c r="C476" s="34">
        <v>1</v>
      </c>
      <c r="D476" s="16" t="s">
        <v>52</v>
      </c>
      <c r="E476" s="35">
        <v>3.6</v>
      </c>
      <c r="F476" s="35">
        <v>3</v>
      </c>
      <c r="G476" s="16" t="s">
        <v>44</v>
      </c>
      <c r="H476" s="16" t="s">
        <v>45</v>
      </c>
      <c r="I476" s="16">
        <f>COUNTIF(G$5:G476,"Y")/COUNTA(G$5:G476)</f>
        <v>0.86016949152542377</v>
      </c>
      <c r="J476" s="16">
        <f>COUNTIF(H$5:H476,"Y")/COUNTA(H$5:H476)</f>
        <v>5.5084745762711863E-2</v>
      </c>
      <c r="K476" s="16">
        <f>AVERAGE(F$5:F476)</f>
        <v>2.1883474576271187</v>
      </c>
      <c r="L476" s="16">
        <f>SUM(F$5:F476)/SUM(E$5:E476)</f>
        <v>0.7413867355727819</v>
      </c>
    </row>
    <row r="477" spans="1:13" x14ac:dyDescent="0.25">
      <c r="A477" s="29">
        <v>45705</v>
      </c>
      <c r="B477" s="16" t="s">
        <v>523</v>
      </c>
      <c r="C477" s="34">
        <v>1</v>
      </c>
      <c r="D477" s="16" t="s">
        <v>52</v>
      </c>
      <c r="E477" s="35">
        <v>3.8</v>
      </c>
      <c r="F477" s="35">
        <v>2.8</v>
      </c>
      <c r="G477" s="16" t="s">
        <v>44</v>
      </c>
      <c r="H477" s="16" t="s">
        <v>45</v>
      </c>
      <c r="I477" s="16">
        <f>COUNTIF(G$5:G477,"Y")/COUNTA(G$5:G477)</f>
        <v>0.86046511627906974</v>
      </c>
      <c r="J477" s="16">
        <f>COUNTIF(H$5:H477,"Y")/COUNTA(H$5:H477)</f>
        <v>5.4968287526427059E-2</v>
      </c>
      <c r="K477" s="16">
        <f>AVERAGE(F$5:F477)</f>
        <v>2.1896405919661737</v>
      </c>
      <c r="L477" s="16">
        <f>SUM(F$5:F477)/SUM(E$5:E477)</f>
        <v>0.74137437365783798</v>
      </c>
    </row>
    <row r="478" spans="1:13" x14ac:dyDescent="0.25">
      <c r="A478" s="29">
        <v>45706</v>
      </c>
      <c r="B478" s="16" t="s">
        <v>524</v>
      </c>
      <c r="C478" s="34">
        <v>1</v>
      </c>
      <c r="D478" s="16" t="s">
        <v>47</v>
      </c>
      <c r="E478" s="35">
        <v>2.9</v>
      </c>
      <c r="F478" s="35">
        <v>2.2999999999999998</v>
      </c>
      <c r="G478" s="16" t="s">
        <v>44</v>
      </c>
      <c r="H478" s="16" t="s">
        <v>45</v>
      </c>
      <c r="I478" s="16">
        <f>COUNTIF(G$5:G478,"Y")/COUNTA(G$5:G478)</f>
        <v>0.86075949367088611</v>
      </c>
      <c r="J478" s="16">
        <f>COUNTIF(H$5:H478,"Y")/COUNTA(H$5:H478)</f>
        <v>5.4852320675105488E-2</v>
      </c>
      <c r="K478" s="16">
        <f>AVERAGE(F$5:F478)</f>
        <v>2.1898734177215191</v>
      </c>
      <c r="L478" s="16">
        <f>SUM(F$5:F478)/SUM(E$5:E478)</f>
        <v>0.74148153439531361</v>
      </c>
    </row>
    <row r="479" spans="1:13" x14ac:dyDescent="0.25">
      <c r="A479" s="29">
        <v>45707</v>
      </c>
      <c r="B479" s="16" t="s">
        <v>525</v>
      </c>
      <c r="C479" s="34">
        <v>1</v>
      </c>
      <c r="D479" s="16" t="s">
        <v>56</v>
      </c>
      <c r="E479" s="35">
        <v>2.5</v>
      </c>
      <c r="F479" s="35">
        <v>2</v>
      </c>
      <c r="G479" s="16" t="s">
        <v>44</v>
      </c>
      <c r="H479" s="16" t="s">
        <v>45</v>
      </c>
      <c r="I479" s="16">
        <f>COUNTIF(G$5:G479,"Y")/COUNTA(G$5:G479)</f>
        <v>0.8610526315789474</v>
      </c>
      <c r="J479" s="16">
        <f>COUNTIF(H$5:H479,"Y")/COUNTA(H$5:H479)</f>
        <v>5.473684210526316E-2</v>
      </c>
      <c r="K479" s="16">
        <f>AVERAGE(F$5:F479)</f>
        <v>2.1894736842105265</v>
      </c>
      <c r="L479" s="16">
        <f>SUM(F$5:F479)/SUM(E$5:E479)</f>
        <v>0.74158585282373046</v>
      </c>
    </row>
    <row r="480" spans="1:13" x14ac:dyDescent="0.25">
      <c r="A480" s="29">
        <v>45708</v>
      </c>
      <c r="B480" s="16" t="s">
        <v>526</v>
      </c>
      <c r="C480" s="34">
        <v>1</v>
      </c>
      <c r="D480" s="16" t="s">
        <v>60</v>
      </c>
      <c r="E480" s="35">
        <v>2.1</v>
      </c>
      <c r="F480" s="35">
        <v>1.4</v>
      </c>
      <c r="G480" s="16" t="s">
        <v>44</v>
      </c>
      <c r="H480" s="16" t="s">
        <v>45</v>
      </c>
      <c r="I480" s="16">
        <f>COUNTIF(G$5:G480,"Y")/COUNTA(G$5:G480)</f>
        <v>0.8613445378151261</v>
      </c>
      <c r="J480" s="16">
        <f>COUNTIF(H$5:H480,"Y")/COUNTA(H$5:H480)</f>
        <v>5.4621848739495799E-2</v>
      </c>
      <c r="K480" s="16">
        <f>AVERAGE(F$5:F480)</f>
        <v>2.1878151260504204</v>
      </c>
      <c r="L480" s="16">
        <f>SUM(F$5:F480)/SUM(E$5:E480)</f>
        <v>0.74147383410466339</v>
      </c>
    </row>
    <row r="481" spans="1:12" x14ac:dyDescent="0.25">
      <c r="A481" s="29">
        <v>45709</v>
      </c>
      <c r="B481" s="16" t="s">
        <v>527</v>
      </c>
      <c r="C481" s="34">
        <v>1</v>
      </c>
      <c r="D481" s="16" t="s">
        <v>50</v>
      </c>
      <c r="E481" s="35">
        <v>3.7</v>
      </c>
      <c r="F481" s="35">
        <v>2.5</v>
      </c>
      <c r="G481" s="16" t="s">
        <v>44</v>
      </c>
      <c r="H481" s="16" t="s">
        <v>45</v>
      </c>
      <c r="I481" s="16">
        <f>COUNTIF(G$5:G481,"Y")/COUNTA(G$5:G481)</f>
        <v>0.86163522012578619</v>
      </c>
      <c r="J481" s="16">
        <f>COUNTIF(H$5:H481,"Y")/COUNTA(H$5:H481)</f>
        <v>5.450733752620545E-2</v>
      </c>
      <c r="K481" s="16">
        <f>AVERAGE(F$5:F481)</f>
        <v>2.188469601677149</v>
      </c>
      <c r="L481" s="16">
        <f>SUM(F$5:F481)/SUM(E$5:E481)</f>
        <v>0.74130095156937914</v>
      </c>
    </row>
    <row r="482" spans="1:12" x14ac:dyDescent="0.25">
      <c r="A482" s="29">
        <v>45705</v>
      </c>
      <c r="B482" s="16" t="s">
        <v>528</v>
      </c>
      <c r="C482" s="34">
        <v>1</v>
      </c>
      <c r="D482" s="16" t="s">
        <v>56</v>
      </c>
      <c r="E482" s="35">
        <v>1.4</v>
      </c>
      <c r="F482" s="35">
        <v>1.1000000000000001</v>
      </c>
      <c r="G482" s="16" t="s">
        <v>44</v>
      </c>
      <c r="H482" s="16" t="s">
        <v>45</v>
      </c>
      <c r="I482" s="16">
        <f>COUNTIF(G$5:G482,"Y")/COUNTA(G$5:G482)</f>
        <v>0.86192468619246865</v>
      </c>
      <c r="J482" s="16">
        <f>COUNTIF(H$5:H482,"Y")/COUNTA(H$5:H482)</f>
        <v>5.4393305439330547E-2</v>
      </c>
      <c r="K482" s="16">
        <f>AVERAGE(F$5:F482)</f>
        <v>2.1861924686192467</v>
      </c>
      <c r="L482" s="16">
        <f>SUM(F$5:F482)/SUM(E$5:E482)</f>
        <v>0.74134506242905762</v>
      </c>
    </row>
    <row r="483" spans="1:12" x14ac:dyDescent="0.25">
      <c r="A483" s="29">
        <v>45706</v>
      </c>
      <c r="B483" s="16" t="s">
        <v>529</v>
      </c>
      <c r="C483" s="34">
        <v>1</v>
      </c>
      <c r="D483" s="16" t="s">
        <v>52</v>
      </c>
      <c r="E483" s="35">
        <v>2.9</v>
      </c>
      <c r="F483" s="35">
        <v>2.4</v>
      </c>
      <c r="G483" s="16" t="s">
        <v>44</v>
      </c>
      <c r="H483" s="16" t="s">
        <v>45</v>
      </c>
      <c r="I483" s="16">
        <f>COUNTIF(G$5:G483,"Y")/COUNTA(G$5:G483)</f>
        <v>0.86221294363256784</v>
      </c>
      <c r="J483" s="16">
        <f>COUNTIF(H$5:H483,"Y")/COUNTA(H$5:H483)</f>
        <v>5.4279749478079335E-2</v>
      </c>
      <c r="K483" s="16">
        <f>AVERAGE(F$5:F483)</f>
        <v>2.1866388308977038</v>
      </c>
      <c r="L483" s="16">
        <f>SUM(F$5:F483)/SUM(E$5:E483)</f>
        <v>0.74152212389380501</v>
      </c>
    </row>
    <row r="484" spans="1:12" x14ac:dyDescent="0.25">
      <c r="A484" s="29">
        <v>45707</v>
      </c>
      <c r="B484" s="16" t="s">
        <v>530</v>
      </c>
      <c r="C484" s="34">
        <v>1</v>
      </c>
      <c r="D484" s="16" t="s">
        <v>64</v>
      </c>
      <c r="E484" s="35">
        <v>2.7</v>
      </c>
      <c r="F484" s="35">
        <v>2</v>
      </c>
      <c r="G484" s="16" t="s">
        <v>44</v>
      </c>
      <c r="H484" s="16" t="s">
        <v>45</v>
      </c>
      <c r="I484" s="16">
        <f>COUNTIF(G$5:G484,"Y")/COUNTA(G$5:G484)</f>
        <v>0.86250000000000004</v>
      </c>
      <c r="J484" s="16">
        <f>COUNTIF(H$5:H484,"Y")/COUNTA(H$5:H484)</f>
        <v>5.4166666666666669E-2</v>
      </c>
      <c r="K484" s="16">
        <f>AVERAGE(F$5:F484)</f>
        <v>2.1862500000000002</v>
      </c>
      <c r="L484" s="16">
        <f>SUM(F$5:F484)/SUM(E$5:E484)</f>
        <v>0.74152063312605965</v>
      </c>
    </row>
    <row r="485" spans="1:12" x14ac:dyDescent="0.25">
      <c r="A485" s="29">
        <v>45708</v>
      </c>
      <c r="B485" s="16" t="s">
        <v>531</v>
      </c>
      <c r="C485" s="34">
        <v>1</v>
      </c>
      <c r="D485" s="16" t="s">
        <v>60</v>
      </c>
      <c r="E485" s="35">
        <v>3.3</v>
      </c>
      <c r="F485" s="35">
        <v>2.7</v>
      </c>
      <c r="G485" s="16" t="s">
        <v>44</v>
      </c>
      <c r="H485" s="16" t="s">
        <v>45</v>
      </c>
      <c r="I485" s="16">
        <f>COUNTIF(G$5:G485,"Y")/COUNTA(G$5:G485)</f>
        <v>0.86278586278586278</v>
      </c>
      <c r="J485" s="16">
        <f>COUNTIF(H$5:H485,"Y")/COUNTA(H$5:H485)</f>
        <v>5.4054054054054057E-2</v>
      </c>
      <c r="K485" s="16">
        <f>AVERAGE(F$5:F485)</f>
        <v>2.1873180873180877</v>
      </c>
      <c r="L485" s="16">
        <f>SUM(F$5:F485)/SUM(E$5:E485)</f>
        <v>0.74169897779344351</v>
      </c>
    </row>
    <row r="486" spans="1:12" x14ac:dyDescent="0.25">
      <c r="A486" s="29">
        <v>45709</v>
      </c>
      <c r="B486" s="16" t="s">
        <v>532</v>
      </c>
      <c r="C486" s="34">
        <v>1</v>
      </c>
      <c r="D486" s="16" t="s">
        <v>50</v>
      </c>
      <c r="E486" s="35">
        <v>2.5</v>
      </c>
      <c r="F486" s="35">
        <v>2.1</v>
      </c>
      <c r="G486" s="16" t="s">
        <v>44</v>
      </c>
      <c r="H486" s="16" t="s">
        <v>45</v>
      </c>
      <c r="I486" s="16">
        <f>COUNTIF(G$5:G486,"Y")/COUNTA(G$5:G486)</f>
        <v>0.86307053941908718</v>
      </c>
      <c r="J486" s="16">
        <f>COUNTIF(H$5:H486,"Y")/COUNTA(H$5:H486)</f>
        <v>5.3941908713692949E-2</v>
      </c>
      <c r="K486" s="16">
        <f>AVERAGE(F$5:F486)</f>
        <v>2.1871369294605811</v>
      </c>
      <c r="L486" s="16">
        <f>SUM(F$5:F486)/SUM(E$5:E486)</f>
        <v>0.74187192118226564</v>
      </c>
    </row>
    <row r="487" spans="1:12" x14ac:dyDescent="0.25">
      <c r="A487" s="29">
        <v>45705</v>
      </c>
      <c r="B487" s="16" t="s">
        <v>533</v>
      </c>
      <c r="C487" s="34">
        <v>1</v>
      </c>
      <c r="D487" s="16" t="s">
        <v>60</v>
      </c>
      <c r="E487" s="35">
        <v>3.9</v>
      </c>
      <c r="F487" s="35">
        <v>3</v>
      </c>
      <c r="G487" s="16" t="s">
        <v>44</v>
      </c>
      <c r="H487" s="16" t="s">
        <v>45</v>
      </c>
      <c r="I487" s="16">
        <f>COUNTIF(G$5:G487,"Y")/COUNTA(G$5:G487)</f>
        <v>0.86335403726708071</v>
      </c>
      <c r="J487" s="16">
        <f>COUNTIF(H$5:H487,"Y")/COUNTA(H$5:H487)</f>
        <v>5.3830227743271224E-2</v>
      </c>
      <c r="K487" s="16">
        <f>AVERAGE(F$5:F487)</f>
        <v>2.1888198757763977</v>
      </c>
      <c r="L487" s="16">
        <f>SUM(F$5:F487)/SUM(E$5:E487)</f>
        <v>0.74194680328444063</v>
      </c>
    </row>
    <row r="488" spans="1:12" x14ac:dyDescent="0.25">
      <c r="A488" s="29">
        <v>45706</v>
      </c>
      <c r="B488" s="16" t="s">
        <v>534</v>
      </c>
      <c r="C488" s="34">
        <v>1</v>
      </c>
      <c r="D488" s="16" t="s">
        <v>60</v>
      </c>
      <c r="E488" s="35">
        <v>2.2000000000000002</v>
      </c>
      <c r="F488" s="35">
        <v>1.6</v>
      </c>
      <c r="G488" s="16" t="s">
        <v>45</v>
      </c>
      <c r="H488" s="16" t="s">
        <v>45</v>
      </c>
      <c r="I488" s="16">
        <f>COUNTIF(G$5:G488,"Y")/COUNTA(G$5:G488)</f>
        <v>0.86157024793388426</v>
      </c>
      <c r="J488" s="16">
        <f>COUNTIF(H$5:H488,"Y")/COUNTA(H$5:H488)</f>
        <v>5.3719008264462811E-2</v>
      </c>
      <c r="K488" s="16">
        <f>AVERAGE(F$5:F488)</f>
        <v>2.1876033057851241</v>
      </c>
      <c r="L488" s="16">
        <f>SUM(F$5:F488)/SUM(E$5:E488)</f>
        <v>0.74192418190736409</v>
      </c>
    </row>
    <row r="489" spans="1:12" x14ac:dyDescent="0.25">
      <c r="A489" s="29">
        <v>45707</v>
      </c>
      <c r="B489" s="16" t="s">
        <v>535</v>
      </c>
      <c r="C489" s="34">
        <v>1</v>
      </c>
      <c r="D489" s="16" t="s">
        <v>52</v>
      </c>
      <c r="E489" s="35">
        <v>5.4</v>
      </c>
      <c r="F489" s="35">
        <v>3.7</v>
      </c>
      <c r="G489" s="16" t="s">
        <v>44</v>
      </c>
      <c r="H489" s="16" t="s">
        <v>45</v>
      </c>
      <c r="I489" s="16">
        <f>COUNTIF(G$5:G489,"Y")/COUNTA(G$5:G489)</f>
        <v>0.86185567010309283</v>
      </c>
      <c r="J489" s="16">
        <f>COUNTIF(H$5:H489,"Y")/COUNTA(H$5:H489)</f>
        <v>5.3608247422680409E-2</v>
      </c>
      <c r="K489" s="16">
        <f>AVERAGE(F$5:F489)</f>
        <v>2.1907216494845363</v>
      </c>
      <c r="L489" s="16">
        <f>SUM(F$5:F489)/SUM(E$5:E489)</f>
        <v>0.74171029668411825</v>
      </c>
    </row>
    <row r="490" spans="1:12" x14ac:dyDescent="0.25">
      <c r="A490" s="29">
        <v>45708</v>
      </c>
      <c r="B490" s="16" t="s">
        <v>536</v>
      </c>
      <c r="C490" s="34">
        <v>1</v>
      </c>
      <c r="D490" s="16" t="s">
        <v>64</v>
      </c>
      <c r="E490" s="35">
        <v>4.5999999999999996</v>
      </c>
      <c r="F490" s="35">
        <v>3.3</v>
      </c>
      <c r="G490" s="16" t="s">
        <v>44</v>
      </c>
      <c r="H490" s="16" t="s">
        <v>45</v>
      </c>
      <c r="I490" s="16">
        <f>COUNTIF(G$5:G490,"Y")/COUNTA(G$5:G490)</f>
        <v>0.86213991769547327</v>
      </c>
      <c r="J490" s="16">
        <f>COUNTIF(H$5:H490,"Y")/COUNTA(H$5:H490)</f>
        <v>5.3497942386831275E-2</v>
      </c>
      <c r="K490" s="16">
        <f>AVERAGE(F$5:F490)</f>
        <v>2.1930041152263375</v>
      </c>
      <c r="L490" s="16">
        <f>SUM(F$5:F490)/SUM(E$5:E490)</f>
        <v>0.74163245424813817</v>
      </c>
    </row>
    <row r="491" spans="1:12" x14ac:dyDescent="0.25">
      <c r="A491" s="29">
        <v>45709</v>
      </c>
      <c r="B491" s="16" t="s">
        <v>537</v>
      </c>
      <c r="C491" s="34">
        <v>1</v>
      </c>
      <c r="D491" s="16" t="s">
        <v>52</v>
      </c>
      <c r="E491" s="35">
        <v>4.3</v>
      </c>
      <c r="F491" s="35">
        <v>2.9</v>
      </c>
      <c r="G491" s="16" t="s">
        <v>44</v>
      </c>
      <c r="H491" s="16" t="s">
        <v>45</v>
      </c>
      <c r="I491" s="16">
        <f>COUNTIF(G$5:G491,"Y")/COUNTA(G$5:G491)</f>
        <v>0.86242299794661192</v>
      </c>
      <c r="J491" s="16">
        <f>COUNTIF(H$5:H491,"Y")/COUNTA(H$5:H491)</f>
        <v>5.3388090349075976E-2</v>
      </c>
      <c r="K491" s="16">
        <f>AVERAGE(F$5:F491)</f>
        <v>2.1944558521560578</v>
      </c>
      <c r="L491" s="16">
        <f>SUM(F$5:F491)/SUM(E$5:E491)</f>
        <v>0.74143194116830824</v>
      </c>
    </row>
    <row r="492" spans="1:12" x14ac:dyDescent="0.25">
      <c r="A492" s="29">
        <v>45705</v>
      </c>
      <c r="B492" s="16" t="s">
        <v>538</v>
      </c>
      <c r="C492" s="34">
        <v>1</v>
      </c>
      <c r="D492" s="16" t="s">
        <v>50</v>
      </c>
      <c r="E492" s="35">
        <v>2.6</v>
      </c>
      <c r="F492" s="35">
        <v>2.2000000000000002</v>
      </c>
      <c r="G492" s="16" t="s">
        <v>44</v>
      </c>
      <c r="H492" s="16" t="s">
        <v>45</v>
      </c>
      <c r="I492" s="16">
        <f>COUNTIF(G$5:G492,"Y")/COUNTA(G$5:G492)</f>
        <v>0.86270491803278693</v>
      </c>
      <c r="J492" s="16">
        <f>COUNTIF(H$5:H492,"Y")/COUNTA(H$5:H492)</f>
        <v>5.3278688524590161E-2</v>
      </c>
      <c r="K492" s="16">
        <f>AVERAGE(F$5:F492)</f>
        <v>2.1944672131147542</v>
      </c>
      <c r="L492" s="16">
        <f>SUM(F$5:F492)/SUM(E$5:E492)</f>
        <v>0.74162049861495816</v>
      </c>
    </row>
    <row r="493" spans="1:12" x14ac:dyDescent="0.25">
      <c r="A493" s="29">
        <v>45706</v>
      </c>
      <c r="B493" s="16" t="s">
        <v>539</v>
      </c>
      <c r="C493" s="34">
        <v>1</v>
      </c>
      <c r="D493" s="16" t="s">
        <v>56</v>
      </c>
      <c r="E493" s="35">
        <v>4.9000000000000004</v>
      </c>
      <c r="F493" s="35">
        <v>3.8</v>
      </c>
      <c r="G493" s="16" t="s">
        <v>44</v>
      </c>
      <c r="H493" s="16" t="s">
        <v>45</v>
      </c>
      <c r="I493" s="16">
        <f>COUNTIF(G$5:G493,"Y")/COUNTA(G$5:G493)</f>
        <v>0.86298568507157469</v>
      </c>
      <c r="J493" s="16">
        <f>COUNTIF(H$5:H493,"Y")/COUNTA(H$5:H493)</f>
        <v>5.3169734151329244E-2</v>
      </c>
      <c r="K493" s="16">
        <f>AVERAGE(F$5:F493)</f>
        <v>2.197750511247444</v>
      </c>
      <c r="L493" s="16">
        <f>SUM(F$5:F493)/SUM(E$5:E493)</f>
        <v>0.74173510939333254</v>
      </c>
    </row>
    <row r="494" spans="1:12" x14ac:dyDescent="0.25">
      <c r="A494" s="29">
        <v>45707</v>
      </c>
      <c r="B494" s="16" t="s">
        <v>540</v>
      </c>
      <c r="C494" s="34">
        <v>1</v>
      </c>
      <c r="D494" s="16" t="s">
        <v>50</v>
      </c>
      <c r="E494" s="35">
        <v>3.6</v>
      </c>
      <c r="F494" s="35">
        <v>2.4</v>
      </c>
      <c r="G494" s="16" t="s">
        <v>44</v>
      </c>
      <c r="H494" s="16" t="s">
        <v>45</v>
      </c>
      <c r="I494" s="16">
        <f>COUNTIF(G$5:G494,"Y")/COUNTA(G$5:G494)</f>
        <v>0.86326530612244901</v>
      </c>
      <c r="J494" s="16">
        <f>COUNTIF(H$5:H494,"Y")/COUNTA(H$5:H494)</f>
        <v>5.3061224489795916E-2</v>
      </c>
      <c r="K494" s="16">
        <f>AVERAGE(F$5:F494)</f>
        <v>2.1981632653061229</v>
      </c>
      <c r="L494" s="16">
        <f>SUM(F$5:F494)/SUM(E$5:E494)</f>
        <v>0.74154905335628207</v>
      </c>
    </row>
    <row r="495" spans="1:12" x14ac:dyDescent="0.25">
      <c r="A495" s="29">
        <v>45708</v>
      </c>
      <c r="B495" s="16" t="s">
        <v>541</v>
      </c>
      <c r="C495" s="34">
        <v>1</v>
      </c>
      <c r="D495" s="16" t="s">
        <v>56</v>
      </c>
      <c r="E495" s="35">
        <v>3.1</v>
      </c>
      <c r="F495" s="35">
        <v>2.2000000000000002</v>
      </c>
      <c r="G495" s="16" t="s">
        <v>44</v>
      </c>
      <c r="H495" s="16" t="s">
        <v>45</v>
      </c>
      <c r="I495" s="16">
        <f>COUNTIF(G$5:G495,"Y")/COUNTA(G$5:G495)</f>
        <v>0.86354378818737276</v>
      </c>
      <c r="J495" s="16">
        <f>COUNTIF(H$5:H495,"Y")/COUNTA(H$5:H495)</f>
        <v>5.2953156822810592E-2</v>
      </c>
      <c r="K495" s="16">
        <f>AVERAGE(F$5:F495)</f>
        <v>2.1981670061099798</v>
      </c>
      <c r="L495" s="16">
        <f>SUM(F$5:F495)/SUM(E$5:E495)</f>
        <v>0.74148117614729303</v>
      </c>
    </row>
    <row r="496" spans="1:12" x14ac:dyDescent="0.25">
      <c r="A496" s="29">
        <v>45709</v>
      </c>
      <c r="B496" s="16" t="s">
        <v>542</v>
      </c>
      <c r="C496" s="34">
        <v>1</v>
      </c>
      <c r="D496" s="16" t="s">
        <v>64</v>
      </c>
      <c r="E496" s="35">
        <v>5.2</v>
      </c>
      <c r="F496" s="35">
        <v>3.7</v>
      </c>
      <c r="G496" s="16" t="s">
        <v>44</v>
      </c>
      <c r="H496" s="16" t="s">
        <v>45</v>
      </c>
      <c r="I496" s="16">
        <f>COUNTIF(G$5:G496,"Y")/COUNTA(G$5:G496)</f>
        <v>0.86382113821138207</v>
      </c>
      <c r="J496" s="16">
        <f>COUNTIF(H$5:H496,"Y")/COUNTA(H$5:H496)</f>
        <v>5.2845528455284556E-2</v>
      </c>
      <c r="K496" s="16">
        <f>AVERAGE(F$5:F496)</f>
        <v>2.2012195121951224</v>
      </c>
      <c r="L496" s="16">
        <f>SUM(F$5:F496)/SUM(E$5:E496)</f>
        <v>0.7413745892661554</v>
      </c>
    </row>
    <row r="497" spans="1:13" x14ac:dyDescent="0.25">
      <c r="A497" s="29">
        <v>45705</v>
      </c>
      <c r="B497" s="16" t="s">
        <v>543</v>
      </c>
      <c r="C497" s="34">
        <v>1</v>
      </c>
      <c r="D497" s="16" t="s">
        <v>60</v>
      </c>
      <c r="E497" s="35">
        <v>4.9000000000000004</v>
      </c>
      <c r="F497" s="35">
        <v>3.4</v>
      </c>
      <c r="G497" s="16" t="s">
        <v>45</v>
      </c>
      <c r="H497" s="16" t="s">
        <v>45</v>
      </c>
      <c r="I497" s="16">
        <f>COUNTIF(G$5:G497,"Y")/COUNTA(G$5:G497)</f>
        <v>0.86206896551724133</v>
      </c>
      <c r="J497" s="16">
        <f>COUNTIF(H$5:H497,"Y")/COUNTA(H$5:H497)</f>
        <v>5.2738336713995942E-2</v>
      </c>
      <c r="K497" s="16">
        <f>AVERAGE(F$5:F497)</f>
        <v>2.203651115618662</v>
      </c>
      <c r="L497" s="16">
        <f>SUM(F$5:F497)/SUM(E$5:E497)</f>
        <v>0.74121580132359954</v>
      </c>
    </row>
    <row r="498" spans="1:13" x14ac:dyDescent="0.25">
      <c r="A498" s="29">
        <v>45706</v>
      </c>
      <c r="B498" s="16" t="s">
        <v>544</v>
      </c>
      <c r="C498" s="34">
        <v>1</v>
      </c>
      <c r="D498" s="16" t="s">
        <v>56</v>
      </c>
      <c r="E498" s="35">
        <v>4.5</v>
      </c>
      <c r="F498" s="35">
        <v>3.3</v>
      </c>
      <c r="G498" s="16" t="s">
        <v>44</v>
      </c>
      <c r="H498" s="16" t="s">
        <v>45</v>
      </c>
      <c r="I498" s="16">
        <f>COUNTIF(G$5:G498,"Y")/COUNTA(G$5:G498)</f>
        <v>0.86234817813765186</v>
      </c>
      <c r="J498" s="16">
        <f>COUNTIF(H$5:H498,"Y")/COUNTA(H$5:H498)</f>
        <v>5.2631578947368418E-2</v>
      </c>
      <c r="K498" s="16">
        <f>AVERAGE(F$5:F498)</f>
        <v>2.20587044534413</v>
      </c>
      <c r="L498" s="16">
        <f>SUM(F$5:F498)/SUM(E$5:E498)</f>
        <v>0.74119167460209479</v>
      </c>
    </row>
    <row r="499" spans="1:13" x14ac:dyDescent="0.25">
      <c r="A499" s="29">
        <v>45707</v>
      </c>
      <c r="B499" s="16" t="s">
        <v>545</v>
      </c>
      <c r="C499" s="34">
        <v>1</v>
      </c>
      <c r="D499" s="16" t="s">
        <v>43</v>
      </c>
      <c r="E499" s="35">
        <v>4</v>
      </c>
      <c r="F499" s="35">
        <v>2.8</v>
      </c>
      <c r="G499" s="16" t="s">
        <v>44</v>
      </c>
      <c r="H499" s="16" t="s">
        <v>44</v>
      </c>
      <c r="I499" s="16">
        <f>COUNTIF(G$5:G499,"Y")/COUNTA(G$5:G499)</f>
        <v>0.86262626262626263</v>
      </c>
      <c r="J499" s="16">
        <f>COUNTIF(H$5:H499,"Y")/COUNTA(H$5:H499)</f>
        <v>5.4545454545454543E-2</v>
      </c>
      <c r="K499" s="16">
        <f>AVERAGE(F$5:F499)</f>
        <v>2.2070707070707076</v>
      </c>
      <c r="L499" s="16">
        <f>SUM(F$5:F499)/SUM(E$5:E499)</f>
        <v>0.74107990774657417</v>
      </c>
    </row>
    <row r="500" spans="1:13" x14ac:dyDescent="0.25">
      <c r="A500" s="29">
        <v>45708</v>
      </c>
      <c r="B500" s="16" t="s">
        <v>546</v>
      </c>
      <c r="C500" s="34">
        <v>1</v>
      </c>
      <c r="D500" s="16" t="s">
        <v>50</v>
      </c>
      <c r="E500" s="35">
        <v>2</v>
      </c>
      <c r="F500" s="35">
        <v>1.7</v>
      </c>
      <c r="G500" s="16" t="s">
        <v>44</v>
      </c>
      <c r="H500" s="16" t="s">
        <v>44</v>
      </c>
      <c r="I500" s="16">
        <f>COUNTIF(G$5:G500,"Y")/COUNTA(G$5:G500)</f>
        <v>0.86290322580645162</v>
      </c>
      <c r="J500" s="16">
        <f>COUNTIF(H$5:H500,"Y")/COUNTA(H$5:H500)</f>
        <v>5.6451612903225805E-2</v>
      </c>
      <c r="K500" s="16">
        <f>AVERAGE(F$5:F500)</f>
        <v>2.2060483870967746</v>
      </c>
      <c r="L500" s="16">
        <f>SUM(F$5:F500)/SUM(E$5:E500)</f>
        <v>0.74122747595176786</v>
      </c>
    </row>
    <row r="501" spans="1:13" x14ac:dyDescent="0.25">
      <c r="A501" s="29">
        <v>45709</v>
      </c>
      <c r="B501" s="16" t="s">
        <v>547</v>
      </c>
      <c r="C501" s="34">
        <v>1</v>
      </c>
      <c r="D501" s="16" t="s">
        <v>50</v>
      </c>
      <c r="E501" s="35">
        <v>0.5</v>
      </c>
      <c r="F501" s="35">
        <v>0.5</v>
      </c>
      <c r="G501" s="16" t="s">
        <v>44</v>
      </c>
      <c r="H501" s="16" t="s">
        <v>45</v>
      </c>
      <c r="I501" s="16">
        <f>COUNTIF(G$5:G501,"Y")/COUNTA(G$5:G501)</f>
        <v>0.86317907444668007</v>
      </c>
      <c r="J501" s="16">
        <f>COUNTIF(H$5:H501,"Y")/COUNTA(H$5:H501)</f>
        <v>5.6338028169014086E-2</v>
      </c>
      <c r="K501" s="16">
        <f>AVERAGE(F$5:F501)</f>
        <v>2.2026156941649906</v>
      </c>
      <c r="L501" s="16">
        <f>SUM(F$5:F501)/SUM(E$5:E501)</f>
        <v>0.7413150944673933</v>
      </c>
    </row>
    <row r="502" spans="1:13" x14ac:dyDescent="0.25">
      <c r="A502" s="29">
        <v>45705</v>
      </c>
      <c r="B502" s="16" t="s">
        <v>548</v>
      </c>
      <c r="C502" s="34">
        <v>1</v>
      </c>
      <c r="D502" s="16" t="s">
        <v>47</v>
      </c>
      <c r="E502" s="35">
        <v>0.5</v>
      </c>
      <c r="F502" s="35">
        <v>0.5</v>
      </c>
      <c r="G502" s="16" t="s">
        <v>45</v>
      </c>
      <c r="H502" s="16" t="s">
        <v>45</v>
      </c>
      <c r="I502" s="16">
        <f>COUNTIF(G$5:G502,"Y")/COUNTA(G$5:G502)</f>
        <v>0.86144578313253017</v>
      </c>
      <c r="J502" s="16">
        <f>COUNTIF(H$5:H502,"Y")/COUNTA(H$5:H502)</f>
        <v>5.6224899598393573E-2</v>
      </c>
      <c r="K502" s="16">
        <f>AVERAGE(F$5:F502)</f>
        <v>2.1991967871485949</v>
      </c>
      <c r="L502" s="16">
        <f>SUM(F$5:F502)/SUM(E$5:E502)</f>
        <v>0.74140265366910352</v>
      </c>
    </row>
    <row r="503" spans="1:13" x14ac:dyDescent="0.25">
      <c r="A503" s="29">
        <v>45706</v>
      </c>
      <c r="B503" s="16" t="s">
        <v>549</v>
      </c>
      <c r="C503" s="34">
        <v>1</v>
      </c>
      <c r="D503" s="16" t="s">
        <v>60</v>
      </c>
      <c r="E503" s="35">
        <v>0.5</v>
      </c>
      <c r="F503" s="35">
        <v>0.5</v>
      </c>
      <c r="G503" s="16" t="s">
        <v>44</v>
      </c>
      <c r="H503" s="16" t="s">
        <v>45</v>
      </c>
      <c r="I503" s="16">
        <f>COUNTIF(G$5:G503,"Y")/COUNTA(G$5:G503)</f>
        <v>0.86172344689378755</v>
      </c>
      <c r="J503" s="16">
        <f>COUNTIF(H$5:H503,"Y")/COUNTA(H$5:H503)</f>
        <v>5.6112224448897796E-2</v>
      </c>
      <c r="K503" s="16">
        <f>AVERAGE(F$5:F503)</f>
        <v>2.1957915831663333</v>
      </c>
      <c r="L503" s="16">
        <f>SUM(F$5:F503)/SUM(E$5:E503)</f>
        <v>0.74149015361710746</v>
      </c>
    </row>
    <row r="504" spans="1:13" x14ac:dyDescent="0.25">
      <c r="A504" s="29">
        <v>45707</v>
      </c>
      <c r="B504" s="16" t="s">
        <v>550</v>
      </c>
      <c r="C504" s="34">
        <v>1</v>
      </c>
      <c r="D504" s="16" t="s">
        <v>60</v>
      </c>
      <c r="E504" s="35">
        <v>0.5</v>
      </c>
      <c r="F504" s="35">
        <v>0.5</v>
      </c>
      <c r="G504" s="16" t="s">
        <v>44</v>
      </c>
      <c r="H504" s="16" t="s">
        <v>45</v>
      </c>
      <c r="I504" s="16">
        <f>COUNTIF(G$5:G504,"Y")/COUNTA(G$5:G504)</f>
        <v>0.86199999999999999</v>
      </c>
      <c r="J504" s="16">
        <f>COUNTIF(H$5:H504,"Y")/COUNTA(H$5:H504)</f>
        <v>5.6000000000000001E-2</v>
      </c>
      <c r="K504" s="16">
        <f>AVERAGE(F$5:F504)</f>
        <v>2.1924000000000006</v>
      </c>
      <c r="L504" s="16">
        <f>SUM(F$5:F504)/SUM(E$5:E504)</f>
        <v>0.74157759437153281</v>
      </c>
    </row>
    <row r="505" spans="1:13" x14ac:dyDescent="0.25">
      <c r="A505" s="29">
        <v>45708</v>
      </c>
      <c r="B505" s="16" t="s">
        <v>551</v>
      </c>
      <c r="C505" s="34">
        <v>1</v>
      </c>
      <c r="D505" s="16" t="s">
        <v>64</v>
      </c>
      <c r="E505" s="35">
        <v>0.5</v>
      </c>
      <c r="F505" s="35">
        <v>0.5</v>
      </c>
      <c r="G505" s="16" t="s">
        <v>44</v>
      </c>
      <c r="H505" s="16" t="s">
        <v>45</v>
      </c>
      <c r="I505" s="16">
        <f>COUNTIF(G$5:G505,"Y")/COUNTA(G$5:G505)</f>
        <v>0.86227544910179643</v>
      </c>
      <c r="J505" s="16">
        <f>COUNTIF(H$5:H505,"Y")/COUNTA(H$5:H505)</f>
        <v>5.588822355289421E-2</v>
      </c>
      <c r="K505" s="16">
        <f>AVERAGE(F$5:F505)</f>
        <v>2.1890219560878248</v>
      </c>
      <c r="L505" s="16">
        <f>SUM(F$5:F505)/SUM(E$5:E505)</f>
        <v>0.74166497599242565</v>
      </c>
    </row>
    <row r="506" spans="1:13" x14ac:dyDescent="0.25">
      <c r="A506" s="29">
        <v>45709</v>
      </c>
      <c r="B506" s="16" t="s">
        <v>552</v>
      </c>
      <c r="C506" s="34">
        <v>1</v>
      </c>
      <c r="D506" s="16" t="s">
        <v>56</v>
      </c>
      <c r="E506" s="35">
        <v>0.5</v>
      </c>
      <c r="F506" s="35">
        <v>0.5</v>
      </c>
      <c r="G506" s="16" t="s">
        <v>44</v>
      </c>
      <c r="H506" s="16" t="s">
        <v>45</v>
      </c>
      <c r="I506" s="16">
        <f>COUNTIF(G$5:G506,"Y")/COUNTA(G$5:G506)</f>
        <v>0.86254980079681276</v>
      </c>
      <c r="J506" s="16">
        <f>COUNTIF(H$5:H506,"Y")/COUNTA(H$5:H506)</f>
        <v>5.5776892430278883E-2</v>
      </c>
      <c r="K506" s="16">
        <f>AVERAGE(F$5:F506)</f>
        <v>2.1856573705179287</v>
      </c>
      <c r="L506" s="16">
        <f>SUM(F$5:F506)/SUM(E$5:E506)</f>
        <v>0.741752298539751</v>
      </c>
    </row>
    <row r="507" spans="1:13" x14ac:dyDescent="0.25">
      <c r="A507" s="29">
        <v>45705</v>
      </c>
      <c r="B507" s="16" t="s">
        <v>553</v>
      </c>
      <c r="C507" s="34">
        <v>1</v>
      </c>
      <c r="D507" s="16" t="s">
        <v>64</v>
      </c>
      <c r="E507" s="35">
        <v>0.5</v>
      </c>
      <c r="F507" s="35">
        <v>0.5</v>
      </c>
      <c r="G507" s="16" t="s">
        <v>44</v>
      </c>
      <c r="H507" s="16" t="s">
        <v>45</v>
      </c>
      <c r="I507" s="16">
        <f>COUNTIF(G$5:G507,"Y")/COUNTA(G$5:G507)</f>
        <v>0.86282306163021871</v>
      </c>
      <c r="J507" s="16">
        <f>COUNTIF(H$5:H507,"Y")/COUNTA(H$5:H507)</f>
        <v>5.5666003976143144E-2</v>
      </c>
      <c r="K507" s="16">
        <f>AVERAGE(F$5:F507)</f>
        <v>2.1823061630218694</v>
      </c>
      <c r="L507" s="16">
        <f>SUM(F$5:F507)/SUM(E$5:E507)</f>
        <v>0.74183956207339308</v>
      </c>
    </row>
    <row r="508" spans="1:13" x14ac:dyDescent="0.25">
      <c r="A508" s="29">
        <v>45706</v>
      </c>
      <c r="B508" s="16" t="s">
        <v>554</v>
      </c>
      <c r="C508" s="34">
        <v>1</v>
      </c>
      <c r="D508" s="16" t="s">
        <v>64</v>
      </c>
      <c r="E508" s="35">
        <v>0.5</v>
      </c>
      <c r="F508" s="35">
        <v>0.5</v>
      </c>
      <c r="G508" s="16" t="s">
        <v>44</v>
      </c>
      <c r="H508" s="16" t="s">
        <v>45</v>
      </c>
      <c r="I508" s="16">
        <f>COUNTIF(G$5:G508,"Y")/COUNTA(G$5:G508)</f>
        <v>0.86309523809523814</v>
      </c>
      <c r="J508" s="16">
        <f>COUNTIF(H$5:H508,"Y")/COUNTA(H$5:H508)</f>
        <v>5.5555555555555552E-2</v>
      </c>
      <c r="K508" s="16">
        <f>AVERAGE(F$5:F508)</f>
        <v>2.1789682539682547</v>
      </c>
      <c r="L508" s="16">
        <f>SUM(F$5:F508)/SUM(E$5:E508)</f>
        <v>0.74192676665315482</v>
      </c>
    </row>
    <row r="509" spans="1:13" x14ac:dyDescent="0.25">
      <c r="A509" s="29">
        <v>45707</v>
      </c>
      <c r="B509" s="16" t="s">
        <v>555</v>
      </c>
      <c r="C509" s="34">
        <v>1</v>
      </c>
      <c r="D509" s="16" t="s">
        <v>43</v>
      </c>
      <c r="E509" s="35">
        <v>0.5</v>
      </c>
      <c r="F509" s="35">
        <v>0.5</v>
      </c>
      <c r="G509" s="16" t="s">
        <v>44</v>
      </c>
      <c r="H509" s="16" t="s">
        <v>45</v>
      </c>
      <c r="I509" s="16">
        <f>COUNTIF(G$5:G509,"Y")/COUNTA(G$5:G509)</f>
        <v>0.86336633663366336</v>
      </c>
      <c r="J509" s="16">
        <f>COUNTIF(H$5:H509,"Y")/COUNTA(H$5:H509)</f>
        <v>5.5445544554455446E-2</v>
      </c>
      <c r="K509" s="16">
        <f>AVERAGE(F$5:F509)</f>
        <v>2.1756435643564362</v>
      </c>
      <c r="L509" s="16">
        <f>SUM(F$5:F509)/SUM(E$5:E509)</f>
        <v>0.74201391233875846</v>
      </c>
      <c r="M509" s="16">
        <v>11</v>
      </c>
    </row>
    <row r="510" spans="1:13" x14ac:dyDescent="0.25">
      <c r="A510" s="29">
        <v>45712</v>
      </c>
      <c r="B510" s="16" t="s">
        <v>556</v>
      </c>
      <c r="C510" s="34">
        <v>1</v>
      </c>
      <c r="D510" s="16" t="s">
        <v>64</v>
      </c>
      <c r="E510" s="35">
        <v>3</v>
      </c>
      <c r="F510" s="35">
        <v>2.6</v>
      </c>
      <c r="G510" s="16" t="s">
        <v>44</v>
      </c>
      <c r="H510" s="16" t="s">
        <v>45</v>
      </c>
      <c r="I510" s="16">
        <f>COUNTIF(G$5:G510,"Y")/COUNTA(G$5:G510)</f>
        <v>0.86363636363636365</v>
      </c>
      <c r="J510" s="16">
        <f>COUNTIF(H$5:H510,"Y")/COUNTA(H$5:H510)</f>
        <v>5.533596837944664E-2</v>
      </c>
      <c r="K510" s="16">
        <f>AVERAGE(F$5:F510)</f>
        <v>2.1764822134387356</v>
      </c>
      <c r="L510" s="16">
        <f>SUM(F$5:F510)/SUM(E$5:E510)</f>
        <v>0.74226595672979689</v>
      </c>
    </row>
    <row r="511" spans="1:13" x14ac:dyDescent="0.25">
      <c r="A511" s="29">
        <v>45713</v>
      </c>
      <c r="B511" s="16" t="s">
        <v>557</v>
      </c>
      <c r="C511" s="34">
        <v>1</v>
      </c>
      <c r="D511" s="16" t="s">
        <v>56</v>
      </c>
      <c r="E511" s="35">
        <v>2.7</v>
      </c>
      <c r="F511" s="35">
        <v>2</v>
      </c>
      <c r="G511" s="16" t="s">
        <v>44</v>
      </c>
      <c r="H511" s="16" t="s">
        <v>45</v>
      </c>
      <c r="I511" s="16">
        <f>COUNTIF(G$5:G511,"Y")/COUNTA(G$5:G511)</f>
        <v>0.86390532544378695</v>
      </c>
      <c r="J511" s="16">
        <f>COUNTIF(H$5:H511,"Y")/COUNTA(H$5:H511)</f>
        <v>5.5226824457593686E-2</v>
      </c>
      <c r="K511" s="16">
        <f>AVERAGE(F$5:F511)</f>
        <v>2.1761341222879689</v>
      </c>
      <c r="L511" s="16">
        <f>SUM(F$5:F511)/SUM(E$5:E511)</f>
        <v>0.74226318622174359</v>
      </c>
    </row>
    <row r="512" spans="1:13" x14ac:dyDescent="0.25">
      <c r="A512" s="29">
        <v>45714</v>
      </c>
      <c r="B512" s="16" t="s">
        <v>558</v>
      </c>
      <c r="C512" s="34">
        <v>1</v>
      </c>
      <c r="D512" s="16" t="s">
        <v>47</v>
      </c>
      <c r="E512" s="35">
        <v>2.8</v>
      </c>
      <c r="F512" s="35">
        <v>2.1</v>
      </c>
      <c r="G512" s="16" t="s">
        <v>44</v>
      </c>
      <c r="H512" s="16" t="s">
        <v>45</v>
      </c>
      <c r="I512" s="16">
        <f>COUNTIF(G$5:G512,"Y")/COUNTA(G$5:G512)</f>
        <v>0.86417322834645671</v>
      </c>
      <c r="J512" s="16">
        <f>COUNTIF(H$5:H512,"Y")/COUNTA(H$5:H512)</f>
        <v>5.5118110236220472E-2</v>
      </c>
      <c r="K512" s="16">
        <f>AVERAGE(F$5:F512)</f>
        <v>2.175984251968504</v>
      </c>
      <c r="L512" s="16">
        <f>SUM(F$5:F512)/SUM(E$5:E512)</f>
        <v>0.7422777330110123</v>
      </c>
    </row>
    <row r="513" spans="1:12" x14ac:dyDescent="0.25">
      <c r="A513" s="29">
        <v>45715</v>
      </c>
      <c r="B513" s="16" t="s">
        <v>559</v>
      </c>
      <c r="C513" s="34">
        <v>1</v>
      </c>
      <c r="D513" s="16" t="s">
        <v>43</v>
      </c>
      <c r="E513" s="35">
        <v>3.8</v>
      </c>
      <c r="F513" s="35">
        <v>3</v>
      </c>
      <c r="G513" s="16" t="s">
        <v>44</v>
      </c>
      <c r="H513" s="16" t="s">
        <v>45</v>
      </c>
      <c r="I513" s="16">
        <f>COUNTIF(G$5:G513,"Y")/COUNTA(G$5:G513)</f>
        <v>0.86444007858546168</v>
      </c>
      <c r="J513" s="16">
        <f>COUNTIF(H$5:H513,"Y")/COUNTA(H$5:H513)</f>
        <v>5.50098231827112E-2</v>
      </c>
      <c r="K513" s="16">
        <f>AVERAGE(F$5:F513)</f>
        <v>2.1776031434184677</v>
      </c>
      <c r="L513" s="16">
        <f>SUM(F$5:F513)/SUM(E$5:E513)</f>
        <v>0.7423978566644337</v>
      </c>
    </row>
    <row r="514" spans="1:12" x14ac:dyDescent="0.25">
      <c r="A514" s="29">
        <v>45716</v>
      </c>
      <c r="B514" s="16" t="s">
        <v>560</v>
      </c>
      <c r="C514" s="34">
        <v>1</v>
      </c>
      <c r="D514" s="16" t="s">
        <v>52</v>
      </c>
      <c r="E514" s="35">
        <v>2.2999999999999998</v>
      </c>
      <c r="F514" s="35">
        <v>1.9</v>
      </c>
      <c r="G514" s="16" t="s">
        <v>44</v>
      </c>
      <c r="H514" s="16" t="s">
        <v>45</v>
      </c>
      <c r="I514" s="16">
        <f>COUNTIF(G$5:G514,"Y")/COUNTA(G$5:G514)</f>
        <v>0.86470588235294121</v>
      </c>
      <c r="J514" s="16">
        <f>COUNTIF(H$5:H514,"Y")/COUNTA(H$5:H514)</f>
        <v>5.4901960784313725E-2</v>
      </c>
      <c r="K514" s="16">
        <f>AVERAGE(F$5:F514)</f>
        <v>2.1770588235294119</v>
      </c>
      <c r="L514" s="16">
        <f>SUM(F$5:F514)/SUM(E$5:E514)</f>
        <v>0.74252658329432197</v>
      </c>
    </row>
    <row r="515" spans="1:12" x14ac:dyDescent="0.25">
      <c r="A515" s="29">
        <v>45712</v>
      </c>
      <c r="B515" s="16" t="s">
        <v>561</v>
      </c>
      <c r="C515" s="34">
        <v>1</v>
      </c>
      <c r="D515" s="16" t="s">
        <v>43</v>
      </c>
      <c r="E515" s="35">
        <v>3</v>
      </c>
      <c r="F515" s="35">
        <v>2.5</v>
      </c>
      <c r="G515" s="16" t="s">
        <v>44</v>
      </c>
      <c r="H515" s="16" t="s">
        <v>45</v>
      </c>
      <c r="I515" s="16">
        <f>COUNTIF(G$5:G515,"Y")/COUNTA(G$5:G515)</f>
        <v>0.86497064579256355</v>
      </c>
      <c r="J515" s="16">
        <f>COUNTIF(H$5:H515,"Y")/COUNTA(H$5:H515)</f>
        <v>5.4794520547945202E-2</v>
      </c>
      <c r="K515" s="16">
        <f>AVERAGE(F$5:F515)</f>
        <v>2.1776908023483368</v>
      </c>
      <c r="L515" s="16">
        <f>SUM(F$5:F515)/SUM(E$5:E515)</f>
        <v>0.74270840285657058</v>
      </c>
    </row>
    <row r="516" spans="1:12" x14ac:dyDescent="0.25">
      <c r="A516" s="29">
        <v>45713</v>
      </c>
      <c r="B516" s="16" t="s">
        <v>562</v>
      </c>
      <c r="C516" s="34">
        <v>1</v>
      </c>
      <c r="D516" s="16" t="s">
        <v>64</v>
      </c>
      <c r="E516" s="35">
        <v>2.5</v>
      </c>
      <c r="F516" s="35">
        <v>1.7</v>
      </c>
      <c r="G516" s="16" t="s">
        <v>44</v>
      </c>
      <c r="H516" s="16" t="s">
        <v>45</v>
      </c>
      <c r="I516" s="16">
        <f>COUNTIF(G$5:G516,"Y")/COUNTA(G$5:G516)</f>
        <v>0.865234375</v>
      </c>
      <c r="J516" s="16">
        <f>COUNTIF(H$5:H516,"Y")/COUNTA(H$5:H516)</f>
        <v>5.46875E-2</v>
      </c>
      <c r="K516" s="16">
        <f>AVERAGE(F$5:F516)</f>
        <v>2.1767578125000004</v>
      </c>
      <c r="L516" s="16">
        <f>SUM(F$5:F516)/SUM(E$5:E516)</f>
        <v>0.74260394456289958</v>
      </c>
    </row>
    <row r="517" spans="1:12" x14ac:dyDescent="0.25">
      <c r="A517" s="29">
        <v>45714</v>
      </c>
      <c r="B517" s="16" t="s">
        <v>563</v>
      </c>
      <c r="C517" s="34">
        <v>1</v>
      </c>
      <c r="D517" s="16" t="s">
        <v>52</v>
      </c>
      <c r="E517" s="35">
        <v>1.8</v>
      </c>
      <c r="F517" s="35">
        <v>1.4</v>
      </c>
      <c r="G517" s="16" t="s">
        <v>44</v>
      </c>
      <c r="H517" s="16" t="s">
        <v>45</v>
      </c>
      <c r="I517" s="16">
        <f>COUNTIF(G$5:G517,"Y")/COUNTA(G$5:G517)</f>
        <v>0.86549707602339176</v>
      </c>
      <c r="J517" s="16">
        <f>COUNTIF(H$5:H517,"Y")/COUNTA(H$5:H517)</f>
        <v>5.4580896686159841E-2</v>
      </c>
      <c r="K517" s="16">
        <f>AVERAGE(F$5:F517)</f>
        <v>2.1752436647173496</v>
      </c>
      <c r="L517" s="16">
        <f>SUM(F$5:F517)/SUM(E$5:E517)</f>
        <v>0.74264608012777844</v>
      </c>
    </row>
    <row r="518" spans="1:12" x14ac:dyDescent="0.25">
      <c r="A518" s="29">
        <v>45715</v>
      </c>
      <c r="B518" s="16" t="s">
        <v>564</v>
      </c>
      <c r="C518" s="34">
        <v>1</v>
      </c>
      <c r="D518" s="16" t="s">
        <v>50</v>
      </c>
      <c r="E518" s="35">
        <v>1.5</v>
      </c>
      <c r="F518" s="35">
        <v>1.2</v>
      </c>
      <c r="G518" s="16" t="s">
        <v>45</v>
      </c>
      <c r="H518" s="16" t="s">
        <v>45</v>
      </c>
      <c r="I518" s="16">
        <f>COUNTIF(G$5:G518,"Y")/COUNTA(G$5:G518)</f>
        <v>0.86381322957198448</v>
      </c>
      <c r="J518" s="16">
        <f>COUNTIF(H$5:H518,"Y")/COUNTA(H$5:H518)</f>
        <v>5.4474708171206226E-2</v>
      </c>
      <c r="K518" s="16">
        <f>AVERAGE(F$5:F518)</f>
        <v>2.1733463035019462</v>
      </c>
      <c r="L518" s="16">
        <f>SUM(F$5:F518)/SUM(E$5:E518)</f>
        <v>0.74270327770759914</v>
      </c>
    </row>
    <row r="519" spans="1:12" x14ac:dyDescent="0.25">
      <c r="A519" s="29">
        <v>45716</v>
      </c>
      <c r="B519" s="16" t="s">
        <v>565</v>
      </c>
      <c r="C519" s="34">
        <v>1</v>
      </c>
      <c r="D519" s="16" t="s">
        <v>60</v>
      </c>
      <c r="E519" s="35">
        <v>2.9</v>
      </c>
      <c r="F519" s="35">
        <v>2.2000000000000002</v>
      </c>
      <c r="G519" s="16" t="s">
        <v>44</v>
      </c>
      <c r="H519" s="16" t="s">
        <v>44</v>
      </c>
      <c r="I519" s="16">
        <f>COUNTIF(G$5:G519,"Y")/COUNTA(G$5:G519)</f>
        <v>0.86407766990291257</v>
      </c>
      <c r="J519" s="16">
        <f>COUNTIF(H$5:H519,"Y")/COUNTA(H$5:H519)</f>
        <v>5.6310679611650483E-2</v>
      </c>
      <c r="K519" s="16">
        <f>AVERAGE(F$5:F519)</f>
        <v>2.1733980582524279</v>
      </c>
      <c r="L519" s="16">
        <f>SUM(F$5:F519)/SUM(E$5:E519)</f>
        <v>0.742733908427339</v>
      </c>
    </row>
    <row r="520" spans="1:12" x14ac:dyDescent="0.25">
      <c r="A520" s="29">
        <v>45712</v>
      </c>
      <c r="B520" s="16" t="s">
        <v>566</v>
      </c>
      <c r="C520" s="34">
        <v>1</v>
      </c>
      <c r="D520" s="16" t="s">
        <v>52</v>
      </c>
      <c r="E520" s="35">
        <v>2.6</v>
      </c>
      <c r="F520" s="35">
        <v>2.1</v>
      </c>
      <c r="G520" s="16" t="s">
        <v>44</v>
      </c>
      <c r="H520" s="16" t="s">
        <v>45</v>
      </c>
      <c r="I520" s="16">
        <f>COUNTIF(G$5:G520,"Y")/COUNTA(G$5:G520)</f>
        <v>0.86434108527131781</v>
      </c>
      <c r="J520" s="16">
        <f>COUNTIF(H$5:H520,"Y")/COUNTA(H$5:H520)</f>
        <v>5.6201550387596902E-2</v>
      </c>
      <c r="K520" s="16">
        <f>AVERAGE(F$5:F520)</f>
        <v>2.1732558139534888</v>
      </c>
      <c r="L520" s="16">
        <f>SUM(F$5:F520)/SUM(E$5:E520)</f>
        <v>0.74284578696343395</v>
      </c>
    </row>
    <row r="521" spans="1:12" x14ac:dyDescent="0.25">
      <c r="A521" s="29">
        <v>45713</v>
      </c>
      <c r="B521" s="16" t="s">
        <v>567</v>
      </c>
      <c r="C521" s="34">
        <v>1</v>
      </c>
      <c r="D521" s="16" t="s">
        <v>47</v>
      </c>
      <c r="E521" s="35">
        <v>2.2999999999999998</v>
      </c>
      <c r="F521" s="35">
        <v>2</v>
      </c>
      <c r="G521" s="16" t="s">
        <v>44</v>
      </c>
      <c r="H521" s="16" t="s">
        <v>45</v>
      </c>
      <c r="I521" s="16">
        <f>COUNTIF(G$5:G521,"Y")/COUNTA(G$5:G521)</f>
        <v>0.8646034816247582</v>
      </c>
      <c r="J521" s="16">
        <f>COUNTIF(H$5:H521,"Y")/COUNTA(H$5:H521)</f>
        <v>5.6092843326885883E-2</v>
      </c>
      <c r="K521" s="16">
        <f>AVERAGE(F$5:F521)</f>
        <v>2.1729206963249523</v>
      </c>
      <c r="L521" s="16">
        <f>SUM(F$5:F521)/SUM(E$5:E521)</f>
        <v>0.74303856075137242</v>
      </c>
    </row>
    <row r="522" spans="1:12" x14ac:dyDescent="0.25">
      <c r="A522" s="29">
        <v>45714</v>
      </c>
      <c r="B522" s="16" t="s">
        <v>568</v>
      </c>
      <c r="C522" s="34">
        <v>1</v>
      </c>
      <c r="D522" s="16" t="s">
        <v>60</v>
      </c>
      <c r="E522" s="35">
        <v>2.9</v>
      </c>
      <c r="F522" s="35">
        <v>2.2999999999999998</v>
      </c>
      <c r="G522" s="16" t="s">
        <v>44</v>
      </c>
      <c r="H522" s="16" t="s">
        <v>45</v>
      </c>
      <c r="I522" s="16">
        <f>COUNTIF(G$5:G522,"Y")/COUNTA(G$5:G522)</f>
        <v>0.86486486486486491</v>
      </c>
      <c r="J522" s="16">
        <f>COUNTIF(H$5:H522,"Y")/COUNTA(H$5:H522)</f>
        <v>5.5984555984555984E-2</v>
      </c>
      <c r="K522" s="16">
        <f>AVERAGE(F$5:F522)</f>
        <v>2.1731660231660235</v>
      </c>
      <c r="L522" s="16">
        <f>SUM(F$5:F522)/SUM(E$5:E522)</f>
        <v>0.74313440718246615</v>
      </c>
    </row>
    <row r="523" spans="1:12" x14ac:dyDescent="0.25">
      <c r="A523" s="29">
        <v>45715</v>
      </c>
      <c r="B523" s="16" t="s">
        <v>569</v>
      </c>
      <c r="C523" s="34">
        <v>1</v>
      </c>
      <c r="D523" s="16" t="s">
        <v>47</v>
      </c>
      <c r="E523" s="35">
        <v>3.6</v>
      </c>
      <c r="F523" s="35">
        <v>2.5</v>
      </c>
      <c r="G523" s="16" t="s">
        <v>44</v>
      </c>
      <c r="H523" s="16" t="s">
        <v>45</v>
      </c>
      <c r="I523" s="16">
        <f>COUNTIF(G$5:G523,"Y")/COUNTA(G$5:G523)</f>
        <v>0.86512524084778419</v>
      </c>
      <c r="J523" s="16">
        <f>COUNTIF(H$5:H523,"Y")/COUNTA(H$5:H523)</f>
        <v>5.5876685934489405E-2</v>
      </c>
      <c r="K523" s="16">
        <f>AVERAGE(F$5:F523)</f>
        <v>2.1737957610789986</v>
      </c>
      <c r="L523" s="16">
        <f>SUM(F$5:F523)/SUM(E$5:E523)</f>
        <v>0.74301896733403572</v>
      </c>
    </row>
    <row r="524" spans="1:12" x14ac:dyDescent="0.25">
      <c r="A524" s="29">
        <v>45716</v>
      </c>
      <c r="B524" s="16" t="s">
        <v>570</v>
      </c>
      <c r="C524" s="34">
        <v>1</v>
      </c>
      <c r="D524" s="16" t="s">
        <v>56</v>
      </c>
      <c r="E524" s="35">
        <v>1.5</v>
      </c>
      <c r="F524" s="35">
        <v>1.2</v>
      </c>
      <c r="G524" s="16" t="s">
        <v>44</v>
      </c>
      <c r="H524" s="16" t="s">
        <v>45</v>
      </c>
      <c r="I524" s="16">
        <f>COUNTIF(G$5:G524,"Y")/COUNTA(G$5:G524)</f>
        <v>0.86538461538461542</v>
      </c>
      <c r="J524" s="16">
        <f>COUNTIF(H$5:H524,"Y")/COUNTA(H$5:H524)</f>
        <v>5.5769230769230772E-2</v>
      </c>
      <c r="K524" s="16">
        <f>AVERAGE(F$5:F524)</f>
        <v>2.1719230769230777</v>
      </c>
      <c r="L524" s="16">
        <f>SUM(F$5:F524)/SUM(E$5:E524)</f>
        <v>0.74307520231594182</v>
      </c>
    </row>
    <row r="525" spans="1:12" x14ac:dyDescent="0.25">
      <c r="A525" s="29">
        <v>45712</v>
      </c>
      <c r="B525" s="16" t="s">
        <v>571</v>
      </c>
      <c r="C525" s="34">
        <v>1</v>
      </c>
      <c r="D525" s="16" t="s">
        <v>56</v>
      </c>
      <c r="E525" s="35">
        <v>3.1</v>
      </c>
      <c r="F525" s="35">
        <v>2.7</v>
      </c>
      <c r="G525" s="16" t="s">
        <v>44</v>
      </c>
      <c r="H525" s="16" t="s">
        <v>45</v>
      </c>
      <c r="I525" s="16">
        <f>COUNTIF(G$5:G525,"Y")/COUNTA(G$5:G525)</f>
        <v>0.86564299424184266</v>
      </c>
      <c r="J525" s="16">
        <f>COUNTIF(H$5:H525,"Y")/COUNTA(H$5:H525)</f>
        <v>5.5662188099808059E-2</v>
      </c>
      <c r="K525" s="16">
        <f>AVERAGE(F$5:F525)</f>
        <v>2.1729366602687148</v>
      </c>
      <c r="L525" s="16">
        <f>SUM(F$5:F525)/SUM(E$5:E525)</f>
        <v>0.74333552199606046</v>
      </c>
    </row>
    <row r="526" spans="1:12" x14ac:dyDescent="0.25">
      <c r="A526" s="29">
        <v>45713</v>
      </c>
      <c r="B526" s="16" t="s">
        <v>572</v>
      </c>
      <c r="C526" s="34">
        <v>1</v>
      </c>
      <c r="D526" s="16" t="s">
        <v>52</v>
      </c>
      <c r="E526" s="35">
        <v>1.7</v>
      </c>
      <c r="F526" s="35">
        <v>1.2</v>
      </c>
      <c r="G526" s="16" t="s">
        <v>44</v>
      </c>
      <c r="H526" s="16" t="s">
        <v>45</v>
      </c>
      <c r="I526" s="16">
        <f>COUNTIF(G$5:G526,"Y")/COUNTA(G$5:G526)</f>
        <v>0.86590038314176243</v>
      </c>
      <c r="J526" s="16">
        <f>COUNTIF(H$5:H526,"Y")/COUNTA(H$5:H526)</f>
        <v>5.5555555555555552E-2</v>
      </c>
      <c r="K526" s="16">
        <f>AVERAGE(F$5:F526)</f>
        <v>2.1710727969348667</v>
      </c>
      <c r="L526" s="16">
        <f>SUM(F$5:F526)/SUM(E$5:E526)</f>
        <v>0.74329376270741787</v>
      </c>
    </row>
    <row r="527" spans="1:12" x14ac:dyDescent="0.25">
      <c r="A527" s="29">
        <v>45714</v>
      </c>
      <c r="B527" s="16" t="s">
        <v>573</v>
      </c>
      <c r="C527" s="34">
        <v>1</v>
      </c>
      <c r="D527" s="16" t="s">
        <v>64</v>
      </c>
      <c r="E527" s="35">
        <v>3.7</v>
      </c>
      <c r="F527" s="35">
        <v>2.7</v>
      </c>
      <c r="G527" s="16" t="s">
        <v>44</v>
      </c>
      <c r="H527" s="16" t="s">
        <v>45</v>
      </c>
      <c r="I527" s="16">
        <f>COUNTIF(G$5:G527,"Y")/COUNTA(G$5:G527)</f>
        <v>0.86615678776290628</v>
      </c>
      <c r="J527" s="16">
        <f>COUNTIF(H$5:H527,"Y")/COUNTA(H$5:H527)</f>
        <v>5.5449330783938815E-2</v>
      </c>
      <c r="K527" s="16">
        <f>AVERAGE(F$5:F527)</f>
        <v>2.1720841300191212</v>
      </c>
      <c r="L527" s="16">
        <f>SUM(F$5:F527)/SUM(E$5:E527)</f>
        <v>0.74326092645904218</v>
      </c>
    </row>
    <row r="528" spans="1:12" x14ac:dyDescent="0.25">
      <c r="A528" s="29">
        <v>45715</v>
      </c>
      <c r="B528" s="16" t="s">
        <v>574</v>
      </c>
      <c r="C528" s="34">
        <v>1</v>
      </c>
      <c r="D528" s="16" t="s">
        <v>60</v>
      </c>
      <c r="E528" s="35">
        <v>1.9</v>
      </c>
      <c r="F528" s="35">
        <v>1.6</v>
      </c>
      <c r="G528" s="16" t="s">
        <v>44</v>
      </c>
      <c r="H528" s="16" t="s">
        <v>45</v>
      </c>
      <c r="I528" s="16">
        <f>COUNTIF(G$5:G528,"Y")/COUNTA(G$5:G528)</f>
        <v>0.86641221374045807</v>
      </c>
      <c r="J528" s="16">
        <f>COUNTIF(H$5:H528,"Y")/COUNTA(H$5:H528)</f>
        <v>5.5343511450381681E-2</v>
      </c>
      <c r="K528" s="16">
        <f>AVERAGE(F$5:F528)</f>
        <v>2.1709923664122144</v>
      </c>
      <c r="L528" s="16">
        <f>SUM(F$5:F528)/SUM(E$5:E528)</f>
        <v>0.74338365026465392</v>
      </c>
    </row>
    <row r="529" spans="1:12" x14ac:dyDescent="0.25">
      <c r="A529" s="29">
        <v>45716</v>
      </c>
      <c r="B529" s="16" t="s">
        <v>575</v>
      </c>
      <c r="C529" s="34">
        <v>1</v>
      </c>
      <c r="D529" s="16" t="s">
        <v>43</v>
      </c>
      <c r="E529" s="35">
        <v>4.3</v>
      </c>
      <c r="F529" s="35">
        <v>3.5</v>
      </c>
      <c r="G529" s="16" t="s">
        <v>44</v>
      </c>
      <c r="H529" s="16" t="s">
        <v>45</v>
      </c>
      <c r="I529" s="16">
        <f>COUNTIF(G$5:G529,"Y")/COUNTA(G$5:G529)</f>
        <v>0.8666666666666667</v>
      </c>
      <c r="J529" s="16">
        <f>COUNTIF(H$5:H529,"Y")/COUNTA(H$5:H529)</f>
        <v>5.5238095238095239E-2</v>
      </c>
      <c r="K529" s="16">
        <f>AVERAGE(F$5:F529)</f>
        <v>2.1735238095238101</v>
      </c>
      <c r="L529" s="16">
        <f>SUM(F$5:F529)/SUM(E$5:E529)</f>
        <v>0.74358138928711059</v>
      </c>
    </row>
    <row r="530" spans="1:12" x14ac:dyDescent="0.25">
      <c r="A530" s="29">
        <v>45712</v>
      </c>
      <c r="B530" s="16" t="s">
        <v>576</v>
      </c>
      <c r="C530" s="34">
        <v>1</v>
      </c>
      <c r="D530" s="16" t="s">
        <v>50</v>
      </c>
      <c r="E530" s="35">
        <v>4.2</v>
      </c>
      <c r="F530" s="35">
        <v>3.5</v>
      </c>
      <c r="G530" s="16" t="s">
        <v>44</v>
      </c>
      <c r="H530" s="16" t="s">
        <v>45</v>
      </c>
      <c r="I530" s="16">
        <f>COUNTIF(G$5:G530,"Y")/COUNTA(G$5:G530)</f>
        <v>0.86692015209125473</v>
      </c>
      <c r="J530" s="16">
        <f>COUNTIF(H$5:H530,"Y")/COUNTA(H$5:H530)</f>
        <v>5.5133079847908745E-2</v>
      </c>
      <c r="K530" s="16">
        <f>AVERAGE(F$5:F530)</f>
        <v>2.1760456273764266</v>
      </c>
      <c r="L530" s="16">
        <f>SUM(F$5:F530)/SUM(E$5:E530)</f>
        <v>0.74382635820119569</v>
      </c>
    </row>
    <row r="531" spans="1:12" x14ac:dyDescent="0.25">
      <c r="A531" s="29">
        <v>45713</v>
      </c>
      <c r="B531" s="16" t="s">
        <v>577</v>
      </c>
      <c r="C531" s="34">
        <v>1</v>
      </c>
      <c r="D531" s="16" t="s">
        <v>47</v>
      </c>
      <c r="E531" s="35">
        <v>2.2999999999999998</v>
      </c>
      <c r="F531" s="35">
        <v>1.6</v>
      </c>
      <c r="G531" s="16" t="s">
        <v>44</v>
      </c>
      <c r="H531" s="16" t="s">
        <v>45</v>
      </c>
      <c r="I531" s="16">
        <f>COUNTIF(G$5:G531,"Y")/COUNTA(G$5:G531)</f>
        <v>0.86717267552182165</v>
      </c>
      <c r="J531" s="16">
        <f>COUNTIF(H$5:H531,"Y")/COUNTA(H$5:H531)</f>
        <v>5.5028462998102469E-2</v>
      </c>
      <c r="K531" s="16">
        <f>AVERAGE(F$5:F531)</f>
        <v>2.1749525616698295</v>
      </c>
      <c r="L531" s="16">
        <f>SUM(F$5:F531)/SUM(E$5:E531)</f>
        <v>0.74375446109921473</v>
      </c>
    </row>
    <row r="532" spans="1:12" x14ac:dyDescent="0.25">
      <c r="A532" s="29">
        <v>45714</v>
      </c>
      <c r="B532" s="16" t="s">
        <v>578</v>
      </c>
      <c r="C532" s="34">
        <v>1</v>
      </c>
      <c r="D532" s="16" t="s">
        <v>47</v>
      </c>
      <c r="E532" s="35">
        <v>4.4000000000000004</v>
      </c>
      <c r="F532" s="35">
        <v>3.1</v>
      </c>
      <c r="G532" s="16" t="s">
        <v>44</v>
      </c>
      <c r="H532" s="16" t="s">
        <v>45</v>
      </c>
      <c r="I532" s="16">
        <f>COUNTIF(G$5:G532,"Y")/COUNTA(G$5:G532)</f>
        <v>0.86742424242424243</v>
      </c>
      <c r="J532" s="16">
        <f>COUNTIF(H$5:H532,"Y")/COUNTA(H$5:H532)</f>
        <v>5.4924242424242424E-2</v>
      </c>
      <c r="K532" s="16">
        <f>AVERAGE(F$5:F532)</f>
        <v>2.1767045454545459</v>
      </c>
      <c r="L532" s="16">
        <f>SUM(F$5:F532)/SUM(E$5:E532)</f>
        <v>0.74364283403429288</v>
      </c>
    </row>
    <row r="533" spans="1:12" x14ac:dyDescent="0.25">
      <c r="A533" s="29">
        <v>45715</v>
      </c>
      <c r="B533" s="16" t="s">
        <v>579</v>
      </c>
      <c r="C533" s="34">
        <v>1</v>
      </c>
      <c r="D533" s="16" t="s">
        <v>64</v>
      </c>
      <c r="E533" s="35">
        <v>4.9000000000000004</v>
      </c>
      <c r="F533" s="35">
        <v>3.5</v>
      </c>
      <c r="G533" s="16" t="s">
        <v>44</v>
      </c>
      <c r="H533" s="16" t="s">
        <v>45</v>
      </c>
      <c r="I533" s="16">
        <f>COUNTIF(G$5:G533,"Y")/COUNTA(G$5:G533)</f>
        <v>0.86767485822306234</v>
      </c>
      <c r="J533" s="16">
        <f>COUNTIF(H$5:H533,"Y")/COUNTA(H$5:H533)</f>
        <v>5.4820415879017016E-2</v>
      </c>
      <c r="K533" s="16">
        <f>AVERAGE(F$5:F533)</f>
        <v>2.1792060491493386</v>
      </c>
      <c r="L533" s="16">
        <f>SUM(F$5:F533)/SUM(E$5:E533)</f>
        <v>0.74355005159958698</v>
      </c>
    </row>
    <row r="534" spans="1:12" x14ac:dyDescent="0.25">
      <c r="A534" s="29">
        <v>45716</v>
      </c>
      <c r="B534" s="16" t="s">
        <v>580</v>
      </c>
      <c r="C534" s="34">
        <v>1</v>
      </c>
      <c r="D534" s="16" t="s">
        <v>50</v>
      </c>
      <c r="E534" s="35">
        <v>3.8</v>
      </c>
      <c r="F534" s="35">
        <v>3</v>
      </c>
      <c r="G534" s="16" t="s">
        <v>45</v>
      </c>
      <c r="H534" s="16" t="s">
        <v>45</v>
      </c>
      <c r="I534" s="16">
        <f>COUNTIF(G$5:G534,"Y")/COUNTA(G$5:G534)</f>
        <v>0.86603773584905663</v>
      </c>
      <c r="J534" s="16">
        <f>COUNTIF(H$5:H534,"Y")/COUNTA(H$5:H534)</f>
        <v>5.4716981132075473E-2</v>
      </c>
      <c r="K534" s="16">
        <f>AVERAGE(F$5:F534)</f>
        <v>2.1807547169811325</v>
      </c>
      <c r="L534" s="16">
        <f>SUM(F$5:F534)/SUM(E$5:E534)</f>
        <v>0.74366233431990714</v>
      </c>
    </row>
    <row r="535" spans="1:12" x14ac:dyDescent="0.25">
      <c r="A535" s="29">
        <v>45712</v>
      </c>
      <c r="B535" s="16" t="s">
        <v>581</v>
      </c>
      <c r="C535" s="34">
        <v>1</v>
      </c>
      <c r="D535" s="16" t="s">
        <v>60</v>
      </c>
      <c r="E535" s="35">
        <v>2.1</v>
      </c>
      <c r="F535" s="35">
        <v>1.7</v>
      </c>
      <c r="G535" s="16" t="s">
        <v>44</v>
      </c>
      <c r="H535" s="16" t="s">
        <v>45</v>
      </c>
      <c r="I535" s="16">
        <f>COUNTIF(G$5:G535,"Y")/COUNTA(G$5:G535)</f>
        <v>0.86629001883239176</v>
      </c>
      <c r="J535" s="16">
        <f>COUNTIF(H$5:H535,"Y")/COUNTA(H$5:H535)</f>
        <v>5.4613935969868174E-2</v>
      </c>
      <c r="K535" s="16">
        <f>AVERAGE(F$5:F535)</f>
        <v>2.1798493408662902</v>
      </c>
      <c r="L535" s="16">
        <f>SUM(F$5:F535)/SUM(E$5:E535)</f>
        <v>0.74375120478056911</v>
      </c>
    </row>
    <row r="536" spans="1:12" x14ac:dyDescent="0.25">
      <c r="A536" s="29">
        <v>45713</v>
      </c>
      <c r="B536" s="16" t="s">
        <v>582</v>
      </c>
      <c r="C536" s="34">
        <v>1</v>
      </c>
      <c r="D536" s="16" t="s">
        <v>60</v>
      </c>
      <c r="E536" s="35">
        <v>2.2999999999999998</v>
      </c>
      <c r="F536" s="35">
        <v>1.8</v>
      </c>
      <c r="G536" s="16" t="s">
        <v>44</v>
      </c>
      <c r="H536" s="16" t="s">
        <v>45</v>
      </c>
      <c r="I536" s="16">
        <f>COUNTIF(G$5:G536,"Y")/COUNTA(G$5:G536)</f>
        <v>0.86654135338345861</v>
      </c>
      <c r="J536" s="16">
        <f>COUNTIF(H$5:H536,"Y")/COUNTA(H$5:H536)</f>
        <v>5.4511278195488719E-2</v>
      </c>
      <c r="K536" s="16">
        <f>AVERAGE(F$5:F536)</f>
        <v>2.1791353383458651</v>
      </c>
      <c r="L536" s="16">
        <f>SUM(F$5:F536)/SUM(E$5:E536)</f>
        <v>0.74380854613114322</v>
      </c>
    </row>
    <row r="537" spans="1:12" x14ac:dyDescent="0.25">
      <c r="A537" s="29">
        <v>45714</v>
      </c>
      <c r="B537" s="16" t="s">
        <v>583</v>
      </c>
      <c r="C537" s="34">
        <v>1</v>
      </c>
      <c r="D537" s="16" t="s">
        <v>64</v>
      </c>
      <c r="E537" s="35">
        <v>3.5</v>
      </c>
      <c r="F537" s="35">
        <v>2.8</v>
      </c>
      <c r="G537" s="16" t="s">
        <v>44</v>
      </c>
      <c r="H537" s="16" t="s">
        <v>45</v>
      </c>
      <c r="I537" s="16">
        <f>COUNTIF(G$5:G537,"Y")/COUNTA(G$5:G537)</f>
        <v>0.86679174484052535</v>
      </c>
      <c r="J537" s="16">
        <f>COUNTIF(H$5:H537,"Y")/COUNTA(H$5:H537)</f>
        <v>5.4409005628517824E-2</v>
      </c>
      <c r="K537" s="16">
        <f>AVERAGE(F$5:F537)</f>
        <v>2.1803001876172612</v>
      </c>
      <c r="L537" s="16">
        <f>SUM(F$5:F537)/SUM(E$5:E537)</f>
        <v>0.74393444721848778</v>
      </c>
    </row>
    <row r="538" spans="1:12" x14ac:dyDescent="0.25">
      <c r="A538" s="29">
        <v>45715</v>
      </c>
      <c r="B538" s="16" t="s">
        <v>584</v>
      </c>
      <c r="C538" s="34">
        <v>1</v>
      </c>
      <c r="D538" s="16" t="s">
        <v>47</v>
      </c>
      <c r="E538" s="35">
        <v>2.9</v>
      </c>
      <c r="F538" s="35">
        <v>2</v>
      </c>
      <c r="G538" s="16" t="s">
        <v>44</v>
      </c>
      <c r="H538" s="16" t="s">
        <v>45</v>
      </c>
      <c r="I538" s="16">
        <f>COUNTIF(G$5:G538,"Y")/COUNTA(G$5:G538)</f>
        <v>0.86704119850187267</v>
      </c>
      <c r="J538" s="16">
        <f>COUNTIF(H$5:H538,"Y")/COUNTA(H$5:H538)</f>
        <v>5.4307116104868915E-2</v>
      </c>
      <c r="K538" s="16">
        <f>AVERAGE(F$5:F538)</f>
        <v>2.1799625468164798</v>
      </c>
      <c r="L538" s="16">
        <f>SUM(F$5:F538)/SUM(E$5:E538)</f>
        <v>0.74383386581469624</v>
      </c>
    </row>
    <row r="539" spans="1:12" x14ac:dyDescent="0.25">
      <c r="A539" s="29">
        <v>45716</v>
      </c>
      <c r="B539" s="16" t="s">
        <v>585</v>
      </c>
      <c r="C539" s="34">
        <v>1</v>
      </c>
      <c r="D539" s="16" t="s">
        <v>56</v>
      </c>
      <c r="E539" s="35">
        <v>3.3</v>
      </c>
      <c r="F539" s="35">
        <v>2.2999999999999998</v>
      </c>
      <c r="G539" s="16" t="s">
        <v>44</v>
      </c>
      <c r="H539" s="16" t="s">
        <v>45</v>
      </c>
      <c r="I539" s="16">
        <f>COUNTIF(G$5:G539,"Y")/COUNTA(G$5:G539)</f>
        <v>0.86728971962616819</v>
      </c>
      <c r="J539" s="16">
        <f>COUNTIF(H$5:H539,"Y")/COUNTA(H$5:H539)</f>
        <v>5.4205607476635512E-2</v>
      </c>
      <c r="K539" s="16">
        <f>AVERAGE(F$5:F539)</f>
        <v>2.1801869158878509</v>
      </c>
      <c r="L539" s="16">
        <f>SUM(F$5:F539)/SUM(E$5:E539)</f>
        <v>0.74373525473442559</v>
      </c>
    </row>
    <row r="540" spans="1:12" x14ac:dyDescent="0.25">
      <c r="A540" s="29">
        <v>45712</v>
      </c>
      <c r="B540" s="16" t="s">
        <v>586</v>
      </c>
      <c r="C540" s="34">
        <v>1</v>
      </c>
      <c r="D540" s="16" t="s">
        <v>52</v>
      </c>
      <c r="E540" s="35">
        <v>4.3</v>
      </c>
      <c r="F540" s="35">
        <v>3</v>
      </c>
      <c r="G540" s="16" t="s">
        <v>44</v>
      </c>
      <c r="H540" s="16" t="s">
        <v>45</v>
      </c>
      <c r="I540" s="16">
        <f>COUNTIF(G$5:G540,"Y")/COUNTA(G$5:G540)</f>
        <v>0.8675373134328358</v>
      </c>
      <c r="J540" s="16">
        <f>COUNTIF(H$5:H540,"Y")/COUNTA(H$5:H540)</f>
        <v>5.4104477611940295E-2</v>
      </c>
      <c r="K540" s="16">
        <f>AVERAGE(F$5:F540)</f>
        <v>2.1817164179104478</v>
      </c>
      <c r="L540" s="16">
        <f>SUM(F$5:F540)/SUM(E$5:E540)</f>
        <v>0.74360930942388381</v>
      </c>
    </row>
    <row r="541" spans="1:12" x14ac:dyDescent="0.25">
      <c r="A541" s="29">
        <v>45713</v>
      </c>
      <c r="B541" s="16" t="s">
        <v>587</v>
      </c>
      <c r="C541" s="34">
        <v>1</v>
      </c>
      <c r="D541" s="16" t="s">
        <v>50</v>
      </c>
      <c r="E541" s="35">
        <v>2.2999999999999998</v>
      </c>
      <c r="F541" s="35">
        <v>1.9</v>
      </c>
      <c r="G541" s="16" t="s">
        <v>44</v>
      </c>
      <c r="H541" s="16" t="s">
        <v>45</v>
      </c>
      <c r="I541" s="16">
        <f>COUNTIF(G$5:G541,"Y")/COUNTA(G$5:G541)</f>
        <v>0.86778398510242083</v>
      </c>
      <c r="J541" s="16">
        <f>COUNTIF(H$5:H541,"Y")/COUNTA(H$5:H541)</f>
        <v>5.4003724394785846E-2</v>
      </c>
      <c r="K541" s="16">
        <f>AVERAGE(F$5:F541)</f>
        <v>2.1811918063314715</v>
      </c>
      <c r="L541" s="16">
        <f>SUM(F$5:F541)/SUM(E$5:E541)</f>
        <v>0.74372976061972174</v>
      </c>
    </row>
    <row r="542" spans="1:12" x14ac:dyDescent="0.25">
      <c r="A542" s="29">
        <v>45714</v>
      </c>
      <c r="B542" s="16" t="s">
        <v>588</v>
      </c>
      <c r="C542" s="34">
        <v>1</v>
      </c>
      <c r="D542" s="16" t="s">
        <v>47</v>
      </c>
      <c r="E542" s="35">
        <v>2.2000000000000002</v>
      </c>
      <c r="F542" s="35">
        <v>1.9</v>
      </c>
      <c r="G542" s="16" t="s">
        <v>44</v>
      </c>
      <c r="H542" s="16" t="s">
        <v>45</v>
      </c>
      <c r="I542" s="16">
        <f>COUNTIF(G$5:G542,"Y")/COUNTA(G$5:G542)</f>
        <v>0.86802973977695164</v>
      </c>
      <c r="J542" s="16">
        <f>COUNTIF(H$5:H542,"Y")/COUNTA(H$5:H542)</f>
        <v>5.3903345724907063E-2</v>
      </c>
      <c r="K542" s="16">
        <f>AVERAGE(F$5:F542)</f>
        <v>2.1806691449814131</v>
      </c>
      <c r="L542" s="16">
        <f>SUM(F$5:F542)/SUM(E$5:E542)</f>
        <v>0.74389702618730569</v>
      </c>
    </row>
    <row r="543" spans="1:12" x14ac:dyDescent="0.25">
      <c r="A543" s="29">
        <v>45715</v>
      </c>
      <c r="B543" s="16" t="s">
        <v>589</v>
      </c>
      <c r="C543" s="34">
        <v>1</v>
      </c>
      <c r="D543" s="16" t="s">
        <v>56</v>
      </c>
      <c r="E543" s="35">
        <v>4.8</v>
      </c>
      <c r="F543" s="35">
        <v>3.4</v>
      </c>
      <c r="G543" s="16" t="s">
        <v>45</v>
      </c>
      <c r="H543" s="16" t="s">
        <v>45</v>
      </c>
      <c r="I543" s="16">
        <f>COUNTIF(G$5:G543,"Y")/COUNTA(G$5:G543)</f>
        <v>0.86641929499072357</v>
      </c>
      <c r="J543" s="16">
        <f>COUNTIF(H$5:H543,"Y")/COUNTA(H$5:H543)</f>
        <v>5.3803339517625233E-2</v>
      </c>
      <c r="K543" s="16">
        <f>AVERAGE(F$5:F543)</f>
        <v>2.1829313543599262</v>
      </c>
      <c r="L543" s="16">
        <f>SUM(F$5:F543)/SUM(E$5:E543)</f>
        <v>0.74378911435615391</v>
      </c>
    </row>
    <row r="544" spans="1:12" x14ac:dyDescent="0.25">
      <c r="A544" s="29">
        <v>45716</v>
      </c>
      <c r="B544" s="16" t="s">
        <v>590</v>
      </c>
      <c r="C544" s="34">
        <v>1</v>
      </c>
      <c r="D544" s="16" t="s">
        <v>60</v>
      </c>
      <c r="E544" s="35">
        <v>1.5</v>
      </c>
      <c r="F544" s="35">
        <v>1.1000000000000001</v>
      </c>
      <c r="G544" s="16" t="s">
        <v>44</v>
      </c>
      <c r="H544" s="16" t="s">
        <v>45</v>
      </c>
      <c r="I544" s="16">
        <f>COUNTIF(G$5:G544,"Y")/COUNTA(G$5:G544)</f>
        <v>0.8666666666666667</v>
      </c>
      <c r="J544" s="16">
        <f>COUNTIF(H$5:H544,"Y")/COUNTA(H$5:H544)</f>
        <v>5.3703703703703705E-2</v>
      </c>
      <c r="K544" s="16">
        <f>AVERAGE(F$5:F544)</f>
        <v>2.1809259259259264</v>
      </c>
      <c r="L544" s="16">
        <f>SUM(F$5:F544)/SUM(E$5:E544)</f>
        <v>0.74377920929645058</v>
      </c>
    </row>
    <row r="545" spans="1:13" x14ac:dyDescent="0.25">
      <c r="A545" s="29">
        <v>45712</v>
      </c>
      <c r="B545" s="16" t="s">
        <v>591</v>
      </c>
      <c r="C545" s="34">
        <v>1</v>
      </c>
      <c r="D545" s="16" t="s">
        <v>56</v>
      </c>
      <c r="E545" s="35">
        <v>3.6</v>
      </c>
      <c r="F545" s="35">
        <v>2.6</v>
      </c>
      <c r="G545" s="16" t="s">
        <v>45</v>
      </c>
      <c r="H545" s="16" t="s">
        <v>45</v>
      </c>
      <c r="I545" s="16">
        <f>COUNTIF(G$5:G545,"Y")/COUNTA(G$5:G545)</f>
        <v>0.8650646950092421</v>
      </c>
      <c r="J545" s="16">
        <f>COUNTIF(H$5:H545,"Y")/COUNTA(H$5:H545)</f>
        <v>5.3604436229205174E-2</v>
      </c>
      <c r="K545" s="16">
        <f>AVERAGE(F$5:F545)</f>
        <v>2.1817005545286512</v>
      </c>
      <c r="L545" s="16">
        <f>SUM(F$5:F545)/SUM(E$5:E545)</f>
        <v>0.74373030875866408</v>
      </c>
    </row>
    <row r="546" spans="1:13" x14ac:dyDescent="0.25">
      <c r="A546" s="29">
        <v>45713</v>
      </c>
      <c r="B546" s="16" t="s">
        <v>592</v>
      </c>
      <c r="C546" s="34">
        <v>1</v>
      </c>
      <c r="D546" s="16" t="s">
        <v>52</v>
      </c>
      <c r="E546" s="35">
        <v>2.2999999999999998</v>
      </c>
      <c r="F546" s="35">
        <v>1.9</v>
      </c>
      <c r="G546" s="16" t="s">
        <v>44</v>
      </c>
      <c r="H546" s="16" t="s">
        <v>44</v>
      </c>
      <c r="I546" s="16">
        <f>COUNTIF(G$5:G546,"Y")/COUNTA(G$5:G546)</f>
        <v>0.86531365313653141</v>
      </c>
      <c r="J546" s="16">
        <f>COUNTIF(H$5:H546,"Y")/COUNTA(H$5:H546)</f>
        <v>5.5350553505535055E-2</v>
      </c>
      <c r="K546" s="16">
        <f>AVERAGE(F$5:F546)</f>
        <v>2.1811808118081184</v>
      </c>
      <c r="L546" s="16">
        <f>SUM(F$5:F546)/SUM(E$5:E546)</f>
        <v>0.74384949348769902</v>
      </c>
    </row>
    <row r="547" spans="1:13" x14ac:dyDescent="0.25">
      <c r="A547" s="29">
        <v>45714</v>
      </c>
      <c r="B547" s="16" t="s">
        <v>593</v>
      </c>
      <c r="C547" s="34">
        <v>1</v>
      </c>
      <c r="D547" s="16" t="s">
        <v>52</v>
      </c>
      <c r="E547" s="35">
        <v>1.5</v>
      </c>
      <c r="F547" s="35">
        <v>1.1000000000000001</v>
      </c>
      <c r="G547" s="16" t="s">
        <v>44</v>
      </c>
      <c r="H547" s="16" t="s">
        <v>45</v>
      </c>
      <c r="I547" s="16">
        <f>COUNTIF(G$5:G547,"Y")/COUNTA(G$5:G547)</f>
        <v>0.86556169429097607</v>
      </c>
      <c r="J547" s="16">
        <f>COUNTIF(H$5:H547,"Y")/COUNTA(H$5:H547)</f>
        <v>5.5248618784530384E-2</v>
      </c>
      <c r="K547" s="16">
        <f>AVERAGE(F$5:F547)</f>
        <v>2.1791896869244938</v>
      </c>
      <c r="L547" s="16">
        <f>SUM(F$5:F547)/SUM(E$5:E547)</f>
        <v>0.74383957757103336</v>
      </c>
    </row>
    <row r="548" spans="1:13" x14ac:dyDescent="0.25">
      <c r="A548" s="29">
        <v>45715</v>
      </c>
      <c r="B548" s="16" t="s">
        <v>594</v>
      </c>
      <c r="C548" s="34">
        <v>1</v>
      </c>
      <c r="D548" s="16" t="s">
        <v>64</v>
      </c>
      <c r="E548" s="35">
        <v>0.7</v>
      </c>
      <c r="F548" s="35">
        <v>0.5</v>
      </c>
      <c r="G548" s="16" t="s">
        <v>44</v>
      </c>
      <c r="H548" s="16" t="s">
        <v>45</v>
      </c>
      <c r="I548" s="16">
        <f>COUNTIF(G$5:G548,"Y")/COUNTA(G$5:G548)</f>
        <v>0.8658088235294118</v>
      </c>
      <c r="J548" s="16">
        <f>COUNTIF(H$5:H548,"Y")/COUNTA(H$5:H548)</f>
        <v>5.514705882352941E-2</v>
      </c>
      <c r="K548" s="16">
        <f>AVERAGE(F$5:F548)</f>
        <v>2.1761029411764707</v>
      </c>
      <c r="L548" s="16">
        <f>SUM(F$5:F548)/SUM(E$5:E548)</f>
        <v>0.7438265786993401</v>
      </c>
    </row>
    <row r="549" spans="1:13" x14ac:dyDescent="0.25">
      <c r="A549" s="29">
        <v>45716</v>
      </c>
      <c r="B549" s="16" t="s">
        <v>595</v>
      </c>
      <c r="C549" s="34">
        <v>1</v>
      </c>
      <c r="D549" s="16" t="s">
        <v>52</v>
      </c>
      <c r="E549" s="35">
        <v>0.6</v>
      </c>
      <c r="F549" s="35">
        <v>0.5</v>
      </c>
      <c r="G549" s="16" t="s">
        <v>45</v>
      </c>
      <c r="H549" s="16" t="s">
        <v>45</v>
      </c>
      <c r="I549" s="16">
        <f>COUNTIF(G$5:G549,"Y")/COUNTA(G$5:G549)</f>
        <v>0.86422018348623852</v>
      </c>
      <c r="J549" s="16">
        <f>COUNTIF(H$5:H549,"Y")/COUNTA(H$5:H549)</f>
        <v>5.5045871559633031E-2</v>
      </c>
      <c r="K549" s="16">
        <f>AVERAGE(F$5:F549)</f>
        <v>2.1730275229357803</v>
      </c>
      <c r="L549" s="16">
        <f>SUM(F$5:F549)/SUM(E$5:E549)</f>
        <v>0.74386031028201738</v>
      </c>
    </row>
    <row r="550" spans="1:13" x14ac:dyDescent="0.25">
      <c r="A550" s="29">
        <v>45712</v>
      </c>
      <c r="B550" s="16" t="s">
        <v>596</v>
      </c>
      <c r="C550" s="34">
        <v>1</v>
      </c>
      <c r="D550" s="16" t="s">
        <v>43</v>
      </c>
      <c r="E550" s="35">
        <v>1.7</v>
      </c>
      <c r="F550" s="35">
        <v>0.5</v>
      </c>
      <c r="G550" s="16" t="s">
        <v>44</v>
      </c>
      <c r="H550" s="16" t="s">
        <v>45</v>
      </c>
      <c r="I550" s="16">
        <f>COUNTIF(G$5:G550,"Y")/COUNTA(G$5:G550)</f>
        <v>0.86446886446886451</v>
      </c>
      <c r="J550" s="16">
        <f>COUNTIF(H$5:H550,"Y")/COUNTA(H$5:H550)</f>
        <v>5.4945054945054944E-2</v>
      </c>
      <c r="K550" s="16">
        <f>AVERAGE(F$5:F550)</f>
        <v>2.1699633699633702</v>
      </c>
      <c r="L550" s="16">
        <f>SUM(F$5:F550)/SUM(E$5:E550)</f>
        <v>0.74338059982431914</v>
      </c>
      <c r="M550" s="16">
        <v>12</v>
      </c>
    </row>
    <row r="551" spans="1:13" x14ac:dyDescent="0.25">
      <c r="A551" s="29">
        <v>45719</v>
      </c>
      <c r="B551" s="16" t="s">
        <v>597</v>
      </c>
      <c r="C551" s="34">
        <v>1</v>
      </c>
      <c r="D551" s="16" t="s">
        <v>50</v>
      </c>
      <c r="E551" s="35">
        <v>4.5999999999999996</v>
      </c>
      <c r="F551" s="35">
        <v>3.8</v>
      </c>
      <c r="G551" s="16" t="s">
        <v>44</v>
      </c>
      <c r="H551" s="16" t="s">
        <v>45</v>
      </c>
      <c r="I551" s="16">
        <f>COUNTIF(G$5:G551,"Y")/COUNTA(G$5:G551)</f>
        <v>0.86471663619744055</v>
      </c>
      <c r="J551" s="16">
        <f>COUNTIF(H$5:H551,"Y")/COUNTA(H$5:H551)</f>
        <v>5.4844606946983544E-2</v>
      </c>
      <c r="K551" s="16">
        <f>AVERAGE(F$5:F551)</f>
        <v>2.1729433272394885</v>
      </c>
      <c r="L551" s="16">
        <f>SUM(F$5:F551)/SUM(E$5:E551)</f>
        <v>0.74361861861861855</v>
      </c>
    </row>
    <row r="552" spans="1:13" x14ac:dyDescent="0.25">
      <c r="A552" s="29">
        <v>45720</v>
      </c>
      <c r="B552" s="16" t="s">
        <v>598</v>
      </c>
      <c r="C552" s="34">
        <v>1</v>
      </c>
      <c r="D552" s="16" t="s">
        <v>47</v>
      </c>
      <c r="E552" s="35">
        <v>3.6</v>
      </c>
      <c r="F552" s="35">
        <v>2.7</v>
      </c>
      <c r="G552" s="16" t="s">
        <v>44</v>
      </c>
      <c r="H552" s="16" t="s">
        <v>45</v>
      </c>
      <c r="I552" s="16">
        <f>COUNTIF(G$5:G552,"Y")/COUNTA(G$5:G552)</f>
        <v>0.86496350364963503</v>
      </c>
      <c r="J552" s="16">
        <f>COUNTIF(H$5:H552,"Y")/COUNTA(H$5:H552)</f>
        <v>5.4744525547445258E-2</v>
      </c>
      <c r="K552" s="16">
        <f>AVERAGE(F$5:F552)</f>
        <v>2.1739051094890516</v>
      </c>
      <c r="L552" s="16">
        <f>SUM(F$5:F552)/SUM(E$5:E552)</f>
        <v>0.74363295880149816</v>
      </c>
    </row>
    <row r="553" spans="1:13" x14ac:dyDescent="0.25">
      <c r="A553" s="29">
        <v>45721</v>
      </c>
      <c r="B553" s="16" t="s">
        <v>599</v>
      </c>
      <c r="C553" s="34">
        <v>1</v>
      </c>
      <c r="D553" s="16" t="s">
        <v>43</v>
      </c>
      <c r="E553" s="35">
        <v>4.8</v>
      </c>
      <c r="F553" s="35">
        <v>3.5</v>
      </c>
      <c r="G553" s="16" t="s">
        <v>45</v>
      </c>
      <c r="H553" s="16" t="s">
        <v>45</v>
      </c>
      <c r="I553" s="16">
        <f>COUNTIF(G$5:G553,"Y")/COUNTA(G$5:G553)</f>
        <v>0.86338797814207646</v>
      </c>
      <c r="J553" s="16">
        <f>COUNTIF(H$5:H553,"Y")/COUNTA(H$5:H553)</f>
        <v>5.4644808743169397E-2</v>
      </c>
      <c r="K553" s="16">
        <f>AVERAGE(F$5:F553)</f>
        <v>2.1763205828779602</v>
      </c>
      <c r="L553" s="16">
        <f>SUM(F$5:F553)/SUM(E$5:E553)</f>
        <v>0.74358974358974361</v>
      </c>
    </row>
    <row r="554" spans="1:13" x14ac:dyDescent="0.25">
      <c r="A554" s="29">
        <v>45722</v>
      </c>
      <c r="B554" s="16" t="s">
        <v>600</v>
      </c>
      <c r="C554" s="34">
        <v>1</v>
      </c>
      <c r="D554" s="16" t="s">
        <v>47</v>
      </c>
      <c r="E554" s="35">
        <v>3.3</v>
      </c>
      <c r="F554" s="35">
        <v>2.6</v>
      </c>
      <c r="G554" s="16" t="s">
        <v>44</v>
      </c>
      <c r="H554" s="16" t="s">
        <v>45</v>
      </c>
      <c r="I554" s="16">
        <f>COUNTIF(G$5:G554,"Y")/COUNTA(G$5:G554)</f>
        <v>0.86363636363636365</v>
      </c>
      <c r="J554" s="16">
        <f>COUNTIF(H$5:H554,"Y")/COUNTA(H$5:H554)</f>
        <v>5.4545454545454543E-2</v>
      </c>
      <c r="K554" s="16">
        <f>AVERAGE(F$5:F554)</f>
        <v>2.1770909090909094</v>
      </c>
      <c r="L554" s="16">
        <f>SUM(F$5:F554)/SUM(E$5:E554)</f>
        <v>0.74368051673809077</v>
      </c>
    </row>
    <row r="555" spans="1:13" x14ac:dyDescent="0.25">
      <c r="A555" s="29">
        <v>45723</v>
      </c>
      <c r="B555" s="16" t="s">
        <v>601</v>
      </c>
      <c r="C555" s="34">
        <v>1</v>
      </c>
      <c r="D555" s="16" t="s">
        <v>50</v>
      </c>
      <c r="E555" s="35">
        <v>4.5</v>
      </c>
      <c r="F555" s="35">
        <v>3.2</v>
      </c>
      <c r="G555" s="16" t="s">
        <v>44</v>
      </c>
      <c r="H555" s="16" t="s">
        <v>45</v>
      </c>
      <c r="I555" s="16">
        <f>COUNTIF(G$5:G555,"Y")/COUNTA(G$5:G555)</f>
        <v>0.86388384754990921</v>
      </c>
      <c r="J555" s="16">
        <f>COUNTIF(H$5:H555,"Y")/COUNTA(H$5:H555)</f>
        <v>5.4446460980036297E-2</v>
      </c>
      <c r="K555" s="16">
        <f>AVERAGE(F$5:F555)</f>
        <v>2.1789473684210527</v>
      </c>
      <c r="L555" s="16">
        <f>SUM(F$5:F555)/SUM(E$5:E555)</f>
        <v>0.74358974358974361</v>
      </c>
    </row>
    <row r="556" spans="1:13" x14ac:dyDescent="0.25">
      <c r="A556" s="29">
        <v>45719</v>
      </c>
      <c r="B556" s="16" t="s">
        <v>602</v>
      </c>
      <c r="C556" s="34">
        <v>1</v>
      </c>
      <c r="D556" s="16" t="s">
        <v>43</v>
      </c>
      <c r="E556" s="35">
        <v>3.5</v>
      </c>
      <c r="F556" s="35">
        <v>3.1</v>
      </c>
      <c r="G556" s="16" t="s">
        <v>44</v>
      </c>
      <c r="H556" s="16" t="s">
        <v>45</v>
      </c>
      <c r="I556" s="16">
        <f>COUNTIF(G$5:G556,"Y")/COUNTA(G$5:G556)</f>
        <v>0.86413043478260865</v>
      </c>
      <c r="J556" s="16">
        <f>COUNTIF(H$5:H556,"Y")/COUNTA(H$5:H556)</f>
        <v>5.434782608695652E-2</v>
      </c>
      <c r="K556" s="16">
        <f>AVERAGE(F$5:F556)</f>
        <v>2.1806159420289855</v>
      </c>
      <c r="L556" s="16">
        <f>SUM(F$5:F556)/SUM(E$5:E556)</f>
        <v>0.74389716333971934</v>
      </c>
    </row>
    <row r="557" spans="1:13" x14ac:dyDescent="0.25">
      <c r="A557" s="29">
        <v>45720</v>
      </c>
      <c r="B557" s="16" t="s">
        <v>603</v>
      </c>
      <c r="C557" s="34">
        <v>1</v>
      </c>
      <c r="D557" s="16" t="s">
        <v>47</v>
      </c>
      <c r="E557" s="35">
        <v>4</v>
      </c>
      <c r="F557" s="35">
        <v>3.2</v>
      </c>
      <c r="G557" s="16" t="s">
        <v>44</v>
      </c>
      <c r="H557" s="16" t="s">
        <v>45</v>
      </c>
      <c r="I557" s="16">
        <f>COUNTIF(G$5:G557,"Y")/COUNTA(G$5:G557)</f>
        <v>0.86437613019891502</v>
      </c>
      <c r="J557" s="16">
        <f>COUNTIF(H$5:H557,"Y")/COUNTA(H$5:H557)</f>
        <v>5.4249547920433995E-2</v>
      </c>
      <c r="K557" s="16">
        <f>AVERAGE(F$5:F557)</f>
        <v>2.1824593128390597</v>
      </c>
      <c r="L557" s="16">
        <f>SUM(F$5:F557)/SUM(E$5:E557)</f>
        <v>0.74403550952469022</v>
      </c>
    </row>
    <row r="558" spans="1:13" x14ac:dyDescent="0.25">
      <c r="A558" s="29">
        <v>45721</v>
      </c>
      <c r="B558" s="16" t="s">
        <v>604</v>
      </c>
      <c r="C558" s="34">
        <v>1</v>
      </c>
      <c r="D558" s="16" t="s">
        <v>47</v>
      </c>
      <c r="E558" s="35">
        <v>1.7</v>
      </c>
      <c r="F558" s="35">
        <v>1.4</v>
      </c>
      <c r="G558" s="16" t="s">
        <v>44</v>
      </c>
      <c r="H558" s="16" t="s">
        <v>45</v>
      </c>
      <c r="I558" s="16">
        <f>COUNTIF(G$5:G558,"Y")/COUNTA(G$5:G558)</f>
        <v>0.86462093862815881</v>
      </c>
      <c r="J558" s="16">
        <f>COUNTIF(H$5:H558,"Y")/COUNTA(H$5:H558)</f>
        <v>5.4151624548736461E-2</v>
      </c>
      <c r="K558" s="16">
        <f>AVERAGE(F$5:F558)</f>
        <v>2.1810469314079426</v>
      </c>
      <c r="L558" s="16">
        <f>SUM(F$5:F558)/SUM(E$5:E558)</f>
        <v>0.74411873383421612</v>
      </c>
    </row>
    <row r="559" spans="1:13" x14ac:dyDescent="0.25">
      <c r="A559" s="29">
        <v>45722</v>
      </c>
      <c r="B559" s="16" t="s">
        <v>605</v>
      </c>
      <c r="C559" s="34">
        <v>1</v>
      </c>
      <c r="D559" s="16" t="s">
        <v>52</v>
      </c>
      <c r="E559" s="35">
        <v>1.7</v>
      </c>
      <c r="F559" s="35">
        <v>1.3</v>
      </c>
      <c r="G559" s="16" t="s">
        <v>44</v>
      </c>
      <c r="H559" s="16" t="s">
        <v>45</v>
      </c>
      <c r="I559" s="16">
        <f>COUNTIF(G$5:G559,"Y")/COUNTA(G$5:G559)</f>
        <v>0.86486486486486491</v>
      </c>
      <c r="J559" s="16">
        <f>COUNTIF(H$5:H559,"Y")/COUNTA(H$5:H559)</f>
        <v>5.4054054054054057E-2</v>
      </c>
      <c r="K559" s="16">
        <f>AVERAGE(F$5:F559)</f>
        <v>2.1794594594594598</v>
      </c>
      <c r="L559" s="16">
        <f>SUM(F$5:F559)/SUM(E$5:E559)</f>
        <v>0.74414026453398951</v>
      </c>
    </row>
    <row r="560" spans="1:13" x14ac:dyDescent="0.25">
      <c r="A560" s="29">
        <v>45723</v>
      </c>
      <c r="B560" s="16" t="s">
        <v>606</v>
      </c>
      <c r="C560" s="34">
        <v>1</v>
      </c>
      <c r="D560" s="16" t="s">
        <v>64</v>
      </c>
      <c r="E560" s="35">
        <v>3.9</v>
      </c>
      <c r="F560" s="35">
        <v>2.9</v>
      </c>
      <c r="G560" s="16" t="s">
        <v>44</v>
      </c>
      <c r="H560" s="16" t="s">
        <v>45</v>
      </c>
      <c r="I560" s="16">
        <f>COUNTIF(G$5:G560,"Y")/COUNTA(G$5:G560)</f>
        <v>0.8651079136690647</v>
      </c>
      <c r="J560" s="16">
        <f>COUNTIF(H$5:H560,"Y")/COUNTA(H$5:H560)</f>
        <v>5.3956834532374098E-2</v>
      </c>
      <c r="K560" s="16">
        <f>AVERAGE(F$5:F560)</f>
        <v>2.1807553956834536</v>
      </c>
      <c r="L560" s="16">
        <f>SUM(F$5:F560)/SUM(E$5:E560)</f>
        <v>0.74413894685160176</v>
      </c>
    </row>
    <row r="561" spans="1:12" x14ac:dyDescent="0.25">
      <c r="A561" s="29">
        <v>45719</v>
      </c>
      <c r="B561" s="16" t="s">
        <v>607</v>
      </c>
      <c r="C561" s="34">
        <v>1</v>
      </c>
      <c r="D561" s="16" t="s">
        <v>56</v>
      </c>
      <c r="E561" s="35">
        <v>4.8</v>
      </c>
      <c r="F561" s="35">
        <v>3.9</v>
      </c>
      <c r="G561" s="16" t="s">
        <v>44</v>
      </c>
      <c r="H561" s="16" t="s">
        <v>45</v>
      </c>
      <c r="I561" s="16">
        <f>COUNTIF(G$5:G561,"Y")/COUNTA(G$5:G561)</f>
        <v>0.86535008976660677</v>
      </c>
      <c r="J561" s="16">
        <f>COUNTIF(H$5:H561,"Y")/COUNTA(H$5:H561)</f>
        <v>5.385996409335727E-2</v>
      </c>
      <c r="K561" s="16">
        <f>AVERAGE(F$5:F561)</f>
        <v>2.1838420107719934</v>
      </c>
      <c r="L561" s="16">
        <f>SUM(F$5:F561)/SUM(E$5:E561)</f>
        <v>0.74433973809815213</v>
      </c>
    </row>
    <row r="562" spans="1:12" x14ac:dyDescent="0.25">
      <c r="A562" s="29">
        <v>45720</v>
      </c>
      <c r="B562" s="16" t="s">
        <v>608</v>
      </c>
      <c r="C562" s="34">
        <v>1</v>
      </c>
      <c r="D562" s="16" t="s">
        <v>50</v>
      </c>
      <c r="E562" s="35">
        <v>4.0999999999999996</v>
      </c>
      <c r="F562" s="35">
        <v>2.9</v>
      </c>
      <c r="G562" s="16" t="s">
        <v>44</v>
      </c>
      <c r="H562" s="16" t="s">
        <v>45</v>
      </c>
      <c r="I562" s="16">
        <f>COUNTIF(G$5:G562,"Y")/COUNTA(G$5:G562)</f>
        <v>0.86559139784946237</v>
      </c>
      <c r="J562" s="16">
        <f>COUNTIF(H$5:H562,"Y")/COUNTA(H$5:H562)</f>
        <v>5.3763440860215055E-2</v>
      </c>
      <c r="K562" s="16">
        <f>AVERAGE(F$5:F562)</f>
        <v>2.1851254480286744</v>
      </c>
      <c r="L562" s="16">
        <f>SUM(F$5:F562)/SUM(E$5:E562)</f>
        <v>0.74424708539339579</v>
      </c>
    </row>
    <row r="563" spans="1:12" x14ac:dyDescent="0.25">
      <c r="A563" s="29">
        <v>45721</v>
      </c>
      <c r="B563" s="16" t="s">
        <v>609</v>
      </c>
      <c r="C563" s="34">
        <v>1</v>
      </c>
      <c r="D563" s="16" t="s">
        <v>50</v>
      </c>
      <c r="E563" s="35">
        <v>2.9</v>
      </c>
      <c r="F563" s="35">
        <v>2.4</v>
      </c>
      <c r="G563" s="16" t="s">
        <v>44</v>
      </c>
      <c r="H563" s="16" t="s">
        <v>45</v>
      </c>
      <c r="I563" s="16">
        <f>COUNTIF(G$5:G563,"Y")/COUNTA(G$5:G563)</f>
        <v>0.86583184257602863</v>
      </c>
      <c r="J563" s="16">
        <f>COUNTIF(H$5:H563,"Y")/COUNTA(H$5:H563)</f>
        <v>5.3667262969588549E-2</v>
      </c>
      <c r="K563" s="16">
        <f>AVERAGE(F$5:F563)</f>
        <v>2.1855098389982119</v>
      </c>
      <c r="L563" s="16">
        <f>SUM(F$5:F563)/SUM(E$5:E563)</f>
        <v>0.74439434560078011</v>
      </c>
    </row>
    <row r="564" spans="1:12" x14ac:dyDescent="0.25">
      <c r="A564" s="29">
        <v>45722</v>
      </c>
      <c r="B564" s="16" t="s">
        <v>610</v>
      </c>
      <c r="C564" s="34">
        <v>1</v>
      </c>
      <c r="D564" s="16" t="s">
        <v>50</v>
      </c>
      <c r="E564" s="35">
        <v>3.4</v>
      </c>
      <c r="F564" s="35">
        <v>2.7</v>
      </c>
      <c r="G564" s="16" t="s">
        <v>44</v>
      </c>
      <c r="H564" s="16" t="s">
        <v>44</v>
      </c>
      <c r="I564" s="16">
        <f>COUNTIF(G$5:G564,"Y")/COUNTA(G$5:G564)</f>
        <v>0.8660714285714286</v>
      </c>
      <c r="J564" s="16">
        <f>COUNTIF(H$5:H564,"Y")/COUNTA(H$5:H564)</f>
        <v>5.5357142857142855E-2</v>
      </c>
      <c r="K564" s="16">
        <f>AVERAGE(F$5:F564)</f>
        <v>2.1864285714285723</v>
      </c>
      <c r="L564" s="16">
        <f>SUM(F$5:F564)/SUM(E$5:E564)</f>
        <v>0.74449714216222806</v>
      </c>
    </row>
    <row r="565" spans="1:12" x14ac:dyDescent="0.25">
      <c r="A565" s="29">
        <v>45723</v>
      </c>
      <c r="B565" s="16" t="s">
        <v>611</v>
      </c>
      <c r="C565" s="34">
        <v>1</v>
      </c>
      <c r="D565" s="16" t="s">
        <v>43</v>
      </c>
      <c r="E565" s="35">
        <v>2.1</v>
      </c>
      <c r="F565" s="35">
        <v>1.6</v>
      </c>
      <c r="G565" s="16" t="s">
        <v>45</v>
      </c>
      <c r="H565" s="16" t="s">
        <v>45</v>
      </c>
      <c r="I565" s="16">
        <f>COUNTIF(G$5:G565,"Y")/COUNTA(G$5:G565)</f>
        <v>0.86452762923351156</v>
      </c>
      <c r="J565" s="16">
        <f>COUNTIF(H$5:H565,"Y")/COUNTA(H$5:H565)</f>
        <v>5.5258467023172907E-2</v>
      </c>
      <c r="K565" s="16">
        <f>AVERAGE(F$5:F565)</f>
        <v>2.1853832442067742</v>
      </c>
      <c r="L565" s="16">
        <f>SUM(F$5:F565)/SUM(E$5:E565)</f>
        <v>0.74451934171373069</v>
      </c>
    </row>
    <row r="566" spans="1:12" x14ac:dyDescent="0.25">
      <c r="A566" s="29">
        <v>45719</v>
      </c>
      <c r="B566" s="16" t="s">
        <v>612</v>
      </c>
      <c r="C566" s="34">
        <v>1</v>
      </c>
      <c r="D566" s="16" t="s">
        <v>52</v>
      </c>
      <c r="E566" s="35">
        <v>3.1</v>
      </c>
      <c r="F566" s="35">
        <v>2.2000000000000002</v>
      </c>
      <c r="G566" s="16" t="s">
        <v>44</v>
      </c>
      <c r="H566" s="16" t="s">
        <v>45</v>
      </c>
      <c r="I566" s="16">
        <f>COUNTIF(G$5:G566,"Y")/COUNTA(G$5:G566)</f>
        <v>0.86476868327402134</v>
      </c>
      <c r="J566" s="16">
        <f>COUNTIF(H$5:H566,"Y")/COUNTA(H$5:H566)</f>
        <v>5.5160142348754451E-2</v>
      </c>
      <c r="K566" s="16">
        <f>AVERAGE(F$5:F566)</f>
        <v>2.1854092526690398</v>
      </c>
      <c r="L566" s="16">
        <f>SUM(F$5:F566)/SUM(E$5:E566)</f>
        <v>0.74445387319675138</v>
      </c>
    </row>
    <row r="567" spans="1:12" x14ac:dyDescent="0.25">
      <c r="A567" s="29">
        <v>45720</v>
      </c>
      <c r="B567" s="16" t="s">
        <v>613</v>
      </c>
      <c r="C567" s="34">
        <v>1</v>
      </c>
      <c r="D567" s="16" t="s">
        <v>56</v>
      </c>
      <c r="E567" s="35">
        <v>2.2999999999999998</v>
      </c>
      <c r="F567" s="35">
        <v>1.9</v>
      </c>
      <c r="G567" s="16" t="s">
        <v>44</v>
      </c>
      <c r="H567" s="16" t="s">
        <v>45</v>
      </c>
      <c r="I567" s="16">
        <f>COUNTIF(G$5:G567,"Y")/COUNTA(G$5:G567)</f>
        <v>0.86500888099467144</v>
      </c>
      <c r="J567" s="16">
        <f>COUNTIF(H$5:H567,"Y")/COUNTA(H$5:H567)</f>
        <v>5.5062166962699825E-2</v>
      </c>
      <c r="K567" s="16">
        <f>AVERAGE(F$5:F567)</f>
        <v>2.1849023090586157</v>
      </c>
      <c r="L567" s="16">
        <f>SUM(F$5:F567)/SUM(E$5:E567)</f>
        <v>0.74456752012590066</v>
      </c>
    </row>
    <row r="568" spans="1:12" x14ac:dyDescent="0.25">
      <c r="A568" s="29">
        <v>45721</v>
      </c>
      <c r="B568" s="16" t="s">
        <v>614</v>
      </c>
      <c r="C568" s="34">
        <v>1</v>
      </c>
      <c r="D568" s="16" t="s">
        <v>60</v>
      </c>
      <c r="E568" s="35">
        <v>1.6</v>
      </c>
      <c r="F568" s="35">
        <v>1.3</v>
      </c>
      <c r="G568" s="16" t="s">
        <v>44</v>
      </c>
      <c r="H568" s="16" t="s">
        <v>45</v>
      </c>
      <c r="I568" s="16">
        <f>COUNTIF(G$5:G568,"Y")/COUNTA(G$5:G568)</f>
        <v>0.86524822695035464</v>
      </c>
      <c r="J568" s="16">
        <f>COUNTIF(H$5:H568,"Y")/COUNTA(H$5:H568)</f>
        <v>5.4964539007092202E-2</v>
      </c>
      <c r="K568" s="16">
        <f>AVERAGE(F$5:F568)</f>
        <v>2.1833333333333345</v>
      </c>
      <c r="L568" s="16">
        <f>SUM(F$5:F568)/SUM(E$5:E568)</f>
        <v>0.74463324665900743</v>
      </c>
    </row>
    <row r="569" spans="1:12" x14ac:dyDescent="0.25">
      <c r="A569" s="29">
        <v>45722</v>
      </c>
      <c r="B569" s="16" t="s">
        <v>615</v>
      </c>
      <c r="C569" s="34">
        <v>1</v>
      </c>
      <c r="D569" s="16" t="s">
        <v>43</v>
      </c>
      <c r="E569" s="35">
        <v>3.1</v>
      </c>
      <c r="F569" s="35">
        <v>2.2000000000000002</v>
      </c>
      <c r="G569" s="16" t="s">
        <v>44</v>
      </c>
      <c r="H569" s="16" t="s">
        <v>44</v>
      </c>
      <c r="I569" s="16">
        <f>COUNTIF(G$5:G569,"Y")/COUNTA(G$5:G569)</f>
        <v>0.86548672566371676</v>
      </c>
      <c r="J569" s="16">
        <f>COUNTIF(H$5:H569,"Y")/COUNTA(H$5:H569)</f>
        <v>5.663716814159292E-2</v>
      </c>
      <c r="K569" s="16">
        <f>AVERAGE(F$5:F569)</f>
        <v>2.1833628318584082</v>
      </c>
      <c r="L569" s="16">
        <f>SUM(F$5:F569)/SUM(E$5:E569)</f>
        <v>0.74456784162240497</v>
      </c>
    </row>
    <row r="570" spans="1:12" x14ac:dyDescent="0.25">
      <c r="A570" s="29">
        <v>45723</v>
      </c>
      <c r="B570" s="16" t="s">
        <v>616</v>
      </c>
      <c r="C570" s="34">
        <v>1</v>
      </c>
      <c r="D570" s="16" t="s">
        <v>50</v>
      </c>
      <c r="E570" s="35">
        <v>1.9</v>
      </c>
      <c r="F570" s="35">
        <v>1.5</v>
      </c>
      <c r="G570" s="16" t="s">
        <v>44</v>
      </c>
      <c r="H570" s="16" t="s">
        <v>45</v>
      </c>
      <c r="I570" s="16">
        <f>COUNTIF(G$5:G570,"Y")/COUNTA(G$5:G570)</f>
        <v>0.86572438162544174</v>
      </c>
      <c r="J570" s="16">
        <f>COUNTIF(H$5:H570,"Y")/COUNTA(H$5:H570)</f>
        <v>5.6537102473498232E-2</v>
      </c>
      <c r="K570" s="16">
        <f>AVERAGE(F$5:F570)</f>
        <v>2.1821554770318032</v>
      </c>
      <c r="L570" s="16">
        <f>SUM(F$5:F570)/SUM(E$5:E570)</f>
        <v>0.74461928015916112</v>
      </c>
    </row>
    <row r="571" spans="1:12" x14ac:dyDescent="0.25">
      <c r="A571" s="29">
        <v>45719</v>
      </c>
      <c r="B571" s="16" t="s">
        <v>617</v>
      </c>
      <c r="C571" s="34">
        <v>1</v>
      </c>
      <c r="D571" s="16" t="s">
        <v>43</v>
      </c>
      <c r="E571" s="35">
        <v>2.4</v>
      </c>
      <c r="F571" s="35">
        <v>2.1</v>
      </c>
      <c r="G571" s="16" t="s">
        <v>44</v>
      </c>
      <c r="H571" s="16" t="s">
        <v>45</v>
      </c>
      <c r="I571" s="16">
        <f>COUNTIF(G$5:G571,"Y")/COUNTA(G$5:G571)</f>
        <v>0.86596119929453264</v>
      </c>
      <c r="J571" s="16">
        <f>COUNTIF(H$5:H571,"Y")/COUNTA(H$5:H571)</f>
        <v>5.6437389770723101E-2</v>
      </c>
      <c r="K571" s="16">
        <f>AVERAGE(F$5:F571)</f>
        <v>2.1820105820105828</v>
      </c>
      <c r="L571" s="16">
        <f>SUM(F$5:F571)/SUM(E$5:E571)</f>
        <v>0.74480765757630507</v>
      </c>
    </row>
    <row r="572" spans="1:12" x14ac:dyDescent="0.25">
      <c r="A572" s="29">
        <v>45720</v>
      </c>
      <c r="B572" s="16" t="s">
        <v>618</v>
      </c>
      <c r="C572" s="34">
        <v>1</v>
      </c>
      <c r="D572" s="16" t="s">
        <v>47</v>
      </c>
      <c r="E572" s="35">
        <v>4.9000000000000004</v>
      </c>
      <c r="F572" s="35">
        <v>3.8</v>
      </c>
      <c r="G572" s="16" t="s">
        <v>45</v>
      </c>
      <c r="H572" s="16" t="s">
        <v>45</v>
      </c>
      <c r="I572" s="16">
        <f>COUNTIF(G$5:G572,"Y")/COUNTA(G$5:G572)</f>
        <v>0.86443661971830987</v>
      </c>
      <c r="J572" s="16">
        <f>COUNTIF(H$5:H572,"Y")/COUNTA(H$5:H572)</f>
        <v>5.6338028169014086E-2</v>
      </c>
      <c r="K572" s="16">
        <f>AVERAGE(F$5:F572)</f>
        <v>2.1848591549295784</v>
      </c>
      <c r="L572" s="16">
        <f>SUM(F$5:F572)/SUM(E$5:E572)</f>
        <v>0.74489795918367363</v>
      </c>
    </row>
    <row r="573" spans="1:12" x14ac:dyDescent="0.25">
      <c r="A573" s="29">
        <v>45721</v>
      </c>
      <c r="B573" s="16" t="s">
        <v>619</v>
      </c>
      <c r="C573" s="34">
        <v>1</v>
      </c>
      <c r="D573" s="16" t="s">
        <v>43</v>
      </c>
      <c r="E573" s="35">
        <v>3.8</v>
      </c>
      <c r="F573" s="35">
        <v>3.3</v>
      </c>
      <c r="G573" s="16" t="s">
        <v>44</v>
      </c>
      <c r="H573" s="16" t="s">
        <v>45</v>
      </c>
      <c r="I573" s="16">
        <f>COUNTIF(G$5:G573,"Y")/COUNTA(G$5:G573)</f>
        <v>0.86467486818980666</v>
      </c>
      <c r="J573" s="16">
        <f>COUNTIF(H$5:H573,"Y")/COUNTA(H$5:H573)</f>
        <v>5.6239015817223195E-2</v>
      </c>
      <c r="K573" s="16">
        <f>AVERAGE(F$5:F573)</f>
        <v>2.1868189806678391</v>
      </c>
      <c r="L573" s="16">
        <f>SUM(F$5:F573)/SUM(E$5:E573)</f>
        <v>0.74517906336088169</v>
      </c>
    </row>
    <row r="574" spans="1:12" x14ac:dyDescent="0.25">
      <c r="A574" s="29">
        <v>45722</v>
      </c>
      <c r="B574" s="16" t="s">
        <v>620</v>
      </c>
      <c r="C574" s="34">
        <v>1</v>
      </c>
      <c r="D574" s="16" t="s">
        <v>64</v>
      </c>
      <c r="E574" s="35">
        <v>1.7</v>
      </c>
      <c r="F574" s="35">
        <v>1.3</v>
      </c>
      <c r="G574" s="16" t="s">
        <v>44</v>
      </c>
      <c r="H574" s="16" t="s">
        <v>45</v>
      </c>
      <c r="I574" s="16">
        <f>COUNTIF(G$5:G574,"Y")/COUNTA(G$5:G574)</f>
        <v>0.86491228070175441</v>
      </c>
      <c r="J574" s="16">
        <f>COUNTIF(H$5:H574,"Y")/COUNTA(H$5:H574)</f>
        <v>5.6140350877192984E-2</v>
      </c>
      <c r="K574" s="16">
        <f>AVERAGE(F$5:F574)</f>
        <v>2.1852631578947377</v>
      </c>
      <c r="L574" s="16">
        <f>SUM(F$5:F574)/SUM(E$5:E574)</f>
        <v>0.74519892312294356</v>
      </c>
    </row>
    <row r="575" spans="1:12" x14ac:dyDescent="0.25">
      <c r="A575" s="29">
        <v>45723</v>
      </c>
      <c r="B575" s="16" t="s">
        <v>621</v>
      </c>
      <c r="C575" s="34">
        <v>1</v>
      </c>
      <c r="D575" s="16" t="s">
        <v>64</v>
      </c>
      <c r="E575" s="35">
        <v>3.5</v>
      </c>
      <c r="F575" s="35">
        <v>2.7</v>
      </c>
      <c r="G575" s="16" t="s">
        <v>44</v>
      </c>
      <c r="H575" s="16" t="s">
        <v>45</v>
      </c>
      <c r="I575" s="16">
        <f>COUNTIF(G$5:G575,"Y")/COUNTA(G$5:G575)</f>
        <v>0.86514886164623472</v>
      </c>
      <c r="J575" s="16">
        <f>COUNTIF(H$5:H575,"Y")/COUNTA(H$5:H575)</f>
        <v>5.6042031523642732E-2</v>
      </c>
      <c r="K575" s="16">
        <f>AVERAGE(F$5:F575)</f>
        <v>2.1861646234676013</v>
      </c>
      <c r="L575" s="16">
        <f>SUM(F$5:F575)/SUM(E$5:E575)</f>
        <v>0.74525373134328377</v>
      </c>
    </row>
    <row r="576" spans="1:12" x14ac:dyDescent="0.25">
      <c r="A576" s="29">
        <v>45719</v>
      </c>
      <c r="B576" s="16" t="s">
        <v>622</v>
      </c>
      <c r="C576" s="34">
        <v>1</v>
      </c>
      <c r="D576" s="16" t="s">
        <v>43</v>
      </c>
      <c r="E576" s="35">
        <v>1.6</v>
      </c>
      <c r="F576" s="35">
        <v>1.4</v>
      </c>
      <c r="G576" s="16" t="s">
        <v>44</v>
      </c>
      <c r="H576" s="16" t="s">
        <v>45</v>
      </c>
      <c r="I576" s="16">
        <f>COUNTIF(G$5:G576,"Y")/COUNTA(G$5:G576)</f>
        <v>0.86538461538461542</v>
      </c>
      <c r="J576" s="16">
        <f>COUNTIF(H$5:H576,"Y")/COUNTA(H$5:H576)</f>
        <v>5.5944055944055944E-2</v>
      </c>
      <c r="K576" s="16">
        <f>AVERAGE(F$5:F576)</f>
        <v>2.1847902097902105</v>
      </c>
      <c r="L576" s="16">
        <f>SUM(F$5:F576)/SUM(E$5:E576)</f>
        <v>0.74537754980317328</v>
      </c>
    </row>
    <row r="577" spans="1:12" x14ac:dyDescent="0.25">
      <c r="A577" s="29">
        <v>45720</v>
      </c>
      <c r="B577" s="16" t="s">
        <v>623</v>
      </c>
      <c r="C577" s="34">
        <v>1</v>
      </c>
      <c r="D577" s="16" t="s">
        <v>50</v>
      </c>
      <c r="E577" s="35">
        <v>3.6</v>
      </c>
      <c r="F577" s="35">
        <v>2.7</v>
      </c>
      <c r="G577" s="16" t="s">
        <v>44</v>
      </c>
      <c r="H577" s="16" t="s">
        <v>45</v>
      </c>
      <c r="I577" s="16">
        <f>COUNTIF(G$5:G577,"Y")/COUNTA(G$5:G577)</f>
        <v>0.86561954624781845</v>
      </c>
      <c r="J577" s="16">
        <f>COUNTIF(H$5:H577,"Y")/COUNTA(H$5:H577)</f>
        <v>5.5846422338568937E-2</v>
      </c>
      <c r="K577" s="16">
        <f>AVERAGE(F$5:F577)</f>
        <v>2.1856893542757425</v>
      </c>
      <c r="L577" s="16">
        <f>SUM(F$5:F577)/SUM(E$5:E577)</f>
        <v>0.74538745387453909</v>
      </c>
    </row>
    <row r="578" spans="1:12" x14ac:dyDescent="0.25">
      <c r="A578" s="29">
        <v>45721</v>
      </c>
      <c r="B578" s="16" t="s">
        <v>624</v>
      </c>
      <c r="C578" s="34">
        <v>1</v>
      </c>
      <c r="D578" s="16" t="s">
        <v>47</v>
      </c>
      <c r="E578" s="35">
        <v>4.8</v>
      </c>
      <c r="F578" s="35">
        <v>3.3</v>
      </c>
      <c r="G578" s="16" t="s">
        <v>44</v>
      </c>
      <c r="H578" s="16" t="s">
        <v>45</v>
      </c>
      <c r="I578" s="16">
        <f>COUNTIF(G$5:G578,"Y")/COUNTA(G$5:G578)</f>
        <v>0.86585365853658536</v>
      </c>
      <c r="J578" s="16">
        <f>COUNTIF(H$5:H578,"Y")/COUNTA(H$5:H578)</f>
        <v>5.5749128919860627E-2</v>
      </c>
      <c r="K578" s="16">
        <f>AVERAGE(F$5:F578)</f>
        <v>2.1876306620209069</v>
      </c>
      <c r="L578" s="16">
        <f>SUM(F$5:F578)/SUM(E$5:E578)</f>
        <v>0.74522255192878373</v>
      </c>
    </row>
    <row r="579" spans="1:12" x14ac:dyDescent="0.25">
      <c r="A579" s="29">
        <v>45722</v>
      </c>
      <c r="B579" s="16" t="s">
        <v>625</v>
      </c>
      <c r="C579" s="34">
        <v>1</v>
      </c>
      <c r="D579" s="16" t="s">
        <v>50</v>
      </c>
      <c r="E579" s="35">
        <v>1.4</v>
      </c>
      <c r="F579" s="35">
        <v>1.1000000000000001</v>
      </c>
      <c r="G579" s="16" t="s">
        <v>44</v>
      </c>
      <c r="H579" s="16" t="s">
        <v>45</v>
      </c>
      <c r="I579" s="16">
        <f>COUNTIF(G$5:G579,"Y")/COUNTA(G$5:G579)</f>
        <v>0.86608695652173917</v>
      </c>
      <c r="J579" s="16">
        <f>COUNTIF(H$5:H579,"Y")/COUNTA(H$5:H579)</f>
        <v>5.565217391304348E-2</v>
      </c>
      <c r="K579" s="16">
        <f>AVERAGE(F$5:F579)</f>
        <v>2.1857391304347833</v>
      </c>
      <c r="L579" s="16">
        <f>SUM(F$5:F579)/SUM(E$5:E579)</f>
        <v>0.74525616698292241</v>
      </c>
    </row>
    <row r="580" spans="1:12" x14ac:dyDescent="0.25">
      <c r="A580" s="29">
        <v>45723</v>
      </c>
      <c r="B580" s="16" t="s">
        <v>626</v>
      </c>
      <c r="C580" s="34">
        <v>1</v>
      </c>
      <c r="D580" s="16" t="s">
        <v>47</v>
      </c>
      <c r="E580" s="35">
        <v>4.5999999999999996</v>
      </c>
      <c r="F580" s="35">
        <v>3.3</v>
      </c>
      <c r="G580" s="16" t="s">
        <v>44</v>
      </c>
      <c r="H580" s="16" t="s">
        <v>45</v>
      </c>
      <c r="I580" s="16">
        <f>COUNTIF(G$5:G580,"Y")/COUNTA(G$5:G580)</f>
        <v>0.86631944444444442</v>
      </c>
      <c r="J580" s="16">
        <f>COUNTIF(H$5:H580,"Y")/COUNTA(H$5:H580)</f>
        <v>5.5555555555555552E-2</v>
      </c>
      <c r="K580" s="16">
        <f>AVERAGE(F$5:F580)</f>
        <v>2.1876736111111117</v>
      </c>
      <c r="L580" s="16">
        <f>SUM(F$5:F580)/SUM(E$5:E580)</f>
        <v>0.74518036664695464</v>
      </c>
    </row>
    <row r="581" spans="1:12" x14ac:dyDescent="0.25">
      <c r="A581" s="29">
        <v>45719</v>
      </c>
      <c r="B581" s="16" t="s">
        <v>627</v>
      </c>
      <c r="C581" s="34">
        <v>1</v>
      </c>
      <c r="D581" s="16" t="s">
        <v>52</v>
      </c>
      <c r="E581" s="35">
        <v>4</v>
      </c>
      <c r="F581" s="35">
        <v>2.7</v>
      </c>
      <c r="G581" s="16" t="s">
        <v>44</v>
      </c>
      <c r="H581" s="16" t="s">
        <v>45</v>
      </c>
      <c r="I581" s="16">
        <f>COUNTIF(G$5:G581,"Y")/COUNTA(G$5:G581)</f>
        <v>0.86655112651646449</v>
      </c>
      <c r="J581" s="16">
        <f>COUNTIF(H$5:H581,"Y")/COUNTA(H$5:H581)</f>
        <v>5.5459272097053723E-2</v>
      </c>
      <c r="K581" s="16">
        <f>AVERAGE(F$5:F581)</f>
        <v>2.1885615251299835</v>
      </c>
      <c r="L581" s="16">
        <f>SUM(F$5:F581)/SUM(E$5:E581)</f>
        <v>0.74501474926253708</v>
      </c>
    </row>
    <row r="582" spans="1:12" x14ac:dyDescent="0.25">
      <c r="A582" s="29">
        <v>45720</v>
      </c>
      <c r="B582" s="16" t="s">
        <v>628</v>
      </c>
      <c r="C582" s="34">
        <v>1</v>
      </c>
      <c r="D582" s="16" t="s">
        <v>64</v>
      </c>
      <c r="E582" s="35">
        <v>2.4</v>
      </c>
      <c r="F582" s="35">
        <v>1.8</v>
      </c>
      <c r="G582" s="16" t="s">
        <v>44</v>
      </c>
      <c r="H582" s="16" t="s">
        <v>45</v>
      </c>
      <c r="I582" s="16">
        <f>COUNTIF(G$5:G582,"Y")/COUNTA(G$5:G582)</f>
        <v>0.86678200692041518</v>
      </c>
      <c r="J582" s="16">
        <f>COUNTIF(H$5:H582,"Y")/COUNTA(H$5:H582)</f>
        <v>5.536332179930796E-2</v>
      </c>
      <c r="K582" s="16">
        <f>AVERAGE(F$5:F582)</f>
        <v>2.1878892733564022</v>
      </c>
      <c r="L582" s="16">
        <f>SUM(F$5:F582)/SUM(E$5:E582)</f>
        <v>0.74502179804406754</v>
      </c>
    </row>
    <row r="583" spans="1:12" x14ac:dyDescent="0.25">
      <c r="A583" s="29">
        <v>45721</v>
      </c>
      <c r="B583" s="16" t="s">
        <v>629</v>
      </c>
      <c r="C583" s="34">
        <v>1</v>
      </c>
      <c r="D583" s="16" t="s">
        <v>47</v>
      </c>
      <c r="E583" s="35">
        <v>3.6</v>
      </c>
      <c r="F583" s="35">
        <v>3.1</v>
      </c>
      <c r="G583" s="16" t="s">
        <v>44</v>
      </c>
      <c r="H583" s="16" t="s">
        <v>45</v>
      </c>
      <c r="I583" s="16">
        <f>COUNTIF(G$5:G583,"Y")/COUNTA(G$5:G583)</f>
        <v>0.86701208981001732</v>
      </c>
      <c r="J583" s="16">
        <f>COUNTIF(H$5:H583,"Y")/COUNTA(H$5:H583)</f>
        <v>5.5267702936096716E-2</v>
      </c>
      <c r="K583" s="16">
        <f>AVERAGE(F$5:F583)</f>
        <v>2.189464594127807</v>
      </c>
      <c r="L583" s="16">
        <f>SUM(F$5:F583)/SUM(E$5:E583)</f>
        <v>0.74526748971193435</v>
      </c>
    </row>
    <row r="584" spans="1:12" x14ac:dyDescent="0.25">
      <c r="A584" s="29">
        <v>45722</v>
      </c>
      <c r="B584" s="16" t="s">
        <v>630</v>
      </c>
      <c r="C584" s="34">
        <v>1</v>
      </c>
      <c r="D584" s="16" t="s">
        <v>47</v>
      </c>
      <c r="E584" s="35">
        <v>2.2999999999999998</v>
      </c>
      <c r="F584" s="35">
        <v>1.9</v>
      </c>
      <c r="G584" s="16" t="s">
        <v>44</v>
      </c>
      <c r="H584" s="16" t="s">
        <v>45</v>
      </c>
      <c r="I584" s="16">
        <f>COUNTIF(G$5:G584,"Y")/COUNTA(G$5:G584)</f>
        <v>0.86724137931034484</v>
      </c>
      <c r="J584" s="16">
        <f>COUNTIF(H$5:H584,"Y")/COUNTA(H$5:H584)</f>
        <v>5.5172413793103448E-2</v>
      </c>
      <c r="K584" s="16">
        <f>AVERAGE(F$5:F584)</f>
        <v>2.18896551724138</v>
      </c>
      <c r="L584" s="16">
        <f>SUM(F$5:F584)/SUM(E$5:E584)</f>
        <v>0.74537662185169984</v>
      </c>
    </row>
    <row r="585" spans="1:12" x14ac:dyDescent="0.25">
      <c r="A585" s="29">
        <v>45723</v>
      </c>
      <c r="B585" s="16" t="s">
        <v>631</v>
      </c>
      <c r="C585" s="34">
        <v>1</v>
      </c>
      <c r="D585" s="16" t="s">
        <v>52</v>
      </c>
      <c r="E585" s="35">
        <v>1.8</v>
      </c>
      <c r="F585" s="35">
        <v>1.5</v>
      </c>
      <c r="G585" s="16" t="s">
        <v>44</v>
      </c>
      <c r="H585" s="16" t="s">
        <v>45</v>
      </c>
      <c r="I585" s="16">
        <f>COUNTIF(G$5:G585,"Y")/COUNTA(G$5:G585)</f>
        <v>0.86746987951807231</v>
      </c>
      <c r="J585" s="16">
        <f>COUNTIF(H$5:H585,"Y")/COUNTA(H$5:H585)</f>
        <v>5.5077452667814115E-2</v>
      </c>
      <c r="K585" s="16">
        <f>AVERAGE(F$5:F585)</f>
        <v>2.1877796901893292</v>
      </c>
      <c r="L585" s="16">
        <f>SUM(F$5:F585)/SUM(E$5:E585)</f>
        <v>0.74546947393114804</v>
      </c>
    </row>
    <row r="586" spans="1:12" x14ac:dyDescent="0.25">
      <c r="A586" s="29">
        <v>45719</v>
      </c>
      <c r="B586" s="16" t="s">
        <v>632</v>
      </c>
      <c r="C586" s="34">
        <v>1</v>
      </c>
      <c r="D586" s="16" t="s">
        <v>50</v>
      </c>
      <c r="E586" s="35">
        <v>2.2999999999999998</v>
      </c>
      <c r="F586" s="35">
        <v>1.9</v>
      </c>
      <c r="G586" s="16" t="s">
        <v>45</v>
      </c>
      <c r="H586" s="16" t="s">
        <v>45</v>
      </c>
      <c r="I586" s="16">
        <f>COUNTIF(G$5:G586,"Y")/COUNTA(G$5:G586)</f>
        <v>0.865979381443299</v>
      </c>
      <c r="J586" s="16">
        <f>COUNTIF(H$5:H586,"Y")/COUNTA(H$5:H586)</f>
        <v>5.4982817869415807E-2</v>
      </c>
      <c r="K586" s="16">
        <f>AVERAGE(F$5:F586)</f>
        <v>2.1872852233676983</v>
      </c>
      <c r="L586" s="16">
        <f>SUM(F$5:F586)/SUM(E$5:E586)</f>
        <v>0.74557807192222125</v>
      </c>
    </row>
    <row r="587" spans="1:12" x14ac:dyDescent="0.25">
      <c r="A587" s="29">
        <v>45720</v>
      </c>
      <c r="B587" s="16" t="s">
        <v>633</v>
      </c>
      <c r="C587" s="34">
        <v>1</v>
      </c>
      <c r="D587" s="16" t="s">
        <v>64</v>
      </c>
      <c r="E587" s="35">
        <v>4.0999999999999996</v>
      </c>
      <c r="F587" s="35">
        <v>3.3</v>
      </c>
      <c r="G587" s="16" t="s">
        <v>44</v>
      </c>
      <c r="H587" s="16" t="s">
        <v>45</v>
      </c>
      <c r="I587" s="16">
        <f>COUNTIF(G$5:G587,"Y")/COUNTA(G$5:G587)</f>
        <v>0.86620926243567753</v>
      </c>
      <c r="J587" s="16">
        <f>COUNTIF(H$5:H587,"Y")/COUNTA(H$5:H587)</f>
        <v>5.4888507718696397E-2</v>
      </c>
      <c r="K587" s="16">
        <f>AVERAGE(F$5:F587)</f>
        <v>2.1891938250428824</v>
      </c>
      <c r="L587" s="16">
        <f>SUM(F$5:F587)/SUM(E$5:E587)</f>
        <v>0.74572012854221481</v>
      </c>
    </row>
    <row r="588" spans="1:12" x14ac:dyDescent="0.25">
      <c r="A588" s="29">
        <v>45721</v>
      </c>
      <c r="B588" s="16" t="s">
        <v>634</v>
      </c>
      <c r="C588" s="34">
        <v>1</v>
      </c>
      <c r="D588" s="16" t="s">
        <v>47</v>
      </c>
      <c r="E588" s="35">
        <v>3.2</v>
      </c>
      <c r="F588" s="35">
        <v>2.2999999999999998</v>
      </c>
      <c r="G588" s="16" t="s">
        <v>44</v>
      </c>
      <c r="H588" s="16" t="s">
        <v>45</v>
      </c>
      <c r="I588" s="16">
        <f>COUNTIF(G$5:G588,"Y")/COUNTA(G$5:G588)</f>
        <v>0.86643835616438358</v>
      </c>
      <c r="J588" s="16">
        <f>COUNTIF(H$5:H588,"Y")/COUNTA(H$5:H588)</f>
        <v>5.4794520547945202E-2</v>
      </c>
      <c r="K588" s="16">
        <f>AVERAGE(F$5:F588)</f>
        <v>2.1893835616438362</v>
      </c>
      <c r="L588" s="16">
        <f>SUM(F$5:F588)/SUM(E$5:E588)</f>
        <v>0.74566979646585441</v>
      </c>
    </row>
    <row r="589" spans="1:12" x14ac:dyDescent="0.25">
      <c r="A589" s="29">
        <v>45722</v>
      </c>
      <c r="B589" s="16" t="s">
        <v>635</v>
      </c>
      <c r="C589" s="34">
        <v>1</v>
      </c>
      <c r="D589" s="16" t="s">
        <v>64</v>
      </c>
      <c r="E589" s="35">
        <v>0.7</v>
      </c>
      <c r="F589" s="35">
        <v>0.5</v>
      </c>
      <c r="G589" s="16" t="s">
        <v>44</v>
      </c>
      <c r="H589" s="16" t="s">
        <v>45</v>
      </c>
      <c r="I589" s="16">
        <f>COUNTIF(G$5:G589,"Y")/COUNTA(G$5:G589)</f>
        <v>0.8666666666666667</v>
      </c>
      <c r="J589" s="16">
        <f>COUNTIF(H$5:H589,"Y")/COUNTA(H$5:H589)</f>
        <v>5.4700854700854701E-2</v>
      </c>
      <c r="K589" s="16">
        <f>AVERAGE(F$5:F589)</f>
        <v>2.186495726495727</v>
      </c>
      <c r="L589" s="16">
        <f>SUM(F$5:F589)/SUM(E$5:E589)</f>
        <v>0.74565698962341176</v>
      </c>
    </row>
    <row r="590" spans="1:12" x14ac:dyDescent="0.25">
      <c r="A590" s="29">
        <v>45723</v>
      </c>
      <c r="B590" s="16" t="s">
        <v>636</v>
      </c>
      <c r="C590" s="34">
        <v>1</v>
      </c>
      <c r="D590" s="16" t="s">
        <v>52</v>
      </c>
      <c r="E590" s="35">
        <v>0.6</v>
      </c>
      <c r="F590" s="35">
        <v>0.5</v>
      </c>
      <c r="G590" s="16" t="s">
        <v>44</v>
      </c>
      <c r="H590" s="16" t="s">
        <v>45</v>
      </c>
      <c r="I590" s="16">
        <f>COUNTIF(G$5:G590,"Y")/COUNTA(G$5:G590)</f>
        <v>0.86689419795221845</v>
      </c>
      <c r="J590" s="16">
        <f>COUNTIF(H$5:H590,"Y")/COUNTA(H$5:H590)</f>
        <v>5.4607508532423209E-2</v>
      </c>
      <c r="K590" s="16">
        <f>AVERAGE(F$5:F590)</f>
        <v>2.1836177474402736</v>
      </c>
      <c r="L590" s="16">
        <f>SUM(F$5:F590)/SUM(E$5:E590)</f>
        <v>0.74568764568764601</v>
      </c>
    </row>
    <row r="591" spans="1:12" x14ac:dyDescent="0.25">
      <c r="A591" s="29">
        <v>45719</v>
      </c>
      <c r="B591" s="16" t="s">
        <v>637</v>
      </c>
      <c r="C591" s="34">
        <v>1</v>
      </c>
      <c r="D591" s="16" t="s">
        <v>56</v>
      </c>
      <c r="E591" s="35">
        <v>0.6</v>
      </c>
      <c r="F591" s="35">
        <v>0.5</v>
      </c>
      <c r="G591" s="16" t="s">
        <v>44</v>
      </c>
      <c r="H591" s="16" t="s">
        <v>45</v>
      </c>
      <c r="I591" s="16">
        <f>COUNTIF(G$5:G591,"Y")/COUNTA(G$5:G591)</f>
        <v>0.86712095400340716</v>
      </c>
      <c r="J591" s="16">
        <f>COUNTIF(H$5:H591,"Y")/COUNTA(H$5:H591)</f>
        <v>5.4514480408858604E-2</v>
      </c>
      <c r="K591" s="16">
        <f>AVERAGE(F$5:F591)</f>
        <v>2.1807495741056226</v>
      </c>
      <c r="L591" s="16">
        <f>SUM(F$5:F591)/SUM(E$5:E591)</f>
        <v>0.74571828032156628</v>
      </c>
    </row>
    <row r="592" spans="1:12" x14ac:dyDescent="0.25">
      <c r="A592" s="29">
        <v>45720</v>
      </c>
      <c r="B592" s="16" t="s">
        <v>638</v>
      </c>
      <c r="C592" s="34">
        <v>1</v>
      </c>
      <c r="D592" s="16" t="s">
        <v>64</v>
      </c>
      <c r="E592" s="35">
        <v>0.6</v>
      </c>
      <c r="F592" s="35">
        <v>0.5</v>
      </c>
      <c r="G592" s="16" t="s">
        <v>44</v>
      </c>
      <c r="H592" s="16" t="s">
        <v>45</v>
      </c>
      <c r="I592" s="16">
        <f>COUNTIF(G$5:G592,"Y")/COUNTA(G$5:G592)</f>
        <v>0.86734693877551017</v>
      </c>
      <c r="J592" s="16">
        <f>COUNTIF(H$5:H592,"Y")/COUNTA(H$5:H592)</f>
        <v>5.4421768707482991E-2</v>
      </c>
      <c r="K592" s="16">
        <f>AVERAGE(F$5:F592)</f>
        <v>2.1778911564625858</v>
      </c>
      <c r="L592" s="16">
        <f>SUM(F$5:F592)/SUM(E$5:E592)</f>
        <v>0.74574889354763607</v>
      </c>
    </row>
    <row r="593" spans="1:13" x14ac:dyDescent="0.25">
      <c r="A593" s="29">
        <v>45721</v>
      </c>
      <c r="B593" s="16" t="s">
        <v>639</v>
      </c>
      <c r="C593" s="34">
        <v>1</v>
      </c>
      <c r="D593" s="16" t="s">
        <v>56</v>
      </c>
      <c r="E593" s="35">
        <v>0.6</v>
      </c>
      <c r="F593" s="35">
        <v>0.5</v>
      </c>
      <c r="G593" s="16" t="s">
        <v>45</v>
      </c>
      <c r="H593" s="16" t="s">
        <v>45</v>
      </c>
      <c r="I593" s="16">
        <f>COUNTIF(G$5:G593,"Y")/COUNTA(G$5:G593)</f>
        <v>0.86587436332767398</v>
      </c>
      <c r="J593" s="16">
        <f>COUNTIF(H$5:H593,"Y")/COUNTA(H$5:H593)</f>
        <v>5.4329371816638369E-2</v>
      </c>
      <c r="K593" s="16">
        <f>AVERAGE(F$5:F593)</f>
        <v>2.1750424448217323</v>
      </c>
      <c r="L593" s="16">
        <f>SUM(F$5:F593)/SUM(E$5:E593)</f>
        <v>0.74577948538828776</v>
      </c>
    </row>
    <row r="594" spans="1:13" x14ac:dyDescent="0.25">
      <c r="A594" s="29">
        <v>45722</v>
      </c>
      <c r="B594" s="16" t="s">
        <v>640</v>
      </c>
      <c r="C594" s="34">
        <v>1</v>
      </c>
      <c r="D594" s="16" t="s">
        <v>60</v>
      </c>
      <c r="E594" s="35">
        <v>1.9</v>
      </c>
      <c r="F594" s="35">
        <v>0.5</v>
      </c>
      <c r="G594" s="16" t="s">
        <v>44</v>
      </c>
      <c r="H594" s="16" t="s">
        <v>45</v>
      </c>
      <c r="I594" s="16">
        <f>COUNTIF(G$5:G594,"Y")/COUNTA(G$5:G594)</f>
        <v>0.86610169491525424</v>
      </c>
      <c r="J594" s="16">
        <f>COUNTIF(H$5:H594,"Y")/COUNTA(H$5:H594)</f>
        <v>5.4237288135593219E-2</v>
      </c>
      <c r="K594" s="16">
        <f>AVERAGE(F$5:F594)</f>
        <v>2.1722033898305093</v>
      </c>
      <c r="L594" s="16">
        <f>SUM(F$5:F594)/SUM(E$5:E594)</f>
        <v>0.74524626388323578</v>
      </c>
      <c r="M594" s="16">
        <v>10</v>
      </c>
    </row>
    <row r="595" spans="1:13" x14ac:dyDescent="0.25">
      <c r="A595" s="29">
        <v>45726</v>
      </c>
      <c r="B595" s="16" t="s">
        <v>641</v>
      </c>
      <c r="C595" s="34">
        <v>1</v>
      </c>
      <c r="D595" s="16" t="s">
        <v>47</v>
      </c>
      <c r="E595" s="35">
        <v>2</v>
      </c>
      <c r="F595" s="35">
        <v>1.7</v>
      </c>
      <c r="G595" s="16" t="s">
        <v>44</v>
      </c>
      <c r="H595" s="16" t="s">
        <v>44</v>
      </c>
      <c r="I595" s="16">
        <f>COUNTIF(G$5:G595,"Y")/COUNTA(G$5:G595)</f>
        <v>0.86632825719120132</v>
      </c>
      <c r="J595" s="16">
        <f>COUNTIF(H$5:H595,"Y")/COUNTA(H$5:H595)</f>
        <v>5.5837563451776651E-2</v>
      </c>
      <c r="K595" s="16">
        <f>AVERAGE(F$5:F595)</f>
        <v>2.1714043993231815</v>
      </c>
      <c r="L595" s="16">
        <f>SUM(F$5:F595)/SUM(E$5:E595)</f>
        <v>0.74536795028169878</v>
      </c>
    </row>
    <row r="596" spans="1:13" x14ac:dyDescent="0.25">
      <c r="A596" s="29">
        <v>45727</v>
      </c>
      <c r="B596" s="16" t="s">
        <v>642</v>
      </c>
      <c r="C596" s="34">
        <v>1</v>
      </c>
      <c r="D596" s="16" t="s">
        <v>64</v>
      </c>
      <c r="E596" s="35">
        <v>4.4000000000000004</v>
      </c>
      <c r="F596" s="35">
        <v>2.9</v>
      </c>
      <c r="G596" s="16" t="s">
        <v>44</v>
      </c>
      <c r="H596" s="16" t="s">
        <v>45</v>
      </c>
      <c r="I596" s="16">
        <f>COUNTIF(G$5:G596,"Y")/COUNTA(G$5:G596)</f>
        <v>0.86655405405405406</v>
      </c>
      <c r="J596" s="16">
        <f>COUNTIF(H$5:H596,"Y")/COUNTA(H$5:H596)</f>
        <v>5.5743243243243243E-2</v>
      </c>
      <c r="K596" s="16">
        <f>AVERAGE(F$5:F596)</f>
        <v>2.1726351351351361</v>
      </c>
      <c r="L596" s="16">
        <f>SUM(F$5:F596)/SUM(E$5:E596)</f>
        <v>0.74514802155147486</v>
      </c>
    </row>
    <row r="597" spans="1:13" x14ac:dyDescent="0.25">
      <c r="A597" s="29">
        <v>45728</v>
      </c>
      <c r="B597" s="16" t="s">
        <v>643</v>
      </c>
      <c r="C597" s="34">
        <v>1</v>
      </c>
      <c r="D597" s="16" t="s">
        <v>52</v>
      </c>
      <c r="E597" s="35">
        <v>2.4</v>
      </c>
      <c r="F597" s="35">
        <v>1.9</v>
      </c>
      <c r="G597" s="16" t="s">
        <v>45</v>
      </c>
      <c r="H597" s="16" t="s">
        <v>45</v>
      </c>
      <c r="I597" s="16">
        <f>COUNTIF(G$5:G597,"Y")/COUNTA(G$5:G597)</f>
        <v>0.86509274873524455</v>
      </c>
      <c r="J597" s="16">
        <f>COUNTIF(H$5:H597,"Y")/COUNTA(H$5:H597)</f>
        <v>5.5649241146711638E-2</v>
      </c>
      <c r="K597" s="16">
        <f>AVERAGE(F$5:F597)</f>
        <v>2.172175379426645</v>
      </c>
      <c r="L597" s="16">
        <f>SUM(F$5:F597)/SUM(E$5:E597)</f>
        <v>0.74521261209140921</v>
      </c>
    </row>
    <row r="598" spans="1:13" x14ac:dyDescent="0.25">
      <c r="A598" s="29">
        <v>45729</v>
      </c>
      <c r="B598" s="16" t="s">
        <v>644</v>
      </c>
      <c r="C598" s="34">
        <v>1</v>
      </c>
      <c r="D598" s="16" t="s">
        <v>52</v>
      </c>
      <c r="E598" s="35">
        <v>2.5</v>
      </c>
      <c r="F598" s="35">
        <v>1.8</v>
      </c>
      <c r="G598" s="16" t="s">
        <v>44</v>
      </c>
      <c r="H598" s="16" t="s">
        <v>45</v>
      </c>
      <c r="I598" s="16">
        <f>COUNTIF(G$5:G598,"Y")/COUNTA(G$5:G598)</f>
        <v>0.86531986531986527</v>
      </c>
      <c r="J598" s="16">
        <f>COUNTIF(H$5:H598,"Y")/COUNTA(H$5:H598)</f>
        <v>5.5555555555555552E-2</v>
      </c>
      <c r="K598" s="16">
        <f>AVERAGE(F$5:F598)</f>
        <v>2.1715488215488223</v>
      </c>
      <c r="L598" s="16">
        <f>SUM(F$5:F598)/SUM(E$5:E598)</f>
        <v>0.74517619872905871</v>
      </c>
    </row>
    <row r="599" spans="1:13" x14ac:dyDescent="0.25">
      <c r="A599" s="29">
        <v>45730</v>
      </c>
      <c r="B599" s="16" t="s">
        <v>645</v>
      </c>
      <c r="C599" s="34">
        <v>1</v>
      </c>
      <c r="D599" s="16" t="s">
        <v>47</v>
      </c>
      <c r="E599" s="35">
        <v>2.8</v>
      </c>
      <c r="F599" s="35">
        <v>2.5</v>
      </c>
      <c r="G599" s="16" t="s">
        <v>44</v>
      </c>
      <c r="H599" s="16" t="s">
        <v>45</v>
      </c>
      <c r="I599" s="16">
        <f>COUNTIF(G$5:G599,"Y")/COUNTA(G$5:G599)</f>
        <v>0.86554621848739499</v>
      </c>
      <c r="J599" s="16">
        <f>COUNTIF(H$5:H599,"Y")/COUNTA(H$5:H599)</f>
        <v>5.5462184873949577E-2</v>
      </c>
      <c r="K599" s="16">
        <f>AVERAGE(F$5:F599)</f>
        <v>2.1721008403361353</v>
      </c>
      <c r="L599" s="16">
        <f>SUM(F$5:F599)/SUM(E$5:E599)</f>
        <v>0.7454146960433734</v>
      </c>
    </row>
    <row r="600" spans="1:13" x14ac:dyDescent="0.25">
      <c r="A600" s="29">
        <v>45726</v>
      </c>
      <c r="B600" s="16" t="s">
        <v>646</v>
      </c>
      <c r="C600" s="34">
        <v>1</v>
      </c>
      <c r="D600" s="16" t="s">
        <v>43</v>
      </c>
      <c r="E600" s="35">
        <v>3.7</v>
      </c>
      <c r="F600" s="35">
        <v>3.1</v>
      </c>
      <c r="G600" s="16" t="s">
        <v>44</v>
      </c>
      <c r="H600" s="16" t="s">
        <v>45</v>
      </c>
      <c r="I600" s="16">
        <f>COUNTIF(G$5:G600,"Y")/COUNTA(G$5:G600)</f>
        <v>0.86577181208053688</v>
      </c>
      <c r="J600" s="16">
        <f>COUNTIF(H$5:H600,"Y")/COUNTA(H$5:H600)</f>
        <v>5.5369127516778527E-2</v>
      </c>
      <c r="K600" s="16">
        <f>AVERAGE(F$5:F600)</f>
        <v>2.1736577181208063</v>
      </c>
      <c r="L600" s="16">
        <f>SUM(F$5:F600)/SUM(E$5:E600)</f>
        <v>0.74561151079136723</v>
      </c>
    </row>
    <row r="601" spans="1:13" x14ac:dyDescent="0.25">
      <c r="A601" s="29">
        <v>45727</v>
      </c>
      <c r="B601" s="16" t="s">
        <v>647</v>
      </c>
      <c r="C601" s="34">
        <v>1</v>
      </c>
      <c r="D601" s="16" t="s">
        <v>60</v>
      </c>
      <c r="E601" s="35">
        <v>3.8</v>
      </c>
      <c r="F601" s="35">
        <v>3</v>
      </c>
      <c r="G601" s="16" t="s">
        <v>44</v>
      </c>
      <c r="H601" s="16" t="s">
        <v>45</v>
      </c>
      <c r="I601" s="16">
        <f>COUNTIF(G$5:G601,"Y")/COUNTA(G$5:G601)</f>
        <v>0.86599664991624792</v>
      </c>
      <c r="J601" s="16">
        <f>COUNTIF(H$5:H601,"Y")/COUNTA(H$5:H601)</f>
        <v>5.5276381909547742E-2</v>
      </c>
      <c r="K601" s="16">
        <f>AVERAGE(F$5:F601)</f>
        <v>2.1750418760469019</v>
      </c>
      <c r="L601" s="16">
        <f>SUM(F$5:F601)/SUM(E$5:E601)</f>
        <v>0.74570723023028807</v>
      </c>
    </row>
    <row r="602" spans="1:13" x14ac:dyDescent="0.25">
      <c r="A602" s="29">
        <v>45728</v>
      </c>
      <c r="B602" s="16" t="s">
        <v>648</v>
      </c>
      <c r="C602" s="34">
        <v>1</v>
      </c>
      <c r="D602" s="16" t="s">
        <v>64</v>
      </c>
      <c r="E602" s="35">
        <v>4.0999999999999996</v>
      </c>
      <c r="F602" s="35">
        <v>3.4</v>
      </c>
      <c r="G602" s="16" t="s">
        <v>44</v>
      </c>
      <c r="H602" s="16" t="s">
        <v>45</v>
      </c>
      <c r="I602" s="16">
        <f>COUNTIF(G$5:G602,"Y")/COUNTA(G$5:G602)</f>
        <v>0.86622073578595316</v>
      </c>
      <c r="J602" s="16">
        <f>COUNTIF(H$5:H602,"Y")/COUNTA(H$5:H602)</f>
        <v>5.5183946488294312E-2</v>
      </c>
      <c r="K602" s="16">
        <f>AVERAGE(F$5:F602)</f>
        <v>2.1770903010033456</v>
      </c>
      <c r="L602" s="16">
        <f>SUM(F$5:F602)/SUM(E$5:E602)</f>
        <v>0.74590351781826558</v>
      </c>
    </row>
    <row r="603" spans="1:13" x14ac:dyDescent="0.25">
      <c r="A603" s="29">
        <v>45729</v>
      </c>
      <c r="B603" s="16" t="s">
        <v>649</v>
      </c>
      <c r="C603" s="34">
        <v>1</v>
      </c>
      <c r="D603" s="16" t="s">
        <v>50</v>
      </c>
      <c r="E603" s="35">
        <v>5.0999999999999996</v>
      </c>
      <c r="F603" s="35">
        <v>3.5</v>
      </c>
      <c r="G603" s="16" t="s">
        <v>44</v>
      </c>
      <c r="H603" s="16" t="s">
        <v>45</v>
      </c>
      <c r="I603" s="16">
        <f>COUNTIF(G$5:G603,"Y")/COUNTA(G$5:G603)</f>
        <v>0.86644407345575958</v>
      </c>
      <c r="J603" s="16">
        <f>COUNTIF(H$5:H603,"Y")/COUNTA(H$5:H603)</f>
        <v>5.5091819699499167E-2</v>
      </c>
      <c r="K603" s="16">
        <f>AVERAGE(F$5:F603)</f>
        <v>2.1792988313856436</v>
      </c>
      <c r="L603" s="16">
        <f>SUM(F$5:F603)/SUM(E$5:E603)</f>
        <v>0.74572979148814678</v>
      </c>
    </row>
    <row r="604" spans="1:13" x14ac:dyDescent="0.25">
      <c r="A604" s="29">
        <v>45730</v>
      </c>
      <c r="B604" s="16" t="s">
        <v>650</v>
      </c>
      <c r="C604" s="34">
        <v>1</v>
      </c>
      <c r="D604" s="16" t="s">
        <v>64</v>
      </c>
      <c r="E604" s="35">
        <v>1.6</v>
      </c>
      <c r="F604" s="35">
        <v>1.4</v>
      </c>
      <c r="G604" s="16" t="s">
        <v>44</v>
      </c>
      <c r="H604" s="16" t="s">
        <v>45</v>
      </c>
      <c r="I604" s="16">
        <f>COUNTIF(G$5:G604,"Y")/COUNTA(G$5:G604)</f>
        <v>0.8666666666666667</v>
      </c>
      <c r="J604" s="16">
        <f>COUNTIF(H$5:H604,"Y")/COUNTA(H$5:H604)</f>
        <v>5.5E-2</v>
      </c>
      <c r="K604" s="16">
        <f>AVERAGE(F$5:F604)</f>
        <v>2.1780000000000013</v>
      </c>
      <c r="L604" s="16">
        <f>SUM(F$5:F604)/SUM(E$5:E604)</f>
        <v>0.74584783973517554</v>
      </c>
    </row>
    <row r="605" spans="1:13" x14ac:dyDescent="0.25">
      <c r="A605" s="29">
        <v>45726</v>
      </c>
      <c r="B605" s="16" t="s">
        <v>651</v>
      </c>
      <c r="C605" s="34">
        <v>1</v>
      </c>
      <c r="D605" s="16" t="s">
        <v>50</v>
      </c>
      <c r="E605" s="35">
        <v>4.7</v>
      </c>
      <c r="F605" s="35">
        <v>3.9</v>
      </c>
      <c r="G605" s="16" t="s">
        <v>44</v>
      </c>
      <c r="H605" s="16" t="s">
        <v>45</v>
      </c>
      <c r="I605" s="16">
        <f>COUNTIF(G$5:G605,"Y")/COUNTA(G$5:G605)</f>
        <v>0.86688851913477538</v>
      </c>
      <c r="J605" s="16">
        <f>COUNTIF(H$5:H605,"Y")/COUNTA(H$5:H605)</f>
        <v>5.4908485856905158E-2</v>
      </c>
      <c r="K605" s="16">
        <f>AVERAGE(F$5:F605)</f>
        <v>2.180865224625625</v>
      </c>
      <c r="L605" s="16">
        <f>SUM(F$5:F605)/SUM(E$5:E605)</f>
        <v>0.74607240437158528</v>
      </c>
    </row>
    <row r="606" spans="1:13" x14ac:dyDescent="0.25">
      <c r="A606" s="29">
        <v>45727</v>
      </c>
      <c r="B606" s="16" t="s">
        <v>652</v>
      </c>
      <c r="C606" s="34">
        <v>1</v>
      </c>
      <c r="D606" s="16" t="s">
        <v>43</v>
      </c>
      <c r="E606" s="35">
        <v>2.9</v>
      </c>
      <c r="F606" s="35">
        <v>2.2000000000000002</v>
      </c>
      <c r="G606" s="16" t="s">
        <v>44</v>
      </c>
      <c r="H606" s="16" t="s">
        <v>45</v>
      </c>
      <c r="I606" s="16">
        <f>COUNTIF(G$5:G606,"Y")/COUNTA(G$5:G606)</f>
        <v>0.86710963455149503</v>
      </c>
      <c r="J606" s="16">
        <f>COUNTIF(H$5:H606,"Y")/COUNTA(H$5:H606)</f>
        <v>5.4817275747508304E-2</v>
      </c>
      <c r="K606" s="16">
        <f>AVERAGE(F$5:F606)</f>
        <v>2.1808970099667788</v>
      </c>
      <c r="L606" s="16">
        <f>SUM(F$5:F606)/SUM(E$5:E606)</f>
        <v>0.74609308404841801</v>
      </c>
    </row>
    <row r="607" spans="1:13" x14ac:dyDescent="0.25">
      <c r="A607" s="29">
        <v>45728</v>
      </c>
      <c r="B607" s="16" t="s">
        <v>653</v>
      </c>
      <c r="C607" s="34">
        <v>1</v>
      </c>
      <c r="D607" s="16" t="s">
        <v>43</v>
      </c>
      <c r="E607" s="35">
        <v>2.9</v>
      </c>
      <c r="F607" s="35">
        <v>2</v>
      </c>
      <c r="G607" s="16" t="s">
        <v>44</v>
      </c>
      <c r="H607" s="16" t="s">
        <v>45</v>
      </c>
      <c r="I607" s="16">
        <f>COUNTIF(G$5:G607,"Y")/COUNTA(G$5:G607)</f>
        <v>0.86733001658374798</v>
      </c>
      <c r="J607" s="16">
        <f>COUNTIF(H$5:H607,"Y")/COUNTA(H$5:H607)</f>
        <v>5.4726368159203981E-2</v>
      </c>
      <c r="K607" s="16">
        <f>AVERAGE(F$5:F607)</f>
        <v>2.1805970149253744</v>
      </c>
      <c r="L607" s="16">
        <f>SUM(F$5:F607)/SUM(E$5:E607)</f>
        <v>0.74600022693747925</v>
      </c>
    </row>
    <row r="608" spans="1:13" x14ac:dyDescent="0.25">
      <c r="A608" s="29">
        <v>45729</v>
      </c>
      <c r="B608" s="16" t="s">
        <v>654</v>
      </c>
      <c r="C608" s="34">
        <v>1</v>
      </c>
      <c r="D608" s="16" t="s">
        <v>50</v>
      </c>
      <c r="E608" s="35">
        <v>3.9</v>
      </c>
      <c r="F608" s="35">
        <v>2.8</v>
      </c>
      <c r="G608" s="16" t="s">
        <v>44</v>
      </c>
      <c r="H608" s="16" t="s">
        <v>45</v>
      </c>
      <c r="I608" s="16">
        <f>COUNTIF(G$5:G608,"Y")/COUNTA(G$5:G608)</f>
        <v>0.86754966887417218</v>
      </c>
      <c r="J608" s="16">
        <f>COUNTIF(H$5:H608,"Y")/COUNTA(H$5:H608)</f>
        <v>5.4635761589403975E-2</v>
      </c>
      <c r="K608" s="16">
        <f>AVERAGE(F$5:F608)</f>
        <v>2.1816225165562928</v>
      </c>
      <c r="L608" s="16">
        <f>SUM(F$5:F608)/SUM(E$5:E608)</f>
        <v>0.74593829606566708</v>
      </c>
    </row>
    <row r="609" spans="1:12" x14ac:dyDescent="0.25">
      <c r="A609" s="29">
        <v>45730</v>
      </c>
      <c r="B609" s="16" t="s">
        <v>655</v>
      </c>
      <c r="C609" s="34">
        <v>1</v>
      </c>
      <c r="D609" s="16" t="s">
        <v>60</v>
      </c>
      <c r="E609" s="35">
        <v>4.2</v>
      </c>
      <c r="F609" s="35">
        <v>3.1</v>
      </c>
      <c r="G609" s="16" t="s">
        <v>44</v>
      </c>
      <c r="H609" s="16" t="s">
        <v>45</v>
      </c>
      <c r="I609" s="16">
        <f>COUNTIF(G$5:G609,"Y")/COUNTA(G$5:G609)</f>
        <v>0.86776859504132231</v>
      </c>
      <c r="J609" s="16">
        <f>COUNTIF(H$5:H609,"Y")/COUNTA(H$5:H609)</f>
        <v>5.4545454545454543E-2</v>
      </c>
      <c r="K609" s="16">
        <f>AVERAGE(F$5:F609)</f>
        <v>2.1831404958677698</v>
      </c>
      <c r="L609" s="16">
        <f>SUM(F$5:F609)/SUM(E$5:E609)</f>
        <v>0.74591969277686831</v>
      </c>
    </row>
    <row r="610" spans="1:12" x14ac:dyDescent="0.25">
      <c r="A610" s="29">
        <v>45726</v>
      </c>
      <c r="B610" s="16" t="s">
        <v>656</v>
      </c>
      <c r="C610" s="34">
        <v>1</v>
      </c>
      <c r="D610" s="16" t="s">
        <v>47</v>
      </c>
      <c r="E610" s="35">
        <v>3.8</v>
      </c>
      <c r="F610" s="35">
        <v>3</v>
      </c>
      <c r="G610" s="16" t="s">
        <v>44</v>
      </c>
      <c r="H610" s="16" t="s">
        <v>45</v>
      </c>
      <c r="I610" s="16">
        <f>COUNTIF(G$5:G610,"Y")/COUNTA(G$5:G610)</f>
        <v>0.86798679867986794</v>
      </c>
      <c r="J610" s="16">
        <f>COUNTIF(H$5:H610,"Y")/COUNTA(H$5:H610)</f>
        <v>5.4455445544554455E-2</v>
      </c>
      <c r="K610" s="16">
        <f>AVERAGE(F$5:F610)</f>
        <v>2.1844884488448857</v>
      </c>
      <c r="L610" s="16">
        <f>SUM(F$5:F610)/SUM(E$5:E610)</f>
        <v>0.74601296139757722</v>
      </c>
    </row>
    <row r="611" spans="1:12" x14ac:dyDescent="0.25">
      <c r="A611" s="29">
        <v>45727</v>
      </c>
      <c r="B611" s="16" t="s">
        <v>657</v>
      </c>
      <c r="C611" s="34">
        <v>1</v>
      </c>
      <c r="D611" s="16" t="s">
        <v>52</v>
      </c>
      <c r="E611" s="35">
        <v>5.2</v>
      </c>
      <c r="F611" s="35">
        <v>3.8</v>
      </c>
      <c r="G611" s="16" t="s">
        <v>44</v>
      </c>
      <c r="H611" s="16" t="s">
        <v>45</v>
      </c>
      <c r="I611" s="16">
        <f>COUNTIF(G$5:G611,"Y")/COUNTA(G$5:G611)</f>
        <v>0.86820428336079081</v>
      </c>
      <c r="J611" s="16">
        <f>COUNTIF(H$5:H611,"Y")/COUNTA(H$5:H611)</f>
        <v>5.4365733113673806E-2</v>
      </c>
      <c r="K611" s="16">
        <f>AVERAGE(F$5:F611)</f>
        <v>2.1871499176276781</v>
      </c>
      <c r="L611" s="16">
        <f>SUM(F$5:F611)/SUM(E$5:E611)</f>
        <v>0.74596842164409771</v>
      </c>
    </row>
    <row r="612" spans="1:12" x14ac:dyDescent="0.25">
      <c r="A612" s="29">
        <v>45728</v>
      </c>
      <c r="B612" s="16" t="s">
        <v>658</v>
      </c>
      <c r="C612" s="34">
        <v>1</v>
      </c>
      <c r="D612" s="16" t="s">
        <v>52</v>
      </c>
      <c r="E612" s="35">
        <v>5.2</v>
      </c>
      <c r="F612" s="35">
        <v>3.7</v>
      </c>
      <c r="G612" s="16" t="s">
        <v>45</v>
      </c>
      <c r="H612" s="16" t="s">
        <v>45</v>
      </c>
      <c r="I612" s="16">
        <f>COUNTIF(G$5:G612,"Y")/COUNTA(G$5:G612)</f>
        <v>0.86677631578947367</v>
      </c>
      <c r="J612" s="16">
        <f>COUNTIF(H$5:H612,"Y")/COUNTA(H$5:H612)</f>
        <v>5.4276315789473686E-2</v>
      </c>
      <c r="K612" s="16">
        <f>AVERAGE(F$5:F612)</f>
        <v>2.1896381578947377</v>
      </c>
      <c r="L612" s="16">
        <f>SUM(F$5:F612)/SUM(E$5:E612)</f>
        <v>0.7458681158608329</v>
      </c>
    </row>
    <row r="613" spans="1:12" x14ac:dyDescent="0.25">
      <c r="A613" s="29">
        <v>45729</v>
      </c>
      <c r="B613" s="16" t="s">
        <v>659</v>
      </c>
      <c r="C613" s="34">
        <v>1</v>
      </c>
      <c r="D613" s="16" t="s">
        <v>52</v>
      </c>
      <c r="E613" s="35">
        <v>2.9</v>
      </c>
      <c r="F613" s="35">
        <v>2.1</v>
      </c>
      <c r="G613" s="16" t="s">
        <v>44</v>
      </c>
      <c r="H613" s="16" t="s">
        <v>45</v>
      </c>
      <c r="I613" s="16">
        <f>COUNTIF(G$5:G613,"Y")/COUNTA(G$5:G613)</f>
        <v>0.86699507389162567</v>
      </c>
      <c r="J613" s="16">
        <f>COUNTIF(H$5:H613,"Y")/COUNTA(H$5:H613)</f>
        <v>5.4187192118226604E-2</v>
      </c>
      <c r="K613" s="16">
        <f>AVERAGE(F$5:F613)</f>
        <v>2.1894909688013144</v>
      </c>
      <c r="L613" s="16">
        <f>SUM(F$5:F613)/SUM(E$5:E613)</f>
        <v>0.74583286721109776</v>
      </c>
    </row>
    <row r="614" spans="1:12" x14ac:dyDescent="0.25">
      <c r="A614" s="29">
        <v>45730</v>
      </c>
      <c r="B614" s="16" t="s">
        <v>660</v>
      </c>
      <c r="C614" s="34">
        <v>1</v>
      </c>
      <c r="D614" s="16" t="s">
        <v>64</v>
      </c>
      <c r="E614" s="35">
        <v>1.8</v>
      </c>
      <c r="F614" s="35">
        <v>1.5</v>
      </c>
      <c r="G614" s="16" t="s">
        <v>44</v>
      </c>
      <c r="H614" s="16" t="s">
        <v>44</v>
      </c>
      <c r="I614" s="16">
        <f>COUNTIF(G$5:G614,"Y")/COUNTA(G$5:G614)</f>
        <v>0.86721311475409835</v>
      </c>
      <c r="J614" s="16">
        <f>COUNTIF(H$5:H614,"Y")/COUNTA(H$5:H614)</f>
        <v>5.5737704918032788E-2</v>
      </c>
      <c r="K614" s="16">
        <f>AVERAGE(F$5:F614)</f>
        <v>2.1883606557377058</v>
      </c>
      <c r="L614" s="16">
        <f>SUM(F$5:F614)/SUM(E$5:E614)</f>
        <v>0.74592087617344693</v>
      </c>
    </row>
    <row r="615" spans="1:12" x14ac:dyDescent="0.25">
      <c r="A615" s="29">
        <v>45726</v>
      </c>
      <c r="B615" s="16" t="s">
        <v>661</v>
      </c>
      <c r="C615" s="34">
        <v>1</v>
      </c>
      <c r="D615" s="16" t="s">
        <v>47</v>
      </c>
      <c r="E615" s="35">
        <v>2</v>
      </c>
      <c r="F615" s="35">
        <v>1.6</v>
      </c>
      <c r="G615" s="16" t="s">
        <v>44</v>
      </c>
      <c r="H615" s="16" t="s">
        <v>45</v>
      </c>
      <c r="I615" s="16">
        <f>COUNTIF(G$5:G615,"Y")/COUNTA(G$5:G615)</f>
        <v>0.86743044189852703</v>
      </c>
      <c r="J615" s="16">
        <f>COUNTIF(H$5:H615,"Y")/COUNTA(H$5:H615)</f>
        <v>5.5646481178396073E-2</v>
      </c>
      <c r="K615" s="16">
        <f>AVERAGE(F$5:F615)</f>
        <v>2.1873977086743053</v>
      </c>
      <c r="L615" s="16">
        <f>SUM(F$5:F615)/SUM(E$5:E615)</f>
        <v>0.74598124581379799</v>
      </c>
    </row>
    <row r="616" spans="1:12" x14ac:dyDescent="0.25">
      <c r="A616" s="29">
        <v>45727</v>
      </c>
      <c r="B616" s="16" t="s">
        <v>662</v>
      </c>
      <c r="C616" s="34">
        <v>1</v>
      </c>
      <c r="D616" s="16" t="s">
        <v>64</v>
      </c>
      <c r="E616" s="35">
        <v>2.5</v>
      </c>
      <c r="F616" s="35">
        <v>1.8</v>
      </c>
      <c r="G616" s="16" t="s">
        <v>44</v>
      </c>
      <c r="H616" s="16" t="s">
        <v>45</v>
      </c>
      <c r="I616" s="16">
        <f>COUNTIF(G$5:G616,"Y")/COUNTA(G$5:G616)</f>
        <v>0.86764705882352944</v>
      </c>
      <c r="J616" s="16">
        <f>COUNTIF(H$5:H616,"Y")/COUNTA(H$5:H616)</f>
        <v>5.5555555555555552E-2</v>
      </c>
      <c r="K616" s="16">
        <f>AVERAGE(F$5:F616)</f>
        <v>2.1867647058823536</v>
      </c>
      <c r="L616" s="16">
        <f>SUM(F$5:F616)/SUM(E$5:E616)</f>
        <v>0.74594504208238144</v>
      </c>
    </row>
    <row r="617" spans="1:12" x14ac:dyDescent="0.25">
      <c r="A617" s="29">
        <v>45728</v>
      </c>
      <c r="B617" s="16" t="s">
        <v>663</v>
      </c>
      <c r="C617" s="34">
        <v>1</v>
      </c>
      <c r="D617" s="16" t="s">
        <v>43</v>
      </c>
      <c r="E617" s="35">
        <v>3.6</v>
      </c>
      <c r="F617" s="35">
        <v>2.8</v>
      </c>
      <c r="G617" s="16" t="s">
        <v>44</v>
      </c>
      <c r="H617" s="16" t="s">
        <v>45</v>
      </c>
      <c r="I617" s="16">
        <f>COUNTIF(G$5:G617,"Y")/COUNTA(G$5:G617)</f>
        <v>0.86786296900489401</v>
      </c>
      <c r="J617" s="16">
        <f>COUNTIF(H$5:H617,"Y")/COUNTA(H$5:H617)</f>
        <v>5.5464926590538338E-2</v>
      </c>
      <c r="K617" s="16">
        <f>AVERAGE(F$5:F617)</f>
        <v>2.1877650897226761</v>
      </c>
      <c r="L617" s="16">
        <f>SUM(F$5:F617)/SUM(E$5:E617)</f>
        <v>0.74600878900817735</v>
      </c>
    </row>
    <row r="618" spans="1:12" x14ac:dyDescent="0.25">
      <c r="A618" s="29">
        <v>45729</v>
      </c>
      <c r="B618" s="16" t="s">
        <v>664</v>
      </c>
      <c r="C618" s="34">
        <v>1</v>
      </c>
      <c r="D618" s="16" t="s">
        <v>64</v>
      </c>
      <c r="E618" s="35">
        <v>2</v>
      </c>
      <c r="F618" s="35">
        <v>1.6</v>
      </c>
      <c r="G618" s="16" t="s">
        <v>44</v>
      </c>
      <c r="H618" s="16" t="s">
        <v>45</v>
      </c>
      <c r="I618" s="16">
        <f>COUNTIF(G$5:G618,"Y")/COUNTA(G$5:G618)</f>
        <v>0.86807817589576552</v>
      </c>
      <c r="J618" s="16">
        <f>COUNTIF(H$5:H618,"Y")/COUNTA(H$5:H618)</f>
        <v>5.5374592833876218E-2</v>
      </c>
      <c r="K618" s="16">
        <f>AVERAGE(F$5:F618)</f>
        <v>2.1868078175895769</v>
      </c>
      <c r="L618" s="16">
        <f>SUM(F$5:F618)/SUM(E$5:E618)</f>
        <v>0.74606878924265174</v>
      </c>
    </row>
    <row r="619" spans="1:12" x14ac:dyDescent="0.25">
      <c r="A619" s="29">
        <v>45730</v>
      </c>
      <c r="B619" s="16" t="s">
        <v>665</v>
      </c>
      <c r="C619" s="34">
        <v>1</v>
      </c>
      <c r="D619" s="16" t="s">
        <v>64</v>
      </c>
      <c r="E619" s="35">
        <v>2.5</v>
      </c>
      <c r="F619" s="35">
        <v>1.8</v>
      </c>
      <c r="G619" s="16" t="s">
        <v>44</v>
      </c>
      <c r="H619" s="16" t="s">
        <v>45</v>
      </c>
      <c r="I619" s="16">
        <f>COUNTIF(G$5:G619,"Y")/COUNTA(G$5:G619)</f>
        <v>0.86829268292682926</v>
      </c>
      <c r="J619" s="16">
        <f>COUNTIF(H$5:H619,"Y")/COUNTA(H$5:H619)</f>
        <v>5.5284552845528454E-2</v>
      </c>
      <c r="K619" s="16">
        <f>AVERAGE(F$5:F619)</f>
        <v>2.1861788617886182</v>
      </c>
      <c r="L619" s="16">
        <f>SUM(F$5:F619)/SUM(E$5:E619)</f>
        <v>0.74603262678947968</v>
      </c>
    </row>
    <row r="620" spans="1:12" x14ac:dyDescent="0.25">
      <c r="A620" s="29">
        <v>45726</v>
      </c>
      <c r="B620" s="16" t="s">
        <v>666</v>
      </c>
      <c r="C620" s="34">
        <v>1</v>
      </c>
      <c r="D620" s="16" t="s">
        <v>64</v>
      </c>
      <c r="E620" s="35">
        <v>4.7</v>
      </c>
      <c r="F620" s="35">
        <v>3.4</v>
      </c>
      <c r="G620" s="16" t="s">
        <v>44</v>
      </c>
      <c r="H620" s="16" t="s">
        <v>45</v>
      </c>
      <c r="I620" s="16">
        <f>COUNTIF(G$5:G620,"Y")/COUNTA(G$5:G620)</f>
        <v>0.86850649350649356</v>
      </c>
      <c r="J620" s="16">
        <f>COUNTIF(H$5:H620,"Y")/COUNTA(H$5:H620)</f>
        <v>5.5194805194805192E-2</v>
      </c>
      <c r="K620" s="16">
        <f>AVERAGE(F$5:F620)</f>
        <v>2.188149350649351</v>
      </c>
      <c r="L620" s="16">
        <f>SUM(F$5:F620)/SUM(E$5:E620)</f>
        <v>0.74597376722563524</v>
      </c>
    </row>
    <row r="621" spans="1:12" x14ac:dyDescent="0.25">
      <c r="A621" s="29">
        <v>45727</v>
      </c>
      <c r="B621" s="16" t="s">
        <v>667</v>
      </c>
      <c r="C621" s="34">
        <v>1</v>
      </c>
      <c r="D621" s="16" t="s">
        <v>50</v>
      </c>
      <c r="E621" s="35">
        <v>5.8</v>
      </c>
      <c r="F621" s="35">
        <v>4.3</v>
      </c>
      <c r="G621" s="16" t="s">
        <v>45</v>
      </c>
      <c r="H621" s="16" t="s">
        <v>45</v>
      </c>
      <c r="I621" s="16">
        <f>COUNTIF(G$5:G621,"Y")/COUNTA(G$5:G621)</f>
        <v>0.86709886547811998</v>
      </c>
      <c r="J621" s="16">
        <f>COUNTIF(H$5:H621,"Y")/COUNTA(H$5:H621)</f>
        <v>5.5105348460291734E-2</v>
      </c>
      <c r="K621" s="16">
        <f>AVERAGE(F$5:F621)</f>
        <v>2.1915721231766616</v>
      </c>
      <c r="L621" s="16">
        <f>SUM(F$5:F621)/SUM(E$5:E621)</f>
        <v>0.74595906658575628</v>
      </c>
    </row>
    <row r="622" spans="1:12" x14ac:dyDescent="0.25">
      <c r="A622" s="29">
        <v>45728</v>
      </c>
      <c r="B622" s="16" t="s">
        <v>668</v>
      </c>
      <c r="C622" s="34">
        <v>1</v>
      </c>
      <c r="D622" s="16" t="s">
        <v>52</v>
      </c>
      <c r="E622" s="35">
        <v>3.2</v>
      </c>
      <c r="F622" s="35">
        <v>2.7</v>
      </c>
      <c r="G622" s="16" t="s">
        <v>44</v>
      </c>
      <c r="H622" s="16" t="s">
        <v>45</v>
      </c>
      <c r="I622" s="16">
        <f>COUNTIF(G$5:G622,"Y")/COUNTA(G$5:G622)</f>
        <v>0.8673139158576052</v>
      </c>
      <c r="J622" s="16">
        <f>COUNTIF(H$5:H622,"Y")/COUNTA(H$5:H622)</f>
        <v>5.5016181229773461E-2</v>
      </c>
      <c r="K622" s="16">
        <f>AVERAGE(F$5:F622)</f>
        <v>2.1923948220064728</v>
      </c>
      <c r="L622" s="16">
        <f>SUM(F$5:F622)/SUM(E$5:E622)</f>
        <v>0.74613139490060043</v>
      </c>
    </row>
    <row r="623" spans="1:12" x14ac:dyDescent="0.25">
      <c r="A623" s="29">
        <v>45729</v>
      </c>
      <c r="B623" s="16" t="s">
        <v>669</v>
      </c>
      <c r="C623" s="34">
        <v>1</v>
      </c>
      <c r="D623" s="16" t="s">
        <v>47</v>
      </c>
      <c r="E623" s="35">
        <v>2.9</v>
      </c>
      <c r="F623" s="35">
        <v>2.2000000000000002</v>
      </c>
      <c r="G623" s="16" t="s">
        <v>44</v>
      </c>
      <c r="H623" s="16" t="s">
        <v>45</v>
      </c>
      <c r="I623" s="16">
        <f>COUNTIF(G$5:G623,"Y")/COUNTA(G$5:G623)</f>
        <v>0.86752827140549271</v>
      </c>
      <c r="J623" s="16">
        <f>COUNTIF(H$5:H623,"Y")/COUNTA(H$5:H623)</f>
        <v>5.492730210016155E-2</v>
      </c>
      <c r="K623" s="16">
        <f>AVERAGE(F$5:F623)</f>
        <v>2.1924071082390957</v>
      </c>
      <c r="L623" s="16">
        <f>SUM(F$5:F623)/SUM(E$5:E623)</f>
        <v>0.74615130855509149</v>
      </c>
    </row>
    <row r="624" spans="1:12" x14ac:dyDescent="0.25">
      <c r="A624" s="29">
        <v>45730</v>
      </c>
      <c r="B624" s="16" t="s">
        <v>670</v>
      </c>
      <c r="C624" s="34">
        <v>1</v>
      </c>
      <c r="D624" s="16" t="s">
        <v>52</v>
      </c>
      <c r="E624" s="35">
        <v>1.8</v>
      </c>
      <c r="F624" s="35">
        <v>1.4</v>
      </c>
      <c r="G624" s="16" t="s">
        <v>45</v>
      </c>
      <c r="H624" s="16" t="s">
        <v>45</v>
      </c>
      <c r="I624" s="16">
        <f>COUNTIF(G$5:G624,"Y")/COUNTA(G$5:G624)</f>
        <v>0.86612903225806448</v>
      </c>
      <c r="J624" s="16">
        <f>COUNTIF(H$5:H624,"Y")/COUNTA(H$5:H624)</f>
        <v>5.4838709677419356E-2</v>
      </c>
      <c r="K624" s="16">
        <f>AVERAGE(F$5:F624)</f>
        <v>2.1911290322580652</v>
      </c>
      <c r="L624" s="16">
        <f>SUM(F$5:F624)/SUM(E$5:E624)</f>
        <v>0.74618257717236103</v>
      </c>
    </row>
    <row r="625" spans="1:13" x14ac:dyDescent="0.25">
      <c r="A625" s="29">
        <v>45726</v>
      </c>
      <c r="B625" s="16" t="s">
        <v>671</v>
      </c>
      <c r="C625" s="34">
        <v>1</v>
      </c>
      <c r="D625" s="16" t="s">
        <v>60</v>
      </c>
      <c r="E625" s="35">
        <v>1.4</v>
      </c>
      <c r="F625" s="35">
        <v>1.2</v>
      </c>
      <c r="G625" s="16" t="s">
        <v>44</v>
      </c>
      <c r="H625" s="16" t="s">
        <v>45</v>
      </c>
      <c r="I625" s="16">
        <f>COUNTIF(G$5:G625,"Y")/COUNTA(G$5:G625)</f>
        <v>0.86634460547504022</v>
      </c>
      <c r="J625" s="16">
        <f>COUNTIF(H$5:H625,"Y")/COUNTA(H$5:H625)</f>
        <v>5.4750402576489533E-2</v>
      </c>
      <c r="K625" s="16">
        <f>AVERAGE(F$5:F625)</f>
        <v>2.1895330112721427</v>
      </c>
      <c r="L625" s="16">
        <f>SUM(F$5:F625)/SUM(E$5:E625)</f>
        <v>0.74626783754116388</v>
      </c>
    </row>
    <row r="626" spans="1:13" x14ac:dyDescent="0.25">
      <c r="A626" s="29">
        <v>45727</v>
      </c>
      <c r="B626" s="16" t="s">
        <v>672</v>
      </c>
      <c r="C626" s="34">
        <v>1</v>
      </c>
      <c r="D626" s="16" t="s">
        <v>43</v>
      </c>
      <c r="E626" s="35">
        <v>5.6</v>
      </c>
      <c r="F626" s="35">
        <v>3.7</v>
      </c>
      <c r="G626" s="16" t="s">
        <v>44</v>
      </c>
      <c r="H626" s="16" t="s">
        <v>45</v>
      </c>
      <c r="I626" s="16">
        <f>COUNTIF(G$5:G626,"Y")/COUNTA(G$5:G626)</f>
        <v>0.86655948553054662</v>
      </c>
      <c r="J626" s="16">
        <f>COUNTIF(H$5:H626,"Y")/COUNTA(H$5:H626)</f>
        <v>5.4662379421221867E-2</v>
      </c>
      <c r="K626" s="16">
        <f>AVERAGE(F$5:F626)</f>
        <v>2.1919614147909976</v>
      </c>
      <c r="L626" s="16">
        <f>SUM(F$5:F626)/SUM(E$5:E626)</f>
        <v>0.74600569052309074</v>
      </c>
    </row>
    <row r="627" spans="1:13" x14ac:dyDescent="0.25">
      <c r="A627" s="29">
        <v>45728</v>
      </c>
      <c r="B627" s="16" t="s">
        <v>673</v>
      </c>
      <c r="C627" s="34">
        <v>1</v>
      </c>
      <c r="D627" s="16" t="s">
        <v>56</v>
      </c>
      <c r="E627" s="35">
        <v>3.7</v>
      </c>
      <c r="F627" s="35">
        <v>2.8</v>
      </c>
      <c r="G627" s="16" t="s">
        <v>44</v>
      </c>
      <c r="H627" s="16" t="s">
        <v>45</v>
      </c>
      <c r="I627" s="16">
        <f>COUNTIF(G$5:G627,"Y")/COUNTA(G$5:G627)</f>
        <v>0.8667736757624398</v>
      </c>
      <c r="J627" s="16">
        <f>COUNTIF(H$5:H627,"Y")/COUNTA(H$5:H627)</f>
        <v>5.4574638844301769E-2</v>
      </c>
      <c r="K627" s="16">
        <f>AVERAGE(F$5:F627)</f>
        <v>2.1929373996789736</v>
      </c>
      <c r="L627" s="16">
        <f>SUM(F$5:F627)/SUM(E$5:E627)</f>
        <v>0.74602741222082702</v>
      </c>
    </row>
    <row r="628" spans="1:13" x14ac:dyDescent="0.25">
      <c r="A628" s="29">
        <v>45729</v>
      </c>
      <c r="B628" s="16" t="s">
        <v>674</v>
      </c>
      <c r="C628" s="34">
        <v>1</v>
      </c>
      <c r="D628" s="16" t="s">
        <v>43</v>
      </c>
      <c r="E628" s="35">
        <v>4.3</v>
      </c>
      <c r="F628" s="35">
        <v>3.3</v>
      </c>
      <c r="G628" s="16" t="s">
        <v>44</v>
      </c>
      <c r="H628" s="16" t="s">
        <v>45</v>
      </c>
      <c r="I628" s="16">
        <f>COUNTIF(G$5:G628,"Y")/COUNTA(G$5:G628)</f>
        <v>0.86698717948717952</v>
      </c>
      <c r="J628" s="16">
        <f>COUNTIF(H$5:H628,"Y")/COUNTA(H$5:H628)</f>
        <v>5.4487179487179488E-2</v>
      </c>
      <c r="K628" s="16">
        <f>AVERAGE(F$5:F628)</f>
        <v>2.1947115384615392</v>
      </c>
      <c r="L628" s="16">
        <f>SUM(F$5:F628)/SUM(E$5:E628)</f>
        <v>0.74607757681412101</v>
      </c>
    </row>
    <row r="629" spans="1:13" x14ac:dyDescent="0.25">
      <c r="A629" s="29">
        <v>45730</v>
      </c>
      <c r="B629" s="16" t="s">
        <v>675</v>
      </c>
      <c r="C629" s="34">
        <v>1</v>
      </c>
      <c r="D629" s="16" t="s">
        <v>52</v>
      </c>
      <c r="E629" s="35">
        <v>4.9000000000000004</v>
      </c>
      <c r="F629" s="35">
        <v>3.7</v>
      </c>
      <c r="G629" s="16" t="s">
        <v>44</v>
      </c>
      <c r="H629" s="16" t="s">
        <v>45</v>
      </c>
      <c r="I629" s="16">
        <f>COUNTIF(G$5:G629,"Y")/COUNTA(G$5:G629)</f>
        <v>0.86719999999999997</v>
      </c>
      <c r="J629" s="16">
        <f>COUNTIF(H$5:H629,"Y")/COUNTA(H$5:H629)</f>
        <v>5.4399999999999997E-2</v>
      </c>
      <c r="K629" s="16">
        <f>AVERAGE(F$5:F629)</f>
        <v>2.1971200000000009</v>
      </c>
      <c r="L629" s="16">
        <f>SUM(F$5:F629)/SUM(E$5:E629)</f>
        <v>0.74610160282531945</v>
      </c>
    </row>
    <row r="630" spans="1:13" x14ac:dyDescent="0.25">
      <c r="A630" s="29">
        <v>45726</v>
      </c>
      <c r="B630" s="16" t="s">
        <v>676</v>
      </c>
      <c r="C630" s="34">
        <v>1</v>
      </c>
      <c r="D630" s="16" t="s">
        <v>56</v>
      </c>
      <c r="E630" s="35">
        <v>0.6</v>
      </c>
      <c r="F630" s="35">
        <v>0.5</v>
      </c>
      <c r="G630" s="16" t="s">
        <v>44</v>
      </c>
      <c r="H630" s="16" t="s">
        <v>45</v>
      </c>
      <c r="I630" s="16">
        <f>COUNTIF(G$5:G630,"Y")/COUNTA(G$5:G630)</f>
        <v>0.86741214057507987</v>
      </c>
      <c r="J630" s="16">
        <f>COUNTIF(H$5:H630,"Y")/COUNTA(H$5:H630)</f>
        <v>5.4313099041533544E-2</v>
      </c>
      <c r="K630" s="16">
        <f>AVERAGE(F$5:F630)</f>
        <v>2.1944089456869018</v>
      </c>
      <c r="L630" s="16">
        <f>SUM(F$5:F630)/SUM(E$5:E630)</f>
        <v>0.74613003095975261</v>
      </c>
    </row>
    <row r="631" spans="1:13" x14ac:dyDescent="0.25">
      <c r="A631" s="29">
        <v>45727</v>
      </c>
      <c r="B631" s="16" t="s">
        <v>677</v>
      </c>
      <c r="C631" s="34">
        <v>1</v>
      </c>
      <c r="D631" s="16" t="s">
        <v>43</v>
      </c>
      <c r="E631" s="35">
        <v>0.6</v>
      </c>
      <c r="F631" s="35">
        <v>0.5</v>
      </c>
      <c r="G631" s="16" t="s">
        <v>45</v>
      </c>
      <c r="H631" s="16" t="s">
        <v>45</v>
      </c>
      <c r="I631" s="16">
        <f>COUNTIF(G$5:G631,"Y")/COUNTA(G$5:G631)</f>
        <v>0.86602870813397126</v>
      </c>
      <c r="J631" s="16">
        <f>COUNTIF(H$5:H631,"Y")/COUNTA(H$5:H631)</f>
        <v>5.4226475279106859E-2</v>
      </c>
      <c r="K631" s="16">
        <f>AVERAGE(F$5:F631)</f>
        <v>2.191706539074961</v>
      </c>
      <c r="L631" s="16">
        <f>SUM(F$5:F631)/SUM(E$5:E631)</f>
        <v>0.74615844057121172</v>
      </c>
    </row>
    <row r="632" spans="1:13" x14ac:dyDescent="0.25">
      <c r="A632" s="29">
        <v>45728</v>
      </c>
      <c r="B632" s="16" t="s">
        <v>678</v>
      </c>
      <c r="C632" s="34">
        <v>1</v>
      </c>
      <c r="D632" s="16" t="s">
        <v>50</v>
      </c>
      <c r="E632" s="35">
        <v>0.7</v>
      </c>
      <c r="F632" s="35">
        <v>0.5</v>
      </c>
      <c r="G632" s="16" t="s">
        <v>44</v>
      </c>
      <c r="H632" s="16" t="s">
        <v>45</v>
      </c>
      <c r="I632" s="16">
        <f>COUNTIF(G$5:G632,"Y")/COUNTA(G$5:G632)</f>
        <v>0.86624203821656054</v>
      </c>
      <c r="J632" s="16">
        <f>COUNTIF(H$5:H632,"Y")/COUNTA(H$5:H632)</f>
        <v>5.4140127388535034E-2</v>
      </c>
      <c r="K632" s="16">
        <f>AVERAGE(F$5:F632)</f>
        <v>2.1890127388535041</v>
      </c>
      <c r="L632" s="16">
        <f>SUM(F$5:F632)/SUM(E$5:E632)</f>
        <v>0.74614633087277493</v>
      </c>
    </row>
    <row r="633" spans="1:13" x14ac:dyDescent="0.25">
      <c r="A633" s="29">
        <v>45729</v>
      </c>
      <c r="B633" s="16" t="s">
        <v>679</v>
      </c>
      <c r="C633" s="34">
        <v>1</v>
      </c>
      <c r="D633" s="16" t="s">
        <v>50</v>
      </c>
      <c r="E633" s="35">
        <v>1.3</v>
      </c>
      <c r="F633" s="35">
        <v>0.5</v>
      </c>
      <c r="G633" s="16" t="s">
        <v>44</v>
      </c>
      <c r="H633" s="16" t="s">
        <v>45</v>
      </c>
      <c r="I633" s="16">
        <f>COUNTIF(G$5:G633,"Y")/COUNTA(G$5:G633)</f>
        <v>0.8664546899841018</v>
      </c>
      <c r="J633" s="16">
        <f>COUNTIF(H$5:H633,"Y")/COUNTA(H$5:H633)</f>
        <v>5.4054054054054057E-2</v>
      </c>
      <c r="K633" s="16">
        <f>AVERAGE(F$5:F633)</f>
        <v>2.1863275039745638</v>
      </c>
      <c r="L633" s="16">
        <f>SUM(F$5:F633)/SUM(E$5:E633)</f>
        <v>0.74589141400444792</v>
      </c>
      <c r="M633" s="16">
        <v>14</v>
      </c>
    </row>
    <row r="634" spans="1:13" x14ac:dyDescent="0.25">
      <c r="A634" s="29">
        <v>45733</v>
      </c>
      <c r="B634" s="16" t="s">
        <v>680</v>
      </c>
      <c r="C634" s="34">
        <v>1</v>
      </c>
      <c r="D634" s="16" t="s">
        <v>50</v>
      </c>
      <c r="E634" s="35">
        <v>4.4000000000000004</v>
      </c>
      <c r="F634" s="35">
        <v>3.6</v>
      </c>
      <c r="G634" s="16" t="s">
        <v>44</v>
      </c>
      <c r="H634" s="16" t="s">
        <v>45</v>
      </c>
      <c r="I634" s="16">
        <f>COUNTIF(G$5:G634,"Y")/COUNTA(G$5:G634)</f>
        <v>0.8666666666666667</v>
      </c>
      <c r="J634" s="16">
        <f>COUNTIF(H$5:H634,"Y")/COUNTA(H$5:H634)</f>
        <v>5.3968253968253971E-2</v>
      </c>
      <c r="K634" s="16">
        <f>AVERAGE(F$5:F634)</f>
        <v>2.1885714285714291</v>
      </c>
      <c r="L634" s="16">
        <f>SUM(F$5:F634)/SUM(E$5:E634)</f>
        <v>0.74606352470104453</v>
      </c>
    </row>
    <row r="635" spans="1:13" x14ac:dyDescent="0.25">
      <c r="A635" s="29">
        <v>45734</v>
      </c>
      <c r="B635" s="16" t="s">
        <v>681</v>
      </c>
      <c r="C635" s="34">
        <v>1</v>
      </c>
      <c r="D635" s="16" t="s">
        <v>60</v>
      </c>
      <c r="E635" s="35">
        <v>3.8</v>
      </c>
      <c r="F635" s="35">
        <v>2.9</v>
      </c>
      <c r="G635" s="16" t="s">
        <v>44</v>
      </c>
      <c r="H635" s="16" t="s">
        <v>45</v>
      </c>
      <c r="I635" s="16">
        <f>COUNTIF(G$5:G635,"Y")/COUNTA(G$5:G635)</f>
        <v>0.86687797147385104</v>
      </c>
      <c r="J635" s="16">
        <f>COUNTIF(H$5:H635,"Y")/COUNTA(H$5:H635)</f>
        <v>5.388272583201268E-2</v>
      </c>
      <c r="K635" s="16">
        <f>AVERAGE(F$5:F635)</f>
        <v>2.1896988906497632</v>
      </c>
      <c r="L635" s="16">
        <f>SUM(F$5:F635)/SUM(E$5:E635)</f>
        <v>0.74609860143636297</v>
      </c>
    </row>
    <row r="636" spans="1:13" x14ac:dyDescent="0.25">
      <c r="A636" s="29">
        <v>45735</v>
      </c>
      <c r="B636" s="16" t="s">
        <v>682</v>
      </c>
      <c r="C636" s="34">
        <v>1</v>
      </c>
      <c r="D636" s="16" t="s">
        <v>47</v>
      </c>
      <c r="E636" s="35">
        <v>3.2</v>
      </c>
      <c r="F636" s="35">
        <v>2.6</v>
      </c>
      <c r="G636" s="16" t="s">
        <v>45</v>
      </c>
      <c r="H636" s="16" t="s">
        <v>45</v>
      </c>
      <c r="I636" s="16">
        <f>COUNTIF(G$5:G636,"Y")/COUNTA(G$5:G636)</f>
        <v>0.865506329113924</v>
      </c>
      <c r="J636" s="16">
        <f>COUNTIF(H$5:H636,"Y")/COUNTA(H$5:H636)</f>
        <v>5.3797468354430382E-2</v>
      </c>
      <c r="K636" s="16">
        <f>AVERAGE(F$5:F636)</f>
        <v>2.1903481012658235</v>
      </c>
      <c r="L636" s="16">
        <f>SUM(F$5:F636)/SUM(E$5:E636)</f>
        <v>0.74621314214867152</v>
      </c>
    </row>
    <row r="637" spans="1:13" x14ac:dyDescent="0.25">
      <c r="A637" s="29">
        <v>45736</v>
      </c>
      <c r="B637" s="16" t="s">
        <v>683</v>
      </c>
      <c r="C637" s="34">
        <v>1</v>
      </c>
      <c r="D637" s="16" t="s">
        <v>50</v>
      </c>
      <c r="E637" s="35">
        <v>3.5</v>
      </c>
      <c r="F637" s="35">
        <v>3.2</v>
      </c>
      <c r="G637" s="16" t="s">
        <v>44</v>
      </c>
      <c r="H637" s="16" t="s">
        <v>45</v>
      </c>
      <c r="I637" s="16">
        <f>COUNTIF(G$5:G637,"Y")/COUNTA(G$5:G637)</f>
        <v>0.86571879936808849</v>
      </c>
      <c r="J637" s="16">
        <f>COUNTIF(H$5:H637,"Y")/COUNTA(H$5:H637)</f>
        <v>5.3712480252764615E-2</v>
      </c>
      <c r="K637" s="16">
        <f>AVERAGE(F$5:F637)</f>
        <v>2.191943127962086</v>
      </c>
      <c r="L637" s="16">
        <f>SUM(F$5:F637)/SUM(E$5:E637)</f>
        <v>0.74652964597008531</v>
      </c>
    </row>
    <row r="638" spans="1:13" x14ac:dyDescent="0.25">
      <c r="A638" s="29">
        <v>45737</v>
      </c>
      <c r="B638" s="16" t="s">
        <v>684</v>
      </c>
      <c r="C638" s="34">
        <v>1</v>
      </c>
      <c r="D638" s="16" t="s">
        <v>64</v>
      </c>
      <c r="E638" s="35">
        <v>1.9</v>
      </c>
      <c r="F638" s="35">
        <v>1.4</v>
      </c>
      <c r="G638" s="16" t="s">
        <v>44</v>
      </c>
      <c r="H638" s="16" t="s">
        <v>45</v>
      </c>
      <c r="I638" s="16">
        <f>COUNTIF(G$5:G638,"Y")/COUNTA(G$5:G638)</f>
        <v>0.86593059936908512</v>
      </c>
      <c r="J638" s="16">
        <f>COUNTIF(H$5:H638,"Y")/COUNTA(H$5:H638)</f>
        <v>5.362776025236593E-2</v>
      </c>
      <c r="K638" s="16">
        <f>AVERAGE(F$5:F638)</f>
        <v>2.1906940063091493</v>
      </c>
      <c r="L638" s="16">
        <f>SUM(F$5:F638)/SUM(E$5:E638)</f>
        <v>0.74651975275463611</v>
      </c>
    </row>
    <row r="639" spans="1:13" x14ac:dyDescent="0.25">
      <c r="A639" s="29">
        <v>45733</v>
      </c>
      <c r="B639" s="16" t="s">
        <v>685</v>
      </c>
      <c r="C639" s="34">
        <v>1</v>
      </c>
      <c r="D639" s="16" t="s">
        <v>60</v>
      </c>
      <c r="E639" s="35">
        <v>2.8</v>
      </c>
      <c r="F639" s="35">
        <v>2.5</v>
      </c>
      <c r="G639" s="16" t="s">
        <v>44</v>
      </c>
      <c r="H639" s="16" t="s">
        <v>45</v>
      </c>
      <c r="I639" s="16">
        <f>COUNTIF(G$5:G639,"Y")/COUNTA(G$5:G639)</f>
        <v>0.86614173228346458</v>
      </c>
      <c r="J639" s="16">
        <f>COUNTIF(H$5:H639,"Y")/COUNTA(H$5:H639)</f>
        <v>5.3543307086614172E-2</v>
      </c>
      <c r="K639" s="16">
        <f>AVERAGE(F$5:F639)</f>
        <v>2.1911811023622056</v>
      </c>
      <c r="L639" s="16">
        <f>SUM(F$5:F639)/SUM(E$5:E639)</f>
        <v>0.74673965545000831</v>
      </c>
    </row>
    <row r="640" spans="1:13" x14ac:dyDescent="0.25">
      <c r="A640" s="29">
        <v>45734</v>
      </c>
      <c r="B640" s="16" t="s">
        <v>686</v>
      </c>
      <c r="C640" s="34">
        <v>1</v>
      </c>
      <c r="D640" s="16" t="s">
        <v>64</v>
      </c>
      <c r="E640" s="35">
        <v>4.7</v>
      </c>
      <c r="F640" s="35">
        <v>3.7</v>
      </c>
      <c r="G640" s="16" t="s">
        <v>44</v>
      </c>
      <c r="H640" s="16" t="s">
        <v>45</v>
      </c>
      <c r="I640" s="16">
        <f>COUNTIF(G$5:G640,"Y")/COUNTA(G$5:G640)</f>
        <v>0.86635220125786161</v>
      </c>
      <c r="J640" s="16">
        <f>COUNTIF(H$5:H640,"Y")/COUNTA(H$5:H640)</f>
        <v>5.3459119496855348E-2</v>
      </c>
      <c r="K640" s="16">
        <f>AVERAGE(F$5:F640)</f>
        <v>2.1935534591194976</v>
      </c>
      <c r="L640" s="16">
        <f>SUM(F$5:F640)/SUM(E$5:E640)</f>
        <v>0.74684154175588902</v>
      </c>
    </row>
    <row r="641" spans="1:12" x14ac:dyDescent="0.25">
      <c r="A641" s="29">
        <v>45735</v>
      </c>
      <c r="B641" s="16" t="s">
        <v>687</v>
      </c>
      <c r="C641" s="34">
        <v>1</v>
      </c>
      <c r="D641" s="16" t="s">
        <v>47</v>
      </c>
      <c r="E641" s="35">
        <v>1.7</v>
      </c>
      <c r="F641" s="35">
        <v>1.2</v>
      </c>
      <c r="G641" s="16" t="s">
        <v>44</v>
      </c>
      <c r="H641" s="16" t="s">
        <v>45</v>
      </c>
      <c r="I641" s="16">
        <f>COUNTIF(G$5:G641,"Y")/COUNTA(G$5:G641)</f>
        <v>0.86656200941915229</v>
      </c>
      <c r="J641" s="16">
        <f>COUNTIF(H$5:H641,"Y")/COUNTA(H$5:H641)</f>
        <v>5.3375196232339092E-2</v>
      </c>
      <c r="K641" s="16">
        <f>AVERAGE(F$5:F641)</f>
        <v>2.1919937205651503</v>
      </c>
      <c r="L641" s="16">
        <f>SUM(F$5:F641)/SUM(E$5:E641)</f>
        <v>0.74680430015510546</v>
      </c>
    </row>
    <row r="642" spans="1:12" x14ac:dyDescent="0.25">
      <c r="A642" s="29">
        <v>45736</v>
      </c>
      <c r="B642" s="16" t="s">
        <v>688</v>
      </c>
      <c r="C642" s="34">
        <v>1</v>
      </c>
      <c r="D642" s="16" t="s">
        <v>43</v>
      </c>
      <c r="E642" s="35">
        <v>2.4</v>
      </c>
      <c r="F642" s="35">
        <v>1.8</v>
      </c>
      <c r="G642" s="16" t="s">
        <v>44</v>
      </c>
      <c r="H642" s="16" t="s">
        <v>45</v>
      </c>
      <c r="I642" s="16">
        <f>COUNTIF(G$5:G642,"Y")/COUNTA(G$5:G642)</f>
        <v>0.86677115987460818</v>
      </c>
      <c r="J642" s="16">
        <f>COUNTIF(H$5:H642,"Y")/COUNTA(H$5:H642)</f>
        <v>5.329153605015674E-2</v>
      </c>
      <c r="K642" s="16">
        <f>AVERAGE(F$5:F642)</f>
        <v>2.1913793103448285</v>
      </c>
      <c r="L642" s="16">
        <f>SUM(F$5:F642)/SUM(E$5:E642)</f>
        <v>0.74680839698734069</v>
      </c>
    </row>
    <row r="643" spans="1:12" x14ac:dyDescent="0.25">
      <c r="A643" s="29">
        <v>45737</v>
      </c>
      <c r="B643" s="16" t="s">
        <v>689</v>
      </c>
      <c r="C643" s="34">
        <v>1</v>
      </c>
      <c r="D643" s="16" t="s">
        <v>43</v>
      </c>
      <c r="E643" s="35">
        <v>2</v>
      </c>
      <c r="F643" s="35">
        <v>1.5</v>
      </c>
      <c r="G643" s="16" t="s">
        <v>44</v>
      </c>
      <c r="H643" s="16" t="s">
        <v>45</v>
      </c>
      <c r="I643" s="16">
        <f>COUNTIF(G$5:G643,"Y")/COUNTA(G$5:G643)</f>
        <v>0.86697965571205005</v>
      </c>
      <c r="J643" s="16">
        <f>COUNTIF(H$5:H643,"Y")/COUNTA(H$5:H643)</f>
        <v>5.3208137715179966E-2</v>
      </c>
      <c r="K643" s="16">
        <f>AVERAGE(F$5:F643)</f>
        <v>2.1902973395931151</v>
      </c>
      <c r="L643" s="16">
        <f>SUM(F$5:F643)/SUM(E$5:E643)</f>
        <v>0.74681180299877303</v>
      </c>
    </row>
    <row r="644" spans="1:12" x14ac:dyDescent="0.25">
      <c r="A644" s="29">
        <v>45733</v>
      </c>
      <c r="B644" s="16" t="s">
        <v>690</v>
      </c>
      <c r="C644" s="34">
        <v>1</v>
      </c>
      <c r="D644" s="16" t="s">
        <v>60</v>
      </c>
      <c r="E644" s="35">
        <v>2.2999999999999998</v>
      </c>
      <c r="F644" s="35">
        <v>1.6</v>
      </c>
      <c r="G644" s="16" t="s">
        <v>44</v>
      </c>
      <c r="H644" s="16" t="s">
        <v>45</v>
      </c>
      <c r="I644" s="16">
        <f>COUNTIF(G$5:G644,"Y")/COUNTA(G$5:G644)</f>
        <v>0.8671875</v>
      </c>
      <c r="J644" s="16">
        <f>COUNTIF(H$5:H644,"Y")/COUNTA(H$5:H644)</f>
        <v>5.3124999999999999E-2</v>
      </c>
      <c r="K644" s="16">
        <f>AVERAGE(F$5:F644)</f>
        <v>2.189375000000001</v>
      </c>
      <c r="L644" s="16">
        <f>SUM(F$5:F644)/SUM(E$5:E644)</f>
        <v>0.74674909400980627</v>
      </c>
    </row>
    <row r="645" spans="1:12" x14ac:dyDescent="0.25">
      <c r="A645" s="29">
        <v>45734</v>
      </c>
      <c r="B645" s="16" t="s">
        <v>691</v>
      </c>
      <c r="C645" s="34">
        <v>1</v>
      </c>
      <c r="D645" s="16" t="s">
        <v>50</v>
      </c>
      <c r="E645" s="35">
        <v>2.7</v>
      </c>
      <c r="F645" s="35">
        <v>2</v>
      </c>
      <c r="G645" s="16" t="s">
        <v>44</v>
      </c>
      <c r="H645" s="16" t="s">
        <v>45</v>
      </c>
      <c r="I645" s="16">
        <f>COUNTIF(G$5:G645,"Y")/COUNTA(G$5:G645)</f>
        <v>0.86739469578783146</v>
      </c>
      <c r="J645" s="16">
        <f>COUNTIF(H$5:H645,"Y")/COUNTA(H$5:H645)</f>
        <v>5.3042121684867397E-2</v>
      </c>
      <c r="K645" s="16">
        <f>AVERAGE(F$5:F645)</f>
        <v>2.1890795631825282</v>
      </c>
      <c r="L645" s="16">
        <f>SUM(F$5:F645)/SUM(E$5:E645)</f>
        <v>0.74674046085892198</v>
      </c>
    </row>
    <row r="646" spans="1:12" x14ac:dyDescent="0.25">
      <c r="A646" s="29">
        <v>45735</v>
      </c>
      <c r="B646" s="16" t="s">
        <v>692</v>
      </c>
      <c r="C646" s="34">
        <v>1</v>
      </c>
      <c r="D646" s="16" t="s">
        <v>47</v>
      </c>
      <c r="E646" s="35">
        <v>2.2999999999999998</v>
      </c>
      <c r="F646" s="35">
        <v>1.9</v>
      </c>
      <c r="G646" s="16" t="s">
        <v>44</v>
      </c>
      <c r="H646" s="16" t="s">
        <v>45</v>
      </c>
      <c r="I646" s="16">
        <f>COUNTIF(G$5:G646,"Y")/COUNTA(G$5:G646)</f>
        <v>0.86760124610591904</v>
      </c>
      <c r="J646" s="16">
        <f>COUNTIF(H$5:H646,"Y")/COUNTA(H$5:H646)</f>
        <v>5.2959501557632398E-2</v>
      </c>
      <c r="K646" s="16">
        <f>AVERAGE(F$5:F646)</f>
        <v>2.1886292834890977</v>
      </c>
      <c r="L646" s="16">
        <f>SUM(F$5:F646)/SUM(E$5:E646)</f>
        <v>0.74683746146486685</v>
      </c>
    </row>
    <row r="647" spans="1:12" x14ac:dyDescent="0.25">
      <c r="A647" s="29">
        <v>45736</v>
      </c>
      <c r="B647" s="16" t="s">
        <v>693</v>
      </c>
      <c r="C647" s="34">
        <v>1</v>
      </c>
      <c r="D647" s="16" t="s">
        <v>43</v>
      </c>
      <c r="E647" s="35">
        <v>4.5</v>
      </c>
      <c r="F647" s="35">
        <v>3.9</v>
      </c>
      <c r="G647" s="16" t="s">
        <v>44</v>
      </c>
      <c r="H647" s="16" t="s">
        <v>45</v>
      </c>
      <c r="I647" s="16">
        <f>COUNTIF(G$5:G647,"Y")/COUNTA(G$5:G647)</f>
        <v>0.86780715396578534</v>
      </c>
      <c r="J647" s="16">
        <f>COUNTIF(H$5:H647,"Y")/COUNTA(H$5:H647)</f>
        <v>5.2877138413685847E-2</v>
      </c>
      <c r="K647" s="16">
        <f>AVERAGE(F$5:F647)</f>
        <v>2.1912908242612765</v>
      </c>
      <c r="L647" s="16">
        <f>SUM(F$5:F647)/SUM(E$5:E647)</f>
        <v>0.74712338936316913</v>
      </c>
    </row>
    <row r="648" spans="1:12" x14ac:dyDescent="0.25">
      <c r="A648" s="29">
        <v>45737</v>
      </c>
      <c r="B648" s="16" t="s">
        <v>694</v>
      </c>
      <c r="C648" s="34">
        <v>1</v>
      </c>
      <c r="D648" s="16" t="s">
        <v>52</v>
      </c>
      <c r="E648" s="35">
        <v>2.8</v>
      </c>
      <c r="F648" s="35">
        <v>2.2999999999999998</v>
      </c>
      <c r="G648" s="16" t="s">
        <v>44</v>
      </c>
      <c r="H648" s="16" t="s">
        <v>45</v>
      </c>
      <c r="I648" s="16">
        <f>COUNTIF(G$5:G648,"Y")/COUNTA(G$5:G648)</f>
        <v>0.86801242236024845</v>
      </c>
      <c r="J648" s="16">
        <f>COUNTIF(H$5:H648,"Y")/COUNTA(H$5:H648)</f>
        <v>5.2795031055900624E-2</v>
      </c>
      <c r="K648" s="16">
        <f>AVERAGE(F$5:F648)</f>
        <v>2.1914596273291935</v>
      </c>
      <c r="L648" s="16">
        <f>SUM(F$5:F648)/SUM(E$5:E648)</f>
        <v>0.74723354688410049</v>
      </c>
    </row>
    <row r="649" spans="1:12" x14ac:dyDescent="0.25">
      <c r="A649" s="29">
        <v>45733</v>
      </c>
      <c r="B649" s="16" t="s">
        <v>695</v>
      </c>
      <c r="C649" s="34">
        <v>1</v>
      </c>
      <c r="D649" s="16" t="s">
        <v>60</v>
      </c>
      <c r="E649" s="35">
        <v>3.8</v>
      </c>
      <c r="F649" s="35">
        <v>3.2</v>
      </c>
      <c r="G649" s="16" t="s">
        <v>44</v>
      </c>
      <c r="H649" s="16" t="s">
        <v>45</v>
      </c>
      <c r="I649" s="16">
        <f>COUNTIF(G$5:G649,"Y")/COUNTA(G$5:G649)</f>
        <v>0.86821705426356588</v>
      </c>
      <c r="J649" s="16">
        <f>COUNTIF(H$5:H649,"Y")/COUNTA(H$5:H649)</f>
        <v>5.2713178294573643E-2</v>
      </c>
      <c r="K649" s="16">
        <f>AVERAGE(F$5:F649)</f>
        <v>2.1930232558139546</v>
      </c>
      <c r="L649" s="16">
        <f>SUM(F$5:F649)/SUM(E$5:E649)</f>
        <v>0.74742404227212722</v>
      </c>
    </row>
    <row r="650" spans="1:12" x14ac:dyDescent="0.25">
      <c r="A650" s="29">
        <v>45734</v>
      </c>
      <c r="B650" s="16" t="s">
        <v>696</v>
      </c>
      <c r="C650" s="34">
        <v>1</v>
      </c>
      <c r="D650" s="16" t="s">
        <v>56</v>
      </c>
      <c r="E650" s="35">
        <v>4.2</v>
      </c>
      <c r="F650" s="35">
        <v>3.1</v>
      </c>
      <c r="G650" s="16" t="s">
        <v>44</v>
      </c>
      <c r="H650" s="16" t="s">
        <v>45</v>
      </c>
      <c r="I650" s="16">
        <f>COUNTIF(G$5:G650,"Y")/COUNTA(G$5:G650)</f>
        <v>0.86842105263157898</v>
      </c>
      <c r="J650" s="16">
        <f>COUNTIF(H$5:H650,"Y")/COUNTA(H$5:H650)</f>
        <v>5.2631578947368418E-2</v>
      </c>
      <c r="K650" s="16">
        <f>AVERAGE(F$5:F650)</f>
        <v>2.1944272445820441</v>
      </c>
      <c r="L650" s="16">
        <f>SUM(F$5:F650)/SUM(E$5:E650)</f>
        <v>0.74740338482627755</v>
      </c>
    </row>
    <row r="651" spans="1:12" x14ac:dyDescent="0.25">
      <c r="A651" s="29">
        <v>45735</v>
      </c>
      <c r="B651" s="16" t="s">
        <v>697</v>
      </c>
      <c r="C651" s="34">
        <v>1</v>
      </c>
      <c r="D651" s="16" t="s">
        <v>50</v>
      </c>
      <c r="E651" s="35">
        <v>1.5</v>
      </c>
      <c r="F651" s="35">
        <v>1.2</v>
      </c>
      <c r="G651" s="16" t="s">
        <v>44</v>
      </c>
      <c r="H651" s="16" t="s">
        <v>45</v>
      </c>
      <c r="I651" s="16">
        <f>COUNTIF(G$5:G651,"Y")/COUNTA(G$5:G651)</f>
        <v>0.86862442040185472</v>
      </c>
      <c r="J651" s="16">
        <f>COUNTIF(H$5:H651,"Y")/COUNTA(H$5:H651)</f>
        <v>5.2550231839258117E-2</v>
      </c>
      <c r="K651" s="16">
        <f>AVERAGE(F$5:F651)</f>
        <v>2.1928902627511602</v>
      </c>
      <c r="L651" s="16">
        <f>SUM(F$5:F651)/SUM(E$5:E651)</f>
        <v>0.74744494784532745</v>
      </c>
    </row>
    <row r="652" spans="1:12" x14ac:dyDescent="0.25">
      <c r="A652" s="29">
        <v>45736</v>
      </c>
      <c r="B652" s="16" t="s">
        <v>698</v>
      </c>
      <c r="C652" s="34">
        <v>1</v>
      </c>
      <c r="D652" s="16" t="s">
        <v>56</v>
      </c>
      <c r="E652" s="35">
        <v>1.8</v>
      </c>
      <c r="F652" s="35">
        <v>1.5</v>
      </c>
      <c r="G652" s="16" t="s">
        <v>44</v>
      </c>
      <c r="H652" s="16" t="s">
        <v>44</v>
      </c>
      <c r="I652" s="16">
        <f>COUNTIF(G$5:G652,"Y")/COUNTA(G$5:G652)</f>
        <v>0.86882716049382713</v>
      </c>
      <c r="J652" s="16">
        <f>COUNTIF(H$5:H652,"Y")/COUNTA(H$5:H652)</f>
        <v>5.4012345679012343E-2</v>
      </c>
      <c r="K652" s="16">
        <f>AVERAGE(F$5:F652)</f>
        <v>2.1918209876543218</v>
      </c>
      <c r="L652" s="16">
        <f>SUM(F$5:F652)/SUM(E$5:E652)</f>
        <v>0.74752631578947404</v>
      </c>
    </row>
    <row r="653" spans="1:12" x14ac:dyDescent="0.25">
      <c r="A653" s="29">
        <v>45737</v>
      </c>
      <c r="B653" s="16" t="s">
        <v>699</v>
      </c>
      <c r="C653" s="34">
        <v>1</v>
      </c>
      <c r="D653" s="16" t="s">
        <v>50</v>
      </c>
      <c r="E653" s="35">
        <v>3.5</v>
      </c>
      <c r="F653" s="35">
        <v>3.2</v>
      </c>
      <c r="G653" s="16" t="s">
        <v>44</v>
      </c>
      <c r="H653" s="16" t="s">
        <v>45</v>
      </c>
      <c r="I653" s="16">
        <f>COUNTIF(G$5:G653,"Y")/COUNTA(G$5:G653)</f>
        <v>0.86902927580893685</v>
      </c>
      <c r="J653" s="16">
        <f>COUNTIF(H$5:H653,"Y")/COUNTA(H$5:H653)</f>
        <v>5.3929121725731895E-2</v>
      </c>
      <c r="K653" s="16">
        <f>AVERAGE(F$5:F653)</f>
        <v>2.1933744221879827</v>
      </c>
      <c r="L653" s="16">
        <f>SUM(F$5:F653)/SUM(E$5:E653)</f>
        <v>0.74783293932230144</v>
      </c>
    </row>
    <row r="654" spans="1:12" x14ac:dyDescent="0.25">
      <c r="A654" s="29">
        <v>45733</v>
      </c>
      <c r="B654" s="16" t="s">
        <v>700</v>
      </c>
      <c r="C654" s="34">
        <v>1</v>
      </c>
      <c r="D654" s="16" t="s">
        <v>52</v>
      </c>
      <c r="E654" s="35">
        <v>4.5</v>
      </c>
      <c r="F654" s="35">
        <v>3.2</v>
      </c>
      <c r="G654" s="16" t="s">
        <v>44</v>
      </c>
      <c r="H654" s="16" t="s">
        <v>45</v>
      </c>
      <c r="I654" s="16">
        <f>COUNTIF(G$5:G654,"Y")/COUNTA(G$5:G654)</f>
        <v>0.86923076923076925</v>
      </c>
      <c r="J654" s="16">
        <f>COUNTIF(H$5:H654,"Y")/COUNTA(H$5:H654)</f>
        <v>5.3846153846153849E-2</v>
      </c>
      <c r="K654" s="16">
        <f>AVERAGE(F$5:F654)</f>
        <v>2.1949230769230779</v>
      </c>
      <c r="L654" s="16">
        <f>SUM(F$5:F654)/SUM(E$5:E654)</f>
        <v>0.74774633123689771</v>
      </c>
    </row>
    <row r="655" spans="1:12" x14ac:dyDescent="0.25">
      <c r="A655" s="29">
        <v>45734</v>
      </c>
      <c r="B655" s="16" t="s">
        <v>701</v>
      </c>
      <c r="C655" s="34">
        <v>1</v>
      </c>
      <c r="D655" s="16" t="s">
        <v>47</v>
      </c>
      <c r="E655" s="35">
        <v>5.0999999999999996</v>
      </c>
      <c r="F655" s="35">
        <v>4.0999999999999996</v>
      </c>
      <c r="G655" s="16" t="s">
        <v>44</v>
      </c>
      <c r="H655" s="16" t="s">
        <v>45</v>
      </c>
      <c r="I655" s="16">
        <f>COUNTIF(G$5:G655,"Y")/COUNTA(G$5:G655)</f>
        <v>0.86943164362519199</v>
      </c>
      <c r="J655" s="16">
        <f>COUNTIF(H$5:H655,"Y")/COUNTA(H$5:H655)</f>
        <v>5.3763440860215055E-2</v>
      </c>
      <c r="K655" s="16">
        <f>AVERAGE(F$5:F655)</f>
        <v>2.1978494623655922</v>
      </c>
      <c r="L655" s="16">
        <f>SUM(F$5:F655)/SUM(E$5:E655)</f>
        <v>0.74789608488840142</v>
      </c>
    </row>
    <row r="656" spans="1:12" x14ac:dyDescent="0.25">
      <c r="A656" s="29">
        <v>45735</v>
      </c>
      <c r="B656" s="16" t="s">
        <v>702</v>
      </c>
      <c r="C656" s="34">
        <v>1</v>
      </c>
      <c r="D656" s="16" t="s">
        <v>60</v>
      </c>
      <c r="E656" s="35">
        <v>1.7</v>
      </c>
      <c r="F656" s="35">
        <v>1.5</v>
      </c>
      <c r="G656" s="16" t="s">
        <v>44</v>
      </c>
      <c r="H656" s="16" t="s">
        <v>45</v>
      </c>
      <c r="I656" s="16">
        <f>COUNTIF(G$5:G656,"Y")/COUNTA(G$5:G656)</f>
        <v>0.86963190184049077</v>
      </c>
      <c r="J656" s="16">
        <f>COUNTIF(H$5:H656,"Y")/COUNTA(H$5:H656)</f>
        <v>5.3680981595092027E-2</v>
      </c>
      <c r="K656" s="16">
        <f>AVERAGE(F$5:F656)</f>
        <v>2.1967791411042956</v>
      </c>
      <c r="L656" s="16">
        <f>SUM(F$5:F656)/SUM(E$5:E656)</f>
        <v>0.74801545853352869</v>
      </c>
    </row>
    <row r="657" spans="1:12" x14ac:dyDescent="0.25">
      <c r="A657" s="29">
        <v>45736</v>
      </c>
      <c r="B657" s="16" t="s">
        <v>703</v>
      </c>
      <c r="C657" s="34">
        <v>1</v>
      </c>
      <c r="D657" s="16" t="s">
        <v>64</v>
      </c>
      <c r="E657" s="35">
        <v>3.2</v>
      </c>
      <c r="F657" s="35">
        <v>2.2999999999999998</v>
      </c>
      <c r="G657" s="16" t="s">
        <v>44</v>
      </c>
      <c r="H657" s="16" t="s">
        <v>44</v>
      </c>
      <c r="I657" s="16">
        <f>COUNTIF(G$5:G657,"Y")/COUNTA(G$5:G657)</f>
        <v>0.86983154670750384</v>
      </c>
      <c r="J657" s="16">
        <f>COUNTIF(H$5:H657,"Y")/COUNTA(H$5:H657)</f>
        <v>5.5130168453292494E-2</v>
      </c>
      <c r="K657" s="16">
        <f>AVERAGE(F$5:F657)</f>
        <v>2.1969372128637068</v>
      </c>
      <c r="L657" s="16">
        <f>SUM(F$5:F657)/SUM(E$5:E657)</f>
        <v>0.74796663190823809</v>
      </c>
    </row>
    <row r="658" spans="1:12" x14ac:dyDescent="0.25">
      <c r="A658" s="29">
        <v>45737</v>
      </c>
      <c r="B658" s="16" t="s">
        <v>704</v>
      </c>
      <c r="C658" s="34">
        <v>1</v>
      </c>
      <c r="D658" s="16" t="s">
        <v>64</v>
      </c>
      <c r="E658" s="35">
        <v>1.8</v>
      </c>
      <c r="F658" s="35">
        <v>1.5</v>
      </c>
      <c r="G658" s="16" t="s">
        <v>44</v>
      </c>
      <c r="H658" s="16" t="s">
        <v>45</v>
      </c>
      <c r="I658" s="16">
        <f>COUNTIF(G$5:G658,"Y")/COUNTA(G$5:G658)</f>
        <v>0.87003058103975539</v>
      </c>
      <c r="J658" s="16">
        <f>COUNTIF(H$5:H658,"Y")/COUNTA(H$5:H658)</f>
        <v>5.5045871559633031E-2</v>
      </c>
      <c r="K658" s="16">
        <f>AVERAGE(F$5:F658)</f>
        <v>2.1958715596330283</v>
      </c>
      <c r="L658" s="16">
        <f>SUM(F$5:F658)/SUM(E$5:E658)</f>
        <v>0.74804667152828452</v>
      </c>
    </row>
    <row r="659" spans="1:12" x14ac:dyDescent="0.25">
      <c r="A659" s="29">
        <v>45733</v>
      </c>
      <c r="B659" s="16" t="s">
        <v>705</v>
      </c>
      <c r="C659" s="34">
        <v>1</v>
      </c>
      <c r="D659" s="16" t="s">
        <v>47</v>
      </c>
      <c r="E659" s="35">
        <v>4.3</v>
      </c>
      <c r="F659" s="35">
        <v>3.8</v>
      </c>
      <c r="G659" s="16" t="s">
        <v>45</v>
      </c>
      <c r="H659" s="16" t="s">
        <v>45</v>
      </c>
      <c r="I659" s="16">
        <f>COUNTIF(G$5:G659,"Y")/COUNTA(G$5:G659)</f>
        <v>0.86870229007633593</v>
      </c>
      <c r="J659" s="16">
        <f>COUNTIF(H$5:H659,"Y")/COUNTA(H$5:H659)</f>
        <v>5.4961832061068701E-2</v>
      </c>
      <c r="K659" s="16">
        <f>AVERAGE(F$5:F659)</f>
        <v>2.1983206106870239</v>
      </c>
      <c r="L659" s="16">
        <f>SUM(F$5:F659)/SUM(E$5:E659)</f>
        <v>0.7483498778649762</v>
      </c>
    </row>
    <row r="660" spans="1:12" x14ac:dyDescent="0.25">
      <c r="A660" s="29">
        <v>45734</v>
      </c>
      <c r="B660" s="16" t="s">
        <v>706</v>
      </c>
      <c r="C660" s="34">
        <v>1</v>
      </c>
      <c r="D660" s="16" t="s">
        <v>56</v>
      </c>
      <c r="E660" s="35">
        <v>4.8</v>
      </c>
      <c r="F660" s="35">
        <v>3.5</v>
      </c>
      <c r="G660" s="16" t="s">
        <v>44</v>
      </c>
      <c r="H660" s="16" t="s">
        <v>45</v>
      </c>
      <c r="I660" s="16">
        <f>COUNTIF(G$5:G660,"Y")/COUNTA(G$5:G660)</f>
        <v>0.86890243902439024</v>
      </c>
      <c r="J660" s="16">
        <f>COUNTIF(H$5:H660,"Y")/COUNTA(H$5:H660)</f>
        <v>5.4878048780487805E-2</v>
      </c>
      <c r="K660" s="16">
        <f>AVERAGE(F$5:F660)</f>
        <v>2.2003048780487813</v>
      </c>
      <c r="L660" s="16">
        <f>SUM(F$5:F660)/SUM(E$5:E660)</f>
        <v>0.74830214111669902</v>
      </c>
    </row>
    <row r="661" spans="1:12" x14ac:dyDescent="0.25">
      <c r="A661" s="29">
        <v>45735</v>
      </c>
      <c r="B661" s="16" t="s">
        <v>707</v>
      </c>
      <c r="C661" s="34">
        <v>1</v>
      </c>
      <c r="D661" s="16" t="s">
        <v>64</v>
      </c>
      <c r="E661" s="35">
        <v>2.2000000000000002</v>
      </c>
      <c r="F661" s="35">
        <v>1.5</v>
      </c>
      <c r="G661" s="16" t="s">
        <v>44</v>
      </c>
      <c r="H661" s="16" t="s">
        <v>45</v>
      </c>
      <c r="I661" s="16">
        <f>COUNTIF(G$5:G661,"Y")/COUNTA(G$5:G661)</f>
        <v>0.86910197869101979</v>
      </c>
      <c r="J661" s="16">
        <f>COUNTIF(H$5:H661,"Y")/COUNTA(H$5:H661)</f>
        <v>5.4794520547945202E-2</v>
      </c>
      <c r="K661" s="16">
        <f>AVERAGE(F$5:F661)</f>
        <v>2.1992389649923907</v>
      </c>
      <c r="L661" s="16">
        <f>SUM(F$5:F661)/SUM(E$5:E661)</f>
        <v>0.7482263994614472</v>
      </c>
    </row>
    <row r="662" spans="1:12" x14ac:dyDescent="0.25">
      <c r="A662" s="29">
        <v>45736</v>
      </c>
      <c r="B662" s="16" t="s">
        <v>708</v>
      </c>
      <c r="C662" s="34">
        <v>1</v>
      </c>
      <c r="D662" s="16" t="s">
        <v>60</v>
      </c>
      <c r="E662" s="35">
        <v>2.1</v>
      </c>
      <c r="F662" s="35">
        <v>1.6</v>
      </c>
      <c r="G662" s="16" t="s">
        <v>44</v>
      </c>
      <c r="H662" s="16" t="s">
        <v>45</v>
      </c>
      <c r="I662" s="16">
        <f>COUNTIF(G$5:G662,"Y")/COUNTA(G$5:G662)</f>
        <v>0.8693009118541033</v>
      </c>
      <c r="J662" s="16">
        <f>COUNTIF(H$5:H662,"Y")/COUNTA(H$5:H662)</f>
        <v>5.4711246200607903E-2</v>
      </c>
      <c r="K662" s="16">
        <f>AVERAGE(F$5:F662)</f>
        <v>2.1983282674772044</v>
      </c>
      <c r="L662" s="16">
        <f>SUM(F$5:F662)/SUM(E$5:E662)</f>
        <v>0.74824125801779462</v>
      </c>
    </row>
    <row r="663" spans="1:12" x14ac:dyDescent="0.25">
      <c r="A663" s="29">
        <v>45737</v>
      </c>
      <c r="B663" s="16" t="s">
        <v>709</v>
      </c>
      <c r="C663" s="34">
        <v>1</v>
      </c>
      <c r="D663" s="16" t="s">
        <v>47</v>
      </c>
      <c r="E663" s="35">
        <v>1.6</v>
      </c>
      <c r="F663" s="35">
        <v>1.2</v>
      </c>
      <c r="G663" s="16" t="s">
        <v>44</v>
      </c>
      <c r="H663" s="16" t="s">
        <v>45</v>
      </c>
      <c r="I663" s="16">
        <f>COUNTIF(G$5:G663,"Y")/COUNTA(G$5:G663)</f>
        <v>0.86949924127465861</v>
      </c>
      <c r="J663" s="16">
        <f>COUNTIF(H$5:H663,"Y")/COUNTA(H$5:H663)</f>
        <v>5.4628224582701064E-2</v>
      </c>
      <c r="K663" s="16">
        <f>AVERAGE(F$5:F663)</f>
        <v>2.1968133535660099</v>
      </c>
      <c r="L663" s="16">
        <f>SUM(F$5:F663)/SUM(E$5:E663)</f>
        <v>0.74824271242505724</v>
      </c>
    </row>
    <row r="664" spans="1:12" x14ac:dyDescent="0.25">
      <c r="A664" s="29">
        <v>45733</v>
      </c>
      <c r="B664" s="16" t="s">
        <v>710</v>
      </c>
      <c r="C664" s="34">
        <v>1</v>
      </c>
      <c r="D664" s="16" t="s">
        <v>47</v>
      </c>
      <c r="E664" s="35">
        <v>3.4</v>
      </c>
      <c r="F664" s="35">
        <v>2.5</v>
      </c>
      <c r="G664" s="16" t="s">
        <v>44</v>
      </c>
      <c r="H664" s="16" t="s">
        <v>45</v>
      </c>
      <c r="I664" s="16">
        <f>COUNTIF(G$5:G664,"Y")/COUNTA(G$5:G664)</f>
        <v>0.86969696969696975</v>
      </c>
      <c r="J664" s="16">
        <f>COUNTIF(H$5:H664,"Y")/COUNTA(H$5:H664)</f>
        <v>5.4545454545454543E-2</v>
      </c>
      <c r="K664" s="16">
        <f>AVERAGE(F$5:F664)</f>
        <v>2.1972727272727282</v>
      </c>
      <c r="L664" s="16">
        <f>SUM(F$5:F664)/SUM(E$5:E664)</f>
        <v>0.74821999793622984</v>
      </c>
    </row>
    <row r="665" spans="1:12" x14ac:dyDescent="0.25">
      <c r="A665" s="29">
        <v>45734</v>
      </c>
      <c r="B665" s="16" t="s">
        <v>711</v>
      </c>
      <c r="C665" s="34">
        <v>1</v>
      </c>
      <c r="D665" s="16" t="s">
        <v>52</v>
      </c>
      <c r="E665" s="35">
        <v>3.4</v>
      </c>
      <c r="F665" s="35">
        <v>3</v>
      </c>
      <c r="G665" s="16" t="s">
        <v>44</v>
      </c>
      <c r="H665" s="16" t="s">
        <v>45</v>
      </c>
      <c r="I665" s="16">
        <f>COUNTIF(G$5:G665,"Y")/COUNTA(G$5:G665)</f>
        <v>0.86989409984871402</v>
      </c>
      <c r="J665" s="16">
        <f>COUNTIF(H$5:H665,"Y")/COUNTA(H$5:H665)</f>
        <v>5.4462934947049922E-2</v>
      </c>
      <c r="K665" s="16">
        <f>AVERAGE(F$5:F665)</f>
        <v>2.1984871406959159</v>
      </c>
      <c r="L665" s="16">
        <f>SUM(F$5:F665)/SUM(E$5:E665)</f>
        <v>0.74845488257107573</v>
      </c>
    </row>
    <row r="666" spans="1:12" x14ac:dyDescent="0.25">
      <c r="A666" s="29">
        <v>45735</v>
      </c>
      <c r="B666" s="16" t="s">
        <v>712</v>
      </c>
      <c r="C666" s="34">
        <v>1</v>
      </c>
      <c r="D666" s="16" t="s">
        <v>52</v>
      </c>
      <c r="E666" s="35">
        <v>3.2</v>
      </c>
      <c r="F666" s="35">
        <v>2.4</v>
      </c>
      <c r="G666" s="16" t="s">
        <v>45</v>
      </c>
      <c r="H666" s="16" t="s">
        <v>45</v>
      </c>
      <c r="I666" s="16">
        <f>COUNTIF(G$5:G666,"Y")/COUNTA(G$5:G666)</f>
        <v>0.86858006042296076</v>
      </c>
      <c r="J666" s="16">
        <f>COUNTIF(H$5:H666,"Y")/COUNTA(H$5:H666)</f>
        <v>5.4380664652567974E-2</v>
      </c>
      <c r="K666" s="16">
        <f>AVERAGE(F$5:F666)</f>
        <v>2.1987915407854994</v>
      </c>
      <c r="L666" s="16">
        <f>SUM(F$5:F666)/SUM(E$5:E666)</f>
        <v>0.74845742492801348</v>
      </c>
    </row>
    <row r="667" spans="1:12" x14ac:dyDescent="0.25">
      <c r="A667" s="29">
        <v>45736</v>
      </c>
      <c r="B667" s="16" t="s">
        <v>713</v>
      </c>
      <c r="C667" s="34">
        <v>1</v>
      </c>
      <c r="D667" s="16" t="s">
        <v>47</v>
      </c>
      <c r="E667" s="35">
        <v>4.2</v>
      </c>
      <c r="F667" s="35">
        <v>3.7</v>
      </c>
      <c r="G667" s="16" t="s">
        <v>44</v>
      </c>
      <c r="H667" s="16" t="s">
        <v>45</v>
      </c>
      <c r="I667" s="16">
        <f>COUNTIF(G$5:G667,"Y")/COUNTA(G$5:G667)</f>
        <v>0.86877828054298645</v>
      </c>
      <c r="J667" s="16">
        <f>COUNTIF(H$5:H667,"Y")/COUNTA(H$5:H667)</f>
        <v>5.4298642533936653E-2</v>
      </c>
      <c r="K667" s="16">
        <f>AVERAGE(F$5:F667)</f>
        <v>2.2010558069381609</v>
      </c>
      <c r="L667" s="16">
        <f>SUM(F$5:F667)/SUM(E$5:E667)</f>
        <v>0.74874294510005168</v>
      </c>
    </row>
    <row r="668" spans="1:12" x14ac:dyDescent="0.25">
      <c r="A668" s="29">
        <v>45737</v>
      </c>
      <c r="B668" s="16" t="s">
        <v>714</v>
      </c>
      <c r="C668" s="34">
        <v>1</v>
      </c>
      <c r="D668" s="16" t="s">
        <v>56</v>
      </c>
      <c r="E668" s="35">
        <v>2.1</v>
      </c>
      <c r="F668" s="35">
        <v>1.5</v>
      </c>
      <c r="G668" s="16" t="s">
        <v>44</v>
      </c>
      <c r="H668" s="16" t="s">
        <v>45</v>
      </c>
      <c r="I668" s="16">
        <f>COUNTIF(G$5:G668,"Y")/COUNTA(G$5:G668)</f>
        <v>0.86897590361445787</v>
      </c>
      <c r="J668" s="16">
        <f>COUNTIF(H$5:H668,"Y")/COUNTA(H$5:H668)</f>
        <v>5.4216867469879519E-2</v>
      </c>
      <c r="K668" s="16">
        <f>AVERAGE(F$5:F668)</f>
        <v>2.2000000000000011</v>
      </c>
      <c r="L668" s="16">
        <f>SUM(F$5:F668)/SUM(E$5:E668)</f>
        <v>0.74870585823381719</v>
      </c>
    </row>
    <row r="669" spans="1:12" x14ac:dyDescent="0.25">
      <c r="A669" s="29">
        <v>45733</v>
      </c>
      <c r="B669" s="16" t="s">
        <v>715</v>
      </c>
      <c r="C669" s="34">
        <v>1</v>
      </c>
      <c r="D669" s="16" t="s">
        <v>47</v>
      </c>
      <c r="E669" s="35">
        <v>3.6</v>
      </c>
      <c r="F669" s="35">
        <v>2.9</v>
      </c>
      <c r="G669" s="16" t="s">
        <v>44</v>
      </c>
      <c r="H669" s="16" t="s">
        <v>45</v>
      </c>
      <c r="I669" s="16">
        <f>COUNTIF(G$5:G669,"Y")/COUNTA(G$5:G669)</f>
        <v>0.86917293233082704</v>
      </c>
      <c r="J669" s="16">
        <f>COUNTIF(H$5:H669,"Y")/COUNTA(H$5:H669)</f>
        <v>5.4135338345864661E-2</v>
      </c>
      <c r="K669" s="16">
        <f>AVERAGE(F$5:F669)</f>
        <v>2.2010526315789485</v>
      </c>
      <c r="L669" s="16">
        <f>SUM(F$5:F669)/SUM(E$5:E669)</f>
        <v>0.74881055916508976</v>
      </c>
    </row>
    <row r="670" spans="1:12" x14ac:dyDescent="0.25">
      <c r="A670" s="29">
        <v>45734</v>
      </c>
      <c r="B670" s="16" t="s">
        <v>716</v>
      </c>
      <c r="C670" s="34">
        <v>1</v>
      </c>
      <c r="D670" s="16" t="s">
        <v>43</v>
      </c>
      <c r="E670" s="35">
        <v>4.8</v>
      </c>
      <c r="F670" s="35">
        <v>4</v>
      </c>
      <c r="G670" s="16" t="s">
        <v>44</v>
      </c>
      <c r="H670" s="16" t="s">
        <v>45</v>
      </c>
      <c r="I670" s="16">
        <f>COUNTIF(G$5:G670,"Y")/COUNTA(G$5:G670)</f>
        <v>0.86936936936936937</v>
      </c>
      <c r="J670" s="16">
        <f>COUNTIF(H$5:H670,"Y")/COUNTA(H$5:H670)</f>
        <v>5.4054054054054057E-2</v>
      </c>
      <c r="K670" s="16">
        <f>AVERAGE(F$5:F670)</f>
        <v>2.2037537537537548</v>
      </c>
      <c r="L670" s="16">
        <f>SUM(F$5:F670)/SUM(E$5:E670)</f>
        <v>0.74901760653227911</v>
      </c>
    </row>
    <row r="671" spans="1:12" x14ac:dyDescent="0.25">
      <c r="A671" s="29">
        <v>45735</v>
      </c>
      <c r="B671" s="16" t="s">
        <v>717</v>
      </c>
      <c r="C671" s="34">
        <v>1</v>
      </c>
      <c r="D671" s="16" t="s">
        <v>50</v>
      </c>
      <c r="E671" s="35">
        <v>1.9</v>
      </c>
      <c r="F671" s="35">
        <v>1.6</v>
      </c>
      <c r="G671" s="16" t="s">
        <v>44</v>
      </c>
      <c r="H671" s="16" t="s">
        <v>45</v>
      </c>
      <c r="I671" s="16">
        <f>COUNTIF(G$5:G671,"Y")/COUNTA(G$5:G671)</f>
        <v>0.86956521739130432</v>
      </c>
      <c r="J671" s="16">
        <f>COUNTIF(H$5:H671,"Y")/COUNTA(H$5:H671)</f>
        <v>5.3973013493253376E-2</v>
      </c>
      <c r="K671" s="16">
        <f>AVERAGE(F$5:F671)</f>
        <v>2.202848575712145</v>
      </c>
      <c r="L671" s="16">
        <f>SUM(F$5:F671)/SUM(E$5:E671)</f>
        <v>0.74910778015703106</v>
      </c>
    </row>
    <row r="672" spans="1:12" x14ac:dyDescent="0.25">
      <c r="A672" s="29">
        <v>45736</v>
      </c>
      <c r="B672" s="16" t="s">
        <v>718</v>
      </c>
      <c r="C672" s="34">
        <v>1</v>
      </c>
      <c r="D672" s="16" t="s">
        <v>43</v>
      </c>
      <c r="E672" s="35">
        <v>1.8</v>
      </c>
      <c r="F672" s="35">
        <v>1.4</v>
      </c>
      <c r="G672" s="16" t="s">
        <v>44</v>
      </c>
      <c r="H672" s="16" t="s">
        <v>45</v>
      </c>
      <c r="I672" s="16">
        <f>COUNTIF(G$5:G672,"Y")/COUNTA(G$5:G672)</f>
        <v>0.86976047904191611</v>
      </c>
      <c r="J672" s="16">
        <f>COUNTIF(H$5:H672,"Y")/COUNTA(H$5:H672)</f>
        <v>5.3892215568862277E-2</v>
      </c>
      <c r="K672" s="16">
        <f>AVERAGE(F$5:F672)</f>
        <v>2.2016467065868275</v>
      </c>
      <c r="L672" s="16">
        <f>SUM(F$5:F672)/SUM(E$5:E672)</f>
        <v>0.74913406682966632</v>
      </c>
    </row>
    <row r="673" spans="1:13" x14ac:dyDescent="0.25">
      <c r="A673" s="29">
        <v>45737</v>
      </c>
      <c r="B673" s="16" t="s">
        <v>719</v>
      </c>
      <c r="C673" s="34">
        <v>1</v>
      </c>
      <c r="D673" s="16" t="s">
        <v>56</v>
      </c>
      <c r="E673" s="35">
        <v>3.8</v>
      </c>
      <c r="F673" s="35">
        <v>2.9</v>
      </c>
      <c r="G673" s="16" t="s">
        <v>44</v>
      </c>
      <c r="H673" s="16" t="s">
        <v>45</v>
      </c>
      <c r="I673" s="16">
        <f>COUNTIF(G$5:G673,"Y")/COUNTA(G$5:G673)</f>
        <v>0.8699551569506726</v>
      </c>
      <c r="J673" s="16">
        <f>COUNTIF(H$5:H673,"Y")/COUNTA(H$5:H673)</f>
        <v>5.3811659192825115E-2</v>
      </c>
      <c r="K673" s="16">
        <f>AVERAGE(F$5:F673)</f>
        <v>2.2026905829596424</v>
      </c>
      <c r="L673" s="16">
        <f>SUM(F$5:F673)/SUM(E$5:E673)</f>
        <v>0.74916115912557246</v>
      </c>
    </row>
    <row r="674" spans="1:13" x14ac:dyDescent="0.25">
      <c r="A674" s="29">
        <v>45733</v>
      </c>
      <c r="B674" s="16" t="s">
        <v>720</v>
      </c>
      <c r="C674" s="34">
        <v>1</v>
      </c>
      <c r="D674" s="16" t="s">
        <v>56</v>
      </c>
      <c r="E674" s="35">
        <v>4.7</v>
      </c>
      <c r="F674" s="35">
        <v>3.5</v>
      </c>
      <c r="G674" s="16" t="s">
        <v>45</v>
      </c>
      <c r="H674" s="16" t="s">
        <v>45</v>
      </c>
      <c r="I674" s="16">
        <f>COUNTIF(G$5:G674,"Y")/COUNTA(G$5:G674)</f>
        <v>0.86865671641791042</v>
      </c>
      <c r="J674" s="16">
        <f>COUNTIF(H$5:H674,"Y")/COUNTA(H$5:H674)</f>
        <v>5.3731343283582089E-2</v>
      </c>
      <c r="K674" s="16">
        <f>AVERAGE(F$5:F674)</f>
        <v>2.204626865671643</v>
      </c>
      <c r="L674" s="16">
        <f>SUM(F$5:F674)/SUM(E$5:E674)</f>
        <v>0.74915047928183853</v>
      </c>
    </row>
    <row r="675" spans="1:13" x14ac:dyDescent="0.25">
      <c r="A675" s="29">
        <v>45734</v>
      </c>
      <c r="B675" s="16" t="s">
        <v>721</v>
      </c>
      <c r="C675" s="34">
        <v>1</v>
      </c>
      <c r="D675" s="16" t="s">
        <v>52</v>
      </c>
      <c r="E675" s="35">
        <v>2.6</v>
      </c>
      <c r="F675" s="35">
        <v>1.9</v>
      </c>
      <c r="G675" s="16" t="s">
        <v>45</v>
      </c>
      <c r="H675" s="16" t="s">
        <v>45</v>
      </c>
      <c r="I675" s="16">
        <f>COUNTIF(G$5:G675,"Y")/COUNTA(G$5:G675)</f>
        <v>0.86736214605067063</v>
      </c>
      <c r="J675" s="16">
        <f>COUNTIF(H$5:H675,"Y")/COUNTA(H$5:H675)</f>
        <v>5.3651266766020868E-2</v>
      </c>
      <c r="K675" s="16">
        <f>AVERAGE(F$5:F675)</f>
        <v>2.2041728763040251</v>
      </c>
      <c r="L675" s="16">
        <f>SUM(F$5:F675)/SUM(E$5:E675)</f>
        <v>0.7491262726029484</v>
      </c>
    </row>
    <row r="676" spans="1:13" x14ac:dyDescent="0.25">
      <c r="A676" s="29">
        <v>45735</v>
      </c>
      <c r="B676" s="16" t="s">
        <v>722</v>
      </c>
      <c r="C676" s="34">
        <v>1</v>
      </c>
      <c r="D676" s="16" t="s">
        <v>47</v>
      </c>
      <c r="E676" s="35">
        <v>0.6</v>
      </c>
      <c r="F676" s="35">
        <v>0.5</v>
      </c>
      <c r="G676" s="16" t="s">
        <v>44</v>
      </c>
      <c r="H676" s="16" t="s">
        <v>45</v>
      </c>
      <c r="I676" s="16">
        <f>COUNTIF(G$5:G676,"Y")/COUNTA(G$5:G676)</f>
        <v>0.86755952380952384</v>
      </c>
      <c r="J676" s="16">
        <f>COUNTIF(H$5:H676,"Y")/COUNTA(H$5:H676)</f>
        <v>5.3571428571428568E-2</v>
      </c>
      <c r="K676" s="16">
        <f>AVERAGE(F$5:F676)</f>
        <v>2.201636904761906</v>
      </c>
      <c r="L676" s="16">
        <f>SUM(F$5:F676)/SUM(E$5:E676)</f>
        <v>0.74915185579016719</v>
      </c>
    </row>
    <row r="677" spans="1:13" x14ac:dyDescent="0.25">
      <c r="A677" s="29">
        <v>45736</v>
      </c>
      <c r="B677" s="16" t="s">
        <v>723</v>
      </c>
      <c r="C677" s="34">
        <v>1</v>
      </c>
      <c r="D677" s="16" t="s">
        <v>60</v>
      </c>
      <c r="E677" s="35">
        <v>0.7</v>
      </c>
      <c r="F677" s="35">
        <v>0.5</v>
      </c>
      <c r="G677" s="16" t="s">
        <v>44</v>
      </c>
      <c r="H677" s="16" t="s">
        <v>45</v>
      </c>
      <c r="I677" s="16">
        <f>COUNTIF(G$5:G677,"Y")/COUNTA(G$5:G677)</f>
        <v>0.86775631500742945</v>
      </c>
      <c r="J677" s="16">
        <f>COUNTIF(H$5:H677,"Y")/COUNTA(H$5:H677)</f>
        <v>5.3491827637444277E-2</v>
      </c>
      <c r="K677" s="16">
        <f>AVERAGE(F$5:F677)</f>
        <v>2.1991084695393774</v>
      </c>
      <c r="L677" s="16">
        <f>SUM(F$5:F677)/SUM(E$5:E677)</f>
        <v>0.7491395019234669</v>
      </c>
    </row>
    <row r="678" spans="1:13" x14ac:dyDescent="0.25">
      <c r="A678" s="29">
        <v>45737</v>
      </c>
      <c r="B678" s="16" t="s">
        <v>724</v>
      </c>
      <c r="C678" s="34">
        <v>1</v>
      </c>
      <c r="D678" s="16" t="s">
        <v>52</v>
      </c>
      <c r="E678" s="35">
        <v>0.6</v>
      </c>
      <c r="F678" s="35">
        <v>0.5</v>
      </c>
      <c r="G678" s="16" t="s">
        <v>44</v>
      </c>
      <c r="H678" s="16" t="s">
        <v>45</v>
      </c>
      <c r="I678" s="16">
        <f>COUNTIF(G$5:G678,"Y")/COUNTA(G$5:G678)</f>
        <v>0.86795252225519293</v>
      </c>
      <c r="J678" s="16">
        <f>COUNTIF(H$5:H678,"Y")/COUNTA(H$5:H678)</f>
        <v>5.3412462908011868E-2</v>
      </c>
      <c r="K678" s="16">
        <f>AVERAGE(F$5:F678)</f>
        <v>2.1965875370919896</v>
      </c>
      <c r="L678" s="16">
        <f>SUM(F$5:F678)/SUM(E$5:E678)</f>
        <v>0.74916506426475116</v>
      </c>
    </row>
    <row r="679" spans="1:13" x14ac:dyDescent="0.25">
      <c r="A679" s="29">
        <v>45733</v>
      </c>
      <c r="B679" s="16" t="s">
        <v>725</v>
      </c>
      <c r="C679" s="34">
        <v>1</v>
      </c>
      <c r="D679" s="16" t="s">
        <v>64</v>
      </c>
      <c r="E679" s="35">
        <v>3.1</v>
      </c>
      <c r="F679" s="35">
        <v>0.5</v>
      </c>
      <c r="G679" s="16" t="s">
        <v>44</v>
      </c>
      <c r="H679" s="16" t="s">
        <v>45</v>
      </c>
      <c r="I679" s="16">
        <f>COUNTIF(G$5:G679,"Y")/COUNTA(G$5:G679)</f>
        <v>0.86814814814814811</v>
      </c>
      <c r="J679" s="16">
        <f>COUNTIF(H$5:H679,"Y")/COUNTA(H$5:H679)</f>
        <v>5.3333333333333337E-2</v>
      </c>
      <c r="K679" s="16">
        <f>AVERAGE(F$5:F679)</f>
        <v>2.1940740740740754</v>
      </c>
      <c r="L679" s="16">
        <f>SUM(F$5:F679)/SUM(E$5:E679)</f>
        <v>0.74824432880311287</v>
      </c>
      <c r="M679" s="16">
        <v>9</v>
      </c>
    </row>
    <row r="680" spans="1:13" x14ac:dyDescent="0.25">
      <c r="A680" s="29">
        <v>45740</v>
      </c>
      <c r="B680" s="16" t="s">
        <v>726</v>
      </c>
      <c r="C680" s="34">
        <v>1</v>
      </c>
      <c r="D680" s="16" t="s">
        <v>50</v>
      </c>
      <c r="E680" s="35">
        <v>4</v>
      </c>
      <c r="F680" s="35">
        <v>3.2</v>
      </c>
      <c r="G680" s="16" t="s">
        <v>44</v>
      </c>
      <c r="H680" s="16" t="s">
        <v>45</v>
      </c>
      <c r="I680" s="16">
        <f>COUNTIF(G$5:G680,"Y")/COUNTA(G$5:G680)</f>
        <v>0.86834319526627224</v>
      </c>
      <c r="J680" s="16">
        <f>COUNTIF(H$5:H680,"Y")/COUNTA(H$5:H680)</f>
        <v>5.3254437869822487E-2</v>
      </c>
      <c r="K680" s="16">
        <f>AVERAGE(F$5:F680)</f>
        <v>2.1955621301775161</v>
      </c>
      <c r="L680" s="16">
        <f>SUM(F$5:F680)/SUM(E$5:E680)</f>
        <v>0.74834871174305517</v>
      </c>
    </row>
    <row r="681" spans="1:13" x14ac:dyDescent="0.25">
      <c r="A681" s="29">
        <v>45741</v>
      </c>
      <c r="B681" s="16" t="s">
        <v>727</v>
      </c>
      <c r="C681" s="34">
        <v>1</v>
      </c>
      <c r="D681" s="16" t="s">
        <v>43</v>
      </c>
      <c r="E681" s="35">
        <v>2.5</v>
      </c>
      <c r="F681" s="35">
        <v>2</v>
      </c>
      <c r="G681" s="16" t="s">
        <v>44</v>
      </c>
      <c r="H681" s="16" t="s">
        <v>45</v>
      </c>
      <c r="I681" s="16">
        <f>COUNTIF(G$5:G681,"Y")/COUNTA(G$5:G681)</f>
        <v>0.8685376661742984</v>
      </c>
      <c r="J681" s="16">
        <f>COUNTIF(H$5:H681,"Y")/COUNTA(H$5:H681)</f>
        <v>5.3175775480059084E-2</v>
      </c>
      <c r="K681" s="16">
        <f>AVERAGE(F$5:F681)</f>
        <v>2.1952732644017741</v>
      </c>
      <c r="L681" s="16">
        <f>SUM(F$5:F681)/SUM(E$5:E681)</f>
        <v>0.74841373753650986</v>
      </c>
    </row>
    <row r="682" spans="1:13" x14ac:dyDescent="0.25">
      <c r="A682" s="29">
        <v>45742</v>
      </c>
      <c r="B682" s="16" t="s">
        <v>728</v>
      </c>
      <c r="C682" s="34">
        <v>1</v>
      </c>
      <c r="D682" s="16" t="s">
        <v>56</v>
      </c>
      <c r="E682" s="35">
        <v>3.9</v>
      </c>
      <c r="F682" s="35">
        <v>3.2</v>
      </c>
      <c r="G682" s="16" t="s">
        <v>44</v>
      </c>
      <c r="H682" s="16" t="s">
        <v>45</v>
      </c>
      <c r="I682" s="16">
        <f>COUNTIF(G$5:G682,"Y")/COUNTA(G$5:G682)</f>
        <v>0.86873156342182889</v>
      </c>
      <c r="J682" s="16">
        <f>COUNTIF(H$5:H682,"Y")/COUNTA(H$5:H682)</f>
        <v>5.3097345132743362E-2</v>
      </c>
      <c r="K682" s="16">
        <f>AVERAGE(F$5:F682)</f>
        <v>2.1967551622418893</v>
      </c>
      <c r="L682" s="16">
        <f>SUM(F$5:F682)/SUM(E$5:E682)</f>
        <v>0.74855505855154114</v>
      </c>
    </row>
    <row r="683" spans="1:13" x14ac:dyDescent="0.25">
      <c r="A683" s="29">
        <v>45743</v>
      </c>
      <c r="B683" s="16" t="s">
        <v>729</v>
      </c>
      <c r="C683" s="34">
        <v>1</v>
      </c>
      <c r="D683" s="16" t="s">
        <v>43</v>
      </c>
      <c r="E683" s="35">
        <v>1.6</v>
      </c>
      <c r="F683" s="35">
        <v>1.3</v>
      </c>
      <c r="G683" s="16" t="s">
        <v>44</v>
      </c>
      <c r="H683" s="16" t="s">
        <v>45</v>
      </c>
      <c r="I683" s="16">
        <f>COUNTIF(G$5:G683,"Y")/COUNTA(G$5:G683)</f>
        <v>0.86892488954344627</v>
      </c>
      <c r="J683" s="16">
        <f>COUNTIF(H$5:H683,"Y")/COUNTA(H$5:H683)</f>
        <v>5.3019145802650956E-2</v>
      </c>
      <c r="K683" s="16">
        <f>AVERAGE(F$5:F683)</f>
        <v>2.1954344624447732</v>
      </c>
      <c r="L683" s="16">
        <f>SUM(F$5:F683)/SUM(E$5:E683)</f>
        <v>0.74860643800532378</v>
      </c>
    </row>
    <row r="684" spans="1:13" x14ac:dyDescent="0.25">
      <c r="A684" s="29">
        <v>45744</v>
      </c>
      <c r="B684" s="16" t="s">
        <v>730</v>
      </c>
      <c r="C684" s="34">
        <v>1</v>
      </c>
      <c r="D684" s="16" t="s">
        <v>56</v>
      </c>
      <c r="E684" s="35">
        <v>3.6</v>
      </c>
      <c r="F684" s="35">
        <v>2.5</v>
      </c>
      <c r="G684" s="16" t="s">
        <v>44</v>
      </c>
      <c r="H684" s="16" t="s">
        <v>45</v>
      </c>
      <c r="I684" s="16">
        <f>COUNTIF(G$5:G684,"Y")/COUNTA(G$5:G684)</f>
        <v>0.86911764705882355</v>
      </c>
      <c r="J684" s="16">
        <f>COUNTIF(H$5:H684,"Y")/COUNTA(H$5:H684)</f>
        <v>5.2941176470588235E-2</v>
      </c>
      <c r="K684" s="16">
        <f>AVERAGE(F$5:F684)</f>
        <v>2.1958823529411777</v>
      </c>
      <c r="L684" s="16">
        <f>SUM(F$5:F684)/SUM(E$5:E684)</f>
        <v>0.74850869717780411</v>
      </c>
    </row>
    <row r="685" spans="1:13" x14ac:dyDescent="0.25">
      <c r="A685" s="29">
        <v>45740</v>
      </c>
      <c r="B685" s="16" t="s">
        <v>731</v>
      </c>
      <c r="C685" s="34">
        <v>1</v>
      </c>
      <c r="D685" s="16" t="s">
        <v>64</v>
      </c>
      <c r="E685" s="35">
        <v>2.2999999999999998</v>
      </c>
      <c r="F685" s="35">
        <v>1.6</v>
      </c>
      <c r="G685" s="16" t="s">
        <v>44</v>
      </c>
      <c r="H685" s="16" t="s">
        <v>45</v>
      </c>
      <c r="I685" s="16">
        <f>COUNTIF(G$5:G685,"Y")/COUNTA(G$5:G685)</f>
        <v>0.86930983847283405</v>
      </c>
      <c r="J685" s="16">
        <f>COUNTIF(H$5:H685,"Y")/COUNTA(H$5:H685)</f>
        <v>5.2863436123348019E-2</v>
      </c>
      <c r="K685" s="16">
        <f>AVERAGE(F$5:F685)</f>
        <v>2.1950073421439074</v>
      </c>
      <c r="L685" s="16">
        <f>SUM(F$5:F685)/SUM(E$5:E685)</f>
        <v>0.74844782695774148</v>
      </c>
    </row>
    <row r="686" spans="1:13" x14ac:dyDescent="0.25">
      <c r="A686" s="29">
        <v>45741</v>
      </c>
      <c r="B686" s="16" t="s">
        <v>732</v>
      </c>
      <c r="C686" s="34">
        <v>1</v>
      </c>
      <c r="D686" s="16" t="s">
        <v>52</v>
      </c>
      <c r="E686" s="35">
        <v>5.7</v>
      </c>
      <c r="F686" s="35">
        <v>3.9</v>
      </c>
      <c r="G686" s="16" t="s">
        <v>44</v>
      </c>
      <c r="H686" s="16" t="s">
        <v>45</v>
      </c>
      <c r="I686" s="16">
        <f>COUNTIF(G$5:G686,"Y")/COUNTA(G$5:G686)</f>
        <v>0.86950146627565983</v>
      </c>
      <c r="J686" s="16">
        <f>COUNTIF(H$5:H686,"Y")/COUNTA(H$5:H686)</f>
        <v>5.2785923753665691E-2</v>
      </c>
      <c r="K686" s="16">
        <f>AVERAGE(F$5:F686)</f>
        <v>2.1975073313783007</v>
      </c>
      <c r="L686" s="16">
        <f>SUM(F$5:F686)/SUM(E$5:E686)</f>
        <v>0.74826501572719628</v>
      </c>
    </row>
    <row r="687" spans="1:13" x14ac:dyDescent="0.25">
      <c r="A687" s="29">
        <v>45742</v>
      </c>
      <c r="B687" s="16" t="s">
        <v>733</v>
      </c>
      <c r="C687" s="34">
        <v>1</v>
      </c>
      <c r="D687" s="16" t="s">
        <v>60</v>
      </c>
      <c r="E687" s="35">
        <v>1.7</v>
      </c>
      <c r="F687" s="35">
        <v>1.3</v>
      </c>
      <c r="G687" s="16" t="s">
        <v>44</v>
      </c>
      <c r="H687" s="16" t="s">
        <v>45</v>
      </c>
      <c r="I687" s="16">
        <f>COUNTIF(G$5:G687,"Y")/COUNTA(G$5:G687)</f>
        <v>0.86969253294289894</v>
      </c>
      <c r="J687" s="16">
        <f>COUNTIF(H$5:H687,"Y")/COUNTA(H$5:H687)</f>
        <v>5.2708638360175697E-2</v>
      </c>
      <c r="K687" s="16">
        <f>AVERAGE(F$5:F687)</f>
        <v>2.1961932650073219</v>
      </c>
      <c r="L687" s="16">
        <f>SUM(F$5:F687)/SUM(E$5:E687)</f>
        <v>0.74827895839569059</v>
      </c>
    </row>
    <row r="688" spans="1:13" x14ac:dyDescent="0.25">
      <c r="A688" s="29">
        <v>45743</v>
      </c>
      <c r="B688" s="16" t="s">
        <v>734</v>
      </c>
      <c r="C688" s="34">
        <v>1</v>
      </c>
      <c r="D688" s="16" t="s">
        <v>56</v>
      </c>
      <c r="E688" s="35">
        <v>2.7</v>
      </c>
      <c r="F688" s="35">
        <v>1.9</v>
      </c>
      <c r="G688" s="16" t="s">
        <v>45</v>
      </c>
      <c r="H688" s="16" t="s">
        <v>45</v>
      </c>
      <c r="I688" s="16">
        <f>COUNTIF(G$5:G688,"Y")/COUNTA(G$5:G688)</f>
        <v>0.86842105263157898</v>
      </c>
      <c r="J688" s="16">
        <f>COUNTIF(H$5:H688,"Y")/COUNTA(H$5:H688)</f>
        <v>5.2631578947368418E-2</v>
      </c>
      <c r="K688" s="16">
        <f>AVERAGE(F$5:F688)</f>
        <v>2.1957602339181301</v>
      </c>
      <c r="L688" s="16">
        <f>SUM(F$5:F688)/SUM(E$5:E688)</f>
        <v>0.7482190006476368</v>
      </c>
    </row>
    <row r="689" spans="1:12" x14ac:dyDescent="0.25">
      <c r="A689" s="29">
        <v>45744</v>
      </c>
      <c r="B689" s="16" t="s">
        <v>735</v>
      </c>
      <c r="C689" s="34">
        <v>1</v>
      </c>
      <c r="D689" s="16" t="s">
        <v>64</v>
      </c>
      <c r="E689" s="35">
        <v>2.6</v>
      </c>
      <c r="F689" s="35">
        <v>2</v>
      </c>
      <c r="G689" s="16" t="s">
        <v>44</v>
      </c>
      <c r="H689" s="16" t="s">
        <v>45</v>
      </c>
      <c r="I689" s="16">
        <f>COUNTIF(G$5:G689,"Y")/COUNTA(G$5:G689)</f>
        <v>0.86861313868613144</v>
      </c>
      <c r="J689" s="16">
        <f>COUNTIF(H$5:H689,"Y")/COUNTA(H$5:H689)</f>
        <v>5.2554744525547446E-2</v>
      </c>
      <c r="K689" s="16">
        <f>AVERAGE(F$5:F689)</f>
        <v>2.195474452554746</v>
      </c>
      <c r="L689" s="16">
        <f>SUM(F$5:F689)/SUM(E$5:E689)</f>
        <v>0.74824618140206056</v>
      </c>
    </row>
    <row r="690" spans="1:12" x14ac:dyDescent="0.25">
      <c r="A690" s="29">
        <v>45740</v>
      </c>
      <c r="B690" s="16" t="s">
        <v>736</v>
      </c>
      <c r="C690" s="34">
        <v>1</v>
      </c>
      <c r="D690" s="16" t="s">
        <v>52</v>
      </c>
      <c r="E690" s="35">
        <v>1.3</v>
      </c>
      <c r="F690" s="35">
        <v>1.1000000000000001</v>
      </c>
      <c r="G690" s="16" t="s">
        <v>44</v>
      </c>
      <c r="H690" s="16" t="s">
        <v>45</v>
      </c>
      <c r="I690" s="16">
        <f>COUNTIF(G$5:G690,"Y")/COUNTA(G$5:G690)</f>
        <v>0.86880466472303208</v>
      </c>
      <c r="J690" s="16">
        <f>COUNTIF(H$5:H690,"Y")/COUNTA(H$5:H690)</f>
        <v>5.2478134110787174E-2</v>
      </c>
      <c r="K690" s="16">
        <f>AVERAGE(F$5:F690)</f>
        <v>2.1938775510204094</v>
      </c>
      <c r="L690" s="16">
        <f>SUM(F$5:F690)/SUM(E$5:E690)</f>
        <v>0.74830946698488532</v>
      </c>
    </row>
    <row r="691" spans="1:12" x14ac:dyDescent="0.25">
      <c r="A691" s="29">
        <v>45741</v>
      </c>
      <c r="B691" s="16" t="s">
        <v>737</v>
      </c>
      <c r="C691" s="34">
        <v>1</v>
      </c>
      <c r="D691" s="16" t="s">
        <v>60</v>
      </c>
      <c r="E691" s="35">
        <v>3.3</v>
      </c>
      <c r="F691" s="35">
        <v>2.7</v>
      </c>
      <c r="G691" s="16" t="s">
        <v>45</v>
      </c>
      <c r="H691" s="16" t="s">
        <v>45</v>
      </c>
      <c r="I691" s="16">
        <f>COUNTIF(G$5:G691,"Y")/COUNTA(G$5:G691)</f>
        <v>0.8675400291120815</v>
      </c>
      <c r="J691" s="16">
        <f>COUNTIF(H$5:H691,"Y")/COUNTA(H$5:H691)</f>
        <v>5.2401746724890827E-2</v>
      </c>
      <c r="K691" s="16">
        <f>AVERAGE(F$5:F691)</f>
        <v>2.1946142649199434</v>
      </c>
      <c r="L691" s="16">
        <f>SUM(F$5:F691)/SUM(E$5:E691)</f>
        <v>0.74842392653263912</v>
      </c>
    </row>
    <row r="692" spans="1:12" x14ac:dyDescent="0.25">
      <c r="A692" s="29">
        <v>45742</v>
      </c>
      <c r="B692" s="16" t="s">
        <v>738</v>
      </c>
      <c r="C692" s="34">
        <v>1</v>
      </c>
      <c r="D692" s="16" t="s">
        <v>52</v>
      </c>
      <c r="E692" s="35">
        <v>3.7</v>
      </c>
      <c r="F692" s="35">
        <v>2.9</v>
      </c>
      <c r="G692" s="16" t="s">
        <v>44</v>
      </c>
      <c r="H692" s="16" t="s">
        <v>45</v>
      </c>
      <c r="I692" s="16">
        <f>COUNTIF(G$5:G692,"Y")/COUNTA(G$5:G692)</f>
        <v>0.86773255813953487</v>
      </c>
      <c r="J692" s="16">
        <f>COUNTIF(H$5:H692,"Y")/COUNTA(H$5:H692)</f>
        <v>5.232558139534884E-2</v>
      </c>
      <c r="K692" s="16">
        <f>AVERAGE(F$5:F692)</f>
        <v>2.1956395348837225</v>
      </c>
      <c r="L692" s="16">
        <f>SUM(F$5:F692)/SUM(E$5:E692)</f>
        <v>0.74848875235358314</v>
      </c>
    </row>
    <row r="693" spans="1:12" x14ac:dyDescent="0.25">
      <c r="A693" s="29">
        <v>45743</v>
      </c>
      <c r="B693" s="16" t="s">
        <v>739</v>
      </c>
      <c r="C693" s="34">
        <v>1</v>
      </c>
      <c r="D693" s="16" t="s">
        <v>47</v>
      </c>
      <c r="E693" s="35">
        <v>3.6</v>
      </c>
      <c r="F693" s="35">
        <v>2.8</v>
      </c>
      <c r="G693" s="16" t="s">
        <v>44</v>
      </c>
      <c r="H693" s="16" t="s">
        <v>45</v>
      </c>
      <c r="I693" s="16">
        <f>COUNTIF(G$5:G693,"Y")/COUNTA(G$5:G693)</f>
        <v>0.86792452830188682</v>
      </c>
      <c r="J693" s="16">
        <f>COUNTIF(H$5:H693,"Y")/COUNTA(H$5:H693)</f>
        <v>5.2249637155297533E-2</v>
      </c>
      <c r="K693" s="16">
        <f>AVERAGE(F$5:F693)</f>
        <v>2.1965166908563147</v>
      </c>
      <c r="L693" s="16">
        <f>SUM(F$5:F693)/SUM(E$5:E693)</f>
        <v>0.74854090414482222</v>
      </c>
    </row>
    <row r="694" spans="1:12" x14ac:dyDescent="0.25">
      <c r="A694" s="29">
        <v>45744</v>
      </c>
      <c r="B694" s="16" t="s">
        <v>740</v>
      </c>
      <c r="C694" s="34">
        <v>1</v>
      </c>
      <c r="D694" s="16" t="s">
        <v>43</v>
      </c>
      <c r="E694" s="35">
        <v>3.9</v>
      </c>
      <c r="F694" s="35">
        <v>3.3</v>
      </c>
      <c r="G694" s="16" t="s">
        <v>44</v>
      </c>
      <c r="H694" s="16" t="s">
        <v>45</v>
      </c>
      <c r="I694" s="16">
        <f>COUNTIF(G$5:G694,"Y")/COUNTA(G$5:G694)</f>
        <v>0.86811594202898545</v>
      </c>
      <c r="J694" s="16">
        <f>COUNTIF(H$5:H694,"Y")/COUNTA(H$5:H694)</f>
        <v>5.2173913043478258E-2</v>
      </c>
      <c r="K694" s="16">
        <f>AVERAGE(F$5:F694)</f>
        <v>2.1981159420289869</v>
      </c>
      <c r="L694" s="16">
        <f>SUM(F$5:F694)/SUM(E$5:E694)</f>
        <v>0.74872883447697158</v>
      </c>
    </row>
    <row r="695" spans="1:12" x14ac:dyDescent="0.25">
      <c r="A695" s="29">
        <v>45740</v>
      </c>
      <c r="B695" s="16" t="s">
        <v>741</v>
      </c>
      <c r="C695" s="34">
        <v>1</v>
      </c>
      <c r="D695" s="16" t="s">
        <v>52</v>
      </c>
      <c r="E695" s="35">
        <v>5.2</v>
      </c>
      <c r="F695" s="35">
        <v>3.7</v>
      </c>
      <c r="G695" s="16" t="s">
        <v>44</v>
      </c>
      <c r="H695" s="16" t="s">
        <v>45</v>
      </c>
      <c r="I695" s="16">
        <f>COUNTIF(G$5:G695,"Y")/COUNTA(G$5:G695)</f>
        <v>0.86830680173661356</v>
      </c>
      <c r="J695" s="16">
        <f>COUNTIF(H$5:H695,"Y")/COUNTA(H$5:H695)</f>
        <v>5.2098408104196817E-2</v>
      </c>
      <c r="K695" s="16">
        <f>AVERAGE(F$5:F695)</f>
        <v>2.2002894356005802</v>
      </c>
      <c r="L695" s="16">
        <f>SUM(F$5:F695)/SUM(E$5:E695)</f>
        <v>0.74863361071446233</v>
      </c>
    </row>
    <row r="696" spans="1:12" x14ac:dyDescent="0.25">
      <c r="A696" s="29">
        <v>45741</v>
      </c>
      <c r="B696" s="16" t="s">
        <v>742</v>
      </c>
      <c r="C696" s="34">
        <v>1</v>
      </c>
      <c r="D696" s="16" t="s">
        <v>64</v>
      </c>
      <c r="E696" s="35">
        <v>2</v>
      </c>
      <c r="F696" s="35">
        <v>1.8</v>
      </c>
      <c r="G696" s="16" t="s">
        <v>44</v>
      </c>
      <c r="H696" s="16" t="s">
        <v>45</v>
      </c>
      <c r="I696" s="16">
        <f>COUNTIF(G$5:G696,"Y")/COUNTA(G$5:G696)</f>
        <v>0.86849710982658956</v>
      </c>
      <c r="J696" s="16">
        <f>COUNTIF(H$5:H696,"Y")/COUNTA(H$5:H696)</f>
        <v>5.2023121387283239E-2</v>
      </c>
      <c r="K696" s="16">
        <f>AVERAGE(F$5:F696)</f>
        <v>2.1997109826589609</v>
      </c>
      <c r="L696" s="16">
        <f>SUM(F$5:F696)/SUM(E$5:E696)</f>
        <v>0.74878252742387785</v>
      </c>
    </row>
    <row r="697" spans="1:12" x14ac:dyDescent="0.25">
      <c r="A697" s="29">
        <v>45742</v>
      </c>
      <c r="B697" s="16" t="s">
        <v>743</v>
      </c>
      <c r="C697" s="34">
        <v>1</v>
      </c>
      <c r="D697" s="16" t="s">
        <v>50</v>
      </c>
      <c r="E697" s="35">
        <v>2.7</v>
      </c>
      <c r="F697" s="35">
        <v>2.2999999999999998</v>
      </c>
      <c r="G697" s="16" t="s">
        <v>44</v>
      </c>
      <c r="H697" s="16" t="s">
        <v>45</v>
      </c>
      <c r="I697" s="16">
        <f>COUNTIF(G$5:G697,"Y")/COUNTA(G$5:G697)</f>
        <v>0.86868686868686873</v>
      </c>
      <c r="J697" s="16">
        <f>COUNTIF(H$5:H697,"Y")/COUNTA(H$5:H697)</f>
        <v>5.1948051948051951E-2</v>
      </c>
      <c r="K697" s="16">
        <f>AVERAGE(F$5:F697)</f>
        <v>2.1998556998557013</v>
      </c>
      <c r="L697" s="16">
        <f>SUM(F$5:F697)/SUM(E$5:E697)</f>
        <v>0.74891923757123269</v>
      </c>
    </row>
    <row r="698" spans="1:12" x14ac:dyDescent="0.25">
      <c r="A698" s="29">
        <v>45743</v>
      </c>
      <c r="B698" s="16" t="s">
        <v>744</v>
      </c>
      <c r="C698" s="34">
        <v>1</v>
      </c>
      <c r="D698" s="16" t="s">
        <v>43</v>
      </c>
      <c r="E698" s="35">
        <v>3</v>
      </c>
      <c r="F698" s="35">
        <v>2.1</v>
      </c>
      <c r="G698" s="16" t="s">
        <v>44</v>
      </c>
      <c r="H698" s="16" t="s">
        <v>45</v>
      </c>
      <c r="I698" s="16">
        <f>COUNTIF(G$5:G698,"Y")/COUNTA(G$5:G698)</f>
        <v>0.86887608069164268</v>
      </c>
      <c r="J698" s="16">
        <f>COUNTIF(H$5:H698,"Y")/COUNTA(H$5:H698)</f>
        <v>5.1873198847262249E-2</v>
      </c>
      <c r="K698" s="16">
        <f>AVERAGE(F$5:F698)</f>
        <v>2.1997118155619608</v>
      </c>
      <c r="L698" s="16">
        <f>SUM(F$5:F698)/SUM(E$5:E698)</f>
        <v>0.74884724811144965</v>
      </c>
    </row>
    <row r="699" spans="1:12" x14ac:dyDescent="0.25">
      <c r="A699" s="29">
        <v>45744</v>
      </c>
      <c r="B699" s="16" t="s">
        <v>745</v>
      </c>
      <c r="C699" s="34">
        <v>1</v>
      </c>
      <c r="D699" s="16" t="s">
        <v>60</v>
      </c>
      <c r="E699" s="35">
        <v>5.3</v>
      </c>
      <c r="F699" s="35">
        <v>3.6</v>
      </c>
      <c r="G699" s="16" t="s">
        <v>44</v>
      </c>
      <c r="H699" s="16" t="s">
        <v>45</v>
      </c>
      <c r="I699" s="16">
        <f>COUNTIF(G$5:G699,"Y")/COUNTA(G$5:G699)</f>
        <v>0.86906474820143886</v>
      </c>
      <c r="J699" s="16">
        <f>COUNTIF(H$5:H699,"Y")/COUNTA(H$5:H699)</f>
        <v>5.1798561151079135E-2</v>
      </c>
      <c r="K699" s="16">
        <f>AVERAGE(F$5:F699)</f>
        <v>2.2017266187050368</v>
      </c>
      <c r="L699" s="16">
        <f>SUM(F$5:F699)/SUM(E$5:E699)</f>
        <v>0.74866676451881264</v>
      </c>
    </row>
    <row r="700" spans="1:12" x14ac:dyDescent="0.25">
      <c r="A700" s="29">
        <v>45740</v>
      </c>
      <c r="B700" s="16" t="s">
        <v>746</v>
      </c>
      <c r="C700" s="34">
        <v>1</v>
      </c>
      <c r="D700" s="16" t="s">
        <v>52</v>
      </c>
      <c r="E700" s="35">
        <v>1.5</v>
      </c>
      <c r="F700" s="35">
        <v>1.1000000000000001</v>
      </c>
      <c r="G700" s="16" t="s">
        <v>44</v>
      </c>
      <c r="H700" s="16" t="s">
        <v>45</v>
      </c>
      <c r="I700" s="16">
        <f>COUNTIF(G$5:G700,"Y")/COUNTA(G$5:G700)</f>
        <v>0.86925287356321834</v>
      </c>
      <c r="J700" s="16">
        <f>COUNTIF(H$5:H700,"Y")/COUNTA(H$5:H700)</f>
        <v>5.1724137931034482E-2</v>
      </c>
      <c r="K700" s="16">
        <f>AVERAGE(F$5:F700)</f>
        <v>2.2001436781609205</v>
      </c>
      <c r="L700" s="16">
        <f>SUM(F$5:F700)/SUM(E$5:E700)</f>
        <v>0.74865551970274813</v>
      </c>
    </row>
    <row r="701" spans="1:12" x14ac:dyDescent="0.25">
      <c r="A701" s="29">
        <v>45741</v>
      </c>
      <c r="B701" s="16" t="s">
        <v>747</v>
      </c>
      <c r="C701" s="34">
        <v>1</v>
      </c>
      <c r="D701" s="16" t="s">
        <v>43</v>
      </c>
      <c r="E701" s="35">
        <v>4.8</v>
      </c>
      <c r="F701" s="35">
        <v>3.5</v>
      </c>
      <c r="G701" s="16" t="s">
        <v>44</v>
      </c>
      <c r="H701" s="16" t="s">
        <v>44</v>
      </c>
      <c r="I701" s="16">
        <f>COUNTIF(G$5:G701,"Y")/COUNTA(G$5:G701)</f>
        <v>0.86944045911047341</v>
      </c>
      <c r="J701" s="16">
        <f>COUNTIF(H$5:H701,"Y")/COUNTA(H$5:H701)</f>
        <v>5.308464849354376E-2</v>
      </c>
      <c r="K701" s="16">
        <f>AVERAGE(F$5:F701)</f>
        <v>2.2020086083213783</v>
      </c>
      <c r="L701" s="16">
        <f>SUM(F$5:F701)/SUM(E$5:E701)</f>
        <v>0.74860989171788173</v>
      </c>
    </row>
    <row r="702" spans="1:12" x14ac:dyDescent="0.25">
      <c r="A702" s="29">
        <v>45742</v>
      </c>
      <c r="B702" s="16" t="s">
        <v>748</v>
      </c>
      <c r="C702" s="34">
        <v>1</v>
      </c>
      <c r="D702" s="16" t="s">
        <v>50</v>
      </c>
      <c r="E702" s="35">
        <v>1.8</v>
      </c>
      <c r="F702" s="35">
        <v>1.4</v>
      </c>
      <c r="G702" s="16" t="s">
        <v>44</v>
      </c>
      <c r="H702" s="16" t="s">
        <v>45</v>
      </c>
      <c r="I702" s="16">
        <f>COUNTIF(G$5:G702,"Y")/COUNTA(G$5:G702)</f>
        <v>0.86962750716332382</v>
      </c>
      <c r="J702" s="16">
        <f>COUNTIF(H$5:H702,"Y")/COUNTA(H$5:H702)</f>
        <v>5.300859598853868E-2</v>
      </c>
      <c r="K702" s="16">
        <f>AVERAGE(F$5:F702)</f>
        <v>2.2008595988538691</v>
      </c>
      <c r="L702" s="16">
        <f>SUM(F$5:F702)/SUM(E$5:E702)</f>
        <v>0.74863547758284654</v>
      </c>
    </row>
    <row r="703" spans="1:12" x14ac:dyDescent="0.25">
      <c r="A703" s="29">
        <v>45743</v>
      </c>
      <c r="B703" s="16" t="s">
        <v>749</v>
      </c>
      <c r="C703" s="34">
        <v>1</v>
      </c>
      <c r="D703" s="16" t="s">
        <v>60</v>
      </c>
      <c r="E703" s="35">
        <v>2.2999999999999998</v>
      </c>
      <c r="F703" s="35">
        <v>1.8</v>
      </c>
      <c r="G703" s="16" t="s">
        <v>44</v>
      </c>
      <c r="H703" s="16" t="s">
        <v>45</v>
      </c>
      <c r="I703" s="16">
        <f>COUNTIF(G$5:G703,"Y")/COUNTA(G$5:G703)</f>
        <v>0.8698140200286123</v>
      </c>
      <c r="J703" s="16">
        <f>COUNTIF(H$5:H703,"Y")/COUNTA(H$5:H703)</f>
        <v>5.2932761087267528E-2</v>
      </c>
      <c r="K703" s="16">
        <f>AVERAGE(F$5:F703)</f>
        <v>2.2002861230329049</v>
      </c>
      <c r="L703" s="16">
        <f>SUM(F$5:F703)/SUM(E$5:E703)</f>
        <v>0.74867351409239202</v>
      </c>
    </row>
    <row r="704" spans="1:12" x14ac:dyDescent="0.25">
      <c r="A704" s="29">
        <v>45744</v>
      </c>
      <c r="B704" s="16" t="s">
        <v>750</v>
      </c>
      <c r="C704" s="34">
        <v>1</v>
      </c>
      <c r="D704" s="16" t="s">
        <v>60</v>
      </c>
      <c r="E704" s="35">
        <v>1.9</v>
      </c>
      <c r="F704" s="35">
        <v>1.3</v>
      </c>
      <c r="G704" s="16" t="s">
        <v>45</v>
      </c>
      <c r="H704" s="16" t="s">
        <v>45</v>
      </c>
      <c r="I704" s="16">
        <f>COUNTIF(G$5:G704,"Y")/COUNTA(G$5:G704)</f>
        <v>0.86857142857142855</v>
      </c>
      <c r="J704" s="16">
        <f>COUNTIF(H$5:H704,"Y")/COUNTA(H$5:H704)</f>
        <v>5.2857142857142859E-2</v>
      </c>
      <c r="K704" s="16">
        <f>AVERAGE(F$5:F704)</f>
        <v>2.1990000000000007</v>
      </c>
      <c r="L704" s="16">
        <f>SUM(F$5:F704)/SUM(E$5:E704)</f>
        <v>0.74861394805952763</v>
      </c>
    </row>
    <row r="705" spans="1:12" x14ac:dyDescent="0.25">
      <c r="A705" s="29">
        <v>45740</v>
      </c>
      <c r="B705" s="16" t="s">
        <v>751</v>
      </c>
      <c r="C705" s="34">
        <v>1</v>
      </c>
      <c r="D705" s="16" t="s">
        <v>50</v>
      </c>
      <c r="E705" s="35">
        <v>3.5</v>
      </c>
      <c r="F705" s="35">
        <v>3.1</v>
      </c>
      <c r="G705" s="16" t="s">
        <v>44</v>
      </c>
      <c r="H705" s="16" t="s">
        <v>45</v>
      </c>
      <c r="I705" s="16">
        <f>COUNTIF(G$5:G705,"Y")/COUNTA(G$5:G705)</f>
        <v>0.86875891583452214</v>
      </c>
      <c r="J705" s="16">
        <f>COUNTIF(H$5:H705,"Y")/COUNTA(H$5:H705)</f>
        <v>5.2781740370898715E-2</v>
      </c>
      <c r="K705" s="16">
        <f>AVERAGE(F$5:F705)</f>
        <v>2.2002853067047083</v>
      </c>
      <c r="L705" s="16">
        <f>SUM(F$5:F705)/SUM(E$5:E705)</f>
        <v>0.74884691945428983</v>
      </c>
    </row>
    <row r="706" spans="1:12" x14ac:dyDescent="0.25">
      <c r="A706" s="29">
        <v>45741</v>
      </c>
      <c r="B706" s="16" t="s">
        <v>752</v>
      </c>
      <c r="C706" s="34">
        <v>1</v>
      </c>
      <c r="D706" s="16" t="s">
        <v>43</v>
      </c>
      <c r="E706" s="35">
        <v>5.4</v>
      </c>
      <c r="F706" s="35">
        <v>3.7</v>
      </c>
      <c r="G706" s="16" t="s">
        <v>44</v>
      </c>
      <c r="H706" s="16" t="s">
        <v>45</v>
      </c>
      <c r="I706" s="16">
        <f>COUNTIF(G$5:G706,"Y")/COUNTA(G$5:G706)</f>
        <v>0.86894586894586889</v>
      </c>
      <c r="J706" s="16">
        <f>COUNTIF(H$5:H706,"Y")/COUNTA(H$5:H706)</f>
        <v>5.2706552706552709E-2</v>
      </c>
      <c r="K706" s="16">
        <f>AVERAGE(F$5:F706)</f>
        <v>2.2024216524216533</v>
      </c>
      <c r="L706" s="16">
        <f>SUM(F$5:F706)/SUM(E$5:E706)</f>
        <v>0.74868045130986427</v>
      </c>
    </row>
    <row r="707" spans="1:12" x14ac:dyDescent="0.25">
      <c r="A707" s="29">
        <v>45742</v>
      </c>
      <c r="B707" s="16" t="s">
        <v>753</v>
      </c>
      <c r="C707" s="34">
        <v>1</v>
      </c>
      <c r="D707" s="16" t="s">
        <v>50</v>
      </c>
      <c r="E707" s="35">
        <v>3.6</v>
      </c>
      <c r="F707" s="35">
        <v>2.6</v>
      </c>
      <c r="G707" s="16" t="s">
        <v>44</v>
      </c>
      <c r="H707" s="16" t="s">
        <v>45</v>
      </c>
      <c r="I707" s="16">
        <f>COUNTIF(G$5:G707,"Y")/COUNTA(G$5:G707)</f>
        <v>0.86913229018492177</v>
      </c>
      <c r="J707" s="16">
        <f>COUNTIF(H$5:H707,"Y")/COUNTA(H$5:H707)</f>
        <v>5.2631578947368418E-2</v>
      </c>
      <c r="K707" s="16">
        <f>AVERAGE(F$5:F707)</f>
        <v>2.2029871977240405</v>
      </c>
      <c r="L707" s="16">
        <f>SUM(F$5:F707)/SUM(E$5:E707)</f>
        <v>0.74863440808237092</v>
      </c>
    </row>
    <row r="708" spans="1:12" x14ac:dyDescent="0.25">
      <c r="A708" s="29">
        <v>45743</v>
      </c>
      <c r="B708" s="16" t="s">
        <v>754</v>
      </c>
      <c r="C708" s="34">
        <v>1</v>
      </c>
      <c r="D708" s="16" t="s">
        <v>56</v>
      </c>
      <c r="E708" s="35">
        <v>3.3</v>
      </c>
      <c r="F708" s="35">
        <v>2.2000000000000002</v>
      </c>
      <c r="G708" s="16" t="s">
        <v>44</v>
      </c>
      <c r="H708" s="16" t="s">
        <v>45</v>
      </c>
      <c r="I708" s="16">
        <f>COUNTIF(G$5:G708,"Y")/COUNTA(G$5:G708)</f>
        <v>0.86931818181818177</v>
      </c>
      <c r="J708" s="16">
        <f>COUNTIF(H$5:H708,"Y")/COUNTA(H$5:H708)</f>
        <v>5.2556818181818184E-2</v>
      </c>
      <c r="K708" s="16">
        <f>AVERAGE(F$5:F708)</f>
        <v>2.2029829545454551</v>
      </c>
      <c r="L708" s="16">
        <f>SUM(F$5:F708)/SUM(E$5:E708)</f>
        <v>0.74850386100386124</v>
      </c>
    </row>
    <row r="709" spans="1:12" x14ac:dyDescent="0.25">
      <c r="A709" s="29">
        <v>45744</v>
      </c>
      <c r="B709" s="16" t="s">
        <v>755</v>
      </c>
      <c r="C709" s="34">
        <v>1</v>
      </c>
      <c r="D709" s="16" t="s">
        <v>47</v>
      </c>
      <c r="E709" s="35">
        <v>1.5</v>
      </c>
      <c r="F709" s="35">
        <v>1.3</v>
      </c>
      <c r="G709" s="16" t="s">
        <v>44</v>
      </c>
      <c r="H709" s="16" t="s">
        <v>45</v>
      </c>
      <c r="I709" s="16">
        <f>COUNTIF(G$5:G709,"Y")/COUNTA(G$5:G709)</f>
        <v>0.86950354609929081</v>
      </c>
      <c r="J709" s="16">
        <f>COUNTIF(H$5:H709,"Y")/COUNTA(H$5:H709)</f>
        <v>5.2482269503546099E-2</v>
      </c>
      <c r="K709" s="16">
        <f>AVERAGE(F$5:F709)</f>
        <v>2.201702127659575</v>
      </c>
      <c r="L709" s="16">
        <f>SUM(F$5:F709)/SUM(E$5:E709)</f>
        <v>0.74858934169279023</v>
      </c>
    </row>
    <row r="710" spans="1:12" x14ac:dyDescent="0.25">
      <c r="A710" s="29">
        <v>45740</v>
      </c>
      <c r="B710" s="16" t="s">
        <v>756</v>
      </c>
      <c r="C710" s="34">
        <v>1</v>
      </c>
      <c r="D710" s="16" t="s">
        <v>50</v>
      </c>
      <c r="E710" s="35">
        <v>2.1</v>
      </c>
      <c r="F710" s="35">
        <v>1.5</v>
      </c>
      <c r="G710" s="16" t="s">
        <v>44</v>
      </c>
      <c r="H710" s="16" t="s">
        <v>45</v>
      </c>
      <c r="I710" s="16">
        <f>COUNTIF(G$5:G710,"Y")/COUNTA(G$5:G710)</f>
        <v>0.86968838526912184</v>
      </c>
      <c r="J710" s="16">
        <f>COUNTIF(H$5:H710,"Y")/COUNTA(H$5:H710)</f>
        <v>5.2407932011331447E-2</v>
      </c>
      <c r="K710" s="16">
        <f>AVERAGE(F$5:F710)</f>
        <v>2.2007082152974511</v>
      </c>
      <c r="L710" s="16">
        <f>SUM(F$5:F710)/SUM(E$5:E710)</f>
        <v>0.74855463480439421</v>
      </c>
    </row>
    <row r="711" spans="1:12" x14ac:dyDescent="0.25">
      <c r="A711" s="29">
        <v>45741</v>
      </c>
      <c r="B711" s="16" t="s">
        <v>757</v>
      </c>
      <c r="C711" s="34">
        <v>1</v>
      </c>
      <c r="D711" s="16" t="s">
        <v>60</v>
      </c>
      <c r="E711" s="35">
        <v>1.7</v>
      </c>
      <c r="F711" s="35">
        <v>1.3</v>
      </c>
      <c r="G711" s="16" t="s">
        <v>44</v>
      </c>
      <c r="H711" s="16" t="s">
        <v>45</v>
      </c>
      <c r="I711" s="16">
        <f>COUNTIF(G$5:G711,"Y")/COUNTA(G$5:G711)</f>
        <v>0.86987270155586982</v>
      </c>
      <c r="J711" s="16">
        <f>COUNTIF(H$5:H711,"Y")/COUNTA(H$5:H711)</f>
        <v>5.2333804809052337E-2</v>
      </c>
      <c r="K711" s="16">
        <f>AVERAGE(F$5:F711)</f>
        <v>2.1994342291372</v>
      </c>
      <c r="L711" s="16">
        <f>SUM(F$5:F711)/SUM(E$5:E711)</f>
        <v>0.74856785250084279</v>
      </c>
    </row>
    <row r="712" spans="1:12" x14ac:dyDescent="0.25">
      <c r="A712" s="29">
        <v>45742</v>
      </c>
      <c r="B712" s="16" t="s">
        <v>758</v>
      </c>
      <c r="C712" s="34">
        <v>1</v>
      </c>
      <c r="D712" s="16" t="s">
        <v>56</v>
      </c>
      <c r="E712" s="35">
        <v>3.4</v>
      </c>
      <c r="F712" s="35">
        <v>2.2999999999999998</v>
      </c>
      <c r="G712" s="16" t="s">
        <v>45</v>
      </c>
      <c r="H712" s="16" t="s">
        <v>45</v>
      </c>
      <c r="I712" s="16">
        <f>COUNTIF(G$5:G712,"Y")/COUNTA(G$5:G712)</f>
        <v>0.86864406779661019</v>
      </c>
      <c r="J712" s="16">
        <f>COUNTIF(H$5:H712,"Y")/COUNTA(H$5:H712)</f>
        <v>5.2259887005649715E-2</v>
      </c>
      <c r="K712" s="16">
        <f>AVERAGE(F$5:F712)</f>
        <v>2.1995762711864413</v>
      </c>
      <c r="L712" s="16">
        <f>SUM(F$5:F712)/SUM(E$5:E712)</f>
        <v>0.74845004085163669</v>
      </c>
    </row>
    <row r="713" spans="1:12" x14ac:dyDescent="0.25">
      <c r="A713" s="29">
        <v>45743</v>
      </c>
      <c r="B713" s="16" t="s">
        <v>759</v>
      </c>
      <c r="C713" s="34">
        <v>1</v>
      </c>
      <c r="D713" s="16" t="s">
        <v>47</v>
      </c>
      <c r="E713" s="35">
        <v>2.2000000000000002</v>
      </c>
      <c r="F713" s="35">
        <v>1.8</v>
      </c>
      <c r="G713" s="16" t="s">
        <v>44</v>
      </c>
      <c r="H713" s="16" t="s">
        <v>45</v>
      </c>
      <c r="I713" s="16">
        <f>COUNTIF(G$5:G713,"Y")/COUNTA(G$5:G713)</f>
        <v>0.86882933709449928</v>
      </c>
      <c r="J713" s="16">
        <f>COUNTIF(H$5:H713,"Y")/COUNTA(H$5:H713)</f>
        <v>5.2186177715091681E-2</v>
      </c>
      <c r="K713" s="16">
        <f>AVERAGE(F$5:F713)</f>
        <v>2.1990126939351202</v>
      </c>
      <c r="L713" s="16">
        <f>SUM(F$5:F713)/SUM(E$5:E713)</f>
        <v>0.74852369292812937</v>
      </c>
    </row>
    <row r="714" spans="1:12" x14ac:dyDescent="0.25">
      <c r="A714" s="29">
        <v>45744</v>
      </c>
      <c r="B714" s="16" t="s">
        <v>760</v>
      </c>
      <c r="C714" s="34">
        <v>1</v>
      </c>
      <c r="D714" s="16" t="s">
        <v>52</v>
      </c>
      <c r="E714" s="35">
        <v>2.8</v>
      </c>
      <c r="F714" s="35">
        <v>2</v>
      </c>
      <c r="G714" s="16" t="s">
        <v>45</v>
      </c>
      <c r="H714" s="16" t="s">
        <v>45</v>
      </c>
      <c r="I714" s="16">
        <f>COUNTIF(G$5:G714,"Y")/COUNTA(G$5:G714)</f>
        <v>0.86760563380281686</v>
      </c>
      <c r="J714" s="16">
        <f>COUNTIF(H$5:H714,"Y")/COUNTA(H$5:H714)</f>
        <v>5.2112676056338028E-2</v>
      </c>
      <c r="K714" s="16">
        <f>AVERAGE(F$5:F714)</f>
        <v>2.1987323943661976</v>
      </c>
      <c r="L714" s="16">
        <f>SUM(F$5:F714)/SUM(E$5:E714)</f>
        <v>0.74847772929951595</v>
      </c>
    </row>
    <row r="715" spans="1:12" x14ac:dyDescent="0.25">
      <c r="A715" s="29">
        <v>45740</v>
      </c>
      <c r="B715" s="16" t="s">
        <v>761</v>
      </c>
      <c r="C715" s="34">
        <v>1</v>
      </c>
      <c r="D715" s="16" t="s">
        <v>52</v>
      </c>
      <c r="E715" s="35">
        <v>4.3</v>
      </c>
      <c r="F715" s="35">
        <v>3.1</v>
      </c>
      <c r="G715" s="16" t="s">
        <v>44</v>
      </c>
      <c r="H715" s="16" t="s">
        <v>45</v>
      </c>
      <c r="I715" s="16">
        <f>COUNTIF(G$5:G715,"Y")/COUNTA(G$5:G715)</f>
        <v>0.86779184247538677</v>
      </c>
      <c r="J715" s="16">
        <f>COUNTIF(H$5:H715,"Y")/COUNTA(H$5:H715)</f>
        <v>5.2039381153305204E-2</v>
      </c>
      <c r="K715" s="16">
        <f>AVERAGE(F$5:F715)</f>
        <v>2.2000000000000002</v>
      </c>
      <c r="L715" s="16">
        <f>SUM(F$5:F715)/SUM(E$5:E715)</f>
        <v>0.7484210526315791</v>
      </c>
    </row>
    <row r="716" spans="1:12" x14ac:dyDescent="0.25">
      <c r="A716" s="29">
        <v>45741</v>
      </c>
      <c r="B716" s="16" t="s">
        <v>762</v>
      </c>
      <c r="C716" s="34">
        <v>1</v>
      </c>
      <c r="D716" s="16" t="s">
        <v>50</v>
      </c>
      <c r="E716" s="35">
        <v>2.4</v>
      </c>
      <c r="F716" s="35">
        <v>2</v>
      </c>
      <c r="G716" s="16" t="s">
        <v>44</v>
      </c>
      <c r="H716" s="16" t="s">
        <v>45</v>
      </c>
      <c r="I716" s="16">
        <f>COUNTIF(G$5:G716,"Y")/COUNTA(G$5:G716)</f>
        <v>0.8679775280898876</v>
      </c>
      <c r="J716" s="16">
        <f>COUNTIF(H$5:H716,"Y")/COUNTA(H$5:H716)</f>
        <v>5.1966292134831463E-2</v>
      </c>
      <c r="K716" s="16">
        <f>AVERAGE(F$5:F716)</f>
        <v>2.1997191011235957</v>
      </c>
      <c r="L716" s="16">
        <f>SUM(F$5:F716)/SUM(E$5:E716)</f>
        <v>0.7485184477155421</v>
      </c>
    </row>
    <row r="717" spans="1:12" x14ac:dyDescent="0.25">
      <c r="A717" s="29">
        <v>45742</v>
      </c>
      <c r="B717" s="16" t="s">
        <v>763</v>
      </c>
      <c r="C717" s="34">
        <v>1</v>
      </c>
      <c r="D717" s="16" t="s">
        <v>47</v>
      </c>
      <c r="E717" s="35">
        <v>1.5</v>
      </c>
      <c r="F717" s="35">
        <v>1.3</v>
      </c>
      <c r="G717" s="16" t="s">
        <v>44</v>
      </c>
      <c r="H717" s="16" t="s">
        <v>45</v>
      </c>
      <c r="I717" s="16">
        <f>COUNTIF(G$5:G717,"Y")/COUNTA(G$5:G717)</f>
        <v>0.86816269284712477</v>
      </c>
      <c r="J717" s="16">
        <f>COUNTIF(H$5:H717,"Y")/COUNTA(H$5:H717)</f>
        <v>5.1893408134642355E-2</v>
      </c>
      <c r="K717" s="16">
        <f>AVERAGE(F$5:F717)</f>
        <v>2.198457223001403</v>
      </c>
      <c r="L717" s="16">
        <f>SUM(F$5:F717)/SUM(E$5:E717)</f>
        <v>0.7486030851521086</v>
      </c>
    </row>
    <row r="718" spans="1:12" x14ac:dyDescent="0.25">
      <c r="A718" s="29">
        <v>45743</v>
      </c>
      <c r="B718" s="16" t="s">
        <v>764</v>
      </c>
      <c r="C718" s="34">
        <v>1</v>
      </c>
      <c r="D718" s="16" t="s">
        <v>52</v>
      </c>
      <c r="E718" s="35">
        <v>4.4000000000000004</v>
      </c>
      <c r="F718" s="35">
        <v>3.3</v>
      </c>
      <c r="G718" s="16" t="s">
        <v>44</v>
      </c>
      <c r="H718" s="16" t="s">
        <v>44</v>
      </c>
      <c r="I718" s="16">
        <f>COUNTIF(G$5:G718,"Y")/COUNTA(G$5:G718)</f>
        <v>0.86834733893557425</v>
      </c>
      <c r="J718" s="16">
        <f>COUNTIF(H$5:H718,"Y")/COUNTA(H$5:H718)</f>
        <v>5.3221288515406161E-2</v>
      </c>
      <c r="K718" s="16">
        <f>AVERAGE(F$5:F718)</f>
        <v>2.2000000000000002</v>
      </c>
      <c r="L718" s="16">
        <f>SUM(F$5:F718)/SUM(E$5:E718)</f>
        <v>0.74860601439260355</v>
      </c>
    </row>
    <row r="719" spans="1:12" x14ac:dyDescent="0.25">
      <c r="A719" s="29">
        <v>45744</v>
      </c>
      <c r="B719" s="16" t="s">
        <v>765</v>
      </c>
      <c r="C719" s="34">
        <v>1</v>
      </c>
      <c r="D719" s="16" t="s">
        <v>43</v>
      </c>
      <c r="E719" s="35">
        <v>1.7</v>
      </c>
      <c r="F719" s="35">
        <v>1.5</v>
      </c>
      <c r="G719" s="16" t="s">
        <v>44</v>
      </c>
      <c r="H719" s="16" t="s">
        <v>45</v>
      </c>
      <c r="I719" s="16">
        <f>COUNTIF(G$5:G719,"Y")/COUNTA(G$5:G719)</f>
        <v>0.86853146853146856</v>
      </c>
      <c r="J719" s="16">
        <f>COUNTIF(H$5:H719,"Y")/COUNTA(H$5:H719)</f>
        <v>5.3146853146853149E-2</v>
      </c>
      <c r="K719" s="16">
        <f>AVERAGE(F$5:F719)</f>
        <v>2.1990209790209794</v>
      </c>
      <c r="L719" s="16">
        <f>SUM(F$5:F719)/SUM(E$5:E719)</f>
        <v>0.74871428571428578</v>
      </c>
    </row>
    <row r="720" spans="1:12" x14ac:dyDescent="0.25">
      <c r="A720" s="29">
        <v>45740</v>
      </c>
      <c r="B720" s="16" t="s">
        <v>766</v>
      </c>
      <c r="C720" s="34">
        <v>1</v>
      </c>
      <c r="D720" s="16" t="s">
        <v>60</v>
      </c>
      <c r="E720" s="35">
        <v>0.8</v>
      </c>
      <c r="F720" s="35">
        <v>2.2999999999999998</v>
      </c>
      <c r="G720" s="16" t="s">
        <v>44</v>
      </c>
      <c r="H720" s="16" t="s">
        <v>45</v>
      </c>
      <c r="I720" s="16">
        <f>COUNTIF(G$5:G720,"Y")/COUNTA(G$5:G720)</f>
        <v>0.86871508379888274</v>
      </c>
      <c r="J720" s="16">
        <f>COUNTIF(H$5:H720,"Y")/COUNTA(H$5:H720)</f>
        <v>5.3072625698324022E-2</v>
      </c>
      <c r="K720" s="16">
        <f>AVERAGE(F$5:F720)</f>
        <v>2.1991620111731844</v>
      </c>
      <c r="L720" s="16">
        <f>SUM(F$5:F720)/SUM(E$5:E720)</f>
        <v>0.74952399086062449</v>
      </c>
    </row>
    <row r="721" spans="1:13" x14ac:dyDescent="0.25">
      <c r="A721" s="29">
        <v>45741</v>
      </c>
      <c r="B721" s="16" t="s">
        <v>767</v>
      </c>
      <c r="C721" s="34">
        <v>1</v>
      </c>
      <c r="D721" s="16" t="s">
        <v>50</v>
      </c>
      <c r="E721" s="35">
        <v>0.5</v>
      </c>
      <c r="F721" s="35">
        <v>0.5</v>
      </c>
      <c r="G721" s="16" t="s">
        <v>44</v>
      </c>
      <c r="H721" s="16" t="s">
        <v>45</v>
      </c>
      <c r="I721" s="16">
        <f>COUNTIF(G$5:G721,"Y")/COUNTA(G$5:G721)</f>
        <v>0.86889818688981868</v>
      </c>
      <c r="J721" s="16">
        <f>COUNTIF(H$5:H721,"Y")/COUNTA(H$5:H721)</f>
        <v>5.2998605299860529E-2</v>
      </c>
      <c r="K721" s="16">
        <f>AVERAGE(F$5:F721)</f>
        <v>2.1967921896792193</v>
      </c>
      <c r="L721" s="16">
        <f>SUM(F$5:F721)/SUM(E$5:E721)</f>
        <v>0.74958359111026507</v>
      </c>
    </row>
    <row r="722" spans="1:13" x14ac:dyDescent="0.25">
      <c r="A722" s="29">
        <v>45742</v>
      </c>
      <c r="B722" s="16" t="s">
        <v>768</v>
      </c>
      <c r="C722" s="34">
        <v>1</v>
      </c>
      <c r="D722" s="16" t="s">
        <v>52</v>
      </c>
      <c r="E722" s="35">
        <v>0.5</v>
      </c>
      <c r="F722" s="35">
        <v>0.5</v>
      </c>
      <c r="G722" s="16" t="s">
        <v>44</v>
      </c>
      <c r="H722" s="16" t="s">
        <v>45</v>
      </c>
      <c r="I722" s="16">
        <f>COUNTIF(G$5:G722,"Y")/COUNTA(G$5:G722)</f>
        <v>0.86908077994428967</v>
      </c>
      <c r="J722" s="16">
        <f>COUNTIF(H$5:H722,"Y")/COUNTA(H$5:H722)</f>
        <v>5.2924791086350974E-2</v>
      </c>
      <c r="K722" s="16">
        <f>AVERAGE(F$5:F722)</f>
        <v>2.1944289693593317</v>
      </c>
      <c r="L722" s="16">
        <f>SUM(F$5:F722)/SUM(E$5:E722)</f>
        <v>0.74964316300314016</v>
      </c>
      <c r="M722" s="16">
        <v>11</v>
      </c>
    </row>
    <row r="723" spans="1:13" x14ac:dyDescent="0.25">
      <c r="A723" s="29">
        <v>45747</v>
      </c>
      <c r="B723" s="16" t="s">
        <v>769</v>
      </c>
      <c r="C723" s="34">
        <v>1</v>
      </c>
      <c r="D723" s="16" t="s">
        <v>64</v>
      </c>
      <c r="E723" s="35">
        <v>3.4</v>
      </c>
      <c r="F723" s="35">
        <v>2.9</v>
      </c>
      <c r="G723" s="16" t="s">
        <v>44</v>
      </c>
      <c r="H723" s="16" t="s">
        <v>45</v>
      </c>
      <c r="I723" s="16">
        <f>COUNTIF(G$5:G723,"Y")/COUNTA(G$5:G723)</f>
        <v>0.86926286509040329</v>
      </c>
      <c r="J723" s="16">
        <f>COUNTIF(H$5:H723,"Y")/COUNTA(H$5:H723)</f>
        <v>5.2851182197496523E-2</v>
      </c>
      <c r="K723" s="16">
        <f>AVERAGE(F$5:F723)</f>
        <v>2.1954102920723231</v>
      </c>
      <c r="L723" s="16">
        <f>SUM(F$5:F723)/SUM(E$5:E723)</f>
        <v>0.74980999429982897</v>
      </c>
    </row>
    <row r="724" spans="1:13" x14ac:dyDescent="0.25">
      <c r="A724" s="29">
        <v>45748</v>
      </c>
      <c r="B724" s="16" t="s">
        <v>770</v>
      </c>
      <c r="C724" s="34">
        <v>1</v>
      </c>
      <c r="D724" s="16" t="s">
        <v>50</v>
      </c>
      <c r="E724" s="35">
        <v>1.9</v>
      </c>
      <c r="F724" s="35">
        <v>1.6</v>
      </c>
      <c r="G724" s="16" t="s">
        <v>44</v>
      </c>
      <c r="H724" s="16" t="s">
        <v>45</v>
      </c>
      <c r="I724" s="16">
        <f>COUNTIF(G$5:G724,"Y")/COUNTA(G$5:G724)</f>
        <v>0.86944444444444446</v>
      </c>
      <c r="J724" s="16">
        <f>COUNTIF(H$5:H724,"Y")/COUNTA(H$5:H724)</f>
        <v>5.2777777777777778E-2</v>
      </c>
      <c r="K724" s="16">
        <f>AVERAGE(F$5:F724)</f>
        <v>2.1945833333333336</v>
      </c>
      <c r="L724" s="16">
        <f>SUM(F$5:F724)/SUM(E$5:E724)</f>
        <v>0.74989321816714904</v>
      </c>
    </row>
    <row r="725" spans="1:13" x14ac:dyDescent="0.25">
      <c r="A725" s="29">
        <v>45749</v>
      </c>
      <c r="B725" s="16" t="s">
        <v>771</v>
      </c>
      <c r="C725" s="34">
        <v>1</v>
      </c>
      <c r="D725" s="16" t="s">
        <v>47</v>
      </c>
      <c r="E725" s="35">
        <v>2.4</v>
      </c>
      <c r="F725" s="35">
        <v>1.9</v>
      </c>
      <c r="G725" s="16" t="s">
        <v>44</v>
      </c>
      <c r="H725" s="16" t="s">
        <v>45</v>
      </c>
      <c r="I725" s="16">
        <f>COUNTIF(G$5:G725,"Y")/COUNTA(G$5:G725)</f>
        <v>0.86962552011095695</v>
      </c>
      <c r="J725" s="16">
        <f>COUNTIF(H$5:H725,"Y")/COUNTA(H$5:H725)</f>
        <v>5.2704576976421634E-2</v>
      </c>
      <c r="K725" s="16">
        <f>AVERAGE(F$5:F725)</f>
        <v>2.1941747572815538</v>
      </c>
      <c r="L725" s="16">
        <f>SUM(F$5:F725)/SUM(E$5:E725)</f>
        <v>0.74994074425219237</v>
      </c>
    </row>
    <row r="726" spans="1:13" x14ac:dyDescent="0.25">
      <c r="A726" s="29">
        <v>45750</v>
      </c>
      <c r="B726" s="16" t="s">
        <v>772</v>
      </c>
      <c r="C726" s="34">
        <v>1</v>
      </c>
      <c r="D726" s="16" t="s">
        <v>64</v>
      </c>
      <c r="E726" s="35">
        <v>4.8</v>
      </c>
      <c r="F726" s="35">
        <v>3.5</v>
      </c>
      <c r="G726" s="16" t="s">
        <v>44</v>
      </c>
      <c r="H726" s="16" t="s">
        <v>45</v>
      </c>
      <c r="I726" s="16">
        <f>COUNTIF(G$5:G726,"Y")/COUNTA(G$5:G726)</f>
        <v>0.86980609418282551</v>
      </c>
      <c r="J726" s="16">
        <f>COUNTIF(H$5:H726,"Y")/COUNTA(H$5:H726)</f>
        <v>5.2631578947368418E-2</v>
      </c>
      <c r="K726" s="16">
        <f>AVERAGE(F$5:F726)</f>
        <v>2.1959833795013854</v>
      </c>
      <c r="L726" s="16">
        <f>SUM(F$5:F726)/SUM(E$5:E726)</f>
        <v>0.74989358180012289</v>
      </c>
    </row>
    <row r="727" spans="1:13" x14ac:dyDescent="0.25">
      <c r="A727" s="29">
        <v>45751</v>
      </c>
      <c r="B727" s="16" t="s">
        <v>773</v>
      </c>
      <c r="C727" s="34">
        <v>1</v>
      </c>
      <c r="D727" s="16" t="s">
        <v>60</v>
      </c>
      <c r="E727" s="35">
        <v>4.9000000000000004</v>
      </c>
      <c r="F727" s="35">
        <v>3.4</v>
      </c>
      <c r="G727" s="16" t="s">
        <v>44</v>
      </c>
      <c r="H727" s="16" t="s">
        <v>45</v>
      </c>
      <c r="I727" s="16">
        <f>COUNTIF(G$5:G727,"Y")/COUNTA(G$5:G727)</f>
        <v>0.86998616874135548</v>
      </c>
      <c r="J727" s="16">
        <f>COUNTIF(H$5:H727,"Y")/COUNTA(H$5:H727)</f>
        <v>5.2558782849239281E-2</v>
      </c>
      <c r="K727" s="16">
        <f>AVERAGE(F$5:F727)</f>
        <v>2.1976486860304294</v>
      </c>
      <c r="L727" s="16">
        <f>SUM(F$5:F727)/SUM(E$5:E727)</f>
        <v>0.74976406191015466</v>
      </c>
    </row>
    <row r="728" spans="1:13" x14ac:dyDescent="0.25">
      <c r="A728" s="29">
        <v>45747</v>
      </c>
      <c r="B728" s="16" t="s">
        <v>774</v>
      </c>
      <c r="C728" s="34">
        <v>1</v>
      </c>
      <c r="D728" s="16" t="s">
        <v>43</v>
      </c>
      <c r="E728" s="35">
        <v>4.2</v>
      </c>
      <c r="F728" s="35">
        <v>2.9</v>
      </c>
      <c r="G728" s="16" t="s">
        <v>44</v>
      </c>
      <c r="H728" s="16" t="s">
        <v>45</v>
      </c>
      <c r="I728" s="16">
        <f>COUNTIF(G$5:G728,"Y")/COUNTA(G$5:G728)</f>
        <v>0.87016574585635365</v>
      </c>
      <c r="J728" s="16">
        <f>COUNTIF(H$5:H728,"Y")/COUNTA(H$5:H728)</f>
        <v>5.2486187845303865E-2</v>
      </c>
      <c r="K728" s="16">
        <f>AVERAGE(F$5:F728)</f>
        <v>2.1986187845303875</v>
      </c>
      <c r="L728" s="16">
        <f>SUM(F$5:F728)/SUM(E$5:E728)</f>
        <v>0.74964679287934444</v>
      </c>
    </row>
    <row r="729" spans="1:13" x14ac:dyDescent="0.25">
      <c r="A729" s="29">
        <v>45748</v>
      </c>
      <c r="B729" s="16" t="s">
        <v>775</v>
      </c>
      <c r="C729" s="34">
        <v>1</v>
      </c>
      <c r="D729" s="16" t="s">
        <v>56</v>
      </c>
      <c r="E729" s="35">
        <v>3.3</v>
      </c>
      <c r="F729" s="35">
        <v>2.2999999999999998</v>
      </c>
      <c r="G729" s="16" t="s">
        <v>44</v>
      </c>
      <c r="H729" s="16" t="s">
        <v>45</v>
      </c>
      <c r="I729" s="16">
        <f>COUNTIF(G$5:G729,"Y")/COUNTA(G$5:G729)</f>
        <v>0.8703448275862069</v>
      </c>
      <c r="J729" s="16">
        <f>COUNTIF(H$5:H729,"Y")/COUNTA(H$5:H729)</f>
        <v>5.2413793103448278E-2</v>
      </c>
      <c r="K729" s="16">
        <f>AVERAGE(F$5:F729)</f>
        <v>2.1987586206896559</v>
      </c>
      <c r="L729" s="16">
        <f>SUM(F$5:F729)/SUM(E$5:E729)</f>
        <v>0.7495650538392814</v>
      </c>
    </row>
    <row r="730" spans="1:13" x14ac:dyDescent="0.25">
      <c r="A730" s="29">
        <v>45749</v>
      </c>
      <c r="B730" s="16" t="s">
        <v>776</v>
      </c>
      <c r="C730" s="34">
        <v>1</v>
      </c>
      <c r="D730" s="16" t="s">
        <v>50</v>
      </c>
      <c r="E730" s="35">
        <v>4.7</v>
      </c>
      <c r="F730" s="35">
        <v>4.0999999999999996</v>
      </c>
      <c r="G730" s="16" t="s">
        <v>44</v>
      </c>
      <c r="H730" s="16" t="s">
        <v>45</v>
      </c>
      <c r="I730" s="16">
        <f>COUNTIF(G$5:G730,"Y")/COUNTA(G$5:G730)</f>
        <v>0.87052341597796146</v>
      </c>
      <c r="J730" s="16">
        <f>COUNTIF(H$5:H730,"Y")/COUNTA(H$5:H730)</f>
        <v>5.2341597796143252E-2</v>
      </c>
      <c r="K730" s="16">
        <f>AVERAGE(F$5:F730)</f>
        <v>2.2013774104683201</v>
      </c>
      <c r="L730" s="16">
        <f>SUM(F$5:F730)/SUM(E$5:E730)</f>
        <v>0.74983578868349432</v>
      </c>
    </row>
    <row r="731" spans="1:13" x14ac:dyDescent="0.25">
      <c r="A731" s="29">
        <v>45750</v>
      </c>
      <c r="B731" s="16" t="s">
        <v>777</v>
      </c>
      <c r="C731" s="34">
        <v>1</v>
      </c>
      <c r="D731" s="16" t="s">
        <v>43</v>
      </c>
      <c r="E731" s="35">
        <v>2.2999999999999998</v>
      </c>
      <c r="F731" s="35">
        <v>1.9</v>
      </c>
      <c r="G731" s="16" t="s">
        <v>44</v>
      </c>
      <c r="H731" s="16" t="s">
        <v>45</v>
      </c>
      <c r="I731" s="16">
        <f>COUNTIF(G$5:G731,"Y")/COUNTA(G$5:G731)</f>
        <v>0.87070151306740029</v>
      </c>
      <c r="J731" s="16">
        <f>COUNTIF(H$5:H731,"Y")/COUNTA(H$5:H731)</f>
        <v>5.2269601100412656E-2</v>
      </c>
      <c r="K731" s="16">
        <f>AVERAGE(F$5:F731)</f>
        <v>2.2009628610729028</v>
      </c>
      <c r="L731" s="16">
        <f>SUM(F$5:F731)/SUM(E$5:E731)</f>
        <v>0.74991798284669808</v>
      </c>
    </row>
    <row r="732" spans="1:13" x14ac:dyDescent="0.25">
      <c r="A732" s="29">
        <v>45751</v>
      </c>
      <c r="B732" s="16" t="s">
        <v>778</v>
      </c>
      <c r="C732" s="34">
        <v>1</v>
      </c>
      <c r="D732" s="16" t="s">
        <v>50</v>
      </c>
      <c r="E732" s="35">
        <v>4.0999999999999996</v>
      </c>
      <c r="F732" s="35">
        <v>3.4</v>
      </c>
      <c r="G732" s="16" t="s">
        <v>44</v>
      </c>
      <c r="H732" s="16" t="s">
        <v>45</v>
      </c>
      <c r="I732" s="16">
        <f>COUNTIF(G$5:G732,"Y")/COUNTA(G$5:G732)</f>
        <v>0.87087912087912089</v>
      </c>
      <c r="J732" s="16">
        <f>COUNTIF(H$5:H732,"Y")/COUNTA(H$5:H732)</f>
        <v>5.21978021978022E-2</v>
      </c>
      <c r="K732" s="16">
        <f>AVERAGE(F$5:F732)</f>
        <v>2.2026098901098909</v>
      </c>
      <c r="L732" s="16">
        <f>SUM(F$5:F732)/SUM(E$5:E732)</f>
        <v>0.75007016559079431</v>
      </c>
    </row>
    <row r="733" spans="1:13" x14ac:dyDescent="0.25">
      <c r="A733" s="29">
        <v>45747</v>
      </c>
      <c r="B733" s="16" t="s">
        <v>779</v>
      </c>
      <c r="C733" s="34">
        <v>1</v>
      </c>
      <c r="D733" s="16" t="s">
        <v>56</v>
      </c>
      <c r="E733" s="35">
        <v>3.9</v>
      </c>
      <c r="F733" s="35">
        <v>2.9</v>
      </c>
      <c r="G733" s="16" t="s">
        <v>44</v>
      </c>
      <c r="H733" s="16" t="s">
        <v>45</v>
      </c>
      <c r="I733" s="16">
        <f>COUNTIF(G$5:G733,"Y")/COUNTA(G$5:G733)</f>
        <v>0.87105624142661175</v>
      </c>
      <c r="J733" s="16">
        <f>COUNTIF(H$5:H733,"Y")/COUNTA(H$5:H733)</f>
        <v>5.2126200274348423E-2</v>
      </c>
      <c r="K733" s="16">
        <f>AVERAGE(F$5:F733)</f>
        <v>2.203566529492456</v>
      </c>
      <c r="L733" s="16">
        <f>SUM(F$5:F733)/SUM(E$5:E733)</f>
        <v>0.75005836485035249</v>
      </c>
    </row>
    <row r="734" spans="1:13" x14ac:dyDescent="0.25">
      <c r="A734" s="29">
        <v>45748</v>
      </c>
      <c r="B734" s="16" t="s">
        <v>780</v>
      </c>
      <c r="C734" s="34">
        <v>1</v>
      </c>
      <c r="D734" s="16" t="s">
        <v>43</v>
      </c>
      <c r="E734" s="35">
        <v>2.8</v>
      </c>
      <c r="F734" s="35">
        <v>2.2000000000000002</v>
      </c>
      <c r="G734" s="16" t="s">
        <v>44</v>
      </c>
      <c r="H734" s="16" t="s">
        <v>45</v>
      </c>
      <c r="I734" s="16">
        <f>COUNTIF(G$5:G734,"Y")/COUNTA(G$5:G734)</f>
        <v>0.87123287671232874</v>
      </c>
      <c r="J734" s="16">
        <f>COUNTIF(H$5:H734,"Y")/COUNTA(H$5:H734)</f>
        <v>5.2054794520547946E-2</v>
      </c>
      <c r="K734" s="16">
        <f>AVERAGE(F$5:F734)</f>
        <v>2.2035616438356174</v>
      </c>
      <c r="L734" s="16">
        <f>SUM(F$5:F734)/SUM(E$5:E734)</f>
        <v>0.75010491956166936</v>
      </c>
    </row>
    <row r="735" spans="1:13" x14ac:dyDescent="0.25">
      <c r="A735" s="29">
        <v>45749</v>
      </c>
      <c r="B735" s="16" t="s">
        <v>781</v>
      </c>
      <c r="C735" s="34">
        <v>1</v>
      </c>
      <c r="D735" s="16" t="s">
        <v>47</v>
      </c>
      <c r="E735" s="35">
        <v>2.2999999999999998</v>
      </c>
      <c r="F735" s="35">
        <v>1.6</v>
      </c>
      <c r="G735" s="16" t="s">
        <v>45</v>
      </c>
      <c r="H735" s="16" t="s">
        <v>45</v>
      </c>
      <c r="I735" s="16">
        <f>COUNTIF(G$5:G735,"Y")/COUNTA(G$5:G735)</f>
        <v>0.87004103967168267</v>
      </c>
      <c r="J735" s="16">
        <f>COUNTIF(H$5:H735,"Y")/COUNTA(H$5:H735)</f>
        <v>5.1983584131326949E-2</v>
      </c>
      <c r="K735" s="16">
        <f>AVERAGE(F$5:F735)</f>
        <v>2.2027359781121758</v>
      </c>
      <c r="L735" s="16">
        <f>SUM(F$5:F735)/SUM(E$5:E735)</f>
        <v>0.75004658095770438</v>
      </c>
    </row>
    <row r="736" spans="1:13" x14ac:dyDescent="0.25">
      <c r="A736" s="29">
        <v>45750</v>
      </c>
      <c r="B736" s="16" t="s">
        <v>782</v>
      </c>
      <c r="C736" s="34">
        <v>1</v>
      </c>
      <c r="D736" s="16" t="s">
        <v>50</v>
      </c>
      <c r="E736" s="35">
        <v>5.0999999999999996</v>
      </c>
      <c r="F736" s="35">
        <v>3.7</v>
      </c>
      <c r="G736" s="16" t="s">
        <v>44</v>
      </c>
      <c r="H736" s="16" t="s">
        <v>45</v>
      </c>
      <c r="I736" s="16">
        <f>COUNTIF(G$5:G736,"Y")/COUNTA(G$5:G736)</f>
        <v>0.8702185792349727</v>
      </c>
      <c r="J736" s="16">
        <f>COUNTIF(H$5:H736,"Y")/COUNTA(H$5:H736)</f>
        <v>5.1912568306010931E-2</v>
      </c>
      <c r="K736" s="16">
        <f>AVERAGE(F$5:F736)</f>
        <v>2.2047814207650283</v>
      </c>
      <c r="L736" s="16">
        <f>SUM(F$5:F736)/SUM(E$5:E736)</f>
        <v>0.74998838235977494</v>
      </c>
    </row>
    <row r="737" spans="1:12" x14ac:dyDescent="0.25">
      <c r="A737" s="29">
        <v>45751</v>
      </c>
      <c r="B737" s="16" t="s">
        <v>783</v>
      </c>
      <c r="C737" s="34">
        <v>1</v>
      </c>
      <c r="D737" s="16" t="s">
        <v>43</v>
      </c>
      <c r="E737" s="35">
        <v>5.3</v>
      </c>
      <c r="F737" s="35">
        <v>4.0999999999999996</v>
      </c>
      <c r="G737" s="16" t="s">
        <v>44</v>
      </c>
      <c r="H737" s="16" t="s">
        <v>45</v>
      </c>
      <c r="I737" s="16">
        <f>COUNTIF(G$5:G737,"Y")/COUNTA(G$5:G737)</f>
        <v>0.87039563437926326</v>
      </c>
      <c r="J737" s="16">
        <f>COUNTIF(H$5:H737,"Y")/COUNTA(H$5:H737)</f>
        <v>5.1841746248294678E-2</v>
      </c>
      <c r="K737" s="16">
        <f>AVERAGE(F$5:F737)</f>
        <v>2.2073669849931794</v>
      </c>
      <c r="L737" s="16">
        <f>SUM(F$5:F737)/SUM(E$5:E737)</f>
        <v>0.75004635638791006</v>
      </c>
    </row>
    <row r="738" spans="1:12" x14ac:dyDescent="0.25">
      <c r="A738" s="29">
        <v>45747</v>
      </c>
      <c r="B738" s="16" t="s">
        <v>784</v>
      </c>
      <c r="C738" s="34">
        <v>1</v>
      </c>
      <c r="D738" s="16" t="s">
        <v>43</v>
      </c>
      <c r="E738" s="35">
        <v>1.9</v>
      </c>
      <c r="F738" s="35">
        <v>1.7</v>
      </c>
      <c r="G738" s="16" t="s">
        <v>44</v>
      </c>
      <c r="H738" s="16" t="s">
        <v>45</v>
      </c>
      <c r="I738" s="16">
        <f>COUNTIF(G$5:G738,"Y")/COUNTA(G$5:G738)</f>
        <v>0.8705722070844687</v>
      </c>
      <c r="J738" s="16">
        <f>COUNTIF(H$5:H738,"Y")/COUNTA(H$5:H738)</f>
        <v>5.1771117166212535E-2</v>
      </c>
      <c r="K738" s="16">
        <f>AVERAGE(F$5:F738)</f>
        <v>2.2066757493188018</v>
      </c>
      <c r="L738" s="16">
        <f>SUM(F$5:F738)/SUM(E$5:E738)</f>
        <v>0.75017368347922719</v>
      </c>
    </row>
    <row r="739" spans="1:12" x14ac:dyDescent="0.25">
      <c r="A739" s="29">
        <v>45748</v>
      </c>
      <c r="B739" s="16" t="s">
        <v>785</v>
      </c>
      <c r="C739" s="34">
        <v>1</v>
      </c>
      <c r="D739" s="16" t="s">
        <v>50</v>
      </c>
      <c r="E739" s="35">
        <v>1.7</v>
      </c>
      <c r="F739" s="35">
        <v>1.3</v>
      </c>
      <c r="G739" s="16" t="s">
        <v>44</v>
      </c>
      <c r="H739" s="16" t="s">
        <v>45</v>
      </c>
      <c r="I739" s="16">
        <f>COUNTIF(G$5:G739,"Y")/COUNTA(G$5:G739)</f>
        <v>0.87074829931972786</v>
      </c>
      <c r="J739" s="16">
        <f>COUNTIF(H$5:H739,"Y")/COUNTA(H$5:H739)</f>
        <v>5.1700680272108841E-2</v>
      </c>
      <c r="K739" s="16">
        <f>AVERAGE(F$5:F739)</f>
        <v>2.2054421768707488</v>
      </c>
      <c r="L739" s="16">
        <f>SUM(F$5:F739)/SUM(E$5:E739)</f>
        <v>0.75018511662347265</v>
      </c>
    </row>
    <row r="740" spans="1:12" x14ac:dyDescent="0.25">
      <c r="A740" s="29">
        <v>45749</v>
      </c>
      <c r="B740" s="16" t="s">
        <v>786</v>
      </c>
      <c r="C740" s="34">
        <v>1</v>
      </c>
      <c r="D740" s="16" t="s">
        <v>56</v>
      </c>
      <c r="E740" s="35">
        <v>1.5</v>
      </c>
      <c r="F740" s="35">
        <v>1.2</v>
      </c>
      <c r="G740" s="16" t="s">
        <v>44</v>
      </c>
      <c r="H740" s="16" t="s">
        <v>45</v>
      </c>
      <c r="I740" s="16">
        <f>COUNTIF(G$5:G740,"Y")/COUNTA(G$5:G740)</f>
        <v>0.87092391304347827</v>
      </c>
      <c r="J740" s="16">
        <f>COUNTIF(H$5:H740,"Y")/COUNTA(H$5:H740)</f>
        <v>5.1630434782608696E-2</v>
      </c>
      <c r="K740" s="16">
        <f>AVERAGE(F$5:F740)</f>
        <v>2.2040760869565226</v>
      </c>
      <c r="L740" s="16">
        <f>SUM(F$5:F740)/SUM(E$5:E740)</f>
        <v>0.75021967349581453</v>
      </c>
    </row>
    <row r="741" spans="1:12" x14ac:dyDescent="0.25">
      <c r="A741" s="29">
        <v>45750</v>
      </c>
      <c r="B741" s="16" t="s">
        <v>787</v>
      </c>
      <c r="C741" s="34">
        <v>1</v>
      </c>
      <c r="D741" s="16" t="s">
        <v>52</v>
      </c>
      <c r="E741" s="35">
        <v>2.8</v>
      </c>
      <c r="F741" s="35">
        <v>2.1</v>
      </c>
      <c r="G741" s="16" t="s">
        <v>44</v>
      </c>
      <c r="H741" s="16" t="s">
        <v>45</v>
      </c>
      <c r="I741" s="16">
        <f>COUNTIF(G$5:G741,"Y")/COUNTA(G$5:G741)</f>
        <v>0.87109905020352785</v>
      </c>
      <c r="J741" s="16">
        <f>COUNTIF(H$5:H741,"Y")/COUNTA(H$5:H741)</f>
        <v>5.1560379918588875E-2</v>
      </c>
      <c r="K741" s="16">
        <f>AVERAGE(F$5:F741)</f>
        <v>2.203934871099051</v>
      </c>
      <c r="L741" s="16">
        <f>SUM(F$5:F741)/SUM(E$5:E741)</f>
        <v>0.75021938940464616</v>
      </c>
    </row>
    <row r="742" spans="1:12" x14ac:dyDescent="0.25">
      <c r="A742" s="29">
        <v>45751</v>
      </c>
      <c r="B742" s="16" t="s">
        <v>788</v>
      </c>
      <c r="C742" s="34">
        <v>1</v>
      </c>
      <c r="D742" s="16" t="s">
        <v>50</v>
      </c>
      <c r="E742" s="35">
        <v>4.4000000000000004</v>
      </c>
      <c r="F742" s="35">
        <v>3.6</v>
      </c>
      <c r="G742" s="16" t="s">
        <v>44</v>
      </c>
      <c r="H742" s="16" t="s">
        <v>45</v>
      </c>
      <c r="I742" s="16">
        <f>COUNTIF(G$5:G742,"Y")/COUNTA(G$5:G742)</f>
        <v>0.87127371273712739</v>
      </c>
      <c r="J742" s="16">
        <f>COUNTIF(H$5:H742,"Y")/COUNTA(H$5:H742)</f>
        <v>5.1490514905149054E-2</v>
      </c>
      <c r="K742" s="16">
        <f>AVERAGE(F$5:F742)</f>
        <v>2.2058265582655832</v>
      </c>
      <c r="L742" s="16">
        <f>SUM(F$5:F742)/SUM(E$5:E742)</f>
        <v>0.75035722516708891</v>
      </c>
    </row>
    <row r="743" spans="1:12" x14ac:dyDescent="0.25">
      <c r="A743" s="29">
        <v>45747</v>
      </c>
      <c r="B743" s="16" t="s">
        <v>789</v>
      </c>
      <c r="C743" s="34">
        <v>1</v>
      </c>
      <c r="D743" s="16" t="s">
        <v>60</v>
      </c>
      <c r="E743" s="35">
        <v>2.4</v>
      </c>
      <c r="F743" s="35">
        <v>1.7</v>
      </c>
      <c r="G743" s="16" t="s">
        <v>44</v>
      </c>
      <c r="H743" s="16" t="s">
        <v>44</v>
      </c>
      <c r="I743" s="16">
        <f>COUNTIF(G$5:G743,"Y")/COUNTA(G$5:G743)</f>
        <v>0.87144790257104199</v>
      </c>
      <c r="J743" s="16">
        <f>COUNTIF(H$5:H743,"Y")/COUNTA(H$5:H743)</f>
        <v>5.2774018944519621E-2</v>
      </c>
      <c r="K743" s="16">
        <f>AVERAGE(F$5:F743)</f>
        <v>2.2051420838971589</v>
      </c>
      <c r="L743" s="16">
        <f>SUM(F$5:F743)/SUM(E$5:E743)</f>
        <v>0.75031078778949278</v>
      </c>
    </row>
    <row r="744" spans="1:12" x14ac:dyDescent="0.25">
      <c r="A744" s="29">
        <v>45748</v>
      </c>
      <c r="B744" s="16" t="s">
        <v>790</v>
      </c>
      <c r="C744" s="34">
        <v>1</v>
      </c>
      <c r="D744" s="16" t="s">
        <v>47</v>
      </c>
      <c r="E744" s="35">
        <v>4.0999999999999996</v>
      </c>
      <c r="F744" s="35">
        <v>3.7</v>
      </c>
      <c r="G744" s="16" t="s">
        <v>44</v>
      </c>
      <c r="H744" s="16" t="s">
        <v>45</v>
      </c>
      <c r="I744" s="16">
        <f>COUNTIF(G$5:G744,"Y")/COUNTA(G$5:G744)</f>
        <v>0.8716216216216216</v>
      </c>
      <c r="J744" s="16">
        <f>COUNTIF(H$5:H744,"Y")/COUNTA(H$5:H744)</f>
        <v>5.2702702702702706E-2</v>
      </c>
      <c r="K744" s="16">
        <f>AVERAGE(F$5:F744)</f>
        <v>2.2071621621621627</v>
      </c>
      <c r="L744" s="16">
        <f>SUM(F$5:F744)/SUM(E$5:E744)</f>
        <v>0.75059742647058791</v>
      </c>
    </row>
    <row r="745" spans="1:12" x14ac:dyDescent="0.25">
      <c r="A745" s="29">
        <v>45749</v>
      </c>
      <c r="B745" s="16" t="s">
        <v>791</v>
      </c>
      <c r="C745" s="34">
        <v>1</v>
      </c>
      <c r="D745" s="16" t="s">
        <v>56</v>
      </c>
      <c r="E745" s="35">
        <v>2.2000000000000002</v>
      </c>
      <c r="F745" s="35">
        <v>1.6</v>
      </c>
      <c r="G745" s="16" t="s">
        <v>44</v>
      </c>
      <c r="H745" s="16" t="s">
        <v>45</v>
      </c>
      <c r="I745" s="16">
        <f>COUNTIF(G$5:G745,"Y")/COUNTA(G$5:G745)</f>
        <v>0.87179487179487181</v>
      </c>
      <c r="J745" s="16">
        <f>COUNTIF(H$5:H745,"Y")/COUNTA(H$5:H745)</f>
        <v>5.2631578947368418E-2</v>
      </c>
      <c r="K745" s="16">
        <f>AVERAGE(F$5:F745)</f>
        <v>2.2063427800269908</v>
      </c>
      <c r="L745" s="16">
        <f>SUM(F$5:F745)/SUM(E$5:E745)</f>
        <v>0.75057386833164974</v>
      </c>
    </row>
    <row r="746" spans="1:12" x14ac:dyDescent="0.25">
      <c r="A746" s="29">
        <v>45750</v>
      </c>
      <c r="B746" s="16" t="s">
        <v>792</v>
      </c>
      <c r="C746" s="34">
        <v>1</v>
      </c>
      <c r="D746" s="16" t="s">
        <v>52</v>
      </c>
      <c r="E746" s="35">
        <v>1.8</v>
      </c>
      <c r="F746" s="35">
        <v>1.6</v>
      </c>
      <c r="G746" s="16" t="s">
        <v>44</v>
      </c>
      <c r="H746" s="16" t="s">
        <v>45</v>
      </c>
      <c r="I746" s="16">
        <f>COUNTIF(G$5:G746,"Y")/COUNTA(G$5:G746)</f>
        <v>0.87196765498652296</v>
      </c>
      <c r="J746" s="16">
        <f>COUNTIF(H$5:H746,"Y")/COUNTA(H$5:H746)</f>
        <v>5.2560646900269542E-2</v>
      </c>
      <c r="K746" s="16">
        <f>AVERAGE(F$5:F746)</f>
        <v>2.2055256064690032</v>
      </c>
      <c r="L746" s="16">
        <f>SUM(F$5:F746)/SUM(E$5:E746)</f>
        <v>0.75068807339449506</v>
      </c>
    </row>
    <row r="747" spans="1:12" x14ac:dyDescent="0.25">
      <c r="A747" s="29">
        <v>45751</v>
      </c>
      <c r="B747" s="16" t="s">
        <v>793</v>
      </c>
      <c r="C747" s="34">
        <v>1</v>
      </c>
      <c r="D747" s="16" t="s">
        <v>64</v>
      </c>
      <c r="E747" s="35">
        <v>3.3</v>
      </c>
      <c r="F747" s="35">
        <v>2.7</v>
      </c>
      <c r="G747" s="16" t="s">
        <v>44</v>
      </c>
      <c r="H747" s="16" t="s">
        <v>45</v>
      </c>
      <c r="I747" s="16">
        <f>COUNTIF(G$5:G747,"Y")/COUNTA(G$5:G747)</f>
        <v>0.87213997308209956</v>
      </c>
      <c r="J747" s="16">
        <f>COUNTIF(H$5:H747,"Y")/COUNTA(H$5:H747)</f>
        <v>5.2489905787348586E-2</v>
      </c>
      <c r="K747" s="16">
        <f>AVERAGE(F$5:F747)</f>
        <v>2.206191117092867</v>
      </c>
      <c r="L747" s="16">
        <f>SUM(F$5:F747)/SUM(E$5:E747)</f>
        <v>0.75079008839829575</v>
      </c>
    </row>
    <row r="748" spans="1:12" x14ac:dyDescent="0.25">
      <c r="A748" s="29">
        <v>45747</v>
      </c>
      <c r="B748" s="16" t="s">
        <v>794</v>
      </c>
      <c r="C748" s="34">
        <v>1</v>
      </c>
      <c r="D748" s="16" t="s">
        <v>64</v>
      </c>
      <c r="E748" s="35">
        <v>1.9</v>
      </c>
      <c r="F748" s="35">
        <v>1.4</v>
      </c>
      <c r="G748" s="16" t="s">
        <v>44</v>
      </c>
      <c r="H748" s="16" t="s">
        <v>45</v>
      </c>
      <c r="I748" s="16">
        <f>COUNTIF(G$5:G748,"Y")/COUNTA(G$5:G748)</f>
        <v>0.87231182795698925</v>
      </c>
      <c r="J748" s="16">
        <f>COUNTIF(H$5:H748,"Y")/COUNTA(H$5:H748)</f>
        <v>5.2419354838709679E-2</v>
      </c>
      <c r="K748" s="16">
        <f>AVERAGE(F$5:F748)</f>
        <v>2.2051075268817208</v>
      </c>
      <c r="L748" s="16">
        <f>SUM(F$5:F748)/SUM(E$5:E748)</f>
        <v>0.75077796082738379</v>
      </c>
    </row>
    <row r="749" spans="1:12" x14ac:dyDescent="0.25">
      <c r="A749" s="29">
        <v>45748</v>
      </c>
      <c r="B749" s="16" t="s">
        <v>795</v>
      </c>
      <c r="C749" s="34">
        <v>1</v>
      </c>
      <c r="D749" s="16" t="s">
        <v>47</v>
      </c>
      <c r="E749" s="35">
        <v>4</v>
      </c>
      <c r="F749" s="35">
        <v>3.1</v>
      </c>
      <c r="G749" s="16" t="s">
        <v>44</v>
      </c>
      <c r="H749" s="16" t="s">
        <v>45</v>
      </c>
      <c r="I749" s="16">
        <f>COUNTIF(G$5:G749,"Y")/COUNTA(G$5:G749)</f>
        <v>0.87248322147651003</v>
      </c>
      <c r="J749" s="16">
        <f>COUNTIF(H$5:H749,"Y")/COUNTA(H$5:H749)</f>
        <v>5.2348993288590606E-2</v>
      </c>
      <c r="K749" s="16">
        <f>AVERAGE(F$5:F749)</f>
        <v>2.2063087248322151</v>
      </c>
      <c r="L749" s="16">
        <f>SUM(F$5:F749)/SUM(E$5:E749)</f>
        <v>0.75082221816188521</v>
      </c>
    </row>
    <row r="750" spans="1:12" x14ac:dyDescent="0.25">
      <c r="A750" s="29">
        <v>45749</v>
      </c>
      <c r="B750" s="16" t="s">
        <v>796</v>
      </c>
      <c r="C750" s="34">
        <v>1</v>
      </c>
      <c r="D750" s="16" t="s">
        <v>47</v>
      </c>
      <c r="E750" s="35">
        <v>2.6</v>
      </c>
      <c r="F750" s="35">
        <v>2.2000000000000002</v>
      </c>
      <c r="G750" s="16" t="s">
        <v>44</v>
      </c>
      <c r="H750" s="16" t="s">
        <v>45</v>
      </c>
      <c r="I750" s="16">
        <f>COUNTIF(G$5:G750,"Y")/COUNTA(G$5:G750)</f>
        <v>0.87265415549597858</v>
      </c>
      <c r="J750" s="16">
        <f>COUNTIF(H$5:H750,"Y")/COUNTA(H$5:H750)</f>
        <v>5.2278820375335121E-2</v>
      </c>
      <c r="K750" s="16">
        <f>AVERAGE(F$5:F750)</f>
        <v>2.2063002680965154</v>
      </c>
      <c r="L750" s="16">
        <f>SUM(F$5:F750)/SUM(E$5:E750)</f>
        <v>0.7509353043160869</v>
      </c>
    </row>
    <row r="751" spans="1:12" x14ac:dyDescent="0.25">
      <c r="A751" s="29">
        <v>45750</v>
      </c>
      <c r="B751" s="16" t="s">
        <v>797</v>
      </c>
      <c r="C751" s="34">
        <v>1</v>
      </c>
      <c r="D751" s="16" t="s">
        <v>64</v>
      </c>
      <c r="E751" s="35">
        <v>5.6</v>
      </c>
      <c r="F751" s="35">
        <v>4.0999999999999996</v>
      </c>
      <c r="G751" s="16" t="s">
        <v>44</v>
      </c>
      <c r="H751" s="16" t="s">
        <v>45</v>
      </c>
      <c r="I751" s="16">
        <f>COUNTIF(G$5:G751,"Y")/COUNTA(G$5:G751)</f>
        <v>0.87282463186077641</v>
      </c>
      <c r="J751" s="16">
        <f>COUNTIF(H$5:H751,"Y")/COUNTA(H$5:H751)</f>
        <v>5.2208835341365459E-2</v>
      </c>
      <c r="K751" s="16">
        <f>AVERAGE(F$5:F751)</f>
        <v>2.2088353413654622</v>
      </c>
      <c r="L751" s="16">
        <f>SUM(F$5:F751)/SUM(E$5:E751)</f>
        <v>0.75088741239646817</v>
      </c>
    </row>
    <row r="752" spans="1:12" x14ac:dyDescent="0.25">
      <c r="A752" s="29">
        <v>45751</v>
      </c>
      <c r="B752" s="16" t="s">
        <v>798</v>
      </c>
      <c r="C752" s="34">
        <v>1</v>
      </c>
      <c r="D752" s="16" t="s">
        <v>50</v>
      </c>
      <c r="E752" s="35">
        <v>3.3</v>
      </c>
      <c r="F752" s="35">
        <v>2.5</v>
      </c>
      <c r="G752" s="16" t="s">
        <v>44</v>
      </c>
      <c r="H752" s="16" t="s">
        <v>45</v>
      </c>
      <c r="I752" s="16">
        <f>COUNTIF(G$5:G752,"Y")/COUNTA(G$5:G752)</f>
        <v>0.87299465240641716</v>
      </c>
      <c r="J752" s="16">
        <f>COUNTIF(H$5:H752,"Y")/COUNTA(H$5:H752)</f>
        <v>5.213903743315508E-2</v>
      </c>
      <c r="K752" s="16">
        <f>AVERAGE(F$5:F752)</f>
        <v>2.2092245989304815</v>
      </c>
      <c r="L752" s="16">
        <f>SUM(F$5:F752)/SUM(E$5:E752)</f>
        <v>0.7508974417230877</v>
      </c>
    </row>
    <row r="753" spans="1:12" x14ac:dyDescent="0.25">
      <c r="A753" s="29">
        <v>45747</v>
      </c>
      <c r="B753" s="16" t="s">
        <v>799</v>
      </c>
      <c r="C753" s="34">
        <v>1</v>
      </c>
      <c r="D753" s="16" t="s">
        <v>52</v>
      </c>
      <c r="E753" s="35">
        <v>3.1</v>
      </c>
      <c r="F753" s="35">
        <v>2.6</v>
      </c>
      <c r="G753" s="16" t="s">
        <v>44</v>
      </c>
      <c r="H753" s="16" t="s">
        <v>45</v>
      </c>
      <c r="I753" s="16">
        <f>COUNTIF(G$5:G753,"Y")/COUNTA(G$5:G753)</f>
        <v>0.87316421895861152</v>
      </c>
      <c r="J753" s="16">
        <f>COUNTIF(H$5:H753,"Y")/COUNTA(H$5:H753)</f>
        <v>5.2069425901201602E-2</v>
      </c>
      <c r="K753" s="16">
        <f>AVERAGE(F$5:F753)</f>
        <v>2.2097463284379173</v>
      </c>
      <c r="L753" s="16">
        <f>SUM(F$5:F753)/SUM(E$5:E753)</f>
        <v>0.75102096378981709</v>
      </c>
    </row>
    <row r="754" spans="1:12" x14ac:dyDescent="0.25">
      <c r="A754" s="29">
        <v>45748</v>
      </c>
      <c r="B754" s="16" t="s">
        <v>800</v>
      </c>
      <c r="C754" s="34">
        <v>1</v>
      </c>
      <c r="D754" s="16" t="s">
        <v>60</v>
      </c>
      <c r="E754" s="35">
        <v>4.3</v>
      </c>
      <c r="F754" s="35">
        <v>3.3</v>
      </c>
      <c r="G754" s="16" t="s">
        <v>44</v>
      </c>
      <c r="H754" s="16" t="s">
        <v>45</v>
      </c>
      <c r="I754" s="16">
        <f>COUNTIF(G$5:G754,"Y")/COUNTA(G$5:G754)</f>
        <v>0.87333333333333329</v>
      </c>
      <c r="J754" s="16">
        <f>COUNTIF(H$5:H754,"Y")/COUNTA(H$5:H754)</f>
        <v>5.1999999999999998E-2</v>
      </c>
      <c r="K754" s="16">
        <f>AVERAGE(F$5:F754)</f>
        <v>2.2112000000000003</v>
      </c>
      <c r="L754" s="16">
        <f>SUM(F$5:F754)/SUM(E$5:E754)</f>
        <v>0.75105294144286894</v>
      </c>
    </row>
    <row r="755" spans="1:12" x14ac:dyDescent="0.25">
      <c r="A755" s="29">
        <v>45749</v>
      </c>
      <c r="B755" s="16" t="s">
        <v>801</v>
      </c>
      <c r="C755" s="34">
        <v>1</v>
      </c>
      <c r="D755" s="16" t="s">
        <v>43</v>
      </c>
      <c r="E755" s="35">
        <v>5</v>
      </c>
      <c r="F755" s="35">
        <v>3.8</v>
      </c>
      <c r="G755" s="16" t="s">
        <v>44</v>
      </c>
      <c r="H755" s="16" t="s">
        <v>45</v>
      </c>
      <c r="I755" s="16">
        <f>COUNTIF(G$5:G755,"Y")/COUNTA(G$5:G755)</f>
        <v>0.87350199733688416</v>
      </c>
      <c r="J755" s="16">
        <f>COUNTIF(H$5:H755,"Y")/COUNTA(H$5:H755)</f>
        <v>5.1930758988015982E-2</v>
      </c>
      <c r="K755" s="16">
        <f>AVERAGE(F$5:F755)</f>
        <v>2.2133155792276966</v>
      </c>
      <c r="L755" s="16">
        <f>SUM(F$5:F755)/SUM(E$5:E755)</f>
        <v>0.75107315530251628</v>
      </c>
    </row>
    <row r="756" spans="1:12" x14ac:dyDescent="0.25">
      <c r="A756" s="29">
        <v>45750</v>
      </c>
      <c r="B756" s="16" t="s">
        <v>802</v>
      </c>
      <c r="C756" s="34">
        <v>1</v>
      </c>
      <c r="D756" s="16" t="s">
        <v>52</v>
      </c>
      <c r="E756" s="35">
        <v>2.9</v>
      </c>
      <c r="F756" s="35">
        <v>2.2000000000000002</v>
      </c>
      <c r="G756" s="16" t="s">
        <v>45</v>
      </c>
      <c r="H756" s="16" t="s">
        <v>45</v>
      </c>
      <c r="I756" s="16">
        <f>COUNTIF(G$5:G756,"Y")/COUNTA(G$5:G756)</f>
        <v>0.87234042553191493</v>
      </c>
      <c r="J756" s="16">
        <f>COUNTIF(H$5:H756,"Y")/COUNTA(H$5:H756)</f>
        <v>5.1861702127659573E-2</v>
      </c>
      <c r="K756" s="16">
        <f>AVERAGE(F$5:F756)</f>
        <v>2.2132978723404255</v>
      </c>
      <c r="L756" s="16">
        <f>SUM(F$5:F756)/SUM(E$5:E756)</f>
        <v>0.75108303249097419</v>
      </c>
    </row>
    <row r="757" spans="1:12" x14ac:dyDescent="0.25">
      <c r="A757" s="29">
        <v>45751</v>
      </c>
      <c r="B757" s="16" t="s">
        <v>803</v>
      </c>
      <c r="C757" s="34">
        <v>1</v>
      </c>
      <c r="D757" s="16" t="s">
        <v>60</v>
      </c>
      <c r="E757" s="35">
        <v>4.4000000000000004</v>
      </c>
      <c r="F757" s="35">
        <v>3.6</v>
      </c>
      <c r="G757" s="16" t="s">
        <v>44</v>
      </c>
      <c r="H757" s="16" t="s">
        <v>45</v>
      </c>
      <c r="I757" s="16">
        <f>COUNTIF(G$5:G757,"Y")/COUNTA(G$5:G757)</f>
        <v>0.87250996015936255</v>
      </c>
      <c r="J757" s="16">
        <f>COUNTIF(H$5:H757,"Y")/COUNTA(H$5:H757)</f>
        <v>5.1792828685258967E-2</v>
      </c>
      <c r="K757" s="16">
        <f>AVERAGE(F$5:F757)</f>
        <v>2.2151394422310755</v>
      </c>
      <c r="L757" s="16">
        <f>SUM(F$5:F757)/SUM(E$5:E757)</f>
        <v>0.75121599711763587</v>
      </c>
    </row>
    <row r="758" spans="1:12" x14ac:dyDescent="0.25">
      <c r="A758" s="29">
        <v>45747</v>
      </c>
      <c r="B758" s="16" t="s">
        <v>804</v>
      </c>
      <c r="C758" s="34">
        <v>1</v>
      </c>
      <c r="D758" s="16" t="s">
        <v>56</v>
      </c>
      <c r="E758" s="35">
        <v>3.9</v>
      </c>
      <c r="F758" s="35">
        <v>3.3</v>
      </c>
      <c r="G758" s="16" t="s">
        <v>44</v>
      </c>
      <c r="H758" s="16" t="s">
        <v>45</v>
      </c>
      <c r="I758" s="16">
        <f>COUNTIF(G$5:G758,"Y")/COUNTA(G$5:G758)</f>
        <v>0.87267904509283822</v>
      </c>
      <c r="J758" s="16">
        <f>COUNTIF(H$5:H758,"Y")/COUNTA(H$5:H758)</f>
        <v>5.1724137931034482E-2</v>
      </c>
      <c r="K758" s="16">
        <f>AVERAGE(F$5:F758)</f>
        <v>2.21657824933687</v>
      </c>
      <c r="L758" s="16">
        <f>SUM(F$5:F758)/SUM(E$5:E758)</f>
        <v>0.75138245740232812</v>
      </c>
    </row>
    <row r="759" spans="1:12" x14ac:dyDescent="0.25">
      <c r="A759" s="29">
        <v>45748</v>
      </c>
      <c r="B759" s="16" t="s">
        <v>805</v>
      </c>
      <c r="C759" s="34">
        <v>1</v>
      </c>
      <c r="D759" s="16" t="s">
        <v>60</v>
      </c>
      <c r="E759" s="35">
        <v>1.8</v>
      </c>
      <c r="F759" s="35">
        <v>1.7</v>
      </c>
      <c r="G759" s="16" t="s">
        <v>45</v>
      </c>
      <c r="H759" s="16" t="s">
        <v>45</v>
      </c>
      <c r="I759" s="16">
        <f>COUNTIF(G$5:G759,"Y")/COUNTA(G$5:G759)</f>
        <v>0.87152317880794705</v>
      </c>
      <c r="J759" s="16">
        <f>COUNTIF(H$5:H759,"Y")/COUNTA(H$5:H759)</f>
        <v>5.1655629139072845E-2</v>
      </c>
      <c r="K759" s="16">
        <f>AVERAGE(F$5:F759)</f>
        <v>2.2158940397350992</v>
      </c>
      <c r="L759" s="16">
        <f>SUM(F$5:F759)/SUM(E$5:E759)</f>
        <v>0.75153856520371876</v>
      </c>
    </row>
    <row r="760" spans="1:12" x14ac:dyDescent="0.25">
      <c r="A760" s="29">
        <v>45749</v>
      </c>
      <c r="B760" s="16" t="s">
        <v>806</v>
      </c>
      <c r="C760" s="34">
        <v>1</v>
      </c>
      <c r="D760" s="16" t="s">
        <v>47</v>
      </c>
      <c r="E760" s="35">
        <v>4.0999999999999996</v>
      </c>
      <c r="F760" s="35">
        <v>3.2</v>
      </c>
      <c r="G760" s="16" t="s">
        <v>44</v>
      </c>
      <c r="H760" s="16" t="s">
        <v>45</v>
      </c>
      <c r="I760" s="16">
        <f>COUNTIF(G$5:G760,"Y")/COUNTA(G$5:G760)</f>
        <v>0.87169312169312174</v>
      </c>
      <c r="J760" s="16">
        <f>COUNTIF(H$5:H760,"Y")/COUNTA(H$5:H760)</f>
        <v>5.1587301587301584E-2</v>
      </c>
      <c r="K760" s="16">
        <f>AVERAGE(F$5:F760)</f>
        <v>2.2171957671957672</v>
      </c>
      <c r="L760" s="16">
        <f>SUM(F$5:F760)/SUM(E$5:E760)</f>
        <v>0.75159178549008987</v>
      </c>
    </row>
    <row r="761" spans="1:12" x14ac:dyDescent="0.25">
      <c r="A761" s="29">
        <v>45750</v>
      </c>
      <c r="B761" s="16" t="s">
        <v>807</v>
      </c>
      <c r="C761" s="34">
        <v>1</v>
      </c>
      <c r="D761" s="16" t="s">
        <v>52</v>
      </c>
      <c r="E761" s="35">
        <v>5.0999999999999996</v>
      </c>
      <c r="F761" s="35">
        <v>3.7</v>
      </c>
      <c r="G761" s="16" t="s">
        <v>44</v>
      </c>
      <c r="H761" s="16" t="s">
        <v>45</v>
      </c>
      <c r="I761" s="16">
        <f>COUNTIF(G$5:G761,"Y")/COUNTA(G$5:G761)</f>
        <v>0.87186261558784672</v>
      </c>
      <c r="J761" s="16">
        <f>COUNTIF(H$5:H761,"Y")/COUNTA(H$5:H761)</f>
        <v>5.151915455746367E-2</v>
      </c>
      <c r="K761" s="16">
        <f>AVERAGE(F$5:F761)</f>
        <v>2.2191545574636726</v>
      </c>
      <c r="L761" s="16">
        <f>SUM(F$5:F761)/SUM(E$5:E761)</f>
        <v>0.75153223280991299</v>
      </c>
    </row>
    <row r="762" spans="1:12" x14ac:dyDescent="0.25">
      <c r="A762" s="29">
        <v>45751</v>
      </c>
      <c r="B762" s="16" t="s">
        <v>808</v>
      </c>
      <c r="C762" s="34">
        <v>1</v>
      </c>
      <c r="D762" s="16" t="s">
        <v>43</v>
      </c>
      <c r="E762" s="35">
        <v>2.4</v>
      </c>
      <c r="F762" s="35">
        <v>2.1</v>
      </c>
      <c r="G762" s="16" t="s">
        <v>44</v>
      </c>
      <c r="H762" s="16" t="s">
        <v>45</v>
      </c>
      <c r="I762" s="16">
        <f>COUNTIF(G$5:G762,"Y")/COUNTA(G$5:G762)</f>
        <v>0.87203166226912932</v>
      </c>
      <c r="J762" s="16">
        <f>COUNTIF(H$5:H762,"Y")/COUNTA(H$5:H762)</f>
        <v>5.1451187335092345E-2</v>
      </c>
      <c r="K762" s="16">
        <f>AVERAGE(F$5:F762)</f>
        <v>2.2189973614775726</v>
      </c>
      <c r="L762" s="16">
        <f>SUM(F$5:F762)/SUM(E$5:E762)</f>
        <v>0.75166465567323526</v>
      </c>
    </row>
    <row r="763" spans="1:12" x14ac:dyDescent="0.25">
      <c r="A763" s="29">
        <v>45747</v>
      </c>
      <c r="B763" s="16" t="s">
        <v>809</v>
      </c>
      <c r="C763" s="34">
        <v>1</v>
      </c>
      <c r="D763" s="16" t="s">
        <v>52</v>
      </c>
      <c r="E763" s="35">
        <v>0.7</v>
      </c>
      <c r="F763" s="35">
        <v>0.5</v>
      </c>
      <c r="G763" s="16" t="s">
        <v>44</v>
      </c>
      <c r="H763" s="16" t="s">
        <v>45</v>
      </c>
      <c r="I763" s="16">
        <f>COUNTIF(G$5:G763,"Y")/COUNTA(G$5:G763)</f>
        <v>0.87220026350461133</v>
      </c>
      <c r="J763" s="16">
        <f>COUNTIF(H$5:H763,"Y")/COUNTA(H$5:H763)</f>
        <v>5.1383399209486168E-2</v>
      </c>
      <c r="K763" s="16">
        <f>AVERAGE(F$5:F763)</f>
        <v>2.2167325428194995</v>
      </c>
      <c r="L763" s="16">
        <f>SUM(F$5:F763)/SUM(E$5:E763)</f>
        <v>0.75165296640457402</v>
      </c>
    </row>
    <row r="764" spans="1:12" x14ac:dyDescent="0.25">
      <c r="A764" s="29">
        <v>45748</v>
      </c>
      <c r="B764" s="16" t="s">
        <v>810</v>
      </c>
      <c r="C764" s="34">
        <v>1</v>
      </c>
      <c r="D764" s="16" t="s">
        <v>60</v>
      </c>
      <c r="E764" s="35">
        <v>0.5</v>
      </c>
      <c r="F764" s="35">
        <v>0.5</v>
      </c>
      <c r="G764" s="16" t="s">
        <v>44</v>
      </c>
      <c r="H764" s="16" t="s">
        <v>45</v>
      </c>
      <c r="I764" s="16">
        <f>COUNTIF(G$5:G764,"Y")/COUNTA(G$5:G764)</f>
        <v>0.87236842105263157</v>
      </c>
      <c r="J764" s="16">
        <f>COUNTIF(H$5:H764,"Y")/COUNTA(H$5:H764)</f>
        <v>5.131578947368421E-2</v>
      </c>
      <c r="K764" s="16">
        <f>AVERAGE(F$5:F764)</f>
        <v>2.2144736842105264</v>
      </c>
      <c r="L764" s="16">
        <f>SUM(F$5:F764)/SUM(E$5:E764)</f>
        <v>0.75170842824601303</v>
      </c>
    </row>
    <row r="765" spans="1:12" x14ac:dyDescent="0.25">
      <c r="A765" s="29">
        <v>45749</v>
      </c>
      <c r="B765" s="16" t="s">
        <v>811</v>
      </c>
      <c r="C765" s="34">
        <v>1</v>
      </c>
      <c r="D765" s="16" t="s">
        <v>43</v>
      </c>
      <c r="E765" s="35">
        <v>0.5</v>
      </c>
      <c r="F765" s="35">
        <v>0.5</v>
      </c>
      <c r="G765" s="16" t="s">
        <v>44</v>
      </c>
      <c r="H765" s="16" t="s">
        <v>45</v>
      </c>
      <c r="I765" s="16">
        <f>COUNTIF(G$5:G765,"Y")/COUNTA(G$5:G765)</f>
        <v>0.87253613666228647</v>
      </c>
      <c r="J765" s="16">
        <f>COUNTIF(H$5:H765,"Y")/COUNTA(H$5:H765)</f>
        <v>5.1248357424441525E-2</v>
      </c>
      <c r="K765" s="16">
        <f>AVERAGE(F$5:F765)</f>
        <v>2.2122207621550589</v>
      </c>
      <c r="L765" s="16">
        <f>SUM(F$5:F765)/SUM(E$5:E765)</f>
        <v>0.75176386532106754</v>
      </c>
    </row>
    <row r="766" spans="1:12" x14ac:dyDescent="0.25">
      <c r="A766" s="29">
        <v>45750</v>
      </c>
      <c r="B766" s="16" t="s">
        <v>812</v>
      </c>
      <c r="C766" s="34">
        <v>1</v>
      </c>
      <c r="D766" s="16" t="s">
        <v>60</v>
      </c>
      <c r="E766" s="35">
        <v>0.5</v>
      </c>
      <c r="F766" s="35">
        <v>0.5</v>
      </c>
      <c r="G766" s="16" t="s">
        <v>44</v>
      </c>
      <c r="H766" s="16" t="s">
        <v>45</v>
      </c>
      <c r="I766" s="16">
        <f>COUNTIF(G$5:G766,"Y")/COUNTA(G$5:G766)</f>
        <v>0.87270341207349078</v>
      </c>
      <c r="J766" s="16">
        <f>COUNTIF(H$5:H766,"Y")/COUNTA(H$5:H766)</f>
        <v>5.1181102362204724E-2</v>
      </c>
      <c r="K766" s="16">
        <f>AVERAGE(F$5:F766)</f>
        <v>2.2099737532808401</v>
      </c>
      <c r="L766" s="16">
        <f>SUM(F$5:F766)/SUM(E$5:E766)</f>
        <v>0.75181927764632284</v>
      </c>
    </row>
    <row r="767" spans="1:12" x14ac:dyDescent="0.25">
      <c r="A767" s="29">
        <v>45751</v>
      </c>
      <c r="B767" s="16" t="s">
        <v>813</v>
      </c>
      <c r="C767" s="34">
        <v>1</v>
      </c>
      <c r="D767" s="16" t="s">
        <v>64</v>
      </c>
      <c r="E767" s="35">
        <v>0.5</v>
      </c>
      <c r="F767" s="35">
        <v>0.5</v>
      </c>
      <c r="G767" s="16" t="s">
        <v>44</v>
      </c>
      <c r="H767" s="16" t="s">
        <v>45</v>
      </c>
      <c r="I767" s="16">
        <f>COUNTIF(G$5:G767,"Y")/COUNTA(G$5:G767)</f>
        <v>0.87287024901703802</v>
      </c>
      <c r="J767" s="16">
        <f>COUNTIF(H$5:H767,"Y")/COUNTA(H$5:H767)</f>
        <v>5.1114023591087812E-2</v>
      </c>
      <c r="K767" s="16">
        <f>AVERAGE(F$5:F767)</f>
        <v>2.2077326343381389</v>
      </c>
      <c r="L767" s="16">
        <f>SUM(F$5:F767)/SUM(E$5:E767)</f>
        <v>0.75187466523834967</v>
      </c>
    </row>
    <row r="768" spans="1:12" x14ac:dyDescent="0.25">
      <c r="A768" s="29">
        <v>45747</v>
      </c>
      <c r="B768" s="16" t="s">
        <v>814</v>
      </c>
      <c r="C768" s="34">
        <v>1</v>
      </c>
      <c r="D768" s="16" t="s">
        <v>52</v>
      </c>
      <c r="E768" s="35">
        <v>0.5</v>
      </c>
      <c r="F768" s="35">
        <v>0.5</v>
      </c>
      <c r="G768" s="16" t="s">
        <v>44</v>
      </c>
      <c r="H768" s="16" t="s">
        <v>45</v>
      </c>
      <c r="I768" s="16">
        <f>COUNTIF(G$5:G768,"Y")/COUNTA(G$5:G768)</f>
        <v>0.87303664921465973</v>
      </c>
      <c r="J768" s="16">
        <f>COUNTIF(H$5:H768,"Y")/COUNTA(H$5:H768)</f>
        <v>5.1047120418848166E-2</v>
      </c>
      <c r="K768" s="16">
        <f>AVERAGE(F$5:F768)</f>
        <v>2.2054973821989527</v>
      </c>
      <c r="L768" s="16">
        <f>SUM(F$5:F768)/SUM(E$5:E768)</f>
        <v>0.75193002811370369</v>
      </c>
    </row>
    <row r="769" spans="1:13" x14ac:dyDescent="0.25">
      <c r="A769" s="29">
        <v>45748</v>
      </c>
      <c r="B769" s="16" t="s">
        <v>815</v>
      </c>
      <c r="C769" s="34">
        <v>1</v>
      </c>
      <c r="D769" s="16" t="s">
        <v>43</v>
      </c>
      <c r="E769" s="35">
        <v>0.5</v>
      </c>
      <c r="F769" s="35">
        <v>0.5</v>
      </c>
      <c r="G769" s="16" t="s">
        <v>44</v>
      </c>
      <c r="H769" s="16" t="s">
        <v>44</v>
      </c>
      <c r="I769" s="16">
        <f>COUNTIF(G$5:G769,"Y")/COUNTA(G$5:G769)</f>
        <v>0.87320261437908497</v>
      </c>
      <c r="J769" s="16">
        <f>COUNTIF(H$5:H769,"Y")/COUNTA(H$5:H769)</f>
        <v>5.2287581699346407E-2</v>
      </c>
      <c r="K769" s="16">
        <f>AVERAGE(F$5:F769)</f>
        <v>2.2032679738562093</v>
      </c>
      <c r="L769" s="16">
        <f>SUM(F$5:F769)/SUM(E$5:E769)</f>
        <v>0.75198536628892587</v>
      </c>
    </row>
    <row r="770" spans="1:13" x14ac:dyDescent="0.25">
      <c r="A770" s="29">
        <v>45749</v>
      </c>
      <c r="B770" s="16" t="s">
        <v>816</v>
      </c>
      <c r="C770" s="34">
        <v>1</v>
      </c>
      <c r="D770" s="16" t="s">
        <v>60</v>
      </c>
      <c r="E770" s="35">
        <v>0.5</v>
      </c>
      <c r="F770" s="35">
        <v>0.5</v>
      </c>
      <c r="G770" s="16" t="s">
        <v>45</v>
      </c>
      <c r="H770" s="16" t="s">
        <v>45</v>
      </c>
      <c r="I770" s="16">
        <f>COUNTIF(G$5:G770,"Y")/COUNTA(G$5:G770)</f>
        <v>0.87206266318537862</v>
      </c>
      <c r="J770" s="16">
        <f>COUNTIF(H$5:H770,"Y")/COUNTA(H$5:H770)</f>
        <v>5.2219321148825062E-2</v>
      </c>
      <c r="K770" s="16">
        <f>AVERAGE(F$5:F770)</f>
        <v>2.2010443864229763</v>
      </c>
      <c r="L770" s="16">
        <f>SUM(F$5:F770)/SUM(E$5:E770)</f>
        <v>0.75204067978054268</v>
      </c>
      <c r="M770" s="16">
        <v>7</v>
      </c>
    </row>
    <row r="771" spans="1:13" x14ac:dyDescent="0.25">
      <c r="A771" s="29">
        <v>45754</v>
      </c>
      <c r="B771" s="16" t="s">
        <v>817</v>
      </c>
      <c r="C771" s="34">
        <v>1</v>
      </c>
      <c r="D771" s="16" t="s">
        <v>43</v>
      </c>
      <c r="E771" s="35">
        <v>4.7</v>
      </c>
      <c r="F771" s="35">
        <v>3.6</v>
      </c>
      <c r="G771" s="16" t="s">
        <v>45</v>
      </c>
      <c r="H771" s="16" t="s">
        <v>45</v>
      </c>
      <c r="I771" s="16">
        <f>COUNTIF(G$5:G771,"Y")/COUNTA(G$5:G771)</f>
        <v>0.87092568448500651</v>
      </c>
      <c r="J771" s="16">
        <f>COUNTIF(H$5:H771,"Y")/COUNTA(H$5:H771)</f>
        <v>5.215123859191656E-2</v>
      </c>
      <c r="K771" s="16">
        <f>AVERAGE(F$5:F771)</f>
        <v>2.2028683181225555</v>
      </c>
      <c r="L771" s="16">
        <f>SUM(F$5:F771)/SUM(E$5:E771)</f>
        <v>0.75206979435591503</v>
      </c>
    </row>
    <row r="772" spans="1:13" x14ac:dyDescent="0.25">
      <c r="A772" s="29">
        <v>45755</v>
      </c>
      <c r="B772" s="16" t="s">
        <v>818</v>
      </c>
      <c r="C772" s="34">
        <v>1</v>
      </c>
      <c r="D772" s="16" t="s">
        <v>47</v>
      </c>
      <c r="E772" s="35">
        <v>1.9</v>
      </c>
      <c r="F772" s="35">
        <v>1.3</v>
      </c>
      <c r="G772" s="16" t="s">
        <v>44</v>
      </c>
      <c r="H772" s="16" t="s">
        <v>45</v>
      </c>
      <c r="I772" s="16">
        <f>COUNTIF(G$5:G772,"Y")/COUNTA(G$5:G772)</f>
        <v>0.87109375</v>
      </c>
      <c r="J772" s="16">
        <f>COUNTIF(H$5:H772,"Y")/COUNTA(H$5:H772)</f>
        <v>5.2083333333333336E-2</v>
      </c>
      <c r="K772" s="16">
        <f>AVERAGE(F$5:F772)</f>
        <v>2.2016927083333333</v>
      </c>
      <c r="L772" s="16">
        <f>SUM(F$5:F772)/SUM(E$5:E772)</f>
        <v>0.7520124527462746</v>
      </c>
    </row>
    <row r="773" spans="1:13" x14ac:dyDescent="0.25">
      <c r="A773" s="29">
        <v>45756</v>
      </c>
      <c r="B773" s="16" t="s">
        <v>819</v>
      </c>
      <c r="C773" s="34">
        <v>1</v>
      </c>
      <c r="D773" s="16" t="s">
        <v>50</v>
      </c>
      <c r="E773" s="35">
        <v>4.0999999999999996</v>
      </c>
      <c r="F773" s="35">
        <v>3.1</v>
      </c>
      <c r="G773" s="16" t="s">
        <v>45</v>
      </c>
      <c r="H773" s="16" t="s">
        <v>45</v>
      </c>
      <c r="I773" s="16">
        <f>COUNTIF(G$5:G773,"Y")/COUNTA(G$5:G773)</f>
        <v>0.86996098829648894</v>
      </c>
      <c r="J773" s="16">
        <f>COUNTIF(H$5:H773,"Y")/COUNTA(H$5:H773)</f>
        <v>5.2015604681404419E-2</v>
      </c>
      <c r="K773" s="16">
        <f>AVERAGE(F$5:F773)</f>
        <v>2.2028608582574769</v>
      </c>
      <c r="L773" s="16">
        <f>SUM(F$5:F773)/SUM(E$5:E773)</f>
        <v>0.75201988812927212</v>
      </c>
    </row>
    <row r="774" spans="1:13" x14ac:dyDescent="0.25">
      <c r="A774" s="29">
        <v>45757</v>
      </c>
      <c r="B774" s="16" t="s">
        <v>820</v>
      </c>
      <c r="C774" s="34">
        <v>1</v>
      </c>
      <c r="D774" s="16" t="s">
        <v>50</v>
      </c>
      <c r="E774" s="35">
        <v>5.3</v>
      </c>
      <c r="F774" s="35">
        <v>3.7</v>
      </c>
      <c r="G774" s="16" t="s">
        <v>44</v>
      </c>
      <c r="H774" s="16" t="s">
        <v>45</v>
      </c>
      <c r="I774" s="16">
        <f>COUNTIF(G$5:G774,"Y")/COUNTA(G$5:G774)</f>
        <v>0.87012987012987009</v>
      </c>
      <c r="J774" s="16">
        <f>COUNTIF(H$5:H774,"Y")/COUNTA(H$5:H774)</f>
        <v>5.1948051948051951E-2</v>
      </c>
      <c r="K774" s="16">
        <f>AVERAGE(F$5:F774)</f>
        <v>2.2048051948051945</v>
      </c>
      <c r="L774" s="16">
        <f>SUM(F$5:F774)/SUM(E$5:E774)</f>
        <v>0.75189335222994746</v>
      </c>
    </row>
    <row r="775" spans="1:13" x14ac:dyDescent="0.25">
      <c r="A775" s="29">
        <v>45758</v>
      </c>
      <c r="B775" s="16" t="s">
        <v>821</v>
      </c>
      <c r="C775" s="34">
        <v>1</v>
      </c>
      <c r="D775" s="16" t="s">
        <v>64</v>
      </c>
      <c r="E775" s="35">
        <v>4.0999999999999996</v>
      </c>
      <c r="F775" s="35">
        <v>3</v>
      </c>
      <c r="G775" s="16" t="s">
        <v>44</v>
      </c>
      <c r="H775" s="16" t="s">
        <v>45</v>
      </c>
      <c r="I775" s="16">
        <f>COUNTIF(G$5:G775,"Y")/COUNTA(G$5:G775)</f>
        <v>0.87029831387808043</v>
      </c>
      <c r="J775" s="16">
        <f>COUNTIF(H$5:H775,"Y")/COUNTA(H$5:H775)</f>
        <v>5.1880674448767837E-2</v>
      </c>
      <c r="K775" s="16">
        <f>AVERAGE(F$5:F775)</f>
        <v>2.2058365758754861</v>
      </c>
      <c r="L775" s="16">
        <f>SUM(F$5:F775)/SUM(E$5:E775)</f>
        <v>0.75185676392572875</v>
      </c>
    </row>
    <row r="776" spans="1:13" x14ac:dyDescent="0.25">
      <c r="A776" s="29">
        <v>45754</v>
      </c>
      <c r="B776" s="16" t="s">
        <v>822</v>
      </c>
      <c r="C776" s="34">
        <v>1</v>
      </c>
      <c r="D776" s="16" t="s">
        <v>50</v>
      </c>
      <c r="E776" s="35">
        <v>2</v>
      </c>
      <c r="F776" s="35">
        <v>1.4</v>
      </c>
      <c r="G776" s="16" t="s">
        <v>44</v>
      </c>
      <c r="H776" s="16" t="s">
        <v>45</v>
      </c>
      <c r="I776" s="16">
        <f>COUNTIF(G$5:G776,"Y")/COUNTA(G$5:G776)</f>
        <v>0.8704663212435233</v>
      </c>
      <c r="J776" s="16">
        <f>COUNTIF(H$5:H776,"Y")/COUNTA(H$5:H776)</f>
        <v>5.181347150259067E-2</v>
      </c>
      <c r="K776" s="16">
        <f>AVERAGE(F$5:F776)</f>
        <v>2.2047927461139896</v>
      </c>
      <c r="L776" s="16">
        <f>SUM(F$5:F776)/SUM(E$5:E776)</f>
        <v>0.75181095406360354</v>
      </c>
    </row>
    <row r="777" spans="1:13" x14ac:dyDescent="0.25">
      <c r="A777" s="29">
        <v>45755</v>
      </c>
      <c r="B777" s="16" t="s">
        <v>823</v>
      </c>
      <c r="C777" s="34">
        <v>1</v>
      </c>
      <c r="D777" s="16" t="s">
        <v>52</v>
      </c>
      <c r="E777" s="35">
        <v>2.4</v>
      </c>
      <c r="F777" s="35">
        <v>1.6</v>
      </c>
      <c r="G777" s="16" t="s">
        <v>44</v>
      </c>
      <c r="H777" s="16" t="s">
        <v>45</v>
      </c>
      <c r="I777" s="16">
        <f>COUNTIF(G$5:G777,"Y")/COUNTA(G$5:G777)</f>
        <v>0.87063389391979307</v>
      </c>
      <c r="J777" s="16">
        <f>COUNTIF(H$5:H777,"Y")/COUNTA(H$5:H777)</f>
        <v>5.1746442432082797E-2</v>
      </c>
      <c r="K777" s="16">
        <f>AVERAGE(F$5:F777)</f>
        <v>2.2040103492884864</v>
      </c>
      <c r="L777" s="16">
        <f>SUM(F$5:F777)/SUM(E$5:E777)</f>
        <v>0.75172079068125586</v>
      </c>
    </row>
    <row r="778" spans="1:13" x14ac:dyDescent="0.25">
      <c r="A778" s="29">
        <v>45756</v>
      </c>
      <c r="B778" s="16" t="s">
        <v>824</v>
      </c>
      <c r="C778" s="34">
        <v>1</v>
      </c>
      <c r="D778" s="16" t="s">
        <v>50</v>
      </c>
      <c r="E778" s="35">
        <v>5.6</v>
      </c>
      <c r="F778" s="35">
        <v>3.9</v>
      </c>
      <c r="G778" s="16" t="s">
        <v>44</v>
      </c>
      <c r="H778" s="16" t="s">
        <v>45</v>
      </c>
      <c r="I778" s="16">
        <f>COUNTIF(G$5:G778,"Y")/COUNTA(G$5:G778)</f>
        <v>0.87080103359173122</v>
      </c>
      <c r="J778" s="16">
        <f>COUNTIF(H$5:H778,"Y")/COUNTA(H$5:H778)</f>
        <v>5.1679586563307491E-2</v>
      </c>
      <c r="K778" s="16">
        <f>AVERAGE(F$5:F778)</f>
        <v>2.2062015503875969</v>
      </c>
      <c r="L778" s="16">
        <f>SUM(F$5:F778)/SUM(E$5:E778)</f>
        <v>0.75158450704225288</v>
      </c>
    </row>
    <row r="779" spans="1:13" x14ac:dyDescent="0.25">
      <c r="A779" s="29">
        <v>45757</v>
      </c>
      <c r="B779" s="16" t="s">
        <v>825</v>
      </c>
      <c r="C779" s="34">
        <v>1</v>
      </c>
      <c r="D779" s="16" t="s">
        <v>50</v>
      </c>
      <c r="E779" s="35">
        <v>1.9</v>
      </c>
      <c r="F779" s="35">
        <v>1.5</v>
      </c>
      <c r="G779" s="16" t="s">
        <v>44</v>
      </c>
      <c r="H779" s="16" t="s">
        <v>45</v>
      </c>
      <c r="I779" s="16">
        <f>COUNTIF(G$5:G779,"Y")/COUNTA(G$5:G779)</f>
        <v>0.87096774193548387</v>
      </c>
      <c r="J779" s="16">
        <f>COUNTIF(H$5:H779,"Y")/COUNTA(H$5:H779)</f>
        <v>5.1612903225806452E-2</v>
      </c>
      <c r="K779" s="16">
        <f>AVERAGE(F$5:F779)</f>
        <v>2.2052903225806451</v>
      </c>
      <c r="L779" s="16">
        <f>SUM(F$5:F779)/SUM(E$5:E779)</f>
        <v>0.75161616605831327</v>
      </c>
    </row>
    <row r="780" spans="1:13" x14ac:dyDescent="0.25">
      <c r="A780" s="29">
        <v>45758</v>
      </c>
      <c r="B780" s="16" t="s">
        <v>826</v>
      </c>
      <c r="C780" s="34">
        <v>1</v>
      </c>
      <c r="D780" s="16" t="s">
        <v>64</v>
      </c>
      <c r="E780" s="35">
        <v>5</v>
      </c>
      <c r="F780" s="35">
        <v>3.9</v>
      </c>
      <c r="G780" s="16" t="s">
        <v>44</v>
      </c>
      <c r="H780" s="16" t="s">
        <v>45</v>
      </c>
      <c r="I780" s="16">
        <f>COUNTIF(G$5:G780,"Y")/COUNTA(G$5:G780)</f>
        <v>0.87113402061855671</v>
      </c>
      <c r="J780" s="16">
        <f>COUNTIF(H$5:H780,"Y")/COUNTA(H$5:H780)</f>
        <v>5.1546391752577317E-2</v>
      </c>
      <c r="K780" s="16">
        <f>AVERAGE(F$5:F780)</f>
        <v>2.2074742268041239</v>
      </c>
      <c r="L780" s="16">
        <f>SUM(F$5:F780)/SUM(E$5:E780)</f>
        <v>0.75167844135328388</v>
      </c>
    </row>
    <row r="781" spans="1:13" x14ac:dyDescent="0.25">
      <c r="A781" s="29">
        <v>45754</v>
      </c>
      <c r="B781" s="16" t="s">
        <v>827</v>
      </c>
      <c r="C781" s="34">
        <v>1</v>
      </c>
      <c r="D781" s="16" t="s">
        <v>64</v>
      </c>
      <c r="E781" s="35">
        <v>5.4</v>
      </c>
      <c r="F781" s="35">
        <v>4</v>
      </c>
      <c r="G781" s="16" t="s">
        <v>45</v>
      </c>
      <c r="H781" s="16" t="s">
        <v>45</v>
      </c>
      <c r="I781" s="16">
        <f>COUNTIF(G$5:G781,"Y")/COUNTA(G$5:G781)</f>
        <v>0.87001287001286998</v>
      </c>
      <c r="J781" s="16">
        <f>COUNTIF(H$5:H781,"Y")/COUNTA(H$5:H781)</f>
        <v>5.1480051480051477E-2</v>
      </c>
      <c r="K781" s="16">
        <f>AVERAGE(F$5:F781)</f>
        <v>2.2097812097812097</v>
      </c>
      <c r="L781" s="16">
        <f>SUM(F$5:F781)/SUM(E$5:E781)</f>
        <v>0.75165258503699095</v>
      </c>
    </row>
    <row r="782" spans="1:13" x14ac:dyDescent="0.25">
      <c r="A782" s="29">
        <v>45755</v>
      </c>
      <c r="B782" s="16" t="s">
        <v>828</v>
      </c>
      <c r="C782" s="34">
        <v>1</v>
      </c>
      <c r="D782" s="16" t="s">
        <v>64</v>
      </c>
      <c r="E782" s="35">
        <v>4.2</v>
      </c>
      <c r="F782" s="35">
        <v>3.5</v>
      </c>
      <c r="G782" s="16" t="s">
        <v>44</v>
      </c>
      <c r="H782" s="16" t="s">
        <v>45</v>
      </c>
      <c r="I782" s="16">
        <f>COUNTIF(G$5:G782,"Y")/COUNTA(G$5:G782)</f>
        <v>0.87017994858611825</v>
      </c>
      <c r="J782" s="16">
        <f>COUNTIF(H$5:H782,"Y")/COUNTA(H$5:H782)</f>
        <v>5.1413881748071981E-2</v>
      </c>
      <c r="K782" s="16">
        <f>AVERAGE(F$5:F782)</f>
        <v>2.211439588688946</v>
      </c>
      <c r="L782" s="16">
        <f>SUM(F$5:F782)/SUM(E$5:E782)</f>
        <v>0.75180249071444116</v>
      </c>
    </row>
    <row r="783" spans="1:13" x14ac:dyDescent="0.25">
      <c r="A783" s="29">
        <v>45756</v>
      </c>
      <c r="B783" s="16" t="s">
        <v>829</v>
      </c>
      <c r="C783" s="34">
        <v>1</v>
      </c>
      <c r="D783" s="16" t="s">
        <v>50</v>
      </c>
      <c r="E783" s="35">
        <v>5.4</v>
      </c>
      <c r="F783" s="35">
        <v>3.7</v>
      </c>
      <c r="G783" s="16" t="s">
        <v>44</v>
      </c>
      <c r="H783" s="16" t="s">
        <v>45</v>
      </c>
      <c r="I783" s="16">
        <f>COUNTIF(G$5:G783,"Y")/COUNTA(G$5:G783)</f>
        <v>0.87034659820282412</v>
      </c>
      <c r="J783" s="16">
        <f>COUNTIF(H$5:H783,"Y")/COUNTA(H$5:H783)</f>
        <v>5.1347881899871634E-2</v>
      </c>
      <c r="K783" s="16">
        <f>AVERAGE(F$5:F783)</f>
        <v>2.2133504492939666</v>
      </c>
      <c r="L783" s="16">
        <f>SUM(F$5:F783)/SUM(E$5:E783)</f>
        <v>0.75164566894807905</v>
      </c>
    </row>
    <row r="784" spans="1:13" x14ac:dyDescent="0.25">
      <c r="A784" s="29">
        <v>45757</v>
      </c>
      <c r="B784" s="16" t="s">
        <v>830</v>
      </c>
      <c r="C784" s="34">
        <v>1</v>
      </c>
      <c r="D784" s="16" t="s">
        <v>56</v>
      </c>
      <c r="E784" s="35">
        <v>1.6</v>
      </c>
      <c r="F784" s="35">
        <v>1.3</v>
      </c>
      <c r="G784" s="16" t="s">
        <v>44</v>
      </c>
      <c r="H784" s="16" t="s">
        <v>45</v>
      </c>
      <c r="I784" s="16">
        <f>COUNTIF(G$5:G784,"Y")/COUNTA(G$5:G784)</f>
        <v>0.87051282051282053</v>
      </c>
      <c r="J784" s="16">
        <f>COUNTIF(H$5:H784,"Y")/COUNTA(H$5:H784)</f>
        <v>5.128205128205128E-2</v>
      </c>
      <c r="K784" s="16">
        <f>AVERAGE(F$5:F784)</f>
        <v>2.2121794871794873</v>
      </c>
      <c r="L784" s="16">
        <f>SUM(F$5:F784)/SUM(E$5:E784)</f>
        <v>0.7516880853844472</v>
      </c>
    </row>
    <row r="785" spans="1:12" x14ac:dyDescent="0.25">
      <c r="A785" s="29">
        <v>45758</v>
      </c>
      <c r="B785" s="16" t="s">
        <v>831</v>
      </c>
      <c r="C785" s="34">
        <v>1</v>
      </c>
      <c r="D785" s="16" t="s">
        <v>56</v>
      </c>
      <c r="E785" s="35">
        <v>2.7</v>
      </c>
      <c r="F785" s="35">
        <v>2.2000000000000002</v>
      </c>
      <c r="G785" s="16" t="s">
        <v>44</v>
      </c>
      <c r="H785" s="16" t="s">
        <v>45</v>
      </c>
      <c r="I785" s="16">
        <f>COUNTIF(G$5:G785,"Y")/COUNTA(G$5:G785)</f>
        <v>0.8706786171574904</v>
      </c>
      <c r="J785" s="16">
        <f>COUNTIF(H$5:H785,"Y")/COUNTA(H$5:H785)</f>
        <v>5.1216389244558257E-2</v>
      </c>
      <c r="K785" s="16">
        <f>AVERAGE(F$5:F785)</f>
        <v>2.2121638924455826</v>
      </c>
      <c r="L785" s="16">
        <f>SUM(F$5:F785)/SUM(E$5:E785)</f>
        <v>0.75176224871638619</v>
      </c>
    </row>
    <row r="786" spans="1:12" x14ac:dyDescent="0.25">
      <c r="A786" s="29">
        <v>45754</v>
      </c>
      <c r="B786" s="16" t="s">
        <v>832</v>
      </c>
      <c r="C786" s="34">
        <v>1</v>
      </c>
      <c r="D786" s="16" t="s">
        <v>60</v>
      </c>
      <c r="E786" s="35">
        <v>2.5</v>
      </c>
      <c r="F786" s="35">
        <v>1.9</v>
      </c>
      <c r="G786" s="16" t="s">
        <v>44</v>
      </c>
      <c r="H786" s="16" t="s">
        <v>45</v>
      </c>
      <c r="I786" s="16">
        <f>COUNTIF(G$5:G786,"Y")/COUNTA(G$5:G786)</f>
        <v>0.87084398976982103</v>
      </c>
      <c r="J786" s="16">
        <f>COUNTIF(H$5:H786,"Y")/COUNTA(H$5:H786)</f>
        <v>5.1150895140664961E-2</v>
      </c>
      <c r="K786" s="16">
        <f>AVERAGE(F$5:F786)</f>
        <v>2.2117647058823531</v>
      </c>
      <c r="L786" s="16">
        <f>SUM(F$5:F786)/SUM(E$5:E786)</f>
        <v>0.75177120006954357</v>
      </c>
    </row>
    <row r="787" spans="1:12" x14ac:dyDescent="0.25">
      <c r="A787" s="29">
        <v>45755</v>
      </c>
      <c r="B787" s="16" t="s">
        <v>833</v>
      </c>
      <c r="C787" s="34">
        <v>1</v>
      </c>
      <c r="D787" s="16" t="s">
        <v>52</v>
      </c>
      <c r="E787" s="35">
        <v>5.0999999999999996</v>
      </c>
      <c r="F787" s="35">
        <v>3.6</v>
      </c>
      <c r="G787" s="16" t="s">
        <v>44</v>
      </c>
      <c r="H787" s="16" t="s">
        <v>45</v>
      </c>
      <c r="I787" s="16">
        <f>COUNTIF(G$5:G787,"Y")/COUNTA(G$5:G787)</f>
        <v>0.87100893997445716</v>
      </c>
      <c r="J787" s="16">
        <f>COUNTIF(H$5:H787,"Y")/COUNTA(H$5:H787)</f>
        <v>5.108556832694764E-2</v>
      </c>
      <c r="K787" s="16">
        <f>AVERAGE(F$5:F787)</f>
        <v>2.2135376756066414</v>
      </c>
      <c r="L787" s="16">
        <f>SUM(F$5:F787)/SUM(E$5:E787)</f>
        <v>0.75166970248937415</v>
      </c>
    </row>
    <row r="788" spans="1:12" x14ac:dyDescent="0.25">
      <c r="A788" s="29">
        <v>45756</v>
      </c>
      <c r="B788" s="16" t="s">
        <v>834</v>
      </c>
      <c r="C788" s="34">
        <v>1</v>
      </c>
      <c r="D788" s="16" t="s">
        <v>56</v>
      </c>
      <c r="E788" s="35">
        <v>3.8</v>
      </c>
      <c r="F788" s="35">
        <v>2.9</v>
      </c>
      <c r="G788" s="16" t="s">
        <v>44</v>
      </c>
      <c r="H788" s="16" t="s">
        <v>45</v>
      </c>
      <c r="I788" s="16">
        <f>COUNTIF(G$5:G788,"Y")/COUNTA(G$5:G788)</f>
        <v>0.87117346938775508</v>
      </c>
      <c r="J788" s="16">
        <f>COUNTIF(H$5:H788,"Y")/COUNTA(H$5:H788)</f>
        <v>5.1020408163265307E-2</v>
      </c>
      <c r="K788" s="16">
        <f>AVERAGE(F$5:F788)</f>
        <v>2.2144132653061228</v>
      </c>
      <c r="L788" s="16">
        <f>SUM(F$5:F788)/SUM(E$5:E788)</f>
        <v>0.75168860408728733</v>
      </c>
    </row>
    <row r="789" spans="1:12" x14ac:dyDescent="0.25">
      <c r="A789" s="29">
        <v>45757</v>
      </c>
      <c r="B789" s="16" t="s">
        <v>835</v>
      </c>
      <c r="C789" s="34">
        <v>1</v>
      </c>
      <c r="D789" s="16" t="s">
        <v>47</v>
      </c>
      <c r="E789" s="35">
        <v>2.9</v>
      </c>
      <c r="F789" s="35">
        <v>2.2999999999999998</v>
      </c>
      <c r="G789" s="16" t="s">
        <v>44</v>
      </c>
      <c r="H789" s="16" t="s">
        <v>45</v>
      </c>
      <c r="I789" s="16">
        <f>COUNTIF(G$5:G789,"Y")/COUNTA(G$5:G789)</f>
        <v>0.87133757961783442</v>
      </c>
      <c r="J789" s="16">
        <f>COUNTIF(H$5:H789,"Y")/COUNTA(H$5:H789)</f>
        <v>5.0955414012738856E-2</v>
      </c>
      <c r="K789" s="16">
        <f>AVERAGE(F$5:F789)</f>
        <v>2.2145222929936308</v>
      </c>
      <c r="L789" s="16">
        <f>SUM(F$5:F789)/SUM(E$5:E789)</f>
        <v>0.75174054054053996</v>
      </c>
    </row>
    <row r="790" spans="1:12" x14ac:dyDescent="0.25">
      <c r="A790" s="29">
        <v>45758</v>
      </c>
      <c r="B790" s="16" t="s">
        <v>836</v>
      </c>
      <c r="C790" s="34">
        <v>1</v>
      </c>
      <c r="D790" s="16" t="s">
        <v>52</v>
      </c>
      <c r="E790" s="35">
        <v>2</v>
      </c>
      <c r="F790" s="35">
        <v>1.5</v>
      </c>
      <c r="G790" s="16" t="s">
        <v>45</v>
      </c>
      <c r="H790" s="16" t="s">
        <v>45</v>
      </c>
      <c r="I790" s="16">
        <f>COUNTIF(G$5:G790,"Y")/COUNTA(G$5:G790)</f>
        <v>0.87022900763358779</v>
      </c>
      <c r="J790" s="16">
        <f>COUNTIF(H$5:H790,"Y")/COUNTA(H$5:H790)</f>
        <v>5.0890585241730277E-2</v>
      </c>
      <c r="K790" s="16">
        <f>AVERAGE(F$5:F790)</f>
        <v>2.2136132315521628</v>
      </c>
      <c r="L790" s="16">
        <f>SUM(F$5:F790)/SUM(E$5:E790)</f>
        <v>0.75173903650896468</v>
      </c>
    </row>
    <row r="791" spans="1:12" x14ac:dyDescent="0.25">
      <c r="A791" s="29">
        <v>45754</v>
      </c>
      <c r="B791" s="16" t="s">
        <v>837</v>
      </c>
      <c r="C791" s="34">
        <v>1</v>
      </c>
      <c r="D791" s="16" t="s">
        <v>52</v>
      </c>
      <c r="E791" s="35">
        <v>4.9000000000000004</v>
      </c>
      <c r="F791" s="35">
        <v>3.3</v>
      </c>
      <c r="G791" s="16" t="s">
        <v>44</v>
      </c>
      <c r="H791" s="16" t="s">
        <v>45</v>
      </c>
      <c r="I791" s="16">
        <f>COUNTIF(G$5:G791,"Y")/COUNTA(G$5:G791)</f>
        <v>0.87039390088945368</v>
      </c>
      <c r="J791" s="16">
        <f>COUNTIF(H$5:H791,"Y")/COUNTA(H$5:H791)</f>
        <v>5.0825921219822108E-2</v>
      </c>
      <c r="K791" s="16">
        <f>AVERAGE(F$5:F791)</f>
        <v>2.2149936467598477</v>
      </c>
      <c r="L791" s="16">
        <f>SUM(F$5:F791)/SUM(E$5:E791)</f>
        <v>0.75157368284901205</v>
      </c>
    </row>
    <row r="792" spans="1:12" x14ac:dyDescent="0.25">
      <c r="A792" s="29">
        <v>45755</v>
      </c>
      <c r="B792" s="16" t="s">
        <v>838</v>
      </c>
      <c r="C792" s="34">
        <v>1</v>
      </c>
      <c r="D792" s="16" t="s">
        <v>52</v>
      </c>
      <c r="E792" s="35">
        <v>4.9000000000000004</v>
      </c>
      <c r="F792" s="35">
        <v>3.7</v>
      </c>
      <c r="G792" s="16" t="s">
        <v>44</v>
      </c>
      <c r="H792" s="16" t="s">
        <v>45</v>
      </c>
      <c r="I792" s="16">
        <f>COUNTIF(G$5:G792,"Y")/COUNTA(G$5:G792)</f>
        <v>0.87055837563451777</v>
      </c>
      <c r="J792" s="16">
        <f>COUNTIF(H$5:H792,"Y")/COUNTA(H$5:H792)</f>
        <v>5.0761421319796954E-2</v>
      </c>
      <c r="K792" s="16">
        <f>AVERAGE(F$5:F792)</f>
        <v>2.2168781725888325</v>
      </c>
      <c r="L792" s="16">
        <f>SUM(F$5:F792)/SUM(E$5:E792)</f>
        <v>0.75158112119777942</v>
      </c>
    </row>
    <row r="793" spans="1:12" x14ac:dyDescent="0.25">
      <c r="A793" s="29">
        <v>45756</v>
      </c>
      <c r="B793" s="16" t="s">
        <v>839</v>
      </c>
      <c r="C793" s="34">
        <v>1</v>
      </c>
      <c r="D793" s="16" t="s">
        <v>52</v>
      </c>
      <c r="E793" s="35">
        <v>1.7</v>
      </c>
      <c r="F793" s="35">
        <v>1.4</v>
      </c>
      <c r="G793" s="16" t="s">
        <v>44</v>
      </c>
      <c r="H793" s="16" t="s">
        <v>45</v>
      </c>
      <c r="I793" s="16">
        <f>COUNTIF(G$5:G793,"Y")/COUNTA(G$5:G793)</f>
        <v>0.87072243346007605</v>
      </c>
      <c r="J793" s="16">
        <f>COUNTIF(H$5:H793,"Y")/COUNTA(H$5:H793)</f>
        <v>5.0697084917617236E-2</v>
      </c>
      <c r="K793" s="16">
        <f>AVERAGE(F$5:F793)</f>
        <v>2.2158428390367555</v>
      </c>
      <c r="L793" s="16">
        <f>SUM(F$5:F793)/SUM(E$5:E793)</f>
        <v>0.75163370593293155</v>
      </c>
    </row>
    <row r="794" spans="1:12" x14ac:dyDescent="0.25">
      <c r="A794" s="29">
        <v>45757</v>
      </c>
      <c r="B794" s="16" t="s">
        <v>840</v>
      </c>
      <c r="C794" s="34">
        <v>1</v>
      </c>
      <c r="D794" s="16" t="s">
        <v>60</v>
      </c>
      <c r="E794" s="35">
        <v>3.2</v>
      </c>
      <c r="F794" s="35">
        <v>2.6</v>
      </c>
      <c r="G794" s="16" t="s">
        <v>44</v>
      </c>
      <c r="H794" s="16" t="s">
        <v>45</v>
      </c>
      <c r="I794" s="16">
        <f>COUNTIF(G$5:G794,"Y")/COUNTA(G$5:G794)</f>
        <v>0.87088607594936707</v>
      </c>
      <c r="J794" s="16">
        <f>COUNTIF(H$5:H794,"Y")/COUNTA(H$5:H794)</f>
        <v>5.0632911392405063E-2</v>
      </c>
      <c r="K794" s="16">
        <f>AVERAGE(F$5:F794)</f>
        <v>2.2163291139240506</v>
      </c>
      <c r="L794" s="16">
        <f>SUM(F$5:F794)/SUM(E$5:E794)</f>
        <v>0.75171732783788381</v>
      </c>
    </row>
    <row r="795" spans="1:12" x14ac:dyDescent="0.25">
      <c r="A795" s="29">
        <v>45758</v>
      </c>
      <c r="B795" s="16" t="s">
        <v>841</v>
      </c>
      <c r="C795" s="34">
        <v>1</v>
      </c>
      <c r="D795" s="16" t="s">
        <v>43</v>
      </c>
      <c r="E795" s="35">
        <v>2.9</v>
      </c>
      <c r="F795" s="35">
        <v>2.2999999999999998</v>
      </c>
      <c r="G795" s="16" t="s">
        <v>44</v>
      </c>
      <c r="H795" s="16" t="s">
        <v>45</v>
      </c>
      <c r="I795" s="16">
        <f>COUNTIF(G$5:G795,"Y")/COUNTA(G$5:G795)</f>
        <v>0.87104930467762332</v>
      </c>
      <c r="J795" s="16">
        <f>COUNTIF(H$5:H795,"Y")/COUNTA(H$5:H795)</f>
        <v>5.0568900126422248E-2</v>
      </c>
      <c r="K795" s="16">
        <f>AVERAGE(F$5:F795)</f>
        <v>2.2164348925410873</v>
      </c>
      <c r="L795" s="16">
        <f>SUM(F$5:F795)/SUM(E$5:E795)</f>
        <v>0.75176879207581093</v>
      </c>
    </row>
    <row r="796" spans="1:12" x14ac:dyDescent="0.25">
      <c r="A796" s="29">
        <v>45754</v>
      </c>
      <c r="B796" s="16" t="s">
        <v>842</v>
      </c>
      <c r="C796" s="34">
        <v>1</v>
      </c>
      <c r="D796" s="16" t="s">
        <v>64</v>
      </c>
      <c r="E796" s="35">
        <v>3.4</v>
      </c>
      <c r="F796" s="35">
        <v>2.5</v>
      </c>
      <c r="G796" s="16" t="s">
        <v>44</v>
      </c>
      <c r="H796" s="16" t="s">
        <v>45</v>
      </c>
      <c r="I796" s="16">
        <f>COUNTIF(G$5:G796,"Y")/COUNTA(G$5:G796)</f>
        <v>0.87121212121212122</v>
      </c>
      <c r="J796" s="16">
        <f>COUNTIF(H$5:H796,"Y")/COUNTA(H$5:H796)</f>
        <v>5.0505050505050504E-2</v>
      </c>
      <c r="K796" s="16">
        <f>AVERAGE(F$5:F796)</f>
        <v>2.2167929292929291</v>
      </c>
      <c r="L796" s="16">
        <f>SUM(F$5:F796)/SUM(E$5:E796)</f>
        <v>0.7517448083922067</v>
      </c>
    </row>
    <row r="797" spans="1:12" x14ac:dyDescent="0.25">
      <c r="A797" s="29">
        <v>45755</v>
      </c>
      <c r="B797" s="16" t="s">
        <v>843</v>
      </c>
      <c r="C797" s="34">
        <v>1</v>
      </c>
      <c r="D797" s="16" t="s">
        <v>50</v>
      </c>
      <c r="E797" s="35">
        <v>1.5</v>
      </c>
      <c r="F797" s="35">
        <v>1.2</v>
      </c>
      <c r="G797" s="16" t="s">
        <v>44</v>
      </c>
      <c r="H797" s="16" t="s">
        <v>45</v>
      </c>
      <c r="I797" s="16">
        <f>COUNTIF(G$5:G797,"Y")/COUNTA(G$5:G797)</f>
        <v>0.87137452711223207</v>
      </c>
      <c r="J797" s="16">
        <f>COUNTIF(H$5:H797,"Y")/COUNTA(H$5:H797)</f>
        <v>5.0441361916771753E-2</v>
      </c>
      <c r="K797" s="16">
        <f>AVERAGE(F$5:F797)</f>
        <v>2.2155107187894076</v>
      </c>
      <c r="L797" s="16">
        <f>SUM(F$5:F797)/SUM(E$5:E797)</f>
        <v>0.7517757809157033</v>
      </c>
    </row>
    <row r="798" spans="1:12" x14ac:dyDescent="0.25">
      <c r="A798" s="29">
        <v>45756</v>
      </c>
      <c r="B798" s="16" t="s">
        <v>844</v>
      </c>
      <c r="C798" s="34">
        <v>1</v>
      </c>
      <c r="D798" s="16" t="s">
        <v>64</v>
      </c>
      <c r="E798" s="35">
        <v>2</v>
      </c>
      <c r="F798" s="35">
        <v>1.5</v>
      </c>
      <c r="G798" s="16" t="s">
        <v>44</v>
      </c>
      <c r="H798" s="16" t="s">
        <v>45</v>
      </c>
      <c r="I798" s="16">
        <f>COUNTIF(G$5:G798,"Y")/COUNTA(G$5:G798)</f>
        <v>0.87153652392947101</v>
      </c>
      <c r="J798" s="16">
        <f>COUNTIF(H$5:H798,"Y")/COUNTA(H$5:H798)</f>
        <v>5.0377833753148617E-2</v>
      </c>
      <c r="K798" s="16">
        <f>AVERAGE(F$5:F798)</f>
        <v>2.2146095717884133</v>
      </c>
      <c r="L798" s="16">
        <f>SUM(F$5:F798)/SUM(E$5:E798)</f>
        <v>0.75177426250534363</v>
      </c>
    </row>
    <row r="799" spans="1:12" x14ac:dyDescent="0.25">
      <c r="A799" s="29">
        <v>45757</v>
      </c>
      <c r="B799" s="16" t="s">
        <v>845</v>
      </c>
      <c r="C799" s="34">
        <v>1</v>
      </c>
      <c r="D799" s="16" t="s">
        <v>56</v>
      </c>
      <c r="E799" s="35">
        <v>3.5</v>
      </c>
      <c r="F799" s="35">
        <v>3.1</v>
      </c>
      <c r="G799" s="16" t="s">
        <v>44</v>
      </c>
      <c r="H799" s="16" t="s">
        <v>45</v>
      </c>
      <c r="I799" s="16">
        <f>COUNTIF(G$5:G799,"Y")/COUNTA(G$5:G799)</f>
        <v>0.8716981132075472</v>
      </c>
      <c r="J799" s="16">
        <f>COUNTIF(H$5:H799,"Y")/COUNTA(H$5:H799)</f>
        <v>5.0314465408805034E-2</v>
      </c>
      <c r="K799" s="16">
        <f>AVERAGE(F$5:F799)</f>
        <v>2.2157232704402516</v>
      </c>
      <c r="L799" s="16">
        <f>SUM(F$5:F799)/SUM(E$5:E799)</f>
        <v>0.75197438633938041</v>
      </c>
    </row>
    <row r="800" spans="1:12" x14ac:dyDescent="0.25">
      <c r="A800" s="29">
        <v>45758</v>
      </c>
      <c r="B800" s="16" t="s">
        <v>846</v>
      </c>
      <c r="C800" s="34">
        <v>1</v>
      </c>
      <c r="D800" s="16" t="s">
        <v>64</v>
      </c>
      <c r="E800" s="35">
        <v>4.5</v>
      </c>
      <c r="F800" s="35">
        <v>3.6</v>
      </c>
      <c r="G800" s="16" t="s">
        <v>44</v>
      </c>
      <c r="H800" s="16" t="s">
        <v>45</v>
      </c>
      <c r="I800" s="16">
        <f>COUNTIF(G$5:G800,"Y")/COUNTA(G$5:G800)</f>
        <v>0.87185929648241201</v>
      </c>
      <c r="J800" s="16">
        <f>COUNTIF(H$5:H800,"Y")/COUNTA(H$5:H800)</f>
        <v>5.0251256281407038E-2</v>
      </c>
      <c r="K800" s="16">
        <f>AVERAGE(F$5:F800)</f>
        <v>2.2174623115577887</v>
      </c>
      <c r="L800" s="16">
        <f>SUM(F$5:F800)/SUM(E$5:E800)</f>
        <v>0.7520664678312734</v>
      </c>
    </row>
    <row r="801" spans="1:13" x14ac:dyDescent="0.25">
      <c r="A801" s="29">
        <v>45754</v>
      </c>
      <c r="B801" s="16" t="s">
        <v>847</v>
      </c>
      <c r="C801" s="34">
        <v>1</v>
      </c>
      <c r="D801" s="16" t="s">
        <v>47</v>
      </c>
      <c r="E801" s="35">
        <v>2.5</v>
      </c>
      <c r="F801" s="35">
        <v>1.8</v>
      </c>
      <c r="G801" s="16" t="s">
        <v>44</v>
      </c>
      <c r="H801" s="16" t="s">
        <v>45</v>
      </c>
      <c r="I801" s="16">
        <f>COUNTIF(G$5:G801,"Y")/COUNTA(G$5:G801)</f>
        <v>0.87202007528230863</v>
      </c>
      <c r="J801" s="16">
        <f>COUNTIF(H$5:H801,"Y")/COUNTA(H$5:H801)</f>
        <v>5.0188205771643665E-2</v>
      </c>
      <c r="K801" s="16">
        <f>AVERAGE(F$5:F801)</f>
        <v>2.2169385194479294</v>
      </c>
      <c r="L801" s="16">
        <f>SUM(F$5:F801)/SUM(E$5:E801)</f>
        <v>0.75203234730793722</v>
      </c>
    </row>
    <row r="802" spans="1:13" x14ac:dyDescent="0.25">
      <c r="A802" s="29">
        <v>45755</v>
      </c>
      <c r="B802" s="16" t="s">
        <v>848</v>
      </c>
      <c r="C802" s="34">
        <v>1</v>
      </c>
      <c r="D802" s="16" t="s">
        <v>64</v>
      </c>
      <c r="E802" s="35">
        <v>5.4</v>
      </c>
      <c r="F802" s="35">
        <v>3.7</v>
      </c>
      <c r="G802" s="16" t="s">
        <v>44</v>
      </c>
      <c r="H802" s="16" t="s">
        <v>44</v>
      </c>
      <c r="I802" s="16">
        <f>COUNTIF(G$5:G802,"Y")/COUNTA(G$5:G802)</f>
        <v>0.8721804511278195</v>
      </c>
      <c r="J802" s="16">
        <f>COUNTIF(H$5:H802,"Y")/COUNTA(H$5:H802)</f>
        <v>5.1378446115288218E-2</v>
      </c>
      <c r="K802" s="16">
        <f>AVERAGE(F$5:F802)</f>
        <v>2.2187969924812028</v>
      </c>
      <c r="L802" s="16">
        <f>SUM(F$5:F802)/SUM(E$5:E802)</f>
        <v>0.75187906068198163</v>
      </c>
    </row>
    <row r="803" spans="1:13" x14ac:dyDescent="0.25">
      <c r="A803" s="29">
        <v>45756</v>
      </c>
      <c r="B803" s="16" t="s">
        <v>849</v>
      </c>
      <c r="C803" s="34">
        <v>1</v>
      </c>
      <c r="D803" s="16" t="s">
        <v>43</v>
      </c>
      <c r="E803" s="35">
        <v>1.7</v>
      </c>
      <c r="F803" s="35">
        <v>1.2</v>
      </c>
      <c r="G803" s="16" t="s">
        <v>44</v>
      </c>
      <c r="H803" s="16" t="s">
        <v>44</v>
      </c>
      <c r="I803" s="16">
        <f>COUNTIF(G$5:G803,"Y")/COUNTA(G$5:G803)</f>
        <v>0.87234042553191493</v>
      </c>
      <c r="J803" s="16">
        <f>COUNTIF(H$5:H803,"Y")/COUNTA(H$5:H803)</f>
        <v>5.2565707133917394E-2</v>
      </c>
      <c r="K803" s="16">
        <f>AVERAGE(F$5:F803)</f>
        <v>2.2175219023779724</v>
      </c>
      <c r="L803" s="16">
        <f>SUM(F$5:F803)/SUM(E$5:E803)</f>
        <v>0.75184587965713257</v>
      </c>
    </row>
    <row r="804" spans="1:13" x14ac:dyDescent="0.25">
      <c r="A804" s="29">
        <v>45757</v>
      </c>
      <c r="B804" s="16" t="s">
        <v>850</v>
      </c>
      <c r="C804" s="34">
        <v>1</v>
      </c>
      <c r="D804" s="16" t="s">
        <v>50</v>
      </c>
      <c r="E804" s="35">
        <v>2.4</v>
      </c>
      <c r="F804" s="35">
        <v>2</v>
      </c>
      <c r="G804" s="16" t="s">
        <v>44</v>
      </c>
      <c r="H804" s="16" t="s">
        <v>45</v>
      </c>
      <c r="I804" s="16">
        <f>COUNTIF(G$5:G804,"Y")/COUNTA(G$5:G804)</f>
        <v>0.87250000000000005</v>
      </c>
      <c r="J804" s="16">
        <f>COUNTIF(H$5:H804,"Y")/COUNTA(H$5:H804)</f>
        <v>5.2499999999999998E-2</v>
      </c>
      <c r="K804" s="16">
        <f>AVERAGE(F$5:F804)</f>
        <v>2.2172499999999999</v>
      </c>
      <c r="L804" s="16">
        <f>SUM(F$5:F804)/SUM(E$5:E804)</f>
        <v>0.75192878338278868</v>
      </c>
    </row>
    <row r="805" spans="1:13" x14ac:dyDescent="0.25">
      <c r="A805" s="29">
        <v>45758</v>
      </c>
      <c r="B805" s="16" t="s">
        <v>851</v>
      </c>
      <c r="C805" s="34">
        <v>1</v>
      </c>
      <c r="D805" s="16" t="s">
        <v>50</v>
      </c>
      <c r="E805" s="35">
        <v>3.5</v>
      </c>
      <c r="F805" s="35">
        <v>2.5</v>
      </c>
      <c r="G805" s="16" t="s">
        <v>44</v>
      </c>
      <c r="H805" s="16" t="s">
        <v>45</v>
      </c>
      <c r="I805" s="16">
        <f>COUNTIF(G$5:G805,"Y")/COUNTA(G$5:G805)</f>
        <v>0.87265917602996257</v>
      </c>
      <c r="J805" s="16">
        <f>COUNTIF(H$5:H805,"Y")/COUNTA(H$5:H805)</f>
        <v>5.2434456928838954E-2</v>
      </c>
      <c r="K805" s="16">
        <f>AVERAGE(F$5:F805)</f>
        <v>2.2176029962546817</v>
      </c>
      <c r="L805" s="16">
        <f>SUM(F$5:F805)/SUM(E$5:E805)</f>
        <v>0.75187301587301525</v>
      </c>
    </row>
    <row r="806" spans="1:13" x14ac:dyDescent="0.25">
      <c r="A806" s="29">
        <v>45754</v>
      </c>
      <c r="B806" s="16" t="s">
        <v>852</v>
      </c>
      <c r="C806" s="34">
        <v>1</v>
      </c>
      <c r="D806" s="16" t="s">
        <v>43</v>
      </c>
      <c r="E806" s="35">
        <v>2</v>
      </c>
      <c r="F806" s="35">
        <v>1.4</v>
      </c>
      <c r="G806" s="16" t="s">
        <v>44</v>
      </c>
      <c r="H806" s="16" t="s">
        <v>45</v>
      </c>
      <c r="I806" s="16">
        <f>COUNTIF(G$5:G806,"Y")/COUNTA(G$5:G806)</f>
        <v>0.87281795511221949</v>
      </c>
      <c r="J806" s="16">
        <f>COUNTIF(H$5:H806,"Y")/COUNTA(H$5:H806)</f>
        <v>5.2369077306733167E-2</v>
      </c>
      <c r="K806" s="16">
        <f>AVERAGE(F$5:F806)</f>
        <v>2.2165835411471324</v>
      </c>
      <c r="L806" s="16">
        <f>SUM(F$5:F806)/SUM(E$5:E806)</f>
        <v>0.75182913935292817</v>
      </c>
    </row>
    <row r="807" spans="1:13" x14ac:dyDescent="0.25">
      <c r="A807" s="29">
        <v>45755</v>
      </c>
      <c r="B807" s="16" t="s">
        <v>853</v>
      </c>
      <c r="C807" s="34">
        <v>1</v>
      </c>
      <c r="D807" s="16" t="s">
        <v>43</v>
      </c>
      <c r="E807" s="35">
        <v>0.6</v>
      </c>
      <c r="F807" s="35">
        <v>1.5</v>
      </c>
      <c r="G807" s="16" t="s">
        <v>44</v>
      </c>
      <c r="H807" s="16" t="s">
        <v>45</v>
      </c>
      <c r="I807" s="16">
        <f>COUNTIF(G$5:G807,"Y")/COUNTA(G$5:G807)</f>
        <v>0.87297633872976343</v>
      </c>
      <c r="J807" s="16">
        <f>COUNTIF(H$5:H807,"Y")/COUNTA(H$5:H807)</f>
        <v>5.2303860523038606E-2</v>
      </c>
      <c r="K807" s="16">
        <f>AVERAGE(F$5:F807)</f>
        <v>2.2156911581569116</v>
      </c>
      <c r="L807" s="16">
        <f>SUM(F$5:F807)/SUM(E$5:E807)</f>
        <v>0.75227263117838516</v>
      </c>
    </row>
    <row r="808" spans="1:13" x14ac:dyDescent="0.25">
      <c r="A808" s="29">
        <v>45756</v>
      </c>
      <c r="B808" s="16" t="s">
        <v>854</v>
      </c>
      <c r="C808" s="34">
        <v>1</v>
      </c>
      <c r="D808" s="16" t="s">
        <v>43</v>
      </c>
      <c r="E808" s="35">
        <v>0.5</v>
      </c>
      <c r="F808" s="35">
        <v>0.6</v>
      </c>
      <c r="G808" s="16" t="s">
        <v>44</v>
      </c>
      <c r="H808" s="16" t="s">
        <v>45</v>
      </c>
      <c r="I808" s="16">
        <f>COUNTIF(G$5:G808,"Y")/COUNTA(G$5:G808)</f>
        <v>0.87313432835820892</v>
      </c>
      <c r="J808" s="16">
        <f>COUNTIF(H$5:H808,"Y")/COUNTA(H$5:H808)</f>
        <v>5.2238805970149252E-2</v>
      </c>
      <c r="K808" s="16">
        <f>AVERAGE(F$5:F808)</f>
        <v>2.213681592039801</v>
      </c>
      <c r="L808" s="16">
        <f>SUM(F$5:F808)/SUM(E$5:E808)</f>
        <v>0.75236726411903898</v>
      </c>
    </row>
    <row r="809" spans="1:13" x14ac:dyDescent="0.25">
      <c r="A809" s="29">
        <v>45757</v>
      </c>
      <c r="B809" s="16" t="s">
        <v>855</v>
      </c>
      <c r="C809" s="34">
        <v>1</v>
      </c>
      <c r="D809" s="16" t="s">
        <v>64</v>
      </c>
      <c r="E809" s="35">
        <v>0.5</v>
      </c>
      <c r="F809" s="35">
        <v>0.5</v>
      </c>
      <c r="G809" s="16" t="s">
        <v>44</v>
      </c>
      <c r="H809" s="16" t="s">
        <v>45</v>
      </c>
      <c r="I809" s="16">
        <f>COUNTIF(G$5:G809,"Y")/COUNTA(G$5:G809)</f>
        <v>0.87329192546583856</v>
      </c>
      <c r="J809" s="16">
        <f>COUNTIF(H$5:H809,"Y")/COUNTA(H$5:H809)</f>
        <v>5.2173913043478258E-2</v>
      </c>
      <c r="K809" s="16">
        <f>AVERAGE(F$5:F809)</f>
        <v>2.2115527950310558</v>
      </c>
      <c r="L809" s="16">
        <f>SUM(F$5:F809)/SUM(E$5:E809)</f>
        <v>0.75241959342377696</v>
      </c>
    </row>
    <row r="810" spans="1:13" x14ac:dyDescent="0.25">
      <c r="A810" s="29">
        <v>45758</v>
      </c>
      <c r="B810" s="16" t="s">
        <v>856</v>
      </c>
      <c r="C810" s="34">
        <v>1</v>
      </c>
      <c r="D810" s="16" t="s">
        <v>47</v>
      </c>
      <c r="E810" s="35">
        <v>0.5</v>
      </c>
      <c r="F810" s="35">
        <v>0.5</v>
      </c>
      <c r="G810" s="16" t="s">
        <v>45</v>
      </c>
      <c r="H810" s="16" t="s">
        <v>45</v>
      </c>
      <c r="I810" s="16">
        <f>COUNTIF(G$5:G810,"Y")/COUNTA(G$5:G810)</f>
        <v>0.87220843672456572</v>
      </c>
      <c r="J810" s="16">
        <f>COUNTIF(H$5:H810,"Y")/COUNTA(H$5:H810)</f>
        <v>5.2109181141439205E-2</v>
      </c>
      <c r="K810" s="16">
        <f>AVERAGE(F$5:F810)</f>
        <v>2.2094292803970221</v>
      </c>
      <c r="L810" s="16">
        <f>SUM(F$5:F810)/SUM(E$5:E810)</f>
        <v>0.75247190061691827</v>
      </c>
    </row>
    <row r="811" spans="1:13" x14ac:dyDescent="0.25">
      <c r="A811" s="29">
        <v>45754</v>
      </c>
      <c r="B811" s="16" t="s">
        <v>857</v>
      </c>
      <c r="C811" s="34">
        <v>1</v>
      </c>
      <c r="D811" s="16" t="s">
        <v>60</v>
      </c>
      <c r="E811" s="35">
        <v>0.5</v>
      </c>
      <c r="F811" s="35">
        <v>0.5</v>
      </c>
      <c r="G811" s="16" t="s">
        <v>44</v>
      </c>
      <c r="H811" s="16" t="s">
        <v>45</v>
      </c>
      <c r="I811" s="16">
        <f>COUNTIF(G$5:G811,"Y")/COUNTA(G$5:G811)</f>
        <v>0.87236679058240396</v>
      </c>
      <c r="J811" s="16">
        <f>COUNTIF(H$5:H811,"Y")/COUNTA(H$5:H811)</f>
        <v>5.204460966542751E-2</v>
      </c>
      <c r="K811" s="16">
        <f>AVERAGE(F$5:F811)</f>
        <v>2.2073110285006194</v>
      </c>
      <c r="L811" s="16">
        <f>SUM(F$5:F811)/SUM(E$5:E811)</f>
        <v>0.75252418571247459</v>
      </c>
    </row>
    <row r="812" spans="1:13" x14ac:dyDescent="0.25">
      <c r="A812" s="29">
        <v>45755</v>
      </c>
      <c r="B812" s="16" t="s">
        <v>858</v>
      </c>
      <c r="C812" s="34">
        <v>1</v>
      </c>
      <c r="D812" s="16" t="s">
        <v>64</v>
      </c>
      <c r="E812" s="35">
        <v>0.5</v>
      </c>
      <c r="F812" s="35">
        <v>0.5</v>
      </c>
      <c r="G812" s="16" t="s">
        <v>44</v>
      </c>
      <c r="H812" s="16" t="s">
        <v>45</v>
      </c>
      <c r="I812" s="16">
        <f>COUNTIF(G$5:G812,"Y")/COUNTA(G$5:G812)</f>
        <v>0.87252475247524752</v>
      </c>
      <c r="J812" s="16">
        <f>COUNTIF(H$5:H812,"Y")/COUNTA(H$5:H812)</f>
        <v>5.1980198019801978E-2</v>
      </c>
      <c r="K812" s="16">
        <f>AVERAGE(F$5:F812)</f>
        <v>2.2051980198019803</v>
      </c>
      <c r="L812" s="16">
        <f>SUM(F$5:F812)/SUM(E$5:E812)</f>
        <v>0.75257644872444618</v>
      </c>
    </row>
    <row r="813" spans="1:13" x14ac:dyDescent="0.25">
      <c r="A813" s="29">
        <v>45756</v>
      </c>
      <c r="B813" s="16" t="s">
        <v>859</v>
      </c>
      <c r="C813" s="34">
        <v>1</v>
      </c>
      <c r="D813" s="16" t="s">
        <v>60</v>
      </c>
      <c r="E813" s="35">
        <v>0.5</v>
      </c>
      <c r="F813" s="35">
        <v>0.5</v>
      </c>
      <c r="G813" s="16" t="s">
        <v>44</v>
      </c>
      <c r="H813" s="16" t="s">
        <v>45</v>
      </c>
      <c r="I813" s="16">
        <f>COUNTIF(G$5:G813,"Y")/COUNTA(G$5:G813)</f>
        <v>0.87268232385661315</v>
      </c>
      <c r="J813" s="16">
        <f>COUNTIF(H$5:H813,"Y")/COUNTA(H$5:H813)</f>
        <v>5.19159456118665E-2</v>
      </c>
      <c r="K813" s="16">
        <f>AVERAGE(F$5:F813)</f>
        <v>2.2030902348578492</v>
      </c>
      <c r="L813" s="16">
        <f>SUM(F$5:F813)/SUM(E$5:E813)</f>
        <v>0.75262868966682095</v>
      </c>
    </row>
    <row r="814" spans="1:13" x14ac:dyDescent="0.25">
      <c r="A814" s="29">
        <v>45757</v>
      </c>
      <c r="B814" s="16" t="s">
        <v>860</v>
      </c>
      <c r="C814" s="34">
        <v>1</v>
      </c>
      <c r="D814" s="16" t="s">
        <v>52</v>
      </c>
      <c r="E814" s="35">
        <v>0.5</v>
      </c>
      <c r="F814" s="35">
        <v>0.5</v>
      </c>
      <c r="G814" s="16" t="s">
        <v>44</v>
      </c>
      <c r="H814" s="16" t="s">
        <v>45</v>
      </c>
      <c r="I814" s="16">
        <f>COUNTIF(G$5:G814,"Y")/COUNTA(G$5:G814)</f>
        <v>0.87283950617283945</v>
      </c>
      <c r="J814" s="16">
        <f>COUNTIF(H$5:H814,"Y")/COUNTA(H$5:H814)</f>
        <v>5.185185185185185E-2</v>
      </c>
      <c r="K814" s="16">
        <f>AVERAGE(F$5:F814)</f>
        <v>2.2009876543209876</v>
      </c>
      <c r="L814" s="16">
        <f>SUM(F$5:F814)/SUM(E$5:E814)</f>
        <v>0.75268090855357539</v>
      </c>
      <c r="M814" s="16">
        <v>13</v>
      </c>
    </row>
    <row r="815" spans="1:13" x14ac:dyDescent="0.25">
      <c r="A815" s="29">
        <v>45761</v>
      </c>
      <c r="B815" s="16" t="s">
        <v>861</v>
      </c>
      <c r="C815" s="34">
        <v>1</v>
      </c>
      <c r="D815" s="16" t="s">
        <v>60</v>
      </c>
      <c r="E815" s="35">
        <v>2.4</v>
      </c>
      <c r="F815" s="35">
        <v>1.7</v>
      </c>
      <c r="G815" s="16" t="s">
        <v>44</v>
      </c>
      <c r="H815" s="16" t="s">
        <v>45</v>
      </c>
      <c r="I815" s="16">
        <f>COUNTIF(G$5:G815,"Y")/COUNTA(G$5:G815)</f>
        <v>0.87299630086313196</v>
      </c>
      <c r="J815" s="16">
        <f>COUNTIF(H$5:H815,"Y")/COUNTA(H$5:H815)</f>
        <v>5.1787916152897656E-2</v>
      </c>
      <c r="K815" s="16">
        <f>AVERAGE(F$5:F815)</f>
        <v>2.2003699136868065</v>
      </c>
      <c r="L815" s="16">
        <f>SUM(F$5:F815)/SUM(E$5:E815)</f>
        <v>0.75263601855757012</v>
      </c>
    </row>
    <row r="816" spans="1:13" x14ac:dyDescent="0.25">
      <c r="A816" s="29">
        <v>45762</v>
      </c>
      <c r="B816" s="16" t="s">
        <v>862</v>
      </c>
      <c r="C816" s="34">
        <v>1</v>
      </c>
      <c r="D816" s="16" t="s">
        <v>43</v>
      </c>
      <c r="E816" s="35">
        <v>2.4</v>
      </c>
      <c r="F816" s="35">
        <v>1.8</v>
      </c>
      <c r="G816" s="16" t="s">
        <v>45</v>
      </c>
      <c r="H816" s="16" t="s">
        <v>45</v>
      </c>
      <c r="I816" s="16">
        <f>COUNTIF(G$5:G816,"Y")/COUNTA(G$5:G816)</f>
        <v>0.8719211822660099</v>
      </c>
      <c r="J816" s="16">
        <f>COUNTIF(H$5:H816,"Y")/COUNTA(H$5:H816)</f>
        <v>5.1724137931034482E-2</v>
      </c>
      <c r="K816" s="16">
        <f>AVERAGE(F$5:F816)</f>
        <v>2.1998768472906405</v>
      </c>
      <c r="L816" s="16">
        <f>SUM(F$5:F816)/SUM(E$5:E816)</f>
        <v>0.75263335299570178</v>
      </c>
    </row>
    <row r="817" spans="1:12" x14ac:dyDescent="0.25">
      <c r="A817" s="29">
        <v>45763</v>
      </c>
      <c r="B817" s="16" t="s">
        <v>863</v>
      </c>
      <c r="C817" s="34">
        <v>1</v>
      </c>
      <c r="D817" s="16" t="s">
        <v>56</v>
      </c>
      <c r="E817" s="35">
        <v>5.2</v>
      </c>
      <c r="F817" s="35">
        <v>3.5</v>
      </c>
      <c r="G817" s="16" t="s">
        <v>44</v>
      </c>
      <c r="H817" s="16" t="s">
        <v>45</v>
      </c>
      <c r="I817" s="16">
        <f>COUNTIF(G$5:G817,"Y")/COUNTA(G$5:G817)</f>
        <v>0.87207872078720783</v>
      </c>
      <c r="J817" s="16">
        <f>COUNTIF(H$5:H817,"Y")/COUNTA(H$5:H817)</f>
        <v>5.1660516605166053E-2</v>
      </c>
      <c r="K817" s="16">
        <f>AVERAGE(F$5:F817)</f>
        <v>2.2014760147601478</v>
      </c>
      <c r="L817" s="16">
        <f>SUM(F$5:F817)/SUM(E$5:E817)</f>
        <v>0.75245942991675718</v>
      </c>
    </row>
    <row r="818" spans="1:12" x14ac:dyDescent="0.25">
      <c r="A818" s="29">
        <v>45764</v>
      </c>
      <c r="B818" s="16" t="s">
        <v>864</v>
      </c>
      <c r="C818" s="34">
        <v>1</v>
      </c>
      <c r="D818" s="16" t="s">
        <v>64</v>
      </c>
      <c r="E818" s="35">
        <v>4.2</v>
      </c>
      <c r="F818" s="35">
        <v>3.2</v>
      </c>
      <c r="G818" s="16" t="s">
        <v>44</v>
      </c>
      <c r="H818" s="16" t="s">
        <v>45</v>
      </c>
      <c r="I818" s="16">
        <f>COUNTIF(G$5:G818,"Y")/COUNTA(G$5:G818)</f>
        <v>0.87223587223587229</v>
      </c>
      <c r="J818" s="16">
        <f>COUNTIF(H$5:H818,"Y")/COUNTA(H$5:H818)</f>
        <v>5.1597051597051594E-2</v>
      </c>
      <c r="K818" s="16">
        <f>AVERAGE(F$5:F818)</f>
        <v>2.2027027027027026</v>
      </c>
      <c r="L818" s="16">
        <f>SUM(F$5:F818)/SUM(E$5:E818)</f>
        <v>0.75247607856303456</v>
      </c>
    </row>
    <row r="819" spans="1:12" x14ac:dyDescent="0.25">
      <c r="A819" s="29">
        <v>45765</v>
      </c>
      <c r="B819" s="16" t="s">
        <v>865</v>
      </c>
      <c r="C819" s="34">
        <v>1</v>
      </c>
      <c r="D819" s="16" t="s">
        <v>43</v>
      </c>
      <c r="E819" s="35">
        <v>5.4</v>
      </c>
      <c r="F819" s="35">
        <v>3.7</v>
      </c>
      <c r="G819" s="16" t="s">
        <v>44</v>
      </c>
      <c r="H819" s="16" t="s">
        <v>45</v>
      </c>
      <c r="I819" s="16">
        <f>COUNTIF(G$5:G819,"Y")/COUNTA(G$5:G819)</f>
        <v>0.87239263803680978</v>
      </c>
      <c r="J819" s="16">
        <f>COUNTIF(H$5:H819,"Y")/COUNTA(H$5:H819)</f>
        <v>5.1533742331288344E-2</v>
      </c>
      <c r="K819" s="16">
        <f>AVERAGE(F$5:F819)</f>
        <v>2.2045398773006135</v>
      </c>
      <c r="L819" s="16">
        <f>SUM(F$5:F819)/SUM(E$5:E819)</f>
        <v>0.75232392596934883</v>
      </c>
    </row>
    <row r="820" spans="1:12" x14ac:dyDescent="0.25">
      <c r="A820" s="29">
        <v>45761</v>
      </c>
      <c r="B820" s="16" t="s">
        <v>866</v>
      </c>
      <c r="C820" s="34">
        <v>1</v>
      </c>
      <c r="D820" s="16" t="s">
        <v>50</v>
      </c>
      <c r="E820" s="35">
        <v>4.5</v>
      </c>
      <c r="F820" s="35">
        <v>3.8</v>
      </c>
      <c r="G820" s="16" t="s">
        <v>44</v>
      </c>
      <c r="H820" s="16" t="s">
        <v>45</v>
      </c>
      <c r="I820" s="16">
        <f>COUNTIF(G$5:G820,"Y")/COUNTA(G$5:G820)</f>
        <v>0.87254901960784315</v>
      </c>
      <c r="J820" s="16">
        <f>COUNTIF(H$5:H820,"Y")/COUNTA(H$5:H820)</f>
        <v>5.1470588235294115E-2</v>
      </c>
      <c r="K820" s="16">
        <f>AVERAGE(F$5:F820)</f>
        <v>2.2064950980392157</v>
      </c>
      <c r="L820" s="16">
        <f>SUM(F$5:F820)/SUM(E$5:E820)</f>
        <v>0.75249717891921208</v>
      </c>
    </row>
    <row r="821" spans="1:12" x14ac:dyDescent="0.25">
      <c r="A821" s="29">
        <v>45762</v>
      </c>
      <c r="B821" s="16" t="s">
        <v>867</v>
      </c>
      <c r="C821" s="34">
        <v>1</v>
      </c>
      <c r="D821" s="16" t="s">
        <v>56</v>
      </c>
      <c r="E821" s="35">
        <v>1.6</v>
      </c>
      <c r="F821" s="35">
        <v>1.4</v>
      </c>
      <c r="G821" s="16" t="s">
        <v>44</v>
      </c>
      <c r="H821" s="16" t="s">
        <v>45</v>
      </c>
      <c r="I821" s="16">
        <f>COUNTIF(G$5:G821,"Y")/COUNTA(G$5:G821)</f>
        <v>0.87270501835985315</v>
      </c>
      <c r="J821" s="16">
        <f>COUNTIF(H$5:H821,"Y")/COUNTA(H$5:H821)</f>
        <v>5.1407588739290085E-2</v>
      </c>
      <c r="K821" s="16">
        <f>AVERAGE(F$5:F821)</f>
        <v>2.2055079559363526</v>
      </c>
      <c r="L821" s="16">
        <f>SUM(F$5:F821)/SUM(E$5:E821)</f>
        <v>0.75257904189115776</v>
      </c>
    </row>
    <row r="822" spans="1:12" x14ac:dyDescent="0.25">
      <c r="A822" s="29">
        <v>45763</v>
      </c>
      <c r="B822" s="16" t="s">
        <v>868</v>
      </c>
      <c r="C822" s="34">
        <v>1</v>
      </c>
      <c r="D822" s="16" t="s">
        <v>47</v>
      </c>
      <c r="E822" s="35">
        <v>2.7</v>
      </c>
      <c r="F822" s="35">
        <v>1.9</v>
      </c>
      <c r="G822" s="16" t="s">
        <v>44</v>
      </c>
      <c r="H822" s="16" t="s">
        <v>45</v>
      </c>
      <c r="I822" s="16">
        <f>COUNTIF(G$5:G822,"Y")/COUNTA(G$5:G822)</f>
        <v>0.87286063569682149</v>
      </c>
      <c r="J822" s="16">
        <f>COUNTIF(H$5:H822,"Y")/COUNTA(H$5:H822)</f>
        <v>5.1344743276283619E-2</v>
      </c>
      <c r="K822" s="16">
        <f>AVERAGE(F$5:F822)</f>
        <v>2.2051344743276284</v>
      </c>
      <c r="L822" s="16">
        <f>SUM(F$5:F822)/SUM(E$5:E822)</f>
        <v>0.75252398831873135</v>
      </c>
    </row>
    <row r="823" spans="1:12" x14ac:dyDescent="0.25">
      <c r="A823" s="29">
        <v>45764</v>
      </c>
      <c r="B823" s="16" t="s">
        <v>869</v>
      </c>
      <c r="C823" s="34">
        <v>1</v>
      </c>
      <c r="D823" s="16" t="s">
        <v>47</v>
      </c>
      <c r="E823" s="35">
        <v>4.0999999999999996</v>
      </c>
      <c r="F823" s="35">
        <v>3.4</v>
      </c>
      <c r="G823" s="16" t="s">
        <v>45</v>
      </c>
      <c r="H823" s="16" t="s">
        <v>45</v>
      </c>
      <c r="I823" s="16">
        <f>COUNTIF(G$5:G823,"Y")/COUNTA(G$5:G823)</f>
        <v>0.87179487179487181</v>
      </c>
      <c r="J823" s="16">
        <f>COUNTIF(H$5:H823,"Y")/COUNTA(H$5:H823)</f>
        <v>5.128205128205128E-2</v>
      </c>
      <c r="K823" s="16">
        <f>AVERAGE(F$5:F823)</f>
        <v>2.2065934065934067</v>
      </c>
      <c r="L823" s="16">
        <f>SUM(F$5:F823)/SUM(E$5:E823)</f>
        <v>0.7526550331098244</v>
      </c>
    </row>
    <row r="824" spans="1:12" x14ac:dyDescent="0.25">
      <c r="A824" s="29">
        <v>45765</v>
      </c>
      <c r="B824" s="16" t="s">
        <v>870</v>
      </c>
      <c r="C824" s="34">
        <v>1</v>
      </c>
      <c r="D824" s="16" t="s">
        <v>64</v>
      </c>
      <c r="E824" s="35">
        <v>4</v>
      </c>
      <c r="F824" s="35">
        <v>3.2</v>
      </c>
      <c r="G824" s="16" t="s">
        <v>45</v>
      </c>
      <c r="H824" s="16" t="s">
        <v>45</v>
      </c>
      <c r="I824" s="16">
        <f>COUNTIF(G$5:G824,"Y")/COUNTA(G$5:G824)</f>
        <v>0.87073170731707317</v>
      </c>
      <c r="J824" s="16">
        <f>COUNTIF(H$5:H824,"Y")/COUNTA(H$5:H824)</f>
        <v>5.1219512195121948E-2</v>
      </c>
      <c r="K824" s="16">
        <f>AVERAGE(F$5:F824)</f>
        <v>2.2078048780487807</v>
      </c>
      <c r="L824" s="16">
        <f>SUM(F$5:F824)/SUM(E$5:E824)</f>
        <v>0.75273377406344821</v>
      </c>
    </row>
    <row r="825" spans="1:12" x14ac:dyDescent="0.25">
      <c r="A825" s="29">
        <v>45761</v>
      </c>
      <c r="B825" s="16" t="s">
        <v>871</v>
      </c>
      <c r="C825" s="34">
        <v>1</v>
      </c>
      <c r="D825" s="16" t="s">
        <v>47</v>
      </c>
      <c r="E825" s="35">
        <v>1.8</v>
      </c>
      <c r="F825" s="35">
        <v>1.4</v>
      </c>
      <c r="G825" s="16" t="s">
        <v>44</v>
      </c>
      <c r="H825" s="16" t="s">
        <v>45</v>
      </c>
      <c r="I825" s="16">
        <f>COUNTIF(G$5:G825,"Y")/COUNTA(G$5:G825)</f>
        <v>0.87088915956151036</v>
      </c>
      <c r="J825" s="16">
        <f>COUNTIF(H$5:H825,"Y")/COUNTA(H$5:H825)</f>
        <v>5.1157125456760051E-2</v>
      </c>
      <c r="K825" s="16">
        <f>AVERAGE(F$5:F825)</f>
        <v>2.206820950060902</v>
      </c>
      <c r="L825" s="16">
        <f>SUM(F$5:F825)/SUM(E$5:E825)</f>
        <v>0.75275250321990916</v>
      </c>
    </row>
    <row r="826" spans="1:12" x14ac:dyDescent="0.25">
      <c r="A826" s="29">
        <v>45762</v>
      </c>
      <c r="B826" s="16" t="s">
        <v>872</v>
      </c>
      <c r="C826" s="34">
        <v>1</v>
      </c>
      <c r="D826" s="16" t="s">
        <v>47</v>
      </c>
      <c r="E826" s="35">
        <v>4.2</v>
      </c>
      <c r="F826" s="35">
        <v>3.4</v>
      </c>
      <c r="G826" s="16" t="s">
        <v>44</v>
      </c>
      <c r="H826" s="16" t="s">
        <v>45</v>
      </c>
      <c r="I826" s="16">
        <f>COUNTIF(G$5:G826,"Y")/COUNTA(G$5:G826)</f>
        <v>0.87104622871046233</v>
      </c>
      <c r="J826" s="16">
        <f>COUNTIF(H$5:H826,"Y")/COUNTA(H$5:H826)</f>
        <v>5.1094890510948905E-2</v>
      </c>
      <c r="K826" s="16">
        <f>AVERAGE(F$5:F826)</f>
        <v>2.2082725060827255</v>
      </c>
      <c r="L826" s="16">
        <f>SUM(F$5:F826)/SUM(E$5:E826)</f>
        <v>0.75285139562855108</v>
      </c>
    </row>
    <row r="827" spans="1:12" x14ac:dyDescent="0.25">
      <c r="A827" s="29">
        <v>45763</v>
      </c>
      <c r="B827" s="16" t="s">
        <v>873</v>
      </c>
      <c r="C827" s="34">
        <v>1</v>
      </c>
      <c r="D827" s="16" t="s">
        <v>52</v>
      </c>
      <c r="E827" s="35">
        <v>4.4000000000000004</v>
      </c>
      <c r="F827" s="35">
        <v>3.5</v>
      </c>
      <c r="G827" s="16" t="s">
        <v>44</v>
      </c>
      <c r="H827" s="16" t="s">
        <v>45</v>
      </c>
      <c r="I827" s="16">
        <f>COUNTIF(G$5:G827,"Y")/COUNTA(G$5:G827)</f>
        <v>0.87120291616038881</v>
      </c>
      <c r="J827" s="16">
        <f>COUNTIF(H$5:H827,"Y")/COUNTA(H$5:H827)</f>
        <v>5.1032806804374241E-2</v>
      </c>
      <c r="K827" s="16">
        <f>AVERAGE(F$5:F827)</f>
        <v>2.2098420413122728</v>
      </c>
      <c r="L827" s="16">
        <f>SUM(F$5:F827)/SUM(E$5:E827)</f>
        <v>0.75292900020699627</v>
      </c>
    </row>
    <row r="828" spans="1:12" x14ac:dyDescent="0.25">
      <c r="A828" s="29">
        <v>45764</v>
      </c>
      <c r="B828" s="16" t="s">
        <v>874</v>
      </c>
      <c r="C828" s="34">
        <v>1</v>
      </c>
      <c r="D828" s="16" t="s">
        <v>60</v>
      </c>
      <c r="E828" s="35">
        <v>2.4</v>
      </c>
      <c r="F828" s="35">
        <v>1.9</v>
      </c>
      <c r="G828" s="16" t="s">
        <v>44</v>
      </c>
      <c r="H828" s="16" t="s">
        <v>44</v>
      </c>
      <c r="I828" s="16">
        <f>COUNTIF(G$5:G828,"Y")/COUNTA(G$5:G828)</f>
        <v>0.87135922330097082</v>
      </c>
      <c r="J828" s="16">
        <f>COUNTIF(H$5:H828,"Y")/COUNTA(H$5:H828)</f>
        <v>5.2184466019417473E-2</v>
      </c>
      <c r="K828" s="16">
        <f>AVERAGE(F$5:F828)</f>
        <v>2.2094660194174764</v>
      </c>
      <c r="L828" s="16">
        <f>SUM(F$5:F828)/SUM(E$5:E828)</f>
        <v>0.75296745109392427</v>
      </c>
    </row>
    <row r="829" spans="1:12" x14ac:dyDescent="0.25">
      <c r="A829" s="29">
        <v>45765</v>
      </c>
      <c r="B829" s="16" t="s">
        <v>875</v>
      </c>
      <c r="C829" s="34">
        <v>1</v>
      </c>
      <c r="D829" s="16" t="s">
        <v>64</v>
      </c>
      <c r="E829" s="35">
        <v>4.8</v>
      </c>
      <c r="F829" s="35">
        <v>3.7</v>
      </c>
      <c r="G829" s="16" t="s">
        <v>44</v>
      </c>
      <c r="H829" s="16" t="s">
        <v>45</v>
      </c>
      <c r="I829" s="16">
        <f>COUNTIF(G$5:G829,"Y")/COUNTA(G$5:G829)</f>
        <v>0.87151515151515146</v>
      </c>
      <c r="J829" s="16">
        <f>COUNTIF(H$5:H829,"Y")/COUNTA(H$5:H829)</f>
        <v>5.2121212121212124E-2</v>
      </c>
      <c r="K829" s="16">
        <f>AVERAGE(F$5:F829)</f>
        <v>2.2112727272727279</v>
      </c>
      <c r="L829" s="16">
        <f>SUM(F$5:F829)/SUM(E$5:E829)</f>
        <v>0.75300284806207929</v>
      </c>
    </row>
    <row r="830" spans="1:12" x14ac:dyDescent="0.25">
      <c r="A830" s="29">
        <v>45761</v>
      </c>
      <c r="B830" s="16" t="s">
        <v>876</v>
      </c>
      <c r="C830" s="34">
        <v>1</v>
      </c>
      <c r="D830" s="16" t="s">
        <v>43</v>
      </c>
      <c r="E830" s="35">
        <v>5</v>
      </c>
      <c r="F830" s="35">
        <v>3.7</v>
      </c>
      <c r="G830" s="16" t="s">
        <v>44</v>
      </c>
      <c r="H830" s="16" t="s">
        <v>45</v>
      </c>
      <c r="I830" s="16">
        <f>COUNTIF(G$5:G830,"Y")/COUNTA(G$5:G830)</f>
        <v>0.87167070217917675</v>
      </c>
      <c r="J830" s="16">
        <f>COUNTIF(H$5:H830,"Y")/COUNTA(H$5:H830)</f>
        <v>5.2058111380145281E-2</v>
      </c>
      <c r="K830" s="16">
        <f>AVERAGE(F$5:F830)</f>
        <v>2.2130750605326885</v>
      </c>
      <c r="L830" s="16">
        <f>SUM(F$5:F830)/SUM(E$5:E830)</f>
        <v>0.75297606788318139</v>
      </c>
    </row>
    <row r="831" spans="1:12" x14ac:dyDescent="0.25">
      <c r="A831" s="29">
        <v>45762</v>
      </c>
      <c r="B831" s="16" t="s">
        <v>877</v>
      </c>
      <c r="C831" s="34">
        <v>1</v>
      </c>
      <c r="D831" s="16" t="s">
        <v>56</v>
      </c>
      <c r="E831" s="35">
        <v>4.5999999999999996</v>
      </c>
      <c r="F831" s="35">
        <v>4</v>
      </c>
      <c r="G831" s="16" t="s">
        <v>44</v>
      </c>
      <c r="H831" s="16" t="s">
        <v>45</v>
      </c>
      <c r="I831" s="16">
        <f>COUNTIF(G$5:G831,"Y")/COUNTA(G$5:G831)</f>
        <v>0.871825876662636</v>
      </c>
      <c r="J831" s="16">
        <f>COUNTIF(H$5:H831,"Y")/COUNTA(H$5:H831)</f>
        <v>5.1995163240628778E-2</v>
      </c>
      <c r="K831" s="16">
        <f>AVERAGE(F$5:F831)</f>
        <v>2.2152357920193477</v>
      </c>
      <c r="L831" s="16">
        <f>SUM(F$5:F831)/SUM(E$5:E831)</f>
        <v>0.75319656292398118</v>
      </c>
    </row>
    <row r="832" spans="1:12" x14ac:dyDescent="0.25">
      <c r="A832" s="29">
        <v>45763</v>
      </c>
      <c r="B832" s="16" t="s">
        <v>878</v>
      </c>
      <c r="C832" s="34">
        <v>1</v>
      </c>
      <c r="D832" s="16" t="s">
        <v>47</v>
      </c>
      <c r="E832" s="35">
        <v>5</v>
      </c>
      <c r="F832" s="35">
        <v>3.8</v>
      </c>
      <c r="G832" s="16" t="s">
        <v>44</v>
      </c>
      <c r="H832" s="16" t="s">
        <v>45</v>
      </c>
      <c r="I832" s="16">
        <f>COUNTIF(G$5:G832,"Y")/COUNTA(G$5:G832)</f>
        <v>0.8719806763285024</v>
      </c>
      <c r="J832" s="16">
        <f>COUNTIF(H$5:H832,"Y")/COUNTA(H$5:H832)</f>
        <v>5.1932367149758456E-2</v>
      </c>
      <c r="K832" s="16">
        <f>AVERAGE(F$5:F832)</f>
        <v>2.2171497584541071</v>
      </c>
      <c r="L832" s="16">
        <f>SUM(F$5:F832)/SUM(E$5:E832)</f>
        <v>0.75321051983752496</v>
      </c>
    </row>
    <row r="833" spans="1:12" x14ac:dyDescent="0.25">
      <c r="A833" s="29">
        <v>45764</v>
      </c>
      <c r="B833" s="16" t="s">
        <v>879</v>
      </c>
      <c r="C833" s="34">
        <v>1</v>
      </c>
      <c r="D833" s="16" t="s">
        <v>52</v>
      </c>
      <c r="E833" s="35">
        <v>4.7</v>
      </c>
      <c r="F833" s="35">
        <v>3.7</v>
      </c>
      <c r="G833" s="16" t="s">
        <v>44</v>
      </c>
      <c r="H833" s="16" t="s">
        <v>45</v>
      </c>
      <c r="I833" s="16">
        <f>COUNTIF(G$5:G833,"Y")/COUNTA(G$5:G833)</f>
        <v>0.8721351025331725</v>
      </c>
      <c r="J833" s="16">
        <f>COUNTIF(H$5:H833,"Y")/COUNTA(H$5:H833)</f>
        <v>5.1869722557297951E-2</v>
      </c>
      <c r="K833" s="16">
        <f>AVERAGE(F$5:F833)</f>
        <v>2.2189384800965026</v>
      </c>
      <c r="L833" s="16">
        <f>SUM(F$5:F833)/SUM(E$5:E833)</f>
        <v>0.75327600327600308</v>
      </c>
    </row>
    <row r="834" spans="1:12" x14ac:dyDescent="0.25">
      <c r="A834" s="29">
        <v>45765</v>
      </c>
      <c r="B834" s="16" t="s">
        <v>880</v>
      </c>
      <c r="C834" s="34">
        <v>1</v>
      </c>
      <c r="D834" s="16" t="s">
        <v>60</v>
      </c>
      <c r="E834" s="35">
        <v>2.2999999999999998</v>
      </c>
      <c r="F834" s="35">
        <v>2</v>
      </c>
      <c r="G834" s="16" t="s">
        <v>45</v>
      </c>
      <c r="H834" s="16" t="s">
        <v>45</v>
      </c>
      <c r="I834" s="16">
        <f>COUNTIF(G$5:G834,"Y")/COUNTA(G$5:G834)</f>
        <v>0.87108433734939761</v>
      </c>
      <c r="J834" s="16">
        <f>COUNTIF(H$5:H834,"Y")/COUNTA(H$5:H834)</f>
        <v>5.1807228915662654E-2</v>
      </c>
      <c r="K834" s="16">
        <f>AVERAGE(F$5:F834)</f>
        <v>2.2186746987951818</v>
      </c>
      <c r="L834" s="16">
        <f>SUM(F$5:F834)/SUM(E$5:E834)</f>
        <v>0.75338542732070513</v>
      </c>
    </row>
    <row r="835" spans="1:12" x14ac:dyDescent="0.25">
      <c r="A835" s="29">
        <v>45761</v>
      </c>
      <c r="B835" s="16" t="s">
        <v>881</v>
      </c>
      <c r="C835" s="34">
        <v>1</v>
      </c>
      <c r="D835" s="16" t="s">
        <v>47</v>
      </c>
      <c r="E835" s="35">
        <v>4.4000000000000004</v>
      </c>
      <c r="F835" s="35">
        <v>3.7</v>
      </c>
      <c r="G835" s="16" t="s">
        <v>44</v>
      </c>
      <c r="H835" s="16" t="s">
        <v>45</v>
      </c>
      <c r="I835" s="16">
        <f>COUNTIF(G$5:G835,"Y")/COUNTA(G$5:G835)</f>
        <v>0.87123947051744888</v>
      </c>
      <c r="J835" s="16">
        <f>COUNTIF(H$5:H835,"Y")/COUNTA(H$5:H835)</f>
        <v>5.1744885679903728E-2</v>
      </c>
      <c r="K835" s="16">
        <f>AVERAGE(F$5:F835)</f>
        <v>2.2204572803850793</v>
      </c>
      <c r="L835" s="16">
        <f>SUM(F$5:F835)/SUM(E$5:E835)</f>
        <v>0.753542696124474</v>
      </c>
    </row>
    <row r="836" spans="1:12" x14ac:dyDescent="0.25">
      <c r="A836" s="29">
        <v>45762</v>
      </c>
      <c r="B836" s="16" t="s">
        <v>882</v>
      </c>
      <c r="C836" s="34">
        <v>1</v>
      </c>
      <c r="D836" s="16" t="s">
        <v>64</v>
      </c>
      <c r="E836" s="35">
        <v>2.2000000000000002</v>
      </c>
      <c r="F836" s="35">
        <v>1.7</v>
      </c>
      <c r="G836" s="16" t="s">
        <v>44</v>
      </c>
      <c r="H836" s="16" t="s">
        <v>45</v>
      </c>
      <c r="I836" s="16">
        <f>COUNTIF(G$5:G836,"Y")/COUNTA(G$5:G836)</f>
        <v>0.87139423076923073</v>
      </c>
      <c r="J836" s="16">
        <f>COUNTIF(H$5:H836,"Y")/COUNTA(H$5:H836)</f>
        <v>5.1682692307692304E-2</v>
      </c>
      <c r="K836" s="16">
        <f>AVERAGE(F$5:F836)</f>
        <v>2.2198317307692319</v>
      </c>
      <c r="L836" s="16">
        <f>SUM(F$5:F836)/SUM(E$5:E836)</f>
        <v>0.75355991676526979</v>
      </c>
    </row>
    <row r="837" spans="1:12" x14ac:dyDescent="0.25">
      <c r="A837" s="29">
        <v>45763</v>
      </c>
      <c r="B837" s="16" t="s">
        <v>883</v>
      </c>
      <c r="C837" s="34">
        <v>1</v>
      </c>
      <c r="D837" s="16" t="s">
        <v>64</v>
      </c>
      <c r="E837" s="35">
        <v>4.3</v>
      </c>
      <c r="F837" s="35">
        <v>2.9</v>
      </c>
      <c r="G837" s="16" t="s">
        <v>44</v>
      </c>
      <c r="H837" s="16" t="s">
        <v>45</v>
      </c>
      <c r="I837" s="16">
        <f>COUNTIF(G$5:G837,"Y")/COUNTA(G$5:G837)</f>
        <v>0.87154861944777906</v>
      </c>
      <c r="J837" s="16">
        <f>COUNTIF(H$5:H837,"Y")/COUNTA(H$5:H837)</f>
        <v>5.1620648259303722E-2</v>
      </c>
      <c r="K837" s="16">
        <f>AVERAGE(F$5:F837)</f>
        <v>2.2206482593037227</v>
      </c>
      <c r="L837" s="16">
        <f>SUM(F$5:F837)/SUM(E$5:E837)</f>
        <v>0.75342130987292266</v>
      </c>
    </row>
    <row r="838" spans="1:12" x14ac:dyDescent="0.25">
      <c r="A838" s="29">
        <v>45764</v>
      </c>
      <c r="B838" s="16" t="s">
        <v>884</v>
      </c>
      <c r="C838" s="34">
        <v>1</v>
      </c>
      <c r="D838" s="16" t="s">
        <v>47</v>
      </c>
      <c r="E838" s="35">
        <v>3.1</v>
      </c>
      <c r="F838" s="35">
        <v>2.5</v>
      </c>
      <c r="G838" s="16" t="s">
        <v>44</v>
      </c>
      <c r="H838" s="16" t="s">
        <v>45</v>
      </c>
      <c r="I838" s="16">
        <f>COUNTIF(G$5:G838,"Y")/COUNTA(G$5:G838)</f>
        <v>0.87170263788968827</v>
      </c>
      <c r="J838" s="16">
        <f>COUNTIF(H$5:H838,"Y")/COUNTA(H$5:H838)</f>
        <v>5.1558752997601917E-2</v>
      </c>
      <c r="K838" s="16">
        <f>AVERAGE(F$5:F838)</f>
        <v>2.2209832134292578</v>
      </c>
      <c r="L838" s="16">
        <f>SUM(F$5:F838)/SUM(E$5:E838)</f>
        <v>0.75348818289061537</v>
      </c>
    </row>
    <row r="839" spans="1:12" x14ac:dyDescent="0.25">
      <c r="A839" s="29">
        <v>45765</v>
      </c>
      <c r="B839" s="16" t="s">
        <v>885</v>
      </c>
      <c r="C839" s="34">
        <v>1</v>
      </c>
      <c r="D839" s="16" t="s">
        <v>50</v>
      </c>
      <c r="E839" s="35">
        <v>4.7</v>
      </c>
      <c r="F839" s="35">
        <v>3.3</v>
      </c>
      <c r="G839" s="16" t="s">
        <v>44</v>
      </c>
      <c r="H839" s="16" t="s">
        <v>45</v>
      </c>
      <c r="I839" s="16">
        <f>COUNTIF(G$5:G839,"Y")/COUNTA(G$5:G839)</f>
        <v>0.87185628742514965</v>
      </c>
      <c r="J839" s="16">
        <f>COUNTIF(H$5:H839,"Y")/COUNTA(H$5:H839)</f>
        <v>5.1497005988023953E-2</v>
      </c>
      <c r="K839" s="16">
        <f>AVERAGE(F$5:F839)</f>
        <v>2.2222754491017973</v>
      </c>
      <c r="L839" s="16">
        <f>SUM(F$5:F839)/SUM(E$5:E839)</f>
        <v>0.75339017458384072</v>
      </c>
    </row>
    <row r="840" spans="1:12" x14ac:dyDescent="0.25">
      <c r="A840" s="29">
        <v>45761</v>
      </c>
      <c r="B840" s="16" t="s">
        <v>886</v>
      </c>
      <c r="C840" s="34">
        <v>1</v>
      </c>
      <c r="D840" s="16" t="s">
        <v>64</v>
      </c>
      <c r="E840" s="35">
        <v>3.6</v>
      </c>
      <c r="F840" s="35">
        <v>2.6</v>
      </c>
      <c r="G840" s="16" t="s">
        <v>44</v>
      </c>
      <c r="H840" s="16" t="s">
        <v>45</v>
      </c>
      <c r="I840" s="16">
        <f>COUNTIF(G$5:G840,"Y")/COUNTA(G$5:G840)</f>
        <v>0.87200956937799046</v>
      </c>
      <c r="J840" s="16">
        <f>COUNTIF(H$5:H840,"Y")/COUNTA(H$5:H840)</f>
        <v>5.1435406698564591E-2</v>
      </c>
      <c r="K840" s="16">
        <f>AVERAGE(F$5:F840)</f>
        <v>2.2227272727272736</v>
      </c>
      <c r="L840" s="16">
        <f>SUM(F$5:F840)/SUM(E$5:E840)</f>
        <v>0.75334468499148621</v>
      </c>
    </row>
    <row r="841" spans="1:12" x14ac:dyDescent="0.25">
      <c r="A841" s="29">
        <v>45762</v>
      </c>
      <c r="B841" s="16" t="s">
        <v>887</v>
      </c>
      <c r="C841" s="34">
        <v>1</v>
      </c>
      <c r="D841" s="16" t="s">
        <v>56</v>
      </c>
      <c r="E841" s="35">
        <v>2.2999999999999998</v>
      </c>
      <c r="F841" s="35">
        <v>1.7</v>
      </c>
      <c r="G841" s="16" t="s">
        <v>44</v>
      </c>
      <c r="H841" s="16" t="s">
        <v>45</v>
      </c>
      <c r="I841" s="16">
        <f>COUNTIF(G$5:G841,"Y")/COUNTA(G$5:G841)</f>
        <v>0.87216248506571092</v>
      </c>
      <c r="J841" s="16">
        <f>COUNTIF(H$5:H841,"Y")/COUNTA(H$5:H841)</f>
        <v>5.1373954599761053E-2</v>
      </c>
      <c r="K841" s="16">
        <f>AVERAGE(F$5:F841)</f>
        <v>2.2221027479092004</v>
      </c>
      <c r="L841" s="16">
        <f>SUM(F$5:F841)/SUM(E$5:E841)</f>
        <v>0.75333144315282097</v>
      </c>
    </row>
    <row r="842" spans="1:12" x14ac:dyDescent="0.25">
      <c r="A842" s="29">
        <v>45763</v>
      </c>
      <c r="B842" s="16" t="s">
        <v>888</v>
      </c>
      <c r="C842" s="34">
        <v>1</v>
      </c>
      <c r="D842" s="16" t="s">
        <v>43</v>
      </c>
      <c r="E842" s="35">
        <v>1.5</v>
      </c>
      <c r="F842" s="35">
        <v>1.2</v>
      </c>
      <c r="G842" s="16" t="s">
        <v>44</v>
      </c>
      <c r="H842" s="16" t="s">
        <v>45</v>
      </c>
      <c r="I842" s="16">
        <f>COUNTIF(G$5:G842,"Y")/COUNTA(G$5:G842)</f>
        <v>0.87231503579952263</v>
      </c>
      <c r="J842" s="16">
        <f>COUNTIF(H$5:H842,"Y")/COUNTA(H$5:H842)</f>
        <v>5.1312649164677801E-2</v>
      </c>
      <c r="K842" s="16">
        <f>AVERAGE(F$5:F842)</f>
        <v>2.2208830548926026</v>
      </c>
      <c r="L842" s="16">
        <f>SUM(F$5:F842)/SUM(E$5:E842)</f>
        <v>0.75335977979274604</v>
      </c>
    </row>
    <row r="843" spans="1:12" x14ac:dyDescent="0.25">
      <c r="A843" s="29">
        <v>45764</v>
      </c>
      <c r="B843" s="16" t="s">
        <v>889</v>
      </c>
      <c r="C843" s="34">
        <v>1</v>
      </c>
      <c r="D843" s="16" t="s">
        <v>50</v>
      </c>
      <c r="E843" s="35">
        <v>4</v>
      </c>
      <c r="F843" s="35">
        <v>3.4</v>
      </c>
      <c r="G843" s="16" t="s">
        <v>44</v>
      </c>
      <c r="H843" s="16" t="s">
        <v>45</v>
      </c>
      <c r="I843" s="16">
        <f>COUNTIF(G$5:G843,"Y")/COUNTA(G$5:G843)</f>
        <v>0.87246722288438616</v>
      </c>
      <c r="J843" s="16">
        <f>COUNTIF(H$5:H843,"Y")/COUNTA(H$5:H843)</f>
        <v>5.1251489868891539E-2</v>
      </c>
      <c r="K843" s="16">
        <f>AVERAGE(F$5:F843)</f>
        <v>2.2222884386174027</v>
      </c>
      <c r="L843" s="16">
        <f>SUM(F$5:F843)/SUM(E$5:E843)</f>
        <v>0.75351600387972839</v>
      </c>
    </row>
    <row r="844" spans="1:12" x14ac:dyDescent="0.25">
      <c r="A844" s="29">
        <v>45765</v>
      </c>
      <c r="B844" s="16" t="s">
        <v>890</v>
      </c>
      <c r="C844" s="34">
        <v>1</v>
      </c>
      <c r="D844" s="16" t="s">
        <v>50</v>
      </c>
      <c r="E844" s="35">
        <v>4.5</v>
      </c>
      <c r="F844" s="35">
        <v>3.4</v>
      </c>
      <c r="G844" s="16" t="s">
        <v>44</v>
      </c>
      <c r="H844" s="16" t="s">
        <v>45</v>
      </c>
      <c r="I844" s="16">
        <f>COUNTIF(G$5:G844,"Y")/COUNTA(G$5:G844)</f>
        <v>0.87261904761904763</v>
      </c>
      <c r="J844" s="16">
        <f>COUNTIF(H$5:H844,"Y")/COUNTA(H$5:H844)</f>
        <v>5.1190476190476189E-2</v>
      </c>
      <c r="K844" s="16">
        <f>AVERAGE(F$5:F844)</f>
        <v>2.2236904761904772</v>
      </c>
      <c r="L844" s="16">
        <f>SUM(F$5:F844)/SUM(E$5:E844)</f>
        <v>0.75351970632135212</v>
      </c>
    </row>
    <row r="845" spans="1:12" x14ac:dyDescent="0.25">
      <c r="A845" s="29">
        <v>45761</v>
      </c>
      <c r="B845" s="16" t="s">
        <v>891</v>
      </c>
      <c r="C845" s="34">
        <v>1</v>
      </c>
      <c r="D845" s="16" t="s">
        <v>43</v>
      </c>
      <c r="E845" s="35">
        <v>3.9</v>
      </c>
      <c r="F845" s="35">
        <v>3.4</v>
      </c>
      <c r="G845" s="16" t="s">
        <v>45</v>
      </c>
      <c r="H845" s="16" t="s">
        <v>45</v>
      </c>
      <c r="I845" s="16">
        <f>COUNTIF(G$5:G845,"Y")/COUNTA(G$5:G845)</f>
        <v>0.8715814506539834</v>
      </c>
      <c r="J845" s="16">
        <f>COUNTIF(H$5:H845,"Y")/COUNTA(H$5:H845)</f>
        <v>5.1129607609988109E-2</v>
      </c>
      <c r="K845" s="16">
        <f>AVERAGE(F$5:F845)</f>
        <v>2.2250891795481582</v>
      </c>
      <c r="L845" s="16">
        <f>SUM(F$5:F845)/SUM(E$5:E845)</f>
        <v>0.75370549379732554</v>
      </c>
    </row>
    <row r="846" spans="1:12" x14ac:dyDescent="0.25">
      <c r="A846" s="29">
        <v>45762</v>
      </c>
      <c r="B846" s="16" t="s">
        <v>892</v>
      </c>
      <c r="C846" s="34">
        <v>1</v>
      </c>
      <c r="D846" s="16" t="s">
        <v>47</v>
      </c>
      <c r="E846" s="35">
        <v>4.0999999999999996</v>
      </c>
      <c r="F846" s="35">
        <v>3</v>
      </c>
      <c r="G846" s="16" t="s">
        <v>44</v>
      </c>
      <c r="H846" s="16" t="s">
        <v>45</v>
      </c>
      <c r="I846" s="16">
        <f>COUNTIF(G$5:G846,"Y")/COUNTA(G$5:G846)</f>
        <v>0.87173396674584325</v>
      </c>
      <c r="J846" s="16">
        <f>COUNTIF(H$5:H846,"Y")/COUNTA(H$5:H846)</f>
        <v>5.1068883610451303E-2</v>
      </c>
      <c r="K846" s="16">
        <f>AVERAGE(F$5:F846)</f>
        <v>2.22600950118765</v>
      </c>
      <c r="L846" s="16">
        <f>SUM(F$5:F846)/SUM(E$5:E846)</f>
        <v>0.75366922674816039</v>
      </c>
    </row>
    <row r="847" spans="1:12" x14ac:dyDescent="0.25">
      <c r="A847" s="29">
        <v>45763</v>
      </c>
      <c r="B847" s="16" t="s">
        <v>893</v>
      </c>
      <c r="C847" s="34">
        <v>1</v>
      </c>
      <c r="D847" s="16" t="s">
        <v>47</v>
      </c>
      <c r="E847" s="35">
        <v>0.9</v>
      </c>
      <c r="F847" s="35">
        <v>0.6</v>
      </c>
      <c r="G847" s="16" t="s">
        <v>44</v>
      </c>
      <c r="H847" s="16" t="s">
        <v>44</v>
      </c>
      <c r="I847" s="16">
        <f>COUNTIF(G$5:G847,"Y")/COUNTA(G$5:G847)</f>
        <v>0.87188612099644125</v>
      </c>
      <c r="J847" s="16">
        <f>COUNTIF(H$5:H847,"Y")/COUNTA(H$5:H847)</f>
        <v>5.2194543297746143E-2</v>
      </c>
      <c r="K847" s="16">
        <f>AVERAGE(F$5:F847)</f>
        <v>2.2240806642941888</v>
      </c>
      <c r="L847" s="16">
        <f>SUM(F$5:F847)/SUM(E$5:E847)</f>
        <v>0.75363775223088669</v>
      </c>
    </row>
    <row r="848" spans="1:12" x14ac:dyDescent="0.25">
      <c r="A848" s="29">
        <v>45764</v>
      </c>
      <c r="B848" s="16" t="s">
        <v>894</v>
      </c>
      <c r="C848" s="34">
        <v>1</v>
      </c>
      <c r="D848" s="16" t="s">
        <v>52</v>
      </c>
      <c r="E848" s="35">
        <v>0.6</v>
      </c>
      <c r="F848" s="35">
        <v>0.5</v>
      </c>
      <c r="G848" s="16" t="s">
        <v>44</v>
      </c>
      <c r="H848" s="16" t="s">
        <v>45</v>
      </c>
      <c r="I848" s="16">
        <f>COUNTIF(G$5:G848,"Y")/COUNTA(G$5:G848)</f>
        <v>0.87203791469194314</v>
      </c>
      <c r="J848" s="16">
        <f>COUNTIF(H$5:H848,"Y")/COUNTA(H$5:H848)</f>
        <v>5.2132701421800945E-2</v>
      </c>
      <c r="K848" s="16">
        <f>AVERAGE(F$5:F848)</f>
        <v>2.2220379146919442</v>
      </c>
      <c r="L848" s="16">
        <f>SUM(F$5:F848)/SUM(E$5:E848)</f>
        <v>0.75365696833306539</v>
      </c>
    </row>
    <row r="849" spans="1:13" x14ac:dyDescent="0.25">
      <c r="A849" s="29">
        <v>45765</v>
      </c>
      <c r="B849" s="16" t="s">
        <v>895</v>
      </c>
      <c r="C849" s="34">
        <v>1</v>
      </c>
      <c r="D849" s="16" t="s">
        <v>56</v>
      </c>
      <c r="E849" s="35">
        <v>0.6</v>
      </c>
      <c r="F849" s="35">
        <v>0.5</v>
      </c>
      <c r="G849" s="16" t="s">
        <v>44</v>
      </c>
      <c r="H849" s="16" t="s">
        <v>45</v>
      </c>
      <c r="I849" s="16">
        <f>COUNTIF(G$5:G849,"Y")/COUNTA(G$5:G849)</f>
        <v>0.87218934911242607</v>
      </c>
      <c r="J849" s="16">
        <f>COUNTIF(H$5:H849,"Y")/COUNTA(H$5:H849)</f>
        <v>5.2071005917159761E-2</v>
      </c>
      <c r="K849" s="16">
        <f>AVERAGE(F$5:F849)</f>
        <v>2.2200000000000011</v>
      </c>
      <c r="L849" s="16">
        <f>SUM(F$5:F849)/SUM(E$5:E849)</f>
        <v>0.75367617517075125</v>
      </c>
    </row>
    <row r="850" spans="1:13" x14ac:dyDescent="0.25">
      <c r="A850" s="29">
        <v>45761</v>
      </c>
      <c r="B850" s="16" t="s">
        <v>896</v>
      </c>
      <c r="C850" s="34">
        <v>1</v>
      </c>
      <c r="D850" s="16" t="s">
        <v>52</v>
      </c>
      <c r="E850" s="35">
        <v>0.6</v>
      </c>
      <c r="F850" s="35">
        <v>0.5</v>
      </c>
      <c r="G850" s="16" t="s">
        <v>44</v>
      </c>
      <c r="H850" s="16" t="s">
        <v>45</v>
      </c>
      <c r="I850" s="16">
        <f>COUNTIF(G$5:G850,"Y")/COUNTA(G$5:G850)</f>
        <v>0.87234042553191493</v>
      </c>
      <c r="J850" s="16">
        <f>COUNTIF(H$5:H850,"Y")/COUNTA(H$5:H850)</f>
        <v>5.2009456264775412E-2</v>
      </c>
      <c r="K850" s="16">
        <f>AVERAGE(F$5:F850)</f>
        <v>2.2179669030732874</v>
      </c>
      <c r="L850" s="16">
        <f>SUM(F$5:F850)/SUM(E$5:E850)</f>
        <v>0.75369537275064269</v>
      </c>
    </row>
    <row r="851" spans="1:13" x14ac:dyDescent="0.25">
      <c r="A851" s="29">
        <v>45762</v>
      </c>
      <c r="B851" s="16" t="s">
        <v>897</v>
      </c>
      <c r="C851" s="34">
        <v>1</v>
      </c>
      <c r="D851" s="16" t="s">
        <v>47</v>
      </c>
      <c r="E851" s="35">
        <v>0.6</v>
      </c>
      <c r="F851" s="35">
        <v>0.5</v>
      </c>
      <c r="G851" s="16" t="s">
        <v>44</v>
      </c>
      <c r="H851" s="16" t="s">
        <v>45</v>
      </c>
      <c r="I851" s="16">
        <f>COUNTIF(G$5:G851,"Y")/COUNTA(G$5:G851)</f>
        <v>0.87249114521841797</v>
      </c>
      <c r="J851" s="16">
        <f>COUNTIF(H$5:H851,"Y")/COUNTA(H$5:H851)</f>
        <v>5.1948051948051951E-2</v>
      </c>
      <c r="K851" s="16">
        <f>AVERAGE(F$5:F851)</f>
        <v>2.2159386068476987</v>
      </c>
      <c r="L851" s="16">
        <f>SUM(F$5:F851)/SUM(E$5:E851)</f>
        <v>0.75371456107943147</v>
      </c>
    </row>
    <row r="852" spans="1:13" x14ac:dyDescent="0.25">
      <c r="A852" s="29">
        <v>45763</v>
      </c>
      <c r="B852" s="16" t="s">
        <v>898</v>
      </c>
      <c r="C852" s="34">
        <v>1</v>
      </c>
      <c r="D852" s="16" t="s">
        <v>52</v>
      </c>
      <c r="E852" s="35">
        <v>0.7</v>
      </c>
      <c r="F852" s="35">
        <v>0.5</v>
      </c>
      <c r="G852" s="16" t="s">
        <v>44</v>
      </c>
      <c r="H852" s="16" t="s">
        <v>45</v>
      </c>
      <c r="I852" s="16">
        <f>COUNTIF(G$5:G852,"Y")/COUNTA(G$5:G852)</f>
        <v>0.87264150943396224</v>
      </c>
      <c r="J852" s="16">
        <f>COUNTIF(H$5:H852,"Y")/COUNTA(H$5:H852)</f>
        <v>5.1886792452830191E-2</v>
      </c>
      <c r="K852" s="16">
        <f>AVERAGE(F$5:F852)</f>
        <v>2.2139150943396237</v>
      </c>
      <c r="L852" s="16">
        <f>SUM(F$5:F852)/SUM(E$5:E852)</f>
        <v>0.75370348066963755</v>
      </c>
    </row>
    <row r="853" spans="1:13" x14ac:dyDescent="0.25">
      <c r="A853" s="29">
        <v>45764</v>
      </c>
      <c r="B853" s="16" t="s">
        <v>899</v>
      </c>
      <c r="C853" s="34">
        <v>1</v>
      </c>
      <c r="D853" s="16" t="s">
        <v>50</v>
      </c>
      <c r="E853" s="35">
        <v>0.7</v>
      </c>
      <c r="F853" s="35">
        <v>0.5</v>
      </c>
      <c r="G853" s="16" t="s">
        <v>44</v>
      </c>
      <c r="H853" s="16" t="s">
        <v>45</v>
      </c>
      <c r="I853" s="16">
        <f>COUNTIF(G$5:G853,"Y")/COUNTA(G$5:G853)</f>
        <v>0.87279151943462896</v>
      </c>
      <c r="J853" s="16">
        <f>COUNTIF(H$5:H853,"Y")/COUNTA(H$5:H853)</f>
        <v>5.1825677267373381E-2</v>
      </c>
      <c r="K853" s="16">
        <f>AVERAGE(F$5:F853)</f>
        <v>2.2118963486454666</v>
      </c>
      <c r="L853" s="16">
        <f>SUM(F$5:F853)/SUM(E$5:E853)</f>
        <v>0.75369240648579239</v>
      </c>
    </row>
    <row r="854" spans="1:13" x14ac:dyDescent="0.25">
      <c r="A854" s="29">
        <v>45765</v>
      </c>
      <c r="B854" s="16" t="s">
        <v>900</v>
      </c>
      <c r="C854" s="34">
        <v>1</v>
      </c>
      <c r="D854" s="16" t="s">
        <v>50</v>
      </c>
      <c r="E854" s="35">
        <v>0.6</v>
      </c>
      <c r="F854" s="35">
        <v>0.5</v>
      </c>
      <c r="G854" s="16" t="s">
        <v>44</v>
      </c>
      <c r="H854" s="16" t="s">
        <v>45</v>
      </c>
      <c r="I854" s="16">
        <f>COUNTIF(G$5:G854,"Y")/COUNTA(G$5:G854)</f>
        <v>0.87294117647058822</v>
      </c>
      <c r="J854" s="16">
        <f>COUNTIF(H$5:H854,"Y")/COUNTA(H$5:H854)</f>
        <v>5.1764705882352942E-2</v>
      </c>
      <c r="K854" s="16">
        <f>AVERAGE(F$5:F854)</f>
        <v>2.2098823529411775</v>
      </c>
      <c r="L854" s="16">
        <f>SUM(F$5:F854)/SUM(E$5:E854)</f>
        <v>0.75371158013000583</v>
      </c>
    </row>
    <row r="855" spans="1:13" x14ac:dyDescent="0.25">
      <c r="A855" s="29">
        <v>45761</v>
      </c>
      <c r="B855" s="16" t="s">
        <v>901</v>
      </c>
      <c r="C855" s="34">
        <v>1</v>
      </c>
      <c r="D855" s="16" t="s">
        <v>52</v>
      </c>
      <c r="E855" s="35">
        <v>0.7</v>
      </c>
      <c r="F855" s="35">
        <v>0.5</v>
      </c>
      <c r="G855" s="16" t="s">
        <v>44</v>
      </c>
      <c r="H855" s="16" t="s">
        <v>45</v>
      </c>
      <c r="I855" s="16">
        <f>COUNTIF(G$5:G855,"Y")/COUNTA(G$5:G855)</f>
        <v>0.87309048178613391</v>
      </c>
      <c r="J855" s="16">
        <f>COUNTIF(H$5:H855,"Y")/COUNTA(H$5:H855)</f>
        <v>5.170387779083431E-2</v>
      </c>
      <c r="K855" s="16">
        <f>AVERAGE(F$5:F855)</f>
        <v>2.2078730904817871</v>
      </c>
      <c r="L855" s="16">
        <f>SUM(F$5:F855)/SUM(E$5:E855)</f>
        <v>0.7537005094468292</v>
      </c>
    </row>
    <row r="856" spans="1:13" x14ac:dyDescent="0.25">
      <c r="A856" s="29">
        <v>45762</v>
      </c>
      <c r="B856" s="16" t="s">
        <v>902</v>
      </c>
      <c r="C856" s="34">
        <v>1</v>
      </c>
      <c r="D856" s="16" t="s">
        <v>64</v>
      </c>
      <c r="E856" s="35">
        <v>3.3</v>
      </c>
      <c r="F856" s="35">
        <v>0.5</v>
      </c>
      <c r="G856" s="16" t="s">
        <v>44</v>
      </c>
      <c r="H856" s="16" t="s">
        <v>45</v>
      </c>
      <c r="I856" s="16">
        <f>COUNTIF(G$5:G856,"Y")/COUNTA(G$5:G856)</f>
        <v>0.87323943661971826</v>
      </c>
      <c r="J856" s="16">
        <f>COUNTIF(H$5:H856,"Y")/COUNTA(H$5:H856)</f>
        <v>5.1643192488262914E-2</v>
      </c>
      <c r="K856" s="16">
        <f>AVERAGE(F$5:F856)</f>
        <v>2.2058685446009401</v>
      </c>
      <c r="L856" s="16">
        <f>SUM(F$5:F856)/SUM(E$5:E856)</f>
        <v>0.75290441471035996</v>
      </c>
      <c r="M856" s="16">
        <v>9</v>
      </c>
    </row>
    <row r="857" spans="1:13" x14ac:dyDescent="0.25">
      <c r="A857" s="29">
        <v>45768</v>
      </c>
      <c r="B857" s="16" t="s">
        <v>903</v>
      </c>
      <c r="C857" s="34">
        <v>1</v>
      </c>
      <c r="D857" s="16" t="s">
        <v>60</v>
      </c>
      <c r="E857" s="35">
        <v>2.8</v>
      </c>
      <c r="F857" s="35">
        <v>2</v>
      </c>
      <c r="G857" s="16" t="s">
        <v>44</v>
      </c>
      <c r="H857" s="16" t="s">
        <v>45</v>
      </c>
      <c r="I857" s="16">
        <f>COUNTIF(G$5:G857,"Y")/COUNTA(G$5:G857)</f>
        <v>0.87338804220398591</v>
      </c>
      <c r="J857" s="16">
        <f>COUNTIF(H$5:H857,"Y")/COUNTA(H$5:H857)</f>
        <v>5.1582649472450177E-2</v>
      </c>
      <c r="K857" s="16">
        <f>AVERAGE(F$5:F857)</f>
        <v>2.2056271981242683</v>
      </c>
      <c r="L857" s="16">
        <f>SUM(F$5:F857)/SUM(E$5:E857)</f>
        <v>0.75286114445778329</v>
      </c>
    </row>
    <row r="858" spans="1:13" x14ac:dyDescent="0.25">
      <c r="A858" s="29">
        <v>45769</v>
      </c>
      <c r="B858" s="16" t="s">
        <v>904</v>
      </c>
      <c r="C858" s="34">
        <v>1</v>
      </c>
      <c r="D858" s="16" t="s">
        <v>64</v>
      </c>
      <c r="E858" s="35">
        <v>2</v>
      </c>
      <c r="F858" s="35">
        <v>1.4</v>
      </c>
      <c r="G858" s="16" t="s">
        <v>44</v>
      </c>
      <c r="H858" s="16" t="s">
        <v>45</v>
      </c>
      <c r="I858" s="16">
        <f>COUNTIF(G$5:G858,"Y")/COUNTA(G$5:G858)</f>
        <v>0.87353629976580793</v>
      </c>
      <c r="J858" s="16">
        <f>COUNTIF(H$5:H858,"Y")/COUNTA(H$5:H858)</f>
        <v>5.1522248243559721E-2</v>
      </c>
      <c r="K858" s="16">
        <f>AVERAGE(F$5:F858)</f>
        <v>2.2046838407494156</v>
      </c>
      <c r="L858" s="16">
        <f>SUM(F$5:F858)/SUM(E$5:E858)</f>
        <v>0.75281887245101975</v>
      </c>
    </row>
    <row r="859" spans="1:13" x14ac:dyDescent="0.25">
      <c r="A859" s="29">
        <v>45770</v>
      </c>
      <c r="B859" s="16" t="s">
        <v>905</v>
      </c>
      <c r="C859" s="34">
        <v>1</v>
      </c>
      <c r="D859" s="16" t="s">
        <v>47</v>
      </c>
      <c r="E859" s="35">
        <v>1.7</v>
      </c>
      <c r="F859" s="35">
        <v>1.2</v>
      </c>
      <c r="G859" s="16" t="s">
        <v>44</v>
      </c>
      <c r="H859" s="16" t="s">
        <v>45</v>
      </c>
      <c r="I859" s="16">
        <f>COUNTIF(G$5:G859,"Y")/COUNTA(G$5:G859)</f>
        <v>0.87368421052631584</v>
      </c>
      <c r="J859" s="16">
        <f>COUNTIF(H$5:H859,"Y")/COUNTA(H$5:H859)</f>
        <v>5.146198830409357E-2</v>
      </c>
      <c r="K859" s="16">
        <f>AVERAGE(F$5:F859)</f>
        <v>2.2035087719298261</v>
      </c>
      <c r="L859" s="16">
        <f>SUM(F$5:F859)/SUM(E$5:E859)</f>
        <v>0.75278699005074545</v>
      </c>
    </row>
    <row r="860" spans="1:13" x14ac:dyDescent="0.25">
      <c r="A860" s="29">
        <v>45771</v>
      </c>
      <c r="B860" s="16" t="s">
        <v>906</v>
      </c>
      <c r="C860" s="34">
        <v>1</v>
      </c>
      <c r="D860" s="16" t="s">
        <v>60</v>
      </c>
      <c r="E860" s="35">
        <v>3.5</v>
      </c>
      <c r="F860" s="35">
        <v>3</v>
      </c>
      <c r="G860" s="16" t="s">
        <v>44</v>
      </c>
      <c r="H860" s="16" t="s">
        <v>45</v>
      </c>
      <c r="I860" s="16">
        <f>COUNTIF(G$5:G860,"Y")/COUNTA(G$5:G860)</f>
        <v>0.87383177570093462</v>
      </c>
      <c r="J860" s="16">
        <f>COUNTIF(H$5:H860,"Y")/COUNTA(H$5:H860)</f>
        <v>5.1401869158878503E-2</v>
      </c>
      <c r="K860" s="16">
        <f>AVERAGE(F$5:F860)</f>
        <v>2.2044392523364498</v>
      </c>
      <c r="L860" s="16">
        <f>SUM(F$5:F860)/SUM(E$5:E860)</f>
        <v>0.75293272683744339</v>
      </c>
    </row>
    <row r="861" spans="1:13" x14ac:dyDescent="0.25">
      <c r="A861" s="29">
        <v>45772</v>
      </c>
      <c r="B861" s="16" t="s">
        <v>907</v>
      </c>
      <c r="C861" s="34">
        <v>1</v>
      </c>
      <c r="D861" s="16" t="s">
        <v>43</v>
      </c>
      <c r="E861" s="35">
        <v>2.7</v>
      </c>
      <c r="F861" s="35">
        <v>2.1</v>
      </c>
      <c r="G861" s="16" t="s">
        <v>44</v>
      </c>
      <c r="H861" s="16" t="s">
        <v>45</v>
      </c>
      <c r="I861" s="16">
        <f>COUNTIF(G$5:G861,"Y")/COUNTA(G$5:G861)</f>
        <v>0.87397899649941657</v>
      </c>
      <c r="J861" s="16">
        <f>COUNTIF(H$5:H861,"Y")/COUNTA(H$5:H861)</f>
        <v>5.1341890315052506E-2</v>
      </c>
      <c r="K861" s="16">
        <f>AVERAGE(F$5:F861)</f>
        <v>2.2043173862310397</v>
      </c>
      <c r="L861" s="16">
        <f>SUM(F$5:F861)/SUM(E$5:E861)</f>
        <v>0.75295946430706706</v>
      </c>
    </row>
    <row r="862" spans="1:13" x14ac:dyDescent="0.25">
      <c r="A862" s="29">
        <v>45768</v>
      </c>
      <c r="B862" s="16" t="s">
        <v>908</v>
      </c>
      <c r="C862" s="34">
        <v>1</v>
      </c>
      <c r="D862" s="16" t="s">
        <v>52</v>
      </c>
      <c r="E862" s="35">
        <v>4.2</v>
      </c>
      <c r="F862" s="35">
        <v>2.9</v>
      </c>
      <c r="G862" s="16" t="s">
        <v>44</v>
      </c>
      <c r="H862" s="16" t="s">
        <v>45</v>
      </c>
      <c r="I862" s="16">
        <f>COUNTIF(G$5:G862,"Y")/COUNTA(G$5:G862)</f>
        <v>0.87412587412587417</v>
      </c>
      <c r="J862" s="16">
        <f>COUNTIF(H$5:H862,"Y")/COUNTA(H$5:H862)</f>
        <v>5.128205128205128E-2</v>
      </c>
      <c r="K862" s="16">
        <f>AVERAGE(F$5:F862)</f>
        <v>2.2051282051282066</v>
      </c>
      <c r="L862" s="16">
        <f>SUM(F$5:F862)/SUM(E$5:E862)</f>
        <v>0.75285503959253541</v>
      </c>
    </row>
    <row r="863" spans="1:13" x14ac:dyDescent="0.25">
      <c r="A863" s="29">
        <v>45769</v>
      </c>
      <c r="B863" s="16" t="s">
        <v>909</v>
      </c>
      <c r="C863" s="34">
        <v>1</v>
      </c>
      <c r="D863" s="16" t="s">
        <v>60</v>
      </c>
      <c r="E863" s="35">
        <v>2</v>
      </c>
      <c r="F863" s="35">
        <v>1.4</v>
      </c>
      <c r="G863" s="16" t="s">
        <v>44</v>
      </c>
      <c r="H863" s="16" t="s">
        <v>45</v>
      </c>
      <c r="I863" s="16">
        <f>COUNTIF(G$5:G863,"Y")/COUNTA(G$5:G863)</f>
        <v>0.8742724097788126</v>
      </c>
      <c r="J863" s="16">
        <f>COUNTIF(H$5:H863,"Y")/COUNTA(H$5:H863)</f>
        <v>5.1222351571594875E-2</v>
      </c>
      <c r="K863" s="16">
        <f>AVERAGE(F$5:F863)</f>
        <v>2.204190919674041</v>
      </c>
      <c r="L863" s="16">
        <f>SUM(F$5:F863)/SUM(E$5:E863)</f>
        <v>0.75281300942308493</v>
      </c>
    </row>
    <row r="864" spans="1:13" x14ac:dyDescent="0.25">
      <c r="A864" s="29">
        <v>45770</v>
      </c>
      <c r="B864" s="16" t="s">
        <v>910</v>
      </c>
      <c r="C864" s="34">
        <v>1</v>
      </c>
      <c r="D864" s="16" t="s">
        <v>43</v>
      </c>
      <c r="E864" s="35">
        <v>2</v>
      </c>
      <c r="F864" s="35">
        <v>1.6</v>
      </c>
      <c r="G864" s="16" t="s">
        <v>44</v>
      </c>
      <c r="H864" s="16" t="s">
        <v>45</v>
      </c>
      <c r="I864" s="16">
        <f>COUNTIF(G$5:G864,"Y")/COUNTA(G$5:G864)</f>
        <v>0.87441860465116283</v>
      </c>
      <c r="J864" s="16">
        <f>COUNTIF(H$5:H864,"Y")/COUNTA(H$5:H864)</f>
        <v>5.1162790697674418E-2</v>
      </c>
      <c r="K864" s="16">
        <f>AVERAGE(F$5:F864)</f>
        <v>2.2034883720930245</v>
      </c>
      <c r="L864" s="16">
        <f>SUM(F$5:F864)/SUM(E$5:E864)</f>
        <v>0.75285050256247299</v>
      </c>
    </row>
    <row r="865" spans="1:12" x14ac:dyDescent="0.25">
      <c r="A865" s="29">
        <v>45771</v>
      </c>
      <c r="B865" s="16" t="s">
        <v>911</v>
      </c>
      <c r="C865" s="34">
        <v>1</v>
      </c>
      <c r="D865" s="16" t="s">
        <v>60</v>
      </c>
      <c r="E865" s="35">
        <v>4.8</v>
      </c>
      <c r="F865" s="35">
        <v>3.9</v>
      </c>
      <c r="G865" s="16" t="s">
        <v>44</v>
      </c>
      <c r="H865" s="16" t="s">
        <v>45</v>
      </c>
      <c r="I865" s="16">
        <f>COUNTIF(G$5:G865,"Y")/COUNTA(G$5:G865)</f>
        <v>0.87456445993031362</v>
      </c>
      <c r="J865" s="16">
        <f>COUNTIF(H$5:H865,"Y")/COUNTA(H$5:H865)</f>
        <v>5.1103368176538912E-2</v>
      </c>
      <c r="K865" s="16">
        <f>AVERAGE(F$5:F865)</f>
        <v>2.2054587688734046</v>
      </c>
      <c r="L865" s="16">
        <f>SUM(F$5:F865)/SUM(E$5:E865)</f>
        <v>0.75296403505293663</v>
      </c>
    </row>
    <row r="866" spans="1:12" x14ac:dyDescent="0.25">
      <c r="A866" s="29">
        <v>45772</v>
      </c>
      <c r="B866" s="16" t="s">
        <v>912</v>
      </c>
      <c r="C866" s="34">
        <v>1</v>
      </c>
      <c r="D866" s="16" t="s">
        <v>52</v>
      </c>
      <c r="E866" s="35">
        <v>3.2</v>
      </c>
      <c r="F866" s="35">
        <v>2.2000000000000002</v>
      </c>
      <c r="G866" s="16" t="s">
        <v>44</v>
      </c>
      <c r="H866" s="16" t="s">
        <v>45</v>
      </c>
      <c r="I866" s="16">
        <f>COUNTIF(G$5:G866,"Y")/COUNTA(G$5:G866)</f>
        <v>0.87470997679814388</v>
      </c>
      <c r="J866" s="16">
        <f>COUNTIF(H$5:H866,"Y")/COUNTA(H$5:H866)</f>
        <v>5.1044083526682132E-2</v>
      </c>
      <c r="K866" s="16">
        <f>AVERAGE(F$5:F866)</f>
        <v>2.2054524361948973</v>
      </c>
      <c r="L866" s="16">
        <f>SUM(F$5:F866)/SUM(E$5:E866)</f>
        <v>0.75288107401687099</v>
      </c>
    </row>
    <row r="867" spans="1:12" x14ac:dyDescent="0.25">
      <c r="A867" s="29">
        <v>45768</v>
      </c>
      <c r="B867" s="16" t="s">
        <v>913</v>
      </c>
      <c r="C867" s="34">
        <v>1</v>
      </c>
      <c r="D867" s="16" t="s">
        <v>56</v>
      </c>
      <c r="E867" s="35">
        <v>4.7</v>
      </c>
      <c r="F867" s="35">
        <v>3.4</v>
      </c>
      <c r="G867" s="16" t="s">
        <v>45</v>
      </c>
      <c r="H867" s="16" t="s">
        <v>45</v>
      </c>
      <c r="I867" s="16">
        <f>COUNTIF(G$5:G867,"Y")/COUNTA(G$5:G867)</f>
        <v>0.8736964078794901</v>
      </c>
      <c r="J867" s="16">
        <f>COUNTIF(H$5:H867,"Y")/COUNTA(H$5:H867)</f>
        <v>5.0984936268829661E-2</v>
      </c>
      <c r="K867" s="16">
        <f>AVERAGE(F$5:F867)</f>
        <v>2.2068366164542308</v>
      </c>
      <c r="L867" s="16">
        <f>SUM(F$5:F867)/SUM(E$5:E867)</f>
        <v>0.7528263103802677</v>
      </c>
    </row>
    <row r="868" spans="1:12" x14ac:dyDescent="0.25">
      <c r="A868" s="29">
        <v>45769</v>
      </c>
      <c r="B868" s="16" t="s">
        <v>914</v>
      </c>
      <c r="C868" s="34">
        <v>1</v>
      </c>
      <c r="D868" s="16" t="s">
        <v>64</v>
      </c>
      <c r="E868" s="35">
        <v>3.9</v>
      </c>
      <c r="F868" s="35">
        <v>3.4</v>
      </c>
      <c r="G868" s="16" t="s">
        <v>45</v>
      </c>
      <c r="H868" s="16" t="s">
        <v>45</v>
      </c>
      <c r="I868" s="16">
        <f>COUNTIF(G$5:G868,"Y")/COUNTA(G$5:G868)</f>
        <v>0.87268518518518523</v>
      </c>
      <c r="J868" s="16">
        <f>COUNTIF(H$5:H868,"Y")/COUNTA(H$5:H868)</f>
        <v>5.0925925925925923E-2</v>
      </c>
      <c r="K868" s="16">
        <f>AVERAGE(F$5:F868)</f>
        <v>2.2082175925925944</v>
      </c>
      <c r="L868" s="16">
        <f>SUM(F$5:F868)/SUM(E$5:E868)</f>
        <v>0.75300943284524657</v>
      </c>
    </row>
    <row r="869" spans="1:12" x14ac:dyDescent="0.25">
      <c r="A869" s="29">
        <v>45770</v>
      </c>
      <c r="B869" s="16" t="s">
        <v>915</v>
      </c>
      <c r="C869" s="34">
        <v>1</v>
      </c>
      <c r="D869" s="16" t="s">
        <v>60</v>
      </c>
      <c r="E869" s="35">
        <v>3.5</v>
      </c>
      <c r="F869" s="35">
        <v>3.1</v>
      </c>
      <c r="G869" s="16" t="s">
        <v>44</v>
      </c>
      <c r="H869" s="16" t="s">
        <v>44</v>
      </c>
      <c r="I869" s="16">
        <f>COUNTIF(G$5:G869,"Y")/COUNTA(G$5:G869)</f>
        <v>0.87283236994219648</v>
      </c>
      <c r="J869" s="16">
        <f>COUNTIF(H$5:H869,"Y")/COUNTA(H$5:H869)</f>
        <v>5.2023121387283239E-2</v>
      </c>
      <c r="K869" s="16">
        <f>AVERAGE(F$5:F869)</f>
        <v>2.2092485549132963</v>
      </c>
      <c r="L869" s="16">
        <f>SUM(F$5:F869)/SUM(E$5:E869)</f>
        <v>0.75319249566451252</v>
      </c>
    </row>
    <row r="870" spans="1:12" x14ac:dyDescent="0.25">
      <c r="A870" s="29">
        <v>45771</v>
      </c>
      <c r="B870" s="16" t="s">
        <v>916</v>
      </c>
      <c r="C870" s="34">
        <v>1</v>
      </c>
      <c r="D870" s="16" t="s">
        <v>56</v>
      </c>
      <c r="E870" s="35">
        <v>4.5</v>
      </c>
      <c r="F870" s="35">
        <v>3.8</v>
      </c>
      <c r="G870" s="16" t="s">
        <v>44</v>
      </c>
      <c r="H870" s="16" t="s">
        <v>45</v>
      </c>
      <c r="I870" s="16">
        <f>COUNTIF(G$5:G870,"Y")/COUNTA(G$5:G870)</f>
        <v>0.87297921478060048</v>
      </c>
      <c r="J870" s="16">
        <f>COUNTIF(H$5:H870,"Y")/COUNTA(H$5:H870)</f>
        <v>5.1963048498845268E-2</v>
      </c>
      <c r="K870" s="16">
        <f>AVERAGE(F$5:F870)</f>
        <v>2.2110854503464217</v>
      </c>
      <c r="L870" s="16">
        <f>SUM(F$5:F870)/SUM(E$5:E870)</f>
        <v>0.7533540543730578</v>
      </c>
    </row>
    <row r="871" spans="1:12" x14ac:dyDescent="0.25">
      <c r="A871" s="29">
        <v>45772</v>
      </c>
      <c r="B871" s="16" t="s">
        <v>917</v>
      </c>
      <c r="C871" s="34">
        <v>1</v>
      </c>
      <c r="D871" s="16" t="s">
        <v>64</v>
      </c>
      <c r="E871" s="35">
        <v>3.1</v>
      </c>
      <c r="F871" s="35">
        <v>2.2999999999999998</v>
      </c>
      <c r="G871" s="16" t="s">
        <v>44</v>
      </c>
      <c r="H871" s="16" t="s">
        <v>45</v>
      </c>
      <c r="I871" s="16">
        <f>COUNTIF(G$5:G871,"Y")/COUNTA(G$5:G871)</f>
        <v>0.87312572087658591</v>
      </c>
      <c r="J871" s="16">
        <f>COUNTIF(H$5:H871,"Y")/COUNTA(H$5:H871)</f>
        <v>5.1903114186851208E-2</v>
      </c>
      <c r="K871" s="16">
        <f>AVERAGE(F$5:F871)</f>
        <v>2.2111880046136116</v>
      </c>
      <c r="L871" s="16">
        <f>SUM(F$5:F871)/SUM(E$5:E871)</f>
        <v>0.75334014460861409</v>
      </c>
    </row>
    <row r="872" spans="1:12" x14ac:dyDescent="0.25">
      <c r="A872" s="29">
        <v>45768</v>
      </c>
      <c r="B872" s="16" t="s">
        <v>918</v>
      </c>
      <c r="C872" s="34">
        <v>1</v>
      </c>
      <c r="D872" s="16" t="s">
        <v>52</v>
      </c>
      <c r="E872" s="35">
        <v>4.7</v>
      </c>
      <c r="F872" s="35">
        <v>3.4</v>
      </c>
      <c r="G872" s="16" t="s">
        <v>44</v>
      </c>
      <c r="H872" s="16" t="s">
        <v>45</v>
      </c>
      <c r="I872" s="16">
        <f>COUNTIF(G$5:G872,"Y")/COUNTA(G$5:G872)</f>
        <v>0.87327188940092171</v>
      </c>
      <c r="J872" s="16">
        <f>COUNTIF(H$5:H872,"Y")/COUNTA(H$5:H872)</f>
        <v>5.1843317972350228E-2</v>
      </c>
      <c r="K872" s="16">
        <f>AVERAGE(F$5:F872)</f>
        <v>2.2125576036866375</v>
      </c>
      <c r="L872" s="16">
        <f>SUM(F$5:F872)/SUM(E$5:E872)</f>
        <v>0.75328495783487015</v>
      </c>
    </row>
    <row r="873" spans="1:12" x14ac:dyDescent="0.25">
      <c r="A873" s="29">
        <v>45769</v>
      </c>
      <c r="B873" s="16" t="s">
        <v>919</v>
      </c>
      <c r="C873" s="34">
        <v>1</v>
      </c>
      <c r="D873" s="16" t="s">
        <v>56</v>
      </c>
      <c r="E873" s="35">
        <v>2</v>
      </c>
      <c r="F873" s="35">
        <v>1.6</v>
      </c>
      <c r="G873" s="16" t="s">
        <v>44</v>
      </c>
      <c r="H873" s="16" t="s">
        <v>45</v>
      </c>
      <c r="I873" s="16">
        <f>COUNTIF(G$5:G873,"Y")/COUNTA(G$5:G873)</f>
        <v>0.87341772151898733</v>
      </c>
      <c r="J873" s="16">
        <f>COUNTIF(H$5:H873,"Y")/COUNTA(H$5:H873)</f>
        <v>5.1783659378596088E-2</v>
      </c>
      <c r="K873" s="16">
        <f>AVERAGE(F$5:F873)</f>
        <v>2.2118527042577689</v>
      </c>
      <c r="L873" s="16">
        <f>SUM(F$5:F873)/SUM(E$5:E873)</f>
        <v>0.75332157554379831</v>
      </c>
    </row>
    <row r="874" spans="1:12" x14ac:dyDescent="0.25">
      <c r="A874" s="29">
        <v>45770</v>
      </c>
      <c r="B874" s="16" t="s">
        <v>920</v>
      </c>
      <c r="C874" s="34">
        <v>1</v>
      </c>
      <c r="D874" s="16" t="s">
        <v>47</v>
      </c>
      <c r="E874" s="35">
        <v>2.4</v>
      </c>
      <c r="F874" s="35">
        <v>2.1</v>
      </c>
      <c r="G874" s="16" t="s">
        <v>44</v>
      </c>
      <c r="H874" s="16" t="s">
        <v>45</v>
      </c>
      <c r="I874" s="16">
        <f>COUNTIF(G$5:G874,"Y")/COUNTA(G$5:G874)</f>
        <v>0.87356321839080464</v>
      </c>
      <c r="J874" s="16">
        <f>COUNTIF(H$5:H874,"Y")/COUNTA(H$5:H874)</f>
        <v>5.1724137931034482E-2</v>
      </c>
      <c r="K874" s="16">
        <f>AVERAGE(F$5:F874)</f>
        <v>2.2117241379310357</v>
      </c>
      <c r="L874" s="16">
        <f>SUM(F$5:F874)/SUM(E$5:E874)</f>
        <v>0.75343592153177541</v>
      </c>
    </row>
    <row r="875" spans="1:12" x14ac:dyDescent="0.25">
      <c r="A875" s="29">
        <v>45771</v>
      </c>
      <c r="B875" s="16" t="s">
        <v>921</v>
      </c>
      <c r="C875" s="34">
        <v>1</v>
      </c>
      <c r="D875" s="16" t="s">
        <v>43</v>
      </c>
      <c r="E875" s="35">
        <v>4.5</v>
      </c>
      <c r="F875" s="35">
        <v>3.1</v>
      </c>
      <c r="G875" s="16" t="s">
        <v>44</v>
      </c>
      <c r="H875" s="16" t="s">
        <v>45</v>
      </c>
      <c r="I875" s="16">
        <f>COUNTIF(G$5:G875,"Y")/COUNTA(G$5:G875)</f>
        <v>0.87370838117106775</v>
      </c>
      <c r="J875" s="16">
        <f>COUNTIF(H$5:H875,"Y")/COUNTA(H$5:H875)</f>
        <v>5.1664753157290473E-2</v>
      </c>
      <c r="K875" s="16">
        <f>AVERAGE(F$5:F875)</f>
        <v>2.2127439724454661</v>
      </c>
      <c r="L875" s="16">
        <f>SUM(F$5:F875)/SUM(E$5:E875)</f>
        <v>0.75332238899312109</v>
      </c>
    </row>
    <row r="876" spans="1:12" x14ac:dyDescent="0.25">
      <c r="A876" s="29">
        <v>45772</v>
      </c>
      <c r="B876" s="16" t="s">
        <v>922</v>
      </c>
      <c r="C876" s="34">
        <v>1</v>
      </c>
      <c r="D876" s="16" t="s">
        <v>64</v>
      </c>
      <c r="E876" s="35">
        <v>4.5999999999999996</v>
      </c>
      <c r="F876" s="35">
        <v>3.9</v>
      </c>
      <c r="G876" s="16" t="s">
        <v>45</v>
      </c>
      <c r="H876" s="16" t="s">
        <v>45</v>
      </c>
      <c r="I876" s="16">
        <f>COUNTIF(G$5:G876,"Y")/COUNTA(G$5:G876)</f>
        <v>0.87270642201834858</v>
      </c>
      <c r="J876" s="16">
        <f>COUNTIF(H$5:H876,"Y")/COUNTA(H$5:H876)</f>
        <v>5.1605504587155966E-2</v>
      </c>
      <c r="K876" s="16">
        <f>AVERAGE(F$5:F876)</f>
        <v>2.2146788990825703</v>
      </c>
      <c r="L876" s="16">
        <f>SUM(F$5:F876)/SUM(E$5:E876)</f>
        <v>0.75349200156067153</v>
      </c>
    </row>
    <row r="877" spans="1:12" x14ac:dyDescent="0.25">
      <c r="A877" s="29">
        <v>45768</v>
      </c>
      <c r="B877" s="16" t="s">
        <v>923</v>
      </c>
      <c r="C877" s="34">
        <v>1</v>
      </c>
      <c r="D877" s="16" t="s">
        <v>60</v>
      </c>
      <c r="E877" s="35">
        <v>4.3</v>
      </c>
      <c r="F877" s="35">
        <v>3.7</v>
      </c>
      <c r="G877" s="16" t="s">
        <v>44</v>
      </c>
      <c r="H877" s="16" t="s">
        <v>45</v>
      </c>
      <c r="I877" s="16">
        <f>COUNTIF(G$5:G877,"Y")/COUNTA(G$5:G877)</f>
        <v>0.87285223367697595</v>
      </c>
      <c r="J877" s="16">
        <f>COUNTIF(H$5:H877,"Y")/COUNTA(H$5:H877)</f>
        <v>5.1546391752577317E-2</v>
      </c>
      <c r="K877" s="16">
        <f>AVERAGE(F$5:F877)</f>
        <v>2.2163802978235982</v>
      </c>
      <c r="L877" s="16">
        <f>SUM(F$5:F877)/SUM(E$5:E877)</f>
        <v>0.75367117204845602</v>
      </c>
    </row>
    <row r="878" spans="1:12" x14ac:dyDescent="0.25">
      <c r="A878" s="29">
        <v>45769</v>
      </c>
      <c r="B878" s="16" t="s">
        <v>924</v>
      </c>
      <c r="C878" s="34">
        <v>1</v>
      </c>
      <c r="D878" s="16" t="s">
        <v>60</v>
      </c>
      <c r="E878" s="35">
        <v>2.6</v>
      </c>
      <c r="F878" s="35">
        <v>2.2999999999999998</v>
      </c>
      <c r="G878" s="16" t="s">
        <v>44</v>
      </c>
      <c r="H878" s="16" t="s">
        <v>45</v>
      </c>
      <c r="I878" s="16">
        <f>COUNTIF(G$5:G878,"Y")/COUNTA(G$5:G878)</f>
        <v>0.87299771167048057</v>
      </c>
      <c r="J878" s="16">
        <f>COUNTIF(H$5:H878,"Y")/COUNTA(H$5:H878)</f>
        <v>5.1487414187643021E-2</v>
      </c>
      <c r="K878" s="16">
        <f>AVERAGE(F$5:F878)</f>
        <v>2.2164759725400471</v>
      </c>
      <c r="L878" s="16">
        <f>SUM(F$5:F878)/SUM(E$5:E878)</f>
        <v>0.75380364994746918</v>
      </c>
    </row>
    <row r="879" spans="1:12" x14ac:dyDescent="0.25">
      <c r="A879" s="29">
        <v>45770</v>
      </c>
      <c r="B879" s="16" t="s">
        <v>925</v>
      </c>
      <c r="C879" s="34">
        <v>1</v>
      </c>
      <c r="D879" s="16" t="s">
        <v>50</v>
      </c>
      <c r="E879" s="35">
        <v>2.2000000000000002</v>
      </c>
      <c r="F879" s="35">
        <v>1.8</v>
      </c>
      <c r="G879" s="16" t="s">
        <v>45</v>
      </c>
      <c r="H879" s="16" t="s">
        <v>45</v>
      </c>
      <c r="I879" s="16">
        <f>COUNTIF(G$5:G879,"Y")/COUNTA(G$5:G879)</f>
        <v>0.872</v>
      </c>
      <c r="J879" s="16">
        <f>COUNTIF(H$5:H879,"Y")/COUNTA(H$5:H879)</f>
        <v>5.1428571428571428E-2</v>
      </c>
      <c r="K879" s="16">
        <f>AVERAGE(F$5:F879)</f>
        <v>2.2160000000000011</v>
      </c>
      <c r="L879" s="16">
        <f>SUM(F$5:F879)/SUM(E$5:E879)</f>
        <v>0.75385871466894805</v>
      </c>
    </row>
    <row r="880" spans="1:12" x14ac:dyDescent="0.25">
      <c r="A880" s="29">
        <v>45771</v>
      </c>
      <c r="B880" s="16" t="s">
        <v>926</v>
      </c>
      <c r="C880" s="34">
        <v>1</v>
      </c>
      <c r="D880" s="16" t="s">
        <v>60</v>
      </c>
      <c r="E880" s="35">
        <v>4.3</v>
      </c>
      <c r="F880" s="35">
        <v>3.1</v>
      </c>
      <c r="G880" s="16" t="s">
        <v>44</v>
      </c>
      <c r="H880" s="16" t="s">
        <v>45</v>
      </c>
      <c r="I880" s="16">
        <f>COUNTIF(G$5:G880,"Y")/COUNTA(G$5:G880)</f>
        <v>0.87214611872146119</v>
      </c>
      <c r="J880" s="16">
        <f>COUNTIF(H$5:H880,"Y")/COUNTA(H$5:H880)</f>
        <v>5.1369863013698627E-2</v>
      </c>
      <c r="K880" s="16">
        <f>AVERAGE(F$5:F880)</f>
        <v>2.2170091324200927</v>
      </c>
      <c r="L880" s="16">
        <f>SUM(F$5:F880)/SUM(E$5:E880)</f>
        <v>0.75380375718056236</v>
      </c>
    </row>
    <row r="881" spans="1:12" x14ac:dyDescent="0.25">
      <c r="A881" s="29">
        <v>45772</v>
      </c>
      <c r="B881" s="16" t="s">
        <v>927</v>
      </c>
      <c r="C881" s="34">
        <v>1</v>
      </c>
      <c r="D881" s="16" t="s">
        <v>43</v>
      </c>
      <c r="E881" s="35">
        <v>4.4000000000000004</v>
      </c>
      <c r="F881" s="35">
        <v>3.3</v>
      </c>
      <c r="G881" s="16" t="s">
        <v>44</v>
      </c>
      <c r="H881" s="16" t="s">
        <v>45</v>
      </c>
      <c r="I881" s="16">
        <f>COUNTIF(G$5:G881,"Y")/COUNTA(G$5:G881)</f>
        <v>0.87229190421892822</v>
      </c>
      <c r="J881" s="16">
        <f>COUNTIF(H$5:H881,"Y")/COUNTA(H$5:H881)</f>
        <v>5.1311288483466361E-2</v>
      </c>
      <c r="K881" s="16">
        <f>AVERAGE(F$5:F881)</f>
        <v>2.2182440136830115</v>
      </c>
      <c r="L881" s="16">
        <f>SUM(F$5:F881)/SUM(E$5:E881)</f>
        <v>0.75379727216367054</v>
      </c>
    </row>
    <row r="882" spans="1:12" x14ac:dyDescent="0.25">
      <c r="A882" s="29">
        <v>45768</v>
      </c>
      <c r="B882" s="16" t="s">
        <v>928</v>
      </c>
      <c r="C882" s="34">
        <v>1</v>
      </c>
      <c r="D882" s="16" t="s">
        <v>43</v>
      </c>
      <c r="E882" s="35">
        <v>4.0999999999999996</v>
      </c>
      <c r="F882" s="35">
        <v>2.7</v>
      </c>
      <c r="G882" s="16" t="s">
        <v>44</v>
      </c>
      <c r="H882" s="16" t="s">
        <v>45</v>
      </c>
      <c r="I882" s="16">
        <f>COUNTIF(G$5:G882,"Y")/COUNTA(G$5:G882)</f>
        <v>0.87243735763097952</v>
      </c>
      <c r="J882" s="16">
        <f>COUNTIF(H$5:H882,"Y")/COUNTA(H$5:H882)</f>
        <v>5.125284738041002E-2</v>
      </c>
      <c r="K882" s="16">
        <f>AVERAGE(F$5:F882)</f>
        <v>2.2187927107061514</v>
      </c>
      <c r="L882" s="16">
        <f>SUM(F$5:F882)/SUM(E$5:E882)</f>
        <v>0.75364617586753879</v>
      </c>
    </row>
    <row r="883" spans="1:12" x14ac:dyDescent="0.25">
      <c r="A883" s="29">
        <v>45769</v>
      </c>
      <c r="B883" s="16" t="s">
        <v>929</v>
      </c>
      <c r="C883" s="34">
        <v>1</v>
      </c>
      <c r="D883" s="16" t="s">
        <v>60</v>
      </c>
      <c r="E883" s="35">
        <v>3.7</v>
      </c>
      <c r="F883" s="35">
        <v>3</v>
      </c>
      <c r="G883" s="16" t="s">
        <v>44</v>
      </c>
      <c r="H883" s="16" t="s">
        <v>45</v>
      </c>
      <c r="I883" s="16">
        <f>COUNTIF(G$5:G883,"Y")/COUNTA(G$5:G883)</f>
        <v>0.87258248009101247</v>
      </c>
      <c r="J883" s="16">
        <f>COUNTIF(H$5:H883,"Y")/COUNTA(H$5:H883)</f>
        <v>5.1194539249146756E-2</v>
      </c>
      <c r="K883" s="16">
        <f>AVERAGE(F$5:F883)</f>
        <v>2.2196814562002287</v>
      </c>
      <c r="L883" s="16">
        <f>SUM(F$5:F883)/SUM(E$5:E883)</f>
        <v>0.75372788379819255</v>
      </c>
    </row>
    <row r="884" spans="1:12" x14ac:dyDescent="0.25">
      <c r="A884" s="29">
        <v>45770</v>
      </c>
      <c r="B884" s="16" t="s">
        <v>930</v>
      </c>
      <c r="C884" s="34">
        <v>1</v>
      </c>
      <c r="D884" s="16" t="s">
        <v>64</v>
      </c>
      <c r="E884" s="35">
        <v>3.6</v>
      </c>
      <c r="F884" s="35">
        <v>2.6</v>
      </c>
      <c r="G884" s="16" t="s">
        <v>44</v>
      </c>
      <c r="H884" s="16" t="s">
        <v>45</v>
      </c>
      <c r="I884" s="16">
        <f>COUNTIF(G$5:G884,"Y")/COUNTA(G$5:G884)</f>
        <v>0.87272727272727268</v>
      </c>
      <c r="J884" s="16">
        <f>COUNTIF(H$5:H884,"Y")/COUNTA(H$5:H884)</f>
        <v>5.113636363636364E-2</v>
      </c>
      <c r="K884" s="16">
        <f>AVERAGE(F$5:F884)</f>
        <v>2.2201136363636373</v>
      </c>
      <c r="L884" s="16">
        <f>SUM(F$5:F884)/SUM(E$5:E884)</f>
        <v>0.75368412931101036</v>
      </c>
    </row>
    <row r="885" spans="1:12" x14ac:dyDescent="0.25">
      <c r="A885" s="29">
        <v>45771</v>
      </c>
      <c r="B885" s="16" t="s">
        <v>931</v>
      </c>
      <c r="C885" s="34">
        <v>1</v>
      </c>
      <c r="D885" s="16" t="s">
        <v>52</v>
      </c>
      <c r="E885" s="35">
        <v>1.9</v>
      </c>
      <c r="F885" s="35">
        <v>1.4</v>
      </c>
      <c r="G885" s="16" t="s">
        <v>44</v>
      </c>
      <c r="H885" s="16" t="s">
        <v>45</v>
      </c>
      <c r="I885" s="16">
        <f>COUNTIF(G$5:G885,"Y")/COUNTA(G$5:G885)</f>
        <v>0.87287173666288309</v>
      </c>
      <c r="J885" s="16">
        <f>COUNTIF(H$5:H885,"Y")/COUNTA(H$5:H885)</f>
        <v>5.1078320090805901E-2</v>
      </c>
      <c r="K885" s="16">
        <f>AVERAGE(F$5:F885)</f>
        <v>2.2191827468785483</v>
      </c>
      <c r="L885" s="16">
        <f>SUM(F$5:F885)/SUM(E$5:E885)</f>
        <v>0.75367179368567172</v>
      </c>
    </row>
    <row r="886" spans="1:12" x14ac:dyDescent="0.25">
      <c r="A886" s="29">
        <v>45772</v>
      </c>
      <c r="B886" s="16" t="s">
        <v>932</v>
      </c>
      <c r="C886" s="34">
        <v>1</v>
      </c>
      <c r="D886" s="16" t="s">
        <v>56</v>
      </c>
      <c r="E886" s="35">
        <v>2.2999999999999998</v>
      </c>
      <c r="F886" s="35">
        <v>1.8</v>
      </c>
      <c r="G886" s="16" t="s">
        <v>44</v>
      </c>
      <c r="H886" s="16" t="s">
        <v>45</v>
      </c>
      <c r="I886" s="16">
        <f>COUNTIF(G$5:G886,"Y")/COUNTA(G$5:G886)</f>
        <v>0.87301587301587302</v>
      </c>
      <c r="J886" s="16">
        <f>COUNTIF(H$5:H886,"Y")/COUNTA(H$5:H886)</f>
        <v>5.1020408163265307E-2</v>
      </c>
      <c r="K886" s="16">
        <f>AVERAGE(F$5:F886)</f>
        <v>2.2187074829931985</v>
      </c>
      <c r="L886" s="16">
        <f>SUM(F$5:F886)/SUM(E$5:E886)</f>
        <v>0.75369742720690225</v>
      </c>
    </row>
    <row r="887" spans="1:12" x14ac:dyDescent="0.25">
      <c r="A887" s="29">
        <v>45768</v>
      </c>
      <c r="B887" s="16" t="s">
        <v>933</v>
      </c>
      <c r="C887" s="34">
        <v>1</v>
      </c>
      <c r="D887" s="16" t="s">
        <v>50</v>
      </c>
      <c r="E887" s="35">
        <v>3.8</v>
      </c>
      <c r="F887" s="35">
        <v>3</v>
      </c>
      <c r="G887" s="16" t="s">
        <v>44</v>
      </c>
      <c r="H887" s="16" t="s">
        <v>45</v>
      </c>
      <c r="I887" s="16">
        <f>COUNTIF(G$5:G887,"Y")/COUNTA(G$5:G887)</f>
        <v>0.8731596828992072</v>
      </c>
      <c r="J887" s="16">
        <f>COUNTIF(H$5:H887,"Y")/COUNTA(H$5:H887)</f>
        <v>5.0962627406568518E-2</v>
      </c>
      <c r="K887" s="16">
        <f>AVERAGE(F$5:F887)</f>
        <v>2.2195922989807486</v>
      </c>
      <c r="L887" s="16">
        <f>SUM(F$5:F887)/SUM(E$5:E887)</f>
        <v>0.75374971156064952</v>
      </c>
    </row>
    <row r="888" spans="1:12" x14ac:dyDescent="0.25">
      <c r="A888" s="29">
        <v>45769</v>
      </c>
      <c r="B888" s="16" t="s">
        <v>934</v>
      </c>
      <c r="C888" s="34">
        <v>1</v>
      </c>
      <c r="D888" s="16" t="s">
        <v>43</v>
      </c>
      <c r="E888" s="35">
        <v>4.7</v>
      </c>
      <c r="F888" s="35">
        <v>3.5</v>
      </c>
      <c r="G888" s="16" t="s">
        <v>44</v>
      </c>
      <c r="H888" s="16" t="s">
        <v>45</v>
      </c>
      <c r="I888" s="16">
        <f>COUNTIF(G$5:G888,"Y")/COUNTA(G$5:G888)</f>
        <v>0.87330316742081449</v>
      </c>
      <c r="J888" s="16">
        <f>COUNTIF(H$5:H888,"Y")/COUNTA(H$5:H888)</f>
        <v>5.090497737556561E-2</v>
      </c>
      <c r="K888" s="16">
        <f>AVERAGE(F$5:F888)</f>
        <v>2.2210407239819014</v>
      </c>
      <c r="L888" s="16">
        <f>SUM(F$5:F888)/SUM(E$5:E888)</f>
        <v>0.75373334868900954</v>
      </c>
    </row>
    <row r="889" spans="1:12" x14ac:dyDescent="0.25">
      <c r="A889" s="29">
        <v>45770</v>
      </c>
      <c r="B889" s="16" t="s">
        <v>935</v>
      </c>
      <c r="C889" s="34">
        <v>1</v>
      </c>
      <c r="D889" s="16" t="s">
        <v>50</v>
      </c>
      <c r="E889" s="35">
        <v>4.4000000000000004</v>
      </c>
      <c r="F889" s="35">
        <v>3.9</v>
      </c>
      <c r="G889" s="16" t="s">
        <v>44</v>
      </c>
      <c r="H889" s="16" t="s">
        <v>45</v>
      </c>
      <c r="I889" s="16">
        <f>COUNTIF(G$5:G889,"Y")/COUNTA(G$5:G889)</f>
        <v>0.87344632768361585</v>
      </c>
      <c r="J889" s="16">
        <f>COUNTIF(H$5:H889,"Y")/COUNTA(H$5:H889)</f>
        <v>5.0847457627118647E-2</v>
      </c>
      <c r="K889" s="16">
        <f>AVERAGE(F$5:F889)</f>
        <v>2.222937853107346</v>
      </c>
      <c r="L889" s="16">
        <f>SUM(F$5:F889)/SUM(E$5:E889)</f>
        <v>0.75395699996167587</v>
      </c>
    </row>
    <row r="890" spans="1:12" x14ac:dyDescent="0.25">
      <c r="A890" s="29">
        <v>45771</v>
      </c>
      <c r="B890" s="16" t="s">
        <v>936</v>
      </c>
      <c r="C890" s="34">
        <v>1</v>
      </c>
      <c r="D890" s="16" t="s">
        <v>50</v>
      </c>
      <c r="E890" s="35">
        <v>0.6</v>
      </c>
      <c r="F890" s="35">
        <v>0.5</v>
      </c>
      <c r="G890" s="16" t="s">
        <v>44</v>
      </c>
      <c r="H890" s="16" t="s">
        <v>45</v>
      </c>
      <c r="I890" s="16">
        <f>COUNTIF(G$5:G890,"Y")/COUNTA(G$5:G890)</f>
        <v>0.87358916478555304</v>
      </c>
      <c r="J890" s="16">
        <f>COUNTIF(H$5:H890,"Y")/COUNTA(H$5:H890)</f>
        <v>5.0790067720090294E-2</v>
      </c>
      <c r="K890" s="16">
        <f>AVERAGE(F$5:F890)</f>
        <v>2.2209932279909719</v>
      </c>
      <c r="L890" s="16">
        <f>SUM(F$5:F890)/SUM(E$5:E890)</f>
        <v>0.75397524809379712</v>
      </c>
    </row>
    <row r="891" spans="1:12" x14ac:dyDescent="0.25">
      <c r="A891" s="29">
        <v>45772</v>
      </c>
      <c r="B891" s="16" t="s">
        <v>937</v>
      </c>
      <c r="C891" s="34">
        <v>1</v>
      </c>
      <c r="D891" s="16" t="s">
        <v>43</v>
      </c>
      <c r="E891" s="35">
        <v>0.7</v>
      </c>
      <c r="F891" s="35">
        <v>0.5</v>
      </c>
      <c r="G891" s="16" t="s">
        <v>44</v>
      </c>
      <c r="H891" s="16" t="s">
        <v>45</v>
      </c>
      <c r="I891" s="16">
        <f>COUNTIF(G$5:G891,"Y")/COUNTA(G$5:G891)</f>
        <v>0.87373167981961664</v>
      </c>
      <c r="J891" s="16">
        <f>COUNTIF(H$5:H891,"Y")/COUNTA(H$5:H891)</f>
        <v>5.0732807215332583E-2</v>
      </c>
      <c r="K891" s="16">
        <f>AVERAGE(F$5:F891)</f>
        <v>2.2190529875986482</v>
      </c>
      <c r="L891" s="16">
        <f>SUM(F$5:F891)/SUM(E$5:E891)</f>
        <v>0.75396460583773894</v>
      </c>
    </row>
    <row r="892" spans="1:12" x14ac:dyDescent="0.25">
      <c r="A892" s="29">
        <v>45768</v>
      </c>
      <c r="B892" s="16" t="s">
        <v>938</v>
      </c>
      <c r="C892" s="34">
        <v>1</v>
      </c>
      <c r="D892" s="16" t="s">
        <v>52</v>
      </c>
      <c r="E892" s="35">
        <v>0.6</v>
      </c>
      <c r="F892" s="35">
        <v>0.5</v>
      </c>
      <c r="G892" s="16" t="s">
        <v>45</v>
      </c>
      <c r="H892" s="16" t="s">
        <v>45</v>
      </c>
      <c r="I892" s="16">
        <f>COUNTIF(G$5:G892,"Y")/COUNTA(G$5:G892)</f>
        <v>0.87274774774774777</v>
      </c>
      <c r="J892" s="16">
        <f>COUNTIF(H$5:H892,"Y")/COUNTA(H$5:H892)</f>
        <v>5.0675675675675678E-2</v>
      </c>
      <c r="K892" s="16">
        <f>AVERAGE(F$5:F892)</f>
        <v>2.2171171171171182</v>
      </c>
      <c r="L892" s="16">
        <f>SUM(F$5:F892)/SUM(E$5:E892)</f>
        <v>0.75398284313725539</v>
      </c>
    </row>
    <row r="893" spans="1:12" x14ac:dyDescent="0.25">
      <c r="A893" s="29">
        <v>45769</v>
      </c>
      <c r="B893" s="16" t="s">
        <v>939</v>
      </c>
      <c r="C893" s="34">
        <v>1</v>
      </c>
      <c r="D893" s="16" t="s">
        <v>56</v>
      </c>
      <c r="E893" s="35">
        <v>0.6</v>
      </c>
      <c r="F893" s="35">
        <v>0.5</v>
      </c>
      <c r="G893" s="16" t="s">
        <v>44</v>
      </c>
      <c r="H893" s="16" t="s">
        <v>45</v>
      </c>
      <c r="I893" s="16">
        <f>COUNTIF(G$5:G893,"Y")/COUNTA(G$5:G893)</f>
        <v>0.87289088863892017</v>
      </c>
      <c r="J893" s="16">
        <f>COUNTIF(H$5:H893,"Y")/COUNTA(H$5:H893)</f>
        <v>5.0618672665916763E-2</v>
      </c>
      <c r="K893" s="16">
        <f>AVERAGE(F$5:F893)</f>
        <v>2.2151856017997762</v>
      </c>
      <c r="L893" s="16">
        <f>SUM(F$5:F893)/SUM(E$5:E893)</f>
        <v>0.75400107205758526</v>
      </c>
    </row>
    <row r="894" spans="1:12" x14ac:dyDescent="0.25">
      <c r="A894" s="29">
        <v>45770</v>
      </c>
      <c r="B894" s="16" t="s">
        <v>940</v>
      </c>
      <c r="C894" s="34">
        <v>1</v>
      </c>
      <c r="D894" s="16" t="s">
        <v>56</v>
      </c>
      <c r="E894" s="35">
        <v>0.6</v>
      </c>
      <c r="F894" s="35">
        <v>0.5</v>
      </c>
      <c r="G894" s="16" t="s">
        <v>44</v>
      </c>
      <c r="H894" s="16" t="s">
        <v>45</v>
      </c>
      <c r="I894" s="16">
        <f>COUNTIF(G$5:G894,"Y")/COUNTA(G$5:G894)</f>
        <v>0.87303370786516854</v>
      </c>
      <c r="J894" s="16">
        <f>COUNTIF(H$5:H894,"Y")/COUNTA(H$5:H894)</f>
        <v>5.0561797752808987E-2</v>
      </c>
      <c r="K894" s="16">
        <f>AVERAGE(F$5:F894)</f>
        <v>2.2132584269662932</v>
      </c>
      <c r="L894" s="16">
        <f>SUM(F$5:F894)/SUM(E$5:E894)</f>
        <v>0.75401929260450218</v>
      </c>
    </row>
    <row r="895" spans="1:12" x14ac:dyDescent="0.25">
      <c r="A895" s="29">
        <v>45771</v>
      </c>
      <c r="B895" s="16" t="s">
        <v>941</v>
      </c>
      <c r="C895" s="34">
        <v>1</v>
      </c>
      <c r="D895" s="16" t="s">
        <v>43</v>
      </c>
      <c r="E895" s="35">
        <v>0.7</v>
      </c>
      <c r="F895" s="35">
        <v>0.5</v>
      </c>
      <c r="G895" s="16" t="s">
        <v>45</v>
      </c>
      <c r="H895" s="16" t="s">
        <v>45</v>
      </c>
      <c r="I895" s="16">
        <f>COUNTIF(G$5:G895,"Y")/COUNTA(G$5:G895)</f>
        <v>0.87205387205387208</v>
      </c>
      <c r="J895" s="16">
        <f>COUNTIF(H$5:H895,"Y")/COUNTA(H$5:H895)</f>
        <v>5.0505050505050504E-2</v>
      </c>
      <c r="K895" s="16">
        <f>AVERAGE(F$5:F895)</f>
        <v>2.2113355780022457</v>
      </c>
      <c r="L895" s="16">
        <f>SUM(F$5:F895)/SUM(E$5:E895)</f>
        <v>0.75400864873139239</v>
      </c>
    </row>
    <row r="896" spans="1:12" x14ac:dyDescent="0.25">
      <c r="A896" s="29">
        <v>45772</v>
      </c>
      <c r="B896" s="16" t="s">
        <v>942</v>
      </c>
      <c r="C896" s="34">
        <v>1</v>
      </c>
      <c r="D896" s="16" t="s">
        <v>60</v>
      </c>
      <c r="E896" s="35">
        <v>0.6</v>
      </c>
      <c r="F896" s="35">
        <v>0.5</v>
      </c>
      <c r="G896" s="16" t="s">
        <v>44</v>
      </c>
      <c r="H896" s="16" t="s">
        <v>45</v>
      </c>
      <c r="I896" s="16">
        <f>COUNTIF(G$5:G896,"Y")/COUNTA(G$5:G896)</f>
        <v>0.87219730941704032</v>
      </c>
      <c r="J896" s="16">
        <f>COUNTIF(H$5:H896,"Y")/COUNTA(H$5:H896)</f>
        <v>5.0448430493273543E-2</v>
      </c>
      <c r="K896" s="16">
        <f>AVERAGE(F$5:F896)</f>
        <v>2.2094170403587454</v>
      </c>
      <c r="L896" s="16">
        <f>SUM(F$5:F896)/SUM(E$5:E896)</f>
        <v>0.75402685847648987</v>
      </c>
    </row>
    <row r="897" spans="1:13" x14ac:dyDescent="0.25">
      <c r="A897" s="29">
        <v>45768</v>
      </c>
      <c r="B897" s="16" t="s">
        <v>943</v>
      </c>
      <c r="C897" s="34">
        <v>1</v>
      </c>
      <c r="D897" s="16" t="s">
        <v>64</v>
      </c>
      <c r="E897" s="35">
        <v>0.7</v>
      </c>
      <c r="F897" s="35">
        <v>0.5</v>
      </c>
      <c r="G897" s="16" t="s">
        <v>44</v>
      </c>
      <c r="H897" s="16" t="s">
        <v>45</v>
      </c>
      <c r="I897" s="16">
        <f>COUNTIF(G$5:G897,"Y")/COUNTA(G$5:G897)</f>
        <v>0.87234042553191493</v>
      </c>
      <c r="J897" s="16">
        <f>COUNTIF(H$5:H897,"Y")/COUNTA(H$5:H897)</f>
        <v>5.0391937290033592E-2</v>
      </c>
      <c r="K897" s="16">
        <f>AVERAGE(F$5:F897)</f>
        <v>2.2075027995520728</v>
      </c>
      <c r="L897" s="16">
        <f>SUM(F$5:F897)/SUM(E$5:E897)</f>
        <v>0.75401621787025774</v>
      </c>
    </row>
    <row r="898" spans="1:13" x14ac:dyDescent="0.25">
      <c r="A898" s="29">
        <v>45769</v>
      </c>
      <c r="B898" s="16" t="s">
        <v>944</v>
      </c>
      <c r="C898" s="34">
        <v>1</v>
      </c>
      <c r="D898" s="16" t="s">
        <v>64</v>
      </c>
      <c r="E898" s="35">
        <v>3.1</v>
      </c>
      <c r="F898" s="35">
        <v>0.5</v>
      </c>
      <c r="G898" s="16" t="s">
        <v>44</v>
      </c>
      <c r="H898" s="16" t="s">
        <v>44</v>
      </c>
      <c r="I898" s="16">
        <f>COUNTIF(G$5:G898,"Y")/COUNTA(G$5:G898)</f>
        <v>0.87248322147651003</v>
      </c>
      <c r="J898" s="16">
        <f>COUNTIF(H$5:H898,"Y")/COUNTA(H$5:H898)</f>
        <v>5.145413870246085E-2</v>
      </c>
      <c r="K898" s="16">
        <f>AVERAGE(F$5:F898)</f>
        <v>2.2055928411633121</v>
      </c>
      <c r="L898" s="16">
        <f>SUM(F$5:F898)/SUM(E$5:E898)</f>
        <v>0.75331423113658136</v>
      </c>
      <c r="M898" s="16">
        <v>14</v>
      </c>
    </row>
    <row r="899" spans="1:13" x14ac:dyDescent="0.25">
      <c r="A899" s="29">
        <v>45775</v>
      </c>
      <c r="B899" s="16" t="s">
        <v>945</v>
      </c>
      <c r="C899" s="34">
        <v>1</v>
      </c>
      <c r="D899" s="16" t="s">
        <v>47</v>
      </c>
      <c r="E899" s="35">
        <v>3.8</v>
      </c>
      <c r="F899" s="35">
        <v>2.7</v>
      </c>
      <c r="G899" s="16" t="s">
        <v>44</v>
      </c>
      <c r="H899" s="16" t="s">
        <v>45</v>
      </c>
      <c r="I899" s="16">
        <f>COUNTIF(G$5:G899,"Y")/COUNTA(G$5:G899)</f>
        <v>0.87262569832402237</v>
      </c>
      <c r="J899" s="16">
        <f>COUNTIF(H$5:H899,"Y")/COUNTA(H$5:H899)</f>
        <v>5.1396648044692739E-2</v>
      </c>
      <c r="K899" s="16">
        <f>AVERAGE(F$5:F899)</f>
        <v>2.2061452513966495</v>
      </c>
      <c r="L899" s="16">
        <f>SUM(F$5:F899)/SUM(E$5:E899)</f>
        <v>0.75325220310533003</v>
      </c>
    </row>
    <row r="900" spans="1:13" x14ac:dyDescent="0.25">
      <c r="A900" s="29">
        <v>45776</v>
      </c>
      <c r="B900" s="16" t="s">
        <v>946</v>
      </c>
      <c r="C900" s="34">
        <v>1</v>
      </c>
      <c r="D900" s="16" t="s">
        <v>56</v>
      </c>
      <c r="E900" s="35">
        <v>3.4</v>
      </c>
      <c r="F900" s="35">
        <v>2.8</v>
      </c>
      <c r="G900" s="16" t="s">
        <v>44</v>
      </c>
      <c r="H900" s="16" t="s">
        <v>45</v>
      </c>
      <c r="I900" s="16">
        <f>COUNTIF(G$5:G900,"Y")/COUNTA(G$5:G900)</f>
        <v>0.8727678571428571</v>
      </c>
      <c r="J900" s="16">
        <f>COUNTIF(H$5:H900,"Y")/COUNTA(H$5:H900)</f>
        <v>5.1339285714285712E-2</v>
      </c>
      <c r="K900" s="16">
        <f>AVERAGE(F$5:F900)</f>
        <v>2.2068080357142867</v>
      </c>
      <c r="L900" s="16">
        <f>SUM(F$5:F900)/SUM(E$5:E900)</f>
        <v>0.75334323922734081</v>
      </c>
    </row>
    <row r="901" spans="1:13" x14ac:dyDescent="0.25">
      <c r="A901" s="29">
        <v>45777</v>
      </c>
      <c r="B901" s="16" t="s">
        <v>947</v>
      </c>
      <c r="C901" s="34">
        <v>1</v>
      </c>
      <c r="D901" s="16" t="s">
        <v>52</v>
      </c>
      <c r="E901" s="35">
        <v>4.4000000000000004</v>
      </c>
      <c r="F901" s="35">
        <v>3.4</v>
      </c>
      <c r="G901" s="16" t="s">
        <v>44</v>
      </c>
      <c r="H901" s="16" t="s">
        <v>45</v>
      </c>
      <c r="I901" s="16">
        <f>COUNTIF(G$5:G901,"Y")/COUNTA(G$5:G901)</f>
        <v>0.87290969899665549</v>
      </c>
      <c r="J901" s="16">
        <f>COUNTIF(H$5:H901,"Y")/COUNTA(H$5:H901)</f>
        <v>5.128205128205128E-2</v>
      </c>
      <c r="K901" s="16">
        <f>AVERAGE(F$5:F901)</f>
        <v>2.2081382385730226</v>
      </c>
      <c r="L901" s="16">
        <f>SUM(F$5:F901)/SUM(E$5:E901)</f>
        <v>0.75337567989045739</v>
      </c>
    </row>
    <row r="902" spans="1:13" x14ac:dyDescent="0.25">
      <c r="A902" s="29">
        <v>45778</v>
      </c>
      <c r="B902" s="16" t="s">
        <v>948</v>
      </c>
      <c r="C902" s="34">
        <v>1</v>
      </c>
      <c r="D902" s="16" t="s">
        <v>60</v>
      </c>
      <c r="E902" s="35">
        <v>2.1</v>
      </c>
      <c r="F902" s="35">
        <v>1.8</v>
      </c>
      <c r="G902" s="16" t="s">
        <v>45</v>
      </c>
      <c r="H902" s="16" t="s">
        <v>45</v>
      </c>
      <c r="I902" s="16">
        <f>COUNTIF(G$5:G902,"Y")/COUNTA(G$5:G902)</f>
        <v>0.87193763919821832</v>
      </c>
      <c r="J902" s="16">
        <f>COUNTIF(H$5:H902,"Y")/COUNTA(H$5:H902)</f>
        <v>5.1224944320712694E-2</v>
      </c>
      <c r="K902" s="16">
        <f>AVERAGE(F$5:F902)</f>
        <v>2.2076837416481081</v>
      </c>
      <c r="L902" s="16">
        <f>SUM(F$5:F902)/SUM(E$5:E902)</f>
        <v>0.75345849802371601</v>
      </c>
    </row>
    <row r="903" spans="1:13" x14ac:dyDescent="0.25">
      <c r="A903" s="29">
        <v>45779</v>
      </c>
      <c r="B903" s="16" t="s">
        <v>949</v>
      </c>
      <c r="C903" s="34">
        <v>1</v>
      </c>
      <c r="D903" s="16" t="s">
        <v>60</v>
      </c>
      <c r="E903" s="35">
        <v>4.5</v>
      </c>
      <c r="F903" s="35">
        <v>3.3</v>
      </c>
      <c r="G903" s="16" t="s">
        <v>44</v>
      </c>
      <c r="H903" s="16" t="s">
        <v>45</v>
      </c>
      <c r="I903" s="16">
        <f>COUNTIF(G$5:G903,"Y")/COUNTA(G$5:G903)</f>
        <v>0.87208008898776423</v>
      </c>
      <c r="J903" s="16">
        <f>COUNTIF(H$5:H903,"Y")/COUNTA(H$5:H903)</f>
        <v>5.116796440489433E-2</v>
      </c>
      <c r="K903" s="16">
        <f>AVERAGE(F$5:F903)</f>
        <v>2.2088987764182435</v>
      </c>
      <c r="L903" s="16">
        <f>SUM(F$5:F903)/SUM(E$5:E903)</f>
        <v>0.75342413780020545</v>
      </c>
    </row>
    <row r="904" spans="1:13" x14ac:dyDescent="0.25">
      <c r="A904" s="29">
        <v>45775</v>
      </c>
      <c r="B904" s="16" t="s">
        <v>950</v>
      </c>
      <c r="C904" s="34">
        <v>1</v>
      </c>
      <c r="D904" s="16" t="s">
        <v>47</v>
      </c>
      <c r="E904" s="35">
        <v>4.4000000000000004</v>
      </c>
      <c r="F904" s="35">
        <v>3.9</v>
      </c>
      <c r="G904" s="16" t="s">
        <v>44</v>
      </c>
      <c r="H904" s="16" t="s">
        <v>45</v>
      </c>
      <c r="I904" s="16">
        <f>COUNTIF(G$5:G904,"Y")/COUNTA(G$5:G904)</f>
        <v>0.87222222222222223</v>
      </c>
      <c r="J904" s="16">
        <f>COUNTIF(H$5:H904,"Y")/COUNTA(H$5:H904)</f>
        <v>5.1111111111111114E-2</v>
      </c>
      <c r="K904" s="16">
        <f>AVERAGE(F$5:F904)</f>
        <v>2.2107777777777793</v>
      </c>
      <c r="L904" s="16">
        <f>SUM(F$5:F904)/SUM(E$5:E904)</f>
        <v>0.7536456952388173</v>
      </c>
    </row>
    <row r="905" spans="1:13" x14ac:dyDescent="0.25">
      <c r="A905" s="29">
        <v>45776</v>
      </c>
      <c r="B905" s="16" t="s">
        <v>951</v>
      </c>
      <c r="C905" s="34">
        <v>1</v>
      </c>
      <c r="D905" s="16" t="s">
        <v>64</v>
      </c>
      <c r="E905" s="35">
        <v>4.8</v>
      </c>
      <c r="F905" s="35">
        <v>3.3</v>
      </c>
      <c r="G905" s="16" t="s">
        <v>44</v>
      </c>
      <c r="H905" s="16" t="s">
        <v>45</v>
      </c>
      <c r="I905" s="16">
        <f>COUNTIF(G$5:G905,"Y")/COUNTA(G$5:G905)</f>
        <v>0.87236403995560485</v>
      </c>
      <c r="J905" s="16">
        <f>COUNTIF(H$5:H905,"Y")/COUNTA(H$5:H905)</f>
        <v>5.1054384017758046E-2</v>
      </c>
      <c r="K905" s="16">
        <f>AVERAGE(F$5:F905)</f>
        <v>2.21198668146504</v>
      </c>
      <c r="L905" s="16">
        <f>SUM(F$5:F905)/SUM(E$5:E905)</f>
        <v>0.75352565314378672</v>
      </c>
    </row>
    <row r="906" spans="1:13" x14ac:dyDescent="0.25">
      <c r="A906" s="29">
        <v>45777</v>
      </c>
      <c r="B906" s="16" t="s">
        <v>952</v>
      </c>
      <c r="C906" s="34">
        <v>1</v>
      </c>
      <c r="D906" s="16" t="s">
        <v>47</v>
      </c>
      <c r="E906" s="35">
        <v>2.2000000000000002</v>
      </c>
      <c r="F906" s="35">
        <v>1.7</v>
      </c>
      <c r="G906" s="16" t="s">
        <v>44</v>
      </c>
      <c r="H906" s="16" t="s">
        <v>45</v>
      </c>
      <c r="I906" s="16">
        <f>COUNTIF(G$5:G906,"Y")/COUNTA(G$5:G906)</f>
        <v>0.8725055432372506</v>
      </c>
      <c r="J906" s="16">
        <f>COUNTIF(H$5:H906,"Y")/COUNTA(H$5:H906)</f>
        <v>5.0997782705099776E-2</v>
      </c>
      <c r="K906" s="16">
        <f>AVERAGE(F$5:F906)</f>
        <v>2.2114190687361432</v>
      </c>
      <c r="L906" s="16">
        <f>SUM(F$5:F906)/SUM(E$5:E906)</f>
        <v>0.75354161157493171</v>
      </c>
    </row>
    <row r="907" spans="1:13" x14ac:dyDescent="0.25">
      <c r="A907" s="29">
        <v>45778</v>
      </c>
      <c r="B907" s="16" t="s">
        <v>953</v>
      </c>
      <c r="C907" s="34">
        <v>1</v>
      </c>
      <c r="D907" s="16" t="s">
        <v>56</v>
      </c>
      <c r="E907" s="35">
        <v>4.2</v>
      </c>
      <c r="F907" s="35">
        <v>3.1</v>
      </c>
      <c r="G907" s="16" t="s">
        <v>44</v>
      </c>
      <c r="H907" s="16" t="s">
        <v>45</v>
      </c>
      <c r="I907" s="16">
        <f>COUNTIF(G$5:G907,"Y")/COUNTA(G$5:G907)</f>
        <v>0.87264673311184937</v>
      </c>
      <c r="J907" s="16">
        <f>COUNTIF(H$5:H907,"Y")/COUNTA(H$5:H907)</f>
        <v>5.0941306755260242E-2</v>
      </c>
      <c r="K907" s="16">
        <f>AVERAGE(F$5:F907)</f>
        <v>2.212403100775195</v>
      </c>
      <c r="L907" s="16">
        <f>SUM(F$5:F907)/SUM(E$5:E907)</f>
        <v>0.75351714253385194</v>
      </c>
    </row>
    <row r="908" spans="1:13" x14ac:dyDescent="0.25">
      <c r="A908" s="29">
        <v>45779</v>
      </c>
      <c r="B908" s="16" t="s">
        <v>954</v>
      </c>
      <c r="C908" s="34">
        <v>1</v>
      </c>
      <c r="D908" s="16" t="s">
        <v>64</v>
      </c>
      <c r="E908" s="35">
        <v>4.4000000000000004</v>
      </c>
      <c r="F908" s="35">
        <v>3.4</v>
      </c>
      <c r="G908" s="16" t="s">
        <v>44</v>
      </c>
      <c r="H908" s="16" t="s">
        <v>45</v>
      </c>
      <c r="I908" s="16">
        <f>COUNTIF(G$5:G908,"Y")/COUNTA(G$5:G908)</f>
        <v>0.87278761061946908</v>
      </c>
      <c r="J908" s="16">
        <f>COUNTIF(H$5:H908,"Y")/COUNTA(H$5:H908)</f>
        <v>5.0884955752212392E-2</v>
      </c>
      <c r="K908" s="16">
        <f>AVERAGE(F$5:F908)</f>
        <v>2.2137168141592936</v>
      </c>
      <c r="L908" s="16">
        <f>SUM(F$5:F908)/SUM(E$5:E908)</f>
        <v>0.75354897013970012</v>
      </c>
    </row>
    <row r="909" spans="1:13" x14ac:dyDescent="0.25">
      <c r="A909" s="29">
        <v>45775</v>
      </c>
      <c r="B909" s="16" t="s">
        <v>955</v>
      </c>
      <c r="C909" s="34">
        <v>1</v>
      </c>
      <c r="D909" s="16" t="s">
        <v>64</v>
      </c>
      <c r="E909" s="35">
        <v>4.2</v>
      </c>
      <c r="F909" s="35">
        <v>2.9</v>
      </c>
      <c r="G909" s="16" t="s">
        <v>44</v>
      </c>
      <c r="H909" s="16" t="s">
        <v>45</v>
      </c>
      <c r="I909" s="16">
        <f>COUNTIF(G$5:G909,"Y")/COUNTA(G$5:G909)</f>
        <v>0.8729281767955801</v>
      </c>
      <c r="J909" s="16">
        <f>COUNTIF(H$5:H909,"Y")/COUNTA(H$5:H909)</f>
        <v>5.0828729281767959E-2</v>
      </c>
      <c r="K909" s="16">
        <f>AVERAGE(F$5:F909)</f>
        <v>2.2144751381215482</v>
      </c>
      <c r="L909" s="16">
        <f>SUM(F$5:F909)/SUM(E$5:E909)</f>
        <v>0.7534493777961585</v>
      </c>
    </row>
    <row r="910" spans="1:13" x14ac:dyDescent="0.25">
      <c r="A910" s="29">
        <v>45776</v>
      </c>
      <c r="B910" s="16" t="s">
        <v>956</v>
      </c>
      <c r="C910" s="34">
        <v>1</v>
      </c>
      <c r="D910" s="16" t="s">
        <v>52</v>
      </c>
      <c r="E910" s="35">
        <v>4.4000000000000004</v>
      </c>
      <c r="F910" s="35">
        <v>3.3</v>
      </c>
      <c r="G910" s="16" t="s">
        <v>44</v>
      </c>
      <c r="H910" s="16" t="s">
        <v>45</v>
      </c>
      <c r="I910" s="16">
        <f>COUNTIF(G$5:G910,"Y")/COUNTA(G$5:G910)</f>
        <v>0.8730684326710817</v>
      </c>
      <c r="J910" s="16">
        <f>COUNTIF(H$5:H910,"Y")/COUNTA(H$5:H910)</f>
        <v>5.0772626931567331E-2</v>
      </c>
      <c r="K910" s="16">
        <f>AVERAGE(F$5:F910)</f>
        <v>2.2156732891832243</v>
      </c>
      <c r="L910" s="16">
        <f>SUM(F$5:F910)/SUM(E$5:E910)</f>
        <v>0.75344368126712524</v>
      </c>
    </row>
    <row r="911" spans="1:13" x14ac:dyDescent="0.25">
      <c r="A911" s="29">
        <v>45777</v>
      </c>
      <c r="B911" s="16" t="s">
        <v>957</v>
      </c>
      <c r="C911" s="34">
        <v>1</v>
      </c>
      <c r="D911" s="16" t="s">
        <v>56</v>
      </c>
      <c r="E911" s="35">
        <v>4.9000000000000004</v>
      </c>
      <c r="F911" s="35">
        <v>3.8</v>
      </c>
      <c r="G911" s="16" t="s">
        <v>44</v>
      </c>
      <c r="H911" s="16" t="s">
        <v>45</v>
      </c>
      <c r="I911" s="16">
        <f>COUNTIF(G$5:G911,"Y")/COUNTA(G$5:G911)</f>
        <v>0.87320837927232631</v>
      </c>
      <c r="J911" s="16">
        <f>COUNTIF(H$5:H911,"Y")/COUNTA(H$5:H911)</f>
        <v>5.0716648291069456E-2</v>
      </c>
      <c r="K911" s="16">
        <f>AVERAGE(F$5:F911)</f>
        <v>2.217420066152151</v>
      </c>
      <c r="L911" s="16">
        <f>SUM(F$5:F911)/SUM(E$5:E911)</f>
        <v>0.75348419001948208</v>
      </c>
    </row>
    <row r="912" spans="1:13" x14ac:dyDescent="0.25">
      <c r="A912" s="29">
        <v>45778</v>
      </c>
      <c r="B912" s="16" t="s">
        <v>958</v>
      </c>
      <c r="C912" s="34">
        <v>1</v>
      </c>
      <c r="D912" s="16" t="s">
        <v>52</v>
      </c>
      <c r="E912" s="35">
        <v>4.7</v>
      </c>
      <c r="F912" s="35">
        <v>3.8</v>
      </c>
      <c r="G912" s="16" t="s">
        <v>44</v>
      </c>
      <c r="H912" s="16" t="s">
        <v>45</v>
      </c>
      <c r="I912" s="16">
        <f>COUNTIF(G$5:G912,"Y")/COUNTA(G$5:G912)</f>
        <v>0.87334801762114533</v>
      </c>
      <c r="J912" s="16">
        <f>COUNTIF(H$5:H912,"Y")/COUNTA(H$5:H912)</f>
        <v>5.0660792951541848E-2</v>
      </c>
      <c r="K912" s="16">
        <f>AVERAGE(F$5:F912)</f>
        <v>2.219162995594715</v>
      </c>
      <c r="L912" s="16">
        <f>SUM(F$5:F912)/SUM(E$5:E912)</f>
        <v>0.75358091177680608</v>
      </c>
    </row>
    <row r="913" spans="1:12" x14ac:dyDescent="0.25">
      <c r="A913" s="29">
        <v>45779</v>
      </c>
      <c r="B913" s="16" t="s">
        <v>959</v>
      </c>
      <c r="C913" s="34">
        <v>1</v>
      </c>
      <c r="D913" s="16" t="s">
        <v>64</v>
      </c>
      <c r="E913" s="35">
        <v>1.4</v>
      </c>
      <c r="F913" s="35">
        <v>1.2</v>
      </c>
      <c r="G913" s="16" t="s">
        <v>45</v>
      </c>
      <c r="H913" s="16" t="s">
        <v>45</v>
      </c>
      <c r="I913" s="16">
        <f>COUNTIF(G$5:G913,"Y")/COUNTA(G$5:G913)</f>
        <v>0.87238723872387236</v>
      </c>
      <c r="J913" s="16">
        <f>COUNTIF(H$5:H913,"Y")/COUNTA(H$5:H913)</f>
        <v>5.0605060506050605E-2</v>
      </c>
      <c r="K913" s="16">
        <f>AVERAGE(F$5:F913)</f>
        <v>2.2180418041804195</v>
      </c>
      <c r="L913" s="16">
        <f>SUM(F$5:F913)/SUM(E$5:E913)</f>
        <v>0.75363510634321451</v>
      </c>
    </row>
    <row r="914" spans="1:12" x14ac:dyDescent="0.25">
      <c r="A914" s="29">
        <v>45775</v>
      </c>
      <c r="B914" s="16" t="s">
        <v>960</v>
      </c>
      <c r="C914" s="34">
        <v>1</v>
      </c>
      <c r="D914" s="16" t="s">
        <v>43</v>
      </c>
      <c r="E914" s="35">
        <v>2.5</v>
      </c>
      <c r="F914" s="35">
        <v>2.2999999999999998</v>
      </c>
      <c r="G914" s="16" t="s">
        <v>44</v>
      </c>
      <c r="H914" s="16" t="s">
        <v>45</v>
      </c>
      <c r="I914" s="16">
        <f>COUNTIF(G$5:G914,"Y")/COUNTA(G$5:G914)</f>
        <v>0.87252747252747254</v>
      </c>
      <c r="J914" s="16">
        <f>COUNTIF(H$5:H914,"Y")/COUNTA(H$5:H914)</f>
        <v>5.054945054945055E-2</v>
      </c>
      <c r="K914" s="16">
        <f>AVERAGE(F$5:F914)</f>
        <v>2.2181318681318696</v>
      </c>
      <c r="L914" s="16">
        <f>SUM(F$5:F914)/SUM(E$5:E914)</f>
        <v>0.75379042497572701</v>
      </c>
    </row>
    <row r="915" spans="1:12" x14ac:dyDescent="0.25">
      <c r="A915" s="29">
        <v>45776</v>
      </c>
      <c r="B915" s="16" t="s">
        <v>961</v>
      </c>
      <c r="C915" s="34">
        <v>1</v>
      </c>
      <c r="D915" s="16" t="s">
        <v>52</v>
      </c>
      <c r="E915" s="35">
        <v>1.5</v>
      </c>
      <c r="F915" s="35">
        <v>1.3</v>
      </c>
      <c r="G915" s="16" t="s">
        <v>44</v>
      </c>
      <c r="H915" s="16" t="s">
        <v>45</v>
      </c>
      <c r="I915" s="16">
        <f>COUNTIF(G$5:G915,"Y")/COUNTA(G$5:G915)</f>
        <v>0.87266739846322727</v>
      </c>
      <c r="J915" s="16">
        <f>COUNTIF(H$5:H915,"Y")/COUNTA(H$5:H915)</f>
        <v>5.0493962678375415E-2</v>
      </c>
      <c r="K915" s="16">
        <f>AVERAGE(F$5:F915)</f>
        <v>2.2171240395170155</v>
      </c>
      <c r="L915" s="16">
        <f>SUM(F$5:F915)/SUM(E$5:E915)</f>
        <v>0.75385361848244004</v>
      </c>
    </row>
    <row r="916" spans="1:12" x14ac:dyDescent="0.25">
      <c r="A916" s="29">
        <v>45777</v>
      </c>
      <c r="B916" s="16" t="s">
        <v>962</v>
      </c>
      <c r="C916" s="34">
        <v>1</v>
      </c>
      <c r="D916" s="16" t="s">
        <v>47</v>
      </c>
      <c r="E916" s="35">
        <v>5.0999999999999996</v>
      </c>
      <c r="F916" s="35">
        <v>3.5</v>
      </c>
      <c r="G916" s="16" t="s">
        <v>44</v>
      </c>
      <c r="H916" s="16" t="s">
        <v>45</v>
      </c>
      <c r="I916" s="16">
        <f>COUNTIF(G$5:G916,"Y")/COUNTA(G$5:G916)</f>
        <v>0.8728070175438597</v>
      </c>
      <c r="J916" s="16">
        <f>COUNTIF(H$5:H916,"Y")/COUNTA(H$5:H916)</f>
        <v>5.0438596491228067E-2</v>
      </c>
      <c r="K916" s="16">
        <f>AVERAGE(F$5:F916)</f>
        <v>2.2185307017543874</v>
      </c>
      <c r="L916" s="16">
        <f>SUM(F$5:F916)/SUM(E$5:E916)</f>
        <v>0.75372522723886226</v>
      </c>
    </row>
    <row r="917" spans="1:12" x14ac:dyDescent="0.25">
      <c r="A917" s="29">
        <v>45778</v>
      </c>
      <c r="B917" s="16" t="s">
        <v>963</v>
      </c>
      <c r="C917" s="34">
        <v>1</v>
      </c>
      <c r="D917" s="16" t="s">
        <v>56</v>
      </c>
      <c r="E917" s="35">
        <v>3.7</v>
      </c>
      <c r="F917" s="35">
        <v>3.2</v>
      </c>
      <c r="G917" s="16" t="s">
        <v>45</v>
      </c>
      <c r="H917" s="16" t="s">
        <v>45</v>
      </c>
      <c r="I917" s="16">
        <f>COUNTIF(G$5:G917,"Y")/COUNTA(G$5:G917)</f>
        <v>0.87185104052573936</v>
      </c>
      <c r="J917" s="16">
        <f>COUNTIF(H$5:H917,"Y")/COUNTA(H$5:H917)</f>
        <v>5.0383351588170866E-2</v>
      </c>
      <c r="K917" s="16">
        <f>AVERAGE(F$5:F917)</f>
        <v>2.2196056955093111</v>
      </c>
      <c r="L917" s="16">
        <f>SUM(F$5:F917)/SUM(E$5:E917)</f>
        <v>0.75387820393586613</v>
      </c>
    </row>
    <row r="918" spans="1:12" x14ac:dyDescent="0.25">
      <c r="A918" s="29">
        <v>45779</v>
      </c>
      <c r="B918" s="16" t="s">
        <v>964</v>
      </c>
      <c r="C918" s="34">
        <v>1</v>
      </c>
      <c r="D918" s="16" t="s">
        <v>60</v>
      </c>
      <c r="E918" s="35">
        <v>1.8</v>
      </c>
      <c r="F918" s="35">
        <v>1.3</v>
      </c>
      <c r="G918" s="16" t="s">
        <v>44</v>
      </c>
      <c r="H918" s="16" t="s">
        <v>45</v>
      </c>
      <c r="I918" s="16">
        <f>COUNTIF(G$5:G918,"Y")/COUNTA(G$5:G918)</f>
        <v>0.87199124726477029</v>
      </c>
      <c r="J918" s="16">
        <f>COUNTIF(H$5:H918,"Y")/COUNTA(H$5:H918)</f>
        <v>5.0328227571115977E-2</v>
      </c>
      <c r="K918" s="16">
        <f>AVERAGE(F$5:F918)</f>
        <v>2.2185995623632397</v>
      </c>
      <c r="L918" s="16">
        <f>SUM(F$5:F918)/SUM(E$5:E918)</f>
        <v>0.75385702070709015</v>
      </c>
    </row>
    <row r="919" spans="1:12" x14ac:dyDescent="0.25">
      <c r="A919" s="29">
        <v>45775</v>
      </c>
      <c r="B919" s="16" t="s">
        <v>965</v>
      </c>
      <c r="C919" s="34">
        <v>1</v>
      </c>
      <c r="D919" s="16" t="s">
        <v>52</v>
      </c>
      <c r="E919" s="35">
        <v>2.2999999999999998</v>
      </c>
      <c r="F919" s="35">
        <v>1.8</v>
      </c>
      <c r="G919" s="16" t="s">
        <v>44</v>
      </c>
      <c r="H919" s="16" t="s">
        <v>45</v>
      </c>
      <c r="I919" s="16">
        <f>COUNTIF(G$5:G919,"Y")/COUNTA(G$5:G919)</f>
        <v>0.87213114754098364</v>
      </c>
      <c r="J919" s="16">
        <f>COUNTIF(H$5:H919,"Y")/COUNTA(H$5:H919)</f>
        <v>5.0273224043715849E-2</v>
      </c>
      <c r="K919" s="16">
        <f>AVERAGE(F$5:F919)</f>
        <v>2.2181420765027333</v>
      </c>
      <c r="L919" s="16">
        <f>SUM(F$5:F919)/SUM(E$5:E919)</f>
        <v>0.75388158383478254</v>
      </c>
    </row>
    <row r="920" spans="1:12" x14ac:dyDescent="0.25">
      <c r="A920" s="29">
        <v>45776</v>
      </c>
      <c r="B920" s="16" t="s">
        <v>966</v>
      </c>
      <c r="C920" s="34">
        <v>1</v>
      </c>
      <c r="D920" s="16" t="s">
        <v>64</v>
      </c>
      <c r="E920" s="35">
        <v>2.8</v>
      </c>
      <c r="F920" s="35">
        <v>2.2000000000000002</v>
      </c>
      <c r="G920" s="16" t="s">
        <v>44</v>
      </c>
      <c r="H920" s="16" t="s">
        <v>45</v>
      </c>
      <c r="I920" s="16">
        <f>COUNTIF(G$5:G920,"Y")/COUNTA(G$5:G920)</f>
        <v>0.87227074235807855</v>
      </c>
      <c r="J920" s="16">
        <f>COUNTIF(H$5:H920,"Y")/COUNTA(H$5:H920)</f>
        <v>5.0218340611353711E-2</v>
      </c>
      <c r="K920" s="16">
        <f>AVERAGE(F$5:F920)</f>
        <v>2.2181222707423593</v>
      </c>
      <c r="L920" s="16">
        <f>SUM(F$5:F920)/SUM(E$5:E920)</f>
        <v>0.75391465677180014</v>
      </c>
    </row>
    <row r="921" spans="1:12" x14ac:dyDescent="0.25">
      <c r="A921" s="29">
        <v>45777</v>
      </c>
      <c r="B921" s="16" t="s">
        <v>967</v>
      </c>
      <c r="C921" s="34">
        <v>1</v>
      </c>
      <c r="D921" s="16" t="s">
        <v>64</v>
      </c>
      <c r="E921" s="35">
        <v>4</v>
      </c>
      <c r="F921" s="35">
        <v>3</v>
      </c>
      <c r="G921" s="16" t="s">
        <v>44</v>
      </c>
      <c r="H921" s="16" t="s">
        <v>45</v>
      </c>
      <c r="I921" s="16">
        <f>COUNTIF(G$5:G921,"Y")/COUNTA(G$5:G921)</f>
        <v>0.8724100327153762</v>
      </c>
      <c r="J921" s="16">
        <f>COUNTIF(H$5:H921,"Y")/COUNTA(H$5:H921)</f>
        <v>5.0163576881134132E-2</v>
      </c>
      <c r="K921" s="16">
        <f>AVERAGE(F$5:F921)</f>
        <v>2.2189749182115608</v>
      </c>
      <c r="L921" s="16">
        <f>SUM(F$5:F921)/SUM(E$5:E921)</f>
        <v>0.75390885513153072</v>
      </c>
    </row>
    <row r="922" spans="1:12" x14ac:dyDescent="0.25">
      <c r="A922" s="29">
        <v>45778</v>
      </c>
      <c r="B922" s="16" t="s">
        <v>968</v>
      </c>
      <c r="C922" s="34">
        <v>1</v>
      </c>
      <c r="D922" s="16" t="s">
        <v>52</v>
      </c>
      <c r="E922" s="35">
        <v>3.3</v>
      </c>
      <c r="F922" s="35">
        <v>2.8</v>
      </c>
      <c r="G922" s="16" t="s">
        <v>44</v>
      </c>
      <c r="H922" s="16" t="s">
        <v>44</v>
      </c>
      <c r="I922" s="16">
        <f>COUNTIF(G$5:G922,"Y")/COUNTA(G$5:G922)</f>
        <v>0.87254901960784315</v>
      </c>
      <c r="J922" s="16">
        <f>COUNTIF(H$5:H922,"Y")/COUNTA(H$5:H922)</f>
        <v>5.1198257080610023E-2</v>
      </c>
      <c r="K922" s="16">
        <f>AVERAGE(F$5:F922)</f>
        <v>2.2196078431372559</v>
      </c>
      <c r="L922" s="16">
        <f>SUM(F$5:F922)/SUM(E$5:E922)</f>
        <v>0.75402434962809506</v>
      </c>
    </row>
    <row r="923" spans="1:12" x14ac:dyDescent="0.25">
      <c r="A923" s="29">
        <v>45779</v>
      </c>
      <c r="B923" s="16" t="s">
        <v>969</v>
      </c>
      <c r="C923" s="34">
        <v>1</v>
      </c>
      <c r="D923" s="16" t="s">
        <v>43</v>
      </c>
      <c r="E923" s="35">
        <v>3.8</v>
      </c>
      <c r="F923" s="35">
        <v>3.1</v>
      </c>
      <c r="G923" s="16" t="s">
        <v>44</v>
      </c>
      <c r="H923" s="16" t="s">
        <v>45</v>
      </c>
      <c r="I923" s="16">
        <f>COUNTIF(G$5:G923,"Y")/COUNTA(G$5:G923)</f>
        <v>0.8726877040261154</v>
      </c>
      <c r="J923" s="16">
        <f>COUNTIF(H$5:H923,"Y")/COUNTA(H$5:H923)</f>
        <v>5.1142546245919476E-2</v>
      </c>
      <c r="K923" s="16">
        <f>AVERAGE(F$5:F923)</f>
        <v>2.2205658324265518</v>
      </c>
      <c r="L923" s="16">
        <f>SUM(F$5:F923)/SUM(E$5:E923)</f>
        <v>0.754111082369462</v>
      </c>
    </row>
    <row r="924" spans="1:12" x14ac:dyDescent="0.25">
      <c r="A924" s="29">
        <v>45775</v>
      </c>
      <c r="B924" s="16" t="s">
        <v>970</v>
      </c>
      <c r="C924" s="34">
        <v>1</v>
      </c>
      <c r="D924" s="16" t="s">
        <v>64</v>
      </c>
      <c r="E924" s="35">
        <v>3.8</v>
      </c>
      <c r="F924" s="35">
        <v>2.7</v>
      </c>
      <c r="G924" s="16" t="s">
        <v>44</v>
      </c>
      <c r="H924" s="16" t="s">
        <v>45</v>
      </c>
      <c r="I924" s="16">
        <f>COUNTIF(G$5:G924,"Y")/COUNTA(G$5:G924)</f>
        <v>0.87282608695652175</v>
      </c>
      <c r="J924" s="16">
        <f>COUNTIF(H$5:H924,"Y")/COUNTA(H$5:H924)</f>
        <v>5.1086956521739134E-2</v>
      </c>
      <c r="K924" s="16">
        <f>AVERAGE(F$5:F924)</f>
        <v>2.2210869565217402</v>
      </c>
      <c r="L924" s="16">
        <f>SUM(F$5:F924)/SUM(E$5:E924)</f>
        <v>0.75404996494335619</v>
      </c>
    </row>
    <row r="925" spans="1:12" x14ac:dyDescent="0.25">
      <c r="A925" s="29">
        <v>45776</v>
      </c>
      <c r="B925" s="16" t="s">
        <v>971</v>
      </c>
      <c r="C925" s="34">
        <v>1</v>
      </c>
      <c r="D925" s="16" t="s">
        <v>52</v>
      </c>
      <c r="E925" s="35">
        <v>4.3</v>
      </c>
      <c r="F925" s="35">
        <v>3.2</v>
      </c>
      <c r="G925" s="16" t="s">
        <v>44</v>
      </c>
      <c r="H925" s="16" t="s">
        <v>45</v>
      </c>
      <c r="I925" s="16">
        <f>COUNTIF(G$5:G925,"Y")/COUNTA(G$5:G925)</f>
        <v>0.87296416938110755</v>
      </c>
      <c r="J925" s="16">
        <f>COUNTIF(H$5:H925,"Y")/COUNTA(H$5:H925)</f>
        <v>5.1031487513572206E-2</v>
      </c>
      <c r="K925" s="16">
        <f>AVERAGE(F$5:F925)</f>
        <v>2.2221498371335517</v>
      </c>
      <c r="L925" s="16">
        <f>SUM(F$5:F925)/SUM(E$5:E925)</f>
        <v>0.75403433792646113</v>
      </c>
    </row>
    <row r="926" spans="1:12" x14ac:dyDescent="0.25">
      <c r="A926" s="29">
        <v>45777</v>
      </c>
      <c r="B926" s="16" t="s">
        <v>972</v>
      </c>
      <c r="C926" s="34">
        <v>1</v>
      </c>
      <c r="D926" s="16" t="s">
        <v>47</v>
      </c>
      <c r="E926" s="35">
        <v>1.6</v>
      </c>
      <c r="F926" s="35">
        <v>1.3</v>
      </c>
      <c r="G926" s="16" t="s">
        <v>44</v>
      </c>
      <c r="H926" s="16" t="s">
        <v>45</v>
      </c>
      <c r="I926" s="16">
        <f>COUNTIF(G$5:G926,"Y")/COUNTA(G$5:G926)</f>
        <v>0.8731019522776573</v>
      </c>
      <c r="J926" s="16">
        <f>COUNTIF(H$5:H926,"Y")/COUNTA(H$5:H926)</f>
        <v>5.0976138828633402E-2</v>
      </c>
      <c r="K926" s="16">
        <f>AVERAGE(F$5:F926)</f>
        <v>2.2211496746203916</v>
      </c>
      <c r="L926" s="16">
        <f>SUM(F$5:F926)/SUM(E$5:E926)</f>
        <v>0.75406878267913724</v>
      </c>
    </row>
    <row r="927" spans="1:12" x14ac:dyDescent="0.25">
      <c r="A927" s="29">
        <v>45778</v>
      </c>
      <c r="B927" s="16" t="s">
        <v>973</v>
      </c>
      <c r="C927" s="34">
        <v>1</v>
      </c>
      <c r="D927" s="16" t="s">
        <v>64</v>
      </c>
      <c r="E927" s="35">
        <v>3.3</v>
      </c>
      <c r="F927" s="35">
        <v>2.4</v>
      </c>
      <c r="G927" s="16" t="s">
        <v>44</v>
      </c>
      <c r="H927" s="16" t="s">
        <v>45</v>
      </c>
      <c r="I927" s="16">
        <f>COUNTIF(G$5:G927,"Y")/COUNTA(G$5:G927)</f>
        <v>0.87323943661971826</v>
      </c>
      <c r="J927" s="16">
        <f>COUNTIF(H$5:H927,"Y")/COUNTA(H$5:H927)</f>
        <v>5.0920910075839654E-2</v>
      </c>
      <c r="K927" s="16">
        <f>AVERAGE(F$5:F927)</f>
        <v>2.2213434452871086</v>
      </c>
      <c r="L927" s="16">
        <f>SUM(F$5:F927)/SUM(E$5:E927)</f>
        <v>0.75403626199845564</v>
      </c>
    </row>
    <row r="928" spans="1:12" x14ac:dyDescent="0.25">
      <c r="A928" s="29">
        <v>45779</v>
      </c>
      <c r="B928" s="16" t="s">
        <v>974</v>
      </c>
      <c r="C928" s="34">
        <v>1</v>
      </c>
      <c r="D928" s="16" t="s">
        <v>64</v>
      </c>
      <c r="E928" s="35">
        <v>4.7</v>
      </c>
      <c r="F928" s="35">
        <v>3.2</v>
      </c>
      <c r="G928" s="16" t="s">
        <v>44</v>
      </c>
      <c r="H928" s="16" t="s">
        <v>45</v>
      </c>
      <c r="I928" s="16">
        <f>COUNTIF(G$5:G928,"Y")/COUNTA(G$5:G928)</f>
        <v>0.87337662337662336</v>
      </c>
      <c r="J928" s="16">
        <f>COUNTIF(H$5:H928,"Y")/COUNTA(H$5:H928)</f>
        <v>5.0865800865800864E-2</v>
      </c>
      <c r="K928" s="16">
        <f>AVERAGE(F$5:F928)</f>
        <v>2.2224025974025983</v>
      </c>
      <c r="L928" s="16">
        <f>SUM(F$5:F928)/SUM(E$5:E928)</f>
        <v>0.75390997870621956</v>
      </c>
    </row>
    <row r="929" spans="1:13" x14ac:dyDescent="0.25">
      <c r="A929" s="29">
        <v>45775</v>
      </c>
      <c r="B929" s="16" t="s">
        <v>975</v>
      </c>
      <c r="C929" s="34">
        <v>1</v>
      </c>
      <c r="D929" s="16" t="s">
        <v>56</v>
      </c>
      <c r="E929" s="35">
        <v>1.8</v>
      </c>
      <c r="F929" s="35">
        <v>1.3</v>
      </c>
      <c r="G929" s="16" t="s">
        <v>44</v>
      </c>
      <c r="H929" s="16" t="s">
        <v>45</v>
      </c>
      <c r="I929" s="16">
        <f>COUNTIF(G$5:G929,"Y")/COUNTA(G$5:G929)</f>
        <v>0.87351351351351347</v>
      </c>
      <c r="J929" s="16">
        <f>COUNTIF(H$5:H929,"Y")/COUNTA(H$5:H929)</f>
        <v>5.0810810810810812E-2</v>
      </c>
      <c r="K929" s="16">
        <f>AVERAGE(F$5:F929)</f>
        <v>2.2214054054054064</v>
      </c>
      <c r="L929" s="16">
        <f>SUM(F$5:F929)/SUM(E$5:E929)</f>
        <v>0.75388905195186406</v>
      </c>
    </row>
    <row r="930" spans="1:13" x14ac:dyDescent="0.25">
      <c r="A930" s="29">
        <v>45776</v>
      </c>
      <c r="B930" s="16" t="s">
        <v>976</v>
      </c>
      <c r="C930" s="34">
        <v>1</v>
      </c>
      <c r="D930" s="16" t="s">
        <v>47</v>
      </c>
      <c r="E930" s="35">
        <v>2.6</v>
      </c>
      <c r="F930" s="35">
        <v>1.8</v>
      </c>
      <c r="G930" s="16" t="s">
        <v>44</v>
      </c>
      <c r="H930" s="16" t="s">
        <v>45</v>
      </c>
      <c r="I930" s="16">
        <f>COUNTIF(G$5:G930,"Y")/COUNTA(G$5:G930)</f>
        <v>0.87365010799136067</v>
      </c>
      <c r="J930" s="16">
        <f>COUNTIF(H$5:H930,"Y")/COUNTA(H$5:H930)</f>
        <v>5.0755939524838013E-2</v>
      </c>
      <c r="K930" s="16">
        <f>AVERAGE(F$5:F930)</f>
        <v>2.2209503239740833</v>
      </c>
      <c r="L930" s="16">
        <f>SUM(F$5:F930)/SUM(E$5:E930)</f>
        <v>0.75383036434279049</v>
      </c>
    </row>
    <row r="931" spans="1:13" x14ac:dyDescent="0.25">
      <c r="A931" s="29">
        <v>45777</v>
      </c>
      <c r="B931" s="16" t="s">
        <v>977</v>
      </c>
      <c r="C931" s="34">
        <v>1</v>
      </c>
      <c r="D931" s="16" t="s">
        <v>43</v>
      </c>
      <c r="E931" s="35">
        <v>4.5999999999999996</v>
      </c>
      <c r="F931" s="35">
        <v>3.7</v>
      </c>
      <c r="G931" s="16" t="s">
        <v>44</v>
      </c>
      <c r="H931" s="16" t="s">
        <v>45</v>
      </c>
      <c r="I931" s="16">
        <f>COUNTIF(G$5:G931,"Y")/COUNTA(G$5:G931)</f>
        <v>0.87378640776699024</v>
      </c>
      <c r="J931" s="16">
        <f>COUNTIF(H$5:H931,"Y")/COUNTA(H$5:H931)</f>
        <v>5.070118662351672E-2</v>
      </c>
      <c r="K931" s="16">
        <f>AVERAGE(F$5:F931)</f>
        <v>2.2225458468176926</v>
      </c>
      <c r="L931" s="16">
        <f>SUM(F$5:F931)/SUM(E$5:E931)</f>
        <v>0.75391539812646402</v>
      </c>
    </row>
    <row r="932" spans="1:13" x14ac:dyDescent="0.25">
      <c r="A932" s="29">
        <v>45778</v>
      </c>
      <c r="B932" s="16" t="s">
        <v>978</v>
      </c>
      <c r="C932" s="34">
        <v>1</v>
      </c>
      <c r="D932" s="16" t="s">
        <v>64</v>
      </c>
      <c r="E932" s="35">
        <v>2.4</v>
      </c>
      <c r="F932" s="35">
        <v>1.8</v>
      </c>
      <c r="G932" s="16" t="s">
        <v>44</v>
      </c>
      <c r="H932" s="16" t="s">
        <v>44</v>
      </c>
      <c r="I932" s="16">
        <f>COUNTIF(G$5:G932,"Y")/COUNTA(G$5:G932)</f>
        <v>0.87392241379310343</v>
      </c>
      <c r="J932" s="16">
        <f>COUNTIF(H$5:H932,"Y")/COUNTA(H$5:H932)</f>
        <v>5.1724137931034482E-2</v>
      </c>
      <c r="K932" s="16">
        <f>AVERAGE(F$5:F932)</f>
        <v>2.2220905172413805</v>
      </c>
      <c r="L932" s="16">
        <f>SUM(F$5:F932)/SUM(E$5:E932)</f>
        <v>0.75391196256215309</v>
      </c>
    </row>
    <row r="933" spans="1:13" x14ac:dyDescent="0.25">
      <c r="A933" s="29">
        <v>45779</v>
      </c>
      <c r="B933" s="16" t="s">
        <v>979</v>
      </c>
      <c r="C933" s="34">
        <v>1</v>
      </c>
      <c r="D933" s="16" t="s">
        <v>50</v>
      </c>
      <c r="E933" s="35">
        <v>2.2000000000000002</v>
      </c>
      <c r="F933" s="35">
        <v>2.8</v>
      </c>
      <c r="G933" s="16" t="s">
        <v>44</v>
      </c>
      <c r="H933" s="16" t="s">
        <v>45</v>
      </c>
      <c r="I933" s="16">
        <f>COUNTIF(G$5:G933,"Y")/COUNTA(G$5:G933)</f>
        <v>0.87405812701829921</v>
      </c>
      <c r="J933" s="16">
        <f>COUNTIF(H$5:H933,"Y")/COUNTA(H$5:H933)</f>
        <v>5.1668460710441337E-2</v>
      </c>
      <c r="K933" s="16">
        <f>AVERAGE(F$5:F933)</f>
        <v>2.2227125941872998</v>
      </c>
      <c r="L933" s="16">
        <f>SUM(F$5:F933)/SUM(E$5:E933)</f>
        <v>0.75432892525754414</v>
      </c>
    </row>
    <row r="934" spans="1:13" x14ac:dyDescent="0.25">
      <c r="A934" s="29">
        <v>45775</v>
      </c>
      <c r="B934" s="16" t="s">
        <v>980</v>
      </c>
      <c r="C934" s="34">
        <v>1</v>
      </c>
      <c r="D934" s="16" t="s">
        <v>47</v>
      </c>
      <c r="E934" s="35">
        <v>0.5</v>
      </c>
      <c r="F934" s="35">
        <v>0.5</v>
      </c>
      <c r="G934" s="16" t="s">
        <v>44</v>
      </c>
      <c r="H934" s="16" t="s">
        <v>45</v>
      </c>
      <c r="I934" s="16">
        <f>COUNTIF(G$5:G934,"Y")/COUNTA(G$5:G934)</f>
        <v>0.87419354838709673</v>
      </c>
      <c r="J934" s="16">
        <f>COUNTIF(H$5:H934,"Y")/COUNTA(H$5:H934)</f>
        <v>5.1612903225806452E-2</v>
      </c>
      <c r="K934" s="16">
        <f>AVERAGE(F$5:F934)</f>
        <v>2.2208602150537651</v>
      </c>
      <c r="L934" s="16">
        <f>SUM(F$5:F934)/SUM(E$5:E934)</f>
        <v>0.75437379013112293</v>
      </c>
    </row>
    <row r="935" spans="1:13" x14ac:dyDescent="0.25">
      <c r="A935" s="29">
        <v>45776</v>
      </c>
      <c r="B935" s="16" t="s">
        <v>981</v>
      </c>
      <c r="C935" s="34">
        <v>1</v>
      </c>
      <c r="D935" s="16" t="s">
        <v>47</v>
      </c>
      <c r="E935" s="35">
        <v>0.5</v>
      </c>
      <c r="F935" s="35">
        <v>0.5</v>
      </c>
      <c r="G935" s="16" t="s">
        <v>45</v>
      </c>
      <c r="H935" s="16" t="s">
        <v>45</v>
      </c>
      <c r="I935" s="16">
        <f>COUNTIF(G$5:G935,"Y")/COUNTA(G$5:G935)</f>
        <v>0.87325456498388832</v>
      </c>
      <c r="J935" s="16">
        <f>COUNTIF(H$5:H935,"Y")/COUNTA(H$5:H935)</f>
        <v>5.155746509129968E-2</v>
      </c>
      <c r="K935" s="16">
        <f>AVERAGE(F$5:F935)</f>
        <v>2.2190118152524185</v>
      </c>
      <c r="L935" s="16">
        <f>SUM(F$5:F935)/SUM(E$5:E935)</f>
        <v>0.75441863862109315</v>
      </c>
    </row>
    <row r="936" spans="1:13" x14ac:dyDescent="0.25">
      <c r="A936" s="29">
        <v>45777</v>
      </c>
      <c r="B936" s="16" t="s">
        <v>982</v>
      </c>
      <c r="C936" s="34">
        <v>1</v>
      </c>
      <c r="D936" s="16" t="s">
        <v>47</v>
      </c>
      <c r="E936" s="35">
        <v>0.5</v>
      </c>
      <c r="F936" s="35">
        <v>0.5</v>
      </c>
      <c r="G936" s="16" t="s">
        <v>44</v>
      </c>
      <c r="H936" s="16" t="s">
        <v>45</v>
      </c>
      <c r="I936" s="16">
        <f>COUNTIF(G$5:G936,"Y")/COUNTA(G$5:G936)</f>
        <v>0.87339055793991416</v>
      </c>
      <c r="J936" s="16">
        <f>COUNTIF(H$5:H936,"Y")/COUNTA(H$5:H936)</f>
        <v>5.1502145922746781E-2</v>
      </c>
      <c r="K936" s="16">
        <f>AVERAGE(F$5:F936)</f>
        <v>2.2171673819742503</v>
      </c>
      <c r="L936" s="16">
        <f>SUM(F$5:F936)/SUM(E$5:E936)</f>
        <v>0.7544634707364275</v>
      </c>
    </row>
    <row r="937" spans="1:13" x14ac:dyDescent="0.25">
      <c r="A937" s="29">
        <v>45778</v>
      </c>
      <c r="B937" s="16" t="s">
        <v>983</v>
      </c>
      <c r="C937" s="34">
        <v>1</v>
      </c>
      <c r="D937" s="16" t="s">
        <v>47</v>
      </c>
      <c r="E937" s="35">
        <v>0.5</v>
      </c>
      <c r="F937" s="35">
        <v>0.5</v>
      </c>
      <c r="G937" s="16" t="s">
        <v>44</v>
      </c>
      <c r="H937" s="16" t="s">
        <v>45</v>
      </c>
      <c r="I937" s="16">
        <f>COUNTIF(G$5:G937,"Y")/COUNTA(G$5:G937)</f>
        <v>0.87352625937834938</v>
      </c>
      <c r="J937" s="16">
        <f>COUNTIF(H$5:H937,"Y")/COUNTA(H$5:H937)</f>
        <v>5.1446945337620578E-2</v>
      </c>
      <c r="K937" s="16">
        <f>AVERAGE(F$5:F937)</f>
        <v>2.2153269024651676</v>
      </c>
      <c r="L937" s="16">
        <f>SUM(F$5:F937)/SUM(E$5:E937)</f>
        <v>0.75450828648609236</v>
      </c>
    </row>
    <row r="938" spans="1:13" x14ac:dyDescent="0.25">
      <c r="A938" s="29">
        <v>45779</v>
      </c>
      <c r="B938" s="16" t="s">
        <v>984</v>
      </c>
      <c r="C938" s="34">
        <v>1</v>
      </c>
      <c r="D938" s="16" t="s">
        <v>56</v>
      </c>
      <c r="E938" s="35">
        <v>0.5</v>
      </c>
      <c r="F938" s="35">
        <v>0.5</v>
      </c>
      <c r="G938" s="16" t="s">
        <v>44</v>
      </c>
      <c r="H938" s="16" t="s">
        <v>45</v>
      </c>
      <c r="I938" s="16">
        <f>COUNTIF(G$5:G938,"Y")/COUNTA(G$5:G938)</f>
        <v>0.87366167023554608</v>
      </c>
      <c r="J938" s="16">
        <f>COUNTIF(H$5:H938,"Y")/COUNTA(H$5:H938)</f>
        <v>5.1391862955032119E-2</v>
      </c>
      <c r="K938" s="16">
        <f>AVERAGE(F$5:F938)</f>
        <v>2.2134903640256973</v>
      </c>
      <c r="L938" s="16">
        <f>SUM(F$5:F938)/SUM(E$5:E938)</f>
        <v>0.75455308587904724</v>
      </c>
    </row>
    <row r="939" spans="1:13" x14ac:dyDescent="0.25">
      <c r="A939" s="29">
        <v>45775</v>
      </c>
      <c r="B939" s="16" t="s">
        <v>985</v>
      </c>
      <c r="C939" s="34">
        <v>1</v>
      </c>
      <c r="D939" s="16" t="s">
        <v>52</v>
      </c>
      <c r="E939" s="35">
        <v>0.5</v>
      </c>
      <c r="F939" s="35">
        <v>0.5</v>
      </c>
      <c r="G939" s="16" t="s">
        <v>44</v>
      </c>
      <c r="H939" s="16" t="s">
        <v>45</v>
      </c>
      <c r="I939" s="16">
        <f>COUNTIF(G$5:G939,"Y")/COUNTA(G$5:G939)</f>
        <v>0.87379679144385025</v>
      </c>
      <c r="J939" s="16">
        <f>COUNTIF(H$5:H939,"Y")/COUNTA(H$5:H939)</f>
        <v>5.1336898395721926E-2</v>
      </c>
      <c r="K939" s="16">
        <f>AVERAGE(F$5:F939)</f>
        <v>2.2116577540106968</v>
      </c>
      <c r="L939" s="16">
        <f>SUM(F$5:F939)/SUM(E$5:E939)</f>
        <v>0.75459786892424519</v>
      </c>
    </row>
    <row r="940" spans="1:13" x14ac:dyDescent="0.25">
      <c r="A940" s="29">
        <v>45776</v>
      </c>
      <c r="B940" s="16" t="s">
        <v>986</v>
      </c>
      <c r="C940" s="34">
        <v>1</v>
      </c>
      <c r="D940" s="16" t="s">
        <v>50</v>
      </c>
      <c r="E940" s="35">
        <v>0.5</v>
      </c>
      <c r="F940" s="35">
        <v>0.5</v>
      </c>
      <c r="G940" s="16" t="s">
        <v>44</v>
      </c>
      <c r="H940" s="16" t="s">
        <v>45</v>
      </c>
      <c r="I940" s="16">
        <f>COUNTIF(G$5:G940,"Y")/COUNTA(G$5:G940)</f>
        <v>0.87393162393162394</v>
      </c>
      <c r="J940" s="16">
        <f>COUNTIF(H$5:H940,"Y")/COUNTA(H$5:H940)</f>
        <v>5.128205128205128E-2</v>
      </c>
      <c r="K940" s="16">
        <f>AVERAGE(F$5:F940)</f>
        <v>2.2098290598290613</v>
      </c>
      <c r="L940" s="16">
        <f>SUM(F$5:F940)/SUM(E$5:E940)</f>
        <v>0.75464263563063283</v>
      </c>
      <c r="M940" s="16">
        <v>10</v>
      </c>
    </row>
    <row r="941" spans="1:13" x14ac:dyDescent="0.25">
      <c r="A941" s="29">
        <v>45782</v>
      </c>
      <c r="B941" s="16" t="s">
        <v>987</v>
      </c>
      <c r="C941" s="34">
        <v>1</v>
      </c>
      <c r="D941" s="16" t="s">
        <v>50</v>
      </c>
      <c r="E941" s="35">
        <v>3.9</v>
      </c>
      <c r="F941" s="35">
        <v>2.9</v>
      </c>
      <c r="G941" s="16" t="s">
        <v>45</v>
      </c>
      <c r="H941" s="16" t="s">
        <v>45</v>
      </c>
      <c r="I941" s="16">
        <f>COUNTIF(G$5:G941,"Y")/COUNTA(G$5:G941)</f>
        <v>0.87299893276414087</v>
      </c>
      <c r="J941" s="16">
        <f>COUNTIF(H$5:H941,"Y")/COUNTA(H$5:H941)</f>
        <v>5.1227321237993596E-2</v>
      </c>
      <c r="K941" s="16">
        <f>AVERAGE(F$5:F941)</f>
        <v>2.210565635005338</v>
      </c>
      <c r="L941" s="16">
        <f>SUM(F$5:F941)/SUM(E$5:E941)</f>
        <v>0.75462693092392941</v>
      </c>
    </row>
    <row r="942" spans="1:13" x14ac:dyDescent="0.25">
      <c r="A942" s="29">
        <v>45783</v>
      </c>
      <c r="B942" s="16" t="s">
        <v>988</v>
      </c>
      <c r="C942" s="34">
        <v>1</v>
      </c>
      <c r="D942" s="16" t="s">
        <v>47</v>
      </c>
      <c r="E942" s="35">
        <v>2.2999999999999998</v>
      </c>
      <c r="F942" s="35">
        <v>1.9</v>
      </c>
      <c r="G942" s="16" t="s">
        <v>44</v>
      </c>
      <c r="H942" s="16" t="s">
        <v>45</v>
      </c>
      <c r="I942" s="16">
        <f>COUNTIF(G$5:G942,"Y")/COUNTA(G$5:G942)</f>
        <v>0.87313432835820892</v>
      </c>
      <c r="J942" s="16">
        <f>COUNTIF(H$5:H942,"Y")/COUNTA(H$5:H942)</f>
        <v>5.1172707889125799E-2</v>
      </c>
      <c r="K942" s="16">
        <f>AVERAGE(F$5:F942)</f>
        <v>2.2102345415778268</v>
      </c>
      <c r="L942" s="16">
        <f>SUM(F$5:F942)/SUM(E$5:E942)</f>
        <v>0.75468676058388895</v>
      </c>
    </row>
    <row r="943" spans="1:13" x14ac:dyDescent="0.25">
      <c r="A943" s="29">
        <v>45784</v>
      </c>
      <c r="B943" s="16" t="s">
        <v>989</v>
      </c>
      <c r="C943" s="34">
        <v>1</v>
      </c>
      <c r="D943" s="16" t="s">
        <v>56</v>
      </c>
      <c r="E943" s="35">
        <v>3.3</v>
      </c>
      <c r="F943" s="35">
        <v>2.4</v>
      </c>
      <c r="G943" s="16" t="s">
        <v>44</v>
      </c>
      <c r="H943" s="16" t="s">
        <v>45</v>
      </c>
      <c r="I943" s="16">
        <f>COUNTIF(G$5:G943,"Y")/COUNTA(G$5:G943)</f>
        <v>0.873269435569755</v>
      </c>
      <c r="J943" s="16">
        <f>COUNTIF(H$5:H943,"Y")/COUNTA(H$5:H943)</f>
        <v>5.1118210862619806E-2</v>
      </c>
      <c r="K943" s="16">
        <f>AVERAGE(F$5:F943)</f>
        <v>2.2104366347177868</v>
      </c>
      <c r="L943" s="16">
        <f>SUM(F$5:F943)/SUM(E$5:E943)</f>
        <v>0.75465386852821459</v>
      </c>
    </row>
    <row r="944" spans="1:13" x14ac:dyDescent="0.25">
      <c r="A944" s="29">
        <v>45785</v>
      </c>
      <c r="B944" s="16" t="s">
        <v>990</v>
      </c>
      <c r="C944" s="34">
        <v>1</v>
      </c>
      <c r="D944" s="16" t="s">
        <v>52</v>
      </c>
      <c r="E944" s="35">
        <v>2.9</v>
      </c>
      <c r="F944" s="35">
        <v>2.6</v>
      </c>
      <c r="G944" s="16" t="s">
        <v>44</v>
      </c>
      <c r="H944" s="16" t="s">
        <v>45</v>
      </c>
      <c r="I944" s="16">
        <f>COUNTIF(G$5:G944,"Y")/COUNTA(G$5:G944)</f>
        <v>0.87340425531914889</v>
      </c>
      <c r="J944" s="16">
        <f>COUNTIF(H$5:H944,"Y")/COUNTA(H$5:H944)</f>
        <v>5.106382978723404E-2</v>
      </c>
      <c r="K944" s="16">
        <f>AVERAGE(F$5:F944)</f>
        <v>2.2108510638297889</v>
      </c>
      <c r="L944" s="16">
        <f>SUM(F$5:F944)/SUM(E$5:E944)</f>
        <v>0.7548033269167912</v>
      </c>
    </row>
    <row r="945" spans="1:12" x14ac:dyDescent="0.25">
      <c r="A945" s="29">
        <v>45786</v>
      </c>
      <c r="B945" s="16" t="s">
        <v>991</v>
      </c>
      <c r="C945" s="34">
        <v>1</v>
      </c>
      <c r="D945" s="16" t="s">
        <v>43</v>
      </c>
      <c r="E945" s="35">
        <v>4.3</v>
      </c>
      <c r="F945" s="35">
        <v>3.3</v>
      </c>
      <c r="G945" s="16" t="s">
        <v>44</v>
      </c>
      <c r="H945" s="16" t="s">
        <v>45</v>
      </c>
      <c r="I945" s="16">
        <f>COUNTIF(G$5:G945,"Y")/COUNTA(G$5:G945)</f>
        <v>0.87353878852284805</v>
      </c>
      <c r="J945" s="16">
        <f>COUNTIF(H$5:H945,"Y")/COUNTA(H$5:H945)</f>
        <v>5.1009564293304992E-2</v>
      </c>
      <c r="K945" s="16">
        <f>AVERAGE(F$5:F945)</f>
        <v>2.2120085015940507</v>
      </c>
      <c r="L945" s="16">
        <f>SUM(F$5:F945)/SUM(E$5:E945)</f>
        <v>0.75482303452277388</v>
      </c>
    </row>
    <row r="946" spans="1:12" x14ac:dyDescent="0.25">
      <c r="A946" s="29">
        <v>45782</v>
      </c>
      <c r="B946" s="16" t="s">
        <v>992</v>
      </c>
      <c r="C946" s="34">
        <v>1</v>
      </c>
      <c r="D946" s="16" t="s">
        <v>56</v>
      </c>
      <c r="E946" s="35">
        <v>4.3</v>
      </c>
      <c r="F946" s="35">
        <v>3.2</v>
      </c>
      <c r="G946" s="16" t="s">
        <v>44</v>
      </c>
      <c r="H946" s="16" t="s">
        <v>45</v>
      </c>
      <c r="I946" s="16">
        <f>COUNTIF(G$5:G946,"Y")/COUNTA(G$5:G946)</f>
        <v>0.87367303609341829</v>
      </c>
      <c r="J946" s="16">
        <f>COUNTIF(H$5:H946,"Y")/COUNTA(H$5:H946)</f>
        <v>5.0955414012738856E-2</v>
      </c>
      <c r="K946" s="16">
        <f>AVERAGE(F$5:F946)</f>
        <v>2.2130573248407659</v>
      </c>
      <c r="L946" s="16">
        <f>SUM(F$5:F946)/SUM(E$5:E946)</f>
        <v>0.75480647380426547</v>
      </c>
    </row>
    <row r="947" spans="1:12" x14ac:dyDescent="0.25">
      <c r="A947" s="29">
        <v>45783</v>
      </c>
      <c r="B947" s="16" t="s">
        <v>993</v>
      </c>
      <c r="C947" s="34">
        <v>1</v>
      </c>
      <c r="D947" s="16" t="s">
        <v>47</v>
      </c>
      <c r="E947" s="35">
        <v>4.8</v>
      </c>
      <c r="F947" s="35">
        <v>3.6</v>
      </c>
      <c r="G947" s="16" t="s">
        <v>44</v>
      </c>
      <c r="H947" s="16" t="s">
        <v>45</v>
      </c>
      <c r="I947" s="16">
        <f>COUNTIF(G$5:G947,"Y")/COUNTA(G$5:G947)</f>
        <v>0.8738069989395546</v>
      </c>
      <c r="J947" s="16">
        <f>COUNTIF(H$5:H947,"Y")/COUNTA(H$5:H947)</f>
        <v>5.0901378579003183E-2</v>
      </c>
      <c r="K947" s="16">
        <f>AVERAGE(F$5:F947)</f>
        <v>2.2145281018027587</v>
      </c>
      <c r="L947" s="16">
        <f>SUM(F$5:F947)/SUM(E$5:E947)</f>
        <v>0.75479813496222958</v>
      </c>
    </row>
    <row r="948" spans="1:12" x14ac:dyDescent="0.25">
      <c r="A948" s="29">
        <v>45784</v>
      </c>
      <c r="B948" s="16" t="s">
        <v>994</v>
      </c>
      <c r="C948" s="34">
        <v>1</v>
      </c>
      <c r="D948" s="16" t="s">
        <v>50</v>
      </c>
      <c r="E948" s="35">
        <v>3.9</v>
      </c>
      <c r="F948" s="35">
        <v>3.4</v>
      </c>
      <c r="G948" s="16" t="s">
        <v>44</v>
      </c>
      <c r="H948" s="16" t="s">
        <v>45</v>
      </c>
      <c r="I948" s="16">
        <f>COUNTIF(G$5:G948,"Y")/COUNTA(G$5:G948)</f>
        <v>0.87394067796610164</v>
      </c>
      <c r="J948" s="16">
        <f>COUNTIF(H$5:H948,"Y")/COUNTA(H$5:H948)</f>
        <v>5.0847457627118647E-2</v>
      </c>
      <c r="K948" s="16">
        <f>AVERAGE(F$5:F948)</f>
        <v>2.2157838983050864</v>
      </c>
      <c r="L948" s="16">
        <f>SUM(F$5:F948)/SUM(E$5:E948)</f>
        <v>0.75496282393705361</v>
      </c>
    </row>
    <row r="949" spans="1:12" x14ac:dyDescent="0.25">
      <c r="A949" s="29">
        <v>45785</v>
      </c>
      <c r="B949" s="16" t="s">
        <v>995</v>
      </c>
      <c r="C949" s="34">
        <v>1</v>
      </c>
      <c r="D949" s="16" t="s">
        <v>50</v>
      </c>
      <c r="E949" s="35">
        <v>4.7</v>
      </c>
      <c r="F949" s="35">
        <v>4.0999999999999996</v>
      </c>
      <c r="G949" s="16" t="s">
        <v>45</v>
      </c>
      <c r="H949" s="16" t="s">
        <v>45</v>
      </c>
      <c r="I949" s="16">
        <f>COUNTIF(G$5:G949,"Y")/COUNTA(G$5:G949)</f>
        <v>0.87301587301587302</v>
      </c>
      <c r="J949" s="16">
        <f>COUNTIF(H$5:H949,"Y")/COUNTA(H$5:H949)</f>
        <v>5.0793650793650794E-2</v>
      </c>
      <c r="K949" s="16">
        <f>AVERAGE(F$5:F949)</f>
        <v>2.2177777777777794</v>
      </c>
      <c r="L949" s="16">
        <f>SUM(F$5:F949)/SUM(E$5:E949)</f>
        <v>0.75516160415090283</v>
      </c>
    </row>
    <row r="950" spans="1:12" x14ac:dyDescent="0.25">
      <c r="A950" s="29">
        <v>45786</v>
      </c>
      <c r="B950" s="16" t="s">
        <v>996</v>
      </c>
      <c r="C950" s="34">
        <v>1</v>
      </c>
      <c r="D950" s="16" t="s">
        <v>56</v>
      </c>
      <c r="E950" s="35">
        <v>4.5</v>
      </c>
      <c r="F950" s="35">
        <v>3.7</v>
      </c>
      <c r="G950" s="16" t="s">
        <v>44</v>
      </c>
      <c r="H950" s="16" t="s">
        <v>45</v>
      </c>
      <c r="I950" s="16">
        <f>COUNTIF(G$5:G950,"Y")/COUNTA(G$5:G950)</f>
        <v>0.87315010570824525</v>
      </c>
      <c r="J950" s="16">
        <f>COUNTIF(H$5:H950,"Y")/COUNTA(H$5:H950)</f>
        <v>5.0739957716701901E-2</v>
      </c>
      <c r="K950" s="16">
        <f>AVERAGE(F$5:F950)</f>
        <v>2.2193446088794939</v>
      </c>
      <c r="L950" s="16">
        <f>SUM(F$5:F950)/SUM(E$5:E950)</f>
        <v>0.75527016332110242</v>
      </c>
    </row>
    <row r="951" spans="1:12" x14ac:dyDescent="0.25">
      <c r="A951" s="29">
        <v>45782</v>
      </c>
      <c r="B951" s="16" t="s">
        <v>997</v>
      </c>
      <c r="C951" s="34">
        <v>1</v>
      </c>
      <c r="D951" s="16" t="s">
        <v>47</v>
      </c>
      <c r="E951" s="35">
        <v>2.1</v>
      </c>
      <c r="F951" s="35">
        <v>1.5</v>
      </c>
      <c r="G951" s="16" t="s">
        <v>44</v>
      </c>
      <c r="H951" s="16" t="s">
        <v>45</v>
      </c>
      <c r="I951" s="16">
        <f>COUNTIF(G$5:G951,"Y")/COUNTA(G$5:G951)</f>
        <v>0.87328405491024286</v>
      </c>
      <c r="J951" s="16">
        <f>COUNTIF(H$5:H951,"Y")/COUNTA(H$5:H951)</f>
        <v>5.0686378035902854E-2</v>
      </c>
      <c r="K951" s="16">
        <f>AVERAGE(F$5:F951)</f>
        <v>2.2185850052798326</v>
      </c>
      <c r="L951" s="16">
        <f>SUM(F$5:F951)/SUM(E$5:E951)</f>
        <v>0.75523922499011487</v>
      </c>
    </row>
    <row r="952" spans="1:12" x14ac:dyDescent="0.25">
      <c r="A952" s="29">
        <v>45783</v>
      </c>
      <c r="B952" s="16" t="s">
        <v>998</v>
      </c>
      <c r="C952" s="34">
        <v>1</v>
      </c>
      <c r="D952" s="16" t="s">
        <v>64</v>
      </c>
      <c r="E952" s="35">
        <v>3.3</v>
      </c>
      <c r="F952" s="35">
        <v>2.6</v>
      </c>
      <c r="G952" s="16" t="s">
        <v>44</v>
      </c>
      <c r="H952" s="16" t="s">
        <v>45</v>
      </c>
      <c r="I952" s="16">
        <f>COUNTIF(G$5:G952,"Y")/COUNTA(G$5:G952)</f>
        <v>0.87341772151898733</v>
      </c>
      <c r="J952" s="16">
        <f>COUNTIF(H$5:H952,"Y")/COUNTA(H$5:H952)</f>
        <v>5.0632911392405063E-2</v>
      </c>
      <c r="K952" s="16">
        <f>AVERAGE(F$5:F952)</f>
        <v>2.2189873417721531</v>
      </c>
      <c r="L952" s="16">
        <f>SUM(F$5:F952)/SUM(E$5:E952)</f>
        <v>0.75527789745799234</v>
      </c>
    </row>
    <row r="953" spans="1:12" x14ac:dyDescent="0.25">
      <c r="A953" s="29">
        <v>45784</v>
      </c>
      <c r="B953" s="16" t="s">
        <v>999</v>
      </c>
      <c r="C953" s="34">
        <v>1</v>
      </c>
      <c r="D953" s="16" t="s">
        <v>56</v>
      </c>
      <c r="E953" s="35">
        <v>4.3</v>
      </c>
      <c r="F953" s="35">
        <v>3.3</v>
      </c>
      <c r="G953" s="16" t="s">
        <v>44</v>
      </c>
      <c r="H953" s="16" t="s">
        <v>45</v>
      </c>
      <c r="I953" s="16">
        <f>COUNTIF(G$5:G953,"Y")/COUNTA(G$5:G953)</f>
        <v>0.87355110642781875</v>
      </c>
      <c r="J953" s="16">
        <f>COUNTIF(H$5:H953,"Y")/COUNTA(H$5:H953)</f>
        <v>5.0579557428872497E-2</v>
      </c>
      <c r="K953" s="16">
        <f>AVERAGE(F$5:F953)</f>
        <v>2.2201264488935739</v>
      </c>
      <c r="L953" s="16">
        <f>SUM(F$5:F953)/SUM(E$5:E953)</f>
        <v>0.755296648144829</v>
      </c>
    </row>
    <row r="954" spans="1:12" x14ac:dyDescent="0.25">
      <c r="A954" s="29">
        <v>45785</v>
      </c>
      <c r="B954" s="16" t="s">
        <v>1000</v>
      </c>
      <c r="C954" s="34">
        <v>1</v>
      </c>
      <c r="D954" s="16" t="s">
        <v>60</v>
      </c>
      <c r="E954" s="35">
        <v>3.4</v>
      </c>
      <c r="F954" s="35">
        <v>2.9</v>
      </c>
      <c r="G954" s="16" t="s">
        <v>44</v>
      </c>
      <c r="H954" s="16" t="s">
        <v>44</v>
      </c>
      <c r="I954" s="16">
        <f>COUNTIF(G$5:G954,"Y")/COUNTA(G$5:G954)</f>
        <v>0.87368421052631584</v>
      </c>
      <c r="J954" s="16">
        <f>COUNTIF(H$5:H954,"Y")/COUNTA(H$5:H954)</f>
        <v>5.1578947368421051E-2</v>
      </c>
      <c r="K954" s="16">
        <f>AVERAGE(F$5:F954)</f>
        <v>2.2208421052631597</v>
      </c>
      <c r="L954" s="16">
        <f>SUM(F$5:F954)/SUM(E$5:E954)</f>
        <v>0.75541551792044126</v>
      </c>
    </row>
    <row r="955" spans="1:12" x14ac:dyDescent="0.25">
      <c r="A955" s="29">
        <v>45786</v>
      </c>
      <c r="B955" s="16" t="s">
        <v>1001</v>
      </c>
      <c r="C955" s="34">
        <v>1</v>
      </c>
      <c r="D955" s="16" t="s">
        <v>52</v>
      </c>
      <c r="E955" s="35">
        <v>3.4</v>
      </c>
      <c r="F955" s="35">
        <v>2.4</v>
      </c>
      <c r="G955" s="16" t="s">
        <v>44</v>
      </c>
      <c r="H955" s="16" t="s">
        <v>45</v>
      </c>
      <c r="I955" s="16">
        <f>COUNTIF(G$5:G955,"Y")/COUNTA(G$5:G955)</f>
        <v>0.87381703470031546</v>
      </c>
      <c r="J955" s="16">
        <f>COUNTIF(H$5:H955,"Y")/COUNTA(H$5:H955)</f>
        <v>5.152471083070452E-2</v>
      </c>
      <c r="K955" s="16">
        <f>AVERAGE(F$5:F955)</f>
        <v>2.2210304942166159</v>
      </c>
      <c r="L955" s="16">
        <f>SUM(F$5:F955)/SUM(E$5:E955)</f>
        <v>0.75535529092014464</v>
      </c>
    </row>
    <row r="956" spans="1:12" x14ac:dyDescent="0.25">
      <c r="A956" s="29">
        <v>45782</v>
      </c>
      <c r="B956" s="16" t="s">
        <v>1002</v>
      </c>
      <c r="C956" s="34">
        <v>1</v>
      </c>
      <c r="D956" s="16" t="s">
        <v>50</v>
      </c>
      <c r="E956" s="35">
        <v>4.3</v>
      </c>
      <c r="F956" s="35">
        <v>2.9</v>
      </c>
      <c r="G956" s="16" t="s">
        <v>44</v>
      </c>
      <c r="H956" s="16" t="s">
        <v>45</v>
      </c>
      <c r="I956" s="16">
        <f>COUNTIF(G$5:G956,"Y")/COUNTA(G$5:G956)</f>
        <v>0.87394957983193278</v>
      </c>
      <c r="J956" s="16">
        <f>COUNTIF(H$5:H956,"Y")/COUNTA(H$5:H956)</f>
        <v>5.1470588235294115E-2</v>
      </c>
      <c r="K956" s="16">
        <f>AVERAGE(F$5:F956)</f>
        <v>2.2217436974789933</v>
      </c>
      <c r="L956" s="16">
        <f>SUM(F$5:F956)/SUM(E$5:E956)</f>
        <v>0.75523102192387359</v>
      </c>
    </row>
    <row r="957" spans="1:12" x14ac:dyDescent="0.25">
      <c r="A957" s="29">
        <v>45783</v>
      </c>
      <c r="B957" s="16" t="s">
        <v>1003</v>
      </c>
      <c r="C957" s="34">
        <v>1</v>
      </c>
      <c r="D957" s="16" t="s">
        <v>43</v>
      </c>
      <c r="E957" s="35">
        <v>2.2000000000000002</v>
      </c>
      <c r="F957" s="35">
        <v>1.6</v>
      </c>
      <c r="G957" s="16" t="s">
        <v>44</v>
      </c>
      <c r="H957" s="16" t="s">
        <v>45</v>
      </c>
      <c r="I957" s="16">
        <f>COUNTIF(G$5:G957,"Y")/COUNTA(G$5:G957)</f>
        <v>0.87408184679958023</v>
      </c>
      <c r="J957" s="16">
        <f>COUNTIF(H$5:H957,"Y")/COUNTA(H$5:H957)</f>
        <v>5.1416579223504719E-2</v>
      </c>
      <c r="K957" s="16">
        <f>AVERAGE(F$5:F957)</f>
        <v>2.221091290661072</v>
      </c>
      <c r="L957" s="16">
        <f>SUM(F$5:F957)/SUM(E$5:E957)</f>
        <v>0.75520907663764825</v>
      </c>
    </row>
    <row r="958" spans="1:12" x14ac:dyDescent="0.25">
      <c r="A958" s="29">
        <v>45784</v>
      </c>
      <c r="B958" s="16" t="s">
        <v>1004</v>
      </c>
      <c r="C958" s="34">
        <v>1</v>
      </c>
      <c r="D958" s="16" t="s">
        <v>43</v>
      </c>
      <c r="E958" s="35">
        <v>5.8</v>
      </c>
      <c r="F958" s="35">
        <v>4.0999999999999996</v>
      </c>
      <c r="G958" s="16" t="s">
        <v>44</v>
      </c>
      <c r="H958" s="16" t="s">
        <v>45</v>
      </c>
      <c r="I958" s="16">
        <f>COUNTIF(G$5:G958,"Y")/COUNTA(G$5:G958)</f>
        <v>0.87421383647798745</v>
      </c>
      <c r="J958" s="16">
        <f>COUNTIF(H$5:H958,"Y")/COUNTA(H$5:H958)</f>
        <v>5.1362683438155136E-2</v>
      </c>
      <c r="K958" s="16">
        <f>AVERAGE(F$5:F958)</f>
        <v>2.2230607966457039</v>
      </c>
      <c r="L958" s="16">
        <f>SUM(F$5:F958)/SUM(E$5:E958)</f>
        <v>0.75510930712810664</v>
      </c>
    </row>
    <row r="959" spans="1:12" x14ac:dyDescent="0.25">
      <c r="A959" s="29">
        <v>45785</v>
      </c>
      <c r="B959" s="16" t="s">
        <v>1005</v>
      </c>
      <c r="C959" s="34">
        <v>1</v>
      </c>
      <c r="D959" s="16" t="s">
        <v>43</v>
      </c>
      <c r="E959" s="35">
        <v>4.4000000000000004</v>
      </c>
      <c r="F959" s="35">
        <v>3.5</v>
      </c>
      <c r="G959" s="16" t="s">
        <v>44</v>
      </c>
      <c r="H959" s="16" t="s">
        <v>45</v>
      </c>
      <c r="I959" s="16">
        <f>COUNTIF(G$5:G959,"Y")/COUNTA(G$5:G959)</f>
        <v>0.87434554973821987</v>
      </c>
      <c r="J959" s="16">
        <f>COUNTIF(H$5:H959,"Y")/COUNTA(H$5:H959)</f>
        <v>5.1308900523560207E-2</v>
      </c>
      <c r="K959" s="16">
        <f>AVERAGE(F$5:F959)</f>
        <v>2.2243979057591639</v>
      </c>
      <c r="L959" s="16">
        <f>SUM(F$5:F959)/SUM(E$5:E959)</f>
        <v>0.75517241379310351</v>
      </c>
    </row>
    <row r="960" spans="1:12" x14ac:dyDescent="0.25">
      <c r="A960" s="29">
        <v>45786</v>
      </c>
      <c r="B960" s="16" t="s">
        <v>1006</v>
      </c>
      <c r="C960" s="34">
        <v>1</v>
      </c>
      <c r="D960" s="16" t="s">
        <v>47</v>
      </c>
      <c r="E960" s="35">
        <v>5.6</v>
      </c>
      <c r="F960" s="35">
        <v>4.2</v>
      </c>
      <c r="G960" s="16" t="s">
        <v>44</v>
      </c>
      <c r="H960" s="16" t="s">
        <v>45</v>
      </c>
      <c r="I960" s="16">
        <f>COUNTIF(G$5:G960,"Y")/COUNTA(G$5:G960)</f>
        <v>0.87447698744769875</v>
      </c>
      <c r="J960" s="16">
        <f>COUNTIF(H$5:H960,"Y")/COUNTA(H$5:H960)</f>
        <v>5.1255230125523014E-2</v>
      </c>
      <c r="K960" s="16">
        <f>AVERAGE(F$5:F960)</f>
        <v>2.2264644351464451</v>
      </c>
      <c r="L960" s="16">
        <f>SUM(F$5:F960)/SUM(E$5:E960)</f>
        <v>0.75516213723124959</v>
      </c>
    </row>
    <row r="961" spans="1:12" x14ac:dyDescent="0.25">
      <c r="A961" s="29">
        <v>45782</v>
      </c>
      <c r="B961" s="16" t="s">
        <v>1007</v>
      </c>
      <c r="C961" s="34">
        <v>1</v>
      </c>
      <c r="D961" s="16" t="s">
        <v>47</v>
      </c>
      <c r="E961" s="35">
        <v>3.4</v>
      </c>
      <c r="F961" s="35">
        <v>2.9</v>
      </c>
      <c r="G961" s="16" t="s">
        <v>44</v>
      </c>
      <c r="H961" s="16" t="s">
        <v>45</v>
      </c>
      <c r="I961" s="16">
        <f>COUNTIF(G$5:G961,"Y")/COUNTA(G$5:G961)</f>
        <v>0.87460815047021945</v>
      </c>
      <c r="J961" s="16">
        <f>COUNTIF(H$5:H961,"Y")/COUNTA(H$5:H961)</f>
        <v>5.1201671891327065E-2</v>
      </c>
      <c r="K961" s="16">
        <f>AVERAGE(F$5:F961)</f>
        <v>2.2271682340647874</v>
      </c>
      <c r="L961" s="16">
        <f>SUM(F$5:F961)/SUM(E$5:E961)</f>
        <v>0.75527994330262227</v>
      </c>
    </row>
    <row r="962" spans="1:12" x14ac:dyDescent="0.25">
      <c r="A962" s="29">
        <v>45783</v>
      </c>
      <c r="B962" s="16" t="s">
        <v>1008</v>
      </c>
      <c r="C962" s="34">
        <v>1</v>
      </c>
      <c r="D962" s="16" t="s">
        <v>64</v>
      </c>
      <c r="E962" s="35">
        <v>1.6</v>
      </c>
      <c r="F962" s="35">
        <v>1.2</v>
      </c>
      <c r="G962" s="16" t="s">
        <v>44</v>
      </c>
      <c r="H962" s="16" t="s">
        <v>45</v>
      </c>
      <c r="I962" s="16">
        <f>COUNTIF(G$5:G962,"Y")/COUNTA(G$5:G962)</f>
        <v>0.87473903966597077</v>
      </c>
      <c r="J962" s="16">
        <f>COUNTIF(H$5:H962,"Y")/COUNTA(H$5:H962)</f>
        <v>5.1148225469728602E-2</v>
      </c>
      <c r="K962" s="16">
        <f>AVERAGE(F$5:F962)</f>
        <v>2.2260960334029241</v>
      </c>
      <c r="L962" s="16">
        <f>SUM(F$5:F962)/SUM(E$5:E962)</f>
        <v>0.75527695140954809</v>
      </c>
    </row>
    <row r="963" spans="1:12" x14ac:dyDescent="0.25">
      <c r="A963" s="29">
        <v>45784</v>
      </c>
      <c r="B963" s="16" t="s">
        <v>1009</v>
      </c>
      <c r="C963" s="34">
        <v>1</v>
      </c>
      <c r="D963" s="16" t="s">
        <v>50</v>
      </c>
      <c r="E963" s="35">
        <v>4.3</v>
      </c>
      <c r="F963" s="35">
        <v>2.9</v>
      </c>
      <c r="G963" s="16" t="s">
        <v>44</v>
      </c>
      <c r="H963" s="16" t="s">
        <v>45</v>
      </c>
      <c r="I963" s="16">
        <f>COUNTIF(G$5:G963,"Y")/COUNTA(G$5:G963)</f>
        <v>0.87486965589155374</v>
      </c>
      <c r="J963" s="16">
        <f>COUNTIF(H$5:H963,"Y")/COUNTA(H$5:H963)</f>
        <v>5.1094890510948905E-2</v>
      </c>
      <c r="K963" s="16">
        <f>AVERAGE(F$5:F963)</f>
        <v>2.2267987486965604</v>
      </c>
      <c r="L963" s="16">
        <f>SUM(F$5:F963)/SUM(E$5:E963)</f>
        <v>0.75515400120230558</v>
      </c>
    </row>
    <row r="964" spans="1:12" x14ac:dyDescent="0.25">
      <c r="A964" s="29">
        <v>45785</v>
      </c>
      <c r="B964" s="16" t="s">
        <v>1010</v>
      </c>
      <c r="C964" s="34">
        <v>1</v>
      </c>
      <c r="D964" s="16" t="s">
        <v>47</v>
      </c>
      <c r="E964" s="35">
        <v>3.1</v>
      </c>
      <c r="F964" s="35">
        <v>2.2000000000000002</v>
      </c>
      <c r="G964" s="16" t="s">
        <v>44</v>
      </c>
      <c r="H964" s="16" t="s">
        <v>45</v>
      </c>
      <c r="I964" s="16">
        <f>COUNTIF(G$5:G964,"Y")/COUNTA(G$5:G964)</f>
        <v>0.875</v>
      </c>
      <c r="J964" s="16">
        <f>COUNTIF(H$5:H964,"Y")/COUNTA(H$5:H964)</f>
        <v>5.1041666666666666E-2</v>
      </c>
      <c r="K964" s="16">
        <f>AVERAGE(F$5:F964)</f>
        <v>2.2267708333333345</v>
      </c>
      <c r="L964" s="16">
        <f>SUM(F$5:F964)/SUM(E$5:E964)</f>
        <v>0.75510420346167428</v>
      </c>
    </row>
    <row r="965" spans="1:12" x14ac:dyDescent="0.25">
      <c r="A965" s="29">
        <v>45786</v>
      </c>
      <c r="B965" s="16" t="s">
        <v>1011</v>
      </c>
      <c r="C965" s="34">
        <v>1</v>
      </c>
      <c r="D965" s="16" t="s">
        <v>64</v>
      </c>
      <c r="E965" s="35">
        <v>5</v>
      </c>
      <c r="F965" s="35">
        <v>4</v>
      </c>
      <c r="G965" s="16" t="s">
        <v>44</v>
      </c>
      <c r="H965" s="16" t="s">
        <v>45</v>
      </c>
      <c r="I965" s="16">
        <f>COUNTIF(G$5:G965,"Y")/COUNTA(G$5:G965)</f>
        <v>0.87513007284079081</v>
      </c>
      <c r="J965" s="16">
        <f>COUNTIF(H$5:H965,"Y")/COUNTA(H$5:H965)</f>
        <v>5.0988553590010408E-2</v>
      </c>
      <c r="K965" s="16">
        <f>AVERAGE(F$5:F965)</f>
        <v>2.2286160249739866</v>
      </c>
      <c r="L965" s="16">
        <f>SUM(F$5:F965)/SUM(E$5:E965)</f>
        <v>0.75518335684062055</v>
      </c>
    </row>
    <row r="966" spans="1:12" x14ac:dyDescent="0.25">
      <c r="A966" s="29">
        <v>45782</v>
      </c>
      <c r="B966" s="16" t="s">
        <v>1012</v>
      </c>
      <c r="C966" s="34">
        <v>1</v>
      </c>
      <c r="D966" s="16" t="s">
        <v>60</v>
      </c>
      <c r="E966" s="35">
        <v>3.4</v>
      </c>
      <c r="F966" s="35">
        <v>2.5</v>
      </c>
      <c r="G966" s="16" t="s">
        <v>45</v>
      </c>
      <c r="H966" s="16" t="s">
        <v>45</v>
      </c>
      <c r="I966" s="16">
        <f>COUNTIF(G$5:G966,"Y")/COUNTA(G$5:G966)</f>
        <v>0.87422037422037424</v>
      </c>
      <c r="J966" s="16">
        <f>COUNTIF(H$5:H966,"Y")/COUNTA(H$5:H966)</f>
        <v>5.0935550935550938E-2</v>
      </c>
      <c r="K966" s="16">
        <f>AVERAGE(F$5:F966)</f>
        <v>2.22889812889813</v>
      </c>
      <c r="L966" s="16">
        <f>SUM(F$5:F966)/SUM(E$5:E966)</f>
        <v>0.75515954074804525</v>
      </c>
    </row>
    <row r="967" spans="1:12" x14ac:dyDescent="0.25">
      <c r="A967" s="29">
        <v>45783</v>
      </c>
      <c r="B967" s="16" t="s">
        <v>1013</v>
      </c>
      <c r="C967" s="34">
        <v>1</v>
      </c>
      <c r="D967" s="16" t="s">
        <v>64</v>
      </c>
      <c r="E967" s="35">
        <v>3.3</v>
      </c>
      <c r="F967" s="35">
        <v>2.8</v>
      </c>
      <c r="G967" s="16" t="s">
        <v>44</v>
      </c>
      <c r="H967" s="16" t="s">
        <v>45</v>
      </c>
      <c r="I967" s="16">
        <f>COUNTIF(G$5:G967,"Y")/COUNTA(G$5:G967)</f>
        <v>0.87435098650051923</v>
      </c>
      <c r="J967" s="16">
        <f>COUNTIF(H$5:H967,"Y")/COUNTA(H$5:H967)</f>
        <v>5.0882658359293877E-2</v>
      </c>
      <c r="K967" s="16">
        <f>AVERAGE(F$5:F967)</f>
        <v>2.2294911734164087</v>
      </c>
      <c r="L967" s="16">
        <f>SUM(F$5:F967)/SUM(E$5:E967)</f>
        <v>0.75526787912899696</v>
      </c>
    </row>
    <row r="968" spans="1:12" x14ac:dyDescent="0.25">
      <c r="A968" s="29">
        <v>45784</v>
      </c>
      <c r="B968" s="16" t="s">
        <v>1014</v>
      </c>
      <c r="C968" s="34">
        <v>1</v>
      </c>
      <c r="D968" s="16" t="s">
        <v>52</v>
      </c>
      <c r="E968" s="35">
        <v>2.7</v>
      </c>
      <c r="F968" s="35">
        <v>1.9</v>
      </c>
      <c r="G968" s="16" t="s">
        <v>44</v>
      </c>
      <c r="H968" s="16" t="s">
        <v>45</v>
      </c>
      <c r="I968" s="16">
        <f>COUNTIF(G$5:G968,"Y")/COUNTA(G$5:G968)</f>
        <v>0.87448132780082988</v>
      </c>
      <c r="J968" s="16">
        <f>COUNTIF(H$5:H968,"Y")/COUNTA(H$5:H968)</f>
        <v>5.0829875518672199E-2</v>
      </c>
      <c r="K968" s="16">
        <f>AVERAGE(F$5:F968)</f>
        <v>2.2291493775933624</v>
      </c>
      <c r="L968" s="16">
        <f>SUM(F$5:F968)/SUM(E$5:E968)</f>
        <v>0.75521894988402338</v>
      </c>
    </row>
    <row r="969" spans="1:12" x14ac:dyDescent="0.25">
      <c r="A969" s="29">
        <v>45785</v>
      </c>
      <c r="B969" s="16" t="s">
        <v>1015</v>
      </c>
      <c r="C969" s="34">
        <v>1</v>
      </c>
      <c r="D969" s="16" t="s">
        <v>50</v>
      </c>
      <c r="E969" s="35">
        <v>2.1</v>
      </c>
      <c r="F969" s="35">
        <v>1.8</v>
      </c>
      <c r="G969" s="16" t="s">
        <v>44</v>
      </c>
      <c r="H969" s="16" t="s">
        <v>45</v>
      </c>
      <c r="I969" s="16">
        <f>COUNTIF(G$5:G969,"Y")/COUNTA(G$5:G969)</f>
        <v>0.87461139896373052</v>
      </c>
      <c r="J969" s="16">
        <f>COUNTIF(H$5:H969,"Y")/COUNTA(H$5:H969)</f>
        <v>5.0777202072538857E-2</v>
      </c>
      <c r="K969" s="16">
        <f>AVERAGE(F$5:F969)</f>
        <v>2.228704663212437</v>
      </c>
      <c r="L969" s="16">
        <f>SUM(F$5:F969)/SUM(E$5:E969)</f>
        <v>0.75529411764705889</v>
      </c>
    </row>
    <row r="970" spans="1:12" x14ac:dyDescent="0.25">
      <c r="A970" s="29">
        <v>45786</v>
      </c>
      <c r="B970" s="16" t="s">
        <v>1016</v>
      </c>
      <c r="C970" s="34">
        <v>1</v>
      </c>
      <c r="D970" s="16" t="s">
        <v>52</v>
      </c>
      <c r="E970" s="35">
        <v>5.3</v>
      </c>
      <c r="F970" s="35">
        <v>3.7</v>
      </c>
      <c r="G970" s="16" t="s">
        <v>44</v>
      </c>
      <c r="H970" s="16" t="s">
        <v>45</v>
      </c>
      <c r="I970" s="16">
        <f>COUNTIF(G$5:G970,"Y")/COUNTA(G$5:G970)</f>
        <v>0.87474120082815732</v>
      </c>
      <c r="J970" s="16">
        <f>COUNTIF(H$5:H970,"Y")/COUNTA(H$5:H970)</f>
        <v>5.0724637681159424E-2</v>
      </c>
      <c r="K970" s="16">
        <f>AVERAGE(F$5:F970)</f>
        <v>2.230227743271223</v>
      </c>
      <c r="L970" s="16">
        <f>SUM(F$5:F970)/SUM(E$5:E970)</f>
        <v>0.75518788558609085</v>
      </c>
    </row>
    <row r="971" spans="1:12" x14ac:dyDescent="0.25">
      <c r="A971" s="29">
        <v>45782</v>
      </c>
      <c r="B971" s="16" t="s">
        <v>1017</v>
      </c>
      <c r="C971" s="34">
        <v>1</v>
      </c>
      <c r="D971" s="16" t="s">
        <v>64</v>
      </c>
      <c r="E971" s="35">
        <v>5.7</v>
      </c>
      <c r="F971" s="35">
        <v>3.9</v>
      </c>
      <c r="G971" s="16" t="s">
        <v>44</v>
      </c>
      <c r="H971" s="16" t="s">
        <v>45</v>
      </c>
      <c r="I971" s="16">
        <f>COUNTIF(G$5:G971,"Y")/COUNTA(G$5:G971)</f>
        <v>0.87487073422957606</v>
      </c>
      <c r="J971" s="16">
        <f>COUNTIF(H$5:H971,"Y")/COUNTA(H$5:H971)</f>
        <v>5.0672182006204755E-2</v>
      </c>
      <c r="K971" s="16">
        <f>AVERAGE(F$5:F971)</f>
        <v>2.2319544984488124</v>
      </c>
      <c r="L971" s="16">
        <f>SUM(F$5:F971)/SUM(E$5:E971)</f>
        <v>0.75504635298233347</v>
      </c>
    </row>
    <row r="972" spans="1:12" x14ac:dyDescent="0.25">
      <c r="A972" s="29">
        <v>45783</v>
      </c>
      <c r="B972" s="16" t="s">
        <v>1018</v>
      </c>
      <c r="C972" s="34">
        <v>1</v>
      </c>
      <c r="D972" s="16" t="s">
        <v>50</v>
      </c>
      <c r="E972" s="35">
        <v>2.7</v>
      </c>
      <c r="F972" s="35">
        <v>2.1</v>
      </c>
      <c r="G972" s="16" t="s">
        <v>44</v>
      </c>
      <c r="H972" s="16" t="s">
        <v>45</v>
      </c>
      <c r="I972" s="16">
        <f>COUNTIF(G$5:G972,"Y")/COUNTA(G$5:G972)</f>
        <v>0.875</v>
      </c>
      <c r="J972" s="16">
        <f>COUNTIF(H$5:H972,"Y")/COUNTA(H$5:H972)</f>
        <v>5.06198347107438E-2</v>
      </c>
      <c r="K972" s="16">
        <f>AVERAGE(F$5:F972)</f>
        <v>2.2318181818181833</v>
      </c>
      <c r="L972" s="16">
        <f>SUM(F$5:F972)/SUM(E$5:E972)</f>
        <v>0.75506780371871951</v>
      </c>
    </row>
    <row r="973" spans="1:12" x14ac:dyDescent="0.25">
      <c r="A973" s="29">
        <v>45784</v>
      </c>
      <c r="B973" s="16" t="s">
        <v>1019</v>
      </c>
      <c r="C973" s="34">
        <v>1</v>
      </c>
      <c r="D973" s="16" t="s">
        <v>60</v>
      </c>
      <c r="E973" s="35">
        <v>0.6</v>
      </c>
      <c r="F973" s="35">
        <v>0.5</v>
      </c>
      <c r="G973" s="16" t="s">
        <v>44</v>
      </c>
      <c r="H973" s="16" t="s">
        <v>45</v>
      </c>
      <c r="I973" s="16">
        <f>COUNTIF(G$5:G973,"Y")/COUNTA(G$5:G973)</f>
        <v>0.87512899896800822</v>
      </c>
      <c r="J973" s="16">
        <f>COUNTIF(H$5:H973,"Y")/COUNTA(H$5:H973)</f>
        <v>5.0567595459236329E-2</v>
      </c>
      <c r="K973" s="16">
        <f>AVERAGE(F$5:F973)</f>
        <v>2.2300309597523236</v>
      </c>
      <c r="L973" s="16">
        <f>SUM(F$5:F973)/SUM(E$5:E973)</f>
        <v>0.75508421273324489</v>
      </c>
    </row>
    <row r="974" spans="1:12" x14ac:dyDescent="0.25">
      <c r="A974" s="29">
        <v>45785</v>
      </c>
      <c r="B974" s="16" t="s">
        <v>1020</v>
      </c>
      <c r="C974" s="34">
        <v>1</v>
      </c>
      <c r="D974" s="16" t="s">
        <v>60</v>
      </c>
      <c r="E974" s="35">
        <v>0.6</v>
      </c>
      <c r="F974" s="35">
        <v>0.5</v>
      </c>
      <c r="G974" s="16" t="s">
        <v>44</v>
      </c>
      <c r="H974" s="16" t="s">
        <v>45</v>
      </c>
      <c r="I974" s="16">
        <f>COUNTIF(G$5:G974,"Y")/COUNTA(G$5:G974)</f>
        <v>0.87525773195876289</v>
      </c>
      <c r="J974" s="16">
        <f>COUNTIF(H$5:H974,"Y")/COUNTA(H$5:H974)</f>
        <v>5.0515463917525774E-2</v>
      </c>
      <c r="K974" s="16">
        <f>AVERAGE(F$5:F974)</f>
        <v>2.2282474226804139</v>
      </c>
      <c r="L974" s="16">
        <f>SUM(F$5:F974)/SUM(E$5:E974)</f>
        <v>0.75510061486864177</v>
      </c>
    </row>
    <row r="975" spans="1:12" x14ac:dyDescent="0.25">
      <c r="A975" s="29">
        <v>45786</v>
      </c>
      <c r="B975" s="16" t="s">
        <v>1021</v>
      </c>
      <c r="C975" s="34">
        <v>1</v>
      </c>
      <c r="D975" s="16" t="s">
        <v>60</v>
      </c>
      <c r="E975" s="35">
        <v>0.6</v>
      </c>
      <c r="F975" s="35">
        <v>0.5</v>
      </c>
      <c r="G975" s="16" t="s">
        <v>44</v>
      </c>
      <c r="H975" s="16" t="s">
        <v>45</v>
      </c>
      <c r="I975" s="16">
        <f>COUNTIF(G$5:G975,"Y")/COUNTA(G$5:G975)</f>
        <v>0.87538619979402676</v>
      </c>
      <c r="J975" s="16">
        <f>COUNTIF(H$5:H975,"Y")/COUNTA(H$5:H975)</f>
        <v>5.0463439752832129E-2</v>
      </c>
      <c r="K975" s="16">
        <f>AVERAGE(F$5:F975)</f>
        <v>2.2264675592173031</v>
      </c>
      <c r="L975" s="16">
        <f>SUM(F$5:F975)/SUM(E$5:E975)</f>
        <v>0.75511701012923527</v>
      </c>
    </row>
    <row r="976" spans="1:12" x14ac:dyDescent="0.25">
      <c r="A976" s="29">
        <v>45782</v>
      </c>
      <c r="B976" s="16" t="s">
        <v>1022</v>
      </c>
      <c r="C976" s="34">
        <v>1</v>
      </c>
      <c r="D976" s="16" t="s">
        <v>56</v>
      </c>
      <c r="E976" s="35">
        <v>0.6</v>
      </c>
      <c r="F976" s="35">
        <v>0.5</v>
      </c>
      <c r="G976" s="16" t="s">
        <v>44</v>
      </c>
      <c r="H976" s="16" t="s">
        <v>45</v>
      </c>
      <c r="I976" s="16">
        <f>COUNTIF(G$5:G976,"Y")/COUNTA(G$5:G976)</f>
        <v>0.87551440329218111</v>
      </c>
      <c r="J976" s="16">
        <f>COUNTIF(H$5:H976,"Y")/COUNTA(H$5:H976)</f>
        <v>5.0411522633744855E-2</v>
      </c>
      <c r="K976" s="16">
        <f>AVERAGE(F$5:F976)</f>
        <v>2.224691358024693</v>
      </c>
      <c r="L976" s="16">
        <f>SUM(F$5:F976)/SUM(E$5:E976)</f>
        <v>0.75513339851934647</v>
      </c>
    </row>
    <row r="977" spans="1:13" x14ac:dyDescent="0.25">
      <c r="A977" s="29">
        <v>45783</v>
      </c>
      <c r="B977" s="16" t="s">
        <v>1023</v>
      </c>
      <c r="C977" s="34">
        <v>1</v>
      </c>
      <c r="D977" s="16" t="s">
        <v>43</v>
      </c>
      <c r="E977" s="35">
        <v>0.6</v>
      </c>
      <c r="F977" s="35">
        <v>0.5</v>
      </c>
      <c r="G977" s="16" t="s">
        <v>44</v>
      </c>
      <c r="H977" s="16" t="s">
        <v>45</v>
      </c>
      <c r="I977" s="16">
        <f>COUNTIF(G$5:G977,"Y")/COUNTA(G$5:G977)</f>
        <v>0.87564234326824253</v>
      </c>
      <c r="J977" s="16">
        <f>COUNTIF(H$5:H977,"Y")/COUNTA(H$5:H977)</f>
        <v>5.0359712230215826E-2</v>
      </c>
      <c r="K977" s="16">
        <f>AVERAGE(F$5:F977)</f>
        <v>2.2229188078108955</v>
      </c>
      <c r="L977" s="16">
        <f>SUM(F$5:F977)/SUM(E$5:E977)</f>
        <v>0.75514978004329325</v>
      </c>
    </row>
    <row r="978" spans="1:13" x14ac:dyDescent="0.25">
      <c r="A978" s="29">
        <v>45784</v>
      </c>
      <c r="B978" s="16" t="s">
        <v>1024</v>
      </c>
      <c r="C978" s="34">
        <v>1</v>
      </c>
      <c r="D978" s="16" t="s">
        <v>64</v>
      </c>
      <c r="E978" s="35">
        <v>0.7</v>
      </c>
      <c r="F978" s="35">
        <v>0.5</v>
      </c>
      <c r="G978" s="16" t="s">
        <v>45</v>
      </c>
      <c r="H978" s="16" t="s">
        <v>45</v>
      </c>
      <c r="I978" s="16">
        <f>COUNTIF(G$5:G978,"Y")/COUNTA(G$5:G978)</f>
        <v>0.87474332648870634</v>
      </c>
      <c r="J978" s="16">
        <f>COUNTIF(H$5:H978,"Y")/COUNTA(H$5:H978)</f>
        <v>5.0308008213552365E-2</v>
      </c>
      <c r="K978" s="16">
        <f>AVERAGE(F$5:F978)</f>
        <v>2.221149897330597</v>
      </c>
      <c r="L978" s="16">
        <f>SUM(F$5:F978)/SUM(E$5:E978)</f>
        <v>0.75513979545533905</v>
      </c>
    </row>
    <row r="979" spans="1:13" x14ac:dyDescent="0.25">
      <c r="A979" s="29">
        <v>45785</v>
      </c>
      <c r="B979" s="16" t="s">
        <v>1025</v>
      </c>
      <c r="C979" s="34">
        <v>1</v>
      </c>
      <c r="D979" s="16" t="s">
        <v>43</v>
      </c>
      <c r="E979" s="35">
        <v>0.6</v>
      </c>
      <c r="F979" s="35">
        <v>0.5</v>
      </c>
      <c r="G979" s="16" t="s">
        <v>44</v>
      </c>
      <c r="H979" s="16" t="s">
        <v>44</v>
      </c>
      <c r="I979" s="16">
        <f>COUNTIF(G$5:G979,"Y")/COUNTA(G$5:G979)</f>
        <v>0.87487179487179489</v>
      </c>
      <c r="J979" s="16">
        <f>COUNTIF(H$5:H979,"Y")/COUNTA(H$5:H979)</f>
        <v>5.128205128205128E-2</v>
      </c>
      <c r="K979" s="16">
        <f>AVERAGE(F$5:F979)</f>
        <v>2.2193846153846168</v>
      </c>
      <c r="L979" s="16">
        <f>SUM(F$5:F979)/SUM(E$5:E979)</f>
        <v>0.75515616820799192</v>
      </c>
    </row>
    <row r="980" spans="1:13" x14ac:dyDescent="0.25">
      <c r="A980" s="29">
        <v>45786</v>
      </c>
      <c r="B980" s="16" t="s">
        <v>1026</v>
      </c>
      <c r="C980" s="34">
        <v>1</v>
      </c>
      <c r="D980" s="16" t="s">
        <v>50</v>
      </c>
      <c r="E980" s="35">
        <v>0.6</v>
      </c>
      <c r="F980" s="35">
        <v>0.5</v>
      </c>
      <c r="G980" s="16" t="s">
        <v>45</v>
      </c>
      <c r="H980" s="16" t="s">
        <v>45</v>
      </c>
      <c r="I980" s="16">
        <f>COUNTIF(G$5:G980,"Y")/COUNTA(G$5:G980)</f>
        <v>0.87397540983606559</v>
      </c>
      <c r="J980" s="16">
        <f>COUNTIF(H$5:H980,"Y")/COUNTA(H$5:H980)</f>
        <v>5.1229508196721313E-2</v>
      </c>
      <c r="K980" s="16">
        <f>AVERAGE(F$5:F980)</f>
        <v>2.2176229508196736</v>
      </c>
      <c r="L980" s="16">
        <f>SUM(F$5:F980)/SUM(E$5:E980)</f>
        <v>0.75517253410557927</v>
      </c>
      <c r="M980" s="16">
        <v>12</v>
      </c>
    </row>
    <row r="981" spans="1:13" x14ac:dyDescent="0.25">
      <c r="A981" s="29">
        <v>45789</v>
      </c>
      <c r="B981" s="16" t="s">
        <v>1027</v>
      </c>
      <c r="C981" s="34">
        <v>1</v>
      </c>
      <c r="D981" s="16" t="s">
        <v>64</v>
      </c>
      <c r="E981" s="35">
        <v>4</v>
      </c>
      <c r="F981" s="35">
        <v>2.8</v>
      </c>
      <c r="G981" s="16" t="s">
        <v>44</v>
      </c>
      <c r="H981" s="16" t="s">
        <v>45</v>
      </c>
      <c r="I981" s="16">
        <f>COUNTIF(G$5:G981,"Y")/COUNTA(G$5:G981)</f>
        <v>0.87410440122824973</v>
      </c>
      <c r="J981" s="16">
        <f>COUNTIF(H$5:H981,"Y")/COUNTA(H$5:H981)</f>
        <v>5.1177072671443197E-2</v>
      </c>
      <c r="K981" s="16">
        <f>AVERAGE(F$5:F981)</f>
        <v>2.2182190378710356</v>
      </c>
      <c r="L981" s="16">
        <f>SUM(F$5:F981)/SUM(E$5:E981)</f>
        <v>0.75509564126685513</v>
      </c>
    </row>
    <row r="982" spans="1:13" x14ac:dyDescent="0.25">
      <c r="A982" s="29">
        <v>45790</v>
      </c>
      <c r="B982" s="16" t="s">
        <v>1028</v>
      </c>
      <c r="C982" s="34">
        <v>1</v>
      </c>
      <c r="D982" s="16" t="s">
        <v>43</v>
      </c>
      <c r="E982" s="35">
        <v>1.5</v>
      </c>
      <c r="F982" s="35">
        <v>1.3</v>
      </c>
      <c r="G982" s="16" t="s">
        <v>44</v>
      </c>
      <c r="H982" s="16" t="s">
        <v>45</v>
      </c>
      <c r="I982" s="16">
        <f>COUNTIF(G$5:G982,"Y")/COUNTA(G$5:G982)</f>
        <v>0.87423312883435578</v>
      </c>
      <c r="J982" s="16">
        <f>COUNTIF(H$5:H982,"Y")/COUNTA(H$5:H982)</f>
        <v>5.112474437627812E-2</v>
      </c>
      <c r="K982" s="16">
        <f>AVERAGE(F$5:F982)</f>
        <v>2.2172801635991837</v>
      </c>
      <c r="L982" s="16">
        <f>SUM(F$5:F982)/SUM(E$5:E982)</f>
        <v>0.7551539211589362</v>
      </c>
    </row>
    <row r="983" spans="1:13" x14ac:dyDescent="0.25">
      <c r="A983" s="29">
        <v>45791</v>
      </c>
      <c r="B983" s="16" t="s">
        <v>1029</v>
      </c>
      <c r="C983" s="34">
        <v>1</v>
      </c>
      <c r="D983" s="16" t="s">
        <v>43</v>
      </c>
      <c r="E983" s="35">
        <v>4.5</v>
      </c>
      <c r="F983" s="35">
        <v>3.9</v>
      </c>
      <c r="G983" s="16" t="s">
        <v>44</v>
      </c>
      <c r="H983" s="16" t="s">
        <v>45</v>
      </c>
      <c r="I983" s="16">
        <f>COUNTIF(G$5:G983,"Y")/COUNTA(G$5:G983)</f>
        <v>0.87436159346271702</v>
      </c>
      <c r="J983" s="16">
        <f>COUNTIF(H$5:H983,"Y")/COUNTA(H$5:H983)</f>
        <v>5.1072522982635343E-2</v>
      </c>
      <c r="K983" s="16">
        <f>AVERAGE(F$5:F983)</f>
        <v>2.2189989785495423</v>
      </c>
      <c r="L983" s="16">
        <f>SUM(F$5:F983)/SUM(E$5:E983)</f>
        <v>0.75532839609193048</v>
      </c>
    </row>
    <row r="984" spans="1:13" x14ac:dyDescent="0.25">
      <c r="A984" s="29">
        <v>45792</v>
      </c>
      <c r="B984" s="16" t="s">
        <v>1030</v>
      </c>
      <c r="C984" s="34">
        <v>1</v>
      </c>
      <c r="D984" s="16" t="s">
        <v>60</v>
      </c>
      <c r="E984" s="35">
        <v>3.2</v>
      </c>
      <c r="F984" s="35">
        <v>2.2999999999999998</v>
      </c>
      <c r="G984" s="16" t="s">
        <v>45</v>
      </c>
      <c r="H984" s="16" t="s">
        <v>45</v>
      </c>
      <c r="I984" s="16">
        <f>COUNTIF(G$5:G984,"Y")/COUNTA(G$5:G984)</f>
        <v>0.87346938775510208</v>
      </c>
      <c r="J984" s="16">
        <f>COUNTIF(H$5:H984,"Y")/COUNTA(H$5:H984)</f>
        <v>5.1020408163265307E-2</v>
      </c>
      <c r="K984" s="16">
        <f>AVERAGE(F$5:F984)</f>
        <v>2.2190816326530634</v>
      </c>
      <c r="L984" s="16">
        <f>SUM(F$5:F984)/SUM(E$5:E984)</f>
        <v>0.75528774354877981</v>
      </c>
    </row>
    <row r="985" spans="1:13" x14ac:dyDescent="0.25">
      <c r="A985" s="29">
        <v>45793</v>
      </c>
      <c r="B985" s="16" t="s">
        <v>1031</v>
      </c>
      <c r="C985" s="34">
        <v>1</v>
      </c>
      <c r="D985" s="16" t="s">
        <v>64</v>
      </c>
      <c r="E985" s="35">
        <v>2.9</v>
      </c>
      <c r="F985" s="35">
        <v>2.1</v>
      </c>
      <c r="G985" s="16" t="s">
        <v>44</v>
      </c>
      <c r="H985" s="16" t="s">
        <v>45</v>
      </c>
      <c r="I985" s="16">
        <f>COUNTIF(G$5:G985,"Y")/COUNTA(G$5:G985)</f>
        <v>0.87359836901121302</v>
      </c>
      <c r="J985" s="16">
        <f>COUNTIF(H$5:H985,"Y")/COUNTA(H$5:H985)</f>
        <v>5.09683995922528E-2</v>
      </c>
      <c r="K985" s="16">
        <f>AVERAGE(F$5:F985)</f>
        <v>2.2189602446483199</v>
      </c>
      <c r="L985" s="16">
        <f>SUM(F$5:F985)/SUM(E$5:E985)</f>
        <v>0.75525640136007266</v>
      </c>
    </row>
    <row r="986" spans="1:13" x14ac:dyDescent="0.25">
      <c r="A986" s="29">
        <v>45789</v>
      </c>
      <c r="B986" s="16" t="s">
        <v>1032</v>
      </c>
      <c r="C986" s="34">
        <v>1</v>
      </c>
      <c r="D986" s="16" t="s">
        <v>60</v>
      </c>
      <c r="E986" s="35">
        <v>3.9</v>
      </c>
      <c r="F986" s="35">
        <v>3.6</v>
      </c>
      <c r="G986" s="16" t="s">
        <v>45</v>
      </c>
      <c r="H986" s="16" t="s">
        <v>45</v>
      </c>
      <c r="I986" s="16">
        <f>COUNTIF(G$5:G986,"Y")/COUNTA(G$5:G986)</f>
        <v>0.87270875763747457</v>
      </c>
      <c r="J986" s="16">
        <f>COUNTIF(H$5:H986,"Y")/COUNTA(H$5:H986)</f>
        <v>5.0916496945010187E-2</v>
      </c>
      <c r="K986" s="16">
        <f>AVERAGE(F$5:F986)</f>
        <v>2.2203665987780061</v>
      </c>
      <c r="L986" s="16">
        <f>SUM(F$5:F986)/SUM(E$5:E986)</f>
        <v>0.75548317799106102</v>
      </c>
    </row>
    <row r="987" spans="1:13" x14ac:dyDescent="0.25">
      <c r="A987" s="29">
        <v>45790</v>
      </c>
      <c r="B987" s="16" t="s">
        <v>1033</v>
      </c>
      <c r="C987" s="34">
        <v>1</v>
      </c>
      <c r="D987" s="16" t="s">
        <v>50</v>
      </c>
      <c r="E987" s="35">
        <v>4.5</v>
      </c>
      <c r="F987" s="35">
        <v>3.6</v>
      </c>
      <c r="G987" s="16" t="s">
        <v>44</v>
      </c>
      <c r="H987" s="16" t="s">
        <v>45</v>
      </c>
      <c r="I987" s="16">
        <f>COUNTIF(G$5:G987,"Y")/COUNTA(G$5:G987)</f>
        <v>0.87283825025432349</v>
      </c>
      <c r="J987" s="16">
        <f>COUNTIF(H$5:H987,"Y")/COUNTA(H$5:H987)</f>
        <v>5.0864699898270603E-2</v>
      </c>
      <c r="K987" s="16">
        <f>AVERAGE(F$5:F987)</f>
        <v>2.2217700915564618</v>
      </c>
      <c r="L987" s="16">
        <f>SUM(F$5:F987)/SUM(E$5:E987)</f>
        <v>0.75555248045388546</v>
      </c>
    </row>
    <row r="988" spans="1:13" x14ac:dyDescent="0.25">
      <c r="A988" s="29">
        <v>45791</v>
      </c>
      <c r="B988" s="16" t="s">
        <v>1034</v>
      </c>
      <c r="C988" s="34">
        <v>1</v>
      </c>
      <c r="D988" s="16" t="s">
        <v>64</v>
      </c>
      <c r="E988" s="35">
        <v>2.2999999999999998</v>
      </c>
      <c r="F988" s="35">
        <v>1.8</v>
      </c>
      <c r="G988" s="16" t="s">
        <v>44</v>
      </c>
      <c r="H988" s="16" t="s">
        <v>45</v>
      </c>
      <c r="I988" s="16">
        <f>COUNTIF(G$5:G988,"Y")/COUNTA(G$5:G988)</f>
        <v>0.87296747967479671</v>
      </c>
      <c r="J988" s="16">
        <f>COUNTIF(H$5:H988,"Y")/COUNTA(H$5:H988)</f>
        <v>5.08130081300813E-2</v>
      </c>
      <c r="K988" s="16">
        <f>AVERAGE(F$5:F988)</f>
        <v>2.2213414634146362</v>
      </c>
      <c r="L988" s="16">
        <f>SUM(F$5:F988)/SUM(E$5:E988)</f>
        <v>0.75557399149642268</v>
      </c>
    </row>
    <row r="989" spans="1:13" x14ac:dyDescent="0.25">
      <c r="A989" s="29">
        <v>45792</v>
      </c>
      <c r="B989" s="16" t="s">
        <v>1035</v>
      </c>
      <c r="C989" s="34">
        <v>1</v>
      </c>
      <c r="D989" s="16" t="s">
        <v>60</v>
      </c>
      <c r="E989" s="35">
        <v>2.2000000000000002</v>
      </c>
      <c r="F989" s="35">
        <v>1.9</v>
      </c>
      <c r="G989" s="16" t="s">
        <v>44</v>
      </c>
      <c r="H989" s="16" t="s">
        <v>45</v>
      </c>
      <c r="I989" s="16">
        <f>COUNTIF(G$5:G989,"Y")/COUNTA(G$5:G989)</f>
        <v>0.87309644670050757</v>
      </c>
      <c r="J989" s="16">
        <f>COUNTIF(H$5:H989,"Y")/COUNTA(H$5:H989)</f>
        <v>5.0761421319796954E-2</v>
      </c>
      <c r="K989" s="16">
        <f>AVERAGE(F$5:F989)</f>
        <v>2.2210152284263982</v>
      </c>
      <c r="L989" s="16">
        <f>SUM(F$5:F989)/SUM(E$5:E989)</f>
        <v>0.7556561085972856</v>
      </c>
    </row>
    <row r="990" spans="1:13" x14ac:dyDescent="0.25">
      <c r="A990" s="29">
        <v>45793</v>
      </c>
      <c r="B990" s="16" t="s">
        <v>1036</v>
      </c>
      <c r="C990" s="34">
        <v>1</v>
      </c>
      <c r="D990" s="16" t="s">
        <v>47</v>
      </c>
      <c r="E990" s="35">
        <v>2.1</v>
      </c>
      <c r="F990" s="35">
        <v>1.6</v>
      </c>
      <c r="G990" s="16" t="s">
        <v>44</v>
      </c>
      <c r="H990" s="16" t="s">
        <v>45</v>
      </c>
      <c r="I990" s="16">
        <f>COUNTIF(G$5:G990,"Y")/COUNTA(G$5:G990)</f>
        <v>0.87322515212981744</v>
      </c>
      <c r="J990" s="16">
        <f>COUNTIF(H$5:H990,"Y")/COUNTA(H$5:H990)</f>
        <v>5.0709939148073022E-2</v>
      </c>
      <c r="K990" s="16">
        <f>AVERAGE(F$5:F990)</f>
        <v>2.2203853955375275</v>
      </c>
      <c r="L990" s="16">
        <f>SUM(F$5:F990)/SUM(E$5:E990)</f>
        <v>0.75566063785724202</v>
      </c>
    </row>
    <row r="991" spans="1:13" x14ac:dyDescent="0.25">
      <c r="A991" s="29">
        <v>45789</v>
      </c>
      <c r="B991" s="16" t="s">
        <v>1037</v>
      </c>
      <c r="C991" s="34">
        <v>1</v>
      </c>
      <c r="D991" s="16" t="s">
        <v>52</v>
      </c>
      <c r="E991" s="35">
        <v>4.5</v>
      </c>
      <c r="F991" s="35">
        <v>3.4</v>
      </c>
      <c r="G991" s="16" t="s">
        <v>44</v>
      </c>
      <c r="H991" s="16" t="s">
        <v>45</v>
      </c>
      <c r="I991" s="16">
        <f>COUNTIF(G$5:G991,"Y")/COUNTA(G$5:G991)</f>
        <v>0.87335359675785207</v>
      </c>
      <c r="J991" s="16">
        <f>COUNTIF(H$5:H991,"Y")/COUNTA(H$5:H991)</f>
        <v>5.0658561296859167E-2</v>
      </c>
      <c r="K991" s="16">
        <f>AVERAGE(F$5:F991)</f>
        <v>2.2215805471124641</v>
      </c>
      <c r="L991" s="16">
        <f>SUM(F$5:F991)/SUM(E$5:E991)</f>
        <v>0.75566047489402821</v>
      </c>
    </row>
    <row r="992" spans="1:13" x14ac:dyDescent="0.25">
      <c r="A992" s="29">
        <v>45790</v>
      </c>
      <c r="B992" s="16" t="s">
        <v>1038</v>
      </c>
      <c r="C992" s="34">
        <v>1</v>
      </c>
      <c r="D992" s="16" t="s">
        <v>52</v>
      </c>
      <c r="E992" s="35">
        <v>2.8</v>
      </c>
      <c r="F992" s="35">
        <v>2.2999999999999998</v>
      </c>
      <c r="G992" s="16" t="s">
        <v>44</v>
      </c>
      <c r="H992" s="16" t="s">
        <v>45</v>
      </c>
      <c r="I992" s="16">
        <f>COUNTIF(G$5:G992,"Y")/COUNTA(G$5:G992)</f>
        <v>0.87348178137651822</v>
      </c>
      <c r="J992" s="16">
        <f>COUNTIF(H$5:H992,"Y")/COUNTA(H$5:H992)</f>
        <v>5.0607287449392711E-2</v>
      </c>
      <c r="K992" s="16">
        <f>AVERAGE(F$5:F992)</f>
        <v>2.2216599190283426</v>
      </c>
      <c r="L992" s="16">
        <f>SUM(F$5:F992)/SUM(E$5:E992)</f>
        <v>0.75572387674298558</v>
      </c>
    </row>
    <row r="993" spans="1:12" x14ac:dyDescent="0.25">
      <c r="A993" s="29">
        <v>45791</v>
      </c>
      <c r="B993" s="16" t="s">
        <v>1039</v>
      </c>
      <c r="C993" s="34">
        <v>1</v>
      </c>
      <c r="D993" s="16" t="s">
        <v>56</v>
      </c>
      <c r="E993" s="35">
        <v>1.9</v>
      </c>
      <c r="F993" s="35">
        <v>1.4</v>
      </c>
      <c r="G993" s="16" t="s">
        <v>44</v>
      </c>
      <c r="H993" s="16" t="s">
        <v>45</v>
      </c>
      <c r="I993" s="16">
        <f>COUNTIF(G$5:G993,"Y")/COUNTA(G$5:G993)</f>
        <v>0.87360970677451977</v>
      </c>
      <c r="J993" s="16">
        <f>COUNTIF(H$5:H993,"Y")/COUNTA(H$5:H993)</f>
        <v>5.0556117290192111E-2</v>
      </c>
      <c r="K993" s="16">
        <f>AVERAGE(F$5:F993)</f>
        <v>2.2208291203235615</v>
      </c>
      <c r="L993" s="16">
        <f>SUM(F$5:F993)/SUM(E$5:E993)</f>
        <v>0.75571153316818107</v>
      </c>
    </row>
    <row r="994" spans="1:12" x14ac:dyDescent="0.25">
      <c r="A994" s="29">
        <v>45792</v>
      </c>
      <c r="B994" s="16" t="s">
        <v>1040</v>
      </c>
      <c r="C994" s="34">
        <v>1</v>
      </c>
      <c r="D994" s="16" t="s">
        <v>64</v>
      </c>
      <c r="E994" s="35">
        <v>3.3</v>
      </c>
      <c r="F994" s="35">
        <v>2.5</v>
      </c>
      <c r="G994" s="16" t="s">
        <v>44</v>
      </c>
      <c r="H994" s="16" t="s">
        <v>45</v>
      </c>
      <c r="I994" s="16">
        <f>COUNTIF(G$5:G994,"Y")/COUNTA(G$5:G994)</f>
        <v>0.8737373737373737</v>
      </c>
      <c r="J994" s="16">
        <f>COUNTIF(H$5:H994,"Y")/COUNTA(H$5:H994)</f>
        <v>5.0505050505050504E-2</v>
      </c>
      <c r="K994" s="16">
        <f>AVERAGE(F$5:F994)</f>
        <v>2.2211111111111137</v>
      </c>
      <c r="L994" s="16">
        <f>SUM(F$5:F994)/SUM(E$5:E994)</f>
        <v>0.75571364745506464</v>
      </c>
    </row>
    <row r="995" spans="1:12" x14ac:dyDescent="0.25">
      <c r="A995" s="29">
        <v>45793</v>
      </c>
      <c r="B995" s="16" t="s">
        <v>1041</v>
      </c>
      <c r="C995" s="34">
        <v>1</v>
      </c>
      <c r="D995" s="16" t="s">
        <v>43</v>
      </c>
      <c r="E995" s="35">
        <v>3.7</v>
      </c>
      <c r="F995" s="35">
        <v>3</v>
      </c>
      <c r="G995" s="16" t="s">
        <v>44</v>
      </c>
      <c r="H995" s="16" t="s">
        <v>45</v>
      </c>
      <c r="I995" s="16">
        <f>COUNTIF(G$5:G995,"Y")/COUNTA(G$5:G995)</f>
        <v>0.87386478304742687</v>
      </c>
      <c r="J995" s="16">
        <f>COUNTIF(H$5:H995,"Y")/COUNTA(H$5:H995)</f>
        <v>5.0454086781029264E-2</v>
      </c>
      <c r="K995" s="16">
        <f>AVERAGE(F$5:F995)</f>
        <v>2.2218970736629693</v>
      </c>
      <c r="L995" s="16">
        <f>SUM(F$5:F995)/SUM(E$5:E995)</f>
        <v>0.755783620512117</v>
      </c>
    </row>
    <row r="996" spans="1:12" x14ac:dyDescent="0.25">
      <c r="A996" s="29">
        <v>45789</v>
      </c>
      <c r="B996" s="16" t="s">
        <v>1042</v>
      </c>
      <c r="C996" s="34">
        <v>1</v>
      </c>
      <c r="D996" s="16" t="s">
        <v>43</v>
      </c>
      <c r="E996" s="35">
        <v>2</v>
      </c>
      <c r="F996" s="35">
        <v>1.8</v>
      </c>
      <c r="G996" s="16" t="s">
        <v>44</v>
      </c>
      <c r="H996" s="16" t="s">
        <v>44</v>
      </c>
      <c r="I996" s="16">
        <f>COUNTIF(G$5:G996,"Y")/COUNTA(G$5:G996)</f>
        <v>0.873991935483871</v>
      </c>
      <c r="J996" s="16">
        <f>COUNTIF(H$5:H996,"Y")/COUNTA(H$5:H996)</f>
        <v>5.1411290322580648E-2</v>
      </c>
      <c r="K996" s="16">
        <f>AVERAGE(F$5:F996)</f>
        <v>2.2214717741935508</v>
      </c>
      <c r="L996" s="16">
        <f>SUM(F$5:F996)/SUM(E$5:E996)</f>
        <v>0.75588255470947441</v>
      </c>
    </row>
    <row r="997" spans="1:12" x14ac:dyDescent="0.25">
      <c r="A997" s="29">
        <v>45790</v>
      </c>
      <c r="B997" s="16" t="s">
        <v>1043</v>
      </c>
      <c r="C997" s="34">
        <v>1</v>
      </c>
      <c r="D997" s="16" t="s">
        <v>47</v>
      </c>
      <c r="E997" s="35">
        <v>3.2</v>
      </c>
      <c r="F997" s="35">
        <v>2.8</v>
      </c>
      <c r="G997" s="16" t="s">
        <v>44</v>
      </c>
      <c r="H997" s="16" t="s">
        <v>45</v>
      </c>
      <c r="I997" s="16">
        <f>COUNTIF(G$5:G997,"Y")/COUNTA(G$5:G997)</f>
        <v>0.87411883182275929</v>
      </c>
      <c r="J997" s="16">
        <f>COUNTIF(H$5:H997,"Y")/COUNTA(H$5:H997)</f>
        <v>5.1359516616314202E-2</v>
      </c>
      <c r="K997" s="16">
        <f>AVERAGE(F$5:F997)</f>
        <v>2.2220543806646553</v>
      </c>
      <c r="L997" s="16">
        <f>SUM(F$5:F997)/SUM(E$5:E997)</f>
        <v>0.75601315699307958</v>
      </c>
    </row>
    <row r="998" spans="1:12" x14ac:dyDescent="0.25">
      <c r="A998" s="29">
        <v>45791</v>
      </c>
      <c r="B998" s="16" t="s">
        <v>1044</v>
      </c>
      <c r="C998" s="34">
        <v>1</v>
      </c>
      <c r="D998" s="16" t="s">
        <v>56</v>
      </c>
      <c r="E998" s="35">
        <v>3.7</v>
      </c>
      <c r="F998" s="35">
        <v>2.6</v>
      </c>
      <c r="G998" s="16" t="s">
        <v>44</v>
      </c>
      <c r="H998" s="16" t="s">
        <v>45</v>
      </c>
      <c r="I998" s="16">
        <f>COUNTIF(G$5:G998,"Y")/COUNTA(G$5:G998)</f>
        <v>0.87424547283702214</v>
      </c>
      <c r="J998" s="16">
        <f>COUNTIF(H$5:H998,"Y")/COUNTA(H$5:H998)</f>
        <v>5.1307847082494973E-2</v>
      </c>
      <c r="K998" s="16">
        <f>AVERAGE(F$5:F998)</f>
        <v>2.2224346076458779</v>
      </c>
      <c r="L998" s="16">
        <f>SUM(F$5:F998)/SUM(E$5:E998)</f>
        <v>0.75594565924100954</v>
      </c>
    </row>
    <row r="999" spans="1:12" x14ac:dyDescent="0.25">
      <c r="A999" s="29">
        <v>45792</v>
      </c>
      <c r="B999" s="16" t="s">
        <v>1045</v>
      </c>
      <c r="C999" s="34">
        <v>1</v>
      </c>
      <c r="D999" s="16" t="s">
        <v>52</v>
      </c>
      <c r="E999" s="35">
        <v>1.7</v>
      </c>
      <c r="F999" s="35">
        <v>1.5</v>
      </c>
      <c r="G999" s="16" t="s">
        <v>44</v>
      </c>
      <c r="H999" s="16" t="s">
        <v>44</v>
      </c>
      <c r="I999" s="16">
        <f>COUNTIF(G$5:G999,"Y")/COUNTA(G$5:G999)</f>
        <v>0.87437185929648242</v>
      </c>
      <c r="J999" s="16">
        <f>COUNTIF(H$5:H999,"Y")/COUNTA(H$5:H999)</f>
        <v>5.2261306532663317E-2</v>
      </c>
      <c r="K999" s="16">
        <f>AVERAGE(F$5:F999)</f>
        <v>2.2217085427135705</v>
      </c>
      <c r="L999" s="16">
        <f>SUM(F$5:F999)/SUM(E$5:E999)</f>
        <v>0.75601915184678603</v>
      </c>
    </row>
    <row r="1000" spans="1:12" x14ac:dyDescent="0.25">
      <c r="A1000" s="29">
        <v>45793</v>
      </c>
      <c r="B1000" s="16" t="s">
        <v>1046</v>
      </c>
      <c r="C1000" s="34">
        <v>1</v>
      </c>
      <c r="D1000" s="16" t="s">
        <v>64</v>
      </c>
      <c r="E1000" s="35">
        <v>4.7</v>
      </c>
      <c r="F1000" s="35">
        <v>3.7</v>
      </c>
      <c r="G1000" s="16" t="s">
        <v>44</v>
      </c>
      <c r="H1000" s="16" t="s">
        <v>45</v>
      </c>
      <c r="I1000" s="16">
        <f>COUNTIF(G$5:G1000,"Y")/COUNTA(G$5:G1000)</f>
        <v>0.87449799196787148</v>
      </c>
      <c r="J1000" s="16">
        <f>COUNTIF(H$5:H1000,"Y")/COUNTA(H$5:H1000)</f>
        <v>5.2208835341365459E-2</v>
      </c>
      <c r="K1000" s="16">
        <f>AVERAGE(F$5:F1000)</f>
        <v>2.22319277108434</v>
      </c>
      <c r="L1000" s="16">
        <f>SUM(F$5:F1000)/SUM(E$5:E1000)</f>
        <v>0.75606924574043166</v>
      </c>
    </row>
    <row r="1001" spans="1:12" x14ac:dyDescent="0.25">
      <c r="A1001" s="29">
        <v>45789</v>
      </c>
      <c r="B1001" s="16" t="s">
        <v>1047</v>
      </c>
      <c r="C1001" s="34">
        <v>1</v>
      </c>
      <c r="D1001" s="16" t="s">
        <v>52</v>
      </c>
      <c r="E1001" s="35">
        <v>3.3</v>
      </c>
      <c r="F1001" s="35">
        <v>2.2999999999999998</v>
      </c>
      <c r="G1001" s="16" t="s">
        <v>44</v>
      </c>
      <c r="H1001" s="16" t="s">
        <v>45</v>
      </c>
      <c r="I1001" s="16">
        <f>COUNTIF(G$5:G1001,"Y")/COUNTA(G$5:G1001)</f>
        <v>0.87462387161484456</v>
      </c>
      <c r="J1001" s="16">
        <f>COUNTIF(H$5:H1001,"Y")/COUNTA(H$5:H1001)</f>
        <v>5.2156469408224673E-2</v>
      </c>
      <c r="K1001" s="16">
        <f>AVERAGE(F$5:F1001)</f>
        <v>2.2232698094282877</v>
      </c>
      <c r="L1001" s="16">
        <f>SUM(F$5:F1001)/SUM(E$5:E1001)</f>
        <v>0.75600272851296124</v>
      </c>
    </row>
    <row r="1002" spans="1:12" x14ac:dyDescent="0.25">
      <c r="A1002" s="29">
        <v>45790</v>
      </c>
      <c r="B1002" s="16" t="s">
        <v>1048</v>
      </c>
      <c r="C1002" s="34">
        <v>1</v>
      </c>
      <c r="D1002" s="16" t="s">
        <v>60</v>
      </c>
      <c r="E1002" s="35">
        <v>4.0999999999999996</v>
      </c>
      <c r="F1002" s="35">
        <v>2.9</v>
      </c>
      <c r="G1002" s="16" t="s">
        <v>44</v>
      </c>
      <c r="H1002" s="16" t="s">
        <v>45</v>
      </c>
      <c r="I1002" s="16">
        <f>COUNTIF(G$5:G1002,"Y")/COUNTA(G$5:G1002)</f>
        <v>0.87474949899799603</v>
      </c>
      <c r="J1002" s="16">
        <f>COUNTIF(H$5:H1002,"Y")/COUNTA(H$5:H1002)</f>
        <v>5.2104208416833664E-2</v>
      </c>
      <c r="K1002" s="16">
        <f>AVERAGE(F$5:F1002)</f>
        <v>2.2239478957915857</v>
      </c>
      <c r="L1002" s="16">
        <f>SUM(F$5:F1002)/SUM(E$5:E1002)</f>
        <v>0.75593474336705235</v>
      </c>
    </row>
    <row r="1003" spans="1:12" x14ac:dyDescent="0.25">
      <c r="A1003" s="29">
        <v>45791</v>
      </c>
      <c r="B1003" s="16" t="s">
        <v>1049</v>
      </c>
      <c r="C1003" s="34">
        <v>1</v>
      </c>
      <c r="D1003" s="16" t="s">
        <v>50</v>
      </c>
      <c r="E1003" s="35">
        <v>4.5</v>
      </c>
      <c r="F1003" s="35">
        <v>3.2</v>
      </c>
      <c r="G1003" s="16" t="s">
        <v>44</v>
      </c>
      <c r="H1003" s="16" t="s">
        <v>45</v>
      </c>
      <c r="I1003" s="16">
        <f>COUNTIF(G$5:G1003,"Y")/COUNTA(G$5:G1003)</f>
        <v>0.87487487487487492</v>
      </c>
      <c r="J1003" s="16">
        <f>COUNTIF(H$5:H1003,"Y")/COUNTA(H$5:H1003)</f>
        <v>5.2052052052052052E-2</v>
      </c>
      <c r="K1003" s="16">
        <f>AVERAGE(F$5:F1003)</f>
        <v>2.2249249249249274</v>
      </c>
      <c r="L1003" s="16">
        <f>SUM(F$5:F1003)/SUM(E$5:E1003)</f>
        <v>0.75586614976535482</v>
      </c>
    </row>
    <row r="1004" spans="1:12" x14ac:dyDescent="0.25">
      <c r="A1004" s="29">
        <v>45792</v>
      </c>
      <c r="B1004" s="16" t="s">
        <v>1050</v>
      </c>
      <c r="C1004" s="34">
        <v>1</v>
      </c>
      <c r="D1004" s="16" t="s">
        <v>56</v>
      </c>
      <c r="E1004" s="35">
        <v>4.4000000000000004</v>
      </c>
      <c r="F1004" s="35">
        <v>3.8</v>
      </c>
      <c r="G1004" s="16" t="s">
        <v>44</v>
      </c>
      <c r="H1004" s="16" t="s">
        <v>45</v>
      </c>
      <c r="I1004" s="16">
        <f>COUNTIF(G$5:G1004,"Y")/COUNTA(G$5:G1004)</f>
        <v>0.875</v>
      </c>
      <c r="J1004" s="16">
        <f>COUNTIF(H$5:H1004,"Y")/COUNTA(H$5:H1004)</f>
        <v>5.1999999999999998E-2</v>
      </c>
      <c r="K1004" s="16">
        <f>AVERAGE(F$5:F1004)</f>
        <v>2.2265000000000028</v>
      </c>
      <c r="L1004" s="16">
        <f>SUM(F$5:F1004)/SUM(E$5:E1004)</f>
        <v>0.75602716468590914</v>
      </c>
    </row>
    <row r="1005" spans="1:12" x14ac:dyDescent="0.25">
      <c r="A1005" s="29">
        <v>45793</v>
      </c>
      <c r="B1005" s="16" t="s">
        <v>1051</v>
      </c>
      <c r="C1005" s="34">
        <v>1</v>
      </c>
      <c r="D1005" s="16" t="s">
        <v>47</v>
      </c>
      <c r="E1005" s="35">
        <v>3.5</v>
      </c>
      <c r="F1005" s="35">
        <v>2.8</v>
      </c>
      <c r="G1005" s="16" t="s">
        <v>44</v>
      </c>
      <c r="H1005" s="16" t="s">
        <v>45</v>
      </c>
      <c r="I1005" s="16">
        <f>COUNTIF(G$5:G1005,"Y")/COUNTA(G$5:G1005)</f>
        <v>0.87512487512487513</v>
      </c>
      <c r="J1005" s="16">
        <f>COUNTIF(H$5:H1005,"Y")/COUNTA(H$5:H1005)</f>
        <v>5.1948051948051951E-2</v>
      </c>
      <c r="K1005" s="16">
        <f>AVERAGE(F$5:F1005)</f>
        <v>2.2270729270729301</v>
      </c>
      <c r="L1005" s="16">
        <f>SUM(F$5:F1005)/SUM(E$5:E1005)</f>
        <v>0.75607936238765561</v>
      </c>
    </row>
    <row r="1006" spans="1:12" x14ac:dyDescent="0.25">
      <c r="A1006" s="29">
        <v>45789</v>
      </c>
      <c r="B1006" s="16" t="s">
        <v>1052</v>
      </c>
      <c r="C1006" s="34">
        <v>1</v>
      </c>
      <c r="D1006" s="16" t="s">
        <v>52</v>
      </c>
      <c r="E1006" s="35">
        <v>2.9</v>
      </c>
      <c r="F1006" s="35">
        <v>2.5</v>
      </c>
      <c r="G1006" s="16" t="s">
        <v>44</v>
      </c>
      <c r="H1006" s="16" t="s">
        <v>45</v>
      </c>
      <c r="I1006" s="16">
        <f>COUNTIF(G$5:G1006,"Y")/COUNTA(G$5:G1006)</f>
        <v>0.87524950099800403</v>
      </c>
      <c r="J1006" s="16">
        <f>COUNTIF(H$5:H1006,"Y")/COUNTA(H$5:H1006)</f>
        <v>5.1896207584830337E-2</v>
      </c>
      <c r="K1006" s="16">
        <f>AVERAGE(F$5:F1006)</f>
        <v>2.2273453093812403</v>
      </c>
      <c r="L1006" s="16">
        <f>SUM(F$5:F1006)/SUM(E$5:E1006)</f>
        <v>0.75618350613268359</v>
      </c>
    </row>
    <row r="1007" spans="1:12" x14ac:dyDescent="0.25">
      <c r="A1007" s="29">
        <v>45790</v>
      </c>
      <c r="B1007" s="16" t="s">
        <v>1053</v>
      </c>
      <c r="C1007" s="34">
        <v>1</v>
      </c>
      <c r="D1007" s="16" t="s">
        <v>60</v>
      </c>
      <c r="E1007" s="35">
        <v>2.6</v>
      </c>
      <c r="F1007" s="35">
        <v>2.2999999999999998</v>
      </c>
      <c r="G1007" s="16" t="s">
        <v>44</v>
      </c>
      <c r="H1007" s="16" t="s">
        <v>45</v>
      </c>
      <c r="I1007" s="16">
        <f>COUNTIF(G$5:G1007,"Y")/COUNTA(G$5:G1007)</f>
        <v>0.87537387836490532</v>
      </c>
      <c r="J1007" s="16">
        <f>COUNTIF(H$5:H1007,"Y")/COUNTA(H$5:H1007)</f>
        <v>5.1844466600199403E-2</v>
      </c>
      <c r="K1007" s="16">
        <f>AVERAGE(F$5:F1007)</f>
        <v>2.2274177467597238</v>
      </c>
      <c r="L1007" s="16">
        <f>SUM(F$5:F1007)/SUM(E$5:E1007)</f>
        <v>0.75629654705484184</v>
      </c>
    </row>
    <row r="1008" spans="1:12" x14ac:dyDescent="0.25">
      <c r="A1008" s="29">
        <v>45791</v>
      </c>
      <c r="B1008" s="16" t="s">
        <v>1054</v>
      </c>
      <c r="C1008" s="34">
        <v>1</v>
      </c>
      <c r="D1008" s="16" t="s">
        <v>60</v>
      </c>
      <c r="E1008" s="35">
        <v>3.8</v>
      </c>
      <c r="F1008" s="35">
        <v>2.8</v>
      </c>
      <c r="G1008" s="16" t="s">
        <v>44</v>
      </c>
      <c r="H1008" s="16" t="s">
        <v>45</v>
      </c>
      <c r="I1008" s="16">
        <f>COUNTIF(G$5:G1008,"Y")/COUNTA(G$5:G1008)</f>
        <v>0.87549800796812749</v>
      </c>
      <c r="J1008" s="16">
        <f>COUNTIF(H$5:H1008,"Y")/COUNTA(H$5:H1008)</f>
        <v>5.1792828685258967E-2</v>
      </c>
      <c r="K1008" s="16">
        <f>AVERAGE(F$5:F1008)</f>
        <v>2.2279880478087684</v>
      </c>
      <c r="L1008" s="16">
        <f>SUM(F$5:F1008)/SUM(E$5:E1008)</f>
        <v>0.75627155318141959</v>
      </c>
    </row>
    <row r="1009" spans="1:12" x14ac:dyDescent="0.25">
      <c r="A1009" s="29">
        <v>45792</v>
      </c>
      <c r="B1009" s="16" t="s">
        <v>1055</v>
      </c>
      <c r="C1009" s="34">
        <v>1</v>
      </c>
      <c r="D1009" s="16" t="s">
        <v>60</v>
      </c>
      <c r="E1009" s="35">
        <v>3.7</v>
      </c>
      <c r="F1009" s="35">
        <v>2.9</v>
      </c>
      <c r="G1009" s="16" t="s">
        <v>44</v>
      </c>
      <c r="H1009" s="16" t="s">
        <v>45</v>
      </c>
      <c r="I1009" s="16">
        <f>COUNTIF(G$5:G1009,"Y")/COUNTA(G$5:G1009)</f>
        <v>0.87562189054726369</v>
      </c>
      <c r="J1009" s="16">
        <f>COUNTIF(H$5:H1009,"Y")/COUNTA(H$5:H1009)</f>
        <v>5.1741293532338306E-2</v>
      </c>
      <c r="K1009" s="16">
        <f>AVERAGE(F$5:F1009)</f>
        <v>2.2286567164179139</v>
      </c>
      <c r="L1009" s="16">
        <f>SUM(F$5:F1009)/SUM(E$5:E1009)</f>
        <v>0.75630592605098867</v>
      </c>
    </row>
    <row r="1010" spans="1:12" x14ac:dyDescent="0.25">
      <c r="A1010" s="29">
        <v>45793</v>
      </c>
      <c r="B1010" s="16" t="s">
        <v>1056</v>
      </c>
      <c r="C1010" s="34">
        <v>1</v>
      </c>
      <c r="D1010" s="16" t="s">
        <v>64</v>
      </c>
      <c r="E1010" s="35">
        <v>2.1</v>
      </c>
      <c r="F1010" s="35">
        <v>1.6</v>
      </c>
      <c r="G1010" s="16" t="s">
        <v>45</v>
      </c>
      <c r="H1010" s="16" t="s">
        <v>45</v>
      </c>
      <c r="I1010" s="16">
        <f>COUNTIF(G$5:G1010,"Y")/COUNTA(G$5:G1010)</f>
        <v>0.87475149105367789</v>
      </c>
      <c r="J1010" s="16">
        <f>COUNTIF(H$5:H1010,"Y")/COUNTA(H$5:H1010)</f>
        <v>5.168986083499006E-2</v>
      </c>
      <c r="K1010" s="16">
        <f>AVERAGE(F$5:F1010)</f>
        <v>2.2280318091451323</v>
      </c>
      <c r="L1010" s="16">
        <f>SUM(F$5:F1010)/SUM(E$5:E1010)</f>
        <v>0.75630989337292587</v>
      </c>
    </row>
    <row r="1011" spans="1:12" x14ac:dyDescent="0.25">
      <c r="A1011" s="29">
        <v>45789</v>
      </c>
      <c r="B1011" s="16" t="s">
        <v>1057</v>
      </c>
      <c r="C1011" s="34">
        <v>1</v>
      </c>
      <c r="D1011" s="16" t="s">
        <v>56</v>
      </c>
      <c r="E1011" s="35">
        <v>4.8</v>
      </c>
      <c r="F1011" s="35">
        <v>3.7</v>
      </c>
      <c r="G1011" s="16" t="s">
        <v>44</v>
      </c>
      <c r="H1011" s="16" t="s">
        <v>45</v>
      </c>
      <c r="I1011" s="16">
        <f>COUNTIF(G$5:G1011,"Y")/COUNTA(G$5:G1011)</f>
        <v>0.87487586891757696</v>
      </c>
      <c r="J1011" s="16">
        <f>COUNTIF(H$5:H1011,"Y")/COUNTA(H$5:H1011)</f>
        <v>5.1638530287984111E-2</v>
      </c>
      <c r="K1011" s="16">
        <f>AVERAGE(F$5:F1011)</f>
        <v>2.229493545183717</v>
      </c>
      <c r="L1011" s="16">
        <f>SUM(F$5:F1011)/SUM(E$5:E1011)</f>
        <v>0.75633337825091052</v>
      </c>
    </row>
    <row r="1012" spans="1:12" x14ac:dyDescent="0.25">
      <c r="A1012" s="29">
        <v>45790</v>
      </c>
      <c r="B1012" s="16" t="s">
        <v>1058</v>
      </c>
      <c r="C1012" s="34">
        <v>1</v>
      </c>
      <c r="D1012" s="16" t="s">
        <v>60</v>
      </c>
      <c r="E1012" s="35">
        <v>1.6</v>
      </c>
      <c r="F1012" s="35">
        <v>1.3</v>
      </c>
      <c r="G1012" s="16" t="s">
        <v>44</v>
      </c>
      <c r="H1012" s="16" t="s">
        <v>45</v>
      </c>
      <c r="I1012" s="16">
        <f>COUNTIF(G$5:G1012,"Y")/COUNTA(G$5:G1012)</f>
        <v>0.875</v>
      </c>
      <c r="J1012" s="16">
        <f>COUNTIF(H$5:H1012,"Y")/COUNTA(H$5:H1012)</f>
        <v>5.1587301587301584E-2</v>
      </c>
      <c r="K1012" s="16">
        <f>AVERAGE(F$5:F1012)</f>
        <v>2.2285714285714318</v>
      </c>
      <c r="L1012" s="16">
        <f>SUM(F$5:F1012)/SUM(E$5:E1012)</f>
        <v>0.75636363636363735</v>
      </c>
    </row>
    <row r="1013" spans="1:12" x14ac:dyDescent="0.25">
      <c r="A1013" s="29">
        <v>45791</v>
      </c>
      <c r="B1013" s="16" t="s">
        <v>1059</v>
      </c>
      <c r="C1013" s="34">
        <v>1</v>
      </c>
      <c r="D1013" s="16" t="s">
        <v>56</v>
      </c>
      <c r="E1013" s="35">
        <v>1.6</v>
      </c>
      <c r="F1013" s="35">
        <v>1.5</v>
      </c>
      <c r="G1013" s="16" t="s">
        <v>44</v>
      </c>
      <c r="H1013" s="16" t="s">
        <v>45</v>
      </c>
      <c r="I1013" s="16">
        <f>COUNTIF(G$5:G1013,"Y")/COUNTA(G$5:G1013)</f>
        <v>0.87512388503468785</v>
      </c>
      <c r="J1013" s="16">
        <f>COUNTIF(H$5:H1013,"Y")/COUNTA(H$5:H1013)</f>
        <v>5.1536174430128839E-2</v>
      </c>
      <c r="K1013" s="16">
        <f>AVERAGE(F$5:F1013)</f>
        <v>2.2278493557978227</v>
      </c>
      <c r="L1013" s="16">
        <f>SUM(F$5:F1013)/SUM(E$5:E1013)</f>
        <v>0.75646116570197974</v>
      </c>
    </row>
    <row r="1014" spans="1:12" x14ac:dyDescent="0.25">
      <c r="A1014" s="29">
        <v>45792</v>
      </c>
      <c r="B1014" s="16" t="s">
        <v>1060</v>
      </c>
      <c r="C1014" s="34">
        <v>1</v>
      </c>
      <c r="D1014" s="16" t="s">
        <v>64</v>
      </c>
      <c r="E1014" s="35">
        <v>3.7</v>
      </c>
      <c r="F1014" s="35">
        <v>2.6</v>
      </c>
      <c r="G1014" s="16" t="s">
        <v>44</v>
      </c>
      <c r="H1014" s="16" t="s">
        <v>45</v>
      </c>
      <c r="I1014" s="16">
        <f>COUNTIF(G$5:G1014,"Y")/COUNTA(G$5:G1014)</f>
        <v>0.87524752475247525</v>
      </c>
      <c r="J1014" s="16">
        <f>COUNTIF(H$5:H1014,"Y")/COUNTA(H$5:H1014)</f>
        <v>5.1485148514851482E-2</v>
      </c>
      <c r="K1014" s="16">
        <f>AVERAGE(F$5:F1014)</f>
        <v>2.2282178217821813</v>
      </c>
      <c r="L1014" s="16">
        <f>SUM(F$5:F1014)/SUM(E$5:E1014)</f>
        <v>0.75639431317850403</v>
      </c>
    </row>
    <row r="1015" spans="1:12" x14ac:dyDescent="0.25">
      <c r="A1015" s="29">
        <v>45793</v>
      </c>
      <c r="B1015" s="16" t="s">
        <v>1061</v>
      </c>
      <c r="C1015" s="34">
        <v>1</v>
      </c>
      <c r="D1015" s="16" t="s">
        <v>47</v>
      </c>
      <c r="E1015" s="35">
        <v>4.3</v>
      </c>
      <c r="F1015" s="35">
        <v>3.1</v>
      </c>
      <c r="G1015" s="16" t="s">
        <v>44</v>
      </c>
      <c r="H1015" s="16" t="s">
        <v>45</v>
      </c>
      <c r="I1015" s="16">
        <f>COUNTIF(G$5:G1015,"Y")/COUNTA(G$5:G1015)</f>
        <v>0.87537091988130566</v>
      </c>
      <c r="J1015" s="16">
        <f>COUNTIF(H$5:H1015,"Y")/COUNTA(H$5:H1015)</f>
        <v>5.1434223541048464E-2</v>
      </c>
      <c r="K1015" s="16">
        <f>AVERAGE(F$5:F1015)</f>
        <v>2.2290801186943652</v>
      </c>
      <c r="L1015" s="16">
        <f>SUM(F$5:F1015)/SUM(E$5:E1015)</f>
        <v>0.75634313330648506</v>
      </c>
    </row>
    <row r="1016" spans="1:12" x14ac:dyDescent="0.25">
      <c r="A1016" s="29">
        <v>45789</v>
      </c>
      <c r="B1016" s="16" t="s">
        <v>1062</v>
      </c>
      <c r="C1016" s="34">
        <v>1</v>
      </c>
      <c r="D1016" s="16" t="s">
        <v>50</v>
      </c>
      <c r="E1016" s="35">
        <v>3.2</v>
      </c>
      <c r="F1016" s="35">
        <v>2.8</v>
      </c>
      <c r="G1016" s="16" t="s">
        <v>44</v>
      </c>
      <c r="H1016" s="16" t="s">
        <v>45</v>
      </c>
      <c r="I1016" s="16">
        <f>COUNTIF(G$5:G1016,"Y")/COUNTA(G$5:G1016)</f>
        <v>0.87549407114624511</v>
      </c>
      <c r="J1016" s="16">
        <f>COUNTIF(H$5:H1016,"Y")/COUNTA(H$5:H1016)</f>
        <v>5.1383399209486168E-2</v>
      </c>
      <c r="K1016" s="16">
        <f>AVERAGE(F$5:F1016)</f>
        <v>2.2296442687747069</v>
      </c>
      <c r="L1016" s="16">
        <f>SUM(F$5:F1016)/SUM(E$5:E1016)</f>
        <v>0.75647043046801765</v>
      </c>
    </row>
    <row r="1017" spans="1:12" x14ac:dyDescent="0.25">
      <c r="A1017" s="29">
        <v>45790</v>
      </c>
      <c r="B1017" s="16" t="s">
        <v>1063</v>
      </c>
      <c r="C1017" s="34">
        <v>1</v>
      </c>
      <c r="D1017" s="16" t="s">
        <v>56</v>
      </c>
      <c r="E1017" s="35">
        <v>4.8</v>
      </c>
      <c r="F1017" s="35">
        <v>3.7</v>
      </c>
      <c r="G1017" s="16" t="s">
        <v>44</v>
      </c>
      <c r="H1017" s="16" t="s">
        <v>45</v>
      </c>
      <c r="I1017" s="16">
        <f>COUNTIF(G$5:G1017,"Y")/COUNTA(G$5:G1017)</f>
        <v>0.87561697926949655</v>
      </c>
      <c r="J1017" s="16">
        <f>COUNTIF(H$5:H1017,"Y")/COUNTA(H$5:H1017)</f>
        <v>5.1332675222112538E-2</v>
      </c>
      <c r="K1017" s="16">
        <f>AVERAGE(F$5:F1017)</f>
        <v>2.2310957551826287</v>
      </c>
      <c r="L1017" s="16">
        <f>SUM(F$5:F1017)/SUM(E$5:E1017)</f>
        <v>0.75649350649350744</v>
      </c>
    </row>
    <row r="1018" spans="1:12" x14ac:dyDescent="0.25">
      <c r="A1018" s="29">
        <v>45791</v>
      </c>
      <c r="B1018" s="16" t="s">
        <v>1064</v>
      </c>
      <c r="C1018" s="34">
        <v>1</v>
      </c>
      <c r="D1018" s="16" t="s">
        <v>64</v>
      </c>
      <c r="E1018" s="35">
        <v>4.0999999999999996</v>
      </c>
      <c r="F1018" s="35">
        <v>3.2</v>
      </c>
      <c r="G1018" s="16" t="s">
        <v>44</v>
      </c>
      <c r="H1018" s="16" t="s">
        <v>45</v>
      </c>
      <c r="I1018" s="16">
        <f>COUNTIF(G$5:G1018,"Y")/COUNTA(G$5:G1018)</f>
        <v>0.87573964497041423</v>
      </c>
      <c r="J1018" s="16">
        <f>COUNTIF(H$5:H1018,"Y")/COUNTA(H$5:H1018)</f>
        <v>5.128205128205128E-2</v>
      </c>
      <c r="K1018" s="16">
        <f>AVERAGE(F$5:F1018)</f>
        <v>2.2320512820512848</v>
      </c>
      <c r="L1018" s="16">
        <f>SUM(F$5:F1018)/SUM(E$5:E1018)</f>
        <v>0.75652638967811037</v>
      </c>
    </row>
    <row r="1019" spans="1:12" x14ac:dyDescent="0.25">
      <c r="A1019" s="29">
        <v>45792</v>
      </c>
      <c r="B1019" s="16" t="s">
        <v>1065</v>
      </c>
      <c r="C1019" s="34">
        <v>1</v>
      </c>
      <c r="D1019" s="16" t="s">
        <v>47</v>
      </c>
      <c r="E1019" s="35">
        <v>0.6</v>
      </c>
      <c r="F1019" s="35">
        <v>0.5</v>
      </c>
      <c r="G1019" s="16" t="s">
        <v>44</v>
      </c>
      <c r="H1019" s="16" t="s">
        <v>45</v>
      </c>
      <c r="I1019" s="16">
        <f>COUNTIF(G$5:G1019,"Y")/COUNTA(G$5:G1019)</f>
        <v>0.87586206896551722</v>
      </c>
      <c r="J1019" s="16">
        <f>COUNTIF(H$5:H1019,"Y")/COUNTA(H$5:H1019)</f>
        <v>5.123152709359606E-2</v>
      </c>
      <c r="K1019" s="16">
        <f>AVERAGE(F$5:F1019)</f>
        <v>2.2303448275862099</v>
      </c>
      <c r="L1019" s="16">
        <f>SUM(F$5:F1019)/SUM(E$5:E1019)</f>
        <v>0.75654179059586368</v>
      </c>
    </row>
    <row r="1020" spans="1:12" x14ac:dyDescent="0.25">
      <c r="A1020" s="29">
        <v>45793</v>
      </c>
      <c r="B1020" s="16" t="s">
        <v>1066</v>
      </c>
      <c r="C1020" s="34">
        <v>1</v>
      </c>
      <c r="D1020" s="16" t="s">
        <v>56</v>
      </c>
      <c r="E1020" s="35">
        <v>0.7</v>
      </c>
      <c r="F1020" s="35">
        <v>0.5</v>
      </c>
      <c r="G1020" s="16" t="s">
        <v>44</v>
      </c>
      <c r="H1020" s="16" t="s">
        <v>45</v>
      </c>
      <c r="I1020" s="16">
        <f>COUNTIF(G$5:G1020,"Y")/COUNTA(G$5:G1020)</f>
        <v>0.87598425196850394</v>
      </c>
      <c r="J1020" s="16">
        <f>COUNTIF(H$5:H1020,"Y")/COUNTA(H$5:H1020)</f>
        <v>5.1181102362204724E-2</v>
      </c>
      <c r="K1020" s="16">
        <f>AVERAGE(F$5:F1020)</f>
        <v>2.2286417322834673</v>
      </c>
      <c r="L1020" s="16">
        <f>SUM(F$5:F1020)/SUM(E$5:E1020)</f>
        <v>0.75653190778483226</v>
      </c>
    </row>
    <row r="1021" spans="1:12" x14ac:dyDescent="0.25">
      <c r="A1021" s="29">
        <v>45789</v>
      </c>
      <c r="B1021" s="16" t="s">
        <v>1067</v>
      </c>
      <c r="C1021" s="34">
        <v>1</v>
      </c>
      <c r="D1021" s="16" t="s">
        <v>47</v>
      </c>
      <c r="E1021" s="35">
        <v>0.5</v>
      </c>
      <c r="F1021" s="35">
        <v>0.5</v>
      </c>
      <c r="G1021" s="16" t="s">
        <v>44</v>
      </c>
      <c r="H1021" s="16" t="s">
        <v>45</v>
      </c>
      <c r="I1021" s="16">
        <f>COUNTIF(G$5:G1021,"Y")/COUNTA(G$5:G1021)</f>
        <v>0.87610619469026552</v>
      </c>
      <c r="J1021" s="16">
        <f>COUNTIF(H$5:H1021,"Y")/COUNTA(H$5:H1021)</f>
        <v>5.1130776794493606E-2</v>
      </c>
      <c r="K1021" s="16">
        <f>AVERAGE(F$5:F1021)</f>
        <v>2.2269419862340243</v>
      </c>
      <c r="L1021" s="16">
        <f>SUM(F$5:F1021)/SUM(E$5:E1021)</f>
        <v>0.75657257391013966</v>
      </c>
    </row>
    <row r="1022" spans="1:12" x14ac:dyDescent="0.25">
      <c r="A1022" s="29">
        <v>45790</v>
      </c>
      <c r="B1022" s="16" t="s">
        <v>1068</v>
      </c>
      <c r="C1022" s="34">
        <v>1</v>
      </c>
      <c r="D1022" s="16" t="s">
        <v>50</v>
      </c>
      <c r="E1022" s="35">
        <v>0.7</v>
      </c>
      <c r="F1022" s="35">
        <v>0.5</v>
      </c>
      <c r="G1022" s="16" t="s">
        <v>44</v>
      </c>
      <c r="H1022" s="16" t="s">
        <v>45</v>
      </c>
      <c r="I1022" s="16">
        <f>COUNTIF(G$5:G1022,"Y")/COUNTA(G$5:G1022)</f>
        <v>0.87622789783889976</v>
      </c>
      <c r="J1022" s="16">
        <f>COUNTIF(H$5:H1022,"Y")/COUNTA(H$5:H1022)</f>
        <v>5.1080550098231828E-2</v>
      </c>
      <c r="K1022" s="16">
        <f>AVERAGE(F$5:F1022)</f>
        <v>2.2252455795677828</v>
      </c>
      <c r="L1022" s="16">
        <f>SUM(F$5:F1022)/SUM(E$5:E1022)</f>
        <v>0.75656268786320324</v>
      </c>
    </row>
    <row r="1023" spans="1:12" x14ac:dyDescent="0.25">
      <c r="A1023" s="29">
        <v>45791</v>
      </c>
      <c r="B1023" s="16" t="s">
        <v>1069</v>
      </c>
      <c r="C1023" s="34">
        <v>1</v>
      </c>
      <c r="D1023" s="16" t="s">
        <v>52</v>
      </c>
      <c r="E1023" s="35">
        <v>0.6</v>
      </c>
      <c r="F1023" s="35">
        <v>0.5</v>
      </c>
      <c r="G1023" s="16" t="s">
        <v>44</v>
      </c>
      <c r="H1023" s="16" t="s">
        <v>45</v>
      </c>
      <c r="I1023" s="16">
        <f>COUNTIF(G$5:G1023,"Y")/COUNTA(G$5:G1023)</f>
        <v>0.87634936211972525</v>
      </c>
      <c r="J1023" s="16">
        <f>COUNTIF(H$5:H1023,"Y")/COUNTA(H$5:H1023)</f>
        <v>5.1030421982335622E-2</v>
      </c>
      <c r="K1023" s="16">
        <f>AVERAGE(F$5:F1023)</f>
        <v>2.2235525024533884</v>
      </c>
      <c r="L1023" s="16">
        <f>SUM(F$5:F1023)/SUM(E$5:E1023)</f>
        <v>0.75657806865233179</v>
      </c>
    </row>
    <row r="1024" spans="1:12" x14ac:dyDescent="0.25">
      <c r="A1024" s="29">
        <v>45792</v>
      </c>
      <c r="B1024" s="16" t="s">
        <v>1070</v>
      </c>
      <c r="C1024" s="34">
        <v>1</v>
      </c>
      <c r="D1024" s="16" t="s">
        <v>43</v>
      </c>
      <c r="E1024" s="35">
        <v>0.7</v>
      </c>
      <c r="F1024" s="35">
        <v>0.5</v>
      </c>
      <c r="G1024" s="16" t="s">
        <v>44</v>
      </c>
      <c r="H1024" s="16" t="s">
        <v>45</v>
      </c>
      <c r="I1024" s="16">
        <f>COUNTIF(G$5:G1024,"Y")/COUNTA(G$5:G1024)</f>
        <v>0.87647058823529411</v>
      </c>
      <c r="J1024" s="16">
        <f>COUNTIF(H$5:H1024,"Y")/COUNTA(H$5:H1024)</f>
        <v>5.0980392156862744E-2</v>
      </c>
      <c r="K1024" s="16">
        <f>AVERAGE(F$5:F1024)</f>
        <v>2.2218627450980422</v>
      </c>
      <c r="L1024" s="16">
        <f>SUM(F$5:F1024)/SUM(E$5:E1024)</f>
        <v>0.7565681856117521</v>
      </c>
    </row>
    <row r="1025" spans="1:13" x14ac:dyDescent="0.25">
      <c r="A1025" s="29">
        <v>45793</v>
      </c>
      <c r="B1025" s="16" t="s">
        <v>1071</v>
      </c>
      <c r="C1025" s="34">
        <v>1</v>
      </c>
      <c r="D1025" s="16" t="s">
        <v>50</v>
      </c>
      <c r="E1025" s="35">
        <v>0.7</v>
      </c>
      <c r="F1025" s="35">
        <v>0.5</v>
      </c>
      <c r="G1025" s="16" t="s">
        <v>45</v>
      </c>
      <c r="H1025" s="16" t="s">
        <v>45</v>
      </c>
      <c r="I1025" s="16">
        <f>COUNTIF(G$5:G1025,"Y")/COUNTA(G$5:G1025)</f>
        <v>0.87561214495592554</v>
      </c>
      <c r="J1025" s="16">
        <f>COUNTIF(H$5:H1025,"Y")/COUNTA(H$5:H1025)</f>
        <v>5.0930460333006855E-2</v>
      </c>
      <c r="K1025" s="16">
        <f>AVERAGE(F$5:F1025)</f>
        <v>2.2201762977473094</v>
      </c>
      <c r="L1025" s="16">
        <f>SUM(F$5:F1025)/SUM(E$5:E1025)</f>
        <v>0.75655830718910733</v>
      </c>
    </row>
    <row r="1026" spans="1:13" x14ac:dyDescent="0.25">
      <c r="A1026" s="29">
        <v>45789</v>
      </c>
      <c r="B1026" s="16" t="s">
        <v>1072</v>
      </c>
      <c r="C1026" s="34">
        <v>1</v>
      </c>
      <c r="D1026" s="16" t="s">
        <v>64</v>
      </c>
      <c r="E1026" s="35">
        <v>0.6</v>
      </c>
      <c r="F1026" s="35">
        <v>0.5</v>
      </c>
      <c r="G1026" s="16" t="s">
        <v>44</v>
      </c>
      <c r="H1026" s="16" t="s">
        <v>45</v>
      </c>
      <c r="I1026" s="16">
        <f>COUNTIF(G$5:G1026,"Y")/COUNTA(G$5:G1026)</f>
        <v>0.87573385518590996</v>
      </c>
      <c r="J1026" s="16">
        <f>COUNTIF(H$5:H1026,"Y")/COUNTA(H$5:H1026)</f>
        <v>5.0880626223091974E-2</v>
      </c>
      <c r="K1026" s="16">
        <f>AVERAGE(F$5:F1026)</f>
        <v>2.2184931506849344</v>
      </c>
      <c r="L1026" s="16">
        <f>SUM(F$5:F1026)/SUM(E$5:E1026)</f>
        <v>0.75657367859049773</v>
      </c>
    </row>
    <row r="1027" spans="1:13" x14ac:dyDescent="0.25">
      <c r="A1027" s="29">
        <v>45790</v>
      </c>
      <c r="B1027" s="16" t="s">
        <v>1073</v>
      </c>
      <c r="C1027" s="34">
        <v>1</v>
      </c>
      <c r="D1027" s="16" t="s">
        <v>43</v>
      </c>
      <c r="E1027" s="35">
        <v>0.5</v>
      </c>
      <c r="F1027" s="35">
        <v>0.5</v>
      </c>
      <c r="G1027" s="16" t="s">
        <v>44</v>
      </c>
      <c r="H1027" s="16" t="s">
        <v>45</v>
      </c>
      <c r="I1027" s="16">
        <f>COUNTIF(G$5:G1027,"Y")/COUNTA(G$5:G1027)</f>
        <v>0.87585532746823069</v>
      </c>
      <c r="J1027" s="16">
        <f>COUNTIF(H$5:H1027,"Y")/COUNTA(H$5:H1027)</f>
        <v>5.0830889540566963E-2</v>
      </c>
      <c r="K1027" s="16">
        <f>AVERAGE(F$5:F1027)</f>
        <v>2.2168132942326517</v>
      </c>
      <c r="L1027" s="16">
        <f>SUM(F$5:F1027)/SUM(E$5:E1027)</f>
        <v>0.75661428619090632</v>
      </c>
      <c r="M1027" s="16">
        <v>7</v>
      </c>
    </row>
    <row r="1028" spans="1:13" x14ac:dyDescent="0.25">
      <c r="A1028" s="29">
        <v>45796</v>
      </c>
      <c r="B1028" s="16" t="s">
        <v>1074</v>
      </c>
      <c r="C1028" s="34">
        <v>1</v>
      </c>
      <c r="D1028" s="16" t="s">
        <v>50</v>
      </c>
      <c r="E1028" s="35">
        <v>2.6</v>
      </c>
      <c r="F1028" s="35">
        <v>2.2000000000000002</v>
      </c>
      <c r="G1028" s="16" t="s">
        <v>44</v>
      </c>
      <c r="H1028" s="16" t="s">
        <v>45</v>
      </c>
      <c r="I1028" s="16">
        <f>COUNTIF(G$5:G1028,"Y")/COUNTA(G$5:G1028)</f>
        <v>0.8759765625</v>
      </c>
      <c r="J1028" s="16">
        <f>COUNTIF(H$5:H1028,"Y")/COUNTA(H$5:H1028)</f>
        <v>5.078125E-2</v>
      </c>
      <c r="K1028" s="16">
        <f>AVERAGE(F$5:F1028)</f>
        <v>2.2167968750000027</v>
      </c>
      <c r="L1028" s="16">
        <f>SUM(F$5:F1028)/SUM(E$5:E1028)</f>
        <v>0.75669188972965873</v>
      </c>
    </row>
    <row r="1029" spans="1:13" x14ac:dyDescent="0.25">
      <c r="A1029" s="29">
        <v>45797</v>
      </c>
      <c r="B1029" s="16" t="s">
        <v>1075</v>
      </c>
      <c r="C1029" s="34">
        <v>1</v>
      </c>
      <c r="D1029" s="16" t="s">
        <v>60</v>
      </c>
      <c r="E1029" s="35">
        <v>1.5</v>
      </c>
      <c r="F1029" s="35">
        <v>1.1000000000000001</v>
      </c>
      <c r="G1029" s="16" t="s">
        <v>44</v>
      </c>
      <c r="H1029" s="16" t="s">
        <v>45</v>
      </c>
      <c r="I1029" s="16">
        <f>COUNTIF(G$5:G1029,"Y")/COUNTA(G$5:G1029)</f>
        <v>0.87609756097560976</v>
      </c>
      <c r="J1029" s="16">
        <f>COUNTIF(H$5:H1029,"Y")/COUNTA(H$5:H1029)</f>
        <v>5.0731707317073174E-2</v>
      </c>
      <c r="K1029" s="16">
        <f>AVERAGE(F$5:F1029)</f>
        <v>2.2157073170731731</v>
      </c>
      <c r="L1029" s="16">
        <f>SUM(F$5:F1029)/SUM(E$5:E1029)</f>
        <v>0.75668021589924805</v>
      </c>
    </row>
    <row r="1030" spans="1:13" x14ac:dyDescent="0.25">
      <c r="A1030" s="29">
        <v>45798</v>
      </c>
      <c r="B1030" s="16" t="s">
        <v>1076</v>
      </c>
      <c r="C1030" s="34">
        <v>1</v>
      </c>
      <c r="D1030" s="16" t="s">
        <v>52</v>
      </c>
      <c r="E1030" s="35">
        <v>4.7</v>
      </c>
      <c r="F1030" s="35">
        <v>3.6</v>
      </c>
      <c r="G1030" s="16" t="s">
        <v>44</v>
      </c>
      <c r="H1030" s="16" t="s">
        <v>45</v>
      </c>
      <c r="I1030" s="16">
        <f>COUNTIF(G$5:G1030,"Y")/COUNTA(G$5:G1030)</f>
        <v>0.87621832358674467</v>
      </c>
      <c r="J1030" s="16">
        <f>COUNTIF(H$5:H1030,"Y")/COUNTA(H$5:H1030)</f>
        <v>5.0682261208576995E-2</v>
      </c>
      <c r="K1030" s="16">
        <f>AVERAGE(F$5:F1030)</f>
        <v>2.2170565302144274</v>
      </c>
      <c r="L1030" s="16">
        <f>SUM(F$5:F1030)/SUM(E$5:E1030)</f>
        <v>0.75669472073450761</v>
      </c>
    </row>
    <row r="1031" spans="1:13" x14ac:dyDescent="0.25">
      <c r="A1031" s="29">
        <v>45799</v>
      </c>
      <c r="B1031" s="16" t="s">
        <v>1077</v>
      </c>
      <c r="C1031" s="34">
        <v>1</v>
      </c>
      <c r="D1031" s="16" t="s">
        <v>60</v>
      </c>
      <c r="E1031" s="35">
        <v>4</v>
      </c>
      <c r="F1031" s="35">
        <v>3</v>
      </c>
      <c r="G1031" s="16" t="s">
        <v>45</v>
      </c>
      <c r="H1031" s="16" t="s">
        <v>45</v>
      </c>
      <c r="I1031" s="16">
        <f>COUNTIF(G$5:G1031,"Y")/COUNTA(G$5:G1031)</f>
        <v>0.87536514118792597</v>
      </c>
      <c r="J1031" s="16">
        <f>COUNTIF(H$5:H1031,"Y")/COUNTA(H$5:H1031)</f>
        <v>5.0632911392405063E-2</v>
      </c>
      <c r="K1031" s="16">
        <f>AVERAGE(F$5:F1031)</f>
        <v>2.2178188899707911</v>
      </c>
      <c r="L1031" s="16">
        <f>SUM(F$5:F1031)/SUM(E$5:E1031)</f>
        <v>0.75668582439121734</v>
      </c>
    </row>
    <row r="1032" spans="1:13" x14ac:dyDescent="0.25">
      <c r="A1032" s="29">
        <v>45800</v>
      </c>
      <c r="B1032" s="16" t="s">
        <v>1078</v>
      </c>
      <c r="C1032" s="34">
        <v>1</v>
      </c>
      <c r="D1032" s="16" t="s">
        <v>47</v>
      </c>
      <c r="E1032" s="35">
        <v>3.2</v>
      </c>
      <c r="F1032" s="35">
        <v>2.6</v>
      </c>
      <c r="G1032" s="16" t="s">
        <v>44</v>
      </c>
      <c r="H1032" s="16" t="s">
        <v>44</v>
      </c>
      <c r="I1032" s="16">
        <f>COUNTIF(G$5:G1032,"Y")/COUNTA(G$5:G1032)</f>
        <v>0.8754863813229572</v>
      </c>
      <c r="J1032" s="16">
        <f>COUNTIF(H$5:H1032,"Y")/COUNTA(H$5:H1032)</f>
        <v>5.1556420233463032E-2</v>
      </c>
      <c r="K1032" s="16">
        <f>AVERAGE(F$5:F1032)</f>
        <v>2.2181906614786016</v>
      </c>
      <c r="L1032" s="16">
        <f>SUM(F$5:F1032)/SUM(E$5:E1032)</f>
        <v>0.75674509673779689</v>
      </c>
    </row>
    <row r="1033" spans="1:13" x14ac:dyDescent="0.25">
      <c r="A1033" s="29">
        <v>45796</v>
      </c>
      <c r="B1033" s="16" t="s">
        <v>1079</v>
      </c>
      <c r="C1033" s="34">
        <v>1</v>
      </c>
      <c r="D1033" s="16" t="s">
        <v>43</v>
      </c>
      <c r="E1033" s="35">
        <v>3.9</v>
      </c>
      <c r="F1033" s="35">
        <v>3.3</v>
      </c>
      <c r="G1033" s="16" t="s">
        <v>44</v>
      </c>
      <c r="H1033" s="16" t="s">
        <v>45</v>
      </c>
      <c r="I1033" s="16">
        <f>COUNTIF(G$5:G1033,"Y")/COUNTA(G$5:G1033)</f>
        <v>0.87560738581146746</v>
      </c>
      <c r="J1033" s="16">
        <f>COUNTIF(H$5:H1033,"Y")/COUNTA(H$5:H1033)</f>
        <v>5.1506316812439258E-2</v>
      </c>
      <c r="K1033" s="16">
        <f>AVERAGE(F$5:F1033)</f>
        <v>2.2192419825072913</v>
      </c>
      <c r="L1033" s="16">
        <f>SUM(F$5:F1033)/SUM(E$5:E1033)</f>
        <v>0.7568606655176997</v>
      </c>
    </row>
    <row r="1034" spans="1:13" x14ac:dyDescent="0.25">
      <c r="A1034" s="29">
        <v>45797</v>
      </c>
      <c r="B1034" s="16" t="s">
        <v>1080</v>
      </c>
      <c r="C1034" s="34">
        <v>1</v>
      </c>
      <c r="D1034" s="16" t="s">
        <v>47</v>
      </c>
      <c r="E1034" s="35">
        <v>4.7</v>
      </c>
      <c r="F1034" s="35">
        <v>3.7</v>
      </c>
      <c r="G1034" s="16" t="s">
        <v>44</v>
      </c>
      <c r="H1034" s="16" t="s">
        <v>45</v>
      </c>
      <c r="I1034" s="16">
        <f>COUNTIF(G$5:G1034,"Y")/COUNTA(G$5:G1034)</f>
        <v>0.87572815533980586</v>
      </c>
      <c r="J1034" s="16">
        <f>COUNTIF(H$5:H1034,"Y")/COUNTA(H$5:H1034)</f>
        <v>5.145631067961165E-2</v>
      </c>
      <c r="K1034" s="16">
        <f>AVERAGE(F$5:F1034)</f>
        <v>2.2206796116504877</v>
      </c>
      <c r="L1034" s="16">
        <f>SUM(F$5:F1034)/SUM(E$5:E1034)</f>
        <v>0.75690790562229171</v>
      </c>
    </row>
    <row r="1035" spans="1:13" x14ac:dyDescent="0.25">
      <c r="A1035" s="29">
        <v>45798</v>
      </c>
      <c r="B1035" s="16" t="s">
        <v>1081</v>
      </c>
      <c r="C1035" s="34">
        <v>1</v>
      </c>
      <c r="D1035" s="16" t="s">
        <v>64</v>
      </c>
      <c r="E1035" s="35">
        <v>2.4</v>
      </c>
      <c r="F1035" s="35">
        <v>2.2000000000000002</v>
      </c>
      <c r="G1035" s="16" t="s">
        <v>44</v>
      </c>
      <c r="H1035" s="16" t="s">
        <v>45</v>
      </c>
      <c r="I1035" s="16">
        <f>COUNTIF(G$5:G1035,"Y")/COUNTA(G$5:G1035)</f>
        <v>0.8758486905916586</v>
      </c>
      <c r="J1035" s="16">
        <f>COUNTIF(H$5:H1035,"Y")/COUNTA(H$5:H1035)</f>
        <v>5.140640155189137E-2</v>
      </c>
      <c r="K1035" s="16">
        <f>AVERAGE(F$5:F1035)</f>
        <v>2.2206595538312341</v>
      </c>
      <c r="L1035" s="16">
        <f>SUM(F$5:F1035)/SUM(E$5:E1035)</f>
        <v>0.75703468571239729</v>
      </c>
    </row>
    <row r="1036" spans="1:13" x14ac:dyDescent="0.25">
      <c r="A1036" s="29">
        <v>45799</v>
      </c>
      <c r="B1036" s="16" t="s">
        <v>1082</v>
      </c>
      <c r="C1036" s="34">
        <v>1</v>
      </c>
      <c r="D1036" s="16" t="s">
        <v>56</v>
      </c>
      <c r="E1036" s="35">
        <v>2</v>
      </c>
      <c r="F1036" s="35">
        <v>1.5</v>
      </c>
      <c r="G1036" s="16" t="s">
        <v>44</v>
      </c>
      <c r="H1036" s="16" t="s">
        <v>44</v>
      </c>
      <c r="I1036" s="16">
        <f>COUNTIF(G$5:G1036,"Y")/COUNTA(G$5:G1036)</f>
        <v>0.87596899224806202</v>
      </c>
      <c r="J1036" s="16">
        <f>COUNTIF(H$5:H1036,"Y")/COUNTA(H$5:H1036)</f>
        <v>5.232558139534884E-2</v>
      </c>
      <c r="K1036" s="16">
        <f>AVERAGE(F$5:F1036)</f>
        <v>2.2199612403100799</v>
      </c>
      <c r="L1036" s="16">
        <f>SUM(F$5:F1036)/SUM(E$5:E1036)</f>
        <v>0.75703003667845326</v>
      </c>
    </row>
    <row r="1037" spans="1:13" x14ac:dyDescent="0.25">
      <c r="A1037" s="29">
        <v>45800</v>
      </c>
      <c r="B1037" s="16" t="s">
        <v>1083</v>
      </c>
      <c r="C1037" s="34">
        <v>1</v>
      </c>
      <c r="D1037" s="16" t="s">
        <v>47</v>
      </c>
      <c r="E1037" s="35">
        <v>3.4</v>
      </c>
      <c r="F1037" s="35">
        <v>2.6</v>
      </c>
      <c r="G1037" s="16" t="s">
        <v>44</v>
      </c>
      <c r="H1037" s="16" t="s">
        <v>45</v>
      </c>
      <c r="I1037" s="16">
        <f>COUNTIF(G$5:G1037,"Y")/COUNTA(G$5:G1037)</f>
        <v>0.87608906098741535</v>
      </c>
      <c r="J1037" s="16">
        <f>COUNTIF(H$5:H1037,"Y")/COUNTA(H$5:H1037)</f>
        <v>5.2274927395934173E-2</v>
      </c>
      <c r="K1037" s="16">
        <f>AVERAGE(F$5:F1037)</f>
        <v>2.2203291384317545</v>
      </c>
      <c r="L1037" s="16">
        <f>SUM(F$5:F1037)/SUM(E$5:E1037)</f>
        <v>0.75703865069148857</v>
      </c>
    </row>
    <row r="1038" spans="1:13" x14ac:dyDescent="0.25">
      <c r="A1038" s="29">
        <v>45796</v>
      </c>
      <c r="B1038" s="16" t="s">
        <v>1084</v>
      </c>
      <c r="C1038" s="34">
        <v>1</v>
      </c>
      <c r="D1038" s="16" t="s">
        <v>56</v>
      </c>
      <c r="E1038" s="35">
        <v>2.2999999999999998</v>
      </c>
      <c r="F1038" s="35">
        <v>2</v>
      </c>
      <c r="G1038" s="16" t="s">
        <v>44</v>
      </c>
      <c r="H1038" s="16" t="s">
        <v>45</v>
      </c>
      <c r="I1038" s="16">
        <f>COUNTIF(G$5:G1038,"Y")/COUNTA(G$5:G1038)</f>
        <v>0.87620889748549324</v>
      </c>
      <c r="J1038" s="16">
        <f>COUNTIF(H$5:H1038,"Y")/COUNTA(H$5:H1038)</f>
        <v>5.2224371373307543E-2</v>
      </c>
      <c r="K1038" s="16">
        <f>AVERAGE(F$5:F1038)</f>
        <v>2.2201160541586096</v>
      </c>
      <c r="L1038" s="16">
        <f>SUM(F$5:F1038)/SUM(E$5:E1038)</f>
        <v>0.75712401055409062</v>
      </c>
    </row>
    <row r="1039" spans="1:13" x14ac:dyDescent="0.25">
      <c r="A1039" s="29">
        <v>45797</v>
      </c>
      <c r="B1039" s="16" t="s">
        <v>1085</v>
      </c>
      <c r="C1039" s="34">
        <v>1</v>
      </c>
      <c r="D1039" s="16" t="s">
        <v>52</v>
      </c>
      <c r="E1039" s="35">
        <v>3</v>
      </c>
      <c r="F1039" s="35">
        <v>2.5</v>
      </c>
      <c r="G1039" s="16" t="s">
        <v>44</v>
      </c>
      <c r="H1039" s="16" t="s">
        <v>45</v>
      </c>
      <c r="I1039" s="16">
        <f>COUNTIF(G$5:G1039,"Y")/COUNTA(G$5:G1039)</f>
        <v>0.8763285024154589</v>
      </c>
      <c r="J1039" s="16">
        <f>COUNTIF(H$5:H1039,"Y")/COUNTA(H$5:H1039)</f>
        <v>5.2173913043478258E-2</v>
      </c>
      <c r="K1039" s="16">
        <f>AVERAGE(F$5:F1039)</f>
        <v>2.2203864734299539</v>
      </c>
      <c r="L1039" s="16">
        <f>SUM(F$5:F1039)/SUM(E$5:E1039)</f>
        <v>0.75719934102141773</v>
      </c>
    </row>
    <row r="1040" spans="1:13" x14ac:dyDescent="0.25">
      <c r="A1040" s="29">
        <v>45798</v>
      </c>
      <c r="B1040" s="16" t="s">
        <v>1086</v>
      </c>
      <c r="C1040" s="34">
        <v>1</v>
      </c>
      <c r="D1040" s="16" t="s">
        <v>50</v>
      </c>
      <c r="E1040" s="35">
        <v>3.5</v>
      </c>
      <c r="F1040" s="35">
        <v>2.5</v>
      </c>
      <c r="G1040" s="16" t="s">
        <v>44</v>
      </c>
      <c r="H1040" s="16" t="s">
        <v>45</v>
      </c>
      <c r="I1040" s="16">
        <f>COUNTIF(G$5:G1040,"Y")/COUNTA(G$5:G1040)</f>
        <v>0.87644787644787647</v>
      </c>
      <c r="J1040" s="16">
        <f>COUNTIF(H$5:H1040,"Y")/COUNTA(H$5:H1040)</f>
        <v>5.2123552123552123E-2</v>
      </c>
      <c r="K1040" s="16">
        <f>AVERAGE(F$5:F1040)</f>
        <v>2.2206563706563727</v>
      </c>
      <c r="L1040" s="16">
        <f>SUM(F$5:F1040)/SUM(E$5:E1040)</f>
        <v>0.75714990949481742</v>
      </c>
    </row>
    <row r="1041" spans="1:12" x14ac:dyDescent="0.25">
      <c r="A1041" s="29">
        <v>45799</v>
      </c>
      <c r="B1041" s="16" t="s">
        <v>1087</v>
      </c>
      <c r="C1041" s="34">
        <v>1</v>
      </c>
      <c r="D1041" s="16" t="s">
        <v>43</v>
      </c>
      <c r="E1041" s="35">
        <v>2.2000000000000002</v>
      </c>
      <c r="F1041" s="35">
        <v>1.7</v>
      </c>
      <c r="G1041" s="16" t="s">
        <v>44</v>
      </c>
      <c r="H1041" s="16" t="s">
        <v>45</v>
      </c>
      <c r="I1041" s="16">
        <f>COUNTIF(G$5:G1041,"Y")/COUNTA(G$5:G1041)</f>
        <v>0.87656702025072319</v>
      </c>
      <c r="J1041" s="16">
        <f>COUNTIF(H$5:H1041,"Y")/COUNTA(H$5:H1041)</f>
        <v>5.2073288331726135E-2</v>
      </c>
      <c r="K1041" s="16">
        <f>AVERAGE(F$5:F1041)</f>
        <v>2.2201542912246883</v>
      </c>
      <c r="L1041" s="16">
        <f>SUM(F$5:F1041)/SUM(E$5:E1041)</f>
        <v>0.75716117999145027</v>
      </c>
    </row>
    <row r="1042" spans="1:12" x14ac:dyDescent="0.25">
      <c r="A1042" s="29">
        <v>45800</v>
      </c>
      <c r="B1042" s="16" t="s">
        <v>1088</v>
      </c>
      <c r="C1042" s="34">
        <v>1</v>
      </c>
      <c r="D1042" s="16" t="s">
        <v>52</v>
      </c>
      <c r="E1042" s="35">
        <v>2.7</v>
      </c>
      <c r="F1042" s="35">
        <v>2.1</v>
      </c>
      <c r="G1042" s="16" t="s">
        <v>44</v>
      </c>
      <c r="H1042" s="16" t="s">
        <v>45</v>
      </c>
      <c r="I1042" s="16">
        <f>COUNTIF(G$5:G1042,"Y")/COUNTA(G$5:G1042)</f>
        <v>0.87668593448940269</v>
      </c>
      <c r="J1042" s="16">
        <f>COUNTIF(H$5:H1042,"Y")/COUNTA(H$5:H1042)</f>
        <v>5.2023121387283239E-2</v>
      </c>
      <c r="K1042" s="16">
        <f>AVERAGE(F$5:F1042)</f>
        <v>2.2200385356454739</v>
      </c>
      <c r="L1042" s="16">
        <f>SUM(F$5:F1042)/SUM(E$5:E1042)</f>
        <v>0.75717947032923794</v>
      </c>
    </row>
    <row r="1043" spans="1:12" x14ac:dyDescent="0.25">
      <c r="A1043" s="29">
        <v>45796</v>
      </c>
      <c r="B1043" s="16" t="s">
        <v>1089</v>
      </c>
      <c r="C1043" s="34">
        <v>1</v>
      </c>
      <c r="D1043" s="16" t="s">
        <v>64</v>
      </c>
      <c r="E1043" s="35">
        <v>2.1</v>
      </c>
      <c r="F1043" s="35">
        <v>1.7</v>
      </c>
      <c r="G1043" s="16" t="s">
        <v>44</v>
      </c>
      <c r="H1043" s="16" t="s">
        <v>45</v>
      </c>
      <c r="I1043" s="16">
        <f>COUNTIF(G$5:G1043,"Y")/COUNTA(G$5:G1043)</f>
        <v>0.8768046198267565</v>
      </c>
      <c r="J1043" s="16">
        <f>COUNTIF(H$5:H1043,"Y")/COUNTA(H$5:H1043)</f>
        <v>5.19730510105871E-2</v>
      </c>
      <c r="K1043" s="16">
        <f>AVERAGE(F$5:F1043)</f>
        <v>2.2195380173243522</v>
      </c>
      <c r="L1043" s="16">
        <f>SUM(F$5:F1043)/SUM(E$5:E1043)</f>
        <v>0.75721556394680767</v>
      </c>
    </row>
    <row r="1044" spans="1:12" x14ac:dyDescent="0.25">
      <c r="A1044" s="29">
        <v>45797</v>
      </c>
      <c r="B1044" s="16" t="s">
        <v>1090</v>
      </c>
      <c r="C1044" s="34">
        <v>1</v>
      </c>
      <c r="D1044" s="16" t="s">
        <v>47</v>
      </c>
      <c r="E1044" s="35">
        <v>4.4000000000000004</v>
      </c>
      <c r="F1044" s="35">
        <v>3.2</v>
      </c>
      <c r="G1044" s="16" t="s">
        <v>44</v>
      </c>
      <c r="H1044" s="16" t="s">
        <v>45</v>
      </c>
      <c r="I1044" s="16">
        <f>COUNTIF(G$5:G1044,"Y")/COUNTA(G$5:G1044)</f>
        <v>0.87692307692307692</v>
      </c>
      <c r="J1044" s="16">
        <f>COUNTIF(H$5:H1044,"Y")/COUNTA(H$5:H1044)</f>
        <v>5.1923076923076926E-2</v>
      </c>
      <c r="K1044" s="16">
        <f>AVERAGE(F$5:F1044)</f>
        <v>2.2204807692307709</v>
      </c>
      <c r="L1044" s="16">
        <f>SUM(F$5:F1044)/SUM(E$5:E1044)</f>
        <v>0.75717236630709284</v>
      </c>
    </row>
    <row r="1045" spans="1:12" x14ac:dyDescent="0.25">
      <c r="A1045" s="29">
        <v>45798</v>
      </c>
      <c r="B1045" s="16" t="s">
        <v>1091</v>
      </c>
      <c r="C1045" s="34">
        <v>1</v>
      </c>
      <c r="D1045" s="16" t="s">
        <v>43</v>
      </c>
      <c r="E1045" s="35">
        <v>5</v>
      </c>
      <c r="F1045" s="35">
        <v>3.5</v>
      </c>
      <c r="G1045" s="16" t="s">
        <v>44</v>
      </c>
      <c r="H1045" s="16" t="s">
        <v>45</v>
      </c>
      <c r="I1045" s="16">
        <f>COUNTIF(G$5:G1045,"Y")/COUNTA(G$5:G1045)</f>
        <v>0.87704130643611911</v>
      </c>
      <c r="J1045" s="16">
        <f>COUNTIF(H$5:H1045,"Y")/COUNTA(H$5:H1045)</f>
        <v>5.1873198847262249E-2</v>
      </c>
      <c r="K1045" s="16">
        <f>AVERAGE(F$5:F1045)</f>
        <v>2.2217098943323741</v>
      </c>
      <c r="L1045" s="16">
        <f>SUM(F$5:F1045)/SUM(E$5:E1045)</f>
        <v>0.75707879144980272</v>
      </c>
    </row>
    <row r="1046" spans="1:12" x14ac:dyDescent="0.25">
      <c r="A1046" s="29">
        <v>45799</v>
      </c>
      <c r="B1046" s="16" t="s">
        <v>1092</v>
      </c>
      <c r="C1046" s="34">
        <v>1</v>
      </c>
      <c r="D1046" s="16" t="s">
        <v>64</v>
      </c>
      <c r="E1046" s="35">
        <v>2.9</v>
      </c>
      <c r="F1046" s="35">
        <v>2.4</v>
      </c>
      <c r="G1046" s="16" t="s">
        <v>45</v>
      </c>
      <c r="H1046" s="16" t="s">
        <v>45</v>
      </c>
      <c r="I1046" s="16">
        <f>COUNTIF(G$5:G1046,"Y")/COUNTA(G$5:G1046)</f>
        <v>0.8761996161228407</v>
      </c>
      <c r="J1046" s="16">
        <f>COUNTIF(H$5:H1046,"Y")/COUNTA(H$5:H1046)</f>
        <v>5.1823416506717852E-2</v>
      </c>
      <c r="K1046" s="16">
        <f>AVERAGE(F$5:F1046)</f>
        <v>2.2218809980806156</v>
      </c>
      <c r="L1046" s="16">
        <f>SUM(F$5:F1046)/SUM(E$5:E1046)</f>
        <v>0.7571456602786325</v>
      </c>
    </row>
    <row r="1047" spans="1:12" x14ac:dyDescent="0.25">
      <c r="A1047" s="29">
        <v>45800</v>
      </c>
      <c r="B1047" s="16" t="s">
        <v>1093</v>
      </c>
      <c r="C1047" s="34">
        <v>1</v>
      </c>
      <c r="D1047" s="16" t="s">
        <v>50</v>
      </c>
      <c r="E1047" s="35">
        <v>3</v>
      </c>
      <c r="F1047" s="35">
        <v>2.1</v>
      </c>
      <c r="G1047" s="16" t="s">
        <v>44</v>
      </c>
      <c r="H1047" s="16" t="s">
        <v>45</v>
      </c>
      <c r="I1047" s="16">
        <f>COUNTIF(G$5:G1047,"Y")/COUNTA(G$5:G1047)</f>
        <v>0.87631831255992332</v>
      </c>
      <c r="J1047" s="16">
        <f>COUNTIF(H$5:H1047,"Y")/COUNTA(H$5:H1047)</f>
        <v>5.1773729626078617E-2</v>
      </c>
      <c r="K1047" s="16">
        <f>AVERAGE(F$5:F1047)</f>
        <v>2.2217641418983716</v>
      </c>
      <c r="L1047" s="16">
        <f>SUM(F$5:F1047)/SUM(E$5:E1047)</f>
        <v>0.75708964976476822</v>
      </c>
    </row>
    <row r="1048" spans="1:12" x14ac:dyDescent="0.25">
      <c r="A1048" s="29">
        <v>45796</v>
      </c>
      <c r="B1048" s="16" t="s">
        <v>1094</v>
      </c>
      <c r="C1048" s="34">
        <v>1</v>
      </c>
      <c r="D1048" s="16" t="s">
        <v>50</v>
      </c>
      <c r="E1048" s="35">
        <v>2.2999999999999998</v>
      </c>
      <c r="F1048" s="35">
        <v>1.7</v>
      </c>
      <c r="G1048" s="16" t="s">
        <v>44</v>
      </c>
      <c r="H1048" s="16" t="s">
        <v>45</v>
      </c>
      <c r="I1048" s="16">
        <f>COUNTIF(G$5:G1048,"Y")/COUNTA(G$5:G1048)</f>
        <v>0.87643678160919536</v>
      </c>
      <c r="J1048" s="16">
        <f>COUNTIF(H$5:H1048,"Y")/COUNTA(H$5:H1048)</f>
        <v>5.1724137931034482E-2</v>
      </c>
      <c r="K1048" s="16">
        <f>AVERAGE(F$5:F1048)</f>
        <v>2.2212643678160933</v>
      </c>
      <c r="L1048" s="16">
        <f>SUM(F$5:F1048)/SUM(E$5:E1048)</f>
        <v>0.75707616466977967</v>
      </c>
    </row>
    <row r="1049" spans="1:12" x14ac:dyDescent="0.25">
      <c r="A1049" s="29">
        <v>45797</v>
      </c>
      <c r="B1049" s="16" t="s">
        <v>1095</v>
      </c>
      <c r="C1049" s="34">
        <v>1</v>
      </c>
      <c r="D1049" s="16" t="s">
        <v>50</v>
      </c>
      <c r="E1049" s="35">
        <v>4</v>
      </c>
      <c r="F1049" s="35">
        <v>3.2</v>
      </c>
      <c r="G1049" s="16" t="s">
        <v>44</v>
      </c>
      <c r="H1049" s="16" t="s">
        <v>45</v>
      </c>
      <c r="I1049" s="16">
        <f>COUNTIF(G$5:G1049,"Y")/COUNTA(G$5:G1049)</f>
        <v>0.87655502392344498</v>
      </c>
      <c r="J1049" s="16">
        <f>COUNTIF(H$5:H1049,"Y")/COUNTA(H$5:H1049)</f>
        <v>5.1674641148325359E-2</v>
      </c>
      <c r="K1049" s="16">
        <f>AVERAGE(F$5:F1049)</f>
        <v>2.2222009569378001</v>
      </c>
      <c r="L1049" s="16">
        <f>SUM(F$5:F1049)/SUM(E$5:E1049)</f>
        <v>0.7571321443709047</v>
      </c>
    </row>
    <row r="1050" spans="1:12" x14ac:dyDescent="0.25">
      <c r="A1050" s="29">
        <v>45798</v>
      </c>
      <c r="B1050" s="16" t="s">
        <v>1096</v>
      </c>
      <c r="C1050" s="34">
        <v>1</v>
      </c>
      <c r="D1050" s="16" t="s">
        <v>50</v>
      </c>
      <c r="E1050" s="35">
        <v>2.6</v>
      </c>
      <c r="F1050" s="35">
        <v>2</v>
      </c>
      <c r="G1050" s="16" t="s">
        <v>44</v>
      </c>
      <c r="H1050" s="16" t="s">
        <v>45</v>
      </c>
      <c r="I1050" s="16">
        <f>COUNTIF(G$5:G1050,"Y")/COUNTA(G$5:G1050)</f>
        <v>0.87667304015296366</v>
      </c>
      <c r="J1050" s="16">
        <f>COUNTIF(H$5:H1050,"Y")/COUNTA(H$5:H1050)</f>
        <v>5.1625239005736137E-2</v>
      </c>
      <c r="K1050" s="16">
        <f>AVERAGE(F$5:F1050)</f>
        <v>2.2219885277246667</v>
      </c>
      <c r="L1050" s="16">
        <f>SUM(F$5:F1050)/SUM(E$5:E1050)</f>
        <v>0.75714239176466824</v>
      </c>
    </row>
    <row r="1051" spans="1:12" x14ac:dyDescent="0.25">
      <c r="A1051" s="29">
        <v>45799</v>
      </c>
      <c r="B1051" s="16" t="s">
        <v>1097</v>
      </c>
      <c r="C1051" s="34">
        <v>1</v>
      </c>
      <c r="D1051" s="16" t="s">
        <v>60</v>
      </c>
      <c r="E1051" s="35">
        <v>3.6</v>
      </c>
      <c r="F1051" s="35">
        <v>3</v>
      </c>
      <c r="G1051" s="16" t="s">
        <v>45</v>
      </c>
      <c r="H1051" s="16" t="s">
        <v>45</v>
      </c>
      <c r="I1051" s="16">
        <f>COUNTIF(G$5:G1051,"Y")/COUNTA(G$5:G1051)</f>
        <v>0.8758357211079274</v>
      </c>
      <c r="J1051" s="16">
        <f>COUNTIF(H$5:H1051,"Y")/COUNTA(H$5:H1051)</f>
        <v>5.1575931232091692E-2</v>
      </c>
      <c r="K1051" s="16">
        <f>AVERAGE(F$5:F1051)</f>
        <v>2.2227316141356268</v>
      </c>
      <c r="L1051" s="16">
        <f>SUM(F$5:F1051)/SUM(E$5:E1051)</f>
        <v>0.75723164025640255</v>
      </c>
    </row>
    <row r="1052" spans="1:12" x14ac:dyDescent="0.25">
      <c r="A1052" s="29">
        <v>45800</v>
      </c>
      <c r="B1052" s="16" t="s">
        <v>1098</v>
      </c>
      <c r="C1052" s="34">
        <v>1</v>
      </c>
      <c r="D1052" s="16" t="s">
        <v>60</v>
      </c>
      <c r="E1052" s="35">
        <v>2.2999999999999998</v>
      </c>
      <c r="F1052" s="35">
        <v>1.8</v>
      </c>
      <c r="G1052" s="16" t="s">
        <v>44</v>
      </c>
      <c r="H1052" s="16" t="s">
        <v>45</v>
      </c>
      <c r="I1052" s="16">
        <f>COUNTIF(G$5:G1052,"Y")/COUNTA(G$5:G1052)</f>
        <v>0.87595419847328249</v>
      </c>
      <c r="J1052" s="16">
        <f>COUNTIF(H$5:H1052,"Y")/COUNTA(H$5:H1052)</f>
        <v>5.1526717557251911E-2</v>
      </c>
      <c r="K1052" s="16">
        <f>AVERAGE(F$5:F1052)</f>
        <v>2.2223282442748107</v>
      </c>
      <c r="L1052" s="16">
        <f>SUM(F$5:F1052)/SUM(E$5:E1052)</f>
        <v>0.75725061776563996</v>
      </c>
    </row>
    <row r="1053" spans="1:12" x14ac:dyDescent="0.25">
      <c r="A1053" s="29">
        <v>45796</v>
      </c>
      <c r="B1053" s="16" t="s">
        <v>1099</v>
      </c>
      <c r="C1053" s="34">
        <v>1</v>
      </c>
      <c r="D1053" s="16" t="s">
        <v>52</v>
      </c>
      <c r="E1053" s="35">
        <v>3.8</v>
      </c>
      <c r="F1053" s="35">
        <v>3.1</v>
      </c>
      <c r="G1053" s="16" t="s">
        <v>44</v>
      </c>
      <c r="H1053" s="16" t="s">
        <v>45</v>
      </c>
      <c r="I1053" s="16">
        <f>COUNTIF(G$5:G1053,"Y")/COUNTA(G$5:G1053)</f>
        <v>0.87607244995233557</v>
      </c>
      <c r="J1053" s="16">
        <f>COUNTIF(H$5:H1053,"Y")/COUNTA(H$5:H1053)</f>
        <v>5.1477597712106769E-2</v>
      </c>
      <c r="K1053" s="16">
        <f>AVERAGE(F$5:F1053)</f>
        <v>2.2231649189704492</v>
      </c>
      <c r="L1053" s="16">
        <f>SUM(F$5:F1053)/SUM(E$5:E1053)</f>
        <v>0.75732285510164377</v>
      </c>
    </row>
    <row r="1054" spans="1:12" x14ac:dyDescent="0.25">
      <c r="A1054" s="29">
        <v>45797</v>
      </c>
      <c r="B1054" s="16" t="s">
        <v>1100</v>
      </c>
      <c r="C1054" s="34">
        <v>1</v>
      </c>
      <c r="D1054" s="16" t="s">
        <v>50</v>
      </c>
      <c r="E1054" s="35">
        <v>3.1</v>
      </c>
      <c r="F1054" s="35">
        <v>2.6</v>
      </c>
      <c r="G1054" s="16" t="s">
        <v>44</v>
      </c>
      <c r="H1054" s="16" t="s">
        <v>45</v>
      </c>
      <c r="I1054" s="16">
        <f>COUNTIF(G$5:G1054,"Y")/COUNTA(G$5:G1054)</f>
        <v>0.87619047619047619</v>
      </c>
      <c r="J1054" s="16">
        <f>COUNTIF(H$5:H1054,"Y")/COUNTA(H$5:H1054)</f>
        <v>5.1428571428571428E-2</v>
      </c>
      <c r="K1054" s="16">
        <f>AVERAGE(F$5:F1054)</f>
        <v>2.2235238095238108</v>
      </c>
      <c r="L1054" s="16">
        <f>SUM(F$5:F1054)/SUM(E$5:E1054)</f>
        <v>0.75740470397404769</v>
      </c>
    </row>
    <row r="1055" spans="1:12" x14ac:dyDescent="0.25">
      <c r="A1055" s="29">
        <v>45798</v>
      </c>
      <c r="B1055" s="16" t="s">
        <v>1101</v>
      </c>
      <c r="C1055" s="34">
        <v>1</v>
      </c>
      <c r="D1055" s="16" t="s">
        <v>50</v>
      </c>
      <c r="E1055" s="35">
        <v>2.2999999999999998</v>
      </c>
      <c r="F1055" s="35">
        <v>1.9</v>
      </c>
      <c r="G1055" s="16" t="s">
        <v>44</v>
      </c>
      <c r="H1055" s="16" t="s">
        <v>45</v>
      </c>
      <c r="I1055" s="16">
        <f>COUNTIF(G$5:G1055,"Y")/COUNTA(G$5:G1055)</f>
        <v>0.87630827783063747</v>
      </c>
      <c r="J1055" s="16">
        <f>COUNTIF(H$5:H1055,"Y")/COUNTA(H$5:H1055)</f>
        <v>5.1379638439581349E-2</v>
      </c>
      <c r="K1055" s="16">
        <f>AVERAGE(F$5:F1055)</f>
        <v>2.2232159847764046</v>
      </c>
      <c r="L1055" s="16">
        <f>SUM(F$5:F1055)/SUM(E$5:E1055)</f>
        <v>0.75745591286307112</v>
      </c>
    </row>
    <row r="1056" spans="1:12" x14ac:dyDescent="0.25">
      <c r="A1056" s="29">
        <v>45799</v>
      </c>
      <c r="B1056" s="16" t="s">
        <v>1102</v>
      </c>
      <c r="C1056" s="34">
        <v>1</v>
      </c>
      <c r="D1056" s="16" t="s">
        <v>47</v>
      </c>
      <c r="E1056" s="35">
        <v>3.1</v>
      </c>
      <c r="F1056" s="35">
        <v>2.6</v>
      </c>
      <c r="G1056" s="16" t="s">
        <v>44</v>
      </c>
      <c r="H1056" s="16" t="s">
        <v>45</v>
      </c>
      <c r="I1056" s="16">
        <f>COUNTIF(G$5:G1056,"Y")/COUNTA(G$5:G1056)</f>
        <v>0.87642585551330798</v>
      </c>
      <c r="J1056" s="16">
        <f>COUNTIF(H$5:H1056,"Y")/COUNTA(H$5:H1056)</f>
        <v>5.1330798479087454E-2</v>
      </c>
      <c r="K1056" s="16">
        <f>AVERAGE(F$5:F1056)</f>
        <v>2.223574144486693</v>
      </c>
      <c r="L1056" s="16">
        <f>SUM(F$5:F1056)/SUM(E$5:E1056)</f>
        <v>0.75753748502218399</v>
      </c>
    </row>
    <row r="1057" spans="1:13" x14ac:dyDescent="0.25">
      <c r="A1057" s="29">
        <v>45800</v>
      </c>
      <c r="B1057" s="16" t="s">
        <v>1103</v>
      </c>
      <c r="C1057" s="34">
        <v>1</v>
      </c>
      <c r="D1057" s="16" t="s">
        <v>43</v>
      </c>
      <c r="E1057" s="35">
        <v>4.5</v>
      </c>
      <c r="F1057" s="35">
        <v>3.1</v>
      </c>
      <c r="G1057" s="16" t="s">
        <v>44</v>
      </c>
      <c r="H1057" s="16" t="s">
        <v>45</v>
      </c>
      <c r="I1057" s="16">
        <f>COUNTIF(G$5:G1057,"Y")/COUNTA(G$5:G1057)</f>
        <v>0.87654320987654322</v>
      </c>
      <c r="J1057" s="16">
        <f>COUNTIF(H$5:H1057,"Y")/COUNTA(H$5:H1057)</f>
        <v>5.128205128205128E-2</v>
      </c>
      <c r="K1057" s="16">
        <f>AVERAGE(F$5:F1057)</f>
        <v>2.224406457739792</v>
      </c>
      <c r="L1057" s="16">
        <f>SUM(F$5:F1057)/SUM(E$5:E1057)</f>
        <v>0.75743758892769431</v>
      </c>
    </row>
    <row r="1058" spans="1:13" x14ac:dyDescent="0.25">
      <c r="A1058" s="29">
        <v>45796</v>
      </c>
      <c r="B1058" s="16" t="s">
        <v>1104</v>
      </c>
      <c r="C1058" s="34">
        <v>1</v>
      </c>
      <c r="D1058" s="16" t="s">
        <v>47</v>
      </c>
      <c r="E1058" s="35">
        <v>2.2000000000000002</v>
      </c>
      <c r="F1058" s="35">
        <v>1.6</v>
      </c>
      <c r="G1058" s="16" t="s">
        <v>44</v>
      </c>
      <c r="H1058" s="16" t="s">
        <v>45</v>
      </c>
      <c r="I1058" s="16">
        <f>COUNTIF(G$5:G1058,"Y")/COUNTA(G$5:G1058)</f>
        <v>0.87666034155597727</v>
      </c>
      <c r="J1058" s="16">
        <f>COUNTIF(H$5:H1058,"Y")/COUNTA(H$5:H1058)</f>
        <v>5.1233396584440226E-2</v>
      </c>
      <c r="K1058" s="16">
        <f>AVERAGE(F$5:F1058)</f>
        <v>2.2238140417457317</v>
      </c>
      <c r="L1058" s="16">
        <f>SUM(F$5:F1058)/SUM(E$5:E1058)</f>
        <v>0.75741614425127701</v>
      </c>
    </row>
    <row r="1059" spans="1:13" x14ac:dyDescent="0.25">
      <c r="A1059" s="29">
        <v>45797</v>
      </c>
      <c r="B1059" s="16" t="s">
        <v>1105</v>
      </c>
      <c r="C1059" s="34">
        <v>1</v>
      </c>
      <c r="D1059" s="16" t="s">
        <v>50</v>
      </c>
      <c r="E1059" s="35">
        <v>2</v>
      </c>
      <c r="F1059" s="35">
        <v>1.7</v>
      </c>
      <c r="G1059" s="16" t="s">
        <v>44</v>
      </c>
      <c r="H1059" s="16" t="s">
        <v>45</v>
      </c>
      <c r="I1059" s="16">
        <f>COUNTIF(G$5:G1059,"Y")/COUNTA(G$5:G1059)</f>
        <v>0.87677725118483407</v>
      </c>
      <c r="J1059" s="16">
        <f>COUNTIF(H$5:H1059,"Y")/COUNTA(H$5:H1059)</f>
        <v>5.118483412322275E-2</v>
      </c>
      <c r="K1059" s="16">
        <f>AVERAGE(F$5:F1059)</f>
        <v>2.2233175355450245</v>
      </c>
      <c r="L1059" s="16">
        <f>SUM(F$5:F1059)/SUM(E$5:E1059)</f>
        <v>0.75747594135503504</v>
      </c>
    </row>
    <row r="1060" spans="1:13" x14ac:dyDescent="0.25">
      <c r="A1060" s="29">
        <v>45798</v>
      </c>
      <c r="B1060" s="16" t="s">
        <v>1106</v>
      </c>
      <c r="C1060" s="34">
        <v>1</v>
      </c>
      <c r="D1060" s="16" t="s">
        <v>52</v>
      </c>
      <c r="E1060" s="35">
        <v>2.1</v>
      </c>
      <c r="F1060" s="35">
        <v>1.8</v>
      </c>
      <c r="G1060" s="16" t="s">
        <v>44</v>
      </c>
      <c r="H1060" s="16" t="s">
        <v>45</v>
      </c>
      <c r="I1060" s="16">
        <f>COUNTIF(G$5:G1060,"Y")/COUNTA(G$5:G1060)</f>
        <v>0.87689393939393945</v>
      </c>
      <c r="J1060" s="16">
        <f>COUNTIF(H$5:H1060,"Y")/COUNTA(H$5:H1060)</f>
        <v>5.113636363636364E-2</v>
      </c>
      <c r="K1060" s="16">
        <f>AVERAGE(F$5:F1060)</f>
        <v>2.2229166666666678</v>
      </c>
      <c r="L1060" s="16">
        <f>SUM(F$5:F1060)/SUM(E$5:E1060)</f>
        <v>0.75754348597799137</v>
      </c>
    </row>
    <row r="1061" spans="1:13" x14ac:dyDescent="0.25">
      <c r="A1061" s="29">
        <v>45799</v>
      </c>
      <c r="B1061" s="16" t="s">
        <v>1107</v>
      </c>
      <c r="C1061" s="34">
        <v>1</v>
      </c>
      <c r="D1061" s="16" t="s">
        <v>64</v>
      </c>
      <c r="E1061" s="35">
        <v>4.3</v>
      </c>
      <c r="F1061" s="35">
        <v>3</v>
      </c>
      <c r="G1061" s="16" t="s">
        <v>44</v>
      </c>
      <c r="H1061" s="16" t="s">
        <v>45</v>
      </c>
      <c r="I1061" s="16">
        <f>COUNTIF(G$5:G1061,"Y")/COUNTA(G$5:G1061)</f>
        <v>0.87701040681173137</v>
      </c>
      <c r="J1061" s="16">
        <f>COUNTIF(H$5:H1061,"Y")/COUNTA(H$5:H1061)</f>
        <v>5.1087984862819298E-2</v>
      </c>
      <c r="K1061" s="16">
        <f>AVERAGE(F$5:F1061)</f>
        <v>2.2236518448438987</v>
      </c>
      <c r="L1061" s="16">
        <f>SUM(F$5:F1061)/SUM(E$5:E1061)</f>
        <v>0.75746052207541148</v>
      </c>
    </row>
    <row r="1062" spans="1:13" x14ac:dyDescent="0.25">
      <c r="A1062" s="29">
        <v>45800</v>
      </c>
      <c r="B1062" s="16" t="s">
        <v>1108</v>
      </c>
      <c r="C1062" s="34">
        <v>1</v>
      </c>
      <c r="D1062" s="16" t="s">
        <v>60</v>
      </c>
      <c r="E1062" s="35">
        <v>0.7</v>
      </c>
      <c r="F1062" s="35">
        <v>0.5</v>
      </c>
      <c r="G1062" s="16" t="s">
        <v>44</v>
      </c>
      <c r="H1062" s="16" t="s">
        <v>45</v>
      </c>
      <c r="I1062" s="16">
        <f>COUNTIF(G$5:G1062,"Y")/COUNTA(G$5:G1062)</f>
        <v>0.87712665406427226</v>
      </c>
      <c r="J1062" s="16">
        <f>COUNTIF(H$5:H1062,"Y")/COUNTA(H$5:H1062)</f>
        <v>5.1039697542533083E-2</v>
      </c>
      <c r="K1062" s="16">
        <f>AVERAGE(F$5:F1062)</f>
        <v>2.2220226843100197</v>
      </c>
      <c r="L1062" s="16">
        <f>SUM(F$5:F1062)/SUM(E$5:E1062)</f>
        <v>0.75745078454747616</v>
      </c>
    </row>
    <row r="1063" spans="1:13" x14ac:dyDescent="0.25">
      <c r="A1063" s="29">
        <v>45796</v>
      </c>
      <c r="B1063" s="16" t="s">
        <v>1109</v>
      </c>
      <c r="C1063" s="34">
        <v>1</v>
      </c>
      <c r="D1063" s="16" t="s">
        <v>56</v>
      </c>
      <c r="E1063" s="35">
        <v>0.6</v>
      </c>
      <c r="F1063" s="35">
        <v>0.5</v>
      </c>
      <c r="G1063" s="16" t="s">
        <v>45</v>
      </c>
      <c r="H1063" s="16" t="s">
        <v>45</v>
      </c>
      <c r="I1063" s="16">
        <f>COUNTIF(G$5:G1063,"Y")/COUNTA(G$5:G1063)</f>
        <v>0.87629839471199245</v>
      </c>
      <c r="J1063" s="16">
        <f>COUNTIF(H$5:H1063,"Y")/COUNTA(H$5:H1063)</f>
        <v>5.0991501416430593E-2</v>
      </c>
      <c r="K1063" s="16">
        <f>AVERAGE(F$5:F1063)</f>
        <v>2.2203966005665734</v>
      </c>
      <c r="L1063" s="16">
        <f>SUM(F$5:F1063)/SUM(E$5:E1063)</f>
        <v>0.75746545114840769</v>
      </c>
    </row>
    <row r="1064" spans="1:13" x14ac:dyDescent="0.25">
      <c r="A1064" s="29">
        <v>45797</v>
      </c>
      <c r="B1064" s="16" t="s">
        <v>1110</v>
      </c>
      <c r="C1064" s="34">
        <v>1</v>
      </c>
      <c r="D1064" s="16" t="s">
        <v>60</v>
      </c>
      <c r="E1064" s="35">
        <v>0.6</v>
      </c>
      <c r="F1064" s="35">
        <v>0.5</v>
      </c>
      <c r="G1064" s="16" t="s">
        <v>44</v>
      </c>
      <c r="H1064" s="16" t="s">
        <v>45</v>
      </c>
      <c r="I1064" s="16">
        <f>COUNTIF(G$5:G1064,"Y")/COUNTA(G$5:G1064)</f>
        <v>0.87641509433962261</v>
      </c>
      <c r="J1064" s="16">
        <f>COUNTIF(H$5:H1064,"Y")/COUNTA(H$5:H1064)</f>
        <v>5.0943396226415097E-2</v>
      </c>
      <c r="K1064" s="16">
        <f>AVERAGE(F$5:F1064)</f>
        <v>2.2187735849056613</v>
      </c>
      <c r="L1064" s="16">
        <f>SUM(F$5:F1064)/SUM(E$5:E1064)</f>
        <v>0.75748011208090504</v>
      </c>
    </row>
    <row r="1065" spans="1:13" x14ac:dyDescent="0.25">
      <c r="A1065" s="29">
        <v>45798</v>
      </c>
      <c r="B1065" s="16" t="s">
        <v>1111</v>
      </c>
      <c r="C1065" s="34">
        <v>1</v>
      </c>
      <c r="D1065" s="16" t="s">
        <v>60</v>
      </c>
      <c r="E1065" s="35">
        <v>0.7</v>
      </c>
      <c r="F1065" s="35">
        <v>0.5</v>
      </c>
      <c r="G1065" s="16" t="s">
        <v>44</v>
      </c>
      <c r="H1065" s="16" t="s">
        <v>45</v>
      </c>
      <c r="I1065" s="16">
        <f>COUNTIF(G$5:G1065,"Y")/COUNTA(G$5:G1065)</f>
        <v>0.87653157398680492</v>
      </c>
      <c r="J1065" s="16">
        <f>COUNTIF(H$5:H1065,"Y")/COUNTA(H$5:H1065)</f>
        <v>5.0895381715362863E-2</v>
      </c>
      <c r="K1065" s="16">
        <f>AVERAGE(F$5:F1065)</f>
        <v>2.2171536286522158</v>
      </c>
      <c r="L1065" s="16">
        <f>SUM(F$5:F1065)/SUM(E$5:E1065)</f>
        <v>0.75747037609479717</v>
      </c>
    </row>
    <row r="1066" spans="1:13" x14ac:dyDescent="0.25">
      <c r="A1066" s="29">
        <v>45799</v>
      </c>
      <c r="B1066" s="16" t="s">
        <v>1112</v>
      </c>
      <c r="C1066" s="34">
        <v>1</v>
      </c>
      <c r="D1066" s="16" t="s">
        <v>64</v>
      </c>
      <c r="E1066" s="35">
        <v>0.7</v>
      </c>
      <c r="F1066" s="35">
        <v>0.5</v>
      </c>
      <c r="G1066" s="16" t="s">
        <v>44</v>
      </c>
      <c r="H1066" s="16" t="s">
        <v>45</v>
      </c>
      <c r="I1066" s="16">
        <f>COUNTIF(G$5:G1066,"Y")/COUNTA(G$5:G1066)</f>
        <v>0.87664783427495296</v>
      </c>
      <c r="J1066" s="16">
        <f>COUNTIF(H$5:H1066,"Y")/COUNTA(H$5:H1066)</f>
        <v>5.0847457627118647E-2</v>
      </c>
      <c r="K1066" s="16">
        <f>AVERAGE(F$5:F1066)</f>
        <v>2.2155367231638428</v>
      </c>
      <c r="L1066" s="16">
        <f>SUM(F$5:F1066)/SUM(E$5:E1066)</f>
        <v>0.75746064449666883</v>
      </c>
    </row>
    <row r="1067" spans="1:13" x14ac:dyDescent="0.25">
      <c r="A1067" s="29">
        <v>45800</v>
      </c>
      <c r="B1067" s="16" t="s">
        <v>1113</v>
      </c>
      <c r="C1067" s="34">
        <v>1</v>
      </c>
      <c r="D1067" s="16" t="s">
        <v>64</v>
      </c>
      <c r="E1067" s="35">
        <v>0.6</v>
      </c>
      <c r="F1067" s="35">
        <v>0.5</v>
      </c>
      <c r="G1067" s="16" t="s">
        <v>44</v>
      </c>
      <c r="H1067" s="16" t="s">
        <v>45</v>
      </c>
      <c r="I1067" s="16">
        <f>COUNTIF(G$5:G1067,"Y")/COUNTA(G$5:G1067)</f>
        <v>0.87676387582314208</v>
      </c>
      <c r="J1067" s="16">
        <f>COUNTIF(H$5:H1067,"Y")/COUNTA(H$5:H1067)</f>
        <v>5.0799623706491062E-2</v>
      </c>
      <c r="K1067" s="16">
        <f>AVERAGE(F$5:F1067)</f>
        <v>2.2139228598306691</v>
      </c>
      <c r="L1067" s="16">
        <f>SUM(F$5:F1067)/SUM(E$5:E1067)</f>
        <v>0.75747529691976001</v>
      </c>
    </row>
    <row r="1068" spans="1:13" x14ac:dyDescent="0.25">
      <c r="A1068" s="29">
        <v>45796</v>
      </c>
      <c r="B1068" s="16" t="s">
        <v>1114</v>
      </c>
      <c r="C1068" s="34">
        <v>1</v>
      </c>
      <c r="D1068" s="16" t="s">
        <v>60</v>
      </c>
      <c r="E1068" s="35">
        <v>2.2000000000000002</v>
      </c>
      <c r="F1068" s="35">
        <v>0.5</v>
      </c>
      <c r="G1068" s="16" t="s">
        <v>44</v>
      </c>
      <c r="H1068" s="16" t="s">
        <v>45</v>
      </c>
      <c r="I1068" s="16">
        <f>COUNTIF(G$5:G1068,"Y")/COUNTA(G$5:G1068)</f>
        <v>0.87687969924812026</v>
      </c>
      <c r="J1068" s="16">
        <f>COUNTIF(H$5:H1068,"Y")/COUNTA(H$5:H1068)</f>
        <v>5.0751879699248117E-2</v>
      </c>
      <c r="K1068" s="16">
        <f>AVERAGE(F$5:F1068)</f>
        <v>2.2123120300751888</v>
      </c>
      <c r="L1068" s="16">
        <f>SUM(F$5:F1068)/SUM(E$5:E1068)</f>
        <v>0.75710012543823046</v>
      </c>
      <c r="M1068" s="16">
        <v>11</v>
      </c>
    </row>
    <row r="1069" spans="1:13" x14ac:dyDescent="0.25">
      <c r="A1069" s="29">
        <v>45803</v>
      </c>
      <c r="B1069" s="16" t="s">
        <v>1115</v>
      </c>
      <c r="C1069" s="34">
        <v>1</v>
      </c>
      <c r="D1069" s="16" t="s">
        <v>64</v>
      </c>
      <c r="E1069" s="35">
        <v>2.4</v>
      </c>
      <c r="F1069" s="35">
        <v>1.7</v>
      </c>
      <c r="G1069" s="16" t="s">
        <v>44</v>
      </c>
      <c r="H1069" s="16" t="s">
        <v>45</v>
      </c>
      <c r="I1069" s="16">
        <f>COUNTIF(G$5:G1069,"Y")/COUNTA(G$5:G1069)</f>
        <v>0.87699530516431923</v>
      </c>
      <c r="J1069" s="16">
        <f>COUNTIF(H$5:H1069,"Y")/COUNTA(H$5:H1069)</f>
        <v>5.0704225352112678E-2</v>
      </c>
      <c r="K1069" s="16">
        <f>AVERAGE(F$5:F1069)</f>
        <v>2.2118309859154937</v>
      </c>
      <c r="L1069" s="16">
        <f>SUM(F$5:F1069)/SUM(E$5:E1069)</f>
        <v>0.75706251004338809</v>
      </c>
    </row>
    <row r="1070" spans="1:13" x14ac:dyDescent="0.25">
      <c r="A1070" s="29">
        <v>45804</v>
      </c>
      <c r="B1070" s="16" t="s">
        <v>1116</v>
      </c>
      <c r="C1070" s="34">
        <v>1</v>
      </c>
      <c r="D1070" s="16" t="s">
        <v>50</v>
      </c>
      <c r="E1070" s="35">
        <v>3</v>
      </c>
      <c r="F1070" s="35">
        <v>2.2000000000000002</v>
      </c>
      <c r="G1070" s="16" t="s">
        <v>44</v>
      </c>
      <c r="H1070" s="16" t="s">
        <v>45</v>
      </c>
      <c r="I1070" s="16">
        <f>COUNTIF(G$5:G1070,"Y")/COUNTA(G$5:G1070)</f>
        <v>0.87711069418386489</v>
      </c>
      <c r="J1070" s="16">
        <f>COUNTIF(H$5:H1070,"Y")/COUNTA(H$5:H1070)</f>
        <v>5.0656660412757973E-2</v>
      </c>
      <c r="K1070" s="16">
        <f>AVERAGE(F$5:F1070)</f>
        <v>2.2118198874296442</v>
      </c>
      <c r="L1070" s="16">
        <f>SUM(F$5:F1070)/SUM(E$5:E1070)</f>
        <v>0.75703965323486977</v>
      </c>
    </row>
    <row r="1071" spans="1:13" x14ac:dyDescent="0.25">
      <c r="A1071" s="29">
        <v>45805</v>
      </c>
      <c r="B1071" s="16" t="s">
        <v>1117</v>
      </c>
      <c r="C1071" s="34">
        <v>1</v>
      </c>
      <c r="D1071" s="16" t="s">
        <v>56</v>
      </c>
      <c r="E1071" s="35">
        <v>3.6</v>
      </c>
      <c r="F1071" s="35">
        <v>2.6</v>
      </c>
      <c r="G1071" s="16" t="s">
        <v>44</v>
      </c>
      <c r="H1071" s="16" t="s">
        <v>45</v>
      </c>
      <c r="I1071" s="16">
        <f>COUNTIF(G$5:G1071,"Y")/COUNTA(G$5:G1071)</f>
        <v>0.87722586691658855</v>
      </c>
      <c r="J1071" s="16">
        <f>COUNTIF(H$5:H1071,"Y")/COUNTA(H$5:H1071)</f>
        <v>5.0609184629803183E-2</v>
      </c>
      <c r="K1071" s="16">
        <f>AVERAGE(F$5:F1071)</f>
        <v>2.2121836925960641</v>
      </c>
      <c r="L1071" s="16">
        <f>SUM(F$5:F1071)/SUM(E$5:E1071)</f>
        <v>0.75699945479619057</v>
      </c>
    </row>
    <row r="1072" spans="1:13" x14ac:dyDescent="0.25">
      <c r="A1072" s="29">
        <v>45806</v>
      </c>
      <c r="B1072" s="16" t="s">
        <v>1118</v>
      </c>
      <c r="C1072" s="34">
        <v>1</v>
      </c>
      <c r="D1072" s="16" t="s">
        <v>50</v>
      </c>
      <c r="E1072" s="35">
        <v>4.7</v>
      </c>
      <c r="F1072" s="35">
        <v>3.8</v>
      </c>
      <c r="G1072" s="16" t="s">
        <v>44</v>
      </c>
      <c r="H1072" s="16" t="s">
        <v>45</v>
      </c>
      <c r="I1072" s="16">
        <f>COUNTIF(G$5:G1072,"Y")/COUNTA(G$5:G1072)</f>
        <v>0.87734082397003743</v>
      </c>
      <c r="J1072" s="16">
        <f>COUNTIF(H$5:H1072,"Y")/COUNTA(H$5:H1072)</f>
        <v>5.0561797752808987E-2</v>
      </c>
      <c r="K1072" s="16">
        <f>AVERAGE(F$5:F1072)</f>
        <v>2.2136704119850195</v>
      </c>
      <c r="L1072" s="16">
        <f>SUM(F$5:F1072)/SUM(E$5:E1072)</f>
        <v>0.75707698219546637</v>
      </c>
    </row>
    <row r="1073" spans="1:12" x14ac:dyDescent="0.25">
      <c r="A1073" s="29">
        <v>45807</v>
      </c>
      <c r="B1073" s="16" t="s">
        <v>1119</v>
      </c>
      <c r="C1073" s="34">
        <v>1</v>
      </c>
      <c r="D1073" s="16" t="s">
        <v>47</v>
      </c>
      <c r="E1073" s="35">
        <v>2.7</v>
      </c>
      <c r="F1073" s="35">
        <v>2</v>
      </c>
      <c r="G1073" s="16" t="s">
        <v>44</v>
      </c>
      <c r="H1073" s="16" t="s">
        <v>45</v>
      </c>
      <c r="I1073" s="16">
        <f>COUNTIF(G$5:G1073,"Y")/COUNTA(G$5:G1073)</f>
        <v>0.87745556594948548</v>
      </c>
      <c r="J1073" s="16">
        <f>COUNTIF(H$5:H1073,"Y")/COUNTA(H$5:H1073)</f>
        <v>5.0514499532273154E-2</v>
      </c>
      <c r="K1073" s="16">
        <f>AVERAGE(F$5:F1073)</f>
        <v>2.2134705332086066</v>
      </c>
      <c r="L1073" s="16">
        <f>SUM(F$5:F1073)/SUM(E$5:E1073)</f>
        <v>0.75706286994081029</v>
      </c>
    </row>
    <row r="1074" spans="1:12" x14ac:dyDescent="0.25">
      <c r="A1074" s="29">
        <v>45803</v>
      </c>
      <c r="B1074" s="16" t="s">
        <v>1120</v>
      </c>
      <c r="C1074" s="34">
        <v>1</v>
      </c>
      <c r="D1074" s="16" t="s">
        <v>52</v>
      </c>
      <c r="E1074" s="35">
        <v>1.8</v>
      </c>
      <c r="F1074" s="35">
        <v>1.6</v>
      </c>
      <c r="G1074" s="16" t="s">
        <v>44</v>
      </c>
      <c r="H1074" s="16" t="s">
        <v>45</v>
      </c>
      <c r="I1074" s="16">
        <f>COUNTIF(G$5:G1074,"Y")/COUNTA(G$5:G1074)</f>
        <v>0.8775700934579439</v>
      </c>
      <c r="J1074" s="16">
        <f>COUNTIF(H$5:H1074,"Y")/COUNTA(H$5:H1074)</f>
        <v>5.046728971962617E-2</v>
      </c>
      <c r="K1074" s="16">
        <f>AVERAGE(F$5:F1074)</f>
        <v>2.2128971962616828</v>
      </c>
      <c r="L1074" s="16">
        <f>SUM(F$5:F1074)/SUM(E$5:E1074)</f>
        <v>0.75713874588303076</v>
      </c>
    </row>
    <row r="1075" spans="1:12" x14ac:dyDescent="0.25">
      <c r="A1075" s="29">
        <v>45804</v>
      </c>
      <c r="B1075" s="16" t="s">
        <v>1121</v>
      </c>
      <c r="C1075" s="34">
        <v>1</v>
      </c>
      <c r="D1075" s="16" t="s">
        <v>64</v>
      </c>
      <c r="E1075" s="35">
        <v>4.4000000000000004</v>
      </c>
      <c r="F1075" s="35">
        <v>3.6</v>
      </c>
      <c r="G1075" s="16" t="s">
        <v>44</v>
      </c>
      <c r="H1075" s="16" t="s">
        <v>45</v>
      </c>
      <c r="I1075" s="16">
        <f>COUNTIF(G$5:G1075,"Y")/COUNTA(G$5:G1075)</f>
        <v>0.87768440709617179</v>
      </c>
      <c r="J1075" s="16">
        <f>COUNTIF(H$5:H1075,"Y")/COUNTA(H$5:H1075)</f>
        <v>5.0420168067226892E-2</v>
      </c>
      <c r="K1075" s="16">
        <f>AVERAGE(F$5:F1075)</f>
        <v>2.2141923436041089</v>
      </c>
      <c r="L1075" s="16">
        <f>SUM(F$5:F1075)/SUM(E$5:E1075)</f>
        <v>0.75722451064916885</v>
      </c>
    </row>
    <row r="1076" spans="1:12" x14ac:dyDescent="0.25">
      <c r="A1076" s="29">
        <v>45805</v>
      </c>
      <c r="B1076" s="16" t="s">
        <v>1122</v>
      </c>
      <c r="C1076" s="34">
        <v>1</v>
      </c>
      <c r="D1076" s="16" t="s">
        <v>56</v>
      </c>
      <c r="E1076" s="35">
        <v>3.9</v>
      </c>
      <c r="F1076" s="35">
        <v>3</v>
      </c>
      <c r="G1076" s="16" t="s">
        <v>44</v>
      </c>
      <c r="H1076" s="16" t="s">
        <v>45</v>
      </c>
      <c r="I1076" s="16">
        <f>COUNTIF(G$5:G1076,"Y")/COUNTA(G$5:G1076)</f>
        <v>0.87779850746268662</v>
      </c>
      <c r="J1076" s="16">
        <f>COUNTIF(H$5:H1076,"Y")/COUNTA(H$5:H1076)</f>
        <v>5.0373134328358209E-2</v>
      </c>
      <c r="K1076" s="16">
        <f>AVERAGE(F$5:F1076)</f>
        <v>2.2149253731343288</v>
      </c>
      <c r="L1076" s="16">
        <f>SUM(F$5:F1076)/SUM(E$5:E1076)</f>
        <v>0.75723944380660857</v>
      </c>
    </row>
    <row r="1077" spans="1:12" x14ac:dyDescent="0.25">
      <c r="A1077" s="29">
        <v>45806</v>
      </c>
      <c r="B1077" s="16" t="s">
        <v>1123</v>
      </c>
      <c r="C1077" s="34">
        <v>1</v>
      </c>
      <c r="D1077" s="16" t="s">
        <v>47</v>
      </c>
      <c r="E1077" s="35">
        <v>4.0999999999999996</v>
      </c>
      <c r="F1077" s="35">
        <v>3.7</v>
      </c>
      <c r="G1077" s="16" t="s">
        <v>44</v>
      </c>
      <c r="H1077" s="16" t="s">
        <v>45</v>
      </c>
      <c r="I1077" s="16">
        <f>COUNTIF(G$5:G1077,"Y")/COUNTA(G$5:G1077)</f>
        <v>0.87791239515377451</v>
      </c>
      <c r="J1077" s="16">
        <f>COUNTIF(H$5:H1077,"Y")/COUNTA(H$5:H1077)</f>
        <v>5.0326188257222737E-2</v>
      </c>
      <c r="K1077" s="16">
        <f>AVERAGE(F$5:F1077)</f>
        <v>2.2163094128611371</v>
      </c>
      <c r="L1077" s="16">
        <f>SUM(F$5:F1077)/SUM(E$5:E1077)</f>
        <v>0.7574290537312488</v>
      </c>
    </row>
    <row r="1078" spans="1:12" x14ac:dyDescent="0.25">
      <c r="A1078" s="29">
        <v>45807</v>
      </c>
      <c r="B1078" s="16" t="s">
        <v>1124</v>
      </c>
      <c r="C1078" s="34">
        <v>1</v>
      </c>
      <c r="D1078" s="16" t="s">
        <v>56</v>
      </c>
      <c r="E1078" s="35">
        <v>1.9</v>
      </c>
      <c r="F1078" s="35">
        <v>1.6</v>
      </c>
      <c r="G1078" s="16" t="s">
        <v>44</v>
      </c>
      <c r="H1078" s="16" t="s">
        <v>45</v>
      </c>
      <c r="I1078" s="16">
        <f>COUNTIF(G$5:G1078,"Y")/COUNTA(G$5:G1078)</f>
        <v>0.87802607076350092</v>
      </c>
      <c r="J1078" s="16">
        <f>COUNTIF(H$5:H1078,"Y")/COUNTA(H$5:H1078)</f>
        <v>5.027932960893855E-2</v>
      </c>
      <c r="K1078" s="16">
        <f>AVERAGE(F$5:F1078)</f>
        <v>2.2157355679702051</v>
      </c>
      <c r="L1078" s="16">
        <f>SUM(F$5:F1078)/SUM(E$5:E1078)</f>
        <v>0.75748026483320652</v>
      </c>
    </row>
    <row r="1079" spans="1:12" x14ac:dyDescent="0.25">
      <c r="A1079" s="29">
        <v>45803</v>
      </c>
      <c r="B1079" s="16" t="s">
        <v>1125</v>
      </c>
      <c r="C1079" s="34">
        <v>1</v>
      </c>
      <c r="D1079" s="16" t="s">
        <v>64</v>
      </c>
      <c r="E1079" s="35">
        <v>2.5</v>
      </c>
      <c r="F1079" s="35">
        <v>2.1</v>
      </c>
      <c r="G1079" s="16" t="s">
        <v>44</v>
      </c>
      <c r="H1079" s="16" t="s">
        <v>45</v>
      </c>
      <c r="I1079" s="16">
        <f>COUNTIF(G$5:G1079,"Y")/COUNTA(G$5:G1079)</f>
        <v>0.87813953488372098</v>
      </c>
      <c r="J1079" s="16">
        <f>COUNTIF(H$5:H1079,"Y")/COUNTA(H$5:H1079)</f>
        <v>5.0232558139534887E-2</v>
      </c>
      <c r="K1079" s="16">
        <f>AVERAGE(F$5:F1079)</f>
        <v>2.2156279069767444</v>
      </c>
      <c r="L1079" s="16">
        <f>SUM(F$5:F1079)/SUM(E$5:E1079)</f>
        <v>0.75754587958398323</v>
      </c>
    </row>
    <row r="1080" spans="1:12" x14ac:dyDescent="0.25">
      <c r="A1080" s="29">
        <v>45804</v>
      </c>
      <c r="B1080" s="16" t="s">
        <v>1126</v>
      </c>
      <c r="C1080" s="34">
        <v>1</v>
      </c>
      <c r="D1080" s="16" t="s">
        <v>43</v>
      </c>
      <c r="E1080" s="35">
        <v>2.5</v>
      </c>
      <c r="F1080" s="35">
        <v>1.9</v>
      </c>
      <c r="G1080" s="16" t="s">
        <v>44</v>
      </c>
      <c r="H1080" s="16" t="s">
        <v>45</v>
      </c>
      <c r="I1080" s="16">
        <f>COUNTIF(G$5:G1080,"Y")/COUNTA(G$5:G1080)</f>
        <v>0.87825278810408924</v>
      </c>
      <c r="J1080" s="16">
        <f>COUNTIF(H$5:H1080,"Y")/COUNTA(H$5:H1080)</f>
        <v>5.0185873605947957E-2</v>
      </c>
      <c r="K1080" s="16">
        <f>AVERAGE(F$5:F1080)</f>
        <v>2.2153345724907068</v>
      </c>
      <c r="L1080" s="16">
        <f>SUM(F$5:F1080)/SUM(E$5:E1080)</f>
        <v>0.7575478294031659</v>
      </c>
    </row>
    <row r="1081" spans="1:12" x14ac:dyDescent="0.25">
      <c r="A1081" s="29">
        <v>45805</v>
      </c>
      <c r="B1081" s="16" t="s">
        <v>1127</v>
      </c>
      <c r="C1081" s="34">
        <v>1</v>
      </c>
      <c r="D1081" s="16" t="s">
        <v>50</v>
      </c>
      <c r="E1081" s="35">
        <v>2.5</v>
      </c>
      <c r="F1081" s="35">
        <v>2</v>
      </c>
      <c r="G1081" s="16" t="s">
        <v>44</v>
      </c>
      <c r="H1081" s="16" t="s">
        <v>45</v>
      </c>
      <c r="I1081" s="16">
        <f>COUNTIF(G$5:G1081,"Y")/COUNTA(G$5:G1081)</f>
        <v>0.87836583101207055</v>
      </c>
      <c r="J1081" s="16">
        <f>COUNTIF(H$5:H1081,"Y")/COUNTA(H$5:H1081)</f>
        <v>5.0139275766016712E-2</v>
      </c>
      <c r="K1081" s="16">
        <f>AVERAGE(F$5:F1081)</f>
        <v>2.2151346332404831</v>
      </c>
      <c r="L1081" s="16">
        <f>SUM(F$5:F1081)/SUM(E$5:E1081)</f>
        <v>0.75758153123114591</v>
      </c>
    </row>
    <row r="1082" spans="1:12" x14ac:dyDescent="0.25">
      <c r="A1082" s="29">
        <v>45806</v>
      </c>
      <c r="B1082" s="16" t="s">
        <v>1128</v>
      </c>
      <c r="C1082" s="34">
        <v>1</v>
      </c>
      <c r="D1082" s="16" t="s">
        <v>47</v>
      </c>
      <c r="E1082" s="35">
        <v>4.5</v>
      </c>
      <c r="F1082" s="35">
        <v>3.7</v>
      </c>
      <c r="G1082" s="16" t="s">
        <v>44</v>
      </c>
      <c r="H1082" s="16" t="s">
        <v>45</v>
      </c>
      <c r="I1082" s="16">
        <f>COUNTIF(G$5:G1082,"Y")/COUNTA(G$5:G1082)</f>
        <v>0.87847866419294995</v>
      </c>
      <c r="J1082" s="16">
        <f>COUNTIF(H$5:H1082,"Y")/COUNTA(H$5:H1082)</f>
        <v>5.0092764378478663E-2</v>
      </c>
      <c r="K1082" s="16">
        <f>AVERAGE(F$5:F1082)</f>
        <v>2.2165120593692023</v>
      </c>
      <c r="L1082" s="16">
        <f>SUM(F$5:F1082)/SUM(E$5:E1082)</f>
        <v>0.75767376966007149</v>
      </c>
    </row>
    <row r="1083" spans="1:12" x14ac:dyDescent="0.25">
      <c r="A1083" s="29">
        <v>45807</v>
      </c>
      <c r="B1083" s="16" t="s">
        <v>1129</v>
      </c>
      <c r="C1083" s="34">
        <v>1</v>
      </c>
      <c r="D1083" s="16" t="s">
        <v>56</v>
      </c>
      <c r="E1083" s="35">
        <v>4.2</v>
      </c>
      <c r="F1083" s="35">
        <v>2.9</v>
      </c>
      <c r="G1083" s="16" t="s">
        <v>44</v>
      </c>
      <c r="H1083" s="16" t="s">
        <v>45</v>
      </c>
      <c r="I1083" s="16">
        <f>COUNTIF(G$5:G1083,"Y")/COUNTA(G$5:G1083)</f>
        <v>0.87859128822984245</v>
      </c>
      <c r="J1083" s="16">
        <f>COUNTIF(H$5:H1083,"Y")/COUNTA(H$5:H1083)</f>
        <v>5.0046339202965709E-2</v>
      </c>
      <c r="K1083" s="16">
        <f>AVERAGE(F$5:F1083)</f>
        <v>2.2171455050973123</v>
      </c>
      <c r="L1083" s="16">
        <f>SUM(F$5:F1083)/SUM(E$5:E1083)</f>
        <v>0.75758439419849322</v>
      </c>
    </row>
    <row r="1084" spans="1:12" x14ac:dyDescent="0.25">
      <c r="A1084" s="29">
        <v>45803</v>
      </c>
      <c r="B1084" s="16" t="s">
        <v>1130</v>
      </c>
      <c r="C1084" s="34">
        <v>1</v>
      </c>
      <c r="D1084" s="16" t="s">
        <v>52</v>
      </c>
      <c r="E1084" s="35">
        <v>2.8</v>
      </c>
      <c r="F1084" s="35">
        <v>2.4</v>
      </c>
      <c r="G1084" s="16" t="s">
        <v>44</v>
      </c>
      <c r="H1084" s="16" t="s">
        <v>45</v>
      </c>
      <c r="I1084" s="16">
        <f>COUNTIF(G$5:G1084,"Y")/COUNTA(G$5:G1084)</f>
        <v>0.87870370370370365</v>
      </c>
      <c r="J1084" s="16">
        <f>COUNTIF(H$5:H1084,"Y")/COUNTA(H$5:H1084)</f>
        <v>0.05</v>
      </c>
      <c r="K1084" s="16">
        <f>AVERAGE(F$5:F1084)</f>
        <v>2.2173148148148152</v>
      </c>
      <c r="L1084" s="16">
        <f>SUM(F$5:F1084)/SUM(E$5:E1084)</f>
        <v>0.75767259381130214</v>
      </c>
    </row>
    <row r="1085" spans="1:12" x14ac:dyDescent="0.25">
      <c r="A1085" s="29">
        <v>45804</v>
      </c>
      <c r="B1085" s="16" t="s">
        <v>1131</v>
      </c>
      <c r="C1085" s="34">
        <v>1</v>
      </c>
      <c r="D1085" s="16" t="s">
        <v>50</v>
      </c>
      <c r="E1085" s="35">
        <v>1.6</v>
      </c>
      <c r="F1085" s="35">
        <v>1.2</v>
      </c>
      <c r="G1085" s="16" t="s">
        <v>44</v>
      </c>
      <c r="H1085" s="16" t="s">
        <v>45</v>
      </c>
      <c r="I1085" s="16">
        <f>COUNTIF(G$5:G1085,"Y")/COUNTA(G$5:G1085)</f>
        <v>0.87881591119333946</v>
      </c>
      <c r="J1085" s="16">
        <f>COUNTIF(H$5:H1085,"Y")/COUNTA(H$5:H1085)</f>
        <v>4.9953746530989822E-2</v>
      </c>
      <c r="K1085" s="16">
        <f>AVERAGE(F$5:F1085)</f>
        <v>2.2163737280296023</v>
      </c>
      <c r="L1085" s="16">
        <f>SUM(F$5:F1085)/SUM(E$5:E1085)</f>
        <v>0.75766871165644223</v>
      </c>
    </row>
    <row r="1086" spans="1:12" x14ac:dyDescent="0.25">
      <c r="A1086" s="29">
        <v>45805</v>
      </c>
      <c r="B1086" s="16" t="s">
        <v>1132</v>
      </c>
      <c r="C1086" s="34">
        <v>1</v>
      </c>
      <c r="D1086" s="16" t="s">
        <v>60</v>
      </c>
      <c r="E1086" s="35">
        <v>4.5</v>
      </c>
      <c r="F1086" s="35">
        <v>3.1</v>
      </c>
      <c r="G1086" s="16" t="s">
        <v>44</v>
      </c>
      <c r="H1086" s="16" t="s">
        <v>45</v>
      </c>
      <c r="I1086" s="16">
        <f>COUNTIF(G$5:G1086,"Y")/COUNTA(G$5:G1086)</f>
        <v>0.87892791127541592</v>
      </c>
      <c r="J1086" s="16">
        <f>COUNTIF(H$5:H1086,"Y")/COUNTA(H$5:H1086)</f>
        <v>4.9907578558225509E-2</v>
      </c>
      <c r="K1086" s="16">
        <f>AVERAGE(F$5:F1086)</f>
        <v>2.2171903881700556</v>
      </c>
      <c r="L1086" s="16">
        <f>SUM(F$5:F1086)/SUM(E$5:E1086)</f>
        <v>0.7575709729371275</v>
      </c>
    </row>
    <row r="1087" spans="1:12" x14ac:dyDescent="0.25">
      <c r="A1087" s="29">
        <v>45806</v>
      </c>
      <c r="B1087" s="16" t="s">
        <v>1133</v>
      </c>
      <c r="C1087" s="34">
        <v>1</v>
      </c>
      <c r="D1087" s="16" t="s">
        <v>47</v>
      </c>
      <c r="E1087" s="35">
        <v>3.6</v>
      </c>
      <c r="F1087" s="35">
        <v>3.2</v>
      </c>
      <c r="G1087" s="16" t="s">
        <v>45</v>
      </c>
      <c r="H1087" s="16" t="s">
        <v>44</v>
      </c>
      <c r="I1087" s="16">
        <f>COUNTIF(G$5:G1087,"Y")/COUNTA(G$5:G1087)</f>
        <v>0.87811634349030476</v>
      </c>
      <c r="J1087" s="16">
        <f>COUNTIF(H$5:H1087,"Y")/COUNTA(H$5:H1087)</f>
        <v>5.0784856879039705E-2</v>
      </c>
      <c r="K1087" s="16">
        <f>AVERAGE(F$5:F1087)</f>
        <v>2.2180978762696211</v>
      </c>
      <c r="L1087" s="16">
        <f>SUM(F$5:F1087)/SUM(E$5:E1087)</f>
        <v>0.75772008958142811</v>
      </c>
    </row>
    <row r="1088" spans="1:12" x14ac:dyDescent="0.25">
      <c r="A1088" s="29">
        <v>45807</v>
      </c>
      <c r="B1088" s="16" t="s">
        <v>1134</v>
      </c>
      <c r="C1088" s="34">
        <v>1</v>
      </c>
      <c r="D1088" s="16" t="s">
        <v>43</v>
      </c>
      <c r="E1088" s="35">
        <v>1.8</v>
      </c>
      <c r="F1088" s="35">
        <v>1.6</v>
      </c>
      <c r="G1088" s="16" t="s">
        <v>44</v>
      </c>
      <c r="H1088" s="16" t="s">
        <v>45</v>
      </c>
      <c r="I1088" s="16">
        <f>COUNTIF(G$5:G1088,"Y")/COUNTA(G$5:G1088)</f>
        <v>0.87822878228782286</v>
      </c>
      <c r="J1088" s="16">
        <f>COUNTIF(H$5:H1088,"Y")/COUNTA(H$5:H1088)</f>
        <v>5.07380073800738E-2</v>
      </c>
      <c r="K1088" s="16">
        <f>AVERAGE(F$5:F1088)</f>
        <v>2.2175276752767523</v>
      </c>
      <c r="L1088" s="16">
        <f>SUM(F$5:F1088)/SUM(E$5:E1088)</f>
        <v>0.75779452097979294</v>
      </c>
    </row>
    <row r="1089" spans="1:12" x14ac:dyDescent="0.25">
      <c r="A1089" s="29">
        <v>45803</v>
      </c>
      <c r="B1089" s="16" t="s">
        <v>1135</v>
      </c>
      <c r="C1089" s="34">
        <v>1</v>
      </c>
      <c r="D1089" s="16" t="s">
        <v>52</v>
      </c>
      <c r="E1089" s="35">
        <v>1.9</v>
      </c>
      <c r="F1089" s="35">
        <v>1.3</v>
      </c>
      <c r="G1089" s="16" t="s">
        <v>44</v>
      </c>
      <c r="H1089" s="16" t="s">
        <v>45</v>
      </c>
      <c r="I1089" s="16">
        <f>COUNTIF(G$5:G1089,"Y")/COUNTA(G$5:G1089)</f>
        <v>0.87834101382488483</v>
      </c>
      <c r="J1089" s="16">
        <f>COUNTIF(H$5:H1089,"Y")/COUNTA(H$5:H1089)</f>
        <v>5.0691244239631339E-2</v>
      </c>
      <c r="K1089" s="16">
        <f>AVERAGE(F$5:F1089)</f>
        <v>2.2166820276497696</v>
      </c>
      <c r="L1089" s="16">
        <f>SUM(F$5:F1089)/SUM(E$5:E1089)</f>
        <v>0.75775047258979245</v>
      </c>
    </row>
    <row r="1090" spans="1:12" x14ac:dyDescent="0.25">
      <c r="A1090" s="29">
        <v>45804</v>
      </c>
      <c r="B1090" s="16" t="s">
        <v>1136</v>
      </c>
      <c r="C1090" s="34">
        <v>1</v>
      </c>
      <c r="D1090" s="16" t="s">
        <v>56</v>
      </c>
      <c r="E1090" s="35">
        <v>3.1</v>
      </c>
      <c r="F1090" s="35">
        <v>2.8</v>
      </c>
      <c r="G1090" s="16" t="s">
        <v>44</v>
      </c>
      <c r="H1090" s="16" t="s">
        <v>45</v>
      </c>
      <c r="I1090" s="16">
        <f>COUNTIF(G$5:G1090,"Y")/COUNTA(G$5:G1090)</f>
        <v>0.87845303867403313</v>
      </c>
      <c r="J1090" s="16">
        <f>COUNTIF(H$5:H1090,"Y")/COUNTA(H$5:H1090)</f>
        <v>5.0644567219152857E-2</v>
      </c>
      <c r="K1090" s="16">
        <f>AVERAGE(F$5:F1090)</f>
        <v>2.2172191528545122</v>
      </c>
      <c r="L1090" s="16">
        <f>SUM(F$5:F1090)/SUM(E$5:E1090)</f>
        <v>0.75789241761354742</v>
      </c>
    </row>
    <row r="1091" spans="1:12" x14ac:dyDescent="0.25">
      <c r="A1091" s="29">
        <v>45805</v>
      </c>
      <c r="B1091" s="16" t="s">
        <v>1137</v>
      </c>
      <c r="C1091" s="34">
        <v>1</v>
      </c>
      <c r="D1091" s="16" t="s">
        <v>47</v>
      </c>
      <c r="E1091" s="35">
        <v>3.2</v>
      </c>
      <c r="F1091" s="35">
        <v>2.2999999999999998</v>
      </c>
      <c r="G1091" s="16" t="s">
        <v>44</v>
      </c>
      <c r="H1091" s="16" t="s">
        <v>45</v>
      </c>
      <c r="I1091" s="16">
        <f>COUNTIF(G$5:G1091,"Y")/COUNTA(G$5:G1091)</f>
        <v>0.87856485740570378</v>
      </c>
      <c r="J1091" s="16">
        <f>COUNTIF(H$5:H1091,"Y")/COUNTA(H$5:H1091)</f>
        <v>5.0597976080956765E-2</v>
      </c>
      <c r="K1091" s="16">
        <f>AVERAGE(F$5:F1091)</f>
        <v>2.2172953081876727</v>
      </c>
      <c r="L1091" s="16">
        <f>SUM(F$5:F1091)/SUM(E$5:E1091)</f>
        <v>0.75785303273276161</v>
      </c>
    </row>
    <row r="1092" spans="1:12" x14ac:dyDescent="0.25">
      <c r="A1092" s="29">
        <v>45806</v>
      </c>
      <c r="B1092" s="16" t="s">
        <v>1138</v>
      </c>
      <c r="C1092" s="34">
        <v>1</v>
      </c>
      <c r="D1092" s="16" t="s">
        <v>47</v>
      </c>
      <c r="E1092" s="35">
        <v>1.7</v>
      </c>
      <c r="F1092" s="35">
        <v>1.4</v>
      </c>
      <c r="G1092" s="16" t="s">
        <v>45</v>
      </c>
      <c r="H1092" s="16" t="s">
        <v>45</v>
      </c>
      <c r="I1092" s="16">
        <f>COUNTIF(G$5:G1092,"Y")/COUNTA(G$5:G1092)</f>
        <v>0.87775735294117652</v>
      </c>
      <c r="J1092" s="16">
        <f>COUNTIF(H$5:H1092,"Y")/COUNTA(H$5:H1092)</f>
        <v>5.0551470588235295E-2</v>
      </c>
      <c r="K1092" s="16">
        <f>AVERAGE(F$5:F1092)</f>
        <v>2.2165441176470591</v>
      </c>
      <c r="L1092" s="16">
        <f>SUM(F$5:F1092)/SUM(E$5:E1092)</f>
        <v>0.75788812067881905</v>
      </c>
    </row>
    <row r="1093" spans="1:12" x14ac:dyDescent="0.25">
      <c r="A1093" s="29">
        <v>45807</v>
      </c>
      <c r="B1093" s="16" t="s">
        <v>1139</v>
      </c>
      <c r="C1093" s="34">
        <v>1</v>
      </c>
      <c r="D1093" s="16" t="s">
        <v>60</v>
      </c>
      <c r="E1093" s="35">
        <v>2.1</v>
      </c>
      <c r="F1093" s="35">
        <v>1.6</v>
      </c>
      <c r="G1093" s="16" t="s">
        <v>44</v>
      </c>
      <c r="H1093" s="16" t="s">
        <v>45</v>
      </c>
      <c r="I1093" s="16">
        <f>COUNTIF(G$5:G1093,"Y")/COUNTA(G$5:G1093)</f>
        <v>0.87786960514233237</v>
      </c>
      <c r="J1093" s="16">
        <f>COUNTIF(H$5:H1093,"Y")/COUNTA(H$5:H1093)</f>
        <v>5.0505050505050504E-2</v>
      </c>
      <c r="K1093" s="16">
        <f>AVERAGE(F$5:F1093)</f>
        <v>2.215977961432507</v>
      </c>
      <c r="L1093" s="16">
        <f>SUM(F$5:F1093)/SUM(E$5:E1093)</f>
        <v>0.75789076976225689</v>
      </c>
    </row>
    <row r="1094" spans="1:12" x14ac:dyDescent="0.25">
      <c r="A1094" s="29">
        <v>45803</v>
      </c>
      <c r="B1094" s="16" t="s">
        <v>1140</v>
      </c>
      <c r="C1094" s="34">
        <v>1</v>
      </c>
      <c r="D1094" s="16" t="s">
        <v>52</v>
      </c>
      <c r="E1094" s="35">
        <v>4.5999999999999996</v>
      </c>
      <c r="F1094" s="35">
        <v>3.8</v>
      </c>
      <c r="G1094" s="16" t="s">
        <v>44</v>
      </c>
      <c r="H1094" s="16" t="s">
        <v>44</v>
      </c>
      <c r="I1094" s="16">
        <f>COUNTIF(G$5:G1094,"Y")/COUNTA(G$5:G1094)</f>
        <v>0.87798165137614681</v>
      </c>
      <c r="J1094" s="16">
        <f>COUNTIF(H$5:H1094,"Y")/COUNTA(H$5:H1094)</f>
        <v>5.1376146788990829E-2</v>
      </c>
      <c r="K1094" s="16">
        <f>AVERAGE(F$5:F1094)</f>
        <v>2.217431192660551</v>
      </c>
      <c r="L1094" s="16">
        <f>SUM(F$5:F1094)/SUM(E$5:E1094)</f>
        <v>0.75798914918305338</v>
      </c>
    </row>
    <row r="1095" spans="1:12" x14ac:dyDescent="0.25">
      <c r="A1095" s="29">
        <v>45804</v>
      </c>
      <c r="B1095" s="16" t="s">
        <v>1141</v>
      </c>
      <c r="C1095" s="34">
        <v>1</v>
      </c>
      <c r="D1095" s="16" t="s">
        <v>64</v>
      </c>
      <c r="E1095" s="35">
        <v>2.2999999999999998</v>
      </c>
      <c r="F1095" s="35">
        <v>1.9</v>
      </c>
      <c r="G1095" s="16" t="s">
        <v>44</v>
      </c>
      <c r="H1095" s="16" t="s">
        <v>45</v>
      </c>
      <c r="I1095" s="16">
        <f>COUNTIF(G$5:G1095,"Y")/COUNTA(G$5:G1095)</f>
        <v>0.87809349220898258</v>
      </c>
      <c r="J1095" s="16">
        <f>COUNTIF(H$5:H1095,"Y")/COUNTA(H$5:H1095)</f>
        <v>5.1329055912007336E-2</v>
      </c>
      <c r="K1095" s="16">
        <f>AVERAGE(F$5:F1095)</f>
        <v>2.2171402383134744</v>
      </c>
      <c r="L1095" s="16">
        <f>SUM(F$5:F1095)/SUM(E$5:E1095)</f>
        <v>0.7580382325289885</v>
      </c>
    </row>
    <row r="1096" spans="1:12" x14ac:dyDescent="0.25">
      <c r="A1096" s="29">
        <v>45805</v>
      </c>
      <c r="B1096" s="16" t="s">
        <v>1142</v>
      </c>
      <c r="C1096" s="34">
        <v>1</v>
      </c>
      <c r="D1096" s="16" t="s">
        <v>43</v>
      </c>
      <c r="E1096" s="35">
        <v>3.4</v>
      </c>
      <c r="F1096" s="35">
        <v>3</v>
      </c>
      <c r="G1096" s="16" t="s">
        <v>44</v>
      </c>
      <c r="H1096" s="16" t="s">
        <v>45</v>
      </c>
      <c r="I1096" s="16">
        <f>COUNTIF(G$5:G1096,"Y")/COUNTA(G$5:G1096)</f>
        <v>0.87820512820512819</v>
      </c>
      <c r="J1096" s="16">
        <f>COUNTIF(H$5:H1096,"Y")/COUNTA(H$5:H1096)</f>
        <v>5.128205128205128E-2</v>
      </c>
      <c r="K1096" s="16">
        <f>AVERAGE(F$5:F1096)</f>
        <v>2.2178571428571434</v>
      </c>
      <c r="L1096" s="16">
        <f>SUM(F$5:F1096)/SUM(E$5:E1096)</f>
        <v>0.75817054845980536</v>
      </c>
    </row>
    <row r="1097" spans="1:12" x14ac:dyDescent="0.25">
      <c r="A1097" s="29">
        <v>45806</v>
      </c>
      <c r="B1097" s="16" t="s">
        <v>1143</v>
      </c>
      <c r="C1097" s="34">
        <v>1</v>
      </c>
      <c r="D1097" s="16" t="s">
        <v>64</v>
      </c>
      <c r="E1097" s="35">
        <v>4.0999999999999996</v>
      </c>
      <c r="F1097" s="35">
        <v>3.7</v>
      </c>
      <c r="G1097" s="16" t="s">
        <v>44</v>
      </c>
      <c r="H1097" s="16" t="s">
        <v>45</v>
      </c>
      <c r="I1097" s="16">
        <f>COUNTIF(G$5:G1097,"Y")/COUNTA(G$5:G1097)</f>
        <v>0.87831655992680691</v>
      </c>
      <c r="J1097" s="16">
        <f>COUNTIF(H$5:H1097,"Y")/COUNTA(H$5:H1097)</f>
        <v>5.123513266239707E-2</v>
      </c>
      <c r="K1097" s="16">
        <f>AVERAGE(F$5:F1097)</f>
        <v>2.2192131747483992</v>
      </c>
      <c r="L1097" s="16">
        <f>SUM(F$5:F1097)/SUM(E$5:E1097)</f>
        <v>0.75835547913084322</v>
      </c>
    </row>
    <row r="1098" spans="1:12" x14ac:dyDescent="0.25">
      <c r="A1098" s="29">
        <v>45807</v>
      </c>
      <c r="B1098" s="16" t="s">
        <v>1144</v>
      </c>
      <c r="C1098" s="34">
        <v>1</v>
      </c>
      <c r="D1098" s="16" t="s">
        <v>60</v>
      </c>
      <c r="E1098" s="35">
        <v>4.4000000000000004</v>
      </c>
      <c r="F1098" s="35">
        <v>3.1</v>
      </c>
      <c r="G1098" s="16" t="s">
        <v>44</v>
      </c>
      <c r="H1098" s="16" t="s">
        <v>45</v>
      </c>
      <c r="I1098" s="16">
        <f>COUNTIF(G$5:G1098,"Y")/COUNTA(G$5:G1098)</f>
        <v>0.87842778793418652</v>
      </c>
      <c r="J1098" s="16">
        <f>COUNTIF(H$5:H1098,"Y")/COUNTA(H$5:H1098)</f>
        <v>5.1188299817184646E-2</v>
      </c>
      <c r="K1098" s="16">
        <f>AVERAGE(F$5:F1098)</f>
        <v>2.2200182815356491</v>
      </c>
      <c r="L1098" s="16">
        <f>SUM(F$5:F1098)/SUM(E$5:E1098)</f>
        <v>0.75828155733866243</v>
      </c>
    </row>
    <row r="1099" spans="1:12" x14ac:dyDescent="0.25">
      <c r="A1099" s="29">
        <v>45803</v>
      </c>
      <c r="B1099" s="16" t="s">
        <v>1145</v>
      </c>
      <c r="C1099" s="34">
        <v>1</v>
      </c>
      <c r="D1099" s="16" t="s">
        <v>56</v>
      </c>
      <c r="E1099" s="35">
        <v>2.7</v>
      </c>
      <c r="F1099" s="35">
        <v>2.1</v>
      </c>
      <c r="G1099" s="16" t="s">
        <v>45</v>
      </c>
      <c r="H1099" s="16" t="s">
        <v>45</v>
      </c>
      <c r="I1099" s="16">
        <f>COUNTIF(G$5:G1099,"Y")/COUNTA(G$5:G1099)</f>
        <v>0.87762557077625569</v>
      </c>
      <c r="J1099" s="16">
        <f>COUNTIF(H$5:H1099,"Y")/COUNTA(H$5:H1099)</f>
        <v>5.1141552511415528E-2</v>
      </c>
      <c r="K1099" s="16">
        <f>AVERAGE(F$5:F1099)</f>
        <v>2.2199086757990871</v>
      </c>
      <c r="L1099" s="16">
        <f>SUM(F$5:F1099)/SUM(E$5:E1099)</f>
        <v>0.75829797853755987</v>
      </c>
    </row>
    <row r="1100" spans="1:12" x14ac:dyDescent="0.25">
      <c r="A1100" s="29">
        <v>45804</v>
      </c>
      <c r="B1100" s="16" t="s">
        <v>1146</v>
      </c>
      <c r="C1100" s="34">
        <v>1</v>
      </c>
      <c r="D1100" s="16" t="s">
        <v>50</v>
      </c>
      <c r="E1100" s="35">
        <v>5.3</v>
      </c>
      <c r="F1100" s="35">
        <v>4.0999999999999996</v>
      </c>
      <c r="G1100" s="16" t="s">
        <v>44</v>
      </c>
      <c r="H1100" s="16" t="s">
        <v>45</v>
      </c>
      <c r="I1100" s="16">
        <f>COUNTIF(G$5:G1100,"Y")/COUNTA(G$5:G1100)</f>
        <v>0.87773722627737227</v>
      </c>
      <c r="J1100" s="16">
        <f>COUNTIF(H$5:H1100,"Y")/COUNTA(H$5:H1100)</f>
        <v>5.1094890510948905E-2</v>
      </c>
      <c r="K1100" s="16">
        <f>AVERAGE(F$5:F1100)</f>
        <v>2.2216240875912407</v>
      </c>
      <c r="L1100" s="16">
        <f>SUM(F$5:F1100)/SUM(E$5:E1100)</f>
        <v>0.75832321156062221</v>
      </c>
    </row>
    <row r="1101" spans="1:12" x14ac:dyDescent="0.25">
      <c r="A1101" s="29">
        <v>45805</v>
      </c>
      <c r="B1101" s="16" t="s">
        <v>1147</v>
      </c>
      <c r="C1101" s="34">
        <v>1</v>
      </c>
      <c r="D1101" s="16" t="s">
        <v>52</v>
      </c>
      <c r="E1101" s="35">
        <v>2.5</v>
      </c>
      <c r="F1101" s="35">
        <v>2</v>
      </c>
      <c r="G1101" s="16" t="s">
        <v>44</v>
      </c>
      <c r="H1101" s="16" t="s">
        <v>45</v>
      </c>
      <c r="I1101" s="16">
        <f>COUNTIF(G$5:G1101,"Y")/COUNTA(G$5:G1101)</f>
        <v>0.87784867821330903</v>
      </c>
      <c r="J1101" s="16">
        <f>COUNTIF(H$5:H1101,"Y")/COUNTA(H$5:H1101)</f>
        <v>5.1048313582497722E-2</v>
      </c>
      <c r="K1101" s="16">
        <f>AVERAGE(F$5:F1101)</f>
        <v>2.2214220601640839</v>
      </c>
      <c r="L1101" s="16">
        <f>SUM(F$5:F1101)/SUM(E$5:E1101)</f>
        <v>0.75835563577519194</v>
      </c>
    </row>
    <row r="1102" spans="1:12" x14ac:dyDescent="0.25">
      <c r="A1102" s="29">
        <v>45806</v>
      </c>
      <c r="B1102" s="16" t="s">
        <v>1148</v>
      </c>
      <c r="C1102" s="34">
        <v>1</v>
      </c>
      <c r="D1102" s="16" t="s">
        <v>47</v>
      </c>
      <c r="E1102" s="35">
        <v>5.4</v>
      </c>
      <c r="F1102" s="35">
        <v>4</v>
      </c>
      <c r="G1102" s="16" t="s">
        <v>44</v>
      </c>
      <c r="H1102" s="16" t="s">
        <v>45</v>
      </c>
      <c r="I1102" s="16">
        <f>COUNTIF(G$5:G1102,"Y")/COUNTA(G$5:G1102)</f>
        <v>0.87795992714025506</v>
      </c>
      <c r="J1102" s="16">
        <f>COUNTIF(H$5:H1102,"Y")/COUNTA(H$5:H1102)</f>
        <v>5.1001821493624776E-2</v>
      </c>
      <c r="K1102" s="16">
        <f>AVERAGE(F$5:F1102)</f>
        <v>2.2230418943533699</v>
      </c>
      <c r="L1102" s="16">
        <f>SUM(F$5:F1102)/SUM(E$5:E1102)</f>
        <v>0.75832608425500236</v>
      </c>
    </row>
    <row r="1103" spans="1:12" x14ac:dyDescent="0.25">
      <c r="A1103" s="29">
        <v>45807</v>
      </c>
      <c r="B1103" s="16" t="s">
        <v>1149</v>
      </c>
      <c r="C1103" s="34">
        <v>1</v>
      </c>
      <c r="D1103" s="16" t="s">
        <v>56</v>
      </c>
      <c r="E1103" s="35">
        <v>2.2000000000000002</v>
      </c>
      <c r="F1103" s="35">
        <v>1.7</v>
      </c>
      <c r="G1103" s="16" t="s">
        <v>44</v>
      </c>
      <c r="H1103" s="16" t="s">
        <v>45</v>
      </c>
      <c r="I1103" s="16">
        <f>COUNTIF(G$5:G1103,"Y")/COUNTA(G$5:G1103)</f>
        <v>0.87807097361237485</v>
      </c>
      <c r="J1103" s="16">
        <f>COUNTIF(H$5:H1103,"Y")/COUNTA(H$5:H1103)</f>
        <v>5.0955414012738856E-2</v>
      </c>
      <c r="K1103" s="16">
        <f>AVERAGE(F$5:F1103)</f>
        <v>2.2225659690627841</v>
      </c>
      <c r="L1103" s="16">
        <f>SUM(F$5:F1103)/SUM(E$5:E1103)</f>
        <v>0.75833592052157761</v>
      </c>
    </row>
    <row r="1104" spans="1:12" x14ac:dyDescent="0.25">
      <c r="A1104" s="29">
        <v>45803</v>
      </c>
      <c r="B1104" s="16" t="s">
        <v>1150</v>
      </c>
      <c r="C1104" s="34">
        <v>1</v>
      </c>
      <c r="D1104" s="16" t="s">
        <v>56</v>
      </c>
      <c r="E1104" s="35">
        <v>4</v>
      </c>
      <c r="F1104" s="35">
        <v>3</v>
      </c>
      <c r="G1104" s="16" t="s">
        <v>44</v>
      </c>
      <c r="H1104" s="16" t="s">
        <v>45</v>
      </c>
      <c r="I1104" s="16">
        <f>COUNTIF(G$5:G1104,"Y")/COUNTA(G$5:G1104)</f>
        <v>0.87818181818181817</v>
      </c>
      <c r="J1104" s="16">
        <f>COUNTIF(H$5:H1104,"Y")/COUNTA(H$5:H1104)</f>
        <v>5.0909090909090911E-2</v>
      </c>
      <c r="K1104" s="16">
        <f>AVERAGE(F$5:F1104)</f>
        <v>2.2232727272727271</v>
      </c>
      <c r="L1104" s="16">
        <f>SUM(F$5:F1104)/SUM(E$5:E1104)</f>
        <v>0.75832558139534934</v>
      </c>
    </row>
    <row r="1105" spans="1:13" x14ac:dyDescent="0.25">
      <c r="A1105" s="29">
        <v>45804</v>
      </c>
      <c r="B1105" s="16" t="s">
        <v>1151</v>
      </c>
      <c r="C1105" s="34">
        <v>1</v>
      </c>
      <c r="D1105" s="16" t="s">
        <v>43</v>
      </c>
      <c r="E1105" s="35">
        <v>3.6</v>
      </c>
      <c r="F1105" s="35">
        <v>2.8</v>
      </c>
      <c r="G1105" s="16" t="s">
        <v>44</v>
      </c>
      <c r="H1105" s="16" t="s">
        <v>45</v>
      </c>
      <c r="I1105" s="16">
        <f>COUNTIF(G$5:G1105,"Y")/COUNTA(G$5:G1105)</f>
        <v>0.87829246139872841</v>
      </c>
      <c r="J1105" s="16">
        <f>COUNTIF(H$5:H1105,"Y")/COUNTA(H$5:H1105)</f>
        <v>5.0862851952770211E-2</v>
      </c>
      <c r="K1105" s="16">
        <f>AVERAGE(F$5:F1105)</f>
        <v>2.2237965485921891</v>
      </c>
      <c r="L1105" s="16">
        <f>SUM(F$5:F1105)/SUM(E$5:E1105)</f>
        <v>0.75834727126308676</v>
      </c>
    </row>
    <row r="1106" spans="1:13" x14ac:dyDescent="0.25">
      <c r="A1106" s="29">
        <v>45805</v>
      </c>
      <c r="B1106" s="16" t="s">
        <v>1152</v>
      </c>
      <c r="C1106" s="34">
        <v>1</v>
      </c>
      <c r="D1106" s="16" t="s">
        <v>47</v>
      </c>
      <c r="E1106" s="35">
        <v>3.7</v>
      </c>
      <c r="F1106" s="35">
        <v>3.1</v>
      </c>
      <c r="G1106" s="16" t="s">
        <v>44</v>
      </c>
      <c r="H1106" s="16" t="s">
        <v>45</v>
      </c>
      <c r="I1106" s="16">
        <f>COUNTIF(G$5:G1106,"Y")/COUNTA(G$5:G1106)</f>
        <v>0.8784029038112523</v>
      </c>
      <c r="J1106" s="16">
        <f>COUNTIF(H$5:H1106,"Y")/COUNTA(H$5:H1106)</f>
        <v>5.0816696914700546E-2</v>
      </c>
      <c r="K1106" s="16">
        <f>AVERAGE(F$5:F1106)</f>
        <v>2.2245916515426498</v>
      </c>
      <c r="L1106" s="16">
        <f>SUM(F$5:F1106)/SUM(E$5:E1106)</f>
        <v>0.75843826377502144</v>
      </c>
    </row>
    <row r="1107" spans="1:13" x14ac:dyDescent="0.25">
      <c r="A1107" s="29">
        <v>45806</v>
      </c>
      <c r="B1107" s="16" t="s">
        <v>1153</v>
      </c>
      <c r="C1107" s="34">
        <v>1</v>
      </c>
      <c r="D1107" s="16" t="s">
        <v>64</v>
      </c>
      <c r="E1107" s="35">
        <v>2.9</v>
      </c>
      <c r="F1107" s="35">
        <v>2.2000000000000002</v>
      </c>
      <c r="G1107" s="16" t="s">
        <v>44</v>
      </c>
      <c r="H1107" s="16" t="s">
        <v>45</v>
      </c>
      <c r="I1107" s="16">
        <f>COUNTIF(G$5:G1107,"Y")/COUNTA(G$5:G1107)</f>
        <v>0.87851314596554853</v>
      </c>
      <c r="J1107" s="16">
        <f>COUNTIF(H$5:H1107,"Y")/COUNTA(H$5:H1107)</f>
        <v>5.0770625566636446E-2</v>
      </c>
      <c r="K1107" s="16">
        <f>AVERAGE(F$5:F1107)</f>
        <v>2.2245693563009969</v>
      </c>
      <c r="L1107" s="16">
        <f>SUM(F$5:F1107)/SUM(E$5:E1107)</f>
        <v>0.75843842729970379</v>
      </c>
    </row>
    <row r="1108" spans="1:13" x14ac:dyDescent="0.25">
      <c r="A1108" s="29">
        <v>45807</v>
      </c>
      <c r="B1108" s="16" t="s">
        <v>1154</v>
      </c>
      <c r="C1108" s="34">
        <v>1</v>
      </c>
      <c r="D1108" s="16" t="s">
        <v>60</v>
      </c>
      <c r="E1108" s="35">
        <v>4.5</v>
      </c>
      <c r="F1108" s="35">
        <v>3.6</v>
      </c>
      <c r="G1108" s="16" t="s">
        <v>45</v>
      </c>
      <c r="H1108" s="16" t="s">
        <v>45</v>
      </c>
      <c r="I1108" s="16">
        <f>COUNTIF(G$5:G1108,"Y")/COUNTA(G$5:G1108)</f>
        <v>0.87771739130434778</v>
      </c>
      <c r="J1108" s="16">
        <f>COUNTIF(H$5:H1108,"Y")/COUNTA(H$5:H1108)</f>
        <v>5.0724637681159424E-2</v>
      </c>
      <c r="K1108" s="16">
        <f>AVERAGE(F$5:F1108)</f>
        <v>2.2258152173913039</v>
      </c>
      <c r="L1108" s="16">
        <f>SUM(F$5:F1108)/SUM(E$5:E1108)</f>
        <v>0.75849615705157936</v>
      </c>
    </row>
    <row r="1109" spans="1:13" x14ac:dyDescent="0.25">
      <c r="A1109" s="29">
        <v>45803</v>
      </c>
      <c r="B1109" s="16" t="s">
        <v>1155</v>
      </c>
      <c r="C1109" s="34">
        <v>1</v>
      </c>
      <c r="D1109" s="16" t="s">
        <v>50</v>
      </c>
      <c r="E1109" s="35">
        <v>2.6</v>
      </c>
      <c r="F1109" s="35">
        <v>2.2000000000000002</v>
      </c>
      <c r="G1109" s="16" t="s">
        <v>44</v>
      </c>
      <c r="H1109" s="16" t="s">
        <v>45</v>
      </c>
      <c r="I1109" s="16">
        <f>COUNTIF(G$5:G1109,"Y")/COUNTA(G$5:G1109)</f>
        <v>0.87782805429864252</v>
      </c>
      <c r="J1109" s="16">
        <f>COUNTIF(H$5:H1109,"Y")/COUNTA(H$5:H1109)</f>
        <v>5.0678733031674209E-2</v>
      </c>
      <c r="K1109" s="16">
        <f>AVERAGE(F$5:F1109)</f>
        <v>2.2257918552036196</v>
      </c>
      <c r="L1109" s="16">
        <f>SUM(F$5:F1109)/SUM(E$5:E1109)</f>
        <v>0.75856644974246723</v>
      </c>
    </row>
    <row r="1110" spans="1:13" x14ac:dyDescent="0.25">
      <c r="A1110" s="29">
        <v>45804</v>
      </c>
      <c r="B1110" s="16" t="s">
        <v>1156</v>
      </c>
      <c r="C1110" s="34">
        <v>1</v>
      </c>
      <c r="D1110" s="16" t="s">
        <v>52</v>
      </c>
      <c r="E1110" s="35">
        <v>2.2999999999999998</v>
      </c>
      <c r="F1110" s="35">
        <v>2.1</v>
      </c>
      <c r="G1110" s="16" t="s">
        <v>44</v>
      </c>
      <c r="H1110" s="16" t="s">
        <v>45</v>
      </c>
      <c r="I1110" s="16">
        <f>COUNTIF(G$5:G1110,"Y")/COUNTA(G$5:G1110)</f>
        <v>0.87793851717902349</v>
      </c>
      <c r="J1110" s="16">
        <f>COUNTIF(H$5:H1110,"Y")/COUNTA(H$5:H1110)</f>
        <v>5.0632911392405063E-2</v>
      </c>
      <c r="K1110" s="16">
        <f>AVERAGE(F$5:F1110)</f>
        <v>2.2256781193490047</v>
      </c>
      <c r="L1110" s="16">
        <f>SUM(F$5:F1110)/SUM(E$5:E1110)</f>
        <v>0.75867595389262199</v>
      </c>
    </row>
    <row r="1111" spans="1:13" x14ac:dyDescent="0.25">
      <c r="A1111" s="29">
        <v>45805</v>
      </c>
      <c r="B1111" s="16" t="s">
        <v>1157</v>
      </c>
      <c r="C1111" s="34">
        <v>1</v>
      </c>
      <c r="D1111" s="16" t="s">
        <v>64</v>
      </c>
      <c r="E1111" s="35">
        <v>5.0999999999999996</v>
      </c>
      <c r="F1111" s="35">
        <v>3.6</v>
      </c>
      <c r="G1111" s="16" t="s">
        <v>44</v>
      </c>
      <c r="H1111" s="16" t="s">
        <v>45</v>
      </c>
      <c r="I1111" s="16">
        <f>COUNTIF(G$5:G1111,"Y")/COUNTA(G$5:G1111)</f>
        <v>0.87804878048780488</v>
      </c>
      <c r="J1111" s="16">
        <f>COUNTIF(H$5:H1111,"Y")/COUNTA(H$5:H1111)</f>
        <v>5.0587172538392053E-2</v>
      </c>
      <c r="K1111" s="16">
        <f>AVERAGE(F$5:F1111)</f>
        <v>2.2269196025293581</v>
      </c>
      <c r="L1111" s="16">
        <f>SUM(F$5:F1111)/SUM(E$5:E1111)</f>
        <v>0.75859310090162202</v>
      </c>
    </row>
    <row r="1112" spans="1:13" x14ac:dyDescent="0.25">
      <c r="A1112" s="29">
        <v>45806</v>
      </c>
      <c r="B1112" s="16" t="s">
        <v>1158</v>
      </c>
      <c r="C1112" s="34">
        <v>1</v>
      </c>
      <c r="D1112" s="16" t="s">
        <v>47</v>
      </c>
      <c r="E1112" s="35">
        <v>2.8</v>
      </c>
      <c r="F1112" s="35">
        <v>2.2000000000000002</v>
      </c>
      <c r="G1112" s="16" t="s">
        <v>44</v>
      </c>
      <c r="H1112" s="16" t="s">
        <v>45</v>
      </c>
      <c r="I1112" s="16">
        <f>COUNTIF(G$5:G1112,"Y")/COUNTA(G$5:G1112)</f>
        <v>0.87815884476534301</v>
      </c>
      <c r="J1112" s="16">
        <f>COUNTIF(H$5:H1112,"Y")/COUNTA(H$5:H1112)</f>
        <v>5.0541516245487361E-2</v>
      </c>
      <c r="K1112" s="16">
        <f>AVERAGE(F$5:F1112)</f>
        <v>2.226895306859205</v>
      </c>
      <c r="L1112" s="16">
        <f>SUM(F$5:F1112)/SUM(E$5:E1112)</f>
        <v>0.75861644888547297</v>
      </c>
    </row>
    <row r="1113" spans="1:13" x14ac:dyDescent="0.25">
      <c r="A1113" s="29">
        <v>45807</v>
      </c>
      <c r="B1113" s="16" t="s">
        <v>1159</v>
      </c>
      <c r="C1113" s="34">
        <v>1</v>
      </c>
      <c r="D1113" s="16" t="s">
        <v>47</v>
      </c>
      <c r="E1113" s="35">
        <v>1.2</v>
      </c>
      <c r="F1113" s="35">
        <v>0.8</v>
      </c>
      <c r="G1113" s="16" t="s">
        <v>45</v>
      </c>
      <c r="H1113" s="16" t="s">
        <v>45</v>
      </c>
      <c r="I1113" s="16">
        <f>COUNTIF(G$5:G1113,"Y")/COUNTA(G$5:G1113)</f>
        <v>0.87736699729486023</v>
      </c>
      <c r="J1113" s="16">
        <f>COUNTIF(H$5:H1113,"Y")/COUNTA(H$5:H1113)</f>
        <v>5.0495942290351668E-2</v>
      </c>
      <c r="K1113" s="16">
        <f>AVERAGE(F$5:F1113)</f>
        <v>2.2256086564472493</v>
      </c>
      <c r="L1113" s="16">
        <f>SUM(F$5:F1113)/SUM(E$5:E1113)</f>
        <v>0.75858253680425403</v>
      </c>
    </row>
    <row r="1114" spans="1:13" x14ac:dyDescent="0.25">
      <c r="A1114" s="29">
        <v>45803</v>
      </c>
      <c r="B1114" s="16" t="s">
        <v>1160</v>
      </c>
      <c r="C1114" s="34">
        <v>1</v>
      </c>
      <c r="D1114" s="16" t="s">
        <v>50</v>
      </c>
      <c r="E1114" s="35">
        <v>0.6</v>
      </c>
      <c r="F1114" s="35">
        <v>0.5</v>
      </c>
      <c r="G1114" s="16" t="s">
        <v>44</v>
      </c>
      <c r="H1114" s="16" t="s">
        <v>45</v>
      </c>
      <c r="I1114" s="16">
        <f>COUNTIF(G$5:G1114,"Y")/COUNTA(G$5:G1114)</f>
        <v>0.87747747747747751</v>
      </c>
      <c r="J1114" s="16">
        <f>COUNTIF(H$5:H1114,"Y")/COUNTA(H$5:H1114)</f>
        <v>5.0450450450450449E-2</v>
      </c>
      <c r="K1114" s="16">
        <f>AVERAGE(F$5:F1114)</f>
        <v>2.2240540540540534</v>
      </c>
      <c r="L1114" s="16">
        <f>SUM(F$5:F1114)/SUM(E$5:E1114)</f>
        <v>0.75859631871677513</v>
      </c>
    </row>
    <row r="1115" spans="1:13" x14ac:dyDescent="0.25">
      <c r="A1115" s="29">
        <v>45804</v>
      </c>
      <c r="B1115" s="16" t="s">
        <v>1161</v>
      </c>
      <c r="C1115" s="34">
        <v>1</v>
      </c>
      <c r="D1115" s="16" t="s">
        <v>64</v>
      </c>
      <c r="E1115" s="35">
        <v>0.6</v>
      </c>
      <c r="F1115" s="35">
        <v>0.5</v>
      </c>
      <c r="G1115" s="16" t="s">
        <v>44</v>
      </c>
      <c r="H1115" s="16" t="s">
        <v>45</v>
      </c>
      <c r="I1115" s="16">
        <f>COUNTIF(G$5:G1115,"Y")/COUNTA(G$5:G1115)</f>
        <v>0.87758775877587758</v>
      </c>
      <c r="J1115" s="16">
        <f>COUNTIF(H$5:H1115,"Y")/COUNTA(H$5:H1115)</f>
        <v>5.0405040504050404E-2</v>
      </c>
      <c r="K1115" s="16">
        <f>AVERAGE(F$5:F1115)</f>
        <v>2.222502250225022</v>
      </c>
      <c r="L1115" s="16">
        <f>SUM(F$5:F1115)/SUM(E$5:E1115)</f>
        <v>0.75861009554825076</v>
      </c>
    </row>
    <row r="1116" spans="1:13" x14ac:dyDescent="0.25">
      <c r="A1116" s="29">
        <v>45805</v>
      </c>
      <c r="B1116" s="16" t="s">
        <v>1162</v>
      </c>
      <c r="C1116" s="34">
        <v>1</v>
      </c>
      <c r="D1116" s="16" t="s">
        <v>56</v>
      </c>
      <c r="E1116" s="35">
        <v>0.6</v>
      </c>
      <c r="F1116" s="35">
        <v>0.5</v>
      </c>
      <c r="G1116" s="16" t="s">
        <v>44</v>
      </c>
      <c r="H1116" s="16" t="s">
        <v>45</v>
      </c>
      <c r="I1116" s="16">
        <f>COUNTIF(G$5:G1116,"Y")/COUNTA(G$5:G1116)</f>
        <v>0.87769784172661869</v>
      </c>
      <c r="J1116" s="16">
        <f>COUNTIF(H$5:H1116,"Y")/COUNTA(H$5:H1116)</f>
        <v>5.0359712230215826E-2</v>
      </c>
      <c r="K1116" s="16">
        <f>AVERAGE(F$5:F1116)</f>
        <v>2.2209532374100713</v>
      </c>
      <c r="L1116" s="16">
        <f>SUM(F$5:F1116)/SUM(E$5:E1116)</f>
        <v>0.75862386730149023</v>
      </c>
    </row>
    <row r="1117" spans="1:13" x14ac:dyDescent="0.25">
      <c r="A1117" s="29">
        <v>45806</v>
      </c>
      <c r="B1117" s="16" t="s">
        <v>1163</v>
      </c>
      <c r="C1117" s="34">
        <v>1</v>
      </c>
      <c r="D1117" s="16" t="s">
        <v>64</v>
      </c>
      <c r="E1117" s="35">
        <v>0.6</v>
      </c>
      <c r="F1117" s="35">
        <v>0.5</v>
      </c>
      <c r="G1117" s="16" t="s">
        <v>44</v>
      </c>
      <c r="H1117" s="16" t="s">
        <v>45</v>
      </c>
      <c r="I1117" s="16">
        <f>COUNTIF(G$5:G1117,"Y")/COUNTA(G$5:G1117)</f>
        <v>0.87780772686433062</v>
      </c>
      <c r="J1117" s="16">
        <f>COUNTIF(H$5:H1117,"Y")/COUNTA(H$5:H1117)</f>
        <v>5.0314465408805034E-2</v>
      </c>
      <c r="K1117" s="16">
        <f>AVERAGE(F$5:F1117)</f>
        <v>2.2194070080862529</v>
      </c>
      <c r="L1117" s="16">
        <f>SUM(F$5:F1117)/SUM(E$5:E1117)</f>
        <v>0.75863763397930084</v>
      </c>
    </row>
    <row r="1118" spans="1:13" x14ac:dyDescent="0.25">
      <c r="A1118" s="29">
        <v>45807</v>
      </c>
      <c r="B1118" s="16" t="s">
        <v>1164</v>
      </c>
      <c r="C1118" s="34">
        <v>1</v>
      </c>
      <c r="D1118" s="16" t="s">
        <v>60</v>
      </c>
      <c r="E1118" s="35">
        <v>0.7</v>
      </c>
      <c r="F1118" s="35">
        <v>0.5</v>
      </c>
      <c r="G1118" s="16" t="s">
        <v>44</v>
      </c>
      <c r="H1118" s="16" t="s">
        <v>45</v>
      </c>
      <c r="I1118" s="16">
        <f>COUNTIF(G$5:G1118,"Y")/COUNTA(G$5:G1118)</f>
        <v>0.87791741472172347</v>
      </c>
      <c r="J1118" s="16">
        <f>COUNTIF(H$5:H1118,"Y")/COUNTA(H$5:H1118)</f>
        <v>5.0269299820466788E-2</v>
      </c>
      <c r="K1118" s="16">
        <f>AVERAGE(F$5:F1118)</f>
        <v>2.2178635547576295</v>
      </c>
      <c r="L1118" s="16">
        <f>SUM(F$5:F1118)/SUM(E$5:E1118)</f>
        <v>0.758628101203636</v>
      </c>
    </row>
    <row r="1119" spans="1:13" x14ac:dyDescent="0.25">
      <c r="A1119" s="29">
        <v>45803</v>
      </c>
      <c r="B1119" s="16" t="s">
        <v>1165</v>
      </c>
      <c r="C1119" s="34">
        <v>1</v>
      </c>
      <c r="D1119" s="16" t="s">
        <v>52</v>
      </c>
      <c r="E1119" s="35">
        <v>2.7</v>
      </c>
      <c r="F1119" s="35">
        <v>0.5</v>
      </c>
      <c r="G1119" s="16" t="s">
        <v>44</v>
      </c>
      <c r="H1119" s="16" t="s">
        <v>45</v>
      </c>
      <c r="I1119" s="16">
        <f>COUNTIF(G$5:G1119,"Y")/COUNTA(G$5:G1119)</f>
        <v>0.87802690582959642</v>
      </c>
      <c r="J1119" s="16">
        <f>COUNTIF(H$5:H1119,"Y")/COUNTA(H$5:H1119)</f>
        <v>5.0224215246636769E-2</v>
      </c>
      <c r="K1119" s="16">
        <f>AVERAGE(F$5:F1119)</f>
        <v>2.2163228699551563</v>
      </c>
      <c r="L1119" s="16">
        <f>SUM(F$5:F1119)/SUM(E$5:E1119)</f>
        <v>0.75815309096487249</v>
      </c>
      <c r="M1119" s="16">
        <v>8</v>
      </c>
    </row>
    <row r="1120" spans="1:13" x14ac:dyDescent="0.25">
      <c r="A1120" s="29">
        <v>45810</v>
      </c>
      <c r="B1120" s="16" t="s">
        <v>1166</v>
      </c>
      <c r="C1120" s="34">
        <v>1</v>
      </c>
      <c r="D1120" s="16" t="s">
        <v>50</v>
      </c>
      <c r="E1120" s="35">
        <v>1.8</v>
      </c>
      <c r="F1120" s="35">
        <v>1.4</v>
      </c>
      <c r="G1120" s="16" t="s">
        <v>44</v>
      </c>
      <c r="H1120" s="16" t="s">
        <v>45</v>
      </c>
      <c r="I1120" s="16">
        <f>COUNTIF(G$5:G1120,"Y")/COUNTA(G$5:G1120)</f>
        <v>0.87813620071684584</v>
      </c>
      <c r="J1120" s="16">
        <f>COUNTIF(H$5:H1120,"Y")/COUNTA(H$5:H1120)</f>
        <v>5.0179211469534052E-2</v>
      </c>
      <c r="K1120" s="16">
        <f>AVERAGE(F$5:F1120)</f>
        <v>2.2155913978494617</v>
      </c>
      <c r="L1120" s="16">
        <f>SUM(F$5:F1120)/SUM(E$5:E1120)</f>
        <v>0.75816392236224872</v>
      </c>
    </row>
    <row r="1121" spans="1:12" x14ac:dyDescent="0.25">
      <c r="A1121" s="29">
        <v>45811</v>
      </c>
      <c r="B1121" s="16" t="s">
        <v>1167</v>
      </c>
      <c r="C1121" s="34">
        <v>1</v>
      </c>
      <c r="D1121" s="16" t="s">
        <v>50</v>
      </c>
      <c r="E1121" s="35">
        <v>2.7</v>
      </c>
      <c r="F1121" s="35">
        <v>2</v>
      </c>
      <c r="G1121" s="16" t="s">
        <v>44</v>
      </c>
      <c r="H1121" s="16" t="s">
        <v>45</v>
      </c>
      <c r="I1121" s="16">
        <f>COUNTIF(G$5:G1121,"Y")/COUNTA(G$5:G1121)</f>
        <v>0.87824529991047451</v>
      </c>
      <c r="J1121" s="16">
        <f>COUNTIF(H$5:H1121,"Y")/COUNTA(H$5:H1121)</f>
        <v>5.0134288272157566E-2</v>
      </c>
      <c r="K1121" s="16">
        <f>AVERAGE(F$5:F1121)</f>
        <v>2.2153983885407338</v>
      </c>
      <c r="L1121" s="16">
        <f>SUM(F$5:F1121)/SUM(E$5:E1121)</f>
        <v>0.75814950980392215</v>
      </c>
    </row>
    <row r="1122" spans="1:12" x14ac:dyDescent="0.25">
      <c r="A1122" s="29">
        <v>45812</v>
      </c>
      <c r="B1122" s="16" t="s">
        <v>1168</v>
      </c>
      <c r="C1122" s="34">
        <v>1</v>
      </c>
      <c r="D1122" s="16" t="s">
        <v>60</v>
      </c>
      <c r="E1122" s="35">
        <v>3.6</v>
      </c>
      <c r="F1122" s="35">
        <v>2.9</v>
      </c>
      <c r="G1122" s="16" t="s">
        <v>44</v>
      </c>
      <c r="H1122" s="16" t="s">
        <v>45</v>
      </c>
      <c r="I1122" s="16">
        <f>COUNTIF(G$5:G1122,"Y")/COUNTA(G$5:G1122)</f>
        <v>0.87835420393559926</v>
      </c>
      <c r="J1122" s="16">
        <f>COUNTIF(H$5:H1122,"Y")/COUNTA(H$5:H1122)</f>
        <v>5.008944543828265E-2</v>
      </c>
      <c r="K1122" s="16">
        <f>AVERAGE(F$5:F1122)</f>
        <v>2.2160107334525936</v>
      </c>
      <c r="L1122" s="16">
        <f>SUM(F$5:F1122)/SUM(E$5:E1122)</f>
        <v>0.75820173827885973</v>
      </c>
    </row>
    <row r="1123" spans="1:12" x14ac:dyDescent="0.25">
      <c r="A1123" s="29">
        <v>45813</v>
      </c>
      <c r="B1123" s="16" t="s">
        <v>1169</v>
      </c>
      <c r="C1123" s="34">
        <v>1</v>
      </c>
      <c r="D1123" s="16" t="s">
        <v>56</v>
      </c>
      <c r="E1123" s="35">
        <v>5.2</v>
      </c>
      <c r="F1123" s="35">
        <v>3.7</v>
      </c>
      <c r="G1123" s="16" t="s">
        <v>44</v>
      </c>
      <c r="H1123" s="16" t="s">
        <v>45</v>
      </c>
      <c r="I1123" s="16">
        <f>COUNTIF(G$5:G1123,"Y")/COUNTA(G$5:G1123)</f>
        <v>0.87846291331546023</v>
      </c>
      <c r="J1123" s="16">
        <f>COUNTIF(H$5:H1123,"Y")/COUNTA(H$5:H1123)</f>
        <v>5.0044682752457555E-2</v>
      </c>
      <c r="K1123" s="16">
        <f>AVERAGE(F$5:F1123)</f>
        <v>2.2173369079535292</v>
      </c>
      <c r="L1123" s="16">
        <f>SUM(F$5:F1123)/SUM(E$5:E1123)</f>
        <v>0.75812759716450806</v>
      </c>
    </row>
    <row r="1124" spans="1:12" x14ac:dyDescent="0.25">
      <c r="A1124" s="29">
        <v>45814</v>
      </c>
      <c r="B1124" s="16" t="s">
        <v>1170</v>
      </c>
      <c r="C1124" s="34">
        <v>1</v>
      </c>
      <c r="D1124" s="16" t="s">
        <v>56</v>
      </c>
      <c r="E1124" s="35">
        <v>1.5</v>
      </c>
      <c r="F1124" s="35">
        <v>1.2</v>
      </c>
      <c r="G1124" s="16" t="s">
        <v>44</v>
      </c>
      <c r="H1124" s="16" t="s">
        <v>45</v>
      </c>
      <c r="I1124" s="16">
        <f>COUNTIF(G$5:G1124,"Y")/COUNTA(G$5:G1124)</f>
        <v>0.87857142857142856</v>
      </c>
      <c r="J1124" s="16">
        <f>COUNTIF(H$5:H1124,"Y")/COUNTA(H$5:H1124)</f>
        <v>0.05</v>
      </c>
      <c r="K1124" s="16">
        <f>AVERAGE(F$5:F1124)</f>
        <v>2.2164285714285707</v>
      </c>
      <c r="L1124" s="16">
        <f>SUM(F$5:F1124)/SUM(E$5:E1124)</f>
        <v>0.75814677946431352</v>
      </c>
    </row>
    <row r="1125" spans="1:12" x14ac:dyDescent="0.25">
      <c r="A1125" s="29">
        <v>45810</v>
      </c>
      <c r="B1125" s="16" t="s">
        <v>1171</v>
      </c>
      <c r="C1125" s="34">
        <v>1</v>
      </c>
      <c r="D1125" s="16" t="s">
        <v>50</v>
      </c>
      <c r="E1125" s="35">
        <v>3.9</v>
      </c>
      <c r="F1125" s="35">
        <v>3.2</v>
      </c>
      <c r="G1125" s="16" t="s">
        <v>44</v>
      </c>
      <c r="H1125" s="16" t="s">
        <v>45</v>
      </c>
      <c r="I1125" s="16">
        <f>COUNTIF(G$5:G1125,"Y")/COUNTA(G$5:G1125)</f>
        <v>0.87867975022301514</v>
      </c>
      <c r="J1125" s="16">
        <f>COUNTIF(H$5:H1125,"Y")/COUNTA(H$5:H1125)</f>
        <v>4.9955396966993755E-2</v>
      </c>
      <c r="K1125" s="16">
        <f>AVERAGE(F$5:F1125)</f>
        <v>2.2173059768064221</v>
      </c>
      <c r="L1125" s="16">
        <f>SUM(F$5:F1125)/SUM(E$5:E1125)</f>
        <v>0.7582209749252643</v>
      </c>
    </row>
    <row r="1126" spans="1:12" x14ac:dyDescent="0.25">
      <c r="A1126" s="29">
        <v>45811</v>
      </c>
      <c r="B1126" s="16" t="s">
        <v>1172</v>
      </c>
      <c r="C1126" s="34">
        <v>1</v>
      </c>
      <c r="D1126" s="16" t="s">
        <v>52</v>
      </c>
      <c r="E1126" s="35">
        <v>1.7</v>
      </c>
      <c r="F1126" s="35">
        <v>1.2</v>
      </c>
      <c r="G1126" s="16" t="s">
        <v>45</v>
      </c>
      <c r="H1126" s="16" t="s">
        <v>45</v>
      </c>
      <c r="I1126" s="16">
        <f>COUNTIF(G$5:G1126,"Y")/COUNTA(G$5:G1126)</f>
        <v>0.87789661319073087</v>
      </c>
      <c r="J1126" s="16">
        <f>COUNTIF(H$5:H1126,"Y")/COUNTA(H$5:H1126)</f>
        <v>4.9910873440285206E-2</v>
      </c>
      <c r="K1126" s="16">
        <f>AVERAGE(F$5:F1126)</f>
        <v>2.2163992869875213</v>
      </c>
      <c r="L1126" s="16">
        <f>SUM(F$5:F1126)/SUM(E$5:E1126)</f>
        <v>0.75819384737339601</v>
      </c>
    </row>
    <row r="1127" spans="1:12" x14ac:dyDescent="0.25">
      <c r="A1127" s="29">
        <v>45812</v>
      </c>
      <c r="B1127" s="16" t="s">
        <v>1173</v>
      </c>
      <c r="C1127" s="34">
        <v>1</v>
      </c>
      <c r="D1127" s="16" t="s">
        <v>50</v>
      </c>
      <c r="E1127" s="35">
        <v>3.6</v>
      </c>
      <c r="F1127" s="35">
        <v>2.7</v>
      </c>
      <c r="G1127" s="16" t="s">
        <v>44</v>
      </c>
      <c r="H1127" s="16" t="s">
        <v>45</v>
      </c>
      <c r="I1127" s="16">
        <f>COUNTIF(G$5:G1127,"Y")/COUNTA(G$5:G1127)</f>
        <v>0.87800534283170084</v>
      </c>
      <c r="J1127" s="16">
        <f>COUNTIF(H$5:H1127,"Y")/COUNTA(H$5:H1127)</f>
        <v>4.9866429207479968E-2</v>
      </c>
      <c r="K1127" s="16">
        <f>AVERAGE(F$5:F1127)</f>
        <v>2.2168299198575232</v>
      </c>
      <c r="L1127" s="16">
        <f>SUM(F$5:F1127)/SUM(E$5:E1127)</f>
        <v>0.75818486371250238</v>
      </c>
    </row>
    <row r="1128" spans="1:12" x14ac:dyDescent="0.25">
      <c r="A1128" s="29">
        <v>45813</v>
      </c>
      <c r="B1128" s="16" t="s">
        <v>1174</v>
      </c>
      <c r="C1128" s="34">
        <v>1</v>
      </c>
      <c r="D1128" s="16" t="s">
        <v>47</v>
      </c>
      <c r="E1128" s="35">
        <v>3.3</v>
      </c>
      <c r="F1128" s="35">
        <v>2.5</v>
      </c>
      <c r="G1128" s="16" t="s">
        <v>44</v>
      </c>
      <c r="H1128" s="16" t="s">
        <v>45</v>
      </c>
      <c r="I1128" s="16">
        <f>COUNTIF(G$5:G1128,"Y")/COUNTA(G$5:G1128)</f>
        <v>0.87811387900355875</v>
      </c>
      <c r="J1128" s="16">
        <f>COUNTIF(H$5:H1128,"Y")/COUNTA(H$5:H1128)</f>
        <v>4.9822064056939501E-2</v>
      </c>
      <c r="K1128" s="16">
        <f>AVERAGE(F$5:F1128)</f>
        <v>2.2170818505338068</v>
      </c>
      <c r="L1128" s="16">
        <f>SUM(F$5:F1128)/SUM(E$5:E1128)</f>
        <v>0.75818425216015617</v>
      </c>
    </row>
    <row r="1129" spans="1:12" x14ac:dyDescent="0.25">
      <c r="A1129" s="29">
        <v>45814</v>
      </c>
      <c r="B1129" s="16" t="s">
        <v>1175</v>
      </c>
      <c r="C1129" s="34">
        <v>1</v>
      </c>
      <c r="D1129" s="16" t="s">
        <v>60</v>
      </c>
      <c r="E1129" s="35">
        <v>3.3</v>
      </c>
      <c r="F1129" s="35">
        <v>2.7</v>
      </c>
      <c r="G1129" s="16" t="s">
        <v>45</v>
      </c>
      <c r="H1129" s="16" t="s">
        <v>45</v>
      </c>
      <c r="I1129" s="16">
        <f>COUNTIF(G$5:G1129,"Y")/COUNTA(G$5:G1129)</f>
        <v>0.8773333333333333</v>
      </c>
      <c r="J1129" s="16">
        <f>COUNTIF(H$5:H1129,"Y")/COUNTA(H$5:H1129)</f>
        <v>4.9777777777777775E-2</v>
      </c>
      <c r="K1129" s="16">
        <f>AVERAGE(F$5:F1129)</f>
        <v>2.2175111111111097</v>
      </c>
      <c r="L1129" s="16">
        <f>SUM(F$5:F1129)/SUM(E$5:E1129)</f>
        <v>0.75824443026047872</v>
      </c>
    </row>
    <row r="1130" spans="1:12" x14ac:dyDescent="0.25">
      <c r="A1130" s="29">
        <v>45810</v>
      </c>
      <c r="B1130" s="16" t="s">
        <v>1176</v>
      </c>
      <c r="C1130" s="34">
        <v>1</v>
      </c>
      <c r="D1130" s="16" t="s">
        <v>43</v>
      </c>
      <c r="E1130" s="35">
        <v>3.5</v>
      </c>
      <c r="F1130" s="35">
        <v>2.4</v>
      </c>
      <c r="G1130" s="16" t="s">
        <v>44</v>
      </c>
      <c r="H1130" s="16" t="s">
        <v>45</v>
      </c>
      <c r="I1130" s="16">
        <f>COUNTIF(G$5:G1130,"Y")/COUNTA(G$5:G1130)</f>
        <v>0.87744227353463589</v>
      </c>
      <c r="J1130" s="16">
        <f>COUNTIF(H$5:H1130,"Y")/COUNTA(H$5:H1130)</f>
        <v>4.9733570159857902E-2</v>
      </c>
      <c r="K1130" s="16">
        <f>AVERAGE(F$5:F1130)</f>
        <v>2.2176731793960909</v>
      </c>
      <c r="L1130" s="16">
        <f>SUM(F$5:F1130)/SUM(E$5:E1130)</f>
        <v>0.75816735487005127</v>
      </c>
    </row>
    <row r="1131" spans="1:12" x14ac:dyDescent="0.25">
      <c r="A1131" s="29">
        <v>45811</v>
      </c>
      <c r="B1131" s="16" t="s">
        <v>1177</v>
      </c>
      <c r="C1131" s="34">
        <v>1</v>
      </c>
      <c r="D1131" s="16" t="s">
        <v>60</v>
      </c>
      <c r="E1131" s="35">
        <v>4.0999999999999996</v>
      </c>
      <c r="F1131" s="35">
        <v>2.8</v>
      </c>
      <c r="G1131" s="16" t="s">
        <v>44</v>
      </c>
      <c r="H1131" s="16" t="s">
        <v>45</v>
      </c>
      <c r="I1131" s="16">
        <f>COUNTIF(G$5:G1131,"Y")/COUNTA(G$5:G1131)</f>
        <v>0.87755102040816324</v>
      </c>
      <c r="J1131" s="16">
        <f>COUNTIF(H$5:H1131,"Y")/COUNTA(H$5:H1131)</f>
        <v>4.9689440993788817E-2</v>
      </c>
      <c r="K1131" s="16">
        <f>AVERAGE(F$5:F1131)</f>
        <v>2.2181898846495107</v>
      </c>
      <c r="L1131" s="16">
        <f>SUM(F$5:F1131)/SUM(E$5:E1131)</f>
        <v>0.75807380901840715</v>
      </c>
    </row>
    <row r="1132" spans="1:12" x14ac:dyDescent="0.25">
      <c r="A1132" s="29">
        <v>45812</v>
      </c>
      <c r="B1132" s="16" t="s">
        <v>1178</v>
      </c>
      <c r="C1132" s="34">
        <v>1</v>
      </c>
      <c r="D1132" s="16" t="s">
        <v>56</v>
      </c>
      <c r="E1132" s="35">
        <v>2.1</v>
      </c>
      <c r="F1132" s="35">
        <v>1.6</v>
      </c>
      <c r="G1132" s="16" t="s">
        <v>44</v>
      </c>
      <c r="H1132" s="16" t="s">
        <v>45</v>
      </c>
      <c r="I1132" s="16">
        <f>COUNTIF(G$5:G1132,"Y")/COUNTA(G$5:G1132)</f>
        <v>0.87765957446808507</v>
      </c>
      <c r="J1132" s="16">
        <f>COUNTIF(H$5:H1132,"Y")/COUNTA(H$5:H1132)</f>
        <v>4.9645390070921988E-2</v>
      </c>
      <c r="K1132" s="16">
        <f>AVERAGE(F$5:F1132)</f>
        <v>2.2176418439716299</v>
      </c>
      <c r="L1132" s="16">
        <f>SUM(F$5:F1132)/SUM(E$5:E1132)</f>
        <v>0.75807624704527588</v>
      </c>
    </row>
    <row r="1133" spans="1:12" x14ac:dyDescent="0.25">
      <c r="A1133" s="29">
        <v>45813</v>
      </c>
      <c r="B1133" s="16" t="s">
        <v>1179</v>
      </c>
      <c r="C1133" s="34">
        <v>1</v>
      </c>
      <c r="D1133" s="16" t="s">
        <v>64</v>
      </c>
      <c r="E1133" s="35">
        <v>3.4</v>
      </c>
      <c r="F1133" s="35">
        <v>2.4</v>
      </c>
      <c r="G1133" s="16" t="s">
        <v>44</v>
      </c>
      <c r="H1133" s="16" t="s">
        <v>45</v>
      </c>
      <c r="I1133" s="16">
        <f>COUNTIF(G$5:G1133,"Y")/COUNTA(G$5:G1133)</f>
        <v>0.87776793622674931</v>
      </c>
      <c r="J1133" s="16">
        <f>COUNTIF(H$5:H1133,"Y")/COUNTA(H$5:H1133)</f>
        <v>4.9601417183348095E-2</v>
      </c>
      <c r="K1133" s="16">
        <f>AVERAGE(F$5:F1133)</f>
        <v>2.2178033658104508</v>
      </c>
      <c r="L1133" s="16">
        <f>SUM(F$5:F1133)/SUM(E$5:E1133)</f>
        <v>0.75802252361346611</v>
      </c>
    </row>
    <row r="1134" spans="1:12" x14ac:dyDescent="0.25">
      <c r="A1134" s="29">
        <v>45814</v>
      </c>
      <c r="B1134" s="16" t="s">
        <v>1180</v>
      </c>
      <c r="C1134" s="34">
        <v>1</v>
      </c>
      <c r="D1134" s="16" t="s">
        <v>47</v>
      </c>
      <c r="E1134" s="35">
        <v>3.3</v>
      </c>
      <c r="F1134" s="35">
        <v>2.6</v>
      </c>
      <c r="G1134" s="16" t="s">
        <v>44</v>
      </c>
      <c r="H1134" s="16" t="s">
        <v>45</v>
      </c>
      <c r="I1134" s="16">
        <f>COUNTIF(G$5:G1134,"Y")/COUNTA(G$5:G1134)</f>
        <v>0.87787610619469025</v>
      </c>
      <c r="J1134" s="16">
        <f>COUNTIF(H$5:H1134,"Y")/COUNTA(H$5:H1134)</f>
        <v>4.9557522123893805E-2</v>
      </c>
      <c r="K1134" s="16">
        <f>AVERAGE(F$5:F1134)</f>
        <v>2.218141592920353</v>
      </c>
      <c r="L1134" s="16">
        <f>SUM(F$5:F1134)/SUM(E$5:E1134)</f>
        <v>0.758052321185544</v>
      </c>
    </row>
    <row r="1135" spans="1:12" x14ac:dyDescent="0.25">
      <c r="A1135" s="29">
        <v>45810</v>
      </c>
      <c r="B1135" s="16" t="s">
        <v>1181</v>
      </c>
      <c r="C1135" s="34">
        <v>1</v>
      </c>
      <c r="D1135" s="16" t="s">
        <v>64</v>
      </c>
      <c r="E1135" s="35">
        <v>4.3</v>
      </c>
      <c r="F1135" s="35">
        <v>3.3</v>
      </c>
      <c r="G1135" s="16" t="s">
        <v>44</v>
      </c>
      <c r="H1135" s="16" t="s">
        <v>45</v>
      </c>
      <c r="I1135" s="16">
        <f>COUNTIF(G$5:G1135,"Y")/COUNTA(G$5:G1135)</f>
        <v>0.87798408488063662</v>
      </c>
      <c r="J1135" s="16">
        <f>COUNTIF(H$5:H1135,"Y")/COUNTA(H$5:H1135)</f>
        <v>4.951370468611848E-2</v>
      </c>
      <c r="K1135" s="16">
        <f>AVERAGE(F$5:F1135)</f>
        <v>2.219098143236073</v>
      </c>
      <c r="L1135" s="16">
        <f>SUM(F$5:F1135)/SUM(E$5:E1135)</f>
        <v>0.75806451612903258</v>
      </c>
    </row>
    <row r="1136" spans="1:12" x14ac:dyDescent="0.25">
      <c r="A1136" s="29">
        <v>45811</v>
      </c>
      <c r="B1136" s="16" t="s">
        <v>1182</v>
      </c>
      <c r="C1136" s="34">
        <v>1</v>
      </c>
      <c r="D1136" s="16" t="s">
        <v>50</v>
      </c>
      <c r="E1136" s="35">
        <v>4.7</v>
      </c>
      <c r="F1136" s="35">
        <v>3.2</v>
      </c>
      <c r="G1136" s="16" t="s">
        <v>44</v>
      </c>
      <c r="H1136" s="16" t="s">
        <v>45</v>
      </c>
      <c r="I1136" s="16">
        <f>COUNTIF(G$5:G1136,"Y")/COUNTA(G$5:G1136)</f>
        <v>0.87809187279151946</v>
      </c>
      <c r="J1136" s="16">
        <f>COUNTIF(H$5:H1136,"Y")/COUNTA(H$5:H1136)</f>
        <v>4.9469964664310952E-2</v>
      </c>
      <c r="K1136" s="16">
        <f>AVERAGE(F$5:F1136)</f>
        <v>2.219964664310953</v>
      </c>
      <c r="L1136" s="16">
        <f>SUM(F$5:F1136)/SUM(E$5:E1136)</f>
        <v>0.7579550595686928</v>
      </c>
    </row>
    <row r="1137" spans="1:12" x14ac:dyDescent="0.25">
      <c r="A1137" s="29">
        <v>45812</v>
      </c>
      <c r="B1137" s="16" t="s">
        <v>1183</v>
      </c>
      <c r="C1137" s="34">
        <v>1</v>
      </c>
      <c r="D1137" s="16" t="s">
        <v>52</v>
      </c>
      <c r="E1137" s="35">
        <v>3.6</v>
      </c>
      <c r="F1137" s="35">
        <v>2.9</v>
      </c>
      <c r="G1137" s="16" t="s">
        <v>45</v>
      </c>
      <c r="H1137" s="16" t="s">
        <v>45</v>
      </c>
      <c r="I1137" s="16">
        <f>COUNTIF(G$5:G1137,"Y")/COUNTA(G$5:G1137)</f>
        <v>0.87731685789938219</v>
      </c>
      <c r="J1137" s="16">
        <f>COUNTIF(H$5:H1137,"Y")/COUNTA(H$5:H1137)</f>
        <v>4.9426301853486322E-2</v>
      </c>
      <c r="K1137" s="16">
        <f>AVERAGE(F$5:F1137)</f>
        <v>2.2205648720211815</v>
      </c>
      <c r="L1137" s="16">
        <f>SUM(F$5:F1137)/SUM(E$5:E1137)</f>
        <v>0.75800668856015219</v>
      </c>
    </row>
    <row r="1138" spans="1:12" x14ac:dyDescent="0.25">
      <c r="A1138" s="29">
        <v>45813</v>
      </c>
      <c r="B1138" s="16" t="s">
        <v>1184</v>
      </c>
      <c r="C1138" s="34">
        <v>1</v>
      </c>
      <c r="D1138" s="16" t="s">
        <v>43</v>
      </c>
      <c r="E1138" s="35">
        <v>3.6</v>
      </c>
      <c r="F1138" s="35">
        <v>2.9</v>
      </c>
      <c r="G1138" s="16" t="s">
        <v>44</v>
      </c>
      <c r="H1138" s="16" t="s">
        <v>45</v>
      </c>
      <c r="I1138" s="16">
        <f>COUNTIF(G$5:G1138,"Y")/COUNTA(G$5:G1138)</f>
        <v>0.87742504409171074</v>
      </c>
      <c r="J1138" s="16">
        <f>COUNTIF(H$5:H1138,"Y")/COUNTA(H$5:H1138)</f>
        <v>4.9382716049382713E-2</v>
      </c>
      <c r="K1138" s="16">
        <f>AVERAGE(F$5:F1138)</f>
        <v>2.2211640211640202</v>
      </c>
      <c r="L1138" s="16">
        <f>SUM(F$5:F1138)/SUM(E$5:E1138)</f>
        <v>0.75805820567610716</v>
      </c>
    </row>
    <row r="1139" spans="1:12" x14ac:dyDescent="0.25">
      <c r="A1139" s="29">
        <v>45814</v>
      </c>
      <c r="B1139" s="16" t="s">
        <v>1185</v>
      </c>
      <c r="C1139" s="34">
        <v>1</v>
      </c>
      <c r="D1139" s="16" t="s">
        <v>56</v>
      </c>
      <c r="E1139" s="35">
        <v>1.9</v>
      </c>
      <c r="F1139" s="35">
        <v>1.3</v>
      </c>
      <c r="G1139" s="16" t="s">
        <v>44</v>
      </c>
      <c r="H1139" s="16" t="s">
        <v>45</v>
      </c>
      <c r="I1139" s="16">
        <f>COUNTIF(G$5:G1139,"Y")/COUNTA(G$5:G1139)</f>
        <v>0.87753303964757712</v>
      </c>
      <c r="J1139" s="16">
        <f>COUNTIF(H$5:H1139,"Y")/COUNTA(H$5:H1139)</f>
        <v>4.933920704845815E-2</v>
      </c>
      <c r="K1139" s="16">
        <f>AVERAGE(F$5:F1139)</f>
        <v>2.2203524229074882</v>
      </c>
      <c r="L1139" s="16">
        <f>SUM(F$5:F1139)/SUM(E$5:E1139)</f>
        <v>0.75801600192504404</v>
      </c>
    </row>
    <row r="1140" spans="1:12" x14ac:dyDescent="0.25">
      <c r="A1140" s="29">
        <v>45810</v>
      </c>
      <c r="B1140" s="16" t="s">
        <v>1186</v>
      </c>
      <c r="C1140" s="34">
        <v>1</v>
      </c>
      <c r="D1140" s="16" t="s">
        <v>43</v>
      </c>
      <c r="E1140" s="35">
        <v>4</v>
      </c>
      <c r="F1140" s="35">
        <v>3.4</v>
      </c>
      <c r="G1140" s="16" t="s">
        <v>44</v>
      </c>
      <c r="H1140" s="16" t="s">
        <v>45</v>
      </c>
      <c r="I1140" s="16">
        <f>COUNTIF(G$5:G1140,"Y")/COUNTA(G$5:G1140)</f>
        <v>0.8776408450704225</v>
      </c>
      <c r="J1140" s="16">
        <f>COUNTIF(H$5:H1140,"Y")/COUNTA(H$5:H1140)</f>
        <v>4.9295774647887321E-2</v>
      </c>
      <c r="K1140" s="16">
        <f>AVERAGE(F$5:F1140)</f>
        <v>2.2213908450704216</v>
      </c>
      <c r="L1140" s="16">
        <f>SUM(F$5:F1140)/SUM(E$5:E1140)</f>
        <v>0.75812653968635513</v>
      </c>
    </row>
    <row r="1141" spans="1:12" x14ac:dyDescent="0.25">
      <c r="A1141" s="29">
        <v>45811</v>
      </c>
      <c r="B1141" s="16" t="s">
        <v>1187</v>
      </c>
      <c r="C1141" s="34">
        <v>1</v>
      </c>
      <c r="D1141" s="16" t="s">
        <v>52</v>
      </c>
      <c r="E1141" s="35">
        <v>4.4000000000000004</v>
      </c>
      <c r="F1141" s="35">
        <v>3.1</v>
      </c>
      <c r="G1141" s="16" t="s">
        <v>45</v>
      </c>
      <c r="H1141" s="16" t="s">
        <v>45</v>
      </c>
      <c r="I1141" s="16">
        <f>COUNTIF(G$5:G1141,"Y")/COUNTA(G$5:G1141)</f>
        <v>0.87686895338610382</v>
      </c>
      <c r="J1141" s="16">
        <f>COUNTIF(H$5:H1141,"Y")/COUNTA(H$5:H1141)</f>
        <v>4.9252418645558488E-2</v>
      </c>
      <c r="K1141" s="16">
        <f>AVERAGE(F$5:F1141)</f>
        <v>2.2221635883905004</v>
      </c>
      <c r="L1141" s="16">
        <f>SUM(F$5:F1141)/SUM(E$5:E1141)</f>
        <v>0.75805580558055852</v>
      </c>
    </row>
    <row r="1142" spans="1:12" x14ac:dyDescent="0.25">
      <c r="A1142" s="29">
        <v>45812</v>
      </c>
      <c r="B1142" s="16" t="s">
        <v>1188</v>
      </c>
      <c r="C1142" s="34">
        <v>1</v>
      </c>
      <c r="D1142" s="16" t="s">
        <v>64</v>
      </c>
      <c r="E1142" s="35">
        <v>1.8</v>
      </c>
      <c r="F1142" s="35">
        <v>1.5</v>
      </c>
      <c r="G1142" s="16" t="s">
        <v>44</v>
      </c>
      <c r="H1142" s="16" t="s">
        <v>45</v>
      </c>
      <c r="I1142" s="16">
        <f>COUNTIF(G$5:G1142,"Y")/COUNTA(G$5:G1142)</f>
        <v>0.87697715289982425</v>
      </c>
      <c r="J1142" s="16">
        <f>COUNTIF(H$5:H1142,"Y")/COUNTA(H$5:H1142)</f>
        <v>4.9209138840070298E-2</v>
      </c>
      <c r="K1142" s="16">
        <f>AVERAGE(F$5:F1142)</f>
        <v>2.2215289982425297</v>
      </c>
      <c r="L1142" s="16">
        <f>SUM(F$5:F1142)/SUM(E$5:E1142)</f>
        <v>0.75809643756747069</v>
      </c>
    </row>
    <row r="1143" spans="1:12" x14ac:dyDescent="0.25">
      <c r="A1143" s="29">
        <v>45813</v>
      </c>
      <c r="B1143" s="16" t="s">
        <v>1189</v>
      </c>
      <c r="C1143" s="34">
        <v>1</v>
      </c>
      <c r="D1143" s="16" t="s">
        <v>64</v>
      </c>
      <c r="E1143" s="35">
        <v>2.8</v>
      </c>
      <c r="F1143" s="35">
        <v>2.2999999999999998</v>
      </c>
      <c r="G1143" s="16" t="s">
        <v>44</v>
      </c>
      <c r="H1143" s="16" t="s">
        <v>45</v>
      </c>
      <c r="I1143" s="16">
        <f>COUNTIF(G$5:G1143,"Y")/COUNTA(G$5:G1143)</f>
        <v>0.87708516242317824</v>
      </c>
      <c r="J1143" s="16">
        <f>COUNTIF(H$5:H1143,"Y")/COUNTA(H$5:H1143)</f>
        <v>4.9165935030728712E-2</v>
      </c>
      <c r="K1143" s="16">
        <f>AVERAGE(F$5:F1143)</f>
        <v>2.2215978928884978</v>
      </c>
      <c r="L1143" s="16">
        <f>SUM(F$5:F1143)/SUM(E$5:E1143)</f>
        <v>0.75814956855225346</v>
      </c>
    </row>
    <row r="1144" spans="1:12" x14ac:dyDescent="0.25">
      <c r="A1144" s="29">
        <v>45814</v>
      </c>
      <c r="B1144" s="16" t="s">
        <v>1190</v>
      </c>
      <c r="C1144" s="34">
        <v>1</v>
      </c>
      <c r="D1144" s="16" t="s">
        <v>60</v>
      </c>
      <c r="E1144" s="35">
        <v>1.9</v>
      </c>
      <c r="F1144" s="35">
        <v>1.4</v>
      </c>
      <c r="G1144" s="16" t="s">
        <v>44</v>
      </c>
      <c r="H1144" s="16" t="s">
        <v>44</v>
      </c>
      <c r="I1144" s="16">
        <f>COUNTIF(G$5:G1144,"Y")/COUNTA(G$5:G1144)</f>
        <v>0.8771929824561403</v>
      </c>
      <c r="J1144" s="16">
        <f>COUNTIF(H$5:H1144,"Y")/COUNTA(H$5:H1144)</f>
        <v>0.05</v>
      </c>
      <c r="K1144" s="16">
        <f>AVERAGE(F$5:F1144)</f>
        <v>2.2208771929824556</v>
      </c>
      <c r="L1144" s="16">
        <f>SUM(F$5:F1144)/SUM(E$5:E1144)</f>
        <v>0.75813744572540842</v>
      </c>
    </row>
    <row r="1145" spans="1:12" x14ac:dyDescent="0.25">
      <c r="A1145" s="29">
        <v>45810</v>
      </c>
      <c r="B1145" s="16" t="s">
        <v>1191</v>
      </c>
      <c r="C1145" s="34">
        <v>1</v>
      </c>
      <c r="D1145" s="16" t="s">
        <v>52</v>
      </c>
      <c r="E1145" s="35">
        <v>1.8</v>
      </c>
      <c r="F1145" s="35">
        <v>1.2</v>
      </c>
      <c r="G1145" s="16" t="s">
        <v>44</v>
      </c>
      <c r="H1145" s="16" t="s">
        <v>45</v>
      </c>
      <c r="I1145" s="16">
        <f>COUNTIF(G$5:G1145,"Y")/COUNTA(G$5:G1145)</f>
        <v>0.87730061349693256</v>
      </c>
      <c r="J1145" s="16">
        <f>COUNTIF(H$5:H1145,"Y")/COUNTA(H$5:H1145)</f>
        <v>4.9956178790534621E-2</v>
      </c>
      <c r="K1145" s="16">
        <f>AVERAGE(F$5:F1145)</f>
        <v>2.2199824715162131</v>
      </c>
      <c r="L1145" s="16">
        <f>SUM(F$5:F1145)/SUM(E$5:E1145)</f>
        <v>0.75808816927543199</v>
      </c>
    </row>
    <row r="1146" spans="1:12" x14ac:dyDescent="0.25">
      <c r="A1146" s="29">
        <v>45811</v>
      </c>
      <c r="B1146" s="16" t="s">
        <v>1192</v>
      </c>
      <c r="C1146" s="34">
        <v>1</v>
      </c>
      <c r="D1146" s="16" t="s">
        <v>47</v>
      </c>
      <c r="E1146" s="35">
        <v>1.8</v>
      </c>
      <c r="F1146" s="35">
        <v>1.6</v>
      </c>
      <c r="G1146" s="16" t="s">
        <v>44</v>
      </c>
      <c r="H1146" s="16" t="s">
        <v>44</v>
      </c>
      <c r="I1146" s="16">
        <f>COUNTIF(G$5:G1146,"Y")/COUNTA(G$5:G1146)</f>
        <v>0.87740805604203154</v>
      </c>
      <c r="J1146" s="16">
        <f>COUNTIF(H$5:H1146,"Y")/COUNTA(H$5:H1146)</f>
        <v>5.0788091068301226E-2</v>
      </c>
      <c r="K1146" s="16">
        <f>AVERAGE(F$5:F1146)</f>
        <v>2.2194395796847628</v>
      </c>
      <c r="L1146" s="16">
        <f>SUM(F$5:F1146)/SUM(E$5:E1146)</f>
        <v>0.75815859531572516</v>
      </c>
    </row>
    <row r="1147" spans="1:12" x14ac:dyDescent="0.25">
      <c r="A1147" s="29">
        <v>45812</v>
      </c>
      <c r="B1147" s="16" t="s">
        <v>1193</v>
      </c>
      <c r="C1147" s="34">
        <v>1</v>
      </c>
      <c r="D1147" s="16" t="s">
        <v>60</v>
      </c>
      <c r="E1147" s="35">
        <v>1.7</v>
      </c>
      <c r="F1147" s="35">
        <v>1.4</v>
      </c>
      <c r="G1147" s="16" t="s">
        <v>44</v>
      </c>
      <c r="H1147" s="16" t="s">
        <v>45</v>
      </c>
      <c r="I1147" s="16">
        <f>COUNTIF(G$5:G1147,"Y")/COUNTA(G$5:G1147)</f>
        <v>0.87751531058617671</v>
      </c>
      <c r="J1147" s="16">
        <f>COUNTIF(H$5:H1147,"Y")/COUNTA(H$5:H1147)</f>
        <v>5.0743657042869643E-2</v>
      </c>
      <c r="K1147" s="16">
        <f>AVERAGE(F$5:F1147)</f>
        <v>2.2187226596675407</v>
      </c>
      <c r="L1147" s="16">
        <f>SUM(F$5:F1147)/SUM(E$5:E1147)</f>
        <v>0.7581918201387231</v>
      </c>
    </row>
    <row r="1148" spans="1:12" x14ac:dyDescent="0.25">
      <c r="A1148" s="29">
        <v>45813</v>
      </c>
      <c r="B1148" s="16" t="s">
        <v>1194</v>
      </c>
      <c r="C1148" s="34">
        <v>1</v>
      </c>
      <c r="D1148" s="16" t="s">
        <v>64</v>
      </c>
      <c r="E1148" s="35">
        <v>1.6</v>
      </c>
      <c r="F1148" s="35">
        <v>1.2</v>
      </c>
      <c r="G1148" s="16" t="s">
        <v>44</v>
      </c>
      <c r="H1148" s="16" t="s">
        <v>45</v>
      </c>
      <c r="I1148" s="16">
        <f>COUNTIF(G$5:G1148,"Y")/COUNTA(G$5:G1148)</f>
        <v>0.8776223776223776</v>
      </c>
      <c r="J1148" s="16">
        <f>COUNTIF(H$5:H1148,"Y")/COUNTA(H$5:H1148)</f>
        <v>5.0699300699300696E-2</v>
      </c>
      <c r="K1148" s="16">
        <f>AVERAGE(F$5:F1148)</f>
        <v>2.2178321678321669</v>
      </c>
      <c r="L1148" s="16">
        <f>SUM(F$5:F1148)/SUM(E$5:E1148)</f>
        <v>0.75818790341859932</v>
      </c>
    </row>
    <row r="1149" spans="1:12" x14ac:dyDescent="0.25">
      <c r="A1149" s="29">
        <v>45814</v>
      </c>
      <c r="B1149" s="16" t="s">
        <v>1195</v>
      </c>
      <c r="C1149" s="34">
        <v>1</v>
      </c>
      <c r="D1149" s="16" t="s">
        <v>50</v>
      </c>
      <c r="E1149" s="35">
        <v>2.9</v>
      </c>
      <c r="F1149" s="35">
        <v>2.2000000000000002</v>
      </c>
      <c r="G1149" s="16" t="s">
        <v>44</v>
      </c>
      <c r="H1149" s="16" t="s">
        <v>45</v>
      </c>
      <c r="I1149" s="16">
        <f>COUNTIF(G$5:G1149,"Y")/COUNTA(G$5:G1149)</f>
        <v>0.87772925764192145</v>
      </c>
      <c r="J1149" s="16">
        <f>COUNTIF(H$5:H1149,"Y")/COUNTA(H$5:H1149)</f>
        <v>5.0655021834061134E-2</v>
      </c>
      <c r="K1149" s="16">
        <f>AVERAGE(F$5:F1149)</f>
        <v>2.2178165938864618</v>
      </c>
      <c r="L1149" s="16">
        <f>SUM(F$5:F1149)/SUM(E$5:E1149)</f>
        <v>0.75818827814767287</v>
      </c>
    </row>
    <row r="1150" spans="1:12" x14ac:dyDescent="0.25">
      <c r="A1150" s="29">
        <v>45810</v>
      </c>
      <c r="B1150" s="16" t="s">
        <v>1196</v>
      </c>
      <c r="C1150" s="34">
        <v>1</v>
      </c>
      <c r="D1150" s="16" t="s">
        <v>47</v>
      </c>
      <c r="E1150" s="35">
        <v>3.9</v>
      </c>
      <c r="F1150" s="35">
        <v>2.9</v>
      </c>
      <c r="G1150" s="16" t="s">
        <v>44</v>
      </c>
      <c r="H1150" s="16" t="s">
        <v>45</v>
      </c>
      <c r="I1150" s="16">
        <f>COUNTIF(G$5:G1150,"Y")/COUNTA(G$5:G1150)</f>
        <v>0.8778359511343804</v>
      </c>
      <c r="J1150" s="16">
        <f>COUNTIF(H$5:H1150,"Y")/COUNTA(H$5:H1150)</f>
        <v>5.06108202443281E-2</v>
      </c>
      <c r="K1150" s="16">
        <f>AVERAGE(F$5:F1150)</f>
        <v>2.2184118673647459</v>
      </c>
      <c r="L1150" s="16">
        <f>SUM(F$5:F1150)/SUM(E$5:E1150)</f>
        <v>0.75817129905761682</v>
      </c>
    </row>
    <row r="1151" spans="1:12" x14ac:dyDescent="0.25">
      <c r="A1151" s="29">
        <v>45811</v>
      </c>
      <c r="B1151" s="16" t="s">
        <v>1197</v>
      </c>
      <c r="C1151" s="34">
        <v>1</v>
      </c>
      <c r="D1151" s="16" t="s">
        <v>64</v>
      </c>
      <c r="E1151" s="35">
        <v>1.4</v>
      </c>
      <c r="F1151" s="35">
        <v>1.2</v>
      </c>
      <c r="G1151" s="16" t="s">
        <v>44</v>
      </c>
      <c r="H1151" s="16" t="s">
        <v>45</v>
      </c>
      <c r="I1151" s="16">
        <f>COUNTIF(G$5:G1151,"Y")/COUNTA(G$5:G1151)</f>
        <v>0.87794245858761988</v>
      </c>
      <c r="J1151" s="16">
        <f>COUNTIF(H$5:H1151,"Y")/COUNTA(H$5:H1151)</f>
        <v>5.0566695727986048E-2</v>
      </c>
      <c r="K1151" s="16">
        <f>AVERAGE(F$5:F1151)</f>
        <v>2.2175239755884903</v>
      </c>
      <c r="L1151" s="16">
        <f>SUM(F$5:F1151)/SUM(E$5:E1151)</f>
        <v>0.7582126035891017</v>
      </c>
    </row>
    <row r="1152" spans="1:12" x14ac:dyDescent="0.25">
      <c r="A1152" s="29">
        <v>45812</v>
      </c>
      <c r="B1152" s="16" t="s">
        <v>1198</v>
      </c>
      <c r="C1152" s="34">
        <v>1</v>
      </c>
      <c r="D1152" s="16" t="s">
        <v>52</v>
      </c>
      <c r="E1152" s="35">
        <v>3.6</v>
      </c>
      <c r="F1152" s="35">
        <v>3.2</v>
      </c>
      <c r="G1152" s="16" t="s">
        <v>44</v>
      </c>
      <c r="H1152" s="16" t="s">
        <v>45</v>
      </c>
      <c r="I1152" s="16">
        <f>COUNTIF(G$5:G1152,"Y")/COUNTA(G$5:G1152)</f>
        <v>0.87804878048780488</v>
      </c>
      <c r="J1152" s="16">
        <f>COUNTIF(H$5:H1152,"Y")/COUNTA(H$5:H1152)</f>
        <v>5.0522648083623695E-2</v>
      </c>
      <c r="K1152" s="16">
        <f>AVERAGE(F$5:F1152)</f>
        <v>2.218379790940765</v>
      </c>
      <c r="L1152" s="16">
        <f>SUM(F$5:F1152)/SUM(E$5:E1152)</f>
        <v>0.75835268894050389</v>
      </c>
    </row>
    <row r="1153" spans="1:13" x14ac:dyDescent="0.25">
      <c r="A1153" s="29">
        <v>45813</v>
      </c>
      <c r="B1153" s="16" t="s">
        <v>1199</v>
      </c>
      <c r="C1153" s="34">
        <v>1</v>
      </c>
      <c r="D1153" s="16" t="s">
        <v>60</v>
      </c>
      <c r="E1153" s="35">
        <v>5.0999999999999996</v>
      </c>
      <c r="F1153" s="35">
        <v>3.7</v>
      </c>
      <c r="G1153" s="16" t="s">
        <v>44</v>
      </c>
      <c r="H1153" s="16" t="s">
        <v>45</v>
      </c>
      <c r="I1153" s="16">
        <f>COUNTIF(G$5:G1153,"Y")/COUNTA(G$5:G1153)</f>
        <v>0.8781549173194082</v>
      </c>
      <c r="J1153" s="16">
        <f>COUNTIF(H$5:H1153,"Y")/COUNTA(H$5:H1153)</f>
        <v>5.0478677110530897E-2</v>
      </c>
      <c r="K1153" s="16">
        <f>AVERAGE(F$5:F1153)</f>
        <v>2.2196692776327227</v>
      </c>
      <c r="L1153" s="16">
        <f>SUM(F$5:F1153)/SUM(E$5:E1153)</f>
        <v>0.75830285731275837</v>
      </c>
    </row>
    <row r="1154" spans="1:13" x14ac:dyDescent="0.25">
      <c r="A1154" s="29">
        <v>45814</v>
      </c>
      <c r="B1154" s="16" t="s">
        <v>1200</v>
      </c>
      <c r="C1154" s="34">
        <v>1</v>
      </c>
      <c r="D1154" s="16" t="s">
        <v>43</v>
      </c>
      <c r="E1154" s="35">
        <v>5.5</v>
      </c>
      <c r="F1154" s="35">
        <v>3.8</v>
      </c>
      <c r="G1154" s="16" t="s">
        <v>44</v>
      </c>
      <c r="H1154" s="16" t="s">
        <v>45</v>
      </c>
      <c r="I1154" s="16">
        <f>COUNTIF(G$5:G1154,"Y")/COUNTA(G$5:G1154)</f>
        <v>0.87826086956521743</v>
      </c>
      <c r="J1154" s="16">
        <f>COUNTIF(H$5:H1154,"Y")/COUNTA(H$5:H1154)</f>
        <v>5.0434782608695654E-2</v>
      </c>
      <c r="K1154" s="16">
        <f>AVERAGE(F$5:F1154)</f>
        <v>2.2210434782608681</v>
      </c>
      <c r="L1154" s="16">
        <f>SUM(F$5:F1154)/SUM(E$5:E1154)</f>
        <v>0.75819282830681556</v>
      </c>
    </row>
    <row r="1155" spans="1:13" x14ac:dyDescent="0.25">
      <c r="A1155" s="29">
        <v>45810</v>
      </c>
      <c r="B1155" s="16" t="s">
        <v>1201</v>
      </c>
      <c r="C1155" s="34">
        <v>1</v>
      </c>
      <c r="D1155" s="16" t="s">
        <v>47</v>
      </c>
      <c r="E1155" s="35">
        <v>3.3</v>
      </c>
      <c r="F1155" s="35">
        <v>2.4</v>
      </c>
      <c r="G1155" s="16" t="s">
        <v>44</v>
      </c>
      <c r="H1155" s="16" t="s">
        <v>45</v>
      </c>
      <c r="I1155" s="16">
        <f>COUNTIF(G$5:G1155,"Y")/COUNTA(G$5:G1155)</f>
        <v>0.87836663770634227</v>
      </c>
      <c r="J1155" s="16">
        <f>COUNTIF(H$5:H1155,"Y")/COUNTA(H$5:H1155)</f>
        <v>5.0390964378801043E-2</v>
      </c>
      <c r="K1155" s="16">
        <f>AVERAGE(F$5:F1155)</f>
        <v>2.2211989574283217</v>
      </c>
      <c r="L1155" s="16">
        <f>SUM(F$5:F1155)/SUM(E$5:E1155)</f>
        <v>0.7581625693188222</v>
      </c>
    </row>
    <row r="1156" spans="1:13" x14ac:dyDescent="0.25">
      <c r="A1156" s="29">
        <v>45811</v>
      </c>
      <c r="B1156" s="16" t="s">
        <v>1202</v>
      </c>
      <c r="C1156" s="34">
        <v>1</v>
      </c>
      <c r="D1156" s="16" t="s">
        <v>52</v>
      </c>
      <c r="E1156" s="35">
        <v>2.9</v>
      </c>
      <c r="F1156" s="35">
        <v>2.1</v>
      </c>
      <c r="G1156" s="16" t="s">
        <v>44</v>
      </c>
      <c r="H1156" s="16" t="s">
        <v>45</v>
      </c>
      <c r="I1156" s="16">
        <f>COUNTIF(G$5:G1156,"Y")/COUNTA(G$5:G1156)</f>
        <v>0.87847222222222221</v>
      </c>
      <c r="J1156" s="16">
        <f>COUNTIF(H$5:H1156,"Y")/COUNTA(H$5:H1156)</f>
        <v>5.0347222222222224E-2</v>
      </c>
      <c r="K1156" s="16">
        <f>AVERAGE(F$5:F1156)</f>
        <v>2.2210937499999988</v>
      </c>
      <c r="L1156" s="16">
        <f>SUM(F$5:F1156)/SUM(E$5:E1156)</f>
        <v>0.75813333333333344</v>
      </c>
    </row>
    <row r="1157" spans="1:13" x14ac:dyDescent="0.25">
      <c r="A1157" s="29">
        <v>45812</v>
      </c>
      <c r="B1157" s="16" t="s">
        <v>1203</v>
      </c>
      <c r="C1157" s="34">
        <v>1</v>
      </c>
      <c r="D1157" s="16" t="s">
        <v>47</v>
      </c>
      <c r="E1157" s="35">
        <v>0.8</v>
      </c>
      <c r="F1157" s="35">
        <v>1.2</v>
      </c>
      <c r="G1157" s="16" t="s">
        <v>44</v>
      </c>
      <c r="H1157" s="16" t="s">
        <v>45</v>
      </c>
      <c r="I1157" s="16">
        <f>COUNTIF(G$5:G1157,"Y")/COUNTA(G$5:G1157)</f>
        <v>0.87857762359063318</v>
      </c>
      <c r="J1157" s="16">
        <f>COUNTIF(H$5:H1157,"Y")/COUNTA(H$5:H1157)</f>
        <v>5.0303555941023419E-2</v>
      </c>
      <c r="K1157" s="16">
        <f>AVERAGE(F$5:F1157)</f>
        <v>2.2202081526452715</v>
      </c>
      <c r="L1157" s="16">
        <f>SUM(F$5:F1157)/SUM(E$5:E1157)</f>
        <v>0.75830914153682083</v>
      </c>
    </row>
    <row r="1158" spans="1:13" x14ac:dyDescent="0.25">
      <c r="A1158" s="29">
        <v>45813</v>
      </c>
      <c r="B1158" s="16" t="s">
        <v>1204</v>
      </c>
      <c r="C1158" s="34">
        <v>1</v>
      </c>
      <c r="D1158" s="16" t="s">
        <v>52</v>
      </c>
      <c r="E1158" s="35">
        <v>0.5</v>
      </c>
      <c r="F1158" s="35">
        <v>0.5</v>
      </c>
      <c r="G1158" s="16" t="s">
        <v>45</v>
      </c>
      <c r="H1158" s="16" t="s">
        <v>45</v>
      </c>
      <c r="I1158" s="16">
        <f>COUNTIF(G$5:G1158,"Y")/COUNTA(G$5:G1158)</f>
        <v>0.87781629116117854</v>
      </c>
      <c r="J1158" s="16">
        <f>COUNTIF(H$5:H1158,"Y")/COUNTA(H$5:H1158)</f>
        <v>5.0259965337954939E-2</v>
      </c>
      <c r="K1158" s="16">
        <f>AVERAGE(F$5:F1158)</f>
        <v>2.2187175043327541</v>
      </c>
      <c r="L1158" s="16">
        <f>SUM(F$5:F1158)/SUM(E$5:E1158)</f>
        <v>0.75834493380327572</v>
      </c>
    </row>
    <row r="1159" spans="1:13" x14ac:dyDescent="0.25">
      <c r="A1159" s="29">
        <v>45814</v>
      </c>
      <c r="B1159" s="16" t="s">
        <v>1205</v>
      </c>
      <c r="C1159" s="34">
        <v>1</v>
      </c>
      <c r="D1159" s="16" t="s">
        <v>50</v>
      </c>
      <c r="E1159" s="35">
        <v>0.5</v>
      </c>
      <c r="F1159" s="35">
        <v>0.5</v>
      </c>
      <c r="G1159" s="16" t="s">
        <v>44</v>
      </c>
      <c r="H1159" s="16" t="s">
        <v>45</v>
      </c>
      <c r="I1159" s="16">
        <f>COUNTIF(G$5:G1159,"Y")/COUNTA(G$5:G1159)</f>
        <v>0.87792207792207788</v>
      </c>
      <c r="J1159" s="16">
        <f>COUNTIF(H$5:H1159,"Y")/COUNTA(H$5:H1159)</f>
        <v>5.0216450216450215E-2</v>
      </c>
      <c r="K1159" s="16">
        <f>AVERAGE(F$5:F1159)</f>
        <v>2.2172294372294359</v>
      </c>
      <c r="L1159" s="16">
        <f>SUM(F$5:F1159)/SUM(E$5:E1159)</f>
        <v>0.75838071547026764</v>
      </c>
    </row>
    <row r="1160" spans="1:13" x14ac:dyDescent="0.25">
      <c r="A1160" s="29">
        <v>45810</v>
      </c>
      <c r="B1160" s="16" t="s">
        <v>1206</v>
      </c>
      <c r="C1160" s="34">
        <v>1</v>
      </c>
      <c r="D1160" s="16" t="s">
        <v>50</v>
      </c>
      <c r="E1160" s="35">
        <v>0.5</v>
      </c>
      <c r="F1160" s="35">
        <v>0.5</v>
      </c>
      <c r="G1160" s="16" t="s">
        <v>44</v>
      </c>
      <c r="H1160" s="16" t="s">
        <v>45</v>
      </c>
      <c r="I1160" s="16">
        <f>COUNTIF(G$5:G1160,"Y")/COUNTA(G$5:G1160)</f>
        <v>0.87802768166089962</v>
      </c>
      <c r="J1160" s="16">
        <f>COUNTIF(H$5:H1160,"Y")/COUNTA(H$5:H1160)</f>
        <v>5.0173010380622836E-2</v>
      </c>
      <c r="K1160" s="16">
        <f>AVERAGE(F$5:F1160)</f>
        <v>2.2157439446366767</v>
      </c>
      <c r="L1160" s="16">
        <f>SUM(F$5:F1160)/SUM(E$5:E1160)</f>
        <v>0.75841648654250438</v>
      </c>
      <c r="M1160" s="16">
        <v>12</v>
      </c>
    </row>
    <row r="1161" spans="1:13" x14ac:dyDescent="0.25">
      <c r="A1161" s="29">
        <v>45817</v>
      </c>
      <c r="B1161" s="16" t="s">
        <v>1207</v>
      </c>
      <c r="C1161" s="34">
        <v>1</v>
      </c>
      <c r="D1161" s="16" t="s">
        <v>60</v>
      </c>
      <c r="E1161" s="35">
        <v>4.5</v>
      </c>
      <c r="F1161" s="35">
        <v>3.5</v>
      </c>
      <c r="G1161" s="16" t="s">
        <v>44</v>
      </c>
      <c r="H1161" s="16" t="s">
        <v>45</v>
      </c>
      <c r="I1161" s="16">
        <f>COUNTIF(G$5:G1161,"Y")/COUNTA(G$5:G1161)</f>
        <v>0.87813310285220403</v>
      </c>
      <c r="J1161" s="16">
        <f>COUNTIF(H$5:H1161,"Y")/COUNTA(H$5:H1161)</f>
        <v>5.0129645635263613E-2</v>
      </c>
      <c r="K1161" s="16">
        <f>AVERAGE(F$5:F1161)</f>
        <v>2.216853932584268</v>
      </c>
      <c r="L1161" s="16">
        <f>SUM(F$5:F1161)/SUM(E$5:E1161)</f>
        <v>0.75844224968951446</v>
      </c>
    </row>
    <row r="1162" spans="1:13" x14ac:dyDescent="0.25">
      <c r="A1162" s="29">
        <v>45818</v>
      </c>
      <c r="B1162" s="16" t="s">
        <v>1208</v>
      </c>
      <c r="C1162" s="34">
        <v>1</v>
      </c>
      <c r="D1162" s="16" t="s">
        <v>56</v>
      </c>
      <c r="E1162" s="35">
        <v>4.2</v>
      </c>
      <c r="F1162" s="35">
        <v>3.6</v>
      </c>
      <c r="G1162" s="16" t="s">
        <v>44</v>
      </c>
      <c r="H1162" s="16" t="s">
        <v>45</v>
      </c>
      <c r="I1162" s="16">
        <f>COUNTIF(G$5:G1162,"Y")/COUNTA(G$5:G1162)</f>
        <v>0.87823834196891193</v>
      </c>
      <c r="J1162" s="16">
        <f>COUNTIF(H$5:H1162,"Y")/COUNTA(H$5:H1162)</f>
        <v>5.0086355785837651E-2</v>
      </c>
      <c r="K1162" s="16">
        <f>AVERAGE(F$5:F1162)</f>
        <v>2.2180483592400675</v>
      </c>
      <c r="L1162" s="16">
        <f>SUM(F$5:F1162)/SUM(E$5:E1162)</f>
        <v>0.7585646780862374</v>
      </c>
    </row>
    <row r="1163" spans="1:13" x14ac:dyDescent="0.25">
      <c r="A1163" s="29">
        <v>45819</v>
      </c>
      <c r="B1163" s="16" t="s">
        <v>1209</v>
      </c>
      <c r="C1163" s="34">
        <v>1</v>
      </c>
      <c r="D1163" s="16" t="s">
        <v>43</v>
      </c>
      <c r="E1163" s="35">
        <v>4.5</v>
      </c>
      <c r="F1163" s="35">
        <v>3.2</v>
      </c>
      <c r="G1163" s="16" t="s">
        <v>45</v>
      </c>
      <c r="H1163" s="16" t="s">
        <v>45</v>
      </c>
      <c r="I1163" s="16">
        <f>COUNTIF(G$5:G1163,"Y")/COUNTA(G$5:G1163)</f>
        <v>0.87748058671268336</v>
      </c>
      <c r="J1163" s="16">
        <f>COUNTIF(H$5:H1163,"Y")/COUNTA(H$5:H1163)</f>
        <v>5.0043140638481448E-2</v>
      </c>
      <c r="K1163" s="16">
        <f>AVERAGE(F$5:F1163)</f>
        <v>2.2188955996548732</v>
      </c>
      <c r="L1163" s="16">
        <f>SUM(F$5:F1163)/SUM(E$5:E1163)</f>
        <v>0.75850169591505667</v>
      </c>
    </row>
    <row r="1164" spans="1:13" x14ac:dyDescent="0.25">
      <c r="A1164" s="29">
        <v>45820</v>
      </c>
      <c r="B1164" s="16" t="s">
        <v>1210</v>
      </c>
      <c r="C1164" s="34">
        <v>1</v>
      </c>
      <c r="D1164" s="16" t="s">
        <v>50</v>
      </c>
      <c r="E1164" s="35">
        <v>5</v>
      </c>
      <c r="F1164" s="35">
        <v>3.4</v>
      </c>
      <c r="G1164" s="16" t="s">
        <v>44</v>
      </c>
      <c r="H1164" s="16" t="s">
        <v>45</v>
      </c>
      <c r="I1164" s="16">
        <f>COUNTIF(G$5:G1164,"Y")/COUNTA(G$5:G1164)</f>
        <v>0.87758620689655176</v>
      </c>
      <c r="J1164" s="16">
        <f>COUNTIF(H$5:H1164,"Y")/COUNTA(H$5:H1164)</f>
        <v>0.05</v>
      </c>
      <c r="K1164" s="16">
        <f>AVERAGE(F$5:F1164)</f>
        <v>2.2199137931034465</v>
      </c>
      <c r="L1164" s="16">
        <f>SUM(F$5:F1164)/SUM(E$5:E1164)</f>
        <v>0.75838609924900602</v>
      </c>
    </row>
    <row r="1165" spans="1:13" x14ac:dyDescent="0.25">
      <c r="A1165" s="29">
        <v>45821</v>
      </c>
      <c r="B1165" s="16" t="s">
        <v>1211</v>
      </c>
      <c r="C1165" s="34">
        <v>1</v>
      </c>
      <c r="D1165" s="16" t="s">
        <v>60</v>
      </c>
      <c r="E1165" s="35">
        <v>3.8</v>
      </c>
      <c r="F1165" s="35">
        <v>2.8</v>
      </c>
      <c r="G1165" s="16" t="s">
        <v>44</v>
      </c>
      <c r="H1165" s="16" t="s">
        <v>45</v>
      </c>
      <c r="I1165" s="16">
        <f>COUNTIF(G$5:G1165,"Y")/COUNTA(G$5:G1165)</f>
        <v>0.87769164513350562</v>
      </c>
      <c r="J1165" s="16">
        <f>COUNTIF(H$5:H1165,"Y")/COUNTA(H$5:H1165)</f>
        <v>4.9956933677863913E-2</v>
      </c>
      <c r="K1165" s="16">
        <f>AVERAGE(F$5:F1165)</f>
        <v>2.220413436692505</v>
      </c>
      <c r="L1165" s="16">
        <f>SUM(F$5:F1165)/SUM(E$5:E1165)</f>
        <v>0.75836201570911654</v>
      </c>
    </row>
    <row r="1166" spans="1:13" x14ac:dyDescent="0.25">
      <c r="A1166" s="29">
        <v>45817</v>
      </c>
      <c r="B1166" s="16" t="s">
        <v>1212</v>
      </c>
      <c r="C1166" s="34">
        <v>1</v>
      </c>
      <c r="D1166" s="16" t="s">
        <v>50</v>
      </c>
      <c r="E1166" s="35">
        <v>1.6</v>
      </c>
      <c r="F1166" s="35">
        <v>1.2</v>
      </c>
      <c r="G1166" s="16" t="s">
        <v>44</v>
      </c>
      <c r="H1166" s="16" t="s">
        <v>45</v>
      </c>
      <c r="I1166" s="16">
        <f>COUNTIF(G$5:G1166,"Y")/COUNTA(G$5:G1166)</f>
        <v>0.87779690189328741</v>
      </c>
      <c r="J1166" s="16">
        <f>COUNTIF(H$5:H1166,"Y")/COUNTA(H$5:H1166)</f>
        <v>4.9913941480206538E-2</v>
      </c>
      <c r="K1166" s="16">
        <f>AVERAGE(F$5:F1166)</f>
        <v>2.2195352839931135</v>
      </c>
      <c r="L1166" s="16">
        <f>SUM(F$5:F1166)/SUM(E$5:E1166)</f>
        <v>0.75835808168426</v>
      </c>
    </row>
    <row r="1167" spans="1:13" x14ac:dyDescent="0.25">
      <c r="A1167" s="29">
        <v>45818</v>
      </c>
      <c r="B1167" s="16" t="s">
        <v>1213</v>
      </c>
      <c r="C1167" s="34">
        <v>1</v>
      </c>
      <c r="D1167" s="16" t="s">
        <v>43</v>
      </c>
      <c r="E1167" s="35">
        <v>2.5</v>
      </c>
      <c r="F1167" s="35">
        <v>1.9</v>
      </c>
      <c r="G1167" s="16" t="s">
        <v>44</v>
      </c>
      <c r="H1167" s="16" t="s">
        <v>45</v>
      </c>
      <c r="I1167" s="16">
        <f>COUNTIF(G$5:G1167,"Y")/COUNTA(G$5:G1167)</f>
        <v>0.87790197764402411</v>
      </c>
      <c r="J1167" s="16">
        <f>COUNTIF(H$5:H1167,"Y")/COUNTA(H$5:H1167)</f>
        <v>4.9871023215821153E-2</v>
      </c>
      <c r="K1167" s="16">
        <f>AVERAGE(F$5:F1167)</f>
        <v>2.2192605331040398</v>
      </c>
      <c r="L1167" s="16">
        <f>SUM(F$5:F1167)/SUM(E$5:E1167)</f>
        <v>0.75835928777105244</v>
      </c>
    </row>
    <row r="1168" spans="1:13" x14ac:dyDescent="0.25">
      <c r="A1168" s="29">
        <v>45819</v>
      </c>
      <c r="B1168" s="16" t="s">
        <v>1214</v>
      </c>
      <c r="C1168" s="34">
        <v>1</v>
      </c>
      <c r="D1168" s="16" t="s">
        <v>60</v>
      </c>
      <c r="E1168" s="35">
        <v>2.6</v>
      </c>
      <c r="F1168" s="35">
        <v>1.9</v>
      </c>
      <c r="G1168" s="16" t="s">
        <v>44</v>
      </c>
      <c r="H1168" s="16" t="s">
        <v>45</v>
      </c>
      <c r="I1168" s="16">
        <f>COUNTIF(G$5:G1168,"Y")/COUNTA(G$5:G1168)</f>
        <v>0.87800687285223367</v>
      </c>
      <c r="J1168" s="16">
        <f>COUNTIF(H$5:H1168,"Y")/COUNTA(H$5:H1168)</f>
        <v>4.9828178694158079E-2</v>
      </c>
      <c r="K1168" s="16">
        <f>AVERAGE(F$5:F1168)</f>
        <v>2.218986254295531</v>
      </c>
      <c r="L1168" s="16">
        <f>SUM(F$5:F1168)/SUM(E$5:E1168)</f>
        <v>0.75833822665883732</v>
      </c>
    </row>
    <row r="1169" spans="1:12" x14ac:dyDescent="0.25">
      <c r="A1169" s="29">
        <v>45820</v>
      </c>
      <c r="B1169" s="16" t="s">
        <v>1215</v>
      </c>
      <c r="C1169" s="34">
        <v>1</v>
      </c>
      <c r="D1169" s="16" t="s">
        <v>56</v>
      </c>
      <c r="E1169" s="35">
        <v>2.1</v>
      </c>
      <c r="F1169" s="35">
        <v>1.5</v>
      </c>
      <c r="G1169" s="16" t="s">
        <v>44</v>
      </c>
      <c r="H1169" s="16" t="s">
        <v>45</v>
      </c>
      <c r="I1169" s="16">
        <f>COUNTIF(G$5:G1169,"Y")/COUNTA(G$5:G1169)</f>
        <v>0.87811158798283262</v>
      </c>
      <c r="J1169" s="16">
        <f>COUNTIF(H$5:H1169,"Y")/COUNTA(H$5:H1169)</f>
        <v>4.978540772532189E-2</v>
      </c>
      <c r="K1169" s="16">
        <f>AVERAGE(F$5:F1169)</f>
        <v>2.2183690987124449</v>
      </c>
      <c r="L1169" s="16">
        <f>SUM(F$5:F1169)/SUM(E$5:E1169)</f>
        <v>0.75831108242129053</v>
      </c>
    </row>
    <row r="1170" spans="1:12" x14ac:dyDescent="0.25">
      <c r="A1170" s="29">
        <v>45821</v>
      </c>
      <c r="B1170" s="16" t="s">
        <v>1216</v>
      </c>
      <c r="C1170" s="34">
        <v>1</v>
      </c>
      <c r="D1170" s="16" t="s">
        <v>56</v>
      </c>
      <c r="E1170" s="35">
        <v>5.7</v>
      </c>
      <c r="F1170" s="35">
        <v>3.8</v>
      </c>
      <c r="G1170" s="16" t="s">
        <v>44</v>
      </c>
      <c r="H1170" s="16" t="s">
        <v>45</v>
      </c>
      <c r="I1170" s="16">
        <f>COUNTIF(G$5:G1170,"Y")/COUNTA(G$5:G1170)</f>
        <v>0.87821612349914235</v>
      </c>
      <c r="J1170" s="16">
        <f>COUNTIF(H$5:H1170,"Y")/COUNTA(H$5:H1170)</f>
        <v>4.974271012006861E-2</v>
      </c>
      <c r="K1170" s="16">
        <f>AVERAGE(F$5:F1170)</f>
        <v>2.219725557461405</v>
      </c>
      <c r="L1170" s="16">
        <f>SUM(F$5:F1170)/SUM(E$5:E1170)</f>
        <v>0.75815806432714283</v>
      </c>
    </row>
    <row r="1171" spans="1:12" x14ac:dyDescent="0.25">
      <c r="A1171" s="29">
        <v>45817</v>
      </c>
      <c r="B1171" s="16" t="s">
        <v>1217</v>
      </c>
      <c r="C1171" s="34">
        <v>1</v>
      </c>
      <c r="D1171" s="16" t="s">
        <v>64</v>
      </c>
      <c r="E1171" s="35">
        <v>4.2</v>
      </c>
      <c r="F1171" s="35">
        <v>3.1</v>
      </c>
      <c r="G1171" s="16" t="s">
        <v>44</v>
      </c>
      <c r="H1171" s="16" t="s">
        <v>45</v>
      </c>
      <c r="I1171" s="16">
        <f>COUNTIF(G$5:G1171,"Y")/COUNTA(G$5:G1171)</f>
        <v>0.8783204798628963</v>
      </c>
      <c r="J1171" s="16">
        <f>COUNTIF(H$5:H1171,"Y")/COUNTA(H$5:H1171)</f>
        <v>4.9700085689802914E-2</v>
      </c>
      <c r="K1171" s="16">
        <f>AVERAGE(F$5:F1171)</f>
        <v>2.220479862896314</v>
      </c>
      <c r="L1171" s="16">
        <f>SUM(F$5:F1171)/SUM(E$5:E1171)</f>
        <v>0.75813341135166779</v>
      </c>
    </row>
    <row r="1172" spans="1:12" x14ac:dyDescent="0.25">
      <c r="A1172" s="29">
        <v>45818</v>
      </c>
      <c r="B1172" s="16" t="s">
        <v>1218</v>
      </c>
      <c r="C1172" s="34">
        <v>1</v>
      </c>
      <c r="D1172" s="16" t="s">
        <v>56</v>
      </c>
      <c r="E1172" s="35">
        <v>1.7</v>
      </c>
      <c r="F1172" s="35">
        <v>1.3</v>
      </c>
      <c r="G1172" s="16" t="s">
        <v>44</v>
      </c>
      <c r="H1172" s="16" t="s">
        <v>45</v>
      </c>
      <c r="I1172" s="16">
        <f>COUNTIF(G$5:G1172,"Y")/COUNTA(G$5:G1172)</f>
        <v>0.87842465753424659</v>
      </c>
      <c r="J1172" s="16">
        <f>COUNTIF(H$5:H1172,"Y")/COUNTA(H$5:H1172)</f>
        <v>4.965753424657534E-2</v>
      </c>
      <c r="K1172" s="16">
        <f>AVERAGE(F$5:F1172)</f>
        <v>2.2196917808219165</v>
      </c>
      <c r="L1172" s="16">
        <f>SUM(F$5:F1172)/SUM(E$5:E1172)</f>
        <v>0.75813667865602263</v>
      </c>
    </row>
    <row r="1173" spans="1:12" x14ac:dyDescent="0.25">
      <c r="A1173" s="29">
        <v>45819</v>
      </c>
      <c r="B1173" s="16" t="s">
        <v>1219</v>
      </c>
      <c r="C1173" s="34">
        <v>1</v>
      </c>
      <c r="D1173" s="16" t="s">
        <v>60</v>
      </c>
      <c r="E1173" s="35">
        <v>3.8</v>
      </c>
      <c r="F1173" s="35">
        <v>3.2</v>
      </c>
      <c r="G1173" s="16" t="s">
        <v>44</v>
      </c>
      <c r="H1173" s="16" t="s">
        <v>45</v>
      </c>
      <c r="I1173" s="16">
        <f>COUNTIF(G$5:G1173,"Y")/COUNTA(G$5:G1173)</f>
        <v>0.87852865697177074</v>
      </c>
      <c r="J1173" s="16">
        <f>COUNTIF(H$5:H1173,"Y")/COUNTA(H$5:H1173)</f>
        <v>4.9615055603079557E-2</v>
      </c>
      <c r="K1173" s="16">
        <f>AVERAGE(F$5:F1173)</f>
        <v>2.2205303678357557</v>
      </c>
      <c r="L1173" s="16">
        <f>SUM(F$5:F1173)/SUM(E$5:E1173)</f>
        <v>0.75822988170001471</v>
      </c>
    </row>
    <row r="1174" spans="1:12" x14ac:dyDescent="0.25">
      <c r="A1174" s="29">
        <v>45820</v>
      </c>
      <c r="B1174" s="16" t="s">
        <v>1220</v>
      </c>
      <c r="C1174" s="34">
        <v>1</v>
      </c>
      <c r="D1174" s="16" t="s">
        <v>60</v>
      </c>
      <c r="E1174" s="35">
        <v>2.6</v>
      </c>
      <c r="F1174" s="35">
        <v>2</v>
      </c>
      <c r="G1174" s="16" t="s">
        <v>44</v>
      </c>
      <c r="H1174" s="16" t="s">
        <v>45</v>
      </c>
      <c r="I1174" s="16">
        <f>COUNTIF(G$5:G1174,"Y")/COUNTA(G$5:G1174)</f>
        <v>0.87863247863247862</v>
      </c>
      <c r="J1174" s="16">
        <f>COUNTIF(H$5:H1174,"Y")/COUNTA(H$5:H1174)</f>
        <v>4.957264957264957E-2</v>
      </c>
      <c r="K1174" s="16">
        <f>AVERAGE(F$5:F1174)</f>
        <v>2.2203418803418788</v>
      </c>
      <c r="L1174" s="16">
        <f>SUM(F$5:F1174)/SUM(E$5:E1174)</f>
        <v>0.75823823005749991</v>
      </c>
    </row>
    <row r="1175" spans="1:12" x14ac:dyDescent="0.25">
      <c r="A1175" s="29">
        <v>45821</v>
      </c>
      <c r="B1175" s="16" t="s">
        <v>1221</v>
      </c>
      <c r="C1175" s="34">
        <v>1</v>
      </c>
      <c r="D1175" s="16" t="s">
        <v>64</v>
      </c>
      <c r="E1175" s="35">
        <v>4.0999999999999996</v>
      </c>
      <c r="F1175" s="35">
        <v>3.1</v>
      </c>
      <c r="G1175" s="16" t="s">
        <v>44</v>
      </c>
      <c r="H1175" s="16" t="s">
        <v>45</v>
      </c>
      <c r="I1175" s="16">
        <f>COUNTIF(G$5:G1175,"Y")/COUNTA(G$5:G1175)</f>
        <v>0.87873612297181891</v>
      </c>
      <c r="J1175" s="16">
        <f>COUNTIF(H$5:H1175,"Y")/COUNTA(H$5:H1175)</f>
        <v>4.9530315969257048E-2</v>
      </c>
      <c r="K1175" s="16">
        <f>AVERAGE(F$5:F1175)</f>
        <v>2.221093082835182</v>
      </c>
      <c r="L1175" s="16">
        <f>SUM(F$5:F1175)/SUM(E$5:E1175)</f>
        <v>0.75823567138942349</v>
      </c>
    </row>
    <row r="1176" spans="1:12" x14ac:dyDescent="0.25">
      <c r="A1176" s="29">
        <v>45817</v>
      </c>
      <c r="B1176" s="16" t="s">
        <v>1222</v>
      </c>
      <c r="C1176" s="34">
        <v>1</v>
      </c>
      <c r="D1176" s="16" t="s">
        <v>52</v>
      </c>
      <c r="E1176" s="35">
        <v>2.2999999999999998</v>
      </c>
      <c r="F1176" s="35">
        <v>1.8</v>
      </c>
      <c r="G1176" s="16" t="s">
        <v>45</v>
      </c>
      <c r="H1176" s="16" t="s">
        <v>45</v>
      </c>
      <c r="I1176" s="16">
        <f>COUNTIF(G$5:G1176,"Y")/COUNTA(G$5:G1176)</f>
        <v>0.87798634812286691</v>
      </c>
      <c r="J1176" s="16">
        <f>COUNTIF(H$5:H1176,"Y")/COUNTA(H$5:H1176)</f>
        <v>4.9488054607508533E-2</v>
      </c>
      <c r="K1176" s="16">
        <f>AVERAGE(F$5:F1176)</f>
        <v>2.2207337883959033</v>
      </c>
      <c r="L1176" s="16">
        <f>SUM(F$5:F1176)/SUM(E$5:E1176)</f>
        <v>0.75825200291332862</v>
      </c>
    </row>
    <row r="1177" spans="1:12" x14ac:dyDescent="0.25">
      <c r="A1177" s="29">
        <v>45818</v>
      </c>
      <c r="B1177" s="16" t="s">
        <v>1223</v>
      </c>
      <c r="C1177" s="34">
        <v>1</v>
      </c>
      <c r="D1177" s="16" t="s">
        <v>56</v>
      </c>
      <c r="E1177" s="35">
        <v>3.1</v>
      </c>
      <c r="F1177" s="35">
        <v>2.2000000000000002</v>
      </c>
      <c r="G1177" s="16" t="s">
        <v>44</v>
      </c>
      <c r="H1177" s="16" t="s">
        <v>45</v>
      </c>
      <c r="I1177" s="16">
        <f>COUNTIF(G$5:G1177,"Y")/COUNTA(G$5:G1177)</f>
        <v>0.87809036658141515</v>
      </c>
      <c r="J1177" s="16">
        <f>COUNTIF(H$5:H1177,"Y")/COUNTA(H$5:H1177)</f>
        <v>4.9445865302642798E-2</v>
      </c>
      <c r="K1177" s="16">
        <f>AVERAGE(F$5:F1177)</f>
        <v>2.2207161125319677</v>
      </c>
      <c r="L1177" s="16">
        <f>SUM(F$5:F1177)/SUM(E$5:E1177)</f>
        <v>0.75820817324484813</v>
      </c>
    </row>
    <row r="1178" spans="1:12" x14ac:dyDescent="0.25">
      <c r="A1178" s="29">
        <v>45819</v>
      </c>
      <c r="B1178" s="16" t="s">
        <v>1224</v>
      </c>
      <c r="C1178" s="34">
        <v>1</v>
      </c>
      <c r="D1178" s="16" t="s">
        <v>52</v>
      </c>
      <c r="E1178" s="35">
        <v>4</v>
      </c>
      <c r="F1178" s="35">
        <v>3.1</v>
      </c>
      <c r="G1178" s="16" t="s">
        <v>44</v>
      </c>
      <c r="H1178" s="16" t="s">
        <v>45</v>
      </c>
      <c r="I1178" s="16">
        <f>COUNTIF(G$5:G1178,"Y")/COUNTA(G$5:G1178)</f>
        <v>0.87819420783645652</v>
      </c>
      <c r="J1178" s="16">
        <f>COUNTIF(H$5:H1178,"Y")/COUNTA(H$5:H1178)</f>
        <v>4.9403747870528106E-2</v>
      </c>
      <c r="K1178" s="16">
        <f>AVERAGE(F$5:F1178)</f>
        <v>2.2214650766609867</v>
      </c>
      <c r="L1178" s="16">
        <f>SUM(F$5:F1178)/SUM(E$5:E1178)</f>
        <v>0.75822770089545311</v>
      </c>
    </row>
    <row r="1179" spans="1:12" x14ac:dyDescent="0.25">
      <c r="A1179" s="29">
        <v>45820</v>
      </c>
      <c r="B1179" s="16" t="s">
        <v>1225</v>
      </c>
      <c r="C1179" s="34">
        <v>1</v>
      </c>
      <c r="D1179" s="16" t="s">
        <v>56</v>
      </c>
      <c r="E1179" s="35">
        <v>2</v>
      </c>
      <c r="F1179" s="35">
        <v>1.6</v>
      </c>
      <c r="G1179" s="16" t="s">
        <v>44</v>
      </c>
      <c r="H1179" s="16" t="s">
        <v>45</v>
      </c>
      <c r="I1179" s="16">
        <f>COUNTIF(G$5:G1179,"Y")/COUNTA(G$5:G1179)</f>
        <v>0.87829787234042556</v>
      </c>
      <c r="J1179" s="16">
        <f>COUNTIF(H$5:H1179,"Y")/COUNTA(H$5:H1179)</f>
        <v>4.9361702127659578E-2</v>
      </c>
      <c r="K1179" s="16">
        <f>AVERAGE(F$5:F1179)</f>
        <v>2.2209361702127643</v>
      </c>
      <c r="L1179" s="16">
        <f>SUM(F$5:F1179)/SUM(E$5:E1179)</f>
        <v>0.75825197582519765</v>
      </c>
    </row>
    <row r="1180" spans="1:12" x14ac:dyDescent="0.25">
      <c r="A1180" s="29">
        <v>45821</v>
      </c>
      <c r="B1180" s="16" t="s">
        <v>1226</v>
      </c>
      <c r="C1180" s="34">
        <v>1</v>
      </c>
      <c r="D1180" s="16" t="s">
        <v>50</v>
      </c>
      <c r="E1180" s="35">
        <v>3.5</v>
      </c>
      <c r="F1180" s="35">
        <v>2.6</v>
      </c>
      <c r="G1180" s="16" t="s">
        <v>44</v>
      </c>
      <c r="H1180" s="16" t="s">
        <v>45</v>
      </c>
      <c r="I1180" s="16">
        <f>COUNTIF(G$5:G1180,"Y")/COUNTA(G$5:G1180)</f>
        <v>0.87840136054421769</v>
      </c>
      <c r="J1180" s="16">
        <f>COUNTIF(H$5:H1180,"Y")/COUNTA(H$5:H1180)</f>
        <v>4.9319727891156462E-2</v>
      </c>
      <c r="K1180" s="16">
        <f>AVERAGE(F$5:F1180)</f>
        <v>2.221258503401359</v>
      </c>
      <c r="L1180" s="16">
        <f>SUM(F$5:F1180)/SUM(E$5:E1180)</f>
        <v>0.75823633566514759</v>
      </c>
    </row>
    <row r="1181" spans="1:12" x14ac:dyDescent="0.25">
      <c r="A1181" s="29">
        <v>45817</v>
      </c>
      <c r="B1181" s="16" t="s">
        <v>1227</v>
      </c>
      <c r="C1181" s="34">
        <v>1</v>
      </c>
      <c r="D1181" s="16" t="s">
        <v>64</v>
      </c>
      <c r="E1181" s="35">
        <v>5</v>
      </c>
      <c r="F1181" s="35">
        <v>3.8</v>
      </c>
      <c r="G1181" s="16" t="s">
        <v>44</v>
      </c>
      <c r="H1181" s="16" t="s">
        <v>45</v>
      </c>
      <c r="I1181" s="16">
        <f>COUNTIF(G$5:G1181,"Y")/COUNTA(G$5:G1181)</f>
        <v>0.87850467289719625</v>
      </c>
      <c r="J1181" s="16">
        <f>COUNTIF(H$5:H1181,"Y")/COUNTA(H$5:H1181)</f>
        <v>4.9277824978759557E-2</v>
      </c>
      <c r="K1181" s="16">
        <f>AVERAGE(F$5:F1181)</f>
        <v>2.2225998300764642</v>
      </c>
      <c r="L1181" s="16">
        <f>SUM(F$5:F1181)/SUM(E$5:E1181)</f>
        <v>0.75823889162632974</v>
      </c>
    </row>
    <row r="1182" spans="1:12" x14ac:dyDescent="0.25">
      <c r="A1182" s="29">
        <v>45818</v>
      </c>
      <c r="B1182" s="16" t="s">
        <v>1228</v>
      </c>
      <c r="C1182" s="34">
        <v>1</v>
      </c>
      <c r="D1182" s="16" t="s">
        <v>64</v>
      </c>
      <c r="E1182" s="35">
        <v>2.1</v>
      </c>
      <c r="F1182" s="35">
        <v>1.7</v>
      </c>
      <c r="G1182" s="16" t="s">
        <v>44</v>
      </c>
      <c r="H1182" s="16" t="s">
        <v>45</v>
      </c>
      <c r="I1182" s="16">
        <f>COUNTIF(G$5:G1182,"Y")/COUNTA(G$5:G1182)</f>
        <v>0.87860780984719866</v>
      </c>
      <c r="J1182" s="16">
        <f>COUNTIF(H$5:H1182,"Y")/COUNTA(H$5:H1182)</f>
        <v>4.9235993208828523E-2</v>
      </c>
      <c r="K1182" s="16">
        <f>AVERAGE(F$5:F1182)</f>
        <v>2.2221561969439709</v>
      </c>
      <c r="L1182" s="16">
        <f>SUM(F$5:F1182)/SUM(E$5:E1182)</f>
        <v>0.7582700886391287</v>
      </c>
    </row>
    <row r="1183" spans="1:12" x14ac:dyDescent="0.25">
      <c r="A1183" s="29">
        <v>45819</v>
      </c>
      <c r="B1183" s="16" t="s">
        <v>1229</v>
      </c>
      <c r="C1183" s="34">
        <v>1</v>
      </c>
      <c r="D1183" s="16" t="s">
        <v>60</v>
      </c>
      <c r="E1183" s="35">
        <v>3</v>
      </c>
      <c r="F1183" s="35">
        <v>2.2000000000000002</v>
      </c>
      <c r="G1183" s="16" t="s">
        <v>44</v>
      </c>
      <c r="H1183" s="16" t="s">
        <v>45</v>
      </c>
      <c r="I1183" s="16">
        <f>COUNTIF(G$5:G1183,"Y")/COUNTA(G$5:G1183)</f>
        <v>0.8787107718405428</v>
      </c>
      <c r="J1183" s="16">
        <f>COUNTIF(H$5:H1183,"Y")/COUNTA(H$5:H1183)</f>
        <v>4.9194232400339273E-2</v>
      </c>
      <c r="K1183" s="16">
        <f>AVERAGE(F$5:F1183)</f>
        <v>2.2221374045801507</v>
      </c>
      <c r="L1183" s="16">
        <f>SUM(F$5:F1183)/SUM(E$5:E1183)</f>
        <v>0.75824843713822643</v>
      </c>
    </row>
    <row r="1184" spans="1:12" x14ac:dyDescent="0.25">
      <c r="A1184" s="29">
        <v>45820</v>
      </c>
      <c r="B1184" s="16" t="s">
        <v>1230</v>
      </c>
      <c r="C1184" s="34">
        <v>1</v>
      </c>
      <c r="D1184" s="16" t="s">
        <v>56</v>
      </c>
      <c r="E1184" s="35">
        <v>3</v>
      </c>
      <c r="F1184" s="35">
        <v>2.6</v>
      </c>
      <c r="G1184" s="16" t="s">
        <v>44</v>
      </c>
      <c r="H1184" s="16" t="s">
        <v>45</v>
      </c>
      <c r="I1184" s="16">
        <f>COUNTIF(G$5:G1184,"Y")/COUNTA(G$5:G1184)</f>
        <v>0.87881355932203387</v>
      </c>
      <c r="J1184" s="16">
        <f>COUNTIF(H$5:H1184,"Y")/COUNTA(H$5:H1184)</f>
        <v>4.9152542372881358E-2</v>
      </c>
      <c r="K1184" s="16">
        <f>AVERAGE(F$5:F1184)</f>
        <v>2.2224576271186423</v>
      </c>
      <c r="L1184" s="16">
        <f>SUM(F$5:F1184)/SUM(E$5:E1184)</f>
        <v>0.75834249031287948</v>
      </c>
    </row>
    <row r="1185" spans="1:12" x14ac:dyDescent="0.25">
      <c r="A1185" s="29">
        <v>45821</v>
      </c>
      <c r="B1185" s="16" t="s">
        <v>1231</v>
      </c>
      <c r="C1185" s="34">
        <v>1</v>
      </c>
      <c r="D1185" s="16" t="s">
        <v>43</v>
      </c>
      <c r="E1185" s="35">
        <v>2.8</v>
      </c>
      <c r="F1185" s="35">
        <v>2.2000000000000002</v>
      </c>
      <c r="G1185" s="16" t="s">
        <v>44</v>
      </c>
      <c r="H1185" s="16" t="s">
        <v>45</v>
      </c>
      <c r="I1185" s="16">
        <f>COUNTIF(G$5:G1185,"Y")/COUNTA(G$5:G1185)</f>
        <v>0.87891617273497036</v>
      </c>
      <c r="J1185" s="16">
        <f>COUNTIF(H$5:H1185,"Y")/COUNTA(H$5:H1185)</f>
        <v>4.9110922946655373E-2</v>
      </c>
      <c r="K1185" s="16">
        <f>AVERAGE(F$5:F1185)</f>
        <v>2.2224386113463148</v>
      </c>
      <c r="L1185" s="16">
        <f>SUM(F$5:F1185)/SUM(E$5:E1185)</f>
        <v>0.75836463449869973</v>
      </c>
    </row>
    <row r="1186" spans="1:12" x14ac:dyDescent="0.25">
      <c r="A1186" s="29">
        <v>45817</v>
      </c>
      <c r="B1186" s="16" t="s">
        <v>1232</v>
      </c>
      <c r="C1186" s="34">
        <v>1</v>
      </c>
      <c r="D1186" s="16" t="s">
        <v>52</v>
      </c>
      <c r="E1186" s="35">
        <v>2</v>
      </c>
      <c r="F1186" s="35">
        <v>1.6</v>
      </c>
      <c r="G1186" s="16" t="s">
        <v>45</v>
      </c>
      <c r="H1186" s="16" t="s">
        <v>45</v>
      </c>
      <c r="I1186" s="16">
        <f>COUNTIF(G$5:G1186,"Y")/COUNTA(G$5:G1186)</f>
        <v>0.87817258883248728</v>
      </c>
      <c r="J1186" s="16">
        <f>COUNTIF(H$5:H1186,"Y")/COUNTA(H$5:H1186)</f>
        <v>4.9069373942470386E-2</v>
      </c>
      <c r="K1186" s="16">
        <f>AVERAGE(F$5:F1186)</f>
        <v>2.221912013536377</v>
      </c>
      <c r="L1186" s="16">
        <f>SUM(F$5:F1186)/SUM(E$5:E1186)</f>
        <v>0.75838868033496953</v>
      </c>
    </row>
    <row r="1187" spans="1:12" x14ac:dyDescent="0.25">
      <c r="A1187" s="29">
        <v>45818</v>
      </c>
      <c r="B1187" s="16" t="s">
        <v>1233</v>
      </c>
      <c r="C1187" s="34">
        <v>1</v>
      </c>
      <c r="D1187" s="16" t="s">
        <v>56</v>
      </c>
      <c r="E1187" s="35">
        <v>4</v>
      </c>
      <c r="F1187" s="35">
        <v>2.8</v>
      </c>
      <c r="G1187" s="16" t="s">
        <v>44</v>
      </c>
      <c r="H1187" s="16" t="s">
        <v>45</v>
      </c>
      <c r="I1187" s="16">
        <f>COUNTIF(G$5:G1187,"Y")/COUNTA(G$5:G1187)</f>
        <v>0.87827557058326289</v>
      </c>
      <c r="J1187" s="16">
        <f>COUNTIF(H$5:H1187,"Y")/COUNTA(H$5:H1187)</f>
        <v>4.9027895181741332E-2</v>
      </c>
      <c r="K1187" s="16">
        <f>AVERAGE(F$5:F1187)</f>
        <v>2.2224006762468282</v>
      </c>
      <c r="L1187" s="16">
        <f>SUM(F$5:F1187)/SUM(E$5:E1187)</f>
        <v>0.75832131525814817</v>
      </c>
    </row>
    <row r="1188" spans="1:12" x14ac:dyDescent="0.25">
      <c r="A1188" s="29">
        <v>45819</v>
      </c>
      <c r="B1188" s="16" t="s">
        <v>1234</v>
      </c>
      <c r="C1188" s="34">
        <v>1</v>
      </c>
      <c r="D1188" s="16" t="s">
        <v>64</v>
      </c>
      <c r="E1188" s="35">
        <v>1.9</v>
      </c>
      <c r="F1188" s="35">
        <v>1.5</v>
      </c>
      <c r="G1188" s="16" t="s">
        <v>44</v>
      </c>
      <c r="H1188" s="16" t="s">
        <v>45</v>
      </c>
      <c r="I1188" s="16">
        <f>COUNTIF(G$5:G1188,"Y")/COUNTA(G$5:G1188)</f>
        <v>0.8783783783783784</v>
      </c>
      <c r="J1188" s="16">
        <f>COUNTIF(H$5:H1188,"Y")/COUNTA(H$5:H1188)</f>
        <v>4.8986486486486486E-2</v>
      </c>
      <c r="K1188" s="16">
        <f>AVERAGE(F$5:F1188)</f>
        <v>2.2217905405405385</v>
      </c>
      <c r="L1188" s="16">
        <f>SUM(F$5:F1188)/SUM(E$5:E1188)</f>
        <v>0.75833837816022365</v>
      </c>
    </row>
    <row r="1189" spans="1:12" x14ac:dyDescent="0.25">
      <c r="A1189" s="29">
        <v>45820</v>
      </c>
      <c r="B1189" s="16" t="s">
        <v>1235</v>
      </c>
      <c r="C1189" s="34">
        <v>1</v>
      </c>
      <c r="D1189" s="16" t="s">
        <v>60</v>
      </c>
      <c r="E1189" s="35">
        <v>4.7</v>
      </c>
      <c r="F1189" s="35">
        <v>3.3</v>
      </c>
      <c r="G1189" s="16" t="s">
        <v>44</v>
      </c>
      <c r="H1189" s="16" t="s">
        <v>44</v>
      </c>
      <c r="I1189" s="16">
        <f>COUNTIF(G$5:G1189,"Y")/COUNTA(G$5:G1189)</f>
        <v>0.87848101265822787</v>
      </c>
      <c r="J1189" s="16">
        <f>COUNTIF(H$5:H1189,"Y")/COUNTA(H$5:H1189)</f>
        <v>4.9789029535864976E-2</v>
      </c>
      <c r="K1189" s="16">
        <f>AVERAGE(F$5:F1189)</f>
        <v>2.2227004219409263</v>
      </c>
      <c r="L1189" s="16">
        <f>SUM(F$5:F1189)/SUM(E$5:E1189)</f>
        <v>0.75826232151082451</v>
      </c>
    </row>
    <row r="1190" spans="1:12" x14ac:dyDescent="0.25">
      <c r="A1190" s="29">
        <v>45821</v>
      </c>
      <c r="B1190" s="16" t="s">
        <v>1236</v>
      </c>
      <c r="C1190" s="34">
        <v>1</v>
      </c>
      <c r="D1190" s="16" t="s">
        <v>56</v>
      </c>
      <c r="E1190" s="35">
        <v>3.6</v>
      </c>
      <c r="F1190" s="35">
        <v>2.8</v>
      </c>
      <c r="G1190" s="16" t="s">
        <v>44</v>
      </c>
      <c r="H1190" s="16" t="s">
        <v>45</v>
      </c>
      <c r="I1190" s="16">
        <f>COUNTIF(G$5:G1190,"Y")/COUNTA(G$5:G1190)</f>
        <v>0.87858347386172009</v>
      </c>
      <c r="J1190" s="16">
        <f>COUNTIF(H$5:H1190,"Y")/COUNTA(H$5:H1190)</f>
        <v>4.9747048903878585E-2</v>
      </c>
      <c r="K1190" s="16">
        <f>AVERAGE(F$5:F1190)</f>
        <v>2.2231871838111283</v>
      </c>
      <c r="L1190" s="16">
        <f>SUM(F$5:F1190)/SUM(E$5:E1190)</f>
        <v>0.75828252617048209</v>
      </c>
    </row>
    <row r="1191" spans="1:12" x14ac:dyDescent="0.25">
      <c r="A1191" s="29">
        <v>45817</v>
      </c>
      <c r="B1191" s="16" t="s">
        <v>1237</v>
      </c>
      <c r="C1191" s="34">
        <v>1</v>
      </c>
      <c r="D1191" s="16" t="s">
        <v>50</v>
      </c>
      <c r="E1191" s="35">
        <v>4.3</v>
      </c>
      <c r="F1191" s="35">
        <v>3.6</v>
      </c>
      <c r="G1191" s="16" t="s">
        <v>44</v>
      </c>
      <c r="H1191" s="16" t="s">
        <v>45</v>
      </c>
      <c r="I1191" s="16">
        <f>COUNTIF(G$5:G1191,"Y")/COUNTA(G$5:G1191)</f>
        <v>0.87868576242628471</v>
      </c>
      <c r="J1191" s="16">
        <f>COUNTIF(H$5:H1191,"Y")/COUNTA(H$5:H1191)</f>
        <v>4.9705139005897223E-2</v>
      </c>
      <c r="K1191" s="16">
        <f>AVERAGE(F$5:F1191)</f>
        <v>2.2243470935130563</v>
      </c>
      <c r="L1191" s="16">
        <f>SUM(F$5:F1191)/SUM(E$5:E1191)</f>
        <v>0.75838000861697541</v>
      </c>
    </row>
    <row r="1192" spans="1:12" x14ac:dyDescent="0.25">
      <c r="A1192" s="29">
        <v>45818</v>
      </c>
      <c r="B1192" s="16" t="s">
        <v>1238</v>
      </c>
      <c r="C1192" s="34">
        <v>1</v>
      </c>
      <c r="D1192" s="16" t="s">
        <v>47</v>
      </c>
      <c r="E1192" s="35">
        <v>3.4</v>
      </c>
      <c r="F1192" s="35">
        <v>2.9</v>
      </c>
      <c r="G1192" s="16" t="s">
        <v>44</v>
      </c>
      <c r="H1192" s="16" t="s">
        <v>45</v>
      </c>
      <c r="I1192" s="16">
        <f>COUNTIF(G$5:G1192,"Y")/COUNTA(G$5:G1192)</f>
        <v>0.87878787878787878</v>
      </c>
      <c r="J1192" s="16">
        <f>COUNTIF(H$5:H1192,"Y")/COUNTA(H$5:H1192)</f>
        <v>4.9663299663299666E-2</v>
      </c>
      <c r="K1192" s="16">
        <f>AVERAGE(F$5:F1192)</f>
        <v>2.2249158249158234</v>
      </c>
      <c r="L1192" s="16">
        <f>SUM(F$5:F1192)/SUM(E$5:E1192)</f>
        <v>0.7584722660621539</v>
      </c>
    </row>
    <row r="1193" spans="1:12" x14ac:dyDescent="0.25">
      <c r="A1193" s="29">
        <v>45819</v>
      </c>
      <c r="B1193" s="16" t="s">
        <v>1239</v>
      </c>
      <c r="C1193" s="34">
        <v>1</v>
      </c>
      <c r="D1193" s="16" t="s">
        <v>60</v>
      </c>
      <c r="E1193" s="35">
        <v>2.2000000000000002</v>
      </c>
      <c r="F1193" s="35">
        <v>1.9</v>
      </c>
      <c r="G1193" s="16" t="s">
        <v>44</v>
      </c>
      <c r="H1193" s="16" t="s">
        <v>45</v>
      </c>
      <c r="I1193" s="16">
        <f>COUNTIF(G$5:G1193,"Y")/COUNTA(G$5:G1193)</f>
        <v>0.87888982338099242</v>
      </c>
      <c r="J1193" s="16">
        <f>COUNTIF(H$5:H1193,"Y")/COUNTA(H$5:H1193)</f>
        <v>4.9621530698065602E-2</v>
      </c>
      <c r="K1193" s="16">
        <f>AVERAGE(F$5:F1193)</f>
        <v>2.2246425567703936</v>
      </c>
      <c r="L1193" s="16">
        <f>SUM(F$5:F1193)/SUM(E$5:E1193)</f>
        <v>0.75853861374781339</v>
      </c>
    </row>
    <row r="1194" spans="1:12" x14ac:dyDescent="0.25">
      <c r="A1194" s="29">
        <v>45820</v>
      </c>
      <c r="B1194" s="16" t="s">
        <v>1240</v>
      </c>
      <c r="C1194" s="34">
        <v>1</v>
      </c>
      <c r="D1194" s="16" t="s">
        <v>60</v>
      </c>
      <c r="E1194" s="35">
        <v>0.6</v>
      </c>
      <c r="F1194" s="35">
        <v>0.5</v>
      </c>
      <c r="G1194" s="16" t="s">
        <v>44</v>
      </c>
      <c r="H1194" s="16" t="s">
        <v>45</v>
      </c>
      <c r="I1194" s="16">
        <f>COUNTIF(G$5:G1194,"Y")/COUNTA(G$5:G1194)</f>
        <v>0.87899159663865545</v>
      </c>
      <c r="J1194" s="16">
        <f>COUNTIF(H$5:H1194,"Y")/COUNTA(H$5:H1194)</f>
        <v>4.9579831932773107E-2</v>
      </c>
      <c r="K1194" s="16">
        <f>AVERAGE(F$5:F1194)</f>
        <v>2.2231932773109229</v>
      </c>
      <c r="L1194" s="16">
        <f>SUM(F$5:F1194)/SUM(E$5:E1194)</f>
        <v>0.7585514809186571</v>
      </c>
    </row>
    <row r="1195" spans="1:12" x14ac:dyDescent="0.25">
      <c r="A1195" s="29">
        <v>45821</v>
      </c>
      <c r="B1195" s="16" t="s">
        <v>1241</v>
      </c>
      <c r="C1195" s="34">
        <v>1</v>
      </c>
      <c r="D1195" s="16" t="s">
        <v>64</v>
      </c>
      <c r="E1195" s="35">
        <v>0.6</v>
      </c>
      <c r="F1195" s="35">
        <v>0.5</v>
      </c>
      <c r="G1195" s="16" t="s">
        <v>44</v>
      </c>
      <c r="H1195" s="16" t="s">
        <v>45</v>
      </c>
      <c r="I1195" s="16">
        <f>COUNTIF(G$5:G1195,"Y")/COUNTA(G$5:G1195)</f>
        <v>0.87909319899244331</v>
      </c>
      <c r="J1195" s="16">
        <f>COUNTIF(H$5:H1195,"Y")/COUNTA(H$5:H1195)</f>
        <v>4.9538203190596139E-2</v>
      </c>
      <c r="K1195" s="16">
        <f>AVERAGE(F$5:F1195)</f>
        <v>2.2217464315701076</v>
      </c>
      <c r="L1195" s="16">
        <f>SUM(F$5:F1195)/SUM(E$5:E1195)</f>
        <v>0.75856434366310244</v>
      </c>
    </row>
    <row r="1196" spans="1:12" x14ac:dyDescent="0.25">
      <c r="A1196" s="29">
        <v>45817</v>
      </c>
      <c r="B1196" s="16" t="s">
        <v>1242</v>
      </c>
      <c r="C1196" s="34">
        <v>1</v>
      </c>
      <c r="D1196" s="16" t="s">
        <v>47</v>
      </c>
      <c r="E1196" s="35">
        <v>0.6</v>
      </c>
      <c r="F1196" s="35">
        <v>0.5</v>
      </c>
      <c r="G1196" s="16" t="s">
        <v>44</v>
      </c>
      <c r="H1196" s="16" t="s">
        <v>45</v>
      </c>
      <c r="I1196" s="16">
        <f>COUNTIF(G$5:G1196,"Y")/COUNTA(G$5:G1196)</f>
        <v>0.87919463087248317</v>
      </c>
      <c r="J1196" s="16">
        <f>COUNTIF(H$5:H1196,"Y")/COUNTA(H$5:H1196)</f>
        <v>4.9496644295302011E-2</v>
      </c>
      <c r="K1196" s="16">
        <f>AVERAGE(F$5:F1196)</f>
        <v>2.2203020134228173</v>
      </c>
      <c r="L1196" s="16">
        <f>SUM(F$5:F1196)/SUM(E$5:E1196)</f>
        <v>0.75857720198343326</v>
      </c>
    </row>
    <row r="1197" spans="1:12" x14ac:dyDescent="0.25">
      <c r="A1197" s="29">
        <v>45818</v>
      </c>
      <c r="B1197" s="16" t="s">
        <v>1243</v>
      </c>
      <c r="C1197" s="34">
        <v>1</v>
      </c>
      <c r="D1197" s="16" t="s">
        <v>56</v>
      </c>
      <c r="E1197" s="35">
        <v>0.7</v>
      </c>
      <c r="F1197" s="35">
        <v>0.5</v>
      </c>
      <c r="G1197" s="16" t="s">
        <v>44</v>
      </c>
      <c r="H1197" s="16" t="s">
        <v>45</v>
      </c>
      <c r="I1197" s="16">
        <f>COUNTIF(G$5:G1197,"Y")/COUNTA(G$5:G1197)</f>
        <v>0.87929589270746022</v>
      </c>
      <c r="J1197" s="16">
        <f>COUNTIF(H$5:H1197,"Y")/COUNTA(H$5:H1197)</f>
        <v>4.9455155071248952E-2</v>
      </c>
      <c r="K1197" s="16">
        <f>AVERAGE(F$5:F1197)</f>
        <v>2.2188600167644577</v>
      </c>
      <c r="L1197" s="16">
        <f>SUM(F$5:F1197)/SUM(E$5:E1197)</f>
        <v>0.758568317285649</v>
      </c>
    </row>
    <row r="1198" spans="1:12" x14ac:dyDescent="0.25">
      <c r="A1198" s="29">
        <v>45819</v>
      </c>
      <c r="B1198" s="16" t="s">
        <v>1244</v>
      </c>
      <c r="C1198" s="34">
        <v>1</v>
      </c>
      <c r="D1198" s="16" t="s">
        <v>50</v>
      </c>
      <c r="E1198" s="35">
        <v>0.6</v>
      </c>
      <c r="F1198" s="35">
        <v>0.5</v>
      </c>
      <c r="G1198" s="16" t="s">
        <v>45</v>
      </c>
      <c r="H1198" s="16" t="s">
        <v>45</v>
      </c>
      <c r="I1198" s="16">
        <f>COUNTIF(G$5:G1198,"Y")/COUNTA(G$5:G1198)</f>
        <v>0.87855946398659968</v>
      </c>
      <c r="J1198" s="16">
        <f>COUNTIF(H$5:H1198,"Y")/COUNTA(H$5:H1198)</f>
        <v>4.9413735343383586E-2</v>
      </c>
      <c r="K1198" s="16">
        <f>AVERAGE(F$5:F1198)</f>
        <v>2.2174204355108862</v>
      </c>
      <c r="L1198" s="16">
        <f>SUM(F$5:F1198)/SUM(E$5:E1198)</f>
        <v>0.75858117013351689</v>
      </c>
    </row>
    <row r="1199" spans="1:12" x14ac:dyDescent="0.25">
      <c r="A1199" s="29">
        <v>45820</v>
      </c>
      <c r="B1199" s="16" t="s">
        <v>1245</v>
      </c>
      <c r="C1199" s="34">
        <v>1</v>
      </c>
      <c r="D1199" s="16" t="s">
        <v>52</v>
      </c>
      <c r="E1199" s="35">
        <v>0.7</v>
      </c>
      <c r="F1199" s="35">
        <v>0.5</v>
      </c>
      <c r="G1199" s="16" t="s">
        <v>44</v>
      </c>
      <c r="H1199" s="16" t="s">
        <v>44</v>
      </c>
      <c r="I1199" s="16">
        <f>COUNTIF(G$5:G1199,"Y")/COUNTA(G$5:G1199)</f>
        <v>0.87866108786610875</v>
      </c>
      <c r="J1199" s="16">
        <f>COUNTIF(H$5:H1199,"Y")/COUNTA(H$5:H1199)</f>
        <v>5.0209205020920501E-2</v>
      </c>
      <c r="K1199" s="16">
        <f>AVERAGE(F$5:F1199)</f>
        <v>2.215983263598325</v>
      </c>
      <c r="L1199" s="16">
        <f>SUM(F$5:F1199)/SUM(E$5:E1199)</f>
        <v>0.75857228794866671</v>
      </c>
    </row>
    <row r="1200" spans="1:12" x14ac:dyDescent="0.25">
      <c r="A1200" s="29">
        <v>45821</v>
      </c>
      <c r="B1200" s="16" t="s">
        <v>1246</v>
      </c>
      <c r="C1200" s="34">
        <v>1</v>
      </c>
      <c r="D1200" s="16" t="s">
        <v>56</v>
      </c>
      <c r="E1200" s="35">
        <v>0.7</v>
      </c>
      <c r="F1200" s="35">
        <v>0.5</v>
      </c>
      <c r="G1200" s="16" t="s">
        <v>44</v>
      </c>
      <c r="H1200" s="16" t="s">
        <v>45</v>
      </c>
      <c r="I1200" s="16">
        <f>COUNTIF(G$5:G1200,"Y")/COUNTA(G$5:G1200)</f>
        <v>0.87876254180602009</v>
      </c>
      <c r="J1200" s="16">
        <f>COUNTIF(H$5:H1200,"Y")/COUNTA(H$5:H1200)</f>
        <v>5.016722408026756E-2</v>
      </c>
      <c r="K1200" s="16">
        <f>AVERAGE(F$5:F1200)</f>
        <v>2.2145484949832759</v>
      </c>
      <c r="L1200" s="16">
        <f>SUM(F$5:F1200)/SUM(E$5:E1200)</f>
        <v>0.75856340932523803</v>
      </c>
    </row>
    <row r="1201" spans="1:13" x14ac:dyDescent="0.25">
      <c r="A1201" s="29">
        <v>45817</v>
      </c>
      <c r="B1201" s="16" t="s">
        <v>1247</v>
      </c>
      <c r="C1201" s="34">
        <v>1</v>
      </c>
      <c r="D1201" s="16" t="s">
        <v>64</v>
      </c>
      <c r="E1201" s="35">
        <v>0.7</v>
      </c>
      <c r="F1201" s="35">
        <v>0.5</v>
      </c>
      <c r="G1201" s="16" t="s">
        <v>44</v>
      </c>
      <c r="H1201" s="16" t="s">
        <v>45</v>
      </c>
      <c r="I1201" s="16">
        <f>COUNTIF(G$5:G1201,"Y")/COUNTA(G$5:G1201)</f>
        <v>0.87886382623224724</v>
      </c>
      <c r="J1201" s="16">
        <f>COUNTIF(H$5:H1201,"Y")/COUNTA(H$5:H1201)</f>
        <v>5.0125313283208017E-2</v>
      </c>
      <c r="K1201" s="16">
        <f>AVERAGE(F$5:F1201)</f>
        <v>2.2131161236424379</v>
      </c>
      <c r="L1201" s="16">
        <f>SUM(F$5:F1201)/SUM(E$5:E1201)</f>
        <v>0.75855453426108899</v>
      </c>
    </row>
    <row r="1202" spans="1:13" x14ac:dyDescent="0.25">
      <c r="A1202" s="29">
        <v>45818</v>
      </c>
      <c r="B1202" s="16" t="s">
        <v>1248</v>
      </c>
      <c r="C1202" s="34">
        <v>1</v>
      </c>
      <c r="D1202" s="16" t="s">
        <v>47</v>
      </c>
      <c r="E1202" s="35">
        <v>0.6</v>
      </c>
      <c r="F1202" s="35">
        <v>0.5</v>
      </c>
      <c r="G1202" s="16" t="s">
        <v>45</v>
      </c>
      <c r="H1202" s="16" t="s">
        <v>45</v>
      </c>
      <c r="I1202" s="16">
        <f>COUNTIF(G$5:G1202,"Y")/COUNTA(G$5:G1202)</f>
        <v>0.87813021702838068</v>
      </c>
      <c r="J1202" s="16">
        <f>COUNTIF(H$5:H1202,"Y")/COUNTA(H$5:H1202)</f>
        <v>5.0083472454090151E-2</v>
      </c>
      <c r="K1202" s="16">
        <f>AVERAGE(F$5:F1202)</f>
        <v>2.2116861435726194</v>
      </c>
      <c r="L1202" s="16">
        <f>SUM(F$5:F1202)/SUM(E$5:E1202)</f>
        <v>0.75856737954135567</v>
      </c>
      <c r="M1202" s="16">
        <v>12</v>
      </c>
    </row>
    <row r="1203" spans="1:13" x14ac:dyDescent="0.25">
      <c r="A1203" s="29">
        <v>45824</v>
      </c>
      <c r="B1203" s="16" t="s">
        <v>1249</v>
      </c>
      <c r="C1203" s="34">
        <v>1</v>
      </c>
      <c r="D1203" s="16" t="s">
        <v>52</v>
      </c>
      <c r="E1203" s="35">
        <v>4.5</v>
      </c>
      <c r="F1203" s="35">
        <v>3</v>
      </c>
      <c r="G1203" s="16" t="s">
        <v>44</v>
      </c>
      <c r="H1203" s="16" t="s">
        <v>45</v>
      </c>
      <c r="I1203" s="16">
        <f>COUNTIF(G$5:G1203,"Y")/COUNTA(G$5:G1203)</f>
        <v>0.87823185988323604</v>
      </c>
      <c r="J1203" s="16">
        <f>COUNTIF(H$5:H1203,"Y")/COUNTA(H$5:H1203)</f>
        <v>5.0041701417848208E-2</v>
      </c>
      <c r="K1203" s="16">
        <f>AVERAGE(F$5:F1203)</f>
        <v>2.2123436196830677</v>
      </c>
      <c r="L1203" s="16">
        <f>SUM(F$5:F1203)/SUM(E$5:E1203)</f>
        <v>0.75844913364213451</v>
      </c>
    </row>
    <row r="1204" spans="1:13" x14ac:dyDescent="0.25">
      <c r="A1204" s="29">
        <v>45825</v>
      </c>
      <c r="B1204" s="16" t="s">
        <v>1250</v>
      </c>
      <c r="C1204" s="34">
        <v>1</v>
      </c>
      <c r="D1204" s="16" t="s">
        <v>47</v>
      </c>
      <c r="E1204" s="35">
        <v>2.7</v>
      </c>
      <c r="F1204" s="35">
        <v>2.1</v>
      </c>
      <c r="G1204" s="16" t="s">
        <v>44</v>
      </c>
      <c r="H1204" s="16" t="s">
        <v>45</v>
      </c>
      <c r="I1204" s="16">
        <f>COUNTIF(G$5:G1204,"Y")/COUNTA(G$5:G1204)</f>
        <v>0.8783333333333333</v>
      </c>
      <c r="J1204" s="16">
        <f>COUNTIF(H$5:H1204,"Y")/COUNTA(H$5:H1204)</f>
        <v>0.05</v>
      </c>
      <c r="K1204" s="16">
        <f>AVERAGE(F$5:F1204)</f>
        <v>2.2122499999999983</v>
      </c>
      <c r="L1204" s="16">
        <f>SUM(F$5:F1204)/SUM(E$5:E1204)</f>
        <v>0.75846404388446076</v>
      </c>
    </row>
    <row r="1205" spans="1:13" x14ac:dyDescent="0.25">
      <c r="A1205" s="29">
        <v>45826</v>
      </c>
      <c r="B1205" s="16" t="s">
        <v>1251</v>
      </c>
      <c r="C1205" s="34">
        <v>1</v>
      </c>
      <c r="D1205" s="16" t="s">
        <v>64</v>
      </c>
      <c r="E1205" s="35">
        <v>3.3</v>
      </c>
      <c r="F1205" s="35">
        <v>2.2000000000000002</v>
      </c>
      <c r="G1205" s="16" t="s">
        <v>44</v>
      </c>
      <c r="H1205" s="16" t="s">
        <v>45</v>
      </c>
      <c r="I1205" s="16">
        <f>COUNTIF(G$5:G1205,"Y")/COUNTA(G$5:G1205)</f>
        <v>0.87843463780183184</v>
      </c>
      <c r="J1205" s="16">
        <f>COUNTIF(H$5:H1205,"Y")/COUNTA(H$5:H1205)</f>
        <v>4.995836802664446E-2</v>
      </c>
      <c r="K1205" s="16">
        <f>AVERAGE(F$5:F1205)</f>
        <v>2.2122398001665262</v>
      </c>
      <c r="L1205" s="16">
        <f>SUM(F$5:F1205)/SUM(E$5:E1205)</f>
        <v>0.75837757606896183</v>
      </c>
    </row>
    <row r="1206" spans="1:13" x14ac:dyDescent="0.25">
      <c r="A1206" s="29">
        <v>45827</v>
      </c>
      <c r="B1206" s="16" t="s">
        <v>1252</v>
      </c>
      <c r="C1206" s="34">
        <v>1</v>
      </c>
      <c r="D1206" s="16" t="s">
        <v>60</v>
      </c>
      <c r="E1206" s="35">
        <v>5</v>
      </c>
      <c r="F1206" s="35">
        <v>3.3</v>
      </c>
      <c r="G1206" s="16" t="s">
        <v>44</v>
      </c>
      <c r="H1206" s="16" t="s">
        <v>45</v>
      </c>
      <c r="I1206" s="16">
        <f>COUNTIF(G$5:G1206,"Y")/COUNTA(G$5:G1206)</f>
        <v>0.87853577371048253</v>
      </c>
      <c r="J1206" s="16">
        <f>COUNTIF(H$5:H1206,"Y")/COUNTA(H$5:H1206)</f>
        <v>4.9916805324459232E-2</v>
      </c>
      <c r="K1206" s="16">
        <f>AVERAGE(F$5:F1206)</f>
        <v>2.2131447587354391</v>
      </c>
      <c r="L1206" s="16">
        <f>SUM(F$5:F1206)/SUM(E$5:E1206)</f>
        <v>0.75823737316155537</v>
      </c>
    </row>
    <row r="1207" spans="1:13" x14ac:dyDescent="0.25">
      <c r="A1207" s="29">
        <v>45828</v>
      </c>
      <c r="B1207" s="16" t="s">
        <v>1253</v>
      </c>
      <c r="C1207" s="34">
        <v>1</v>
      </c>
      <c r="D1207" s="16" t="s">
        <v>52</v>
      </c>
      <c r="E1207" s="35">
        <v>2.5</v>
      </c>
      <c r="F1207" s="35">
        <v>1.7</v>
      </c>
      <c r="G1207" s="16" t="s">
        <v>44</v>
      </c>
      <c r="H1207" s="16" t="s">
        <v>45</v>
      </c>
      <c r="I1207" s="16">
        <f>COUNTIF(G$5:G1207,"Y")/COUNTA(G$5:G1207)</f>
        <v>0.87863674147963422</v>
      </c>
      <c r="J1207" s="16">
        <f>COUNTIF(H$5:H1207,"Y")/COUNTA(H$5:H1207)</f>
        <v>4.9875311720698257E-2</v>
      </c>
      <c r="K1207" s="16">
        <f>AVERAGE(F$5:F1207)</f>
        <v>2.2127182044887763</v>
      </c>
      <c r="L1207" s="16">
        <f>SUM(F$5:F1207)/SUM(E$5:E1207)</f>
        <v>0.75818166282149901</v>
      </c>
    </row>
    <row r="1208" spans="1:13" x14ac:dyDescent="0.25">
      <c r="A1208" s="29">
        <v>45824</v>
      </c>
      <c r="B1208" s="16" t="s">
        <v>1254</v>
      </c>
      <c r="C1208" s="34">
        <v>1</v>
      </c>
      <c r="D1208" s="16" t="s">
        <v>60</v>
      </c>
      <c r="E1208" s="35">
        <v>1.6</v>
      </c>
      <c r="F1208" s="35">
        <v>1.3</v>
      </c>
      <c r="G1208" s="16" t="s">
        <v>44</v>
      </c>
      <c r="H1208" s="16" t="s">
        <v>45</v>
      </c>
      <c r="I1208" s="16">
        <f>COUNTIF(G$5:G1208,"Y")/COUNTA(G$5:G1208)</f>
        <v>0.87873754152823924</v>
      </c>
      <c r="J1208" s="16">
        <f>COUNTIF(H$5:H1208,"Y")/COUNTA(H$5:H1208)</f>
        <v>4.9833887043189369E-2</v>
      </c>
      <c r="K1208" s="16">
        <f>AVERAGE(F$5:F1208)</f>
        <v>2.211960132890364</v>
      </c>
      <c r="L1208" s="16">
        <f>SUM(F$5:F1208)/SUM(E$5:E1208)</f>
        <v>0.75820640569395048</v>
      </c>
    </row>
    <row r="1209" spans="1:13" x14ac:dyDescent="0.25">
      <c r="A1209" s="29">
        <v>45825</v>
      </c>
      <c r="B1209" s="16" t="s">
        <v>1255</v>
      </c>
      <c r="C1209" s="34">
        <v>1</v>
      </c>
      <c r="D1209" s="16" t="s">
        <v>50</v>
      </c>
      <c r="E1209" s="35">
        <v>4.0999999999999996</v>
      </c>
      <c r="F1209" s="35">
        <v>3</v>
      </c>
      <c r="G1209" s="16" t="s">
        <v>44</v>
      </c>
      <c r="H1209" s="16" t="s">
        <v>44</v>
      </c>
      <c r="I1209" s="16">
        <f>COUNTIF(G$5:G1209,"Y")/COUNTA(G$5:G1209)</f>
        <v>0.87883817427385891</v>
      </c>
      <c r="J1209" s="16">
        <f>COUNTIF(H$5:H1209,"Y")/COUNTA(H$5:H1209)</f>
        <v>5.062240663900415E-2</v>
      </c>
      <c r="K1209" s="16">
        <f>AVERAGE(F$5:F1209)</f>
        <v>2.212614107883816</v>
      </c>
      <c r="L1209" s="16">
        <f>SUM(F$5:F1209)/SUM(E$5:E1209)</f>
        <v>0.75817551043621711</v>
      </c>
    </row>
    <row r="1210" spans="1:13" x14ac:dyDescent="0.25">
      <c r="A1210" s="29">
        <v>45826</v>
      </c>
      <c r="B1210" s="16" t="s">
        <v>1256</v>
      </c>
      <c r="C1210" s="34">
        <v>1</v>
      </c>
      <c r="D1210" s="16" t="s">
        <v>50</v>
      </c>
      <c r="E1210" s="35">
        <v>2.2999999999999998</v>
      </c>
      <c r="F1210" s="35">
        <v>1.7</v>
      </c>
      <c r="G1210" s="16" t="s">
        <v>44</v>
      </c>
      <c r="H1210" s="16" t="s">
        <v>45</v>
      </c>
      <c r="I1210" s="16">
        <f>COUNTIF(G$5:G1210,"Y")/COUNTA(G$5:G1210)</f>
        <v>0.87893864013266998</v>
      </c>
      <c r="J1210" s="16">
        <f>COUNTIF(H$5:H1210,"Y")/COUNTA(H$5:H1210)</f>
        <v>5.0580431177446102E-2</v>
      </c>
      <c r="K1210" s="16">
        <f>AVERAGE(F$5:F1210)</f>
        <v>2.2121890547263665</v>
      </c>
      <c r="L1210" s="16">
        <f>SUM(F$5:F1210)/SUM(E$5:E1210)</f>
        <v>0.75816306232061181</v>
      </c>
    </row>
    <row r="1211" spans="1:13" x14ac:dyDescent="0.25">
      <c r="A1211" s="29">
        <v>45827</v>
      </c>
      <c r="B1211" s="16" t="s">
        <v>1257</v>
      </c>
      <c r="C1211" s="34">
        <v>1</v>
      </c>
      <c r="D1211" s="16" t="s">
        <v>47</v>
      </c>
      <c r="E1211" s="35">
        <v>2</v>
      </c>
      <c r="F1211" s="35">
        <v>1.6</v>
      </c>
      <c r="G1211" s="16" t="s">
        <v>44</v>
      </c>
      <c r="H1211" s="16" t="s">
        <v>45</v>
      </c>
      <c r="I1211" s="16">
        <f>COUNTIF(G$5:G1211,"Y")/COUNTA(G$5:G1211)</f>
        <v>0.87903893951946976</v>
      </c>
      <c r="J1211" s="16">
        <f>COUNTIF(H$5:H1211,"Y")/COUNTA(H$5:H1211)</f>
        <v>5.0538525269262634E-2</v>
      </c>
      <c r="K1211" s="16">
        <f>AVERAGE(F$5:F1211)</f>
        <v>2.2116818558409261</v>
      </c>
      <c r="L1211" s="16">
        <f>SUM(F$5:F1211)/SUM(E$5:E1211)</f>
        <v>0.75818682723167397</v>
      </c>
    </row>
    <row r="1212" spans="1:13" x14ac:dyDescent="0.25">
      <c r="A1212" s="29">
        <v>45828</v>
      </c>
      <c r="B1212" s="16" t="s">
        <v>1258</v>
      </c>
      <c r="C1212" s="34">
        <v>1</v>
      </c>
      <c r="D1212" s="16" t="s">
        <v>47</v>
      </c>
      <c r="E1212" s="35">
        <v>3.6</v>
      </c>
      <c r="F1212" s="35">
        <v>2.8</v>
      </c>
      <c r="G1212" s="16" t="s">
        <v>44</v>
      </c>
      <c r="H1212" s="16" t="s">
        <v>45</v>
      </c>
      <c r="I1212" s="16">
        <f>COUNTIF(G$5:G1212,"Y")/COUNTA(G$5:G1212)</f>
        <v>0.87913907284768211</v>
      </c>
      <c r="J1212" s="16">
        <f>COUNTIF(H$5:H1212,"Y")/COUNTA(H$5:H1212)</f>
        <v>5.0496688741721855E-2</v>
      </c>
      <c r="K1212" s="16">
        <f>AVERAGE(F$5:F1212)</f>
        <v>2.2121688741721837</v>
      </c>
      <c r="L1212" s="16">
        <f>SUM(F$5:F1212)/SUM(E$5:E1212)</f>
        <v>0.75820683784934062</v>
      </c>
    </row>
    <row r="1213" spans="1:13" x14ac:dyDescent="0.25">
      <c r="A1213" s="29">
        <v>45824</v>
      </c>
      <c r="B1213" s="16" t="s">
        <v>1259</v>
      </c>
      <c r="C1213" s="34">
        <v>1</v>
      </c>
      <c r="D1213" s="16" t="s">
        <v>47</v>
      </c>
      <c r="E1213" s="35">
        <v>3.7</v>
      </c>
      <c r="F1213" s="35">
        <v>2.8</v>
      </c>
      <c r="G1213" s="16" t="s">
        <v>44</v>
      </c>
      <c r="H1213" s="16" t="s">
        <v>45</v>
      </c>
      <c r="I1213" s="16">
        <f>COUNTIF(G$5:G1213,"Y")/COUNTA(G$5:G1213)</f>
        <v>0.87923904052936308</v>
      </c>
      <c r="J1213" s="16">
        <f>COUNTIF(H$5:H1213,"Y")/COUNTA(H$5:H1213)</f>
        <v>5.0454921422663356E-2</v>
      </c>
      <c r="K1213" s="16">
        <f>AVERAGE(F$5:F1213)</f>
        <v>2.2126550868486334</v>
      </c>
      <c r="L1213" s="16">
        <f>SUM(F$5:F1213)/SUM(E$5:E1213)</f>
        <v>0.75820531715889161</v>
      </c>
    </row>
    <row r="1214" spans="1:13" x14ac:dyDescent="0.25">
      <c r="A1214" s="29">
        <v>45825</v>
      </c>
      <c r="B1214" s="16" t="s">
        <v>1260</v>
      </c>
      <c r="C1214" s="34">
        <v>1</v>
      </c>
      <c r="D1214" s="16" t="s">
        <v>43</v>
      </c>
      <c r="E1214" s="35">
        <v>3.2</v>
      </c>
      <c r="F1214" s="35">
        <v>2.2999999999999998</v>
      </c>
      <c r="G1214" s="16" t="s">
        <v>44</v>
      </c>
      <c r="H1214" s="16" t="s">
        <v>45</v>
      </c>
      <c r="I1214" s="16">
        <f>COUNTIF(G$5:G1214,"Y")/COUNTA(G$5:G1214)</f>
        <v>0.87933884297520659</v>
      </c>
      <c r="J1214" s="16">
        <f>COUNTIF(H$5:H1214,"Y")/COUNTA(H$5:H1214)</f>
        <v>5.0413223140495865E-2</v>
      </c>
      <c r="K1214" s="16">
        <f>AVERAGE(F$5:F1214)</f>
        <v>2.2127272727272711</v>
      </c>
      <c r="L1214" s="16">
        <f>SUM(F$5:F1214)/SUM(E$5:E1214)</f>
        <v>0.75816956447867745</v>
      </c>
    </row>
    <row r="1215" spans="1:13" x14ac:dyDescent="0.25">
      <c r="A1215" s="29">
        <v>45826</v>
      </c>
      <c r="B1215" s="16" t="s">
        <v>1261</v>
      </c>
      <c r="C1215" s="34">
        <v>1</v>
      </c>
      <c r="D1215" s="16" t="s">
        <v>56</v>
      </c>
      <c r="E1215" s="35">
        <v>3.7</v>
      </c>
      <c r="F1215" s="35">
        <v>2.9</v>
      </c>
      <c r="G1215" s="16" t="s">
        <v>44</v>
      </c>
      <c r="H1215" s="16" t="s">
        <v>45</v>
      </c>
      <c r="I1215" s="16">
        <f>COUNTIF(G$5:G1215,"Y")/COUNTA(G$5:G1215)</f>
        <v>0.87943848059454999</v>
      </c>
      <c r="J1215" s="16">
        <f>COUNTIF(H$5:H1215,"Y")/COUNTA(H$5:H1215)</f>
        <v>5.0371593724194877E-2</v>
      </c>
      <c r="K1215" s="16">
        <f>AVERAGE(F$5:F1215)</f>
        <v>2.2132947976878601</v>
      </c>
      <c r="L1215" s="16">
        <f>SUM(F$5:F1215)/SUM(E$5:E1215)</f>
        <v>0.75819637351135805</v>
      </c>
    </row>
    <row r="1216" spans="1:13" x14ac:dyDescent="0.25">
      <c r="A1216" s="29">
        <v>45827</v>
      </c>
      <c r="B1216" s="16" t="s">
        <v>1262</v>
      </c>
      <c r="C1216" s="34">
        <v>1</v>
      </c>
      <c r="D1216" s="16" t="s">
        <v>56</v>
      </c>
      <c r="E1216" s="35">
        <v>4.3</v>
      </c>
      <c r="F1216" s="35">
        <v>3.2</v>
      </c>
      <c r="G1216" s="16" t="s">
        <v>45</v>
      </c>
      <c r="H1216" s="16" t="s">
        <v>45</v>
      </c>
      <c r="I1216" s="16">
        <f>COUNTIF(G$5:G1216,"Y")/COUNTA(G$5:G1216)</f>
        <v>0.87871287128712872</v>
      </c>
      <c r="J1216" s="16">
        <f>COUNTIF(H$5:H1216,"Y")/COUNTA(H$5:H1216)</f>
        <v>5.0330033003300328E-2</v>
      </c>
      <c r="K1216" s="16">
        <f>AVERAGE(F$5:F1216)</f>
        <v>2.2141089108910874</v>
      </c>
      <c r="L1216" s="16">
        <f>SUM(F$5:F1216)/SUM(E$5:E1216)</f>
        <v>0.75817935243261614</v>
      </c>
    </row>
    <row r="1217" spans="1:12" x14ac:dyDescent="0.25">
      <c r="A1217" s="29">
        <v>45828</v>
      </c>
      <c r="B1217" s="16" t="s">
        <v>1263</v>
      </c>
      <c r="C1217" s="34">
        <v>1</v>
      </c>
      <c r="D1217" s="16" t="s">
        <v>64</v>
      </c>
      <c r="E1217" s="35">
        <v>1.7</v>
      </c>
      <c r="F1217" s="35">
        <v>1.4</v>
      </c>
      <c r="G1217" s="16" t="s">
        <v>44</v>
      </c>
      <c r="H1217" s="16" t="s">
        <v>45</v>
      </c>
      <c r="I1217" s="16">
        <f>COUNTIF(G$5:G1217,"Y")/COUNTA(G$5:G1217)</f>
        <v>0.87881286067600994</v>
      </c>
      <c r="J1217" s="16">
        <f>COUNTIF(H$5:H1217,"Y")/COUNTA(H$5:H1217)</f>
        <v>5.0288540807914263E-2</v>
      </c>
      <c r="K1217" s="16">
        <f>AVERAGE(F$5:F1217)</f>
        <v>2.2134377576257198</v>
      </c>
      <c r="L1217" s="16">
        <f>SUM(F$5:F1217)/SUM(E$5:E1217)</f>
        <v>0.75821072548078328</v>
      </c>
    </row>
    <row r="1218" spans="1:12" x14ac:dyDescent="0.25">
      <c r="A1218" s="29">
        <v>45824</v>
      </c>
      <c r="B1218" s="16" t="s">
        <v>1264</v>
      </c>
      <c r="C1218" s="34">
        <v>1</v>
      </c>
      <c r="D1218" s="16" t="s">
        <v>50</v>
      </c>
      <c r="E1218" s="35">
        <v>1.6</v>
      </c>
      <c r="F1218" s="35">
        <v>1.1000000000000001</v>
      </c>
      <c r="G1218" s="16" t="s">
        <v>45</v>
      </c>
      <c r="H1218" s="16" t="s">
        <v>45</v>
      </c>
      <c r="I1218" s="16">
        <f>COUNTIF(G$5:G1218,"Y")/COUNTA(G$5:G1218)</f>
        <v>0.87808896210873144</v>
      </c>
      <c r="J1218" s="16">
        <f>COUNTIF(H$5:H1218,"Y")/COUNTA(H$5:H1218)</f>
        <v>5.0247116968698519E-2</v>
      </c>
      <c r="K1218" s="16">
        <f>AVERAGE(F$5:F1218)</f>
        <v>2.2125205930807232</v>
      </c>
      <c r="L1218" s="16">
        <f>SUM(F$5:F1218)/SUM(E$5:E1218)</f>
        <v>0.75817879018827494</v>
      </c>
    </row>
    <row r="1219" spans="1:12" x14ac:dyDescent="0.25">
      <c r="A1219" s="29">
        <v>45825</v>
      </c>
      <c r="B1219" s="16" t="s">
        <v>1265</v>
      </c>
      <c r="C1219" s="34">
        <v>1</v>
      </c>
      <c r="D1219" s="16" t="s">
        <v>60</v>
      </c>
      <c r="E1219" s="35">
        <v>1.2</v>
      </c>
      <c r="F1219" s="35">
        <v>1</v>
      </c>
      <c r="G1219" s="16" t="s">
        <v>44</v>
      </c>
      <c r="H1219" s="16" t="s">
        <v>45</v>
      </c>
      <c r="I1219" s="16">
        <f>COUNTIF(G$5:G1219,"Y")/COUNTA(G$5:G1219)</f>
        <v>0.87818930041152266</v>
      </c>
      <c r="J1219" s="16">
        <f>COUNTIF(H$5:H1219,"Y")/COUNTA(H$5:H1219)</f>
        <v>5.0205761316872426E-2</v>
      </c>
      <c r="K1219" s="16">
        <f>AVERAGE(F$5:F1219)</f>
        <v>2.2115226337448544</v>
      </c>
      <c r="L1219" s="16">
        <f>SUM(F$5:F1219)/SUM(E$5:E1219)</f>
        <v>0.75820423826857475</v>
      </c>
    </row>
    <row r="1220" spans="1:12" x14ac:dyDescent="0.25">
      <c r="A1220" s="29">
        <v>45826</v>
      </c>
      <c r="B1220" s="16" t="s">
        <v>1266</v>
      </c>
      <c r="C1220" s="34">
        <v>1</v>
      </c>
      <c r="D1220" s="16" t="s">
        <v>64</v>
      </c>
      <c r="E1220" s="35">
        <v>3</v>
      </c>
      <c r="F1220" s="35">
        <v>2.1</v>
      </c>
      <c r="G1220" s="16" t="s">
        <v>44</v>
      </c>
      <c r="H1220" s="16" t="s">
        <v>45</v>
      </c>
      <c r="I1220" s="16">
        <f>COUNTIF(G$5:G1220,"Y")/COUNTA(G$5:G1220)</f>
        <v>0.87828947368421051</v>
      </c>
      <c r="J1220" s="16">
        <f>COUNTIF(H$5:H1220,"Y")/COUNTA(H$5:H1220)</f>
        <v>5.016447368421053E-2</v>
      </c>
      <c r="K1220" s="16">
        <f>AVERAGE(F$5:F1220)</f>
        <v>2.2114309210526302</v>
      </c>
      <c r="L1220" s="16">
        <f>SUM(F$5:F1220)/SUM(E$5:E1220)</f>
        <v>0.75815500859905882</v>
      </c>
    </row>
    <row r="1221" spans="1:12" x14ac:dyDescent="0.25">
      <c r="A1221" s="29">
        <v>45827</v>
      </c>
      <c r="B1221" s="16" t="s">
        <v>1267</v>
      </c>
      <c r="C1221" s="34">
        <v>1</v>
      </c>
      <c r="D1221" s="16" t="s">
        <v>64</v>
      </c>
      <c r="E1221" s="35">
        <v>5.2</v>
      </c>
      <c r="F1221" s="35">
        <v>3.6</v>
      </c>
      <c r="G1221" s="16" t="s">
        <v>44</v>
      </c>
      <c r="H1221" s="16" t="s">
        <v>45</v>
      </c>
      <c r="I1221" s="16">
        <f>COUNTIF(G$5:G1221,"Y")/COUNTA(G$5:G1221)</f>
        <v>0.87838948233360725</v>
      </c>
      <c r="J1221" s="16">
        <f>COUNTIF(H$5:H1221,"Y")/COUNTA(H$5:H1221)</f>
        <v>5.012325390304026E-2</v>
      </c>
      <c r="K1221" s="16">
        <f>AVERAGE(F$5:F1221)</f>
        <v>2.212571898110105</v>
      </c>
      <c r="L1221" s="16">
        <f>SUM(F$5:F1221)/SUM(E$5:E1221)</f>
        <v>0.75805861321471857</v>
      </c>
    </row>
    <row r="1222" spans="1:12" x14ac:dyDescent="0.25">
      <c r="A1222" s="29">
        <v>45828</v>
      </c>
      <c r="B1222" s="16" t="s">
        <v>1268</v>
      </c>
      <c r="C1222" s="34">
        <v>1</v>
      </c>
      <c r="D1222" s="16" t="s">
        <v>64</v>
      </c>
      <c r="E1222" s="35">
        <v>1.8</v>
      </c>
      <c r="F1222" s="35">
        <v>1.2</v>
      </c>
      <c r="G1222" s="16" t="s">
        <v>44</v>
      </c>
      <c r="H1222" s="16" t="s">
        <v>45</v>
      </c>
      <c r="I1222" s="16">
        <f>COUNTIF(G$5:G1222,"Y")/COUNTA(G$5:G1222)</f>
        <v>0.87848932676518887</v>
      </c>
      <c r="J1222" s="16">
        <f>COUNTIF(H$5:H1222,"Y")/COUNTA(H$5:H1222)</f>
        <v>5.0082101806239739E-2</v>
      </c>
      <c r="K1222" s="16">
        <f>AVERAGE(F$5:F1222)</f>
        <v>2.2117405582922807</v>
      </c>
      <c r="L1222" s="16">
        <f>SUM(F$5:F1222)/SUM(E$5:E1222)</f>
        <v>0.75801232448859046</v>
      </c>
    </row>
    <row r="1223" spans="1:12" x14ac:dyDescent="0.25">
      <c r="A1223" s="29">
        <v>45824</v>
      </c>
      <c r="B1223" s="16" t="s">
        <v>1269</v>
      </c>
      <c r="C1223" s="34">
        <v>1</v>
      </c>
      <c r="D1223" s="16" t="s">
        <v>60</v>
      </c>
      <c r="E1223" s="35">
        <v>5.3</v>
      </c>
      <c r="F1223" s="35">
        <v>3.6</v>
      </c>
      <c r="G1223" s="16" t="s">
        <v>44</v>
      </c>
      <c r="H1223" s="16" t="s">
        <v>45</v>
      </c>
      <c r="I1223" s="16">
        <f>COUNTIF(G$5:G1223,"Y")/COUNTA(G$5:G1223)</f>
        <v>0.87858900738310086</v>
      </c>
      <c r="J1223" s="16">
        <f>COUNTIF(H$5:H1223,"Y")/COUNTA(H$5:H1223)</f>
        <v>5.0041017227235439E-2</v>
      </c>
      <c r="K1223" s="16">
        <f>AVERAGE(F$5:F1223)</f>
        <v>2.2128794093519257</v>
      </c>
      <c r="L1223" s="16">
        <f>SUM(F$5:F1223)/SUM(E$5:E1223)</f>
        <v>0.75789503259159396</v>
      </c>
    </row>
    <row r="1224" spans="1:12" x14ac:dyDescent="0.25">
      <c r="A1224" s="29">
        <v>45825</v>
      </c>
      <c r="B1224" s="16" t="s">
        <v>1270</v>
      </c>
      <c r="C1224" s="34">
        <v>1</v>
      </c>
      <c r="D1224" s="16" t="s">
        <v>60</v>
      </c>
      <c r="E1224" s="35">
        <v>2.9</v>
      </c>
      <c r="F1224" s="35">
        <v>2.2999999999999998</v>
      </c>
      <c r="G1224" s="16" t="s">
        <v>44</v>
      </c>
      <c r="H1224" s="16" t="s">
        <v>45</v>
      </c>
      <c r="I1224" s="16">
        <f>COUNTIF(G$5:G1224,"Y")/COUNTA(G$5:G1224)</f>
        <v>0.87868852459016389</v>
      </c>
      <c r="J1224" s="16">
        <f>COUNTIF(H$5:H1224,"Y")/COUNTA(H$5:H1224)</f>
        <v>0.05</v>
      </c>
      <c r="K1224" s="16">
        <f>AVERAGE(F$5:F1224)</f>
        <v>2.2129508196721295</v>
      </c>
      <c r="L1224" s="16">
        <f>SUM(F$5:F1224)/SUM(E$5:E1224)</f>
        <v>0.75792369669576976</v>
      </c>
    </row>
    <row r="1225" spans="1:12" x14ac:dyDescent="0.25">
      <c r="A1225" s="29">
        <v>45826</v>
      </c>
      <c r="B1225" s="16" t="s">
        <v>1271</v>
      </c>
      <c r="C1225" s="34">
        <v>1</v>
      </c>
      <c r="D1225" s="16" t="s">
        <v>52</v>
      </c>
      <c r="E1225" s="35">
        <v>2.7</v>
      </c>
      <c r="F1225" s="35">
        <v>2.2000000000000002</v>
      </c>
      <c r="G1225" s="16" t="s">
        <v>44</v>
      </c>
      <c r="H1225" s="16" t="s">
        <v>45</v>
      </c>
      <c r="I1225" s="16">
        <f>COUNTIF(G$5:G1225,"Y")/COUNTA(G$5:G1225)</f>
        <v>0.87878787878787878</v>
      </c>
      <c r="J1225" s="16">
        <f>COUNTIF(H$5:H1225,"Y")/COUNTA(H$5:H1225)</f>
        <v>4.9959049959049956E-2</v>
      </c>
      <c r="K1225" s="16">
        <f>AVERAGE(F$5:F1225)</f>
        <v>2.2129402129402109</v>
      </c>
      <c r="L1225" s="16">
        <f>SUM(F$5:F1225)/SUM(E$5:E1225)</f>
        <v>0.7579667863554761</v>
      </c>
    </row>
    <row r="1226" spans="1:12" x14ac:dyDescent="0.25">
      <c r="A1226" s="29">
        <v>45827</v>
      </c>
      <c r="B1226" s="16" t="s">
        <v>1272</v>
      </c>
      <c r="C1226" s="34">
        <v>1</v>
      </c>
      <c r="D1226" s="16" t="s">
        <v>60</v>
      </c>
      <c r="E1226" s="35">
        <v>2.4</v>
      </c>
      <c r="F1226" s="35">
        <v>2.1</v>
      </c>
      <c r="G1226" s="16" t="s">
        <v>44</v>
      </c>
      <c r="H1226" s="16" t="s">
        <v>45</v>
      </c>
      <c r="I1226" s="16">
        <f>COUNTIF(G$5:G1226,"Y")/COUNTA(G$5:G1226)</f>
        <v>0.8788870703764321</v>
      </c>
      <c r="J1226" s="16">
        <f>COUNTIF(H$5:H1226,"Y")/COUNTA(H$5:H1226)</f>
        <v>4.9918166939443537E-2</v>
      </c>
      <c r="K1226" s="16">
        <f>AVERAGE(F$5:F1226)</f>
        <v>2.2128477905073631</v>
      </c>
      <c r="L1226" s="16">
        <f>SUM(F$5:F1226)/SUM(E$5:E1226)</f>
        <v>0.75804552590266905</v>
      </c>
    </row>
    <row r="1227" spans="1:12" x14ac:dyDescent="0.25">
      <c r="A1227" s="29">
        <v>45828</v>
      </c>
      <c r="B1227" s="16" t="s">
        <v>1273</v>
      </c>
      <c r="C1227" s="34">
        <v>1</v>
      </c>
      <c r="D1227" s="16" t="s">
        <v>56</v>
      </c>
      <c r="E1227" s="35">
        <v>3.7</v>
      </c>
      <c r="F1227" s="35">
        <v>2.9</v>
      </c>
      <c r="G1227" s="16" t="s">
        <v>44</v>
      </c>
      <c r="H1227" s="16" t="s">
        <v>45</v>
      </c>
      <c r="I1227" s="16">
        <f>COUNTIF(G$5:G1227,"Y")/COUNTA(G$5:G1227)</f>
        <v>0.87898609975470154</v>
      </c>
      <c r="J1227" s="16">
        <f>COUNTIF(H$5:H1227,"Y")/COUNTA(H$5:H1227)</f>
        <v>4.9877350776778413E-2</v>
      </c>
      <c r="K1227" s="16">
        <f>AVERAGE(F$5:F1227)</f>
        <v>2.2134096484055581</v>
      </c>
      <c r="L1227" s="16">
        <f>SUM(F$5:F1227)/SUM(E$5:E1227)</f>
        <v>0.75807219468481379</v>
      </c>
    </row>
    <row r="1228" spans="1:12" x14ac:dyDescent="0.25">
      <c r="A1228" s="29">
        <v>45824</v>
      </c>
      <c r="B1228" s="16" t="s">
        <v>1274</v>
      </c>
      <c r="C1228" s="34">
        <v>1</v>
      </c>
      <c r="D1228" s="16" t="s">
        <v>43</v>
      </c>
      <c r="E1228" s="35">
        <v>2.5</v>
      </c>
      <c r="F1228" s="35">
        <v>1.8</v>
      </c>
      <c r="G1228" s="16" t="s">
        <v>45</v>
      </c>
      <c r="H1228" s="16" t="s">
        <v>45</v>
      </c>
      <c r="I1228" s="16">
        <f>COUNTIF(G$5:G1228,"Y")/COUNTA(G$5:G1228)</f>
        <v>0.87826797385620914</v>
      </c>
      <c r="J1228" s="16">
        <f>COUNTIF(H$5:H1228,"Y")/COUNTA(H$5:H1228)</f>
        <v>4.9836601307189546E-2</v>
      </c>
      <c r="K1228" s="16">
        <f>AVERAGE(F$5:F1228)</f>
        <v>2.213071895424835</v>
      </c>
      <c r="L1228" s="16">
        <f>SUM(F$5:F1228)/SUM(E$5:E1228)</f>
        <v>0.75804555885151437</v>
      </c>
    </row>
    <row r="1229" spans="1:12" x14ac:dyDescent="0.25">
      <c r="A1229" s="29">
        <v>45825</v>
      </c>
      <c r="B1229" s="16" t="s">
        <v>1275</v>
      </c>
      <c r="C1229" s="34">
        <v>1</v>
      </c>
      <c r="D1229" s="16" t="s">
        <v>64</v>
      </c>
      <c r="E1229" s="35">
        <v>4</v>
      </c>
      <c r="F1229" s="35">
        <v>2.9</v>
      </c>
      <c r="G1229" s="16" t="s">
        <v>44</v>
      </c>
      <c r="H1229" s="16" t="s">
        <v>45</v>
      </c>
      <c r="I1229" s="16">
        <f>COUNTIF(G$5:G1229,"Y")/COUNTA(G$5:G1229)</f>
        <v>0.8783673469387755</v>
      </c>
      <c r="J1229" s="16">
        <f>COUNTIF(H$5:H1229,"Y")/COUNTA(H$5:H1229)</f>
        <v>4.9795918367346939E-2</v>
      </c>
      <c r="K1229" s="16">
        <f>AVERAGE(F$5:F1229)</f>
        <v>2.2136326530612229</v>
      </c>
      <c r="L1229" s="16">
        <f>SUM(F$5:F1229)/SUM(E$5:E1229)</f>
        <v>0.75800860960474137</v>
      </c>
    </row>
    <row r="1230" spans="1:12" x14ac:dyDescent="0.25">
      <c r="A1230" s="29">
        <v>45826</v>
      </c>
      <c r="B1230" s="16" t="s">
        <v>1276</v>
      </c>
      <c r="C1230" s="34">
        <v>1</v>
      </c>
      <c r="D1230" s="16" t="s">
        <v>60</v>
      </c>
      <c r="E1230" s="35">
        <v>3.6</v>
      </c>
      <c r="F1230" s="35">
        <v>2.4</v>
      </c>
      <c r="G1230" s="16" t="s">
        <v>45</v>
      </c>
      <c r="H1230" s="16" t="s">
        <v>45</v>
      </c>
      <c r="I1230" s="16">
        <f>COUNTIF(G$5:G1230,"Y")/COUNTA(G$5:G1230)</f>
        <v>0.87765089722675371</v>
      </c>
      <c r="J1230" s="16">
        <f>COUNTIF(H$5:H1230,"Y")/COUNTA(H$5:H1230)</f>
        <v>4.9755301794453505E-2</v>
      </c>
      <c r="K1230" s="16">
        <f>AVERAGE(F$5:F1230)</f>
        <v>2.2137846655791176</v>
      </c>
      <c r="L1230" s="16">
        <f>SUM(F$5:F1230)/SUM(E$5:E1230)</f>
        <v>0.75791678302150289</v>
      </c>
    </row>
    <row r="1231" spans="1:12" x14ac:dyDescent="0.25">
      <c r="A1231" s="29">
        <v>45827</v>
      </c>
      <c r="B1231" s="16" t="s">
        <v>1277</v>
      </c>
      <c r="C1231" s="34">
        <v>1</v>
      </c>
      <c r="D1231" s="16" t="s">
        <v>50</v>
      </c>
      <c r="E1231" s="35">
        <v>4</v>
      </c>
      <c r="F1231" s="35">
        <v>3</v>
      </c>
      <c r="G1231" s="16" t="s">
        <v>44</v>
      </c>
      <c r="H1231" s="16" t="s">
        <v>45</v>
      </c>
      <c r="I1231" s="16">
        <f>COUNTIF(G$5:G1231,"Y")/COUNTA(G$5:G1231)</f>
        <v>0.87775061124694376</v>
      </c>
      <c r="J1231" s="16">
        <f>COUNTIF(H$5:H1231,"Y")/COUNTA(H$5:H1231)</f>
        <v>4.9714751426242869E-2</v>
      </c>
      <c r="K1231" s="16">
        <f>AVERAGE(F$5:F1231)</f>
        <v>2.2144254278728592</v>
      </c>
      <c r="L1231" s="16">
        <f>SUM(F$5:F1231)/SUM(E$5:E1231)</f>
        <v>0.75790794979079545</v>
      </c>
    </row>
    <row r="1232" spans="1:12" x14ac:dyDescent="0.25">
      <c r="A1232" s="29">
        <v>45828</v>
      </c>
      <c r="B1232" s="16" t="s">
        <v>1278</v>
      </c>
      <c r="C1232" s="34">
        <v>1</v>
      </c>
      <c r="D1232" s="16" t="s">
        <v>47</v>
      </c>
      <c r="E1232" s="35">
        <v>3.2</v>
      </c>
      <c r="F1232" s="35">
        <v>2.2000000000000002</v>
      </c>
      <c r="G1232" s="16" t="s">
        <v>44</v>
      </c>
      <c r="H1232" s="16" t="s">
        <v>45</v>
      </c>
      <c r="I1232" s="16">
        <f>COUNTIF(G$5:G1232,"Y")/COUNTA(G$5:G1232)</f>
        <v>0.87785016286644946</v>
      </c>
      <c r="J1232" s="16">
        <f>COUNTIF(H$5:H1232,"Y")/COUNTA(H$5:H1232)</f>
        <v>4.96742671009772E-2</v>
      </c>
      <c r="K1232" s="16">
        <f>AVERAGE(F$5:F1232)</f>
        <v>2.2144136807817572</v>
      </c>
      <c r="L1232" s="16">
        <f>SUM(F$5:F1232)/SUM(E$5:E1232)</f>
        <v>0.75784515913271333</v>
      </c>
    </row>
    <row r="1233" spans="1:13" x14ac:dyDescent="0.25">
      <c r="A1233" s="29">
        <v>45824</v>
      </c>
      <c r="B1233" s="16" t="s">
        <v>1279</v>
      </c>
      <c r="C1233" s="34">
        <v>1</v>
      </c>
      <c r="D1233" s="16" t="s">
        <v>47</v>
      </c>
      <c r="E1233" s="35">
        <v>1.7</v>
      </c>
      <c r="F1233" s="35">
        <v>1.1000000000000001</v>
      </c>
      <c r="G1233" s="16" t="s">
        <v>44</v>
      </c>
      <c r="H1233" s="16" t="s">
        <v>45</v>
      </c>
      <c r="I1233" s="16">
        <f>COUNTIF(G$5:G1233,"Y")/COUNTA(G$5:G1233)</f>
        <v>0.87794955248169249</v>
      </c>
      <c r="J1233" s="16">
        <f>COUNTIF(H$5:H1233,"Y")/COUNTA(H$5:H1233)</f>
        <v>4.9633848657445079E-2</v>
      </c>
      <c r="K1233" s="16">
        <f>AVERAGE(F$5:F1233)</f>
        <v>2.2135069161920242</v>
      </c>
      <c r="L1233" s="16">
        <f>SUM(F$5:F1233)/SUM(E$5:E1233)</f>
        <v>0.75779269617538147</v>
      </c>
    </row>
    <row r="1234" spans="1:13" x14ac:dyDescent="0.25">
      <c r="A1234" s="29">
        <v>45825</v>
      </c>
      <c r="B1234" s="16" t="s">
        <v>1280</v>
      </c>
      <c r="C1234" s="34">
        <v>1</v>
      </c>
      <c r="D1234" s="16" t="s">
        <v>52</v>
      </c>
      <c r="E1234" s="35">
        <v>3</v>
      </c>
      <c r="F1234" s="35">
        <v>2.2999999999999998</v>
      </c>
      <c r="G1234" s="16" t="s">
        <v>45</v>
      </c>
      <c r="H1234" s="16" t="s">
        <v>45</v>
      </c>
      <c r="I1234" s="16">
        <f>COUNTIF(G$5:G1234,"Y")/COUNTA(G$5:G1234)</f>
        <v>0.87723577235772354</v>
      </c>
      <c r="J1234" s="16">
        <f>COUNTIF(H$5:H1234,"Y")/COUNTA(H$5:H1234)</f>
        <v>4.9593495934959347E-2</v>
      </c>
      <c r="K1234" s="16">
        <f>AVERAGE(F$5:F1234)</f>
        <v>2.2135772357723562</v>
      </c>
      <c r="L1234" s="16">
        <f>SUM(F$5:F1234)/SUM(E$5:E1234)</f>
        <v>0.75780010576414658</v>
      </c>
    </row>
    <row r="1235" spans="1:13" x14ac:dyDescent="0.25">
      <c r="A1235" s="29">
        <v>45826</v>
      </c>
      <c r="B1235" s="16" t="s">
        <v>1281</v>
      </c>
      <c r="C1235" s="34">
        <v>1</v>
      </c>
      <c r="D1235" s="16" t="s">
        <v>50</v>
      </c>
      <c r="E1235" s="35">
        <v>3.9</v>
      </c>
      <c r="F1235" s="35">
        <v>2.9</v>
      </c>
      <c r="G1235" s="16" t="s">
        <v>44</v>
      </c>
      <c r="H1235" s="16" t="s">
        <v>45</v>
      </c>
      <c r="I1235" s="16">
        <f>COUNTIF(G$5:G1235,"Y")/COUNTA(G$5:G1235)</f>
        <v>0.87733549959382617</v>
      </c>
      <c r="J1235" s="16">
        <f>COUNTIF(H$5:H1235,"Y")/COUNTA(H$5:H1235)</f>
        <v>4.9553208773354993E-2</v>
      </c>
      <c r="K1235" s="16">
        <f>AVERAGE(F$5:F1235)</f>
        <v>2.214134849715677</v>
      </c>
      <c r="L1235" s="16">
        <f>SUM(F$5:F1235)/SUM(E$5:E1235)</f>
        <v>0.75778469750889743</v>
      </c>
    </row>
    <row r="1236" spans="1:13" x14ac:dyDescent="0.25">
      <c r="A1236" s="29">
        <v>45827</v>
      </c>
      <c r="B1236" s="16" t="s">
        <v>1282</v>
      </c>
      <c r="C1236" s="34">
        <v>1</v>
      </c>
      <c r="D1236" s="16" t="s">
        <v>50</v>
      </c>
      <c r="E1236" s="35">
        <v>3.2</v>
      </c>
      <c r="F1236" s="35">
        <v>2.2999999999999998</v>
      </c>
      <c r="G1236" s="16" t="s">
        <v>44</v>
      </c>
      <c r="H1236" s="16" t="s">
        <v>45</v>
      </c>
      <c r="I1236" s="16">
        <f>COUNTIF(G$5:G1236,"Y")/COUNTA(G$5:G1236)</f>
        <v>0.87743506493506496</v>
      </c>
      <c r="J1236" s="16">
        <f>COUNTIF(H$5:H1236,"Y")/COUNTA(H$5:H1236)</f>
        <v>4.9512987012987016E-2</v>
      </c>
      <c r="K1236" s="16">
        <f>AVERAGE(F$5:F1236)</f>
        <v>2.2142045454545443</v>
      </c>
      <c r="L1236" s="16">
        <f>SUM(F$5:F1236)/SUM(E$5:E1236)</f>
        <v>0.7577500000000007</v>
      </c>
    </row>
    <row r="1237" spans="1:13" x14ac:dyDescent="0.25">
      <c r="A1237" s="29">
        <v>45828</v>
      </c>
      <c r="B1237" s="16" t="s">
        <v>1283</v>
      </c>
      <c r="C1237" s="34">
        <v>1</v>
      </c>
      <c r="D1237" s="16" t="s">
        <v>50</v>
      </c>
      <c r="E1237" s="35">
        <v>1.4</v>
      </c>
      <c r="F1237" s="35">
        <v>1.1000000000000001</v>
      </c>
      <c r="G1237" s="16" t="s">
        <v>44</v>
      </c>
      <c r="H1237" s="16" t="s">
        <v>45</v>
      </c>
      <c r="I1237" s="16">
        <f>COUNTIF(G$5:G1237,"Y")/COUNTA(G$5:G1237)</f>
        <v>0.87753446877534469</v>
      </c>
      <c r="J1237" s="16">
        <f>COUNTIF(H$5:H1237,"Y")/COUNTA(H$5:H1237)</f>
        <v>4.9472830494728302E-2</v>
      </c>
      <c r="K1237" s="16">
        <f>AVERAGE(F$5:F1237)</f>
        <v>2.2133008921330073</v>
      </c>
      <c r="L1237" s="16">
        <f>SUM(F$5:F1237)/SUM(E$5:E1237)</f>
        <v>0.757760870772478</v>
      </c>
    </row>
    <row r="1238" spans="1:13" x14ac:dyDescent="0.25">
      <c r="A1238" s="29">
        <v>45824</v>
      </c>
      <c r="B1238" s="16" t="s">
        <v>1284</v>
      </c>
      <c r="C1238" s="34">
        <v>1</v>
      </c>
      <c r="D1238" s="16" t="s">
        <v>43</v>
      </c>
      <c r="E1238" s="35">
        <v>2.5</v>
      </c>
      <c r="F1238" s="35">
        <v>2</v>
      </c>
      <c r="G1238" s="16" t="s">
        <v>44</v>
      </c>
      <c r="H1238" s="16" t="s">
        <v>44</v>
      </c>
      <c r="I1238" s="16">
        <f>COUNTIF(G$5:G1238,"Y")/COUNTA(G$5:G1238)</f>
        <v>0.8776337115072933</v>
      </c>
      <c r="J1238" s="16">
        <f>COUNTIF(H$5:H1238,"Y")/COUNTA(H$5:H1238)</f>
        <v>5.0243111831442464E-2</v>
      </c>
      <c r="K1238" s="16">
        <f>AVERAGE(F$5:F1238)</f>
        <v>2.2131280388978913</v>
      </c>
      <c r="L1238" s="16">
        <f>SUM(F$5:F1238)/SUM(E$5:E1238)</f>
        <v>0.75779017175837349</v>
      </c>
    </row>
    <row r="1239" spans="1:13" x14ac:dyDescent="0.25">
      <c r="A1239" s="29">
        <v>45825</v>
      </c>
      <c r="B1239" s="16" t="s">
        <v>1285</v>
      </c>
      <c r="C1239" s="34">
        <v>1</v>
      </c>
      <c r="D1239" s="16" t="s">
        <v>52</v>
      </c>
      <c r="E1239" s="35">
        <v>3</v>
      </c>
      <c r="F1239" s="35">
        <v>3.1</v>
      </c>
      <c r="G1239" s="16" t="s">
        <v>44</v>
      </c>
      <c r="H1239" s="16" t="s">
        <v>45</v>
      </c>
      <c r="I1239" s="16">
        <f>COUNTIF(G$5:G1239,"Y")/COUNTA(G$5:G1239)</f>
        <v>0.87773279352226719</v>
      </c>
      <c r="J1239" s="16">
        <f>COUNTIF(H$5:H1239,"Y")/COUNTA(H$5:H1239)</f>
        <v>5.020242914979757E-2</v>
      </c>
      <c r="K1239" s="16">
        <f>AVERAGE(F$5:F1239)</f>
        <v>2.2138461538461525</v>
      </c>
      <c r="L1239" s="16">
        <f>SUM(F$5:F1239)/SUM(E$5:E1239)</f>
        <v>0.75801935179794344</v>
      </c>
    </row>
    <row r="1240" spans="1:13" x14ac:dyDescent="0.25">
      <c r="A1240" s="29">
        <v>45826</v>
      </c>
      <c r="B1240" s="16" t="s">
        <v>1286</v>
      </c>
      <c r="C1240" s="34">
        <v>1</v>
      </c>
      <c r="D1240" s="16" t="s">
        <v>47</v>
      </c>
      <c r="E1240" s="35">
        <v>0.5</v>
      </c>
      <c r="F1240" s="35">
        <v>0.5</v>
      </c>
      <c r="G1240" s="16" t="s">
        <v>44</v>
      </c>
      <c r="H1240" s="16" t="s">
        <v>45</v>
      </c>
      <c r="I1240" s="16">
        <f>COUNTIF(G$5:G1240,"Y")/COUNTA(G$5:G1240)</f>
        <v>0.87783171521035597</v>
      </c>
      <c r="J1240" s="16">
        <f>COUNTIF(H$5:H1240,"Y")/COUNTA(H$5:H1240)</f>
        <v>5.0161812297734629E-2</v>
      </c>
      <c r="K1240" s="16">
        <f>AVERAGE(F$5:F1240)</f>
        <v>2.2124595469255648</v>
      </c>
      <c r="L1240" s="16">
        <f>SUM(F$5:F1240)/SUM(E$5:E1240)</f>
        <v>0.75805289127903808</v>
      </c>
    </row>
    <row r="1241" spans="1:13" x14ac:dyDescent="0.25">
      <c r="A1241" s="29">
        <v>45827</v>
      </c>
      <c r="B1241" s="16" t="s">
        <v>1287</v>
      </c>
      <c r="C1241" s="34">
        <v>1</v>
      </c>
      <c r="D1241" s="16" t="s">
        <v>52</v>
      </c>
      <c r="E1241" s="35">
        <v>0.5</v>
      </c>
      <c r="F1241" s="35">
        <v>0.5</v>
      </c>
      <c r="G1241" s="16" t="s">
        <v>44</v>
      </c>
      <c r="H1241" s="16" t="s">
        <v>45</v>
      </c>
      <c r="I1241" s="16">
        <f>COUNTIF(G$5:G1241,"Y")/COUNTA(G$5:G1241)</f>
        <v>0.87793047696038806</v>
      </c>
      <c r="J1241" s="16">
        <f>COUNTIF(H$5:H1241,"Y")/COUNTA(H$5:H1241)</f>
        <v>5.0121261115602264E-2</v>
      </c>
      <c r="K1241" s="16">
        <f>AVERAGE(F$5:F1241)</f>
        <v>2.2110751818916721</v>
      </c>
      <c r="L1241" s="16">
        <f>SUM(F$5:F1241)/SUM(E$5:E1241)</f>
        <v>0.75808642146401017</v>
      </c>
    </row>
    <row r="1242" spans="1:13" x14ac:dyDescent="0.25">
      <c r="A1242" s="29">
        <v>45828</v>
      </c>
      <c r="B1242" s="16" t="s">
        <v>1288</v>
      </c>
      <c r="C1242" s="34">
        <v>1</v>
      </c>
      <c r="D1242" s="16" t="s">
        <v>43</v>
      </c>
      <c r="E1242" s="35">
        <v>0.5</v>
      </c>
      <c r="F1242" s="35">
        <v>0.5</v>
      </c>
      <c r="G1242" s="16" t="s">
        <v>44</v>
      </c>
      <c r="H1242" s="16" t="s">
        <v>45</v>
      </c>
      <c r="I1242" s="16">
        <f>COUNTIF(G$5:G1242,"Y")/COUNTA(G$5:G1242)</f>
        <v>0.87802907915993533</v>
      </c>
      <c r="J1242" s="16">
        <f>COUNTIF(H$5:H1242,"Y")/COUNTA(H$5:H1242)</f>
        <v>5.0080775444264945E-2</v>
      </c>
      <c r="K1242" s="16">
        <f>AVERAGE(F$5:F1242)</f>
        <v>2.2096930533117916</v>
      </c>
      <c r="L1242" s="16">
        <f>SUM(F$5:F1242)/SUM(E$5:E1242)</f>
        <v>0.75811994235672375</v>
      </c>
    </row>
    <row r="1243" spans="1:13" x14ac:dyDescent="0.25">
      <c r="A1243" s="29">
        <v>45824</v>
      </c>
      <c r="B1243" s="16" t="s">
        <v>1289</v>
      </c>
      <c r="C1243" s="34">
        <v>1</v>
      </c>
      <c r="D1243" s="16" t="s">
        <v>52</v>
      </c>
      <c r="E1243" s="35">
        <v>0.5</v>
      </c>
      <c r="F1243" s="35">
        <v>0.5</v>
      </c>
      <c r="G1243" s="16" t="s">
        <v>44</v>
      </c>
      <c r="H1243" s="16" t="s">
        <v>45</v>
      </c>
      <c r="I1243" s="16">
        <f>COUNTIF(G$5:G1243,"Y")/COUNTA(G$5:G1243)</f>
        <v>0.87812752219531875</v>
      </c>
      <c r="J1243" s="16">
        <f>COUNTIF(H$5:H1243,"Y")/COUNTA(H$5:H1243)</f>
        <v>5.004035512510089E-2</v>
      </c>
      <c r="K1243" s="16">
        <f>AVERAGE(F$5:F1243)</f>
        <v>2.2083131557707811</v>
      </c>
      <c r="L1243" s="16">
        <f>SUM(F$5:F1243)/SUM(E$5:E1243)</f>
        <v>0.75815345396104139</v>
      </c>
    </row>
    <row r="1244" spans="1:13" x14ac:dyDescent="0.25">
      <c r="A1244" s="29">
        <v>45825</v>
      </c>
      <c r="B1244" s="16" t="s">
        <v>1290</v>
      </c>
      <c r="C1244" s="34">
        <v>1</v>
      </c>
      <c r="D1244" s="16" t="s">
        <v>60</v>
      </c>
      <c r="E1244" s="35">
        <v>0.5</v>
      </c>
      <c r="F1244" s="35">
        <v>0.5</v>
      </c>
      <c r="G1244" s="16" t="s">
        <v>44</v>
      </c>
      <c r="H1244" s="16" t="s">
        <v>45</v>
      </c>
      <c r="I1244" s="16">
        <f>COUNTIF(G$5:G1244,"Y")/COUNTA(G$5:G1244)</f>
        <v>0.87822580645161286</v>
      </c>
      <c r="J1244" s="16">
        <f>COUNTIF(H$5:H1244,"Y")/COUNTA(H$5:H1244)</f>
        <v>0.05</v>
      </c>
      <c r="K1244" s="16">
        <f>AVERAGE(F$5:F1244)</f>
        <v>2.2069354838709661</v>
      </c>
      <c r="L1244" s="16">
        <f>SUM(F$5:F1244)/SUM(E$5:E1244)</f>
        <v>0.75818695628082289</v>
      </c>
    </row>
    <row r="1245" spans="1:13" x14ac:dyDescent="0.25">
      <c r="A1245" s="29">
        <v>45826</v>
      </c>
      <c r="B1245" s="16" t="s">
        <v>1291</v>
      </c>
      <c r="C1245" s="34">
        <v>1</v>
      </c>
      <c r="D1245" s="16" t="s">
        <v>47</v>
      </c>
      <c r="E1245" s="35">
        <v>0.5</v>
      </c>
      <c r="F1245" s="35">
        <v>0.5</v>
      </c>
      <c r="G1245" s="16" t="s">
        <v>44</v>
      </c>
      <c r="H1245" s="16" t="s">
        <v>45</v>
      </c>
      <c r="I1245" s="16">
        <f>COUNTIF(G$5:G1245,"Y")/COUNTA(G$5:G1245)</f>
        <v>0.87832393231265105</v>
      </c>
      <c r="J1245" s="16">
        <f>COUNTIF(H$5:H1245,"Y")/COUNTA(H$5:H1245)</f>
        <v>4.9959709911361803E-2</v>
      </c>
      <c r="K1245" s="16">
        <f>AVERAGE(F$5:F1245)</f>
        <v>2.2055600322320692</v>
      </c>
      <c r="L1245" s="16">
        <f>SUM(F$5:F1245)/SUM(E$5:E1245)</f>
        <v>0.75822044931992638</v>
      </c>
    </row>
    <row r="1246" spans="1:13" x14ac:dyDescent="0.25">
      <c r="A1246" s="29">
        <v>45827</v>
      </c>
      <c r="B1246" s="16" t="s">
        <v>1292</v>
      </c>
      <c r="C1246" s="34">
        <v>1</v>
      </c>
      <c r="D1246" s="16" t="s">
        <v>50</v>
      </c>
      <c r="E1246" s="35">
        <v>0.5</v>
      </c>
      <c r="F1246" s="35">
        <v>0.5</v>
      </c>
      <c r="G1246" s="16" t="s">
        <v>44</v>
      </c>
      <c r="H1246" s="16" t="s">
        <v>45</v>
      </c>
      <c r="I1246" s="16">
        <f>COUNTIF(G$5:G1246,"Y")/COUNTA(G$5:G1246)</f>
        <v>0.87842190016103061</v>
      </c>
      <c r="J1246" s="16">
        <f>COUNTIF(H$5:H1246,"Y")/COUNTA(H$5:H1246)</f>
        <v>4.9919484702093397E-2</v>
      </c>
      <c r="K1246" s="16">
        <f>AVERAGE(F$5:F1246)</f>
        <v>2.2041867954911418</v>
      </c>
      <c r="L1246" s="16">
        <f>SUM(F$5:F1246)/SUM(E$5:E1246)</f>
        <v>0.75825393308220757</v>
      </c>
      <c r="M1246" s="16">
        <v>13</v>
      </c>
    </row>
    <row r="1247" spans="1:13" x14ac:dyDescent="0.25">
      <c r="A1247" s="29">
        <v>45831</v>
      </c>
      <c r="B1247" s="16" t="s">
        <v>1293</v>
      </c>
      <c r="C1247" s="34">
        <v>1</v>
      </c>
      <c r="D1247" s="16" t="s">
        <v>56</v>
      </c>
      <c r="E1247" s="35">
        <v>2.7</v>
      </c>
      <c r="F1247" s="35">
        <v>2.2999999999999998</v>
      </c>
      <c r="G1247" s="16" t="s">
        <v>44</v>
      </c>
      <c r="H1247" s="16" t="s">
        <v>45</v>
      </c>
      <c r="I1247" s="16">
        <f>COUNTIF(G$5:G1247,"Y")/COUNTA(G$5:G1247)</f>
        <v>0.87851971037811749</v>
      </c>
      <c r="J1247" s="16">
        <f>COUNTIF(H$5:H1247,"Y")/COUNTA(H$5:H1247)</f>
        <v>4.9879324215607403E-2</v>
      </c>
      <c r="K1247" s="16">
        <f>AVERAGE(F$5:F1247)</f>
        <v>2.2042638777152037</v>
      </c>
      <c r="L1247" s="16">
        <f>SUM(F$5:F1247)/SUM(E$5:E1247)</f>
        <v>0.7583238770031282</v>
      </c>
    </row>
    <row r="1248" spans="1:13" x14ac:dyDescent="0.25">
      <c r="A1248" s="29">
        <v>45832</v>
      </c>
      <c r="B1248" s="16" t="s">
        <v>1294</v>
      </c>
      <c r="C1248" s="34">
        <v>1</v>
      </c>
      <c r="D1248" s="16" t="s">
        <v>60</v>
      </c>
      <c r="E1248" s="35">
        <v>4.2</v>
      </c>
      <c r="F1248" s="35">
        <v>3.4</v>
      </c>
      <c r="G1248" s="16" t="s">
        <v>44</v>
      </c>
      <c r="H1248" s="16" t="s">
        <v>45</v>
      </c>
      <c r="I1248" s="16">
        <f>COUNTIF(G$5:G1248,"Y")/COUNTA(G$5:G1248)</f>
        <v>0.87861736334405149</v>
      </c>
      <c r="J1248" s="16">
        <f>COUNTIF(H$5:H1248,"Y")/COUNTA(H$5:H1248)</f>
        <v>4.9839228295819937E-2</v>
      </c>
      <c r="K1248" s="16">
        <f>AVERAGE(F$5:F1248)</f>
        <v>2.2052250803858509</v>
      </c>
      <c r="L1248" s="16">
        <f>SUM(F$5:F1248)/SUM(E$5:E1248)</f>
        <v>0.75838332457910673</v>
      </c>
    </row>
    <row r="1249" spans="1:12" x14ac:dyDescent="0.25">
      <c r="A1249" s="29">
        <v>45833</v>
      </c>
      <c r="B1249" s="16" t="s">
        <v>1295</v>
      </c>
      <c r="C1249" s="34">
        <v>1</v>
      </c>
      <c r="D1249" s="16" t="s">
        <v>50</v>
      </c>
      <c r="E1249" s="35">
        <v>2.6</v>
      </c>
      <c r="F1249" s="35">
        <v>2.2000000000000002</v>
      </c>
      <c r="G1249" s="16" t="s">
        <v>45</v>
      </c>
      <c r="H1249" s="16" t="s">
        <v>45</v>
      </c>
      <c r="I1249" s="16">
        <f>COUNTIF(G$5:G1249,"Y")/COUNTA(G$5:G1249)</f>
        <v>0.87791164658634535</v>
      </c>
      <c r="J1249" s="16">
        <f>COUNTIF(H$5:H1249,"Y")/COUNTA(H$5:H1249)</f>
        <v>4.9799196787148593E-2</v>
      </c>
      <c r="K1249" s="16">
        <f>AVERAGE(F$5:F1249)</f>
        <v>2.2052208835341349</v>
      </c>
      <c r="L1249" s="16">
        <f>SUM(F$5:F1249)/SUM(E$5:E1249)</f>
        <v>0.75844636592171122</v>
      </c>
    </row>
    <row r="1250" spans="1:12" x14ac:dyDescent="0.25">
      <c r="A1250" s="29">
        <v>45834</v>
      </c>
      <c r="B1250" s="16" t="s">
        <v>1296</v>
      </c>
      <c r="C1250" s="34">
        <v>1</v>
      </c>
      <c r="D1250" s="16" t="s">
        <v>60</v>
      </c>
      <c r="E1250" s="35">
        <v>1.8</v>
      </c>
      <c r="F1250" s="35">
        <v>1.6</v>
      </c>
      <c r="G1250" s="16" t="s">
        <v>44</v>
      </c>
      <c r="H1250" s="16" t="s">
        <v>45</v>
      </c>
      <c r="I1250" s="16">
        <f>COUNTIF(G$5:G1250,"Y")/COUNTA(G$5:G1250)</f>
        <v>0.8780096308186196</v>
      </c>
      <c r="J1250" s="16">
        <f>COUNTIF(H$5:H1250,"Y")/COUNTA(H$5:H1250)</f>
        <v>4.9759229534510431E-2</v>
      </c>
      <c r="K1250" s="16">
        <f>AVERAGE(F$5:F1250)</f>
        <v>2.2047351524879599</v>
      </c>
      <c r="L1250" s="16">
        <f>SUM(F$5:F1250)/SUM(E$5:E1250)</f>
        <v>0.75851119639948161</v>
      </c>
    </row>
    <row r="1251" spans="1:12" x14ac:dyDescent="0.25">
      <c r="A1251" s="29">
        <v>45835</v>
      </c>
      <c r="B1251" s="16" t="s">
        <v>1297</v>
      </c>
      <c r="C1251" s="34">
        <v>1</v>
      </c>
      <c r="D1251" s="16" t="s">
        <v>50</v>
      </c>
      <c r="E1251" s="35">
        <v>3.9</v>
      </c>
      <c r="F1251" s="35">
        <v>2.6</v>
      </c>
      <c r="G1251" s="16" t="s">
        <v>44</v>
      </c>
      <c r="H1251" s="16" t="s">
        <v>45</v>
      </c>
      <c r="I1251" s="16">
        <f>COUNTIF(G$5:G1251,"Y")/COUNTA(G$5:G1251)</f>
        <v>0.8781074578989575</v>
      </c>
      <c r="J1251" s="16">
        <f>COUNTIF(H$5:H1251,"Y")/COUNTA(H$5:H1251)</f>
        <v>4.9719326383319967E-2</v>
      </c>
      <c r="K1251" s="16">
        <f>AVERAGE(F$5:F1251)</f>
        <v>2.2050521251002388</v>
      </c>
      <c r="L1251" s="16">
        <f>SUM(F$5:F1251)/SUM(E$5:E1251)</f>
        <v>0.75841240070609062</v>
      </c>
    </row>
    <row r="1252" spans="1:12" x14ac:dyDescent="0.25">
      <c r="A1252" s="29">
        <v>45831</v>
      </c>
      <c r="B1252" s="16" t="s">
        <v>1298</v>
      </c>
      <c r="C1252" s="34">
        <v>1</v>
      </c>
      <c r="D1252" s="16" t="s">
        <v>50</v>
      </c>
      <c r="E1252" s="35">
        <v>2.9</v>
      </c>
      <c r="F1252" s="35">
        <v>2.5</v>
      </c>
      <c r="G1252" s="16" t="s">
        <v>44</v>
      </c>
      <c r="H1252" s="16" t="s">
        <v>45</v>
      </c>
      <c r="I1252" s="16">
        <f>COUNTIF(G$5:G1252,"Y")/COUNTA(G$5:G1252)</f>
        <v>0.87820512820512819</v>
      </c>
      <c r="J1252" s="16">
        <f>COUNTIF(H$5:H1252,"Y")/COUNTA(H$5:H1252)</f>
        <v>4.9679487179487176E-2</v>
      </c>
      <c r="K1252" s="16">
        <f>AVERAGE(F$5:F1252)</f>
        <v>2.2052884615384598</v>
      </c>
      <c r="L1252" s="16">
        <f>SUM(F$5:F1252)/SUM(E$5:E1252)</f>
        <v>0.75849524596940943</v>
      </c>
    </row>
    <row r="1253" spans="1:12" x14ac:dyDescent="0.25">
      <c r="A1253" s="29">
        <v>45832</v>
      </c>
      <c r="B1253" s="16" t="s">
        <v>1299</v>
      </c>
      <c r="C1253" s="34">
        <v>1</v>
      </c>
      <c r="D1253" s="16" t="s">
        <v>56</v>
      </c>
      <c r="E1253" s="35">
        <v>4</v>
      </c>
      <c r="F1253" s="35">
        <v>3</v>
      </c>
      <c r="G1253" s="16" t="s">
        <v>45</v>
      </c>
      <c r="H1253" s="16" t="s">
        <v>45</v>
      </c>
      <c r="I1253" s="16">
        <f>COUNTIF(G$5:G1253,"Y")/COUNTA(G$5:G1253)</f>
        <v>0.877502001601281</v>
      </c>
      <c r="J1253" s="16">
        <f>COUNTIF(H$5:H1253,"Y")/COUNTA(H$5:H1253)</f>
        <v>4.9639711769415534E-2</v>
      </c>
      <c r="K1253" s="16">
        <f>AVERAGE(F$5:F1253)</f>
        <v>2.2059247397918318</v>
      </c>
      <c r="L1253" s="16">
        <f>SUM(F$5:F1253)/SUM(E$5:E1253)</f>
        <v>0.75848589125946375</v>
      </c>
    </row>
    <row r="1254" spans="1:12" x14ac:dyDescent="0.25">
      <c r="A1254" s="29">
        <v>45833</v>
      </c>
      <c r="B1254" s="16" t="s">
        <v>1300</v>
      </c>
      <c r="C1254" s="34">
        <v>1</v>
      </c>
      <c r="D1254" s="16" t="s">
        <v>64</v>
      </c>
      <c r="E1254" s="35">
        <v>4.4000000000000004</v>
      </c>
      <c r="F1254" s="35">
        <v>3.2</v>
      </c>
      <c r="G1254" s="16" t="s">
        <v>44</v>
      </c>
      <c r="H1254" s="16" t="s">
        <v>45</v>
      </c>
      <c r="I1254" s="16">
        <f>COUNTIF(G$5:G1254,"Y")/COUNTA(G$5:G1254)</f>
        <v>0.87760000000000005</v>
      </c>
      <c r="J1254" s="16">
        <f>COUNTIF(H$5:H1254,"Y")/COUNTA(H$5:H1254)</f>
        <v>4.9599999999999998E-2</v>
      </c>
      <c r="K1254" s="16">
        <f>AVERAGE(F$5:F1254)</f>
        <v>2.2067199999999985</v>
      </c>
      <c r="L1254" s="16">
        <f>SUM(F$5:F1254)/SUM(E$5:E1254)</f>
        <v>0.75844812890098767</v>
      </c>
    </row>
    <row r="1255" spans="1:12" x14ac:dyDescent="0.25">
      <c r="A1255" s="29">
        <v>45834</v>
      </c>
      <c r="B1255" s="16" t="s">
        <v>1301</v>
      </c>
      <c r="C1255" s="34">
        <v>1</v>
      </c>
      <c r="D1255" s="16" t="s">
        <v>52</v>
      </c>
      <c r="E1255" s="35">
        <v>3.2</v>
      </c>
      <c r="F1255" s="35">
        <v>2.2000000000000002</v>
      </c>
      <c r="G1255" s="16" t="s">
        <v>44</v>
      </c>
      <c r="H1255" s="16" t="s">
        <v>45</v>
      </c>
      <c r="I1255" s="16">
        <f>COUNTIF(G$5:G1255,"Y")/COUNTA(G$5:G1255)</f>
        <v>0.87769784172661869</v>
      </c>
      <c r="J1255" s="16">
        <f>COUNTIF(H$5:H1255,"Y")/COUNTA(H$5:H1255)</f>
        <v>4.9560351718625099E-2</v>
      </c>
      <c r="K1255" s="16">
        <f>AVERAGE(F$5:F1255)</f>
        <v>2.2067146282973602</v>
      </c>
      <c r="L1255" s="16">
        <f>SUM(F$5:F1255)/SUM(E$5:E1255)</f>
        <v>0.75838575863300506</v>
      </c>
    </row>
    <row r="1256" spans="1:12" x14ac:dyDescent="0.25">
      <c r="A1256" s="29">
        <v>45835</v>
      </c>
      <c r="B1256" s="16" t="s">
        <v>1302</v>
      </c>
      <c r="C1256" s="34">
        <v>1</v>
      </c>
      <c r="D1256" s="16" t="s">
        <v>50</v>
      </c>
      <c r="E1256" s="35">
        <v>2.4</v>
      </c>
      <c r="F1256" s="35">
        <v>1.8</v>
      </c>
      <c r="G1256" s="16" t="s">
        <v>44</v>
      </c>
      <c r="H1256" s="16" t="s">
        <v>44</v>
      </c>
      <c r="I1256" s="16">
        <f>COUNTIF(G$5:G1256,"Y")/COUNTA(G$5:G1256)</f>
        <v>0.87779552715654952</v>
      </c>
      <c r="J1256" s="16">
        <f>COUNTIF(H$5:H1256,"Y")/COUNTA(H$5:H1256)</f>
        <v>5.0319488817891375E-2</v>
      </c>
      <c r="K1256" s="16">
        <f>AVERAGE(F$5:F1256)</f>
        <v>2.2063897763578257</v>
      </c>
      <c r="L1256" s="16">
        <f>SUM(F$5:F1256)/SUM(E$5:E1256)</f>
        <v>0.75838023335621196</v>
      </c>
    </row>
    <row r="1257" spans="1:12" x14ac:dyDescent="0.25">
      <c r="A1257" s="29">
        <v>45831</v>
      </c>
      <c r="B1257" s="16" t="s">
        <v>1303</v>
      </c>
      <c r="C1257" s="34">
        <v>1</v>
      </c>
      <c r="D1257" s="16" t="s">
        <v>60</v>
      </c>
      <c r="E1257" s="35">
        <v>4.0999999999999996</v>
      </c>
      <c r="F1257" s="35">
        <v>2.8</v>
      </c>
      <c r="G1257" s="16" t="s">
        <v>44</v>
      </c>
      <c r="H1257" s="16" t="s">
        <v>45</v>
      </c>
      <c r="I1257" s="16">
        <f>COUNTIF(G$5:G1257,"Y")/COUNTA(G$5:G1257)</f>
        <v>0.87789305666400641</v>
      </c>
      <c r="J1257" s="16">
        <f>COUNTIF(H$5:H1257,"Y")/COUNTA(H$5:H1257)</f>
        <v>5.027932960893855E-2</v>
      </c>
      <c r="K1257" s="16">
        <f>AVERAGE(F$5:F1257)</f>
        <v>2.2068635275339168</v>
      </c>
      <c r="L1257" s="16">
        <f>SUM(F$5:F1257)/SUM(E$5:E1257)</f>
        <v>0.75829539845335436</v>
      </c>
    </row>
    <row r="1258" spans="1:12" x14ac:dyDescent="0.25">
      <c r="A1258" s="29">
        <v>45832</v>
      </c>
      <c r="B1258" s="16" t="s">
        <v>1304</v>
      </c>
      <c r="C1258" s="34">
        <v>1</v>
      </c>
      <c r="D1258" s="16" t="s">
        <v>56</v>
      </c>
      <c r="E1258" s="35">
        <v>3.5</v>
      </c>
      <c r="F1258" s="35">
        <v>2.7</v>
      </c>
      <c r="G1258" s="16" t="s">
        <v>44</v>
      </c>
      <c r="H1258" s="16" t="s">
        <v>45</v>
      </c>
      <c r="I1258" s="16">
        <f>COUNTIF(G$5:G1258,"Y")/COUNTA(G$5:G1258)</f>
        <v>0.87799043062200954</v>
      </c>
      <c r="J1258" s="16">
        <f>COUNTIF(H$5:H1258,"Y")/COUNTA(H$5:H1258)</f>
        <v>5.0239234449760764E-2</v>
      </c>
      <c r="K1258" s="16">
        <f>AVERAGE(F$5:F1258)</f>
        <v>2.2072567783094081</v>
      </c>
      <c r="L1258" s="16">
        <f>SUM(F$5:F1258)/SUM(E$5:E1258)</f>
        <v>0.75830799156187556</v>
      </c>
    </row>
    <row r="1259" spans="1:12" x14ac:dyDescent="0.25">
      <c r="A1259" s="29">
        <v>45833</v>
      </c>
      <c r="B1259" s="16" t="s">
        <v>1305</v>
      </c>
      <c r="C1259" s="34">
        <v>1</v>
      </c>
      <c r="D1259" s="16" t="s">
        <v>56</v>
      </c>
      <c r="E1259" s="35">
        <v>3.9</v>
      </c>
      <c r="F1259" s="35">
        <v>3</v>
      </c>
      <c r="G1259" s="16" t="s">
        <v>44</v>
      </c>
      <c r="H1259" s="16" t="s">
        <v>45</v>
      </c>
      <c r="I1259" s="16">
        <f>COUNTIF(G$5:G1259,"Y")/COUNTA(G$5:G1259)</f>
        <v>0.87808764940239048</v>
      </c>
      <c r="J1259" s="16">
        <f>COUNTIF(H$5:H1259,"Y")/COUNTA(H$5:H1259)</f>
        <v>5.0199203187250997E-2</v>
      </c>
      <c r="K1259" s="16">
        <f>AVERAGE(F$5:F1259)</f>
        <v>2.2078884462151378</v>
      </c>
      <c r="L1259" s="16">
        <f>SUM(F$5:F1259)/SUM(E$5:E1259)</f>
        <v>0.7583196496989606</v>
      </c>
    </row>
    <row r="1260" spans="1:12" x14ac:dyDescent="0.25">
      <c r="A1260" s="29">
        <v>45834</v>
      </c>
      <c r="B1260" s="16" t="s">
        <v>1306</v>
      </c>
      <c r="C1260" s="34">
        <v>1</v>
      </c>
      <c r="D1260" s="16" t="s">
        <v>47</v>
      </c>
      <c r="E1260" s="35">
        <v>4.8</v>
      </c>
      <c r="F1260" s="35">
        <v>3.3</v>
      </c>
      <c r="G1260" s="16" t="s">
        <v>45</v>
      </c>
      <c r="H1260" s="16" t="s">
        <v>45</v>
      </c>
      <c r="I1260" s="16">
        <f>COUNTIF(G$5:G1260,"Y")/COUNTA(G$5:G1260)</f>
        <v>0.87738853503184711</v>
      </c>
      <c r="J1260" s="16">
        <f>COUNTIF(H$5:H1260,"Y")/COUNTA(H$5:H1260)</f>
        <v>5.0159235668789812E-2</v>
      </c>
      <c r="K1260" s="16">
        <f>AVERAGE(F$5:F1260)</f>
        <v>2.2087579617834381</v>
      </c>
      <c r="L1260" s="16">
        <f>SUM(F$5:F1260)/SUM(E$5:E1260)</f>
        <v>0.75822674100798126</v>
      </c>
    </row>
    <row r="1261" spans="1:12" x14ac:dyDescent="0.25">
      <c r="A1261" s="29">
        <v>45835</v>
      </c>
      <c r="B1261" s="16" t="s">
        <v>1307</v>
      </c>
      <c r="C1261" s="34">
        <v>1</v>
      </c>
      <c r="D1261" s="16" t="s">
        <v>50</v>
      </c>
      <c r="E1261" s="35">
        <v>2.1</v>
      </c>
      <c r="F1261" s="35">
        <v>1.7</v>
      </c>
      <c r="G1261" s="16" t="s">
        <v>44</v>
      </c>
      <c r="H1261" s="16" t="s">
        <v>45</v>
      </c>
      <c r="I1261" s="16">
        <f>COUNTIF(G$5:G1261,"Y")/COUNTA(G$5:G1261)</f>
        <v>0.87748607796340494</v>
      </c>
      <c r="J1261" s="16">
        <f>COUNTIF(H$5:H1261,"Y")/COUNTA(H$5:H1261)</f>
        <v>5.0119331742243436E-2</v>
      </c>
      <c r="K1261" s="16">
        <f>AVERAGE(F$5:F1261)</f>
        <v>2.2083532219570388</v>
      </c>
      <c r="L1261" s="16">
        <f>SUM(F$5:F1261)/SUM(E$5:E1261)</f>
        <v>0.75825616651643091</v>
      </c>
    </row>
    <row r="1262" spans="1:12" x14ac:dyDescent="0.25">
      <c r="A1262" s="29">
        <v>45831</v>
      </c>
      <c r="B1262" s="16" t="s">
        <v>1308</v>
      </c>
      <c r="C1262" s="34">
        <v>1</v>
      </c>
      <c r="D1262" s="16" t="s">
        <v>60</v>
      </c>
      <c r="E1262" s="35">
        <v>1.9</v>
      </c>
      <c r="F1262" s="35">
        <v>1.6</v>
      </c>
      <c r="G1262" s="16" t="s">
        <v>44</v>
      </c>
      <c r="H1262" s="16" t="s">
        <v>45</v>
      </c>
      <c r="I1262" s="16">
        <f>COUNTIF(G$5:G1262,"Y")/COUNTA(G$5:G1262)</f>
        <v>0.8775834658187599</v>
      </c>
      <c r="J1262" s="16">
        <f>COUNTIF(H$5:H1262,"Y")/COUNTA(H$5:H1262)</f>
        <v>5.0079491255961846E-2</v>
      </c>
      <c r="K1262" s="16">
        <f>AVERAGE(F$5:F1262)</f>
        <v>2.2078696343402209</v>
      </c>
      <c r="L1262" s="16">
        <f>SUM(F$5:F1262)/SUM(E$5:E1262)</f>
        <v>0.75829966146117767</v>
      </c>
    </row>
    <row r="1263" spans="1:12" x14ac:dyDescent="0.25">
      <c r="A1263" s="29">
        <v>45832</v>
      </c>
      <c r="B1263" s="16" t="s">
        <v>1309</v>
      </c>
      <c r="C1263" s="34">
        <v>1</v>
      </c>
      <c r="D1263" s="16" t="s">
        <v>50</v>
      </c>
      <c r="E1263" s="35">
        <v>3.3</v>
      </c>
      <c r="F1263" s="35">
        <v>2.2999999999999998</v>
      </c>
      <c r="G1263" s="16" t="s">
        <v>44</v>
      </c>
      <c r="H1263" s="16" t="s">
        <v>45</v>
      </c>
      <c r="I1263" s="16">
        <f>COUNTIF(G$5:G1263,"Y")/COUNTA(G$5:G1263)</f>
        <v>0.8776806989674345</v>
      </c>
      <c r="J1263" s="16">
        <f>COUNTIF(H$5:H1263,"Y")/COUNTA(H$5:H1263)</f>
        <v>5.0039714058776809E-2</v>
      </c>
      <c r="K1263" s="16">
        <f>AVERAGE(F$5:F1263)</f>
        <v>2.2079428117553599</v>
      </c>
      <c r="L1263" s="16">
        <f>SUM(F$5:F1263)/SUM(E$5:E1263)</f>
        <v>0.75824445596137635</v>
      </c>
    </row>
    <row r="1264" spans="1:12" x14ac:dyDescent="0.25">
      <c r="A1264" s="29">
        <v>45833</v>
      </c>
      <c r="B1264" s="16" t="s">
        <v>1310</v>
      </c>
      <c r="C1264" s="34">
        <v>1</v>
      </c>
      <c r="D1264" s="16" t="s">
        <v>60</v>
      </c>
      <c r="E1264" s="35">
        <v>3.7</v>
      </c>
      <c r="F1264" s="35">
        <v>3.1</v>
      </c>
      <c r="G1264" s="16" t="s">
        <v>44</v>
      </c>
      <c r="H1264" s="16" t="s">
        <v>45</v>
      </c>
      <c r="I1264" s="16">
        <f>COUNTIF(G$5:G1264,"Y")/COUNTA(G$5:G1264)</f>
        <v>0.87777777777777777</v>
      </c>
      <c r="J1264" s="16">
        <f>COUNTIF(H$5:H1264,"Y")/COUNTA(H$5:H1264)</f>
        <v>0.05</v>
      </c>
      <c r="K1264" s="16">
        <f>AVERAGE(F$5:F1264)</f>
        <v>2.2086507936507918</v>
      </c>
      <c r="L1264" s="16">
        <f>SUM(F$5:F1264)/SUM(E$5:E1264)</f>
        <v>0.75832470434356147</v>
      </c>
    </row>
    <row r="1265" spans="1:12" x14ac:dyDescent="0.25">
      <c r="A1265" s="29">
        <v>45834</v>
      </c>
      <c r="B1265" s="16" t="s">
        <v>1311</v>
      </c>
      <c r="C1265" s="34">
        <v>1</v>
      </c>
      <c r="D1265" s="16" t="s">
        <v>43</v>
      </c>
      <c r="E1265" s="35">
        <v>3.4</v>
      </c>
      <c r="F1265" s="35">
        <v>2.7</v>
      </c>
      <c r="G1265" s="16" t="s">
        <v>44</v>
      </c>
      <c r="H1265" s="16" t="s">
        <v>45</v>
      </c>
      <c r="I1265" s="16">
        <f>COUNTIF(G$5:G1265,"Y")/COUNTA(G$5:G1265)</f>
        <v>0.87787470261697065</v>
      </c>
      <c r="J1265" s="16">
        <f>COUNTIF(H$5:H1265,"Y")/COUNTA(H$5:H1265)</f>
        <v>4.9960348929421097E-2</v>
      </c>
      <c r="K1265" s="16">
        <f>AVERAGE(F$5:F1265)</f>
        <v>2.2090404440919884</v>
      </c>
      <c r="L1265" s="16">
        <f>SUM(F$5:F1265)/SUM(E$5:E1265)</f>
        <v>0.75835783513013222</v>
      </c>
    </row>
    <row r="1266" spans="1:12" x14ac:dyDescent="0.25">
      <c r="A1266" s="29">
        <v>45835</v>
      </c>
      <c r="B1266" s="16" t="s">
        <v>1312</v>
      </c>
      <c r="C1266" s="34">
        <v>1</v>
      </c>
      <c r="D1266" s="16" t="s">
        <v>47</v>
      </c>
      <c r="E1266" s="35">
        <v>1.5</v>
      </c>
      <c r="F1266" s="35">
        <v>1.2</v>
      </c>
      <c r="G1266" s="16" t="s">
        <v>44</v>
      </c>
      <c r="H1266" s="16" t="s">
        <v>45</v>
      </c>
      <c r="I1266" s="16">
        <f>COUNTIF(G$5:G1266,"Y")/COUNTA(G$5:G1266)</f>
        <v>0.87797147385103014</v>
      </c>
      <c r="J1266" s="16">
        <f>COUNTIF(H$5:H1266,"Y")/COUNTA(H$5:H1266)</f>
        <v>4.992076069730586E-2</v>
      </c>
      <c r="K1266" s="16">
        <f>AVERAGE(F$5:F1266)</f>
        <v>2.208240887480188</v>
      </c>
      <c r="L1266" s="16">
        <f>SUM(F$5:F1266)/SUM(E$5:E1266)</f>
        <v>0.7583748333197271</v>
      </c>
    </row>
    <row r="1267" spans="1:12" x14ac:dyDescent="0.25">
      <c r="A1267" s="29">
        <v>45831</v>
      </c>
      <c r="B1267" s="16" t="s">
        <v>1313</v>
      </c>
      <c r="C1267" s="34">
        <v>1</v>
      </c>
      <c r="D1267" s="16" t="s">
        <v>56</v>
      </c>
      <c r="E1267" s="35">
        <v>3.9</v>
      </c>
      <c r="F1267" s="35">
        <v>3.3</v>
      </c>
      <c r="G1267" s="16" t="s">
        <v>44</v>
      </c>
      <c r="H1267" s="16" t="s">
        <v>45</v>
      </c>
      <c r="I1267" s="16">
        <f>COUNTIF(G$5:G1267,"Y")/COUNTA(G$5:G1267)</f>
        <v>0.87806809184481394</v>
      </c>
      <c r="J1267" s="16">
        <f>COUNTIF(H$5:H1267,"Y")/COUNTA(H$5:H1267)</f>
        <v>4.9881235154394299E-2</v>
      </c>
      <c r="K1267" s="16">
        <f>AVERAGE(F$5:F1267)</f>
        <v>2.2091053048297686</v>
      </c>
      <c r="L1267" s="16">
        <f>SUM(F$5:F1267)/SUM(E$5:E1267)</f>
        <v>0.7584678953949876</v>
      </c>
    </row>
    <row r="1268" spans="1:12" x14ac:dyDescent="0.25">
      <c r="A1268" s="29">
        <v>45832</v>
      </c>
      <c r="B1268" s="16" t="s">
        <v>1314</v>
      </c>
      <c r="C1268" s="34">
        <v>1</v>
      </c>
      <c r="D1268" s="16" t="s">
        <v>47</v>
      </c>
      <c r="E1268" s="35">
        <v>3.9</v>
      </c>
      <c r="F1268" s="35">
        <v>2.8</v>
      </c>
      <c r="G1268" s="16" t="s">
        <v>44</v>
      </c>
      <c r="H1268" s="16" t="s">
        <v>45</v>
      </c>
      <c r="I1268" s="16">
        <f>COUNTIF(G$5:G1268,"Y")/COUNTA(G$5:G1268)</f>
        <v>0.87816455696202533</v>
      </c>
      <c r="J1268" s="16">
        <f>COUNTIF(H$5:H1268,"Y")/COUNTA(H$5:H1268)</f>
        <v>4.9841772151898736E-2</v>
      </c>
      <c r="K1268" s="16">
        <f>AVERAGE(F$5:F1268)</f>
        <v>2.209572784810125</v>
      </c>
      <c r="L1268" s="16">
        <f>SUM(F$5:F1268)/SUM(E$5:E1268)</f>
        <v>0.75842498302783479</v>
      </c>
    </row>
    <row r="1269" spans="1:12" x14ac:dyDescent="0.25">
      <c r="A1269" s="29">
        <v>45833</v>
      </c>
      <c r="B1269" s="16" t="s">
        <v>1315</v>
      </c>
      <c r="C1269" s="34">
        <v>1</v>
      </c>
      <c r="D1269" s="16" t="s">
        <v>43</v>
      </c>
      <c r="E1269" s="35">
        <v>1.9</v>
      </c>
      <c r="F1269" s="35">
        <v>1.7</v>
      </c>
      <c r="G1269" s="16" t="s">
        <v>44</v>
      </c>
      <c r="H1269" s="16" t="s">
        <v>45</v>
      </c>
      <c r="I1269" s="16">
        <f>COUNTIF(G$5:G1269,"Y")/COUNTA(G$5:G1269)</f>
        <v>0.87826086956521743</v>
      </c>
      <c r="J1269" s="16">
        <f>COUNTIF(H$5:H1269,"Y")/COUNTA(H$5:H1269)</f>
        <v>4.9802371541501973E-2</v>
      </c>
      <c r="K1269" s="16">
        <f>AVERAGE(F$5:F1269)</f>
        <v>2.2091699604743065</v>
      </c>
      <c r="L1269" s="16">
        <f>SUM(F$5:F1269)/SUM(E$5:E1269)</f>
        <v>0.75849527738573486</v>
      </c>
    </row>
    <row r="1270" spans="1:12" x14ac:dyDescent="0.25">
      <c r="A1270" s="29">
        <v>45834</v>
      </c>
      <c r="B1270" s="16" t="s">
        <v>1316</v>
      </c>
      <c r="C1270" s="34">
        <v>1</v>
      </c>
      <c r="D1270" s="16" t="s">
        <v>64</v>
      </c>
      <c r="E1270" s="35">
        <v>2.5</v>
      </c>
      <c r="F1270" s="35">
        <v>1.9</v>
      </c>
      <c r="G1270" s="16" t="s">
        <v>44</v>
      </c>
      <c r="H1270" s="16" t="s">
        <v>45</v>
      </c>
      <c r="I1270" s="16">
        <f>COUNTIF(G$5:G1270,"Y")/COUNTA(G$5:G1270)</f>
        <v>0.87835703001579779</v>
      </c>
      <c r="J1270" s="16">
        <f>COUNTIF(H$5:H1270,"Y")/COUNTA(H$5:H1270)</f>
        <v>4.9763033175355451E-2</v>
      </c>
      <c r="K1270" s="16">
        <f>AVERAGE(F$5:F1270)</f>
        <v>2.2089257503949429</v>
      </c>
      <c r="L1270" s="16">
        <f>SUM(F$5:F1270)/SUM(E$5:E1270)</f>
        <v>0.75849629770267746</v>
      </c>
    </row>
    <row r="1271" spans="1:12" x14ac:dyDescent="0.25">
      <c r="A1271" s="29">
        <v>45835</v>
      </c>
      <c r="B1271" s="16" t="s">
        <v>1317</v>
      </c>
      <c r="C1271" s="34">
        <v>1</v>
      </c>
      <c r="D1271" s="16" t="s">
        <v>47</v>
      </c>
      <c r="E1271" s="35">
        <v>3.6</v>
      </c>
      <c r="F1271" s="35">
        <v>3.1</v>
      </c>
      <c r="G1271" s="16" t="s">
        <v>44</v>
      </c>
      <c r="H1271" s="16" t="s">
        <v>45</v>
      </c>
      <c r="I1271" s="16">
        <f>COUNTIF(G$5:G1271,"Y")/COUNTA(G$5:G1271)</f>
        <v>0.87845303867403313</v>
      </c>
      <c r="J1271" s="16">
        <f>COUNTIF(H$5:H1271,"Y")/COUNTA(H$5:H1271)</f>
        <v>4.9723756906077346E-2</v>
      </c>
      <c r="K1271" s="16">
        <f>AVERAGE(F$5:F1271)</f>
        <v>2.209629044988159</v>
      </c>
      <c r="L1271" s="16">
        <f>SUM(F$5:F1271)/SUM(E$5:E1271)</f>
        <v>0.75859639615228325</v>
      </c>
    </row>
    <row r="1272" spans="1:12" x14ac:dyDescent="0.25">
      <c r="A1272" s="29">
        <v>45831</v>
      </c>
      <c r="B1272" s="16" t="s">
        <v>1318</v>
      </c>
      <c r="C1272" s="34">
        <v>1</v>
      </c>
      <c r="D1272" s="16" t="s">
        <v>47</v>
      </c>
      <c r="E1272" s="35">
        <v>2.5</v>
      </c>
      <c r="F1272" s="35">
        <v>2</v>
      </c>
      <c r="G1272" s="16" t="s">
        <v>44</v>
      </c>
      <c r="H1272" s="16" t="s">
        <v>45</v>
      </c>
      <c r="I1272" s="16">
        <f>COUNTIF(G$5:G1272,"Y")/COUNTA(G$5:G1272)</f>
        <v>0.87854889589905361</v>
      </c>
      <c r="J1272" s="16">
        <f>COUNTIF(H$5:H1272,"Y")/COUNTA(H$5:H1272)</f>
        <v>4.9684542586750792E-2</v>
      </c>
      <c r="K1272" s="16">
        <f>AVERAGE(F$5:F1272)</f>
        <v>2.2094637223974747</v>
      </c>
      <c r="L1272" s="16">
        <f>SUM(F$5:F1272)/SUM(E$5:E1272)</f>
        <v>0.75862442458705703</v>
      </c>
    </row>
    <row r="1273" spans="1:12" x14ac:dyDescent="0.25">
      <c r="A1273" s="29">
        <v>45832</v>
      </c>
      <c r="B1273" s="16" t="s">
        <v>1319</v>
      </c>
      <c r="C1273" s="34">
        <v>1</v>
      </c>
      <c r="D1273" s="16" t="s">
        <v>43</v>
      </c>
      <c r="E1273" s="35">
        <v>3.9</v>
      </c>
      <c r="F1273" s="35">
        <v>2.6</v>
      </c>
      <c r="G1273" s="16" t="s">
        <v>44</v>
      </c>
      <c r="H1273" s="16" t="s">
        <v>45</v>
      </c>
      <c r="I1273" s="16">
        <f>COUNTIF(G$5:G1273,"Y")/COUNTA(G$5:G1273)</f>
        <v>0.87864460204885741</v>
      </c>
      <c r="J1273" s="16">
        <f>COUNTIF(H$5:H1273,"Y")/COUNTA(H$5:H1273)</f>
        <v>4.9645390070921988E-2</v>
      </c>
      <c r="K1273" s="16">
        <f>AVERAGE(F$5:F1273)</f>
        <v>2.209771473601259</v>
      </c>
      <c r="L1273" s="16">
        <f>SUM(F$5:F1273)/SUM(E$5:E1273)</f>
        <v>0.7585274148611002</v>
      </c>
    </row>
    <row r="1274" spans="1:12" x14ac:dyDescent="0.25">
      <c r="A1274" s="29">
        <v>45833</v>
      </c>
      <c r="B1274" s="16" t="s">
        <v>1320</v>
      </c>
      <c r="C1274" s="34">
        <v>1</v>
      </c>
      <c r="D1274" s="16" t="s">
        <v>47</v>
      </c>
      <c r="E1274" s="35">
        <v>3.9</v>
      </c>
      <c r="F1274" s="35">
        <v>3.3</v>
      </c>
      <c r="G1274" s="16" t="s">
        <v>44</v>
      </c>
      <c r="H1274" s="16" t="s">
        <v>45</v>
      </c>
      <c r="I1274" s="16">
        <f>COUNTIF(G$5:G1274,"Y")/COUNTA(G$5:G1274)</f>
        <v>0.87874015748031498</v>
      </c>
      <c r="J1274" s="16">
        <f>COUNTIF(H$5:H1274,"Y")/COUNTA(H$5:H1274)</f>
        <v>4.9606299212598425E-2</v>
      </c>
      <c r="K1274" s="16">
        <f>AVERAGE(F$5:F1274)</f>
        <v>2.2106299212598408</v>
      </c>
      <c r="L1274" s="16">
        <f>SUM(F$5:F1274)/SUM(E$5:E1274)</f>
        <v>0.75861975789018632</v>
      </c>
    </row>
    <row r="1275" spans="1:12" x14ac:dyDescent="0.25">
      <c r="A1275" s="29">
        <v>45834</v>
      </c>
      <c r="B1275" s="16" t="s">
        <v>1321</v>
      </c>
      <c r="C1275" s="34">
        <v>1</v>
      </c>
      <c r="D1275" s="16" t="s">
        <v>47</v>
      </c>
      <c r="E1275" s="35">
        <v>4.9000000000000004</v>
      </c>
      <c r="F1275" s="35">
        <v>3.3</v>
      </c>
      <c r="G1275" s="16" t="s">
        <v>44</v>
      </c>
      <c r="H1275" s="16" t="s">
        <v>45</v>
      </c>
      <c r="I1275" s="16">
        <f>COUNTIF(G$5:G1275,"Y")/COUNTA(G$5:G1275)</f>
        <v>0.87883556254917383</v>
      </c>
      <c r="J1275" s="16">
        <f>COUNTIF(H$5:H1275,"Y")/COUNTA(H$5:H1275)</f>
        <v>4.956726986624705E-2</v>
      </c>
      <c r="K1275" s="16">
        <f>AVERAGE(F$5:F1275)</f>
        <v>2.2114870180959856</v>
      </c>
      <c r="L1275" s="16">
        <f>SUM(F$5:F1275)/SUM(E$5:E1275)</f>
        <v>0.7585071646382604</v>
      </c>
    </row>
    <row r="1276" spans="1:12" x14ac:dyDescent="0.25">
      <c r="A1276" s="29">
        <v>45835</v>
      </c>
      <c r="B1276" s="16" t="s">
        <v>1322</v>
      </c>
      <c r="C1276" s="34">
        <v>1</v>
      </c>
      <c r="D1276" s="16" t="s">
        <v>43</v>
      </c>
      <c r="E1276" s="35">
        <v>3.1</v>
      </c>
      <c r="F1276" s="35">
        <v>2.4</v>
      </c>
      <c r="G1276" s="16" t="s">
        <v>44</v>
      </c>
      <c r="H1276" s="16" t="s">
        <v>45</v>
      </c>
      <c r="I1276" s="16">
        <f>COUNTIF(G$5:G1276,"Y")/COUNTA(G$5:G1276)</f>
        <v>0.87893081761006286</v>
      </c>
      <c r="J1276" s="16">
        <f>COUNTIF(H$5:H1276,"Y")/COUNTA(H$5:H1276)</f>
        <v>4.9528301886792456E-2</v>
      </c>
      <c r="K1276" s="16">
        <f>AVERAGE(F$5:F1276)</f>
        <v>2.2116352201257845</v>
      </c>
      <c r="L1276" s="16">
        <f>SUM(F$5:F1276)/SUM(E$5:E1276)</f>
        <v>0.75852027610008677</v>
      </c>
    </row>
    <row r="1277" spans="1:12" x14ac:dyDescent="0.25">
      <c r="A1277" s="29">
        <v>45831</v>
      </c>
      <c r="B1277" s="16" t="s">
        <v>1323</v>
      </c>
      <c r="C1277" s="34">
        <v>1</v>
      </c>
      <c r="D1277" s="16" t="s">
        <v>43</v>
      </c>
      <c r="E1277" s="35">
        <v>1.3</v>
      </c>
      <c r="F1277" s="35">
        <v>1.1000000000000001</v>
      </c>
      <c r="G1277" s="16" t="s">
        <v>45</v>
      </c>
      <c r="H1277" s="16" t="s">
        <v>45</v>
      </c>
      <c r="I1277" s="16">
        <f>COUNTIF(G$5:G1277,"Y")/COUNTA(G$5:G1277)</f>
        <v>0.87824037706205815</v>
      </c>
      <c r="J1277" s="16">
        <f>COUNTIF(H$5:H1277,"Y")/COUNTA(H$5:H1277)</f>
        <v>4.9489395129615081E-2</v>
      </c>
      <c r="K1277" s="16">
        <f>AVERAGE(F$5:F1277)</f>
        <v>2.2107619795758033</v>
      </c>
      <c r="L1277" s="16">
        <f>SUM(F$5:F1277)/SUM(E$5:E1277)</f>
        <v>0.75855098245330355</v>
      </c>
    </row>
    <row r="1278" spans="1:12" x14ac:dyDescent="0.25">
      <c r="A1278" s="29">
        <v>45832</v>
      </c>
      <c r="B1278" s="16" t="s">
        <v>1324</v>
      </c>
      <c r="C1278" s="34">
        <v>1</v>
      </c>
      <c r="D1278" s="16" t="s">
        <v>56</v>
      </c>
      <c r="E1278" s="35">
        <v>1.9</v>
      </c>
      <c r="F1278" s="35">
        <v>1.5</v>
      </c>
      <c r="G1278" s="16" t="s">
        <v>44</v>
      </c>
      <c r="H1278" s="16" t="s">
        <v>45</v>
      </c>
      <c r="I1278" s="16">
        <f>COUNTIF(G$5:G1278,"Y")/COUNTA(G$5:G1278)</f>
        <v>0.87833594976452123</v>
      </c>
      <c r="J1278" s="16">
        <f>COUNTIF(H$5:H1278,"Y")/COUNTA(H$5:H1278)</f>
        <v>4.9450549450549448E-2</v>
      </c>
      <c r="K1278" s="16">
        <f>AVERAGE(F$5:F1278)</f>
        <v>2.2102040816326514</v>
      </c>
      <c r="L1278" s="16">
        <f>SUM(F$5:F1278)/SUM(E$5:E1278)</f>
        <v>0.75856681034482798</v>
      </c>
    </row>
    <row r="1279" spans="1:12" x14ac:dyDescent="0.25">
      <c r="A1279" s="29">
        <v>45833</v>
      </c>
      <c r="B1279" s="16" t="s">
        <v>1325</v>
      </c>
      <c r="C1279" s="34">
        <v>1</v>
      </c>
      <c r="D1279" s="16" t="s">
        <v>64</v>
      </c>
      <c r="E1279" s="35">
        <v>5</v>
      </c>
      <c r="F1279" s="35">
        <v>3.4</v>
      </c>
      <c r="G1279" s="16" t="s">
        <v>44</v>
      </c>
      <c r="H1279" s="16" t="s">
        <v>45</v>
      </c>
      <c r="I1279" s="16">
        <f>COUNTIF(G$5:G1279,"Y")/COUNTA(G$5:G1279)</f>
        <v>0.8784313725490196</v>
      </c>
      <c r="J1279" s="16">
        <f>COUNTIF(H$5:H1279,"Y")/COUNTA(H$5:H1279)</f>
        <v>4.9411764705882349E-2</v>
      </c>
      <c r="K1279" s="16">
        <f>AVERAGE(F$5:F1279)</f>
        <v>2.211137254901959</v>
      </c>
      <c r="L1279" s="16">
        <f>SUM(F$5:F1279)/SUM(E$5:E1279)</f>
        <v>0.75846112456281989</v>
      </c>
    </row>
    <row r="1280" spans="1:12" x14ac:dyDescent="0.25">
      <c r="A1280" s="29">
        <v>45834</v>
      </c>
      <c r="B1280" s="16" t="s">
        <v>1326</v>
      </c>
      <c r="C1280" s="34">
        <v>1</v>
      </c>
      <c r="D1280" s="16" t="s">
        <v>60</v>
      </c>
      <c r="E1280" s="35">
        <v>3.3</v>
      </c>
      <c r="F1280" s="35">
        <v>2.2999999999999998</v>
      </c>
      <c r="G1280" s="16" t="s">
        <v>44</v>
      </c>
      <c r="H1280" s="16" t="s">
        <v>45</v>
      </c>
      <c r="I1280" s="16">
        <f>COUNTIF(G$5:G1280,"Y")/COUNTA(G$5:G1280)</f>
        <v>0.87852664576802508</v>
      </c>
      <c r="J1280" s="16">
        <f>COUNTIF(H$5:H1280,"Y")/COUNTA(H$5:H1280)</f>
        <v>4.9373040752351098E-2</v>
      </c>
      <c r="K1280" s="16">
        <f>AVERAGE(F$5:F1280)</f>
        <v>2.2112068965517229</v>
      </c>
      <c r="L1280" s="16">
        <f>SUM(F$5:F1280)/SUM(E$5:E1280)</f>
        <v>0.75840658011450734</v>
      </c>
    </row>
    <row r="1281" spans="1:13" x14ac:dyDescent="0.25">
      <c r="A1281" s="29">
        <v>45835</v>
      </c>
      <c r="B1281" s="16" t="s">
        <v>1327</v>
      </c>
      <c r="C1281" s="34">
        <v>1</v>
      </c>
      <c r="D1281" s="16" t="s">
        <v>60</v>
      </c>
      <c r="E1281" s="35">
        <v>4.0999999999999996</v>
      </c>
      <c r="F1281" s="35">
        <v>3.6</v>
      </c>
      <c r="G1281" s="16" t="s">
        <v>44</v>
      </c>
      <c r="H1281" s="16" t="s">
        <v>45</v>
      </c>
      <c r="I1281" s="16">
        <f>COUNTIF(G$5:G1281,"Y")/COUNTA(G$5:G1281)</f>
        <v>0.87862176977290529</v>
      </c>
      <c r="J1281" s="16">
        <f>COUNTIF(H$5:H1281,"Y")/COUNTA(H$5:H1281)</f>
        <v>4.9334377447141739E-2</v>
      </c>
      <c r="K1281" s="16">
        <f>AVERAGE(F$5:F1281)</f>
        <v>2.2122944400939688</v>
      </c>
      <c r="L1281" s="16">
        <f>SUM(F$5:F1281)/SUM(E$5:E1281)</f>
        <v>0.75853828804639711</v>
      </c>
    </row>
    <row r="1282" spans="1:13" x14ac:dyDescent="0.25">
      <c r="A1282" s="29">
        <v>45831</v>
      </c>
      <c r="B1282" s="16" t="s">
        <v>1328</v>
      </c>
      <c r="C1282" s="34">
        <v>1</v>
      </c>
      <c r="D1282" s="16" t="s">
        <v>64</v>
      </c>
      <c r="E1282" s="35">
        <v>1.2</v>
      </c>
      <c r="F1282" s="35">
        <v>0.9</v>
      </c>
      <c r="G1282" s="16" t="s">
        <v>44</v>
      </c>
      <c r="H1282" s="16" t="s">
        <v>45</v>
      </c>
      <c r="I1282" s="16">
        <f>COUNTIF(G$5:G1282,"Y")/COUNTA(G$5:G1282)</f>
        <v>0.87871674491392804</v>
      </c>
      <c r="J1282" s="16">
        <f>COUNTIF(H$5:H1282,"Y")/COUNTA(H$5:H1282)</f>
        <v>4.9295774647887321E-2</v>
      </c>
      <c r="K1282" s="16">
        <f>AVERAGE(F$5:F1282)</f>
        <v>2.2112676056338012</v>
      </c>
      <c r="L1282" s="16">
        <f>SUM(F$5:F1282)/SUM(E$5:E1282)</f>
        <v>0.758535537899936</v>
      </c>
    </row>
    <row r="1283" spans="1:13" x14ac:dyDescent="0.25">
      <c r="A1283" s="29">
        <v>45832</v>
      </c>
      <c r="B1283" s="16" t="s">
        <v>1329</v>
      </c>
      <c r="C1283" s="34">
        <v>1</v>
      </c>
      <c r="D1283" s="16" t="s">
        <v>52</v>
      </c>
      <c r="E1283" s="35">
        <v>0.7</v>
      </c>
      <c r="F1283" s="35">
        <v>0.5</v>
      </c>
      <c r="G1283" s="16" t="s">
        <v>44</v>
      </c>
      <c r="H1283" s="16" t="s">
        <v>45</v>
      </c>
      <c r="I1283" s="16">
        <f>COUNTIF(G$5:G1283,"Y")/COUNTA(G$5:G1283)</f>
        <v>0.87881157154026579</v>
      </c>
      <c r="J1283" s="16">
        <f>COUNTIF(H$5:H1283,"Y")/COUNTA(H$5:H1283)</f>
        <v>4.9257232212666147E-2</v>
      </c>
      <c r="K1283" s="16">
        <f>AVERAGE(F$5:F1283)</f>
        <v>2.2099296325254092</v>
      </c>
      <c r="L1283" s="16">
        <f>SUM(F$5:F1283)/SUM(E$5:E1283)</f>
        <v>0.75852722539784823</v>
      </c>
    </row>
    <row r="1284" spans="1:13" x14ac:dyDescent="0.25">
      <c r="A1284" s="29">
        <v>45833</v>
      </c>
      <c r="B1284" s="16" t="s">
        <v>1330</v>
      </c>
      <c r="C1284" s="34">
        <v>1</v>
      </c>
      <c r="D1284" s="16" t="s">
        <v>64</v>
      </c>
      <c r="E1284" s="35">
        <v>0.7</v>
      </c>
      <c r="F1284" s="35">
        <v>0.5</v>
      </c>
      <c r="G1284" s="16" t="s">
        <v>44</v>
      </c>
      <c r="H1284" s="16" t="s">
        <v>44</v>
      </c>
      <c r="I1284" s="16">
        <f>COUNTIF(G$5:G1284,"Y")/COUNTA(G$5:G1284)</f>
        <v>0.87890625</v>
      </c>
      <c r="J1284" s="16">
        <f>COUNTIF(H$5:H1284,"Y")/COUNTA(H$5:H1284)</f>
        <v>0.05</v>
      </c>
      <c r="K1284" s="16">
        <f>AVERAGE(F$5:F1284)</f>
        <v>2.2085937499999986</v>
      </c>
      <c r="L1284" s="16">
        <f>SUM(F$5:F1284)/SUM(E$5:E1284)</f>
        <v>0.75851891601824573</v>
      </c>
    </row>
    <row r="1285" spans="1:13" x14ac:dyDescent="0.25">
      <c r="A1285" s="29">
        <v>45834</v>
      </c>
      <c r="B1285" s="16" t="s">
        <v>1331</v>
      </c>
      <c r="C1285" s="34">
        <v>1</v>
      </c>
      <c r="D1285" s="16" t="s">
        <v>64</v>
      </c>
      <c r="E1285" s="35">
        <v>0.7</v>
      </c>
      <c r="F1285" s="35">
        <v>0.5</v>
      </c>
      <c r="G1285" s="16" t="s">
        <v>44</v>
      </c>
      <c r="H1285" s="16" t="s">
        <v>45</v>
      </c>
      <c r="I1285" s="16">
        <f>COUNTIF(G$5:G1285,"Y")/COUNTA(G$5:G1285)</f>
        <v>0.87900078064012488</v>
      </c>
      <c r="J1285" s="16">
        <f>COUNTIF(H$5:H1285,"Y")/COUNTA(H$5:H1285)</f>
        <v>4.9960967993754879E-2</v>
      </c>
      <c r="K1285" s="16">
        <f>AVERAGE(F$5:F1285)</f>
        <v>2.2072599531615911</v>
      </c>
      <c r="L1285" s="16">
        <f>SUM(F$5:F1285)/SUM(E$5:E1285)</f>
        <v>0.75851060975936957</v>
      </c>
    </row>
    <row r="1286" spans="1:13" x14ac:dyDescent="0.25">
      <c r="A1286" s="29">
        <v>45835</v>
      </c>
      <c r="B1286" s="16" t="s">
        <v>1332</v>
      </c>
      <c r="C1286" s="34">
        <v>1</v>
      </c>
      <c r="D1286" s="16" t="s">
        <v>43</v>
      </c>
      <c r="E1286" s="35">
        <v>0.6</v>
      </c>
      <c r="F1286" s="35">
        <v>0.5</v>
      </c>
      <c r="G1286" s="16" t="s">
        <v>44</v>
      </c>
      <c r="H1286" s="16" t="s">
        <v>45</v>
      </c>
      <c r="I1286" s="16">
        <f>COUNTIF(G$5:G1286,"Y")/COUNTA(G$5:G1286)</f>
        <v>0.87909516380655228</v>
      </c>
      <c r="J1286" s="16">
        <f>COUNTIF(H$5:H1286,"Y")/COUNTA(H$5:H1286)</f>
        <v>4.9921996879875197E-2</v>
      </c>
      <c r="K1286" s="16">
        <f>AVERAGE(F$5:F1286)</f>
        <v>2.2059282371294837</v>
      </c>
      <c r="L1286" s="16">
        <f>SUM(F$5:F1286)/SUM(E$5:E1286)</f>
        <v>0.75852265107421668</v>
      </c>
    </row>
    <row r="1287" spans="1:13" x14ac:dyDescent="0.25">
      <c r="A1287" s="29">
        <v>45831</v>
      </c>
      <c r="B1287" s="16" t="s">
        <v>1333</v>
      </c>
      <c r="C1287" s="34">
        <v>1</v>
      </c>
      <c r="D1287" s="16" t="s">
        <v>60</v>
      </c>
      <c r="E1287" s="35">
        <v>0.7</v>
      </c>
      <c r="F1287" s="35">
        <v>0.5</v>
      </c>
      <c r="G1287" s="16" t="s">
        <v>45</v>
      </c>
      <c r="H1287" s="16" t="s">
        <v>45</v>
      </c>
      <c r="I1287" s="16">
        <f>COUNTIF(G$5:G1287,"Y")/COUNTA(G$5:G1287)</f>
        <v>0.87840997661730325</v>
      </c>
      <c r="J1287" s="16">
        <f>COUNTIF(H$5:H1287,"Y")/COUNTA(H$5:H1287)</f>
        <v>4.9883086515978177E-2</v>
      </c>
      <c r="K1287" s="16">
        <f>AVERAGE(F$5:F1287)</f>
        <v>2.2045985970381903</v>
      </c>
      <c r="L1287" s="16">
        <f>SUM(F$5:F1287)/SUM(E$5:E1287)</f>
        <v>0.75851434700992282</v>
      </c>
    </row>
    <row r="1288" spans="1:13" x14ac:dyDescent="0.25">
      <c r="A1288" s="29">
        <v>45832</v>
      </c>
      <c r="B1288" s="16" t="s">
        <v>1334</v>
      </c>
      <c r="C1288" s="34">
        <v>1</v>
      </c>
      <c r="D1288" s="16" t="s">
        <v>50</v>
      </c>
      <c r="E1288" s="35">
        <v>0.6</v>
      </c>
      <c r="F1288" s="35">
        <v>0.5</v>
      </c>
      <c r="G1288" s="16" t="s">
        <v>44</v>
      </c>
      <c r="H1288" s="16" t="s">
        <v>45</v>
      </c>
      <c r="I1288" s="16">
        <f>COUNTIF(G$5:G1288,"Y")/COUNTA(G$5:G1288)</f>
        <v>0.87850467289719625</v>
      </c>
      <c r="J1288" s="16">
        <f>COUNTIF(H$5:H1288,"Y")/COUNTA(H$5:H1288)</f>
        <v>4.9844236760124609E-2</v>
      </c>
      <c r="K1288" s="16">
        <f>AVERAGE(F$5:F1288)</f>
        <v>2.2032710280373817</v>
      </c>
      <c r="L1288" s="16">
        <f>SUM(F$5:F1288)/SUM(E$5:E1288)</f>
        <v>0.75852638352638413</v>
      </c>
    </row>
    <row r="1289" spans="1:13" x14ac:dyDescent="0.25">
      <c r="A1289" s="29">
        <v>45833</v>
      </c>
      <c r="B1289" s="16" t="s">
        <v>1335</v>
      </c>
      <c r="C1289" s="34">
        <v>1</v>
      </c>
      <c r="D1289" s="16" t="s">
        <v>50</v>
      </c>
      <c r="E1289" s="35">
        <v>0.6</v>
      </c>
      <c r="F1289" s="35">
        <v>0.5</v>
      </c>
      <c r="G1289" s="16" t="s">
        <v>44</v>
      </c>
      <c r="H1289" s="16" t="s">
        <v>45</v>
      </c>
      <c r="I1289" s="16">
        <f>COUNTIF(G$5:G1289,"Y")/COUNTA(G$5:G1289)</f>
        <v>0.87859922178988326</v>
      </c>
      <c r="J1289" s="16">
        <f>COUNTIF(H$5:H1289,"Y")/COUNTA(H$5:H1289)</f>
        <v>4.9805447470817124E-2</v>
      </c>
      <c r="K1289" s="16">
        <f>AVERAGE(F$5:F1289)</f>
        <v>2.2019455252918272</v>
      </c>
      <c r="L1289" s="16">
        <f>SUM(F$5:F1289)/SUM(E$5:E1289)</f>
        <v>0.75853841617071538</v>
      </c>
    </row>
    <row r="1290" spans="1:13" x14ac:dyDescent="0.25">
      <c r="A1290" s="29">
        <v>45834</v>
      </c>
      <c r="B1290" s="16" t="s">
        <v>1336</v>
      </c>
      <c r="C1290" s="34">
        <v>1</v>
      </c>
      <c r="D1290" s="16" t="s">
        <v>50</v>
      </c>
      <c r="E1290" s="35">
        <v>1</v>
      </c>
      <c r="F1290" s="35">
        <v>0.5</v>
      </c>
      <c r="G1290" s="16" t="s">
        <v>44</v>
      </c>
      <c r="H1290" s="16" t="s">
        <v>45</v>
      </c>
      <c r="I1290" s="16">
        <f>COUNTIF(G$5:G1290,"Y")/COUNTA(G$5:G1290)</f>
        <v>0.87869362363919135</v>
      </c>
      <c r="J1290" s="16">
        <f>COUNTIF(H$5:H1290,"Y")/COUNTA(H$5:H1290)</f>
        <v>4.9766718506998445E-2</v>
      </c>
      <c r="K1290" s="16">
        <f>AVERAGE(F$5:F1290)</f>
        <v>2.2006220839813362</v>
      </c>
      <c r="L1290" s="16">
        <f>SUM(F$5:F1290)/SUM(E$5:E1290)</f>
        <v>0.7584691252144089</v>
      </c>
      <c r="M1290" s="16">
        <v>8</v>
      </c>
    </row>
    <row r="1291" spans="1:13" x14ac:dyDescent="0.25">
      <c r="A1291" s="29">
        <v>45838</v>
      </c>
      <c r="B1291" s="16" t="s">
        <v>1337</v>
      </c>
      <c r="C1291" s="34">
        <v>1</v>
      </c>
      <c r="D1291" s="16" t="s">
        <v>43</v>
      </c>
      <c r="E1291" s="35">
        <v>5.5</v>
      </c>
      <c r="F1291" s="35">
        <v>3.9</v>
      </c>
      <c r="G1291" s="16" t="s">
        <v>44</v>
      </c>
      <c r="H1291" s="16" t="s">
        <v>45</v>
      </c>
      <c r="I1291" s="16">
        <f>COUNTIF(G$5:G1291,"Y")/COUNTA(G$5:G1291)</f>
        <v>0.87878787878787878</v>
      </c>
      <c r="J1291" s="16">
        <f>COUNTIF(H$5:H1291,"Y")/COUNTA(H$5:H1291)</f>
        <v>4.9728049728049728E-2</v>
      </c>
      <c r="K1291" s="16">
        <f>AVERAGE(F$5:F1291)</f>
        <v>2.2019425019425007</v>
      </c>
      <c r="L1291" s="16">
        <f>SUM(F$5:F1291)/SUM(E$5:E1291)</f>
        <v>0.75839644606203405</v>
      </c>
    </row>
    <row r="1292" spans="1:13" x14ac:dyDescent="0.25">
      <c r="A1292" s="29">
        <v>45839</v>
      </c>
      <c r="B1292" s="16" t="s">
        <v>1338</v>
      </c>
      <c r="C1292" s="34">
        <v>1</v>
      </c>
      <c r="D1292" s="16" t="s">
        <v>60</v>
      </c>
      <c r="E1292" s="35">
        <v>4.5999999999999996</v>
      </c>
      <c r="F1292" s="35">
        <v>3.4</v>
      </c>
      <c r="G1292" s="16" t="s">
        <v>44</v>
      </c>
      <c r="H1292" s="16" t="s">
        <v>45</v>
      </c>
      <c r="I1292" s="16">
        <f>COUNTIF(G$5:G1292,"Y")/COUNTA(G$5:G1292)</f>
        <v>0.8788819875776398</v>
      </c>
      <c r="J1292" s="16">
        <f>COUNTIF(H$5:H1292,"Y")/COUNTA(H$5:H1292)</f>
        <v>4.9689440993788817E-2</v>
      </c>
      <c r="K1292" s="16">
        <f>AVERAGE(F$5:F1292)</f>
        <v>2.202872670807452</v>
      </c>
      <c r="L1292" s="16">
        <f>SUM(F$5:F1292)/SUM(E$5:E1292)</f>
        <v>0.75837275813220073</v>
      </c>
    </row>
    <row r="1293" spans="1:13" x14ac:dyDescent="0.25">
      <c r="A1293" s="29">
        <v>45840</v>
      </c>
      <c r="B1293" s="16" t="s">
        <v>1339</v>
      </c>
      <c r="C1293" s="34">
        <v>1</v>
      </c>
      <c r="D1293" s="16" t="s">
        <v>43</v>
      </c>
      <c r="E1293" s="35">
        <v>6.3</v>
      </c>
      <c r="F1293" s="35">
        <v>4.4000000000000004</v>
      </c>
      <c r="G1293" s="16" t="s">
        <v>44</v>
      </c>
      <c r="H1293" s="16" t="s">
        <v>45</v>
      </c>
      <c r="I1293" s="16">
        <f>COUNTIF(G$5:G1293,"Y")/COUNTA(G$5:G1293)</f>
        <v>0.8789759503491078</v>
      </c>
      <c r="J1293" s="16">
        <f>COUNTIF(H$5:H1293,"Y")/COUNTA(H$5:H1293)</f>
        <v>4.965089216446858E-2</v>
      </c>
      <c r="K1293" s="16">
        <f>AVERAGE(F$5:F1293)</f>
        <v>2.2045771916214107</v>
      </c>
      <c r="L1293" s="16">
        <f>SUM(F$5:F1293)/SUM(E$5:E1293)</f>
        <v>0.75827196072152914</v>
      </c>
    </row>
    <row r="1294" spans="1:13" x14ac:dyDescent="0.25">
      <c r="A1294" s="29">
        <v>45841</v>
      </c>
      <c r="B1294" s="16" t="s">
        <v>1340</v>
      </c>
      <c r="C1294" s="34">
        <v>1</v>
      </c>
      <c r="D1294" s="16" t="s">
        <v>60</v>
      </c>
      <c r="E1294" s="35">
        <v>3.3</v>
      </c>
      <c r="F1294" s="35">
        <v>2.8</v>
      </c>
      <c r="G1294" s="16" t="s">
        <v>44</v>
      </c>
      <c r="H1294" s="16" t="s">
        <v>45</v>
      </c>
      <c r="I1294" s="16">
        <f>COUNTIF(G$5:G1294,"Y")/COUNTA(G$5:G1294)</f>
        <v>0.87906976744186049</v>
      </c>
      <c r="J1294" s="16">
        <f>COUNTIF(H$5:H1294,"Y")/COUNTA(H$5:H1294)</f>
        <v>4.9612403100775193E-2</v>
      </c>
      <c r="K1294" s="16">
        <f>AVERAGE(F$5:F1294)</f>
        <v>2.2050387596899212</v>
      </c>
      <c r="L1294" s="16">
        <f>SUM(F$5:F1294)/SUM(E$5:E1294)</f>
        <v>0.75835132901437063</v>
      </c>
    </row>
    <row r="1295" spans="1:13" x14ac:dyDescent="0.25">
      <c r="A1295" s="29">
        <v>45842</v>
      </c>
      <c r="B1295" s="16" t="s">
        <v>1341</v>
      </c>
      <c r="C1295" s="34">
        <v>1</v>
      </c>
      <c r="D1295" s="16" t="s">
        <v>52</v>
      </c>
      <c r="E1295" s="35">
        <v>5.8</v>
      </c>
      <c r="F1295" s="35">
        <v>3.9</v>
      </c>
      <c r="G1295" s="16" t="s">
        <v>44</v>
      </c>
      <c r="H1295" s="16" t="s">
        <v>45</v>
      </c>
      <c r="I1295" s="16">
        <f>COUNTIF(G$5:G1295,"Y")/COUNTA(G$5:G1295)</f>
        <v>0.87916343919442297</v>
      </c>
      <c r="J1295" s="16">
        <f>COUNTIF(H$5:H1295,"Y")/COUNTA(H$5:H1295)</f>
        <v>4.9573973663826494E-2</v>
      </c>
      <c r="K1295" s="16">
        <f>AVERAGE(F$5:F1295)</f>
        <v>2.206351665375677</v>
      </c>
      <c r="L1295" s="16">
        <f>SUM(F$5:F1295)/SUM(E$5:E1295)</f>
        <v>0.75821864934650163</v>
      </c>
    </row>
    <row r="1296" spans="1:13" x14ac:dyDescent="0.25">
      <c r="A1296" s="29">
        <v>45838</v>
      </c>
      <c r="B1296" s="16" t="s">
        <v>1342</v>
      </c>
      <c r="C1296" s="34">
        <v>1</v>
      </c>
      <c r="D1296" s="16" t="s">
        <v>43</v>
      </c>
      <c r="E1296" s="35">
        <v>3.7</v>
      </c>
      <c r="F1296" s="35">
        <v>2.8</v>
      </c>
      <c r="G1296" s="16" t="s">
        <v>45</v>
      </c>
      <c r="H1296" s="16" t="s">
        <v>45</v>
      </c>
      <c r="I1296" s="16">
        <f>COUNTIF(G$5:G1296,"Y")/COUNTA(G$5:G1296)</f>
        <v>0.87848297213622295</v>
      </c>
      <c r="J1296" s="16">
        <f>COUNTIF(H$5:H1296,"Y")/COUNTA(H$5:H1296)</f>
        <v>4.9535603715170282E-2</v>
      </c>
      <c r="K1296" s="16">
        <f>AVERAGE(F$5:F1296)</f>
        <v>2.206811145510835</v>
      </c>
      <c r="L1296" s="16">
        <f>SUM(F$5:F1296)/SUM(E$5:E1296)</f>
        <v>0.75821721093500771</v>
      </c>
    </row>
    <row r="1297" spans="1:12" x14ac:dyDescent="0.25">
      <c r="A1297" s="29">
        <v>45839</v>
      </c>
      <c r="B1297" s="16" t="s">
        <v>1343</v>
      </c>
      <c r="C1297" s="34">
        <v>1</v>
      </c>
      <c r="D1297" s="16" t="s">
        <v>43</v>
      </c>
      <c r="E1297" s="35">
        <v>4.9000000000000004</v>
      </c>
      <c r="F1297" s="35">
        <v>3.5</v>
      </c>
      <c r="G1297" s="16" t="s">
        <v>44</v>
      </c>
      <c r="H1297" s="16" t="s">
        <v>45</v>
      </c>
      <c r="I1297" s="16">
        <f>COUNTIF(G$5:G1297,"Y")/COUNTA(G$5:G1297)</f>
        <v>0.8785769528228925</v>
      </c>
      <c r="J1297" s="16">
        <f>COUNTIF(H$5:H1297,"Y")/COUNTA(H$5:H1297)</f>
        <v>4.9497293116782679E-2</v>
      </c>
      <c r="K1297" s="16">
        <f>AVERAGE(F$5:F1297)</f>
        <v>2.2078112915699912</v>
      </c>
      <c r="L1297" s="16">
        <f>SUM(F$5:F1297)/SUM(E$5:E1297)</f>
        <v>0.75816004036863005</v>
      </c>
    </row>
    <row r="1298" spans="1:12" x14ac:dyDescent="0.25">
      <c r="A1298" s="29">
        <v>45840</v>
      </c>
      <c r="B1298" s="16" t="s">
        <v>1344</v>
      </c>
      <c r="C1298" s="34">
        <v>1</v>
      </c>
      <c r="D1298" s="16" t="s">
        <v>50</v>
      </c>
      <c r="E1298" s="35">
        <v>3.4</v>
      </c>
      <c r="F1298" s="35">
        <v>2.8</v>
      </c>
      <c r="G1298" s="16" t="s">
        <v>44</v>
      </c>
      <c r="H1298" s="16" t="s">
        <v>45</v>
      </c>
      <c r="I1298" s="16">
        <f>COUNTIF(G$5:G1298,"Y")/COUNTA(G$5:G1298)</f>
        <v>0.87867078825347755</v>
      </c>
      <c r="J1298" s="16">
        <f>COUNTIF(H$5:H1298,"Y")/COUNTA(H$5:H1298)</f>
        <v>4.945904173106646E-2</v>
      </c>
      <c r="K1298" s="16">
        <f>AVERAGE(F$5:F1298)</f>
        <v>2.2082689335394119</v>
      </c>
      <c r="L1298" s="16">
        <f>SUM(F$5:F1298)/SUM(E$5:E1298)</f>
        <v>0.75821901451428952</v>
      </c>
    </row>
    <row r="1299" spans="1:12" x14ac:dyDescent="0.25">
      <c r="A1299" s="29">
        <v>45841</v>
      </c>
      <c r="B1299" s="16" t="s">
        <v>1345</v>
      </c>
      <c r="C1299" s="34">
        <v>1</v>
      </c>
      <c r="D1299" s="16" t="s">
        <v>56</v>
      </c>
      <c r="E1299" s="35">
        <v>2.9</v>
      </c>
      <c r="F1299" s="35">
        <v>2</v>
      </c>
      <c r="G1299" s="16" t="s">
        <v>44</v>
      </c>
      <c r="H1299" s="16" t="s">
        <v>45</v>
      </c>
      <c r="I1299" s="16">
        <f>COUNTIF(G$5:G1299,"Y")/COUNTA(G$5:G1299)</f>
        <v>0.87876447876447872</v>
      </c>
      <c r="J1299" s="16">
        <f>COUNTIF(H$5:H1299,"Y")/COUNTA(H$5:H1299)</f>
        <v>4.9420849420849421E-2</v>
      </c>
      <c r="K1299" s="16">
        <f>AVERAGE(F$5:F1299)</f>
        <v>2.2081081081081075</v>
      </c>
      <c r="L1299" s="16">
        <f>SUM(F$5:F1299)/SUM(E$5:E1299)</f>
        <v>0.75816629547141878</v>
      </c>
    </row>
    <row r="1300" spans="1:12" x14ac:dyDescent="0.25">
      <c r="A1300" s="29">
        <v>45842</v>
      </c>
      <c r="B1300" s="16" t="s">
        <v>1346</v>
      </c>
      <c r="C1300" s="34">
        <v>1</v>
      </c>
      <c r="D1300" s="16" t="s">
        <v>56</v>
      </c>
      <c r="E1300" s="35">
        <v>4.9000000000000004</v>
      </c>
      <c r="F1300" s="35">
        <v>3.3</v>
      </c>
      <c r="G1300" s="16" t="s">
        <v>44</v>
      </c>
      <c r="H1300" s="16" t="s">
        <v>44</v>
      </c>
      <c r="I1300" s="16">
        <f>COUNTIF(G$5:G1300,"Y")/COUNTA(G$5:G1300)</f>
        <v>0.87885802469135799</v>
      </c>
      <c r="J1300" s="16">
        <f>COUNTIF(H$5:H1300,"Y")/COUNTA(H$5:H1300)</f>
        <v>5.0154320987654322E-2</v>
      </c>
      <c r="K1300" s="16">
        <f>AVERAGE(F$5:F1300)</f>
        <v>2.2089506172839499</v>
      </c>
      <c r="L1300" s="16">
        <f>SUM(F$5:F1300)/SUM(E$5:E1300)</f>
        <v>0.75805640142989617</v>
      </c>
    </row>
    <row r="1301" spans="1:12" x14ac:dyDescent="0.25">
      <c r="A1301" s="29">
        <v>45838</v>
      </c>
      <c r="B1301" s="16" t="s">
        <v>1347</v>
      </c>
      <c r="C1301" s="34">
        <v>1</v>
      </c>
      <c r="D1301" s="16" t="s">
        <v>43</v>
      </c>
      <c r="E1301" s="35">
        <v>3.5</v>
      </c>
      <c r="F1301" s="35">
        <v>2.5</v>
      </c>
      <c r="G1301" s="16" t="s">
        <v>44</v>
      </c>
      <c r="H1301" s="16" t="s">
        <v>45</v>
      </c>
      <c r="I1301" s="16">
        <f>COUNTIF(G$5:G1301,"Y")/COUNTA(G$5:G1301)</f>
        <v>0.87895142636854284</v>
      </c>
      <c r="J1301" s="16">
        <f>COUNTIF(H$5:H1301,"Y")/COUNTA(H$5:H1301)</f>
        <v>5.0115651503469548E-2</v>
      </c>
      <c r="K1301" s="16">
        <f>AVERAGE(F$5:F1301)</f>
        <v>2.20917501927525</v>
      </c>
      <c r="L1301" s="16">
        <f>SUM(F$5:F1301)/SUM(E$5:E1301)</f>
        <v>0.75801587301587381</v>
      </c>
    </row>
    <row r="1302" spans="1:12" x14ac:dyDescent="0.25">
      <c r="A1302" s="29">
        <v>45839</v>
      </c>
      <c r="B1302" s="16" t="s">
        <v>1348</v>
      </c>
      <c r="C1302" s="34">
        <v>1</v>
      </c>
      <c r="D1302" s="16" t="s">
        <v>60</v>
      </c>
      <c r="E1302" s="35">
        <v>4.9000000000000004</v>
      </c>
      <c r="F1302" s="35">
        <v>3.4</v>
      </c>
      <c r="G1302" s="16" t="s">
        <v>44</v>
      </c>
      <c r="H1302" s="16" t="s">
        <v>45</v>
      </c>
      <c r="I1302" s="16">
        <f>COUNTIF(G$5:G1302,"Y")/COUNTA(G$5:G1302)</f>
        <v>0.87904468412942993</v>
      </c>
      <c r="J1302" s="16">
        <f>COUNTIF(H$5:H1302,"Y")/COUNTA(H$5:H1302)</f>
        <v>5.007704160246533E-2</v>
      </c>
      <c r="K1302" s="16">
        <f>AVERAGE(F$5:F1302)</f>
        <v>2.2100924499229579</v>
      </c>
      <c r="L1302" s="16">
        <f>SUM(F$5:F1302)/SUM(E$5:E1302)</f>
        <v>0.75793283838410608</v>
      </c>
    </row>
    <row r="1303" spans="1:12" x14ac:dyDescent="0.25">
      <c r="A1303" s="29">
        <v>45840</v>
      </c>
      <c r="B1303" s="16" t="s">
        <v>1349</v>
      </c>
      <c r="C1303" s="34">
        <v>1</v>
      </c>
      <c r="D1303" s="16" t="s">
        <v>47</v>
      </c>
      <c r="E1303" s="35">
        <v>5.4</v>
      </c>
      <c r="F1303" s="35">
        <v>4.0999999999999996</v>
      </c>
      <c r="G1303" s="16" t="s">
        <v>44</v>
      </c>
      <c r="H1303" s="16" t="s">
        <v>45</v>
      </c>
      <c r="I1303" s="16">
        <f>COUNTIF(G$5:G1303,"Y")/COUNTA(G$5:G1303)</f>
        <v>0.8791377983063895</v>
      </c>
      <c r="J1303" s="16">
        <f>COUNTIF(H$5:H1303,"Y")/COUNTA(H$5:H1303)</f>
        <v>5.0038491147036179E-2</v>
      </c>
      <c r="K1303" s="16">
        <f>AVERAGE(F$5:F1303)</f>
        <v>2.211547344110854</v>
      </c>
      <c r="L1303" s="16">
        <f>SUM(F$5:F1303)/SUM(E$5:E1303)</f>
        <v>0.75793472812178531</v>
      </c>
    </row>
    <row r="1304" spans="1:12" x14ac:dyDescent="0.25">
      <c r="A1304" s="29">
        <v>45841</v>
      </c>
      <c r="B1304" s="16" t="s">
        <v>1350</v>
      </c>
      <c r="C1304" s="34">
        <v>1</v>
      </c>
      <c r="D1304" s="16" t="s">
        <v>60</v>
      </c>
      <c r="E1304" s="35">
        <v>1.7</v>
      </c>
      <c r="F1304" s="35">
        <v>1.3</v>
      </c>
      <c r="G1304" s="16" t="s">
        <v>44</v>
      </c>
      <c r="H1304" s="16" t="s">
        <v>45</v>
      </c>
      <c r="I1304" s="16">
        <f>COUNTIF(G$5:G1304,"Y")/COUNTA(G$5:G1304)</f>
        <v>0.87923076923076926</v>
      </c>
      <c r="J1304" s="16">
        <f>COUNTIF(H$5:H1304,"Y")/COUNTA(H$5:H1304)</f>
        <v>0.05</v>
      </c>
      <c r="K1304" s="16">
        <f>AVERAGE(F$5:F1304)</f>
        <v>2.2108461538461532</v>
      </c>
      <c r="L1304" s="16">
        <f>SUM(F$5:F1304)/SUM(E$5:E1304)</f>
        <v>0.75793776371308097</v>
      </c>
    </row>
    <row r="1305" spans="1:12" x14ac:dyDescent="0.25">
      <c r="A1305" s="29">
        <v>45842</v>
      </c>
      <c r="B1305" s="16" t="s">
        <v>1351</v>
      </c>
      <c r="C1305" s="34">
        <v>1</v>
      </c>
      <c r="D1305" s="16" t="s">
        <v>43</v>
      </c>
      <c r="E1305" s="35">
        <v>3.1</v>
      </c>
      <c r="F1305" s="35">
        <v>2.4</v>
      </c>
      <c r="G1305" s="16" t="s">
        <v>44</v>
      </c>
      <c r="H1305" s="16" t="s">
        <v>45</v>
      </c>
      <c r="I1305" s="16">
        <f>COUNTIF(G$5:G1305,"Y")/COUNTA(G$5:G1305)</f>
        <v>0.87932359723289777</v>
      </c>
      <c r="J1305" s="16">
        <f>COUNTIF(H$5:H1305,"Y")/COUNTA(H$5:H1305)</f>
        <v>4.9961568024596462E-2</v>
      </c>
      <c r="K1305" s="16">
        <f>AVERAGE(F$5:F1305)</f>
        <v>2.2109915449654109</v>
      </c>
      <c r="L1305" s="16">
        <f>SUM(F$5:F1305)/SUM(E$5:E1305)</f>
        <v>0.75795104213327802</v>
      </c>
    </row>
    <row r="1306" spans="1:12" x14ac:dyDescent="0.25">
      <c r="A1306" s="29">
        <v>45838</v>
      </c>
      <c r="B1306" s="16" t="s">
        <v>1352</v>
      </c>
      <c r="C1306" s="34">
        <v>1</v>
      </c>
      <c r="D1306" s="16" t="s">
        <v>52</v>
      </c>
      <c r="E1306" s="35">
        <v>2.6</v>
      </c>
      <c r="F1306" s="35">
        <v>1.8</v>
      </c>
      <c r="G1306" s="16" t="s">
        <v>44</v>
      </c>
      <c r="H1306" s="16" t="s">
        <v>45</v>
      </c>
      <c r="I1306" s="16">
        <f>COUNTIF(G$5:G1306,"Y")/COUNTA(G$5:G1306)</f>
        <v>0.87941628264208904</v>
      </c>
      <c r="J1306" s="16">
        <f>COUNTIF(H$5:H1306,"Y")/COUNTA(H$5:H1306)</f>
        <v>4.9923195084485408E-2</v>
      </c>
      <c r="K1306" s="16">
        <f>AVERAGE(F$5:F1306)</f>
        <v>2.2106758832565281</v>
      </c>
      <c r="L1306" s="16">
        <f>SUM(F$5:F1306)/SUM(E$5:E1306)</f>
        <v>0.75790610106116951</v>
      </c>
    </row>
    <row r="1307" spans="1:12" x14ac:dyDescent="0.25">
      <c r="A1307" s="29">
        <v>45839</v>
      </c>
      <c r="B1307" s="16" t="s">
        <v>1353</v>
      </c>
      <c r="C1307" s="34">
        <v>1</v>
      </c>
      <c r="D1307" s="16" t="s">
        <v>64</v>
      </c>
      <c r="E1307" s="35">
        <v>3.8</v>
      </c>
      <c r="F1307" s="35">
        <v>3.2</v>
      </c>
      <c r="G1307" s="16" t="s">
        <v>44</v>
      </c>
      <c r="H1307" s="16" t="s">
        <v>45</v>
      </c>
      <c r="I1307" s="16">
        <f>COUNTIF(G$5:G1307,"Y")/COUNTA(G$5:G1307)</f>
        <v>0.87950882578664624</v>
      </c>
      <c r="J1307" s="16">
        <f>COUNTIF(H$5:H1307,"Y")/COUNTA(H$5:H1307)</f>
        <v>4.9884881043745201E-2</v>
      </c>
      <c r="K1307" s="16">
        <f>AVERAGE(F$5:F1307)</f>
        <v>2.2114351496546427</v>
      </c>
      <c r="L1307" s="16">
        <f>SUM(F$5:F1307)/SUM(E$5:E1307)</f>
        <v>0.75799026699986938</v>
      </c>
    </row>
    <row r="1308" spans="1:12" x14ac:dyDescent="0.25">
      <c r="A1308" s="29">
        <v>45840</v>
      </c>
      <c r="B1308" s="16" t="s">
        <v>1354</v>
      </c>
      <c r="C1308" s="34">
        <v>1</v>
      </c>
      <c r="D1308" s="16" t="s">
        <v>56</v>
      </c>
      <c r="E1308" s="35">
        <v>2.2999999999999998</v>
      </c>
      <c r="F1308" s="35">
        <v>1.6</v>
      </c>
      <c r="G1308" s="16" t="s">
        <v>44</v>
      </c>
      <c r="H1308" s="16" t="s">
        <v>45</v>
      </c>
      <c r="I1308" s="16">
        <f>COUNTIF(G$5:G1308,"Y")/COUNTA(G$5:G1308)</f>
        <v>0.879601226993865</v>
      </c>
      <c r="J1308" s="16">
        <f>COUNTIF(H$5:H1308,"Y")/COUNTA(H$5:H1308)</f>
        <v>4.9846625766871162E-2</v>
      </c>
      <c r="K1308" s="16">
        <f>AVERAGE(F$5:F1308)</f>
        <v>2.2109662576687112</v>
      </c>
      <c r="L1308" s="16">
        <f>SUM(F$5:F1308)/SUM(E$5:E1308)</f>
        <v>0.75795257374204827</v>
      </c>
    </row>
    <row r="1309" spans="1:12" x14ac:dyDescent="0.25">
      <c r="A1309" s="29">
        <v>45841</v>
      </c>
      <c r="B1309" s="16" t="s">
        <v>1355</v>
      </c>
      <c r="C1309" s="34">
        <v>1</v>
      </c>
      <c r="D1309" s="16" t="s">
        <v>64</v>
      </c>
      <c r="E1309" s="35">
        <v>4.8</v>
      </c>
      <c r="F1309" s="35">
        <v>3.8</v>
      </c>
      <c r="G1309" s="16" t="s">
        <v>45</v>
      </c>
      <c r="H1309" s="16" t="s">
        <v>44</v>
      </c>
      <c r="I1309" s="16">
        <f>COUNTIF(G$5:G1309,"Y")/COUNTA(G$5:G1309)</f>
        <v>0.87892720306513406</v>
      </c>
      <c r="J1309" s="16">
        <f>COUNTIF(H$5:H1309,"Y")/COUNTA(H$5:H1309)</f>
        <v>5.057471264367816E-2</v>
      </c>
      <c r="K1309" s="16">
        <f>AVERAGE(F$5:F1309)</f>
        <v>2.2121839080459766</v>
      </c>
      <c r="L1309" s="16">
        <f>SUM(F$5:F1309)/SUM(E$5:E1309)</f>
        <v>0.7579950638029731</v>
      </c>
    </row>
    <row r="1310" spans="1:12" x14ac:dyDescent="0.25">
      <c r="A1310" s="29">
        <v>45842</v>
      </c>
      <c r="B1310" s="16" t="s">
        <v>1356</v>
      </c>
      <c r="C1310" s="34">
        <v>1</v>
      </c>
      <c r="D1310" s="16" t="s">
        <v>60</v>
      </c>
      <c r="E1310" s="35">
        <v>4.9000000000000004</v>
      </c>
      <c r="F1310" s="35">
        <v>3.4</v>
      </c>
      <c r="G1310" s="16" t="s">
        <v>44</v>
      </c>
      <c r="H1310" s="16" t="s">
        <v>45</v>
      </c>
      <c r="I1310" s="16">
        <f>COUNTIF(G$5:G1310,"Y")/COUNTA(G$5:G1310)</f>
        <v>0.87901990811638586</v>
      </c>
      <c r="J1310" s="16">
        <f>COUNTIF(H$5:H1310,"Y")/COUNTA(H$5:H1310)</f>
        <v>5.0535987748851458E-2</v>
      </c>
      <c r="K1310" s="16">
        <f>AVERAGE(F$5:F1310)</f>
        <v>2.2130934150076569</v>
      </c>
      <c r="L1310" s="16">
        <f>SUM(F$5:F1310)/SUM(E$5:E1310)</f>
        <v>0.75791267864166856</v>
      </c>
    </row>
    <row r="1311" spans="1:12" x14ac:dyDescent="0.25">
      <c r="A1311" s="29">
        <v>45838</v>
      </c>
      <c r="B1311" s="16" t="s">
        <v>1357</v>
      </c>
      <c r="C1311" s="34">
        <v>1</v>
      </c>
      <c r="D1311" s="16" t="s">
        <v>50</v>
      </c>
      <c r="E1311" s="35">
        <v>3.9</v>
      </c>
      <c r="F1311" s="35">
        <v>3</v>
      </c>
      <c r="G1311" s="16" t="s">
        <v>44</v>
      </c>
      <c r="H1311" s="16" t="s">
        <v>45</v>
      </c>
      <c r="I1311" s="16">
        <f>COUNTIF(G$5:G1311,"Y")/COUNTA(G$5:G1311)</f>
        <v>0.87911247130833969</v>
      </c>
      <c r="J1311" s="16">
        <f>COUNTIF(H$5:H1311,"Y")/COUNTA(H$5:H1311)</f>
        <v>5.0497322111706197E-2</v>
      </c>
      <c r="K1311" s="16">
        <f>AVERAGE(F$5:F1311)</f>
        <v>2.2136954858454474</v>
      </c>
      <c r="L1311" s="16">
        <f>SUM(F$5:F1311)/SUM(E$5:E1311)</f>
        <v>0.75792424163042993</v>
      </c>
    </row>
    <row r="1312" spans="1:12" x14ac:dyDescent="0.25">
      <c r="A1312" s="29">
        <v>45839</v>
      </c>
      <c r="B1312" s="16" t="s">
        <v>1358</v>
      </c>
      <c r="C1312" s="34">
        <v>1</v>
      </c>
      <c r="D1312" s="16" t="s">
        <v>43</v>
      </c>
      <c r="E1312" s="35">
        <v>3.6</v>
      </c>
      <c r="F1312" s="35">
        <v>2.6</v>
      </c>
      <c r="G1312" s="16" t="s">
        <v>44</v>
      </c>
      <c r="H1312" s="16" t="s">
        <v>45</v>
      </c>
      <c r="I1312" s="16">
        <f>COUNTIF(G$5:G1312,"Y")/COUNTA(G$5:G1312)</f>
        <v>0.87920489296636084</v>
      </c>
      <c r="J1312" s="16">
        <f>COUNTIF(H$5:H1312,"Y")/COUNTA(H$5:H1312)</f>
        <v>5.0458715596330278E-2</v>
      </c>
      <c r="K1312" s="16">
        <f>AVERAGE(F$5:F1312)</f>
        <v>2.2139908256880729</v>
      </c>
      <c r="L1312" s="16">
        <f>SUM(F$5:F1312)/SUM(E$5:E1312)</f>
        <v>0.75789060455378254</v>
      </c>
    </row>
    <row r="1313" spans="1:12" x14ac:dyDescent="0.25">
      <c r="A1313" s="29">
        <v>45840</v>
      </c>
      <c r="B1313" s="16" t="s">
        <v>1359</v>
      </c>
      <c r="C1313" s="34">
        <v>1</v>
      </c>
      <c r="D1313" s="16" t="s">
        <v>60</v>
      </c>
      <c r="E1313" s="35">
        <v>4.5</v>
      </c>
      <c r="F1313" s="35">
        <v>3</v>
      </c>
      <c r="G1313" s="16" t="s">
        <v>44</v>
      </c>
      <c r="H1313" s="16" t="s">
        <v>45</v>
      </c>
      <c r="I1313" s="16">
        <f>COUNTIF(G$5:G1313,"Y")/COUNTA(G$5:G1313)</f>
        <v>0.8792971734148205</v>
      </c>
      <c r="J1313" s="16">
        <f>COUNTIF(H$5:H1313,"Y")/COUNTA(H$5:H1313)</f>
        <v>5.0420168067226892E-2</v>
      </c>
      <c r="K1313" s="16">
        <f>AVERAGE(F$5:F1313)</f>
        <v>2.214591291061879</v>
      </c>
      <c r="L1313" s="16">
        <f>SUM(F$5:F1313)/SUM(E$5:E1313)</f>
        <v>0.75778329630113794</v>
      </c>
    </row>
    <row r="1314" spans="1:12" x14ac:dyDescent="0.25">
      <c r="A1314" s="29">
        <v>45841</v>
      </c>
      <c r="B1314" s="16" t="s">
        <v>1360</v>
      </c>
      <c r="C1314" s="34">
        <v>1</v>
      </c>
      <c r="D1314" s="16" t="s">
        <v>60</v>
      </c>
      <c r="E1314" s="35">
        <v>3.2</v>
      </c>
      <c r="F1314" s="35">
        <v>2.5</v>
      </c>
      <c r="G1314" s="16" t="s">
        <v>44</v>
      </c>
      <c r="H1314" s="16" t="s">
        <v>45</v>
      </c>
      <c r="I1314" s="16">
        <f>COUNTIF(G$5:G1314,"Y")/COUNTA(G$5:G1314)</f>
        <v>0.87938931297709921</v>
      </c>
      <c r="J1314" s="16">
        <f>COUNTIF(H$5:H1314,"Y")/COUNTA(H$5:H1314)</f>
        <v>5.0381679389312976E-2</v>
      </c>
      <c r="K1314" s="16">
        <f>AVERAGE(F$5:F1314)</f>
        <v>2.214809160305343</v>
      </c>
      <c r="L1314" s="16">
        <f>SUM(F$5:F1314)/SUM(E$5:E1314)</f>
        <v>0.75780290960378283</v>
      </c>
    </row>
    <row r="1315" spans="1:12" x14ac:dyDescent="0.25">
      <c r="A1315" s="29">
        <v>45842</v>
      </c>
      <c r="B1315" s="16" t="s">
        <v>1361</v>
      </c>
      <c r="C1315" s="34">
        <v>1</v>
      </c>
      <c r="D1315" s="16" t="s">
        <v>50</v>
      </c>
      <c r="E1315" s="35">
        <v>5.3</v>
      </c>
      <c r="F1315" s="35">
        <v>3.9</v>
      </c>
      <c r="G1315" s="16" t="s">
        <v>44</v>
      </c>
      <c r="H1315" s="16" t="s">
        <v>45</v>
      </c>
      <c r="I1315" s="16">
        <f>COUNTIF(G$5:G1315,"Y")/COUNTA(G$5:G1315)</f>
        <v>0.87948131197559121</v>
      </c>
      <c r="J1315" s="16">
        <f>COUNTIF(H$5:H1315,"Y")/COUNTA(H$5:H1315)</f>
        <v>5.0343249427917618E-2</v>
      </c>
      <c r="K1315" s="16">
        <f>AVERAGE(F$5:F1315)</f>
        <v>2.2160945842868038</v>
      </c>
      <c r="L1315" s="16">
        <f>SUM(F$5:F1315)/SUM(E$5:E1315)</f>
        <v>0.75777256129368886</v>
      </c>
    </row>
    <row r="1316" spans="1:12" x14ac:dyDescent="0.25">
      <c r="A1316" s="29">
        <v>45838</v>
      </c>
      <c r="B1316" s="16" t="s">
        <v>1362</v>
      </c>
      <c r="C1316" s="34">
        <v>1</v>
      </c>
      <c r="D1316" s="16" t="s">
        <v>47</v>
      </c>
      <c r="E1316" s="35">
        <v>4.9000000000000004</v>
      </c>
      <c r="F1316" s="35">
        <v>3.8</v>
      </c>
      <c r="G1316" s="16" t="s">
        <v>44</v>
      </c>
      <c r="H1316" s="16" t="s">
        <v>45</v>
      </c>
      <c r="I1316" s="16">
        <f>COUNTIF(G$5:G1316,"Y")/COUNTA(G$5:G1316)</f>
        <v>0.87957317073170727</v>
      </c>
      <c r="J1316" s="16">
        <f>COUNTIF(H$5:H1316,"Y")/COUNTA(H$5:H1316)</f>
        <v>5.0304878048780491E-2</v>
      </c>
      <c r="K1316" s="16">
        <f>AVERAGE(F$5:F1316)</f>
        <v>2.2173018292682927</v>
      </c>
      <c r="L1316" s="16">
        <f>SUM(F$5:F1316)/SUM(E$5:E1316)</f>
        <v>0.7577952017505023</v>
      </c>
    </row>
    <row r="1317" spans="1:12" x14ac:dyDescent="0.25">
      <c r="A1317" s="29">
        <v>45839</v>
      </c>
      <c r="B1317" s="16" t="s">
        <v>1363</v>
      </c>
      <c r="C1317" s="34">
        <v>1</v>
      </c>
      <c r="D1317" s="16" t="s">
        <v>47</v>
      </c>
      <c r="E1317" s="35">
        <v>5.0999999999999996</v>
      </c>
      <c r="F1317" s="35">
        <v>3.8</v>
      </c>
      <c r="G1317" s="16" t="s">
        <v>44</v>
      </c>
      <c r="H1317" s="16" t="s">
        <v>45</v>
      </c>
      <c r="I1317" s="16">
        <f>COUNTIF(G$5:G1317,"Y")/COUNTA(G$5:G1317)</f>
        <v>0.87966488956587963</v>
      </c>
      <c r="J1317" s="16">
        <f>COUNTIF(H$5:H1317,"Y")/COUNTA(H$5:H1317)</f>
        <v>5.0266565118050263E-2</v>
      </c>
      <c r="K1317" s="16">
        <f>AVERAGE(F$5:F1317)</f>
        <v>2.2185072353389184</v>
      </c>
      <c r="L1317" s="16">
        <f>SUM(F$5:F1317)/SUM(E$5:E1317)</f>
        <v>0.75777835587929332</v>
      </c>
    </row>
    <row r="1318" spans="1:12" x14ac:dyDescent="0.25">
      <c r="A1318" s="29">
        <v>45840</v>
      </c>
      <c r="B1318" s="16" t="s">
        <v>1364</v>
      </c>
      <c r="C1318" s="34">
        <v>1</v>
      </c>
      <c r="D1318" s="16" t="s">
        <v>60</v>
      </c>
      <c r="E1318" s="35">
        <v>2.8</v>
      </c>
      <c r="F1318" s="35">
        <v>2</v>
      </c>
      <c r="G1318" s="16" t="s">
        <v>45</v>
      </c>
      <c r="H1318" s="16" t="s">
        <v>45</v>
      </c>
      <c r="I1318" s="16">
        <f>COUNTIF(G$5:G1318,"Y")/COUNTA(G$5:G1318)</f>
        <v>0.87899543378995437</v>
      </c>
      <c r="J1318" s="16">
        <f>COUNTIF(H$5:H1318,"Y")/COUNTA(H$5:H1318)</f>
        <v>5.0228310502283102E-2</v>
      </c>
      <c r="K1318" s="16">
        <f>AVERAGE(F$5:F1318)</f>
        <v>2.2183409436834096</v>
      </c>
      <c r="L1318" s="16">
        <f>SUM(F$5:F1318)/SUM(E$5:E1318)</f>
        <v>0.75774669855464372</v>
      </c>
    </row>
    <row r="1319" spans="1:12" x14ac:dyDescent="0.25">
      <c r="A1319" s="29">
        <v>45841</v>
      </c>
      <c r="B1319" s="16" t="s">
        <v>1365</v>
      </c>
      <c r="C1319" s="34">
        <v>1</v>
      </c>
      <c r="D1319" s="16" t="s">
        <v>43</v>
      </c>
      <c r="E1319" s="35">
        <v>2.2000000000000002</v>
      </c>
      <c r="F1319" s="35">
        <v>1.5</v>
      </c>
      <c r="G1319" s="16" t="s">
        <v>44</v>
      </c>
      <c r="H1319" s="16" t="s">
        <v>45</v>
      </c>
      <c r="I1319" s="16">
        <f>COUNTIF(G$5:G1319,"Y")/COUNTA(G$5:G1319)</f>
        <v>0.8790874524714829</v>
      </c>
      <c r="J1319" s="16">
        <f>COUNTIF(H$5:H1319,"Y")/COUNTA(H$5:H1319)</f>
        <v>5.0190114068441066E-2</v>
      </c>
      <c r="K1319" s="16">
        <f>AVERAGE(F$5:F1319)</f>
        <v>2.2177946768060837</v>
      </c>
      <c r="L1319" s="16">
        <f>SUM(F$5:F1319)/SUM(E$5:E1319)</f>
        <v>0.75770329955832771</v>
      </c>
    </row>
    <row r="1320" spans="1:12" x14ac:dyDescent="0.25">
      <c r="A1320" s="29">
        <v>45842</v>
      </c>
      <c r="B1320" s="16" t="s">
        <v>1366</v>
      </c>
      <c r="C1320" s="34">
        <v>1</v>
      </c>
      <c r="D1320" s="16" t="s">
        <v>64</v>
      </c>
      <c r="E1320" s="35">
        <v>4.0999999999999996</v>
      </c>
      <c r="F1320" s="35">
        <v>3.1</v>
      </c>
      <c r="G1320" s="16" t="s">
        <v>44</v>
      </c>
      <c r="H1320" s="16" t="s">
        <v>45</v>
      </c>
      <c r="I1320" s="16">
        <f>COUNTIF(G$5:G1320,"Y")/COUNTA(G$5:G1320)</f>
        <v>0.87917933130699089</v>
      </c>
      <c r="J1320" s="16">
        <f>COUNTIF(H$5:H1320,"Y")/COUNTA(H$5:H1320)</f>
        <v>5.0151975683890578E-2</v>
      </c>
      <c r="K1320" s="16">
        <f>AVERAGE(F$5:F1320)</f>
        <v>2.2184650455927053</v>
      </c>
      <c r="L1320" s="16">
        <f>SUM(F$5:F1320)/SUM(E$5:E1320)</f>
        <v>0.75770159092678713</v>
      </c>
    </row>
    <row r="1321" spans="1:12" x14ac:dyDescent="0.25">
      <c r="A1321" s="29">
        <v>45838</v>
      </c>
      <c r="B1321" s="16" t="s">
        <v>1367</v>
      </c>
      <c r="C1321" s="34">
        <v>1</v>
      </c>
      <c r="D1321" s="16" t="s">
        <v>50</v>
      </c>
      <c r="E1321" s="35">
        <v>4.2</v>
      </c>
      <c r="F1321" s="35">
        <v>3.2</v>
      </c>
      <c r="G1321" s="16" t="s">
        <v>45</v>
      </c>
      <c r="H1321" s="16" t="s">
        <v>45</v>
      </c>
      <c r="I1321" s="16">
        <f>COUNTIF(G$5:G1321,"Y")/COUNTA(G$5:G1321)</f>
        <v>0.8785117691723614</v>
      </c>
      <c r="J1321" s="16">
        <f>COUNTIF(H$5:H1321,"Y")/COUNTA(H$5:H1321)</f>
        <v>5.011389521640091E-2</v>
      </c>
      <c r="K1321" s="16">
        <f>AVERAGE(F$5:F1321)</f>
        <v>2.2192103264996201</v>
      </c>
      <c r="L1321" s="16">
        <f>SUM(F$5:F1321)/SUM(E$5:E1321)</f>
        <v>0.7577061675265091</v>
      </c>
    </row>
    <row r="1322" spans="1:12" x14ac:dyDescent="0.25">
      <c r="A1322" s="29">
        <v>45839</v>
      </c>
      <c r="B1322" s="16" t="s">
        <v>1368</v>
      </c>
      <c r="C1322" s="34">
        <v>1</v>
      </c>
      <c r="D1322" s="16" t="s">
        <v>47</v>
      </c>
      <c r="E1322" s="35">
        <v>4.5</v>
      </c>
      <c r="F1322" s="35">
        <v>3.1</v>
      </c>
      <c r="G1322" s="16" t="s">
        <v>44</v>
      </c>
      <c r="H1322" s="16" t="s">
        <v>45</v>
      </c>
      <c r="I1322" s="16">
        <f>COUNTIF(G$5:G1322,"Y")/COUNTA(G$5:G1322)</f>
        <v>0.87860394537177544</v>
      </c>
      <c r="J1322" s="16">
        <f>COUNTIF(H$5:H1322,"Y")/COUNTA(H$5:H1322)</f>
        <v>5.007587253414264E-2</v>
      </c>
      <c r="K1322" s="16">
        <f>AVERAGE(F$5:F1322)</f>
        <v>2.2198786039453715</v>
      </c>
      <c r="L1322" s="16">
        <f>SUM(F$5:F1322)/SUM(E$5:E1322)</f>
        <v>0.75762597752343552</v>
      </c>
    </row>
    <row r="1323" spans="1:12" x14ac:dyDescent="0.25">
      <c r="A1323" s="29">
        <v>45840</v>
      </c>
      <c r="B1323" s="16" t="s">
        <v>1369</v>
      </c>
      <c r="C1323" s="34">
        <v>1</v>
      </c>
      <c r="D1323" s="16" t="s">
        <v>60</v>
      </c>
      <c r="E1323" s="35">
        <v>1.5</v>
      </c>
      <c r="F1323" s="35">
        <v>1.8</v>
      </c>
      <c r="G1323" s="16" t="s">
        <v>44</v>
      </c>
      <c r="H1323" s="16" t="s">
        <v>45</v>
      </c>
      <c r="I1323" s="16">
        <f>COUNTIF(G$5:G1323,"Y")/COUNTA(G$5:G1323)</f>
        <v>0.87869598180439723</v>
      </c>
      <c r="J1323" s="16">
        <f>COUNTIF(H$5:H1323,"Y")/COUNTA(H$5:H1323)</f>
        <v>5.0037907505686124E-2</v>
      </c>
      <c r="K1323" s="16">
        <f>AVERAGE(F$5:F1323)</f>
        <v>2.2195602729340407</v>
      </c>
      <c r="L1323" s="16">
        <f>SUM(F$5:F1323)/SUM(E$5:E1323)</f>
        <v>0.75779773768539938</v>
      </c>
    </row>
    <row r="1324" spans="1:12" x14ac:dyDescent="0.25">
      <c r="A1324" s="29">
        <v>45841</v>
      </c>
      <c r="B1324" s="16" t="s">
        <v>1370</v>
      </c>
      <c r="C1324" s="34">
        <v>1</v>
      </c>
      <c r="D1324" s="16" t="s">
        <v>43</v>
      </c>
      <c r="E1324" s="35">
        <v>0.5</v>
      </c>
      <c r="F1324" s="35">
        <v>1.4</v>
      </c>
      <c r="G1324" s="16" t="s">
        <v>44</v>
      </c>
      <c r="H1324" s="16" t="s">
        <v>45</v>
      </c>
      <c r="I1324" s="16">
        <f>COUNTIF(G$5:G1324,"Y")/COUNTA(G$5:G1324)</f>
        <v>0.87878787878787878</v>
      </c>
      <c r="J1324" s="16">
        <f>COUNTIF(H$5:H1324,"Y")/COUNTA(H$5:H1324)</f>
        <v>0.05</v>
      </c>
      <c r="K1324" s="16">
        <f>AVERAGE(F$5:F1324)</f>
        <v>2.2189393939393938</v>
      </c>
      <c r="L1324" s="16">
        <f>SUM(F$5:F1324)/SUM(E$5:E1324)</f>
        <v>0.75806201149127894</v>
      </c>
    </row>
    <row r="1325" spans="1:12" x14ac:dyDescent="0.25">
      <c r="A1325" s="29">
        <v>45842</v>
      </c>
      <c r="B1325" s="16" t="s">
        <v>1371</v>
      </c>
      <c r="C1325" s="34">
        <v>1</v>
      </c>
      <c r="D1325" s="16" t="s">
        <v>64</v>
      </c>
      <c r="E1325" s="35">
        <v>0.5</v>
      </c>
      <c r="F1325" s="35">
        <v>0.5</v>
      </c>
      <c r="G1325" s="16" t="s">
        <v>44</v>
      </c>
      <c r="H1325" s="16" t="s">
        <v>45</v>
      </c>
      <c r="I1325" s="16">
        <f>COUNTIF(G$5:G1325,"Y")/COUNTA(G$5:G1325)</f>
        <v>0.87887963663890989</v>
      </c>
      <c r="J1325" s="16">
        <f>COUNTIF(H$5:H1325,"Y")/COUNTA(H$5:H1325)</f>
        <v>4.9962149886449661E-2</v>
      </c>
      <c r="K1325" s="16">
        <f>AVERAGE(F$5:F1325)</f>
        <v>2.2176381529144589</v>
      </c>
      <c r="L1325" s="16">
        <f>SUM(F$5:F1325)/SUM(E$5:E1325)</f>
        <v>0.75809331573635685</v>
      </c>
    </row>
    <row r="1326" spans="1:12" x14ac:dyDescent="0.25">
      <c r="A1326" s="29">
        <v>45838</v>
      </c>
      <c r="B1326" s="16" t="s">
        <v>1372</v>
      </c>
      <c r="C1326" s="34">
        <v>1</v>
      </c>
      <c r="D1326" s="16" t="s">
        <v>47</v>
      </c>
      <c r="E1326" s="35">
        <v>0.5</v>
      </c>
      <c r="F1326" s="35">
        <v>0.5</v>
      </c>
      <c r="G1326" s="16" t="s">
        <v>45</v>
      </c>
      <c r="H1326" s="16" t="s">
        <v>45</v>
      </c>
      <c r="I1326" s="16">
        <f>COUNTIF(G$5:G1326,"Y")/COUNTA(G$5:G1326)</f>
        <v>0.87821482602118006</v>
      </c>
      <c r="J1326" s="16">
        <f>COUNTIF(H$5:H1326,"Y")/COUNTA(H$5:H1326)</f>
        <v>4.9924357034795766E-2</v>
      </c>
      <c r="K1326" s="16">
        <f>AVERAGE(F$5:F1326)</f>
        <v>2.2163388804841149</v>
      </c>
      <c r="L1326" s="16">
        <f>SUM(F$5:F1326)/SUM(E$5:E1326)</f>
        <v>0.75812461188159896</v>
      </c>
    </row>
    <row r="1327" spans="1:12" x14ac:dyDescent="0.25">
      <c r="A1327" s="29">
        <v>45839</v>
      </c>
      <c r="B1327" s="16" t="s">
        <v>1373</v>
      </c>
      <c r="C1327" s="34">
        <v>1</v>
      </c>
      <c r="D1327" s="16" t="s">
        <v>56</v>
      </c>
      <c r="E1327" s="35">
        <v>0.5</v>
      </c>
      <c r="F1327" s="35">
        <v>0.5</v>
      </c>
      <c r="G1327" s="16" t="s">
        <v>44</v>
      </c>
      <c r="H1327" s="16" t="s">
        <v>45</v>
      </c>
      <c r="I1327" s="16">
        <f>COUNTIF(G$5:G1327,"Y")/COUNTA(G$5:G1327)</f>
        <v>0.87830687830687826</v>
      </c>
      <c r="J1327" s="16">
        <f>COUNTIF(H$5:H1327,"Y")/COUNTA(H$5:H1327)</f>
        <v>4.9886621315192746E-2</v>
      </c>
      <c r="K1327" s="16">
        <f>AVERAGE(F$5:F1327)</f>
        <v>2.2150415721844294</v>
      </c>
      <c r="L1327" s="16">
        <f>SUM(F$5:F1327)/SUM(E$5:E1327)</f>
        <v>0.75815589993014865</v>
      </c>
    </row>
    <row r="1328" spans="1:12" x14ac:dyDescent="0.25">
      <c r="A1328" s="29">
        <v>45840</v>
      </c>
      <c r="B1328" s="16" t="s">
        <v>1374</v>
      </c>
      <c r="C1328" s="34">
        <v>1</v>
      </c>
      <c r="D1328" s="16" t="s">
        <v>64</v>
      </c>
      <c r="E1328" s="35">
        <v>0.5</v>
      </c>
      <c r="F1328" s="35">
        <v>0.5</v>
      </c>
      <c r="G1328" s="16" t="s">
        <v>44</v>
      </c>
      <c r="H1328" s="16" t="s">
        <v>45</v>
      </c>
      <c r="I1328" s="16">
        <f>COUNTIF(G$5:G1328,"Y")/COUNTA(G$5:G1328)</f>
        <v>0.87839879154078548</v>
      </c>
      <c r="J1328" s="16">
        <f>COUNTIF(H$5:H1328,"Y")/COUNTA(H$5:H1328)</f>
        <v>4.9848942598187312E-2</v>
      </c>
      <c r="K1328" s="16">
        <f>AVERAGE(F$5:F1328)</f>
        <v>2.2137462235649545</v>
      </c>
      <c r="L1328" s="16">
        <f>SUM(F$5:F1328)/SUM(E$5:E1328)</f>
        <v>0.75818717988514761</v>
      </c>
    </row>
    <row r="1329" spans="1:13" x14ac:dyDescent="0.25">
      <c r="A1329" s="29">
        <v>45841</v>
      </c>
      <c r="B1329" s="16" t="s">
        <v>1375</v>
      </c>
      <c r="C1329" s="34">
        <v>1</v>
      </c>
      <c r="D1329" s="16" t="s">
        <v>64</v>
      </c>
      <c r="E1329" s="35">
        <v>0.5</v>
      </c>
      <c r="F1329" s="35">
        <v>0.5</v>
      </c>
      <c r="G1329" s="16" t="s">
        <v>44</v>
      </c>
      <c r="H1329" s="16" t="s">
        <v>45</v>
      </c>
      <c r="I1329" s="16">
        <f>COUNTIF(G$5:G1329,"Y")/COUNTA(G$5:G1329)</f>
        <v>0.8784905660377359</v>
      </c>
      <c r="J1329" s="16">
        <f>COUNTIF(H$5:H1329,"Y")/COUNTA(H$5:H1329)</f>
        <v>4.9811320754716983E-2</v>
      </c>
      <c r="K1329" s="16">
        <f>AVERAGE(F$5:F1329)</f>
        <v>2.2124528301886794</v>
      </c>
      <c r="L1329" s="16">
        <f>SUM(F$5:F1329)/SUM(E$5:E1329)</f>
        <v>0.75821845174973579</v>
      </c>
    </row>
    <row r="1330" spans="1:13" x14ac:dyDescent="0.25">
      <c r="A1330" s="29">
        <v>45842</v>
      </c>
      <c r="B1330" s="16" t="s">
        <v>1376</v>
      </c>
      <c r="C1330" s="34">
        <v>1</v>
      </c>
      <c r="D1330" s="16" t="s">
        <v>60</v>
      </c>
      <c r="E1330" s="35">
        <v>0.5</v>
      </c>
      <c r="F1330" s="35">
        <v>0.5</v>
      </c>
      <c r="G1330" s="16" t="s">
        <v>44</v>
      </c>
      <c r="H1330" s="16" t="s">
        <v>45</v>
      </c>
      <c r="I1330" s="16">
        <f>COUNTIF(G$5:G1330,"Y")/COUNTA(G$5:G1330)</f>
        <v>0.87858220211161386</v>
      </c>
      <c r="J1330" s="16">
        <f>COUNTIF(H$5:H1330,"Y")/COUNTA(H$5:H1330)</f>
        <v>4.9773755656108594E-2</v>
      </c>
      <c r="K1330" s="16">
        <f>AVERAGE(F$5:F1330)</f>
        <v>2.211161387631976</v>
      </c>
      <c r="L1330" s="16">
        <f>SUM(F$5:F1330)/SUM(E$5:E1330)</f>
        <v>0.75824971552705178</v>
      </c>
    </row>
    <row r="1331" spans="1:13" x14ac:dyDescent="0.25">
      <c r="A1331" s="29">
        <v>45838</v>
      </c>
      <c r="B1331" s="16" t="s">
        <v>1377</v>
      </c>
      <c r="C1331" s="34">
        <v>1</v>
      </c>
      <c r="D1331" s="16" t="s">
        <v>52</v>
      </c>
      <c r="E1331" s="35">
        <v>0.5</v>
      </c>
      <c r="F1331" s="35">
        <v>0.5</v>
      </c>
      <c r="G1331" s="16" t="s">
        <v>44</v>
      </c>
      <c r="H1331" s="16" t="s">
        <v>45</v>
      </c>
      <c r="I1331" s="16">
        <f>COUNTIF(G$5:G1331,"Y")/COUNTA(G$5:G1331)</f>
        <v>0.87867370007535794</v>
      </c>
      <c r="J1331" s="16">
        <f>COUNTIF(H$5:H1331,"Y")/COUNTA(H$5:H1331)</f>
        <v>4.9736247174076868E-2</v>
      </c>
      <c r="K1331" s="16">
        <f>AVERAGE(F$5:F1331)</f>
        <v>2.2098718914845517</v>
      </c>
      <c r="L1331" s="16">
        <f>SUM(F$5:F1331)/SUM(E$5:E1331)</f>
        <v>0.75828097122023208</v>
      </c>
      <c r="M1331" s="16">
        <v>13</v>
      </c>
    </row>
    <row r="1332" spans="1:13" x14ac:dyDescent="0.25">
      <c r="A1332" s="29">
        <v>45845</v>
      </c>
      <c r="B1332" s="16" t="s">
        <v>1378</v>
      </c>
      <c r="C1332" s="34">
        <v>1</v>
      </c>
      <c r="D1332" s="16" t="s">
        <v>50</v>
      </c>
      <c r="E1332" s="35">
        <v>5.5</v>
      </c>
      <c r="F1332" s="35">
        <v>3.9</v>
      </c>
      <c r="G1332" s="16" t="s">
        <v>44</v>
      </c>
      <c r="H1332" s="16" t="s">
        <v>45</v>
      </c>
      <c r="I1332" s="16">
        <f>COUNTIF(G$5:G1332,"Y")/COUNTA(G$5:G1332)</f>
        <v>0.8787650602409639</v>
      </c>
      <c r="J1332" s="16">
        <f>COUNTIF(H$5:H1332,"Y")/COUNTA(H$5:H1332)</f>
        <v>4.9698795180722892E-2</v>
      </c>
      <c r="K1332" s="16">
        <f>AVERAGE(F$5:F1332)</f>
        <v>2.2111445783132533</v>
      </c>
      <c r="L1332" s="16">
        <f>SUM(F$5:F1332)/SUM(E$5:E1332)</f>
        <v>0.75821111340632197</v>
      </c>
    </row>
    <row r="1333" spans="1:13" x14ac:dyDescent="0.25">
      <c r="A1333" s="29">
        <v>45846</v>
      </c>
      <c r="B1333" s="16" t="s">
        <v>1379</v>
      </c>
      <c r="C1333" s="34">
        <v>1</v>
      </c>
      <c r="D1333" s="16" t="s">
        <v>52</v>
      </c>
      <c r="E1333" s="35">
        <v>2.7</v>
      </c>
      <c r="F1333" s="35">
        <v>2.4</v>
      </c>
      <c r="G1333" s="16" t="s">
        <v>44</v>
      </c>
      <c r="H1333" s="16" t="s">
        <v>45</v>
      </c>
      <c r="I1333" s="16">
        <f>COUNTIF(G$5:G1333,"Y")/COUNTA(G$5:G1333)</f>
        <v>0.87885628291948836</v>
      </c>
      <c r="J1333" s="16">
        <f>COUNTIF(H$5:H1333,"Y")/COUNTA(H$5:H1333)</f>
        <v>4.9661399548532728E-2</v>
      </c>
      <c r="K1333" s="16">
        <f>AVERAGE(F$5:F1333)</f>
        <v>2.2112866817155759</v>
      </c>
      <c r="L1333" s="16">
        <f>SUM(F$5:F1333)/SUM(E$5:E1333)</f>
        <v>0.75830215456070282</v>
      </c>
    </row>
    <row r="1334" spans="1:13" x14ac:dyDescent="0.25">
      <c r="A1334" s="29">
        <v>45847</v>
      </c>
      <c r="B1334" s="16" t="s">
        <v>1380</v>
      </c>
      <c r="C1334" s="34">
        <v>1</v>
      </c>
      <c r="D1334" s="16" t="s">
        <v>43</v>
      </c>
      <c r="E1334" s="35">
        <v>4.0999999999999996</v>
      </c>
      <c r="F1334" s="35">
        <v>3.6</v>
      </c>
      <c r="G1334" s="16" t="s">
        <v>44</v>
      </c>
      <c r="H1334" s="16" t="s">
        <v>45</v>
      </c>
      <c r="I1334" s="16">
        <f>COUNTIF(G$5:G1334,"Y")/COUNTA(G$5:G1334)</f>
        <v>0.87894736842105259</v>
      </c>
      <c r="J1334" s="16">
        <f>COUNTIF(H$5:H1334,"Y")/COUNTA(H$5:H1334)</f>
        <v>4.9624060150375938E-2</v>
      </c>
      <c r="K1334" s="16">
        <f>AVERAGE(F$5:F1334)</f>
        <v>2.2123308270676691</v>
      </c>
      <c r="L1334" s="16">
        <f>SUM(F$5:F1334)/SUM(E$5:E1334)</f>
        <v>0.75842870399010309</v>
      </c>
    </row>
    <row r="1335" spans="1:13" x14ac:dyDescent="0.25">
      <c r="A1335" s="29">
        <v>45848</v>
      </c>
      <c r="B1335" s="16" t="s">
        <v>1381</v>
      </c>
      <c r="C1335" s="34">
        <v>1</v>
      </c>
      <c r="D1335" s="16" t="s">
        <v>64</v>
      </c>
      <c r="E1335" s="35">
        <v>3.5</v>
      </c>
      <c r="F1335" s="35">
        <v>2.5</v>
      </c>
      <c r="G1335" s="16" t="s">
        <v>44</v>
      </c>
      <c r="H1335" s="16" t="s">
        <v>45</v>
      </c>
      <c r="I1335" s="16">
        <f>COUNTIF(G$5:G1335,"Y")/COUNTA(G$5:G1335)</f>
        <v>0.87903831705484603</v>
      </c>
      <c r="J1335" s="16">
        <f>COUNTIF(H$5:H1335,"Y")/COUNTA(H$5:H1335)</f>
        <v>4.9586776859504134E-2</v>
      </c>
      <c r="K1335" s="16">
        <f>AVERAGE(F$5:F1335)</f>
        <v>2.2125469571750562</v>
      </c>
      <c r="L1335" s="16">
        <f>SUM(F$5:F1335)/SUM(E$5:E1335)</f>
        <v>0.75838891607221137</v>
      </c>
    </row>
    <row r="1336" spans="1:13" x14ac:dyDescent="0.25">
      <c r="A1336" s="29">
        <v>45849</v>
      </c>
      <c r="B1336" s="16" t="s">
        <v>1382</v>
      </c>
      <c r="C1336" s="34">
        <v>1</v>
      </c>
      <c r="D1336" s="16" t="s">
        <v>64</v>
      </c>
      <c r="E1336" s="35">
        <v>4.3</v>
      </c>
      <c r="F1336" s="35">
        <v>3.8</v>
      </c>
      <c r="G1336" s="16" t="s">
        <v>44</v>
      </c>
      <c r="H1336" s="16" t="s">
        <v>45</v>
      </c>
      <c r="I1336" s="16">
        <f>COUNTIF(G$5:G1336,"Y")/COUNTA(G$5:G1336)</f>
        <v>0.87912912912912911</v>
      </c>
      <c r="J1336" s="16">
        <f>COUNTIF(H$5:H1336,"Y")/COUNTA(H$5:H1336)</f>
        <v>4.954954954954955E-2</v>
      </c>
      <c r="K1336" s="16">
        <f>AVERAGE(F$5:F1336)</f>
        <v>2.2137387387387388</v>
      </c>
      <c r="L1336" s="16">
        <f>SUM(F$5:F1336)/SUM(E$5:E1336)</f>
        <v>0.75852755054792509</v>
      </c>
    </row>
    <row r="1337" spans="1:13" x14ac:dyDescent="0.25">
      <c r="A1337" s="29">
        <v>45845</v>
      </c>
      <c r="B1337" s="16" t="s">
        <v>1383</v>
      </c>
      <c r="C1337" s="34">
        <v>1</v>
      </c>
      <c r="D1337" s="16" t="s">
        <v>52</v>
      </c>
      <c r="E1337" s="35">
        <v>4.0999999999999996</v>
      </c>
      <c r="F1337" s="35">
        <v>2.9</v>
      </c>
      <c r="G1337" s="16" t="s">
        <v>44</v>
      </c>
      <c r="H1337" s="16" t="s">
        <v>45</v>
      </c>
      <c r="I1337" s="16">
        <f>COUNTIF(G$5:G1337,"Y")/COUNTA(G$5:G1337)</f>
        <v>0.87921980495123786</v>
      </c>
      <c r="J1337" s="16">
        <f>COUNTIF(H$5:H1337,"Y")/COUNTA(H$5:H1337)</f>
        <v>4.9512378094523628E-2</v>
      </c>
      <c r="K1337" s="16">
        <f>AVERAGE(F$5:F1337)</f>
        <v>2.214253563390848</v>
      </c>
      <c r="L1337" s="16">
        <f>SUM(F$5:F1337)/SUM(E$5:E1337)</f>
        <v>0.75847359629962852</v>
      </c>
    </row>
    <row r="1338" spans="1:13" x14ac:dyDescent="0.25">
      <c r="A1338" s="29">
        <v>45846</v>
      </c>
      <c r="B1338" s="16" t="s">
        <v>1384</v>
      </c>
      <c r="C1338" s="34">
        <v>1</v>
      </c>
      <c r="D1338" s="16" t="s">
        <v>52</v>
      </c>
      <c r="E1338" s="35">
        <v>2.2999999999999998</v>
      </c>
      <c r="F1338" s="35">
        <v>2</v>
      </c>
      <c r="G1338" s="16" t="s">
        <v>44</v>
      </c>
      <c r="H1338" s="16" t="s">
        <v>45</v>
      </c>
      <c r="I1338" s="16">
        <f>COUNTIF(G$5:G1338,"Y")/COUNTA(G$5:G1338)</f>
        <v>0.87931034482758619</v>
      </c>
      <c r="J1338" s="16">
        <f>COUNTIF(H$5:H1338,"Y")/COUNTA(H$5:H1338)</f>
        <v>4.9475262368815595E-2</v>
      </c>
      <c r="K1338" s="16">
        <f>AVERAGE(F$5:F1338)</f>
        <v>2.2140929535232385</v>
      </c>
      <c r="L1338" s="16">
        <f>SUM(F$5:F1338)/SUM(E$5:E1338)</f>
        <v>0.75853921618984133</v>
      </c>
    </row>
    <row r="1339" spans="1:13" x14ac:dyDescent="0.25">
      <c r="A1339" s="29">
        <v>45847</v>
      </c>
      <c r="B1339" s="16" t="s">
        <v>1385</v>
      </c>
      <c r="C1339" s="34">
        <v>1</v>
      </c>
      <c r="D1339" s="16" t="s">
        <v>50</v>
      </c>
      <c r="E1339" s="35">
        <v>3</v>
      </c>
      <c r="F1339" s="35">
        <v>2.1</v>
      </c>
      <c r="G1339" s="16" t="s">
        <v>44</v>
      </c>
      <c r="H1339" s="16" t="s">
        <v>45</v>
      </c>
      <c r="I1339" s="16">
        <f>COUNTIF(G$5:G1339,"Y")/COUNTA(G$5:G1339)</f>
        <v>0.87940074906367038</v>
      </c>
      <c r="J1339" s="16">
        <f>COUNTIF(H$5:H1339,"Y")/COUNTA(H$5:H1339)</f>
        <v>4.9438202247191011E-2</v>
      </c>
      <c r="K1339" s="16">
        <f>AVERAGE(F$5:F1339)</f>
        <v>2.2140074906367042</v>
      </c>
      <c r="L1339" s="16">
        <f>SUM(F$5:F1339)/SUM(E$5:E1339)</f>
        <v>0.7584941490453716</v>
      </c>
    </row>
    <row r="1340" spans="1:13" x14ac:dyDescent="0.25">
      <c r="A1340" s="29">
        <v>45848</v>
      </c>
      <c r="B1340" s="16" t="s">
        <v>1386</v>
      </c>
      <c r="C1340" s="34">
        <v>1</v>
      </c>
      <c r="D1340" s="16" t="s">
        <v>50</v>
      </c>
      <c r="E1340" s="35">
        <v>3.1</v>
      </c>
      <c r="F1340" s="35">
        <v>2.4</v>
      </c>
      <c r="G1340" s="16" t="s">
        <v>44</v>
      </c>
      <c r="H1340" s="16" t="s">
        <v>45</v>
      </c>
      <c r="I1340" s="16">
        <f>COUNTIF(G$5:G1340,"Y")/COUNTA(G$5:G1340)</f>
        <v>0.87949101796407181</v>
      </c>
      <c r="J1340" s="16">
        <f>COUNTIF(H$5:H1340,"Y")/COUNTA(H$5:H1340)</f>
        <v>4.940119760479042E-2</v>
      </c>
      <c r="K1340" s="16">
        <f>AVERAGE(F$5:F1340)</f>
        <v>2.2141467065868268</v>
      </c>
      <c r="L1340" s="16">
        <f>SUM(F$5:F1340)/SUM(E$5:E1340)</f>
        <v>0.75850662837508764</v>
      </c>
    </row>
    <row r="1341" spans="1:13" x14ac:dyDescent="0.25">
      <c r="A1341" s="29">
        <v>45849</v>
      </c>
      <c r="B1341" s="16" t="s">
        <v>1387</v>
      </c>
      <c r="C1341" s="34">
        <v>1</v>
      </c>
      <c r="D1341" s="16" t="s">
        <v>56</v>
      </c>
      <c r="E1341" s="35">
        <v>3.3</v>
      </c>
      <c r="F1341" s="35">
        <v>2.4</v>
      </c>
      <c r="G1341" s="16" t="s">
        <v>44</v>
      </c>
      <c r="H1341" s="16" t="s">
        <v>45</v>
      </c>
      <c r="I1341" s="16">
        <f>COUNTIF(G$5:G1341,"Y")/COUNTA(G$5:G1341)</f>
        <v>0.87958115183246077</v>
      </c>
      <c r="J1341" s="16">
        <f>COUNTIF(H$5:H1341,"Y")/COUNTA(H$5:H1341)</f>
        <v>4.93642483171279E-2</v>
      </c>
      <c r="K1341" s="16">
        <f>AVERAGE(F$5:F1341)</f>
        <v>2.2142857142857144</v>
      </c>
      <c r="L1341" s="16">
        <f>SUM(F$5:F1341)/SUM(E$5:E1341)</f>
        <v>0.75848022135683646</v>
      </c>
    </row>
    <row r="1342" spans="1:13" x14ac:dyDescent="0.25">
      <c r="A1342" s="29">
        <v>45845</v>
      </c>
      <c r="B1342" s="16" t="s">
        <v>1388</v>
      </c>
      <c r="C1342" s="34">
        <v>1</v>
      </c>
      <c r="D1342" s="16" t="s">
        <v>52</v>
      </c>
      <c r="E1342" s="35">
        <v>3.4</v>
      </c>
      <c r="F1342" s="35">
        <v>2.2999999999999998</v>
      </c>
      <c r="G1342" s="16" t="s">
        <v>44</v>
      </c>
      <c r="H1342" s="16" t="s">
        <v>45</v>
      </c>
      <c r="I1342" s="16">
        <f>COUNTIF(G$5:G1342,"Y")/COUNTA(G$5:G1342)</f>
        <v>0.87967115097159942</v>
      </c>
      <c r="J1342" s="16">
        <f>COUNTIF(H$5:H1342,"Y")/COUNTA(H$5:H1342)</f>
        <v>4.9327354260089683E-2</v>
      </c>
      <c r="K1342" s="16">
        <f>AVERAGE(F$5:F1342)</f>
        <v>2.2143497757847537</v>
      </c>
      <c r="L1342" s="16">
        <f>SUM(F$5:F1342)/SUM(E$5:E1342)</f>
        <v>0.75840884656734864</v>
      </c>
    </row>
    <row r="1343" spans="1:13" x14ac:dyDescent="0.25">
      <c r="A1343" s="29">
        <v>45846</v>
      </c>
      <c r="B1343" s="16" t="s">
        <v>1389</v>
      </c>
      <c r="C1343" s="34">
        <v>1</v>
      </c>
      <c r="D1343" s="16" t="s">
        <v>47</v>
      </c>
      <c r="E1343" s="35">
        <v>4.2</v>
      </c>
      <c r="F1343" s="35">
        <v>3.4</v>
      </c>
      <c r="G1343" s="16" t="s">
        <v>44</v>
      </c>
      <c r="H1343" s="16" t="s">
        <v>45</v>
      </c>
      <c r="I1343" s="16">
        <f>COUNTIF(G$5:G1343,"Y")/COUNTA(G$5:G1343)</f>
        <v>0.87976101568334575</v>
      </c>
      <c r="J1343" s="16">
        <f>COUNTIF(H$5:H1343,"Y")/COUNTA(H$5:H1343)</f>
        <v>4.9290515309932788E-2</v>
      </c>
      <c r="K1343" s="16">
        <f>AVERAGE(F$5:F1343)</f>
        <v>2.2152352501867072</v>
      </c>
      <c r="L1343" s="16">
        <f>SUM(F$5:F1343)/SUM(E$5:E1343)</f>
        <v>0.75846374143397888</v>
      </c>
    </row>
    <row r="1344" spans="1:13" x14ac:dyDescent="0.25">
      <c r="A1344" s="29">
        <v>45847</v>
      </c>
      <c r="B1344" s="16" t="s">
        <v>1390</v>
      </c>
      <c r="C1344" s="34">
        <v>1</v>
      </c>
      <c r="D1344" s="16" t="s">
        <v>50</v>
      </c>
      <c r="E1344" s="35">
        <v>1.8</v>
      </c>
      <c r="F1344" s="35">
        <v>1.2</v>
      </c>
      <c r="G1344" s="16" t="s">
        <v>45</v>
      </c>
      <c r="H1344" s="16" t="s">
        <v>45</v>
      </c>
      <c r="I1344" s="16">
        <f>COUNTIF(G$5:G1344,"Y")/COUNTA(G$5:G1344)</f>
        <v>0.87910447761194033</v>
      </c>
      <c r="J1344" s="16">
        <f>COUNTIF(H$5:H1344,"Y")/COUNTA(H$5:H1344)</f>
        <v>4.9253731343283584E-2</v>
      </c>
      <c r="K1344" s="16">
        <f>AVERAGE(F$5:F1344)</f>
        <v>2.2144776119402989</v>
      </c>
      <c r="L1344" s="16">
        <f>SUM(F$5:F1344)/SUM(E$5:E1344)</f>
        <v>0.75842150999335589</v>
      </c>
    </row>
    <row r="1345" spans="1:12" x14ac:dyDescent="0.25">
      <c r="A1345" s="29">
        <v>45848</v>
      </c>
      <c r="B1345" s="16" t="s">
        <v>1391</v>
      </c>
      <c r="C1345" s="34">
        <v>1</v>
      </c>
      <c r="D1345" s="16" t="s">
        <v>52</v>
      </c>
      <c r="E1345" s="35">
        <v>4.5</v>
      </c>
      <c r="F1345" s="35">
        <v>3.2</v>
      </c>
      <c r="G1345" s="16" t="s">
        <v>45</v>
      </c>
      <c r="H1345" s="16" t="s">
        <v>45</v>
      </c>
      <c r="I1345" s="16">
        <f>COUNTIF(G$5:G1345,"Y")/COUNTA(G$5:G1345)</f>
        <v>0.87844891871737507</v>
      </c>
      <c r="J1345" s="16">
        <f>COUNTIF(H$5:H1345,"Y")/COUNTA(H$5:H1345)</f>
        <v>4.9217002237136466E-2</v>
      </c>
      <c r="K1345" s="16">
        <f>AVERAGE(F$5:F1345)</f>
        <v>2.2152125279642059</v>
      </c>
      <c r="L1345" s="16">
        <f>SUM(F$5:F1345)/SUM(E$5:E1345)</f>
        <v>0.75836715937811239</v>
      </c>
    </row>
    <row r="1346" spans="1:12" x14ac:dyDescent="0.25">
      <c r="A1346" s="29">
        <v>45849</v>
      </c>
      <c r="B1346" s="16" t="s">
        <v>1392</v>
      </c>
      <c r="C1346" s="34">
        <v>1</v>
      </c>
      <c r="D1346" s="16" t="s">
        <v>47</v>
      </c>
      <c r="E1346" s="35">
        <v>3.1</v>
      </c>
      <c r="F1346" s="35">
        <v>2.7</v>
      </c>
      <c r="G1346" s="16" t="s">
        <v>44</v>
      </c>
      <c r="H1346" s="16" t="s">
        <v>45</v>
      </c>
      <c r="I1346" s="16">
        <f>COUNTIF(G$5:G1346,"Y")/COUNTA(G$5:G1346)</f>
        <v>0.8785394932935916</v>
      </c>
      <c r="J1346" s="16">
        <f>COUNTIF(H$5:H1346,"Y")/COUNTA(H$5:H1346)</f>
        <v>4.9180327868852458E-2</v>
      </c>
      <c r="K1346" s="16">
        <f>AVERAGE(F$5:F1346)</f>
        <v>2.2155737704918033</v>
      </c>
      <c r="L1346" s="16">
        <f>SUM(F$5:F1346)/SUM(E$5:E1346)</f>
        <v>0.75845620121422475</v>
      </c>
    </row>
    <row r="1347" spans="1:12" x14ac:dyDescent="0.25">
      <c r="A1347" s="29">
        <v>45845</v>
      </c>
      <c r="B1347" s="16" t="s">
        <v>1393</v>
      </c>
      <c r="C1347" s="34">
        <v>1</v>
      </c>
      <c r="D1347" s="16" t="s">
        <v>43</v>
      </c>
      <c r="E1347" s="35">
        <v>2.9</v>
      </c>
      <c r="F1347" s="35">
        <v>2.5</v>
      </c>
      <c r="G1347" s="16" t="s">
        <v>44</v>
      </c>
      <c r="H1347" s="16" t="s">
        <v>45</v>
      </c>
      <c r="I1347" s="16">
        <f>COUNTIF(G$5:G1347,"Y")/COUNTA(G$5:G1347)</f>
        <v>0.87862993298585257</v>
      </c>
      <c r="J1347" s="16">
        <f>COUNTIF(H$5:H1347,"Y")/COUNTA(H$5:H1347)</f>
        <v>4.9143708116157855E-2</v>
      </c>
      <c r="K1347" s="16">
        <f>AVERAGE(F$5:F1347)</f>
        <v>2.2157855547282206</v>
      </c>
      <c r="L1347" s="16">
        <f>SUM(F$5:F1347)/SUM(E$5:E1347)</f>
        <v>0.75853279294435616</v>
      </c>
    </row>
    <row r="1348" spans="1:12" x14ac:dyDescent="0.25">
      <c r="A1348" s="29">
        <v>45846</v>
      </c>
      <c r="B1348" s="16" t="s">
        <v>1394</v>
      </c>
      <c r="C1348" s="34">
        <v>1</v>
      </c>
      <c r="D1348" s="16" t="s">
        <v>43</v>
      </c>
      <c r="E1348" s="35">
        <v>1.8</v>
      </c>
      <c r="F1348" s="35">
        <v>1.2</v>
      </c>
      <c r="G1348" s="16" t="s">
        <v>44</v>
      </c>
      <c r="H1348" s="16" t="s">
        <v>45</v>
      </c>
      <c r="I1348" s="16">
        <f>COUNTIF(G$5:G1348,"Y")/COUNTA(G$5:G1348)</f>
        <v>0.87872023809523814</v>
      </c>
      <c r="J1348" s="16">
        <f>COUNTIF(H$5:H1348,"Y")/COUNTA(H$5:H1348)</f>
        <v>4.9107142857142856E-2</v>
      </c>
      <c r="K1348" s="16">
        <f>AVERAGE(F$5:F1348)</f>
        <v>2.2150297619047619</v>
      </c>
      <c r="L1348" s="16">
        <f>SUM(F$5:F1348)/SUM(E$5:E1348)</f>
        <v>0.75849066218247685</v>
      </c>
    </row>
    <row r="1349" spans="1:12" x14ac:dyDescent="0.25">
      <c r="A1349" s="29">
        <v>45847</v>
      </c>
      <c r="B1349" s="16" t="s">
        <v>1395</v>
      </c>
      <c r="C1349" s="34">
        <v>1</v>
      </c>
      <c r="D1349" s="16" t="s">
        <v>50</v>
      </c>
      <c r="E1349" s="35">
        <v>4.5999999999999996</v>
      </c>
      <c r="F1349" s="35">
        <v>3.4</v>
      </c>
      <c r="G1349" s="16" t="s">
        <v>44</v>
      </c>
      <c r="H1349" s="16" t="s">
        <v>45</v>
      </c>
      <c r="I1349" s="16">
        <f>COUNTIF(G$5:G1349,"Y")/COUNTA(G$5:G1349)</f>
        <v>0.87881040892193307</v>
      </c>
      <c r="J1349" s="16">
        <f>COUNTIF(H$5:H1349,"Y")/COUNTA(H$5:H1349)</f>
        <v>4.9070631970260223E-2</v>
      </c>
      <c r="K1349" s="16">
        <f>AVERAGE(F$5:F1349)</f>
        <v>2.2159107806691449</v>
      </c>
      <c r="L1349" s="16">
        <f>SUM(F$5:F1349)/SUM(E$5:E1349)</f>
        <v>0.7584679984730891</v>
      </c>
    </row>
    <row r="1350" spans="1:12" x14ac:dyDescent="0.25">
      <c r="A1350" s="29">
        <v>45848</v>
      </c>
      <c r="B1350" s="16" t="s">
        <v>1396</v>
      </c>
      <c r="C1350" s="34">
        <v>1</v>
      </c>
      <c r="D1350" s="16" t="s">
        <v>47</v>
      </c>
      <c r="E1350" s="35">
        <v>2.2000000000000002</v>
      </c>
      <c r="F1350" s="35">
        <v>1.9</v>
      </c>
      <c r="G1350" s="16" t="s">
        <v>44</v>
      </c>
      <c r="H1350" s="16" t="s">
        <v>45</v>
      </c>
      <c r="I1350" s="16">
        <f>COUNTIF(G$5:G1350,"Y")/COUNTA(G$5:G1350)</f>
        <v>0.8789004457652303</v>
      </c>
      <c r="J1350" s="16">
        <f>COUNTIF(H$5:H1350,"Y")/COUNTA(H$5:H1350)</f>
        <v>4.9034175334323922E-2</v>
      </c>
      <c r="K1350" s="16">
        <f>AVERAGE(F$5:F1350)</f>
        <v>2.2156760772659734</v>
      </c>
      <c r="L1350" s="16">
        <f>SUM(F$5:F1350)/SUM(E$5:E1350)</f>
        <v>0.75852684589363473</v>
      </c>
    </row>
    <row r="1351" spans="1:12" x14ac:dyDescent="0.25">
      <c r="A1351" s="29">
        <v>45849</v>
      </c>
      <c r="B1351" s="16" t="s">
        <v>1397</v>
      </c>
      <c r="C1351" s="34">
        <v>1</v>
      </c>
      <c r="D1351" s="16" t="s">
        <v>50</v>
      </c>
      <c r="E1351" s="35">
        <v>3.6</v>
      </c>
      <c r="F1351" s="35">
        <v>2.5</v>
      </c>
      <c r="G1351" s="16" t="s">
        <v>44</v>
      </c>
      <c r="H1351" s="16" t="s">
        <v>45</v>
      </c>
      <c r="I1351" s="16">
        <f>COUNTIF(G$5:G1351,"Y")/COUNTA(G$5:G1351)</f>
        <v>0.87899034892353378</v>
      </c>
      <c r="J1351" s="16">
        <f>COUNTIF(H$5:H1351,"Y")/COUNTA(H$5:H1351)</f>
        <v>4.8997772828507792E-2</v>
      </c>
      <c r="K1351" s="16">
        <f>AVERAGE(F$5:F1351)</f>
        <v>2.2158871566443952</v>
      </c>
      <c r="L1351" s="16">
        <f>SUM(F$5:F1351)/SUM(E$5:E1351)</f>
        <v>0.75846822351536192</v>
      </c>
    </row>
    <row r="1352" spans="1:12" x14ac:dyDescent="0.25">
      <c r="A1352" s="29">
        <v>45845</v>
      </c>
      <c r="B1352" s="16" t="s">
        <v>1398</v>
      </c>
      <c r="C1352" s="34">
        <v>1</v>
      </c>
      <c r="D1352" s="16" t="s">
        <v>52</v>
      </c>
      <c r="E1352" s="35">
        <v>2.2000000000000002</v>
      </c>
      <c r="F1352" s="35">
        <v>1.9</v>
      </c>
      <c r="G1352" s="16" t="s">
        <v>44</v>
      </c>
      <c r="H1352" s="16" t="s">
        <v>45</v>
      </c>
      <c r="I1352" s="16">
        <f>COUNTIF(G$5:G1352,"Y")/COUNTA(G$5:G1352)</f>
        <v>0.87908011869436198</v>
      </c>
      <c r="J1352" s="16">
        <f>COUNTIF(H$5:H1352,"Y")/COUNTA(H$5:H1352)</f>
        <v>4.8961424332344211E-2</v>
      </c>
      <c r="K1352" s="16">
        <f>AVERAGE(F$5:F1352)</f>
        <v>2.215652818991098</v>
      </c>
      <c r="L1352" s="16">
        <f>SUM(F$5:F1352)/SUM(E$5:E1352)</f>
        <v>0.75852698412698516</v>
      </c>
    </row>
    <row r="1353" spans="1:12" x14ac:dyDescent="0.25">
      <c r="A1353" s="29">
        <v>45846</v>
      </c>
      <c r="B1353" s="16" t="s">
        <v>1399</v>
      </c>
      <c r="C1353" s="34">
        <v>1</v>
      </c>
      <c r="D1353" s="16" t="s">
        <v>50</v>
      </c>
      <c r="E1353" s="35">
        <v>2.7</v>
      </c>
      <c r="F1353" s="35">
        <v>1.9</v>
      </c>
      <c r="G1353" s="16" t="s">
        <v>44</v>
      </c>
      <c r="H1353" s="16" t="s">
        <v>45</v>
      </c>
      <c r="I1353" s="16">
        <f>COUNTIF(G$5:G1353,"Y")/COUNTA(G$5:G1353)</f>
        <v>0.87916975537435138</v>
      </c>
      <c r="J1353" s="16">
        <f>COUNTIF(H$5:H1353,"Y")/COUNTA(H$5:H1353)</f>
        <v>4.8925129725722757E-2</v>
      </c>
      <c r="K1353" s="16">
        <f>AVERAGE(F$5:F1353)</f>
        <v>2.2154188287620462</v>
      </c>
      <c r="L1353" s="16">
        <f>SUM(F$5:F1353)/SUM(E$5:E1353)</f>
        <v>0.75848941678087511</v>
      </c>
    </row>
    <row r="1354" spans="1:12" x14ac:dyDescent="0.25">
      <c r="A1354" s="29">
        <v>45847</v>
      </c>
      <c r="B1354" s="16" t="s">
        <v>1400</v>
      </c>
      <c r="C1354" s="34">
        <v>1</v>
      </c>
      <c r="D1354" s="16" t="s">
        <v>56</v>
      </c>
      <c r="E1354" s="35">
        <v>1.3</v>
      </c>
      <c r="F1354" s="35">
        <v>1.1000000000000001</v>
      </c>
      <c r="G1354" s="16" t="s">
        <v>44</v>
      </c>
      <c r="H1354" s="16" t="s">
        <v>45</v>
      </c>
      <c r="I1354" s="16">
        <f>COUNTIF(G$5:G1354,"Y")/COUNTA(G$5:G1354)</f>
        <v>0.8792592592592593</v>
      </c>
      <c r="J1354" s="16">
        <f>COUNTIF(H$5:H1354,"Y")/COUNTA(H$5:H1354)</f>
        <v>4.8888888888888891E-2</v>
      </c>
      <c r="K1354" s="16">
        <f>AVERAGE(F$5:F1354)</f>
        <v>2.2145925925925929</v>
      </c>
      <c r="L1354" s="16">
        <f>SUM(F$5:F1354)/SUM(E$5:E1354)</f>
        <v>0.75851833058480378</v>
      </c>
    </row>
    <row r="1355" spans="1:12" x14ac:dyDescent="0.25">
      <c r="A1355" s="29">
        <v>45848</v>
      </c>
      <c r="B1355" s="16" t="s">
        <v>1401</v>
      </c>
      <c r="C1355" s="34">
        <v>1</v>
      </c>
      <c r="D1355" s="16" t="s">
        <v>43</v>
      </c>
      <c r="E1355" s="35">
        <v>2.1</v>
      </c>
      <c r="F1355" s="35">
        <v>1.6</v>
      </c>
      <c r="G1355" s="16" t="s">
        <v>44</v>
      </c>
      <c r="H1355" s="16" t="s">
        <v>45</v>
      </c>
      <c r="I1355" s="16">
        <f>COUNTIF(G$5:G1355,"Y")/COUNTA(G$5:G1355)</f>
        <v>0.8793486306439674</v>
      </c>
      <c r="J1355" s="16">
        <f>COUNTIF(H$5:H1355,"Y")/COUNTA(H$5:H1355)</f>
        <v>4.8852701702442637E-2</v>
      </c>
      <c r="K1355" s="16">
        <f>AVERAGE(F$5:F1355)</f>
        <v>2.214137675795707</v>
      </c>
      <c r="L1355" s="16">
        <f>SUM(F$5:F1355)/SUM(E$5:E1355)</f>
        <v>0.75852013388781925</v>
      </c>
    </row>
    <row r="1356" spans="1:12" x14ac:dyDescent="0.25">
      <c r="A1356" s="29">
        <v>45849</v>
      </c>
      <c r="B1356" s="16" t="s">
        <v>1402</v>
      </c>
      <c r="C1356" s="34">
        <v>1</v>
      </c>
      <c r="D1356" s="16" t="s">
        <v>47</v>
      </c>
      <c r="E1356" s="35">
        <v>1.9</v>
      </c>
      <c r="F1356" s="35">
        <v>1.5</v>
      </c>
      <c r="G1356" s="16" t="s">
        <v>44</v>
      </c>
      <c r="H1356" s="16" t="s">
        <v>45</v>
      </c>
      <c r="I1356" s="16">
        <f>COUNTIF(G$5:G1356,"Y")/COUNTA(G$5:G1356)</f>
        <v>0.87943786982248517</v>
      </c>
      <c r="J1356" s="16">
        <f>COUNTIF(H$5:H1356,"Y")/COUNTA(H$5:H1356)</f>
        <v>4.8816568047337278E-2</v>
      </c>
      <c r="K1356" s="16">
        <f>AVERAGE(F$5:F1356)</f>
        <v>2.2136094674556213</v>
      </c>
      <c r="L1356" s="16">
        <f>SUM(F$5:F1356)/SUM(E$5:E1356)</f>
        <v>0.75853503991889593</v>
      </c>
    </row>
    <row r="1357" spans="1:12" x14ac:dyDescent="0.25">
      <c r="A1357" s="29">
        <v>45845</v>
      </c>
      <c r="B1357" s="16" t="s">
        <v>1403</v>
      </c>
      <c r="C1357" s="34">
        <v>1</v>
      </c>
      <c r="D1357" s="16" t="s">
        <v>43</v>
      </c>
      <c r="E1357" s="35">
        <v>4.0999999999999996</v>
      </c>
      <c r="F1357" s="35">
        <v>3.4</v>
      </c>
      <c r="G1357" s="16" t="s">
        <v>44</v>
      </c>
      <c r="H1357" s="16" t="s">
        <v>45</v>
      </c>
      <c r="I1357" s="16">
        <f>COUNTIF(G$5:G1357,"Y")/COUNTA(G$5:G1357)</f>
        <v>0.87952697708795269</v>
      </c>
      <c r="J1357" s="16">
        <f>COUNTIF(H$5:H1357,"Y")/COUNTA(H$5:H1357)</f>
        <v>4.878048780487805E-2</v>
      </c>
      <c r="K1357" s="16">
        <f>AVERAGE(F$5:F1357)</f>
        <v>2.214486326681449</v>
      </c>
      <c r="L1357" s="16">
        <f>SUM(F$5:F1357)/SUM(E$5:E1357)</f>
        <v>0.75860846668017123</v>
      </c>
    </row>
    <row r="1358" spans="1:12" x14ac:dyDescent="0.25">
      <c r="A1358" s="29">
        <v>45846</v>
      </c>
      <c r="B1358" s="16" t="s">
        <v>1404</v>
      </c>
      <c r="C1358" s="34">
        <v>1</v>
      </c>
      <c r="D1358" s="16" t="s">
        <v>56</v>
      </c>
      <c r="E1358" s="35">
        <v>4</v>
      </c>
      <c r="F1358" s="35">
        <v>3.1</v>
      </c>
      <c r="G1358" s="16" t="s">
        <v>44</v>
      </c>
      <c r="H1358" s="16" t="s">
        <v>44</v>
      </c>
      <c r="I1358" s="16">
        <f>COUNTIF(G$5:G1358,"Y")/COUNTA(G$5:G1358)</f>
        <v>0.87961595273264404</v>
      </c>
      <c r="J1358" s="16">
        <f>COUNTIF(H$5:H1358,"Y")/COUNTA(H$5:H1358)</f>
        <v>4.9483013293943869E-2</v>
      </c>
      <c r="K1358" s="16">
        <f>AVERAGE(F$5:F1358)</f>
        <v>2.2151403249630723</v>
      </c>
      <c r="L1358" s="16">
        <f>SUM(F$5:F1358)/SUM(E$5:E1358)</f>
        <v>0.75862505058680796</v>
      </c>
    </row>
    <row r="1359" spans="1:12" x14ac:dyDescent="0.25">
      <c r="A1359" s="29">
        <v>45847</v>
      </c>
      <c r="B1359" s="16" t="s">
        <v>1405</v>
      </c>
      <c r="C1359" s="34">
        <v>1</v>
      </c>
      <c r="D1359" s="16" t="s">
        <v>60</v>
      </c>
      <c r="E1359" s="35">
        <v>4.9000000000000004</v>
      </c>
      <c r="F1359" s="35">
        <v>3.4</v>
      </c>
      <c r="G1359" s="16" t="s">
        <v>45</v>
      </c>
      <c r="H1359" s="16" t="s">
        <v>45</v>
      </c>
      <c r="I1359" s="16">
        <f>COUNTIF(G$5:G1359,"Y")/COUNTA(G$5:G1359)</f>
        <v>0.87896678966789665</v>
      </c>
      <c r="J1359" s="16">
        <f>COUNTIF(H$5:H1359,"Y")/COUNTA(H$5:H1359)</f>
        <v>4.9446494464944653E-2</v>
      </c>
      <c r="K1359" s="16">
        <f>AVERAGE(F$5:F1359)</f>
        <v>2.2160147601476017</v>
      </c>
      <c r="L1359" s="16">
        <f>SUM(F$5:F1359)/SUM(E$5:E1359)</f>
        <v>0.75854490337249059</v>
      </c>
    </row>
    <row r="1360" spans="1:12" x14ac:dyDescent="0.25">
      <c r="A1360" s="29">
        <v>45848</v>
      </c>
      <c r="B1360" s="16" t="s">
        <v>1406</v>
      </c>
      <c r="C1360" s="34">
        <v>1</v>
      </c>
      <c r="D1360" s="16" t="s">
        <v>43</v>
      </c>
      <c r="E1360" s="35">
        <v>2.4</v>
      </c>
      <c r="F1360" s="35">
        <v>2.1</v>
      </c>
      <c r="G1360" s="16" t="s">
        <v>45</v>
      </c>
      <c r="H1360" s="16" t="s">
        <v>45</v>
      </c>
      <c r="I1360" s="16">
        <f>COUNTIF(G$5:G1360,"Y")/COUNTA(G$5:G1360)</f>
        <v>0.87831858407079644</v>
      </c>
      <c r="J1360" s="16">
        <f>COUNTIF(H$5:H1360,"Y")/COUNTA(H$5:H1360)</f>
        <v>4.9410029498525077E-2</v>
      </c>
      <c r="K1360" s="16">
        <f>AVERAGE(F$5:F1360)</f>
        <v>2.2159292035398233</v>
      </c>
      <c r="L1360" s="16">
        <f>SUM(F$5:F1360)/SUM(E$5:E1360)</f>
        <v>0.75861546618192932</v>
      </c>
    </row>
    <row r="1361" spans="1:13" x14ac:dyDescent="0.25">
      <c r="A1361" s="29">
        <v>45849</v>
      </c>
      <c r="B1361" s="16" t="s">
        <v>1407</v>
      </c>
      <c r="C1361" s="34">
        <v>1</v>
      </c>
      <c r="D1361" s="16" t="s">
        <v>56</v>
      </c>
      <c r="E1361" s="35">
        <v>2.2000000000000002</v>
      </c>
      <c r="F1361" s="35">
        <v>1.5</v>
      </c>
      <c r="G1361" s="16" t="s">
        <v>44</v>
      </c>
      <c r="H1361" s="16" t="s">
        <v>45</v>
      </c>
      <c r="I1361" s="16">
        <f>COUNTIF(G$5:G1361,"Y")/COUNTA(G$5:G1361)</f>
        <v>0.87840825350036844</v>
      </c>
      <c r="J1361" s="16">
        <f>COUNTIF(H$5:H1361,"Y")/COUNTA(H$5:H1361)</f>
        <v>4.9373618275607961E-2</v>
      </c>
      <c r="K1361" s="16">
        <f>AVERAGE(F$5:F1361)</f>
        <v>2.215401621223287</v>
      </c>
      <c r="L1361" s="16">
        <f>SUM(F$5:F1361)/SUM(E$5:E1361)</f>
        <v>0.75857283439731626</v>
      </c>
    </row>
    <row r="1362" spans="1:13" x14ac:dyDescent="0.25">
      <c r="A1362" s="29">
        <v>45845</v>
      </c>
      <c r="B1362" s="16" t="s">
        <v>1408</v>
      </c>
      <c r="C1362" s="34">
        <v>1</v>
      </c>
      <c r="D1362" s="16" t="s">
        <v>64</v>
      </c>
      <c r="E1362" s="35">
        <v>2</v>
      </c>
      <c r="F1362" s="35">
        <v>1.5</v>
      </c>
      <c r="G1362" s="16" t="s">
        <v>44</v>
      </c>
      <c r="H1362" s="16" t="s">
        <v>45</v>
      </c>
      <c r="I1362" s="16">
        <f>COUNTIF(G$5:G1362,"Y")/COUNTA(G$5:G1362)</f>
        <v>0.87849779086892488</v>
      </c>
      <c r="J1362" s="16">
        <f>COUNTIF(H$5:H1362,"Y")/COUNTA(H$5:H1362)</f>
        <v>4.9337260677466861E-2</v>
      </c>
      <c r="K1362" s="16">
        <f>AVERAGE(F$5:F1362)</f>
        <v>2.2148748159057439</v>
      </c>
      <c r="L1362" s="16">
        <f>SUM(F$5:F1362)/SUM(E$5:E1362)</f>
        <v>0.75856851025194927</v>
      </c>
    </row>
    <row r="1363" spans="1:13" x14ac:dyDescent="0.25">
      <c r="A1363" s="29">
        <v>45846</v>
      </c>
      <c r="B1363" s="16" t="s">
        <v>1409</v>
      </c>
      <c r="C1363" s="34">
        <v>1</v>
      </c>
      <c r="D1363" s="16" t="s">
        <v>43</v>
      </c>
      <c r="E1363" s="35">
        <v>5.5</v>
      </c>
      <c r="F1363" s="35">
        <v>3.9</v>
      </c>
      <c r="G1363" s="16" t="s">
        <v>45</v>
      </c>
      <c r="H1363" s="16" t="s">
        <v>45</v>
      </c>
      <c r="I1363" s="16">
        <f>COUNTIF(G$5:G1363,"Y")/COUNTA(G$5:G1363)</f>
        <v>0.87785136129506991</v>
      </c>
      <c r="J1363" s="16">
        <f>COUNTIF(H$5:H1363,"Y")/COUNTA(H$5:H1363)</f>
        <v>4.9300956585724795E-2</v>
      </c>
      <c r="K1363" s="16">
        <f>AVERAGE(F$5:F1363)</f>
        <v>2.216114790286976</v>
      </c>
      <c r="L1363" s="16">
        <f>SUM(F$5:F1363)/SUM(E$5:E1363)</f>
        <v>0.75849997481489051</v>
      </c>
    </row>
    <row r="1364" spans="1:13" x14ac:dyDescent="0.25">
      <c r="A1364" s="29">
        <v>45847</v>
      </c>
      <c r="B1364" s="16" t="s">
        <v>1410</v>
      </c>
      <c r="C1364" s="34">
        <v>1</v>
      </c>
      <c r="D1364" s="16" t="s">
        <v>47</v>
      </c>
      <c r="E1364" s="35">
        <v>2.2999999999999998</v>
      </c>
      <c r="F1364" s="35">
        <v>1.8</v>
      </c>
      <c r="G1364" s="16" t="s">
        <v>44</v>
      </c>
      <c r="H1364" s="16" t="s">
        <v>45</v>
      </c>
      <c r="I1364" s="16">
        <f>COUNTIF(G$5:G1364,"Y")/COUNTA(G$5:G1364)</f>
        <v>0.87794117647058822</v>
      </c>
      <c r="J1364" s="16">
        <f>COUNTIF(H$5:H1364,"Y")/COUNTA(H$5:H1364)</f>
        <v>4.926470588235294E-2</v>
      </c>
      <c r="K1364" s="16">
        <f>AVERAGE(F$5:F1364)</f>
        <v>2.2158088235294122</v>
      </c>
      <c r="L1364" s="16">
        <f>SUM(F$5:F1364)/SUM(E$5:E1364)</f>
        <v>0.75851393188854599</v>
      </c>
    </row>
    <row r="1365" spans="1:13" x14ac:dyDescent="0.25">
      <c r="A1365" s="29">
        <v>45848</v>
      </c>
      <c r="B1365" s="16" t="s">
        <v>1411</v>
      </c>
      <c r="C1365" s="34">
        <v>1</v>
      </c>
      <c r="D1365" s="16" t="s">
        <v>56</v>
      </c>
      <c r="E1365" s="35">
        <v>3.5</v>
      </c>
      <c r="F1365" s="35">
        <v>2.9</v>
      </c>
      <c r="G1365" s="16" t="s">
        <v>44</v>
      </c>
      <c r="H1365" s="16" t="s">
        <v>45</v>
      </c>
      <c r="I1365" s="16">
        <f>COUNTIF(G$5:G1365,"Y")/COUNTA(G$5:G1365)</f>
        <v>0.87803085966201322</v>
      </c>
      <c r="J1365" s="16">
        <f>COUNTIF(H$5:H1365,"Y")/COUNTA(H$5:H1365)</f>
        <v>4.9228508449669361E-2</v>
      </c>
      <c r="K1365" s="16">
        <f>AVERAGE(F$5:F1365)</f>
        <v>2.2163115356355623</v>
      </c>
      <c r="L1365" s="16">
        <f>SUM(F$5:F1365)/SUM(E$5:E1365)</f>
        <v>0.75857559601649838</v>
      </c>
    </row>
    <row r="1366" spans="1:13" x14ac:dyDescent="0.25">
      <c r="A1366" s="29">
        <v>45849</v>
      </c>
      <c r="B1366" s="16" t="s">
        <v>1412</v>
      </c>
      <c r="C1366" s="34">
        <v>1</v>
      </c>
      <c r="D1366" s="16" t="s">
        <v>60</v>
      </c>
      <c r="E1366" s="35">
        <v>4</v>
      </c>
      <c r="F1366" s="35">
        <v>3.2</v>
      </c>
      <c r="G1366" s="16" t="s">
        <v>44</v>
      </c>
      <c r="H1366" s="16" t="s">
        <v>45</v>
      </c>
      <c r="I1366" s="16">
        <f>COUNTIF(G$5:G1366,"Y")/COUNTA(G$5:G1366)</f>
        <v>0.87812041116005879</v>
      </c>
      <c r="J1366" s="16">
        <f>COUNTIF(H$5:H1366,"Y")/COUNTA(H$5:H1366)</f>
        <v>4.9192364170337739E-2</v>
      </c>
      <c r="K1366" s="16">
        <f>AVERAGE(F$5:F1366)</f>
        <v>2.2170337738619681</v>
      </c>
      <c r="L1366" s="16">
        <f>SUM(F$5:F1366)/SUM(E$5:E1366)</f>
        <v>0.75861722439955881</v>
      </c>
    </row>
    <row r="1367" spans="1:13" x14ac:dyDescent="0.25">
      <c r="A1367" s="29">
        <v>45845</v>
      </c>
      <c r="B1367" s="16" t="s">
        <v>1413</v>
      </c>
      <c r="C1367" s="34">
        <v>1</v>
      </c>
      <c r="D1367" s="16" t="s">
        <v>52</v>
      </c>
      <c r="E1367" s="35">
        <v>0.8</v>
      </c>
      <c r="F1367" s="35">
        <v>0.6</v>
      </c>
      <c r="G1367" s="16" t="s">
        <v>44</v>
      </c>
      <c r="H1367" s="16" t="s">
        <v>45</v>
      </c>
      <c r="I1367" s="16">
        <f>COUNTIF(G$5:G1367,"Y")/COUNTA(G$5:G1367)</f>
        <v>0.87820983125458552</v>
      </c>
      <c r="J1367" s="16">
        <f>COUNTIF(H$5:H1367,"Y")/COUNTA(H$5:H1367)</f>
        <v>4.9156272927366101E-2</v>
      </c>
      <c r="K1367" s="16">
        <f>AVERAGE(F$5:F1367)</f>
        <v>2.2158473954512106</v>
      </c>
      <c r="L1367" s="16">
        <f>SUM(F$5:F1367)/SUM(E$5:E1367)</f>
        <v>0.7586154928162373</v>
      </c>
    </row>
    <row r="1368" spans="1:13" x14ac:dyDescent="0.25">
      <c r="A1368" s="29">
        <v>45846</v>
      </c>
      <c r="B1368" s="16" t="s">
        <v>1414</v>
      </c>
      <c r="C1368" s="34">
        <v>1</v>
      </c>
      <c r="D1368" s="16" t="s">
        <v>43</v>
      </c>
      <c r="E1368" s="35">
        <v>0.6</v>
      </c>
      <c r="F1368" s="35">
        <v>0.5</v>
      </c>
      <c r="G1368" s="16" t="s">
        <v>44</v>
      </c>
      <c r="H1368" s="16" t="s">
        <v>45</v>
      </c>
      <c r="I1368" s="16">
        <f>COUNTIF(G$5:G1368,"Y")/COUNTA(G$5:G1368)</f>
        <v>0.8782991202346041</v>
      </c>
      <c r="J1368" s="16">
        <f>COUNTIF(H$5:H1368,"Y")/COUNTA(H$5:H1368)</f>
        <v>4.912023460410557E-2</v>
      </c>
      <c r="K1368" s="16">
        <f>AVERAGE(F$5:F1368)</f>
        <v>2.2145894428152495</v>
      </c>
      <c r="L1368" s="16">
        <f>SUM(F$5:F1368)/SUM(E$5:E1368)</f>
        <v>0.75862675172032845</v>
      </c>
    </row>
    <row r="1369" spans="1:13" x14ac:dyDescent="0.25">
      <c r="A1369" s="29">
        <v>45847</v>
      </c>
      <c r="B1369" s="16" t="s">
        <v>1415</v>
      </c>
      <c r="C1369" s="34">
        <v>1</v>
      </c>
      <c r="D1369" s="16" t="s">
        <v>56</v>
      </c>
      <c r="E1369" s="35">
        <v>0.6</v>
      </c>
      <c r="F1369" s="35">
        <v>0.5</v>
      </c>
      <c r="G1369" s="16" t="s">
        <v>44</v>
      </c>
      <c r="H1369" s="16" t="s">
        <v>45</v>
      </c>
      <c r="I1369" s="16">
        <f>COUNTIF(G$5:G1369,"Y")/COUNTA(G$5:G1369)</f>
        <v>0.87838827838827838</v>
      </c>
      <c r="J1369" s="16">
        <f>COUNTIF(H$5:H1369,"Y")/COUNTA(H$5:H1369)</f>
        <v>4.9084249084249083E-2</v>
      </c>
      <c r="K1369" s="16">
        <f>AVERAGE(F$5:F1369)</f>
        <v>2.2133333333333334</v>
      </c>
      <c r="L1369" s="16">
        <f>SUM(F$5:F1369)/SUM(E$5:E1369)</f>
        <v>0.75863800723182107</v>
      </c>
    </row>
    <row r="1370" spans="1:13" x14ac:dyDescent="0.25">
      <c r="A1370" s="29">
        <v>45848</v>
      </c>
      <c r="B1370" s="16" t="s">
        <v>1416</v>
      </c>
      <c r="C1370" s="34">
        <v>1</v>
      </c>
      <c r="D1370" s="16" t="s">
        <v>60</v>
      </c>
      <c r="E1370" s="35">
        <v>0.7</v>
      </c>
      <c r="F1370" s="35">
        <v>0.5</v>
      </c>
      <c r="G1370" s="16" t="s">
        <v>44</v>
      </c>
      <c r="H1370" s="16" t="s">
        <v>45</v>
      </c>
      <c r="I1370" s="16">
        <f>COUNTIF(G$5:G1370,"Y")/COUNTA(G$5:G1370)</f>
        <v>0.87847730600292828</v>
      </c>
      <c r="J1370" s="16">
        <f>COUNTIF(H$5:H1370,"Y")/COUNTA(H$5:H1370)</f>
        <v>4.9048316251830162E-2</v>
      </c>
      <c r="K1370" s="16">
        <f>AVERAGE(F$5:F1370)</f>
        <v>2.2120790629575406</v>
      </c>
      <c r="L1370" s="16">
        <f>SUM(F$5:F1370)/SUM(E$5:E1370)</f>
        <v>0.75863021264844066</v>
      </c>
    </row>
    <row r="1371" spans="1:13" x14ac:dyDescent="0.25">
      <c r="A1371" s="29">
        <v>45849</v>
      </c>
      <c r="B1371" s="16" t="s">
        <v>1417</v>
      </c>
      <c r="C1371" s="34">
        <v>1</v>
      </c>
      <c r="D1371" s="16" t="s">
        <v>64</v>
      </c>
      <c r="E1371" s="35">
        <v>0.6</v>
      </c>
      <c r="F1371" s="35">
        <v>0.5</v>
      </c>
      <c r="G1371" s="16" t="s">
        <v>44</v>
      </c>
      <c r="H1371" s="16" t="s">
        <v>45</v>
      </c>
      <c r="I1371" s="16">
        <f>COUNTIF(G$5:G1371,"Y")/COUNTA(G$5:G1371)</f>
        <v>0.87856620336503288</v>
      </c>
      <c r="J1371" s="16">
        <f>COUNTIF(H$5:H1371,"Y")/COUNTA(H$5:H1371)</f>
        <v>4.9012435991221653E-2</v>
      </c>
      <c r="K1371" s="16">
        <f>AVERAGE(F$5:F1371)</f>
        <v>2.2108266276517923</v>
      </c>
      <c r="L1371" s="16">
        <f>SUM(F$5:F1371)/SUM(E$5:E1371)</f>
        <v>0.75864146396566112</v>
      </c>
    </row>
    <row r="1372" spans="1:13" x14ac:dyDescent="0.25">
      <c r="A1372" s="29">
        <v>45845</v>
      </c>
      <c r="B1372" s="16" t="s">
        <v>1418</v>
      </c>
      <c r="C1372" s="34">
        <v>1</v>
      </c>
      <c r="D1372" s="16" t="s">
        <v>47</v>
      </c>
      <c r="E1372" s="35">
        <v>1.2</v>
      </c>
      <c r="F1372" s="35">
        <v>0.5</v>
      </c>
      <c r="G1372" s="16" t="s">
        <v>44</v>
      </c>
      <c r="H1372" s="16" t="s">
        <v>44</v>
      </c>
      <c r="I1372" s="16">
        <f>COUNTIF(G$5:G1372,"Y")/COUNTA(G$5:G1372)</f>
        <v>0.87865497076023391</v>
      </c>
      <c r="J1372" s="16">
        <f>COUNTIF(H$5:H1372,"Y")/COUNTA(H$5:H1372)</f>
        <v>4.9707602339181284E-2</v>
      </c>
      <c r="K1372" s="16">
        <f>AVERAGE(F$5:F1372)</f>
        <v>2.2095760233918131</v>
      </c>
      <c r="L1372" s="16">
        <f>SUM(F$5:F1372)/SUM(E$5:E1372)</f>
        <v>0.75853848277246716</v>
      </c>
      <c r="M1372" s="16">
        <v>8</v>
      </c>
    </row>
    <row r="1373" spans="1:13" x14ac:dyDescent="0.25">
      <c r="A1373" s="29">
        <v>45852</v>
      </c>
      <c r="B1373" s="16" t="s">
        <v>1419</v>
      </c>
      <c r="C1373" s="34">
        <v>1</v>
      </c>
      <c r="D1373" s="16" t="s">
        <v>60</v>
      </c>
      <c r="E1373" s="35">
        <v>5.6</v>
      </c>
      <c r="F1373" s="35">
        <v>3.9</v>
      </c>
      <c r="G1373" s="16" t="s">
        <v>44</v>
      </c>
      <c r="H1373" s="16" t="s">
        <v>45</v>
      </c>
      <c r="I1373" s="16">
        <f>COUNTIF(G$5:G1373,"Y")/COUNTA(G$5:G1373)</f>
        <v>0.87874360847333821</v>
      </c>
      <c r="J1373" s="16">
        <f>COUNTIF(H$5:H1373,"Y")/COUNTA(H$5:H1373)</f>
        <v>4.9671292914536161E-2</v>
      </c>
      <c r="K1373" s="16">
        <f>AVERAGE(F$5:F1373)</f>
        <v>2.2108108108108109</v>
      </c>
      <c r="L1373" s="16">
        <f>SUM(F$5:F1373)/SUM(E$5:E1373)</f>
        <v>0.75845132188948872</v>
      </c>
    </row>
    <row r="1374" spans="1:13" x14ac:dyDescent="0.25">
      <c r="A1374" s="29">
        <v>45853</v>
      </c>
      <c r="B1374" s="16" t="s">
        <v>1420</v>
      </c>
      <c r="C1374" s="34">
        <v>1</v>
      </c>
      <c r="D1374" s="16" t="s">
        <v>43</v>
      </c>
      <c r="E1374" s="35">
        <v>1.8</v>
      </c>
      <c r="F1374" s="35">
        <v>1.5</v>
      </c>
      <c r="G1374" s="16" t="s">
        <v>45</v>
      </c>
      <c r="H1374" s="16" t="s">
        <v>45</v>
      </c>
      <c r="I1374" s="16">
        <f>COUNTIF(G$5:G1374,"Y")/COUNTA(G$5:G1374)</f>
        <v>0.87810218978102195</v>
      </c>
      <c r="J1374" s="16">
        <f>COUNTIF(H$5:H1374,"Y")/COUNTA(H$5:H1374)</f>
        <v>4.9635036496350364E-2</v>
      </c>
      <c r="K1374" s="16">
        <f>AVERAGE(F$5:F1374)</f>
        <v>2.2102919708029201</v>
      </c>
      <c r="L1374" s="16">
        <f>SUM(F$5:F1374)/SUM(E$5:E1374)</f>
        <v>0.75848508378628965</v>
      </c>
    </row>
    <row r="1375" spans="1:13" x14ac:dyDescent="0.25">
      <c r="A1375" s="29">
        <v>45854</v>
      </c>
      <c r="B1375" s="16" t="s">
        <v>1421</v>
      </c>
      <c r="C1375" s="34">
        <v>1</v>
      </c>
      <c r="D1375" s="16" t="s">
        <v>43</v>
      </c>
      <c r="E1375" s="35">
        <v>3.6</v>
      </c>
      <c r="F1375" s="35">
        <v>2.9</v>
      </c>
      <c r="G1375" s="16" t="s">
        <v>44</v>
      </c>
      <c r="H1375" s="16" t="s">
        <v>45</v>
      </c>
      <c r="I1375" s="16">
        <f>COUNTIF(G$5:G1375,"Y")/COUNTA(G$5:G1375)</f>
        <v>0.87819110138584977</v>
      </c>
      <c r="J1375" s="16">
        <f>COUNTIF(H$5:H1375,"Y")/COUNTA(H$5:H1375)</f>
        <v>4.9598832968636035E-2</v>
      </c>
      <c r="K1375" s="16">
        <f>AVERAGE(F$5:F1375)</f>
        <v>2.2107950401167034</v>
      </c>
      <c r="L1375" s="16">
        <f>SUM(F$5:F1375)/SUM(E$5:E1375)</f>
        <v>0.758527490677946</v>
      </c>
    </row>
    <row r="1376" spans="1:13" x14ac:dyDescent="0.25">
      <c r="A1376" s="29">
        <v>45855</v>
      </c>
      <c r="B1376" s="16" t="s">
        <v>1422</v>
      </c>
      <c r="C1376" s="34">
        <v>1</v>
      </c>
      <c r="D1376" s="16" t="s">
        <v>56</v>
      </c>
      <c r="E1376" s="35">
        <v>3.8</v>
      </c>
      <c r="F1376" s="35">
        <v>2.5</v>
      </c>
      <c r="G1376" s="16" t="s">
        <v>44</v>
      </c>
      <c r="H1376" s="16" t="s">
        <v>45</v>
      </c>
      <c r="I1376" s="16">
        <f>COUNTIF(G$5:G1376,"Y")/COUNTA(G$5:G1376)</f>
        <v>0.8782798833819242</v>
      </c>
      <c r="J1376" s="16">
        <f>COUNTIF(H$5:H1376,"Y")/COUNTA(H$5:H1376)</f>
        <v>4.9562682215743441E-2</v>
      </c>
      <c r="K1376" s="16">
        <f>AVERAGE(F$5:F1376)</f>
        <v>2.2110058309037903</v>
      </c>
      <c r="L1376" s="16">
        <f>SUM(F$5:F1376)/SUM(E$5:E1376)</f>
        <v>0.75843188239118042</v>
      </c>
    </row>
    <row r="1377" spans="1:12" x14ac:dyDescent="0.25">
      <c r="A1377" s="29">
        <v>45856</v>
      </c>
      <c r="B1377" s="16" t="s">
        <v>1423</v>
      </c>
      <c r="C1377" s="34">
        <v>1</v>
      </c>
      <c r="D1377" s="16" t="s">
        <v>56</v>
      </c>
      <c r="E1377" s="35">
        <v>2.2000000000000002</v>
      </c>
      <c r="F1377" s="35">
        <v>1.6</v>
      </c>
      <c r="G1377" s="16" t="s">
        <v>44</v>
      </c>
      <c r="H1377" s="16" t="s">
        <v>45</v>
      </c>
      <c r="I1377" s="16">
        <f>COUNTIF(G$5:G1377,"Y")/COUNTA(G$5:G1377)</f>
        <v>0.87836853605243992</v>
      </c>
      <c r="J1377" s="16">
        <f>COUNTIF(H$5:H1377,"Y")/COUNTA(H$5:H1377)</f>
        <v>4.9526584122359794E-2</v>
      </c>
      <c r="K1377" s="16">
        <f>AVERAGE(F$5:F1377)</f>
        <v>2.210560815731974</v>
      </c>
      <c r="L1377" s="16">
        <f>SUM(F$5:F1377)/SUM(E$5:E1377)</f>
        <v>0.75841475299232974</v>
      </c>
    </row>
    <row r="1378" spans="1:12" x14ac:dyDescent="0.25">
      <c r="A1378" s="29">
        <v>45852</v>
      </c>
      <c r="B1378" s="16" t="s">
        <v>1424</v>
      </c>
      <c r="C1378" s="34">
        <v>1</v>
      </c>
      <c r="D1378" s="16" t="s">
        <v>60</v>
      </c>
      <c r="E1378" s="35">
        <v>5.5</v>
      </c>
      <c r="F1378" s="35">
        <v>3.9</v>
      </c>
      <c r="G1378" s="16" t="s">
        <v>44</v>
      </c>
      <c r="H1378" s="16" t="s">
        <v>45</v>
      </c>
      <c r="I1378" s="16">
        <f>COUNTIF(G$5:G1378,"Y")/COUNTA(G$5:G1378)</f>
        <v>0.87845705967976706</v>
      </c>
      <c r="J1378" s="16">
        <f>COUNTIF(H$5:H1378,"Y")/COUNTA(H$5:H1378)</f>
        <v>4.9490538573508006E-2</v>
      </c>
      <c r="K1378" s="16">
        <f>AVERAGE(F$5:F1378)</f>
        <v>2.2117903930131009</v>
      </c>
      <c r="L1378" s="16">
        <f>SUM(F$5:F1378)/SUM(E$5:E1378)</f>
        <v>0.75834705794280699</v>
      </c>
    </row>
    <row r="1379" spans="1:12" x14ac:dyDescent="0.25">
      <c r="A1379" s="29">
        <v>45853</v>
      </c>
      <c r="B1379" s="16" t="s">
        <v>1425</v>
      </c>
      <c r="C1379" s="34">
        <v>1</v>
      </c>
      <c r="D1379" s="16" t="s">
        <v>64</v>
      </c>
      <c r="E1379" s="35">
        <v>2.7</v>
      </c>
      <c r="F1379" s="35">
        <v>1.9</v>
      </c>
      <c r="G1379" s="16" t="s">
        <v>44</v>
      </c>
      <c r="H1379" s="16" t="s">
        <v>45</v>
      </c>
      <c r="I1379" s="16">
        <f>COUNTIF(G$5:G1379,"Y")/COUNTA(G$5:G1379)</f>
        <v>0.87854545454545452</v>
      </c>
      <c r="J1379" s="16">
        <f>COUNTIF(H$5:H1379,"Y")/COUNTA(H$5:H1379)</f>
        <v>4.9454545454545452E-2</v>
      </c>
      <c r="K1379" s="16">
        <f>AVERAGE(F$5:F1379)</f>
        <v>2.2115636363636368</v>
      </c>
      <c r="L1379" s="16">
        <f>SUM(F$5:F1379)/SUM(E$5:E1379)</f>
        <v>0.75831026657689449</v>
      </c>
    </row>
    <row r="1380" spans="1:12" x14ac:dyDescent="0.25">
      <c r="A1380" s="29">
        <v>45854</v>
      </c>
      <c r="B1380" s="16" t="s">
        <v>1426</v>
      </c>
      <c r="C1380" s="34">
        <v>1</v>
      </c>
      <c r="D1380" s="16" t="s">
        <v>47</v>
      </c>
      <c r="E1380" s="35">
        <v>5.4</v>
      </c>
      <c r="F1380" s="35">
        <v>3.9</v>
      </c>
      <c r="G1380" s="16" t="s">
        <v>44</v>
      </c>
      <c r="H1380" s="16" t="s">
        <v>45</v>
      </c>
      <c r="I1380" s="16">
        <f>COUNTIF(G$5:G1380,"Y")/COUNTA(G$5:G1380)</f>
        <v>0.87863372093023251</v>
      </c>
      <c r="J1380" s="16">
        <f>COUNTIF(H$5:H1380,"Y")/COUNTA(H$5:H1380)</f>
        <v>4.9418604651162788E-2</v>
      </c>
      <c r="K1380" s="16">
        <f>AVERAGE(F$5:F1380)</f>
        <v>2.2127906976744192</v>
      </c>
      <c r="L1380" s="16">
        <f>SUM(F$5:F1380)/SUM(E$5:E1380)</f>
        <v>0.75826173577387745</v>
      </c>
    </row>
    <row r="1381" spans="1:12" x14ac:dyDescent="0.25">
      <c r="A1381" s="29">
        <v>45855</v>
      </c>
      <c r="B1381" s="16" t="s">
        <v>1427</v>
      </c>
      <c r="C1381" s="34">
        <v>1</v>
      </c>
      <c r="D1381" s="16" t="s">
        <v>60</v>
      </c>
      <c r="E1381" s="35">
        <v>4.0999999999999996</v>
      </c>
      <c r="F1381" s="35">
        <v>2.7</v>
      </c>
      <c r="G1381" s="16" t="s">
        <v>44</v>
      </c>
      <c r="H1381" s="16" t="s">
        <v>45</v>
      </c>
      <c r="I1381" s="16">
        <f>COUNTIF(G$5:G1381,"Y")/COUNTA(G$5:G1381)</f>
        <v>0.87872185911401601</v>
      </c>
      <c r="J1381" s="16">
        <f>COUNTIF(H$5:H1381,"Y")/COUNTA(H$5:H1381)</f>
        <v>4.9382716049382713E-2</v>
      </c>
      <c r="K1381" s="16">
        <f>AVERAGE(F$5:F1381)</f>
        <v>2.2131445170660862</v>
      </c>
      <c r="L1381" s="16">
        <f>SUM(F$5:F1381)/SUM(E$5:E1381)</f>
        <v>0.75816001592198345</v>
      </c>
    </row>
    <row r="1382" spans="1:12" x14ac:dyDescent="0.25">
      <c r="A1382" s="29">
        <v>45856</v>
      </c>
      <c r="B1382" s="16" t="s">
        <v>1428</v>
      </c>
      <c r="C1382" s="34">
        <v>1</v>
      </c>
      <c r="D1382" s="16" t="s">
        <v>56</v>
      </c>
      <c r="E1382" s="35">
        <v>3.4</v>
      </c>
      <c r="F1382" s="35">
        <v>2.6</v>
      </c>
      <c r="G1382" s="16" t="s">
        <v>44</v>
      </c>
      <c r="H1382" s="16" t="s">
        <v>45</v>
      </c>
      <c r="I1382" s="16">
        <f>COUNTIF(G$5:G1382,"Y")/COUNTA(G$5:G1382)</f>
        <v>0.8788098693759071</v>
      </c>
      <c r="J1382" s="16">
        <f>COUNTIF(H$5:H1382,"Y")/COUNTA(H$5:H1382)</f>
        <v>4.9346879535558781E-2</v>
      </c>
      <c r="K1382" s="16">
        <f>AVERAGE(F$5:F1382)</f>
        <v>2.213425253991292</v>
      </c>
      <c r="L1382" s="16">
        <f>SUM(F$5:F1382)/SUM(E$5:E1382)</f>
        <v>0.75816554809843517</v>
      </c>
    </row>
    <row r="1383" spans="1:12" x14ac:dyDescent="0.25">
      <c r="A1383" s="29">
        <v>45852</v>
      </c>
      <c r="B1383" s="16" t="s">
        <v>1429</v>
      </c>
      <c r="C1383" s="34">
        <v>1</v>
      </c>
      <c r="D1383" s="16" t="s">
        <v>64</v>
      </c>
      <c r="E1383" s="35">
        <v>5.4</v>
      </c>
      <c r="F1383" s="35">
        <v>3.7</v>
      </c>
      <c r="G1383" s="16" t="s">
        <v>44</v>
      </c>
      <c r="H1383" s="16" t="s">
        <v>45</v>
      </c>
      <c r="I1383" s="16">
        <f>COUNTIF(G$5:G1383,"Y")/COUNTA(G$5:G1383)</f>
        <v>0.87889775199419873</v>
      </c>
      <c r="J1383" s="16">
        <f>COUNTIF(H$5:H1383,"Y")/COUNTA(H$5:H1383)</f>
        <v>4.9311094996374184E-2</v>
      </c>
      <c r="K1383" s="16">
        <f>AVERAGE(F$5:F1383)</f>
        <v>2.2145032632342279</v>
      </c>
      <c r="L1383" s="16">
        <f>SUM(F$5:F1383)/SUM(E$5:E1383)</f>
        <v>0.75806771919372562</v>
      </c>
    </row>
    <row r="1384" spans="1:12" x14ac:dyDescent="0.25">
      <c r="A1384" s="29">
        <v>45853</v>
      </c>
      <c r="B1384" s="16" t="s">
        <v>1430</v>
      </c>
      <c r="C1384" s="34">
        <v>1</v>
      </c>
      <c r="D1384" s="16" t="s">
        <v>43</v>
      </c>
      <c r="E1384" s="35">
        <v>4.8</v>
      </c>
      <c r="F1384" s="35">
        <v>3.5</v>
      </c>
      <c r="G1384" s="16" t="s">
        <v>44</v>
      </c>
      <c r="H1384" s="16" t="s">
        <v>45</v>
      </c>
      <c r="I1384" s="16">
        <f>COUNTIF(G$5:G1384,"Y")/COUNTA(G$5:G1384)</f>
        <v>0.87898550724637681</v>
      </c>
      <c r="J1384" s="16">
        <f>COUNTIF(H$5:H1384,"Y")/COUNTA(H$5:H1384)</f>
        <v>4.9275362318840582E-2</v>
      </c>
      <c r="K1384" s="16">
        <f>AVERAGE(F$5:F1384)</f>
        <v>2.2154347826086958</v>
      </c>
      <c r="L1384" s="16">
        <f>SUM(F$5:F1384)/SUM(E$5:E1384)</f>
        <v>0.75803332341565111</v>
      </c>
    </row>
    <row r="1385" spans="1:12" x14ac:dyDescent="0.25">
      <c r="A1385" s="29">
        <v>45854</v>
      </c>
      <c r="B1385" s="16" t="s">
        <v>1431</v>
      </c>
      <c r="C1385" s="34">
        <v>1</v>
      </c>
      <c r="D1385" s="16" t="s">
        <v>60</v>
      </c>
      <c r="E1385" s="35">
        <v>1.8</v>
      </c>
      <c r="F1385" s="35">
        <v>1.2</v>
      </c>
      <c r="G1385" s="16" t="s">
        <v>44</v>
      </c>
      <c r="H1385" s="16" t="s">
        <v>45</v>
      </c>
      <c r="I1385" s="16">
        <f>COUNTIF(G$5:G1385,"Y")/COUNTA(G$5:G1385)</f>
        <v>0.8790731354091238</v>
      </c>
      <c r="J1385" s="16">
        <f>COUNTIF(H$5:H1385,"Y")/COUNTA(H$5:H1385)</f>
        <v>4.9239681390296886E-2</v>
      </c>
      <c r="K1385" s="16">
        <f>AVERAGE(F$5:F1385)</f>
        <v>2.2146994931209267</v>
      </c>
      <c r="L1385" s="16">
        <f>SUM(F$5:F1385)/SUM(E$5:E1385)</f>
        <v>0.75799256505576307</v>
      </c>
    </row>
    <row r="1386" spans="1:12" x14ac:dyDescent="0.25">
      <c r="A1386" s="29">
        <v>45855</v>
      </c>
      <c r="B1386" s="16" t="s">
        <v>1432</v>
      </c>
      <c r="C1386" s="34">
        <v>1</v>
      </c>
      <c r="D1386" s="16" t="s">
        <v>47</v>
      </c>
      <c r="E1386" s="35">
        <v>4.8</v>
      </c>
      <c r="F1386" s="35">
        <v>3.6</v>
      </c>
      <c r="G1386" s="16" t="s">
        <v>44</v>
      </c>
      <c r="H1386" s="16" t="s">
        <v>45</v>
      </c>
      <c r="I1386" s="16">
        <f>COUNTIF(G$5:G1386,"Y")/COUNTA(G$5:G1386)</f>
        <v>0.87916063675832123</v>
      </c>
      <c r="J1386" s="16">
        <f>COUNTIF(H$5:H1386,"Y")/COUNTA(H$5:H1386)</f>
        <v>4.9204052098408106E-2</v>
      </c>
      <c r="K1386" s="16">
        <f>AVERAGE(F$5:F1386)</f>
        <v>2.2157018813314036</v>
      </c>
      <c r="L1386" s="16">
        <f>SUM(F$5:F1386)/SUM(E$5:E1386)</f>
        <v>0.75798306846873698</v>
      </c>
    </row>
    <row r="1387" spans="1:12" x14ac:dyDescent="0.25">
      <c r="A1387" s="29">
        <v>45856</v>
      </c>
      <c r="B1387" s="16" t="s">
        <v>1433</v>
      </c>
      <c r="C1387" s="34">
        <v>1</v>
      </c>
      <c r="D1387" s="16" t="s">
        <v>64</v>
      </c>
      <c r="E1387" s="35">
        <v>4.3</v>
      </c>
      <c r="F1387" s="35">
        <v>2.8</v>
      </c>
      <c r="G1387" s="16" t="s">
        <v>44</v>
      </c>
      <c r="H1387" s="16" t="s">
        <v>45</v>
      </c>
      <c r="I1387" s="16">
        <f>COUNTIF(G$5:G1387,"Y")/COUNTA(G$5:G1387)</f>
        <v>0.87924801156905275</v>
      </c>
      <c r="J1387" s="16">
        <f>COUNTIF(H$5:H1387,"Y")/COUNTA(H$5:H1387)</f>
        <v>4.9168474331164135E-2</v>
      </c>
      <c r="K1387" s="16">
        <f>AVERAGE(F$5:F1387)</f>
        <v>2.216124367317426</v>
      </c>
      <c r="L1387" s="16">
        <f>SUM(F$5:F1387)/SUM(E$5:E1387)</f>
        <v>0.75786948888504335</v>
      </c>
    </row>
    <row r="1388" spans="1:12" x14ac:dyDescent="0.25">
      <c r="A1388" s="29">
        <v>45852</v>
      </c>
      <c r="B1388" s="16" t="s">
        <v>1434</v>
      </c>
      <c r="C1388" s="34">
        <v>1</v>
      </c>
      <c r="D1388" s="16" t="s">
        <v>52</v>
      </c>
      <c r="E1388" s="35">
        <v>3.1</v>
      </c>
      <c r="F1388" s="35">
        <v>2.2000000000000002</v>
      </c>
      <c r="G1388" s="16" t="s">
        <v>44</v>
      </c>
      <c r="H1388" s="16" t="s">
        <v>45</v>
      </c>
      <c r="I1388" s="16">
        <f>COUNTIF(G$5:G1388,"Y")/COUNTA(G$5:G1388)</f>
        <v>0.87933526011560692</v>
      </c>
      <c r="J1388" s="16">
        <f>COUNTIF(H$5:H1388,"Y")/COUNTA(H$5:H1388)</f>
        <v>4.9132947976878616E-2</v>
      </c>
      <c r="K1388" s="16">
        <f>AVERAGE(F$5:F1388)</f>
        <v>2.2161127167630057</v>
      </c>
      <c r="L1388" s="16">
        <f>SUM(F$5:F1388)/SUM(E$5:E1388)</f>
        <v>0.75783257560782846</v>
      </c>
    </row>
    <row r="1389" spans="1:12" x14ac:dyDescent="0.25">
      <c r="A1389" s="29">
        <v>45853</v>
      </c>
      <c r="B1389" s="16" t="s">
        <v>1435</v>
      </c>
      <c r="C1389" s="34">
        <v>1</v>
      </c>
      <c r="D1389" s="16" t="s">
        <v>52</v>
      </c>
      <c r="E1389" s="35">
        <v>3.2</v>
      </c>
      <c r="F1389" s="35">
        <v>2.2999999999999998</v>
      </c>
      <c r="G1389" s="16" t="s">
        <v>44</v>
      </c>
      <c r="H1389" s="16" t="s">
        <v>44</v>
      </c>
      <c r="I1389" s="16">
        <f>COUNTIF(G$5:G1389,"Y")/COUNTA(G$5:G1389)</f>
        <v>0.8794223826714801</v>
      </c>
      <c r="J1389" s="16">
        <f>COUNTIF(H$5:H1389,"Y")/COUNTA(H$5:H1389)</f>
        <v>4.9819494584837545E-2</v>
      </c>
      <c r="K1389" s="16">
        <f>AVERAGE(F$5:F1389)</f>
        <v>2.2161732851985558</v>
      </c>
      <c r="L1389" s="16">
        <f>SUM(F$5:F1389)/SUM(E$5:E1389)</f>
        <v>0.75780169859767033</v>
      </c>
    </row>
    <row r="1390" spans="1:12" x14ac:dyDescent="0.25">
      <c r="A1390" s="29">
        <v>45854</v>
      </c>
      <c r="B1390" s="16" t="s">
        <v>1436</v>
      </c>
      <c r="C1390" s="34">
        <v>1</v>
      </c>
      <c r="D1390" s="16" t="s">
        <v>50</v>
      </c>
      <c r="E1390" s="35">
        <v>4.7</v>
      </c>
      <c r="F1390" s="35">
        <v>4</v>
      </c>
      <c r="G1390" s="16" t="s">
        <v>44</v>
      </c>
      <c r="H1390" s="16" t="s">
        <v>45</v>
      </c>
      <c r="I1390" s="16">
        <f>COUNTIF(G$5:G1390,"Y")/COUNTA(G$5:G1390)</f>
        <v>0.87950937950937946</v>
      </c>
      <c r="J1390" s="16">
        <f>COUNTIF(H$5:H1390,"Y")/COUNTA(H$5:H1390)</f>
        <v>4.9783549783549784E-2</v>
      </c>
      <c r="K1390" s="16">
        <f>AVERAGE(F$5:F1390)</f>
        <v>2.2174603174603176</v>
      </c>
      <c r="L1390" s="16">
        <f>SUM(F$5:F1390)/SUM(E$5:E1390)</f>
        <v>0.75790979260684177</v>
      </c>
    </row>
    <row r="1391" spans="1:12" x14ac:dyDescent="0.25">
      <c r="A1391" s="29">
        <v>45855</v>
      </c>
      <c r="B1391" s="16" t="s">
        <v>1437</v>
      </c>
      <c r="C1391" s="34">
        <v>1</v>
      </c>
      <c r="D1391" s="16" t="s">
        <v>50</v>
      </c>
      <c r="E1391" s="35">
        <v>4.0999999999999996</v>
      </c>
      <c r="F1391" s="35">
        <v>2.7</v>
      </c>
      <c r="G1391" s="16" t="s">
        <v>44</v>
      </c>
      <c r="H1391" s="16" t="s">
        <v>45</v>
      </c>
      <c r="I1391" s="16">
        <f>COUNTIF(G$5:G1391,"Y")/COUNTA(G$5:G1391)</f>
        <v>0.87959625090122562</v>
      </c>
      <c r="J1391" s="16">
        <f>COUNTIF(H$5:H1391,"Y")/COUNTA(H$5:H1391)</f>
        <v>4.9747656813266039E-2</v>
      </c>
      <c r="K1391" s="16">
        <f>AVERAGE(F$5:F1391)</f>
        <v>2.2178082191780821</v>
      </c>
      <c r="L1391" s="16">
        <f>SUM(F$5:F1391)/SUM(E$5:E1391)</f>
        <v>0.75780942057548384</v>
      </c>
    </row>
    <row r="1392" spans="1:12" x14ac:dyDescent="0.25">
      <c r="A1392" s="29">
        <v>45856</v>
      </c>
      <c r="B1392" s="16" t="s">
        <v>1438</v>
      </c>
      <c r="C1392" s="34">
        <v>1</v>
      </c>
      <c r="D1392" s="16" t="s">
        <v>43</v>
      </c>
      <c r="E1392" s="35">
        <v>1.9</v>
      </c>
      <c r="F1392" s="35">
        <v>1.4</v>
      </c>
      <c r="G1392" s="16" t="s">
        <v>44</v>
      </c>
      <c r="H1392" s="16" t="s">
        <v>45</v>
      </c>
      <c r="I1392" s="16">
        <f>COUNTIF(G$5:G1392,"Y")/COUNTA(G$5:G1392)</f>
        <v>0.87968299711815567</v>
      </c>
      <c r="J1392" s="16">
        <f>COUNTIF(H$5:H1392,"Y")/COUNTA(H$5:H1392)</f>
        <v>4.9711815561959652E-2</v>
      </c>
      <c r="K1392" s="16">
        <f>AVERAGE(F$5:F1392)</f>
        <v>2.2172190201729105</v>
      </c>
      <c r="L1392" s="16">
        <f>SUM(F$5:F1392)/SUM(E$5:E1392)</f>
        <v>0.75779961094284898</v>
      </c>
    </row>
    <row r="1393" spans="1:12" x14ac:dyDescent="0.25">
      <c r="A1393" s="29">
        <v>45852</v>
      </c>
      <c r="B1393" s="16" t="s">
        <v>1439</v>
      </c>
      <c r="C1393" s="34">
        <v>1</v>
      </c>
      <c r="D1393" s="16" t="s">
        <v>47</v>
      </c>
      <c r="E1393" s="35">
        <v>4.8</v>
      </c>
      <c r="F1393" s="35">
        <v>3.4</v>
      </c>
      <c r="G1393" s="16" t="s">
        <v>44</v>
      </c>
      <c r="H1393" s="16" t="s">
        <v>45</v>
      </c>
      <c r="I1393" s="16">
        <f>COUNTIF(G$5:G1393,"Y")/COUNTA(G$5:G1393)</f>
        <v>0.87976961843052559</v>
      </c>
      <c r="J1393" s="16">
        <f>COUNTIF(H$5:H1393,"Y")/COUNTA(H$5:H1393)</f>
        <v>4.9676025917926567E-2</v>
      </c>
      <c r="K1393" s="16">
        <f>AVERAGE(F$5:F1393)</f>
        <v>2.2180705543556516</v>
      </c>
      <c r="L1393" s="16">
        <f>SUM(F$5:F1393)/SUM(E$5:E1393)</f>
        <v>0.75774121350746548</v>
      </c>
    </row>
    <row r="1394" spans="1:12" x14ac:dyDescent="0.25">
      <c r="A1394" s="29">
        <v>45853</v>
      </c>
      <c r="B1394" s="16" t="s">
        <v>1440</v>
      </c>
      <c r="C1394" s="34">
        <v>1</v>
      </c>
      <c r="D1394" s="16" t="s">
        <v>60</v>
      </c>
      <c r="E1394" s="35">
        <v>2</v>
      </c>
      <c r="F1394" s="35">
        <v>1.7</v>
      </c>
      <c r="G1394" s="16" t="s">
        <v>45</v>
      </c>
      <c r="H1394" s="16" t="s">
        <v>45</v>
      </c>
      <c r="I1394" s="16">
        <f>COUNTIF(G$5:G1394,"Y")/COUNTA(G$5:G1394)</f>
        <v>0.87913669064748201</v>
      </c>
      <c r="J1394" s="16">
        <f>COUNTIF(H$5:H1394,"Y")/COUNTA(H$5:H1394)</f>
        <v>4.9640287769784172E-2</v>
      </c>
      <c r="K1394" s="16">
        <f>AVERAGE(F$5:F1394)</f>
        <v>2.2176978417266184</v>
      </c>
      <c r="L1394" s="16">
        <f>SUM(F$5:F1394)/SUM(E$5:E1394)</f>
        <v>0.75778657292460572</v>
      </c>
    </row>
    <row r="1395" spans="1:12" x14ac:dyDescent="0.25">
      <c r="A1395" s="29">
        <v>45854</v>
      </c>
      <c r="B1395" s="16" t="s">
        <v>1441</v>
      </c>
      <c r="C1395" s="34">
        <v>1</v>
      </c>
      <c r="D1395" s="16" t="s">
        <v>56</v>
      </c>
      <c r="E1395" s="35">
        <v>2.8</v>
      </c>
      <c r="F1395" s="35">
        <v>2.2999999999999998</v>
      </c>
      <c r="G1395" s="16" t="s">
        <v>44</v>
      </c>
      <c r="H1395" s="16" t="s">
        <v>44</v>
      </c>
      <c r="I1395" s="16">
        <f>COUNTIF(G$5:G1395,"Y")/COUNTA(G$5:G1395)</f>
        <v>0.8792235801581596</v>
      </c>
      <c r="J1395" s="16">
        <f>COUNTIF(H$5:H1395,"Y")/COUNTA(H$5:H1395)</f>
        <v>5.0323508267433502E-2</v>
      </c>
      <c r="K1395" s="16">
        <f>AVERAGE(F$5:F1395)</f>
        <v>2.2177570093457946</v>
      </c>
      <c r="L1395" s="16">
        <f>SUM(F$5:F1395)/SUM(E$5:E1395)</f>
        <v>0.75783034858869569</v>
      </c>
    </row>
    <row r="1396" spans="1:12" x14ac:dyDescent="0.25">
      <c r="A1396" s="29">
        <v>45855</v>
      </c>
      <c r="B1396" s="16" t="s">
        <v>1442</v>
      </c>
      <c r="C1396" s="34">
        <v>1</v>
      </c>
      <c r="D1396" s="16" t="s">
        <v>56</v>
      </c>
      <c r="E1396" s="35">
        <v>4.8</v>
      </c>
      <c r="F1396" s="35">
        <v>3.2</v>
      </c>
      <c r="G1396" s="16" t="s">
        <v>44</v>
      </c>
      <c r="H1396" s="16" t="s">
        <v>45</v>
      </c>
      <c r="I1396" s="16">
        <f>COUNTIF(G$5:G1396,"Y")/COUNTA(G$5:G1396)</f>
        <v>0.87931034482758619</v>
      </c>
      <c r="J1396" s="16">
        <f>COUNTIF(H$5:H1396,"Y")/COUNTA(H$5:H1396)</f>
        <v>5.0287356321839081E-2</v>
      </c>
      <c r="K1396" s="16">
        <f>AVERAGE(F$5:F1396)</f>
        <v>2.2184626436781607</v>
      </c>
      <c r="L1396" s="16">
        <f>SUM(F$5:F1396)/SUM(E$5:E1396)</f>
        <v>0.75772297877561112</v>
      </c>
    </row>
    <row r="1397" spans="1:12" x14ac:dyDescent="0.25">
      <c r="A1397" s="29">
        <v>45856</v>
      </c>
      <c r="B1397" s="16" t="s">
        <v>1443</v>
      </c>
      <c r="C1397" s="34">
        <v>1</v>
      </c>
      <c r="D1397" s="16" t="s">
        <v>47</v>
      </c>
      <c r="E1397" s="35">
        <v>3.9</v>
      </c>
      <c r="F1397" s="35">
        <v>3</v>
      </c>
      <c r="G1397" s="16" t="s">
        <v>44</v>
      </c>
      <c r="H1397" s="16" t="s">
        <v>45</v>
      </c>
      <c r="I1397" s="16">
        <f>COUNTIF(G$5:G1397,"Y")/COUNTA(G$5:G1397)</f>
        <v>0.87939698492462315</v>
      </c>
      <c r="J1397" s="16">
        <f>COUNTIF(H$5:H1397,"Y")/COUNTA(H$5:H1397)</f>
        <v>5.0251256281407038E-2</v>
      </c>
      <c r="K1397" s="16">
        <f>AVERAGE(F$5:F1397)</f>
        <v>2.2190236898779609</v>
      </c>
      <c r="L1397" s="16">
        <f>SUM(F$5:F1397)/SUM(E$5:E1397)</f>
        <v>0.75773398048732732</v>
      </c>
    </row>
    <row r="1398" spans="1:12" x14ac:dyDescent="0.25">
      <c r="A1398" s="29">
        <v>45852</v>
      </c>
      <c r="B1398" s="16" t="s">
        <v>1444</v>
      </c>
      <c r="C1398" s="34">
        <v>1</v>
      </c>
      <c r="D1398" s="16" t="s">
        <v>60</v>
      </c>
      <c r="E1398" s="35">
        <v>2</v>
      </c>
      <c r="F1398" s="35">
        <v>1.4</v>
      </c>
      <c r="G1398" s="16" t="s">
        <v>44</v>
      </c>
      <c r="H1398" s="16" t="s">
        <v>45</v>
      </c>
      <c r="I1398" s="16">
        <f>COUNTIF(G$5:G1398,"Y")/COUNTA(G$5:G1398)</f>
        <v>0.87948350071736014</v>
      </c>
      <c r="J1398" s="16">
        <f>COUNTIF(H$5:H1398,"Y")/COUNTA(H$5:H1398)</f>
        <v>5.0215208034433287E-2</v>
      </c>
      <c r="K1398" s="16">
        <f>AVERAGE(F$5:F1398)</f>
        <v>2.2184361549497846</v>
      </c>
      <c r="L1398" s="16">
        <f>SUM(F$5:F1398)/SUM(E$5:E1398)</f>
        <v>0.7577056892242866</v>
      </c>
    </row>
    <row r="1399" spans="1:12" x14ac:dyDescent="0.25">
      <c r="A1399" s="29">
        <v>45853</v>
      </c>
      <c r="B1399" s="16" t="s">
        <v>1445</v>
      </c>
      <c r="C1399" s="34">
        <v>1</v>
      </c>
      <c r="D1399" s="16" t="s">
        <v>47</v>
      </c>
      <c r="E1399" s="35">
        <v>4</v>
      </c>
      <c r="F1399" s="35">
        <v>3.3</v>
      </c>
      <c r="G1399" s="16" t="s">
        <v>44</v>
      </c>
      <c r="H1399" s="16" t="s">
        <v>45</v>
      </c>
      <c r="I1399" s="16">
        <f>COUNTIF(G$5:G1399,"Y")/COUNTA(G$5:G1399)</f>
        <v>0.87956989247311823</v>
      </c>
      <c r="J1399" s="16">
        <f>COUNTIF(H$5:H1399,"Y")/COUNTA(H$5:H1399)</f>
        <v>5.0179211469534052E-2</v>
      </c>
      <c r="K1399" s="16">
        <f>AVERAGE(F$5:F1399)</f>
        <v>2.2192114695340504</v>
      </c>
      <c r="L1399" s="16">
        <f>SUM(F$5:F1399)/SUM(E$5:E1399)</f>
        <v>0.75777157683458252</v>
      </c>
    </row>
    <row r="1400" spans="1:12" x14ac:dyDescent="0.25">
      <c r="A1400" s="29">
        <v>45854</v>
      </c>
      <c r="B1400" s="16" t="s">
        <v>1446</v>
      </c>
      <c r="C1400" s="34">
        <v>1</v>
      </c>
      <c r="D1400" s="16" t="s">
        <v>60</v>
      </c>
      <c r="E1400" s="35">
        <v>2.4</v>
      </c>
      <c r="F1400" s="35">
        <v>1.7</v>
      </c>
      <c r="G1400" s="16" t="s">
        <v>45</v>
      </c>
      <c r="H1400" s="16" t="s">
        <v>45</v>
      </c>
      <c r="I1400" s="16">
        <f>COUNTIF(G$5:G1400,"Y")/COUNTA(G$5:G1400)</f>
        <v>0.87893982808022919</v>
      </c>
      <c r="J1400" s="16">
        <f>COUNTIF(H$5:H1400,"Y")/COUNTA(H$5:H1400)</f>
        <v>5.0143266475644696E-2</v>
      </c>
      <c r="K1400" s="16">
        <f>AVERAGE(F$5:F1400)</f>
        <v>2.2188395415472781</v>
      </c>
      <c r="L1400" s="16">
        <f>SUM(F$5:F1400)/SUM(E$5:E1400)</f>
        <v>0.75774255100543164</v>
      </c>
    </row>
    <row r="1401" spans="1:12" x14ac:dyDescent="0.25">
      <c r="A1401" s="29">
        <v>45855</v>
      </c>
      <c r="B1401" s="16" t="s">
        <v>1447</v>
      </c>
      <c r="C1401" s="34">
        <v>1</v>
      </c>
      <c r="D1401" s="16" t="s">
        <v>50</v>
      </c>
      <c r="E1401" s="35">
        <v>3.9</v>
      </c>
      <c r="F1401" s="35">
        <v>2.9</v>
      </c>
      <c r="G1401" s="16" t="s">
        <v>45</v>
      </c>
      <c r="H1401" s="16" t="s">
        <v>45</v>
      </c>
      <c r="I1401" s="16">
        <f>COUNTIF(G$5:G1401,"Y")/COUNTA(G$5:G1401)</f>
        <v>0.87831066571224048</v>
      </c>
      <c r="J1401" s="16">
        <f>COUNTIF(H$5:H1401,"Y")/COUNTA(H$5:H1401)</f>
        <v>5.0107372942018613E-2</v>
      </c>
      <c r="K1401" s="16">
        <f>AVERAGE(F$5:F1401)</f>
        <v>2.2193271295633501</v>
      </c>
      <c r="L1401" s="16">
        <f>SUM(F$5:F1401)/SUM(E$5:E1401)</f>
        <v>0.75772906127037742</v>
      </c>
    </row>
    <row r="1402" spans="1:12" x14ac:dyDescent="0.25">
      <c r="A1402" s="29">
        <v>45856</v>
      </c>
      <c r="B1402" s="16" t="s">
        <v>1448</v>
      </c>
      <c r="C1402" s="34">
        <v>1</v>
      </c>
      <c r="D1402" s="16" t="s">
        <v>52</v>
      </c>
      <c r="E1402" s="35">
        <v>1.8</v>
      </c>
      <c r="F1402" s="35">
        <v>1.3</v>
      </c>
      <c r="G1402" s="16" t="s">
        <v>44</v>
      </c>
      <c r="H1402" s="16" t="s">
        <v>45</v>
      </c>
      <c r="I1402" s="16">
        <f>COUNTIF(G$5:G1402,"Y")/COUNTA(G$5:G1402)</f>
        <v>0.87839771101573672</v>
      </c>
      <c r="J1402" s="16">
        <f>COUNTIF(H$5:H1402,"Y")/COUNTA(H$5:H1402)</f>
        <v>5.007153075822604E-2</v>
      </c>
      <c r="K1402" s="16">
        <f>AVERAGE(F$5:F1402)</f>
        <v>2.2186695278969961</v>
      </c>
      <c r="L1402" s="16">
        <f>SUM(F$5:F1402)/SUM(E$5:E1402)</f>
        <v>0.75771344814950614</v>
      </c>
    </row>
    <row r="1403" spans="1:12" x14ac:dyDescent="0.25">
      <c r="A1403" s="29">
        <v>45852</v>
      </c>
      <c r="B1403" s="16" t="s">
        <v>1449</v>
      </c>
      <c r="C1403" s="34">
        <v>1</v>
      </c>
      <c r="D1403" s="16" t="s">
        <v>52</v>
      </c>
      <c r="E1403" s="35">
        <v>2.9</v>
      </c>
      <c r="F1403" s="35">
        <v>2.1</v>
      </c>
      <c r="G1403" s="16" t="s">
        <v>44</v>
      </c>
      <c r="H1403" s="16" t="s">
        <v>45</v>
      </c>
      <c r="I1403" s="16">
        <f>COUNTIF(G$5:G1403,"Y")/COUNTA(G$5:G1403)</f>
        <v>0.87848463187991421</v>
      </c>
      <c r="J1403" s="16">
        <f>COUNTIF(H$5:H1403,"Y")/COUNTA(H$5:H1403)</f>
        <v>5.0035739814152963E-2</v>
      </c>
      <c r="K1403" s="16">
        <f>AVERAGE(F$5:F1403)</f>
        <v>2.2185847033595425</v>
      </c>
      <c r="L1403" s="16">
        <f>SUM(F$5:F1403)/SUM(E$5:E1403)</f>
        <v>0.75768967874231108</v>
      </c>
    </row>
    <row r="1404" spans="1:12" x14ac:dyDescent="0.25">
      <c r="A1404" s="29">
        <v>45853</v>
      </c>
      <c r="B1404" s="16" t="s">
        <v>1450</v>
      </c>
      <c r="C1404" s="34">
        <v>1</v>
      </c>
      <c r="D1404" s="16" t="s">
        <v>60</v>
      </c>
      <c r="E1404" s="35">
        <v>4.8</v>
      </c>
      <c r="F1404" s="35">
        <v>3.6</v>
      </c>
      <c r="G1404" s="16" t="s">
        <v>44</v>
      </c>
      <c r="H1404" s="16" t="s">
        <v>45</v>
      </c>
      <c r="I1404" s="16">
        <f>COUNTIF(G$5:G1404,"Y")/COUNTA(G$5:G1404)</f>
        <v>0.87857142857142856</v>
      </c>
      <c r="J1404" s="16">
        <f>COUNTIF(H$5:H1404,"Y")/COUNTA(H$5:H1404)</f>
        <v>0.05</v>
      </c>
      <c r="K1404" s="16">
        <f>AVERAGE(F$5:F1404)</f>
        <v>2.2195714285714288</v>
      </c>
      <c r="L1404" s="16">
        <f>SUM(F$5:F1404)/SUM(E$5:E1404)</f>
        <v>0.75768067882571033</v>
      </c>
    </row>
    <row r="1405" spans="1:12" x14ac:dyDescent="0.25">
      <c r="A1405" s="29">
        <v>45854</v>
      </c>
      <c r="B1405" s="16" t="s">
        <v>1451</v>
      </c>
      <c r="C1405" s="34">
        <v>1</v>
      </c>
      <c r="D1405" s="16" t="s">
        <v>60</v>
      </c>
      <c r="E1405" s="35">
        <v>4</v>
      </c>
      <c r="F1405" s="35">
        <v>3.8</v>
      </c>
      <c r="G1405" s="16" t="s">
        <v>44</v>
      </c>
      <c r="H1405" s="16" t="s">
        <v>45</v>
      </c>
      <c r="I1405" s="16">
        <f>COUNTIF(G$5:G1405,"Y")/COUNTA(G$5:G1405)</f>
        <v>0.87865810135617417</v>
      </c>
      <c r="J1405" s="16">
        <f>COUNTIF(H$5:H1405,"Y")/COUNTA(H$5:H1405)</f>
        <v>4.9964311206281226E-2</v>
      </c>
      <c r="K1405" s="16">
        <f>AVERAGE(F$5:F1405)</f>
        <v>2.2206995003568881</v>
      </c>
      <c r="L1405" s="16">
        <f>SUM(F$5:F1405)/SUM(E$5:E1405)</f>
        <v>0.75786806976517662</v>
      </c>
    </row>
    <row r="1406" spans="1:12" x14ac:dyDescent="0.25">
      <c r="A1406" s="29">
        <v>45855</v>
      </c>
      <c r="B1406" s="16" t="s">
        <v>1452</v>
      </c>
      <c r="C1406" s="34">
        <v>1</v>
      </c>
      <c r="D1406" s="16" t="s">
        <v>56</v>
      </c>
      <c r="E1406" s="35">
        <v>0.5</v>
      </c>
      <c r="F1406" s="35">
        <v>0.5</v>
      </c>
      <c r="G1406" s="16" t="s">
        <v>44</v>
      </c>
      <c r="H1406" s="16" t="s">
        <v>45</v>
      </c>
      <c r="I1406" s="16">
        <f>COUNTIF(G$5:G1406,"Y")/COUNTA(G$5:G1406)</f>
        <v>0.87874465049928674</v>
      </c>
      <c r="J1406" s="16">
        <f>COUNTIF(H$5:H1406,"Y")/COUNTA(H$5:H1406)</f>
        <v>4.9928673323823107E-2</v>
      </c>
      <c r="K1406" s="16">
        <f>AVERAGE(F$5:F1406)</f>
        <v>2.2194721825962911</v>
      </c>
      <c r="L1406" s="16">
        <f>SUM(F$5:F1406)/SUM(E$5:E1406)</f>
        <v>0.75789755705482698</v>
      </c>
    </row>
    <row r="1407" spans="1:12" x14ac:dyDescent="0.25">
      <c r="A1407" s="29">
        <v>45856</v>
      </c>
      <c r="B1407" s="16" t="s">
        <v>1453</v>
      </c>
      <c r="C1407" s="34">
        <v>1</v>
      </c>
      <c r="D1407" s="16" t="s">
        <v>43</v>
      </c>
      <c r="E1407" s="35">
        <v>0.5</v>
      </c>
      <c r="F1407" s="35">
        <v>0.5</v>
      </c>
      <c r="G1407" s="16" t="s">
        <v>45</v>
      </c>
      <c r="H1407" s="16" t="s">
        <v>45</v>
      </c>
      <c r="I1407" s="16">
        <f>COUNTIF(G$5:G1407,"Y")/COUNTA(G$5:G1407)</f>
        <v>0.8781183178902352</v>
      </c>
      <c r="J1407" s="16">
        <f>COUNTIF(H$5:H1407,"Y")/COUNTA(H$5:H1407)</f>
        <v>4.9893086243763367E-2</v>
      </c>
      <c r="K1407" s="16">
        <f>AVERAGE(F$5:F1407)</f>
        <v>2.2182466143977195</v>
      </c>
      <c r="L1407" s="16">
        <f>SUM(F$5:F1407)/SUM(E$5:E1407)</f>
        <v>0.75792703716331478</v>
      </c>
    </row>
    <row r="1408" spans="1:12" x14ac:dyDescent="0.25">
      <c r="A1408" s="29">
        <v>45852</v>
      </c>
      <c r="B1408" s="16" t="s">
        <v>1454</v>
      </c>
      <c r="C1408" s="34">
        <v>1</v>
      </c>
      <c r="D1408" s="16" t="s">
        <v>52</v>
      </c>
      <c r="E1408" s="35">
        <v>0.5</v>
      </c>
      <c r="F1408" s="35">
        <v>0.5</v>
      </c>
      <c r="G1408" s="16" t="s">
        <v>44</v>
      </c>
      <c r="H1408" s="16" t="s">
        <v>45</v>
      </c>
      <c r="I1408" s="16">
        <f>COUNTIF(G$5:G1408,"Y")/COUNTA(G$5:G1408)</f>
        <v>0.87820512820512819</v>
      </c>
      <c r="J1408" s="16">
        <f>COUNTIF(H$5:H1408,"Y")/COUNTA(H$5:H1408)</f>
        <v>4.9857549857549859E-2</v>
      </c>
      <c r="K1408" s="16">
        <f>AVERAGE(F$5:F1408)</f>
        <v>2.2170227920227923</v>
      </c>
      <c r="L1408" s="16">
        <f>SUM(F$5:F1408)/SUM(E$5:E1408)</f>
        <v>0.75795651009326304</v>
      </c>
    </row>
    <row r="1409" spans="1:13" x14ac:dyDescent="0.25">
      <c r="A1409" s="29">
        <v>45853</v>
      </c>
      <c r="B1409" s="16" t="s">
        <v>1455</v>
      </c>
      <c r="C1409" s="34">
        <v>1</v>
      </c>
      <c r="D1409" s="16" t="s">
        <v>64</v>
      </c>
      <c r="E1409" s="35">
        <v>0.5</v>
      </c>
      <c r="F1409" s="35">
        <v>0.5</v>
      </c>
      <c r="G1409" s="16" t="s">
        <v>44</v>
      </c>
      <c r="H1409" s="16" t="s">
        <v>45</v>
      </c>
      <c r="I1409" s="16">
        <f>COUNTIF(G$5:G1409,"Y")/COUNTA(G$5:G1409)</f>
        <v>0.87829181494661923</v>
      </c>
      <c r="J1409" s="16">
        <f>COUNTIF(H$5:H1409,"Y")/COUNTA(H$5:H1409)</f>
        <v>4.9822064056939501E-2</v>
      </c>
      <c r="K1409" s="16">
        <f>AVERAGE(F$5:F1409)</f>
        <v>2.2158007117437726</v>
      </c>
      <c r="L1409" s="16">
        <f>SUM(F$5:F1409)/SUM(E$5:E1409)</f>
        <v>0.75798597584729333</v>
      </c>
    </row>
    <row r="1410" spans="1:13" x14ac:dyDescent="0.25">
      <c r="A1410" s="29">
        <v>45854</v>
      </c>
      <c r="B1410" s="16" t="s">
        <v>1456</v>
      </c>
      <c r="C1410" s="34">
        <v>1</v>
      </c>
      <c r="D1410" s="16" t="s">
        <v>64</v>
      </c>
      <c r="E1410" s="35">
        <v>0.5</v>
      </c>
      <c r="F1410" s="35">
        <v>0.5</v>
      </c>
      <c r="G1410" s="16" t="s">
        <v>44</v>
      </c>
      <c r="H1410" s="16" t="s">
        <v>45</v>
      </c>
      <c r="I1410" s="16">
        <f>COUNTIF(G$5:G1410,"Y")/COUNTA(G$5:G1410)</f>
        <v>0.8783783783783784</v>
      </c>
      <c r="J1410" s="16">
        <f>COUNTIF(H$5:H1410,"Y")/COUNTA(H$5:H1410)</f>
        <v>4.9786628733997154E-2</v>
      </c>
      <c r="K1410" s="16">
        <f>AVERAGE(F$5:F1410)</f>
        <v>2.214580369843528</v>
      </c>
      <c r="L1410" s="16">
        <f>SUM(F$5:F1410)/SUM(E$5:E1410)</f>
        <v>0.75801543442802621</v>
      </c>
    </row>
    <row r="1411" spans="1:13" x14ac:dyDescent="0.25">
      <c r="A1411" s="29">
        <v>45855</v>
      </c>
      <c r="B1411" s="16" t="s">
        <v>1457</v>
      </c>
      <c r="C1411" s="34">
        <v>1</v>
      </c>
      <c r="D1411" s="16" t="s">
        <v>56</v>
      </c>
      <c r="E1411" s="35">
        <v>0.5</v>
      </c>
      <c r="F1411" s="35">
        <v>0.5</v>
      </c>
      <c r="G1411" s="16" t="s">
        <v>44</v>
      </c>
      <c r="H1411" s="16" t="s">
        <v>45</v>
      </c>
      <c r="I1411" s="16">
        <f>COUNTIF(G$5:G1411,"Y")/COUNTA(G$5:G1411)</f>
        <v>0.87846481876332627</v>
      </c>
      <c r="J1411" s="16">
        <f>COUNTIF(H$5:H1411,"Y")/COUNTA(H$5:H1411)</f>
        <v>4.975124378109453E-2</v>
      </c>
      <c r="K1411" s="16">
        <f>AVERAGE(F$5:F1411)</f>
        <v>2.2133617626154942</v>
      </c>
      <c r="L1411" s="16">
        <f>SUM(F$5:F1411)/SUM(E$5:E1411)</f>
        <v>0.75804488583808072</v>
      </c>
    </row>
    <row r="1412" spans="1:13" x14ac:dyDescent="0.25">
      <c r="A1412" s="29">
        <v>45856</v>
      </c>
      <c r="B1412" s="16" t="s">
        <v>1458</v>
      </c>
      <c r="C1412" s="34">
        <v>1</v>
      </c>
      <c r="D1412" s="16" t="s">
        <v>50</v>
      </c>
      <c r="E1412" s="35">
        <v>0.5</v>
      </c>
      <c r="F1412" s="35">
        <v>0.5</v>
      </c>
      <c r="G1412" s="16" t="s">
        <v>44</v>
      </c>
      <c r="H1412" s="16" t="s">
        <v>45</v>
      </c>
      <c r="I1412" s="16">
        <f>COUNTIF(G$5:G1412,"Y")/COUNTA(G$5:G1412)</f>
        <v>0.87855113636363635</v>
      </c>
      <c r="J1412" s="16">
        <f>COUNTIF(H$5:H1412,"Y")/COUNTA(H$5:H1412)</f>
        <v>4.9715909090909088E-2</v>
      </c>
      <c r="K1412" s="16">
        <f>AVERAGE(F$5:F1412)</f>
        <v>2.2121448863636366</v>
      </c>
      <c r="L1412" s="16">
        <f>SUM(F$5:F1412)/SUM(E$5:E1412)</f>
        <v>0.75807433008007474</v>
      </c>
      <c r="M1412" s="16">
        <v>11</v>
      </c>
    </row>
    <row r="1413" spans="1:13" x14ac:dyDescent="0.25">
      <c r="A1413" s="29">
        <v>45859</v>
      </c>
      <c r="B1413" s="16" t="s">
        <v>1459</v>
      </c>
      <c r="C1413" s="34">
        <v>1</v>
      </c>
      <c r="D1413" s="16" t="s">
        <v>56</v>
      </c>
      <c r="E1413" s="35">
        <v>1.6</v>
      </c>
      <c r="F1413" s="35">
        <v>1.4</v>
      </c>
      <c r="G1413" s="16" t="s">
        <v>44</v>
      </c>
      <c r="H1413" s="16" t="s">
        <v>45</v>
      </c>
      <c r="I1413" s="16">
        <f>COUNTIF(G$5:G1413,"Y")/COUNTA(G$5:G1413)</f>
        <v>0.87863733144073808</v>
      </c>
      <c r="J1413" s="16">
        <f>COUNTIF(H$5:H1413,"Y")/COUNTA(H$5:H1413)</f>
        <v>4.9680624556422998E-2</v>
      </c>
      <c r="K1413" s="16">
        <f>AVERAGE(F$5:F1413)</f>
        <v>2.2115684882895672</v>
      </c>
      <c r="L1413" s="16">
        <f>SUM(F$5:F1413)/SUM(E$5:E1413)</f>
        <v>0.75811984526676957</v>
      </c>
    </row>
    <row r="1414" spans="1:13" x14ac:dyDescent="0.25">
      <c r="A1414" s="29">
        <v>45860</v>
      </c>
      <c r="B1414" s="16" t="s">
        <v>1460</v>
      </c>
      <c r="C1414" s="34">
        <v>1</v>
      </c>
      <c r="D1414" s="16" t="s">
        <v>50</v>
      </c>
      <c r="E1414" s="35">
        <v>2.4</v>
      </c>
      <c r="F1414" s="35">
        <v>1.7</v>
      </c>
      <c r="G1414" s="16" t="s">
        <v>44</v>
      </c>
      <c r="H1414" s="16" t="s">
        <v>45</v>
      </c>
      <c r="I1414" s="16">
        <f>COUNTIF(G$5:G1414,"Y")/COUNTA(G$5:G1414)</f>
        <v>0.87872340425531914</v>
      </c>
      <c r="J1414" s="16">
        <f>COUNTIF(H$5:H1414,"Y")/COUNTA(H$5:H1414)</f>
        <v>4.9645390070921988E-2</v>
      </c>
      <c r="K1414" s="16">
        <f>AVERAGE(F$5:F1414)</f>
        <v>2.2112056737588652</v>
      </c>
      <c r="L1414" s="16">
        <f>SUM(F$5:F1414)/SUM(E$5:E1414)</f>
        <v>0.75809079193717099</v>
      </c>
    </row>
    <row r="1415" spans="1:13" x14ac:dyDescent="0.25">
      <c r="A1415" s="29">
        <v>45861</v>
      </c>
      <c r="B1415" s="16" t="s">
        <v>1461</v>
      </c>
      <c r="C1415" s="34">
        <v>1</v>
      </c>
      <c r="D1415" s="16" t="s">
        <v>56</v>
      </c>
      <c r="E1415" s="35">
        <v>5</v>
      </c>
      <c r="F1415" s="35">
        <v>4</v>
      </c>
      <c r="G1415" s="16" t="s">
        <v>44</v>
      </c>
      <c r="H1415" s="16" t="s">
        <v>45</v>
      </c>
      <c r="I1415" s="16">
        <f>COUNTIF(G$5:G1415,"Y")/COUNTA(G$5:G1415)</f>
        <v>0.87880935506732816</v>
      </c>
      <c r="J1415" s="16">
        <f>COUNTIF(H$5:H1415,"Y")/COUNTA(H$5:H1415)</f>
        <v>4.9610205527994333E-2</v>
      </c>
      <c r="K1415" s="16">
        <f>AVERAGE(F$5:F1415)</f>
        <v>2.2124734231041816</v>
      </c>
      <c r="L1415" s="16">
        <f>SUM(F$5:F1415)/SUM(E$5:E1415)</f>
        <v>0.75814168103553026</v>
      </c>
    </row>
    <row r="1416" spans="1:13" x14ac:dyDescent="0.25">
      <c r="A1416" s="29">
        <v>45862</v>
      </c>
      <c r="B1416" s="16" t="s">
        <v>1462</v>
      </c>
      <c r="C1416" s="34">
        <v>1</v>
      </c>
      <c r="D1416" s="16" t="s">
        <v>60</v>
      </c>
      <c r="E1416" s="35">
        <v>2.4</v>
      </c>
      <c r="F1416" s="35">
        <v>1.7</v>
      </c>
      <c r="G1416" s="16" t="s">
        <v>44</v>
      </c>
      <c r="H1416" s="16" t="s">
        <v>45</v>
      </c>
      <c r="I1416" s="16">
        <f>COUNTIF(G$5:G1416,"Y")/COUNTA(G$5:G1416)</f>
        <v>0.87889518413597734</v>
      </c>
      <c r="J1416" s="16">
        <f>COUNTIF(H$5:H1416,"Y")/COUNTA(H$5:H1416)</f>
        <v>4.9575070821529746E-2</v>
      </c>
      <c r="K1416" s="16">
        <f>AVERAGE(F$5:F1416)</f>
        <v>2.2121104815864023</v>
      </c>
      <c r="L1416" s="16">
        <f>SUM(F$5:F1416)/SUM(E$5:E1416)</f>
        <v>0.75811266716827341</v>
      </c>
    </row>
    <row r="1417" spans="1:13" x14ac:dyDescent="0.25">
      <c r="A1417" s="29">
        <v>45863</v>
      </c>
      <c r="B1417" s="16" t="s">
        <v>1463</v>
      </c>
      <c r="C1417" s="34">
        <v>1</v>
      </c>
      <c r="D1417" s="16" t="s">
        <v>47</v>
      </c>
      <c r="E1417" s="35">
        <v>1.7</v>
      </c>
      <c r="F1417" s="35">
        <v>1.4</v>
      </c>
      <c r="G1417" s="16" t="s">
        <v>44</v>
      </c>
      <c r="H1417" s="16" t="s">
        <v>45</v>
      </c>
      <c r="I1417" s="16">
        <f>COUNTIF(G$5:G1417,"Y")/COUNTA(G$5:G1417)</f>
        <v>0.87898089171974525</v>
      </c>
      <c r="J1417" s="16">
        <f>COUNTIF(H$5:H1417,"Y")/COUNTA(H$5:H1417)</f>
        <v>4.953998584571833E-2</v>
      </c>
      <c r="K1417" s="16">
        <f>AVERAGE(F$5:F1417)</f>
        <v>2.2115357395612172</v>
      </c>
      <c r="L1417" s="16">
        <f>SUM(F$5:F1417)/SUM(E$5:E1417)</f>
        <v>0.75813964772672215</v>
      </c>
    </row>
    <row r="1418" spans="1:13" x14ac:dyDescent="0.25">
      <c r="A1418" s="29">
        <v>45859</v>
      </c>
      <c r="B1418" s="16" t="s">
        <v>1464</v>
      </c>
      <c r="C1418" s="34">
        <v>1</v>
      </c>
      <c r="D1418" s="16" t="s">
        <v>64</v>
      </c>
      <c r="E1418" s="35">
        <v>2.2000000000000002</v>
      </c>
      <c r="F1418" s="35">
        <v>1.9</v>
      </c>
      <c r="G1418" s="16" t="s">
        <v>44</v>
      </c>
      <c r="H1418" s="16" t="s">
        <v>45</v>
      </c>
      <c r="I1418" s="16">
        <f>COUNTIF(G$5:G1418,"Y")/COUNTA(G$5:G1418)</f>
        <v>0.87906647807637905</v>
      </c>
      <c r="J1418" s="16">
        <f>COUNTIF(H$5:H1418,"Y")/COUNTA(H$5:H1418)</f>
        <v>4.9504950495049507E-2</v>
      </c>
      <c r="K1418" s="16">
        <f>AVERAGE(F$5:F1418)</f>
        <v>2.2113154172560114</v>
      </c>
      <c r="L1418" s="16">
        <f>SUM(F$5:F1418)/SUM(E$5:E1418)</f>
        <v>0.75819592628516097</v>
      </c>
    </row>
    <row r="1419" spans="1:13" x14ac:dyDescent="0.25">
      <c r="A1419" s="29">
        <v>45860</v>
      </c>
      <c r="B1419" s="16" t="s">
        <v>1465</v>
      </c>
      <c r="C1419" s="34">
        <v>1</v>
      </c>
      <c r="D1419" s="16" t="s">
        <v>43</v>
      </c>
      <c r="E1419" s="35">
        <v>4.3</v>
      </c>
      <c r="F1419" s="35">
        <v>3.1</v>
      </c>
      <c r="G1419" s="16" t="s">
        <v>44</v>
      </c>
      <c r="H1419" s="16" t="s">
        <v>45</v>
      </c>
      <c r="I1419" s="16">
        <f>COUNTIF(G$5:G1419,"Y")/COUNTA(G$5:G1419)</f>
        <v>0.87915194346289749</v>
      </c>
      <c r="J1419" s="16">
        <f>COUNTIF(H$5:H1419,"Y")/COUNTA(H$5:H1419)</f>
        <v>4.9469964664310952E-2</v>
      </c>
      <c r="K1419" s="16">
        <f>AVERAGE(F$5:F1419)</f>
        <v>2.2119434628975267</v>
      </c>
      <c r="L1419" s="16">
        <f>SUM(F$5:F1419)/SUM(E$5:E1419)</f>
        <v>0.75815711067509706</v>
      </c>
    </row>
    <row r="1420" spans="1:13" x14ac:dyDescent="0.25">
      <c r="A1420" s="29">
        <v>45861</v>
      </c>
      <c r="B1420" s="16" t="s">
        <v>1466</v>
      </c>
      <c r="C1420" s="34">
        <v>1</v>
      </c>
      <c r="D1420" s="16" t="s">
        <v>64</v>
      </c>
      <c r="E1420" s="35">
        <v>2.9</v>
      </c>
      <c r="F1420" s="35">
        <v>2.6</v>
      </c>
      <c r="G1420" s="16" t="s">
        <v>44</v>
      </c>
      <c r="H1420" s="16" t="s">
        <v>45</v>
      </c>
      <c r="I1420" s="16">
        <f>COUNTIF(G$5:G1420,"Y")/COUNTA(G$5:G1420)</f>
        <v>0.87923728813559321</v>
      </c>
      <c r="J1420" s="16">
        <f>COUNTIF(H$5:H1420,"Y")/COUNTA(H$5:H1420)</f>
        <v>4.9435028248587573E-2</v>
      </c>
      <c r="K1420" s="16">
        <f>AVERAGE(F$5:F1420)</f>
        <v>2.2122175141242937</v>
      </c>
      <c r="L1420" s="16">
        <f>SUM(F$5:F1420)/SUM(E$5:E1420)</f>
        <v>0.75825426026336262</v>
      </c>
    </row>
    <row r="1421" spans="1:13" x14ac:dyDescent="0.25">
      <c r="A1421" s="29">
        <v>45862</v>
      </c>
      <c r="B1421" s="16" t="s">
        <v>1467</v>
      </c>
      <c r="C1421" s="34">
        <v>1</v>
      </c>
      <c r="D1421" s="16" t="s">
        <v>52</v>
      </c>
      <c r="E1421" s="35">
        <v>1.8</v>
      </c>
      <c r="F1421" s="35">
        <v>1.4</v>
      </c>
      <c r="G1421" s="16" t="s">
        <v>44</v>
      </c>
      <c r="H1421" s="16" t="s">
        <v>45</v>
      </c>
      <c r="I1421" s="16">
        <f>COUNTIF(G$5:G1421,"Y")/COUNTA(G$5:G1421)</f>
        <v>0.87932251235003533</v>
      </c>
      <c r="J1421" s="16">
        <f>COUNTIF(H$5:H1421,"Y")/COUNTA(H$5:H1421)</f>
        <v>4.9400141143260412E-2</v>
      </c>
      <c r="K1421" s="16">
        <f>AVERAGE(F$5:F1421)</f>
        <v>2.2116443189837685</v>
      </c>
      <c r="L1421" s="16">
        <f>SUM(F$5:F1421)/SUM(E$5:E1421)</f>
        <v>0.75826276312605945</v>
      </c>
    </row>
    <row r="1422" spans="1:13" x14ac:dyDescent="0.25">
      <c r="A1422" s="29">
        <v>45863</v>
      </c>
      <c r="B1422" s="16" t="s">
        <v>1468</v>
      </c>
      <c r="C1422" s="34">
        <v>1</v>
      </c>
      <c r="D1422" s="16" t="s">
        <v>60</v>
      </c>
      <c r="E1422" s="35">
        <v>1.8</v>
      </c>
      <c r="F1422" s="35">
        <v>1.7</v>
      </c>
      <c r="G1422" s="16" t="s">
        <v>44</v>
      </c>
      <c r="H1422" s="16" t="s">
        <v>45</v>
      </c>
      <c r="I1422" s="16">
        <f>COUNTIF(G$5:G1422,"Y")/COUNTA(G$5:G1422)</f>
        <v>0.8794076163610719</v>
      </c>
      <c r="J1422" s="16">
        <f>COUNTIF(H$5:H1422,"Y")/COUNTA(H$5:H1422)</f>
        <v>4.9365303244005641E-2</v>
      </c>
      <c r="K1422" s="16">
        <f>AVERAGE(F$5:F1422)</f>
        <v>2.2112834978843439</v>
      </c>
      <c r="L1422" s="16">
        <f>SUM(F$5:F1422)/SUM(E$5:E1422)</f>
        <v>0.75834381348553814</v>
      </c>
    </row>
    <row r="1423" spans="1:13" x14ac:dyDescent="0.25">
      <c r="A1423" s="29">
        <v>45859</v>
      </c>
      <c r="B1423" s="16" t="s">
        <v>1469</v>
      </c>
      <c r="C1423" s="34">
        <v>1</v>
      </c>
      <c r="D1423" s="16" t="s">
        <v>52</v>
      </c>
      <c r="E1423" s="35">
        <v>3.1</v>
      </c>
      <c r="F1423" s="35">
        <v>2.8</v>
      </c>
      <c r="G1423" s="16" t="s">
        <v>44</v>
      </c>
      <c r="H1423" s="16" t="s">
        <v>45</v>
      </c>
      <c r="I1423" s="16">
        <f>COUNTIF(G$5:G1423,"Y")/COUNTA(G$5:G1423)</f>
        <v>0.87949260042283295</v>
      </c>
      <c r="J1423" s="16">
        <f>COUNTIF(H$5:H1423,"Y")/COUNTA(H$5:H1423)</f>
        <v>4.9330514446793518E-2</v>
      </c>
      <c r="K1423" s="16">
        <f>AVERAGE(F$5:F1423)</f>
        <v>2.2116983791402398</v>
      </c>
      <c r="L1423" s="16">
        <f>SUM(F$5:F1423)/SUM(E$5:E1423)</f>
        <v>0.7584523550593304</v>
      </c>
    </row>
    <row r="1424" spans="1:13" x14ac:dyDescent="0.25">
      <c r="A1424" s="29">
        <v>45860</v>
      </c>
      <c r="B1424" s="16" t="s">
        <v>1470</v>
      </c>
      <c r="C1424" s="34">
        <v>1</v>
      </c>
      <c r="D1424" s="16" t="s">
        <v>64</v>
      </c>
      <c r="E1424" s="35">
        <v>2.2999999999999998</v>
      </c>
      <c r="F1424" s="35">
        <v>1.9</v>
      </c>
      <c r="G1424" s="16" t="s">
        <v>44</v>
      </c>
      <c r="H1424" s="16" t="s">
        <v>45</v>
      </c>
      <c r="I1424" s="16">
        <f>COUNTIF(G$5:G1424,"Y")/COUNTA(G$5:G1424)</f>
        <v>0.87957746478873244</v>
      </c>
      <c r="J1424" s="16">
        <f>COUNTIF(H$5:H1424,"Y")/COUNTA(H$5:H1424)</f>
        <v>4.9295774647887321E-2</v>
      </c>
      <c r="K1424" s="16">
        <f>AVERAGE(F$5:F1424)</f>
        <v>2.2114788732394368</v>
      </c>
      <c r="L1424" s="16">
        <f>SUM(F$5:F1424)/SUM(E$5:E1424)</f>
        <v>0.75848992802280157</v>
      </c>
    </row>
    <row r="1425" spans="1:12" x14ac:dyDescent="0.25">
      <c r="A1425" s="29">
        <v>45861</v>
      </c>
      <c r="B1425" s="16" t="s">
        <v>1471</v>
      </c>
      <c r="C1425" s="34">
        <v>1</v>
      </c>
      <c r="D1425" s="16" t="s">
        <v>56</v>
      </c>
      <c r="E1425" s="35">
        <v>3.7</v>
      </c>
      <c r="F1425" s="35">
        <v>3</v>
      </c>
      <c r="G1425" s="16" t="s">
        <v>44</v>
      </c>
      <c r="H1425" s="16" t="s">
        <v>45</v>
      </c>
      <c r="I1425" s="16">
        <f>COUNTIF(G$5:G1425,"Y")/COUNTA(G$5:G1425)</f>
        <v>0.8796622097114708</v>
      </c>
      <c r="J1425" s="16">
        <f>COUNTIF(H$5:H1425,"Y")/COUNTA(H$5:H1425)</f>
        <v>4.9261083743842367E-2</v>
      </c>
      <c r="K1425" s="16">
        <f>AVERAGE(F$5:F1425)</f>
        <v>2.2120337790288529</v>
      </c>
      <c r="L1425" s="16">
        <f>SUM(F$5:F1425)/SUM(E$5:E1425)</f>
        <v>0.75853664422404088</v>
      </c>
    </row>
    <row r="1426" spans="1:12" x14ac:dyDescent="0.25">
      <c r="A1426" s="29">
        <v>45862</v>
      </c>
      <c r="B1426" s="16" t="s">
        <v>1472</v>
      </c>
      <c r="C1426" s="34">
        <v>1</v>
      </c>
      <c r="D1426" s="16" t="s">
        <v>52</v>
      </c>
      <c r="E1426" s="35">
        <v>4.9000000000000004</v>
      </c>
      <c r="F1426" s="35">
        <v>3.5</v>
      </c>
      <c r="G1426" s="16" t="s">
        <v>45</v>
      </c>
      <c r="H1426" s="16" t="s">
        <v>45</v>
      </c>
      <c r="I1426" s="16">
        <f>COUNTIF(G$5:G1426,"Y")/COUNTA(G$5:G1426)</f>
        <v>0.8790436005625879</v>
      </c>
      <c r="J1426" s="16">
        <f>COUNTIF(H$5:H1426,"Y")/COUNTA(H$5:H1426)</f>
        <v>4.9226441631504921E-2</v>
      </c>
      <c r="K1426" s="16">
        <f>AVERAGE(F$5:F1426)</f>
        <v>2.2129395218002816</v>
      </c>
      <c r="L1426" s="16">
        <f>SUM(F$5:F1426)/SUM(E$5:E1426)</f>
        <v>0.75848438102583959</v>
      </c>
    </row>
    <row r="1427" spans="1:12" x14ac:dyDescent="0.25">
      <c r="A1427" s="29">
        <v>45863</v>
      </c>
      <c r="B1427" s="16" t="s">
        <v>1473</v>
      </c>
      <c r="C1427" s="34">
        <v>1</v>
      </c>
      <c r="D1427" s="16" t="s">
        <v>64</v>
      </c>
      <c r="E1427" s="35">
        <v>2.1</v>
      </c>
      <c r="F1427" s="35">
        <v>1.9</v>
      </c>
      <c r="G1427" s="16" t="s">
        <v>44</v>
      </c>
      <c r="H1427" s="16" t="s">
        <v>45</v>
      </c>
      <c r="I1427" s="16">
        <f>COUNTIF(G$5:G1427,"Y")/COUNTA(G$5:G1427)</f>
        <v>0.87912860154602956</v>
      </c>
      <c r="J1427" s="16">
        <f>COUNTIF(H$5:H1427,"Y")/COUNTA(H$5:H1427)</f>
        <v>4.9191848208011243E-2</v>
      </c>
      <c r="K1427" s="16">
        <f>AVERAGE(F$5:F1427)</f>
        <v>2.2127196064652144</v>
      </c>
      <c r="L1427" s="16">
        <f>SUM(F$5:F1427)/SUM(E$5:E1427)</f>
        <v>0.75855838492857053</v>
      </c>
    </row>
    <row r="1428" spans="1:12" x14ac:dyDescent="0.25">
      <c r="A1428" s="29">
        <v>45859</v>
      </c>
      <c r="B1428" s="16" t="s">
        <v>1474</v>
      </c>
      <c r="C1428" s="34">
        <v>1</v>
      </c>
      <c r="D1428" s="16" t="s">
        <v>52</v>
      </c>
      <c r="E1428" s="35">
        <v>2.2000000000000002</v>
      </c>
      <c r="F1428" s="35">
        <v>1.9</v>
      </c>
      <c r="G1428" s="16" t="s">
        <v>44</v>
      </c>
      <c r="H1428" s="16" t="s">
        <v>45</v>
      </c>
      <c r="I1428" s="16">
        <f>COUNTIF(G$5:G1428,"Y")/COUNTA(G$5:G1428)</f>
        <v>0.8792134831460674</v>
      </c>
      <c r="J1428" s="16">
        <f>COUNTIF(H$5:H1428,"Y")/COUNTA(H$5:H1428)</f>
        <v>4.9157303370786519E-2</v>
      </c>
      <c r="K1428" s="16">
        <f>AVERAGE(F$5:F1428)</f>
        <v>2.2125000000000004</v>
      </c>
      <c r="L1428" s="16">
        <f>SUM(F$5:F1428)/SUM(E$5:E1428)</f>
        <v>0.75861404733813387</v>
      </c>
    </row>
    <row r="1429" spans="1:12" x14ac:dyDescent="0.25">
      <c r="A1429" s="29">
        <v>45860</v>
      </c>
      <c r="B1429" s="16" t="s">
        <v>1475</v>
      </c>
      <c r="C1429" s="34">
        <v>1</v>
      </c>
      <c r="D1429" s="16" t="s">
        <v>56</v>
      </c>
      <c r="E1429" s="35">
        <v>2.9</v>
      </c>
      <c r="F1429" s="35">
        <v>2.5</v>
      </c>
      <c r="G1429" s="16" t="s">
        <v>44</v>
      </c>
      <c r="H1429" s="16" t="s">
        <v>45</v>
      </c>
      <c r="I1429" s="16">
        <f>COUNTIF(G$5:G1429,"Y")/COUNTA(G$5:G1429)</f>
        <v>0.87929824561403513</v>
      </c>
      <c r="J1429" s="16">
        <f>COUNTIF(H$5:H1429,"Y")/COUNTA(H$5:H1429)</f>
        <v>4.912280701754386E-2</v>
      </c>
      <c r="K1429" s="16">
        <f>AVERAGE(F$5:F1429)</f>
        <v>2.2127017543859653</v>
      </c>
      <c r="L1429" s="16">
        <f>SUM(F$5:F1429)/SUM(E$5:E1429)</f>
        <v>0.75868623676612224</v>
      </c>
    </row>
    <row r="1430" spans="1:12" x14ac:dyDescent="0.25">
      <c r="A1430" s="29">
        <v>45861</v>
      </c>
      <c r="B1430" s="16" t="s">
        <v>1476</v>
      </c>
      <c r="C1430" s="34">
        <v>1</v>
      </c>
      <c r="D1430" s="16" t="s">
        <v>50</v>
      </c>
      <c r="E1430" s="35">
        <v>4.4000000000000004</v>
      </c>
      <c r="F1430" s="35">
        <v>4</v>
      </c>
      <c r="G1430" s="16" t="s">
        <v>44</v>
      </c>
      <c r="H1430" s="16" t="s">
        <v>45</v>
      </c>
      <c r="I1430" s="16">
        <f>COUNTIF(G$5:G1430,"Y")/COUNTA(G$5:G1430)</f>
        <v>0.87938288920056096</v>
      </c>
      <c r="J1430" s="16">
        <f>COUNTIF(H$5:H1430,"Y")/COUNTA(H$5:H1430)</f>
        <v>4.9088359046283309E-2</v>
      </c>
      <c r="K1430" s="16">
        <f>AVERAGE(F$5:F1430)</f>
        <v>2.2139551192145865</v>
      </c>
      <c r="L1430" s="16">
        <f>SUM(F$5:F1430)/SUM(E$5:E1430)</f>
        <v>0.75884530333621869</v>
      </c>
    </row>
    <row r="1431" spans="1:12" x14ac:dyDescent="0.25">
      <c r="A1431" s="29">
        <v>45862</v>
      </c>
      <c r="B1431" s="16" t="s">
        <v>1477</v>
      </c>
      <c r="C1431" s="34">
        <v>1</v>
      </c>
      <c r="D1431" s="16" t="s">
        <v>50</v>
      </c>
      <c r="E1431" s="35">
        <v>3.3</v>
      </c>
      <c r="F1431" s="35">
        <v>3</v>
      </c>
      <c r="G1431" s="16" t="s">
        <v>45</v>
      </c>
      <c r="H1431" s="16" t="s">
        <v>45</v>
      </c>
      <c r="I1431" s="16">
        <f>COUNTIF(G$5:G1431,"Y")/COUNTA(G$5:G1431)</f>
        <v>0.87876664330763843</v>
      </c>
      <c r="J1431" s="16">
        <f>COUNTIF(H$5:H1431,"Y")/COUNTA(H$5:H1431)</f>
        <v>4.9053959355290819E-2</v>
      </c>
      <c r="K1431" s="16">
        <f>AVERAGE(F$5:F1431)</f>
        <v>2.2145059565522076</v>
      </c>
      <c r="L1431" s="16">
        <f>SUM(F$5:F1431)/SUM(E$5:E1431)</f>
        <v>0.75896438264044097</v>
      </c>
    </row>
    <row r="1432" spans="1:12" x14ac:dyDescent="0.25">
      <c r="A1432" s="29">
        <v>45863</v>
      </c>
      <c r="B1432" s="16" t="s">
        <v>1478</v>
      </c>
      <c r="C1432" s="34">
        <v>1</v>
      </c>
      <c r="D1432" s="16" t="s">
        <v>50</v>
      </c>
      <c r="E1432" s="35">
        <v>3</v>
      </c>
      <c r="F1432" s="35">
        <v>2.6</v>
      </c>
      <c r="G1432" s="16" t="s">
        <v>44</v>
      </c>
      <c r="H1432" s="16" t="s">
        <v>45</v>
      </c>
      <c r="I1432" s="16">
        <f>COUNTIF(G$5:G1432,"Y")/COUNTA(G$5:G1432)</f>
        <v>0.87885154061624648</v>
      </c>
      <c r="J1432" s="16">
        <f>COUNTIF(H$5:H1432,"Y")/COUNTA(H$5:H1432)</f>
        <v>4.9019607843137254E-2</v>
      </c>
      <c r="K1432" s="16">
        <f>AVERAGE(F$5:F1432)</f>
        <v>2.2147759103641458</v>
      </c>
      <c r="L1432" s="16">
        <f>SUM(F$5:F1432)/SUM(E$5:E1432)</f>
        <v>0.75904192766457956</v>
      </c>
    </row>
    <row r="1433" spans="1:12" x14ac:dyDescent="0.25">
      <c r="A1433" s="29">
        <v>45859</v>
      </c>
      <c r="B1433" s="16" t="s">
        <v>1479</v>
      </c>
      <c r="C1433" s="34">
        <v>1</v>
      </c>
      <c r="D1433" s="16" t="s">
        <v>60</v>
      </c>
      <c r="E1433" s="35">
        <v>3.5</v>
      </c>
      <c r="F1433" s="35">
        <v>3.1</v>
      </c>
      <c r="G1433" s="16" t="s">
        <v>44</v>
      </c>
      <c r="H1433" s="16" t="s">
        <v>45</v>
      </c>
      <c r="I1433" s="16">
        <f>COUNTIF(G$5:G1433,"Y")/COUNTA(G$5:G1433)</f>
        <v>0.87893631910426873</v>
      </c>
      <c r="J1433" s="16">
        <f>COUNTIF(H$5:H1433,"Y")/COUNTA(H$5:H1433)</f>
        <v>4.8985304408677398E-2</v>
      </c>
      <c r="K1433" s="16">
        <f>AVERAGE(F$5:F1433)</f>
        <v>2.2153953813855845</v>
      </c>
      <c r="L1433" s="16">
        <f>SUM(F$5:F1433)/SUM(E$5:E1433)</f>
        <v>0.75914824229053857</v>
      </c>
    </row>
    <row r="1434" spans="1:12" x14ac:dyDescent="0.25">
      <c r="A1434" s="29">
        <v>45860</v>
      </c>
      <c r="B1434" s="16" t="s">
        <v>1480</v>
      </c>
      <c r="C1434" s="34">
        <v>1</v>
      </c>
      <c r="D1434" s="16" t="s">
        <v>64</v>
      </c>
      <c r="E1434" s="35">
        <v>3</v>
      </c>
      <c r="F1434" s="35">
        <v>2.4</v>
      </c>
      <c r="G1434" s="16" t="s">
        <v>44</v>
      </c>
      <c r="H1434" s="16" t="s">
        <v>45</v>
      </c>
      <c r="I1434" s="16">
        <f>COUNTIF(G$5:G1434,"Y")/COUNTA(G$5:G1434)</f>
        <v>0.87902097902097898</v>
      </c>
      <c r="J1434" s="16">
        <f>COUNTIF(H$5:H1434,"Y")/COUNTA(H$5:H1434)</f>
        <v>4.8951048951048952E-2</v>
      </c>
      <c r="K1434" s="16">
        <f>AVERAGE(F$5:F1434)</f>
        <v>2.2155244755244756</v>
      </c>
      <c r="L1434" s="16">
        <f>SUM(F$5:F1434)/SUM(E$5:E1434)</f>
        <v>0.75917760950829194</v>
      </c>
    </row>
    <row r="1435" spans="1:12" x14ac:dyDescent="0.25">
      <c r="A1435" s="29">
        <v>45861</v>
      </c>
      <c r="B1435" s="16" t="s">
        <v>1481</v>
      </c>
      <c r="C1435" s="34">
        <v>1</v>
      </c>
      <c r="D1435" s="16" t="s">
        <v>43</v>
      </c>
      <c r="E1435" s="35">
        <v>2.2000000000000002</v>
      </c>
      <c r="F1435" s="35">
        <v>1.8</v>
      </c>
      <c r="G1435" s="16" t="s">
        <v>44</v>
      </c>
      <c r="H1435" s="16" t="s">
        <v>45</v>
      </c>
      <c r="I1435" s="16">
        <f>COUNTIF(G$5:G1435,"Y")/COUNTA(G$5:G1435)</f>
        <v>0.87910552061495462</v>
      </c>
      <c r="J1435" s="16">
        <f>COUNTIF(H$5:H1435,"Y")/COUNTA(H$5:H1435)</f>
        <v>4.891684136967156E-2</v>
      </c>
      <c r="K1435" s="16">
        <f>AVERAGE(F$5:F1435)</f>
        <v>2.2152341020265554</v>
      </c>
      <c r="L1435" s="16">
        <f>SUM(F$5:F1435)/SUM(E$5:E1435)</f>
        <v>0.75920869856780293</v>
      </c>
    </row>
    <row r="1436" spans="1:12" x14ac:dyDescent="0.25">
      <c r="A1436" s="29">
        <v>45862</v>
      </c>
      <c r="B1436" s="16" t="s">
        <v>1482</v>
      </c>
      <c r="C1436" s="34">
        <v>1</v>
      </c>
      <c r="D1436" s="16" t="s">
        <v>50</v>
      </c>
      <c r="E1436" s="35">
        <v>2.4</v>
      </c>
      <c r="F1436" s="35">
        <v>2</v>
      </c>
      <c r="G1436" s="16" t="s">
        <v>44</v>
      </c>
      <c r="H1436" s="16" t="s">
        <v>45</v>
      </c>
      <c r="I1436" s="16">
        <f>COUNTIF(G$5:G1436,"Y")/COUNTA(G$5:G1436)</f>
        <v>0.87918994413407825</v>
      </c>
      <c r="J1436" s="16">
        <f>COUNTIF(H$5:H1436,"Y")/COUNTA(H$5:H1436)</f>
        <v>4.8882681564245807E-2</v>
      </c>
      <c r="K1436" s="16">
        <f>AVERAGE(F$5:F1436)</f>
        <v>2.2150837988826817</v>
      </c>
      <c r="L1436" s="16">
        <f>SUM(F$5:F1436)/SUM(E$5:E1436)</f>
        <v>0.75925128057829583</v>
      </c>
    </row>
    <row r="1437" spans="1:12" x14ac:dyDescent="0.25">
      <c r="A1437" s="29">
        <v>45863</v>
      </c>
      <c r="B1437" s="16" t="s">
        <v>1483</v>
      </c>
      <c r="C1437" s="34">
        <v>1</v>
      </c>
      <c r="D1437" s="16" t="s">
        <v>47</v>
      </c>
      <c r="E1437" s="35">
        <v>1.7</v>
      </c>
      <c r="F1437" s="35">
        <v>1.3</v>
      </c>
      <c r="G1437" s="16" t="s">
        <v>44</v>
      </c>
      <c r="H1437" s="16" t="s">
        <v>45</v>
      </c>
      <c r="I1437" s="16">
        <f>COUNTIF(G$5:G1437,"Y")/COUNTA(G$5:G1437)</f>
        <v>0.87927424982554081</v>
      </c>
      <c r="J1437" s="16">
        <f>COUNTIF(H$5:H1437,"Y")/COUNTA(H$5:H1437)</f>
        <v>4.884856943475227E-2</v>
      </c>
      <c r="K1437" s="16">
        <f>AVERAGE(F$5:F1437)</f>
        <v>2.2144452198185629</v>
      </c>
      <c r="L1437" s="16">
        <f>SUM(F$5:F1437)/SUM(E$5:E1437)</f>
        <v>0.75925349922239616</v>
      </c>
    </row>
    <row r="1438" spans="1:12" x14ac:dyDescent="0.25">
      <c r="A1438" s="29">
        <v>45859</v>
      </c>
      <c r="B1438" s="16" t="s">
        <v>1484</v>
      </c>
      <c r="C1438" s="34">
        <v>1</v>
      </c>
      <c r="D1438" s="16" t="s">
        <v>47</v>
      </c>
      <c r="E1438" s="35">
        <v>2.2999999999999998</v>
      </c>
      <c r="F1438" s="35">
        <v>2.1</v>
      </c>
      <c r="G1438" s="16" t="s">
        <v>44</v>
      </c>
      <c r="H1438" s="16" t="s">
        <v>45</v>
      </c>
      <c r="I1438" s="16">
        <f>COUNTIF(G$5:G1438,"Y")/COUNTA(G$5:G1438)</f>
        <v>0.87935843793584378</v>
      </c>
      <c r="J1438" s="16">
        <f>COUNTIF(H$5:H1438,"Y")/COUNTA(H$5:H1438)</f>
        <v>4.8814504881450491E-2</v>
      </c>
      <c r="K1438" s="16">
        <f>AVERAGE(F$5:F1438)</f>
        <v>2.2143654114365416</v>
      </c>
      <c r="L1438" s="16">
        <f>SUM(F$5:F1438)/SUM(E$5:E1438)</f>
        <v>0.75933808407862746</v>
      </c>
    </row>
    <row r="1439" spans="1:12" x14ac:dyDescent="0.25">
      <c r="A1439" s="29">
        <v>45860</v>
      </c>
      <c r="B1439" s="16" t="s">
        <v>1485</v>
      </c>
      <c r="C1439" s="34">
        <v>1</v>
      </c>
      <c r="D1439" s="16" t="s">
        <v>50</v>
      </c>
      <c r="E1439" s="35">
        <v>3.3</v>
      </c>
      <c r="F1439" s="35">
        <v>2.7</v>
      </c>
      <c r="G1439" s="16" t="s">
        <v>44</v>
      </c>
      <c r="H1439" s="16" t="s">
        <v>45</v>
      </c>
      <c r="I1439" s="16">
        <f>COUNTIF(G$5:G1439,"Y")/COUNTA(G$5:G1439)</f>
        <v>0.87944250871080143</v>
      </c>
      <c r="J1439" s="16">
        <f>COUNTIF(H$5:H1439,"Y")/COUNTA(H$5:H1439)</f>
        <v>4.878048780487805E-2</v>
      </c>
      <c r="K1439" s="16">
        <f>AVERAGE(F$5:F1439)</f>
        <v>2.2147038327526136</v>
      </c>
      <c r="L1439" s="16">
        <f>SUM(F$5:F1439)/SUM(E$5:E1439)</f>
        <v>0.75938448304700112</v>
      </c>
    </row>
    <row r="1440" spans="1:12" x14ac:dyDescent="0.25">
      <c r="A1440" s="29">
        <v>45861</v>
      </c>
      <c r="B1440" s="16" t="s">
        <v>1486</v>
      </c>
      <c r="C1440" s="34">
        <v>1</v>
      </c>
      <c r="D1440" s="16" t="s">
        <v>50</v>
      </c>
      <c r="E1440" s="35">
        <v>4.0999999999999996</v>
      </c>
      <c r="F1440" s="35">
        <v>3.6</v>
      </c>
      <c r="G1440" s="16" t="s">
        <v>44</v>
      </c>
      <c r="H1440" s="16" t="s">
        <v>45</v>
      </c>
      <c r="I1440" s="16">
        <f>COUNTIF(G$5:G1440,"Y")/COUNTA(G$5:G1440)</f>
        <v>0.87952646239554322</v>
      </c>
      <c r="J1440" s="16">
        <f>COUNTIF(H$5:H1440,"Y")/COUNTA(H$5:H1440)</f>
        <v>4.8746518105849582E-2</v>
      </c>
      <c r="K1440" s="16">
        <f>AVERAGE(F$5:F1440)</f>
        <v>2.2156685236768805</v>
      </c>
      <c r="L1440" s="16">
        <f>SUM(F$5:F1440)/SUM(E$5:E1440)</f>
        <v>0.7595006206435605</v>
      </c>
    </row>
    <row r="1441" spans="1:13" x14ac:dyDescent="0.25">
      <c r="A1441" s="29">
        <v>45862</v>
      </c>
      <c r="B1441" s="16" t="s">
        <v>1487</v>
      </c>
      <c r="C1441" s="34">
        <v>1</v>
      </c>
      <c r="D1441" s="16" t="s">
        <v>43</v>
      </c>
      <c r="E1441" s="35">
        <v>2.4</v>
      </c>
      <c r="F1441" s="35">
        <v>2.1</v>
      </c>
      <c r="G1441" s="16" t="s">
        <v>44</v>
      </c>
      <c r="H1441" s="16" t="s">
        <v>45</v>
      </c>
      <c r="I1441" s="16">
        <f>COUNTIF(G$5:G1441,"Y")/COUNTA(G$5:G1441)</f>
        <v>0.87961029923451639</v>
      </c>
      <c r="J1441" s="16">
        <f>COUNTIF(H$5:H1441,"Y")/COUNTA(H$5:H1441)</f>
        <v>4.8712595685455808E-2</v>
      </c>
      <c r="K1441" s="16">
        <f>AVERAGE(F$5:F1441)</f>
        <v>2.2155880306193461</v>
      </c>
      <c r="L1441" s="16">
        <f>SUM(F$5:F1441)/SUM(E$5:E1441)</f>
        <v>0.75956675255272543</v>
      </c>
    </row>
    <row r="1442" spans="1:13" x14ac:dyDescent="0.25">
      <c r="A1442" s="29">
        <v>45863</v>
      </c>
      <c r="B1442" s="16" t="s">
        <v>1488</v>
      </c>
      <c r="C1442" s="34">
        <v>1</v>
      </c>
      <c r="D1442" s="16" t="s">
        <v>43</v>
      </c>
      <c r="E1442" s="35">
        <v>5.3</v>
      </c>
      <c r="F1442" s="35">
        <v>3.7</v>
      </c>
      <c r="G1442" s="16" t="s">
        <v>44</v>
      </c>
      <c r="H1442" s="16" t="s">
        <v>44</v>
      </c>
      <c r="I1442" s="16">
        <f>COUNTIF(G$5:G1442,"Y")/COUNTA(G$5:G1442)</f>
        <v>0.87969401947148818</v>
      </c>
      <c r="J1442" s="16">
        <f>COUNTIF(H$5:H1442,"Y")/COUNTA(H$5:H1442)</f>
        <v>4.9374130737134911E-2</v>
      </c>
      <c r="K1442" s="16">
        <f>AVERAGE(F$5:F1442)</f>
        <v>2.2166203059805287</v>
      </c>
      <c r="L1442" s="16">
        <f>SUM(F$5:F1442)/SUM(E$5:E1442)</f>
        <v>0.7594891467511744</v>
      </c>
    </row>
    <row r="1443" spans="1:13" x14ac:dyDescent="0.25">
      <c r="A1443" s="29">
        <v>45859</v>
      </c>
      <c r="B1443" s="16" t="s">
        <v>1489</v>
      </c>
      <c r="C1443" s="34">
        <v>1</v>
      </c>
      <c r="D1443" s="16" t="s">
        <v>60</v>
      </c>
      <c r="E1443" s="35">
        <v>5.0999999999999996</v>
      </c>
      <c r="F1443" s="35">
        <v>4</v>
      </c>
      <c r="G1443" s="16" t="s">
        <v>44</v>
      </c>
      <c r="H1443" s="16" t="s">
        <v>45</v>
      </c>
      <c r="I1443" s="16">
        <f>COUNTIF(G$5:G1443,"Y")/COUNTA(G$5:G1443)</f>
        <v>0.87977762334954834</v>
      </c>
      <c r="J1443" s="16">
        <f>COUNTIF(H$5:H1443,"Y")/COUNTA(H$5:H1443)</f>
        <v>4.9339819318971509E-2</v>
      </c>
      <c r="K1443" s="16">
        <f>AVERAGE(F$5:F1443)</f>
        <v>2.2178596247394022</v>
      </c>
      <c r="L1443" s="16">
        <f>SUM(F$5:F1443)/SUM(E$5:E1443)</f>
        <v>0.75951927653498419</v>
      </c>
    </row>
    <row r="1444" spans="1:13" x14ac:dyDescent="0.25">
      <c r="A1444" s="29">
        <v>45860</v>
      </c>
      <c r="B1444" s="16" t="s">
        <v>1490</v>
      </c>
      <c r="C1444" s="34">
        <v>1</v>
      </c>
      <c r="D1444" s="16" t="s">
        <v>60</v>
      </c>
      <c r="E1444" s="35">
        <v>3.3</v>
      </c>
      <c r="F1444" s="35">
        <v>2.9</v>
      </c>
      <c r="G1444" s="16" t="s">
        <v>44</v>
      </c>
      <c r="H1444" s="16" t="s">
        <v>45</v>
      </c>
      <c r="I1444" s="16">
        <f>COUNTIF(G$5:G1444,"Y")/COUNTA(G$5:G1444)</f>
        <v>0.87986111111111109</v>
      </c>
      <c r="J1444" s="16">
        <f>COUNTIF(H$5:H1444,"Y")/COUNTA(H$5:H1444)</f>
        <v>4.9305555555555554E-2</v>
      </c>
      <c r="K1444" s="16">
        <f>AVERAGE(F$5:F1444)</f>
        <v>2.2183333333333333</v>
      </c>
      <c r="L1444" s="16">
        <f>SUM(F$5:F1444)/SUM(E$5:E1444)</f>
        <v>0.75961286947423567</v>
      </c>
    </row>
    <row r="1445" spans="1:13" x14ac:dyDescent="0.25">
      <c r="A1445" s="29">
        <v>45861</v>
      </c>
      <c r="B1445" s="16" t="s">
        <v>1491</v>
      </c>
      <c r="C1445" s="34">
        <v>1</v>
      </c>
      <c r="D1445" s="16" t="s">
        <v>52</v>
      </c>
      <c r="E1445" s="35">
        <v>3.2</v>
      </c>
      <c r="F1445" s="35">
        <v>2.5</v>
      </c>
      <c r="G1445" s="16" t="s">
        <v>45</v>
      </c>
      <c r="H1445" s="16" t="s">
        <v>45</v>
      </c>
      <c r="I1445" s="16">
        <f>COUNTIF(G$5:G1445,"Y")/COUNTA(G$5:G1445)</f>
        <v>0.87925052047189456</v>
      </c>
      <c r="J1445" s="16">
        <f>COUNTIF(H$5:H1445,"Y")/COUNTA(H$5:H1445)</f>
        <v>4.9271339347675226E-2</v>
      </c>
      <c r="K1445" s="16">
        <f>AVERAGE(F$5:F1445)</f>
        <v>2.2185287994448299</v>
      </c>
      <c r="L1445" s="16">
        <f>SUM(F$5:F1445)/SUM(E$5:E1445)</f>
        <v>0.75962932161102614</v>
      </c>
    </row>
    <row r="1446" spans="1:13" x14ac:dyDescent="0.25">
      <c r="A1446" s="29">
        <v>45862</v>
      </c>
      <c r="B1446" s="16" t="s">
        <v>1492</v>
      </c>
      <c r="C1446" s="34">
        <v>1</v>
      </c>
      <c r="D1446" s="16" t="s">
        <v>47</v>
      </c>
      <c r="E1446" s="35">
        <v>4.5</v>
      </c>
      <c r="F1446" s="35">
        <v>3.9</v>
      </c>
      <c r="G1446" s="16" t="s">
        <v>44</v>
      </c>
      <c r="H1446" s="16" t="s">
        <v>45</v>
      </c>
      <c r="I1446" s="16">
        <f>COUNTIF(G$5:G1446,"Y")/COUNTA(G$5:G1446)</f>
        <v>0.87933425797503473</v>
      </c>
      <c r="J1446" s="16">
        <f>COUNTIF(H$5:H1446,"Y")/COUNTA(H$5:H1446)</f>
        <v>4.9237170596393896E-2</v>
      </c>
      <c r="K1446" s="16">
        <f>AVERAGE(F$5:F1446)</f>
        <v>2.2196948682385576</v>
      </c>
      <c r="L1446" s="16">
        <f>SUM(F$5:F1446)/SUM(E$5:E1446)</f>
        <v>0.75974365060527027</v>
      </c>
    </row>
    <row r="1447" spans="1:13" x14ac:dyDescent="0.25">
      <c r="A1447" s="29">
        <v>45863</v>
      </c>
      <c r="B1447" s="16" t="s">
        <v>1493</v>
      </c>
      <c r="C1447" s="34">
        <v>1</v>
      </c>
      <c r="D1447" s="16" t="s">
        <v>43</v>
      </c>
      <c r="E1447" s="35">
        <v>3.4</v>
      </c>
      <c r="F1447" s="35">
        <v>2.7</v>
      </c>
      <c r="G1447" s="16" t="s">
        <v>44</v>
      </c>
      <c r="H1447" s="16" t="s">
        <v>44</v>
      </c>
      <c r="I1447" s="16">
        <f>COUNTIF(G$5:G1447,"Y")/COUNTA(G$5:G1447)</f>
        <v>0.87941787941787941</v>
      </c>
      <c r="J1447" s="16">
        <f>COUNTIF(H$5:H1447,"Y")/COUNTA(H$5:H1447)</f>
        <v>4.9896049896049899E-2</v>
      </c>
      <c r="K1447" s="16">
        <f>AVERAGE(F$5:F1447)</f>
        <v>2.2200277200277201</v>
      </c>
      <c r="L1447" s="16">
        <f>SUM(F$5:F1447)/SUM(E$5:E1447)</f>
        <v>0.75977136894032915</v>
      </c>
    </row>
    <row r="1448" spans="1:13" x14ac:dyDescent="0.25">
      <c r="A1448" s="29">
        <v>45859</v>
      </c>
      <c r="B1448" s="16" t="s">
        <v>1494</v>
      </c>
      <c r="C1448" s="34">
        <v>1</v>
      </c>
      <c r="D1448" s="16" t="s">
        <v>64</v>
      </c>
      <c r="E1448" s="35">
        <v>1.5</v>
      </c>
      <c r="F1448" s="35">
        <v>1.2</v>
      </c>
      <c r="G1448" s="16" t="s">
        <v>45</v>
      </c>
      <c r="H1448" s="16" t="s">
        <v>45</v>
      </c>
      <c r="I1448" s="16">
        <f>COUNTIF(G$5:G1448,"Y")/COUNTA(G$5:G1448)</f>
        <v>0.87880886426592797</v>
      </c>
      <c r="J1448" s="16">
        <f>COUNTIF(H$5:H1448,"Y")/COUNTA(H$5:H1448)</f>
        <v>4.9861495844875349E-2</v>
      </c>
      <c r="K1448" s="16">
        <f>AVERAGE(F$5:F1448)</f>
        <v>2.219321329639889</v>
      </c>
      <c r="L1448" s="16">
        <f>SUM(F$5:F1448)/SUM(E$5:E1448)</f>
        <v>0.75978567533606856</v>
      </c>
    </row>
    <row r="1449" spans="1:13" x14ac:dyDescent="0.25">
      <c r="A1449" s="29">
        <v>45860</v>
      </c>
      <c r="B1449" s="16" t="s">
        <v>1495</v>
      </c>
      <c r="C1449" s="34">
        <v>1</v>
      </c>
      <c r="D1449" s="16" t="s">
        <v>60</v>
      </c>
      <c r="E1449" s="35">
        <v>4.5</v>
      </c>
      <c r="F1449" s="35">
        <v>3.9</v>
      </c>
      <c r="G1449" s="16" t="s">
        <v>44</v>
      </c>
      <c r="H1449" s="16" t="s">
        <v>45</v>
      </c>
      <c r="I1449" s="16">
        <f>COUNTIF(G$5:G1449,"Y")/COUNTA(G$5:G1449)</f>
        <v>0.87889273356401387</v>
      </c>
      <c r="J1449" s="16">
        <f>COUNTIF(H$5:H1449,"Y")/COUNTA(H$5:H1449)</f>
        <v>4.9826989619377163E-2</v>
      </c>
      <c r="K1449" s="16">
        <f>AVERAGE(F$5:F1449)</f>
        <v>2.2204844290657437</v>
      </c>
      <c r="L1449" s="16">
        <f>SUM(F$5:F1449)/SUM(E$5:E1449)</f>
        <v>0.75989958317544615</v>
      </c>
    </row>
    <row r="1450" spans="1:13" x14ac:dyDescent="0.25">
      <c r="A1450" s="29">
        <v>45861</v>
      </c>
      <c r="B1450" s="16" t="s">
        <v>1496</v>
      </c>
      <c r="C1450" s="34">
        <v>1</v>
      </c>
      <c r="D1450" s="16" t="s">
        <v>64</v>
      </c>
      <c r="E1450" s="35">
        <v>1.3</v>
      </c>
      <c r="F1450" s="35">
        <v>1.1000000000000001</v>
      </c>
      <c r="G1450" s="16" t="s">
        <v>44</v>
      </c>
      <c r="H1450" s="16" t="s">
        <v>45</v>
      </c>
      <c r="I1450" s="16">
        <f>COUNTIF(G$5:G1450,"Y")/COUNTA(G$5:G1450)</f>
        <v>0.87897648686030427</v>
      </c>
      <c r="J1450" s="16">
        <f>COUNTIF(H$5:H1450,"Y")/COUNTA(H$5:H1450)</f>
        <v>4.9792531120331947E-2</v>
      </c>
      <c r="K1450" s="16">
        <f>AVERAGE(F$5:F1450)</f>
        <v>2.2197095435684644</v>
      </c>
      <c r="L1450" s="16">
        <f>SUM(F$5:F1450)/SUM(E$5:E1450)</f>
        <v>0.7599261311172677</v>
      </c>
    </row>
    <row r="1451" spans="1:13" x14ac:dyDescent="0.25">
      <c r="A1451" s="29">
        <v>45862</v>
      </c>
      <c r="B1451" s="16" t="s">
        <v>1497</v>
      </c>
      <c r="C1451" s="34">
        <v>1</v>
      </c>
      <c r="D1451" s="16" t="s">
        <v>52</v>
      </c>
      <c r="E1451" s="35">
        <v>0.7</v>
      </c>
      <c r="F1451" s="35">
        <v>0.5</v>
      </c>
      <c r="G1451" s="16" t="s">
        <v>44</v>
      </c>
      <c r="H1451" s="16" t="s">
        <v>45</v>
      </c>
      <c r="I1451" s="16">
        <f>COUNTIF(G$5:G1451,"Y")/COUNTA(G$5:G1451)</f>
        <v>0.87906012439530057</v>
      </c>
      <c r="J1451" s="16">
        <f>COUNTIF(H$5:H1451,"Y")/COUNTA(H$5:H1451)</f>
        <v>4.9758120248790602E-2</v>
      </c>
      <c r="K1451" s="16">
        <f>AVERAGE(F$5:F1451)</f>
        <v>2.2185210780926052</v>
      </c>
      <c r="L1451" s="16">
        <f>SUM(F$5:F1451)/SUM(E$5:E1451)</f>
        <v>0.75991856831739502</v>
      </c>
    </row>
    <row r="1452" spans="1:13" x14ac:dyDescent="0.25">
      <c r="A1452" s="29">
        <v>45863</v>
      </c>
      <c r="B1452" s="16" t="s">
        <v>1498</v>
      </c>
      <c r="C1452" s="34">
        <v>1</v>
      </c>
      <c r="D1452" s="16" t="s">
        <v>60</v>
      </c>
      <c r="E1452" s="35">
        <v>4.8</v>
      </c>
      <c r="F1452" s="35">
        <v>0.5</v>
      </c>
      <c r="G1452" s="16" t="s">
        <v>45</v>
      </c>
      <c r="H1452" s="16" t="s">
        <v>45</v>
      </c>
      <c r="I1452" s="16">
        <f>COUNTIF(G$5:G1452,"Y")/COUNTA(G$5:G1452)</f>
        <v>0.87845303867403313</v>
      </c>
      <c r="J1452" s="16">
        <f>COUNTIF(H$5:H1452,"Y")/COUNTA(H$5:H1452)</f>
        <v>4.9723756906077346E-2</v>
      </c>
      <c r="K1452" s="16">
        <f>AVERAGE(F$5:F1452)</f>
        <v>2.2173342541436463</v>
      </c>
      <c r="L1452" s="16">
        <f>SUM(F$5:F1452)/SUM(E$5:E1452)</f>
        <v>0.75917431192660634</v>
      </c>
      <c r="M1452" s="16">
        <v>13</v>
      </c>
    </row>
    <row r="1453" spans="1:13" x14ac:dyDescent="0.25">
      <c r="A1453" s="29">
        <v>45866</v>
      </c>
      <c r="B1453" s="16" t="s">
        <v>1499</v>
      </c>
      <c r="C1453" s="34">
        <v>1</v>
      </c>
      <c r="D1453" s="16" t="s">
        <v>47</v>
      </c>
      <c r="E1453" s="35">
        <v>5.3</v>
      </c>
      <c r="F1453" s="35">
        <v>4.2</v>
      </c>
      <c r="G1453" s="16" t="s">
        <v>44</v>
      </c>
      <c r="H1453" s="16" t="s">
        <v>45</v>
      </c>
      <c r="I1453" s="16">
        <f>COUNTIF(G$5:G1453,"Y")/COUNTA(G$5:G1453)</f>
        <v>0.87853692201518285</v>
      </c>
      <c r="J1453" s="16">
        <f>COUNTIF(H$5:H1453,"Y")/COUNTA(H$5:H1453)</f>
        <v>4.9689440993788817E-2</v>
      </c>
      <c r="K1453" s="16">
        <f>AVERAGE(F$5:F1453)</f>
        <v>2.2187025534851621</v>
      </c>
      <c r="L1453" s="16">
        <f>SUM(F$5:F1453)/SUM(E$5:E1453)</f>
        <v>0.75921596410438141</v>
      </c>
    </row>
    <row r="1454" spans="1:13" x14ac:dyDescent="0.25">
      <c r="A1454" s="29">
        <v>45867</v>
      </c>
      <c r="B1454" s="16" t="s">
        <v>1500</v>
      </c>
      <c r="C1454" s="34">
        <v>1</v>
      </c>
      <c r="D1454" s="16" t="s">
        <v>50</v>
      </c>
      <c r="E1454" s="35">
        <v>3.2</v>
      </c>
      <c r="F1454" s="35">
        <v>2.4</v>
      </c>
      <c r="G1454" s="16" t="s">
        <v>44</v>
      </c>
      <c r="H1454" s="16" t="s">
        <v>45</v>
      </c>
      <c r="I1454" s="16">
        <f>COUNTIF(G$5:G1454,"Y")/COUNTA(G$5:G1454)</f>
        <v>0.87862068965517237</v>
      </c>
      <c r="J1454" s="16">
        <f>COUNTIF(H$5:H1454,"Y")/COUNTA(H$5:H1454)</f>
        <v>4.9655172413793101E-2</v>
      </c>
      <c r="K1454" s="16">
        <f>AVERAGE(F$5:F1454)</f>
        <v>2.2188275862068965</v>
      </c>
      <c r="L1454" s="16">
        <f>SUM(F$5:F1454)/SUM(E$5:E1454)</f>
        <v>0.75920900488472598</v>
      </c>
    </row>
    <row r="1455" spans="1:13" x14ac:dyDescent="0.25">
      <c r="A1455" s="29">
        <v>45868</v>
      </c>
      <c r="B1455" s="16" t="s">
        <v>1501</v>
      </c>
      <c r="C1455" s="34">
        <v>1</v>
      </c>
      <c r="D1455" s="16" t="s">
        <v>50</v>
      </c>
      <c r="E1455" s="35">
        <v>5.0999999999999996</v>
      </c>
      <c r="F1455" s="35">
        <v>3.5</v>
      </c>
      <c r="G1455" s="16" t="s">
        <v>44</v>
      </c>
      <c r="H1455" s="16" t="s">
        <v>45</v>
      </c>
      <c r="I1455" s="16">
        <f>COUNTIF(G$5:G1455,"Y")/COUNTA(G$5:G1455)</f>
        <v>0.87870434183321844</v>
      </c>
      <c r="J1455" s="16">
        <f>COUNTIF(H$5:H1455,"Y")/COUNTA(H$5:H1455)</f>
        <v>4.9620951068228808E-2</v>
      </c>
      <c r="K1455" s="16">
        <f>AVERAGE(F$5:F1455)</f>
        <v>2.2197105444521017</v>
      </c>
      <c r="L1455" s="16">
        <f>SUM(F$5:F1455)/SUM(E$5:E1455)</f>
        <v>0.75912133496747503</v>
      </c>
    </row>
    <row r="1456" spans="1:13" x14ac:dyDescent="0.25">
      <c r="A1456" s="29">
        <v>45869</v>
      </c>
      <c r="B1456" s="16" t="s">
        <v>1502</v>
      </c>
      <c r="C1456" s="34">
        <v>1</v>
      </c>
      <c r="D1456" s="16" t="s">
        <v>50</v>
      </c>
      <c r="E1456" s="35">
        <v>4.7</v>
      </c>
      <c r="F1456" s="35">
        <v>4.0999999999999996</v>
      </c>
      <c r="G1456" s="16" t="s">
        <v>44</v>
      </c>
      <c r="H1456" s="16" t="s">
        <v>45</v>
      </c>
      <c r="I1456" s="16">
        <f>COUNTIF(G$5:G1456,"Y")/COUNTA(G$5:G1456)</f>
        <v>0.87878787878787878</v>
      </c>
      <c r="J1456" s="16">
        <f>COUNTIF(H$5:H1456,"Y")/COUNTA(H$5:H1456)</f>
        <v>4.9586776859504134E-2</v>
      </c>
      <c r="K1456" s="16">
        <f>AVERAGE(F$5:F1456)</f>
        <v>2.221005509641873</v>
      </c>
      <c r="L1456" s="16">
        <f>SUM(F$5:F1456)/SUM(E$5:E1456)</f>
        <v>0.75924661565626916</v>
      </c>
    </row>
    <row r="1457" spans="1:12" x14ac:dyDescent="0.25">
      <c r="A1457" s="29">
        <v>45870</v>
      </c>
      <c r="B1457" s="16" t="s">
        <v>1503</v>
      </c>
      <c r="C1457" s="34">
        <v>1</v>
      </c>
      <c r="D1457" s="16" t="s">
        <v>50</v>
      </c>
      <c r="E1457" s="35">
        <v>4.5999999999999996</v>
      </c>
      <c r="F1457" s="35">
        <v>4.0999999999999996</v>
      </c>
      <c r="G1457" s="16" t="s">
        <v>44</v>
      </c>
      <c r="H1457" s="16" t="s">
        <v>45</v>
      </c>
      <c r="I1457" s="16">
        <f>COUNTIF(G$5:G1457,"Y")/COUNTA(G$5:G1457)</f>
        <v>0.87887130075705433</v>
      </c>
      <c r="J1457" s="16">
        <f>COUNTIF(H$5:H1457,"Y")/COUNTA(H$5:H1457)</f>
        <v>4.9552649690295943E-2</v>
      </c>
      <c r="K1457" s="16">
        <f>AVERAGE(F$5:F1457)</f>
        <v>2.2222986923606327</v>
      </c>
      <c r="L1457" s="16">
        <f>SUM(F$5:F1457)/SUM(E$5:E1457)</f>
        <v>0.75938947814021374</v>
      </c>
    </row>
    <row r="1458" spans="1:12" x14ac:dyDescent="0.25">
      <c r="A1458" s="29">
        <v>45866</v>
      </c>
      <c r="B1458" s="16" t="s">
        <v>1504</v>
      </c>
      <c r="C1458" s="34">
        <v>1</v>
      </c>
      <c r="D1458" s="16" t="s">
        <v>43</v>
      </c>
      <c r="E1458" s="35">
        <v>2.9</v>
      </c>
      <c r="F1458" s="35">
        <v>2.5</v>
      </c>
      <c r="G1458" s="16" t="s">
        <v>45</v>
      </c>
      <c r="H1458" s="16" t="s">
        <v>45</v>
      </c>
      <c r="I1458" s="16">
        <f>COUNTIF(G$5:G1458,"Y")/COUNTA(G$5:G1458)</f>
        <v>0.87826685006877581</v>
      </c>
      <c r="J1458" s="16">
        <f>COUNTIF(H$5:H1458,"Y")/COUNTA(H$5:H1458)</f>
        <v>4.951856946354883E-2</v>
      </c>
      <c r="K1458" s="16">
        <f>AVERAGE(F$5:F1458)</f>
        <v>2.2224896836313612</v>
      </c>
      <c r="L1458" s="16">
        <f>SUM(F$5:F1458)/SUM(E$5:E1458)</f>
        <v>0.75945945945946014</v>
      </c>
    </row>
    <row r="1459" spans="1:12" x14ac:dyDescent="0.25">
      <c r="A1459" s="29">
        <v>45867</v>
      </c>
      <c r="B1459" s="16" t="s">
        <v>1505</v>
      </c>
      <c r="C1459" s="34">
        <v>1</v>
      </c>
      <c r="D1459" s="16" t="s">
        <v>52</v>
      </c>
      <c r="E1459" s="35">
        <v>4.9000000000000004</v>
      </c>
      <c r="F1459" s="35">
        <v>4.4000000000000004</v>
      </c>
      <c r="G1459" s="16" t="s">
        <v>44</v>
      </c>
      <c r="H1459" s="16" t="s">
        <v>45</v>
      </c>
      <c r="I1459" s="16">
        <f>COUNTIF(G$5:G1459,"Y")/COUNTA(G$5:G1459)</f>
        <v>0.87835051546391751</v>
      </c>
      <c r="J1459" s="16">
        <f>COUNTIF(H$5:H1459,"Y")/COUNTA(H$5:H1459)</f>
        <v>4.9484536082474224E-2</v>
      </c>
      <c r="K1459" s="16">
        <f>AVERAGE(F$5:F1459)</f>
        <v>2.2239862542955322</v>
      </c>
      <c r="L1459" s="16">
        <f>SUM(F$5:F1459)/SUM(E$5:E1459)</f>
        <v>0.75961877039367198</v>
      </c>
    </row>
    <row r="1460" spans="1:12" x14ac:dyDescent="0.25">
      <c r="A1460" s="29">
        <v>45868</v>
      </c>
      <c r="B1460" s="16" t="s">
        <v>1506</v>
      </c>
      <c r="C1460" s="34">
        <v>1</v>
      </c>
      <c r="D1460" s="16" t="s">
        <v>60</v>
      </c>
      <c r="E1460" s="35">
        <v>2</v>
      </c>
      <c r="F1460" s="35">
        <v>1.8</v>
      </c>
      <c r="G1460" s="16" t="s">
        <v>44</v>
      </c>
      <c r="H1460" s="16" t="s">
        <v>45</v>
      </c>
      <c r="I1460" s="16">
        <f>COUNTIF(G$5:G1460,"Y")/COUNTA(G$5:G1460)</f>
        <v>0.87843406593406592</v>
      </c>
      <c r="J1460" s="16">
        <f>COUNTIF(H$5:H1460,"Y")/COUNTA(H$5:H1460)</f>
        <v>4.9450549450549448E-2</v>
      </c>
      <c r="K1460" s="16">
        <f>AVERAGE(F$5:F1460)</f>
        <v>2.2236950549450549</v>
      </c>
      <c r="L1460" s="16">
        <f>SUM(F$5:F1460)/SUM(E$5:E1460)</f>
        <v>0.75968464769234467</v>
      </c>
    </row>
    <row r="1461" spans="1:12" x14ac:dyDescent="0.25">
      <c r="A1461" s="29">
        <v>45869</v>
      </c>
      <c r="B1461" s="16" t="s">
        <v>1507</v>
      </c>
      <c r="C1461" s="34">
        <v>1</v>
      </c>
      <c r="D1461" s="16" t="s">
        <v>47</v>
      </c>
      <c r="E1461" s="35">
        <v>1.9</v>
      </c>
      <c r="F1461" s="35">
        <v>1.7</v>
      </c>
      <c r="G1461" s="16" t="s">
        <v>44</v>
      </c>
      <c r="H1461" s="16" t="s">
        <v>45</v>
      </c>
      <c r="I1461" s="16">
        <f>COUNTIF(G$5:G1461,"Y")/COUNTA(G$5:G1461)</f>
        <v>0.87851750171585452</v>
      </c>
      <c r="J1461" s="16">
        <f>COUNTIF(H$5:H1461,"Y")/COUNTA(H$5:H1461)</f>
        <v>4.9416609471516812E-2</v>
      </c>
      <c r="K1461" s="16">
        <f>AVERAGE(F$5:F1461)</f>
        <v>2.2233356211393271</v>
      </c>
      <c r="L1461" s="16">
        <f>SUM(F$5:F1461)/SUM(E$5:E1461)</f>
        <v>0.75974482855668735</v>
      </c>
    </row>
    <row r="1462" spans="1:12" x14ac:dyDescent="0.25">
      <c r="A1462" s="29">
        <v>45870</v>
      </c>
      <c r="B1462" s="16" t="s">
        <v>1508</v>
      </c>
      <c r="C1462" s="34">
        <v>1</v>
      </c>
      <c r="D1462" s="16" t="s">
        <v>56</v>
      </c>
      <c r="E1462" s="35">
        <v>2.7</v>
      </c>
      <c r="F1462" s="35">
        <v>1.9</v>
      </c>
      <c r="G1462" s="16" t="s">
        <v>44</v>
      </c>
      <c r="H1462" s="16" t="s">
        <v>45</v>
      </c>
      <c r="I1462" s="16">
        <f>COUNTIF(G$5:G1462,"Y")/COUNTA(G$5:G1462)</f>
        <v>0.87860082304526754</v>
      </c>
      <c r="J1462" s="16">
        <f>COUNTIF(H$5:H1462,"Y")/COUNTA(H$5:H1462)</f>
        <v>4.9382716049382713E-2</v>
      </c>
      <c r="K1462" s="16">
        <f>AVERAGE(F$5:F1462)</f>
        <v>2.2231138545953359</v>
      </c>
      <c r="L1462" s="16">
        <f>SUM(F$5:F1462)/SUM(E$5:E1462)</f>
        <v>0.75970936364701835</v>
      </c>
    </row>
    <row r="1463" spans="1:12" x14ac:dyDescent="0.25">
      <c r="A1463" s="29">
        <v>45866</v>
      </c>
      <c r="B1463" s="16" t="s">
        <v>1509</v>
      </c>
      <c r="C1463" s="34">
        <v>1</v>
      </c>
      <c r="D1463" s="16" t="s">
        <v>64</v>
      </c>
      <c r="E1463" s="35">
        <v>1.6</v>
      </c>
      <c r="F1463" s="35">
        <v>1.3</v>
      </c>
      <c r="G1463" s="16" t="s">
        <v>44</v>
      </c>
      <c r="H1463" s="16" t="s">
        <v>45</v>
      </c>
      <c r="I1463" s="16">
        <f>COUNTIF(G$5:G1463,"Y")/COUNTA(G$5:G1463)</f>
        <v>0.87868403015764218</v>
      </c>
      <c r="J1463" s="16">
        <f>COUNTIF(H$5:H1463,"Y")/COUNTA(H$5:H1463)</f>
        <v>4.9348869088416722E-2</v>
      </c>
      <c r="K1463" s="16">
        <f>AVERAGE(F$5:F1463)</f>
        <v>2.222481151473612</v>
      </c>
      <c r="L1463" s="16">
        <f>SUM(F$5:F1463)/SUM(E$5:E1463)</f>
        <v>0.75972915348750114</v>
      </c>
    </row>
    <row r="1464" spans="1:12" x14ac:dyDescent="0.25">
      <c r="A1464" s="29">
        <v>45867</v>
      </c>
      <c r="B1464" s="16" t="s">
        <v>1510</v>
      </c>
      <c r="C1464" s="34">
        <v>1</v>
      </c>
      <c r="D1464" s="16" t="s">
        <v>43</v>
      </c>
      <c r="E1464" s="35">
        <v>5</v>
      </c>
      <c r="F1464" s="35">
        <v>3.5</v>
      </c>
      <c r="G1464" s="16" t="s">
        <v>45</v>
      </c>
      <c r="H1464" s="16" t="s">
        <v>45</v>
      </c>
      <c r="I1464" s="16">
        <f>COUNTIF(G$5:G1464,"Y")/COUNTA(G$5:G1464)</f>
        <v>0.87808219178082192</v>
      </c>
      <c r="J1464" s="16">
        <f>COUNTIF(H$5:H1464,"Y")/COUNTA(H$5:H1464)</f>
        <v>4.9315068493150684E-2</v>
      </c>
      <c r="K1464" s="16">
        <f>AVERAGE(F$5:F1464)</f>
        <v>2.2233561643835618</v>
      </c>
      <c r="L1464" s="16">
        <f>SUM(F$5:F1464)/SUM(E$5:E1464)</f>
        <v>0.75965926376635318</v>
      </c>
    </row>
    <row r="1465" spans="1:12" x14ac:dyDescent="0.25">
      <c r="A1465" s="29">
        <v>45868</v>
      </c>
      <c r="B1465" s="16" t="s">
        <v>1511</v>
      </c>
      <c r="C1465" s="34">
        <v>1</v>
      </c>
      <c r="D1465" s="16" t="s">
        <v>64</v>
      </c>
      <c r="E1465" s="35">
        <v>3.5</v>
      </c>
      <c r="F1465" s="35">
        <v>2.8</v>
      </c>
      <c r="G1465" s="16" t="s">
        <v>44</v>
      </c>
      <c r="H1465" s="16" t="s">
        <v>45</v>
      </c>
      <c r="I1465" s="16">
        <f>COUNTIF(G$5:G1465,"Y")/COUNTA(G$5:G1465)</f>
        <v>0.87816563997262154</v>
      </c>
      <c r="J1465" s="16">
        <f>COUNTIF(H$5:H1465,"Y")/COUNTA(H$5:H1465)</f>
        <v>4.9281314168377825E-2</v>
      </c>
      <c r="K1465" s="16">
        <f>AVERAGE(F$5:F1465)</f>
        <v>2.2237508555783712</v>
      </c>
      <c r="L1465" s="16">
        <f>SUM(F$5:F1465)/SUM(E$5:E1465)</f>
        <v>0.75969227891315627</v>
      </c>
    </row>
    <row r="1466" spans="1:12" x14ac:dyDescent="0.25">
      <c r="A1466" s="29">
        <v>45869</v>
      </c>
      <c r="B1466" s="16" t="s">
        <v>1512</v>
      </c>
      <c r="C1466" s="34">
        <v>1</v>
      </c>
      <c r="D1466" s="16" t="s">
        <v>43</v>
      </c>
      <c r="E1466" s="35">
        <v>3.9</v>
      </c>
      <c r="F1466" s="35">
        <v>3.6</v>
      </c>
      <c r="G1466" s="16" t="s">
        <v>44</v>
      </c>
      <c r="H1466" s="16" t="s">
        <v>45</v>
      </c>
      <c r="I1466" s="16">
        <f>COUNTIF(G$5:G1466,"Y")/COUNTA(G$5:G1466)</f>
        <v>0.87824897400820789</v>
      </c>
      <c r="J1466" s="16">
        <f>COUNTIF(H$5:H1466,"Y")/COUNTA(H$5:H1466)</f>
        <v>4.9247606019151846E-2</v>
      </c>
      <c r="K1466" s="16">
        <f>AVERAGE(F$5:F1466)</f>
        <v>2.2246922024623803</v>
      </c>
      <c r="L1466" s="16">
        <f>SUM(F$5:F1466)/SUM(E$5:E1466)</f>
        <v>0.75984114005373304</v>
      </c>
    </row>
    <row r="1467" spans="1:12" x14ac:dyDescent="0.25">
      <c r="A1467" s="29">
        <v>45870</v>
      </c>
      <c r="B1467" s="16" t="s">
        <v>1513</v>
      </c>
      <c r="C1467" s="34">
        <v>1</v>
      </c>
      <c r="D1467" s="16" t="s">
        <v>52</v>
      </c>
      <c r="E1467" s="35">
        <v>2.1</v>
      </c>
      <c r="F1467" s="35">
        <v>1.9</v>
      </c>
      <c r="G1467" s="16" t="s">
        <v>44</v>
      </c>
      <c r="H1467" s="16" t="s">
        <v>45</v>
      </c>
      <c r="I1467" s="16">
        <f>COUNTIF(G$5:G1467,"Y")/COUNTA(G$5:G1467)</f>
        <v>0.87833219412166785</v>
      </c>
      <c r="J1467" s="16">
        <f>COUNTIF(H$5:H1467,"Y")/COUNTA(H$5:H1467)</f>
        <v>4.9213943950786057E-2</v>
      </c>
      <c r="K1467" s="16">
        <f>AVERAGE(F$5:F1467)</f>
        <v>2.2244702665755298</v>
      </c>
      <c r="L1467" s="16">
        <f>SUM(F$5:F1467)/SUM(E$5:E1467)</f>
        <v>0.7599122028674179</v>
      </c>
    </row>
    <row r="1468" spans="1:12" x14ac:dyDescent="0.25">
      <c r="A1468" s="29">
        <v>45866</v>
      </c>
      <c r="B1468" s="16" t="s">
        <v>1514</v>
      </c>
      <c r="C1468" s="34">
        <v>1</v>
      </c>
      <c r="D1468" s="16" t="s">
        <v>43</v>
      </c>
      <c r="E1468" s="35">
        <v>5.5</v>
      </c>
      <c r="F1468" s="35">
        <v>3.9</v>
      </c>
      <c r="G1468" s="16" t="s">
        <v>44</v>
      </c>
      <c r="H1468" s="16" t="s">
        <v>45</v>
      </c>
      <c r="I1468" s="16">
        <f>COUNTIF(G$5:G1468,"Y")/COUNTA(G$5:G1468)</f>
        <v>0.87841530054644812</v>
      </c>
      <c r="J1468" s="16">
        <f>COUNTIF(H$5:H1468,"Y")/COUNTA(H$5:H1468)</f>
        <v>4.9180327868852458E-2</v>
      </c>
      <c r="K1468" s="16">
        <f>AVERAGE(F$5:F1468)</f>
        <v>2.2256147540983608</v>
      </c>
      <c r="L1468" s="16">
        <f>SUM(F$5:F1468)/SUM(E$5:E1468)</f>
        <v>0.75984701849303982</v>
      </c>
    </row>
    <row r="1469" spans="1:12" x14ac:dyDescent="0.25">
      <c r="A1469" s="29">
        <v>45867</v>
      </c>
      <c r="B1469" s="16" t="s">
        <v>1515</v>
      </c>
      <c r="C1469" s="34">
        <v>1</v>
      </c>
      <c r="D1469" s="16" t="s">
        <v>50</v>
      </c>
      <c r="E1469" s="35">
        <v>3.5</v>
      </c>
      <c r="F1469" s="35">
        <v>2.9</v>
      </c>
      <c r="G1469" s="16" t="s">
        <v>44</v>
      </c>
      <c r="H1469" s="16" t="s">
        <v>45</v>
      </c>
      <c r="I1469" s="16">
        <f>COUNTIF(G$5:G1469,"Y")/COUNTA(G$5:G1469)</f>
        <v>0.87849829351535835</v>
      </c>
      <c r="J1469" s="16">
        <f>COUNTIF(H$5:H1469,"Y")/COUNTA(H$5:H1469)</f>
        <v>4.9146757679180884E-2</v>
      </c>
      <c r="K1469" s="16">
        <f>AVERAGE(F$5:F1469)</f>
        <v>2.2260750853242324</v>
      </c>
      <c r="L1469" s="16">
        <f>SUM(F$5:F1469)/SUM(E$5:E1469)</f>
        <v>0.75990306645540218</v>
      </c>
    </row>
    <row r="1470" spans="1:12" x14ac:dyDescent="0.25">
      <c r="A1470" s="29">
        <v>45868</v>
      </c>
      <c r="B1470" s="16" t="s">
        <v>1516</v>
      </c>
      <c r="C1470" s="34">
        <v>1</v>
      </c>
      <c r="D1470" s="16" t="s">
        <v>56</v>
      </c>
      <c r="E1470" s="35">
        <v>4.0999999999999996</v>
      </c>
      <c r="F1470" s="35">
        <v>3.1</v>
      </c>
      <c r="G1470" s="16" t="s">
        <v>45</v>
      </c>
      <c r="H1470" s="16" t="s">
        <v>45</v>
      </c>
      <c r="I1470" s="16">
        <f>COUNTIF(G$5:G1470,"Y")/COUNTA(G$5:G1470)</f>
        <v>0.8778990450204639</v>
      </c>
      <c r="J1470" s="16">
        <f>COUNTIF(H$5:H1470,"Y")/COUNTA(H$5:H1470)</f>
        <v>4.9113233287858118E-2</v>
      </c>
      <c r="K1470" s="16">
        <f>AVERAGE(F$5:F1470)</f>
        <v>2.2266712141882676</v>
      </c>
      <c r="L1470" s="16">
        <f>SUM(F$5:F1470)/SUM(E$5:E1470)</f>
        <v>0.75989943431803986</v>
      </c>
    </row>
    <row r="1471" spans="1:12" x14ac:dyDescent="0.25">
      <c r="A1471" s="29">
        <v>45869</v>
      </c>
      <c r="B1471" s="16" t="s">
        <v>1517</v>
      </c>
      <c r="C1471" s="34">
        <v>1</v>
      </c>
      <c r="D1471" s="16" t="s">
        <v>52</v>
      </c>
      <c r="E1471" s="35">
        <v>4.8</v>
      </c>
      <c r="F1471" s="35">
        <v>3.8</v>
      </c>
      <c r="G1471" s="16" t="s">
        <v>44</v>
      </c>
      <c r="H1471" s="16" t="s">
        <v>45</v>
      </c>
      <c r="I1471" s="16">
        <f>COUNTIF(G$5:G1471,"Y")/COUNTA(G$5:G1471)</f>
        <v>0.87798227675528284</v>
      </c>
      <c r="J1471" s="16">
        <f>COUNTIF(H$5:H1471,"Y")/COUNTA(H$5:H1471)</f>
        <v>4.9079754601226995E-2</v>
      </c>
      <c r="K1471" s="16">
        <f>AVERAGE(F$5:F1471)</f>
        <v>2.2277436946148605</v>
      </c>
      <c r="L1471" s="16">
        <f>SUM(F$5:F1471)/SUM(E$5:E1471)</f>
        <v>0.7599348912917111</v>
      </c>
    </row>
    <row r="1472" spans="1:12" x14ac:dyDescent="0.25">
      <c r="A1472" s="29">
        <v>45870</v>
      </c>
      <c r="B1472" s="16" t="s">
        <v>1518</v>
      </c>
      <c r="C1472" s="34">
        <v>1</v>
      </c>
      <c r="D1472" s="16" t="s">
        <v>64</v>
      </c>
      <c r="E1472" s="35">
        <v>4.4000000000000004</v>
      </c>
      <c r="F1472" s="35">
        <v>3.4</v>
      </c>
      <c r="G1472" s="16" t="s">
        <v>44</v>
      </c>
      <c r="H1472" s="16" t="s">
        <v>45</v>
      </c>
      <c r="I1472" s="16">
        <f>COUNTIF(G$5:G1472,"Y")/COUNTA(G$5:G1472)</f>
        <v>0.87806539509536785</v>
      </c>
      <c r="J1472" s="16">
        <f>COUNTIF(H$5:H1472,"Y")/COUNTA(H$5:H1472)</f>
        <v>4.9046321525885561E-2</v>
      </c>
      <c r="K1472" s="16">
        <f>AVERAGE(F$5:F1472)</f>
        <v>2.2285422343324255</v>
      </c>
      <c r="L1472" s="16">
        <f>SUM(F$5:F1472)/SUM(E$5:E1472)</f>
        <v>0.75994796627099448</v>
      </c>
    </row>
    <row r="1473" spans="1:12" x14ac:dyDescent="0.25">
      <c r="A1473" s="29">
        <v>45866</v>
      </c>
      <c r="B1473" s="16" t="s">
        <v>1519</v>
      </c>
      <c r="C1473" s="34">
        <v>1</v>
      </c>
      <c r="D1473" s="16" t="s">
        <v>43</v>
      </c>
      <c r="E1473" s="35">
        <v>3.8</v>
      </c>
      <c r="F1473" s="35">
        <v>3</v>
      </c>
      <c r="G1473" s="16" t="s">
        <v>44</v>
      </c>
      <c r="H1473" s="16" t="s">
        <v>45</v>
      </c>
      <c r="I1473" s="16">
        <f>COUNTIF(G$5:G1473,"Y")/COUNTA(G$5:G1473)</f>
        <v>0.87814840027229413</v>
      </c>
      <c r="J1473" s="16">
        <f>COUNTIF(H$5:H1473,"Y")/COUNTA(H$5:H1473)</f>
        <v>4.9012933968686181E-2</v>
      </c>
      <c r="K1473" s="16">
        <f>AVERAGE(F$5:F1473)</f>
        <v>2.2290673927842071</v>
      </c>
      <c r="L1473" s="16">
        <f>SUM(F$5:F1473)/SUM(E$5:E1473)</f>
        <v>0.7599740060807213</v>
      </c>
    </row>
    <row r="1474" spans="1:12" x14ac:dyDescent="0.25">
      <c r="A1474" s="29">
        <v>45867</v>
      </c>
      <c r="B1474" s="16" t="s">
        <v>1520</v>
      </c>
      <c r="C1474" s="34">
        <v>1</v>
      </c>
      <c r="D1474" s="16" t="s">
        <v>64</v>
      </c>
      <c r="E1474" s="35">
        <v>4.4000000000000004</v>
      </c>
      <c r="F1474" s="35">
        <v>3.1</v>
      </c>
      <c r="G1474" s="16" t="s">
        <v>44</v>
      </c>
      <c r="H1474" s="16" t="s">
        <v>44</v>
      </c>
      <c r="I1474" s="16">
        <f>COUNTIF(G$5:G1474,"Y")/COUNTA(G$5:G1474)</f>
        <v>0.87823129251700682</v>
      </c>
      <c r="J1474" s="16">
        <f>COUNTIF(H$5:H1474,"Y")/COUNTA(H$5:H1474)</f>
        <v>4.9659863945578232E-2</v>
      </c>
      <c r="K1474" s="16">
        <f>AVERAGE(F$5:F1474)</f>
        <v>2.2296598639455785</v>
      </c>
      <c r="L1474" s="16">
        <f>SUM(F$5:F1474)/SUM(E$5:E1474)</f>
        <v>0.75991746075908373</v>
      </c>
    </row>
    <row r="1475" spans="1:12" x14ac:dyDescent="0.25">
      <c r="A1475" s="29">
        <v>45868</v>
      </c>
      <c r="B1475" s="16" t="s">
        <v>1521</v>
      </c>
      <c r="C1475" s="34">
        <v>1</v>
      </c>
      <c r="D1475" s="16" t="s">
        <v>43</v>
      </c>
      <c r="E1475" s="35">
        <v>3</v>
      </c>
      <c r="F1475" s="35">
        <v>2.2000000000000002</v>
      </c>
      <c r="G1475" s="16" t="s">
        <v>44</v>
      </c>
      <c r="H1475" s="16" t="s">
        <v>45</v>
      </c>
      <c r="I1475" s="16">
        <f>COUNTIF(G$5:G1475,"Y")/COUNTA(G$5:G1475)</f>
        <v>0.87831407205982326</v>
      </c>
      <c r="J1475" s="16">
        <f>COUNTIF(H$5:H1475,"Y")/COUNTA(H$5:H1475)</f>
        <v>4.9626104690686609E-2</v>
      </c>
      <c r="K1475" s="16">
        <f>AVERAGE(F$5:F1475)</f>
        <v>2.2296397008837525</v>
      </c>
      <c r="L1475" s="16">
        <f>SUM(F$5:F1475)/SUM(E$5:E1475)</f>
        <v>0.75989898287806212</v>
      </c>
    </row>
    <row r="1476" spans="1:12" x14ac:dyDescent="0.25">
      <c r="A1476" s="29">
        <v>45869</v>
      </c>
      <c r="B1476" s="16" t="s">
        <v>1522</v>
      </c>
      <c r="C1476" s="34">
        <v>1</v>
      </c>
      <c r="D1476" s="16" t="s">
        <v>56</v>
      </c>
      <c r="E1476" s="35">
        <v>2.4</v>
      </c>
      <c r="F1476" s="35">
        <v>2</v>
      </c>
      <c r="G1476" s="16" t="s">
        <v>44</v>
      </c>
      <c r="H1476" s="16" t="s">
        <v>45</v>
      </c>
      <c r="I1476" s="16">
        <f>COUNTIF(G$5:G1476,"Y")/COUNTA(G$5:G1476)</f>
        <v>0.87839673913043481</v>
      </c>
      <c r="J1476" s="16">
        <f>COUNTIF(H$5:H1476,"Y")/COUNTA(H$5:H1476)</f>
        <v>4.9592391304347824E-2</v>
      </c>
      <c r="K1476" s="16">
        <f>AVERAGE(F$5:F1476)</f>
        <v>2.2294836956521742</v>
      </c>
      <c r="L1476" s="16">
        <f>SUM(F$5:F1476)/SUM(E$5:E1476)</f>
        <v>0.75993979390992339</v>
      </c>
    </row>
    <row r="1477" spans="1:12" x14ac:dyDescent="0.25">
      <c r="A1477" s="29">
        <v>45870</v>
      </c>
      <c r="B1477" s="16" t="s">
        <v>1523</v>
      </c>
      <c r="C1477" s="34">
        <v>1</v>
      </c>
      <c r="D1477" s="16" t="s">
        <v>52</v>
      </c>
      <c r="E1477" s="35">
        <v>3.1</v>
      </c>
      <c r="F1477" s="35">
        <v>2.2000000000000002</v>
      </c>
      <c r="G1477" s="16" t="s">
        <v>45</v>
      </c>
      <c r="H1477" s="16" t="s">
        <v>45</v>
      </c>
      <c r="I1477" s="16">
        <f>COUNTIF(G$5:G1477,"Y")/COUNTA(G$5:G1477)</f>
        <v>0.87780040733197551</v>
      </c>
      <c r="J1477" s="16">
        <f>COUNTIF(H$5:H1477,"Y")/COUNTA(H$5:H1477)</f>
        <v>4.9558723693143243E-2</v>
      </c>
      <c r="K1477" s="16">
        <f>AVERAGE(F$5:F1477)</f>
        <v>2.2294636795655127</v>
      </c>
      <c r="L1477" s="16">
        <f>SUM(F$5:F1477)/SUM(E$5:E1477)</f>
        <v>0.75990373935579503</v>
      </c>
    </row>
    <row r="1478" spans="1:12" x14ac:dyDescent="0.25">
      <c r="A1478" s="29">
        <v>45866</v>
      </c>
      <c r="B1478" s="16" t="s">
        <v>1524</v>
      </c>
      <c r="C1478" s="34">
        <v>1</v>
      </c>
      <c r="D1478" s="16" t="s">
        <v>60</v>
      </c>
      <c r="E1478" s="35">
        <v>2</v>
      </c>
      <c r="F1478" s="35">
        <v>1.7</v>
      </c>
      <c r="G1478" s="16" t="s">
        <v>44</v>
      </c>
      <c r="H1478" s="16" t="s">
        <v>45</v>
      </c>
      <c r="I1478" s="16">
        <f>COUNTIF(G$5:G1478,"Y")/COUNTA(G$5:G1478)</f>
        <v>0.87788331071913162</v>
      </c>
      <c r="J1478" s="16">
        <f>COUNTIF(H$5:H1478,"Y")/COUNTA(H$5:H1478)</f>
        <v>4.9525101763907731E-2</v>
      </c>
      <c r="K1478" s="16">
        <f>AVERAGE(F$5:F1478)</f>
        <v>2.2291044776119402</v>
      </c>
      <c r="L1478" s="16">
        <f>SUM(F$5:F1478)/SUM(E$5:E1478)</f>
        <v>0.75994541585715691</v>
      </c>
    </row>
    <row r="1479" spans="1:12" x14ac:dyDescent="0.25">
      <c r="A1479" s="29">
        <v>45867</v>
      </c>
      <c r="B1479" s="16" t="s">
        <v>1525</v>
      </c>
      <c r="C1479" s="34">
        <v>1</v>
      </c>
      <c r="D1479" s="16" t="s">
        <v>60</v>
      </c>
      <c r="E1479" s="35">
        <v>5.8</v>
      </c>
      <c r="F1479" s="35">
        <v>4.4000000000000004</v>
      </c>
      <c r="G1479" s="16" t="s">
        <v>44</v>
      </c>
      <c r="H1479" s="16" t="s">
        <v>45</v>
      </c>
      <c r="I1479" s="16">
        <f>COUNTIF(G$5:G1479,"Y")/COUNTA(G$5:G1479)</f>
        <v>0.87796610169491529</v>
      </c>
      <c r="J1479" s="16">
        <f>COUNTIF(H$5:H1479,"Y")/COUNTA(H$5:H1479)</f>
        <v>4.949152542372881E-2</v>
      </c>
      <c r="K1479" s="16">
        <f>AVERAGE(F$5:F1479)</f>
        <v>2.2305762711864405</v>
      </c>
      <c r="L1479" s="16">
        <f>SUM(F$5:F1479)/SUM(E$5:E1479)</f>
        <v>0.75994364115119961</v>
      </c>
    </row>
    <row r="1480" spans="1:12" x14ac:dyDescent="0.25">
      <c r="A1480" s="29">
        <v>45868</v>
      </c>
      <c r="B1480" s="16" t="s">
        <v>1526</v>
      </c>
      <c r="C1480" s="34">
        <v>1</v>
      </c>
      <c r="D1480" s="16" t="s">
        <v>47</v>
      </c>
      <c r="E1480" s="35">
        <v>2.2999999999999998</v>
      </c>
      <c r="F1480" s="35">
        <v>1.8</v>
      </c>
      <c r="G1480" s="16" t="s">
        <v>44</v>
      </c>
      <c r="H1480" s="16" t="s">
        <v>45</v>
      </c>
      <c r="I1480" s="16">
        <f>COUNTIF(G$5:G1480,"Y")/COUNTA(G$5:G1480)</f>
        <v>0.87804878048780488</v>
      </c>
      <c r="J1480" s="16">
        <f>COUNTIF(H$5:H1480,"Y")/COUNTA(H$5:H1480)</f>
        <v>4.9457994579945798E-2</v>
      </c>
      <c r="K1480" s="16">
        <f>AVERAGE(F$5:F1480)</f>
        <v>2.2302845528455286</v>
      </c>
      <c r="L1480" s="16">
        <f>SUM(F$5:F1480)/SUM(E$5:E1480)</f>
        <v>0.75995567560080424</v>
      </c>
    </row>
    <row r="1481" spans="1:12" x14ac:dyDescent="0.25">
      <c r="A1481" s="29">
        <v>45869</v>
      </c>
      <c r="B1481" s="16" t="s">
        <v>1527</v>
      </c>
      <c r="C1481" s="34">
        <v>1</v>
      </c>
      <c r="D1481" s="16" t="s">
        <v>56</v>
      </c>
      <c r="E1481" s="35">
        <v>2.1</v>
      </c>
      <c r="F1481" s="35">
        <v>1.8</v>
      </c>
      <c r="G1481" s="16" t="s">
        <v>44</v>
      </c>
      <c r="H1481" s="16" t="s">
        <v>45</v>
      </c>
      <c r="I1481" s="16">
        <f>COUNTIF(G$5:G1481,"Y")/COUNTA(G$5:G1481)</f>
        <v>0.87813134732566012</v>
      </c>
      <c r="J1481" s="16">
        <f>COUNTIF(H$5:H1481,"Y")/COUNTA(H$5:H1481)</f>
        <v>4.9424509140148953E-2</v>
      </c>
      <c r="K1481" s="16">
        <f>AVERAGE(F$5:F1481)</f>
        <v>2.2299932295192959</v>
      </c>
      <c r="L1481" s="16">
        <f>SUM(F$5:F1481)/SUM(E$5:E1481)</f>
        <v>0.76000276893257734</v>
      </c>
    </row>
    <row r="1482" spans="1:12" x14ac:dyDescent="0.25">
      <c r="A1482" s="29">
        <v>45870</v>
      </c>
      <c r="B1482" s="16" t="s">
        <v>1528</v>
      </c>
      <c r="C1482" s="34">
        <v>1</v>
      </c>
      <c r="D1482" s="16" t="s">
        <v>56</v>
      </c>
      <c r="E1482" s="35">
        <v>5.0999999999999996</v>
      </c>
      <c r="F1482" s="35">
        <v>3.6</v>
      </c>
      <c r="G1482" s="16" t="s">
        <v>44</v>
      </c>
      <c r="H1482" s="16" t="s">
        <v>45</v>
      </c>
      <c r="I1482" s="16">
        <f>COUNTIF(G$5:G1482,"Y")/COUNTA(G$5:G1482)</f>
        <v>0.878213802435724</v>
      </c>
      <c r="J1482" s="16">
        <f>COUNTIF(H$5:H1482,"Y")/COUNTA(H$5:H1482)</f>
        <v>4.9391069012178622E-2</v>
      </c>
      <c r="K1482" s="16">
        <f>AVERAGE(F$5:F1482)</f>
        <v>2.2309201623815968</v>
      </c>
      <c r="L1482" s="16">
        <f>SUM(F$5:F1482)/SUM(E$5:E1482)</f>
        <v>0.759939155085391</v>
      </c>
    </row>
    <row r="1483" spans="1:12" x14ac:dyDescent="0.25">
      <c r="A1483" s="29">
        <v>45866</v>
      </c>
      <c r="B1483" s="16" t="s">
        <v>1529</v>
      </c>
      <c r="C1483" s="34">
        <v>1</v>
      </c>
      <c r="D1483" s="16" t="s">
        <v>50</v>
      </c>
      <c r="E1483" s="35">
        <v>3.3</v>
      </c>
      <c r="F1483" s="35">
        <v>2.9</v>
      </c>
      <c r="G1483" s="16" t="s">
        <v>44</v>
      </c>
      <c r="H1483" s="16" t="s">
        <v>44</v>
      </c>
      <c r="I1483" s="16">
        <f>COUNTIF(G$5:G1483,"Y")/COUNTA(G$5:G1483)</f>
        <v>0.87829614604462469</v>
      </c>
      <c r="J1483" s="16">
        <f>COUNTIF(H$5:H1483,"Y")/COUNTA(H$5:H1483)</f>
        <v>5.0033806626098715E-2</v>
      </c>
      <c r="K1483" s="16">
        <f>AVERAGE(F$5:F1483)</f>
        <v>2.2313725490196079</v>
      </c>
      <c r="L1483" s="16">
        <f>SUM(F$5:F1483)/SUM(E$5:E1483)</f>
        <v>0.76002947814471999</v>
      </c>
    </row>
    <row r="1484" spans="1:12" x14ac:dyDescent="0.25">
      <c r="A1484" s="29">
        <v>45867</v>
      </c>
      <c r="B1484" s="16" t="s">
        <v>1530</v>
      </c>
      <c r="C1484" s="34">
        <v>1</v>
      </c>
      <c r="D1484" s="16" t="s">
        <v>43</v>
      </c>
      <c r="E1484" s="35">
        <v>0.7</v>
      </c>
      <c r="F1484" s="35">
        <v>0.5</v>
      </c>
      <c r="G1484" s="16" t="s">
        <v>44</v>
      </c>
      <c r="H1484" s="16" t="s">
        <v>45</v>
      </c>
      <c r="I1484" s="16">
        <f>COUNTIF(G$5:G1484,"Y")/COUNTA(G$5:G1484)</f>
        <v>0.8783783783783784</v>
      </c>
      <c r="J1484" s="16">
        <f>COUNTIF(H$5:H1484,"Y")/COUNTA(H$5:H1484)</f>
        <v>0.05</v>
      </c>
      <c r="K1484" s="16">
        <f>AVERAGE(F$5:F1484)</f>
        <v>2.2302027027027029</v>
      </c>
      <c r="L1484" s="16">
        <f>SUM(F$5:F1484)/SUM(E$5:E1484)</f>
        <v>0.76002210504501677</v>
      </c>
    </row>
    <row r="1485" spans="1:12" x14ac:dyDescent="0.25">
      <c r="A1485" s="29">
        <v>45868</v>
      </c>
      <c r="B1485" s="16" t="s">
        <v>1531</v>
      </c>
      <c r="C1485" s="34">
        <v>1</v>
      </c>
      <c r="D1485" s="16" t="s">
        <v>52</v>
      </c>
      <c r="E1485" s="35">
        <v>0.6</v>
      </c>
      <c r="F1485" s="35">
        <v>0.5</v>
      </c>
      <c r="G1485" s="16" t="s">
        <v>44</v>
      </c>
      <c r="H1485" s="16" t="s">
        <v>45</v>
      </c>
      <c r="I1485" s="16">
        <f>COUNTIF(G$5:G1485,"Y")/COUNTA(G$5:G1485)</f>
        <v>0.87846049966239026</v>
      </c>
      <c r="J1485" s="16">
        <f>COUNTIF(H$5:H1485,"Y")/COUNTA(H$5:H1485)</f>
        <v>4.9966239027683997E-2</v>
      </c>
      <c r="K1485" s="16">
        <f>AVERAGE(F$5:F1485)</f>
        <v>2.2290344361917627</v>
      </c>
      <c r="L1485" s="16">
        <f>SUM(F$5:F1485)/SUM(E$5:E1485)</f>
        <v>0.76003223207091131</v>
      </c>
    </row>
    <row r="1486" spans="1:12" x14ac:dyDescent="0.25">
      <c r="A1486" s="29">
        <v>45869</v>
      </c>
      <c r="B1486" s="16" t="s">
        <v>1532</v>
      </c>
      <c r="C1486" s="34">
        <v>1</v>
      </c>
      <c r="D1486" s="16" t="s">
        <v>60</v>
      </c>
      <c r="E1486" s="35">
        <v>0.6</v>
      </c>
      <c r="F1486" s="35">
        <v>0.5</v>
      </c>
      <c r="G1486" s="16" t="s">
        <v>44</v>
      </c>
      <c r="H1486" s="16" t="s">
        <v>45</v>
      </c>
      <c r="I1486" s="16">
        <f>COUNTIF(G$5:G1486,"Y")/COUNTA(G$5:G1486)</f>
        <v>0.87854251012145745</v>
      </c>
      <c r="J1486" s="16">
        <f>COUNTIF(H$5:H1486,"Y")/COUNTA(H$5:H1486)</f>
        <v>4.9932523616734142E-2</v>
      </c>
      <c r="K1486" s="16">
        <f>AVERAGE(F$5:F1486)</f>
        <v>2.227867746288799</v>
      </c>
      <c r="L1486" s="16">
        <f>SUM(F$5:F1486)/SUM(E$5:E1486)</f>
        <v>0.76004235629934913</v>
      </c>
    </row>
    <row r="1487" spans="1:12" x14ac:dyDescent="0.25">
      <c r="A1487" s="29">
        <v>45870</v>
      </c>
      <c r="B1487" s="16" t="s">
        <v>1533</v>
      </c>
      <c r="C1487" s="34">
        <v>1</v>
      </c>
      <c r="D1487" s="16" t="s">
        <v>50</v>
      </c>
      <c r="E1487" s="35">
        <v>0.7</v>
      </c>
      <c r="F1487" s="35">
        <v>0.5</v>
      </c>
      <c r="G1487" s="16" t="s">
        <v>44</v>
      </c>
      <c r="H1487" s="16" t="s">
        <v>45</v>
      </c>
      <c r="I1487" s="16">
        <f>COUNTIF(G$5:G1487,"Y")/COUNTA(G$5:G1487)</f>
        <v>0.87862440997977076</v>
      </c>
      <c r="J1487" s="16">
        <f>COUNTIF(H$5:H1487,"Y")/COUNTA(H$5:H1487)</f>
        <v>4.9898853674983146E-2</v>
      </c>
      <c r="K1487" s="16">
        <f>AVERAGE(F$5:F1487)</f>
        <v>2.2267026298044508</v>
      </c>
      <c r="L1487" s="16">
        <f>SUM(F$5:F1487)/SUM(E$5:E1487)</f>
        <v>0.76003498434910766</v>
      </c>
    </row>
    <row r="1488" spans="1:12" x14ac:dyDescent="0.25">
      <c r="A1488" s="29">
        <v>45866</v>
      </c>
      <c r="B1488" s="16" t="s">
        <v>1534</v>
      </c>
      <c r="C1488" s="34">
        <v>1</v>
      </c>
      <c r="D1488" s="16" t="s">
        <v>47</v>
      </c>
      <c r="E1488" s="35">
        <v>0.6</v>
      </c>
      <c r="F1488" s="35">
        <v>0.5</v>
      </c>
      <c r="G1488" s="16" t="s">
        <v>45</v>
      </c>
      <c r="H1488" s="16" t="s">
        <v>45</v>
      </c>
      <c r="I1488" s="16">
        <f>COUNTIF(G$5:G1488,"Y")/COUNTA(G$5:G1488)</f>
        <v>0.87803234501347704</v>
      </c>
      <c r="J1488" s="16">
        <f>COUNTIF(H$5:H1488,"Y")/COUNTA(H$5:H1488)</f>
        <v>4.9865229110512131E-2</v>
      </c>
      <c r="K1488" s="16">
        <f>AVERAGE(F$5:F1488)</f>
        <v>2.2255390835579516</v>
      </c>
      <c r="L1488" s="16">
        <f>SUM(F$5:F1488)/SUM(E$5:E1488)</f>
        <v>0.76004510516868473</v>
      </c>
    </row>
    <row r="1489" spans="1:13" x14ac:dyDescent="0.25">
      <c r="A1489" s="29">
        <v>45867</v>
      </c>
      <c r="B1489" s="16" t="s">
        <v>1535</v>
      </c>
      <c r="C1489" s="34">
        <v>1</v>
      </c>
      <c r="D1489" s="16" t="s">
        <v>60</v>
      </c>
      <c r="E1489" s="35">
        <v>1.3</v>
      </c>
      <c r="F1489" s="35">
        <v>0.5</v>
      </c>
      <c r="G1489" s="16" t="s">
        <v>44</v>
      </c>
      <c r="H1489" s="16" t="s">
        <v>45</v>
      </c>
      <c r="I1489" s="16">
        <f>COUNTIF(G$5:G1489,"Y")/COUNTA(G$5:G1489)</f>
        <v>0.87811447811447807</v>
      </c>
      <c r="J1489" s="16">
        <f>COUNTIF(H$5:H1489,"Y")/COUNTA(H$5:H1489)</f>
        <v>4.9831649831649831E-2</v>
      </c>
      <c r="K1489" s="16">
        <f>AVERAGE(F$5:F1489)</f>
        <v>2.2243771043771043</v>
      </c>
      <c r="L1489" s="16">
        <f>SUM(F$5:F1489)/SUM(E$5:E1489)</f>
        <v>0.75993282260105421</v>
      </c>
      <c r="M1489" s="16">
        <v>14</v>
      </c>
    </row>
    <row r="1490" spans="1:13" x14ac:dyDescent="0.25">
      <c r="A1490" s="29">
        <v>45873</v>
      </c>
      <c r="B1490" s="16" t="s">
        <v>1536</v>
      </c>
      <c r="C1490" s="34">
        <v>1</v>
      </c>
      <c r="D1490" s="16" t="s">
        <v>43</v>
      </c>
      <c r="E1490" s="35">
        <v>3.3</v>
      </c>
      <c r="F1490" s="35">
        <v>3</v>
      </c>
      <c r="G1490" s="16" t="s">
        <v>44</v>
      </c>
      <c r="H1490" s="16" t="s">
        <v>45</v>
      </c>
      <c r="I1490" s="16">
        <f>COUNTIF(G$5:G1490,"Y")/COUNTA(G$5:G1490)</f>
        <v>0.87819650067294752</v>
      </c>
      <c r="J1490" s="16">
        <f>COUNTIF(H$5:H1490,"Y")/COUNTA(H$5:H1490)</f>
        <v>4.9798115746971738E-2</v>
      </c>
      <c r="K1490" s="16">
        <f>AVERAGE(F$5:F1490)</f>
        <v>2.2248990578734862</v>
      </c>
      <c r="L1490" s="16">
        <f>SUM(F$5:F1490)/SUM(E$5:E1490)</f>
        <v>0.76004597701149479</v>
      </c>
    </row>
    <row r="1491" spans="1:13" x14ac:dyDescent="0.25">
      <c r="A1491" s="29">
        <v>45874</v>
      </c>
      <c r="B1491" s="16" t="s">
        <v>1537</v>
      </c>
      <c r="C1491" s="34">
        <v>1</v>
      </c>
      <c r="D1491" s="16" t="s">
        <v>64</v>
      </c>
      <c r="E1491" s="35">
        <v>3</v>
      </c>
      <c r="F1491" s="35">
        <v>2.1</v>
      </c>
      <c r="G1491" s="16" t="s">
        <v>44</v>
      </c>
      <c r="H1491" s="16" t="s">
        <v>45</v>
      </c>
      <c r="I1491" s="16">
        <f>COUNTIF(G$5:G1491,"Y")/COUNTA(G$5:G1491)</f>
        <v>0.87827841291190312</v>
      </c>
      <c r="J1491" s="16">
        <f>COUNTIF(H$5:H1491,"Y")/COUNTA(H$5:H1491)</f>
        <v>4.9764626765299261E-2</v>
      </c>
      <c r="K1491" s="16">
        <f>AVERAGE(F$5:F1491)</f>
        <v>2.224815063887021</v>
      </c>
      <c r="L1491" s="16">
        <f>SUM(F$5:F1491)/SUM(E$5:E1491)</f>
        <v>0.76000459453250679</v>
      </c>
    </row>
    <row r="1492" spans="1:13" x14ac:dyDescent="0.25">
      <c r="A1492" s="29">
        <v>45875</v>
      </c>
      <c r="B1492" s="16" t="s">
        <v>1538</v>
      </c>
      <c r="C1492" s="34">
        <v>1</v>
      </c>
      <c r="D1492" s="16" t="s">
        <v>47</v>
      </c>
      <c r="E1492" s="35">
        <v>2.7</v>
      </c>
      <c r="F1492" s="35">
        <v>2.1</v>
      </c>
      <c r="G1492" s="16" t="s">
        <v>44</v>
      </c>
      <c r="H1492" s="16" t="s">
        <v>45</v>
      </c>
      <c r="I1492" s="16">
        <f>COUNTIF(G$5:G1492,"Y")/COUNTA(G$5:G1492)</f>
        <v>0.87836021505376349</v>
      </c>
      <c r="J1492" s="16">
        <f>COUNTIF(H$5:H1492,"Y")/COUNTA(H$5:H1492)</f>
        <v>4.9731182795698922E-2</v>
      </c>
      <c r="K1492" s="16">
        <f>AVERAGE(F$5:F1492)</f>
        <v>2.2247311827956988</v>
      </c>
      <c r="L1492" s="16">
        <f>SUM(F$5:F1492)/SUM(E$5:E1492)</f>
        <v>0.76001561172716259</v>
      </c>
    </row>
    <row r="1493" spans="1:13" x14ac:dyDescent="0.25">
      <c r="A1493" s="29">
        <v>45876</v>
      </c>
      <c r="B1493" s="16" t="s">
        <v>1539</v>
      </c>
      <c r="C1493" s="34">
        <v>1</v>
      </c>
      <c r="D1493" s="16" t="s">
        <v>56</v>
      </c>
      <c r="E1493" s="35">
        <v>3.8</v>
      </c>
      <c r="F1493" s="35">
        <v>2.8</v>
      </c>
      <c r="G1493" s="16" t="s">
        <v>44</v>
      </c>
      <c r="H1493" s="16" t="s">
        <v>45</v>
      </c>
      <c r="I1493" s="16">
        <f>COUNTIF(G$5:G1493,"Y")/COUNTA(G$5:G1493)</f>
        <v>0.87844190732034921</v>
      </c>
      <c r="J1493" s="16">
        <f>COUNTIF(H$5:H1493,"Y")/COUNTA(H$5:H1493)</f>
        <v>4.969778374748153E-2</v>
      </c>
      <c r="K1493" s="16">
        <f>AVERAGE(F$5:F1493)</f>
        <v>2.2251175285426461</v>
      </c>
      <c r="L1493" s="16">
        <f>SUM(F$5:F1493)/SUM(E$5:E1493)</f>
        <v>0.75999541231792689</v>
      </c>
    </row>
    <row r="1494" spans="1:13" x14ac:dyDescent="0.25">
      <c r="A1494" s="29">
        <v>45877</v>
      </c>
      <c r="B1494" s="16" t="s">
        <v>1540</v>
      </c>
      <c r="C1494" s="34">
        <v>1</v>
      </c>
      <c r="D1494" s="16" t="s">
        <v>52</v>
      </c>
      <c r="E1494" s="35">
        <v>1.6</v>
      </c>
      <c r="F1494" s="35">
        <v>1.4</v>
      </c>
      <c r="G1494" s="16" t="s">
        <v>44</v>
      </c>
      <c r="H1494" s="16" t="s">
        <v>45</v>
      </c>
      <c r="I1494" s="16">
        <f>COUNTIF(G$5:G1494,"Y")/COUNTA(G$5:G1494)</f>
        <v>0.87852348993288587</v>
      </c>
      <c r="J1494" s="16">
        <f>COUNTIF(H$5:H1494,"Y")/COUNTA(H$5:H1494)</f>
        <v>4.9664429530201344E-2</v>
      </c>
      <c r="K1494" s="16">
        <f>AVERAGE(F$5:F1494)</f>
        <v>2.2245637583892619</v>
      </c>
      <c r="L1494" s="16">
        <f>SUM(F$5:F1494)/SUM(E$5:E1494)</f>
        <v>0.76003760519135133</v>
      </c>
    </row>
    <row r="1495" spans="1:13" x14ac:dyDescent="0.25">
      <c r="A1495" s="29">
        <v>45873</v>
      </c>
      <c r="B1495" s="16" t="s">
        <v>1541</v>
      </c>
      <c r="C1495" s="34">
        <v>1</v>
      </c>
      <c r="D1495" s="16" t="s">
        <v>50</v>
      </c>
      <c r="E1495" s="35">
        <v>2.5</v>
      </c>
      <c r="F1495" s="35">
        <v>2</v>
      </c>
      <c r="G1495" s="16" t="s">
        <v>44</v>
      </c>
      <c r="H1495" s="16" t="s">
        <v>45</v>
      </c>
      <c r="I1495" s="16">
        <f>COUNTIF(G$5:G1495,"Y")/COUNTA(G$5:G1495)</f>
        <v>0.87860496311200531</v>
      </c>
      <c r="J1495" s="16">
        <f>COUNTIF(H$5:H1495,"Y")/COUNTA(H$5:H1495)</f>
        <v>4.9631120053655262E-2</v>
      </c>
      <c r="K1495" s="16">
        <f>AVERAGE(F$5:F1495)</f>
        <v>2.2244131455399065</v>
      </c>
      <c r="L1495" s="16">
        <f>SUM(F$5:F1495)/SUM(E$5:E1495)</f>
        <v>0.7600605005041714</v>
      </c>
    </row>
    <row r="1496" spans="1:13" x14ac:dyDescent="0.25">
      <c r="A1496" s="29">
        <v>45874</v>
      </c>
      <c r="B1496" s="16" t="s">
        <v>1542</v>
      </c>
      <c r="C1496" s="34">
        <v>1</v>
      </c>
      <c r="D1496" s="16" t="s">
        <v>43</v>
      </c>
      <c r="E1496" s="35">
        <v>1.5</v>
      </c>
      <c r="F1496" s="35">
        <v>1.1000000000000001</v>
      </c>
      <c r="G1496" s="16" t="s">
        <v>44</v>
      </c>
      <c r="H1496" s="16" t="s">
        <v>45</v>
      </c>
      <c r="I1496" s="16">
        <f>COUNTIF(G$5:G1496,"Y")/COUNTA(G$5:G1496)</f>
        <v>0.87868632707774796</v>
      </c>
      <c r="J1496" s="16">
        <f>COUNTIF(H$5:H1496,"Y")/COUNTA(H$5:H1496)</f>
        <v>4.9597855227882036E-2</v>
      </c>
      <c r="K1496" s="16">
        <f>AVERAGE(F$5:F1496)</f>
        <v>2.2236595174262734</v>
      </c>
      <c r="L1496" s="16">
        <f>SUM(F$5:F1496)/SUM(E$5:E1496)</f>
        <v>0.76005131612105159</v>
      </c>
    </row>
    <row r="1497" spans="1:13" x14ac:dyDescent="0.25">
      <c r="A1497" s="29">
        <v>45875</v>
      </c>
      <c r="B1497" s="16" t="s">
        <v>1543</v>
      </c>
      <c r="C1497" s="34">
        <v>1</v>
      </c>
      <c r="D1497" s="16" t="s">
        <v>43</v>
      </c>
      <c r="E1497" s="35">
        <v>3.8</v>
      </c>
      <c r="F1497" s="35">
        <v>3.2</v>
      </c>
      <c r="G1497" s="16" t="s">
        <v>44</v>
      </c>
      <c r="H1497" s="16" t="s">
        <v>45</v>
      </c>
      <c r="I1497" s="16">
        <f>COUNTIF(G$5:G1497,"Y")/COUNTA(G$5:G1497)</f>
        <v>0.87876758204956462</v>
      </c>
      <c r="J1497" s="16">
        <f>COUNTIF(H$5:H1497,"Y")/COUNTA(H$5:H1497)</f>
        <v>4.9564634963161422E-2</v>
      </c>
      <c r="K1497" s="16">
        <f>AVERAGE(F$5:F1497)</f>
        <v>2.2243134628265238</v>
      </c>
      <c r="L1497" s="16">
        <f>SUM(F$5:F1497)/SUM(E$5:E1497)</f>
        <v>0.76012268534413741</v>
      </c>
    </row>
    <row r="1498" spans="1:13" x14ac:dyDescent="0.25">
      <c r="A1498" s="29">
        <v>45876</v>
      </c>
      <c r="B1498" s="16" t="s">
        <v>1544</v>
      </c>
      <c r="C1498" s="34">
        <v>1</v>
      </c>
      <c r="D1498" s="16" t="s">
        <v>56</v>
      </c>
      <c r="E1498" s="35">
        <v>3.1</v>
      </c>
      <c r="F1498" s="35">
        <v>2.5</v>
      </c>
      <c r="G1498" s="16" t="s">
        <v>44</v>
      </c>
      <c r="H1498" s="16" t="s">
        <v>45</v>
      </c>
      <c r="I1498" s="16">
        <f>COUNTIF(G$5:G1498,"Y")/COUNTA(G$5:G1498)</f>
        <v>0.87884872824631866</v>
      </c>
      <c r="J1498" s="16">
        <f>COUNTIF(H$5:H1498,"Y")/COUNTA(H$5:H1498)</f>
        <v>4.9531459170013385E-2</v>
      </c>
      <c r="K1498" s="16">
        <f>AVERAGE(F$5:F1498)</f>
        <v>2.2244979919678713</v>
      </c>
      <c r="L1498" s="16">
        <f>SUM(F$5:F1498)/SUM(E$5:E1498)</f>
        <v>0.76015553522415402</v>
      </c>
    </row>
    <row r="1499" spans="1:13" x14ac:dyDescent="0.25">
      <c r="A1499" s="29">
        <v>45877</v>
      </c>
      <c r="B1499" s="16" t="s">
        <v>1545</v>
      </c>
      <c r="C1499" s="34">
        <v>1</v>
      </c>
      <c r="D1499" s="16" t="s">
        <v>60</v>
      </c>
      <c r="E1499" s="35">
        <v>1.2</v>
      </c>
      <c r="F1499" s="35">
        <v>1.1000000000000001</v>
      </c>
      <c r="G1499" s="16" t="s">
        <v>44</v>
      </c>
      <c r="H1499" s="16" t="s">
        <v>45</v>
      </c>
      <c r="I1499" s="16">
        <f>COUNTIF(G$5:G1499,"Y")/COUNTA(G$5:G1499)</f>
        <v>0.87892976588628757</v>
      </c>
      <c r="J1499" s="16">
        <f>COUNTIF(H$5:H1499,"Y")/COUNTA(H$5:H1499)</f>
        <v>4.9498327759197325E-2</v>
      </c>
      <c r="K1499" s="16">
        <f>AVERAGE(F$5:F1499)</f>
        <v>2.2237458193979931</v>
      </c>
      <c r="L1499" s="16">
        <f>SUM(F$5:F1499)/SUM(E$5:E1499)</f>
        <v>0.76019848166102655</v>
      </c>
    </row>
    <row r="1500" spans="1:13" x14ac:dyDescent="0.25">
      <c r="A1500" s="29">
        <v>45873</v>
      </c>
      <c r="B1500" s="16" t="s">
        <v>1546</v>
      </c>
      <c r="C1500" s="34">
        <v>1</v>
      </c>
      <c r="D1500" s="16" t="s">
        <v>56</v>
      </c>
      <c r="E1500" s="35">
        <v>2.4</v>
      </c>
      <c r="F1500" s="35">
        <v>1.7</v>
      </c>
      <c r="G1500" s="16" t="s">
        <v>44</v>
      </c>
      <c r="H1500" s="16" t="s">
        <v>45</v>
      </c>
      <c r="I1500" s="16">
        <f>COUNTIF(G$5:G1500,"Y")/COUNTA(G$5:G1500)</f>
        <v>0.87901069518716579</v>
      </c>
      <c r="J1500" s="16">
        <f>COUNTIF(H$5:H1500,"Y")/COUNTA(H$5:H1500)</f>
        <v>4.9465240641711233E-2</v>
      </c>
      <c r="K1500" s="16">
        <f>AVERAGE(F$5:F1500)</f>
        <v>2.2233957219251335</v>
      </c>
      <c r="L1500" s="16">
        <f>SUM(F$5:F1500)/SUM(E$5:E1500)</f>
        <v>0.76017003382393311</v>
      </c>
    </row>
    <row r="1501" spans="1:13" x14ac:dyDescent="0.25">
      <c r="A1501" s="29">
        <v>45874</v>
      </c>
      <c r="B1501" s="16" t="s">
        <v>1547</v>
      </c>
      <c r="C1501" s="34">
        <v>1</v>
      </c>
      <c r="D1501" s="16" t="s">
        <v>43</v>
      </c>
      <c r="E1501" s="35">
        <v>4</v>
      </c>
      <c r="F1501" s="35">
        <v>3.2</v>
      </c>
      <c r="G1501" s="16" t="s">
        <v>44</v>
      </c>
      <c r="H1501" s="16" t="s">
        <v>45</v>
      </c>
      <c r="I1501" s="16">
        <f>COUNTIF(G$5:G1501,"Y")/COUNTA(G$5:G1501)</f>
        <v>0.87909151636606542</v>
      </c>
      <c r="J1501" s="16">
        <f>COUNTIF(H$5:H1501,"Y")/COUNTA(H$5:H1501)</f>
        <v>4.9432197728790914E-2</v>
      </c>
      <c r="K1501" s="16">
        <f>AVERAGE(F$5:F1501)</f>
        <v>2.2240480961923845</v>
      </c>
      <c r="L1501" s="16">
        <f>SUM(F$5:F1501)/SUM(E$5:E1501)</f>
        <v>0.76020641154443358</v>
      </c>
    </row>
    <row r="1502" spans="1:13" x14ac:dyDescent="0.25">
      <c r="A1502" s="29">
        <v>45875</v>
      </c>
      <c r="B1502" s="16" t="s">
        <v>1548</v>
      </c>
      <c r="C1502" s="34">
        <v>1</v>
      </c>
      <c r="D1502" s="16" t="s">
        <v>47</v>
      </c>
      <c r="E1502" s="35">
        <v>3.8</v>
      </c>
      <c r="F1502" s="35">
        <v>2.7</v>
      </c>
      <c r="G1502" s="16" t="s">
        <v>44</v>
      </c>
      <c r="H1502" s="16" t="s">
        <v>45</v>
      </c>
      <c r="I1502" s="16">
        <f>COUNTIF(G$5:G1502,"Y")/COUNTA(G$5:G1502)</f>
        <v>0.87917222963951935</v>
      </c>
      <c r="J1502" s="16">
        <f>COUNTIF(H$5:H1502,"Y")/COUNTA(H$5:H1502)</f>
        <v>4.9399198931909215E-2</v>
      </c>
      <c r="K1502" s="16">
        <f>AVERAGE(F$5:F1502)</f>
        <v>2.2243658210947928</v>
      </c>
      <c r="L1502" s="16">
        <f>SUM(F$5:F1502)/SUM(E$5:E1502)</f>
        <v>0.76016334352329262</v>
      </c>
    </row>
    <row r="1503" spans="1:13" x14ac:dyDescent="0.25">
      <c r="A1503" s="29">
        <v>45876</v>
      </c>
      <c r="B1503" s="16" t="s">
        <v>1549</v>
      </c>
      <c r="C1503" s="34">
        <v>1</v>
      </c>
      <c r="D1503" s="16" t="s">
        <v>52</v>
      </c>
      <c r="E1503" s="35">
        <v>2.6</v>
      </c>
      <c r="F1503" s="35">
        <v>2.1</v>
      </c>
      <c r="G1503" s="16" t="s">
        <v>44</v>
      </c>
      <c r="H1503" s="16" t="s">
        <v>45</v>
      </c>
      <c r="I1503" s="16">
        <f>COUNTIF(G$5:G1503,"Y")/COUNTA(G$5:G1503)</f>
        <v>0.8792528352234823</v>
      </c>
      <c r="J1503" s="16">
        <f>COUNTIF(H$5:H1503,"Y")/COUNTA(H$5:H1503)</f>
        <v>4.9366244162775186E-2</v>
      </c>
      <c r="K1503" s="16">
        <f>AVERAGE(F$5:F1503)</f>
        <v>2.2242828552368241</v>
      </c>
      <c r="L1503" s="16">
        <f>SUM(F$5:F1503)/SUM(E$5:E1503)</f>
        <v>0.76019151846785238</v>
      </c>
    </row>
    <row r="1504" spans="1:13" x14ac:dyDescent="0.25">
      <c r="A1504" s="29">
        <v>45877</v>
      </c>
      <c r="B1504" s="16" t="s">
        <v>1550</v>
      </c>
      <c r="C1504" s="34">
        <v>1</v>
      </c>
      <c r="D1504" s="16" t="s">
        <v>50</v>
      </c>
      <c r="E1504" s="35">
        <v>3.2</v>
      </c>
      <c r="F1504" s="35">
        <v>2.8</v>
      </c>
      <c r="G1504" s="16" t="s">
        <v>44</v>
      </c>
      <c r="H1504" s="16" t="s">
        <v>45</v>
      </c>
      <c r="I1504" s="16">
        <f>COUNTIF(G$5:G1504,"Y")/COUNTA(G$5:G1504)</f>
        <v>0.8793333333333333</v>
      </c>
      <c r="J1504" s="16">
        <f>COUNTIF(H$5:H1504,"Y")/COUNTA(H$5:H1504)</f>
        <v>4.9333333333333333E-2</v>
      </c>
      <c r="K1504" s="16">
        <f>AVERAGE(F$5:F1504)</f>
        <v>2.2246666666666663</v>
      </c>
      <c r="L1504" s="16">
        <f>SUM(F$5:F1504)/SUM(E$5:E1504)</f>
        <v>0.76027522099699285</v>
      </c>
    </row>
    <row r="1505" spans="1:12" x14ac:dyDescent="0.25">
      <c r="A1505" s="29">
        <v>45873</v>
      </c>
      <c r="B1505" s="16" t="s">
        <v>1551</v>
      </c>
      <c r="C1505" s="34">
        <v>1</v>
      </c>
      <c r="D1505" s="16" t="s">
        <v>47</v>
      </c>
      <c r="E1505" s="35">
        <v>1.5</v>
      </c>
      <c r="F1505" s="35">
        <v>1.3</v>
      </c>
      <c r="G1505" s="16" t="s">
        <v>44</v>
      </c>
      <c r="H1505" s="16" t="s">
        <v>45</v>
      </c>
      <c r="I1505" s="16">
        <f>COUNTIF(G$5:G1505,"Y")/COUNTA(G$5:G1505)</f>
        <v>0.87941372418387742</v>
      </c>
      <c r="J1505" s="16">
        <f>COUNTIF(H$5:H1505,"Y")/COUNTA(H$5:H1505)</f>
        <v>4.9300466355762823E-2</v>
      </c>
      <c r="K1505" s="16">
        <f>AVERAGE(F$5:F1505)</f>
        <v>2.2240506329113923</v>
      </c>
      <c r="L1505" s="16">
        <f>SUM(F$5:F1505)/SUM(E$5:E1505)</f>
        <v>0.76031156763158525</v>
      </c>
    </row>
    <row r="1506" spans="1:12" x14ac:dyDescent="0.25">
      <c r="A1506" s="29">
        <v>45874</v>
      </c>
      <c r="B1506" s="16" t="s">
        <v>1552</v>
      </c>
      <c r="C1506" s="34">
        <v>1</v>
      </c>
      <c r="D1506" s="16" t="s">
        <v>43</v>
      </c>
      <c r="E1506" s="35">
        <v>3.9</v>
      </c>
      <c r="F1506" s="35">
        <v>3.6</v>
      </c>
      <c r="G1506" s="16" t="s">
        <v>44</v>
      </c>
      <c r="H1506" s="16" t="s">
        <v>45</v>
      </c>
      <c r="I1506" s="16">
        <f>COUNTIF(G$5:G1506,"Y")/COUNTA(G$5:G1506)</f>
        <v>0.87949400798934751</v>
      </c>
      <c r="J1506" s="16">
        <f>COUNTIF(H$5:H1506,"Y")/COUNTA(H$5:H1506)</f>
        <v>4.9267643142476697E-2</v>
      </c>
      <c r="K1506" s="16">
        <f>AVERAGE(F$5:F1506)</f>
        <v>2.2249667110519304</v>
      </c>
      <c r="L1506" s="16">
        <f>SUM(F$5:F1506)/SUM(E$5:E1506)</f>
        <v>0.7604560141992448</v>
      </c>
    </row>
    <row r="1507" spans="1:12" x14ac:dyDescent="0.25">
      <c r="A1507" s="29">
        <v>45875</v>
      </c>
      <c r="B1507" s="16" t="s">
        <v>1553</v>
      </c>
      <c r="C1507" s="34">
        <v>1</v>
      </c>
      <c r="D1507" s="16" t="s">
        <v>47</v>
      </c>
      <c r="E1507" s="35">
        <v>3.7</v>
      </c>
      <c r="F1507" s="35">
        <v>2.9</v>
      </c>
      <c r="G1507" s="16" t="s">
        <v>44</v>
      </c>
      <c r="H1507" s="16" t="s">
        <v>45</v>
      </c>
      <c r="I1507" s="16">
        <f>COUNTIF(G$5:G1507,"Y")/COUNTA(G$5:G1507)</f>
        <v>0.87957418496340656</v>
      </c>
      <c r="J1507" s="16">
        <f>COUNTIF(H$5:H1507,"Y")/COUNTA(H$5:H1507)</f>
        <v>4.9234863606121095E-2</v>
      </c>
      <c r="K1507" s="16">
        <f>AVERAGE(F$5:F1507)</f>
        <v>2.2254158349966731</v>
      </c>
      <c r="L1507" s="16">
        <f>SUM(F$5:F1507)/SUM(E$5:E1507)</f>
        <v>0.7604756383148038</v>
      </c>
    </row>
    <row r="1508" spans="1:12" x14ac:dyDescent="0.25">
      <c r="A1508" s="29">
        <v>45876</v>
      </c>
      <c r="B1508" s="16" t="s">
        <v>1554</v>
      </c>
      <c r="C1508" s="34">
        <v>1</v>
      </c>
      <c r="D1508" s="16" t="s">
        <v>60</v>
      </c>
      <c r="E1508" s="35">
        <v>3.5</v>
      </c>
      <c r="F1508" s="35">
        <v>2.5</v>
      </c>
      <c r="G1508" s="16" t="s">
        <v>44</v>
      </c>
      <c r="H1508" s="16" t="s">
        <v>45</v>
      </c>
      <c r="I1508" s="16">
        <f>COUNTIF(G$5:G1508,"Y")/COUNTA(G$5:G1508)</f>
        <v>0.87965425531914898</v>
      </c>
      <c r="J1508" s="16">
        <f>COUNTIF(H$5:H1508,"Y")/COUNTA(H$5:H1508)</f>
        <v>4.920212765957447E-2</v>
      </c>
      <c r="K1508" s="16">
        <f>AVERAGE(F$5:F1508)</f>
        <v>2.2255984042553192</v>
      </c>
      <c r="L1508" s="16">
        <f>SUM(F$5:F1508)/SUM(E$5:E1508)</f>
        <v>0.7604389113544463</v>
      </c>
    </row>
    <row r="1509" spans="1:12" x14ac:dyDescent="0.25">
      <c r="A1509" s="29">
        <v>45877</v>
      </c>
      <c r="B1509" s="16" t="s">
        <v>1555</v>
      </c>
      <c r="C1509" s="34">
        <v>1</v>
      </c>
      <c r="D1509" s="16" t="s">
        <v>56</v>
      </c>
      <c r="E1509" s="35">
        <v>3.2</v>
      </c>
      <c r="F1509" s="35">
        <v>2.6</v>
      </c>
      <c r="G1509" s="16" t="s">
        <v>45</v>
      </c>
      <c r="H1509" s="16" t="s">
        <v>45</v>
      </c>
      <c r="I1509" s="16">
        <f>COUNTIF(G$5:G1509,"Y")/COUNTA(G$5:G1509)</f>
        <v>0.87906976744186049</v>
      </c>
      <c r="J1509" s="16">
        <f>COUNTIF(H$5:H1509,"Y")/COUNTA(H$5:H1509)</f>
        <v>4.9169435215946841E-2</v>
      </c>
      <c r="K1509" s="16">
        <f>AVERAGE(F$5:F1509)</f>
        <v>2.2258471760797338</v>
      </c>
      <c r="L1509" s="16">
        <f>SUM(F$5:F1509)/SUM(E$5:E1509)</f>
        <v>0.76047673098751456</v>
      </c>
    </row>
    <row r="1510" spans="1:12" x14ac:dyDescent="0.25">
      <c r="A1510" s="29">
        <v>45873</v>
      </c>
      <c r="B1510" s="16" t="s">
        <v>1556</v>
      </c>
      <c r="C1510" s="34">
        <v>1</v>
      </c>
      <c r="D1510" s="16" t="s">
        <v>43</v>
      </c>
      <c r="E1510" s="35">
        <v>3.1</v>
      </c>
      <c r="F1510" s="35">
        <v>2.8</v>
      </c>
      <c r="G1510" s="16" t="s">
        <v>44</v>
      </c>
      <c r="H1510" s="16" t="s">
        <v>45</v>
      </c>
      <c r="I1510" s="16">
        <f>COUNTIF(G$5:G1510,"Y")/COUNTA(G$5:G1510)</f>
        <v>0.87915006640106241</v>
      </c>
      <c r="J1510" s="16">
        <f>COUNTIF(H$5:H1510,"Y")/COUNTA(H$5:H1510)</f>
        <v>4.9136786188579015E-2</v>
      </c>
      <c r="K1510" s="16">
        <f>AVERAGE(F$5:F1510)</f>
        <v>2.2262284196547144</v>
      </c>
      <c r="L1510" s="16">
        <f>SUM(F$5:F1510)/SUM(E$5:E1510)</f>
        <v>0.76057711939384354</v>
      </c>
    </row>
    <row r="1511" spans="1:12" x14ac:dyDescent="0.25">
      <c r="A1511" s="29">
        <v>45874</v>
      </c>
      <c r="B1511" s="16" t="s">
        <v>1557</v>
      </c>
      <c r="C1511" s="34">
        <v>1</v>
      </c>
      <c r="D1511" s="16" t="s">
        <v>52</v>
      </c>
      <c r="E1511" s="35">
        <v>2.9</v>
      </c>
      <c r="F1511" s="35">
        <v>2.2999999999999998</v>
      </c>
      <c r="G1511" s="16" t="s">
        <v>44</v>
      </c>
      <c r="H1511" s="16" t="s">
        <v>45</v>
      </c>
      <c r="I1511" s="16">
        <f>COUNTIF(G$5:G1511,"Y")/COUNTA(G$5:G1511)</f>
        <v>0.87923025879230254</v>
      </c>
      <c r="J1511" s="16">
        <f>COUNTIF(H$5:H1511,"Y")/COUNTA(H$5:H1511)</f>
        <v>4.9104180491041802E-2</v>
      </c>
      <c r="K1511" s="16">
        <f>AVERAGE(F$5:F1511)</f>
        <v>2.2262773722627736</v>
      </c>
      <c r="L1511" s="16">
        <f>SUM(F$5:F1511)/SUM(E$5:E1511)</f>
        <v>0.76059850374064886</v>
      </c>
    </row>
    <row r="1512" spans="1:12" x14ac:dyDescent="0.25">
      <c r="A1512" s="29">
        <v>45875</v>
      </c>
      <c r="B1512" s="16" t="s">
        <v>1558</v>
      </c>
      <c r="C1512" s="34">
        <v>1</v>
      </c>
      <c r="D1512" s="16" t="s">
        <v>50</v>
      </c>
      <c r="E1512" s="35">
        <v>3.6</v>
      </c>
      <c r="F1512" s="35">
        <v>3.2</v>
      </c>
      <c r="G1512" s="16" t="s">
        <v>44</v>
      </c>
      <c r="H1512" s="16" t="s">
        <v>45</v>
      </c>
      <c r="I1512" s="16">
        <f>COUNTIF(G$5:G1512,"Y")/COUNTA(G$5:G1512)</f>
        <v>0.87931034482758619</v>
      </c>
      <c r="J1512" s="16">
        <f>COUNTIF(H$5:H1512,"Y")/COUNTA(H$5:H1512)</f>
        <v>4.9071618037135278E-2</v>
      </c>
      <c r="K1512" s="16">
        <f>AVERAGE(F$5:F1512)</f>
        <v>2.226923076923077</v>
      </c>
      <c r="L1512" s="16">
        <f>SUM(F$5:F1512)/SUM(E$5:E1512)</f>
        <v>0.76070312146060837</v>
      </c>
    </row>
    <row r="1513" spans="1:12" x14ac:dyDescent="0.25">
      <c r="A1513" s="29">
        <v>45876</v>
      </c>
      <c r="B1513" s="16" t="s">
        <v>1559</v>
      </c>
      <c r="C1513" s="34">
        <v>1</v>
      </c>
      <c r="D1513" s="16" t="s">
        <v>64</v>
      </c>
      <c r="E1513" s="35">
        <v>1.4</v>
      </c>
      <c r="F1513" s="35">
        <v>1.2</v>
      </c>
      <c r="G1513" s="16" t="s">
        <v>45</v>
      </c>
      <c r="H1513" s="16" t="s">
        <v>45</v>
      </c>
      <c r="I1513" s="16">
        <f>COUNTIF(G$5:G1513,"Y")/COUNTA(G$5:G1513)</f>
        <v>0.87872763419483102</v>
      </c>
      <c r="J1513" s="16">
        <f>COUNTIF(H$5:H1513,"Y")/COUNTA(H$5:H1513)</f>
        <v>4.9039098740888007E-2</v>
      </c>
      <c r="K1513" s="16">
        <f>AVERAGE(F$5:F1513)</f>
        <v>2.2262425447316101</v>
      </c>
      <c r="L1513" s="16">
        <f>SUM(F$5:F1513)/SUM(E$5:E1513)</f>
        <v>0.7607336956521743</v>
      </c>
    </row>
    <row r="1514" spans="1:12" x14ac:dyDescent="0.25">
      <c r="A1514" s="29">
        <v>45877</v>
      </c>
      <c r="B1514" s="16" t="s">
        <v>1560</v>
      </c>
      <c r="C1514" s="34">
        <v>1</v>
      </c>
      <c r="D1514" s="16" t="s">
        <v>50</v>
      </c>
      <c r="E1514" s="35">
        <v>3.7</v>
      </c>
      <c r="F1514" s="35">
        <v>3.3</v>
      </c>
      <c r="G1514" s="16" t="s">
        <v>44</v>
      </c>
      <c r="H1514" s="16" t="s">
        <v>45</v>
      </c>
      <c r="I1514" s="16">
        <f>COUNTIF(G$5:G1514,"Y")/COUNTA(G$5:G1514)</f>
        <v>0.87880794701986753</v>
      </c>
      <c r="J1514" s="16">
        <f>COUNTIF(H$5:H1514,"Y")/COUNTA(H$5:H1514)</f>
        <v>4.900662251655629E-2</v>
      </c>
      <c r="K1514" s="16">
        <f>AVERAGE(F$5:F1514)</f>
        <v>2.2269536423841059</v>
      </c>
      <c r="L1514" s="16">
        <f>SUM(F$5:F1514)/SUM(E$5:E1514)</f>
        <v>0.76084349616489855</v>
      </c>
    </row>
    <row r="1515" spans="1:12" x14ac:dyDescent="0.25">
      <c r="A1515" s="29">
        <v>45873</v>
      </c>
      <c r="B1515" s="16" t="s">
        <v>1561</v>
      </c>
      <c r="C1515" s="34">
        <v>1</v>
      </c>
      <c r="D1515" s="16" t="s">
        <v>60</v>
      </c>
      <c r="E1515" s="35">
        <v>1.6</v>
      </c>
      <c r="F1515" s="35">
        <v>1.4</v>
      </c>
      <c r="G1515" s="16" t="s">
        <v>44</v>
      </c>
      <c r="H1515" s="16" t="s">
        <v>45</v>
      </c>
      <c r="I1515" s="16">
        <f>COUNTIF(G$5:G1515,"Y")/COUNTA(G$5:G1515)</f>
        <v>0.87888815354070149</v>
      </c>
      <c r="J1515" s="16">
        <f>COUNTIF(H$5:H1515,"Y")/COUNTA(H$5:H1515)</f>
        <v>4.8974189278623431E-2</v>
      </c>
      <c r="K1515" s="16">
        <f>AVERAGE(F$5:F1515)</f>
        <v>2.2264063534083389</v>
      </c>
      <c r="L1515" s="16">
        <f>SUM(F$5:F1515)/SUM(E$5:E1515)</f>
        <v>0.7608848076357636</v>
      </c>
    </row>
    <row r="1516" spans="1:12" x14ac:dyDescent="0.25">
      <c r="A1516" s="29">
        <v>45874</v>
      </c>
      <c r="B1516" s="16" t="s">
        <v>1562</v>
      </c>
      <c r="C1516" s="34">
        <v>1</v>
      </c>
      <c r="D1516" s="16" t="s">
        <v>64</v>
      </c>
      <c r="E1516" s="35">
        <v>2.9</v>
      </c>
      <c r="F1516" s="35">
        <v>2.1</v>
      </c>
      <c r="G1516" s="16" t="s">
        <v>45</v>
      </c>
      <c r="H1516" s="16" t="s">
        <v>45</v>
      </c>
      <c r="I1516" s="16">
        <f>COUNTIF(G$5:G1516,"Y")/COUNTA(G$5:G1516)</f>
        <v>0.87830687830687826</v>
      </c>
      <c r="J1516" s="16">
        <f>COUNTIF(H$5:H1516,"Y")/COUNTA(H$5:H1516)</f>
        <v>4.8941798941798939E-2</v>
      </c>
      <c r="K1516" s="16">
        <f>AVERAGE(F$5:F1516)</f>
        <v>2.2263227513227513</v>
      </c>
      <c r="L1516" s="16">
        <f>SUM(F$5:F1516)/SUM(E$5:E1516)</f>
        <v>0.76086072058225263</v>
      </c>
    </row>
    <row r="1517" spans="1:12" x14ac:dyDescent="0.25">
      <c r="A1517" s="29">
        <v>45875</v>
      </c>
      <c r="B1517" s="16" t="s">
        <v>1563</v>
      </c>
      <c r="C1517" s="34">
        <v>1</v>
      </c>
      <c r="D1517" s="16" t="s">
        <v>47</v>
      </c>
      <c r="E1517" s="35">
        <v>2.2000000000000002</v>
      </c>
      <c r="F1517" s="35">
        <v>1.9</v>
      </c>
      <c r="G1517" s="16" t="s">
        <v>44</v>
      </c>
      <c r="H1517" s="16" t="s">
        <v>45</v>
      </c>
      <c r="I1517" s="16">
        <f>COUNTIF(G$5:G1517,"Y")/COUNTA(G$5:G1517)</f>
        <v>0.87838730998017189</v>
      </c>
      <c r="J1517" s="16">
        <f>COUNTIF(H$5:H1517,"Y")/COUNTA(H$5:H1517)</f>
        <v>4.8909451421017845E-2</v>
      </c>
      <c r="K1517" s="16">
        <f>AVERAGE(F$5:F1517)</f>
        <v>2.2261070720423</v>
      </c>
      <c r="L1517" s="16">
        <f>SUM(F$5:F1517)/SUM(E$5:E1517)</f>
        <v>0.76091180191577856</v>
      </c>
    </row>
    <row r="1518" spans="1:12" x14ac:dyDescent="0.25">
      <c r="A1518" s="29">
        <v>45876</v>
      </c>
      <c r="B1518" s="16" t="s">
        <v>1564</v>
      </c>
      <c r="C1518" s="34">
        <v>1</v>
      </c>
      <c r="D1518" s="16" t="s">
        <v>47</v>
      </c>
      <c r="E1518" s="35">
        <v>3.4</v>
      </c>
      <c r="F1518" s="35">
        <v>2.4</v>
      </c>
      <c r="G1518" s="16" t="s">
        <v>44</v>
      </c>
      <c r="H1518" s="16" t="s">
        <v>45</v>
      </c>
      <c r="I1518" s="16">
        <f>COUNTIF(G$5:G1518,"Y")/COUNTA(G$5:G1518)</f>
        <v>0.87846763540290618</v>
      </c>
      <c r="J1518" s="16">
        <f>COUNTIF(H$5:H1518,"Y")/COUNTA(H$5:H1518)</f>
        <v>4.8877146631439897E-2</v>
      </c>
      <c r="K1518" s="16">
        <f>AVERAGE(F$5:F1518)</f>
        <v>2.2262219286657858</v>
      </c>
      <c r="L1518" s="16">
        <f>SUM(F$5:F1518)/SUM(E$5:E1518)</f>
        <v>0.76086956521739191</v>
      </c>
    </row>
    <row r="1519" spans="1:12" x14ac:dyDescent="0.25">
      <c r="A1519" s="29">
        <v>45877</v>
      </c>
      <c r="B1519" s="16" t="s">
        <v>1565</v>
      </c>
      <c r="C1519" s="34">
        <v>1</v>
      </c>
      <c r="D1519" s="16" t="s">
        <v>50</v>
      </c>
      <c r="E1519" s="35">
        <v>3.1</v>
      </c>
      <c r="F1519" s="35">
        <v>2.2999999999999998</v>
      </c>
      <c r="G1519" s="16" t="s">
        <v>44</v>
      </c>
      <c r="H1519" s="16" t="s">
        <v>45</v>
      </c>
      <c r="I1519" s="16">
        <f>COUNTIF(G$5:G1519,"Y")/COUNTA(G$5:G1519)</f>
        <v>0.87854785478547859</v>
      </c>
      <c r="J1519" s="16">
        <f>COUNTIF(H$5:H1519,"Y")/COUNTA(H$5:H1519)</f>
        <v>4.8844884488448842E-2</v>
      </c>
      <c r="K1519" s="16">
        <f>AVERAGE(F$5:F1519)</f>
        <v>2.2262706270627062</v>
      </c>
      <c r="L1519" s="16">
        <f>SUM(F$5:F1519)/SUM(E$5:E1519)</f>
        <v>0.76085632430237604</v>
      </c>
    </row>
    <row r="1520" spans="1:12" x14ac:dyDescent="0.25">
      <c r="A1520" s="29">
        <v>45873</v>
      </c>
      <c r="B1520" s="16" t="s">
        <v>1566</v>
      </c>
      <c r="C1520" s="34">
        <v>1</v>
      </c>
      <c r="D1520" s="16" t="s">
        <v>43</v>
      </c>
      <c r="E1520" s="35">
        <v>1.6</v>
      </c>
      <c r="F1520" s="35">
        <v>1.5</v>
      </c>
      <c r="G1520" s="16" t="s">
        <v>44</v>
      </c>
      <c r="H1520" s="16" t="s">
        <v>45</v>
      </c>
      <c r="I1520" s="16">
        <f>COUNTIF(G$5:G1520,"Y")/COUNTA(G$5:G1520)</f>
        <v>0.87862796833773082</v>
      </c>
      <c r="J1520" s="16">
        <f>COUNTIF(H$5:H1520,"Y")/COUNTA(H$5:H1520)</f>
        <v>4.8812664907651716E-2</v>
      </c>
      <c r="K1520" s="16">
        <f>AVERAGE(F$5:F1520)</f>
        <v>2.2257915567282325</v>
      </c>
      <c r="L1520" s="16">
        <f>SUM(F$5:F1520)/SUM(E$5:E1520)</f>
        <v>0.76092005863118783</v>
      </c>
    </row>
    <row r="1521" spans="1:13" x14ac:dyDescent="0.25">
      <c r="A1521" s="29">
        <v>45874</v>
      </c>
      <c r="B1521" s="16" t="s">
        <v>1567</v>
      </c>
      <c r="C1521" s="34">
        <v>1</v>
      </c>
      <c r="D1521" s="16" t="s">
        <v>47</v>
      </c>
      <c r="E1521" s="35">
        <v>3.8</v>
      </c>
      <c r="F1521" s="35">
        <v>3</v>
      </c>
      <c r="G1521" s="16" t="s">
        <v>44</v>
      </c>
      <c r="H1521" s="16" t="s">
        <v>45</v>
      </c>
      <c r="I1521" s="16">
        <f>COUNTIF(G$5:G1521,"Y")/COUNTA(G$5:G1521)</f>
        <v>0.87870797626895192</v>
      </c>
      <c r="J1521" s="16">
        <f>COUNTIF(H$5:H1521,"Y")/COUNTA(H$5:H1521)</f>
        <v>4.878048780487805E-2</v>
      </c>
      <c r="K1521" s="16">
        <f>AVERAGE(F$5:F1521)</f>
        <v>2.2263019116677656</v>
      </c>
      <c r="L1521" s="16">
        <f>SUM(F$5:F1521)/SUM(E$5:E1521)</f>
        <v>0.76094450577924022</v>
      </c>
    </row>
    <row r="1522" spans="1:13" x14ac:dyDescent="0.25">
      <c r="A1522" s="29">
        <v>45875</v>
      </c>
      <c r="B1522" s="16" t="s">
        <v>1568</v>
      </c>
      <c r="C1522" s="34">
        <v>1</v>
      </c>
      <c r="D1522" s="16" t="s">
        <v>43</v>
      </c>
      <c r="E1522" s="35">
        <v>4.5</v>
      </c>
      <c r="F1522" s="35">
        <v>3.3</v>
      </c>
      <c r="G1522" s="16" t="s">
        <v>44</v>
      </c>
      <c r="H1522" s="16" t="s">
        <v>44</v>
      </c>
      <c r="I1522" s="16">
        <f>COUNTIF(G$5:G1522,"Y")/COUNTA(G$5:G1522)</f>
        <v>0.87878787878787878</v>
      </c>
      <c r="J1522" s="16">
        <f>COUNTIF(H$5:H1522,"Y")/COUNTA(H$5:H1522)</f>
        <v>4.9407114624505928E-2</v>
      </c>
      <c r="K1522" s="16">
        <f>AVERAGE(F$5:F1522)</f>
        <v>2.2270092226613967</v>
      </c>
      <c r="L1522" s="16">
        <f>SUM(F$5:F1522)/SUM(E$5:E1522)</f>
        <v>0.76091653911947477</v>
      </c>
    </row>
    <row r="1523" spans="1:13" x14ac:dyDescent="0.25">
      <c r="A1523" s="29">
        <v>45876</v>
      </c>
      <c r="B1523" s="16" t="s">
        <v>1569</v>
      </c>
      <c r="C1523" s="34">
        <v>1</v>
      </c>
      <c r="D1523" s="16" t="s">
        <v>50</v>
      </c>
      <c r="E1523" s="35">
        <v>3.3</v>
      </c>
      <c r="F1523" s="35">
        <v>2.8</v>
      </c>
      <c r="G1523" s="16" t="s">
        <v>44</v>
      </c>
      <c r="H1523" s="16" t="s">
        <v>45</v>
      </c>
      <c r="I1523" s="16">
        <f>COUNTIF(G$5:G1523,"Y")/COUNTA(G$5:G1523)</f>
        <v>0.87886767610269911</v>
      </c>
      <c r="J1523" s="16">
        <f>COUNTIF(H$5:H1523,"Y")/COUNTA(H$5:H1523)</f>
        <v>4.9374588545095459E-2</v>
      </c>
      <c r="K1523" s="16">
        <f>AVERAGE(F$5:F1523)</f>
        <v>2.2273864384463464</v>
      </c>
      <c r="L1523" s="16">
        <f>SUM(F$5:F1523)/SUM(E$5:E1523)</f>
        <v>0.76098153437844451</v>
      </c>
    </row>
    <row r="1524" spans="1:13" x14ac:dyDescent="0.25">
      <c r="A1524" s="29">
        <v>45877</v>
      </c>
      <c r="B1524" s="16" t="s">
        <v>1570</v>
      </c>
      <c r="C1524" s="34">
        <v>1</v>
      </c>
      <c r="D1524" s="16" t="s">
        <v>43</v>
      </c>
      <c r="E1524" s="35">
        <v>3.7</v>
      </c>
      <c r="F1524" s="35">
        <v>2.8</v>
      </c>
      <c r="G1524" s="16" t="s">
        <v>44</v>
      </c>
      <c r="H1524" s="16" t="s">
        <v>45</v>
      </c>
      <c r="I1524" s="16">
        <f>COUNTIF(G$5:G1524,"Y")/COUNTA(G$5:G1524)</f>
        <v>0.87894736842105259</v>
      </c>
      <c r="J1524" s="16">
        <f>COUNTIF(H$5:H1524,"Y")/COUNTA(H$5:H1524)</f>
        <v>4.9342105263157895E-2</v>
      </c>
      <c r="K1524" s="16">
        <f>AVERAGE(F$5:F1524)</f>
        <v>2.2277631578947372</v>
      </c>
      <c r="L1524" s="16">
        <f>SUM(F$5:F1524)/SUM(E$5:E1524)</f>
        <v>0.7609780214841122</v>
      </c>
    </row>
    <row r="1525" spans="1:13" x14ac:dyDescent="0.25">
      <c r="A1525" s="29">
        <v>45873</v>
      </c>
      <c r="B1525" s="16" t="s">
        <v>1571</v>
      </c>
      <c r="C1525" s="34">
        <v>1</v>
      </c>
      <c r="D1525" s="16" t="s">
        <v>60</v>
      </c>
      <c r="E1525" s="35">
        <v>1.5</v>
      </c>
      <c r="F1525" s="35">
        <v>1.2</v>
      </c>
      <c r="G1525" s="16" t="s">
        <v>44</v>
      </c>
      <c r="H1525" s="16" t="s">
        <v>45</v>
      </c>
      <c r="I1525" s="16">
        <f>COUNTIF(G$5:G1525,"Y")/COUNTA(G$5:G1525)</f>
        <v>0.87902695595003288</v>
      </c>
      <c r="J1525" s="16">
        <f>COUNTIF(H$5:H1525,"Y")/COUNTA(H$5:H1525)</f>
        <v>4.9309664694280081E-2</v>
      </c>
      <c r="K1525" s="16">
        <f>AVERAGE(F$5:F1525)</f>
        <v>2.2270874424720581</v>
      </c>
      <c r="L1525" s="16">
        <f>SUM(F$5:F1525)/SUM(E$5:E1525)</f>
        <v>0.76099117111855019</v>
      </c>
    </row>
    <row r="1526" spans="1:13" x14ac:dyDescent="0.25">
      <c r="A1526" s="29">
        <v>45874</v>
      </c>
      <c r="B1526" s="16" t="s">
        <v>1572</v>
      </c>
      <c r="C1526" s="34">
        <v>1</v>
      </c>
      <c r="D1526" s="16" t="s">
        <v>64</v>
      </c>
      <c r="E1526" s="35">
        <v>3.3</v>
      </c>
      <c r="F1526" s="35">
        <v>3.1</v>
      </c>
      <c r="G1526" s="16" t="s">
        <v>44</v>
      </c>
      <c r="H1526" s="16" t="s">
        <v>45</v>
      </c>
      <c r="I1526" s="16">
        <f>COUNTIF(G$5:G1526,"Y")/COUNTA(G$5:G1526)</f>
        <v>0.87910643889618922</v>
      </c>
      <c r="J1526" s="16">
        <f>COUNTIF(H$5:H1526,"Y")/COUNTA(H$5:H1526)</f>
        <v>4.9277266754270695E-2</v>
      </c>
      <c r="K1526" s="16">
        <f>AVERAGE(F$5:F1526)</f>
        <v>2.2276609724047307</v>
      </c>
      <c r="L1526" s="16">
        <f>SUM(F$5:F1526)/SUM(E$5:E1526)</f>
        <v>0.76112333318367575</v>
      </c>
    </row>
    <row r="1527" spans="1:13" x14ac:dyDescent="0.25">
      <c r="A1527" s="29">
        <v>45875</v>
      </c>
      <c r="B1527" s="16" t="s">
        <v>1573</v>
      </c>
      <c r="C1527" s="34">
        <v>1</v>
      </c>
      <c r="D1527" s="16" t="s">
        <v>50</v>
      </c>
      <c r="E1527" s="35">
        <v>0.8</v>
      </c>
      <c r="F1527" s="35">
        <v>0.7</v>
      </c>
      <c r="G1527" s="16" t="s">
        <v>44</v>
      </c>
      <c r="H1527" s="16" t="s">
        <v>45</v>
      </c>
      <c r="I1527" s="16">
        <f>COUNTIF(G$5:G1527,"Y")/COUNTA(G$5:G1527)</f>
        <v>0.8791858174655286</v>
      </c>
      <c r="J1527" s="16">
        <f>COUNTIF(H$5:H1527,"Y")/COUNTA(H$5:H1527)</f>
        <v>4.9244911359159552E-2</v>
      </c>
      <c r="K1527" s="16">
        <f>AVERAGE(F$5:F1527)</f>
        <v>2.2266579120157584</v>
      </c>
      <c r="L1527" s="16">
        <f>SUM(F$5:F1527)/SUM(E$5:E1527)</f>
        <v>0.76114378058086862</v>
      </c>
    </row>
    <row r="1528" spans="1:13" x14ac:dyDescent="0.25">
      <c r="A1528" s="29">
        <v>45876</v>
      </c>
      <c r="B1528" s="16" t="s">
        <v>1574</v>
      </c>
      <c r="C1528" s="34">
        <v>1</v>
      </c>
      <c r="D1528" s="16" t="s">
        <v>64</v>
      </c>
      <c r="E1528" s="35">
        <v>0.6</v>
      </c>
      <c r="F1528" s="35">
        <v>0.5</v>
      </c>
      <c r="G1528" s="16" t="s">
        <v>44</v>
      </c>
      <c r="H1528" s="16" t="s">
        <v>45</v>
      </c>
      <c r="I1528" s="16">
        <f>COUNTIF(G$5:G1528,"Y")/COUNTA(G$5:G1528)</f>
        <v>0.87926509186351709</v>
      </c>
      <c r="J1528" s="16">
        <f>COUNTIF(H$5:H1528,"Y")/COUNTA(H$5:H1528)</f>
        <v>4.9212598425196853E-2</v>
      </c>
      <c r="K1528" s="16">
        <f>AVERAGE(F$5:F1528)</f>
        <v>2.2255249343832024</v>
      </c>
      <c r="L1528" s="16">
        <f>SUM(F$5:F1528)/SUM(E$5:E1528)</f>
        <v>0.76115350089766642</v>
      </c>
    </row>
    <row r="1529" spans="1:13" x14ac:dyDescent="0.25">
      <c r="A1529" s="29">
        <v>45877</v>
      </c>
      <c r="B1529" s="16" t="s">
        <v>1575</v>
      </c>
      <c r="C1529" s="34">
        <v>1</v>
      </c>
      <c r="D1529" s="16" t="s">
        <v>52</v>
      </c>
      <c r="E1529" s="35">
        <v>0.6</v>
      </c>
      <c r="F1529" s="35">
        <v>0.5</v>
      </c>
      <c r="G1529" s="16" t="s">
        <v>44</v>
      </c>
      <c r="H1529" s="16" t="s">
        <v>44</v>
      </c>
      <c r="I1529" s="16">
        <f>COUNTIF(G$5:G1529,"Y")/COUNTA(G$5:G1529)</f>
        <v>0.879344262295082</v>
      </c>
      <c r="J1529" s="16">
        <f>COUNTIF(H$5:H1529,"Y")/COUNTA(H$5:H1529)</f>
        <v>4.9836065573770495E-2</v>
      </c>
      <c r="K1529" s="16">
        <f>AVERAGE(F$5:F1529)</f>
        <v>2.2243934426229508</v>
      </c>
      <c r="L1529" s="16">
        <f>SUM(F$5:F1529)/SUM(E$5:E1529)</f>
        <v>0.76116321859713709</v>
      </c>
    </row>
    <row r="1530" spans="1:13" x14ac:dyDescent="0.25">
      <c r="A1530" s="29">
        <v>45873</v>
      </c>
      <c r="B1530" s="16" t="s">
        <v>1576</v>
      </c>
      <c r="C1530" s="34">
        <v>1</v>
      </c>
      <c r="D1530" s="16" t="s">
        <v>43</v>
      </c>
      <c r="E1530" s="35">
        <v>0.6</v>
      </c>
      <c r="F1530" s="35">
        <v>0.5</v>
      </c>
      <c r="G1530" s="16" t="s">
        <v>44</v>
      </c>
      <c r="H1530" s="16" t="s">
        <v>45</v>
      </c>
      <c r="I1530" s="16">
        <f>COUNTIF(G$5:G1530,"Y")/COUNTA(G$5:G1530)</f>
        <v>0.87942332896461339</v>
      </c>
      <c r="J1530" s="16">
        <f>COUNTIF(H$5:H1530,"Y")/COUNTA(H$5:H1530)</f>
        <v>4.9803407601572737E-2</v>
      </c>
      <c r="K1530" s="16">
        <f>AVERAGE(F$5:F1530)</f>
        <v>2.2232634338138926</v>
      </c>
      <c r="L1530" s="16">
        <f>SUM(F$5:F1530)/SUM(E$5:E1530)</f>
        <v>0.76117293368033767</v>
      </c>
    </row>
    <row r="1531" spans="1:13" x14ac:dyDescent="0.25">
      <c r="A1531" s="29">
        <v>45874</v>
      </c>
      <c r="B1531" s="16" t="s">
        <v>1577</v>
      </c>
      <c r="C1531" s="34">
        <v>1</v>
      </c>
      <c r="D1531" s="16" t="s">
        <v>56</v>
      </c>
      <c r="E1531" s="35">
        <v>0.7</v>
      </c>
      <c r="F1531" s="35">
        <v>0.5</v>
      </c>
      <c r="G1531" s="16" t="s">
        <v>45</v>
      </c>
      <c r="H1531" s="16" t="s">
        <v>45</v>
      </c>
      <c r="I1531" s="16">
        <f>COUNTIF(G$5:G1531,"Y")/COUNTA(G$5:G1531)</f>
        <v>0.87884741322855275</v>
      </c>
      <c r="J1531" s="16">
        <f>COUNTIF(H$5:H1531,"Y")/COUNTA(H$5:H1531)</f>
        <v>4.9770792403405373E-2</v>
      </c>
      <c r="K1531" s="16">
        <f>AVERAGE(F$5:F1531)</f>
        <v>2.2221349050425672</v>
      </c>
      <c r="L1531" s="16">
        <f>SUM(F$5:F1531)/SUM(E$5:E1531)</f>
        <v>0.76116557123309214</v>
      </c>
    </row>
    <row r="1532" spans="1:13" x14ac:dyDescent="0.25">
      <c r="A1532" s="29">
        <v>45875</v>
      </c>
      <c r="B1532" s="16" t="s">
        <v>1578</v>
      </c>
      <c r="C1532" s="34">
        <v>1</v>
      </c>
      <c r="D1532" s="16" t="s">
        <v>60</v>
      </c>
      <c r="E1532" s="35">
        <v>0.7</v>
      </c>
      <c r="F1532" s="35">
        <v>0.5</v>
      </c>
      <c r="G1532" s="16" t="s">
        <v>44</v>
      </c>
      <c r="H1532" s="16" t="s">
        <v>45</v>
      </c>
      <c r="I1532" s="16">
        <f>COUNTIF(G$5:G1532,"Y")/COUNTA(G$5:G1532)</f>
        <v>0.87892670157068065</v>
      </c>
      <c r="J1532" s="16">
        <f>COUNTIF(H$5:H1532,"Y")/COUNTA(H$5:H1532)</f>
        <v>4.9738219895287955E-2</v>
      </c>
      <c r="K1532" s="16">
        <f>AVERAGE(F$5:F1532)</f>
        <v>2.2210078534031417</v>
      </c>
      <c r="L1532" s="16">
        <f>SUM(F$5:F1532)/SUM(E$5:E1532)</f>
        <v>0.76115821109765425</v>
      </c>
    </row>
    <row r="1533" spans="1:13" x14ac:dyDescent="0.25">
      <c r="A1533" s="29">
        <v>45876</v>
      </c>
      <c r="B1533" s="16" t="s">
        <v>1579</v>
      </c>
      <c r="C1533" s="34">
        <v>1</v>
      </c>
      <c r="D1533" s="16" t="s">
        <v>43</v>
      </c>
      <c r="E1533" s="35">
        <v>0.6</v>
      </c>
      <c r="F1533" s="35">
        <v>0.5</v>
      </c>
      <c r="G1533" s="16" t="s">
        <v>44</v>
      </c>
      <c r="H1533" s="16" t="s">
        <v>45</v>
      </c>
      <c r="I1533" s="16">
        <f>COUNTIF(G$5:G1533,"Y")/COUNTA(G$5:G1533)</f>
        <v>0.87900588620013076</v>
      </c>
      <c r="J1533" s="16">
        <f>COUNTIF(H$5:H1533,"Y")/COUNTA(H$5:H1533)</f>
        <v>4.9705689993459777E-2</v>
      </c>
      <c r="K1533" s="16">
        <f>AVERAGE(F$5:F1533)</f>
        <v>2.2198822759973842</v>
      </c>
      <c r="L1533" s="16">
        <f>SUM(F$5:F1533)/SUM(E$5:E1533)</f>
        <v>0.76116792249730914</v>
      </c>
    </row>
    <row r="1534" spans="1:13" x14ac:dyDescent="0.25">
      <c r="A1534" s="29">
        <v>45877</v>
      </c>
      <c r="B1534" s="16" t="s">
        <v>1580</v>
      </c>
      <c r="C1534" s="34">
        <v>1</v>
      </c>
      <c r="D1534" s="16" t="s">
        <v>50</v>
      </c>
      <c r="E1534" s="35">
        <v>0.7</v>
      </c>
      <c r="F1534" s="35">
        <v>0.5</v>
      </c>
      <c r="G1534" s="16" t="s">
        <v>44</v>
      </c>
      <c r="H1534" s="16" t="s">
        <v>45</v>
      </c>
      <c r="I1534" s="16">
        <f>COUNTIF(G$5:G1534,"Y")/COUNTA(G$5:G1534)</f>
        <v>0.87908496732026142</v>
      </c>
      <c r="J1534" s="16">
        <f>COUNTIF(H$5:H1534,"Y")/COUNTA(H$5:H1534)</f>
        <v>4.9673202614379082E-2</v>
      </c>
      <c r="K1534" s="16">
        <f>AVERAGE(F$5:F1534)</f>
        <v>2.2187581699346408</v>
      </c>
      <c r="L1534" s="16">
        <f>SUM(F$5:F1534)/SUM(E$5:E1534)</f>
        <v>0.76116056413820965</v>
      </c>
    </row>
    <row r="1535" spans="1:13" x14ac:dyDescent="0.25">
      <c r="A1535" s="29">
        <v>45873</v>
      </c>
      <c r="B1535" s="16" t="s">
        <v>1581</v>
      </c>
      <c r="C1535" s="34">
        <v>1</v>
      </c>
      <c r="D1535" s="16" t="s">
        <v>52</v>
      </c>
      <c r="E1535" s="35">
        <v>1.8</v>
      </c>
      <c r="F1535" s="35">
        <v>0.5</v>
      </c>
      <c r="G1535" s="16" t="s">
        <v>44</v>
      </c>
      <c r="H1535" s="16" t="s">
        <v>45</v>
      </c>
      <c r="I1535" s="16">
        <f>COUNTIF(G$5:G1535,"Y")/COUNTA(G$5:G1535)</f>
        <v>0.87916394513389939</v>
      </c>
      <c r="J1535" s="16">
        <f>COUNTIF(H$5:H1535,"Y")/COUNTA(H$5:H1535)</f>
        <v>4.9640757674722404E-2</v>
      </c>
      <c r="K1535" s="16">
        <f>AVERAGE(F$5:F1535)</f>
        <v>2.2176355323318093</v>
      </c>
      <c r="L1535" s="16">
        <f>SUM(F$5:F1535)/SUM(E$5:E1535)</f>
        <v>0.76096555124728271</v>
      </c>
      <c r="M1535" s="16">
        <v>5</v>
      </c>
    </row>
    <row r="1536" spans="1:13" x14ac:dyDescent="0.25">
      <c r="A1536" s="29">
        <v>45880</v>
      </c>
      <c r="B1536" s="16" t="s">
        <v>1582</v>
      </c>
      <c r="C1536" s="34">
        <v>1</v>
      </c>
      <c r="D1536" s="16" t="s">
        <v>50</v>
      </c>
      <c r="E1536" s="35">
        <v>3.2</v>
      </c>
      <c r="F1536" s="35">
        <v>2.2999999999999998</v>
      </c>
      <c r="G1536" s="16" t="s">
        <v>45</v>
      </c>
      <c r="H1536" s="16" t="s">
        <v>45</v>
      </c>
      <c r="I1536" s="16">
        <f>COUNTIF(G$5:G1536,"Y")/COUNTA(G$5:G1536)</f>
        <v>0.87859007832898173</v>
      </c>
      <c r="J1536" s="16">
        <f>COUNTIF(H$5:H1536,"Y")/COUNTA(H$5:H1536)</f>
        <v>4.960835509138381E-2</v>
      </c>
      <c r="K1536" s="16">
        <f>AVERAGE(F$5:F1536)</f>
        <v>2.2176892950391647</v>
      </c>
      <c r="L1536" s="16">
        <f>SUM(F$5:F1536)/SUM(E$5:E1536)</f>
        <v>0.76093529530336657</v>
      </c>
    </row>
    <row r="1537" spans="1:12" x14ac:dyDescent="0.25">
      <c r="A1537" s="29">
        <v>45881</v>
      </c>
      <c r="B1537" s="16" t="s">
        <v>1583</v>
      </c>
      <c r="C1537" s="34">
        <v>1</v>
      </c>
      <c r="D1537" s="16" t="s">
        <v>50</v>
      </c>
      <c r="E1537" s="35">
        <v>5.0999999999999996</v>
      </c>
      <c r="F1537" s="35">
        <v>3.7</v>
      </c>
      <c r="G1537" s="16" t="s">
        <v>44</v>
      </c>
      <c r="H1537" s="16" t="s">
        <v>45</v>
      </c>
      <c r="I1537" s="16">
        <f>COUNTIF(G$5:G1537,"Y")/COUNTA(G$5:G1537)</f>
        <v>0.87866927592954991</v>
      </c>
      <c r="J1537" s="16">
        <f>COUNTIF(H$5:H1537,"Y")/COUNTA(H$5:H1537)</f>
        <v>4.9575994781474231E-2</v>
      </c>
      <c r="K1537" s="16">
        <f>AVERAGE(F$5:F1537)</f>
        <v>2.2186562296151338</v>
      </c>
      <c r="L1537" s="16">
        <f>SUM(F$5:F1537)/SUM(E$5:E1537)</f>
        <v>0.76089485458612993</v>
      </c>
    </row>
    <row r="1538" spans="1:12" x14ac:dyDescent="0.25">
      <c r="A1538" s="29">
        <v>45882</v>
      </c>
      <c r="B1538" s="16" t="s">
        <v>1584</v>
      </c>
      <c r="C1538" s="34">
        <v>1</v>
      </c>
      <c r="D1538" s="16" t="s">
        <v>47</v>
      </c>
      <c r="E1538" s="35">
        <v>4.5999999999999996</v>
      </c>
      <c r="F1538" s="35">
        <v>3.8</v>
      </c>
      <c r="G1538" s="16" t="s">
        <v>44</v>
      </c>
      <c r="H1538" s="16" t="s">
        <v>45</v>
      </c>
      <c r="I1538" s="16">
        <f>COUNTIF(G$5:G1538,"Y")/COUNTA(G$5:G1538)</f>
        <v>0.87874837027379404</v>
      </c>
      <c r="J1538" s="16">
        <f>COUNTIF(H$5:H1538,"Y")/COUNTA(H$5:H1538)</f>
        <v>4.9543676662320728E-2</v>
      </c>
      <c r="K1538" s="16">
        <f>AVERAGE(F$5:F1538)</f>
        <v>2.2196870925684489</v>
      </c>
      <c r="L1538" s="16">
        <f>SUM(F$5:F1538)/SUM(E$5:E1538)</f>
        <v>0.76096187368703372</v>
      </c>
    </row>
    <row r="1539" spans="1:12" x14ac:dyDescent="0.25">
      <c r="A1539" s="29">
        <v>45883</v>
      </c>
      <c r="B1539" s="16" t="s">
        <v>1585</v>
      </c>
      <c r="C1539" s="34">
        <v>1</v>
      </c>
      <c r="D1539" s="16" t="s">
        <v>50</v>
      </c>
      <c r="E1539" s="35">
        <v>1.5</v>
      </c>
      <c r="F1539" s="35">
        <v>1.1000000000000001</v>
      </c>
      <c r="G1539" s="16" t="s">
        <v>44</v>
      </c>
      <c r="H1539" s="16" t="s">
        <v>45</v>
      </c>
      <c r="I1539" s="16">
        <f>COUNTIF(G$5:G1539,"Y")/COUNTA(G$5:G1539)</f>
        <v>0.87882736156351793</v>
      </c>
      <c r="J1539" s="16">
        <f>COUNTIF(H$5:H1539,"Y")/COUNTA(H$5:H1539)</f>
        <v>4.9511400651465795E-2</v>
      </c>
      <c r="K1539" s="16">
        <f>AVERAGE(F$5:F1539)</f>
        <v>2.2189576547231273</v>
      </c>
      <c r="L1539" s="16">
        <f>SUM(F$5:F1539)/SUM(E$5:E1539)</f>
        <v>0.76095261499966504</v>
      </c>
    </row>
    <row r="1540" spans="1:12" x14ac:dyDescent="0.25">
      <c r="A1540" s="29">
        <v>45884</v>
      </c>
      <c r="B1540" s="16" t="s">
        <v>1586</v>
      </c>
      <c r="C1540" s="34">
        <v>1</v>
      </c>
      <c r="D1540" s="16" t="s">
        <v>60</v>
      </c>
      <c r="E1540" s="35">
        <v>3.7</v>
      </c>
      <c r="F1540" s="35">
        <v>3</v>
      </c>
      <c r="G1540" s="16" t="s">
        <v>44</v>
      </c>
      <c r="H1540" s="16" t="s">
        <v>45</v>
      </c>
      <c r="I1540" s="16">
        <f>COUNTIF(G$5:G1540,"Y")/COUNTA(G$5:G1540)</f>
        <v>0.87890625</v>
      </c>
      <c r="J1540" s="16">
        <f>COUNTIF(H$5:H1540,"Y")/COUNTA(H$5:H1540)</f>
        <v>4.9479166666666664E-2</v>
      </c>
      <c r="K1540" s="16">
        <f>AVERAGE(F$5:F1540)</f>
        <v>2.2194661458333336</v>
      </c>
      <c r="L1540" s="16">
        <f>SUM(F$5:F1540)/SUM(E$5:E1540)</f>
        <v>0.76099379436582015</v>
      </c>
    </row>
    <row r="1541" spans="1:12" x14ac:dyDescent="0.25">
      <c r="A1541" s="29">
        <v>45880</v>
      </c>
      <c r="B1541" s="16" t="s">
        <v>1587</v>
      </c>
      <c r="C1541" s="34">
        <v>1</v>
      </c>
      <c r="D1541" s="16" t="s">
        <v>43</v>
      </c>
      <c r="E1541" s="35">
        <v>3.5</v>
      </c>
      <c r="F1541" s="35">
        <v>2.6</v>
      </c>
      <c r="G1541" s="16" t="s">
        <v>44</v>
      </c>
      <c r="H1541" s="16" t="s">
        <v>45</v>
      </c>
      <c r="I1541" s="16">
        <f>COUNTIF(G$5:G1541,"Y")/COUNTA(G$5:G1541)</f>
        <v>0.87898503578399478</v>
      </c>
      <c r="J1541" s="16">
        <f>COUNTIF(H$5:H1541,"Y")/COUNTA(H$5:H1541)</f>
        <v>4.9446974625894598E-2</v>
      </c>
      <c r="K1541" s="16">
        <f>AVERAGE(F$5:F1541)</f>
        <v>2.2197137280416399</v>
      </c>
      <c r="L1541" s="16">
        <f>SUM(F$5:F1541)/SUM(E$5:E1541)</f>
        <v>0.76097963553632386</v>
      </c>
    </row>
    <row r="1542" spans="1:12" x14ac:dyDescent="0.25">
      <c r="A1542" s="29">
        <v>45881</v>
      </c>
      <c r="B1542" s="16" t="s">
        <v>1588</v>
      </c>
      <c r="C1542" s="34">
        <v>1</v>
      </c>
      <c r="D1542" s="16" t="s">
        <v>52</v>
      </c>
      <c r="E1542" s="35">
        <v>1.7</v>
      </c>
      <c r="F1542" s="35">
        <v>1.4</v>
      </c>
      <c r="G1542" s="16" t="s">
        <v>44</v>
      </c>
      <c r="H1542" s="16" t="s">
        <v>45</v>
      </c>
      <c r="I1542" s="16">
        <f>COUNTIF(G$5:G1542,"Y")/COUNTA(G$5:G1542)</f>
        <v>0.87906371911573467</v>
      </c>
      <c r="J1542" s="16">
        <f>COUNTIF(H$5:H1542,"Y")/COUNTA(H$5:H1542)</f>
        <v>4.94148244473342E-2</v>
      </c>
      <c r="K1542" s="16">
        <f>AVERAGE(F$5:F1542)</f>
        <v>2.2191807542262683</v>
      </c>
      <c r="L1542" s="16">
        <f>SUM(F$5:F1542)/SUM(E$5:E1542)</f>
        <v>0.76100334448160556</v>
      </c>
    </row>
    <row r="1543" spans="1:12" x14ac:dyDescent="0.25">
      <c r="A1543" s="29">
        <v>45882</v>
      </c>
      <c r="B1543" s="16" t="s">
        <v>1589</v>
      </c>
      <c r="C1543" s="34">
        <v>1</v>
      </c>
      <c r="D1543" s="16" t="s">
        <v>56</v>
      </c>
      <c r="E1543" s="35">
        <v>4.5</v>
      </c>
      <c r="F1543" s="35">
        <v>3.1</v>
      </c>
      <c r="G1543" s="16" t="s">
        <v>44</v>
      </c>
      <c r="H1543" s="16" t="s">
        <v>45</v>
      </c>
      <c r="I1543" s="16">
        <f>COUNTIF(G$5:G1543,"Y")/COUNTA(G$5:G1543)</f>
        <v>0.87914230019493178</v>
      </c>
      <c r="J1543" s="16">
        <f>COUNTIF(H$5:H1543,"Y")/COUNTA(H$5:H1543)</f>
        <v>4.9382716049382713E-2</v>
      </c>
      <c r="K1543" s="16">
        <f>AVERAGE(F$5:F1543)</f>
        <v>2.2197530864197534</v>
      </c>
      <c r="L1543" s="16">
        <f>SUM(F$5:F1543)/SUM(E$5:E1543)</f>
        <v>0.76093106136540833</v>
      </c>
    </row>
    <row r="1544" spans="1:12" x14ac:dyDescent="0.25">
      <c r="A1544" s="29">
        <v>45883</v>
      </c>
      <c r="B1544" s="16" t="s">
        <v>1590</v>
      </c>
      <c r="C1544" s="34">
        <v>1</v>
      </c>
      <c r="D1544" s="16" t="s">
        <v>60</v>
      </c>
      <c r="E1544" s="35">
        <v>4.5</v>
      </c>
      <c r="F1544" s="35">
        <v>3.2</v>
      </c>
      <c r="G1544" s="16" t="s">
        <v>44</v>
      </c>
      <c r="H1544" s="16" t="s">
        <v>45</v>
      </c>
      <c r="I1544" s="16">
        <f>COUNTIF(G$5:G1544,"Y")/COUNTA(G$5:G1544)</f>
        <v>0.87922077922077924</v>
      </c>
      <c r="J1544" s="16">
        <f>COUNTIF(H$5:H1544,"Y")/COUNTA(H$5:H1544)</f>
        <v>4.9350649350649353E-2</v>
      </c>
      <c r="K1544" s="16">
        <f>AVERAGE(F$5:F1544)</f>
        <v>2.2203896103896104</v>
      </c>
      <c r="L1544" s="16">
        <f>SUM(F$5:F1544)/SUM(E$5:E1544)</f>
        <v>0.76088117489986662</v>
      </c>
    </row>
    <row r="1545" spans="1:12" x14ac:dyDescent="0.25">
      <c r="A1545" s="29">
        <v>45884</v>
      </c>
      <c r="B1545" s="16" t="s">
        <v>1591</v>
      </c>
      <c r="C1545" s="34">
        <v>1</v>
      </c>
      <c r="D1545" s="16" t="s">
        <v>64</v>
      </c>
      <c r="E1545" s="35">
        <v>1.9</v>
      </c>
      <c r="F1545" s="35">
        <v>1.6</v>
      </c>
      <c r="G1545" s="16" t="s">
        <v>45</v>
      </c>
      <c r="H1545" s="16" t="s">
        <v>45</v>
      </c>
      <c r="I1545" s="16">
        <f>COUNTIF(G$5:G1545,"Y")/COUNTA(G$5:G1545)</f>
        <v>0.87865022712524332</v>
      </c>
      <c r="J1545" s="16">
        <f>COUNTIF(H$5:H1545,"Y")/COUNTA(H$5:H1545)</f>
        <v>4.9318624269954578E-2</v>
      </c>
      <c r="K1545" s="16">
        <f>AVERAGE(F$5:F1545)</f>
        <v>2.2199870214146658</v>
      </c>
      <c r="L1545" s="16">
        <f>SUM(F$5:F1545)/SUM(E$5:E1545)</f>
        <v>0.76091550078960857</v>
      </c>
    </row>
    <row r="1546" spans="1:12" x14ac:dyDescent="0.25">
      <c r="A1546" s="29">
        <v>45880</v>
      </c>
      <c r="B1546" s="16" t="s">
        <v>1592</v>
      </c>
      <c r="C1546" s="34">
        <v>1</v>
      </c>
      <c r="D1546" s="16" t="s">
        <v>47</v>
      </c>
      <c r="E1546" s="35">
        <v>2</v>
      </c>
      <c r="F1546" s="35">
        <v>1.7</v>
      </c>
      <c r="G1546" s="16" t="s">
        <v>44</v>
      </c>
      <c r="H1546" s="16" t="s">
        <v>45</v>
      </c>
      <c r="I1546" s="16">
        <f>COUNTIF(G$5:G1546,"Y")/COUNTA(G$5:G1546)</f>
        <v>0.87872892347600517</v>
      </c>
      <c r="J1546" s="16">
        <f>COUNTIF(H$5:H1546,"Y")/COUNTA(H$5:H1546)</f>
        <v>4.9286640726329441E-2</v>
      </c>
      <c r="K1546" s="16">
        <f>AVERAGE(F$5:F1546)</f>
        <v>2.2196498054474705</v>
      </c>
      <c r="L1546" s="16">
        <f>SUM(F$5:F1546)/SUM(E$5:E1546)</f>
        <v>0.76095511238578017</v>
      </c>
    </row>
    <row r="1547" spans="1:12" x14ac:dyDescent="0.25">
      <c r="A1547" s="29">
        <v>45881</v>
      </c>
      <c r="B1547" s="16" t="s">
        <v>1593</v>
      </c>
      <c r="C1547" s="34">
        <v>1</v>
      </c>
      <c r="D1547" s="16" t="s">
        <v>64</v>
      </c>
      <c r="E1547" s="35">
        <v>4.3</v>
      </c>
      <c r="F1547" s="35">
        <v>3.5</v>
      </c>
      <c r="G1547" s="16" t="s">
        <v>44</v>
      </c>
      <c r="H1547" s="16" t="s">
        <v>45</v>
      </c>
      <c r="I1547" s="16">
        <f>COUNTIF(G$5:G1547,"Y")/COUNTA(G$5:G1547)</f>
        <v>0.87880751782242383</v>
      </c>
      <c r="J1547" s="16">
        <f>COUNTIF(H$5:H1547,"Y")/COUNTA(H$5:H1547)</f>
        <v>4.9254698639014903E-2</v>
      </c>
      <c r="K1547" s="16">
        <f>AVERAGE(F$5:F1547)</f>
        <v>2.2204795852235901</v>
      </c>
      <c r="L1547" s="16">
        <f>SUM(F$5:F1547)/SUM(E$5:E1547)</f>
        <v>0.76100573053174014</v>
      </c>
    </row>
    <row r="1548" spans="1:12" x14ac:dyDescent="0.25">
      <c r="A1548" s="29">
        <v>45882</v>
      </c>
      <c r="B1548" s="16" t="s">
        <v>1594</v>
      </c>
      <c r="C1548" s="34">
        <v>1</v>
      </c>
      <c r="D1548" s="16" t="s">
        <v>52</v>
      </c>
      <c r="E1548" s="35">
        <v>2.2000000000000002</v>
      </c>
      <c r="F1548" s="35">
        <v>1.8</v>
      </c>
      <c r="G1548" s="16" t="s">
        <v>44</v>
      </c>
      <c r="H1548" s="16" t="s">
        <v>45</v>
      </c>
      <c r="I1548" s="16">
        <f>COUNTIF(G$5:G1548,"Y")/COUNTA(G$5:G1548)</f>
        <v>0.87888601036269431</v>
      </c>
      <c r="J1548" s="16">
        <f>COUNTIF(H$5:H1548,"Y")/COUNTA(H$5:H1548)</f>
        <v>4.9222797927461141E-2</v>
      </c>
      <c r="K1548" s="16">
        <f>AVERAGE(F$5:F1548)</f>
        <v>2.2202072538860103</v>
      </c>
      <c r="L1548" s="16">
        <f>SUM(F$5:F1548)/SUM(E$5:E1548)</f>
        <v>0.76103365598081896</v>
      </c>
    </row>
    <row r="1549" spans="1:12" x14ac:dyDescent="0.25">
      <c r="A1549" s="29">
        <v>45883</v>
      </c>
      <c r="B1549" s="16" t="s">
        <v>1595</v>
      </c>
      <c r="C1549" s="34">
        <v>1</v>
      </c>
      <c r="D1549" s="16" t="s">
        <v>60</v>
      </c>
      <c r="E1549" s="35">
        <v>3.4</v>
      </c>
      <c r="F1549" s="35">
        <v>2.5</v>
      </c>
      <c r="G1549" s="16" t="s">
        <v>44</v>
      </c>
      <c r="H1549" s="16" t="s">
        <v>45</v>
      </c>
      <c r="I1549" s="16">
        <f>COUNTIF(G$5:G1549,"Y")/COUNTA(G$5:G1549)</f>
        <v>0.87896440129449838</v>
      </c>
      <c r="J1549" s="16">
        <f>COUNTIF(H$5:H1549,"Y")/COUNTA(H$5:H1549)</f>
        <v>4.9190938511326859E-2</v>
      </c>
      <c r="K1549" s="16">
        <f>AVERAGE(F$5:F1549)</f>
        <v>2.2203883495145633</v>
      </c>
      <c r="L1549" s="16">
        <f>SUM(F$5:F1549)/SUM(E$5:E1549)</f>
        <v>0.76101424198056733</v>
      </c>
    </row>
    <row r="1550" spans="1:12" x14ac:dyDescent="0.25">
      <c r="A1550" s="29">
        <v>45884</v>
      </c>
      <c r="B1550" s="16" t="s">
        <v>1596</v>
      </c>
      <c r="C1550" s="34">
        <v>1</v>
      </c>
      <c r="D1550" s="16" t="s">
        <v>47</v>
      </c>
      <c r="E1550" s="35">
        <v>4.3</v>
      </c>
      <c r="F1550" s="35">
        <v>3.3</v>
      </c>
      <c r="G1550" s="16" t="s">
        <v>44</v>
      </c>
      <c r="H1550" s="16" t="s">
        <v>45</v>
      </c>
      <c r="I1550" s="16">
        <f>COUNTIF(G$5:G1550,"Y")/COUNTA(G$5:G1550)</f>
        <v>0.87904269081500652</v>
      </c>
      <c r="J1550" s="16">
        <f>COUNTIF(H$5:H1550,"Y")/COUNTA(H$5:H1550)</f>
        <v>4.9159120310478657E-2</v>
      </c>
      <c r="K1550" s="16">
        <f>AVERAGE(F$5:F1550)</f>
        <v>2.2210866752910738</v>
      </c>
      <c r="L1550" s="16">
        <f>SUM(F$5:F1550)/SUM(E$5:E1550)</f>
        <v>0.76102036745639534</v>
      </c>
    </row>
    <row r="1551" spans="1:12" x14ac:dyDescent="0.25">
      <c r="A1551" s="29">
        <v>45880</v>
      </c>
      <c r="B1551" s="16" t="s">
        <v>1597</v>
      </c>
      <c r="C1551" s="34">
        <v>1</v>
      </c>
      <c r="D1551" s="16" t="s">
        <v>60</v>
      </c>
      <c r="E1551" s="35">
        <v>4.5999999999999996</v>
      </c>
      <c r="F1551" s="35">
        <v>3.3</v>
      </c>
      <c r="G1551" s="16" t="s">
        <v>44</v>
      </c>
      <c r="H1551" s="16" t="s">
        <v>45</v>
      </c>
      <c r="I1551" s="16">
        <f>COUNTIF(G$5:G1551,"Y")/COUNTA(G$5:G1551)</f>
        <v>0.87912087912087911</v>
      </c>
      <c r="J1551" s="16">
        <f>COUNTIF(H$5:H1551,"Y")/COUNTA(H$5:H1551)</f>
        <v>4.9127343244990303E-2</v>
      </c>
      <c r="K1551" s="16">
        <f>AVERAGE(F$5:F1551)</f>
        <v>2.2217840982546866</v>
      </c>
      <c r="L1551" s="16">
        <f>SUM(F$5:F1551)/SUM(E$5:E1551)</f>
        <v>0.76097593375694672</v>
      </c>
    </row>
    <row r="1552" spans="1:12" x14ac:dyDescent="0.25">
      <c r="A1552" s="29">
        <v>45881</v>
      </c>
      <c r="B1552" s="16" t="s">
        <v>1598</v>
      </c>
      <c r="C1552" s="34">
        <v>1</v>
      </c>
      <c r="D1552" s="16" t="s">
        <v>50</v>
      </c>
      <c r="E1552" s="35">
        <v>4.5999999999999996</v>
      </c>
      <c r="F1552" s="35">
        <v>3.8</v>
      </c>
      <c r="G1552" s="16" t="s">
        <v>45</v>
      </c>
      <c r="H1552" s="16" t="s">
        <v>45</v>
      </c>
      <c r="I1552" s="16">
        <f>COUNTIF(G$5:G1552,"Y")/COUNTA(G$5:G1552)</f>
        <v>0.87855297157622736</v>
      </c>
      <c r="J1552" s="16">
        <f>COUNTIF(H$5:H1552,"Y")/COUNTA(H$5:H1552)</f>
        <v>4.909560723514212E-2</v>
      </c>
      <c r="K1552" s="16">
        <f>AVERAGE(F$5:F1552)</f>
        <v>2.2228036175710599</v>
      </c>
      <c r="L1552" s="16">
        <f>SUM(F$5:F1552)/SUM(E$5:E1552)</f>
        <v>0.76104217813460751</v>
      </c>
    </row>
    <row r="1553" spans="1:12" x14ac:dyDescent="0.25">
      <c r="A1553" s="29">
        <v>45882</v>
      </c>
      <c r="B1553" s="16" t="s">
        <v>1599</v>
      </c>
      <c r="C1553" s="34">
        <v>1</v>
      </c>
      <c r="D1553" s="16" t="s">
        <v>50</v>
      </c>
      <c r="E1553" s="35">
        <v>4.3</v>
      </c>
      <c r="F1553" s="35">
        <v>3</v>
      </c>
      <c r="G1553" s="16" t="s">
        <v>44</v>
      </c>
      <c r="H1553" s="16" t="s">
        <v>45</v>
      </c>
      <c r="I1553" s="16">
        <f>COUNTIF(G$5:G1553,"Y")/COUNTA(G$5:G1553)</f>
        <v>0.87863137508069722</v>
      </c>
      <c r="J1553" s="16">
        <f>COUNTIF(H$5:H1553,"Y")/COUNTA(H$5:H1553)</f>
        <v>4.9063912201420271E-2</v>
      </c>
      <c r="K1553" s="16">
        <f>AVERAGE(F$5:F1553)</f>
        <v>2.2233053582956748</v>
      </c>
      <c r="L1553" s="16">
        <f>SUM(F$5:F1553)/SUM(E$5:E1553)</f>
        <v>0.76098196924164774</v>
      </c>
    </row>
    <row r="1554" spans="1:12" x14ac:dyDescent="0.25">
      <c r="A1554" s="29">
        <v>45883</v>
      </c>
      <c r="B1554" s="16" t="s">
        <v>1600</v>
      </c>
      <c r="C1554" s="34">
        <v>1</v>
      </c>
      <c r="D1554" s="16" t="s">
        <v>47</v>
      </c>
      <c r="E1554" s="35">
        <v>5</v>
      </c>
      <c r="F1554" s="35">
        <v>3.9</v>
      </c>
      <c r="G1554" s="16" t="s">
        <v>44</v>
      </c>
      <c r="H1554" s="16" t="s">
        <v>45</v>
      </c>
      <c r="I1554" s="16">
        <f>COUNTIF(G$5:G1554,"Y")/COUNTA(G$5:G1554)</f>
        <v>0.8787096774193548</v>
      </c>
      <c r="J1554" s="16">
        <f>COUNTIF(H$5:H1554,"Y")/COUNTA(H$5:H1554)</f>
        <v>4.9032258064516131E-2</v>
      </c>
      <c r="K1554" s="16">
        <f>AVERAGE(F$5:F1554)</f>
        <v>2.2243870967741941</v>
      </c>
      <c r="L1554" s="16">
        <f>SUM(F$5:F1554)/SUM(E$5:E1554)</f>
        <v>0.76100295766565162</v>
      </c>
    </row>
    <row r="1555" spans="1:12" x14ac:dyDescent="0.25">
      <c r="A1555" s="29">
        <v>45884</v>
      </c>
      <c r="B1555" s="16" t="s">
        <v>1601</v>
      </c>
      <c r="C1555" s="34">
        <v>1</v>
      </c>
      <c r="D1555" s="16" t="s">
        <v>60</v>
      </c>
      <c r="E1555" s="35">
        <v>1.9</v>
      </c>
      <c r="F1555" s="35">
        <v>1.5</v>
      </c>
      <c r="G1555" s="16" t="s">
        <v>44</v>
      </c>
      <c r="H1555" s="16" t="s">
        <v>45</v>
      </c>
      <c r="I1555" s="16">
        <f>COUNTIF(G$5:G1555,"Y")/COUNTA(G$5:G1555)</f>
        <v>0.87878787878787878</v>
      </c>
      <c r="J1555" s="16">
        <f>COUNTIF(H$5:H1555,"Y")/COUNTA(H$5:H1555)</f>
        <v>4.9000644745325596E-2</v>
      </c>
      <c r="K1555" s="16">
        <f>AVERAGE(F$5:F1555)</f>
        <v>2.2239200515796265</v>
      </c>
      <c r="L1555" s="16">
        <f>SUM(F$5:F1555)/SUM(E$5:E1555)</f>
        <v>0.76101489244346421</v>
      </c>
    </row>
    <row r="1556" spans="1:12" x14ac:dyDescent="0.25">
      <c r="A1556" s="29">
        <v>45880</v>
      </c>
      <c r="B1556" s="16" t="s">
        <v>1602</v>
      </c>
      <c r="C1556" s="34">
        <v>1</v>
      </c>
      <c r="D1556" s="16" t="s">
        <v>52</v>
      </c>
      <c r="E1556" s="35">
        <v>1.8</v>
      </c>
      <c r="F1556" s="35">
        <v>1.4</v>
      </c>
      <c r="G1556" s="16" t="s">
        <v>45</v>
      </c>
      <c r="H1556" s="16" t="s">
        <v>45</v>
      </c>
      <c r="I1556" s="16">
        <f>COUNTIF(G$5:G1556,"Y")/COUNTA(G$5:G1556)</f>
        <v>0.87822164948453607</v>
      </c>
      <c r="J1556" s="16">
        <f>COUNTIF(H$5:H1556,"Y")/COUNTA(H$5:H1556)</f>
        <v>4.8969072164948453E-2</v>
      </c>
      <c r="K1556" s="16">
        <f>AVERAGE(F$5:F1556)</f>
        <v>2.2233891752577324</v>
      </c>
      <c r="L1556" s="16">
        <f>SUM(F$5:F1556)/SUM(E$5:E1556)</f>
        <v>0.76102154687603407</v>
      </c>
    </row>
    <row r="1557" spans="1:12" x14ac:dyDescent="0.25">
      <c r="A1557" s="29">
        <v>45881</v>
      </c>
      <c r="B1557" s="16" t="s">
        <v>1603</v>
      </c>
      <c r="C1557" s="34">
        <v>1</v>
      </c>
      <c r="D1557" s="16" t="s">
        <v>60</v>
      </c>
      <c r="E1557" s="35">
        <v>2.6</v>
      </c>
      <c r="F1557" s="35">
        <v>1.8</v>
      </c>
      <c r="G1557" s="16" t="s">
        <v>44</v>
      </c>
      <c r="H1557" s="16" t="s">
        <v>45</v>
      </c>
      <c r="I1557" s="16">
        <f>COUNTIF(G$5:G1557,"Y")/COUNTA(G$5:G1557)</f>
        <v>0.87830006439150032</v>
      </c>
      <c r="J1557" s="16">
        <f>COUNTIF(H$5:H1557,"Y")/COUNTA(H$5:H1557)</f>
        <v>4.8937540244687702E-2</v>
      </c>
      <c r="K1557" s="16">
        <f>AVERAGE(F$5:F1557)</f>
        <v>2.2231165486155833</v>
      </c>
      <c r="L1557" s="16">
        <f>SUM(F$5:F1557)/SUM(E$5:E1557)</f>
        <v>0.76098216844100619</v>
      </c>
    </row>
    <row r="1558" spans="1:12" x14ac:dyDescent="0.25">
      <c r="A1558" s="29">
        <v>45882</v>
      </c>
      <c r="B1558" s="16" t="s">
        <v>1604</v>
      </c>
      <c r="C1558" s="34">
        <v>1</v>
      </c>
      <c r="D1558" s="16" t="s">
        <v>43</v>
      </c>
      <c r="E1558" s="35">
        <v>1.6</v>
      </c>
      <c r="F1558" s="35">
        <v>1.2</v>
      </c>
      <c r="G1558" s="16" t="s">
        <v>44</v>
      </c>
      <c r="H1558" s="16" t="s">
        <v>45</v>
      </c>
      <c r="I1558" s="16">
        <f>COUNTIF(G$5:G1558,"Y")/COUNTA(G$5:G1558)</f>
        <v>0.8783783783783784</v>
      </c>
      <c r="J1558" s="16">
        <f>COUNTIF(H$5:H1558,"Y")/COUNTA(H$5:H1558)</f>
        <v>4.8906048906048903E-2</v>
      </c>
      <c r="K1558" s="16">
        <f>AVERAGE(F$5:F1558)</f>
        <v>2.2224581724581731</v>
      </c>
      <c r="L1558" s="16">
        <f>SUM(F$5:F1558)/SUM(E$5:E1558)</f>
        <v>0.76097829679409512</v>
      </c>
    </row>
    <row r="1559" spans="1:12" x14ac:dyDescent="0.25">
      <c r="A1559" s="29">
        <v>45883</v>
      </c>
      <c r="B1559" s="16" t="s">
        <v>1605</v>
      </c>
      <c r="C1559" s="34">
        <v>1</v>
      </c>
      <c r="D1559" s="16" t="s">
        <v>43</v>
      </c>
      <c r="E1559" s="35">
        <v>4.4000000000000004</v>
      </c>
      <c r="F1559" s="35">
        <v>3.5</v>
      </c>
      <c r="G1559" s="16" t="s">
        <v>44</v>
      </c>
      <c r="H1559" s="16" t="s">
        <v>45</v>
      </c>
      <c r="I1559" s="16">
        <f>COUNTIF(G$5:G1559,"Y")/COUNTA(G$5:G1559)</f>
        <v>0.87845659163987133</v>
      </c>
      <c r="J1559" s="16">
        <f>COUNTIF(H$5:H1559,"Y")/COUNTA(H$5:H1559)</f>
        <v>4.8874598070739551E-2</v>
      </c>
      <c r="K1559" s="16">
        <f>AVERAGE(F$5:F1559)</f>
        <v>2.223279742765274</v>
      </c>
      <c r="L1559" s="16">
        <f>SUM(F$5:F1559)/SUM(E$5:E1559)</f>
        <v>0.76101168856897594</v>
      </c>
    </row>
    <row r="1560" spans="1:12" x14ac:dyDescent="0.25">
      <c r="A1560" s="29">
        <v>45884</v>
      </c>
      <c r="B1560" s="16" t="s">
        <v>1606</v>
      </c>
      <c r="C1560" s="34">
        <v>1</v>
      </c>
      <c r="D1560" s="16" t="s">
        <v>56</v>
      </c>
      <c r="E1560" s="35">
        <v>1.4</v>
      </c>
      <c r="F1560" s="35">
        <v>1.2</v>
      </c>
      <c r="G1560" s="16" t="s">
        <v>44</v>
      </c>
      <c r="H1560" s="16" t="s">
        <v>45</v>
      </c>
      <c r="I1560" s="16">
        <f>COUNTIF(G$5:G1560,"Y")/COUNTA(G$5:G1560)</f>
        <v>0.87853470437018</v>
      </c>
      <c r="J1560" s="16">
        <f>COUNTIF(H$5:H1560,"Y")/COUNTA(H$5:H1560)</f>
        <v>4.8843187660668377E-2</v>
      </c>
      <c r="K1560" s="16">
        <f>AVERAGE(F$5:F1560)</f>
        <v>2.2226221079691522</v>
      </c>
      <c r="L1560" s="16">
        <f>SUM(F$5:F1560)/SUM(E$5:E1560)</f>
        <v>0.761041304491341</v>
      </c>
    </row>
    <row r="1561" spans="1:12" x14ac:dyDescent="0.25">
      <c r="A1561" s="29">
        <v>45880</v>
      </c>
      <c r="B1561" s="16" t="s">
        <v>1607</v>
      </c>
      <c r="C1561" s="34">
        <v>1</v>
      </c>
      <c r="D1561" s="16" t="s">
        <v>50</v>
      </c>
      <c r="E1561" s="35">
        <v>3.4</v>
      </c>
      <c r="F1561" s="35">
        <v>2.8</v>
      </c>
      <c r="G1561" s="16" t="s">
        <v>44</v>
      </c>
      <c r="H1561" s="16" t="s">
        <v>45</v>
      </c>
      <c r="I1561" s="16">
        <f>COUNTIF(G$5:G1561,"Y")/COUNTA(G$5:G1561)</f>
        <v>0.87861271676300579</v>
      </c>
      <c r="J1561" s="16">
        <f>COUNTIF(H$5:H1561,"Y")/COUNTA(H$5:H1561)</f>
        <v>4.8811817597944764E-2</v>
      </c>
      <c r="K1561" s="16">
        <f>AVERAGE(F$5:F1561)</f>
        <v>2.2229929351316637</v>
      </c>
      <c r="L1561" s="16">
        <f>SUM(F$5:F1561)/SUM(E$5:E1561)</f>
        <v>0.76108802251687702</v>
      </c>
    </row>
    <row r="1562" spans="1:12" x14ac:dyDescent="0.25">
      <c r="A1562" s="29">
        <v>45881</v>
      </c>
      <c r="B1562" s="16" t="s">
        <v>1608</v>
      </c>
      <c r="C1562" s="34">
        <v>1</v>
      </c>
      <c r="D1562" s="16" t="s">
        <v>52</v>
      </c>
      <c r="E1562" s="35">
        <v>2.6</v>
      </c>
      <c r="F1562" s="35">
        <v>2</v>
      </c>
      <c r="G1562" s="16" t="s">
        <v>44</v>
      </c>
      <c r="H1562" s="16" t="s">
        <v>45</v>
      </c>
      <c r="I1562" s="16">
        <f>COUNTIF(G$5:G1562,"Y")/COUNTA(G$5:G1562)</f>
        <v>0.87869062901155326</v>
      </c>
      <c r="J1562" s="16">
        <f>COUNTIF(H$5:H1562,"Y")/COUNTA(H$5:H1562)</f>
        <v>4.878048780487805E-2</v>
      </c>
      <c r="K1562" s="16">
        <f>AVERAGE(F$5:F1562)</f>
        <v>2.2228498074454435</v>
      </c>
      <c r="L1562" s="16">
        <f>SUM(F$5:F1562)/SUM(E$5:E1562)</f>
        <v>0.76109267520822832</v>
      </c>
    </row>
    <row r="1563" spans="1:12" x14ac:dyDescent="0.25">
      <c r="A1563" s="29">
        <v>45882</v>
      </c>
      <c r="B1563" s="16" t="s">
        <v>1609</v>
      </c>
      <c r="C1563" s="34">
        <v>1</v>
      </c>
      <c r="D1563" s="16" t="s">
        <v>47</v>
      </c>
      <c r="E1563" s="35">
        <v>4.4000000000000004</v>
      </c>
      <c r="F1563" s="35">
        <v>3.3</v>
      </c>
      <c r="G1563" s="16" t="s">
        <v>44</v>
      </c>
      <c r="H1563" s="16" t="s">
        <v>45</v>
      </c>
      <c r="I1563" s="16">
        <f>COUNTIF(G$5:G1563,"Y")/COUNTA(G$5:G1563)</f>
        <v>0.87876844130853116</v>
      </c>
      <c r="J1563" s="16">
        <f>COUNTIF(H$5:H1563,"Y")/COUNTA(H$5:H1563)</f>
        <v>4.8749198203976905E-2</v>
      </c>
      <c r="K1563" s="16">
        <f>AVERAGE(F$5:F1563)</f>
        <v>2.2235407312379736</v>
      </c>
      <c r="L1563" s="16">
        <f>SUM(F$5:F1563)/SUM(E$5:E1563)</f>
        <v>0.76108195929479472</v>
      </c>
    </row>
    <row r="1564" spans="1:12" x14ac:dyDescent="0.25">
      <c r="A1564" s="29">
        <v>45883</v>
      </c>
      <c r="B1564" s="16" t="s">
        <v>1610</v>
      </c>
      <c r="C1564" s="34">
        <v>1</v>
      </c>
      <c r="D1564" s="16" t="s">
        <v>64</v>
      </c>
      <c r="E1564" s="35">
        <v>3.3</v>
      </c>
      <c r="F1564" s="35">
        <v>2.6</v>
      </c>
      <c r="G1564" s="16" t="s">
        <v>44</v>
      </c>
      <c r="H1564" s="16" t="s">
        <v>45</v>
      </c>
      <c r="I1564" s="16">
        <f>COUNTIF(G$5:G1564,"Y")/COUNTA(G$5:G1564)</f>
        <v>0.87884615384615383</v>
      </c>
      <c r="J1564" s="16">
        <f>COUNTIF(H$5:H1564,"Y")/COUNTA(H$5:H1564)</f>
        <v>4.8717948717948718E-2</v>
      </c>
      <c r="K1564" s="16">
        <f>AVERAGE(F$5:F1564)</f>
        <v>2.2237820512820519</v>
      </c>
      <c r="L1564" s="16">
        <f>SUM(F$5:F1564)/SUM(E$5:E1564)</f>
        <v>0.76110136024572217</v>
      </c>
    </row>
    <row r="1565" spans="1:12" x14ac:dyDescent="0.25">
      <c r="A1565" s="29">
        <v>45884</v>
      </c>
      <c r="B1565" s="16" t="s">
        <v>1611</v>
      </c>
      <c r="C1565" s="34">
        <v>1</v>
      </c>
      <c r="D1565" s="16" t="s">
        <v>52</v>
      </c>
      <c r="E1565" s="35">
        <v>2.8</v>
      </c>
      <c r="F1565" s="35">
        <v>2.4</v>
      </c>
      <c r="G1565" s="16" t="s">
        <v>44</v>
      </c>
      <c r="H1565" s="16" t="s">
        <v>45</v>
      </c>
      <c r="I1565" s="16">
        <f>COUNTIF(G$5:G1565,"Y")/COUNTA(G$5:G1565)</f>
        <v>0.87892376681614348</v>
      </c>
      <c r="J1565" s="16">
        <f>COUNTIF(H$5:H1565,"Y")/COUNTA(H$5:H1565)</f>
        <v>4.8686739269698909E-2</v>
      </c>
      <c r="K1565" s="16">
        <f>AVERAGE(F$5:F1565)</f>
        <v>2.2238949391415765</v>
      </c>
      <c r="L1565" s="16">
        <f>SUM(F$5:F1565)/SUM(E$5:E1565)</f>
        <v>0.76116032275039502</v>
      </c>
    </row>
    <row r="1566" spans="1:12" x14ac:dyDescent="0.25">
      <c r="A1566" s="29">
        <v>45880</v>
      </c>
      <c r="B1566" s="16" t="s">
        <v>1612</v>
      </c>
      <c r="C1566" s="34">
        <v>1</v>
      </c>
      <c r="D1566" s="16" t="s">
        <v>50</v>
      </c>
      <c r="E1566" s="35">
        <v>3.2</v>
      </c>
      <c r="F1566" s="35">
        <v>2.5</v>
      </c>
      <c r="G1566" s="16" t="s">
        <v>44</v>
      </c>
      <c r="H1566" s="16" t="s">
        <v>44</v>
      </c>
      <c r="I1566" s="16">
        <f>COUNTIF(G$5:G1566,"Y")/COUNTA(G$5:G1566)</f>
        <v>0.87900128040973113</v>
      </c>
      <c r="J1566" s="16">
        <f>COUNTIF(H$5:H1566,"Y")/COUNTA(H$5:H1566)</f>
        <v>4.9295774647887321E-2</v>
      </c>
      <c r="K1566" s="16">
        <f>AVERAGE(F$5:F1566)</f>
        <v>2.2240717029449431</v>
      </c>
      <c r="L1566" s="16">
        <f>SUM(F$5:F1566)/SUM(E$5:E1566)</f>
        <v>0.76117440841367257</v>
      </c>
    </row>
    <row r="1567" spans="1:12" x14ac:dyDescent="0.25">
      <c r="A1567" s="29">
        <v>45881</v>
      </c>
      <c r="B1567" s="16" t="s">
        <v>1613</v>
      </c>
      <c r="C1567" s="34">
        <v>1</v>
      </c>
      <c r="D1567" s="16" t="s">
        <v>60</v>
      </c>
      <c r="E1567" s="35">
        <v>3.7</v>
      </c>
      <c r="F1567" s="35">
        <v>2.7</v>
      </c>
      <c r="G1567" s="16" t="s">
        <v>44</v>
      </c>
      <c r="H1567" s="16" t="s">
        <v>45</v>
      </c>
      <c r="I1567" s="16">
        <f>COUNTIF(G$5:G1567,"Y")/COUNTA(G$5:G1567)</f>
        <v>0.87907869481765832</v>
      </c>
      <c r="J1567" s="16">
        <f>COUNTIF(H$5:H1567,"Y")/COUNTA(H$5:H1567)</f>
        <v>4.926423544465771E-2</v>
      </c>
      <c r="K1567" s="16">
        <f>AVERAGE(F$5:F1567)</f>
        <v>2.2243761996161231</v>
      </c>
      <c r="L1567" s="16">
        <f>SUM(F$5:F1567)/SUM(E$5:E1567)</f>
        <v>0.76114893710182396</v>
      </c>
    </row>
    <row r="1568" spans="1:12" x14ac:dyDescent="0.25">
      <c r="A1568" s="29">
        <v>45882</v>
      </c>
      <c r="B1568" s="16" t="s">
        <v>1614</v>
      </c>
      <c r="C1568" s="34">
        <v>1</v>
      </c>
      <c r="D1568" s="16" t="s">
        <v>52</v>
      </c>
      <c r="E1568" s="35">
        <v>2.8</v>
      </c>
      <c r="F1568" s="35">
        <v>2.6</v>
      </c>
      <c r="G1568" s="16" t="s">
        <v>44</v>
      </c>
      <c r="H1568" s="16" t="s">
        <v>45</v>
      </c>
      <c r="I1568" s="16">
        <f>COUNTIF(G$5:G1568,"Y")/COUNTA(G$5:G1568)</f>
        <v>0.87915601023017897</v>
      </c>
      <c r="J1568" s="16">
        <f>COUNTIF(H$5:H1568,"Y")/COUNTA(H$5:H1568)</f>
        <v>4.9232736572890026E-2</v>
      </c>
      <c r="K1568" s="16">
        <f>AVERAGE(F$5:F1568)</f>
        <v>2.2246163682864455</v>
      </c>
      <c r="L1568" s="16">
        <f>SUM(F$5:F1568)/SUM(E$5:E1568)</f>
        <v>0.76125150421179333</v>
      </c>
    </row>
    <row r="1569" spans="1:13" x14ac:dyDescent="0.25">
      <c r="A1569" s="29">
        <v>45883</v>
      </c>
      <c r="B1569" s="16" t="s">
        <v>1615</v>
      </c>
      <c r="C1569" s="34">
        <v>1</v>
      </c>
      <c r="D1569" s="16" t="s">
        <v>50</v>
      </c>
      <c r="E1569" s="35">
        <v>4.8</v>
      </c>
      <c r="F1569" s="35">
        <v>3.3</v>
      </c>
      <c r="G1569" s="16" t="s">
        <v>44</v>
      </c>
      <c r="H1569" s="16" t="s">
        <v>45</v>
      </c>
      <c r="I1569" s="16">
        <f>COUNTIF(G$5:G1569,"Y")/COUNTA(G$5:G1569)</f>
        <v>0.87923322683706073</v>
      </c>
      <c r="J1569" s="16">
        <f>COUNTIF(H$5:H1569,"Y")/COUNTA(H$5:H1569)</f>
        <v>4.9201277955271565E-2</v>
      </c>
      <c r="K1569" s="16">
        <f>AVERAGE(F$5:F1569)</f>
        <v>2.2253035143769972</v>
      </c>
      <c r="L1569" s="16">
        <f>SUM(F$5:F1569)/SUM(E$5:E1569)</f>
        <v>0.76117413065809925</v>
      </c>
    </row>
    <row r="1570" spans="1:13" x14ac:dyDescent="0.25">
      <c r="A1570" s="29">
        <v>45884</v>
      </c>
      <c r="B1570" s="16" t="s">
        <v>1616</v>
      </c>
      <c r="C1570" s="34">
        <v>1</v>
      </c>
      <c r="D1570" s="16" t="s">
        <v>43</v>
      </c>
      <c r="E1570" s="35">
        <v>4</v>
      </c>
      <c r="F1570" s="35">
        <v>3.6</v>
      </c>
      <c r="G1570" s="16" t="s">
        <v>44</v>
      </c>
      <c r="H1570" s="16" t="s">
        <v>45</v>
      </c>
      <c r="I1570" s="16">
        <f>COUNTIF(G$5:G1570,"Y")/COUNTA(G$5:G1570)</f>
        <v>0.87931034482758619</v>
      </c>
      <c r="J1570" s="16">
        <f>COUNTIF(H$5:H1570,"Y")/COUNTA(H$5:H1570)</f>
        <v>4.9169859514687102E-2</v>
      </c>
      <c r="K1570" s="16">
        <f>AVERAGE(F$5:F1570)</f>
        <v>2.226181353767561</v>
      </c>
      <c r="L1570" s="16">
        <f>SUM(F$5:F1570)/SUM(E$5:E1570)</f>
        <v>0.7612953944926083</v>
      </c>
    </row>
    <row r="1571" spans="1:13" x14ac:dyDescent="0.25">
      <c r="A1571" s="29">
        <v>45880</v>
      </c>
      <c r="B1571" s="16" t="s">
        <v>1617</v>
      </c>
      <c r="C1571" s="34">
        <v>1</v>
      </c>
      <c r="D1571" s="16" t="s">
        <v>64</v>
      </c>
      <c r="E1571" s="35">
        <v>0.9</v>
      </c>
      <c r="F1571" s="35">
        <v>1.8</v>
      </c>
      <c r="G1571" s="16" t="s">
        <v>44</v>
      </c>
      <c r="H1571" s="16" t="s">
        <v>45</v>
      </c>
      <c r="I1571" s="16">
        <f>COUNTIF(G$5:G1571,"Y")/COUNTA(G$5:G1571)</f>
        <v>0.8793873643905552</v>
      </c>
      <c r="J1571" s="16">
        <f>COUNTIF(H$5:H1571,"Y")/COUNTA(H$5:H1571)</f>
        <v>4.9138481174218249E-2</v>
      </c>
      <c r="K1571" s="16">
        <f>AVERAGE(F$5:F1571)</f>
        <v>2.2259093809827704</v>
      </c>
      <c r="L1571" s="16">
        <f>SUM(F$5:F1571)/SUM(E$5:E1571)</f>
        <v>0.76153879743242692</v>
      </c>
    </row>
    <row r="1572" spans="1:13" x14ac:dyDescent="0.25">
      <c r="A1572" s="29">
        <v>45881</v>
      </c>
      <c r="B1572" s="16" t="s">
        <v>1618</v>
      </c>
      <c r="C1572" s="34">
        <v>1</v>
      </c>
      <c r="D1572" s="16" t="s">
        <v>60</v>
      </c>
      <c r="E1572" s="35">
        <v>0.5</v>
      </c>
      <c r="F1572" s="35">
        <v>0.5</v>
      </c>
      <c r="G1572" s="16" t="s">
        <v>44</v>
      </c>
      <c r="H1572" s="16" t="s">
        <v>45</v>
      </c>
      <c r="I1572" s="16">
        <f>COUNTIF(G$5:G1572,"Y")/COUNTA(G$5:G1572)</f>
        <v>0.8794642857142857</v>
      </c>
      <c r="J1572" s="16">
        <f>COUNTIF(H$5:H1572,"Y")/COUNTA(H$5:H1572)</f>
        <v>4.9107142857142856E-2</v>
      </c>
      <c r="K1572" s="16">
        <f>AVERAGE(F$5:F1572)</f>
        <v>2.2248086734693882</v>
      </c>
      <c r="L1572" s="16">
        <f>SUM(F$5:F1572)/SUM(E$5:E1572)</f>
        <v>0.76156482633658651</v>
      </c>
    </row>
    <row r="1573" spans="1:13" x14ac:dyDescent="0.25">
      <c r="A1573" s="29">
        <v>45882</v>
      </c>
      <c r="B1573" s="16" t="s">
        <v>1619</v>
      </c>
      <c r="C1573" s="34">
        <v>1</v>
      </c>
      <c r="D1573" s="16" t="s">
        <v>50</v>
      </c>
      <c r="E1573" s="35">
        <v>0.5</v>
      </c>
      <c r="F1573" s="35">
        <v>0.5</v>
      </c>
      <c r="G1573" s="16" t="s">
        <v>44</v>
      </c>
      <c r="H1573" s="16" t="s">
        <v>45</v>
      </c>
      <c r="I1573" s="16">
        <f>COUNTIF(G$5:G1573,"Y")/COUNTA(G$5:G1573)</f>
        <v>0.87954110898661564</v>
      </c>
      <c r="J1573" s="16">
        <f>COUNTIF(H$5:H1573,"Y")/COUNTA(H$5:H1573)</f>
        <v>4.9075844486934354E-2</v>
      </c>
      <c r="K1573" s="16">
        <f>AVERAGE(F$5:F1573)</f>
        <v>2.2237093690248573</v>
      </c>
      <c r="L1573" s="16">
        <f>SUM(F$5:F1573)/SUM(E$5:E1573)</f>
        <v>0.76159084955906786</v>
      </c>
    </row>
    <row r="1574" spans="1:13" x14ac:dyDescent="0.25">
      <c r="A1574" s="29">
        <v>45883</v>
      </c>
      <c r="B1574" s="16" t="s">
        <v>1620</v>
      </c>
      <c r="C1574" s="34">
        <v>1</v>
      </c>
      <c r="D1574" s="16" t="s">
        <v>56</v>
      </c>
      <c r="E1574" s="35">
        <v>0.5</v>
      </c>
      <c r="F1574" s="35">
        <v>0.5</v>
      </c>
      <c r="G1574" s="16" t="s">
        <v>44</v>
      </c>
      <c r="H1574" s="16" t="s">
        <v>45</v>
      </c>
      <c r="I1574" s="16">
        <f>COUNTIF(G$5:G1574,"Y")/COUNTA(G$5:G1574)</f>
        <v>0.87961783439490449</v>
      </c>
      <c r="J1574" s="16">
        <f>COUNTIF(H$5:H1574,"Y")/COUNTA(H$5:H1574)</f>
        <v>4.9044585987261149E-2</v>
      </c>
      <c r="K1574" s="16">
        <f>AVERAGE(F$5:F1574)</f>
        <v>2.2226114649681534</v>
      </c>
      <c r="L1574" s="16">
        <f>SUM(F$5:F1574)/SUM(E$5:E1574)</f>
        <v>0.76161686710173115</v>
      </c>
    </row>
    <row r="1575" spans="1:13" x14ac:dyDescent="0.25">
      <c r="A1575" s="29">
        <v>45884</v>
      </c>
      <c r="B1575" s="16" t="s">
        <v>1621</v>
      </c>
      <c r="C1575" s="34">
        <v>1</v>
      </c>
      <c r="D1575" s="16" t="s">
        <v>43</v>
      </c>
      <c r="E1575" s="35">
        <v>0.5</v>
      </c>
      <c r="F1575" s="35">
        <v>0.5</v>
      </c>
      <c r="G1575" s="16" t="s">
        <v>44</v>
      </c>
      <c r="H1575" s="16" t="s">
        <v>44</v>
      </c>
      <c r="I1575" s="16">
        <f>COUNTIF(G$5:G1575,"Y")/COUNTA(G$5:G1575)</f>
        <v>0.87969446212603442</v>
      </c>
      <c r="J1575" s="16">
        <f>COUNTIF(H$5:H1575,"Y")/COUNTA(H$5:H1575)</f>
        <v>4.9649904519414388E-2</v>
      </c>
      <c r="K1575" s="16">
        <f>AVERAGE(F$5:F1575)</f>
        <v>2.2215149586250802</v>
      </c>
      <c r="L1575" s="16">
        <f>SUM(F$5:F1575)/SUM(E$5:E1575)</f>
        <v>0.76164287896643568</v>
      </c>
    </row>
    <row r="1576" spans="1:13" x14ac:dyDescent="0.25">
      <c r="A1576" s="29">
        <v>45880</v>
      </c>
      <c r="B1576" s="16" t="s">
        <v>1622</v>
      </c>
      <c r="C1576" s="34">
        <v>1</v>
      </c>
      <c r="D1576" s="16" t="s">
        <v>43</v>
      </c>
      <c r="E1576" s="35">
        <v>0.5</v>
      </c>
      <c r="F1576" s="35">
        <v>0.5</v>
      </c>
      <c r="G1576" s="16" t="s">
        <v>45</v>
      </c>
      <c r="H1576" s="16" t="s">
        <v>45</v>
      </c>
      <c r="I1576" s="16">
        <f>COUNTIF(G$5:G1576,"Y")/COUNTA(G$5:G1576)</f>
        <v>0.87913486005089059</v>
      </c>
      <c r="J1576" s="16">
        <f>COUNTIF(H$5:H1576,"Y")/COUNTA(H$5:H1576)</f>
        <v>4.9618320610687022E-2</v>
      </c>
      <c r="K1576" s="16">
        <f>AVERAGE(F$5:F1576)</f>
        <v>2.220419847328245</v>
      </c>
      <c r="L1576" s="16">
        <f>SUM(F$5:F1576)/SUM(E$5:E1576)</f>
        <v>0.76166888515503994</v>
      </c>
    </row>
    <row r="1577" spans="1:13" x14ac:dyDescent="0.25">
      <c r="A1577" s="29">
        <v>45881</v>
      </c>
      <c r="B1577" s="16" t="s">
        <v>1623</v>
      </c>
      <c r="C1577" s="34">
        <v>1</v>
      </c>
      <c r="D1577" s="16" t="s">
        <v>50</v>
      </c>
      <c r="E1577" s="35">
        <v>0.5</v>
      </c>
      <c r="F1577" s="35">
        <v>0.5</v>
      </c>
      <c r="G1577" s="16" t="s">
        <v>44</v>
      </c>
      <c r="H1577" s="16" t="s">
        <v>45</v>
      </c>
      <c r="I1577" s="16">
        <f>COUNTIF(G$5:G1577,"Y")/COUNTA(G$5:G1577)</f>
        <v>0.87921169739351557</v>
      </c>
      <c r="J1577" s="16">
        <f>COUNTIF(H$5:H1577,"Y")/COUNTA(H$5:H1577)</f>
        <v>4.9586776859504134E-2</v>
      </c>
      <c r="K1577" s="16">
        <f>AVERAGE(F$5:F1577)</f>
        <v>2.219326128417038</v>
      </c>
      <c r="L1577" s="16">
        <f>SUM(F$5:F1577)/SUM(E$5:E1577)</f>
        <v>0.76169488566940169</v>
      </c>
    </row>
    <row r="1578" spans="1:13" x14ac:dyDescent="0.25">
      <c r="A1578" s="29">
        <v>45882</v>
      </c>
      <c r="B1578" s="16" t="s">
        <v>1624</v>
      </c>
      <c r="C1578" s="34">
        <v>1</v>
      </c>
      <c r="D1578" s="16" t="s">
        <v>60</v>
      </c>
      <c r="E1578" s="35">
        <v>0.5</v>
      </c>
      <c r="F1578" s="35">
        <v>0.5</v>
      </c>
      <c r="G1578" s="16" t="s">
        <v>44</v>
      </c>
      <c r="H1578" s="16" t="s">
        <v>45</v>
      </c>
      <c r="I1578" s="16">
        <f>COUNTIF(G$5:G1578,"Y")/COUNTA(G$5:G1578)</f>
        <v>0.87928843710292248</v>
      </c>
      <c r="J1578" s="16">
        <f>COUNTIF(H$5:H1578,"Y")/COUNTA(H$5:H1578)</f>
        <v>4.9555273189326558E-2</v>
      </c>
      <c r="K1578" s="16">
        <f>AVERAGE(F$5:F1578)</f>
        <v>2.2182337992376118</v>
      </c>
      <c r="L1578" s="16">
        <f>SUM(F$5:F1578)/SUM(E$5:E1578)</f>
        <v>0.76172088051137765</v>
      </c>
    </row>
    <row r="1579" spans="1:13" x14ac:dyDescent="0.25">
      <c r="A1579" s="29">
        <v>45883</v>
      </c>
      <c r="B1579" s="16" t="s">
        <v>1625</v>
      </c>
      <c r="C1579" s="34">
        <v>1</v>
      </c>
      <c r="D1579" s="16" t="s">
        <v>60</v>
      </c>
      <c r="E1579" s="35">
        <v>0.5</v>
      </c>
      <c r="F1579" s="35">
        <v>0.5</v>
      </c>
      <c r="G1579" s="16" t="s">
        <v>44</v>
      </c>
      <c r="H1579" s="16" t="s">
        <v>45</v>
      </c>
      <c r="I1579" s="16">
        <f>COUNTIF(G$5:G1579,"Y")/COUNTA(G$5:G1579)</f>
        <v>0.87936507936507935</v>
      </c>
      <c r="J1579" s="16">
        <f>COUNTIF(H$5:H1579,"Y")/COUNTA(H$5:H1579)</f>
        <v>4.9523809523809526E-2</v>
      </c>
      <c r="K1579" s="16">
        <f>AVERAGE(F$5:F1579)</f>
        <v>2.2171428571428575</v>
      </c>
      <c r="L1579" s="16">
        <f>SUM(F$5:F1579)/SUM(E$5:E1579)</f>
        <v>0.76174686968282401</v>
      </c>
      <c r="M1579" s="16">
        <v>10</v>
      </c>
    </row>
    <row r="1580" spans="1:13" x14ac:dyDescent="0.25">
      <c r="A1580" s="29">
        <v>45887</v>
      </c>
      <c r="B1580" s="16" t="s">
        <v>1626</v>
      </c>
      <c r="C1580" s="34">
        <v>1</v>
      </c>
      <c r="D1580" s="16" t="s">
        <v>47</v>
      </c>
      <c r="E1580" s="35">
        <v>3.5</v>
      </c>
      <c r="F1580" s="35">
        <v>2.5</v>
      </c>
      <c r="G1580" s="16" t="s">
        <v>44</v>
      </c>
      <c r="H1580" s="16" t="s">
        <v>45</v>
      </c>
      <c r="I1580" s="16">
        <f>COUNTIF(G$5:G1580,"Y")/COUNTA(G$5:G1580)</f>
        <v>0.87944162436548223</v>
      </c>
      <c r="J1580" s="16">
        <f>COUNTIF(H$5:H1580,"Y")/COUNTA(H$5:H1580)</f>
        <v>4.9492385786802033E-2</v>
      </c>
      <c r="K1580" s="16">
        <f>AVERAGE(F$5:F1580)</f>
        <v>2.2173223350253815</v>
      </c>
      <c r="L1580" s="16">
        <f>SUM(F$5:F1580)/SUM(E$5:E1580)</f>
        <v>0.76171066111559205</v>
      </c>
    </row>
    <row r="1581" spans="1:13" x14ac:dyDescent="0.25">
      <c r="A1581" s="29">
        <v>45888</v>
      </c>
      <c r="B1581" s="16" t="s">
        <v>1627</v>
      </c>
      <c r="C1581" s="34">
        <v>1</v>
      </c>
      <c r="D1581" s="16" t="s">
        <v>47</v>
      </c>
      <c r="E1581" s="35">
        <v>1.9</v>
      </c>
      <c r="F1581" s="35">
        <v>1.7</v>
      </c>
      <c r="G1581" s="16" t="s">
        <v>44</v>
      </c>
      <c r="H1581" s="16" t="s">
        <v>45</v>
      </c>
      <c r="I1581" s="16">
        <f>COUNTIF(G$5:G1581,"Y")/COUNTA(G$5:G1581)</f>
        <v>0.87951807228915657</v>
      </c>
      <c r="J1581" s="16">
        <f>COUNTIF(H$5:H1581,"Y")/COUNTA(H$5:H1581)</f>
        <v>4.946100190234623E-2</v>
      </c>
      <c r="K1581" s="16">
        <f>AVERAGE(F$5:F1581)</f>
        <v>2.2169942929613193</v>
      </c>
      <c r="L1581" s="16">
        <f>SUM(F$5:F1581)/SUM(E$5:E1581)</f>
        <v>0.76176573121840718</v>
      </c>
    </row>
    <row r="1582" spans="1:13" x14ac:dyDescent="0.25">
      <c r="A1582" s="29">
        <v>45889</v>
      </c>
      <c r="B1582" s="16" t="s">
        <v>1628</v>
      </c>
      <c r="C1582" s="34">
        <v>1</v>
      </c>
      <c r="D1582" s="16" t="s">
        <v>60</v>
      </c>
      <c r="E1582" s="35">
        <v>4.8</v>
      </c>
      <c r="F1582" s="35">
        <v>3.3</v>
      </c>
      <c r="G1582" s="16" t="s">
        <v>44</v>
      </c>
      <c r="H1582" s="16" t="s">
        <v>45</v>
      </c>
      <c r="I1582" s="16">
        <f>COUNTIF(G$5:G1582,"Y")/COUNTA(G$5:G1582)</f>
        <v>0.87959442332065907</v>
      </c>
      <c r="J1582" s="16">
        <f>COUNTIF(H$5:H1582,"Y")/COUNTA(H$5:H1582)</f>
        <v>4.9429657794676805E-2</v>
      </c>
      <c r="K1582" s="16">
        <f>AVERAGE(F$5:F1582)</f>
        <v>2.2176806083650198</v>
      </c>
      <c r="L1582" s="16">
        <f>SUM(F$5:F1582)/SUM(E$5:E1582)</f>
        <v>0.76168814208601821</v>
      </c>
    </row>
    <row r="1583" spans="1:13" x14ac:dyDescent="0.25">
      <c r="A1583" s="29">
        <v>45890</v>
      </c>
      <c r="B1583" s="16" t="s">
        <v>1629</v>
      </c>
      <c r="C1583" s="34">
        <v>1</v>
      </c>
      <c r="D1583" s="16" t="s">
        <v>64</v>
      </c>
      <c r="E1583" s="35">
        <v>3.5</v>
      </c>
      <c r="F1583" s="35">
        <v>2.9</v>
      </c>
      <c r="G1583" s="16" t="s">
        <v>44</v>
      </c>
      <c r="H1583" s="16" t="s">
        <v>45</v>
      </c>
      <c r="I1583" s="16">
        <f>COUNTIF(G$5:G1583,"Y")/COUNTA(G$5:G1583)</f>
        <v>0.87967067764407858</v>
      </c>
      <c r="J1583" s="16">
        <f>COUNTIF(H$5:H1583,"Y")/COUNTA(H$5:H1583)</f>
        <v>4.9398353388220392E-2</v>
      </c>
      <c r="K1583" s="16">
        <f>AVERAGE(F$5:F1583)</f>
        <v>2.2181127295756813</v>
      </c>
      <c r="L1583" s="16">
        <f>SUM(F$5:F1583)/SUM(E$5:E1583)</f>
        <v>0.76173905478588089</v>
      </c>
    </row>
    <row r="1584" spans="1:13" x14ac:dyDescent="0.25">
      <c r="A1584" s="29">
        <v>45891</v>
      </c>
      <c r="B1584" s="16" t="s">
        <v>1630</v>
      </c>
      <c r="C1584" s="34">
        <v>1</v>
      </c>
      <c r="D1584" s="16" t="s">
        <v>60</v>
      </c>
      <c r="E1584" s="35">
        <v>5.6</v>
      </c>
      <c r="F1584" s="35">
        <v>4</v>
      </c>
      <c r="G1584" s="16" t="s">
        <v>44</v>
      </c>
      <c r="H1584" s="16" t="s">
        <v>45</v>
      </c>
      <c r="I1584" s="16">
        <f>COUNTIF(G$5:G1584,"Y")/COUNTA(G$5:G1584)</f>
        <v>0.879746835443038</v>
      </c>
      <c r="J1584" s="16">
        <f>COUNTIF(H$5:H1584,"Y")/COUNTA(H$5:H1584)</f>
        <v>4.9367088607594936E-2</v>
      </c>
      <c r="K1584" s="16">
        <f>AVERAGE(F$5:F1584)</f>
        <v>2.2192405063291147</v>
      </c>
      <c r="L1584" s="16">
        <f>SUM(F$5:F1584)/SUM(E$5:E1584)</f>
        <v>0.76168132942326527</v>
      </c>
    </row>
    <row r="1585" spans="1:12" x14ac:dyDescent="0.25">
      <c r="A1585" s="29">
        <v>45887</v>
      </c>
      <c r="B1585" s="16" t="s">
        <v>1631</v>
      </c>
      <c r="C1585" s="34">
        <v>1</v>
      </c>
      <c r="D1585" s="16" t="s">
        <v>64</v>
      </c>
      <c r="E1585" s="35">
        <v>3.7</v>
      </c>
      <c r="F1585" s="35">
        <v>2.5</v>
      </c>
      <c r="G1585" s="16" t="s">
        <v>44</v>
      </c>
      <c r="H1585" s="16" t="s">
        <v>45</v>
      </c>
      <c r="I1585" s="16">
        <f>COUNTIF(G$5:G1585,"Y")/COUNTA(G$5:G1585)</f>
        <v>0.87982289690069582</v>
      </c>
      <c r="J1585" s="16">
        <f>COUNTIF(H$5:H1585,"Y")/COUNTA(H$5:H1585)</f>
        <v>4.9335863377609111E-2</v>
      </c>
      <c r="K1585" s="16">
        <f>AVERAGE(F$5:F1585)</f>
        <v>2.2194180898165725</v>
      </c>
      <c r="L1585" s="16">
        <f>SUM(F$5:F1585)/SUM(E$5:E1585)</f>
        <v>0.76161225907275609</v>
      </c>
    </row>
    <row r="1586" spans="1:12" x14ac:dyDescent="0.25">
      <c r="A1586" s="29">
        <v>45888</v>
      </c>
      <c r="B1586" s="16" t="s">
        <v>1632</v>
      </c>
      <c r="C1586" s="34">
        <v>1</v>
      </c>
      <c r="D1586" s="16" t="s">
        <v>56</v>
      </c>
      <c r="E1586" s="35">
        <v>3.7</v>
      </c>
      <c r="F1586" s="35">
        <v>2.7</v>
      </c>
      <c r="G1586" s="16" t="s">
        <v>44</v>
      </c>
      <c r="H1586" s="16" t="s">
        <v>45</v>
      </c>
      <c r="I1586" s="16">
        <f>COUNTIF(G$5:G1586,"Y")/COUNTA(G$5:G1586)</f>
        <v>0.87989886219974711</v>
      </c>
      <c r="J1586" s="16">
        <f>COUNTIF(H$5:H1586,"Y")/COUNTA(H$5:H1586)</f>
        <v>4.9304677623261697E-2</v>
      </c>
      <c r="K1586" s="16">
        <f>AVERAGE(F$5:F1586)</f>
        <v>2.2197218710493054</v>
      </c>
      <c r="L1586" s="16">
        <f>SUM(F$5:F1586)/SUM(E$5:E1586)</f>
        <v>0.76158667505259314</v>
      </c>
    </row>
    <row r="1587" spans="1:12" x14ac:dyDescent="0.25">
      <c r="A1587" s="29">
        <v>45889</v>
      </c>
      <c r="B1587" s="16" t="s">
        <v>1633</v>
      </c>
      <c r="C1587" s="34">
        <v>1</v>
      </c>
      <c r="D1587" s="16" t="s">
        <v>47</v>
      </c>
      <c r="E1587" s="35">
        <v>4.4000000000000004</v>
      </c>
      <c r="F1587" s="35">
        <v>3.4</v>
      </c>
      <c r="G1587" s="16" t="s">
        <v>44</v>
      </c>
      <c r="H1587" s="16" t="s">
        <v>45</v>
      </c>
      <c r="I1587" s="16">
        <f>COUNTIF(G$5:G1587,"Y")/COUNTA(G$5:G1587)</f>
        <v>0.87997473152242578</v>
      </c>
      <c r="J1587" s="16">
        <f>COUNTIF(H$5:H1587,"Y")/COUNTA(H$5:H1587)</f>
        <v>4.9273531269740996E-2</v>
      </c>
      <c r="K1587" s="16">
        <f>AVERAGE(F$5:F1587)</f>
        <v>2.2204674668351236</v>
      </c>
      <c r="L1587" s="16">
        <f>SUM(F$5:F1587)/SUM(E$5:E1587)</f>
        <v>0.76159729595042625</v>
      </c>
    </row>
    <row r="1588" spans="1:12" x14ac:dyDescent="0.25">
      <c r="A1588" s="29">
        <v>45890</v>
      </c>
      <c r="B1588" s="16" t="s">
        <v>1634</v>
      </c>
      <c r="C1588" s="34">
        <v>1</v>
      </c>
      <c r="D1588" s="16" t="s">
        <v>43</v>
      </c>
      <c r="E1588" s="35">
        <v>3.8</v>
      </c>
      <c r="F1588" s="35">
        <v>2.8</v>
      </c>
      <c r="G1588" s="16" t="s">
        <v>44</v>
      </c>
      <c r="H1588" s="16" t="s">
        <v>45</v>
      </c>
      <c r="I1588" s="16">
        <f>COUNTIF(G$5:G1588,"Y")/COUNTA(G$5:G1588)</f>
        <v>0.88005050505050508</v>
      </c>
      <c r="J1588" s="16">
        <f>COUNTIF(H$5:H1588,"Y")/COUNTA(H$5:H1588)</f>
        <v>4.924242424242424E-2</v>
      </c>
      <c r="K1588" s="16">
        <f>AVERAGE(F$5:F1588)</f>
        <v>2.2208333333333341</v>
      </c>
      <c r="L1588" s="16">
        <f>SUM(F$5:F1588)/SUM(E$5:E1588)</f>
        <v>0.76157693057089093</v>
      </c>
    </row>
    <row r="1589" spans="1:12" x14ac:dyDescent="0.25">
      <c r="A1589" s="29">
        <v>45891</v>
      </c>
      <c r="B1589" s="16" t="s">
        <v>1635</v>
      </c>
      <c r="C1589" s="34">
        <v>1</v>
      </c>
      <c r="D1589" s="16" t="s">
        <v>56</v>
      </c>
      <c r="E1589" s="35">
        <v>3.4</v>
      </c>
      <c r="F1589" s="35">
        <v>2.7</v>
      </c>
      <c r="G1589" s="16" t="s">
        <v>44</v>
      </c>
      <c r="H1589" s="16" t="s">
        <v>45</v>
      </c>
      <c r="I1589" s="16">
        <f>COUNTIF(G$5:G1589,"Y")/COUNTA(G$5:G1589)</f>
        <v>0.88012618296529965</v>
      </c>
      <c r="J1589" s="16">
        <f>COUNTIF(H$5:H1589,"Y")/COUNTA(H$5:H1589)</f>
        <v>4.9211356466876972E-2</v>
      </c>
      <c r="K1589" s="16">
        <f>AVERAGE(F$5:F1589)</f>
        <v>2.2211356466876979</v>
      </c>
      <c r="L1589" s="16">
        <f>SUM(F$5:F1589)/SUM(E$5:E1589)</f>
        <v>0.76160086533261273</v>
      </c>
    </row>
    <row r="1590" spans="1:12" x14ac:dyDescent="0.25">
      <c r="A1590" s="29">
        <v>45887</v>
      </c>
      <c r="B1590" s="16" t="s">
        <v>1636</v>
      </c>
      <c r="C1590" s="34">
        <v>1</v>
      </c>
      <c r="D1590" s="16" t="s">
        <v>50</v>
      </c>
      <c r="E1590" s="35">
        <v>1.9</v>
      </c>
      <c r="F1590" s="35">
        <v>1.6</v>
      </c>
      <c r="G1590" s="16" t="s">
        <v>44</v>
      </c>
      <c r="H1590" s="16" t="s">
        <v>45</v>
      </c>
      <c r="I1590" s="16">
        <f>COUNTIF(G$5:G1590,"Y")/COUNTA(G$5:G1590)</f>
        <v>0.88020176544766704</v>
      </c>
      <c r="J1590" s="16">
        <f>COUNTIF(H$5:H1590,"Y")/COUNTA(H$5:H1590)</f>
        <v>4.9180327868852458E-2</v>
      </c>
      <c r="K1590" s="16">
        <f>AVERAGE(F$5:F1590)</f>
        <v>2.2207440100882727</v>
      </c>
      <c r="L1590" s="16">
        <f>SUM(F$5:F1590)/SUM(E$5:E1590)</f>
        <v>0.76163394170054544</v>
      </c>
    </row>
    <row r="1591" spans="1:12" x14ac:dyDescent="0.25">
      <c r="A1591" s="29">
        <v>45888</v>
      </c>
      <c r="B1591" s="16" t="s">
        <v>1637</v>
      </c>
      <c r="C1591" s="34">
        <v>1</v>
      </c>
      <c r="D1591" s="16" t="s">
        <v>64</v>
      </c>
      <c r="E1591" s="35">
        <v>4</v>
      </c>
      <c r="F1591" s="35">
        <v>3.2</v>
      </c>
      <c r="G1591" s="16" t="s">
        <v>44</v>
      </c>
      <c r="H1591" s="16" t="s">
        <v>45</v>
      </c>
      <c r="I1591" s="16">
        <f>COUNTIF(G$5:G1591,"Y")/COUNTA(G$5:G1591)</f>
        <v>0.88027725267800883</v>
      </c>
      <c r="J1591" s="16">
        <f>COUNTIF(H$5:H1591,"Y")/COUNTA(H$5:H1591)</f>
        <v>4.9149338374291113E-2</v>
      </c>
      <c r="K1591" s="16">
        <f>AVERAGE(F$5:F1591)</f>
        <v>2.2213610586011345</v>
      </c>
      <c r="L1591" s="16">
        <f>SUM(F$5:F1591)/SUM(E$5:E1591)</f>
        <v>0.76166709878143679</v>
      </c>
    </row>
    <row r="1592" spans="1:12" x14ac:dyDescent="0.25">
      <c r="A1592" s="29">
        <v>45889</v>
      </c>
      <c r="B1592" s="16" t="s">
        <v>1638</v>
      </c>
      <c r="C1592" s="34">
        <v>1</v>
      </c>
      <c r="D1592" s="16" t="s">
        <v>52</v>
      </c>
      <c r="E1592" s="35">
        <v>3.1</v>
      </c>
      <c r="F1592" s="35">
        <v>2.5</v>
      </c>
      <c r="G1592" s="16" t="s">
        <v>44</v>
      </c>
      <c r="H1592" s="16" t="s">
        <v>45</v>
      </c>
      <c r="I1592" s="16">
        <f>COUNTIF(G$5:G1592,"Y")/COUNTA(G$5:G1592)</f>
        <v>0.88035264483627207</v>
      </c>
      <c r="J1592" s="16">
        <f>COUNTIF(H$5:H1592,"Y")/COUNTA(H$5:H1592)</f>
        <v>4.9118387909319897E-2</v>
      </c>
      <c r="K1592" s="16">
        <f>AVERAGE(F$5:F1592)</f>
        <v>2.2215365239294713</v>
      </c>
      <c r="L1592" s="16">
        <f>SUM(F$5:F1592)/SUM(E$5:E1592)</f>
        <v>0.76169707438195011</v>
      </c>
    </row>
    <row r="1593" spans="1:12" x14ac:dyDescent="0.25">
      <c r="A1593" s="29">
        <v>45890</v>
      </c>
      <c r="B1593" s="16" t="s">
        <v>1639</v>
      </c>
      <c r="C1593" s="34">
        <v>1</v>
      </c>
      <c r="D1593" s="16" t="s">
        <v>56</v>
      </c>
      <c r="E1593" s="35">
        <v>4.0999999999999996</v>
      </c>
      <c r="F1593" s="35">
        <v>3.6</v>
      </c>
      <c r="G1593" s="16" t="s">
        <v>44</v>
      </c>
      <c r="H1593" s="16" t="s">
        <v>45</v>
      </c>
      <c r="I1593" s="16">
        <f>COUNTIF(G$5:G1593,"Y")/COUNTA(G$5:G1593)</f>
        <v>0.88042794210195097</v>
      </c>
      <c r="J1593" s="16">
        <f>COUNTIF(H$5:H1593,"Y")/COUNTA(H$5:H1593)</f>
        <v>4.9087476400251732E-2</v>
      </c>
      <c r="K1593" s="16">
        <f>AVERAGE(F$5:F1593)</f>
        <v>2.2224040276903718</v>
      </c>
      <c r="L1593" s="16">
        <f>SUM(F$5:F1593)/SUM(E$5:E1593)</f>
        <v>0.76179998274225591</v>
      </c>
    </row>
    <row r="1594" spans="1:12" x14ac:dyDescent="0.25">
      <c r="A1594" s="29">
        <v>45891</v>
      </c>
      <c r="B1594" s="16" t="s">
        <v>1640</v>
      </c>
      <c r="C1594" s="34">
        <v>1</v>
      </c>
      <c r="D1594" s="16" t="s">
        <v>47</v>
      </c>
      <c r="E1594" s="35">
        <v>2.2999999999999998</v>
      </c>
      <c r="F1594" s="35">
        <v>1.8</v>
      </c>
      <c r="G1594" s="16" t="s">
        <v>44</v>
      </c>
      <c r="H1594" s="16" t="s">
        <v>45</v>
      </c>
      <c r="I1594" s="16">
        <f>COUNTIF(G$5:G1594,"Y")/COUNTA(G$5:G1594)</f>
        <v>0.88050314465408808</v>
      </c>
      <c r="J1594" s="16">
        <f>COUNTIF(H$5:H1594,"Y")/COUNTA(H$5:H1594)</f>
        <v>4.9056603773584909E-2</v>
      </c>
      <c r="K1594" s="16">
        <f>AVERAGE(F$5:F1594)</f>
        <v>2.2221383647798745</v>
      </c>
      <c r="L1594" s="16">
        <f>SUM(F$5:F1594)/SUM(E$5:E1594)</f>
        <v>0.76181030207637113</v>
      </c>
    </row>
    <row r="1595" spans="1:12" x14ac:dyDescent="0.25">
      <c r="A1595" s="29">
        <v>45887</v>
      </c>
      <c r="B1595" s="16" t="s">
        <v>1641</v>
      </c>
      <c r="C1595" s="34">
        <v>1</v>
      </c>
      <c r="D1595" s="16" t="s">
        <v>43</v>
      </c>
      <c r="E1595" s="35">
        <v>4.9000000000000004</v>
      </c>
      <c r="F1595" s="35">
        <v>3.6</v>
      </c>
      <c r="G1595" s="16" t="s">
        <v>44</v>
      </c>
      <c r="H1595" s="16" t="s">
        <v>45</v>
      </c>
      <c r="I1595" s="16">
        <f>COUNTIF(G$5:G1595,"Y")/COUNTA(G$5:G1595)</f>
        <v>0.88057825267127587</v>
      </c>
      <c r="J1595" s="16">
        <f>COUNTIF(H$5:H1595,"Y")/COUNTA(H$5:H1595)</f>
        <v>4.9025769956002517E-2</v>
      </c>
      <c r="K1595" s="16">
        <f>AVERAGE(F$5:F1595)</f>
        <v>2.2230043997485862</v>
      </c>
      <c r="L1595" s="16">
        <f>SUM(F$5:F1595)/SUM(E$5:E1595)</f>
        <v>0.7617816834668738</v>
      </c>
    </row>
    <row r="1596" spans="1:12" x14ac:dyDescent="0.25">
      <c r="A1596" s="29">
        <v>45888</v>
      </c>
      <c r="B1596" s="16" t="s">
        <v>1642</v>
      </c>
      <c r="C1596" s="34">
        <v>1</v>
      </c>
      <c r="D1596" s="16" t="s">
        <v>60</v>
      </c>
      <c r="E1596" s="35">
        <v>2.6</v>
      </c>
      <c r="F1596" s="35">
        <v>1.9</v>
      </c>
      <c r="G1596" s="16" t="s">
        <v>45</v>
      </c>
      <c r="H1596" s="16" t="s">
        <v>45</v>
      </c>
      <c r="I1596" s="16">
        <f>COUNTIF(G$5:G1596,"Y")/COUNTA(G$5:G1596)</f>
        <v>0.88002512562814073</v>
      </c>
      <c r="J1596" s="16">
        <f>COUNTIF(H$5:H1596,"Y")/COUNTA(H$5:H1596)</f>
        <v>4.8994974874371856E-2</v>
      </c>
      <c r="K1596" s="16">
        <f>AVERAGE(F$5:F1596)</f>
        <v>2.2228015075376888</v>
      </c>
      <c r="L1596" s="16">
        <f>SUM(F$5:F1596)/SUM(E$5:E1596)</f>
        <v>0.76176432599991428</v>
      </c>
    </row>
    <row r="1597" spans="1:12" x14ac:dyDescent="0.25">
      <c r="A1597" s="29">
        <v>45889</v>
      </c>
      <c r="B1597" s="16" t="s">
        <v>1643</v>
      </c>
      <c r="C1597" s="34">
        <v>1</v>
      </c>
      <c r="D1597" s="16" t="s">
        <v>43</v>
      </c>
      <c r="E1597" s="35">
        <v>2.8</v>
      </c>
      <c r="F1597" s="35">
        <v>2.4</v>
      </c>
      <c r="G1597" s="16" t="s">
        <v>44</v>
      </c>
      <c r="H1597" s="16" t="s">
        <v>45</v>
      </c>
      <c r="I1597" s="16">
        <f>COUNTIF(G$5:G1597,"Y")/COUNTA(G$5:G1597)</f>
        <v>0.88010043942247329</v>
      </c>
      <c r="J1597" s="16">
        <f>COUNTIF(H$5:H1597,"Y")/COUNTA(H$5:H1597)</f>
        <v>4.8964218455743877E-2</v>
      </c>
      <c r="K1597" s="16">
        <f>AVERAGE(F$5:F1597)</f>
        <v>2.2229127432517268</v>
      </c>
      <c r="L1597" s="16">
        <f>SUM(F$5:F1597)/SUM(E$5:E1597)</f>
        <v>0.76182178047416238</v>
      </c>
    </row>
    <row r="1598" spans="1:12" x14ac:dyDescent="0.25">
      <c r="A1598" s="29">
        <v>45890</v>
      </c>
      <c r="B1598" s="16" t="s">
        <v>1644</v>
      </c>
      <c r="C1598" s="34">
        <v>1</v>
      </c>
      <c r="D1598" s="16" t="s">
        <v>60</v>
      </c>
      <c r="E1598" s="35">
        <v>2.1</v>
      </c>
      <c r="F1598" s="35">
        <v>1.7</v>
      </c>
      <c r="G1598" s="16" t="s">
        <v>44</v>
      </c>
      <c r="H1598" s="16" t="s">
        <v>45</v>
      </c>
      <c r="I1598" s="16">
        <f>COUNTIF(G$5:G1598,"Y")/COUNTA(G$5:G1598)</f>
        <v>0.88017565872020076</v>
      </c>
      <c r="J1598" s="16">
        <f>COUNTIF(H$5:H1598,"Y")/COUNTA(H$5:H1598)</f>
        <v>4.8933500627352571E-2</v>
      </c>
      <c r="K1598" s="16">
        <f>AVERAGE(F$5:F1598)</f>
        <v>2.2225846925972399</v>
      </c>
      <c r="L1598" s="16">
        <f>SUM(F$5:F1598)/SUM(E$5:E1598)</f>
        <v>0.7618433219362194</v>
      </c>
    </row>
    <row r="1599" spans="1:12" x14ac:dyDescent="0.25">
      <c r="A1599" s="29">
        <v>45891</v>
      </c>
      <c r="B1599" s="16" t="s">
        <v>1645</v>
      </c>
      <c r="C1599" s="34">
        <v>1</v>
      </c>
      <c r="D1599" s="16" t="s">
        <v>50</v>
      </c>
      <c r="E1599" s="35">
        <v>4.7</v>
      </c>
      <c r="F1599" s="35">
        <v>3.6</v>
      </c>
      <c r="G1599" s="16" t="s">
        <v>44</v>
      </c>
      <c r="H1599" s="16" t="s">
        <v>45</v>
      </c>
      <c r="I1599" s="16">
        <f>COUNTIF(G$5:G1599,"Y")/COUNTA(G$5:G1599)</f>
        <v>0.88025078369905951</v>
      </c>
      <c r="J1599" s="16">
        <f>COUNTIF(H$5:H1599,"Y")/COUNTA(H$5:H1599)</f>
        <v>4.8902821316614421E-2</v>
      </c>
      <c r="K1599" s="16">
        <f>AVERAGE(F$5:F1599)</f>
        <v>2.2234482758620695</v>
      </c>
      <c r="L1599" s="16">
        <f>SUM(F$5:F1599)/SUM(E$5:E1599)</f>
        <v>0.7618474758324385</v>
      </c>
    </row>
    <row r="1600" spans="1:12" x14ac:dyDescent="0.25">
      <c r="A1600" s="29">
        <v>45887</v>
      </c>
      <c r="B1600" s="16" t="s">
        <v>1646</v>
      </c>
      <c r="C1600" s="34">
        <v>1</v>
      </c>
      <c r="D1600" s="16" t="s">
        <v>56</v>
      </c>
      <c r="E1600" s="35">
        <v>3.6</v>
      </c>
      <c r="F1600" s="35">
        <v>2.8</v>
      </c>
      <c r="G1600" s="16" t="s">
        <v>44</v>
      </c>
      <c r="H1600" s="16" t="s">
        <v>45</v>
      </c>
      <c r="I1600" s="16">
        <f>COUNTIF(G$5:G1600,"Y")/COUNTA(G$5:G1600)</f>
        <v>0.88032581453634084</v>
      </c>
      <c r="J1600" s="16">
        <f>COUNTIF(H$5:H1600,"Y")/COUNTA(H$5:H1600)</f>
        <v>4.8872180451127817E-2</v>
      </c>
      <c r="K1600" s="16">
        <f>AVERAGE(F$5:F1600)</f>
        <v>2.2238095238095243</v>
      </c>
      <c r="L1600" s="16">
        <f>SUM(F$5:F1600)/SUM(E$5:E1600)</f>
        <v>0.76185978620186345</v>
      </c>
    </row>
    <row r="1601" spans="1:12" x14ac:dyDescent="0.25">
      <c r="A1601" s="29">
        <v>45888</v>
      </c>
      <c r="B1601" s="16" t="s">
        <v>1647</v>
      </c>
      <c r="C1601" s="34">
        <v>1</v>
      </c>
      <c r="D1601" s="16" t="s">
        <v>47</v>
      </c>
      <c r="E1601" s="35">
        <v>3.5</v>
      </c>
      <c r="F1601" s="35">
        <v>3.1</v>
      </c>
      <c r="G1601" s="16" t="s">
        <v>44</v>
      </c>
      <c r="H1601" s="16" t="s">
        <v>45</v>
      </c>
      <c r="I1601" s="16">
        <f>COUNTIF(G$5:G1601,"Y")/COUNTA(G$5:G1601)</f>
        <v>0.88040075140889162</v>
      </c>
      <c r="J1601" s="16">
        <f>COUNTIF(H$5:H1601,"Y")/COUNTA(H$5:H1601)</f>
        <v>4.8841577958672514E-2</v>
      </c>
      <c r="K1601" s="16">
        <f>AVERAGE(F$5:F1601)</f>
        <v>2.2243581715716974</v>
      </c>
      <c r="L1601" s="16">
        <f>SUM(F$5:F1601)/SUM(E$5:E1601)</f>
        <v>0.76195276806589329</v>
      </c>
    </row>
    <row r="1602" spans="1:12" x14ac:dyDescent="0.25">
      <c r="A1602" s="29">
        <v>45889</v>
      </c>
      <c r="B1602" s="16" t="s">
        <v>1648</v>
      </c>
      <c r="C1602" s="34">
        <v>1</v>
      </c>
      <c r="D1602" s="16" t="s">
        <v>50</v>
      </c>
      <c r="E1602" s="35">
        <v>1.9</v>
      </c>
      <c r="F1602" s="35">
        <v>1.6</v>
      </c>
      <c r="G1602" s="16" t="s">
        <v>44</v>
      </c>
      <c r="H1602" s="16" t="s">
        <v>45</v>
      </c>
      <c r="I1602" s="16">
        <f>COUNTIF(G$5:G1602,"Y")/COUNTA(G$5:G1602)</f>
        <v>0.88047559449311641</v>
      </c>
      <c r="J1602" s="16">
        <f>COUNTIF(H$5:H1602,"Y")/COUNTA(H$5:H1602)</f>
        <v>4.8811013767209012E-2</v>
      </c>
      <c r="K1602" s="16">
        <f>AVERAGE(F$5:F1602)</f>
        <v>2.2239674593241556</v>
      </c>
      <c r="L1602" s="16">
        <f>SUM(F$5:F1602)/SUM(E$5:E1602)</f>
        <v>0.76198542024013749</v>
      </c>
    </row>
    <row r="1603" spans="1:12" x14ac:dyDescent="0.25">
      <c r="A1603" s="29">
        <v>45890</v>
      </c>
      <c r="B1603" s="16" t="s">
        <v>1649</v>
      </c>
      <c r="C1603" s="34">
        <v>1</v>
      </c>
      <c r="D1603" s="16" t="s">
        <v>56</v>
      </c>
      <c r="E1603" s="35">
        <v>2.7</v>
      </c>
      <c r="F1603" s="35">
        <v>1.9</v>
      </c>
      <c r="G1603" s="16" t="s">
        <v>44</v>
      </c>
      <c r="H1603" s="16" t="s">
        <v>45</v>
      </c>
      <c r="I1603" s="16">
        <f>COUNTIF(G$5:G1603,"Y")/COUNTA(G$5:G1603)</f>
        <v>0.88055034396497811</v>
      </c>
      <c r="J1603" s="16">
        <f>COUNTIF(H$5:H1603,"Y")/COUNTA(H$5:H1603)</f>
        <v>4.878048780487805E-2</v>
      </c>
      <c r="K1603" s="16">
        <f>AVERAGE(F$5:F1603)</f>
        <v>2.223764853033146</v>
      </c>
      <c r="L1603" s="16">
        <f>SUM(F$5:F1603)/SUM(E$5:E1603)</f>
        <v>0.76195170034499782</v>
      </c>
    </row>
    <row r="1604" spans="1:12" x14ac:dyDescent="0.25">
      <c r="A1604" s="29">
        <v>45891</v>
      </c>
      <c r="B1604" s="16" t="s">
        <v>1650</v>
      </c>
      <c r="C1604" s="34">
        <v>1</v>
      </c>
      <c r="D1604" s="16" t="s">
        <v>60</v>
      </c>
      <c r="E1604" s="35">
        <v>3.7</v>
      </c>
      <c r="F1604" s="35">
        <v>3.1</v>
      </c>
      <c r="G1604" s="16" t="s">
        <v>44</v>
      </c>
      <c r="H1604" s="16" t="s">
        <v>45</v>
      </c>
      <c r="I1604" s="16">
        <f>COUNTIF(G$5:G1604,"Y")/COUNTA(G$5:G1604)</f>
        <v>0.88062499999999999</v>
      </c>
      <c r="J1604" s="16">
        <f>COUNTIF(H$5:H1604,"Y")/COUNTA(H$5:H1604)</f>
        <v>4.8750000000000002E-2</v>
      </c>
      <c r="K1604" s="16">
        <f>AVERAGE(F$5:F1604)</f>
        <v>2.2243125000000004</v>
      </c>
      <c r="L1604" s="16">
        <f>SUM(F$5:F1604)/SUM(E$5:E1604)</f>
        <v>0.76201181911613602</v>
      </c>
    </row>
    <row r="1605" spans="1:12" x14ac:dyDescent="0.25">
      <c r="A1605" s="29">
        <v>45887</v>
      </c>
      <c r="B1605" s="16" t="s">
        <v>1651</v>
      </c>
      <c r="C1605" s="34">
        <v>1</v>
      </c>
      <c r="D1605" s="16" t="s">
        <v>47</v>
      </c>
      <c r="E1605" s="35">
        <v>5.5</v>
      </c>
      <c r="F1605" s="35">
        <v>3.7</v>
      </c>
      <c r="G1605" s="16" t="s">
        <v>44</v>
      </c>
      <c r="H1605" s="16" t="s">
        <v>45</v>
      </c>
      <c r="I1605" s="16">
        <f>COUNTIF(G$5:G1605,"Y")/COUNTA(G$5:G1605)</f>
        <v>0.88069956277326666</v>
      </c>
      <c r="J1605" s="16">
        <f>COUNTIF(H$5:H1605,"Y")/COUNTA(H$5:H1605)</f>
        <v>4.8719550281074331E-2</v>
      </c>
      <c r="K1605" s="16">
        <f>AVERAGE(F$5:F1605)</f>
        <v>2.2252342286071207</v>
      </c>
      <c r="L1605" s="16">
        <f>SUM(F$5:F1605)/SUM(E$5:E1605)</f>
        <v>0.76190679869116129</v>
      </c>
    </row>
    <row r="1606" spans="1:12" x14ac:dyDescent="0.25">
      <c r="A1606" s="29">
        <v>45888</v>
      </c>
      <c r="B1606" s="16" t="s">
        <v>1652</v>
      </c>
      <c r="C1606" s="34">
        <v>1</v>
      </c>
      <c r="D1606" s="16" t="s">
        <v>47</v>
      </c>
      <c r="E1606" s="35">
        <v>2.9</v>
      </c>
      <c r="F1606" s="35">
        <v>2.6</v>
      </c>
      <c r="G1606" s="16" t="s">
        <v>44</v>
      </c>
      <c r="H1606" s="16" t="s">
        <v>45</v>
      </c>
      <c r="I1606" s="16">
        <f>COUNTIF(G$5:G1606,"Y")/COUNTA(G$5:G1606)</f>
        <v>0.88077403245942576</v>
      </c>
      <c r="J1606" s="16">
        <f>COUNTIF(H$5:H1606,"Y")/COUNTA(H$5:H1606)</f>
        <v>4.8689138576779027E-2</v>
      </c>
      <c r="K1606" s="16">
        <f>AVERAGE(F$5:F1606)</f>
        <v>2.2254681647940076</v>
      </c>
      <c r="L1606" s="16">
        <f>SUM(F$5:F1606)/SUM(E$5:E1606)</f>
        <v>0.76199025391125963</v>
      </c>
    </row>
    <row r="1607" spans="1:12" x14ac:dyDescent="0.25">
      <c r="A1607" s="29">
        <v>45889</v>
      </c>
      <c r="B1607" s="16" t="s">
        <v>1653</v>
      </c>
      <c r="C1607" s="34">
        <v>1</v>
      </c>
      <c r="D1607" s="16" t="s">
        <v>64</v>
      </c>
      <c r="E1607" s="35">
        <v>4.3</v>
      </c>
      <c r="F1607" s="35">
        <v>3.7</v>
      </c>
      <c r="G1607" s="16" t="s">
        <v>44</v>
      </c>
      <c r="H1607" s="16" t="s">
        <v>45</v>
      </c>
      <c r="I1607" s="16">
        <f>COUNTIF(G$5:G1607,"Y")/COUNTA(G$5:G1607)</f>
        <v>0.8808484092326887</v>
      </c>
      <c r="J1607" s="16">
        <f>COUNTIF(H$5:H1607,"Y")/COUNTA(H$5:H1607)</f>
        <v>4.8658764815970056E-2</v>
      </c>
      <c r="K1607" s="16">
        <f>AVERAGE(F$5:F1607)</f>
        <v>2.2263880224578916</v>
      </c>
      <c r="L1607" s="16">
        <f>SUM(F$5:F1607)/SUM(E$5:E1607)</f>
        <v>0.7620806730584444</v>
      </c>
    </row>
    <row r="1608" spans="1:12" x14ac:dyDescent="0.25">
      <c r="A1608" s="29">
        <v>45890</v>
      </c>
      <c r="B1608" s="16" t="s">
        <v>1654</v>
      </c>
      <c r="C1608" s="34">
        <v>1</v>
      </c>
      <c r="D1608" s="16" t="s">
        <v>60</v>
      </c>
      <c r="E1608" s="35">
        <v>4.2</v>
      </c>
      <c r="F1608" s="35">
        <v>2.9</v>
      </c>
      <c r="G1608" s="16" t="s">
        <v>44</v>
      </c>
      <c r="H1608" s="16" t="s">
        <v>45</v>
      </c>
      <c r="I1608" s="16">
        <f>COUNTIF(G$5:G1608,"Y")/COUNTA(G$5:G1608)</f>
        <v>0.88092269326683292</v>
      </c>
      <c r="J1608" s="16">
        <f>COUNTIF(H$5:H1608,"Y")/COUNTA(H$5:H1608)</f>
        <v>4.8628428927680795E-2</v>
      </c>
      <c r="K1608" s="16">
        <f>AVERAGE(F$5:F1608)</f>
        <v>2.2268079800498755</v>
      </c>
      <c r="L1608" s="16">
        <f>SUM(F$5:F1608)/SUM(E$5:E1608)</f>
        <v>0.7620165127045424</v>
      </c>
    </row>
    <row r="1609" spans="1:12" x14ac:dyDescent="0.25">
      <c r="A1609" s="29">
        <v>45891</v>
      </c>
      <c r="B1609" s="16" t="s">
        <v>1655</v>
      </c>
      <c r="C1609" s="34">
        <v>1</v>
      </c>
      <c r="D1609" s="16" t="s">
        <v>43</v>
      </c>
      <c r="E1609" s="35">
        <v>4.9000000000000004</v>
      </c>
      <c r="F1609" s="35">
        <v>3.8</v>
      </c>
      <c r="G1609" s="16" t="s">
        <v>44</v>
      </c>
      <c r="H1609" s="16" t="s">
        <v>45</v>
      </c>
      <c r="I1609" s="16">
        <f>COUNTIF(G$5:G1609,"Y")/COUNTA(G$5:G1609)</f>
        <v>0.88099688473520255</v>
      </c>
      <c r="J1609" s="16">
        <f>COUNTIF(H$5:H1609,"Y")/COUNTA(H$5:H1609)</f>
        <v>4.8598130841121495E-2</v>
      </c>
      <c r="K1609" s="16">
        <f>AVERAGE(F$5:F1609)</f>
        <v>2.2277881619937698</v>
      </c>
      <c r="L1609" s="16">
        <f>SUM(F$5:F1609)/SUM(E$5:E1609)</f>
        <v>0.76203060398107536</v>
      </c>
    </row>
    <row r="1610" spans="1:12" x14ac:dyDescent="0.25">
      <c r="A1610" s="29">
        <v>45887</v>
      </c>
      <c r="B1610" s="16" t="s">
        <v>1656</v>
      </c>
      <c r="C1610" s="34">
        <v>1</v>
      </c>
      <c r="D1610" s="16" t="s">
        <v>52</v>
      </c>
      <c r="E1610" s="35">
        <v>3</v>
      </c>
      <c r="F1610" s="35">
        <v>2.2000000000000002</v>
      </c>
      <c r="G1610" s="16" t="s">
        <v>44</v>
      </c>
      <c r="H1610" s="16" t="s">
        <v>45</v>
      </c>
      <c r="I1610" s="16">
        <f>COUNTIF(G$5:G1610,"Y")/COUNTA(G$5:G1610)</f>
        <v>0.88107098381070981</v>
      </c>
      <c r="J1610" s="16">
        <f>COUNTIF(H$5:H1610,"Y")/COUNTA(H$5:H1610)</f>
        <v>4.8567870485678705E-2</v>
      </c>
      <c r="K1610" s="16">
        <f>AVERAGE(F$5:F1610)</f>
        <v>2.2277708592777086</v>
      </c>
      <c r="L1610" s="16">
        <f>SUM(F$5:F1610)/SUM(E$5:E1610)</f>
        <v>0.76201226784801535</v>
      </c>
    </row>
    <row r="1611" spans="1:12" x14ac:dyDescent="0.25">
      <c r="A1611" s="29">
        <v>45888</v>
      </c>
      <c r="B1611" s="16" t="s">
        <v>1657</v>
      </c>
      <c r="C1611" s="34">
        <v>1</v>
      </c>
      <c r="D1611" s="16" t="s">
        <v>43</v>
      </c>
      <c r="E1611" s="35">
        <v>2.1</v>
      </c>
      <c r="F1611" s="35">
        <v>1.4</v>
      </c>
      <c r="G1611" s="16" t="s">
        <v>45</v>
      </c>
      <c r="H1611" s="16" t="s">
        <v>45</v>
      </c>
      <c r="I1611" s="16">
        <f>COUNTIF(G$5:G1611,"Y")/COUNTA(G$5:G1611)</f>
        <v>0.88052271313005603</v>
      </c>
      <c r="J1611" s="16">
        <f>COUNTIF(H$5:H1611,"Y")/COUNTA(H$5:H1611)</f>
        <v>4.8537647790914747E-2</v>
      </c>
      <c r="K1611" s="16">
        <f>AVERAGE(F$5:F1611)</f>
        <v>2.2272557560672062</v>
      </c>
      <c r="L1611" s="16">
        <f>SUM(F$5:F1611)/SUM(E$5:E1611)</f>
        <v>0.76196964213484375</v>
      </c>
    </row>
    <row r="1612" spans="1:12" x14ac:dyDescent="0.25">
      <c r="A1612" s="29">
        <v>45889</v>
      </c>
      <c r="B1612" s="16" t="s">
        <v>1658</v>
      </c>
      <c r="C1612" s="34">
        <v>1</v>
      </c>
      <c r="D1612" s="16" t="s">
        <v>52</v>
      </c>
      <c r="E1612" s="35">
        <v>3.9</v>
      </c>
      <c r="F1612" s="35">
        <v>3.3</v>
      </c>
      <c r="G1612" s="16" t="s">
        <v>44</v>
      </c>
      <c r="H1612" s="16" t="s">
        <v>45</v>
      </c>
      <c r="I1612" s="16">
        <f>COUNTIF(G$5:G1612,"Y")/COUNTA(G$5:G1612)</f>
        <v>0.88059701492537312</v>
      </c>
      <c r="J1612" s="16">
        <f>COUNTIF(H$5:H1612,"Y")/COUNTA(H$5:H1612)</f>
        <v>4.8507462686567165E-2</v>
      </c>
      <c r="K1612" s="16">
        <f>AVERAGE(F$5:F1612)</f>
        <v>2.2279228855721396</v>
      </c>
      <c r="L1612" s="16">
        <f>SUM(F$5:F1612)/SUM(E$5:E1612)</f>
        <v>0.76203947928188587</v>
      </c>
    </row>
    <row r="1613" spans="1:12" x14ac:dyDescent="0.25">
      <c r="A1613" s="29">
        <v>45890</v>
      </c>
      <c r="B1613" s="16" t="s">
        <v>1659</v>
      </c>
      <c r="C1613" s="34">
        <v>1</v>
      </c>
      <c r="D1613" s="16" t="s">
        <v>64</v>
      </c>
      <c r="E1613" s="35">
        <v>2.1</v>
      </c>
      <c r="F1613" s="35">
        <v>1.5</v>
      </c>
      <c r="G1613" s="16" t="s">
        <v>45</v>
      </c>
      <c r="H1613" s="16" t="s">
        <v>45</v>
      </c>
      <c r="I1613" s="16">
        <f>COUNTIF(G$5:G1613,"Y")/COUNTA(G$5:G1613)</f>
        <v>0.88004972032318207</v>
      </c>
      <c r="J1613" s="16">
        <f>COUNTIF(H$5:H1613,"Y")/COUNTA(H$5:H1613)</f>
        <v>4.8477315102548164E-2</v>
      </c>
      <c r="K1613" s="16">
        <f>AVERAGE(F$5:F1613)</f>
        <v>2.2274704785581108</v>
      </c>
      <c r="L1613" s="16">
        <f>SUM(F$5:F1613)/SUM(E$5:E1613)</f>
        <v>0.76201815746390866</v>
      </c>
    </row>
    <row r="1614" spans="1:12" x14ac:dyDescent="0.25">
      <c r="A1614" s="29">
        <v>45891</v>
      </c>
      <c r="B1614" s="16" t="s">
        <v>1660</v>
      </c>
      <c r="C1614" s="34">
        <v>1</v>
      </c>
      <c r="D1614" s="16" t="s">
        <v>43</v>
      </c>
      <c r="E1614" s="35">
        <v>5.2</v>
      </c>
      <c r="F1614" s="35">
        <v>3.9</v>
      </c>
      <c r="G1614" s="16" t="s">
        <v>44</v>
      </c>
      <c r="H1614" s="16" t="s">
        <v>45</v>
      </c>
      <c r="I1614" s="16">
        <f>COUNTIF(G$5:G1614,"Y")/COUNTA(G$5:G1614)</f>
        <v>0.88012422360248443</v>
      </c>
      <c r="J1614" s="16">
        <f>COUNTIF(H$5:H1614,"Y")/COUNTA(H$5:H1614)</f>
        <v>4.8447204968944099E-2</v>
      </c>
      <c r="K1614" s="16">
        <f>AVERAGE(F$5:F1614)</f>
        <v>2.2285093167701868</v>
      </c>
      <c r="L1614" s="16">
        <f>SUM(F$5:F1614)/SUM(E$5:E1614)</f>
        <v>0.76200488478284001</v>
      </c>
    </row>
    <row r="1615" spans="1:12" x14ac:dyDescent="0.25">
      <c r="A1615" s="29">
        <v>45887</v>
      </c>
      <c r="B1615" s="16" t="s">
        <v>1661</v>
      </c>
      <c r="C1615" s="34">
        <v>1</v>
      </c>
      <c r="D1615" s="16" t="s">
        <v>47</v>
      </c>
      <c r="E1615" s="35">
        <v>5.4</v>
      </c>
      <c r="F1615" s="35">
        <v>3.6</v>
      </c>
      <c r="G1615" s="16" t="s">
        <v>44</v>
      </c>
      <c r="H1615" s="16" t="s">
        <v>45</v>
      </c>
      <c r="I1615" s="16">
        <f>COUNTIF(G$5:G1615,"Y")/COUNTA(G$5:G1615)</f>
        <v>0.88019863438857848</v>
      </c>
      <c r="J1615" s="16">
        <f>COUNTIF(H$5:H1615,"Y")/COUNTA(H$5:H1615)</f>
        <v>4.8417132216014895E-2</v>
      </c>
      <c r="K1615" s="16">
        <f>AVERAGE(F$5:F1615)</f>
        <v>2.2293606455617629</v>
      </c>
      <c r="L1615" s="16">
        <f>SUM(F$5:F1615)/SUM(E$5:E1615)</f>
        <v>0.76189567025180893</v>
      </c>
    </row>
    <row r="1616" spans="1:12" x14ac:dyDescent="0.25">
      <c r="A1616" s="29">
        <v>45888</v>
      </c>
      <c r="B1616" s="16" t="s">
        <v>1662</v>
      </c>
      <c r="C1616" s="34">
        <v>1</v>
      </c>
      <c r="D1616" s="16" t="s">
        <v>56</v>
      </c>
      <c r="E1616" s="35">
        <v>4.7</v>
      </c>
      <c r="F1616" s="35">
        <v>3.9</v>
      </c>
      <c r="G1616" s="16" t="s">
        <v>45</v>
      </c>
      <c r="H1616" s="16" t="s">
        <v>45</v>
      </c>
      <c r="I1616" s="16">
        <f>COUNTIF(G$5:G1616,"Y")/COUNTA(G$5:G1616)</f>
        <v>0.8796526054590571</v>
      </c>
      <c r="J1616" s="16">
        <f>COUNTIF(H$5:H1616,"Y")/COUNTA(H$5:H1616)</f>
        <v>4.8387096774193547E-2</v>
      </c>
      <c r="K1616" s="16">
        <f>AVERAGE(F$5:F1616)</f>
        <v>2.2303970223325065</v>
      </c>
      <c r="L1616" s="16">
        <f>SUM(F$5:F1616)/SUM(E$5:E1616)</f>
        <v>0.76196329419743192</v>
      </c>
    </row>
    <row r="1617" spans="1:13" x14ac:dyDescent="0.25">
      <c r="A1617" s="29">
        <v>45889</v>
      </c>
      <c r="B1617" s="16" t="s">
        <v>1663</v>
      </c>
      <c r="C1617" s="34">
        <v>1</v>
      </c>
      <c r="D1617" s="16" t="s">
        <v>64</v>
      </c>
      <c r="E1617" s="35">
        <v>4.5999999999999996</v>
      </c>
      <c r="F1617" s="35">
        <v>3.8</v>
      </c>
      <c r="G1617" s="16" t="s">
        <v>45</v>
      </c>
      <c r="H1617" s="16" t="s">
        <v>44</v>
      </c>
      <c r="I1617" s="16">
        <f>COUNTIF(G$5:G1617,"Y")/COUNTA(G$5:G1617)</f>
        <v>0.87910725356478614</v>
      </c>
      <c r="J1617" s="16">
        <f>COUNTIF(H$5:H1617,"Y")/COUNTA(H$5:H1617)</f>
        <v>4.8977061376317424E-2</v>
      </c>
      <c r="K1617" s="16">
        <f>AVERAGE(F$5:F1617)</f>
        <v>2.2313701177929328</v>
      </c>
      <c r="L1617" s="16">
        <f>SUM(F$5:F1617)/SUM(E$5:E1617)</f>
        <v>0.76202574525745304</v>
      </c>
    </row>
    <row r="1618" spans="1:13" x14ac:dyDescent="0.25">
      <c r="A1618" s="29">
        <v>45890</v>
      </c>
      <c r="B1618" s="16" t="s">
        <v>1664</v>
      </c>
      <c r="C1618" s="34">
        <v>1</v>
      </c>
      <c r="D1618" s="16" t="s">
        <v>56</v>
      </c>
      <c r="E1618" s="35">
        <v>2.2000000000000002</v>
      </c>
      <c r="F1618" s="35">
        <v>1.5</v>
      </c>
      <c r="G1618" s="16" t="s">
        <v>44</v>
      </c>
      <c r="H1618" s="16" t="s">
        <v>45</v>
      </c>
      <c r="I1618" s="16">
        <f>COUNTIF(G$5:G1618,"Y")/COUNTA(G$5:G1618)</f>
        <v>0.879182156133829</v>
      </c>
      <c r="J1618" s="16">
        <f>COUNTIF(H$5:H1618,"Y")/COUNTA(H$5:H1618)</f>
        <v>4.8946716232961589E-2</v>
      </c>
      <c r="K1618" s="16">
        <f>AVERAGE(F$5:F1618)</f>
        <v>2.2309169764560104</v>
      </c>
      <c r="L1618" s="16">
        <f>SUM(F$5:F1618)/SUM(E$5:E1618)</f>
        <v>0.76198840309815097</v>
      </c>
    </row>
    <row r="1619" spans="1:13" x14ac:dyDescent="0.25">
      <c r="A1619" s="29">
        <v>45891</v>
      </c>
      <c r="B1619" s="16" t="s">
        <v>1665</v>
      </c>
      <c r="C1619" s="34">
        <v>1</v>
      </c>
      <c r="D1619" s="16" t="s">
        <v>56</v>
      </c>
      <c r="E1619" s="35">
        <v>2.8</v>
      </c>
      <c r="F1619" s="35">
        <v>2.1</v>
      </c>
      <c r="G1619" s="16" t="s">
        <v>44</v>
      </c>
      <c r="H1619" s="16" t="s">
        <v>45</v>
      </c>
      <c r="I1619" s="16">
        <f>COUNTIF(G$5:G1619,"Y")/COUNTA(G$5:G1619)</f>
        <v>0.87925696594427249</v>
      </c>
      <c r="J1619" s="16">
        <f>COUNTIF(H$5:H1619,"Y")/COUNTA(H$5:H1619)</f>
        <v>4.8916408668730649E-2</v>
      </c>
      <c r="K1619" s="16">
        <f>AVERAGE(F$5:F1619)</f>
        <v>2.2308359133126938</v>
      </c>
      <c r="L1619" s="16">
        <f>SUM(F$5:F1619)/SUM(E$5:E1619)</f>
        <v>0.76198130366735806</v>
      </c>
    </row>
    <row r="1620" spans="1:13" x14ac:dyDescent="0.25">
      <c r="A1620" s="29">
        <v>45887</v>
      </c>
      <c r="B1620" s="16" t="s">
        <v>1666</v>
      </c>
      <c r="C1620" s="34">
        <v>1</v>
      </c>
      <c r="D1620" s="16" t="s">
        <v>52</v>
      </c>
      <c r="E1620" s="35">
        <v>2.1</v>
      </c>
      <c r="F1620" s="35">
        <v>1.5</v>
      </c>
      <c r="G1620" s="16" t="s">
        <v>44</v>
      </c>
      <c r="H1620" s="16" t="s">
        <v>45</v>
      </c>
      <c r="I1620" s="16">
        <f>COUNTIF(G$5:G1620,"Y")/COUNTA(G$5:G1620)</f>
        <v>0.87933168316831678</v>
      </c>
      <c r="J1620" s="16">
        <f>COUNTIF(H$5:H1620,"Y")/COUNTA(H$5:H1620)</f>
        <v>4.8886138613861388E-2</v>
      </c>
      <c r="K1620" s="16">
        <f>AVERAGE(F$5:F1620)</f>
        <v>2.2303836633663372</v>
      </c>
      <c r="L1620" s="16">
        <f>SUM(F$5:F1620)/SUM(E$5:E1620)</f>
        <v>0.76196012937868673</v>
      </c>
    </row>
    <row r="1621" spans="1:13" x14ac:dyDescent="0.25">
      <c r="A1621" s="29">
        <v>45888</v>
      </c>
      <c r="B1621" s="16" t="s">
        <v>1667</v>
      </c>
      <c r="C1621" s="34">
        <v>1</v>
      </c>
      <c r="D1621" s="16" t="s">
        <v>52</v>
      </c>
      <c r="E1621" s="35">
        <v>0.6</v>
      </c>
      <c r="F1621" s="35">
        <v>0.5</v>
      </c>
      <c r="G1621" s="16" t="s">
        <v>44</v>
      </c>
      <c r="H1621" s="16" t="s">
        <v>45</v>
      </c>
      <c r="I1621" s="16">
        <f>COUNTIF(G$5:G1621,"Y")/COUNTA(G$5:G1621)</f>
        <v>0.87940630797773656</v>
      </c>
      <c r="J1621" s="16">
        <f>COUNTIF(H$5:H1621,"Y")/COUNTA(H$5:H1621)</f>
        <v>4.885590599876314E-2</v>
      </c>
      <c r="K1621" s="16">
        <f>AVERAGE(F$5:F1621)</f>
        <v>2.2293135435992584</v>
      </c>
      <c r="L1621" s="16">
        <f>SUM(F$5:F1621)/SUM(E$5:E1621)</f>
        <v>0.76196918133970315</v>
      </c>
    </row>
    <row r="1622" spans="1:13" x14ac:dyDescent="0.25">
      <c r="A1622" s="29">
        <v>45889</v>
      </c>
      <c r="B1622" s="16" t="s">
        <v>1668</v>
      </c>
      <c r="C1622" s="34">
        <v>1</v>
      </c>
      <c r="D1622" s="16" t="s">
        <v>52</v>
      </c>
      <c r="E1622" s="35">
        <v>0.6</v>
      </c>
      <c r="F1622" s="35">
        <v>0.5</v>
      </c>
      <c r="G1622" s="16" t="s">
        <v>44</v>
      </c>
      <c r="H1622" s="16" t="s">
        <v>45</v>
      </c>
      <c r="I1622" s="16">
        <f>COUNTIF(G$5:G1622,"Y")/COUNTA(G$5:G1622)</f>
        <v>0.87948084054388131</v>
      </c>
      <c r="J1622" s="16">
        <f>COUNTIF(H$5:H1622,"Y")/COUNTA(H$5:H1622)</f>
        <v>4.8825710754017308E-2</v>
      </c>
      <c r="K1622" s="16">
        <f>AVERAGE(F$5:F1622)</f>
        <v>2.2282447466007422</v>
      </c>
      <c r="L1622" s="16">
        <f>SUM(F$5:F1622)/SUM(E$5:E1622)</f>
        <v>0.76197823100496698</v>
      </c>
    </row>
    <row r="1623" spans="1:13" x14ac:dyDescent="0.25">
      <c r="A1623" s="29">
        <v>45890</v>
      </c>
      <c r="B1623" s="16" t="s">
        <v>1669</v>
      </c>
      <c r="C1623" s="34">
        <v>1</v>
      </c>
      <c r="D1623" s="16" t="s">
        <v>50</v>
      </c>
      <c r="E1623" s="35">
        <v>0.6</v>
      </c>
      <c r="F1623" s="35">
        <v>0.5</v>
      </c>
      <c r="G1623" s="16" t="s">
        <v>44</v>
      </c>
      <c r="H1623" s="16" t="s">
        <v>44</v>
      </c>
      <c r="I1623" s="16">
        <f>COUNTIF(G$5:G1623,"Y")/COUNTA(G$5:G1623)</f>
        <v>0.87955528103767755</v>
      </c>
      <c r="J1623" s="16">
        <f>COUNTIF(H$5:H1623,"Y")/COUNTA(H$5:H1623)</f>
        <v>4.9413218035824581E-2</v>
      </c>
      <c r="K1623" s="16">
        <f>AVERAGE(F$5:F1623)</f>
        <v>2.2271772699197041</v>
      </c>
      <c r="L1623" s="16">
        <f>SUM(F$5:F1623)/SUM(E$5:E1623)</f>
        <v>0.76198727837535152</v>
      </c>
    </row>
    <row r="1624" spans="1:13" x14ac:dyDescent="0.25">
      <c r="A1624" s="29">
        <v>45891</v>
      </c>
      <c r="B1624" s="16" t="s">
        <v>1670</v>
      </c>
      <c r="C1624" s="34">
        <v>1</v>
      </c>
      <c r="D1624" s="16" t="s">
        <v>50</v>
      </c>
      <c r="E1624" s="35">
        <v>0.7</v>
      </c>
      <c r="F1624" s="35">
        <v>0.5</v>
      </c>
      <c r="G1624" s="16" t="s">
        <v>44</v>
      </c>
      <c r="H1624" s="16" t="s">
        <v>45</v>
      </c>
      <c r="I1624" s="16">
        <f>COUNTIF(G$5:G1624,"Y")/COUNTA(G$5:G1624)</f>
        <v>0.87962962962962965</v>
      </c>
      <c r="J1624" s="16">
        <f>COUNTIF(H$5:H1624,"Y")/COUNTA(H$5:H1624)</f>
        <v>4.9382716049382713E-2</v>
      </c>
      <c r="K1624" s="16">
        <f>AVERAGE(F$5:F1624)</f>
        <v>2.2261111111111114</v>
      </c>
      <c r="L1624" s="16">
        <f>SUM(F$5:F1624)/SUM(E$5:E1624)</f>
        <v>0.76198022312373248</v>
      </c>
    </row>
    <row r="1625" spans="1:13" x14ac:dyDescent="0.25">
      <c r="A1625" s="29">
        <v>45887</v>
      </c>
      <c r="B1625" s="16" t="s">
        <v>1671</v>
      </c>
      <c r="C1625" s="34">
        <v>1</v>
      </c>
      <c r="D1625" s="16" t="s">
        <v>64</v>
      </c>
      <c r="E1625" s="35">
        <v>0.6</v>
      </c>
      <c r="F1625" s="35">
        <v>0.5</v>
      </c>
      <c r="G1625" s="16" t="s">
        <v>44</v>
      </c>
      <c r="H1625" s="16" t="s">
        <v>45</v>
      </c>
      <c r="I1625" s="16">
        <f>COUNTIF(G$5:G1625,"Y")/COUNTA(G$5:G1625)</f>
        <v>0.87970388648982112</v>
      </c>
      <c r="J1625" s="16">
        <f>COUNTIF(H$5:H1625,"Y")/COUNTA(H$5:H1625)</f>
        <v>4.9352251696483655E-2</v>
      </c>
      <c r="K1625" s="16">
        <f>AVERAGE(F$5:F1625)</f>
        <v>2.2250462677359657</v>
      </c>
      <c r="L1625" s="16">
        <f>SUM(F$5:F1625)/SUM(E$5:E1625)</f>
        <v>0.76198926775679232</v>
      </c>
    </row>
    <row r="1626" spans="1:13" x14ac:dyDescent="0.25">
      <c r="A1626" s="29">
        <v>45888</v>
      </c>
      <c r="B1626" s="16" t="s">
        <v>1672</v>
      </c>
      <c r="C1626" s="34">
        <v>1</v>
      </c>
      <c r="D1626" s="16" t="s">
        <v>43</v>
      </c>
      <c r="E1626" s="35">
        <v>0.6</v>
      </c>
      <c r="F1626" s="35">
        <v>0.5</v>
      </c>
      <c r="G1626" s="16" t="s">
        <v>44</v>
      </c>
      <c r="H1626" s="16" t="s">
        <v>45</v>
      </c>
      <c r="I1626" s="16">
        <f>COUNTIF(G$5:G1626,"Y")/COUNTA(G$5:G1626)</f>
        <v>0.87977805178791613</v>
      </c>
      <c r="J1626" s="16">
        <f>COUNTIF(H$5:H1626,"Y")/COUNTA(H$5:H1626)</f>
        <v>4.9321824907521579E-2</v>
      </c>
      <c r="K1626" s="16">
        <f>AVERAGE(F$5:F1626)</f>
        <v>2.2239827373612826</v>
      </c>
      <c r="L1626" s="16">
        <f>SUM(F$5:F1626)/SUM(E$5:E1626)</f>
        <v>0.76199831009716956</v>
      </c>
    </row>
    <row r="1627" spans="1:13" x14ac:dyDescent="0.25">
      <c r="A1627" s="29">
        <v>45889</v>
      </c>
      <c r="B1627" s="16" t="s">
        <v>1673</v>
      </c>
      <c r="C1627" s="34">
        <v>1</v>
      </c>
      <c r="D1627" s="16" t="s">
        <v>43</v>
      </c>
      <c r="E1627" s="35">
        <v>0.7</v>
      </c>
      <c r="F1627" s="35">
        <v>0.5</v>
      </c>
      <c r="G1627" s="16" t="s">
        <v>44</v>
      </c>
      <c r="H1627" s="16" t="s">
        <v>45</v>
      </c>
      <c r="I1627" s="16">
        <f>COUNTIF(G$5:G1627,"Y")/COUNTA(G$5:G1627)</f>
        <v>0.87985212569316085</v>
      </c>
      <c r="J1627" s="16">
        <f>COUNTIF(H$5:H1627,"Y")/COUNTA(H$5:H1627)</f>
        <v>4.9291435613062227E-2</v>
      </c>
      <c r="K1627" s="16">
        <f>AVERAGE(F$5:F1627)</f>
        <v>2.2229205175600741</v>
      </c>
      <c r="L1627" s="16">
        <f>SUM(F$5:F1627)/SUM(E$5:E1627)</f>
        <v>0.76199125604578977</v>
      </c>
    </row>
    <row r="1628" spans="1:13" x14ac:dyDescent="0.25">
      <c r="A1628" s="29">
        <v>45890</v>
      </c>
      <c r="B1628" s="16" t="s">
        <v>1674</v>
      </c>
      <c r="C1628" s="34">
        <v>1</v>
      </c>
      <c r="D1628" s="16" t="s">
        <v>56</v>
      </c>
      <c r="E1628" s="35">
        <v>0.7</v>
      </c>
      <c r="F1628" s="35">
        <v>0.5</v>
      </c>
      <c r="G1628" s="16" t="s">
        <v>44</v>
      </c>
      <c r="H1628" s="16" t="s">
        <v>45</v>
      </c>
      <c r="I1628" s="16">
        <f>COUNTIF(G$5:G1628,"Y")/COUNTA(G$5:G1628)</f>
        <v>0.87992610837438423</v>
      </c>
      <c r="J1628" s="16">
        <f>COUNTIF(H$5:H1628,"Y")/COUNTA(H$5:H1628)</f>
        <v>4.9261083743842367E-2</v>
      </c>
      <c r="K1628" s="16">
        <f>AVERAGE(F$5:F1628)</f>
        <v>2.2218596059113302</v>
      </c>
      <c r="L1628" s="16">
        <f>SUM(F$5:F1628)/SUM(E$5:E1628)</f>
        <v>0.76198420407990897</v>
      </c>
    </row>
    <row r="1629" spans="1:13" x14ac:dyDescent="0.25">
      <c r="A1629" s="29">
        <v>45891</v>
      </c>
      <c r="B1629" s="16" t="s">
        <v>1675</v>
      </c>
      <c r="C1629" s="34">
        <v>1</v>
      </c>
      <c r="D1629" s="16" t="s">
        <v>43</v>
      </c>
      <c r="E1629" s="35">
        <v>0.6</v>
      </c>
      <c r="F1629" s="35">
        <v>0.5</v>
      </c>
      <c r="G1629" s="16" t="s">
        <v>44</v>
      </c>
      <c r="H1629" s="16" t="s">
        <v>45</v>
      </c>
      <c r="I1629" s="16">
        <f>COUNTIF(G$5:G1629,"Y")/COUNTA(G$5:G1629)</f>
        <v>0.88</v>
      </c>
      <c r="J1629" s="16">
        <f>COUNTIF(H$5:H1629,"Y")/COUNTA(H$5:H1629)</f>
        <v>4.9230769230769231E-2</v>
      </c>
      <c r="K1629" s="16">
        <f>AVERAGE(F$5:F1629)</f>
        <v>2.2208000000000006</v>
      </c>
      <c r="L1629" s="16">
        <f>SUM(F$5:F1629)/SUM(E$5:E1629)</f>
        <v>0.76199324324324336</v>
      </c>
    </row>
    <row r="1630" spans="1:13" x14ac:dyDescent="0.25">
      <c r="A1630" s="29">
        <v>45887</v>
      </c>
      <c r="B1630" s="16" t="s">
        <v>1676</v>
      </c>
      <c r="C1630" s="34">
        <v>1</v>
      </c>
      <c r="D1630" s="16" t="s">
        <v>52</v>
      </c>
      <c r="E1630" s="35">
        <v>2.2999999999999998</v>
      </c>
      <c r="F1630" s="35">
        <v>0.5</v>
      </c>
      <c r="G1630" s="16" t="s">
        <v>44</v>
      </c>
      <c r="H1630" s="16" t="s">
        <v>45</v>
      </c>
      <c r="I1630" s="16">
        <f>COUNTIF(G$5:G1630,"Y")/COUNTA(G$5:G1630)</f>
        <v>0.88007380073800734</v>
      </c>
      <c r="J1630" s="16">
        <f>COUNTIF(H$5:H1630,"Y")/COUNTA(H$5:H1630)</f>
        <v>4.9200492004920049E-2</v>
      </c>
      <c r="K1630" s="16">
        <f>AVERAGE(F$5:F1630)</f>
        <v>2.2197416974169744</v>
      </c>
      <c r="L1630" s="16">
        <f>SUM(F$5:F1630)/SUM(E$5:E1630)</f>
        <v>0.76172889010826683</v>
      </c>
      <c r="M1630" s="16">
        <v>8</v>
      </c>
    </row>
    <row r="1631" spans="1:13" x14ac:dyDescent="0.25">
      <c r="A1631" s="29">
        <v>45894</v>
      </c>
      <c r="B1631" s="16" t="s">
        <v>1677</v>
      </c>
      <c r="C1631" s="34">
        <v>1</v>
      </c>
      <c r="D1631" s="16" t="s">
        <v>43</v>
      </c>
      <c r="E1631" s="35">
        <v>2</v>
      </c>
      <c r="F1631" s="35">
        <v>1.7</v>
      </c>
      <c r="G1631" s="16" t="s">
        <v>44</v>
      </c>
      <c r="H1631" s="16" t="s">
        <v>45</v>
      </c>
      <c r="I1631" s="16">
        <f>COUNTIF(G$5:G1631,"Y")/COUNTA(G$5:G1631)</f>
        <v>0.88014751075599262</v>
      </c>
      <c r="J1631" s="16">
        <f>COUNTIF(H$5:H1631,"Y")/COUNTA(H$5:H1631)</f>
        <v>4.9170251997541485E-2</v>
      </c>
      <c r="K1631" s="16">
        <f>AVERAGE(F$5:F1631)</f>
        <v>2.2194222495390292</v>
      </c>
      <c r="L1631" s="16">
        <f>SUM(F$5:F1631)/SUM(E$5:E1631)</f>
        <v>0.76176613294517226</v>
      </c>
    </row>
    <row r="1632" spans="1:13" x14ac:dyDescent="0.25">
      <c r="A1632" s="29">
        <v>45895</v>
      </c>
      <c r="B1632" s="16" t="s">
        <v>1678</v>
      </c>
      <c r="C1632" s="34">
        <v>1</v>
      </c>
      <c r="D1632" s="16" t="s">
        <v>52</v>
      </c>
      <c r="E1632" s="35">
        <v>4.9000000000000004</v>
      </c>
      <c r="F1632" s="35">
        <v>3.5</v>
      </c>
      <c r="G1632" s="16" t="s">
        <v>44</v>
      </c>
      <c r="H1632" s="16" t="s">
        <v>45</v>
      </c>
      <c r="I1632" s="16">
        <f>COUNTIF(G$5:G1632,"Y")/COUNTA(G$5:G1632)</f>
        <v>0.88022113022113024</v>
      </c>
      <c r="J1632" s="16">
        <f>COUNTIF(H$5:H1632,"Y")/COUNTA(H$5:H1632)</f>
        <v>4.9140049140049137E-2</v>
      </c>
      <c r="K1632" s="16">
        <f>AVERAGE(F$5:F1632)</f>
        <v>2.2202088452088455</v>
      </c>
      <c r="L1632" s="16">
        <f>SUM(F$5:F1632)/SUM(E$5:E1632)</f>
        <v>0.7617171035994269</v>
      </c>
    </row>
    <row r="1633" spans="1:12" x14ac:dyDescent="0.25">
      <c r="A1633" s="29">
        <v>45896</v>
      </c>
      <c r="B1633" s="16" t="s">
        <v>1679</v>
      </c>
      <c r="C1633" s="34">
        <v>1</v>
      </c>
      <c r="D1633" s="16" t="s">
        <v>43</v>
      </c>
      <c r="E1633" s="35">
        <v>1.9</v>
      </c>
      <c r="F1633" s="35">
        <v>1.6</v>
      </c>
      <c r="G1633" s="16" t="s">
        <v>44</v>
      </c>
      <c r="H1633" s="16" t="s">
        <v>45</v>
      </c>
      <c r="I1633" s="16">
        <f>COUNTIF(G$5:G1633,"Y")/COUNTA(G$5:G1633)</f>
        <v>0.88029465930018413</v>
      </c>
      <c r="J1633" s="16">
        <f>COUNTIF(H$5:H1633,"Y")/COUNTA(H$5:H1633)</f>
        <v>4.910988336402701E-2</v>
      </c>
      <c r="K1633" s="16">
        <f>AVERAGE(F$5:F1633)</f>
        <v>2.2198281154082262</v>
      </c>
      <c r="L1633" s="16">
        <f>SUM(F$5:F1633)/SUM(E$5:E1633)</f>
        <v>0.76174927850687801</v>
      </c>
    </row>
    <row r="1634" spans="1:12" x14ac:dyDescent="0.25">
      <c r="A1634" s="29">
        <v>45897</v>
      </c>
      <c r="B1634" s="16" t="s">
        <v>1680</v>
      </c>
      <c r="C1634" s="34">
        <v>1</v>
      </c>
      <c r="D1634" s="16" t="s">
        <v>64</v>
      </c>
      <c r="E1634" s="35">
        <v>3.8</v>
      </c>
      <c r="F1634" s="35">
        <v>3.4</v>
      </c>
      <c r="G1634" s="16" t="s">
        <v>44</v>
      </c>
      <c r="H1634" s="16" t="s">
        <v>45</v>
      </c>
      <c r="I1634" s="16">
        <f>COUNTIF(G$5:G1634,"Y")/COUNTA(G$5:G1634)</f>
        <v>0.88036809815950923</v>
      </c>
      <c r="J1634" s="16">
        <f>COUNTIF(H$5:H1634,"Y")/COUNTA(H$5:H1634)</f>
        <v>4.9079754601226995E-2</v>
      </c>
      <c r="K1634" s="16">
        <f>AVERAGE(F$5:F1634)</f>
        <v>2.220552147239264</v>
      </c>
      <c r="L1634" s="16">
        <f>SUM(F$5:F1634)/SUM(E$5:E1634)</f>
        <v>0.76185564840346054</v>
      </c>
    </row>
    <row r="1635" spans="1:12" x14ac:dyDescent="0.25">
      <c r="A1635" s="29">
        <v>45898</v>
      </c>
      <c r="B1635" s="16" t="s">
        <v>1681</v>
      </c>
      <c r="C1635" s="34">
        <v>1</v>
      </c>
      <c r="D1635" s="16" t="s">
        <v>52</v>
      </c>
      <c r="E1635" s="35">
        <v>4.7</v>
      </c>
      <c r="F1635" s="35">
        <v>3.9</v>
      </c>
      <c r="G1635" s="16" t="s">
        <v>44</v>
      </c>
      <c r="H1635" s="16" t="s">
        <v>45</v>
      </c>
      <c r="I1635" s="16">
        <f>COUNTIF(G$5:G1635,"Y")/COUNTA(G$5:G1635)</f>
        <v>0.88044144696505211</v>
      </c>
      <c r="J1635" s="16">
        <f>COUNTIF(H$5:H1635,"Y")/COUNTA(H$5:H1635)</f>
        <v>4.9049662783568364E-2</v>
      </c>
      <c r="K1635" s="16">
        <f>AVERAGE(F$5:F1635)</f>
        <v>2.2215818516247703</v>
      </c>
      <c r="L1635" s="16">
        <f>SUM(F$5:F1635)/SUM(E$5:E1635)</f>
        <v>0.76192278576835748</v>
      </c>
    </row>
    <row r="1636" spans="1:12" x14ac:dyDescent="0.25">
      <c r="A1636" s="29">
        <v>45894</v>
      </c>
      <c r="B1636" s="16" t="s">
        <v>1682</v>
      </c>
      <c r="C1636" s="34">
        <v>1</v>
      </c>
      <c r="D1636" s="16" t="s">
        <v>50</v>
      </c>
      <c r="E1636" s="35">
        <v>2.9</v>
      </c>
      <c r="F1636" s="35">
        <v>2.4</v>
      </c>
      <c r="G1636" s="16" t="s">
        <v>44</v>
      </c>
      <c r="H1636" s="16" t="s">
        <v>45</v>
      </c>
      <c r="I1636" s="16">
        <f>COUNTIF(G$5:G1636,"Y")/COUNTA(G$5:G1636)</f>
        <v>0.88051470588235292</v>
      </c>
      <c r="J1636" s="16">
        <f>COUNTIF(H$5:H1636,"Y")/COUNTA(H$5:H1636)</f>
        <v>4.9019607843137254E-2</v>
      </c>
      <c r="K1636" s="16">
        <f>AVERAGE(F$5:F1636)</f>
        <v>2.2216911764705887</v>
      </c>
      <c r="L1636" s="16">
        <f>SUM(F$5:F1636)/SUM(E$5:E1636)</f>
        <v>0.76196280340443445</v>
      </c>
    </row>
    <row r="1637" spans="1:12" x14ac:dyDescent="0.25">
      <c r="A1637" s="29">
        <v>45895</v>
      </c>
      <c r="B1637" s="16" t="s">
        <v>1683</v>
      </c>
      <c r="C1637" s="34">
        <v>1</v>
      </c>
      <c r="D1637" s="16" t="s">
        <v>64</v>
      </c>
      <c r="E1637" s="35">
        <v>3.8</v>
      </c>
      <c r="F1637" s="35">
        <v>2.8</v>
      </c>
      <c r="G1637" s="16" t="s">
        <v>45</v>
      </c>
      <c r="H1637" s="16" t="s">
        <v>45</v>
      </c>
      <c r="I1637" s="16">
        <f>COUNTIF(G$5:G1637,"Y")/COUNTA(G$5:G1637)</f>
        <v>0.87997550520514389</v>
      </c>
      <c r="J1637" s="16">
        <f>COUNTIF(H$5:H1637,"Y")/COUNTA(H$5:H1637)</f>
        <v>4.8989589712186157E-2</v>
      </c>
      <c r="K1637" s="16">
        <f>AVERAGE(F$5:F1637)</f>
        <v>2.2220453153704844</v>
      </c>
      <c r="L1637" s="16">
        <f>SUM(F$5:F1637)/SUM(E$5:E1637)</f>
        <v>0.76194275875102391</v>
      </c>
    </row>
    <row r="1638" spans="1:12" x14ac:dyDescent="0.25">
      <c r="A1638" s="29">
        <v>45896</v>
      </c>
      <c r="B1638" s="16" t="s">
        <v>1684</v>
      </c>
      <c r="C1638" s="34">
        <v>1</v>
      </c>
      <c r="D1638" s="16" t="s">
        <v>60</v>
      </c>
      <c r="E1638" s="35">
        <v>1.7</v>
      </c>
      <c r="F1638" s="35">
        <v>1.3</v>
      </c>
      <c r="G1638" s="16" t="s">
        <v>44</v>
      </c>
      <c r="H1638" s="16" t="s">
        <v>45</v>
      </c>
      <c r="I1638" s="16">
        <f>COUNTIF(G$5:G1638,"Y")/COUNTA(G$5:G1638)</f>
        <v>0.88004895960832308</v>
      </c>
      <c r="J1638" s="16">
        <f>COUNTIF(H$5:H1638,"Y")/COUNTA(H$5:H1638)</f>
        <v>4.8959608323133418E-2</v>
      </c>
      <c r="K1638" s="16">
        <f>AVERAGE(F$5:F1638)</f>
        <v>2.2214810281517754</v>
      </c>
      <c r="L1638" s="16">
        <f>SUM(F$5:F1638)/SUM(E$5:E1638)</f>
        <v>0.7619437447523093</v>
      </c>
    </row>
    <row r="1639" spans="1:12" x14ac:dyDescent="0.25">
      <c r="A1639" s="29">
        <v>45897</v>
      </c>
      <c r="B1639" s="16" t="s">
        <v>1685</v>
      </c>
      <c r="C1639" s="34">
        <v>1</v>
      </c>
      <c r="D1639" s="16" t="s">
        <v>56</v>
      </c>
      <c r="E1639" s="35">
        <v>5.4</v>
      </c>
      <c r="F1639" s="35">
        <v>3.6</v>
      </c>
      <c r="G1639" s="16" t="s">
        <v>45</v>
      </c>
      <c r="H1639" s="16" t="s">
        <v>45</v>
      </c>
      <c r="I1639" s="16">
        <f>COUNTIF(G$5:G1639,"Y")/COUNTA(G$5:G1639)</f>
        <v>0.87951070336391435</v>
      </c>
      <c r="J1639" s="16">
        <f>COUNTIF(H$5:H1639,"Y")/COUNTA(H$5:H1639)</f>
        <v>4.8929663608562692E-2</v>
      </c>
      <c r="K1639" s="16">
        <f>AVERAGE(F$5:F1639)</f>
        <v>2.2223241590214071</v>
      </c>
      <c r="L1639" s="16">
        <f>SUM(F$5:F1639)/SUM(E$5:E1639)</f>
        <v>0.76183587034008515</v>
      </c>
    </row>
    <row r="1640" spans="1:12" x14ac:dyDescent="0.25">
      <c r="A1640" s="29">
        <v>45898</v>
      </c>
      <c r="B1640" s="16" t="s">
        <v>1686</v>
      </c>
      <c r="C1640" s="34">
        <v>1</v>
      </c>
      <c r="D1640" s="16" t="s">
        <v>50</v>
      </c>
      <c r="E1640" s="35">
        <v>2.6</v>
      </c>
      <c r="F1640" s="35">
        <v>2.2000000000000002</v>
      </c>
      <c r="G1640" s="16" t="s">
        <v>44</v>
      </c>
      <c r="H1640" s="16" t="s">
        <v>45</v>
      </c>
      <c r="I1640" s="16">
        <f>COUNTIF(G$5:G1640,"Y")/COUNTA(G$5:G1640)</f>
        <v>0.8795843520782396</v>
      </c>
      <c r="J1640" s="16">
        <f>COUNTIF(H$5:H1640,"Y")/COUNTA(H$5:H1640)</f>
        <v>4.8899755501222497E-2</v>
      </c>
      <c r="K1640" s="16">
        <f>AVERAGE(F$5:F1640)</f>
        <v>2.2223105134474332</v>
      </c>
      <c r="L1640" s="16">
        <f>SUM(F$5:F1640)/SUM(E$5:E1640)</f>
        <v>0.76188181056160964</v>
      </c>
    </row>
    <row r="1641" spans="1:12" x14ac:dyDescent="0.25">
      <c r="A1641" s="29">
        <v>45894</v>
      </c>
      <c r="B1641" s="16" t="s">
        <v>1687</v>
      </c>
      <c r="C1641" s="34">
        <v>1</v>
      </c>
      <c r="D1641" s="16" t="s">
        <v>64</v>
      </c>
      <c r="E1641" s="35">
        <v>2.8</v>
      </c>
      <c r="F1641" s="35">
        <v>2.2000000000000002</v>
      </c>
      <c r="G1641" s="16" t="s">
        <v>44</v>
      </c>
      <c r="H1641" s="16" t="s">
        <v>45</v>
      </c>
      <c r="I1641" s="16">
        <f>COUNTIF(G$5:G1641,"Y")/COUNTA(G$5:G1641)</f>
        <v>0.87965791081246181</v>
      </c>
      <c r="J1641" s="16">
        <f>COUNTIF(H$5:H1641,"Y")/COUNTA(H$5:H1641)</f>
        <v>4.8869883934025658E-2</v>
      </c>
      <c r="K1641" s="16">
        <f>AVERAGE(F$5:F1641)</f>
        <v>2.2222968845448996</v>
      </c>
      <c r="L1641" s="16">
        <f>SUM(F$5:F1641)/SUM(E$5:E1641)</f>
        <v>0.76189578621094101</v>
      </c>
    </row>
    <row r="1642" spans="1:12" x14ac:dyDescent="0.25">
      <c r="A1642" s="29">
        <v>45895</v>
      </c>
      <c r="B1642" s="16" t="s">
        <v>1688</v>
      </c>
      <c r="C1642" s="34">
        <v>1</v>
      </c>
      <c r="D1642" s="16" t="s">
        <v>47</v>
      </c>
      <c r="E1642" s="35">
        <v>3.2</v>
      </c>
      <c r="F1642" s="35">
        <v>2.8</v>
      </c>
      <c r="G1642" s="16" t="s">
        <v>44</v>
      </c>
      <c r="H1642" s="16" t="s">
        <v>45</v>
      </c>
      <c r="I1642" s="16">
        <f>COUNTIF(G$5:G1642,"Y")/COUNTA(G$5:G1642)</f>
        <v>0.87973137973137971</v>
      </c>
      <c r="J1642" s="16">
        <f>COUNTIF(H$5:H1642,"Y")/COUNTA(H$5:H1642)</f>
        <v>4.884004884004884E-2</v>
      </c>
      <c r="K1642" s="16">
        <f>AVERAGE(F$5:F1642)</f>
        <v>2.2226495726495732</v>
      </c>
      <c r="L1642" s="16">
        <f>SUM(F$5:F1642)/SUM(E$5:E1642)</f>
        <v>0.76197153620761859</v>
      </c>
    </row>
    <row r="1643" spans="1:12" x14ac:dyDescent="0.25">
      <c r="A1643" s="29">
        <v>45896</v>
      </c>
      <c r="B1643" s="16" t="s">
        <v>1689</v>
      </c>
      <c r="C1643" s="34">
        <v>1</v>
      </c>
      <c r="D1643" s="16" t="s">
        <v>52</v>
      </c>
      <c r="E1643" s="35">
        <v>3.1</v>
      </c>
      <c r="F1643" s="35">
        <v>2.7</v>
      </c>
      <c r="G1643" s="16" t="s">
        <v>45</v>
      </c>
      <c r="H1643" s="16" t="s">
        <v>45</v>
      </c>
      <c r="I1643" s="16">
        <f>COUNTIF(G$5:G1643,"Y")/COUNTA(G$5:G1643)</f>
        <v>0.87919463087248317</v>
      </c>
      <c r="J1643" s="16">
        <f>COUNTIF(H$5:H1643,"Y")/COUNTA(H$5:H1643)</f>
        <v>4.8810250152532035E-2</v>
      </c>
      <c r="K1643" s="16">
        <f>AVERAGE(F$5:F1643)</f>
        <v>2.2229408175716903</v>
      </c>
      <c r="L1643" s="16">
        <f>SUM(F$5:F1643)/SUM(E$5:E1643)</f>
        <v>0.76204220786011612</v>
      </c>
    </row>
    <row r="1644" spans="1:12" x14ac:dyDescent="0.25">
      <c r="A1644" s="29">
        <v>45897</v>
      </c>
      <c r="B1644" s="16" t="s">
        <v>1690</v>
      </c>
      <c r="C1644" s="34">
        <v>1</v>
      </c>
      <c r="D1644" s="16" t="s">
        <v>50</v>
      </c>
      <c r="E1644" s="35">
        <v>4.9000000000000004</v>
      </c>
      <c r="F1644" s="35">
        <v>3.8</v>
      </c>
      <c r="G1644" s="16" t="s">
        <v>44</v>
      </c>
      <c r="H1644" s="16" t="s">
        <v>45</v>
      </c>
      <c r="I1644" s="16">
        <f>COUNTIF(G$5:G1644,"Y")/COUNTA(G$5:G1644)</f>
        <v>0.87926829268292683</v>
      </c>
      <c r="J1644" s="16">
        <f>COUNTIF(H$5:H1644,"Y")/COUNTA(H$5:H1644)</f>
        <v>4.878048780487805E-2</v>
      </c>
      <c r="K1644" s="16">
        <f>AVERAGE(F$5:F1644)</f>
        <v>2.2239024390243909</v>
      </c>
      <c r="L1644" s="16">
        <f>SUM(F$5:F1644)/SUM(E$5:E1644)</f>
        <v>0.76205599665691626</v>
      </c>
    </row>
    <row r="1645" spans="1:12" x14ac:dyDescent="0.25">
      <c r="A1645" s="29">
        <v>45898</v>
      </c>
      <c r="B1645" s="16" t="s">
        <v>1691</v>
      </c>
      <c r="C1645" s="34">
        <v>1</v>
      </c>
      <c r="D1645" s="16" t="s">
        <v>60</v>
      </c>
      <c r="E1645" s="35">
        <v>2.8</v>
      </c>
      <c r="F1645" s="35">
        <v>2.1</v>
      </c>
      <c r="G1645" s="16" t="s">
        <v>44</v>
      </c>
      <c r="H1645" s="16" t="s">
        <v>45</v>
      </c>
      <c r="I1645" s="16">
        <f>COUNTIF(G$5:G1645,"Y")/COUNTA(G$5:G1645)</f>
        <v>0.87934186471663622</v>
      </c>
      <c r="J1645" s="16">
        <f>COUNTIF(H$5:H1645,"Y")/COUNTA(H$5:H1645)</f>
        <v>4.8750761730652042E-2</v>
      </c>
      <c r="K1645" s="16">
        <f>AVERAGE(F$5:F1645)</f>
        <v>2.2238269347958566</v>
      </c>
      <c r="L1645" s="16">
        <f>SUM(F$5:F1645)/SUM(E$5:E1645)</f>
        <v>0.76204894754427022</v>
      </c>
    </row>
    <row r="1646" spans="1:12" x14ac:dyDescent="0.25">
      <c r="A1646" s="29">
        <v>45894</v>
      </c>
      <c r="B1646" s="16" t="s">
        <v>1692</v>
      </c>
      <c r="C1646" s="34">
        <v>1</v>
      </c>
      <c r="D1646" s="16" t="s">
        <v>56</v>
      </c>
      <c r="E1646" s="35">
        <v>4.3</v>
      </c>
      <c r="F1646" s="35">
        <v>3</v>
      </c>
      <c r="G1646" s="16" t="s">
        <v>44</v>
      </c>
      <c r="H1646" s="16" t="s">
        <v>45</v>
      </c>
      <c r="I1646" s="16">
        <f>COUNTIF(G$5:G1646,"Y")/COUNTA(G$5:G1646)</f>
        <v>0.87941534713763703</v>
      </c>
      <c r="J1646" s="16">
        <f>COUNTIF(H$5:H1646,"Y")/COUNTA(H$5:H1646)</f>
        <v>4.8721071863580996E-2</v>
      </c>
      <c r="K1646" s="16">
        <f>AVERAGE(F$5:F1646)</f>
        <v>2.2242996345919614</v>
      </c>
      <c r="L1646" s="16">
        <f>SUM(F$5:F1646)/SUM(E$5:E1646)</f>
        <v>0.76199119567711937</v>
      </c>
    </row>
    <row r="1647" spans="1:12" x14ac:dyDescent="0.25">
      <c r="A1647" s="29">
        <v>45895</v>
      </c>
      <c r="B1647" s="16" t="s">
        <v>1693</v>
      </c>
      <c r="C1647" s="34">
        <v>1</v>
      </c>
      <c r="D1647" s="16" t="s">
        <v>43</v>
      </c>
      <c r="E1647" s="35">
        <v>4.4000000000000004</v>
      </c>
      <c r="F1647" s="35">
        <v>3.1</v>
      </c>
      <c r="G1647" s="16" t="s">
        <v>44</v>
      </c>
      <c r="H1647" s="16" t="s">
        <v>45</v>
      </c>
      <c r="I1647" s="16">
        <f>COUNTIF(G$5:G1647,"Y")/COUNTA(G$5:G1647)</f>
        <v>0.87948874010955569</v>
      </c>
      <c r="J1647" s="16">
        <f>COUNTIF(H$5:H1647,"Y")/COUNTA(H$5:H1647)</f>
        <v>4.8691418137553254E-2</v>
      </c>
      <c r="K1647" s="16">
        <f>AVERAGE(F$5:F1647)</f>
        <v>2.2248326232501525</v>
      </c>
      <c r="L1647" s="16">
        <f>SUM(F$5:F1647)/SUM(E$5:E1647)</f>
        <v>0.76193850964043797</v>
      </c>
    </row>
    <row r="1648" spans="1:12" x14ac:dyDescent="0.25">
      <c r="A1648" s="29">
        <v>45896</v>
      </c>
      <c r="B1648" s="16" t="s">
        <v>1694</v>
      </c>
      <c r="C1648" s="34">
        <v>1</v>
      </c>
      <c r="D1648" s="16" t="s">
        <v>43</v>
      </c>
      <c r="E1648" s="35">
        <v>1.4</v>
      </c>
      <c r="F1648" s="35">
        <v>1.1000000000000001</v>
      </c>
      <c r="G1648" s="16" t="s">
        <v>44</v>
      </c>
      <c r="H1648" s="16" t="s">
        <v>45</v>
      </c>
      <c r="I1648" s="16">
        <f>COUNTIF(G$5:G1648,"Y")/COUNTA(G$5:G1648)</f>
        <v>0.87956204379562042</v>
      </c>
      <c r="J1648" s="16">
        <f>COUNTIF(H$5:H1648,"Y")/COUNTA(H$5:H1648)</f>
        <v>4.8661800486618008E-2</v>
      </c>
      <c r="K1648" s="16">
        <f>AVERAGE(F$5:F1648)</f>
        <v>2.2241484184914846</v>
      </c>
      <c r="L1648" s="16">
        <f>SUM(F$5:F1648)/SUM(E$5:E1648)</f>
        <v>0.76194544583133661</v>
      </c>
    </row>
    <row r="1649" spans="1:12" x14ac:dyDescent="0.25">
      <c r="A1649" s="29">
        <v>45897</v>
      </c>
      <c r="B1649" s="16" t="s">
        <v>1695</v>
      </c>
      <c r="C1649" s="34">
        <v>1</v>
      </c>
      <c r="D1649" s="16" t="s">
        <v>43</v>
      </c>
      <c r="E1649" s="35">
        <v>3.3</v>
      </c>
      <c r="F1649" s="35">
        <v>2.2000000000000002</v>
      </c>
      <c r="G1649" s="16" t="s">
        <v>45</v>
      </c>
      <c r="H1649" s="16" t="s">
        <v>45</v>
      </c>
      <c r="I1649" s="16">
        <f>COUNTIF(G$5:G1649,"Y")/COUNTA(G$5:G1649)</f>
        <v>0.8790273556231003</v>
      </c>
      <c r="J1649" s="16">
        <f>COUNTIF(H$5:H1649,"Y")/COUNTA(H$5:H1649)</f>
        <v>4.8632218844984802E-2</v>
      </c>
      <c r="K1649" s="16">
        <f>AVERAGE(F$5:F1649)</f>
        <v>2.2241337386018238</v>
      </c>
      <c r="L1649" s="16">
        <f>SUM(F$5:F1649)/SUM(E$5:E1649)</f>
        <v>0.76187997167964705</v>
      </c>
    </row>
    <row r="1650" spans="1:12" x14ac:dyDescent="0.25">
      <c r="A1650" s="29">
        <v>45898</v>
      </c>
      <c r="B1650" s="16" t="s">
        <v>1696</v>
      </c>
      <c r="C1650" s="34">
        <v>1</v>
      </c>
      <c r="D1650" s="16" t="s">
        <v>43</v>
      </c>
      <c r="E1650" s="35">
        <v>3.5</v>
      </c>
      <c r="F1650" s="35">
        <v>3</v>
      </c>
      <c r="G1650" s="16" t="s">
        <v>44</v>
      </c>
      <c r="H1650" s="16" t="s">
        <v>45</v>
      </c>
      <c r="I1650" s="16">
        <f>COUNTIF(G$5:G1650,"Y")/COUNTA(G$5:G1650)</f>
        <v>0.87910085054678011</v>
      </c>
      <c r="J1650" s="16">
        <f>COUNTIF(H$5:H1650,"Y")/COUNTA(H$5:H1650)</f>
        <v>4.8602673147023087E-2</v>
      </c>
      <c r="K1650" s="16">
        <f>AVERAGE(F$5:F1650)</f>
        <v>2.2246051032806804</v>
      </c>
      <c r="L1650" s="16">
        <f>SUM(F$5:F1650)/SUM(E$5:E1650)</f>
        <v>0.7619493518113909</v>
      </c>
    </row>
    <row r="1651" spans="1:12" x14ac:dyDescent="0.25">
      <c r="A1651" s="29">
        <v>45894</v>
      </c>
      <c r="B1651" s="16" t="s">
        <v>1697</v>
      </c>
      <c r="C1651" s="34">
        <v>1</v>
      </c>
      <c r="D1651" s="16" t="s">
        <v>50</v>
      </c>
      <c r="E1651" s="35">
        <v>4.2</v>
      </c>
      <c r="F1651" s="35">
        <v>3.7</v>
      </c>
      <c r="G1651" s="16" t="s">
        <v>44</v>
      </c>
      <c r="H1651" s="16" t="s">
        <v>45</v>
      </c>
      <c r="I1651" s="16">
        <f>COUNTIF(G$5:G1651,"Y")/COUNTA(G$5:G1651)</f>
        <v>0.87917425622343659</v>
      </c>
      <c r="J1651" s="16">
        <f>COUNTIF(H$5:H1651,"Y")/COUNTA(H$5:H1651)</f>
        <v>4.8573163327261686E-2</v>
      </c>
      <c r="K1651" s="16">
        <f>AVERAGE(F$5:F1651)</f>
        <v>2.2255009107468124</v>
      </c>
      <c r="L1651" s="16">
        <f>SUM(F$5:F1651)/SUM(E$5:E1651)</f>
        <v>0.76205326514064764</v>
      </c>
    </row>
    <row r="1652" spans="1:12" x14ac:dyDescent="0.25">
      <c r="A1652" s="29">
        <v>45895</v>
      </c>
      <c r="B1652" s="16" t="s">
        <v>1698</v>
      </c>
      <c r="C1652" s="34">
        <v>1</v>
      </c>
      <c r="D1652" s="16" t="s">
        <v>60</v>
      </c>
      <c r="E1652" s="35">
        <v>1.9</v>
      </c>
      <c r="F1652" s="35">
        <v>1.6</v>
      </c>
      <c r="G1652" s="16" t="s">
        <v>44</v>
      </c>
      <c r="H1652" s="16" t="s">
        <v>45</v>
      </c>
      <c r="I1652" s="16">
        <f>COUNTIF(G$5:G1652,"Y")/COUNTA(G$5:G1652)</f>
        <v>0.87924757281553401</v>
      </c>
      <c r="J1652" s="16">
        <f>COUNTIF(H$5:H1652,"Y")/COUNTA(H$5:H1652)</f>
        <v>4.8543689320388349E-2</v>
      </c>
      <c r="K1652" s="16">
        <f>AVERAGE(F$5:F1652)</f>
        <v>2.225121359223301</v>
      </c>
      <c r="L1652" s="16">
        <f>SUM(F$5:F1652)/SUM(E$5:E1652)</f>
        <v>0.76208487468307107</v>
      </c>
    </row>
    <row r="1653" spans="1:12" x14ac:dyDescent="0.25">
      <c r="A1653" s="29">
        <v>45896</v>
      </c>
      <c r="B1653" s="16" t="s">
        <v>1699</v>
      </c>
      <c r="C1653" s="34">
        <v>1</v>
      </c>
      <c r="D1653" s="16" t="s">
        <v>60</v>
      </c>
      <c r="E1653" s="35">
        <v>3.1</v>
      </c>
      <c r="F1653" s="35">
        <v>2.5</v>
      </c>
      <c r="G1653" s="16" t="s">
        <v>44</v>
      </c>
      <c r="H1653" s="16" t="s">
        <v>45</v>
      </c>
      <c r="I1653" s="16">
        <f>COUNTIF(G$5:G1653,"Y")/COUNTA(G$5:G1653)</f>
        <v>0.8793208004851425</v>
      </c>
      <c r="J1653" s="16">
        <f>COUNTIF(H$5:H1653,"Y")/COUNTA(H$5:H1653)</f>
        <v>4.8514251061249243E-2</v>
      </c>
      <c r="K1653" s="16">
        <f>AVERAGE(F$5:F1653)</f>
        <v>2.2252880533656763</v>
      </c>
      <c r="L1653" s="16">
        <f>SUM(F$5:F1653)/SUM(E$5:E1653)</f>
        <v>0.76211343953145461</v>
      </c>
    </row>
    <row r="1654" spans="1:12" x14ac:dyDescent="0.25">
      <c r="A1654" s="29">
        <v>45897</v>
      </c>
      <c r="B1654" s="16" t="s">
        <v>1700</v>
      </c>
      <c r="C1654" s="34">
        <v>1</v>
      </c>
      <c r="D1654" s="16" t="s">
        <v>43</v>
      </c>
      <c r="E1654" s="35">
        <v>2.8</v>
      </c>
      <c r="F1654" s="35">
        <v>2.4</v>
      </c>
      <c r="G1654" s="16" t="s">
        <v>44</v>
      </c>
      <c r="H1654" s="16" t="s">
        <v>45</v>
      </c>
      <c r="I1654" s="16">
        <f>COUNTIF(G$5:G1654,"Y")/COUNTA(G$5:G1654)</f>
        <v>0.87939393939393939</v>
      </c>
      <c r="J1654" s="16">
        <f>COUNTIF(H$5:H1654,"Y")/COUNTA(H$5:H1654)</f>
        <v>4.8484848484848485E-2</v>
      </c>
      <c r="K1654" s="16">
        <f>AVERAGE(F$5:F1654)</f>
        <v>2.2253939393939395</v>
      </c>
      <c r="L1654" s="16">
        <f>SUM(F$5:F1654)/SUM(E$5:E1654)</f>
        <v>0.76216866969715857</v>
      </c>
    </row>
    <row r="1655" spans="1:12" x14ac:dyDescent="0.25">
      <c r="A1655" s="29">
        <v>45898</v>
      </c>
      <c r="B1655" s="16" t="s">
        <v>1701</v>
      </c>
      <c r="C1655" s="34">
        <v>1</v>
      </c>
      <c r="D1655" s="16" t="s">
        <v>47</v>
      </c>
      <c r="E1655" s="35">
        <v>4</v>
      </c>
      <c r="F1655" s="35">
        <v>3.1</v>
      </c>
      <c r="G1655" s="16" t="s">
        <v>44</v>
      </c>
      <c r="H1655" s="16" t="s">
        <v>45</v>
      </c>
      <c r="I1655" s="16">
        <f>COUNTIF(G$5:G1655,"Y")/COUNTA(G$5:G1655)</f>
        <v>0.87946698970321013</v>
      </c>
      <c r="J1655" s="16">
        <f>COUNTIF(H$5:H1655,"Y")/COUNTA(H$5:H1655)</f>
        <v>4.8455481526347668E-2</v>
      </c>
      <c r="K1655" s="16">
        <f>AVERAGE(F$5:F1655)</f>
        <v>2.225923682616596</v>
      </c>
      <c r="L1655" s="16">
        <f>SUM(F$5:F1655)/SUM(E$5:E1655)</f>
        <v>0.76217931434971087</v>
      </c>
    </row>
    <row r="1656" spans="1:12" x14ac:dyDescent="0.25">
      <c r="A1656" s="29">
        <v>45894</v>
      </c>
      <c r="B1656" s="16" t="s">
        <v>1702</v>
      </c>
      <c r="C1656" s="34">
        <v>1</v>
      </c>
      <c r="D1656" s="16" t="s">
        <v>52</v>
      </c>
      <c r="E1656" s="35">
        <v>2.2000000000000002</v>
      </c>
      <c r="F1656" s="35">
        <v>1.8</v>
      </c>
      <c r="G1656" s="16" t="s">
        <v>44</v>
      </c>
      <c r="H1656" s="16" t="s">
        <v>45</v>
      </c>
      <c r="I1656" s="16">
        <f>COUNTIF(G$5:G1656,"Y")/COUNTA(G$5:G1656)</f>
        <v>0.8795399515738499</v>
      </c>
      <c r="J1656" s="16">
        <f>COUNTIF(H$5:H1656,"Y")/COUNTA(H$5:H1656)</f>
        <v>4.8426150121065374E-2</v>
      </c>
      <c r="K1656" s="16">
        <f>AVERAGE(F$5:F1656)</f>
        <v>2.225665859564165</v>
      </c>
      <c r="L1656" s="16">
        <f>SUM(F$5:F1656)/SUM(E$5:E1656)</f>
        <v>0.7622048549928484</v>
      </c>
    </row>
    <row r="1657" spans="1:12" x14ac:dyDescent="0.25">
      <c r="A1657" s="29">
        <v>45895</v>
      </c>
      <c r="B1657" s="16" t="s">
        <v>1703</v>
      </c>
      <c r="C1657" s="34">
        <v>1</v>
      </c>
      <c r="D1657" s="16" t="s">
        <v>43</v>
      </c>
      <c r="E1657" s="35">
        <v>5.0999999999999996</v>
      </c>
      <c r="F1657" s="35">
        <v>3.9</v>
      </c>
      <c r="G1657" s="16" t="s">
        <v>44</v>
      </c>
      <c r="H1657" s="16" t="s">
        <v>45</v>
      </c>
      <c r="I1657" s="16">
        <f>COUNTIF(G$5:G1657,"Y")/COUNTA(G$5:G1657)</f>
        <v>0.87961282516636419</v>
      </c>
      <c r="J1657" s="16">
        <f>COUNTIF(H$5:H1657,"Y")/COUNTA(H$5:H1657)</f>
        <v>4.8396854204476709E-2</v>
      </c>
      <c r="K1657" s="16">
        <f>AVERAGE(F$5:F1657)</f>
        <v>2.2266787658802181</v>
      </c>
      <c r="L1657" s="16">
        <f>SUM(F$5:F1657)/SUM(E$5:E1657)</f>
        <v>0.76220749637606144</v>
      </c>
    </row>
    <row r="1658" spans="1:12" x14ac:dyDescent="0.25">
      <c r="A1658" s="29">
        <v>45896</v>
      </c>
      <c r="B1658" s="16" t="s">
        <v>1704</v>
      </c>
      <c r="C1658" s="34">
        <v>1</v>
      </c>
      <c r="D1658" s="16" t="s">
        <v>52</v>
      </c>
      <c r="E1658" s="35">
        <v>4.8</v>
      </c>
      <c r="F1658" s="35">
        <v>3.9</v>
      </c>
      <c r="G1658" s="16" t="s">
        <v>44</v>
      </c>
      <c r="H1658" s="16" t="s">
        <v>45</v>
      </c>
      <c r="I1658" s="16">
        <f>COUNTIF(G$5:G1658,"Y")/COUNTA(G$5:G1658)</f>
        <v>0.87968561064087059</v>
      </c>
      <c r="J1658" s="16">
        <f>COUNTIF(H$5:H1658,"Y")/COUNTA(H$5:H1658)</f>
        <v>4.8367593712212817E-2</v>
      </c>
      <c r="K1658" s="16">
        <f>AVERAGE(F$5:F1658)</f>
        <v>2.2276904474002421</v>
      </c>
      <c r="L1658" s="16">
        <f>SUM(F$5:F1658)/SUM(E$5:E1658)</f>
        <v>0.76225743721295891</v>
      </c>
    </row>
    <row r="1659" spans="1:12" x14ac:dyDescent="0.25">
      <c r="A1659" s="29">
        <v>45897</v>
      </c>
      <c r="B1659" s="16" t="s">
        <v>1705</v>
      </c>
      <c r="C1659" s="34">
        <v>1</v>
      </c>
      <c r="D1659" s="16" t="s">
        <v>50</v>
      </c>
      <c r="E1659" s="35">
        <v>2.7</v>
      </c>
      <c r="F1659" s="35">
        <v>2.1</v>
      </c>
      <c r="G1659" s="16" t="s">
        <v>44</v>
      </c>
      <c r="H1659" s="16" t="s">
        <v>45</v>
      </c>
      <c r="I1659" s="16">
        <f>COUNTIF(G$5:G1659,"Y")/COUNTA(G$5:G1659)</f>
        <v>0.87975830815709966</v>
      </c>
      <c r="J1659" s="16">
        <f>COUNTIF(H$5:H1659,"Y")/COUNTA(H$5:H1659)</f>
        <v>4.8338368580060423E-2</v>
      </c>
      <c r="K1659" s="16">
        <f>AVERAGE(F$5:F1659)</f>
        <v>2.2276132930513595</v>
      </c>
      <c r="L1659" s="16">
        <f>SUM(F$5:F1659)/SUM(E$5:E1659)</f>
        <v>0.76226610151969421</v>
      </c>
    </row>
    <row r="1660" spans="1:12" x14ac:dyDescent="0.25">
      <c r="A1660" s="29">
        <v>45898</v>
      </c>
      <c r="B1660" s="16" t="s">
        <v>1706</v>
      </c>
      <c r="C1660" s="34">
        <v>1</v>
      </c>
      <c r="D1660" s="16" t="s">
        <v>60</v>
      </c>
      <c r="E1660" s="35">
        <v>4.5</v>
      </c>
      <c r="F1660" s="35">
        <v>3.7</v>
      </c>
      <c r="G1660" s="16" t="s">
        <v>44</v>
      </c>
      <c r="H1660" s="16" t="s">
        <v>44</v>
      </c>
      <c r="I1660" s="16">
        <f>COUNTIF(G$5:G1660,"Y")/COUNTA(G$5:G1660)</f>
        <v>0.87983091787439616</v>
      </c>
      <c r="J1660" s="16">
        <f>COUNTIF(H$5:H1660,"Y")/COUNTA(H$5:H1660)</f>
        <v>4.8913043478260872E-2</v>
      </c>
      <c r="K1660" s="16">
        <f>AVERAGE(F$5:F1660)</f>
        <v>2.2285024154589372</v>
      </c>
      <c r="L1660" s="16">
        <f>SUM(F$5:F1660)/SUM(E$5:E1660)</f>
        <v>0.76232183433174983</v>
      </c>
    </row>
    <row r="1661" spans="1:12" x14ac:dyDescent="0.25">
      <c r="A1661" s="29">
        <v>45894</v>
      </c>
      <c r="B1661" s="16" t="s">
        <v>1707</v>
      </c>
      <c r="C1661" s="34">
        <v>1</v>
      </c>
      <c r="D1661" s="16" t="s">
        <v>56</v>
      </c>
      <c r="E1661" s="35">
        <v>5.2</v>
      </c>
      <c r="F1661" s="35">
        <v>3.5</v>
      </c>
      <c r="G1661" s="16" t="s">
        <v>44</v>
      </c>
      <c r="H1661" s="16" t="s">
        <v>45</v>
      </c>
      <c r="I1661" s="16">
        <f>COUNTIF(G$5:G1661,"Y")/COUNTA(G$5:G1661)</f>
        <v>0.87990343995171993</v>
      </c>
      <c r="J1661" s="16">
        <f>COUNTIF(H$5:H1661,"Y")/COUNTA(H$5:H1661)</f>
        <v>4.8883524441762222E-2</v>
      </c>
      <c r="K1661" s="16">
        <f>AVERAGE(F$5:F1661)</f>
        <v>2.2292697646348825</v>
      </c>
      <c r="L1661" s="16">
        <f>SUM(F$5:F1661)/SUM(E$5:E1661)</f>
        <v>0.76222607403739029</v>
      </c>
    </row>
    <row r="1662" spans="1:12" x14ac:dyDescent="0.25">
      <c r="A1662" s="29">
        <v>45895</v>
      </c>
      <c r="B1662" s="16" t="s">
        <v>1708</v>
      </c>
      <c r="C1662" s="34">
        <v>1</v>
      </c>
      <c r="D1662" s="16" t="s">
        <v>43</v>
      </c>
      <c r="E1662" s="35">
        <v>3.3</v>
      </c>
      <c r="F1662" s="35">
        <v>2.6</v>
      </c>
      <c r="G1662" s="16" t="s">
        <v>44</v>
      </c>
      <c r="H1662" s="16" t="s">
        <v>45</v>
      </c>
      <c r="I1662" s="16">
        <f>COUNTIF(G$5:G1662,"Y")/COUNTA(G$5:G1662)</f>
        <v>0.87997587454764781</v>
      </c>
      <c r="J1662" s="16">
        <f>COUNTIF(H$5:H1662,"Y")/COUNTA(H$5:H1662)</f>
        <v>4.8854041013268998E-2</v>
      </c>
      <c r="K1662" s="16">
        <f>AVERAGE(F$5:F1662)</f>
        <v>2.2294933655006033</v>
      </c>
      <c r="L1662" s="16">
        <f>SUM(F$5:F1662)/SUM(E$5:E1662)</f>
        <v>0.76224353026085179</v>
      </c>
    </row>
    <row r="1663" spans="1:12" x14ac:dyDescent="0.25">
      <c r="A1663" s="29">
        <v>45896</v>
      </c>
      <c r="B1663" s="16" t="s">
        <v>1709</v>
      </c>
      <c r="C1663" s="34">
        <v>1</v>
      </c>
      <c r="D1663" s="16" t="s">
        <v>64</v>
      </c>
      <c r="E1663" s="35">
        <v>2.2000000000000002</v>
      </c>
      <c r="F1663" s="35">
        <v>1.6</v>
      </c>
      <c r="G1663" s="16" t="s">
        <v>44</v>
      </c>
      <c r="H1663" s="16" t="s">
        <v>45</v>
      </c>
      <c r="I1663" s="16">
        <f>COUNTIF(G$5:G1663,"Y")/COUNTA(G$5:G1663)</f>
        <v>0.88004822182037368</v>
      </c>
      <c r="J1663" s="16">
        <f>COUNTIF(H$5:H1663,"Y")/COUNTA(H$5:H1663)</f>
        <v>4.8824593128390596E-2</v>
      </c>
      <c r="K1663" s="16">
        <f>AVERAGE(F$5:F1663)</f>
        <v>2.2291139240506328</v>
      </c>
      <c r="L1663" s="16">
        <f>SUM(F$5:F1663)/SUM(E$5:E1663)</f>
        <v>0.76222767277449155</v>
      </c>
    </row>
    <row r="1664" spans="1:12" x14ac:dyDescent="0.25">
      <c r="A1664" s="29">
        <v>45897</v>
      </c>
      <c r="B1664" s="16" t="s">
        <v>1710</v>
      </c>
      <c r="C1664" s="34">
        <v>1</v>
      </c>
      <c r="D1664" s="16" t="s">
        <v>43</v>
      </c>
      <c r="E1664" s="35">
        <v>1.9</v>
      </c>
      <c r="F1664" s="35">
        <v>1.3</v>
      </c>
      <c r="G1664" s="16" t="s">
        <v>44</v>
      </c>
      <c r="H1664" s="16" t="s">
        <v>45</v>
      </c>
      <c r="I1664" s="16">
        <f>COUNTIF(G$5:G1664,"Y")/COUNTA(G$5:G1664)</f>
        <v>0.88012048192771086</v>
      </c>
      <c r="J1664" s="16">
        <f>COUNTIF(H$5:H1664,"Y")/COUNTA(H$5:H1664)</f>
        <v>4.8795180722891567E-2</v>
      </c>
      <c r="K1664" s="16">
        <f>AVERAGE(F$5:F1664)</f>
        <v>2.2285542168674701</v>
      </c>
      <c r="L1664" s="16">
        <f>SUM(F$5:F1664)/SUM(E$5:E1664)</f>
        <v>0.76219713202571315</v>
      </c>
    </row>
    <row r="1665" spans="1:13" x14ac:dyDescent="0.25">
      <c r="A1665" s="29">
        <v>45898</v>
      </c>
      <c r="B1665" s="16" t="s">
        <v>1711</v>
      </c>
      <c r="C1665" s="34">
        <v>1</v>
      </c>
      <c r="D1665" s="16" t="s">
        <v>47</v>
      </c>
      <c r="E1665" s="35">
        <v>0.7</v>
      </c>
      <c r="F1665" s="35">
        <v>0.5</v>
      </c>
      <c r="G1665" s="16" t="s">
        <v>44</v>
      </c>
      <c r="H1665" s="16" t="s">
        <v>45</v>
      </c>
      <c r="I1665" s="16">
        <f>COUNTIF(G$5:G1665,"Y")/COUNTA(G$5:G1665)</f>
        <v>0.8801926550270921</v>
      </c>
      <c r="J1665" s="16">
        <f>COUNTIF(H$5:H1665,"Y")/COUNTA(H$5:H1665)</f>
        <v>4.8765803732691147E-2</v>
      </c>
      <c r="K1665" s="16">
        <f>AVERAGE(F$5:F1665)</f>
        <v>2.2275135460565925</v>
      </c>
      <c r="L1665" s="16">
        <f>SUM(F$5:F1665)/SUM(E$5:E1665)</f>
        <v>0.76219022310116835</v>
      </c>
    </row>
    <row r="1666" spans="1:13" x14ac:dyDescent="0.25">
      <c r="A1666" s="29">
        <v>45894</v>
      </c>
      <c r="B1666" s="16" t="s">
        <v>1712</v>
      </c>
      <c r="C1666" s="34">
        <v>1</v>
      </c>
      <c r="D1666" s="16" t="s">
        <v>47</v>
      </c>
      <c r="E1666" s="35">
        <v>0.6</v>
      </c>
      <c r="F1666" s="35">
        <v>0.5</v>
      </c>
      <c r="G1666" s="16" t="s">
        <v>44</v>
      </c>
      <c r="H1666" s="16" t="s">
        <v>45</v>
      </c>
      <c r="I1666" s="16">
        <f>COUNTIF(G$5:G1666,"Y")/COUNTA(G$5:G1666)</f>
        <v>0.88026474127557164</v>
      </c>
      <c r="J1666" s="16">
        <f>COUNTIF(H$5:H1666,"Y")/COUNTA(H$5:H1666)</f>
        <v>4.8736462093862815E-2</v>
      </c>
      <c r="K1666" s="16">
        <f>AVERAGE(F$5:F1666)</f>
        <v>2.22647412755716</v>
      </c>
      <c r="L1666" s="16">
        <f>SUM(F$5:F1666)/SUM(E$5:E1666)</f>
        <v>0.7621990154277124</v>
      </c>
    </row>
    <row r="1667" spans="1:13" x14ac:dyDescent="0.25">
      <c r="A1667" s="29">
        <v>45895</v>
      </c>
      <c r="B1667" s="16" t="s">
        <v>1713</v>
      </c>
      <c r="C1667" s="34">
        <v>1</v>
      </c>
      <c r="D1667" s="16" t="s">
        <v>60</v>
      </c>
      <c r="E1667" s="35">
        <v>0.6</v>
      </c>
      <c r="F1667" s="35">
        <v>0.5</v>
      </c>
      <c r="G1667" s="16" t="s">
        <v>44</v>
      </c>
      <c r="H1667" s="16" t="s">
        <v>45</v>
      </c>
      <c r="I1667" s="16">
        <f>COUNTIF(G$5:G1667,"Y")/COUNTA(G$5:G1667)</f>
        <v>0.8803367408298256</v>
      </c>
      <c r="J1667" s="16">
        <f>COUNTIF(H$5:H1667,"Y")/COUNTA(H$5:H1667)</f>
        <v>4.8707155742633797E-2</v>
      </c>
      <c r="K1667" s="16">
        <f>AVERAGE(F$5:F1667)</f>
        <v>2.2254359591100421</v>
      </c>
      <c r="L1667" s="16">
        <f>SUM(F$5:F1667)/SUM(E$5:E1667)</f>
        <v>0.76220780558129975</v>
      </c>
    </row>
    <row r="1668" spans="1:13" x14ac:dyDescent="0.25">
      <c r="A1668" s="29">
        <v>45896</v>
      </c>
      <c r="B1668" s="16" t="s">
        <v>1714</v>
      </c>
      <c r="C1668" s="34">
        <v>1</v>
      </c>
      <c r="D1668" s="16" t="s">
        <v>50</v>
      </c>
      <c r="E1668" s="35">
        <v>0.7</v>
      </c>
      <c r="F1668" s="35">
        <v>0.5</v>
      </c>
      <c r="G1668" s="16" t="s">
        <v>44</v>
      </c>
      <c r="H1668" s="16" t="s">
        <v>44</v>
      </c>
      <c r="I1668" s="16">
        <f>COUNTIF(G$5:G1668,"Y")/COUNTA(G$5:G1668)</f>
        <v>0.88040865384615385</v>
      </c>
      <c r="J1668" s="16">
        <f>COUNTIF(H$5:H1668,"Y")/COUNTA(H$5:H1668)</f>
        <v>4.9278846153846152E-2</v>
      </c>
      <c r="K1668" s="16">
        <f>AVERAGE(F$5:F1668)</f>
        <v>2.2243990384615384</v>
      </c>
      <c r="L1668" s="16">
        <f>SUM(F$5:F1668)/SUM(E$5:E1668)</f>
        <v>0.76220089782134193</v>
      </c>
    </row>
    <row r="1669" spans="1:13" x14ac:dyDescent="0.25">
      <c r="A1669" s="29">
        <v>45897</v>
      </c>
      <c r="B1669" s="16" t="s">
        <v>1715</v>
      </c>
      <c r="C1669" s="34">
        <v>1</v>
      </c>
      <c r="D1669" s="16" t="s">
        <v>43</v>
      </c>
      <c r="E1669" s="35">
        <v>0.6</v>
      </c>
      <c r="F1669" s="35">
        <v>0.5</v>
      </c>
      <c r="G1669" s="16" t="s">
        <v>45</v>
      </c>
      <c r="H1669" s="16" t="s">
        <v>45</v>
      </c>
      <c r="I1669" s="16">
        <f>COUNTIF(G$5:G1669,"Y")/COUNTA(G$5:G1669)</f>
        <v>0.87987987987987992</v>
      </c>
      <c r="J1669" s="16">
        <f>COUNTIF(H$5:H1669,"Y")/COUNTA(H$5:H1669)</f>
        <v>4.9249249249249248E-2</v>
      </c>
      <c r="K1669" s="16">
        <f>AVERAGE(F$5:F1669)</f>
        <v>2.2233633633633634</v>
      </c>
      <c r="L1669" s="16">
        <f>SUM(F$5:F1669)/SUM(E$5:E1669)</f>
        <v>0.76220968538955702</v>
      </c>
    </row>
    <row r="1670" spans="1:13" x14ac:dyDescent="0.25">
      <c r="A1670" s="29">
        <v>45898</v>
      </c>
      <c r="B1670" s="16" t="s">
        <v>1716</v>
      </c>
      <c r="C1670" s="34">
        <v>1</v>
      </c>
      <c r="D1670" s="16" t="s">
        <v>64</v>
      </c>
      <c r="E1670" s="35">
        <v>0.7</v>
      </c>
      <c r="F1670" s="35">
        <v>0.5</v>
      </c>
      <c r="G1670" s="16" t="s">
        <v>44</v>
      </c>
      <c r="H1670" s="16" t="s">
        <v>45</v>
      </c>
      <c r="I1670" s="16">
        <f>COUNTIF(G$5:G1670,"Y")/COUNTA(G$5:G1670)</f>
        <v>0.87995198079231696</v>
      </c>
      <c r="J1670" s="16">
        <f>COUNTIF(H$5:H1670,"Y")/COUNTA(H$5:H1670)</f>
        <v>4.9219687875150062E-2</v>
      </c>
      <c r="K1670" s="16">
        <f>AVERAGE(F$5:F1670)</f>
        <v>2.2223289315726289</v>
      </c>
      <c r="L1670" s="16">
        <f>SUM(F$5:F1670)/SUM(E$5:E1670)</f>
        <v>0.76220277920741142</v>
      </c>
    </row>
    <row r="1671" spans="1:13" x14ac:dyDescent="0.25">
      <c r="A1671" s="29">
        <v>45894</v>
      </c>
      <c r="B1671" s="16" t="s">
        <v>1717</v>
      </c>
      <c r="C1671" s="34">
        <v>1</v>
      </c>
      <c r="D1671" s="16" t="s">
        <v>56</v>
      </c>
      <c r="E1671" s="35">
        <v>0.6</v>
      </c>
      <c r="F1671" s="35">
        <v>0.5</v>
      </c>
      <c r="G1671" s="16" t="s">
        <v>44</v>
      </c>
      <c r="H1671" s="16" t="s">
        <v>45</v>
      </c>
      <c r="I1671" s="16">
        <f>COUNTIF(G$5:G1671,"Y")/COUNTA(G$5:G1671)</f>
        <v>0.88002399520095986</v>
      </c>
      <c r="J1671" s="16">
        <f>COUNTIF(H$5:H1671,"Y")/COUNTA(H$5:H1671)</f>
        <v>4.9190161967606477E-2</v>
      </c>
      <c r="K1671" s="16">
        <f>AVERAGE(F$5:F1671)</f>
        <v>2.2212957408518297</v>
      </c>
      <c r="L1671" s="16">
        <f>SUM(F$5:F1671)/SUM(E$5:E1671)</f>
        <v>0.76221156419176228</v>
      </c>
    </row>
    <row r="1672" spans="1:13" x14ac:dyDescent="0.25">
      <c r="A1672" s="29">
        <v>45895</v>
      </c>
      <c r="B1672" s="16" t="s">
        <v>1718</v>
      </c>
      <c r="C1672" s="34">
        <v>1</v>
      </c>
      <c r="D1672" s="16" t="s">
        <v>64</v>
      </c>
      <c r="E1672" s="35">
        <v>0.7</v>
      </c>
      <c r="F1672" s="35">
        <v>0.5</v>
      </c>
      <c r="G1672" s="16" t="s">
        <v>44</v>
      </c>
      <c r="H1672" s="16" t="s">
        <v>45</v>
      </c>
      <c r="I1672" s="16">
        <f>COUNTIF(G$5:G1672,"Y")/COUNTA(G$5:G1672)</f>
        <v>0.88009592326139086</v>
      </c>
      <c r="J1672" s="16">
        <f>COUNTIF(H$5:H1672,"Y")/COUNTA(H$5:H1672)</f>
        <v>4.9160671462829736E-2</v>
      </c>
      <c r="K1672" s="16">
        <f>AVERAGE(F$5:F1672)</f>
        <v>2.220263788968825</v>
      </c>
      <c r="L1672" s="16">
        <f>SUM(F$5:F1672)/SUM(E$5:E1672)</f>
        <v>0.76220465958672934</v>
      </c>
    </row>
    <row r="1673" spans="1:13" x14ac:dyDescent="0.25">
      <c r="A1673" s="29">
        <v>45896</v>
      </c>
      <c r="B1673" s="16" t="s">
        <v>1719</v>
      </c>
      <c r="C1673" s="34">
        <v>1</v>
      </c>
      <c r="D1673" s="16" t="s">
        <v>64</v>
      </c>
      <c r="E1673" s="35">
        <v>3.6</v>
      </c>
      <c r="F1673" s="35">
        <v>0.5</v>
      </c>
      <c r="G1673" s="16" t="s">
        <v>44</v>
      </c>
      <c r="H1673" s="16" t="s">
        <v>45</v>
      </c>
      <c r="I1673" s="16">
        <f>COUNTIF(G$5:G1673,"Y")/COUNTA(G$5:G1673)</f>
        <v>0.88016776512881967</v>
      </c>
      <c r="J1673" s="16">
        <f>COUNTIF(H$5:H1673,"Y")/COUNTA(H$5:H1673)</f>
        <v>4.9131216297183943E-2</v>
      </c>
      <c r="K1673" s="16">
        <f>AVERAGE(F$5:F1673)</f>
        <v>2.2192330736968247</v>
      </c>
      <c r="L1673" s="16">
        <f>SUM(F$5:F1673)/SUM(E$5:E1673)</f>
        <v>0.76174317209608433</v>
      </c>
      <c r="M1673" s="16">
        <v>13</v>
      </c>
    </row>
    <row r="1674" spans="1:13" x14ac:dyDescent="0.25">
      <c r="A1674" s="29">
        <v>45901</v>
      </c>
      <c r="B1674" s="16" t="s">
        <v>1720</v>
      </c>
      <c r="C1674" s="34">
        <v>1</v>
      </c>
      <c r="D1674" s="16" t="s">
        <v>64</v>
      </c>
      <c r="E1674" s="35">
        <v>3.9</v>
      </c>
      <c r="F1674" s="35">
        <v>2.7</v>
      </c>
      <c r="G1674" s="16" t="s">
        <v>45</v>
      </c>
      <c r="H1674" s="16" t="s">
        <v>45</v>
      </c>
      <c r="I1674" s="16">
        <f>COUNTIF(G$5:G1674,"Y")/COUNTA(G$5:G1674)</f>
        <v>0.87964071856287429</v>
      </c>
      <c r="J1674" s="16">
        <f>COUNTIF(H$5:H1674,"Y")/COUNTA(H$5:H1674)</f>
        <v>4.9101796407185629E-2</v>
      </c>
      <c r="K1674" s="16">
        <f>AVERAGE(F$5:F1674)</f>
        <v>2.2195209580838324</v>
      </c>
      <c r="L1674" s="16">
        <f>SUM(F$5:F1674)/SUM(E$5:E1674)</f>
        <v>0.76168752440252352</v>
      </c>
    </row>
    <row r="1675" spans="1:13" x14ac:dyDescent="0.25">
      <c r="A1675" s="29">
        <v>45902</v>
      </c>
      <c r="B1675" s="16" t="s">
        <v>1721</v>
      </c>
      <c r="C1675" s="34">
        <v>1</v>
      </c>
      <c r="D1675" s="16" t="s">
        <v>64</v>
      </c>
      <c r="E1675" s="35">
        <v>3.1</v>
      </c>
      <c r="F1675" s="35">
        <v>2.2999999999999998</v>
      </c>
      <c r="G1675" s="16" t="s">
        <v>44</v>
      </c>
      <c r="H1675" s="16" t="s">
        <v>45</v>
      </c>
      <c r="I1675" s="16">
        <f>COUNTIF(G$5:G1675,"Y")/COUNTA(G$5:G1675)</f>
        <v>0.8797127468581688</v>
      </c>
      <c r="J1675" s="16">
        <f>COUNTIF(H$5:H1675,"Y")/COUNTA(H$5:H1675)</f>
        <v>4.9072411729503294E-2</v>
      </c>
      <c r="K1675" s="16">
        <f>AVERAGE(F$5:F1675)</f>
        <v>2.2195691202872534</v>
      </c>
      <c r="L1675" s="16">
        <f>SUM(F$5:F1675)/SUM(E$5:E1675)</f>
        <v>0.76167494968579297</v>
      </c>
    </row>
    <row r="1676" spans="1:13" x14ac:dyDescent="0.25">
      <c r="A1676" s="29">
        <v>45903</v>
      </c>
      <c r="B1676" s="16" t="s">
        <v>1722</v>
      </c>
      <c r="C1676" s="34">
        <v>1</v>
      </c>
      <c r="D1676" s="16" t="s">
        <v>43</v>
      </c>
      <c r="E1676" s="35">
        <v>1.5</v>
      </c>
      <c r="F1676" s="35">
        <v>1.2</v>
      </c>
      <c r="G1676" s="16" t="s">
        <v>44</v>
      </c>
      <c r="H1676" s="16" t="s">
        <v>45</v>
      </c>
      <c r="I1676" s="16">
        <f>COUNTIF(G$5:G1676,"Y")/COUNTA(G$5:G1676)</f>
        <v>0.87978468899521534</v>
      </c>
      <c r="J1676" s="16">
        <f>COUNTIF(H$5:H1676,"Y")/COUNTA(H$5:H1676)</f>
        <v>4.9043062200956937E-2</v>
      </c>
      <c r="K1676" s="16">
        <f>AVERAGE(F$5:F1676)</f>
        <v>2.2189593301435404</v>
      </c>
      <c r="L1676" s="16">
        <f>SUM(F$5:F1676)/SUM(E$5:E1676)</f>
        <v>0.76168675193496072</v>
      </c>
    </row>
    <row r="1677" spans="1:13" x14ac:dyDescent="0.25">
      <c r="A1677" s="29">
        <v>45904</v>
      </c>
      <c r="B1677" s="16" t="s">
        <v>1723</v>
      </c>
      <c r="C1677" s="34">
        <v>1</v>
      </c>
      <c r="D1677" s="16" t="s">
        <v>43</v>
      </c>
      <c r="E1677" s="35">
        <v>1.5</v>
      </c>
      <c r="F1677" s="35">
        <v>1.1000000000000001</v>
      </c>
      <c r="G1677" s="16" t="s">
        <v>44</v>
      </c>
      <c r="H1677" s="16" t="s">
        <v>45</v>
      </c>
      <c r="I1677" s="16">
        <f>COUNTIF(G$5:G1677,"Y")/COUNTA(G$5:G1677)</f>
        <v>0.87985654512851164</v>
      </c>
      <c r="J1677" s="16">
        <f>COUNTIF(H$5:H1677,"Y")/COUNTA(H$5:H1677)</f>
        <v>4.9013747758517634E-2</v>
      </c>
      <c r="K1677" s="16">
        <f>AVERAGE(F$5:F1677)</f>
        <v>2.2182904961147636</v>
      </c>
      <c r="L1677" s="16">
        <f>SUM(F$5:F1677)/SUM(E$5:E1677)</f>
        <v>0.76167802315080868</v>
      </c>
    </row>
    <row r="1678" spans="1:13" x14ac:dyDescent="0.25">
      <c r="A1678" s="29">
        <v>45905</v>
      </c>
      <c r="B1678" s="16" t="s">
        <v>1724</v>
      </c>
      <c r="C1678" s="34">
        <v>1</v>
      </c>
      <c r="D1678" s="16" t="s">
        <v>52</v>
      </c>
      <c r="E1678" s="35">
        <v>2.5</v>
      </c>
      <c r="F1678" s="35">
        <v>1.7</v>
      </c>
      <c r="G1678" s="16" t="s">
        <v>44</v>
      </c>
      <c r="H1678" s="16" t="s">
        <v>45</v>
      </c>
      <c r="I1678" s="16">
        <f>COUNTIF(G$5:G1678,"Y")/COUNTA(G$5:G1678)</f>
        <v>0.87992831541218641</v>
      </c>
      <c r="J1678" s="16">
        <f>COUNTIF(H$5:H1678,"Y")/COUNTA(H$5:H1678)</f>
        <v>4.8984468339307051E-2</v>
      </c>
      <c r="K1678" s="16">
        <f>AVERAGE(F$5:F1678)</f>
        <v>2.2179808841099162</v>
      </c>
      <c r="L1678" s="16">
        <f>SUM(F$5:F1678)/SUM(E$5:E1678)</f>
        <v>0.76163613612586922</v>
      </c>
    </row>
    <row r="1679" spans="1:13" x14ac:dyDescent="0.25">
      <c r="A1679" s="29">
        <v>45901</v>
      </c>
      <c r="B1679" s="16" t="s">
        <v>1725</v>
      </c>
      <c r="C1679" s="34">
        <v>1</v>
      </c>
      <c r="D1679" s="16" t="s">
        <v>64</v>
      </c>
      <c r="E1679" s="35">
        <v>3.2</v>
      </c>
      <c r="F1679" s="35">
        <v>2.6</v>
      </c>
      <c r="G1679" s="16" t="s">
        <v>44</v>
      </c>
      <c r="H1679" s="16" t="s">
        <v>45</v>
      </c>
      <c r="I1679" s="16">
        <f>COUNTIF(G$5:G1679,"Y")/COUNTA(G$5:G1679)</f>
        <v>0.88</v>
      </c>
      <c r="J1679" s="16">
        <f>COUNTIF(H$5:H1679,"Y")/COUNTA(H$5:H1679)</f>
        <v>4.8955223880597018E-2</v>
      </c>
      <c r="K1679" s="16">
        <f>AVERAGE(F$5:F1679)</f>
        <v>2.2182089552238802</v>
      </c>
      <c r="L1679" s="16">
        <f>SUM(F$5:F1679)/SUM(E$5:E1679)</f>
        <v>0.76166950247022402</v>
      </c>
    </row>
    <row r="1680" spans="1:13" x14ac:dyDescent="0.25">
      <c r="A1680" s="29">
        <v>45902</v>
      </c>
      <c r="B1680" s="16" t="s">
        <v>1726</v>
      </c>
      <c r="C1680" s="34">
        <v>1</v>
      </c>
      <c r="D1680" s="16" t="s">
        <v>64</v>
      </c>
      <c r="E1680" s="35">
        <v>2</v>
      </c>
      <c r="F1680" s="35">
        <v>1.6</v>
      </c>
      <c r="G1680" s="16" t="s">
        <v>44</v>
      </c>
      <c r="H1680" s="16" t="s">
        <v>45</v>
      </c>
      <c r="I1680" s="16">
        <f>COUNTIF(G$5:G1680,"Y")/COUNTA(G$5:G1680)</f>
        <v>0.88007159904534604</v>
      </c>
      <c r="J1680" s="16">
        <f>COUNTIF(H$5:H1680,"Y")/COUNTA(H$5:H1680)</f>
        <v>4.8926014319809072E-2</v>
      </c>
      <c r="K1680" s="16">
        <f>AVERAGE(F$5:F1680)</f>
        <v>2.2178400954653936</v>
      </c>
      <c r="L1680" s="16">
        <f>SUM(F$5:F1680)/SUM(E$5:E1680)</f>
        <v>0.76168521136861944</v>
      </c>
    </row>
    <row r="1681" spans="1:12" x14ac:dyDescent="0.25">
      <c r="A1681" s="29">
        <v>45903</v>
      </c>
      <c r="B1681" s="16" t="s">
        <v>1727</v>
      </c>
      <c r="C1681" s="34">
        <v>1</v>
      </c>
      <c r="D1681" s="16" t="s">
        <v>64</v>
      </c>
      <c r="E1681" s="35">
        <v>3.1</v>
      </c>
      <c r="F1681" s="35">
        <v>2.4</v>
      </c>
      <c r="G1681" s="16" t="s">
        <v>45</v>
      </c>
      <c r="H1681" s="16" t="s">
        <v>45</v>
      </c>
      <c r="I1681" s="16">
        <f>COUNTIF(G$5:G1681,"Y")/COUNTA(G$5:G1681)</f>
        <v>0.87954680977936794</v>
      </c>
      <c r="J1681" s="16">
        <f>COUNTIF(H$5:H1681,"Y")/COUNTA(H$5:H1681)</f>
        <v>4.8896839594514012E-2</v>
      </c>
      <c r="K1681" s="16">
        <f>AVERAGE(F$5:F1681)</f>
        <v>2.2179487179487176</v>
      </c>
      <c r="L1681" s="16">
        <f>SUM(F$5:F1681)/SUM(E$5:E1681)</f>
        <v>0.76169315203145471</v>
      </c>
    </row>
    <row r="1682" spans="1:12" x14ac:dyDescent="0.25">
      <c r="A1682" s="29">
        <v>45904</v>
      </c>
      <c r="B1682" s="16" t="s">
        <v>1728</v>
      </c>
      <c r="C1682" s="34">
        <v>1</v>
      </c>
      <c r="D1682" s="16" t="s">
        <v>50</v>
      </c>
      <c r="E1682" s="35">
        <v>4.0999999999999996</v>
      </c>
      <c r="F1682" s="35">
        <v>3.2</v>
      </c>
      <c r="G1682" s="16" t="s">
        <v>44</v>
      </c>
      <c r="H1682" s="16" t="s">
        <v>45</v>
      </c>
      <c r="I1682" s="16">
        <f>COUNTIF(G$5:G1682,"Y")/COUNTA(G$5:G1682)</f>
        <v>0.87961859356376637</v>
      </c>
      <c r="J1682" s="16">
        <f>COUNTIF(H$5:H1682,"Y")/COUNTA(H$5:H1682)</f>
        <v>4.8867699642431463E-2</v>
      </c>
      <c r="K1682" s="16">
        <f>AVERAGE(F$5:F1682)</f>
        <v>2.2185339690107266</v>
      </c>
      <c r="L1682" s="16">
        <f>SUM(F$5:F1682)/SUM(E$5:E1682)</f>
        <v>0.76170891903504989</v>
      </c>
    </row>
    <row r="1683" spans="1:12" x14ac:dyDescent="0.25">
      <c r="A1683" s="29">
        <v>45905</v>
      </c>
      <c r="B1683" s="16" t="s">
        <v>1729</v>
      </c>
      <c r="C1683" s="34">
        <v>1</v>
      </c>
      <c r="D1683" s="16" t="s">
        <v>52</v>
      </c>
      <c r="E1683" s="35">
        <v>2.8</v>
      </c>
      <c r="F1683" s="35">
        <v>2.2000000000000002</v>
      </c>
      <c r="G1683" s="16" t="s">
        <v>44</v>
      </c>
      <c r="H1683" s="16" t="s">
        <v>45</v>
      </c>
      <c r="I1683" s="16">
        <f>COUNTIF(G$5:G1683,"Y")/COUNTA(G$5:G1683)</f>
        <v>0.87969029184038117</v>
      </c>
      <c r="J1683" s="16">
        <f>COUNTIF(H$5:H1683,"Y")/COUNTA(H$5:H1683)</f>
        <v>4.8838594401429423E-2</v>
      </c>
      <c r="K1683" s="16">
        <f>AVERAGE(F$5:F1683)</f>
        <v>2.2185229303156637</v>
      </c>
      <c r="L1683" s="16">
        <f>SUM(F$5:F1683)/SUM(E$5:E1683)</f>
        <v>0.761722664158197</v>
      </c>
    </row>
    <row r="1684" spans="1:12" x14ac:dyDescent="0.25">
      <c r="A1684" s="29">
        <v>45901</v>
      </c>
      <c r="B1684" s="16" t="s">
        <v>1730</v>
      </c>
      <c r="C1684" s="34">
        <v>1</v>
      </c>
      <c r="D1684" s="16" t="s">
        <v>43</v>
      </c>
      <c r="E1684" s="35">
        <v>2.9</v>
      </c>
      <c r="F1684" s="35">
        <v>2.1</v>
      </c>
      <c r="G1684" s="16" t="s">
        <v>44</v>
      </c>
      <c r="H1684" s="16" t="s">
        <v>45</v>
      </c>
      <c r="I1684" s="16">
        <f>COUNTIF(G$5:G1684,"Y")/COUNTA(G$5:G1684)</f>
        <v>0.87976190476190474</v>
      </c>
      <c r="J1684" s="16">
        <f>COUNTIF(H$5:H1684,"Y")/COUNTA(H$5:H1684)</f>
        <v>4.880952380952381E-2</v>
      </c>
      <c r="K1684" s="16">
        <f>AVERAGE(F$5:F1684)</f>
        <v>2.2184523809523804</v>
      </c>
      <c r="L1684" s="16">
        <f>SUM(F$5:F1684)/SUM(E$5:E1684)</f>
        <v>0.76170038830983022</v>
      </c>
    </row>
    <row r="1685" spans="1:12" x14ac:dyDescent="0.25">
      <c r="A1685" s="29">
        <v>45902</v>
      </c>
      <c r="B1685" s="16" t="s">
        <v>1731</v>
      </c>
      <c r="C1685" s="34">
        <v>1</v>
      </c>
      <c r="D1685" s="16" t="s">
        <v>52</v>
      </c>
      <c r="E1685" s="35">
        <v>3.7</v>
      </c>
      <c r="F1685" s="35">
        <v>3</v>
      </c>
      <c r="G1685" s="16" t="s">
        <v>44</v>
      </c>
      <c r="H1685" s="16" t="s">
        <v>45</v>
      </c>
      <c r="I1685" s="16">
        <f>COUNTIF(G$5:G1685,"Y")/COUNTA(G$5:G1685)</f>
        <v>0.87983343248066626</v>
      </c>
      <c r="J1685" s="16">
        <f>COUNTIF(H$5:H1685,"Y")/COUNTA(H$5:H1685)</f>
        <v>4.878048780487805E-2</v>
      </c>
      <c r="K1685" s="16">
        <f>AVERAGE(F$5:F1685)</f>
        <v>2.2189173111243301</v>
      </c>
      <c r="L1685" s="16">
        <f>SUM(F$5:F1685)/SUM(E$5:E1685)</f>
        <v>0.76173749668143831</v>
      </c>
    </row>
    <row r="1686" spans="1:12" x14ac:dyDescent="0.25">
      <c r="A1686" s="29">
        <v>45903</v>
      </c>
      <c r="B1686" s="16" t="s">
        <v>1732</v>
      </c>
      <c r="C1686" s="34">
        <v>1</v>
      </c>
      <c r="D1686" s="16" t="s">
        <v>52</v>
      </c>
      <c r="E1686" s="35">
        <v>3.3</v>
      </c>
      <c r="F1686" s="35">
        <v>2.4</v>
      </c>
      <c r="G1686" s="16" t="s">
        <v>44</v>
      </c>
      <c r="H1686" s="16" t="s">
        <v>45</v>
      </c>
      <c r="I1686" s="16">
        <f>COUNTIF(G$5:G1686,"Y")/COUNTA(G$5:G1686)</f>
        <v>0.87990487514863258</v>
      </c>
      <c r="J1686" s="16">
        <f>COUNTIF(H$5:H1686,"Y")/COUNTA(H$5:H1686)</f>
        <v>4.8751486325802618E-2</v>
      </c>
      <c r="K1686" s="16">
        <f>AVERAGE(F$5:F1686)</f>
        <v>2.2190249702734834</v>
      </c>
      <c r="L1686" s="16">
        <f>SUM(F$5:F1686)/SUM(E$5:E1686)</f>
        <v>0.76171428571428557</v>
      </c>
    </row>
    <row r="1687" spans="1:12" x14ac:dyDescent="0.25">
      <c r="A1687" s="29">
        <v>45904</v>
      </c>
      <c r="B1687" s="16" t="s">
        <v>1733</v>
      </c>
      <c r="C1687" s="34">
        <v>1</v>
      </c>
      <c r="D1687" s="16" t="s">
        <v>56</v>
      </c>
      <c r="E1687" s="35">
        <v>1.4</v>
      </c>
      <c r="F1687" s="35">
        <v>1</v>
      </c>
      <c r="G1687" s="16" t="s">
        <v>44</v>
      </c>
      <c r="H1687" s="16" t="s">
        <v>45</v>
      </c>
      <c r="I1687" s="16">
        <f>COUNTIF(G$5:G1687,"Y")/COUNTA(G$5:G1687)</f>
        <v>0.87997623291740934</v>
      </c>
      <c r="J1687" s="16">
        <f>COUNTIF(H$5:H1687,"Y")/COUNTA(H$5:H1687)</f>
        <v>4.8722519310754601E-2</v>
      </c>
      <c r="K1687" s="16">
        <f>AVERAGE(F$5:F1687)</f>
        <v>2.2183006535947709</v>
      </c>
      <c r="L1687" s="16">
        <f>SUM(F$5:F1687)/SUM(E$5:E1687)</f>
        <v>0.76170073856449172</v>
      </c>
    </row>
    <row r="1688" spans="1:12" x14ac:dyDescent="0.25">
      <c r="A1688" s="29">
        <v>45905</v>
      </c>
      <c r="B1688" s="16" t="s">
        <v>1734</v>
      </c>
      <c r="C1688" s="34">
        <v>1</v>
      </c>
      <c r="D1688" s="16" t="s">
        <v>60</v>
      </c>
      <c r="E1688" s="35">
        <v>2.9</v>
      </c>
      <c r="F1688" s="35">
        <v>2.1</v>
      </c>
      <c r="G1688" s="16" t="s">
        <v>44</v>
      </c>
      <c r="H1688" s="16" t="s">
        <v>45</v>
      </c>
      <c r="I1688" s="16">
        <f>COUNTIF(G$5:G1688,"Y")/COUNTA(G$5:G1688)</f>
        <v>0.88004750593824232</v>
      </c>
      <c r="J1688" s="16">
        <f>COUNTIF(H$5:H1688,"Y")/COUNTA(H$5:H1688)</f>
        <v>4.8693586698337295E-2</v>
      </c>
      <c r="K1688" s="16">
        <f>AVERAGE(F$5:F1688)</f>
        <v>2.2182304038004745</v>
      </c>
      <c r="L1688" s="16">
        <f>SUM(F$5:F1688)/SUM(E$5:E1688)</f>
        <v>0.76167852700691219</v>
      </c>
    </row>
    <row r="1689" spans="1:12" x14ac:dyDescent="0.25">
      <c r="A1689" s="29">
        <v>45901</v>
      </c>
      <c r="B1689" s="16" t="s">
        <v>1735</v>
      </c>
      <c r="C1689" s="34">
        <v>1</v>
      </c>
      <c r="D1689" s="16" t="s">
        <v>56</v>
      </c>
      <c r="E1689" s="35">
        <v>3.3</v>
      </c>
      <c r="F1689" s="35">
        <v>3</v>
      </c>
      <c r="G1689" s="16" t="s">
        <v>45</v>
      </c>
      <c r="H1689" s="16" t="s">
        <v>45</v>
      </c>
      <c r="I1689" s="16">
        <f>COUNTIF(G$5:G1689,"Y")/COUNTA(G$5:G1689)</f>
        <v>0.87952522255192878</v>
      </c>
      <c r="J1689" s="16">
        <f>COUNTIF(H$5:H1689,"Y")/COUNTA(H$5:H1689)</f>
        <v>4.86646884272997E-2</v>
      </c>
      <c r="K1689" s="16">
        <f>AVERAGE(F$5:F1689)</f>
        <v>2.2186943620178035</v>
      </c>
      <c r="L1689" s="16">
        <f>SUM(F$5:F1689)/SUM(E$5:E1689)</f>
        <v>0.7617776509903007</v>
      </c>
    </row>
    <row r="1690" spans="1:12" x14ac:dyDescent="0.25">
      <c r="A1690" s="29">
        <v>45902</v>
      </c>
      <c r="B1690" s="16" t="s">
        <v>1736</v>
      </c>
      <c r="C1690" s="34">
        <v>1</v>
      </c>
      <c r="D1690" s="16" t="s">
        <v>50</v>
      </c>
      <c r="E1690" s="35">
        <v>2.7</v>
      </c>
      <c r="F1690" s="35">
        <v>2</v>
      </c>
      <c r="G1690" s="16" t="s">
        <v>44</v>
      </c>
      <c r="H1690" s="16" t="s">
        <v>44</v>
      </c>
      <c r="I1690" s="16">
        <f>COUNTIF(G$5:G1690,"Y")/COUNTA(G$5:G1690)</f>
        <v>0.87959667852906287</v>
      </c>
      <c r="J1690" s="16">
        <f>COUNTIF(H$5:H1690,"Y")/COUNTA(H$5:H1690)</f>
        <v>4.9228944246737842E-2</v>
      </c>
      <c r="K1690" s="16">
        <f>AVERAGE(F$5:F1690)</f>
        <v>2.2185646500593115</v>
      </c>
      <c r="L1690" s="16">
        <f>SUM(F$5:F1690)/SUM(E$5:E1690)</f>
        <v>0.76176608353868391</v>
      </c>
    </row>
    <row r="1691" spans="1:12" x14ac:dyDescent="0.25">
      <c r="A1691" s="29">
        <v>45903</v>
      </c>
      <c r="B1691" s="16" t="s">
        <v>1737</v>
      </c>
      <c r="C1691" s="34">
        <v>1</v>
      </c>
      <c r="D1691" s="16" t="s">
        <v>64</v>
      </c>
      <c r="E1691" s="35">
        <v>2.2999999999999998</v>
      </c>
      <c r="F1691" s="35">
        <v>1.7</v>
      </c>
      <c r="G1691" s="16" t="s">
        <v>44</v>
      </c>
      <c r="H1691" s="16" t="s">
        <v>45</v>
      </c>
      <c r="I1691" s="16">
        <f>COUNTIF(G$5:G1691,"Y")/COUNTA(G$5:G1691)</f>
        <v>0.8796680497925311</v>
      </c>
      <c r="J1691" s="16">
        <f>COUNTIF(H$5:H1691,"Y")/COUNTA(H$5:H1691)</f>
        <v>4.9199762892708949E-2</v>
      </c>
      <c r="K1691" s="16">
        <f>AVERAGE(F$5:F1691)</f>
        <v>2.2182572614107876</v>
      </c>
      <c r="L1691" s="16">
        <f>SUM(F$5:F1691)/SUM(E$5:E1691)</f>
        <v>0.76175548589341679</v>
      </c>
    </row>
    <row r="1692" spans="1:12" x14ac:dyDescent="0.25">
      <c r="A1692" s="29">
        <v>45904</v>
      </c>
      <c r="B1692" s="16" t="s">
        <v>1738</v>
      </c>
      <c r="C1692" s="34">
        <v>1</v>
      </c>
      <c r="D1692" s="16" t="s">
        <v>64</v>
      </c>
      <c r="E1692" s="35">
        <v>3.6</v>
      </c>
      <c r="F1692" s="35">
        <v>2.8</v>
      </c>
      <c r="G1692" s="16" t="s">
        <v>44</v>
      </c>
      <c r="H1692" s="16" t="s">
        <v>45</v>
      </c>
      <c r="I1692" s="16">
        <f>COUNTIF(G$5:G1692,"Y")/COUNTA(G$5:G1692)</f>
        <v>0.87973933649289104</v>
      </c>
      <c r="J1692" s="16">
        <f>COUNTIF(H$5:H1692,"Y")/COUNTA(H$5:H1692)</f>
        <v>4.9170616113744077E-2</v>
      </c>
      <c r="K1692" s="16">
        <f>AVERAGE(F$5:F1692)</f>
        <v>2.2186018957345968</v>
      </c>
      <c r="L1692" s="16">
        <f>SUM(F$5:F1692)/SUM(E$5:E1692)</f>
        <v>0.76176721858345864</v>
      </c>
    </row>
    <row r="1693" spans="1:12" x14ac:dyDescent="0.25">
      <c r="A1693" s="29">
        <v>45905</v>
      </c>
      <c r="B1693" s="16" t="s">
        <v>1739</v>
      </c>
      <c r="C1693" s="34">
        <v>1</v>
      </c>
      <c r="D1693" s="16" t="s">
        <v>47</v>
      </c>
      <c r="E1693" s="35">
        <v>3.6</v>
      </c>
      <c r="F1693" s="35">
        <v>2.9</v>
      </c>
      <c r="G1693" s="16" t="s">
        <v>44</v>
      </c>
      <c r="H1693" s="16" t="s">
        <v>45</v>
      </c>
      <c r="I1693" s="16">
        <f>COUNTIF(G$5:G1693,"Y")/COUNTA(G$5:G1693)</f>
        <v>0.87981053878034343</v>
      </c>
      <c r="J1693" s="16">
        <f>COUNTIF(H$5:H1693,"Y")/COUNTA(H$5:H1693)</f>
        <v>4.9141503848431023E-2</v>
      </c>
      <c r="K1693" s="16">
        <f>AVERAGE(F$5:F1693)</f>
        <v>2.2190053285968023</v>
      </c>
      <c r="L1693" s="16">
        <f>SUM(F$5:F1693)/SUM(E$5:E1693)</f>
        <v>0.76179926013252552</v>
      </c>
    </row>
    <row r="1694" spans="1:12" x14ac:dyDescent="0.25">
      <c r="A1694" s="29">
        <v>45901</v>
      </c>
      <c r="B1694" s="16" t="s">
        <v>1740</v>
      </c>
      <c r="C1694" s="34">
        <v>1</v>
      </c>
      <c r="D1694" s="16" t="s">
        <v>64</v>
      </c>
      <c r="E1694" s="35">
        <v>4.5</v>
      </c>
      <c r="F1694" s="35">
        <v>3.2</v>
      </c>
      <c r="G1694" s="16" t="s">
        <v>44</v>
      </c>
      <c r="H1694" s="16" t="s">
        <v>45</v>
      </c>
      <c r="I1694" s="16">
        <f>COUNTIF(G$5:G1694,"Y")/COUNTA(G$5:G1694)</f>
        <v>0.87988165680473374</v>
      </c>
      <c r="J1694" s="16">
        <f>COUNTIF(H$5:H1694,"Y")/COUNTA(H$5:H1694)</f>
        <v>4.9112426035502955E-2</v>
      </c>
      <c r="K1694" s="16">
        <f>AVERAGE(F$5:F1694)</f>
        <v>2.2195857988165675</v>
      </c>
      <c r="L1694" s="16">
        <f>SUM(F$5:F1694)/SUM(E$5:E1694)</f>
        <v>0.76175293950409173</v>
      </c>
    </row>
    <row r="1695" spans="1:12" x14ac:dyDescent="0.25">
      <c r="A1695" s="29">
        <v>45902</v>
      </c>
      <c r="B1695" s="16" t="s">
        <v>1741</v>
      </c>
      <c r="C1695" s="34">
        <v>1</v>
      </c>
      <c r="D1695" s="16" t="s">
        <v>43</v>
      </c>
      <c r="E1695" s="35">
        <v>1.7</v>
      </c>
      <c r="F1695" s="35">
        <v>1.5</v>
      </c>
      <c r="G1695" s="16" t="s">
        <v>44</v>
      </c>
      <c r="H1695" s="16" t="s">
        <v>45</v>
      </c>
      <c r="I1695" s="16">
        <f>COUNTIF(G$5:G1695,"Y")/COUNTA(G$5:G1695)</f>
        <v>0.87995269071555293</v>
      </c>
      <c r="J1695" s="16">
        <f>COUNTIF(H$5:H1695,"Y")/COUNTA(H$5:H1695)</f>
        <v>4.9083382613837968E-2</v>
      </c>
      <c r="K1695" s="16">
        <f>AVERAGE(F$5:F1695)</f>
        <v>2.2191602602010638</v>
      </c>
      <c r="L1695" s="16">
        <f>SUM(F$5:F1695)/SUM(E$5:E1695)</f>
        <v>0.76179455948030839</v>
      </c>
    </row>
    <row r="1696" spans="1:12" x14ac:dyDescent="0.25">
      <c r="A1696" s="29">
        <v>45903</v>
      </c>
      <c r="B1696" s="16" t="s">
        <v>1742</v>
      </c>
      <c r="C1696" s="34">
        <v>1</v>
      </c>
      <c r="D1696" s="16" t="s">
        <v>56</v>
      </c>
      <c r="E1696" s="35">
        <v>4.0999999999999996</v>
      </c>
      <c r="F1696" s="35">
        <v>3.4</v>
      </c>
      <c r="G1696" s="16" t="s">
        <v>44</v>
      </c>
      <c r="H1696" s="16" t="s">
        <v>45</v>
      </c>
      <c r="I1696" s="16">
        <f>COUNTIF(G$5:G1696,"Y")/COUNTA(G$5:G1696)</f>
        <v>0.8800236406619385</v>
      </c>
      <c r="J1696" s="16">
        <f>COUNTIF(H$5:H1696,"Y")/COUNTA(H$5:H1696)</f>
        <v>4.905437352245863E-2</v>
      </c>
      <c r="K1696" s="16">
        <f>AVERAGE(F$5:F1696)</f>
        <v>2.2198581560283683</v>
      </c>
      <c r="L1696" s="16">
        <f>SUM(F$5:F1696)/SUM(E$5:E1696)</f>
        <v>0.76185067240015392</v>
      </c>
    </row>
    <row r="1697" spans="1:13" x14ac:dyDescent="0.25">
      <c r="A1697" s="29">
        <v>45904</v>
      </c>
      <c r="B1697" s="16" t="s">
        <v>1743</v>
      </c>
      <c r="C1697" s="34">
        <v>1</v>
      </c>
      <c r="D1697" s="16" t="s">
        <v>56</v>
      </c>
      <c r="E1697" s="35">
        <v>3.3</v>
      </c>
      <c r="F1697" s="35">
        <v>2.6</v>
      </c>
      <c r="G1697" s="16" t="s">
        <v>44</v>
      </c>
      <c r="H1697" s="16" t="s">
        <v>45</v>
      </c>
      <c r="I1697" s="16">
        <f>COUNTIF(G$5:G1697,"Y")/COUNTA(G$5:G1697)</f>
        <v>0.88009450679267576</v>
      </c>
      <c r="J1697" s="16">
        <f>COUNTIF(H$5:H1697,"Y")/COUNTA(H$5:H1697)</f>
        <v>4.9025398700531603E-2</v>
      </c>
      <c r="K1697" s="16">
        <f>AVERAGE(F$5:F1697)</f>
        <v>2.2200826934435907</v>
      </c>
      <c r="L1697" s="16">
        <f>SUM(F$5:F1697)/SUM(E$5:E1697)</f>
        <v>0.76186808286374474</v>
      </c>
    </row>
    <row r="1698" spans="1:13" x14ac:dyDescent="0.25">
      <c r="A1698" s="29">
        <v>45905</v>
      </c>
      <c r="B1698" s="16" t="s">
        <v>1744</v>
      </c>
      <c r="C1698" s="34">
        <v>1</v>
      </c>
      <c r="D1698" s="16" t="s">
        <v>56</v>
      </c>
      <c r="E1698" s="35">
        <v>1.2</v>
      </c>
      <c r="F1698" s="35">
        <v>1</v>
      </c>
      <c r="G1698" s="16" t="s">
        <v>44</v>
      </c>
      <c r="H1698" s="16" t="s">
        <v>45</v>
      </c>
      <c r="I1698" s="16">
        <f>COUNTIF(G$5:G1698,"Y")/COUNTA(G$5:G1698)</f>
        <v>0.8801652892561983</v>
      </c>
      <c r="J1698" s="16">
        <f>COUNTIF(H$5:H1698,"Y")/COUNTA(H$5:H1698)</f>
        <v>4.8996458087367176E-2</v>
      </c>
      <c r="K1698" s="16">
        <f>AVERAGE(F$5:F1698)</f>
        <v>2.2193624557260914</v>
      </c>
      <c r="L1698" s="16">
        <f>SUM(F$5:F1698)/SUM(E$5:E1698)</f>
        <v>0.76188546184087846</v>
      </c>
    </row>
    <row r="1699" spans="1:13" x14ac:dyDescent="0.25">
      <c r="A1699" s="29">
        <v>45901</v>
      </c>
      <c r="B1699" s="16" t="s">
        <v>1745</v>
      </c>
      <c r="C1699" s="34">
        <v>1</v>
      </c>
      <c r="D1699" s="16" t="s">
        <v>56</v>
      </c>
      <c r="E1699" s="35">
        <v>1.4</v>
      </c>
      <c r="F1699" s="35">
        <v>1</v>
      </c>
      <c r="G1699" s="16" t="s">
        <v>44</v>
      </c>
      <c r="H1699" s="16" t="s">
        <v>45</v>
      </c>
      <c r="I1699" s="16">
        <f>COUNTIF(G$5:G1699,"Y")/COUNTA(G$5:G1699)</f>
        <v>0.88023598820059001</v>
      </c>
      <c r="J1699" s="16">
        <f>COUNTIF(H$5:H1699,"Y")/COUNTA(H$5:H1699)</f>
        <v>4.8967551622418878E-2</v>
      </c>
      <c r="K1699" s="16">
        <f>AVERAGE(F$5:F1699)</f>
        <v>2.2186430678466071</v>
      </c>
      <c r="L1699" s="16">
        <f>SUM(F$5:F1699)/SUM(E$5:E1699)</f>
        <v>0.76187196110210675</v>
      </c>
    </row>
    <row r="1700" spans="1:13" x14ac:dyDescent="0.25">
      <c r="A1700" s="29">
        <v>45902</v>
      </c>
      <c r="B1700" s="16" t="s">
        <v>1746</v>
      </c>
      <c r="C1700" s="34">
        <v>1</v>
      </c>
      <c r="D1700" s="16" t="s">
        <v>60</v>
      </c>
      <c r="E1700" s="35">
        <v>2.6</v>
      </c>
      <c r="F1700" s="35">
        <v>2.1</v>
      </c>
      <c r="G1700" s="16" t="s">
        <v>44</v>
      </c>
      <c r="H1700" s="16" t="s">
        <v>45</v>
      </c>
      <c r="I1700" s="16">
        <f>COUNTIF(G$5:G1700,"Y")/COUNTA(G$5:G1700)</f>
        <v>0.88030660377358494</v>
      </c>
      <c r="J1700" s="16">
        <f>COUNTIF(H$5:H1700,"Y")/COUNTA(H$5:H1700)</f>
        <v>4.8938679245283022E-2</v>
      </c>
      <c r="K1700" s="16">
        <f>AVERAGE(F$5:F1700)</f>
        <v>2.2185731132075466</v>
      </c>
      <c r="L1700" s="16">
        <f>SUM(F$5:F1700)/SUM(E$5:E1700)</f>
        <v>0.76189608391041963</v>
      </c>
    </row>
    <row r="1701" spans="1:13" x14ac:dyDescent="0.25">
      <c r="A1701" s="29">
        <v>45903</v>
      </c>
      <c r="B1701" s="16" t="s">
        <v>1747</v>
      </c>
      <c r="C1701" s="34">
        <v>1</v>
      </c>
      <c r="D1701" s="16" t="s">
        <v>43</v>
      </c>
      <c r="E1701" s="35">
        <v>3.6</v>
      </c>
      <c r="F1701" s="35">
        <v>2.6</v>
      </c>
      <c r="G1701" s="16" t="s">
        <v>44</v>
      </c>
      <c r="H1701" s="16" t="s">
        <v>45</v>
      </c>
      <c r="I1701" s="16">
        <f>COUNTIF(G$5:G1701,"Y")/COUNTA(G$5:G1701)</f>
        <v>0.88037713612256929</v>
      </c>
      <c r="J1701" s="16">
        <f>COUNTIF(H$5:H1701,"Y")/COUNTA(H$5:H1701)</f>
        <v>4.8909840895698289E-2</v>
      </c>
      <c r="K1701" s="16">
        <f>AVERAGE(F$5:F1701)</f>
        <v>2.2187978786093097</v>
      </c>
      <c r="L1701" s="16">
        <f>SUM(F$5:F1701)/SUM(E$5:E1701)</f>
        <v>0.7618671846546069</v>
      </c>
    </row>
    <row r="1702" spans="1:13" x14ac:dyDescent="0.25">
      <c r="A1702" s="29">
        <v>45904</v>
      </c>
      <c r="B1702" s="16" t="s">
        <v>1748</v>
      </c>
      <c r="C1702" s="34">
        <v>1</v>
      </c>
      <c r="D1702" s="16" t="s">
        <v>47</v>
      </c>
      <c r="E1702" s="35">
        <v>3.3</v>
      </c>
      <c r="F1702" s="35">
        <v>2.7</v>
      </c>
      <c r="G1702" s="16" t="s">
        <v>45</v>
      </c>
      <c r="H1702" s="16" t="s">
        <v>45</v>
      </c>
      <c r="I1702" s="16">
        <f>COUNTIF(G$5:G1702,"Y")/COUNTA(G$5:G1702)</f>
        <v>0.87985865724381629</v>
      </c>
      <c r="J1702" s="16">
        <f>COUNTIF(H$5:H1702,"Y")/COUNTA(H$5:H1702)</f>
        <v>4.8881036513545348E-2</v>
      </c>
      <c r="K1702" s="16">
        <f>AVERAGE(F$5:F1702)</f>
        <v>2.219081272084805</v>
      </c>
      <c r="L1702" s="16">
        <f>SUM(F$5:F1702)/SUM(E$5:E1702)</f>
        <v>0.76190476190476153</v>
      </c>
    </row>
    <row r="1703" spans="1:13" x14ac:dyDescent="0.25">
      <c r="A1703" s="29">
        <v>45905</v>
      </c>
      <c r="B1703" s="16" t="s">
        <v>1749</v>
      </c>
      <c r="C1703" s="34">
        <v>1</v>
      </c>
      <c r="D1703" s="16" t="s">
        <v>52</v>
      </c>
      <c r="E1703" s="35">
        <v>4</v>
      </c>
      <c r="F1703" s="35">
        <v>3</v>
      </c>
      <c r="G1703" s="16" t="s">
        <v>44</v>
      </c>
      <c r="H1703" s="16" t="s">
        <v>45</v>
      </c>
      <c r="I1703" s="16">
        <f>COUNTIF(G$5:G1703,"Y")/COUNTA(G$5:G1703)</f>
        <v>0.87992937021777518</v>
      </c>
      <c r="J1703" s="16">
        <f>COUNTIF(H$5:H1703,"Y")/COUNTA(H$5:H1703)</f>
        <v>4.8852266038846383E-2</v>
      </c>
      <c r="K1703" s="16">
        <f>AVERAGE(F$5:F1703)</f>
        <v>2.2195409064155376</v>
      </c>
      <c r="L1703" s="16">
        <f>SUM(F$5:F1703)/SUM(E$5:E1703)</f>
        <v>0.76189514092332522</v>
      </c>
    </row>
    <row r="1704" spans="1:13" x14ac:dyDescent="0.25">
      <c r="A1704" s="29">
        <v>45901</v>
      </c>
      <c r="B1704" s="16" t="s">
        <v>1750</v>
      </c>
      <c r="C1704" s="34">
        <v>1</v>
      </c>
      <c r="D1704" s="16" t="s">
        <v>43</v>
      </c>
      <c r="E1704" s="35">
        <v>4</v>
      </c>
      <c r="F1704" s="35">
        <v>2.7</v>
      </c>
      <c r="G1704" s="16" t="s">
        <v>44</v>
      </c>
      <c r="H1704" s="16" t="s">
        <v>45</v>
      </c>
      <c r="I1704" s="16">
        <f>COUNTIF(G$5:G1704,"Y")/COUNTA(G$5:G1704)</f>
        <v>0.88</v>
      </c>
      <c r="J1704" s="16">
        <f>COUNTIF(H$5:H1704,"Y")/COUNTA(H$5:H1704)</f>
        <v>4.8823529411764703E-2</v>
      </c>
      <c r="K1704" s="16">
        <f>AVERAGE(F$5:F1704)</f>
        <v>2.2198235294117636</v>
      </c>
      <c r="L1704" s="16">
        <f>SUM(F$5:F1704)/SUM(E$5:E1704)</f>
        <v>0.76182497224184875</v>
      </c>
    </row>
    <row r="1705" spans="1:13" x14ac:dyDescent="0.25">
      <c r="A1705" s="29">
        <v>45902</v>
      </c>
      <c r="B1705" s="16" t="s">
        <v>1751</v>
      </c>
      <c r="C1705" s="34">
        <v>1</v>
      </c>
      <c r="D1705" s="16" t="s">
        <v>43</v>
      </c>
      <c r="E1705" s="35">
        <v>1</v>
      </c>
      <c r="F1705" s="35">
        <v>0.8</v>
      </c>
      <c r="G1705" s="16" t="s">
        <v>44</v>
      </c>
      <c r="H1705" s="16" t="s">
        <v>45</v>
      </c>
      <c r="I1705" s="16">
        <f>COUNTIF(G$5:G1705,"Y")/COUNTA(G$5:G1705)</f>
        <v>0.88007054673721341</v>
      </c>
      <c r="J1705" s="16">
        <f>COUNTIF(H$5:H1705,"Y")/COUNTA(H$5:H1705)</f>
        <v>4.8794826572604352E-2</v>
      </c>
      <c r="K1705" s="16">
        <f>AVERAGE(F$5:F1705)</f>
        <v>2.2189888300999403</v>
      </c>
      <c r="L1705" s="16">
        <f>SUM(F$5:F1705)/SUM(E$5:E1705)</f>
        <v>0.76183267736401206</v>
      </c>
    </row>
    <row r="1706" spans="1:13" x14ac:dyDescent="0.25">
      <c r="A1706" s="29">
        <v>45903</v>
      </c>
      <c r="B1706" s="16" t="s">
        <v>1752</v>
      </c>
      <c r="C1706" s="34">
        <v>1</v>
      </c>
      <c r="D1706" s="16" t="s">
        <v>50</v>
      </c>
      <c r="E1706" s="35">
        <v>0.5</v>
      </c>
      <c r="F1706" s="35">
        <v>0.5</v>
      </c>
      <c r="G1706" s="16" t="s">
        <v>44</v>
      </c>
      <c r="H1706" s="16" t="s">
        <v>44</v>
      </c>
      <c r="I1706" s="16">
        <f>COUNTIF(G$5:G1706,"Y")/COUNTA(G$5:G1706)</f>
        <v>0.88014101057579319</v>
      </c>
      <c r="J1706" s="16">
        <f>COUNTIF(H$5:H1706,"Y")/COUNTA(H$5:H1706)</f>
        <v>4.935370152761457E-2</v>
      </c>
      <c r="K1706" s="16">
        <f>AVERAGE(F$5:F1706)</f>
        <v>2.21797884841363</v>
      </c>
      <c r="L1706" s="16">
        <f>SUM(F$5:F1706)/SUM(E$5:E1706)</f>
        <v>0.76185671039354141</v>
      </c>
    </row>
    <row r="1707" spans="1:13" x14ac:dyDescent="0.25">
      <c r="A1707" s="29">
        <v>45904</v>
      </c>
      <c r="B1707" s="16" t="s">
        <v>1753</v>
      </c>
      <c r="C1707" s="34">
        <v>1</v>
      </c>
      <c r="D1707" s="16" t="s">
        <v>56</v>
      </c>
      <c r="E1707" s="35">
        <v>0.5</v>
      </c>
      <c r="F1707" s="35">
        <v>0.5</v>
      </c>
      <c r="G1707" s="16" t="s">
        <v>44</v>
      </c>
      <c r="H1707" s="16" t="s">
        <v>45</v>
      </c>
      <c r="I1707" s="16">
        <f>COUNTIF(G$5:G1707,"Y")/COUNTA(G$5:G1707)</f>
        <v>0.88021139166177331</v>
      </c>
      <c r="J1707" s="16">
        <f>COUNTIF(H$5:H1707,"Y")/COUNTA(H$5:H1707)</f>
        <v>4.932472108044627E-2</v>
      </c>
      <c r="K1707" s="16">
        <f>AVERAGE(F$5:F1707)</f>
        <v>2.2169700528479148</v>
      </c>
      <c r="L1707" s="16">
        <f>SUM(F$5:F1707)/SUM(E$5:E1707)</f>
        <v>0.76188073857330196</v>
      </c>
    </row>
    <row r="1708" spans="1:13" x14ac:dyDescent="0.25">
      <c r="A1708" s="29">
        <v>45905</v>
      </c>
      <c r="B1708" s="16" t="s">
        <v>1754</v>
      </c>
      <c r="C1708" s="34">
        <v>1</v>
      </c>
      <c r="D1708" s="16" t="s">
        <v>56</v>
      </c>
      <c r="E1708" s="35">
        <v>0.5</v>
      </c>
      <c r="F1708" s="35">
        <v>0.5</v>
      </c>
      <c r="G1708" s="16" t="s">
        <v>44</v>
      </c>
      <c r="H1708" s="16" t="s">
        <v>45</v>
      </c>
      <c r="I1708" s="16">
        <f>COUNTIF(G$5:G1708,"Y")/COUNTA(G$5:G1708)</f>
        <v>0.88028169014084512</v>
      </c>
      <c r="J1708" s="16">
        <f>COUNTIF(H$5:H1708,"Y")/COUNTA(H$5:H1708)</f>
        <v>4.9295774647887321E-2</v>
      </c>
      <c r="K1708" s="16">
        <f>AVERAGE(F$5:F1708)</f>
        <v>2.2159624413145531</v>
      </c>
      <c r="L1708" s="16">
        <f>SUM(F$5:F1708)/SUM(E$5:E1708)</f>
        <v>0.76190476190476153</v>
      </c>
    </row>
    <row r="1709" spans="1:13" x14ac:dyDescent="0.25">
      <c r="A1709" s="29">
        <v>45901</v>
      </c>
      <c r="B1709" s="16" t="s">
        <v>1755</v>
      </c>
      <c r="C1709" s="34">
        <v>1</v>
      </c>
      <c r="D1709" s="16" t="s">
        <v>60</v>
      </c>
      <c r="E1709" s="35">
        <v>0.5</v>
      </c>
      <c r="F1709" s="35">
        <v>0.5</v>
      </c>
      <c r="G1709" s="16" t="s">
        <v>44</v>
      </c>
      <c r="H1709" s="16" t="s">
        <v>45</v>
      </c>
      <c r="I1709" s="16">
        <f>COUNTIF(G$5:G1709,"Y")/COUNTA(G$5:G1709)</f>
        <v>0.88035190615835779</v>
      </c>
      <c r="J1709" s="16">
        <f>COUNTIF(H$5:H1709,"Y")/COUNTA(H$5:H1709)</f>
        <v>4.926686217008798E-2</v>
      </c>
      <c r="K1709" s="16">
        <f>AVERAGE(F$5:F1709)</f>
        <v>2.2149560117302043</v>
      </c>
      <c r="L1709" s="16">
        <f>SUM(F$5:F1709)/SUM(E$5:E1709)</f>
        <v>0.76192878038938727</v>
      </c>
    </row>
    <row r="1710" spans="1:13" x14ac:dyDescent="0.25">
      <c r="A1710" s="29">
        <v>45902</v>
      </c>
      <c r="B1710" s="16" t="s">
        <v>1756</v>
      </c>
      <c r="C1710" s="34">
        <v>1</v>
      </c>
      <c r="D1710" s="16" t="s">
        <v>47</v>
      </c>
      <c r="E1710" s="35">
        <v>0.5</v>
      </c>
      <c r="F1710" s="35">
        <v>0.5</v>
      </c>
      <c r="G1710" s="16" t="s">
        <v>44</v>
      </c>
      <c r="H1710" s="16" t="s">
        <v>45</v>
      </c>
      <c r="I1710" s="16">
        <f>COUNTIF(G$5:G1710,"Y")/COUNTA(G$5:G1710)</f>
        <v>0.88042203985931999</v>
      </c>
      <c r="J1710" s="16">
        <f>COUNTIF(H$5:H1710,"Y")/COUNTA(H$5:H1710)</f>
        <v>4.9237983587338802E-2</v>
      </c>
      <c r="K1710" s="16">
        <f>AVERAGE(F$5:F1710)</f>
        <v>2.2139507620164118</v>
      </c>
      <c r="L1710" s="16">
        <f>SUM(F$5:F1710)/SUM(E$5:E1710)</f>
        <v>0.76195279402864591</v>
      </c>
    </row>
    <row r="1711" spans="1:13" x14ac:dyDescent="0.25">
      <c r="A1711" s="29">
        <v>45903</v>
      </c>
      <c r="B1711" s="16" t="s">
        <v>1757</v>
      </c>
      <c r="C1711" s="34">
        <v>1</v>
      </c>
      <c r="D1711" s="16" t="s">
        <v>47</v>
      </c>
      <c r="E1711" s="35">
        <v>0.5</v>
      </c>
      <c r="F1711" s="35">
        <v>0.5</v>
      </c>
      <c r="G1711" s="16" t="s">
        <v>44</v>
      </c>
      <c r="H1711" s="16" t="s">
        <v>45</v>
      </c>
      <c r="I1711" s="16">
        <f>COUNTIF(G$5:G1711,"Y")/COUNTA(G$5:G1711)</f>
        <v>0.88049209138840068</v>
      </c>
      <c r="J1711" s="16">
        <f>COUNTIF(H$5:H1711,"Y")/COUNTA(H$5:H1711)</f>
        <v>4.9209138840070298E-2</v>
      </c>
      <c r="K1711" s="16">
        <f>AVERAGE(F$5:F1711)</f>
        <v>2.2129466900995891</v>
      </c>
      <c r="L1711" s="16">
        <f>SUM(F$5:F1711)/SUM(E$5:E1711)</f>
        <v>0.7619768028240036</v>
      </c>
    </row>
    <row r="1712" spans="1:13" x14ac:dyDescent="0.25">
      <c r="A1712" s="29">
        <v>45904</v>
      </c>
      <c r="B1712" s="16" t="s">
        <v>1758</v>
      </c>
      <c r="C1712" s="34">
        <v>1</v>
      </c>
      <c r="D1712" s="16" t="s">
        <v>50</v>
      </c>
      <c r="E1712" s="35">
        <v>0.5</v>
      </c>
      <c r="F1712" s="35">
        <v>0.5</v>
      </c>
      <c r="G1712" s="16" t="s">
        <v>45</v>
      </c>
      <c r="H1712" s="16" t="s">
        <v>45</v>
      </c>
      <c r="I1712" s="16">
        <f>COUNTIF(G$5:G1712,"Y")/COUNTA(G$5:G1712)</f>
        <v>0.87997658079625296</v>
      </c>
      <c r="J1712" s="16">
        <f>COUNTIF(H$5:H1712,"Y")/COUNTA(H$5:H1712)</f>
        <v>4.9180327868852458E-2</v>
      </c>
      <c r="K1712" s="16">
        <f>AVERAGE(F$5:F1712)</f>
        <v>2.211943793911006</v>
      </c>
      <c r="L1712" s="16">
        <f>SUM(F$5:F1712)/SUM(E$5:E1712)</f>
        <v>0.76200080677692572</v>
      </c>
      <c r="M1712" s="16">
        <v>10</v>
      </c>
    </row>
    <row r="1713" spans="1:12" x14ac:dyDescent="0.25">
      <c r="A1713" s="29">
        <v>45908</v>
      </c>
      <c r="B1713" s="16" t="s">
        <v>1759</v>
      </c>
      <c r="C1713" s="34">
        <v>1</v>
      </c>
      <c r="D1713" s="16" t="s">
        <v>50</v>
      </c>
      <c r="E1713" s="35">
        <v>4.2</v>
      </c>
      <c r="F1713" s="35">
        <v>3.3</v>
      </c>
      <c r="G1713" s="16" t="s">
        <v>44</v>
      </c>
      <c r="H1713" s="16" t="s">
        <v>45</v>
      </c>
      <c r="I1713" s="16">
        <f>COUNTIF(G$5:G1713,"Y")/COUNTA(G$5:G1713)</f>
        <v>0.88004681100058513</v>
      </c>
      <c r="J1713" s="16">
        <f>COUNTIF(H$5:H1713,"Y")/COUNTA(H$5:H1713)</f>
        <v>4.9151550614394385E-2</v>
      </c>
      <c r="K1713" s="16">
        <f>AVERAGE(F$5:F1713)</f>
        <v>2.2125804564072551</v>
      </c>
      <c r="L1713" s="16">
        <f>SUM(F$5:F1713)/SUM(E$5:E1713)</f>
        <v>0.76202087783644312</v>
      </c>
    </row>
    <row r="1714" spans="1:12" x14ac:dyDescent="0.25">
      <c r="A1714" s="29">
        <v>45909</v>
      </c>
      <c r="B1714" s="16" t="s">
        <v>1760</v>
      </c>
      <c r="C1714" s="34">
        <v>1</v>
      </c>
      <c r="D1714" s="16" t="s">
        <v>64</v>
      </c>
      <c r="E1714" s="35">
        <v>2</v>
      </c>
      <c r="F1714" s="35">
        <v>1.4</v>
      </c>
      <c r="G1714" s="16" t="s">
        <v>44</v>
      </c>
      <c r="H1714" s="16" t="s">
        <v>45</v>
      </c>
      <c r="I1714" s="16">
        <f>COUNTIF(G$5:G1714,"Y")/COUNTA(G$5:G1714)</f>
        <v>0.88011695906432752</v>
      </c>
      <c r="J1714" s="16">
        <f>COUNTIF(H$5:H1714,"Y")/COUNTA(H$5:H1714)</f>
        <v>4.912280701754386E-2</v>
      </c>
      <c r="K1714" s="16">
        <f>AVERAGE(F$5:F1714)</f>
        <v>2.2121052631578939</v>
      </c>
      <c r="L1714" s="16">
        <f>SUM(F$5:F1714)/SUM(E$5:E1714)</f>
        <v>0.76199589057652761</v>
      </c>
    </row>
    <row r="1715" spans="1:12" x14ac:dyDescent="0.25">
      <c r="A1715" s="29">
        <v>45910</v>
      </c>
      <c r="B1715" s="16" t="s">
        <v>1761</v>
      </c>
      <c r="C1715" s="34">
        <v>1</v>
      </c>
      <c r="D1715" s="16" t="s">
        <v>52</v>
      </c>
      <c r="E1715" s="35">
        <v>3.7</v>
      </c>
      <c r="F1715" s="35">
        <v>3.3</v>
      </c>
      <c r="G1715" s="16" t="s">
        <v>44</v>
      </c>
      <c r="H1715" s="16" t="s">
        <v>45</v>
      </c>
      <c r="I1715" s="16">
        <f>COUNTIF(G$5:G1715,"Y")/COUNTA(G$5:G1715)</f>
        <v>0.88018702513150204</v>
      </c>
      <c r="J1715" s="16">
        <f>COUNTIF(H$5:H1715,"Y")/COUNTA(H$5:H1715)</f>
        <v>4.9094097019286964E-2</v>
      </c>
      <c r="K1715" s="16">
        <f>AVERAGE(F$5:F1715)</f>
        <v>2.2127410870835762</v>
      </c>
      <c r="L1715" s="16">
        <f>SUM(F$5:F1715)/SUM(E$5:E1715)</f>
        <v>0.76209263471486921</v>
      </c>
    </row>
    <row r="1716" spans="1:12" x14ac:dyDescent="0.25">
      <c r="A1716" s="29">
        <v>45911</v>
      </c>
      <c r="B1716" s="16" t="s">
        <v>1762</v>
      </c>
      <c r="C1716" s="34">
        <v>1</v>
      </c>
      <c r="D1716" s="16" t="s">
        <v>52</v>
      </c>
      <c r="E1716" s="35">
        <v>1.6</v>
      </c>
      <c r="F1716" s="35">
        <v>1.2</v>
      </c>
      <c r="G1716" s="16" t="s">
        <v>45</v>
      </c>
      <c r="H1716" s="16" t="s">
        <v>45</v>
      </c>
      <c r="I1716" s="16">
        <f>COUNTIF(G$5:G1716,"Y")/COUNTA(G$5:G1716)</f>
        <v>0.87967289719626163</v>
      </c>
      <c r="J1716" s="16">
        <f>COUNTIF(H$5:H1716,"Y")/COUNTA(H$5:H1716)</f>
        <v>4.9065420560747662E-2</v>
      </c>
      <c r="K1716" s="16">
        <f>AVERAGE(F$5:F1716)</f>
        <v>2.2121495327102796</v>
      </c>
      <c r="L1716" s="16">
        <f>SUM(F$5:F1716)/SUM(E$5:E1716)</f>
        <v>0.76208874132206428</v>
      </c>
    </row>
    <row r="1717" spans="1:12" x14ac:dyDescent="0.25">
      <c r="A1717" s="29">
        <v>45912</v>
      </c>
      <c r="B1717" s="16" t="s">
        <v>1763</v>
      </c>
      <c r="C1717" s="34">
        <v>1</v>
      </c>
      <c r="D1717" s="16" t="s">
        <v>64</v>
      </c>
      <c r="E1717" s="35">
        <v>3</v>
      </c>
      <c r="F1717" s="35">
        <v>2.6</v>
      </c>
      <c r="G1717" s="16" t="s">
        <v>45</v>
      </c>
      <c r="H1717" s="16" t="s">
        <v>45</v>
      </c>
      <c r="I1717" s="16">
        <f>COUNTIF(G$5:G1717,"Y")/COUNTA(G$5:G1717)</f>
        <v>0.87915936952714535</v>
      </c>
      <c r="J1717" s="16">
        <f>COUNTIF(H$5:H1717,"Y")/COUNTA(H$5:H1717)</f>
        <v>4.9036777583187391E-2</v>
      </c>
      <c r="K1717" s="16">
        <f>AVERAGE(F$5:F1717)</f>
        <v>2.2123759486281371</v>
      </c>
      <c r="L1717" s="16">
        <f>SUM(F$5:F1717)/SUM(E$5:E1717)</f>
        <v>0.76215183509301121</v>
      </c>
    </row>
    <row r="1718" spans="1:12" x14ac:dyDescent="0.25">
      <c r="A1718" s="29">
        <v>45908</v>
      </c>
      <c r="B1718" s="16" t="s">
        <v>1764</v>
      </c>
      <c r="C1718" s="34">
        <v>1</v>
      </c>
      <c r="D1718" s="16" t="s">
        <v>60</v>
      </c>
      <c r="E1718" s="35">
        <v>2</v>
      </c>
      <c r="F1718" s="35">
        <v>1.6</v>
      </c>
      <c r="G1718" s="16" t="s">
        <v>44</v>
      </c>
      <c r="H1718" s="16" t="s">
        <v>45</v>
      </c>
      <c r="I1718" s="16">
        <f>COUNTIF(G$5:G1718,"Y")/COUNTA(G$5:G1718)</f>
        <v>0.87922987164527422</v>
      </c>
      <c r="J1718" s="16">
        <f>COUNTIF(H$5:H1718,"Y")/COUNTA(H$5:H1718)</f>
        <v>4.9008168028004666E-2</v>
      </c>
      <c r="K1718" s="16">
        <f>AVERAGE(F$5:F1718)</f>
        <v>2.2120186697782955</v>
      </c>
      <c r="L1718" s="16">
        <f>SUM(F$5:F1718)/SUM(E$5:E1718)</f>
        <v>0.76216705196502121</v>
      </c>
    </row>
    <row r="1719" spans="1:12" x14ac:dyDescent="0.25">
      <c r="A1719" s="29">
        <v>45909</v>
      </c>
      <c r="B1719" s="16" t="s">
        <v>1765</v>
      </c>
      <c r="C1719" s="34">
        <v>1</v>
      </c>
      <c r="D1719" s="16" t="s">
        <v>64</v>
      </c>
      <c r="E1719" s="35">
        <v>2.4</v>
      </c>
      <c r="F1719" s="35">
        <v>1.9</v>
      </c>
      <c r="G1719" s="16" t="s">
        <v>45</v>
      </c>
      <c r="H1719" s="16" t="s">
        <v>45</v>
      </c>
      <c r="I1719" s="16">
        <f>COUNTIF(G$5:G1719,"Y")/COUNTA(G$5:G1719)</f>
        <v>0.87871720116618079</v>
      </c>
      <c r="J1719" s="16">
        <f>COUNTIF(H$5:H1719,"Y")/COUNTA(H$5:H1719)</f>
        <v>4.8979591836734691E-2</v>
      </c>
      <c r="K1719" s="16">
        <f>AVERAGE(F$5:F1719)</f>
        <v>2.2118367346938768</v>
      </c>
      <c r="L1719" s="16">
        <f>SUM(F$5:F1719)/SUM(E$5:E1719)</f>
        <v>0.76218127750205922</v>
      </c>
    </row>
    <row r="1720" spans="1:12" x14ac:dyDescent="0.25">
      <c r="A1720" s="29">
        <v>45910</v>
      </c>
      <c r="B1720" s="16" t="s">
        <v>1766</v>
      </c>
      <c r="C1720" s="34">
        <v>1</v>
      </c>
      <c r="D1720" s="16" t="s">
        <v>56</v>
      </c>
      <c r="E1720" s="35">
        <v>1.6</v>
      </c>
      <c r="F1720" s="35">
        <v>1.1000000000000001</v>
      </c>
      <c r="G1720" s="16" t="s">
        <v>44</v>
      </c>
      <c r="H1720" s="16" t="s">
        <v>45</v>
      </c>
      <c r="I1720" s="16">
        <f>COUNTIF(G$5:G1720,"Y")/COUNTA(G$5:G1720)</f>
        <v>0.87878787878787878</v>
      </c>
      <c r="J1720" s="16">
        <f>COUNTIF(H$5:H1720,"Y")/COUNTA(H$5:H1720)</f>
        <v>4.8951048951048952E-2</v>
      </c>
      <c r="K1720" s="16">
        <f>AVERAGE(F$5:F1720)</f>
        <v>2.2111888111888103</v>
      </c>
      <c r="L1720" s="16">
        <f>SUM(F$5:F1720)/SUM(E$5:E1720)</f>
        <v>0.7621572762880382</v>
      </c>
    </row>
    <row r="1721" spans="1:12" x14ac:dyDescent="0.25">
      <c r="A1721" s="29">
        <v>45911</v>
      </c>
      <c r="B1721" s="16" t="s">
        <v>1767</v>
      </c>
      <c r="C1721" s="34">
        <v>1</v>
      </c>
      <c r="D1721" s="16" t="s">
        <v>64</v>
      </c>
      <c r="E1721" s="35">
        <v>2</v>
      </c>
      <c r="F1721" s="35">
        <v>1.7</v>
      </c>
      <c r="G1721" s="16" t="s">
        <v>44</v>
      </c>
      <c r="H1721" s="16" t="s">
        <v>45</v>
      </c>
      <c r="I1721" s="16">
        <f>COUNTIF(G$5:G1721,"Y")/COUNTA(G$5:G1721)</f>
        <v>0.87885847408270235</v>
      </c>
      <c r="J1721" s="16">
        <f>COUNTIF(H$5:H1721,"Y")/COUNTA(H$5:H1721)</f>
        <v>4.8922539312754802E-2</v>
      </c>
      <c r="K1721" s="16">
        <f>AVERAGE(F$5:F1721)</f>
        <v>2.2108910891089102</v>
      </c>
      <c r="L1721" s="16">
        <f>SUM(F$5:F1721)/SUM(E$5:E1721)</f>
        <v>0.76219255094869953</v>
      </c>
    </row>
    <row r="1722" spans="1:12" x14ac:dyDescent="0.25">
      <c r="A1722" s="29">
        <v>45912</v>
      </c>
      <c r="B1722" s="16" t="s">
        <v>1768</v>
      </c>
      <c r="C1722" s="34">
        <v>1</v>
      </c>
      <c r="D1722" s="16" t="s">
        <v>43</v>
      </c>
      <c r="E1722" s="35">
        <v>3.7</v>
      </c>
      <c r="F1722" s="35">
        <v>2.8</v>
      </c>
      <c r="G1722" s="16" t="s">
        <v>44</v>
      </c>
      <c r="H1722" s="16" t="s">
        <v>45</v>
      </c>
      <c r="I1722" s="16">
        <f>COUNTIF(G$5:G1722,"Y")/COUNTA(G$5:G1722)</f>
        <v>0.87892898719441215</v>
      </c>
      <c r="J1722" s="16">
        <f>COUNTIF(H$5:H1722,"Y")/COUNTA(H$5:H1722)</f>
        <v>4.8894062863795114E-2</v>
      </c>
      <c r="K1722" s="16">
        <f>AVERAGE(F$5:F1722)</f>
        <v>2.2112339930151332</v>
      </c>
      <c r="L1722" s="16">
        <f>SUM(F$5:F1722)/SUM(E$5:E1722)</f>
        <v>0.76218851570964208</v>
      </c>
    </row>
    <row r="1723" spans="1:12" x14ac:dyDescent="0.25">
      <c r="A1723" s="29">
        <v>45908</v>
      </c>
      <c r="B1723" s="16" t="s">
        <v>1769</v>
      </c>
      <c r="C1723" s="34">
        <v>1</v>
      </c>
      <c r="D1723" s="16" t="s">
        <v>60</v>
      </c>
      <c r="E1723" s="35">
        <v>3.8</v>
      </c>
      <c r="F1723" s="35">
        <v>2.7</v>
      </c>
      <c r="G1723" s="16" t="s">
        <v>44</v>
      </c>
      <c r="H1723" s="16" t="s">
        <v>44</v>
      </c>
      <c r="I1723" s="16">
        <f>COUNTIF(G$5:G1723,"Y")/COUNTA(G$5:G1723)</f>
        <v>0.87899941826643402</v>
      </c>
      <c r="J1723" s="16">
        <f>COUNTIF(H$5:H1723,"Y")/COUNTA(H$5:H1723)</f>
        <v>4.9447353112274578E-2</v>
      </c>
      <c r="K1723" s="16">
        <f>AVERAGE(F$5:F1723)</f>
        <v>2.2115183246073289</v>
      </c>
      <c r="L1723" s="16">
        <f>SUM(F$5:F1723)/SUM(E$5:E1723)</f>
        <v>0.76214915797914951</v>
      </c>
    </row>
    <row r="1724" spans="1:12" x14ac:dyDescent="0.25">
      <c r="A1724" s="29">
        <v>45909</v>
      </c>
      <c r="B1724" s="16" t="s">
        <v>1770</v>
      </c>
      <c r="C1724" s="34">
        <v>1</v>
      </c>
      <c r="D1724" s="16" t="s">
        <v>64</v>
      </c>
      <c r="E1724" s="35">
        <v>4.4000000000000004</v>
      </c>
      <c r="F1724" s="35">
        <v>3.4</v>
      </c>
      <c r="G1724" s="16" t="s">
        <v>44</v>
      </c>
      <c r="H1724" s="16" t="s">
        <v>45</v>
      </c>
      <c r="I1724" s="16">
        <f>COUNTIF(G$5:G1724,"Y")/COUNTA(G$5:G1724)</f>
        <v>0.87906976744186049</v>
      </c>
      <c r="J1724" s="16">
        <f>COUNTIF(H$5:H1724,"Y")/COUNTA(H$5:H1724)</f>
        <v>4.9418604651162788E-2</v>
      </c>
      <c r="K1724" s="16">
        <f>AVERAGE(F$5:F1724)</f>
        <v>2.2122093023255807</v>
      </c>
      <c r="L1724" s="16">
        <f>SUM(F$5:F1724)/SUM(E$5:E1724)</f>
        <v>0.76215848089095395</v>
      </c>
    </row>
    <row r="1725" spans="1:12" x14ac:dyDescent="0.25">
      <c r="A1725" s="29">
        <v>45910</v>
      </c>
      <c r="B1725" s="16" t="s">
        <v>1771</v>
      </c>
      <c r="C1725" s="34">
        <v>1</v>
      </c>
      <c r="D1725" s="16" t="s">
        <v>56</v>
      </c>
      <c r="E1725" s="35">
        <v>3.2</v>
      </c>
      <c r="F1725" s="35">
        <v>2.2000000000000002</v>
      </c>
      <c r="G1725" s="16" t="s">
        <v>44</v>
      </c>
      <c r="H1725" s="16" t="s">
        <v>45</v>
      </c>
      <c r="I1725" s="16">
        <f>COUNTIF(G$5:G1725,"Y")/COUNTA(G$5:G1725)</f>
        <v>0.87914003486345149</v>
      </c>
      <c r="J1725" s="16">
        <f>COUNTIF(H$5:H1725,"Y")/COUNTA(H$5:H1725)</f>
        <v>4.9389889599070307E-2</v>
      </c>
      <c r="K1725" s="16">
        <f>AVERAGE(F$5:F1725)</f>
        <v>2.212202208018593</v>
      </c>
      <c r="L1725" s="16">
        <f>SUM(F$5:F1725)/SUM(E$5:E1725)</f>
        <v>0.76211065737849271</v>
      </c>
    </row>
    <row r="1726" spans="1:12" x14ac:dyDescent="0.25">
      <c r="A1726" s="29">
        <v>45911</v>
      </c>
      <c r="B1726" s="16" t="s">
        <v>1772</v>
      </c>
      <c r="C1726" s="34">
        <v>1</v>
      </c>
      <c r="D1726" s="16" t="s">
        <v>47</v>
      </c>
      <c r="E1726" s="35">
        <v>1.5</v>
      </c>
      <c r="F1726" s="35">
        <v>1.3</v>
      </c>
      <c r="G1726" s="16" t="s">
        <v>45</v>
      </c>
      <c r="H1726" s="16" t="s">
        <v>45</v>
      </c>
      <c r="I1726" s="16">
        <f>COUNTIF(G$5:G1726,"Y")/COUNTA(G$5:G1726)</f>
        <v>0.87862950058072009</v>
      </c>
      <c r="J1726" s="16">
        <f>COUNTIF(H$5:H1726,"Y")/COUNTA(H$5:H1726)</f>
        <v>4.9361207897793261E-2</v>
      </c>
      <c r="K1726" s="16">
        <f>AVERAGE(F$5:F1726)</f>
        <v>2.211672473867595</v>
      </c>
      <c r="L1726" s="16">
        <f>SUM(F$5:F1726)/SUM(E$5:E1726)</f>
        <v>0.76214204238458272</v>
      </c>
    </row>
    <row r="1727" spans="1:12" x14ac:dyDescent="0.25">
      <c r="A1727" s="29">
        <v>45912</v>
      </c>
      <c r="B1727" s="16" t="s">
        <v>1773</v>
      </c>
      <c r="C1727" s="34">
        <v>1</v>
      </c>
      <c r="D1727" s="16" t="s">
        <v>50</v>
      </c>
      <c r="E1727" s="35">
        <v>3.7</v>
      </c>
      <c r="F1727" s="35">
        <v>2.6</v>
      </c>
      <c r="G1727" s="16" t="s">
        <v>44</v>
      </c>
      <c r="H1727" s="16" t="s">
        <v>45</v>
      </c>
      <c r="I1727" s="16">
        <f>COUNTIF(G$5:G1727,"Y")/COUNTA(G$5:G1727)</f>
        <v>0.87869994196169476</v>
      </c>
      <c r="J1727" s="16">
        <f>COUNTIF(H$5:H1727,"Y")/COUNTA(H$5:H1727)</f>
        <v>4.9332559489262913E-2</v>
      </c>
      <c r="K1727" s="16">
        <f>AVERAGE(F$5:F1727)</f>
        <v>2.2118978525827035</v>
      </c>
      <c r="L1727" s="16">
        <f>SUM(F$5:F1727)/SUM(E$5:E1727)</f>
        <v>0.76209806430971017</v>
      </c>
    </row>
    <row r="1728" spans="1:12" x14ac:dyDescent="0.25">
      <c r="A1728" s="29">
        <v>45908</v>
      </c>
      <c r="B1728" s="16" t="s">
        <v>1774</v>
      </c>
      <c r="C1728" s="34">
        <v>1</v>
      </c>
      <c r="D1728" s="16" t="s">
        <v>60</v>
      </c>
      <c r="E1728" s="35">
        <v>5.0999999999999996</v>
      </c>
      <c r="F1728" s="35">
        <v>3.5</v>
      </c>
      <c r="G1728" s="16" t="s">
        <v>44</v>
      </c>
      <c r="H1728" s="16" t="s">
        <v>45</v>
      </c>
      <c r="I1728" s="16">
        <f>COUNTIF(G$5:G1728,"Y")/COUNTA(G$5:G1728)</f>
        <v>0.87877030162412995</v>
      </c>
      <c r="J1728" s="16">
        <f>COUNTIF(H$5:H1728,"Y")/COUNTA(H$5:H1728)</f>
        <v>4.9303944315545245E-2</v>
      </c>
      <c r="K1728" s="16">
        <f>AVERAGE(F$5:F1728)</f>
        <v>2.2126450116009271</v>
      </c>
      <c r="L1728" s="16">
        <f>SUM(F$5:F1728)/SUM(E$5:E1728)</f>
        <v>0.76202081543778299</v>
      </c>
    </row>
    <row r="1729" spans="1:12" x14ac:dyDescent="0.25">
      <c r="A1729" s="29">
        <v>45909</v>
      </c>
      <c r="B1729" s="16" t="s">
        <v>1775</v>
      </c>
      <c r="C1729" s="34">
        <v>1</v>
      </c>
      <c r="D1729" s="16" t="s">
        <v>60</v>
      </c>
      <c r="E1729" s="35">
        <v>1.3</v>
      </c>
      <c r="F1729" s="35">
        <v>1.1000000000000001</v>
      </c>
      <c r="G1729" s="16" t="s">
        <v>44</v>
      </c>
      <c r="H1729" s="16" t="s">
        <v>45</v>
      </c>
      <c r="I1729" s="16">
        <f>COUNTIF(G$5:G1729,"Y")/COUNTA(G$5:G1729)</f>
        <v>0.87884057971014495</v>
      </c>
      <c r="J1729" s="16">
        <f>COUNTIF(H$5:H1729,"Y")/COUNTA(H$5:H1729)</f>
        <v>4.9275362318840582E-2</v>
      </c>
      <c r="K1729" s="16">
        <f>AVERAGE(F$5:F1729)</f>
        <v>2.2119999999999993</v>
      </c>
      <c r="L1729" s="16">
        <f>SUM(F$5:F1729)/SUM(E$5:E1729)</f>
        <v>0.76204265857165643</v>
      </c>
    </row>
    <row r="1730" spans="1:12" x14ac:dyDescent="0.25">
      <c r="A1730" s="29">
        <v>45910</v>
      </c>
      <c r="B1730" s="16" t="s">
        <v>1776</v>
      </c>
      <c r="C1730" s="34">
        <v>1</v>
      </c>
      <c r="D1730" s="16" t="s">
        <v>56</v>
      </c>
      <c r="E1730" s="35">
        <v>3.8</v>
      </c>
      <c r="F1730" s="35">
        <v>2.6</v>
      </c>
      <c r="G1730" s="16" t="s">
        <v>44</v>
      </c>
      <c r="H1730" s="16" t="s">
        <v>45</v>
      </c>
      <c r="I1730" s="16">
        <f>COUNTIF(G$5:G1730,"Y")/COUNTA(G$5:G1730)</f>
        <v>0.87891077636152959</v>
      </c>
      <c r="J1730" s="16">
        <f>COUNTIF(H$5:H1730,"Y")/COUNTA(H$5:H1730)</f>
        <v>4.9246813441483198E-2</v>
      </c>
      <c r="K1730" s="16">
        <f>AVERAGE(F$5:F1730)</f>
        <v>2.2122247972190023</v>
      </c>
      <c r="L1730" s="16">
        <f>SUM(F$5:F1730)/SUM(E$5:E1730)</f>
        <v>0.76198363600079777</v>
      </c>
    </row>
    <row r="1731" spans="1:12" x14ac:dyDescent="0.25">
      <c r="A1731" s="29">
        <v>45911</v>
      </c>
      <c r="B1731" s="16" t="s">
        <v>1777</v>
      </c>
      <c r="C1731" s="34">
        <v>1</v>
      </c>
      <c r="D1731" s="16" t="s">
        <v>52</v>
      </c>
      <c r="E1731" s="35">
        <v>4</v>
      </c>
      <c r="F1731" s="35">
        <v>3.4</v>
      </c>
      <c r="G1731" s="16" t="s">
        <v>44</v>
      </c>
      <c r="H1731" s="16" t="s">
        <v>45</v>
      </c>
      <c r="I1731" s="16">
        <f>COUNTIF(G$5:G1731,"Y")/COUNTA(G$5:G1731)</f>
        <v>0.87898089171974525</v>
      </c>
      <c r="J1731" s="16">
        <f>COUNTIF(H$5:H1731,"Y")/COUNTA(H$5:H1731)</f>
        <v>4.9218297625940939E-2</v>
      </c>
      <c r="K1731" s="16">
        <f>AVERAGE(F$5:F1731)</f>
        <v>2.2129125651418637</v>
      </c>
      <c r="L1731" s="16">
        <f>SUM(F$5:F1731)/SUM(E$5:E1731)</f>
        <v>0.76205383848454589</v>
      </c>
    </row>
    <row r="1732" spans="1:12" x14ac:dyDescent="0.25">
      <c r="A1732" s="29">
        <v>45912</v>
      </c>
      <c r="B1732" s="16" t="s">
        <v>1778</v>
      </c>
      <c r="C1732" s="34">
        <v>1</v>
      </c>
      <c r="D1732" s="16" t="s">
        <v>52</v>
      </c>
      <c r="E1732" s="35">
        <v>2.2999999999999998</v>
      </c>
      <c r="F1732" s="35">
        <v>1.8</v>
      </c>
      <c r="G1732" s="16" t="s">
        <v>44</v>
      </c>
      <c r="H1732" s="16" t="s">
        <v>45</v>
      </c>
      <c r="I1732" s="16">
        <f>COUNTIF(G$5:G1732,"Y")/COUNTA(G$5:G1732)</f>
        <v>0.87905092592592593</v>
      </c>
      <c r="J1732" s="16">
        <f>COUNTIF(H$5:H1732,"Y")/COUNTA(H$5:H1732)</f>
        <v>4.9189814814814818E-2</v>
      </c>
      <c r="K1732" s="16">
        <f>AVERAGE(F$5:F1732)</f>
        <v>2.2126736111111103</v>
      </c>
      <c r="L1732" s="16">
        <f>SUM(F$5:F1732)/SUM(E$5:E1732)</f>
        <v>0.76206326111653633</v>
      </c>
    </row>
    <row r="1733" spans="1:12" x14ac:dyDescent="0.25">
      <c r="A1733" s="29">
        <v>45908</v>
      </c>
      <c r="B1733" s="16" t="s">
        <v>1779</v>
      </c>
      <c r="C1733" s="34">
        <v>1</v>
      </c>
      <c r="D1733" s="16" t="s">
        <v>50</v>
      </c>
      <c r="E1733" s="35">
        <v>3.2</v>
      </c>
      <c r="F1733" s="35">
        <v>2.2999999999999998</v>
      </c>
      <c r="G1733" s="16" t="s">
        <v>44</v>
      </c>
      <c r="H1733" s="16" t="s">
        <v>45</v>
      </c>
      <c r="I1733" s="16">
        <f>COUNTIF(G$5:G1733,"Y")/COUNTA(G$5:G1733)</f>
        <v>0.87912087912087911</v>
      </c>
      <c r="J1733" s="16">
        <f>COUNTIF(H$5:H1733,"Y")/COUNTA(H$5:H1733)</f>
        <v>4.9161364950838636E-2</v>
      </c>
      <c r="K1733" s="16">
        <f>AVERAGE(F$5:F1733)</f>
        <v>2.2127241179872752</v>
      </c>
      <c r="L1733" s="16">
        <f>SUM(F$5:F1733)/SUM(E$5:E1733)</f>
        <v>0.76203565381934035</v>
      </c>
    </row>
    <row r="1734" spans="1:12" x14ac:dyDescent="0.25">
      <c r="A1734" s="29">
        <v>45909</v>
      </c>
      <c r="B1734" s="16" t="s">
        <v>1780</v>
      </c>
      <c r="C1734" s="34">
        <v>1</v>
      </c>
      <c r="D1734" s="16" t="s">
        <v>43</v>
      </c>
      <c r="E1734" s="35">
        <v>1.8</v>
      </c>
      <c r="F1734" s="35">
        <v>1.3</v>
      </c>
      <c r="G1734" s="16" t="s">
        <v>44</v>
      </c>
      <c r="H1734" s="16" t="s">
        <v>45</v>
      </c>
      <c r="I1734" s="16">
        <f>COUNTIF(G$5:G1734,"Y")/COUNTA(G$5:G1734)</f>
        <v>0.87919075144508674</v>
      </c>
      <c r="J1734" s="16">
        <f>COUNTIF(H$5:H1734,"Y")/COUNTA(H$5:H1734)</f>
        <v>4.9132947976878616E-2</v>
      </c>
      <c r="K1734" s="16">
        <f>AVERAGE(F$5:F1734)</f>
        <v>2.212196531791907</v>
      </c>
      <c r="L1734" s="16">
        <f>SUM(F$5:F1734)/SUM(E$5:E1734)</f>
        <v>0.76202138462457403</v>
      </c>
    </row>
    <row r="1735" spans="1:12" x14ac:dyDescent="0.25">
      <c r="A1735" s="29">
        <v>45910</v>
      </c>
      <c r="B1735" s="16" t="s">
        <v>1781</v>
      </c>
      <c r="C1735" s="34">
        <v>1</v>
      </c>
      <c r="D1735" s="16" t="s">
        <v>47</v>
      </c>
      <c r="E1735" s="35">
        <v>2.2000000000000002</v>
      </c>
      <c r="F1735" s="35">
        <v>1.9</v>
      </c>
      <c r="G1735" s="16" t="s">
        <v>44</v>
      </c>
      <c r="H1735" s="16" t="s">
        <v>45</v>
      </c>
      <c r="I1735" s="16">
        <f>COUNTIF(G$5:G1735,"Y")/COUNTA(G$5:G1735)</f>
        <v>0.87926054303870593</v>
      </c>
      <c r="J1735" s="16">
        <f>COUNTIF(H$5:H1735,"Y")/COUNTA(H$5:H1735)</f>
        <v>4.9104563835932986E-2</v>
      </c>
      <c r="K1735" s="16">
        <f>AVERAGE(F$5:F1735)</f>
        <v>2.2120161756210277</v>
      </c>
      <c r="L1735" s="16">
        <f>SUM(F$5:F1735)/SUM(E$5:E1735)</f>
        <v>0.76206587720171126</v>
      </c>
    </row>
    <row r="1736" spans="1:12" x14ac:dyDescent="0.25">
      <c r="A1736" s="29">
        <v>45911</v>
      </c>
      <c r="B1736" s="16" t="s">
        <v>1782</v>
      </c>
      <c r="C1736" s="34">
        <v>1</v>
      </c>
      <c r="D1736" s="16" t="s">
        <v>56</v>
      </c>
      <c r="E1736" s="35">
        <v>4.0999999999999996</v>
      </c>
      <c r="F1736" s="35">
        <v>3.2</v>
      </c>
      <c r="G1736" s="16" t="s">
        <v>44</v>
      </c>
      <c r="H1736" s="16" t="s">
        <v>45</v>
      </c>
      <c r="I1736" s="16">
        <f>COUNTIF(G$5:G1736,"Y")/COUNTA(G$5:G1736)</f>
        <v>0.87933025404157039</v>
      </c>
      <c r="J1736" s="16">
        <f>COUNTIF(H$5:H1736,"Y")/COUNTA(H$5:H1736)</f>
        <v>4.9076212471131642E-2</v>
      </c>
      <c r="K1736" s="16">
        <f>AVERAGE(F$5:F1736)</f>
        <v>2.2125866050808307</v>
      </c>
      <c r="L1736" s="16">
        <f>SUM(F$5:F1736)/SUM(E$5:E1736)</f>
        <v>0.76208089726762873</v>
      </c>
    </row>
    <row r="1737" spans="1:12" x14ac:dyDescent="0.25">
      <c r="A1737" s="29">
        <v>45912</v>
      </c>
      <c r="B1737" s="16" t="s">
        <v>1783</v>
      </c>
      <c r="C1737" s="34">
        <v>1</v>
      </c>
      <c r="D1737" s="16" t="s">
        <v>64</v>
      </c>
      <c r="E1737" s="35">
        <v>3</v>
      </c>
      <c r="F1737" s="35">
        <v>2.1</v>
      </c>
      <c r="G1737" s="16" t="s">
        <v>44</v>
      </c>
      <c r="H1737" s="16" t="s">
        <v>45</v>
      </c>
      <c r="I1737" s="16">
        <f>COUNTIF(G$5:G1737,"Y")/COUNTA(G$5:G1737)</f>
        <v>0.87939988459319096</v>
      </c>
      <c r="J1737" s="16">
        <f>COUNTIF(H$5:H1737,"Y")/COUNTA(H$5:H1737)</f>
        <v>4.9047893825735718E-2</v>
      </c>
      <c r="K1737" s="16">
        <f>AVERAGE(F$5:F1737)</f>
        <v>2.2125216387766873</v>
      </c>
      <c r="L1737" s="16">
        <f>SUM(F$5:F1737)/SUM(E$5:E1737)</f>
        <v>0.76204388266157841</v>
      </c>
    </row>
    <row r="1738" spans="1:12" x14ac:dyDescent="0.25">
      <c r="A1738" s="29">
        <v>45908</v>
      </c>
      <c r="B1738" s="16" t="s">
        <v>1784</v>
      </c>
      <c r="C1738" s="34">
        <v>1</v>
      </c>
      <c r="D1738" s="16" t="s">
        <v>43</v>
      </c>
      <c r="E1738" s="35">
        <v>2.2999999999999998</v>
      </c>
      <c r="F1738" s="35">
        <v>1.6</v>
      </c>
      <c r="G1738" s="16" t="s">
        <v>44</v>
      </c>
      <c r="H1738" s="16" t="s">
        <v>45</v>
      </c>
      <c r="I1738" s="16">
        <f>COUNTIF(G$5:G1738,"Y")/COUNTA(G$5:G1738)</f>
        <v>0.87946943483275664</v>
      </c>
      <c r="J1738" s="16">
        <f>COUNTIF(H$5:H1738,"Y")/COUNTA(H$5:H1738)</f>
        <v>4.9019607843137254E-2</v>
      </c>
      <c r="K1738" s="16">
        <f>AVERAGE(F$5:F1738)</f>
        <v>2.2121683967704722</v>
      </c>
      <c r="L1738" s="16">
        <f>SUM(F$5:F1738)/SUM(E$5:E1738)</f>
        <v>0.76201354814358602</v>
      </c>
    </row>
    <row r="1739" spans="1:12" x14ac:dyDescent="0.25">
      <c r="A1739" s="29">
        <v>45909</v>
      </c>
      <c r="B1739" s="16" t="s">
        <v>1785</v>
      </c>
      <c r="C1739" s="34">
        <v>1</v>
      </c>
      <c r="D1739" s="16" t="s">
        <v>52</v>
      </c>
      <c r="E1739" s="35">
        <v>2.5</v>
      </c>
      <c r="F1739" s="35">
        <v>1.9</v>
      </c>
      <c r="G1739" s="16" t="s">
        <v>44</v>
      </c>
      <c r="H1739" s="16" t="s">
        <v>45</v>
      </c>
      <c r="I1739" s="16">
        <f>COUNTIF(G$5:G1739,"Y")/COUNTA(G$5:G1739)</f>
        <v>0.87953890489913544</v>
      </c>
      <c r="J1739" s="16">
        <f>COUNTIF(H$5:H1739,"Y")/COUNTA(H$5:H1739)</f>
        <v>4.8991354466858789E-2</v>
      </c>
      <c r="K1739" s="16">
        <f>AVERAGE(F$5:F1739)</f>
        <v>2.2119884726224779</v>
      </c>
      <c r="L1739" s="16">
        <f>SUM(F$5:F1739)/SUM(E$5:E1739)</f>
        <v>0.76201254864585766</v>
      </c>
    </row>
    <row r="1740" spans="1:12" x14ac:dyDescent="0.25">
      <c r="A1740" s="29">
        <v>45910</v>
      </c>
      <c r="B1740" s="16" t="s">
        <v>1786</v>
      </c>
      <c r="C1740" s="34">
        <v>1</v>
      </c>
      <c r="D1740" s="16" t="s">
        <v>43</v>
      </c>
      <c r="E1740" s="35">
        <v>1.5</v>
      </c>
      <c r="F1740" s="35">
        <v>1.2</v>
      </c>
      <c r="G1740" s="16" t="s">
        <v>44</v>
      </c>
      <c r="H1740" s="16" t="s">
        <v>45</v>
      </c>
      <c r="I1740" s="16">
        <f>COUNTIF(G$5:G1740,"Y")/COUNTA(G$5:G1740)</f>
        <v>0.87960829493087556</v>
      </c>
      <c r="J1740" s="16">
        <f>COUNTIF(H$5:H1740,"Y")/COUNTA(H$5:H1740)</f>
        <v>4.8963133640552998E-2</v>
      </c>
      <c r="K1740" s="16">
        <f>AVERAGE(F$5:F1740)</f>
        <v>2.2114055299539164</v>
      </c>
      <c r="L1740" s="16">
        <f>SUM(F$5:F1740)/SUM(E$5:E1740)</f>
        <v>0.76202385914766024</v>
      </c>
    </row>
    <row r="1741" spans="1:12" x14ac:dyDescent="0.25">
      <c r="A1741" s="29">
        <v>45911</v>
      </c>
      <c r="B1741" s="16" t="s">
        <v>1787</v>
      </c>
      <c r="C1741" s="34">
        <v>1</v>
      </c>
      <c r="D1741" s="16" t="s">
        <v>47</v>
      </c>
      <c r="E1741" s="35">
        <v>3.8</v>
      </c>
      <c r="F1741" s="35">
        <v>3</v>
      </c>
      <c r="G1741" s="16" t="s">
        <v>44</v>
      </c>
      <c r="H1741" s="16" t="s">
        <v>45</v>
      </c>
      <c r="I1741" s="16">
        <f>COUNTIF(G$5:G1741,"Y")/COUNTA(G$5:G1741)</f>
        <v>0.87967760506620607</v>
      </c>
      <c r="J1741" s="16">
        <f>COUNTIF(H$5:H1741,"Y")/COUNTA(H$5:H1741)</f>
        <v>4.8934945308002305E-2</v>
      </c>
      <c r="K1741" s="16">
        <f>AVERAGE(F$5:F1741)</f>
        <v>2.2118595279217033</v>
      </c>
      <c r="L1741" s="16">
        <f>SUM(F$5:F1741)/SUM(E$5:E1741)</f>
        <v>0.76204454846579472</v>
      </c>
    </row>
    <row r="1742" spans="1:12" x14ac:dyDescent="0.25">
      <c r="A1742" s="29">
        <v>45912</v>
      </c>
      <c r="B1742" s="16" t="s">
        <v>1788</v>
      </c>
      <c r="C1742" s="34">
        <v>1</v>
      </c>
      <c r="D1742" s="16" t="s">
        <v>47</v>
      </c>
      <c r="E1742" s="35">
        <v>3.2</v>
      </c>
      <c r="F1742" s="35">
        <v>2.7</v>
      </c>
      <c r="G1742" s="16" t="s">
        <v>44</v>
      </c>
      <c r="H1742" s="16" t="s">
        <v>45</v>
      </c>
      <c r="I1742" s="16">
        <f>COUNTIF(G$5:G1742,"Y")/COUNTA(G$5:G1742)</f>
        <v>0.879746835443038</v>
      </c>
      <c r="J1742" s="16">
        <f>COUNTIF(H$5:H1742,"Y")/COUNTA(H$5:H1742)</f>
        <v>4.8906789413118525E-2</v>
      </c>
      <c r="K1742" s="16">
        <f>AVERAGE(F$5:F1742)</f>
        <v>2.2121403912543145</v>
      </c>
      <c r="L1742" s="16">
        <f>SUM(F$5:F1742)/SUM(E$5:E1742)</f>
        <v>0.76209637455648227</v>
      </c>
    </row>
    <row r="1743" spans="1:12" x14ac:dyDescent="0.25">
      <c r="A1743" s="29">
        <v>45908</v>
      </c>
      <c r="B1743" s="16" t="s">
        <v>1789</v>
      </c>
      <c r="C1743" s="34">
        <v>1</v>
      </c>
      <c r="D1743" s="16" t="s">
        <v>47</v>
      </c>
      <c r="E1743" s="35">
        <v>3.9</v>
      </c>
      <c r="F1743" s="35">
        <v>3</v>
      </c>
      <c r="G1743" s="16" t="s">
        <v>44</v>
      </c>
      <c r="H1743" s="16" t="s">
        <v>45</v>
      </c>
      <c r="I1743" s="16">
        <f>COUNTIF(G$5:G1743,"Y")/COUNTA(G$5:G1743)</f>
        <v>0.87981598619896495</v>
      </c>
      <c r="J1743" s="16">
        <f>COUNTIF(H$5:H1743,"Y")/COUNTA(H$5:H1743)</f>
        <v>4.8878665899942497E-2</v>
      </c>
      <c r="K1743" s="16">
        <f>AVERAGE(F$5:F1743)</f>
        <v>2.2125934445083373</v>
      </c>
      <c r="L1743" s="16">
        <f>SUM(F$5:F1743)/SUM(E$5:E1743)</f>
        <v>0.76210188559657699</v>
      </c>
    </row>
    <row r="1744" spans="1:12" x14ac:dyDescent="0.25">
      <c r="A1744" s="29">
        <v>45909</v>
      </c>
      <c r="B1744" s="16" t="s">
        <v>1790</v>
      </c>
      <c r="C1744" s="34">
        <v>1</v>
      </c>
      <c r="D1744" s="16" t="s">
        <v>43</v>
      </c>
      <c r="E1744" s="35">
        <v>2.2999999999999998</v>
      </c>
      <c r="F1744" s="35">
        <v>1.6</v>
      </c>
      <c r="G1744" s="16" t="s">
        <v>44</v>
      </c>
      <c r="H1744" s="16" t="s">
        <v>45</v>
      </c>
      <c r="I1744" s="16">
        <f>COUNTIF(G$5:G1744,"Y")/COUNTA(G$5:G1744)</f>
        <v>0.87988505747126433</v>
      </c>
      <c r="J1744" s="16">
        <f>COUNTIF(H$5:H1744,"Y")/COUNTA(H$5:H1744)</f>
        <v>4.8850574712643681E-2</v>
      </c>
      <c r="K1744" s="16">
        <f>AVERAGE(F$5:F1744)</f>
        <v>2.2122413793103437</v>
      </c>
      <c r="L1744" s="16">
        <f>SUM(F$5:F1744)/SUM(E$5:E1744)</f>
        <v>0.7620716279622255</v>
      </c>
    </row>
    <row r="1745" spans="1:13" x14ac:dyDescent="0.25">
      <c r="A1745" s="29">
        <v>45910</v>
      </c>
      <c r="B1745" s="16" t="s">
        <v>1791</v>
      </c>
      <c r="C1745" s="34">
        <v>1</v>
      </c>
      <c r="D1745" s="16" t="s">
        <v>56</v>
      </c>
      <c r="E1745" s="35">
        <v>2.7</v>
      </c>
      <c r="F1745" s="35">
        <v>2.1</v>
      </c>
      <c r="G1745" s="16" t="s">
        <v>44</v>
      </c>
      <c r="H1745" s="16" t="s">
        <v>45</v>
      </c>
      <c r="I1745" s="16">
        <f>COUNTIF(G$5:G1745,"Y")/COUNTA(G$5:G1745)</f>
        <v>0.87995404939689836</v>
      </c>
      <c r="J1745" s="16">
        <f>COUNTIF(H$5:H1745,"Y")/COUNTA(H$5:H1745)</f>
        <v>4.8822515795519814E-2</v>
      </c>
      <c r="K1745" s="16">
        <f>AVERAGE(F$5:F1745)</f>
        <v>2.2121769098219404</v>
      </c>
      <c r="L1745" s="16">
        <f>SUM(F$5:F1745)/SUM(E$5:E1745)</f>
        <v>0.76208001899560673</v>
      </c>
    </row>
    <row r="1746" spans="1:13" x14ac:dyDescent="0.25">
      <c r="A1746" s="29">
        <v>45911</v>
      </c>
      <c r="B1746" s="16" t="s">
        <v>1792</v>
      </c>
      <c r="C1746" s="34">
        <v>1</v>
      </c>
      <c r="D1746" s="16" t="s">
        <v>43</v>
      </c>
      <c r="E1746" s="35">
        <v>3.2</v>
      </c>
      <c r="F1746" s="35">
        <v>2.2000000000000002</v>
      </c>
      <c r="G1746" s="16" t="s">
        <v>44</v>
      </c>
      <c r="H1746" s="16" t="s">
        <v>45</v>
      </c>
      <c r="I1746" s="16">
        <f>COUNTIF(G$5:G1746,"Y")/COUNTA(G$5:G1746)</f>
        <v>0.88002296211251441</v>
      </c>
      <c r="J1746" s="16">
        <f>COUNTIF(H$5:H1746,"Y")/COUNTA(H$5:H1746)</f>
        <v>4.8794489092996558E-2</v>
      </c>
      <c r="K1746" s="16">
        <f>AVERAGE(F$5:F1746)</f>
        <v>2.212169919632605</v>
      </c>
      <c r="L1746" s="16">
        <f>SUM(F$5:F1746)/SUM(E$5:E1746)</f>
        <v>0.76203282578603859</v>
      </c>
    </row>
    <row r="1747" spans="1:13" x14ac:dyDescent="0.25">
      <c r="A1747" s="29">
        <v>45912</v>
      </c>
      <c r="B1747" s="16" t="s">
        <v>1793</v>
      </c>
      <c r="C1747" s="34">
        <v>1</v>
      </c>
      <c r="D1747" s="16" t="s">
        <v>56</v>
      </c>
      <c r="E1747" s="35">
        <v>3.9</v>
      </c>
      <c r="F1747" s="35">
        <v>3.1</v>
      </c>
      <c r="G1747" s="16" t="s">
        <v>44</v>
      </c>
      <c r="H1747" s="16" t="s">
        <v>44</v>
      </c>
      <c r="I1747" s="16">
        <f>COUNTIF(G$5:G1747,"Y")/COUNTA(G$5:G1747)</f>
        <v>0.8800917957544464</v>
      </c>
      <c r="J1747" s="16">
        <f>COUNTIF(H$5:H1747,"Y")/COUNTA(H$5:H1747)</f>
        <v>4.9340218014916809E-2</v>
      </c>
      <c r="K1747" s="16">
        <f>AVERAGE(F$5:F1747)</f>
        <v>2.2126792885829021</v>
      </c>
      <c r="L1747" s="16">
        <f>SUM(F$5:F1747)/SUM(E$5:E1747)</f>
        <v>0.76205813195281424</v>
      </c>
    </row>
    <row r="1748" spans="1:13" x14ac:dyDescent="0.25">
      <c r="A1748" s="29">
        <v>45908</v>
      </c>
      <c r="B1748" s="16" t="s">
        <v>1794</v>
      </c>
      <c r="C1748" s="34">
        <v>1</v>
      </c>
      <c r="D1748" s="16" t="s">
        <v>43</v>
      </c>
      <c r="E1748" s="35">
        <v>0.9</v>
      </c>
      <c r="F1748" s="35">
        <v>0.8</v>
      </c>
      <c r="G1748" s="16" t="s">
        <v>44</v>
      </c>
      <c r="H1748" s="16" t="s">
        <v>45</v>
      </c>
      <c r="I1748" s="16">
        <f>COUNTIF(G$5:G1748,"Y")/COUNTA(G$5:G1748)</f>
        <v>0.88016055045871555</v>
      </c>
      <c r="J1748" s="16">
        <f>COUNTIF(H$5:H1748,"Y")/COUNTA(H$5:H1748)</f>
        <v>4.931192660550459E-2</v>
      </c>
      <c r="K1748" s="16">
        <f>AVERAGE(F$5:F1748)</f>
        <v>2.2118692660550447</v>
      </c>
      <c r="L1748" s="16">
        <f>SUM(F$5:F1748)/SUM(E$5:E1748)</f>
        <v>0.76208068276107277</v>
      </c>
    </row>
    <row r="1749" spans="1:13" x14ac:dyDescent="0.25">
      <c r="A1749" s="29">
        <v>45909</v>
      </c>
      <c r="B1749" s="16" t="s">
        <v>1795</v>
      </c>
      <c r="C1749" s="34">
        <v>1</v>
      </c>
      <c r="D1749" s="16" t="s">
        <v>47</v>
      </c>
      <c r="E1749" s="35">
        <v>0.7</v>
      </c>
      <c r="F1749" s="35">
        <v>0.5</v>
      </c>
      <c r="G1749" s="16" t="s">
        <v>44</v>
      </c>
      <c r="H1749" s="16" t="s">
        <v>45</v>
      </c>
      <c r="I1749" s="16">
        <f>COUNTIF(G$5:G1749,"Y")/COUNTA(G$5:G1749)</f>
        <v>0.88022922636103151</v>
      </c>
      <c r="J1749" s="16">
        <f>COUNTIF(H$5:H1749,"Y")/COUNTA(H$5:H1749)</f>
        <v>4.9283667621776502E-2</v>
      </c>
      <c r="K1749" s="16">
        <f>AVERAGE(F$5:F1749)</f>
        <v>2.2108882521489961</v>
      </c>
      <c r="L1749" s="16">
        <f>SUM(F$5:F1749)/SUM(E$5:E1749)</f>
        <v>0.76207407407407368</v>
      </c>
    </row>
    <row r="1750" spans="1:13" x14ac:dyDescent="0.25">
      <c r="A1750" s="29">
        <v>45910</v>
      </c>
      <c r="B1750" s="16" t="s">
        <v>1796</v>
      </c>
      <c r="C1750" s="34">
        <v>1</v>
      </c>
      <c r="D1750" s="16" t="s">
        <v>50</v>
      </c>
      <c r="E1750" s="35">
        <v>0.6</v>
      </c>
      <c r="F1750" s="35">
        <v>0.5</v>
      </c>
      <c r="G1750" s="16" t="s">
        <v>44</v>
      </c>
      <c r="H1750" s="16" t="s">
        <v>45</v>
      </c>
      <c r="I1750" s="16">
        <f>COUNTIF(G$5:G1750,"Y")/COUNTA(G$5:G1750)</f>
        <v>0.88029782359679265</v>
      </c>
      <c r="J1750" s="16">
        <f>COUNTIF(H$5:H1750,"Y")/COUNTA(H$5:H1750)</f>
        <v>4.9255441008018326E-2</v>
      </c>
      <c r="K1750" s="16">
        <f>AVERAGE(F$5:F1750)</f>
        <v>2.2099083619702165</v>
      </c>
      <c r="L1750" s="16">
        <f>SUM(F$5:F1750)/SUM(E$5:E1750)</f>
        <v>0.76208251861507725</v>
      </c>
    </row>
    <row r="1751" spans="1:13" x14ac:dyDescent="0.25">
      <c r="A1751" s="29">
        <v>45911</v>
      </c>
      <c r="B1751" s="16" t="s">
        <v>1797</v>
      </c>
      <c r="C1751" s="34">
        <v>1</v>
      </c>
      <c r="D1751" s="16" t="s">
        <v>64</v>
      </c>
      <c r="E1751" s="35">
        <v>0.8</v>
      </c>
      <c r="F1751" s="35">
        <v>0.5</v>
      </c>
      <c r="G1751" s="16" t="s">
        <v>44</v>
      </c>
      <c r="H1751" s="16" t="s">
        <v>45</v>
      </c>
      <c r="I1751" s="16">
        <f>COUNTIF(G$5:G1751,"Y")/COUNTA(G$5:G1751)</f>
        <v>0.88036634230108757</v>
      </c>
      <c r="J1751" s="16">
        <f>COUNTIF(H$5:H1751,"Y")/COUNTA(H$5:H1751)</f>
        <v>4.9227246708643389E-2</v>
      </c>
      <c r="K1751" s="16">
        <f>AVERAGE(F$5:F1751)</f>
        <v>2.2089295935890085</v>
      </c>
      <c r="L1751" s="16">
        <f>SUM(F$5:F1751)/SUM(E$5:E1751)</f>
        <v>0.7620608621813223</v>
      </c>
    </row>
    <row r="1752" spans="1:13" x14ac:dyDescent="0.25">
      <c r="A1752" s="29">
        <v>45912</v>
      </c>
      <c r="B1752" s="16" t="s">
        <v>1798</v>
      </c>
      <c r="C1752" s="34">
        <v>1</v>
      </c>
      <c r="D1752" s="16" t="s">
        <v>60</v>
      </c>
      <c r="E1752" s="35">
        <v>0.6</v>
      </c>
      <c r="F1752" s="35">
        <v>0.5</v>
      </c>
      <c r="G1752" s="16" t="s">
        <v>44</v>
      </c>
      <c r="H1752" s="16" t="s">
        <v>45</v>
      </c>
      <c r="I1752" s="16">
        <f>COUNTIF(G$5:G1752,"Y")/COUNTA(G$5:G1752)</f>
        <v>0.88043478260869568</v>
      </c>
      <c r="J1752" s="16">
        <f>COUNTIF(H$5:H1752,"Y")/COUNTA(H$5:H1752)</f>
        <v>4.9199084668192221E-2</v>
      </c>
      <c r="K1752" s="16">
        <f>AVERAGE(F$5:F1752)</f>
        <v>2.2079519450800906</v>
      </c>
      <c r="L1752" s="16">
        <f>SUM(F$5:F1752)/SUM(E$5:E1752)</f>
        <v>0.76206930595320321</v>
      </c>
    </row>
    <row r="1753" spans="1:13" x14ac:dyDescent="0.25">
      <c r="A1753" s="29">
        <v>45908</v>
      </c>
      <c r="B1753" s="16" t="s">
        <v>1799</v>
      </c>
      <c r="C1753" s="34">
        <v>1</v>
      </c>
      <c r="D1753" s="16" t="s">
        <v>43</v>
      </c>
      <c r="E1753" s="35">
        <v>1.7</v>
      </c>
      <c r="F1753" s="35">
        <v>0.5</v>
      </c>
      <c r="G1753" s="16" t="s">
        <v>44</v>
      </c>
      <c r="H1753" s="16" t="s">
        <v>45</v>
      </c>
      <c r="I1753" s="16">
        <f>COUNTIF(G$5:G1753,"Y")/COUNTA(G$5:G1753)</f>
        <v>0.88050314465408808</v>
      </c>
      <c r="J1753" s="16">
        <f>COUNTIF(H$5:H1753,"Y")/COUNTA(H$5:H1753)</f>
        <v>4.9170954831332186E-2</v>
      </c>
      <c r="K1753" s="16">
        <f>AVERAGE(F$5:F1753)</f>
        <v>2.2069754145225833</v>
      </c>
      <c r="L1753" s="16">
        <f>SUM(F$5:F1753)/SUM(E$5:E1753)</f>
        <v>0.76191228139433853</v>
      </c>
      <c r="M1753" s="16">
        <v>14</v>
      </c>
    </row>
    <row r="1754" spans="1:13" x14ac:dyDescent="0.25">
      <c r="A1754" s="29">
        <v>45915</v>
      </c>
      <c r="B1754" s="16" t="s">
        <v>1800</v>
      </c>
      <c r="C1754" s="34">
        <v>1</v>
      </c>
      <c r="D1754" s="16" t="s">
        <v>60</v>
      </c>
      <c r="E1754" s="35">
        <v>3.7</v>
      </c>
      <c r="F1754" s="35">
        <v>2.9</v>
      </c>
      <c r="G1754" s="16" t="s">
        <v>45</v>
      </c>
      <c r="H1754" s="16" t="s">
        <v>45</v>
      </c>
      <c r="I1754" s="16">
        <f>COUNTIF(G$5:G1754,"Y")/COUNTA(G$5:G1754)</f>
        <v>0.88</v>
      </c>
      <c r="J1754" s="16">
        <f>COUNTIF(H$5:H1754,"Y")/COUNTA(H$5:H1754)</f>
        <v>4.9142857142857141E-2</v>
      </c>
      <c r="K1754" s="16">
        <f>AVERAGE(F$5:F1754)</f>
        <v>2.2073714285714274</v>
      </c>
      <c r="L1754" s="16">
        <f>SUM(F$5:F1754)/SUM(E$5:E1754)</f>
        <v>0.76192824316061414</v>
      </c>
    </row>
    <row r="1755" spans="1:13" x14ac:dyDescent="0.25">
      <c r="A1755" s="29">
        <v>45916</v>
      </c>
      <c r="B1755" s="16" t="s">
        <v>1801</v>
      </c>
      <c r="C1755" s="34">
        <v>1</v>
      </c>
      <c r="D1755" s="16" t="s">
        <v>60</v>
      </c>
      <c r="E1755" s="35">
        <v>2.7</v>
      </c>
      <c r="F1755" s="35">
        <v>2.2999999999999998</v>
      </c>
      <c r="G1755" s="16" t="s">
        <v>44</v>
      </c>
      <c r="H1755" s="16" t="s">
        <v>45</v>
      </c>
      <c r="I1755" s="16">
        <f>COUNTIF(G$5:G1755,"Y")/COUNTA(G$5:G1755)</f>
        <v>0.88006853226727588</v>
      </c>
      <c r="J1755" s="16">
        <f>COUNTIF(H$5:H1755,"Y")/COUNTA(H$5:H1755)</f>
        <v>4.9114791547687033E-2</v>
      </c>
      <c r="K1755" s="16">
        <f>AVERAGE(F$5:F1755)</f>
        <v>2.2074243289548821</v>
      </c>
      <c r="L1755" s="16">
        <f>SUM(F$5:F1755)/SUM(E$5:E1755)</f>
        <v>0.76197610692741358</v>
      </c>
    </row>
    <row r="1756" spans="1:13" x14ac:dyDescent="0.25">
      <c r="A1756" s="29">
        <v>45917</v>
      </c>
      <c r="B1756" s="16" t="s">
        <v>1802</v>
      </c>
      <c r="C1756" s="34">
        <v>1</v>
      </c>
      <c r="D1756" s="16" t="s">
        <v>64</v>
      </c>
      <c r="E1756" s="35">
        <v>3.3</v>
      </c>
      <c r="F1756" s="35">
        <v>2.6</v>
      </c>
      <c r="G1756" s="16" t="s">
        <v>44</v>
      </c>
      <c r="H1756" s="16" t="s">
        <v>45</v>
      </c>
      <c r="I1756" s="16">
        <f>COUNTIF(G$5:G1756,"Y")/COUNTA(G$5:G1756)</f>
        <v>0.88013698630136983</v>
      </c>
      <c r="J1756" s="16">
        <f>COUNTIF(H$5:H1756,"Y")/COUNTA(H$5:H1756)</f>
        <v>4.9086757990867577E-2</v>
      </c>
      <c r="K1756" s="16">
        <f>AVERAGE(F$5:F1756)</f>
        <v>2.207648401826483</v>
      </c>
      <c r="L1756" s="16">
        <f>SUM(F$5:F1756)/SUM(E$5:E1756)</f>
        <v>0.76199294706357457</v>
      </c>
    </row>
    <row r="1757" spans="1:13" x14ac:dyDescent="0.25">
      <c r="A1757" s="29">
        <v>45918</v>
      </c>
      <c r="B1757" s="16" t="s">
        <v>1803</v>
      </c>
      <c r="C1757" s="34">
        <v>1</v>
      </c>
      <c r="D1757" s="16" t="s">
        <v>47</v>
      </c>
      <c r="E1757" s="35">
        <v>3.6</v>
      </c>
      <c r="F1757" s="35">
        <v>2.5</v>
      </c>
      <c r="G1757" s="16" t="s">
        <v>44</v>
      </c>
      <c r="H1757" s="16" t="s">
        <v>45</v>
      </c>
      <c r="I1757" s="16">
        <f>COUNTIF(G$5:G1757,"Y")/COUNTA(G$5:G1757)</f>
        <v>0.88020536223616652</v>
      </c>
      <c r="J1757" s="16">
        <f>COUNTIF(H$5:H1757,"Y")/COUNTA(H$5:H1757)</f>
        <v>4.9058756417569883E-2</v>
      </c>
      <c r="K1757" s="16">
        <f>AVERAGE(F$5:F1757)</f>
        <v>2.207815173987449</v>
      </c>
      <c r="L1757" s="16">
        <f>SUM(F$5:F1757)/SUM(E$5:E1757)</f>
        <v>0.76194507333398909</v>
      </c>
    </row>
    <row r="1758" spans="1:13" x14ac:dyDescent="0.25">
      <c r="A1758" s="29">
        <v>45919</v>
      </c>
      <c r="B1758" s="16" t="s">
        <v>1804</v>
      </c>
      <c r="C1758" s="34">
        <v>1</v>
      </c>
      <c r="D1758" s="16" t="s">
        <v>56</v>
      </c>
      <c r="E1758" s="35">
        <v>3.8</v>
      </c>
      <c r="F1758" s="35">
        <v>2.6</v>
      </c>
      <c r="G1758" s="16" t="s">
        <v>44</v>
      </c>
      <c r="H1758" s="16" t="s">
        <v>45</v>
      </c>
      <c r="I1758" s="16">
        <f>COUNTIF(G$5:G1758,"Y")/COUNTA(G$5:G1758)</f>
        <v>0.88027366020524511</v>
      </c>
      <c r="J1758" s="16">
        <f>COUNTIF(H$5:H1758,"Y")/COUNTA(H$5:H1758)</f>
        <v>4.9030786773090078E-2</v>
      </c>
      <c r="K1758" s="16">
        <f>AVERAGE(F$5:F1758)</f>
        <v>2.2080387685290752</v>
      </c>
      <c r="L1758" s="16">
        <f>SUM(F$5:F1758)/SUM(E$5:E1758)</f>
        <v>0.76188696319320082</v>
      </c>
    </row>
    <row r="1759" spans="1:13" x14ac:dyDescent="0.25">
      <c r="A1759" s="29">
        <v>45915</v>
      </c>
      <c r="B1759" s="16" t="s">
        <v>1805</v>
      </c>
      <c r="C1759" s="34">
        <v>1</v>
      </c>
      <c r="D1759" s="16" t="s">
        <v>52</v>
      </c>
      <c r="E1759" s="35">
        <v>4.0999999999999996</v>
      </c>
      <c r="F1759" s="35">
        <v>3.6</v>
      </c>
      <c r="G1759" s="16" t="s">
        <v>44</v>
      </c>
      <c r="H1759" s="16" t="s">
        <v>45</v>
      </c>
      <c r="I1759" s="16">
        <f>COUNTIF(G$5:G1759,"Y")/COUNTA(G$5:G1759)</f>
        <v>0.88034188034188032</v>
      </c>
      <c r="J1759" s="16">
        <f>COUNTIF(H$5:H1759,"Y")/COUNTA(H$5:H1759)</f>
        <v>4.9002849002849E-2</v>
      </c>
      <c r="K1759" s="16">
        <f>AVERAGE(F$5:F1759)</f>
        <v>2.2088319088319079</v>
      </c>
      <c r="L1759" s="16">
        <f>SUM(F$5:F1759)/SUM(E$5:E1759)</f>
        <v>0.76198057947084896</v>
      </c>
    </row>
    <row r="1760" spans="1:13" x14ac:dyDescent="0.25">
      <c r="A1760" s="29">
        <v>45916</v>
      </c>
      <c r="B1760" s="16" t="s">
        <v>1806</v>
      </c>
      <c r="C1760" s="34">
        <v>1</v>
      </c>
      <c r="D1760" s="16" t="s">
        <v>60</v>
      </c>
      <c r="E1760" s="35">
        <v>2</v>
      </c>
      <c r="F1760" s="35">
        <v>1.5</v>
      </c>
      <c r="G1760" s="16" t="s">
        <v>44</v>
      </c>
      <c r="H1760" s="16" t="s">
        <v>45</v>
      </c>
      <c r="I1760" s="16">
        <f>COUNTIF(G$5:G1760,"Y")/COUNTA(G$5:G1760)</f>
        <v>0.88041002277904323</v>
      </c>
      <c r="J1760" s="16">
        <f>COUNTIF(H$5:H1760,"Y")/COUNTA(H$5:H1760)</f>
        <v>4.8974943052391799E-2</v>
      </c>
      <c r="K1760" s="16">
        <f>AVERAGE(F$5:F1760)</f>
        <v>2.2084282460136664</v>
      </c>
      <c r="L1760" s="16">
        <f>SUM(F$5:F1760)/SUM(E$5:E1760)</f>
        <v>0.76197587141902723</v>
      </c>
    </row>
    <row r="1761" spans="1:12" x14ac:dyDescent="0.25">
      <c r="A1761" s="29">
        <v>45917</v>
      </c>
      <c r="B1761" s="16" t="s">
        <v>1807</v>
      </c>
      <c r="C1761" s="34">
        <v>1</v>
      </c>
      <c r="D1761" s="16" t="s">
        <v>64</v>
      </c>
      <c r="E1761" s="35">
        <v>2</v>
      </c>
      <c r="F1761" s="35">
        <v>1.5</v>
      </c>
      <c r="G1761" s="16" t="s">
        <v>44</v>
      </c>
      <c r="H1761" s="16" t="s">
        <v>45</v>
      </c>
      <c r="I1761" s="16">
        <f>COUNTIF(G$5:G1761,"Y")/COUNTA(G$5:G1761)</f>
        <v>0.88047808764940239</v>
      </c>
      <c r="J1761" s="16">
        <f>COUNTIF(H$5:H1761,"Y")/COUNTA(H$5:H1761)</f>
        <v>4.8947068867387596E-2</v>
      </c>
      <c r="K1761" s="16">
        <f>AVERAGE(F$5:F1761)</f>
        <v>2.2080250426863963</v>
      </c>
      <c r="L1761" s="16">
        <f>SUM(F$5:F1761)/SUM(E$5:E1761)</f>
        <v>0.7619711670660323</v>
      </c>
    </row>
    <row r="1762" spans="1:12" x14ac:dyDescent="0.25">
      <c r="A1762" s="29">
        <v>45918</v>
      </c>
      <c r="B1762" s="16" t="s">
        <v>1808</v>
      </c>
      <c r="C1762" s="34">
        <v>1</v>
      </c>
      <c r="D1762" s="16" t="s">
        <v>52</v>
      </c>
      <c r="E1762" s="35">
        <v>4.2</v>
      </c>
      <c r="F1762" s="35">
        <v>3.7</v>
      </c>
      <c r="G1762" s="16" t="s">
        <v>45</v>
      </c>
      <c r="H1762" s="16" t="s">
        <v>45</v>
      </c>
      <c r="I1762" s="16">
        <f>COUNTIF(G$5:G1762,"Y")/COUNTA(G$5:G1762)</f>
        <v>0.87997724687144485</v>
      </c>
      <c r="J1762" s="16">
        <f>COUNTIF(H$5:H1762,"Y")/COUNTA(H$5:H1762)</f>
        <v>4.8919226393629126E-2</v>
      </c>
      <c r="K1762" s="16">
        <f>AVERAGE(F$5:F1762)</f>
        <v>2.2088737201365176</v>
      </c>
      <c r="L1762" s="16">
        <f>SUM(F$5:F1762)/SUM(E$5:E1762)</f>
        <v>0.76206923620378308</v>
      </c>
    </row>
    <row r="1763" spans="1:12" x14ac:dyDescent="0.25">
      <c r="A1763" s="29">
        <v>45919</v>
      </c>
      <c r="B1763" s="16" t="s">
        <v>1809</v>
      </c>
      <c r="C1763" s="34">
        <v>1</v>
      </c>
      <c r="D1763" s="16" t="s">
        <v>56</v>
      </c>
      <c r="E1763" s="35">
        <v>2.2999999999999998</v>
      </c>
      <c r="F1763" s="35">
        <v>1.8</v>
      </c>
      <c r="G1763" s="16" t="s">
        <v>44</v>
      </c>
      <c r="H1763" s="16" t="s">
        <v>45</v>
      </c>
      <c r="I1763" s="16">
        <f>COUNTIF(G$5:G1763,"Y")/COUNTA(G$5:G1763)</f>
        <v>0.88004548038658326</v>
      </c>
      <c r="J1763" s="16">
        <f>COUNTIF(H$5:H1763,"Y")/COUNTA(H$5:H1763)</f>
        <v>4.8891415577032402E-2</v>
      </c>
      <c r="K1763" s="16">
        <f>AVERAGE(F$5:F1763)</f>
        <v>2.2086412734508234</v>
      </c>
      <c r="L1763" s="16">
        <f>SUM(F$5:F1763)/SUM(E$5:E1763)</f>
        <v>0.76207850291296364</v>
      </c>
    </row>
    <row r="1764" spans="1:12" x14ac:dyDescent="0.25">
      <c r="A1764" s="29">
        <v>45915</v>
      </c>
      <c r="B1764" s="16" t="s">
        <v>1810</v>
      </c>
      <c r="C1764" s="34">
        <v>1</v>
      </c>
      <c r="D1764" s="16" t="s">
        <v>50</v>
      </c>
      <c r="E1764" s="35">
        <v>4.9000000000000004</v>
      </c>
      <c r="F1764" s="35">
        <v>3.4</v>
      </c>
      <c r="G1764" s="16" t="s">
        <v>44</v>
      </c>
      <c r="H1764" s="16" t="s">
        <v>45</v>
      </c>
      <c r="I1764" s="16">
        <f>COUNTIF(G$5:G1764,"Y")/COUNTA(G$5:G1764)</f>
        <v>0.88011363636363638</v>
      </c>
      <c r="J1764" s="16">
        <f>COUNTIF(H$5:H1764,"Y")/COUNTA(H$5:H1764)</f>
        <v>4.8863636363636366E-2</v>
      </c>
      <c r="K1764" s="16">
        <f>AVERAGE(F$5:F1764)</f>
        <v>2.2093181818181806</v>
      </c>
      <c r="L1764" s="16">
        <f>SUM(F$5:F1764)/SUM(E$5:E1764)</f>
        <v>0.76201301246374487</v>
      </c>
    </row>
    <row r="1765" spans="1:12" x14ac:dyDescent="0.25">
      <c r="A1765" s="29">
        <v>45916</v>
      </c>
      <c r="B1765" s="16" t="s">
        <v>1811</v>
      </c>
      <c r="C1765" s="34">
        <v>1</v>
      </c>
      <c r="D1765" s="16" t="s">
        <v>60</v>
      </c>
      <c r="E1765" s="35">
        <v>3.3</v>
      </c>
      <c r="F1765" s="35">
        <v>2.2999999999999998</v>
      </c>
      <c r="G1765" s="16" t="s">
        <v>44</v>
      </c>
      <c r="H1765" s="16" t="s">
        <v>45</v>
      </c>
      <c r="I1765" s="16">
        <f>COUNTIF(G$5:G1765,"Y")/COUNTA(G$5:G1765)</f>
        <v>0.88018171493469621</v>
      </c>
      <c r="J1765" s="16">
        <f>COUNTIF(H$5:H1765,"Y")/COUNTA(H$5:H1765)</f>
        <v>4.8835888699602502E-2</v>
      </c>
      <c r="K1765" s="16">
        <f>AVERAGE(F$5:F1765)</f>
        <v>2.2093696763202715</v>
      </c>
      <c r="L1765" s="16">
        <f>SUM(F$5:F1765)/SUM(E$5:E1765)</f>
        <v>0.76197097589158014</v>
      </c>
    </row>
    <row r="1766" spans="1:12" x14ac:dyDescent="0.25">
      <c r="A1766" s="29">
        <v>45917</v>
      </c>
      <c r="B1766" s="16" t="s">
        <v>1812</v>
      </c>
      <c r="C1766" s="34">
        <v>1</v>
      </c>
      <c r="D1766" s="16" t="s">
        <v>43</v>
      </c>
      <c r="E1766" s="35">
        <v>3.6</v>
      </c>
      <c r="F1766" s="35">
        <v>2.9</v>
      </c>
      <c r="G1766" s="16" t="s">
        <v>44</v>
      </c>
      <c r="H1766" s="16" t="s">
        <v>44</v>
      </c>
      <c r="I1766" s="16">
        <f>COUNTIF(G$5:G1766,"Y")/COUNTA(G$5:G1766)</f>
        <v>0.88024971623155501</v>
      </c>
      <c r="J1766" s="16">
        <f>COUNTIF(H$5:H1766,"Y")/COUNTA(H$5:H1766)</f>
        <v>4.9375709421112371E-2</v>
      </c>
      <c r="K1766" s="16">
        <f>AVERAGE(F$5:F1766)</f>
        <v>2.2097616345062421</v>
      </c>
      <c r="L1766" s="16">
        <f>SUM(F$5:F1766)/SUM(E$5:E1766)</f>
        <v>0.76200168307336968</v>
      </c>
    </row>
    <row r="1767" spans="1:12" x14ac:dyDescent="0.25">
      <c r="A1767" s="29">
        <v>45918</v>
      </c>
      <c r="B1767" s="16" t="s">
        <v>1813</v>
      </c>
      <c r="C1767" s="34">
        <v>1</v>
      </c>
      <c r="D1767" s="16" t="s">
        <v>43</v>
      </c>
      <c r="E1767" s="35">
        <v>2</v>
      </c>
      <c r="F1767" s="35">
        <v>1.5</v>
      </c>
      <c r="G1767" s="16" t="s">
        <v>44</v>
      </c>
      <c r="H1767" s="16" t="s">
        <v>45</v>
      </c>
      <c r="I1767" s="16">
        <f>COUNTIF(G$5:G1767,"Y")/COUNTA(G$5:G1767)</f>
        <v>0.88031764038570615</v>
      </c>
      <c r="J1767" s="16">
        <f>COUNTIF(H$5:H1767,"Y")/COUNTA(H$5:H1767)</f>
        <v>4.9347702779353374E-2</v>
      </c>
      <c r="K1767" s="16">
        <f>AVERAGE(F$5:F1767)</f>
        <v>2.2093590470788422</v>
      </c>
      <c r="L1767" s="16">
        <f>SUM(F$5:F1767)/SUM(E$5:E1767)</f>
        <v>0.76199698730363619</v>
      </c>
    </row>
    <row r="1768" spans="1:12" x14ac:dyDescent="0.25">
      <c r="A1768" s="29">
        <v>45919</v>
      </c>
      <c r="B1768" s="16" t="s">
        <v>1814</v>
      </c>
      <c r="C1768" s="34">
        <v>1</v>
      </c>
      <c r="D1768" s="16" t="s">
        <v>47</v>
      </c>
      <c r="E1768" s="35">
        <v>1.5</v>
      </c>
      <c r="F1768" s="35">
        <v>1.3</v>
      </c>
      <c r="G1768" s="16" t="s">
        <v>44</v>
      </c>
      <c r="H1768" s="16" t="s">
        <v>45</v>
      </c>
      <c r="I1768" s="16">
        <f>COUNTIF(G$5:G1768,"Y")/COUNTA(G$5:G1768)</f>
        <v>0.88038548752834467</v>
      </c>
      <c r="J1768" s="16">
        <f>COUNTIF(H$5:H1768,"Y")/COUNTA(H$5:H1768)</f>
        <v>4.9319727891156462E-2</v>
      </c>
      <c r="K1768" s="16">
        <f>AVERAGE(F$5:F1768)</f>
        <v>2.2088435374149653</v>
      </c>
      <c r="L1768" s="16">
        <f>SUM(F$5:F1768)/SUM(E$5:E1768)</f>
        <v>0.76202769302980466</v>
      </c>
    </row>
    <row r="1769" spans="1:12" x14ac:dyDescent="0.25">
      <c r="A1769" s="29">
        <v>45915</v>
      </c>
      <c r="B1769" s="16" t="s">
        <v>1815</v>
      </c>
      <c r="C1769" s="34">
        <v>1</v>
      </c>
      <c r="D1769" s="16" t="s">
        <v>52</v>
      </c>
      <c r="E1769" s="35">
        <v>3.4</v>
      </c>
      <c r="F1769" s="35">
        <v>2.2999999999999998</v>
      </c>
      <c r="G1769" s="16" t="s">
        <v>44</v>
      </c>
      <c r="H1769" s="16" t="s">
        <v>45</v>
      </c>
      <c r="I1769" s="16">
        <f>COUNTIF(G$5:G1769,"Y")/COUNTA(G$5:G1769)</f>
        <v>0.88045325779036832</v>
      </c>
      <c r="J1769" s="16">
        <f>COUNTIF(H$5:H1769,"Y")/COUNTA(H$5:H1769)</f>
        <v>4.9291784702549572E-2</v>
      </c>
      <c r="K1769" s="16">
        <f>AVERAGE(F$5:F1769)</f>
        <v>2.2088951841359767</v>
      </c>
      <c r="L1769" s="16">
        <f>SUM(F$5:F1769)/SUM(E$5:E1769)</f>
        <v>0.76197084001094439</v>
      </c>
    </row>
    <row r="1770" spans="1:12" x14ac:dyDescent="0.25">
      <c r="A1770" s="29">
        <v>45916</v>
      </c>
      <c r="B1770" s="16" t="s">
        <v>1816</v>
      </c>
      <c r="C1770" s="34">
        <v>1</v>
      </c>
      <c r="D1770" s="16" t="s">
        <v>64</v>
      </c>
      <c r="E1770" s="35">
        <v>2.7</v>
      </c>
      <c r="F1770" s="35">
        <v>2.1</v>
      </c>
      <c r="G1770" s="16" t="s">
        <v>44</v>
      </c>
      <c r="H1770" s="16" t="s">
        <v>45</v>
      </c>
      <c r="I1770" s="16">
        <f>COUNTIF(G$5:G1770,"Y")/COUNTA(G$5:G1770)</f>
        <v>0.88052095130237829</v>
      </c>
      <c r="J1770" s="16">
        <f>COUNTIF(H$5:H1770,"Y")/COUNTA(H$5:H1770)</f>
        <v>4.9263873159682899E-2</v>
      </c>
      <c r="K1770" s="16">
        <f>AVERAGE(F$5:F1770)</f>
        <v>2.2088335220838045</v>
      </c>
      <c r="L1770" s="16">
        <f>SUM(F$5:F1770)/SUM(E$5:E1770)</f>
        <v>0.76197917684058325</v>
      </c>
    </row>
    <row r="1771" spans="1:12" x14ac:dyDescent="0.25">
      <c r="A1771" s="29">
        <v>45917</v>
      </c>
      <c r="B1771" s="16" t="s">
        <v>1817</v>
      </c>
      <c r="C1771" s="34">
        <v>1</v>
      </c>
      <c r="D1771" s="16" t="s">
        <v>60</v>
      </c>
      <c r="E1771" s="35">
        <v>4</v>
      </c>
      <c r="F1771" s="35">
        <v>3.5</v>
      </c>
      <c r="G1771" s="16" t="s">
        <v>44</v>
      </c>
      <c r="H1771" s="16" t="s">
        <v>45</v>
      </c>
      <c r="I1771" s="16">
        <f>COUNTIF(G$5:G1771,"Y")/COUNTA(G$5:G1771)</f>
        <v>0.88058856819468023</v>
      </c>
      <c r="J1771" s="16">
        <f>COUNTIF(H$5:H1771,"Y")/COUNTA(H$5:H1771)</f>
        <v>4.9235993208828523E-2</v>
      </c>
      <c r="K1771" s="16">
        <f>AVERAGE(F$5:F1771)</f>
        <v>2.2095642331635532</v>
      </c>
      <c r="L1771" s="16">
        <f>SUM(F$5:F1771)/SUM(E$5:E1771)</f>
        <v>0.76206741748482387</v>
      </c>
    </row>
    <row r="1772" spans="1:12" x14ac:dyDescent="0.25">
      <c r="A1772" s="29">
        <v>45918</v>
      </c>
      <c r="B1772" s="16" t="s">
        <v>1818</v>
      </c>
      <c r="C1772" s="34">
        <v>1</v>
      </c>
      <c r="D1772" s="16" t="s">
        <v>56</v>
      </c>
      <c r="E1772" s="35">
        <v>3.2</v>
      </c>
      <c r="F1772" s="35">
        <v>2.9</v>
      </c>
      <c r="G1772" s="16" t="s">
        <v>44</v>
      </c>
      <c r="H1772" s="16" t="s">
        <v>45</v>
      </c>
      <c r="I1772" s="16">
        <f>COUNTIF(G$5:G1772,"Y")/COUNTA(G$5:G1772)</f>
        <v>0.88065610859728505</v>
      </c>
      <c r="J1772" s="16">
        <f>COUNTIF(H$5:H1772,"Y")/COUNTA(H$5:H1772)</f>
        <v>4.9208144796380089E-2</v>
      </c>
      <c r="K1772" s="16">
        <f>AVERAGE(F$5:F1772)</f>
        <v>2.209954751131221</v>
      </c>
      <c r="L1772" s="16">
        <f>SUM(F$5:F1772)/SUM(E$5:E1772)</f>
        <v>0.76215741734126563</v>
      </c>
    </row>
    <row r="1773" spans="1:12" x14ac:dyDescent="0.25">
      <c r="A1773" s="29">
        <v>45919</v>
      </c>
      <c r="B1773" s="16" t="s">
        <v>1819</v>
      </c>
      <c r="C1773" s="34">
        <v>1</v>
      </c>
      <c r="D1773" s="16" t="s">
        <v>52</v>
      </c>
      <c r="E1773" s="35">
        <v>5.4</v>
      </c>
      <c r="F1773" s="35">
        <v>3.8</v>
      </c>
      <c r="G1773" s="16" t="s">
        <v>44</v>
      </c>
      <c r="H1773" s="16" t="s">
        <v>45</v>
      </c>
      <c r="I1773" s="16">
        <f>COUNTIF(G$5:G1773,"Y")/COUNTA(G$5:G1773)</f>
        <v>0.88072357263990952</v>
      </c>
      <c r="J1773" s="16">
        <f>COUNTIF(H$5:H1773,"Y")/COUNTA(H$5:H1773)</f>
        <v>4.9180327868852458E-2</v>
      </c>
      <c r="K1773" s="16">
        <f>AVERAGE(F$5:F1773)</f>
        <v>2.210853589598643</v>
      </c>
      <c r="L1773" s="16">
        <f>SUM(F$5:F1773)/SUM(E$5:E1773)</f>
        <v>0.762095909896919</v>
      </c>
    </row>
    <row r="1774" spans="1:12" x14ac:dyDescent="0.25">
      <c r="A1774" s="29">
        <v>45915</v>
      </c>
      <c r="B1774" s="16" t="s">
        <v>1820</v>
      </c>
      <c r="C1774" s="34">
        <v>1</v>
      </c>
      <c r="D1774" s="16" t="s">
        <v>56</v>
      </c>
      <c r="E1774" s="35">
        <v>2.5</v>
      </c>
      <c r="F1774" s="35">
        <v>1.8</v>
      </c>
      <c r="G1774" s="16" t="s">
        <v>44</v>
      </c>
      <c r="H1774" s="16" t="s">
        <v>45</v>
      </c>
      <c r="I1774" s="16">
        <f>COUNTIF(G$5:G1774,"Y")/COUNTA(G$5:G1774)</f>
        <v>0.88079096045197736</v>
      </c>
      <c r="J1774" s="16">
        <f>COUNTIF(H$5:H1774,"Y")/COUNTA(H$5:H1774)</f>
        <v>4.9152542372881358E-2</v>
      </c>
      <c r="K1774" s="16">
        <f>AVERAGE(F$5:F1774)</f>
        <v>2.2106214689265533</v>
      </c>
      <c r="L1774" s="16">
        <f>SUM(F$5:F1774)/SUM(E$5:E1774)</f>
        <v>0.76207541290121505</v>
      </c>
    </row>
    <row r="1775" spans="1:12" x14ac:dyDescent="0.25">
      <c r="A1775" s="29">
        <v>45916</v>
      </c>
      <c r="B1775" s="16" t="s">
        <v>1821</v>
      </c>
      <c r="C1775" s="34">
        <v>1</v>
      </c>
      <c r="D1775" s="16" t="s">
        <v>50</v>
      </c>
      <c r="E1775" s="35">
        <v>3</v>
      </c>
      <c r="F1775" s="35">
        <v>2.6</v>
      </c>
      <c r="G1775" s="16" t="s">
        <v>44</v>
      </c>
      <c r="H1775" s="16" t="s">
        <v>45</v>
      </c>
      <c r="I1775" s="16">
        <f>COUNTIF(G$5:G1775,"Y")/COUNTA(G$5:G1775)</f>
        <v>0.88085827216262003</v>
      </c>
      <c r="J1775" s="16">
        <f>COUNTIF(H$5:H1775,"Y")/COUNTA(H$5:H1775)</f>
        <v>4.912478825522304E-2</v>
      </c>
      <c r="K1775" s="16">
        <f>AVERAGE(F$5:F1775)</f>
        <v>2.2108413325804626</v>
      </c>
      <c r="L1775" s="16">
        <f>SUM(F$5:F1775)/SUM(E$5:E1775)</f>
        <v>0.76213648927473021</v>
      </c>
    </row>
    <row r="1776" spans="1:12" x14ac:dyDescent="0.25">
      <c r="A1776" s="29">
        <v>45917</v>
      </c>
      <c r="B1776" s="16" t="s">
        <v>1822</v>
      </c>
      <c r="C1776" s="34">
        <v>1</v>
      </c>
      <c r="D1776" s="16" t="s">
        <v>60</v>
      </c>
      <c r="E1776" s="35">
        <v>3.1</v>
      </c>
      <c r="F1776" s="35">
        <v>2.2000000000000002</v>
      </c>
      <c r="G1776" s="16" t="s">
        <v>45</v>
      </c>
      <c r="H1776" s="16" t="s">
        <v>45</v>
      </c>
      <c r="I1776" s="16">
        <f>COUNTIF(G$5:G1776,"Y")/COUNTA(G$5:G1776)</f>
        <v>0.88036117381489842</v>
      </c>
      <c r="J1776" s="16">
        <f>COUNTIF(H$5:H1776,"Y")/COUNTA(H$5:H1776)</f>
        <v>4.9097065462753949E-2</v>
      </c>
      <c r="K1776" s="16">
        <f>AVERAGE(F$5:F1776)</f>
        <v>2.2108352144469521</v>
      </c>
      <c r="L1776" s="16">
        <f>SUM(F$5:F1776)/SUM(E$5:E1776)</f>
        <v>0.76210485361346136</v>
      </c>
    </row>
    <row r="1777" spans="1:12" x14ac:dyDescent="0.25">
      <c r="A1777" s="29">
        <v>45918</v>
      </c>
      <c r="B1777" s="16" t="s">
        <v>1823</v>
      </c>
      <c r="C1777" s="34">
        <v>1</v>
      </c>
      <c r="D1777" s="16" t="s">
        <v>56</v>
      </c>
      <c r="E1777" s="35">
        <v>3.1</v>
      </c>
      <c r="F1777" s="35">
        <v>2.4</v>
      </c>
      <c r="G1777" s="16" t="s">
        <v>44</v>
      </c>
      <c r="H1777" s="16" t="s">
        <v>45</v>
      </c>
      <c r="I1777" s="16">
        <f>COUNTIF(G$5:G1777,"Y")/COUNTA(G$5:G1777)</f>
        <v>0.88042865200225606</v>
      </c>
      <c r="J1777" s="16">
        <f>COUNTIF(H$5:H1777,"Y")/COUNTA(H$5:H1777)</f>
        <v>4.9069373942470386E-2</v>
      </c>
      <c r="K1777" s="16">
        <f>AVERAGE(F$5:F1777)</f>
        <v>2.2109419063733777</v>
      </c>
      <c r="L1777" s="16">
        <f>SUM(F$5:F1777)/SUM(E$5:E1777)</f>
        <v>0.76211213935764799</v>
      </c>
    </row>
    <row r="1778" spans="1:12" x14ac:dyDescent="0.25">
      <c r="A1778" s="29">
        <v>45919</v>
      </c>
      <c r="B1778" s="16" t="s">
        <v>1824</v>
      </c>
      <c r="C1778" s="34">
        <v>1</v>
      </c>
      <c r="D1778" s="16" t="s">
        <v>52</v>
      </c>
      <c r="E1778" s="35">
        <v>4</v>
      </c>
      <c r="F1778" s="35">
        <v>2.8</v>
      </c>
      <c r="G1778" s="16" t="s">
        <v>44</v>
      </c>
      <c r="H1778" s="16" t="s">
        <v>45</v>
      </c>
      <c r="I1778" s="16">
        <f>COUNTIF(G$5:G1778,"Y")/COUNTA(G$5:G1778)</f>
        <v>0.88049605411499432</v>
      </c>
      <c r="J1778" s="16">
        <f>COUNTIF(H$5:H1778,"Y")/COUNTA(H$5:H1778)</f>
        <v>4.9041713641488162E-2</v>
      </c>
      <c r="K1778" s="16">
        <f>AVERAGE(F$5:F1778)</f>
        <v>2.2112739571589626</v>
      </c>
      <c r="L1778" s="16">
        <f>SUM(F$5:F1778)/SUM(E$5:E1778)</f>
        <v>0.76206387442691703</v>
      </c>
    </row>
    <row r="1779" spans="1:12" x14ac:dyDescent="0.25">
      <c r="A1779" s="29">
        <v>45915</v>
      </c>
      <c r="B1779" s="16" t="s">
        <v>1825</v>
      </c>
      <c r="C1779" s="34">
        <v>1</v>
      </c>
      <c r="D1779" s="16" t="s">
        <v>56</v>
      </c>
      <c r="E1779" s="35">
        <v>4.5</v>
      </c>
      <c r="F1779" s="35">
        <v>3.5</v>
      </c>
      <c r="G1779" s="16" t="s">
        <v>45</v>
      </c>
      <c r="H1779" s="16" t="s">
        <v>45</v>
      </c>
      <c r="I1779" s="16">
        <f>COUNTIF(G$5:G1779,"Y")/COUNTA(G$5:G1779)</f>
        <v>0.88</v>
      </c>
      <c r="J1779" s="16">
        <f>COUNTIF(H$5:H1779,"Y")/COUNTA(H$5:H1779)</f>
        <v>4.9014084507042255E-2</v>
      </c>
      <c r="K1779" s="16">
        <f>AVERAGE(F$5:F1779)</f>
        <v>2.2119999999999997</v>
      </c>
      <c r="L1779" s="16">
        <f>SUM(F$5:F1779)/SUM(E$5:E1779)</f>
        <v>0.7620775994254767</v>
      </c>
    </row>
    <row r="1780" spans="1:12" x14ac:dyDescent="0.25">
      <c r="A1780" s="29">
        <v>45916</v>
      </c>
      <c r="B1780" s="16" t="s">
        <v>1826</v>
      </c>
      <c r="C1780" s="34">
        <v>1</v>
      </c>
      <c r="D1780" s="16" t="s">
        <v>60</v>
      </c>
      <c r="E1780" s="35">
        <v>4.4000000000000004</v>
      </c>
      <c r="F1780" s="35">
        <v>3.3</v>
      </c>
      <c r="G1780" s="16" t="s">
        <v>44</v>
      </c>
      <c r="H1780" s="16" t="s">
        <v>45</v>
      </c>
      <c r="I1780" s="16">
        <f>COUNTIF(G$5:G1780,"Y")/COUNTA(G$5:G1780)</f>
        <v>0.88006756756756754</v>
      </c>
      <c r="J1780" s="16">
        <f>COUNTIF(H$5:H1780,"Y")/COUNTA(H$5:H1780)</f>
        <v>4.8986486486486486E-2</v>
      </c>
      <c r="K1780" s="16">
        <f>AVERAGE(F$5:F1780)</f>
        <v>2.2126126126126122</v>
      </c>
      <c r="L1780" s="16">
        <f>SUM(F$5:F1780)/SUM(E$5:E1780)</f>
        <v>0.76206729370697157</v>
      </c>
    </row>
    <row r="1781" spans="1:12" x14ac:dyDescent="0.25">
      <c r="A1781" s="29">
        <v>45917</v>
      </c>
      <c r="B1781" s="16" t="s">
        <v>1827</v>
      </c>
      <c r="C1781" s="34">
        <v>1</v>
      </c>
      <c r="D1781" s="16" t="s">
        <v>43</v>
      </c>
      <c r="E1781" s="35">
        <v>4.4000000000000004</v>
      </c>
      <c r="F1781" s="35">
        <v>3.4</v>
      </c>
      <c r="G1781" s="16" t="s">
        <v>44</v>
      </c>
      <c r="H1781" s="16" t="s">
        <v>45</v>
      </c>
      <c r="I1781" s="16">
        <f>COUNTIF(G$5:G1781,"Y")/COUNTA(G$5:G1781)</f>
        <v>0.8801350590883511</v>
      </c>
      <c r="J1781" s="16">
        <f>COUNTIF(H$5:H1781,"Y")/COUNTA(H$5:H1781)</f>
        <v>4.8958919527293192E-2</v>
      </c>
      <c r="K1781" s="16">
        <f>AVERAGE(F$5:F1781)</f>
        <v>2.2132808103545298</v>
      </c>
      <c r="L1781" s="16">
        <f>SUM(F$5:F1781)/SUM(E$5:E1781)</f>
        <v>0.76207638202639061</v>
      </c>
    </row>
    <row r="1782" spans="1:12" x14ac:dyDescent="0.25">
      <c r="A1782" s="29">
        <v>45918</v>
      </c>
      <c r="B1782" s="16" t="s">
        <v>1828</v>
      </c>
      <c r="C1782" s="34">
        <v>1</v>
      </c>
      <c r="D1782" s="16" t="s">
        <v>60</v>
      </c>
      <c r="E1782" s="35">
        <v>3.2</v>
      </c>
      <c r="F1782" s="35">
        <v>2.5</v>
      </c>
      <c r="G1782" s="16" t="s">
        <v>44</v>
      </c>
      <c r="H1782" s="16" t="s">
        <v>45</v>
      </c>
      <c r="I1782" s="16">
        <f>COUNTIF(G$5:G1782,"Y")/COUNTA(G$5:G1782)</f>
        <v>0.88020247469066371</v>
      </c>
      <c r="J1782" s="16">
        <f>COUNTIF(H$5:H1782,"Y")/COUNTA(H$5:H1782)</f>
        <v>4.8931383577052866E-2</v>
      </c>
      <c r="K1782" s="16">
        <f>AVERAGE(F$5:F1782)</f>
        <v>2.2134420697412822</v>
      </c>
      <c r="L1782" s="16">
        <f>SUM(F$5:F1782)/SUM(E$5:E1782)</f>
        <v>0.76208826320171941</v>
      </c>
    </row>
    <row r="1783" spans="1:12" x14ac:dyDescent="0.25">
      <c r="A1783" s="29">
        <v>45919</v>
      </c>
      <c r="B1783" s="16" t="s">
        <v>1829</v>
      </c>
      <c r="C1783" s="34">
        <v>1</v>
      </c>
      <c r="D1783" s="16" t="s">
        <v>43</v>
      </c>
      <c r="E1783" s="35">
        <v>3.6</v>
      </c>
      <c r="F1783" s="35">
        <v>2.5</v>
      </c>
      <c r="G1783" s="16" t="s">
        <v>44</v>
      </c>
      <c r="H1783" s="16" t="s">
        <v>45</v>
      </c>
      <c r="I1783" s="16">
        <f>COUNTIF(G$5:G1783,"Y")/COUNTA(G$5:G1783)</f>
        <v>0.8802698145025295</v>
      </c>
      <c r="J1783" s="16">
        <f>COUNTIF(H$5:H1783,"Y")/COUNTA(H$5:H1783)</f>
        <v>4.8903878583473864E-2</v>
      </c>
      <c r="K1783" s="16">
        <f>AVERAGE(F$5:F1783)</f>
        <v>2.2136031478358627</v>
      </c>
      <c r="L1783" s="16">
        <f>SUM(F$5:F1783)/SUM(E$5:E1783)</f>
        <v>0.76204114015906477</v>
      </c>
    </row>
    <row r="1784" spans="1:12" x14ac:dyDescent="0.25">
      <c r="A1784" s="29">
        <v>45915</v>
      </c>
      <c r="B1784" s="16" t="s">
        <v>1830</v>
      </c>
      <c r="C1784" s="34">
        <v>1</v>
      </c>
      <c r="D1784" s="16" t="s">
        <v>47</v>
      </c>
      <c r="E1784" s="35">
        <v>2.9</v>
      </c>
      <c r="F1784" s="35">
        <v>2.1</v>
      </c>
      <c r="G1784" s="16" t="s">
        <v>44</v>
      </c>
      <c r="H1784" s="16" t="s">
        <v>45</v>
      </c>
      <c r="I1784" s="16">
        <f>COUNTIF(G$5:G1784,"Y")/COUNTA(G$5:G1784)</f>
        <v>0.88033707865168542</v>
      </c>
      <c r="J1784" s="16">
        <f>COUNTIF(H$5:H1784,"Y")/COUNTA(H$5:H1784)</f>
        <v>4.887640449438202E-2</v>
      </c>
      <c r="K1784" s="16">
        <f>AVERAGE(F$5:F1784)</f>
        <v>2.2135393258426963</v>
      </c>
      <c r="L1784" s="16">
        <f>SUM(F$5:F1784)/SUM(E$5:E1784)</f>
        <v>0.76201988163849443</v>
      </c>
    </row>
    <row r="1785" spans="1:12" x14ac:dyDescent="0.25">
      <c r="A1785" s="29">
        <v>45916</v>
      </c>
      <c r="B1785" s="16" t="s">
        <v>1831</v>
      </c>
      <c r="C1785" s="34">
        <v>1</v>
      </c>
      <c r="D1785" s="16" t="s">
        <v>47</v>
      </c>
      <c r="E1785" s="35">
        <v>3.9</v>
      </c>
      <c r="F1785" s="35">
        <v>3.1</v>
      </c>
      <c r="G1785" s="16" t="s">
        <v>44</v>
      </c>
      <c r="H1785" s="16" t="s">
        <v>45</v>
      </c>
      <c r="I1785" s="16">
        <f>COUNTIF(G$5:G1785,"Y")/COUNTA(G$5:G1785)</f>
        <v>0.88040426726558119</v>
      </c>
      <c r="J1785" s="16">
        <f>COUNTIF(H$5:H1785,"Y")/COUNTA(H$5:H1785)</f>
        <v>4.8848961257720383E-2</v>
      </c>
      <c r="K1785" s="16">
        <f>AVERAGE(F$5:F1785)</f>
        <v>2.214037057832678</v>
      </c>
      <c r="L1785" s="16">
        <f>SUM(F$5:F1785)/SUM(E$5:E1785)</f>
        <v>0.76204464199439548</v>
      </c>
    </row>
    <row r="1786" spans="1:12" x14ac:dyDescent="0.25">
      <c r="A1786" s="29">
        <v>45917</v>
      </c>
      <c r="B1786" s="16" t="s">
        <v>1832</v>
      </c>
      <c r="C1786" s="34">
        <v>1</v>
      </c>
      <c r="D1786" s="16" t="s">
        <v>52</v>
      </c>
      <c r="E1786" s="35">
        <v>2.2000000000000002</v>
      </c>
      <c r="F1786" s="35">
        <v>1.8</v>
      </c>
      <c r="G1786" s="16" t="s">
        <v>44</v>
      </c>
      <c r="H1786" s="16" t="s">
        <v>45</v>
      </c>
      <c r="I1786" s="16">
        <f>COUNTIF(G$5:G1786,"Y")/COUNTA(G$5:G1786)</f>
        <v>0.88047138047138052</v>
      </c>
      <c r="J1786" s="16">
        <f>COUNTIF(H$5:H1786,"Y")/COUNTA(H$5:H1786)</f>
        <v>4.8821548821548821E-2</v>
      </c>
      <c r="K1786" s="16">
        <f>AVERAGE(F$5:F1786)</f>
        <v>2.2138047138047137</v>
      </c>
      <c r="L1786" s="16">
        <f>SUM(F$5:F1786)/SUM(E$5:E1786)</f>
        <v>0.76206849923696562</v>
      </c>
    </row>
    <row r="1787" spans="1:12" x14ac:dyDescent="0.25">
      <c r="A1787" s="29">
        <v>45918</v>
      </c>
      <c r="B1787" s="16" t="s">
        <v>1833</v>
      </c>
      <c r="C1787" s="34">
        <v>1</v>
      </c>
      <c r="D1787" s="16" t="s">
        <v>43</v>
      </c>
      <c r="E1787" s="35">
        <v>4.0999999999999996</v>
      </c>
      <c r="F1787" s="35">
        <v>2.8</v>
      </c>
      <c r="G1787" s="16" t="s">
        <v>44</v>
      </c>
      <c r="H1787" s="16" t="s">
        <v>45</v>
      </c>
      <c r="I1787" s="16">
        <f>COUNTIF(G$5:G1787,"Y")/COUNTA(G$5:G1787)</f>
        <v>0.88053841839596181</v>
      </c>
      <c r="J1787" s="16">
        <f>COUNTIF(H$5:H1787,"Y")/COUNTA(H$5:H1787)</f>
        <v>4.8794167134043748E-2</v>
      </c>
      <c r="K1787" s="16">
        <f>AVERAGE(F$5:F1787)</f>
        <v>2.2141334828939989</v>
      </c>
      <c r="L1787" s="16">
        <f>SUM(F$5:F1787)/SUM(E$5:E1787)</f>
        <v>0.76200586781964164</v>
      </c>
    </row>
    <row r="1788" spans="1:12" x14ac:dyDescent="0.25">
      <c r="A1788" s="29">
        <v>45919</v>
      </c>
      <c r="B1788" s="16" t="s">
        <v>1834</v>
      </c>
      <c r="C1788" s="34">
        <v>1</v>
      </c>
      <c r="D1788" s="16" t="s">
        <v>52</v>
      </c>
      <c r="E1788" s="35">
        <v>5.2</v>
      </c>
      <c r="F1788" s="35">
        <v>3.8</v>
      </c>
      <c r="G1788" s="16" t="s">
        <v>44</v>
      </c>
      <c r="H1788" s="16" t="s">
        <v>45</v>
      </c>
      <c r="I1788" s="16">
        <f>COUNTIF(G$5:G1788,"Y")/COUNTA(G$5:G1788)</f>
        <v>0.88060538116591924</v>
      </c>
      <c r="J1788" s="16">
        <f>COUNTIF(H$5:H1788,"Y")/COUNTA(H$5:H1788)</f>
        <v>4.876681614349776E-2</v>
      </c>
      <c r="K1788" s="16">
        <f>AVERAGE(F$5:F1788)</f>
        <v>2.2150224215246634</v>
      </c>
      <c r="L1788" s="16">
        <f>SUM(F$5:F1788)/SUM(E$5:E1788)</f>
        <v>0.76197454685692245</v>
      </c>
    </row>
    <row r="1789" spans="1:12" x14ac:dyDescent="0.25">
      <c r="A1789" s="29">
        <v>45915</v>
      </c>
      <c r="B1789" s="16" t="s">
        <v>1835</v>
      </c>
      <c r="C1789" s="34">
        <v>1</v>
      </c>
      <c r="D1789" s="16" t="s">
        <v>60</v>
      </c>
      <c r="E1789" s="35">
        <v>3.5</v>
      </c>
      <c r="F1789" s="35">
        <v>3.1</v>
      </c>
      <c r="G1789" s="16" t="s">
        <v>45</v>
      </c>
      <c r="H1789" s="16" t="s">
        <v>45</v>
      </c>
      <c r="I1789" s="16">
        <f>COUNTIF(G$5:G1789,"Y")/COUNTA(G$5:G1789)</f>
        <v>0.88011204481792715</v>
      </c>
      <c r="J1789" s="16">
        <f>COUNTIF(H$5:H1789,"Y")/COUNTA(H$5:H1789)</f>
        <v>4.8739495798319328E-2</v>
      </c>
      <c r="K1789" s="16">
        <f>AVERAGE(F$5:F1789)</f>
        <v>2.2155182072829129</v>
      </c>
      <c r="L1789" s="16">
        <f>SUM(F$5:F1789)/SUM(E$5:E1789)</f>
        <v>0.76205800173427107</v>
      </c>
    </row>
    <row r="1790" spans="1:12" x14ac:dyDescent="0.25">
      <c r="A1790" s="29">
        <v>45916</v>
      </c>
      <c r="B1790" s="16" t="s">
        <v>1836</v>
      </c>
      <c r="C1790" s="34">
        <v>1</v>
      </c>
      <c r="D1790" s="16" t="s">
        <v>50</v>
      </c>
      <c r="E1790" s="35">
        <v>0.5</v>
      </c>
      <c r="F1790" s="35">
        <v>1.2</v>
      </c>
      <c r="G1790" s="16" t="s">
        <v>44</v>
      </c>
      <c r="H1790" s="16" t="s">
        <v>44</v>
      </c>
      <c r="I1790" s="16">
        <f>COUNTIF(G$5:G1790,"Y")/COUNTA(G$5:G1790)</f>
        <v>0.88017917133258683</v>
      </c>
      <c r="J1790" s="16">
        <f>COUNTIF(H$5:H1790,"Y")/COUNTA(H$5:H1790)</f>
        <v>4.9272116461366179E-2</v>
      </c>
      <c r="K1790" s="16">
        <f>AVERAGE(F$5:F1790)</f>
        <v>2.2149496080627098</v>
      </c>
      <c r="L1790" s="16">
        <f>SUM(F$5:F1790)/SUM(E$5:E1790)</f>
        <v>0.76221579961464347</v>
      </c>
    </row>
    <row r="1791" spans="1:12" x14ac:dyDescent="0.25">
      <c r="A1791" s="29">
        <v>45917</v>
      </c>
      <c r="B1791" s="16" t="s">
        <v>1837</v>
      </c>
      <c r="C1791" s="34">
        <v>1</v>
      </c>
      <c r="D1791" s="16" t="s">
        <v>64</v>
      </c>
      <c r="E1791" s="35">
        <v>0.5</v>
      </c>
      <c r="F1791" s="35">
        <v>0.5</v>
      </c>
      <c r="G1791" s="16" t="s">
        <v>44</v>
      </c>
      <c r="H1791" s="16" t="s">
        <v>45</v>
      </c>
      <c r="I1791" s="16">
        <f>COUNTIF(G$5:G1791,"Y")/COUNTA(G$5:G1791)</f>
        <v>0.88024622271964181</v>
      </c>
      <c r="J1791" s="16">
        <f>COUNTIF(H$5:H1791,"Y")/COUNTA(H$5:H1791)</f>
        <v>4.9244543928371576E-2</v>
      </c>
      <c r="K1791" s="16">
        <f>AVERAGE(F$5:F1791)</f>
        <v>2.2139899272523782</v>
      </c>
      <c r="L1791" s="16">
        <f>SUM(F$5:F1791)/SUM(E$5:E1791)</f>
        <v>0.76223870532703975</v>
      </c>
    </row>
    <row r="1792" spans="1:12" x14ac:dyDescent="0.25">
      <c r="A1792" s="29">
        <v>45918</v>
      </c>
      <c r="B1792" s="16" t="s">
        <v>1838</v>
      </c>
      <c r="C1792" s="34">
        <v>1</v>
      </c>
      <c r="D1792" s="16" t="s">
        <v>56</v>
      </c>
      <c r="E1792" s="35">
        <v>0.5</v>
      </c>
      <c r="F1792" s="35">
        <v>0.5</v>
      </c>
      <c r="G1792" s="16" t="s">
        <v>44</v>
      </c>
      <c r="H1792" s="16" t="s">
        <v>45</v>
      </c>
      <c r="I1792" s="16">
        <f>COUNTIF(G$5:G1792,"Y")/COUNTA(G$5:G1792)</f>
        <v>0.88031319910514538</v>
      </c>
      <c r="J1792" s="16">
        <f>COUNTIF(H$5:H1792,"Y")/COUNTA(H$5:H1792)</f>
        <v>4.9217002237136466E-2</v>
      </c>
      <c r="K1792" s="16">
        <f>AVERAGE(F$5:F1792)</f>
        <v>2.2130313199105145</v>
      </c>
      <c r="L1792" s="16">
        <f>SUM(F$5:F1792)/SUM(E$5:E1792)</f>
        <v>0.76226160662685405</v>
      </c>
    </row>
    <row r="1793" spans="1:13" x14ac:dyDescent="0.25">
      <c r="A1793" s="29">
        <v>45919</v>
      </c>
      <c r="B1793" s="16" t="s">
        <v>1839</v>
      </c>
      <c r="C1793" s="34">
        <v>1</v>
      </c>
      <c r="D1793" s="16" t="s">
        <v>47</v>
      </c>
      <c r="E1793" s="35">
        <v>0.5</v>
      </c>
      <c r="F1793" s="35">
        <v>0.5</v>
      </c>
      <c r="G1793" s="16" t="s">
        <v>44</v>
      </c>
      <c r="H1793" s="16" t="s">
        <v>45</v>
      </c>
      <c r="I1793" s="16">
        <f>COUNTIF(G$5:G1793,"Y")/COUNTA(G$5:G1793)</f>
        <v>0.8803801006148686</v>
      </c>
      <c r="J1793" s="16">
        <f>COUNTIF(H$5:H1793,"Y")/COUNTA(H$5:H1793)</f>
        <v>4.9189491335941866E-2</v>
      </c>
      <c r="K1793" s="16">
        <f>AVERAGE(F$5:F1793)</f>
        <v>2.2120737842370035</v>
      </c>
      <c r="L1793" s="16">
        <f>SUM(F$5:F1793)/SUM(E$5:E1793)</f>
        <v>0.76228450351536159</v>
      </c>
    </row>
    <row r="1794" spans="1:13" x14ac:dyDescent="0.25">
      <c r="A1794" s="29">
        <v>45915</v>
      </c>
      <c r="B1794" s="16" t="s">
        <v>1840</v>
      </c>
      <c r="C1794" s="34">
        <v>1</v>
      </c>
      <c r="D1794" s="16" t="s">
        <v>47</v>
      </c>
      <c r="E1794" s="35">
        <v>0.5</v>
      </c>
      <c r="F1794" s="35">
        <v>0.5</v>
      </c>
      <c r="G1794" s="16" t="s">
        <v>44</v>
      </c>
      <c r="H1794" s="16" t="s">
        <v>45</v>
      </c>
      <c r="I1794" s="16">
        <f>COUNTIF(G$5:G1794,"Y")/COUNTA(G$5:G1794)</f>
        <v>0.88044692737430164</v>
      </c>
      <c r="J1794" s="16">
        <f>COUNTIF(H$5:H1794,"Y")/COUNTA(H$5:H1794)</f>
        <v>4.9162011173184354E-2</v>
      </c>
      <c r="K1794" s="16">
        <f>AVERAGE(F$5:F1794)</f>
        <v>2.211117318435754</v>
      </c>
      <c r="L1794" s="16">
        <f>SUM(F$5:F1794)/SUM(E$5:E1794)</f>
        <v>0.76230739599383657</v>
      </c>
    </row>
    <row r="1795" spans="1:13" x14ac:dyDescent="0.25">
      <c r="A1795" s="29">
        <v>45916</v>
      </c>
      <c r="B1795" s="16" t="s">
        <v>1841</v>
      </c>
      <c r="C1795" s="34">
        <v>1</v>
      </c>
      <c r="D1795" s="16" t="s">
        <v>43</v>
      </c>
      <c r="E1795" s="35">
        <v>0.5</v>
      </c>
      <c r="F1795" s="35">
        <v>0.5</v>
      </c>
      <c r="G1795" s="16" t="s">
        <v>44</v>
      </c>
      <c r="H1795" s="16" t="s">
        <v>45</v>
      </c>
      <c r="I1795" s="16">
        <f>COUNTIF(G$5:G1795,"Y")/COUNTA(G$5:G1795)</f>
        <v>0.88051367950865433</v>
      </c>
      <c r="J1795" s="16">
        <f>COUNTIF(H$5:H1795,"Y")/COUNTA(H$5:H1795)</f>
        <v>4.9134561697375768E-2</v>
      </c>
      <c r="K1795" s="16">
        <f>AVERAGE(F$5:F1795)</f>
        <v>2.2101619207146843</v>
      </c>
      <c r="L1795" s="16">
        <f>SUM(F$5:F1795)/SUM(E$5:E1795)</f>
        <v>0.76233028406355308</v>
      </c>
    </row>
    <row r="1796" spans="1:13" x14ac:dyDescent="0.25">
      <c r="A1796" s="29">
        <v>45917</v>
      </c>
      <c r="B1796" s="16" t="s">
        <v>1842</v>
      </c>
      <c r="C1796" s="34">
        <v>1</v>
      </c>
      <c r="D1796" s="16" t="s">
        <v>50</v>
      </c>
      <c r="E1796" s="35">
        <v>0.5</v>
      </c>
      <c r="F1796" s="35">
        <v>0.5</v>
      </c>
      <c r="G1796" s="16" t="s">
        <v>44</v>
      </c>
      <c r="H1796" s="16" t="s">
        <v>45</v>
      </c>
      <c r="I1796" s="16">
        <f>COUNTIF(G$5:G1796,"Y")/COUNTA(G$5:G1796)</f>
        <v>0.8805803571428571</v>
      </c>
      <c r="J1796" s="16">
        <f>COUNTIF(H$5:H1796,"Y")/COUNTA(H$5:H1796)</f>
        <v>4.9107142857142856E-2</v>
      </c>
      <c r="K1796" s="16">
        <f>AVERAGE(F$5:F1796)</f>
        <v>2.2092075892857141</v>
      </c>
      <c r="L1796" s="16">
        <f>SUM(F$5:F1796)/SUM(E$5:E1796)</f>
        <v>0.76235316772578465</v>
      </c>
      <c r="M1796" s="16">
        <v>8</v>
      </c>
    </row>
    <row r="1797" spans="1:13" x14ac:dyDescent="0.25">
      <c r="A1797" s="29">
        <v>45922</v>
      </c>
      <c r="B1797" s="16" t="s">
        <v>1843</v>
      </c>
      <c r="C1797" s="34">
        <v>1</v>
      </c>
      <c r="D1797" s="16" t="s">
        <v>47</v>
      </c>
      <c r="E1797" s="35">
        <v>4.8</v>
      </c>
      <c r="F1797" s="35">
        <v>3.3</v>
      </c>
      <c r="G1797" s="16" t="s">
        <v>44</v>
      </c>
      <c r="H1797" s="16" t="s">
        <v>45</v>
      </c>
      <c r="I1797" s="16">
        <f>COUNTIF(G$5:G1797,"Y")/COUNTA(G$5:G1797)</f>
        <v>0.88064696040156165</v>
      </c>
      <c r="J1797" s="16">
        <f>COUNTIF(H$5:H1797,"Y")/COUNTA(H$5:H1797)</f>
        <v>4.9079754601226995E-2</v>
      </c>
      <c r="K1797" s="16">
        <f>AVERAGE(F$5:F1797)</f>
        <v>2.2098159509202451</v>
      </c>
      <c r="L1797" s="16">
        <f>SUM(F$5:F1797)/SUM(E$5:E1797)</f>
        <v>0.76228404324906684</v>
      </c>
    </row>
    <row r="1798" spans="1:13" x14ac:dyDescent="0.25">
      <c r="A1798" s="29">
        <v>45923</v>
      </c>
      <c r="B1798" s="16" t="s">
        <v>1844</v>
      </c>
      <c r="C1798" s="34">
        <v>1</v>
      </c>
      <c r="D1798" s="16" t="s">
        <v>43</v>
      </c>
      <c r="E1798" s="35">
        <v>3.3</v>
      </c>
      <c r="F1798" s="35">
        <v>2.6</v>
      </c>
      <c r="G1798" s="16" t="s">
        <v>44</v>
      </c>
      <c r="H1798" s="16" t="s">
        <v>45</v>
      </c>
      <c r="I1798" s="16">
        <f>COUNTIF(G$5:G1798,"Y")/COUNTA(G$5:G1798)</f>
        <v>0.88071348940914163</v>
      </c>
      <c r="J1798" s="16">
        <f>COUNTIF(H$5:H1798,"Y")/COUNTA(H$5:H1798)</f>
        <v>4.9052396878483832E-2</v>
      </c>
      <c r="K1798" s="16">
        <f>AVERAGE(F$5:F1798)</f>
        <v>2.2100334448160535</v>
      </c>
      <c r="L1798" s="16">
        <f>SUM(F$5:F1798)/SUM(E$5:E1798)</f>
        <v>0.76230028263251992</v>
      </c>
    </row>
    <row r="1799" spans="1:13" x14ac:dyDescent="0.25">
      <c r="A1799" s="29">
        <v>45924</v>
      </c>
      <c r="B1799" s="16" t="s">
        <v>1845</v>
      </c>
      <c r="C1799" s="34">
        <v>1</v>
      </c>
      <c r="D1799" s="16" t="s">
        <v>43</v>
      </c>
      <c r="E1799" s="35">
        <v>4.5999999999999996</v>
      </c>
      <c r="F1799" s="35">
        <v>3.4</v>
      </c>
      <c r="G1799" s="16" t="s">
        <v>44</v>
      </c>
      <c r="H1799" s="16" t="s">
        <v>45</v>
      </c>
      <c r="I1799" s="16">
        <f>COUNTIF(G$5:G1799,"Y")/COUNTA(G$5:G1799)</f>
        <v>0.88077994428969364</v>
      </c>
      <c r="J1799" s="16">
        <f>COUNTIF(H$5:H1799,"Y")/COUNTA(H$5:H1799)</f>
        <v>4.9025069637883008E-2</v>
      </c>
      <c r="K1799" s="16">
        <f>AVERAGE(F$5:F1799)</f>
        <v>2.2106963788300833</v>
      </c>
      <c r="L1799" s="16">
        <f>SUM(F$5:F1799)/SUM(E$5:E1799)</f>
        <v>0.7622798086712641</v>
      </c>
    </row>
    <row r="1800" spans="1:13" x14ac:dyDescent="0.25">
      <c r="A1800" s="29">
        <v>45925</v>
      </c>
      <c r="B1800" s="16" t="s">
        <v>1846</v>
      </c>
      <c r="C1800" s="34">
        <v>1</v>
      </c>
      <c r="D1800" s="16" t="s">
        <v>52</v>
      </c>
      <c r="E1800" s="35">
        <v>3.5</v>
      </c>
      <c r="F1800" s="35">
        <v>3</v>
      </c>
      <c r="G1800" s="16" t="s">
        <v>44</v>
      </c>
      <c r="H1800" s="16" t="s">
        <v>45</v>
      </c>
      <c r="I1800" s="16">
        <f>COUNTIF(G$5:G1800,"Y")/COUNTA(G$5:G1800)</f>
        <v>0.88084632516703787</v>
      </c>
      <c r="J1800" s="16">
        <f>COUNTIF(H$5:H1800,"Y")/COUNTA(H$5:H1800)</f>
        <v>4.8997772828507792E-2</v>
      </c>
      <c r="K1800" s="16">
        <f>AVERAGE(F$5:F1800)</f>
        <v>2.2111358574610245</v>
      </c>
      <c r="L1800" s="16">
        <f>SUM(F$5:F1800)/SUM(E$5:E1800)</f>
        <v>0.76234354603393983</v>
      </c>
    </row>
    <row r="1801" spans="1:13" x14ac:dyDescent="0.25">
      <c r="A1801" s="29">
        <v>45926</v>
      </c>
      <c r="B1801" s="16" t="s">
        <v>1847</v>
      </c>
      <c r="C1801" s="34">
        <v>1</v>
      </c>
      <c r="D1801" s="16" t="s">
        <v>47</v>
      </c>
      <c r="E1801" s="35">
        <v>5.2</v>
      </c>
      <c r="F1801" s="35">
        <v>3.8</v>
      </c>
      <c r="G1801" s="16" t="s">
        <v>45</v>
      </c>
      <c r="H1801" s="16" t="s">
        <v>45</v>
      </c>
      <c r="I1801" s="16">
        <f>COUNTIF(G$5:G1801,"Y")/COUNTA(G$5:G1801)</f>
        <v>0.8803561491374513</v>
      </c>
      <c r="J1801" s="16">
        <f>COUNTIF(H$5:H1801,"Y")/COUNTA(H$5:H1801)</f>
        <v>4.8970506399554817E-2</v>
      </c>
      <c r="K1801" s="16">
        <f>AVERAGE(F$5:F1801)</f>
        <v>2.2120200333889817</v>
      </c>
      <c r="L1801" s="16">
        <f>SUM(F$5:F1801)/SUM(E$5:E1801)</f>
        <v>0.76231205891377718</v>
      </c>
    </row>
    <row r="1802" spans="1:13" x14ac:dyDescent="0.25">
      <c r="A1802" s="29">
        <v>45922</v>
      </c>
      <c r="B1802" s="16" t="s">
        <v>1848</v>
      </c>
      <c r="C1802" s="34">
        <v>1</v>
      </c>
      <c r="D1802" s="16" t="s">
        <v>60</v>
      </c>
      <c r="E1802" s="35">
        <v>3</v>
      </c>
      <c r="F1802" s="35">
        <v>2.2999999999999998</v>
      </c>
      <c r="G1802" s="16" t="s">
        <v>44</v>
      </c>
      <c r="H1802" s="16" t="s">
        <v>45</v>
      </c>
      <c r="I1802" s="16">
        <f>COUNTIF(G$5:G1802,"Y")/COUNTA(G$5:G1802)</f>
        <v>0.88042269187986655</v>
      </c>
      <c r="J1802" s="16">
        <f>COUNTIF(H$5:H1802,"Y")/COUNTA(H$5:H1802)</f>
        <v>4.8943270300333706E-2</v>
      </c>
      <c r="K1802" s="16">
        <f>AVERAGE(F$5:F1802)</f>
        <v>2.2120689655172416</v>
      </c>
      <c r="L1802" s="16">
        <f>SUM(F$5:F1802)/SUM(E$5:E1802)</f>
        <v>0.76231456280906196</v>
      </c>
    </row>
    <row r="1803" spans="1:13" x14ac:dyDescent="0.25">
      <c r="A1803" s="29">
        <v>45923</v>
      </c>
      <c r="B1803" s="16" t="s">
        <v>1849</v>
      </c>
      <c r="C1803" s="34">
        <v>1</v>
      </c>
      <c r="D1803" s="16" t="s">
        <v>52</v>
      </c>
      <c r="E1803" s="35">
        <v>2</v>
      </c>
      <c r="F1803" s="35">
        <v>1.7</v>
      </c>
      <c r="G1803" s="16" t="s">
        <v>44</v>
      </c>
      <c r="H1803" s="16" t="s">
        <v>45</v>
      </c>
      <c r="I1803" s="16">
        <f>COUNTIF(G$5:G1803,"Y")/COUNTA(G$5:G1803)</f>
        <v>0.88048916064480265</v>
      </c>
      <c r="J1803" s="16">
        <f>COUNTIF(H$5:H1803,"Y")/COUNTA(H$5:H1803)</f>
        <v>4.8916064480266815E-2</v>
      </c>
      <c r="K1803" s="16">
        <f>AVERAGE(F$5:F1803)</f>
        <v>2.2117843246247917</v>
      </c>
      <c r="L1803" s="16">
        <f>SUM(F$5:F1803)/SUM(E$5:E1803)</f>
        <v>0.76234816262405636</v>
      </c>
    </row>
    <row r="1804" spans="1:13" x14ac:dyDescent="0.25">
      <c r="A1804" s="29">
        <v>45924</v>
      </c>
      <c r="B1804" s="16" t="s">
        <v>1850</v>
      </c>
      <c r="C1804" s="34">
        <v>1</v>
      </c>
      <c r="D1804" s="16" t="s">
        <v>64</v>
      </c>
      <c r="E1804" s="35">
        <v>4</v>
      </c>
      <c r="F1804" s="35">
        <v>3.2</v>
      </c>
      <c r="G1804" s="16" t="s">
        <v>44</v>
      </c>
      <c r="H1804" s="16" t="s">
        <v>45</v>
      </c>
      <c r="I1804" s="16">
        <f>COUNTIF(G$5:G1804,"Y")/COUNTA(G$5:G1804)</f>
        <v>0.88055555555555554</v>
      </c>
      <c r="J1804" s="16">
        <f>COUNTIF(H$5:H1804,"Y")/COUNTA(H$5:H1804)</f>
        <v>4.8888888888888891E-2</v>
      </c>
      <c r="K1804" s="16">
        <f>AVERAGE(F$5:F1804)</f>
        <v>2.212333333333333</v>
      </c>
      <c r="L1804" s="16">
        <f>SUM(F$5:F1804)/SUM(E$5:E1804)</f>
        <v>0.76237699582647311</v>
      </c>
    </row>
    <row r="1805" spans="1:13" x14ac:dyDescent="0.25">
      <c r="A1805" s="29">
        <v>45925</v>
      </c>
      <c r="B1805" s="16" t="s">
        <v>1851</v>
      </c>
      <c r="C1805" s="34">
        <v>1</v>
      </c>
      <c r="D1805" s="16" t="s">
        <v>50</v>
      </c>
      <c r="E1805" s="35">
        <v>3.9</v>
      </c>
      <c r="F1805" s="35">
        <v>2.8</v>
      </c>
      <c r="G1805" s="16" t="s">
        <v>45</v>
      </c>
      <c r="H1805" s="16" t="s">
        <v>45</v>
      </c>
      <c r="I1805" s="16">
        <f>COUNTIF(G$5:G1805,"Y")/COUNTA(G$5:G1805)</f>
        <v>0.88006662965019433</v>
      </c>
      <c r="J1805" s="16">
        <f>COUNTIF(H$5:H1805,"Y")/COUNTA(H$5:H1805)</f>
        <v>4.886174347584675E-2</v>
      </c>
      <c r="K1805" s="16">
        <f>AVERAGE(F$5:F1805)</f>
        <v>2.2126596335369237</v>
      </c>
      <c r="L1805" s="16">
        <f>SUM(F$5:F1805)/SUM(E$5:E1805)</f>
        <v>0.76234384864078963</v>
      </c>
    </row>
    <row r="1806" spans="1:13" x14ac:dyDescent="0.25">
      <c r="A1806" s="29">
        <v>45926</v>
      </c>
      <c r="B1806" s="16" t="s">
        <v>1852</v>
      </c>
      <c r="C1806" s="34">
        <v>1</v>
      </c>
      <c r="D1806" s="16" t="s">
        <v>52</v>
      </c>
      <c r="E1806" s="35">
        <v>5.7</v>
      </c>
      <c r="F1806" s="35">
        <v>4.5</v>
      </c>
      <c r="G1806" s="16" t="s">
        <v>45</v>
      </c>
      <c r="H1806" s="16" t="s">
        <v>45</v>
      </c>
      <c r="I1806" s="16">
        <f>COUNTIF(G$5:G1806,"Y")/COUNTA(G$5:G1806)</f>
        <v>0.87957824639289683</v>
      </c>
      <c r="J1806" s="16">
        <f>COUNTIF(H$5:H1806,"Y")/COUNTA(H$5:H1806)</f>
        <v>4.8834628190899003E-2</v>
      </c>
      <c r="K1806" s="16">
        <f>AVERAGE(F$5:F1806)</f>
        <v>2.2139289678135405</v>
      </c>
      <c r="L1806" s="16">
        <f>SUM(F$5:F1806)/SUM(E$5:E1806)</f>
        <v>0.76237339957959105</v>
      </c>
    </row>
    <row r="1807" spans="1:13" x14ac:dyDescent="0.25">
      <c r="A1807" s="29">
        <v>45922</v>
      </c>
      <c r="B1807" s="16" t="s">
        <v>1853</v>
      </c>
      <c r="C1807" s="34">
        <v>1</v>
      </c>
      <c r="D1807" s="16" t="s">
        <v>50</v>
      </c>
      <c r="E1807" s="35">
        <v>4.5999999999999996</v>
      </c>
      <c r="F1807" s="35">
        <v>3.6</v>
      </c>
      <c r="G1807" s="16" t="s">
        <v>44</v>
      </c>
      <c r="H1807" s="16" t="s">
        <v>45</v>
      </c>
      <c r="I1807" s="16">
        <f>COUNTIF(G$5:G1807,"Y")/COUNTA(G$5:G1807)</f>
        <v>0.87964503605102606</v>
      </c>
      <c r="J1807" s="16">
        <f>COUNTIF(H$5:H1807,"Y")/COUNTA(H$5:H1807)</f>
        <v>4.8807542983915694E-2</v>
      </c>
      <c r="K1807" s="16">
        <f>AVERAGE(F$5:F1807)</f>
        <v>2.2146977260122021</v>
      </c>
      <c r="L1807" s="16">
        <f>SUM(F$5:F1807)/SUM(E$5:E1807)</f>
        <v>0.76239117152894453</v>
      </c>
    </row>
    <row r="1808" spans="1:13" x14ac:dyDescent="0.25">
      <c r="A1808" s="29">
        <v>45923</v>
      </c>
      <c r="B1808" s="16" t="s">
        <v>1854</v>
      </c>
      <c r="C1808" s="34">
        <v>1</v>
      </c>
      <c r="D1808" s="16" t="s">
        <v>56</v>
      </c>
      <c r="E1808" s="35">
        <v>3.2</v>
      </c>
      <c r="F1808" s="35">
        <v>2.2000000000000002</v>
      </c>
      <c r="G1808" s="16" t="s">
        <v>44</v>
      </c>
      <c r="H1808" s="16" t="s">
        <v>45</v>
      </c>
      <c r="I1808" s="16">
        <f>COUNTIF(G$5:G1808,"Y")/COUNTA(G$5:G1808)</f>
        <v>0.87971175166297122</v>
      </c>
      <c r="J1808" s="16">
        <f>COUNTIF(H$5:H1808,"Y")/COUNTA(H$5:H1808)</f>
        <v>4.878048780487805E-2</v>
      </c>
      <c r="K1808" s="16">
        <f>AVERAGE(F$5:F1808)</f>
        <v>2.2146895787139687</v>
      </c>
      <c r="L1808" s="16">
        <f>SUM(F$5:F1808)/SUM(E$5:E1808)</f>
        <v>0.76234544344374899</v>
      </c>
    </row>
    <row r="1809" spans="1:12" x14ac:dyDescent="0.25">
      <c r="A1809" s="29">
        <v>45924</v>
      </c>
      <c r="B1809" s="16" t="s">
        <v>1855</v>
      </c>
      <c r="C1809" s="34">
        <v>1</v>
      </c>
      <c r="D1809" s="16" t="s">
        <v>47</v>
      </c>
      <c r="E1809" s="35">
        <v>3.4</v>
      </c>
      <c r="F1809" s="35">
        <v>2.8</v>
      </c>
      <c r="G1809" s="16" t="s">
        <v>44</v>
      </c>
      <c r="H1809" s="16" t="s">
        <v>45</v>
      </c>
      <c r="I1809" s="16">
        <f>COUNTIF(G$5:G1809,"Y")/COUNTA(G$5:G1809)</f>
        <v>0.87977839335180053</v>
      </c>
      <c r="J1809" s="16">
        <f>COUNTIF(H$5:H1809,"Y")/COUNTA(H$5:H1809)</f>
        <v>4.8753462603878119E-2</v>
      </c>
      <c r="K1809" s="16">
        <f>AVERAGE(F$5:F1809)</f>
        <v>2.2150138504155126</v>
      </c>
      <c r="L1809" s="16">
        <f>SUM(F$5:F1809)/SUM(E$5:E1809)</f>
        <v>0.76238511117043595</v>
      </c>
    </row>
    <row r="1810" spans="1:12" x14ac:dyDescent="0.25">
      <c r="A1810" s="29">
        <v>45925</v>
      </c>
      <c r="B1810" s="16" t="s">
        <v>1856</v>
      </c>
      <c r="C1810" s="34">
        <v>1</v>
      </c>
      <c r="D1810" s="16" t="s">
        <v>43</v>
      </c>
      <c r="E1810" s="35">
        <v>5.8</v>
      </c>
      <c r="F1810" s="35">
        <v>4.5999999999999996</v>
      </c>
      <c r="G1810" s="16" t="s">
        <v>44</v>
      </c>
      <c r="H1810" s="16" t="s">
        <v>45</v>
      </c>
      <c r="I1810" s="16">
        <f>COUNTIF(G$5:G1810,"Y")/COUNTA(G$5:G1810)</f>
        <v>0.87984496124031009</v>
      </c>
      <c r="J1810" s="16">
        <f>COUNTIF(H$5:H1810,"Y")/COUNTA(H$5:H1810)</f>
        <v>4.8726467331118496E-2</v>
      </c>
      <c r="K1810" s="16">
        <f>AVERAGE(F$5:F1810)</f>
        <v>2.2163344407530454</v>
      </c>
      <c r="L1810" s="16">
        <f>SUM(F$5:F1810)/SUM(E$5:E1810)</f>
        <v>0.76241904761904755</v>
      </c>
    </row>
    <row r="1811" spans="1:12" x14ac:dyDescent="0.25">
      <c r="A1811" s="29">
        <v>45926</v>
      </c>
      <c r="B1811" s="16" t="s">
        <v>1857</v>
      </c>
      <c r="C1811" s="34">
        <v>1</v>
      </c>
      <c r="D1811" s="16" t="s">
        <v>56</v>
      </c>
      <c r="E1811" s="35">
        <v>4</v>
      </c>
      <c r="F1811" s="35">
        <v>2.9</v>
      </c>
      <c r="G1811" s="16" t="s">
        <v>44</v>
      </c>
      <c r="H1811" s="16" t="s">
        <v>45</v>
      </c>
      <c r="I1811" s="16">
        <f>COUNTIF(G$5:G1811,"Y")/COUNTA(G$5:G1811)</f>
        <v>0.87991145545102378</v>
      </c>
      <c r="J1811" s="16">
        <f>COUNTIF(H$5:H1811,"Y")/COUNTA(H$5:H1811)</f>
        <v>4.8699501936912006E-2</v>
      </c>
      <c r="K1811" s="16">
        <f>AVERAGE(F$5:F1811)</f>
        <v>2.2167127836192586</v>
      </c>
      <c r="L1811" s="16">
        <f>SUM(F$5:F1811)/SUM(E$5:E1811)</f>
        <v>0.7623905595736582</v>
      </c>
    </row>
    <row r="1812" spans="1:12" x14ac:dyDescent="0.25">
      <c r="A1812" s="29">
        <v>45922</v>
      </c>
      <c r="B1812" s="16" t="s">
        <v>1858</v>
      </c>
      <c r="C1812" s="34">
        <v>1</v>
      </c>
      <c r="D1812" s="16" t="s">
        <v>50</v>
      </c>
      <c r="E1812" s="35">
        <v>2</v>
      </c>
      <c r="F1812" s="35">
        <v>1.4</v>
      </c>
      <c r="G1812" s="16" t="s">
        <v>44</v>
      </c>
      <c r="H1812" s="16" t="s">
        <v>45</v>
      </c>
      <c r="I1812" s="16">
        <f>COUNTIF(G$5:G1812,"Y")/COUNTA(G$5:G1812)</f>
        <v>0.87997787610619471</v>
      </c>
      <c r="J1812" s="16">
        <f>COUNTIF(H$5:H1812,"Y")/COUNTA(H$5:H1812)</f>
        <v>4.8672566371681415E-2</v>
      </c>
      <c r="K1812" s="16">
        <f>AVERAGE(F$5:F1812)</f>
        <v>2.2162610619469025</v>
      </c>
      <c r="L1812" s="16">
        <f>SUM(F$5:F1812)/SUM(E$5:E1812)</f>
        <v>0.76236681887366819</v>
      </c>
    </row>
    <row r="1813" spans="1:12" x14ac:dyDescent="0.25">
      <c r="A1813" s="29">
        <v>45923</v>
      </c>
      <c r="B1813" s="16" t="s">
        <v>1859</v>
      </c>
      <c r="C1813" s="34">
        <v>1</v>
      </c>
      <c r="D1813" s="16" t="s">
        <v>52</v>
      </c>
      <c r="E1813" s="35">
        <v>4</v>
      </c>
      <c r="F1813" s="35">
        <v>3.5</v>
      </c>
      <c r="G1813" s="16" t="s">
        <v>44</v>
      </c>
      <c r="H1813" s="16" t="s">
        <v>45</v>
      </c>
      <c r="I1813" s="16">
        <f>COUNTIF(G$5:G1813,"Y")/COUNTA(G$5:G1813)</f>
        <v>0.88004422332780541</v>
      </c>
      <c r="J1813" s="16">
        <f>COUNTIF(H$5:H1813,"Y")/COUNTA(H$5:H1813)</f>
        <v>4.8645660585959094E-2</v>
      </c>
      <c r="K1813" s="16">
        <f>AVERAGE(F$5:F1813)</f>
        <v>2.2169707020453289</v>
      </c>
      <c r="L1813" s="16">
        <f>SUM(F$5:F1813)/SUM(E$5:E1813)</f>
        <v>0.76245247148288975</v>
      </c>
    </row>
    <row r="1814" spans="1:12" x14ac:dyDescent="0.25">
      <c r="A1814" s="29">
        <v>45924</v>
      </c>
      <c r="B1814" s="16" t="s">
        <v>1860</v>
      </c>
      <c r="C1814" s="34">
        <v>1</v>
      </c>
      <c r="D1814" s="16" t="s">
        <v>47</v>
      </c>
      <c r="E1814" s="35">
        <v>4.3</v>
      </c>
      <c r="F1814" s="35">
        <v>2.9</v>
      </c>
      <c r="G1814" s="16" t="s">
        <v>44</v>
      </c>
      <c r="H1814" s="16" t="s">
        <v>45</v>
      </c>
      <c r="I1814" s="16">
        <f>COUNTIF(G$5:G1814,"Y")/COUNTA(G$5:G1814)</f>
        <v>0.88011049723756907</v>
      </c>
      <c r="J1814" s="16">
        <f>COUNTIF(H$5:H1814,"Y")/COUNTA(H$5:H1814)</f>
        <v>4.861878453038674E-2</v>
      </c>
      <c r="K1814" s="16">
        <f>AVERAGE(F$5:F1814)</f>
        <v>2.2173480662983427</v>
      </c>
      <c r="L1814" s="16">
        <f>SUM(F$5:F1814)/SUM(E$5:E1814)</f>
        <v>0.7623805634177383</v>
      </c>
    </row>
    <row r="1815" spans="1:12" x14ac:dyDescent="0.25">
      <c r="A1815" s="29">
        <v>45925</v>
      </c>
      <c r="B1815" s="16" t="s">
        <v>1861</v>
      </c>
      <c r="C1815" s="34">
        <v>1</v>
      </c>
      <c r="D1815" s="16" t="s">
        <v>52</v>
      </c>
      <c r="E1815" s="35">
        <v>4.7</v>
      </c>
      <c r="F1815" s="35">
        <v>3.6</v>
      </c>
      <c r="G1815" s="16" t="s">
        <v>44</v>
      </c>
      <c r="H1815" s="16" t="s">
        <v>44</v>
      </c>
      <c r="I1815" s="16">
        <f>COUNTIF(G$5:G1815,"Y")/COUNTA(G$5:G1815)</f>
        <v>0.88017669795692988</v>
      </c>
      <c r="J1815" s="16">
        <f>COUNTIF(H$5:H1815,"Y")/COUNTA(H$5:H1815)</f>
        <v>4.9144119271120924E-2</v>
      </c>
      <c r="K1815" s="16">
        <f>AVERAGE(F$5:F1815)</f>
        <v>2.218111540585312</v>
      </c>
      <c r="L1815" s="16">
        <f>SUM(F$5:F1815)/SUM(E$5:E1815)</f>
        <v>0.76238375403302339</v>
      </c>
    </row>
    <row r="1816" spans="1:12" x14ac:dyDescent="0.25">
      <c r="A1816" s="29">
        <v>45926</v>
      </c>
      <c r="B1816" s="16" t="s">
        <v>1862</v>
      </c>
      <c r="C1816" s="34">
        <v>1</v>
      </c>
      <c r="D1816" s="16" t="s">
        <v>50</v>
      </c>
      <c r="E1816" s="35">
        <v>6.1</v>
      </c>
      <c r="F1816" s="35">
        <v>4.3</v>
      </c>
      <c r="G1816" s="16" t="s">
        <v>44</v>
      </c>
      <c r="H1816" s="16" t="s">
        <v>45</v>
      </c>
      <c r="I1816" s="16">
        <f>COUNTIF(G$5:G1816,"Y")/COUNTA(G$5:G1816)</f>
        <v>0.88024282560706402</v>
      </c>
      <c r="J1816" s="16">
        <f>COUNTIF(H$5:H1816,"Y")/COUNTA(H$5:H1816)</f>
        <v>4.9116997792494482E-2</v>
      </c>
      <c r="K1816" s="16">
        <f>AVERAGE(F$5:F1816)</f>
        <v>2.2192604856512141</v>
      </c>
      <c r="L1816" s="16">
        <f>SUM(F$5:F1816)/SUM(E$5:E1816)</f>
        <v>0.76231730204166748</v>
      </c>
    </row>
    <row r="1817" spans="1:12" x14ac:dyDescent="0.25">
      <c r="A1817" s="29">
        <v>45922</v>
      </c>
      <c r="B1817" s="16" t="s">
        <v>1863</v>
      </c>
      <c r="C1817" s="34">
        <v>1</v>
      </c>
      <c r="D1817" s="16" t="s">
        <v>60</v>
      </c>
      <c r="E1817" s="35">
        <v>5.3</v>
      </c>
      <c r="F1817" s="35">
        <v>3.9</v>
      </c>
      <c r="G1817" s="16" t="s">
        <v>44</v>
      </c>
      <c r="H1817" s="16" t="s">
        <v>45</v>
      </c>
      <c r="I1817" s="16">
        <f>COUNTIF(G$5:G1817,"Y")/COUNTA(G$5:G1817)</f>
        <v>0.88030888030888033</v>
      </c>
      <c r="J1817" s="16">
        <f>COUNTIF(H$5:H1817,"Y")/COUNTA(H$5:H1817)</f>
        <v>4.9089906232763374E-2</v>
      </c>
      <c r="K1817" s="16">
        <f>AVERAGE(F$5:F1817)</f>
        <v>2.2201875344732489</v>
      </c>
      <c r="L1817" s="16">
        <f>SUM(F$5:F1817)/SUM(E$5:E1817)</f>
        <v>0.76229073555033711</v>
      </c>
    </row>
    <row r="1818" spans="1:12" x14ac:dyDescent="0.25">
      <c r="A1818" s="29">
        <v>45923</v>
      </c>
      <c r="B1818" s="16" t="s">
        <v>1864</v>
      </c>
      <c r="C1818" s="34">
        <v>1</v>
      </c>
      <c r="D1818" s="16" t="s">
        <v>52</v>
      </c>
      <c r="E1818" s="35">
        <v>5.6</v>
      </c>
      <c r="F1818" s="35">
        <v>4</v>
      </c>
      <c r="G1818" s="16" t="s">
        <v>45</v>
      </c>
      <c r="H1818" s="16" t="s">
        <v>45</v>
      </c>
      <c r="I1818" s="16">
        <f>COUNTIF(G$5:G1818,"Y")/COUNTA(G$5:G1818)</f>
        <v>0.87982359426681367</v>
      </c>
      <c r="J1818" s="16">
        <f>COUNTIF(H$5:H1818,"Y")/COUNTA(H$5:H1818)</f>
        <v>4.906284454244763E-2</v>
      </c>
      <c r="K1818" s="16">
        <f>AVERAGE(F$5:F1818)</f>
        <v>2.2211686879823596</v>
      </c>
      <c r="L1818" s="16">
        <f>SUM(F$5:F1818)/SUM(E$5:E1818)</f>
        <v>0.76223987892546341</v>
      </c>
    </row>
    <row r="1819" spans="1:12" x14ac:dyDescent="0.25">
      <c r="A1819" s="29">
        <v>45924</v>
      </c>
      <c r="B1819" s="16" t="s">
        <v>1865</v>
      </c>
      <c r="C1819" s="34">
        <v>1</v>
      </c>
      <c r="D1819" s="16" t="s">
        <v>56</v>
      </c>
      <c r="E1819" s="35">
        <v>1.8</v>
      </c>
      <c r="F1819" s="35">
        <v>1.6</v>
      </c>
      <c r="G1819" s="16" t="s">
        <v>44</v>
      </c>
      <c r="H1819" s="16" t="s">
        <v>45</v>
      </c>
      <c r="I1819" s="16">
        <f>COUNTIF(G$5:G1819,"Y")/COUNTA(G$5:G1819)</f>
        <v>0.8798898071625344</v>
      </c>
      <c r="J1819" s="16">
        <f>COUNTIF(H$5:H1819,"Y")/COUNTA(H$5:H1819)</f>
        <v>4.9035812672176306E-2</v>
      </c>
      <c r="K1819" s="16">
        <f>AVERAGE(F$5:F1819)</f>
        <v>2.2208264462809919</v>
      </c>
      <c r="L1819" s="16">
        <f>SUM(F$5:F1819)/SUM(E$5:E1819)</f>
        <v>0.76228299103596941</v>
      </c>
    </row>
    <row r="1820" spans="1:12" x14ac:dyDescent="0.25">
      <c r="A1820" s="29">
        <v>45925</v>
      </c>
      <c r="B1820" s="16" t="s">
        <v>1866</v>
      </c>
      <c r="C1820" s="34">
        <v>1</v>
      </c>
      <c r="D1820" s="16" t="s">
        <v>47</v>
      </c>
      <c r="E1820" s="35">
        <v>5.7</v>
      </c>
      <c r="F1820" s="35">
        <v>4.0999999999999996</v>
      </c>
      <c r="G1820" s="16" t="s">
        <v>44</v>
      </c>
      <c r="H1820" s="16" t="s">
        <v>45</v>
      </c>
      <c r="I1820" s="16">
        <f>COUNTIF(G$5:G1820,"Y")/COUNTA(G$5:G1820)</f>
        <v>0.87995594713656389</v>
      </c>
      <c r="J1820" s="16">
        <f>COUNTIF(H$5:H1820,"Y")/COUNTA(H$5:H1820)</f>
        <v>4.9008810572687224E-2</v>
      </c>
      <c r="K1820" s="16">
        <f>AVERAGE(F$5:F1820)</f>
        <v>2.2218612334801762</v>
      </c>
      <c r="L1820" s="16">
        <f>SUM(F$5:F1820)/SUM(E$5:E1820)</f>
        <v>0.76223670539340693</v>
      </c>
    </row>
    <row r="1821" spans="1:12" x14ac:dyDescent="0.25">
      <c r="A1821" s="29">
        <v>45926</v>
      </c>
      <c r="B1821" s="16" t="s">
        <v>1867</v>
      </c>
      <c r="C1821" s="34">
        <v>1</v>
      </c>
      <c r="D1821" s="16" t="s">
        <v>52</v>
      </c>
      <c r="E1821" s="35">
        <v>4.5999999999999996</v>
      </c>
      <c r="F1821" s="35">
        <v>3.6</v>
      </c>
      <c r="G1821" s="16" t="s">
        <v>44</v>
      </c>
      <c r="H1821" s="16" t="s">
        <v>45</v>
      </c>
      <c r="I1821" s="16">
        <f>COUNTIF(G$5:G1821,"Y")/COUNTA(G$5:G1821)</f>
        <v>0.88002201430930105</v>
      </c>
      <c r="J1821" s="16">
        <f>COUNTIF(H$5:H1821,"Y")/COUNTA(H$5:H1821)</f>
        <v>4.8981838194826641E-2</v>
      </c>
      <c r="K1821" s="16">
        <f>AVERAGE(F$5:F1821)</f>
        <v>2.2226197028068246</v>
      </c>
      <c r="L1821" s="16">
        <f>SUM(F$5:F1821)/SUM(E$5:E1821)</f>
        <v>0.76225439308431309</v>
      </c>
    </row>
    <row r="1822" spans="1:12" x14ac:dyDescent="0.25">
      <c r="A1822" s="29">
        <v>45922</v>
      </c>
      <c r="B1822" s="16" t="s">
        <v>1868</v>
      </c>
      <c r="C1822" s="34">
        <v>1</v>
      </c>
      <c r="D1822" s="16" t="s">
        <v>60</v>
      </c>
      <c r="E1822" s="35">
        <v>5.9</v>
      </c>
      <c r="F1822" s="35">
        <v>4</v>
      </c>
      <c r="G1822" s="16" t="s">
        <v>44</v>
      </c>
      <c r="H1822" s="16" t="s">
        <v>45</v>
      </c>
      <c r="I1822" s="16">
        <f>COUNTIF(G$5:G1822,"Y")/COUNTA(G$5:G1822)</f>
        <v>0.88008800880088012</v>
      </c>
      <c r="J1822" s="16">
        <f>COUNTIF(H$5:H1822,"Y")/COUNTA(H$5:H1822)</f>
        <v>4.8954895489548955E-2</v>
      </c>
      <c r="K1822" s="16">
        <f>AVERAGE(F$5:F1822)</f>
        <v>2.2235973597359737</v>
      </c>
      <c r="L1822" s="16">
        <f>SUM(F$5:F1822)/SUM(E$5:E1822)</f>
        <v>0.76216063348416274</v>
      </c>
    </row>
    <row r="1823" spans="1:12" x14ac:dyDescent="0.25">
      <c r="A1823" s="29">
        <v>45923</v>
      </c>
      <c r="B1823" s="16" t="s">
        <v>1869</v>
      </c>
      <c r="C1823" s="34">
        <v>1</v>
      </c>
      <c r="D1823" s="16" t="s">
        <v>60</v>
      </c>
      <c r="E1823" s="35">
        <v>3</v>
      </c>
      <c r="F1823" s="35">
        <v>2.5</v>
      </c>
      <c r="G1823" s="16" t="s">
        <v>44</v>
      </c>
      <c r="H1823" s="16" t="s">
        <v>45</v>
      </c>
      <c r="I1823" s="16">
        <f>COUNTIF(G$5:G1823,"Y")/COUNTA(G$5:G1823)</f>
        <v>0.88015393073117099</v>
      </c>
      <c r="J1823" s="16">
        <f>COUNTIF(H$5:H1823,"Y")/COUNTA(H$5:H1823)</f>
        <v>4.8927982407916439E-2</v>
      </c>
      <c r="K1823" s="16">
        <f>AVERAGE(F$5:F1823)</f>
        <v>2.223749312809236</v>
      </c>
      <c r="L1823" s="16">
        <f>SUM(F$5:F1823)/SUM(E$5:E1823)</f>
        <v>0.76220086677972476</v>
      </c>
    </row>
    <row r="1824" spans="1:12" x14ac:dyDescent="0.25">
      <c r="A1824" s="29">
        <v>45924</v>
      </c>
      <c r="B1824" s="16" t="s">
        <v>1870</v>
      </c>
      <c r="C1824" s="34">
        <v>1</v>
      </c>
      <c r="D1824" s="16" t="s">
        <v>43</v>
      </c>
      <c r="E1824" s="35">
        <v>5.5</v>
      </c>
      <c r="F1824" s="35">
        <v>3.9</v>
      </c>
      <c r="G1824" s="16" t="s">
        <v>44</v>
      </c>
      <c r="H1824" s="16" t="s">
        <v>44</v>
      </c>
      <c r="I1824" s="16">
        <f>COUNTIF(G$5:G1824,"Y")/COUNTA(G$5:G1824)</f>
        <v>0.8802197802197802</v>
      </c>
      <c r="J1824" s="16">
        <f>COUNTIF(H$5:H1824,"Y")/COUNTA(H$5:H1824)</f>
        <v>4.9450549450549448E-2</v>
      </c>
      <c r="K1824" s="16">
        <f>AVERAGE(F$5:F1824)</f>
        <v>2.2246703296703298</v>
      </c>
      <c r="L1824" s="16">
        <f>SUM(F$5:F1824)/SUM(E$5:E1824)</f>
        <v>0.76214588235294112</v>
      </c>
    </row>
    <row r="1825" spans="1:13" x14ac:dyDescent="0.25">
      <c r="A1825" s="29">
        <v>45925</v>
      </c>
      <c r="B1825" s="16" t="s">
        <v>1871</v>
      </c>
      <c r="C1825" s="34">
        <v>1</v>
      </c>
      <c r="D1825" s="16" t="s">
        <v>52</v>
      </c>
      <c r="E1825" s="35">
        <v>1.7</v>
      </c>
      <c r="F1825" s="35">
        <v>1.3</v>
      </c>
      <c r="G1825" s="16" t="s">
        <v>44</v>
      </c>
      <c r="H1825" s="16" t="s">
        <v>45</v>
      </c>
      <c r="I1825" s="16">
        <f>COUNTIF(G$5:G1825,"Y")/COUNTA(G$5:G1825)</f>
        <v>0.88028555738605163</v>
      </c>
      <c r="J1825" s="16">
        <f>COUNTIF(H$5:H1825,"Y")/COUNTA(H$5:H1825)</f>
        <v>4.9423393739703461E-2</v>
      </c>
      <c r="K1825" s="16">
        <f>AVERAGE(F$5:F1825)</f>
        <v>2.224162548050522</v>
      </c>
      <c r="L1825" s="16">
        <f>SUM(F$5:F1825)/SUM(E$5:E1825)</f>
        <v>0.76214670129088102</v>
      </c>
    </row>
    <row r="1826" spans="1:13" x14ac:dyDescent="0.25">
      <c r="A1826" s="29">
        <v>45926</v>
      </c>
      <c r="B1826" s="16" t="s">
        <v>1872</v>
      </c>
      <c r="C1826" s="34">
        <v>1</v>
      </c>
      <c r="D1826" s="16" t="s">
        <v>47</v>
      </c>
      <c r="E1826" s="35">
        <v>4.5999999999999996</v>
      </c>
      <c r="F1826" s="35">
        <v>3.5</v>
      </c>
      <c r="G1826" s="16" t="s">
        <v>44</v>
      </c>
      <c r="H1826" s="16" t="s">
        <v>45</v>
      </c>
      <c r="I1826" s="16">
        <f>COUNTIF(G$5:G1826,"Y")/COUNTA(G$5:G1826)</f>
        <v>0.88035126234906691</v>
      </c>
      <c r="J1826" s="16">
        <f>COUNTIF(H$5:H1826,"Y")/COUNTA(H$5:H1826)</f>
        <v>4.9396267837541162E-2</v>
      </c>
      <c r="K1826" s="16">
        <f>AVERAGE(F$5:F1826)</f>
        <v>2.2248627881448959</v>
      </c>
      <c r="L1826" s="16">
        <f>SUM(F$5:F1826)/SUM(E$5:E1826)</f>
        <v>0.76214559675114679</v>
      </c>
    </row>
    <row r="1827" spans="1:13" x14ac:dyDescent="0.25">
      <c r="A1827" s="29">
        <v>45922</v>
      </c>
      <c r="B1827" s="16" t="s">
        <v>1873</v>
      </c>
      <c r="C1827" s="34">
        <v>1</v>
      </c>
      <c r="D1827" s="16" t="s">
        <v>64</v>
      </c>
      <c r="E1827" s="35">
        <v>0.6</v>
      </c>
      <c r="F1827" s="35">
        <v>0.5</v>
      </c>
      <c r="G1827" s="16" t="s">
        <v>44</v>
      </c>
      <c r="H1827" s="16" t="s">
        <v>45</v>
      </c>
      <c r="I1827" s="16">
        <f>COUNTIF(G$5:G1827,"Y")/COUNTA(G$5:G1827)</f>
        <v>0.88041689522764677</v>
      </c>
      <c r="J1827" s="16">
        <f>COUNTIF(H$5:H1827,"Y")/COUNTA(H$5:H1827)</f>
        <v>4.9369171695008228E-2</v>
      </c>
      <c r="K1827" s="16">
        <f>AVERAGE(F$5:F1827)</f>
        <v>2.223916620954471</v>
      </c>
      <c r="L1827" s="16">
        <f>SUM(F$5:F1827)/SUM(E$5:E1827)</f>
        <v>0.76215362634883621</v>
      </c>
    </row>
    <row r="1828" spans="1:13" x14ac:dyDescent="0.25">
      <c r="A1828" s="29">
        <v>45923</v>
      </c>
      <c r="B1828" s="16" t="s">
        <v>1874</v>
      </c>
      <c r="C1828" s="34">
        <v>1</v>
      </c>
      <c r="D1828" s="16" t="s">
        <v>43</v>
      </c>
      <c r="E1828" s="35">
        <v>0.8</v>
      </c>
      <c r="F1828" s="35">
        <v>0.5</v>
      </c>
      <c r="G1828" s="16" t="s">
        <v>44</v>
      </c>
      <c r="H1828" s="16" t="s">
        <v>45</v>
      </c>
      <c r="I1828" s="16">
        <f>COUNTIF(G$5:G1828,"Y")/COUNTA(G$5:G1828)</f>
        <v>0.88048245614035092</v>
      </c>
      <c r="J1828" s="16">
        <f>COUNTIF(H$5:H1828,"Y")/COUNTA(H$5:H1828)</f>
        <v>4.9342105263157895E-2</v>
      </c>
      <c r="K1828" s="16">
        <f>AVERAGE(F$5:F1828)</f>
        <v>2.2229714912280705</v>
      </c>
      <c r="L1828" s="16">
        <f>SUM(F$5:F1828)/SUM(E$5:E1828)</f>
        <v>0.76213300251870209</v>
      </c>
    </row>
    <row r="1829" spans="1:13" x14ac:dyDescent="0.25">
      <c r="A1829" s="29">
        <v>45924</v>
      </c>
      <c r="B1829" s="16" t="s">
        <v>1875</v>
      </c>
      <c r="C1829" s="34">
        <v>1</v>
      </c>
      <c r="D1829" s="16" t="s">
        <v>60</v>
      </c>
      <c r="E1829" s="35">
        <v>0.6</v>
      </c>
      <c r="F1829" s="35">
        <v>0.5</v>
      </c>
      <c r="G1829" s="16" t="s">
        <v>44</v>
      </c>
      <c r="H1829" s="16" t="s">
        <v>45</v>
      </c>
      <c r="I1829" s="16">
        <f>COUNTIF(G$5:G1829,"Y")/COUNTA(G$5:G1829)</f>
        <v>0.88054794520547941</v>
      </c>
      <c r="J1829" s="16">
        <f>COUNTIF(H$5:H1829,"Y")/COUNTA(H$5:H1829)</f>
        <v>4.9315068493150684E-2</v>
      </c>
      <c r="K1829" s="16">
        <f>AVERAGE(F$5:F1829)</f>
        <v>2.2220273972602742</v>
      </c>
      <c r="L1829" s="16">
        <f>SUM(F$5:F1829)/SUM(E$5:E1829)</f>
        <v>0.76214103142384582</v>
      </c>
    </row>
    <row r="1830" spans="1:13" x14ac:dyDescent="0.25">
      <c r="A1830" s="29">
        <v>45925</v>
      </c>
      <c r="B1830" s="16" t="s">
        <v>1876</v>
      </c>
      <c r="C1830" s="34">
        <v>1</v>
      </c>
      <c r="D1830" s="16" t="s">
        <v>47</v>
      </c>
      <c r="E1830" s="35">
        <v>0.6</v>
      </c>
      <c r="F1830" s="35">
        <v>0.5</v>
      </c>
      <c r="G1830" s="16" t="s">
        <v>44</v>
      </c>
      <c r="H1830" s="16" t="s">
        <v>45</v>
      </c>
      <c r="I1830" s="16">
        <f>COUNTIF(G$5:G1830,"Y")/COUNTA(G$5:G1830)</f>
        <v>0.88061336254107336</v>
      </c>
      <c r="J1830" s="16">
        <f>COUNTIF(H$5:H1830,"Y")/COUNTA(H$5:H1830)</f>
        <v>4.9288061336254109E-2</v>
      </c>
      <c r="K1830" s="16">
        <f>AVERAGE(F$5:F1830)</f>
        <v>2.2210843373493976</v>
      </c>
      <c r="L1830" s="16">
        <f>SUM(F$5:F1830)/SUM(E$5:E1830)</f>
        <v>0.76214905851843473</v>
      </c>
    </row>
    <row r="1831" spans="1:13" x14ac:dyDescent="0.25">
      <c r="A1831" s="29">
        <v>45926</v>
      </c>
      <c r="B1831" s="16" t="s">
        <v>1877</v>
      </c>
      <c r="C1831" s="34">
        <v>1</v>
      </c>
      <c r="D1831" s="16" t="s">
        <v>47</v>
      </c>
      <c r="E1831" s="35">
        <v>0.6</v>
      </c>
      <c r="F1831" s="35">
        <v>0.5</v>
      </c>
      <c r="G1831" s="16" t="s">
        <v>44</v>
      </c>
      <c r="H1831" s="16" t="s">
        <v>45</v>
      </c>
      <c r="I1831" s="16">
        <f>COUNTIF(G$5:G1831,"Y")/COUNTA(G$5:G1831)</f>
        <v>0.88067870826491512</v>
      </c>
      <c r="J1831" s="16">
        <f>COUNTIF(H$5:H1831,"Y")/COUNTA(H$5:H1831)</f>
        <v>4.9261083743842367E-2</v>
      </c>
      <c r="K1831" s="16">
        <f>AVERAGE(F$5:F1831)</f>
        <v>2.2201423097974824</v>
      </c>
      <c r="L1831" s="16">
        <f>SUM(F$5:F1831)/SUM(E$5:E1831)</f>
        <v>0.76215708380308123</v>
      </c>
    </row>
    <row r="1832" spans="1:13" x14ac:dyDescent="0.25">
      <c r="A1832" s="29">
        <v>45922</v>
      </c>
      <c r="B1832" s="16" t="s">
        <v>1878</v>
      </c>
      <c r="C1832" s="34">
        <v>1</v>
      </c>
      <c r="D1832" s="16" t="s">
        <v>47</v>
      </c>
      <c r="E1832" s="35">
        <v>0.6</v>
      </c>
      <c r="F1832" s="35">
        <v>0.5</v>
      </c>
      <c r="G1832" s="16" t="s">
        <v>44</v>
      </c>
      <c r="H1832" s="16" t="s">
        <v>45</v>
      </c>
      <c r="I1832" s="16">
        <f>COUNTIF(G$5:G1832,"Y")/COUNTA(G$5:G1832)</f>
        <v>0.88074398249452956</v>
      </c>
      <c r="J1832" s="16">
        <f>COUNTIF(H$5:H1832,"Y")/COUNTA(H$5:H1832)</f>
        <v>4.923413566739606E-2</v>
      </c>
      <c r="K1832" s="16">
        <f>AVERAGE(F$5:F1832)</f>
        <v>2.2192013129102848</v>
      </c>
      <c r="L1832" s="16">
        <f>SUM(F$5:F1832)/SUM(E$5:E1832)</f>
        <v>0.76216510727839737</v>
      </c>
    </row>
    <row r="1833" spans="1:13" x14ac:dyDescent="0.25">
      <c r="A1833" s="29">
        <v>45923</v>
      </c>
      <c r="B1833" s="16" t="s">
        <v>1879</v>
      </c>
      <c r="C1833" s="34">
        <v>1</v>
      </c>
      <c r="D1833" s="16" t="s">
        <v>47</v>
      </c>
      <c r="E1833" s="35">
        <v>0.7</v>
      </c>
      <c r="F1833" s="35">
        <v>0.5</v>
      </c>
      <c r="G1833" s="16" t="s">
        <v>44</v>
      </c>
      <c r="H1833" s="16" t="s">
        <v>45</v>
      </c>
      <c r="I1833" s="16">
        <f>COUNTIF(G$5:G1833,"Y")/COUNTA(G$5:G1833)</f>
        <v>0.88080918534718422</v>
      </c>
      <c r="J1833" s="16">
        <f>COUNTIF(H$5:H1833,"Y")/COUNTA(H$5:H1833)</f>
        <v>4.9207217058501916E-2</v>
      </c>
      <c r="K1833" s="16">
        <f>AVERAGE(F$5:F1833)</f>
        <v>2.2182613449972663</v>
      </c>
      <c r="L1833" s="16">
        <f>SUM(F$5:F1833)/SUM(E$5:E1833)</f>
        <v>0.76215881126368945</v>
      </c>
    </row>
    <row r="1834" spans="1:13" x14ac:dyDescent="0.25">
      <c r="A1834" s="29">
        <v>45924</v>
      </c>
      <c r="B1834" s="16" t="s">
        <v>1880</v>
      </c>
      <c r="C1834" s="34">
        <v>1</v>
      </c>
      <c r="D1834" s="16" t="s">
        <v>43</v>
      </c>
      <c r="E1834" s="35">
        <v>1.4</v>
      </c>
      <c r="F1834" s="35">
        <v>0.5</v>
      </c>
      <c r="G1834" s="16" t="s">
        <v>44</v>
      </c>
      <c r="H1834" s="16" t="s">
        <v>45</v>
      </c>
      <c r="I1834" s="16">
        <f>COUNTIF(G$5:G1834,"Y")/COUNTA(G$5:G1834)</f>
        <v>0.88087431693989071</v>
      </c>
      <c r="J1834" s="16">
        <f>COUNTIF(H$5:H1834,"Y")/COUNTA(H$5:H1834)</f>
        <v>4.9180327868852458E-2</v>
      </c>
      <c r="K1834" s="16">
        <f>AVERAGE(F$5:F1834)</f>
        <v>2.2173224043715849</v>
      </c>
      <c r="L1834" s="16">
        <f>SUM(F$5:F1834)/SUM(E$5:E1834)</f>
        <v>0.76205232219655539</v>
      </c>
      <c r="M1834" s="16">
        <v>15</v>
      </c>
    </row>
    <row r="1835" spans="1:13" x14ac:dyDescent="0.25">
      <c r="A1835" s="29">
        <v>45929</v>
      </c>
      <c r="B1835" s="16" t="s">
        <v>1881</v>
      </c>
      <c r="C1835" s="34">
        <v>1</v>
      </c>
      <c r="D1835" s="16" t="s">
        <v>64</v>
      </c>
      <c r="E1835" s="35">
        <v>2.8</v>
      </c>
      <c r="F1835" s="35">
        <v>1.9</v>
      </c>
      <c r="G1835" s="16" t="s">
        <v>44</v>
      </c>
      <c r="H1835" s="16" t="s">
        <v>44</v>
      </c>
      <c r="I1835" s="16">
        <f>COUNTIF(G$5:G1835,"Y")/COUNTA(G$5:G1835)</f>
        <v>0.88093937738940464</v>
      </c>
      <c r="J1835" s="16">
        <f>COUNTIF(H$5:H1835,"Y")/COUNTA(H$5:H1835)</f>
        <v>4.9699617695248499E-2</v>
      </c>
      <c r="K1835" s="16">
        <f>AVERAGE(F$5:F1835)</f>
        <v>2.2171490988530858</v>
      </c>
      <c r="L1835" s="16">
        <f>SUM(F$5:F1835)/SUM(E$5:E1835)</f>
        <v>0.76200844673862</v>
      </c>
    </row>
    <row r="1836" spans="1:13" x14ac:dyDescent="0.25">
      <c r="A1836" s="29">
        <v>45930</v>
      </c>
      <c r="B1836" s="16" t="s">
        <v>1882</v>
      </c>
      <c r="C1836" s="34">
        <v>1</v>
      </c>
      <c r="D1836" s="16" t="s">
        <v>56</v>
      </c>
      <c r="E1836" s="35">
        <v>1.4</v>
      </c>
      <c r="F1836" s="35">
        <v>1.2</v>
      </c>
      <c r="G1836" s="16" t="s">
        <v>45</v>
      </c>
      <c r="H1836" s="16" t="s">
        <v>45</v>
      </c>
      <c r="I1836" s="16">
        <f>COUNTIF(G$5:G1836,"Y")/COUNTA(G$5:G1836)</f>
        <v>0.88045851528384278</v>
      </c>
      <c r="J1836" s="16">
        <f>COUNTIF(H$5:H1836,"Y")/COUNTA(H$5:H1836)</f>
        <v>4.967248908296943E-2</v>
      </c>
      <c r="K1836" s="16">
        <f>AVERAGE(F$5:F1836)</f>
        <v>2.2165938864628822</v>
      </c>
      <c r="L1836" s="16">
        <f>SUM(F$5:F1836)/SUM(E$5:E1836)</f>
        <v>0.76203344029724673</v>
      </c>
    </row>
    <row r="1837" spans="1:13" x14ac:dyDescent="0.25">
      <c r="A1837" s="29">
        <v>45931</v>
      </c>
      <c r="B1837" s="16" t="s">
        <v>1883</v>
      </c>
      <c r="C1837" s="34">
        <v>1</v>
      </c>
      <c r="D1837" s="16" t="s">
        <v>47</v>
      </c>
      <c r="E1837" s="35">
        <v>4.7</v>
      </c>
      <c r="F1837" s="35">
        <v>3.6</v>
      </c>
      <c r="G1837" s="16" t="s">
        <v>44</v>
      </c>
      <c r="H1837" s="16" t="s">
        <v>45</v>
      </c>
      <c r="I1837" s="16">
        <f>COUNTIF(G$5:G1837,"Y")/COUNTA(G$5:G1837)</f>
        <v>0.88052373158756136</v>
      </c>
      <c r="J1837" s="16">
        <f>COUNTIF(H$5:H1837,"Y")/COUNTA(H$5:H1837)</f>
        <v>4.9645390070921988E-2</v>
      </c>
      <c r="K1837" s="16">
        <f>AVERAGE(F$5:F1837)</f>
        <v>2.2173486088379706</v>
      </c>
      <c r="L1837" s="16">
        <f>SUM(F$5:F1837)/SUM(E$5:E1837)</f>
        <v>0.7620368981550919</v>
      </c>
    </row>
    <row r="1838" spans="1:13" x14ac:dyDescent="0.25">
      <c r="A1838" s="29">
        <v>45932</v>
      </c>
      <c r="B1838" s="16" t="s">
        <v>1884</v>
      </c>
      <c r="C1838" s="34">
        <v>1</v>
      </c>
      <c r="D1838" s="16" t="s">
        <v>52</v>
      </c>
      <c r="E1838" s="35">
        <v>2.6</v>
      </c>
      <c r="F1838" s="35">
        <v>1.9</v>
      </c>
      <c r="G1838" s="16" t="s">
        <v>44</v>
      </c>
      <c r="H1838" s="16" t="s">
        <v>45</v>
      </c>
      <c r="I1838" s="16">
        <f>COUNTIF(G$5:G1838,"Y")/COUNTA(G$5:G1838)</f>
        <v>0.88058887677208286</v>
      </c>
      <c r="J1838" s="16">
        <f>COUNTIF(H$5:H1838,"Y")/COUNTA(H$5:H1838)</f>
        <v>4.9618320610687022E-2</v>
      </c>
      <c r="K1838" s="16">
        <f>AVERAGE(F$5:F1838)</f>
        <v>2.2171755725190843</v>
      </c>
      <c r="L1838" s="16">
        <f>SUM(F$5:F1838)/SUM(E$5:E1838)</f>
        <v>0.7620216633559459</v>
      </c>
    </row>
    <row r="1839" spans="1:13" x14ac:dyDescent="0.25">
      <c r="A1839" s="29">
        <v>45933</v>
      </c>
      <c r="B1839" s="16" t="s">
        <v>1885</v>
      </c>
      <c r="C1839" s="34">
        <v>1</v>
      </c>
      <c r="D1839" s="16" t="s">
        <v>60</v>
      </c>
      <c r="E1839" s="35">
        <v>1.7</v>
      </c>
      <c r="F1839" s="35">
        <v>1.2</v>
      </c>
      <c r="G1839" s="16" t="s">
        <v>44</v>
      </c>
      <c r="H1839" s="16" t="s">
        <v>45</v>
      </c>
      <c r="I1839" s="16">
        <f>COUNTIF(G$5:G1839,"Y")/COUNTA(G$5:G1839)</f>
        <v>0.88065395095367849</v>
      </c>
      <c r="J1839" s="16">
        <f>COUNTIF(H$5:H1839,"Y")/COUNTA(H$5:H1839)</f>
        <v>4.959128065395095E-2</v>
      </c>
      <c r="K1839" s="16">
        <f>AVERAGE(F$5:F1839)</f>
        <v>2.2166212534059944</v>
      </c>
      <c r="L1839" s="16">
        <f>SUM(F$5:F1839)/SUM(E$5:E1839)</f>
        <v>0.76200378425972726</v>
      </c>
    </row>
    <row r="1840" spans="1:13" x14ac:dyDescent="0.25">
      <c r="A1840" s="29">
        <v>45929</v>
      </c>
      <c r="B1840" s="16" t="s">
        <v>1886</v>
      </c>
      <c r="C1840" s="34">
        <v>1</v>
      </c>
      <c r="D1840" s="16" t="s">
        <v>60</v>
      </c>
      <c r="E1840" s="35">
        <v>3.3</v>
      </c>
      <c r="F1840" s="35">
        <v>2.6</v>
      </c>
      <c r="G1840" s="16" t="s">
        <v>44</v>
      </c>
      <c r="H1840" s="16" t="s">
        <v>45</v>
      </c>
      <c r="I1840" s="16">
        <f>COUNTIF(G$5:G1840,"Y")/COUNTA(G$5:G1840)</f>
        <v>0.88071895424836599</v>
      </c>
      <c r="J1840" s="16">
        <f>COUNTIF(H$5:H1840,"Y")/COUNTA(H$5:H1840)</f>
        <v>4.9564270152505446E-2</v>
      </c>
      <c r="K1840" s="16">
        <f>AVERAGE(F$5:F1840)</f>
        <v>2.2168300653594772</v>
      </c>
      <c r="L1840" s="16">
        <f>SUM(F$5:F1840)/SUM(E$5:E1840)</f>
        <v>0.76201977083801353</v>
      </c>
    </row>
    <row r="1841" spans="1:12" x14ac:dyDescent="0.25">
      <c r="A1841" s="29">
        <v>45930</v>
      </c>
      <c r="B1841" s="16" t="s">
        <v>1887</v>
      </c>
      <c r="C1841" s="34">
        <v>1</v>
      </c>
      <c r="D1841" s="16" t="s">
        <v>56</v>
      </c>
      <c r="E1841" s="35">
        <v>2.5</v>
      </c>
      <c r="F1841" s="35">
        <v>2.1</v>
      </c>
      <c r="G1841" s="16" t="s">
        <v>44</v>
      </c>
      <c r="H1841" s="16" t="s">
        <v>45</v>
      </c>
      <c r="I1841" s="16">
        <f>COUNTIF(G$5:G1841,"Y")/COUNTA(G$5:G1841)</f>
        <v>0.88078388677191077</v>
      </c>
      <c r="J1841" s="16">
        <f>COUNTIF(H$5:H1841,"Y")/COUNTA(H$5:H1841)</f>
        <v>4.9537289058247141E-2</v>
      </c>
      <c r="K1841" s="16">
        <f>AVERAGE(F$5:F1841)</f>
        <v>2.216766467065868</v>
      </c>
      <c r="L1841" s="16">
        <f>SUM(F$5:F1841)/SUM(E$5:E1841)</f>
        <v>0.76205625315792391</v>
      </c>
    </row>
    <row r="1842" spans="1:12" x14ac:dyDescent="0.25">
      <c r="A1842" s="29">
        <v>45931</v>
      </c>
      <c r="B1842" s="16" t="s">
        <v>1888</v>
      </c>
      <c r="C1842" s="34">
        <v>1</v>
      </c>
      <c r="D1842" s="16" t="s">
        <v>52</v>
      </c>
      <c r="E1842" s="35">
        <v>3.8</v>
      </c>
      <c r="F1842" s="35">
        <v>3.1</v>
      </c>
      <c r="G1842" s="16" t="s">
        <v>44</v>
      </c>
      <c r="H1842" s="16" t="s">
        <v>45</v>
      </c>
      <c r="I1842" s="16">
        <f>COUNTIF(G$5:G1842,"Y")/COUNTA(G$5:G1842)</f>
        <v>0.88084874863982587</v>
      </c>
      <c r="J1842" s="16">
        <f>COUNTIF(H$5:H1842,"Y")/COUNTA(H$5:H1842)</f>
        <v>4.9510337323177368E-2</v>
      </c>
      <c r="K1842" s="16">
        <f>AVERAGE(F$5:F1842)</f>
        <v>2.217247007616975</v>
      </c>
      <c r="L1842" s="16">
        <f>SUM(F$5:F1842)/SUM(E$5:E1842)</f>
        <v>0.76209443665264098</v>
      </c>
    </row>
    <row r="1843" spans="1:12" x14ac:dyDescent="0.25">
      <c r="A1843" s="29">
        <v>45932</v>
      </c>
      <c r="B1843" s="16" t="s">
        <v>1889</v>
      </c>
      <c r="C1843" s="34">
        <v>1</v>
      </c>
      <c r="D1843" s="16" t="s">
        <v>60</v>
      </c>
      <c r="E1843" s="35">
        <v>3.8</v>
      </c>
      <c r="F1843" s="35">
        <v>2.7</v>
      </c>
      <c r="G1843" s="16" t="s">
        <v>44</v>
      </c>
      <c r="H1843" s="16" t="s">
        <v>45</v>
      </c>
      <c r="I1843" s="16">
        <f>COUNTIF(G$5:G1843,"Y")/COUNTA(G$5:G1843)</f>
        <v>0.88091353996737354</v>
      </c>
      <c r="J1843" s="16">
        <f>COUNTIF(H$5:H1843,"Y")/COUNTA(H$5:H1843)</f>
        <v>4.9483414899401848E-2</v>
      </c>
      <c r="K1843" s="16">
        <f>AVERAGE(F$5:F1843)</f>
        <v>2.2175095160413267</v>
      </c>
      <c r="L1843" s="16">
        <f>SUM(F$5:F1843)/SUM(E$5:E1843)</f>
        <v>0.76205781772653325</v>
      </c>
    </row>
    <row r="1844" spans="1:12" x14ac:dyDescent="0.25">
      <c r="A1844" s="29">
        <v>45933</v>
      </c>
      <c r="B1844" s="16" t="s">
        <v>1890</v>
      </c>
      <c r="C1844" s="34">
        <v>1</v>
      </c>
      <c r="D1844" s="16" t="s">
        <v>50</v>
      </c>
      <c r="E1844" s="35">
        <v>1.4</v>
      </c>
      <c r="F1844" s="35">
        <v>1.1000000000000001</v>
      </c>
      <c r="G1844" s="16" t="s">
        <v>44</v>
      </c>
      <c r="H1844" s="16" t="s">
        <v>45</v>
      </c>
      <c r="I1844" s="16">
        <f>COUNTIF(G$5:G1844,"Y")/COUNTA(G$5:G1844)</f>
        <v>0.88097826086956521</v>
      </c>
      <c r="J1844" s="16">
        <f>COUNTIF(H$5:H1844,"Y")/COUNTA(H$5:H1844)</f>
        <v>4.9456521739130434E-2</v>
      </c>
      <c r="K1844" s="16">
        <f>AVERAGE(F$5:F1844)</f>
        <v>2.2169021739130432</v>
      </c>
      <c r="L1844" s="16">
        <f>SUM(F$5:F1844)/SUM(E$5:E1844)</f>
        <v>0.76206400508154715</v>
      </c>
    </row>
    <row r="1845" spans="1:12" x14ac:dyDescent="0.25">
      <c r="A1845" s="29">
        <v>45929</v>
      </c>
      <c r="B1845" s="16" t="s">
        <v>1891</v>
      </c>
      <c r="C1845" s="34">
        <v>1</v>
      </c>
      <c r="D1845" s="16" t="s">
        <v>52</v>
      </c>
      <c r="E1845" s="35">
        <v>4.8</v>
      </c>
      <c r="F1845" s="35">
        <v>3.2</v>
      </c>
      <c r="G1845" s="16" t="s">
        <v>44</v>
      </c>
      <c r="H1845" s="16" t="s">
        <v>45</v>
      </c>
      <c r="I1845" s="16">
        <f>COUNTIF(G$5:G1845,"Y")/COUNTA(G$5:G1845)</f>
        <v>0.88104291146116243</v>
      </c>
      <c r="J1845" s="16">
        <f>COUNTIF(H$5:H1845,"Y")/COUNTA(H$5:H1845)</f>
        <v>4.9429657794676805E-2</v>
      </c>
      <c r="K1845" s="16">
        <f>AVERAGE(F$5:F1845)</f>
        <v>2.2174361759913088</v>
      </c>
      <c r="L1845" s="16">
        <f>SUM(F$5:F1845)/SUM(E$5:E1845)</f>
        <v>0.76197853476434851</v>
      </c>
    </row>
    <row r="1846" spans="1:12" x14ac:dyDescent="0.25">
      <c r="A1846" s="29">
        <v>45930</v>
      </c>
      <c r="B1846" s="16" t="s">
        <v>1892</v>
      </c>
      <c r="C1846" s="34">
        <v>1</v>
      </c>
      <c r="D1846" s="16" t="s">
        <v>56</v>
      </c>
      <c r="E1846" s="35">
        <v>3.5</v>
      </c>
      <c r="F1846" s="35">
        <v>2.7</v>
      </c>
      <c r="G1846" s="16" t="s">
        <v>44</v>
      </c>
      <c r="H1846" s="16" t="s">
        <v>45</v>
      </c>
      <c r="I1846" s="16">
        <f>COUNTIF(G$5:G1846,"Y")/COUNTA(G$5:G1846)</f>
        <v>0.88110749185667747</v>
      </c>
      <c r="J1846" s="16">
        <f>COUNTIF(H$5:H1846,"Y")/COUNTA(H$5:H1846)</f>
        <v>4.9402823018458199E-2</v>
      </c>
      <c r="K1846" s="16">
        <f>AVERAGE(F$5:F1846)</f>
        <v>2.2176981541802383</v>
      </c>
      <c r="L1846" s="16">
        <f>SUM(F$5:F1846)/SUM(E$5:E1846)</f>
        <v>0.76198470434620347</v>
      </c>
    </row>
    <row r="1847" spans="1:12" x14ac:dyDescent="0.25">
      <c r="A1847" s="29">
        <v>45931</v>
      </c>
      <c r="B1847" s="16" t="s">
        <v>1893</v>
      </c>
      <c r="C1847" s="34">
        <v>1</v>
      </c>
      <c r="D1847" s="16" t="s">
        <v>50</v>
      </c>
      <c r="E1847" s="35">
        <v>5.2</v>
      </c>
      <c r="F1847" s="35">
        <v>3.6</v>
      </c>
      <c r="G1847" s="16" t="s">
        <v>45</v>
      </c>
      <c r="H1847" s="16" t="s">
        <v>45</v>
      </c>
      <c r="I1847" s="16">
        <f>COUNTIF(G$5:G1847,"Y")/COUNTA(G$5:G1847)</f>
        <v>0.88062940857297889</v>
      </c>
      <c r="J1847" s="16">
        <f>COUNTIF(H$5:H1847,"Y")/COUNTA(H$5:H1847)</f>
        <v>4.9376017362995114E-2</v>
      </c>
      <c r="K1847" s="16">
        <f>AVERAGE(F$5:F1847)</f>
        <v>2.2184481823114481</v>
      </c>
      <c r="L1847" s="16">
        <f>SUM(F$5:F1847)/SUM(E$5:E1847)</f>
        <v>0.76191718534530894</v>
      </c>
    </row>
    <row r="1848" spans="1:12" x14ac:dyDescent="0.25">
      <c r="A1848" s="29">
        <v>45932</v>
      </c>
      <c r="B1848" s="16" t="s">
        <v>1894</v>
      </c>
      <c r="C1848" s="34">
        <v>1</v>
      </c>
      <c r="D1848" s="16" t="s">
        <v>56</v>
      </c>
      <c r="E1848" s="35">
        <v>2.9</v>
      </c>
      <c r="F1848" s="35">
        <v>2.2999999999999998</v>
      </c>
      <c r="G1848" s="16" t="s">
        <v>44</v>
      </c>
      <c r="H1848" s="16" t="s">
        <v>45</v>
      </c>
      <c r="I1848" s="16">
        <f>COUNTIF(G$5:G1848,"Y")/COUNTA(G$5:G1848)</f>
        <v>0.88069414316702821</v>
      </c>
      <c r="J1848" s="16">
        <f>COUNTIF(H$5:H1848,"Y")/COUNTA(H$5:H1848)</f>
        <v>4.9349240780911061E-2</v>
      </c>
      <c r="K1848" s="16">
        <f>AVERAGE(F$5:F1848)</f>
        <v>2.2184924078091104</v>
      </c>
      <c r="L1848" s="16">
        <f>SUM(F$5:F1848)/SUM(E$5:E1848)</f>
        <v>0.76193402991190284</v>
      </c>
    </row>
    <row r="1849" spans="1:12" x14ac:dyDescent="0.25">
      <c r="A1849" s="29">
        <v>45933</v>
      </c>
      <c r="B1849" s="16" t="s">
        <v>1895</v>
      </c>
      <c r="C1849" s="34">
        <v>1</v>
      </c>
      <c r="D1849" s="16" t="s">
        <v>47</v>
      </c>
      <c r="E1849" s="35">
        <v>1.9</v>
      </c>
      <c r="F1849" s="35">
        <v>1.6</v>
      </c>
      <c r="G1849" s="16" t="s">
        <v>44</v>
      </c>
      <c r="H1849" s="16" t="s">
        <v>45</v>
      </c>
      <c r="I1849" s="16">
        <f>COUNTIF(G$5:G1849,"Y")/COUNTA(G$5:G1849)</f>
        <v>0.8807588075880759</v>
      </c>
      <c r="J1849" s="16">
        <f>COUNTIF(H$5:H1849,"Y")/COUNTA(H$5:H1849)</f>
        <v>4.9322493224932248E-2</v>
      </c>
      <c r="K1849" s="16">
        <f>AVERAGE(F$5:F1849)</f>
        <v>2.2181571815718151</v>
      </c>
      <c r="L1849" s="16">
        <f>SUM(F$5:F1849)/SUM(E$5:E1849)</f>
        <v>0.76196239061627213</v>
      </c>
    </row>
    <row r="1850" spans="1:12" x14ac:dyDescent="0.25">
      <c r="A1850" s="29">
        <v>45929</v>
      </c>
      <c r="B1850" s="16" t="s">
        <v>1896</v>
      </c>
      <c r="C1850" s="34">
        <v>1</v>
      </c>
      <c r="D1850" s="16" t="s">
        <v>64</v>
      </c>
      <c r="E1850" s="35">
        <v>3.2</v>
      </c>
      <c r="F1850" s="35">
        <v>2.7</v>
      </c>
      <c r="G1850" s="16" t="s">
        <v>44</v>
      </c>
      <c r="H1850" s="16" t="s">
        <v>45</v>
      </c>
      <c r="I1850" s="16">
        <f>COUNTIF(G$5:G1850,"Y")/COUNTA(G$5:G1850)</f>
        <v>0.88082340195016251</v>
      </c>
      <c r="J1850" s="16">
        <f>COUNTIF(H$5:H1850,"Y")/COUNTA(H$5:H1850)</f>
        <v>4.9295774647887321E-2</v>
      </c>
      <c r="K1850" s="16">
        <f>AVERAGE(F$5:F1850)</f>
        <v>2.2184182015167924</v>
      </c>
      <c r="L1850" s="16">
        <f>SUM(F$5:F1850)/SUM(E$5:E1850)</f>
        <v>0.76201109002270062</v>
      </c>
    </row>
    <row r="1851" spans="1:12" x14ac:dyDescent="0.25">
      <c r="A1851" s="29">
        <v>45930</v>
      </c>
      <c r="B1851" s="16" t="s">
        <v>1897</v>
      </c>
      <c r="C1851" s="34">
        <v>1</v>
      </c>
      <c r="D1851" s="16" t="s">
        <v>52</v>
      </c>
      <c r="E1851" s="35">
        <v>3.9</v>
      </c>
      <c r="F1851" s="35">
        <v>3.2</v>
      </c>
      <c r="G1851" s="16" t="s">
        <v>45</v>
      </c>
      <c r="H1851" s="16" t="s">
        <v>45</v>
      </c>
      <c r="I1851" s="16">
        <f>COUNTIF(G$5:G1851,"Y")/COUNTA(G$5:G1851)</f>
        <v>0.88034650785056845</v>
      </c>
      <c r="J1851" s="16">
        <f>COUNTIF(H$5:H1851,"Y")/COUNTA(H$5:H1851)</f>
        <v>4.9269085002707096E-2</v>
      </c>
      <c r="K1851" s="16">
        <f>AVERAGE(F$5:F1851)</f>
        <v>2.2189496480779636</v>
      </c>
      <c r="L1851" s="16">
        <f>SUM(F$5:F1851)/SUM(E$5:E1851)</f>
        <v>0.76205351332254845</v>
      </c>
    </row>
    <row r="1852" spans="1:12" x14ac:dyDescent="0.25">
      <c r="A1852" s="29">
        <v>45931</v>
      </c>
      <c r="B1852" s="16" t="s">
        <v>1898</v>
      </c>
      <c r="C1852" s="34">
        <v>1</v>
      </c>
      <c r="D1852" s="16" t="s">
        <v>50</v>
      </c>
      <c r="E1852" s="35">
        <v>3.6</v>
      </c>
      <c r="F1852" s="35">
        <v>2.6</v>
      </c>
      <c r="G1852" s="16" t="s">
        <v>44</v>
      </c>
      <c r="H1852" s="16" t="s">
        <v>45</v>
      </c>
      <c r="I1852" s="16">
        <f>COUNTIF(G$5:G1852,"Y")/COUNTA(G$5:G1852)</f>
        <v>0.88041125541125542</v>
      </c>
      <c r="J1852" s="16">
        <f>COUNTIF(H$5:H1852,"Y")/COUNTA(H$5:H1852)</f>
        <v>4.924242424242424E-2</v>
      </c>
      <c r="K1852" s="16">
        <f>AVERAGE(F$5:F1852)</f>
        <v>2.2191558441558437</v>
      </c>
      <c r="L1852" s="16">
        <f>SUM(F$5:F1852)/SUM(E$5:E1852)</f>
        <v>0.76202686883326787</v>
      </c>
    </row>
    <row r="1853" spans="1:12" x14ac:dyDescent="0.25">
      <c r="A1853" s="29">
        <v>45932</v>
      </c>
      <c r="B1853" s="16" t="s">
        <v>1899</v>
      </c>
      <c r="C1853" s="34">
        <v>1</v>
      </c>
      <c r="D1853" s="16" t="s">
        <v>52</v>
      </c>
      <c r="E1853" s="35">
        <v>2.2000000000000002</v>
      </c>
      <c r="F1853" s="35">
        <v>1.7</v>
      </c>
      <c r="G1853" s="16" t="s">
        <v>44</v>
      </c>
      <c r="H1853" s="16" t="s">
        <v>45</v>
      </c>
      <c r="I1853" s="16">
        <f>COUNTIF(G$5:G1853,"Y")/COUNTA(G$5:G1853)</f>
        <v>0.88047593293672255</v>
      </c>
      <c r="J1853" s="16">
        <f>COUNTIF(H$5:H1853,"Y")/COUNTA(H$5:H1853)</f>
        <v>4.921579232017307E-2</v>
      </c>
      <c r="K1853" s="16">
        <f>AVERAGE(F$5:F1853)</f>
        <v>2.2188750676041096</v>
      </c>
      <c r="L1853" s="16">
        <f>SUM(F$5:F1853)/SUM(E$5:E1853)</f>
        <v>0.76203124129348576</v>
      </c>
    </row>
    <row r="1854" spans="1:12" x14ac:dyDescent="0.25">
      <c r="A1854" s="29">
        <v>45933</v>
      </c>
      <c r="B1854" s="16" t="s">
        <v>1900</v>
      </c>
      <c r="C1854" s="34">
        <v>1</v>
      </c>
      <c r="D1854" s="16" t="s">
        <v>56</v>
      </c>
      <c r="E1854" s="35">
        <v>4</v>
      </c>
      <c r="F1854" s="35">
        <v>3</v>
      </c>
      <c r="G1854" s="16" t="s">
        <v>44</v>
      </c>
      <c r="H1854" s="16" t="s">
        <v>45</v>
      </c>
      <c r="I1854" s="16">
        <f>COUNTIF(G$5:G1854,"Y")/COUNTA(G$5:G1854)</f>
        <v>0.88054054054054054</v>
      </c>
      <c r="J1854" s="16">
        <f>COUNTIF(H$5:H1854,"Y")/COUNTA(H$5:H1854)</f>
        <v>4.9189189189189186E-2</v>
      </c>
      <c r="K1854" s="16">
        <f>AVERAGE(F$5:F1854)</f>
        <v>2.2192972972972966</v>
      </c>
      <c r="L1854" s="16">
        <f>SUM(F$5:F1854)/SUM(E$5:E1854)</f>
        <v>0.7620223092485009</v>
      </c>
    </row>
    <row r="1855" spans="1:12" x14ac:dyDescent="0.25">
      <c r="A1855" s="29">
        <v>45929</v>
      </c>
      <c r="B1855" s="16" t="s">
        <v>1901</v>
      </c>
      <c r="C1855" s="34">
        <v>1</v>
      </c>
      <c r="D1855" s="16" t="s">
        <v>52</v>
      </c>
      <c r="E1855" s="35">
        <v>2.5</v>
      </c>
      <c r="F1855" s="35">
        <v>1.7</v>
      </c>
      <c r="G1855" s="16" t="s">
        <v>44</v>
      </c>
      <c r="H1855" s="16" t="s">
        <v>45</v>
      </c>
      <c r="I1855" s="16">
        <f>COUNTIF(G$5:G1855,"Y")/COUNTA(G$5:G1855)</f>
        <v>0.88060507833603463</v>
      </c>
      <c r="J1855" s="16">
        <f>COUNTIF(H$5:H1855,"Y")/COUNTA(H$5:H1855)</f>
        <v>4.9162614802809292E-2</v>
      </c>
      <c r="K1855" s="16">
        <f>AVERAGE(F$5:F1855)</f>
        <v>2.2190167477039431</v>
      </c>
      <c r="L1855" s="16">
        <f>SUM(F$5:F1855)/SUM(E$5:E1855)</f>
        <v>0.76198426832888055</v>
      </c>
    </row>
    <row r="1856" spans="1:12" x14ac:dyDescent="0.25">
      <c r="A1856" s="29">
        <v>45930</v>
      </c>
      <c r="B1856" s="16" t="s">
        <v>1902</v>
      </c>
      <c r="C1856" s="34">
        <v>1</v>
      </c>
      <c r="D1856" s="16" t="s">
        <v>60</v>
      </c>
      <c r="E1856" s="35">
        <v>1.5</v>
      </c>
      <c r="F1856" s="35">
        <v>1.2</v>
      </c>
      <c r="G1856" s="16" t="s">
        <v>44</v>
      </c>
      <c r="H1856" s="16" t="s">
        <v>45</v>
      </c>
      <c r="I1856" s="16">
        <f>COUNTIF(G$5:G1856,"Y")/COUNTA(G$5:G1856)</f>
        <v>0.88066954643628514</v>
      </c>
      <c r="J1856" s="16">
        <f>COUNTIF(H$5:H1856,"Y")/COUNTA(H$5:H1856)</f>
        <v>4.913606911447084E-2</v>
      </c>
      <c r="K1856" s="16">
        <f>AVERAGE(F$5:F1856)</f>
        <v>2.218466522678185</v>
      </c>
      <c r="L1856" s="16">
        <f>SUM(F$5:F1856)/SUM(E$5:E1856)</f>
        <v>0.76199484411802842</v>
      </c>
    </row>
    <row r="1857" spans="1:12" x14ac:dyDescent="0.25">
      <c r="A1857" s="29">
        <v>45931</v>
      </c>
      <c r="B1857" s="16" t="s">
        <v>1903</v>
      </c>
      <c r="C1857" s="34">
        <v>1</v>
      </c>
      <c r="D1857" s="16" t="s">
        <v>60</v>
      </c>
      <c r="E1857" s="35">
        <v>3.4</v>
      </c>
      <c r="F1857" s="35">
        <v>2.2000000000000002</v>
      </c>
      <c r="G1857" s="16" t="s">
        <v>44</v>
      </c>
      <c r="H1857" s="16" t="s">
        <v>45</v>
      </c>
      <c r="I1857" s="16">
        <f>COUNTIF(G$5:G1857,"Y")/COUNTA(G$5:G1857)</f>
        <v>0.88073394495412849</v>
      </c>
      <c r="J1857" s="16">
        <f>COUNTIF(H$5:H1857,"Y")/COUNTA(H$5:H1857)</f>
        <v>4.9109552077711817E-2</v>
      </c>
      <c r="K1857" s="16">
        <f>AVERAGE(F$5:F1857)</f>
        <v>2.2184565569346995</v>
      </c>
      <c r="L1857" s="16">
        <f>SUM(F$5:F1857)/SUM(E$5:E1857)</f>
        <v>0.76192241395288451</v>
      </c>
    </row>
    <row r="1858" spans="1:12" x14ac:dyDescent="0.25">
      <c r="A1858" s="29">
        <v>45932</v>
      </c>
      <c r="B1858" s="16" t="s">
        <v>1904</v>
      </c>
      <c r="C1858" s="34">
        <v>1</v>
      </c>
      <c r="D1858" s="16" t="s">
        <v>43</v>
      </c>
      <c r="E1858" s="35">
        <v>3.9</v>
      </c>
      <c r="F1858" s="35">
        <v>3.1</v>
      </c>
      <c r="G1858" s="16" t="s">
        <v>44</v>
      </c>
      <c r="H1858" s="16" t="s">
        <v>45</v>
      </c>
      <c r="I1858" s="16">
        <f>COUNTIF(G$5:G1858,"Y")/COUNTA(G$5:G1858)</f>
        <v>0.88079827400215749</v>
      </c>
      <c r="J1858" s="16">
        <f>COUNTIF(H$5:H1858,"Y")/COUNTA(H$5:H1858)</f>
        <v>4.908306364617044E-2</v>
      </c>
      <c r="K1858" s="16">
        <f>AVERAGE(F$5:F1858)</f>
        <v>2.2189320388349509</v>
      </c>
      <c r="L1858" s="16">
        <f>SUM(F$5:F1858)/SUM(E$5:E1858)</f>
        <v>0.76194621425396325</v>
      </c>
    </row>
    <row r="1859" spans="1:12" x14ac:dyDescent="0.25">
      <c r="A1859" s="29">
        <v>45933</v>
      </c>
      <c r="B1859" s="16" t="s">
        <v>1905</v>
      </c>
      <c r="C1859" s="34">
        <v>1</v>
      </c>
      <c r="D1859" s="16" t="s">
        <v>56</v>
      </c>
      <c r="E1859" s="35">
        <v>5.0999999999999996</v>
      </c>
      <c r="F1859" s="35">
        <v>3.5</v>
      </c>
      <c r="G1859" s="16" t="s">
        <v>44</v>
      </c>
      <c r="H1859" s="16" t="s">
        <v>45</v>
      </c>
      <c r="I1859" s="16">
        <f>COUNTIF(G$5:G1859,"Y")/COUNTA(G$5:G1859)</f>
        <v>0.88086253369272238</v>
      </c>
      <c r="J1859" s="16">
        <f>COUNTIF(H$5:H1859,"Y")/COUNTA(H$5:H1859)</f>
        <v>4.9056603773584909E-2</v>
      </c>
      <c r="K1859" s="16">
        <f>AVERAGE(F$5:F1859)</f>
        <v>2.2196226415094333</v>
      </c>
      <c r="L1859" s="16">
        <f>SUM(F$5:F1859)/SUM(E$5:E1859)</f>
        <v>0.76187480339729441</v>
      </c>
    </row>
    <row r="1860" spans="1:12" x14ac:dyDescent="0.25">
      <c r="A1860" s="29">
        <v>45929</v>
      </c>
      <c r="B1860" s="16" t="s">
        <v>1906</v>
      </c>
      <c r="C1860" s="34">
        <v>1</v>
      </c>
      <c r="D1860" s="16" t="s">
        <v>64</v>
      </c>
      <c r="E1860" s="35">
        <v>1.9</v>
      </c>
      <c r="F1860" s="35">
        <v>1.5</v>
      </c>
      <c r="G1860" s="16" t="s">
        <v>44</v>
      </c>
      <c r="H1860" s="16" t="s">
        <v>45</v>
      </c>
      <c r="I1860" s="16">
        <f>COUNTIF(G$5:G1860,"Y")/COUNTA(G$5:G1860)</f>
        <v>0.88092672413793105</v>
      </c>
      <c r="J1860" s="16">
        <f>COUNTIF(H$5:H1860,"Y")/COUNTA(H$5:H1860)</f>
        <v>4.9030172413793101E-2</v>
      </c>
      <c r="K1860" s="16">
        <f>AVERAGE(F$5:F1860)</f>
        <v>2.2192349137931027</v>
      </c>
      <c r="L1860" s="16">
        <f>SUM(F$5:F1860)/SUM(E$5:E1860)</f>
        <v>0.76188450297806187</v>
      </c>
    </row>
    <row r="1861" spans="1:12" x14ac:dyDescent="0.25">
      <c r="A1861" s="29">
        <v>45930</v>
      </c>
      <c r="B1861" s="16" t="s">
        <v>1907</v>
      </c>
      <c r="C1861" s="34">
        <v>1</v>
      </c>
      <c r="D1861" s="16" t="s">
        <v>47</v>
      </c>
      <c r="E1861" s="35">
        <v>2.6</v>
      </c>
      <c r="F1861" s="35">
        <v>2</v>
      </c>
      <c r="G1861" s="16" t="s">
        <v>45</v>
      </c>
      <c r="H1861" s="16" t="s">
        <v>45</v>
      </c>
      <c r="I1861" s="16">
        <f>COUNTIF(G$5:G1861,"Y")/COUNTA(G$5:G1861)</f>
        <v>0.88045234248788373</v>
      </c>
      <c r="J1861" s="16">
        <f>COUNTIF(H$5:H1861,"Y")/COUNTA(H$5:H1861)</f>
        <v>4.9003769520732363E-2</v>
      </c>
      <c r="K1861" s="16">
        <f>AVERAGE(F$5:F1861)</f>
        <v>2.2191168551427025</v>
      </c>
      <c r="L1861" s="16">
        <f>SUM(F$5:F1861)/SUM(E$5:E1861)</f>
        <v>0.76188803431445018</v>
      </c>
    </row>
    <row r="1862" spans="1:12" x14ac:dyDescent="0.25">
      <c r="A1862" s="29">
        <v>45931</v>
      </c>
      <c r="B1862" s="16" t="s">
        <v>1908</v>
      </c>
      <c r="C1862" s="34">
        <v>1</v>
      </c>
      <c r="D1862" s="16" t="s">
        <v>52</v>
      </c>
      <c r="E1862" s="35">
        <v>1.5</v>
      </c>
      <c r="F1862" s="35">
        <v>1.1000000000000001</v>
      </c>
      <c r="G1862" s="16" t="s">
        <v>44</v>
      </c>
      <c r="H1862" s="16" t="s">
        <v>45</v>
      </c>
      <c r="I1862" s="16">
        <f>COUNTIF(G$5:G1862,"Y")/COUNTA(G$5:G1862)</f>
        <v>0.88051668460710442</v>
      </c>
      <c r="J1862" s="16">
        <f>COUNTIF(H$5:H1862,"Y")/COUNTA(H$5:H1862)</f>
        <v>4.8977395048439183E-2</v>
      </c>
      <c r="K1862" s="16">
        <f>AVERAGE(F$5:F1862)</f>
        <v>2.2185145317545745</v>
      </c>
      <c r="L1862" s="16">
        <f>SUM(F$5:F1862)/SUM(E$5:E1862)</f>
        <v>0.76188011755355489</v>
      </c>
    </row>
    <row r="1863" spans="1:12" x14ac:dyDescent="0.25">
      <c r="A1863" s="29">
        <v>45932</v>
      </c>
      <c r="B1863" s="16" t="s">
        <v>1909</v>
      </c>
      <c r="C1863" s="34">
        <v>1</v>
      </c>
      <c r="D1863" s="16" t="s">
        <v>43</v>
      </c>
      <c r="E1863" s="35">
        <v>3.4</v>
      </c>
      <c r="F1863" s="35">
        <v>2.9</v>
      </c>
      <c r="G1863" s="16" t="s">
        <v>44</v>
      </c>
      <c r="H1863" s="16" t="s">
        <v>45</v>
      </c>
      <c r="I1863" s="16">
        <f>COUNTIF(G$5:G1863,"Y")/COUNTA(G$5:G1863)</f>
        <v>0.88058095750403442</v>
      </c>
      <c r="J1863" s="16">
        <f>COUNTIF(H$5:H1863,"Y")/COUNTA(H$5:H1863)</f>
        <v>4.8951048951048952E-2</v>
      </c>
      <c r="K1863" s="16">
        <f>AVERAGE(F$5:F1863)</f>
        <v>2.2188811188811184</v>
      </c>
      <c r="L1863" s="16">
        <f>SUM(F$5:F1863)/SUM(E$5:E1863)</f>
        <v>0.76193730720209807</v>
      </c>
    </row>
    <row r="1864" spans="1:12" x14ac:dyDescent="0.25">
      <c r="A1864" s="29">
        <v>45933</v>
      </c>
      <c r="B1864" s="16" t="s">
        <v>1910</v>
      </c>
      <c r="C1864" s="34">
        <v>1</v>
      </c>
      <c r="D1864" s="16" t="s">
        <v>52</v>
      </c>
      <c r="E1864" s="35">
        <v>3.5</v>
      </c>
      <c r="F1864" s="35">
        <v>2.4</v>
      </c>
      <c r="G1864" s="16" t="s">
        <v>44</v>
      </c>
      <c r="H1864" s="16" t="s">
        <v>45</v>
      </c>
      <c r="I1864" s="16">
        <f>COUNTIF(G$5:G1864,"Y")/COUNTA(G$5:G1864)</f>
        <v>0.88064516129032255</v>
      </c>
      <c r="J1864" s="16">
        <f>COUNTIF(H$5:H1864,"Y")/COUNTA(H$5:H1864)</f>
        <v>4.8924731182795701E-2</v>
      </c>
      <c r="K1864" s="16">
        <f>AVERAGE(F$5:F1864)</f>
        <v>2.2189784946236548</v>
      </c>
      <c r="L1864" s="16">
        <f>SUM(F$5:F1864)/SUM(E$5:E1864)</f>
        <v>0.76188806025252853</v>
      </c>
    </row>
    <row r="1865" spans="1:12" x14ac:dyDescent="0.25">
      <c r="A1865" s="29">
        <v>45929</v>
      </c>
      <c r="B1865" s="16" t="s">
        <v>1911</v>
      </c>
      <c r="C1865" s="34">
        <v>1</v>
      </c>
      <c r="D1865" s="16" t="s">
        <v>64</v>
      </c>
      <c r="E1865" s="35">
        <v>4.5</v>
      </c>
      <c r="F1865" s="35">
        <v>3.4</v>
      </c>
      <c r="G1865" s="16" t="s">
        <v>44</v>
      </c>
      <c r="H1865" s="16" t="s">
        <v>45</v>
      </c>
      <c r="I1865" s="16">
        <f>COUNTIF(G$5:G1865,"Y")/COUNTA(G$5:G1865)</f>
        <v>0.8807092960773778</v>
      </c>
      <c r="J1865" s="16">
        <f>COUNTIF(H$5:H1865,"Y")/COUNTA(H$5:H1865)</f>
        <v>4.8898441698011823E-2</v>
      </c>
      <c r="K1865" s="16">
        <f>AVERAGE(F$5:F1865)</f>
        <v>2.2196131112305202</v>
      </c>
      <c r="L1865" s="16">
        <f>SUM(F$5:F1865)/SUM(E$5:E1865)</f>
        <v>0.76188280428647792</v>
      </c>
    </row>
    <row r="1866" spans="1:12" x14ac:dyDescent="0.25">
      <c r="A1866" s="29">
        <v>45930</v>
      </c>
      <c r="B1866" s="16" t="s">
        <v>1912</v>
      </c>
      <c r="C1866" s="34">
        <v>1</v>
      </c>
      <c r="D1866" s="16" t="s">
        <v>60</v>
      </c>
      <c r="E1866" s="35">
        <v>2</v>
      </c>
      <c r="F1866" s="35">
        <v>1.6</v>
      </c>
      <c r="G1866" s="16" t="s">
        <v>44</v>
      </c>
      <c r="H1866" s="16" t="s">
        <v>45</v>
      </c>
      <c r="I1866" s="16">
        <f>COUNTIF(G$5:G1866,"Y")/COUNTA(G$5:G1866)</f>
        <v>0.88077336197636946</v>
      </c>
      <c r="J1866" s="16">
        <f>COUNTIF(H$5:H1866,"Y")/COUNTA(H$5:H1866)</f>
        <v>4.8872180451127817E-2</v>
      </c>
      <c r="K1866" s="16">
        <f>AVERAGE(F$5:F1866)</f>
        <v>2.219280343716433</v>
      </c>
      <c r="L1866" s="16">
        <f>SUM(F$5:F1866)/SUM(E$5:E1866)</f>
        <v>0.7618968600770688</v>
      </c>
    </row>
    <row r="1867" spans="1:12" x14ac:dyDescent="0.25">
      <c r="A1867" s="29">
        <v>45931</v>
      </c>
      <c r="B1867" s="16" t="s">
        <v>1913</v>
      </c>
      <c r="C1867" s="34">
        <v>1</v>
      </c>
      <c r="D1867" s="16" t="s">
        <v>47</v>
      </c>
      <c r="E1867" s="35">
        <v>5.0999999999999996</v>
      </c>
      <c r="F1867" s="35">
        <v>3.5</v>
      </c>
      <c r="G1867" s="16" t="s">
        <v>44</v>
      </c>
      <c r="H1867" s="16" t="s">
        <v>45</v>
      </c>
      <c r="I1867" s="16">
        <f>COUNTIF(G$5:G1867,"Y")/COUNTA(G$5:G1867)</f>
        <v>0.88083735909822869</v>
      </c>
      <c r="J1867" s="16">
        <f>COUNTIF(H$5:H1867,"Y")/COUNTA(H$5:H1867)</f>
        <v>4.8845947396672036E-2</v>
      </c>
      <c r="K1867" s="16">
        <f>AVERAGE(F$5:F1867)</f>
        <v>2.2199677938808366</v>
      </c>
      <c r="L1867" s="16">
        <f>SUM(F$5:F1867)/SUM(E$5:E1867)</f>
        <v>0.76182581786030013</v>
      </c>
    </row>
    <row r="1868" spans="1:12" x14ac:dyDescent="0.25">
      <c r="A1868" s="29">
        <v>45932</v>
      </c>
      <c r="B1868" s="16" t="s">
        <v>1914</v>
      </c>
      <c r="C1868" s="34">
        <v>1</v>
      </c>
      <c r="D1868" s="16" t="s">
        <v>56</v>
      </c>
      <c r="E1868" s="35">
        <v>2.8</v>
      </c>
      <c r="F1868" s="35">
        <v>2</v>
      </c>
      <c r="G1868" s="16" t="s">
        <v>44</v>
      </c>
      <c r="H1868" s="16" t="s">
        <v>45</v>
      </c>
      <c r="I1868" s="16">
        <f>COUNTIF(G$5:G1868,"Y")/COUNTA(G$5:G1868)</f>
        <v>0.88090128755364805</v>
      </c>
      <c r="J1868" s="16">
        <f>COUNTIF(H$5:H1868,"Y")/COUNTA(H$5:H1868)</f>
        <v>4.8819742489270387E-2</v>
      </c>
      <c r="K1868" s="16">
        <f>AVERAGE(F$5:F1868)</f>
        <v>2.2198497854077246</v>
      </c>
      <c r="L1868" s="16">
        <f>SUM(F$5:F1868)/SUM(E$5:E1868)</f>
        <v>0.76180131084763192</v>
      </c>
    </row>
    <row r="1869" spans="1:12" x14ac:dyDescent="0.25">
      <c r="A1869" s="29">
        <v>45933</v>
      </c>
      <c r="B1869" s="16" t="s">
        <v>1915</v>
      </c>
      <c r="C1869" s="34">
        <v>1</v>
      </c>
      <c r="D1869" s="16" t="s">
        <v>60</v>
      </c>
      <c r="E1869" s="35">
        <v>4.5</v>
      </c>
      <c r="F1869" s="35">
        <v>2.9</v>
      </c>
      <c r="G1869" s="16" t="s">
        <v>44</v>
      </c>
      <c r="H1869" s="16" t="s">
        <v>45</v>
      </c>
      <c r="I1869" s="16">
        <f>COUNTIF(G$5:G1869,"Y")/COUNTA(G$5:G1869)</f>
        <v>0.88096514745308308</v>
      </c>
      <c r="J1869" s="16">
        <f>COUNTIF(H$5:H1869,"Y")/COUNTA(H$5:H1869)</f>
        <v>4.8793565683646116E-2</v>
      </c>
      <c r="K1869" s="16">
        <f>AVERAGE(F$5:F1869)</f>
        <v>2.2202144772117953</v>
      </c>
      <c r="L1869" s="16">
        <f>SUM(F$5:F1869)/SUM(E$5:E1869)</f>
        <v>0.76170416291090981</v>
      </c>
    </row>
    <row r="1870" spans="1:12" x14ac:dyDescent="0.25">
      <c r="A1870" s="29">
        <v>45929</v>
      </c>
      <c r="B1870" s="16" t="s">
        <v>1916</v>
      </c>
      <c r="C1870" s="34">
        <v>1</v>
      </c>
      <c r="D1870" s="16" t="s">
        <v>43</v>
      </c>
      <c r="E1870" s="35">
        <v>0.8</v>
      </c>
      <c r="F1870" s="35">
        <v>0.6</v>
      </c>
      <c r="G1870" s="16" t="s">
        <v>44</v>
      </c>
      <c r="H1870" s="16" t="s">
        <v>44</v>
      </c>
      <c r="I1870" s="16">
        <f>COUNTIF(G$5:G1870,"Y")/COUNTA(G$5:G1870)</f>
        <v>0.88102893890675238</v>
      </c>
      <c r="J1870" s="16">
        <f>COUNTIF(H$5:H1870,"Y")/COUNTA(H$5:H1870)</f>
        <v>4.9303322615219719E-2</v>
      </c>
      <c r="K1870" s="16">
        <f>AVERAGE(F$5:F1870)</f>
        <v>2.2193461950696669</v>
      </c>
      <c r="L1870" s="16">
        <f>SUM(F$5:F1870)/SUM(E$5:E1870)</f>
        <v>0.76170244072909143</v>
      </c>
    </row>
    <row r="1871" spans="1:12" x14ac:dyDescent="0.25">
      <c r="A1871" s="29">
        <v>45930</v>
      </c>
      <c r="B1871" s="16" t="s">
        <v>1917</v>
      </c>
      <c r="C1871" s="34">
        <v>1</v>
      </c>
      <c r="D1871" s="16" t="s">
        <v>52</v>
      </c>
      <c r="E1871" s="35">
        <v>0.8</v>
      </c>
      <c r="F1871" s="35">
        <v>0.5</v>
      </c>
      <c r="G1871" s="16" t="s">
        <v>44</v>
      </c>
      <c r="H1871" s="16" t="s">
        <v>45</v>
      </c>
      <c r="I1871" s="16">
        <f>COUNTIF(G$5:G1871,"Y")/COUNTA(G$5:G1871)</f>
        <v>0.88109266202463843</v>
      </c>
      <c r="J1871" s="16">
        <f>COUNTIF(H$5:H1871,"Y")/COUNTA(H$5:H1871)</f>
        <v>4.9276914836636314E-2</v>
      </c>
      <c r="K1871" s="16">
        <f>AVERAGE(F$5:F1871)</f>
        <v>2.2184252811997847</v>
      </c>
      <c r="L1871" s="16">
        <f>SUM(F$5:F1871)/SUM(E$5:E1871)</f>
        <v>0.7616823289258321</v>
      </c>
    </row>
    <row r="1872" spans="1:12" x14ac:dyDescent="0.25">
      <c r="A1872" s="29">
        <v>45931</v>
      </c>
      <c r="B1872" s="16" t="s">
        <v>1918</v>
      </c>
      <c r="C1872" s="34">
        <v>1</v>
      </c>
      <c r="D1872" s="16" t="s">
        <v>64</v>
      </c>
      <c r="E1872" s="35">
        <v>0.7</v>
      </c>
      <c r="F1872" s="35">
        <v>0.5</v>
      </c>
      <c r="G1872" s="16" t="s">
        <v>45</v>
      </c>
      <c r="H1872" s="16" t="s">
        <v>45</v>
      </c>
      <c r="I1872" s="16">
        <f>COUNTIF(G$5:G1872,"Y")/COUNTA(G$5:G1872)</f>
        <v>0.88062098501070663</v>
      </c>
      <c r="J1872" s="16">
        <f>COUNTIF(H$5:H1872,"Y")/COUNTA(H$5:H1872)</f>
        <v>4.9250535331905779E-2</v>
      </c>
      <c r="K1872" s="16">
        <f>AVERAGE(F$5:F1872)</f>
        <v>2.2175053533190567</v>
      </c>
      <c r="L1872" s="16">
        <f>SUM(F$5:F1872)/SUM(E$5:E1872)</f>
        <v>0.76167622830244142</v>
      </c>
    </row>
    <row r="1873" spans="1:13" x14ac:dyDescent="0.25">
      <c r="A1873" s="29">
        <v>45932</v>
      </c>
      <c r="B1873" s="16" t="s">
        <v>1919</v>
      </c>
      <c r="C1873" s="34">
        <v>1</v>
      </c>
      <c r="D1873" s="16" t="s">
        <v>52</v>
      </c>
      <c r="E1873" s="35">
        <v>0.7</v>
      </c>
      <c r="F1873" s="35">
        <v>0.5</v>
      </c>
      <c r="G1873" s="16" t="s">
        <v>45</v>
      </c>
      <c r="H1873" s="16" t="s">
        <v>45</v>
      </c>
      <c r="I1873" s="16">
        <f>COUNTIF(G$5:G1873,"Y")/COUNTA(G$5:G1873)</f>
        <v>0.88014981273408244</v>
      </c>
      <c r="J1873" s="16">
        <f>COUNTIF(H$5:H1873,"Y")/COUNTA(H$5:H1873)</f>
        <v>4.9224184055644729E-2</v>
      </c>
      <c r="K1873" s="16">
        <f>AVERAGE(F$5:F1873)</f>
        <v>2.2165864098448358</v>
      </c>
      <c r="L1873" s="16">
        <f>SUM(F$5:F1873)/SUM(E$5:E1873)</f>
        <v>0.76167012924932387</v>
      </c>
    </row>
    <row r="1874" spans="1:13" x14ac:dyDescent="0.25">
      <c r="A1874" s="29">
        <v>45933</v>
      </c>
      <c r="B1874" s="16" t="s">
        <v>1920</v>
      </c>
      <c r="C1874" s="34">
        <v>1</v>
      </c>
      <c r="D1874" s="16" t="s">
        <v>60</v>
      </c>
      <c r="E1874" s="35">
        <v>0.6</v>
      </c>
      <c r="F1874" s="35">
        <v>0.5</v>
      </c>
      <c r="G1874" s="16" t="s">
        <v>44</v>
      </c>
      <c r="H1874" s="16" t="s">
        <v>45</v>
      </c>
      <c r="I1874" s="16">
        <f>COUNTIF(G$5:G1874,"Y")/COUNTA(G$5:G1874)</f>
        <v>0.88021390374331554</v>
      </c>
      <c r="J1874" s="16">
        <f>COUNTIF(H$5:H1874,"Y")/COUNTA(H$5:H1874)</f>
        <v>4.9197860962566842E-2</v>
      </c>
      <c r="K1874" s="16">
        <f>AVERAGE(F$5:F1874)</f>
        <v>2.2156684491978602</v>
      </c>
      <c r="L1874" s="16">
        <f>SUM(F$5:F1874)/SUM(E$5:E1874)</f>
        <v>0.76167803371509402</v>
      </c>
    </row>
    <row r="1875" spans="1:13" x14ac:dyDescent="0.25">
      <c r="A1875" s="29">
        <v>45929</v>
      </c>
      <c r="B1875" s="16" t="s">
        <v>1921</v>
      </c>
      <c r="C1875" s="34">
        <v>1</v>
      </c>
      <c r="D1875" s="16" t="s">
        <v>50</v>
      </c>
      <c r="E1875" s="35">
        <v>0.6</v>
      </c>
      <c r="F1875" s="35">
        <v>0.5</v>
      </c>
      <c r="G1875" s="16" t="s">
        <v>44</v>
      </c>
      <c r="H1875" s="16" t="s">
        <v>45</v>
      </c>
      <c r="I1875" s="16">
        <f>COUNTIF(G$5:G1875,"Y")/COUNTA(G$5:G1875)</f>
        <v>0.880277926242651</v>
      </c>
      <c r="J1875" s="16">
        <f>COUNTIF(H$5:H1875,"Y")/COUNTA(H$5:H1875)</f>
        <v>4.9171566007482632E-2</v>
      </c>
      <c r="K1875" s="16">
        <f>AVERAGE(F$5:F1875)</f>
        <v>2.2147514698022439</v>
      </c>
      <c r="L1875" s="16">
        <f>SUM(F$5:F1875)/SUM(E$5:E1875)</f>
        <v>0.76168593643732829</v>
      </c>
      <c r="M1875" s="16">
        <v>6</v>
      </c>
    </row>
    <row r="1876" spans="1:13" x14ac:dyDescent="0.25">
      <c r="A1876" s="29">
        <v>45936</v>
      </c>
      <c r="B1876" s="16" t="s">
        <v>1922</v>
      </c>
      <c r="C1876" s="34">
        <v>1</v>
      </c>
      <c r="D1876" s="16" t="s">
        <v>64</v>
      </c>
      <c r="E1876" s="35">
        <v>3.2</v>
      </c>
      <c r="F1876" s="35">
        <v>2.5</v>
      </c>
      <c r="G1876" s="16" t="s">
        <v>44</v>
      </c>
      <c r="H1876" s="16" t="s">
        <v>45</v>
      </c>
      <c r="I1876" s="16">
        <f>COUNTIF(G$5:G1876,"Y")/COUNTA(G$5:G1876)</f>
        <v>0.88034188034188032</v>
      </c>
      <c r="J1876" s="16">
        <f>COUNTIF(H$5:H1876,"Y")/COUNTA(H$5:H1876)</f>
        <v>4.9145299145299144E-2</v>
      </c>
      <c r="K1876" s="16">
        <f>AVERAGE(F$5:F1876)</f>
        <v>2.2149038461538453</v>
      </c>
      <c r="L1876" s="16">
        <f>SUM(F$5:F1876)/SUM(E$5:E1876)</f>
        <v>0.76169743731055328</v>
      </c>
    </row>
    <row r="1877" spans="1:13" x14ac:dyDescent="0.25">
      <c r="A1877" s="29">
        <v>45937</v>
      </c>
      <c r="B1877" s="16" t="s">
        <v>1923</v>
      </c>
      <c r="C1877" s="34">
        <v>1</v>
      </c>
      <c r="D1877" s="16" t="s">
        <v>60</v>
      </c>
      <c r="E1877" s="35">
        <v>2.5</v>
      </c>
      <c r="F1877" s="35">
        <v>2</v>
      </c>
      <c r="G1877" s="16" t="s">
        <v>44</v>
      </c>
      <c r="H1877" s="16" t="s">
        <v>45</v>
      </c>
      <c r="I1877" s="16">
        <f>COUNTIF(G$5:G1877,"Y")/COUNTA(G$5:G1877)</f>
        <v>0.88040576615056054</v>
      </c>
      <c r="J1877" s="16">
        <f>COUNTIF(H$5:H1877,"Y")/COUNTA(H$5:H1877)</f>
        <v>4.9119060331019752E-2</v>
      </c>
      <c r="K1877" s="16">
        <f>AVERAGE(F$5:F1877)</f>
        <v>2.2147891083822735</v>
      </c>
      <c r="L1877" s="16">
        <f>SUM(F$5:F1877)/SUM(E$5:E1877)</f>
        <v>0.76171502019831017</v>
      </c>
    </row>
    <row r="1878" spans="1:13" x14ac:dyDescent="0.25">
      <c r="A1878" s="29">
        <v>45938</v>
      </c>
      <c r="B1878" s="16" t="s">
        <v>1924</v>
      </c>
      <c r="C1878" s="34">
        <v>1</v>
      </c>
      <c r="D1878" s="16" t="s">
        <v>47</v>
      </c>
      <c r="E1878" s="35">
        <v>4.3</v>
      </c>
      <c r="F1878" s="35">
        <v>3.1</v>
      </c>
      <c r="G1878" s="16" t="s">
        <v>44</v>
      </c>
      <c r="H1878" s="16" t="s">
        <v>45</v>
      </c>
      <c r="I1878" s="16">
        <f>COUNTIF(G$5:G1878,"Y")/COUNTA(G$5:G1878)</f>
        <v>0.88046958377801499</v>
      </c>
      <c r="J1878" s="16">
        <f>COUNTIF(H$5:H1878,"Y")/COUNTA(H$5:H1878)</f>
        <v>4.909284951974386E-2</v>
      </c>
      <c r="K1878" s="16">
        <f>AVERAGE(F$5:F1878)</f>
        <v>2.2152614727854849</v>
      </c>
      <c r="L1878" s="16">
        <f>SUM(F$5:F1878)/SUM(E$5:E1878)</f>
        <v>0.76168284314624835</v>
      </c>
    </row>
    <row r="1879" spans="1:13" x14ac:dyDescent="0.25">
      <c r="A1879" s="29">
        <v>45939</v>
      </c>
      <c r="B1879" s="16" t="s">
        <v>1925</v>
      </c>
      <c r="C1879" s="34">
        <v>1</v>
      </c>
      <c r="D1879" s="16" t="s">
        <v>43</v>
      </c>
      <c r="E1879" s="35">
        <v>3</v>
      </c>
      <c r="F1879" s="35">
        <v>2.5</v>
      </c>
      <c r="G1879" s="16" t="s">
        <v>44</v>
      </c>
      <c r="H1879" s="16" t="s">
        <v>44</v>
      </c>
      <c r="I1879" s="16">
        <f>COUNTIF(G$5:G1879,"Y")/COUNTA(G$5:G1879)</f>
        <v>0.88053333333333328</v>
      </c>
      <c r="J1879" s="16">
        <f>COUNTIF(H$5:H1879,"Y")/COUNTA(H$5:H1879)</f>
        <v>4.9599999999999998E-2</v>
      </c>
      <c r="K1879" s="16">
        <f>AVERAGE(F$5:F1879)</f>
        <v>2.2154133333333328</v>
      </c>
      <c r="L1879" s="16">
        <f>SUM(F$5:F1879)/SUM(E$5:E1879)</f>
        <v>0.76172225991601361</v>
      </c>
    </row>
    <row r="1880" spans="1:13" x14ac:dyDescent="0.25">
      <c r="A1880" s="29">
        <v>45940</v>
      </c>
      <c r="B1880" s="16" t="s">
        <v>1926</v>
      </c>
      <c r="C1880" s="34">
        <v>1</v>
      </c>
      <c r="D1880" s="16" t="s">
        <v>47</v>
      </c>
      <c r="E1880" s="35">
        <v>3.2</v>
      </c>
      <c r="F1880" s="35">
        <v>2.2000000000000002</v>
      </c>
      <c r="G1880" s="16" t="s">
        <v>44</v>
      </c>
      <c r="H1880" s="16" t="s">
        <v>45</v>
      </c>
      <c r="I1880" s="16">
        <f>COUNTIF(G$5:G1880,"Y")/COUNTA(G$5:G1880)</f>
        <v>0.88059701492537312</v>
      </c>
      <c r="J1880" s="16">
        <f>COUNTIF(H$5:H1880,"Y")/COUNTA(H$5:H1880)</f>
        <v>4.9573560767590619E-2</v>
      </c>
      <c r="K1880" s="16">
        <f>AVERAGE(F$5:F1880)</f>
        <v>2.2154051172707883</v>
      </c>
      <c r="L1880" s="16">
        <f>SUM(F$5:F1880)/SUM(E$5:E1880)</f>
        <v>0.76167873178777556</v>
      </c>
    </row>
    <row r="1881" spans="1:13" x14ac:dyDescent="0.25">
      <c r="A1881" s="29">
        <v>45936</v>
      </c>
      <c r="B1881" s="16" t="s">
        <v>1927</v>
      </c>
      <c r="C1881" s="34">
        <v>1</v>
      </c>
      <c r="D1881" s="16" t="s">
        <v>50</v>
      </c>
      <c r="E1881" s="35">
        <v>3.1</v>
      </c>
      <c r="F1881" s="35">
        <v>2.8</v>
      </c>
      <c r="G1881" s="16" t="s">
        <v>44</v>
      </c>
      <c r="H1881" s="16" t="s">
        <v>45</v>
      </c>
      <c r="I1881" s="16">
        <f>COUNTIF(G$5:G1881,"Y")/COUNTA(G$5:G1881)</f>
        <v>0.88066062866275974</v>
      </c>
      <c r="J1881" s="16">
        <f>COUNTIF(H$5:H1881,"Y")/COUNTA(H$5:H1881)</f>
        <v>4.9547149706979224E-2</v>
      </c>
      <c r="K1881" s="16">
        <f>AVERAGE(F$5:F1881)</f>
        <v>2.2157165689930736</v>
      </c>
      <c r="L1881" s="16">
        <f>SUM(F$5:F1881)/SUM(E$5:E1881)</f>
        <v>0.76175910323100537</v>
      </c>
    </row>
    <row r="1882" spans="1:13" x14ac:dyDescent="0.25">
      <c r="A1882" s="29">
        <v>45937</v>
      </c>
      <c r="B1882" s="16" t="s">
        <v>1928</v>
      </c>
      <c r="C1882" s="34">
        <v>1</v>
      </c>
      <c r="D1882" s="16" t="s">
        <v>60</v>
      </c>
      <c r="E1882" s="35">
        <v>2</v>
      </c>
      <c r="F1882" s="35">
        <v>1.7</v>
      </c>
      <c r="G1882" s="16" t="s">
        <v>44</v>
      </c>
      <c r="H1882" s="16" t="s">
        <v>45</v>
      </c>
      <c r="I1882" s="16">
        <f>COUNTIF(G$5:G1882,"Y")/COUNTA(G$5:G1882)</f>
        <v>0.88072417465388708</v>
      </c>
      <c r="J1882" s="16">
        <f>COUNTIF(H$5:H1882,"Y")/COUNTA(H$5:H1882)</f>
        <v>4.9520766773162937E-2</v>
      </c>
      <c r="K1882" s="16">
        <f>AVERAGE(F$5:F1882)</f>
        <v>2.2154419595314154</v>
      </c>
      <c r="L1882" s="16">
        <f>SUM(F$5:F1882)/SUM(E$5:E1882)</f>
        <v>0.7617914164347438</v>
      </c>
    </row>
    <row r="1883" spans="1:13" x14ac:dyDescent="0.25">
      <c r="A1883" s="29">
        <v>45938</v>
      </c>
      <c r="B1883" s="16" t="s">
        <v>1929</v>
      </c>
      <c r="C1883" s="34">
        <v>1</v>
      </c>
      <c r="D1883" s="16" t="s">
        <v>47</v>
      </c>
      <c r="E1883" s="35">
        <v>4.5</v>
      </c>
      <c r="F1883" s="35">
        <v>3.6</v>
      </c>
      <c r="G1883" s="16" t="s">
        <v>44</v>
      </c>
      <c r="H1883" s="16" t="s">
        <v>45</v>
      </c>
      <c r="I1883" s="16">
        <f>COUNTIF(G$5:G1883,"Y")/COUNTA(G$5:G1883)</f>
        <v>0.88078765300691853</v>
      </c>
      <c r="J1883" s="16">
        <f>COUNTIF(H$5:H1883,"Y")/COUNTA(H$5:H1883)</f>
        <v>4.9494411921234702E-2</v>
      </c>
      <c r="K1883" s="16">
        <f>AVERAGE(F$5:F1883)</f>
        <v>2.2161788185204889</v>
      </c>
      <c r="L1883" s="16">
        <f>SUM(F$5:F1883)/SUM(E$5:E1883)</f>
        <v>0.76182287188306053</v>
      </c>
    </row>
    <row r="1884" spans="1:13" x14ac:dyDescent="0.25">
      <c r="A1884" s="29">
        <v>45939</v>
      </c>
      <c r="B1884" s="16" t="s">
        <v>1930</v>
      </c>
      <c r="C1884" s="34">
        <v>1</v>
      </c>
      <c r="D1884" s="16" t="s">
        <v>56</v>
      </c>
      <c r="E1884" s="35">
        <v>2.9</v>
      </c>
      <c r="F1884" s="35">
        <v>2</v>
      </c>
      <c r="G1884" s="16" t="s">
        <v>44</v>
      </c>
      <c r="H1884" s="16" t="s">
        <v>45</v>
      </c>
      <c r="I1884" s="16">
        <f>COUNTIF(G$5:G1884,"Y")/COUNTA(G$5:G1884)</f>
        <v>0.88085106382978728</v>
      </c>
      <c r="J1884" s="16">
        <f>COUNTIF(H$5:H1884,"Y")/COUNTA(H$5:H1884)</f>
        <v>4.9468085106382981E-2</v>
      </c>
      <c r="K1884" s="16">
        <f>AVERAGE(F$5:F1884)</f>
        <v>2.2160638297872333</v>
      </c>
      <c r="L1884" s="16">
        <f>SUM(F$5:F1884)/SUM(E$5:E1884)</f>
        <v>0.76178460413238203</v>
      </c>
    </row>
    <row r="1885" spans="1:13" x14ac:dyDescent="0.25">
      <c r="A1885" s="29">
        <v>45940</v>
      </c>
      <c r="B1885" s="16" t="s">
        <v>1931</v>
      </c>
      <c r="C1885" s="34">
        <v>1</v>
      </c>
      <c r="D1885" s="16" t="s">
        <v>50</v>
      </c>
      <c r="E1885" s="35">
        <v>4</v>
      </c>
      <c r="F1885" s="35">
        <v>2.7</v>
      </c>
      <c r="G1885" s="16" t="s">
        <v>44</v>
      </c>
      <c r="H1885" s="16" t="s">
        <v>45</v>
      </c>
      <c r="I1885" s="16">
        <f>COUNTIF(G$5:G1885,"Y")/COUNTA(G$5:G1885)</f>
        <v>0.88091440723019665</v>
      </c>
      <c r="J1885" s="16">
        <f>COUNTIF(H$5:H1885,"Y")/COUNTA(H$5:H1885)</f>
        <v>4.9441786283891544E-2</v>
      </c>
      <c r="K1885" s="16">
        <f>AVERAGE(F$5:F1885)</f>
        <v>2.2163211057947891</v>
      </c>
      <c r="L1885" s="16">
        <f>SUM(F$5:F1885)/SUM(E$5:E1885)</f>
        <v>0.76172117668554673</v>
      </c>
    </row>
    <row r="1886" spans="1:13" x14ac:dyDescent="0.25">
      <c r="A1886" s="29">
        <v>45936</v>
      </c>
      <c r="B1886" s="16" t="s">
        <v>1932</v>
      </c>
      <c r="C1886" s="34">
        <v>1</v>
      </c>
      <c r="D1886" s="16" t="s">
        <v>52</v>
      </c>
      <c r="E1886" s="35">
        <v>2.9</v>
      </c>
      <c r="F1886" s="35">
        <v>2.2000000000000002</v>
      </c>
      <c r="G1886" s="16" t="s">
        <v>44</v>
      </c>
      <c r="H1886" s="16" t="s">
        <v>45</v>
      </c>
      <c r="I1886" s="16">
        <f>COUNTIF(G$5:G1886,"Y")/COUNTA(G$5:G1886)</f>
        <v>0.88097768331562165</v>
      </c>
      <c r="J1886" s="16">
        <f>COUNTIF(H$5:H1886,"Y")/COUNTA(H$5:H1886)</f>
        <v>4.9415515409139216E-2</v>
      </c>
      <c r="K1886" s="16">
        <f>AVERAGE(F$5:F1886)</f>
        <v>2.2163124335812956</v>
      </c>
      <c r="L1886" s="16">
        <f>SUM(F$5:F1886)/SUM(E$5:E1886)</f>
        <v>0.76171953468836129</v>
      </c>
    </row>
    <row r="1887" spans="1:13" x14ac:dyDescent="0.25">
      <c r="A1887" s="29">
        <v>45937</v>
      </c>
      <c r="B1887" s="16" t="s">
        <v>1933</v>
      </c>
      <c r="C1887" s="34">
        <v>1</v>
      </c>
      <c r="D1887" s="16" t="s">
        <v>43</v>
      </c>
      <c r="E1887" s="35">
        <v>1.7</v>
      </c>
      <c r="F1887" s="35">
        <v>1.5</v>
      </c>
      <c r="G1887" s="16" t="s">
        <v>45</v>
      </c>
      <c r="H1887" s="16" t="s">
        <v>45</v>
      </c>
      <c r="I1887" s="16">
        <f>COUNTIF(G$5:G1887,"Y")/COUNTA(G$5:G1887)</f>
        <v>0.88050982474774298</v>
      </c>
      <c r="J1887" s="16">
        <f>COUNTIF(H$5:H1887,"Y")/COUNTA(H$5:H1887)</f>
        <v>4.9389272437599573E-2</v>
      </c>
      <c r="K1887" s="16">
        <f>AVERAGE(F$5:F1887)</f>
        <v>2.215932023366967</v>
      </c>
      <c r="L1887" s="16">
        <f>SUM(F$5:F1887)/SUM(E$5:E1887)</f>
        <v>0.76175697385716323</v>
      </c>
    </row>
    <row r="1888" spans="1:13" x14ac:dyDescent="0.25">
      <c r="A1888" s="29">
        <v>45938</v>
      </c>
      <c r="B1888" s="16" t="s">
        <v>1934</v>
      </c>
      <c r="C1888" s="34">
        <v>1</v>
      </c>
      <c r="D1888" s="16" t="s">
        <v>43</v>
      </c>
      <c r="E1888" s="35">
        <v>3</v>
      </c>
      <c r="F1888" s="35">
        <v>2.4</v>
      </c>
      <c r="G1888" s="16" t="s">
        <v>44</v>
      </c>
      <c r="H1888" s="16" t="s">
        <v>45</v>
      </c>
      <c r="I1888" s="16">
        <f>COUNTIF(G$5:G1888,"Y")/COUNTA(G$5:G1888)</f>
        <v>0.88057324840764328</v>
      </c>
      <c r="J1888" s="16">
        <f>COUNTIF(H$5:H1888,"Y")/COUNTA(H$5:H1888)</f>
        <v>4.9363057324840767E-2</v>
      </c>
      <c r="K1888" s="16">
        <f>AVERAGE(F$5:F1888)</f>
        <v>2.2160297239915066</v>
      </c>
      <c r="L1888" s="16">
        <f>SUM(F$5:F1888)/SUM(E$5:E1888)</f>
        <v>0.76177790752837227</v>
      </c>
    </row>
    <row r="1889" spans="1:12" x14ac:dyDescent="0.25">
      <c r="A1889" s="29">
        <v>45939</v>
      </c>
      <c r="B1889" s="16" t="s">
        <v>1935</v>
      </c>
      <c r="C1889" s="34">
        <v>1</v>
      </c>
      <c r="D1889" s="16" t="s">
        <v>56</v>
      </c>
      <c r="E1889" s="35">
        <v>3.6</v>
      </c>
      <c r="F1889" s="35">
        <v>2.8</v>
      </c>
      <c r="G1889" s="16" t="s">
        <v>44</v>
      </c>
      <c r="H1889" s="16" t="s">
        <v>45</v>
      </c>
      <c r="I1889" s="16">
        <f>COUNTIF(G$5:G1889,"Y")/COUNTA(G$5:G1889)</f>
        <v>0.88063660477453576</v>
      </c>
      <c r="J1889" s="16">
        <f>COUNTIF(H$5:H1889,"Y")/COUNTA(H$5:H1889)</f>
        <v>4.9336870026525197E-2</v>
      </c>
      <c r="K1889" s="16">
        <f>AVERAGE(F$5:F1889)</f>
        <v>2.2163395225464182</v>
      </c>
      <c r="L1889" s="16">
        <f>SUM(F$5:F1889)/SUM(E$5:E1889)</f>
        <v>0.76178841034243772</v>
      </c>
    </row>
    <row r="1890" spans="1:12" x14ac:dyDescent="0.25">
      <c r="A1890" s="29">
        <v>45940</v>
      </c>
      <c r="B1890" s="16" t="s">
        <v>1936</v>
      </c>
      <c r="C1890" s="34">
        <v>1</v>
      </c>
      <c r="D1890" s="16" t="s">
        <v>47</v>
      </c>
      <c r="E1890" s="35">
        <v>3.7</v>
      </c>
      <c r="F1890" s="35">
        <v>2.9</v>
      </c>
      <c r="G1890" s="16" t="s">
        <v>44</v>
      </c>
      <c r="H1890" s="16" t="s">
        <v>44</v>
      </c>
      <c r="I1890" s="16">
        <f>COUNTIF(G$5:G1890,"Y")/COUNTA(G$5:G1890)</f>
        <v>0.88069989395546133</v>
      </c>
      <c r="J1890" s="16">
        <f>COUNTIF(H$5:H1890,"Y")/COUNTA(H$5:H1890)</f>
        <v>4.9840933191940613E-2</v>
      </c>
      <c r="K1890" s="16">
        <f>AVERAGE(F$5:F1890)</f>
        <v>2.2167020148462342</v>
      </c>
      <c r="L1890" s="16">
        <f>SUM(F$5:F1890)/SUM(E$5:E1890)</f>
        <v>0.76180323985495302</v>
      </c>
    </row>
    <row r="1891" spans="1:12" x14ac:dyDescent="0.25">
      <c r="A1891" s="29">
        <v>45936</v>
      </c>
      <c r="B1891" s="16" t="s">
        <v>1937</v>
      </c>
      <c r="C1891" s="34">
        <v>1</v>
      </c>
      <c r="D1891" s="16" t="s">
        <v>56</v>
      </c>
      <c r="E1891" s="35">
        <v>3</v>
      </c>
      <c r="F1891" s="35">
        <v>2.4</v>
      </c>
      <c r="G1891" s="16" t="s">
        <v>44</v>
      </c>
      <c r="H1891" s="16" t="s">
        <v>45</v>
      </c>
      <c r="I1891" s="16">
        <f>COUNTIF(G$5:G1891,"Y")/COUNTA(G$5:G1891)</f>
        <v>0.88076311605723367</v>
      </c>
      <c r="J1891" s="16">
        <f>COUNTIF(H$5:H1891,"Y")/COUNTA(H$5:H1891)</f>
        <v>4.9814520402755698E-2</v>
      </c>
      <c r="K1891" s="16">
        <f>AVERAGE(F$5:F1891)</f>
        <v>2.2167991520932686</v>
      </c>
      <c r="L1891" s="16">
        <f>SUM(F$5:F1891)/SUM(E$5:E1891)</f>
        <v>0.76182410898031228</v>
      </c>
    </row>
    <row r="1892" spans="1:12" x14ac:dyDescent="0.25">
      <c r="A1892" s="29">
        <v>45937</v>
      </c>
      <c r="B1892" s="16" t="s">
        <v>1938</v>
      </c>
      <c r="C1892" s="34">
        <v>1</v>
      </c>
      <c r="D1892" s="16" t="s">
        <v>60</v>
      </c>
      <c r="E1892" s="35">
        <v>4.2</v>
      </c>
      <c r="F1892" s="35">
        <v>3.4</v>
      </c>
      <c r="G1892" s="16" t="s">
        <v>44</v>
      </c>
      <c r="H1892" s="16" t="s">
        <v>45</v>
      </c>
      <c r="I1892" s="16">
        <f>COUNTIF(G$5:G1892,"Y")/COUNTA(G$5:G1892)</f>
        <v>0.88082627118644063</v>
      </c>
      <c r="J1892" s="16">
        <f>COUNTIF(H$5:H1892,"Y")/COUNTA(H$5:H1892)</f>
        <v>4.9788135593220338E-2</v>
      </c>
      <c r="K1892" s="16">
        <f>AVERAGE(F$5:F1892)</f>
        <v>2.2174258474576258</v>
      </c>
      <c r="L1892" s="16">
        <f>SUM(F$5:F1892)/SUM(E$5:E1892)</f>
        <v>0.76186056668668378</v>
      </c>
    </row>
    <row r="1893" spans="1:12" x14ac:dyDescent="0.25">
      <c r="A1893" s="29">
        <v>45938</v>
      </c>
      <c r="B1893" s="16" t="s">
        <v>1939</v>
      </c>
      <c r="C1893" s="34">
        <v>1</v>
      </c>
      <c r="D1893" s="16" t="s">
        <v>43</v>
      </c>
      <c r="E1893" s="35">
        <v>2.6</v>
      </c>
      <c r="F1893" s="35">
        <v>2.2000000000000002</v>
      </c>
      <c r="G1893" s="16" t="s">
        <v>44</v>
      </c>
      <c r="H1893" s="16" t="s">
        <v>45</v>
      </c>
      <c r="I1893" s="16">
        <f>COUNTIF(G$5:G1893,"Y")/COUNTA(G$5:G1893)</f>
        <v>0.88088935944944413</v>
      </c>
      <c r="J1893" s="16">
        <f>COUNTIF(H$5:H1893,"Y")/COUNTA(H$5:H1893)</f>
        <v>4.9761778718898891E-2</v>
      </c>
      <c r="K1893" s="16">
        <f>AVERAGE(F$5:F1893)</f>
        <v>2.217416622551613</v>
      </c>
      <c r="L1893" s="16">
        <f>SUM(F$5:F1893)/SUM(E$5:E1893)</f>
        <v>0.76190043108936389</v>
      </c>
    </row>
    <row r="1894" spans="1:12" x14ac:dyDescent="0.25">
      <c r="A1894" s="29">
        <v>45939</v>
      </c>
      <c r="B1894" s="16" t="s">
        <v>1940</v>
      </c>
      <c r="C1894" s="34">
        <v>1</v>
      </c>
      <c r="D1894" s="16" t="s">
        <v>43</v>
      </c>
      <c r="E1894" s="35">
        <v>2.4</v>
      </c>
      <c r="F1894" s="35">
        <v>1.8</v>
      </c>
      <c r="G1894" s="16" t="s">
        <v>44</v>
      </c>
      <c r="H1894" s="16" t="s">
        <v>45</v>
      </c>
      <c r="I1894" s="16">
        <f>COUNTIF(G$5:G1894,"Y")/COUNTA(G$5:G1894)</f>
        <v>0.88095238095238093</v>
      </c>
      <c r="J1894" s="16">
        <f>COUNTIF(H$5:H1894,"Y")/COUNTA(H$5:H1894)</f>
        <v>4.9735449735449737E-2</v>
      </c>
      <c r="K1894" s="16">
        <f>AVERAGE(F$5:F1894)</f>
        <v>2.2171957671957658</v>
      </c>
      <c r="L1894" s="16">
        <f>SUM(F$5:F1894)/SUM(E$5:E1894)</f>
        <v>0.76189523826839445</v>
      </c>
    </row>
    <row r="1895" spans="1:12" x14ac:dyDescent="0.25">
      <c r="A1895" s="29">
        <v>45940</v>
      </c>
      <c r="B1895" s="16" t="s">
        <v>1941</v>
      </c>
      <c r="C1895" s="34">
        <v>1</v>
      </c>
      <c r="D1895" s="16" t="s">
        <v>64</v>
      </c>
      <c r="E1895" s="35">
        <v>2.4</v>
      </c>
      <c r="F1895" s="35">
        <v>2.1</v>
      </c>
      <c r="G1895" s="16" t="s">
        <v>44</v>
      </c>
      <c r="H1895" s="16" t="s">
        <v>45</v>
      </c>
      <c r="I1895" s="16">
        <f>COUNTIF(G$5:G1895,"Y")/COUNTA(G$5:G1895)</f>
        <v>0.88101533580116342</v>
      </c>
      <c r="J1895" s="16">
        <f>COUNTIF(H$5:H1895,"Y")/COUNTA(H$5:H1895)</f>
        <v>4.9709148598625068E-2</v>
      </c>
      <c r="K1895" s="16">
        <f>AVERAGE(F$5:F1895)</f>
        <v>2.2171337916446312</v>
      </c>
      <c r="L1895" s="16">
        <f>SUM(F$5:F1895)/SUM(E$5:E1895)</f>
        <v>0.76194457064970411</v>
      </c>
    </row>
    <row r="1896" spans="1:12" x14ac:dyDescent="0.25">
      <c r="A1896" s="29">
        <v>45936</v>
      </c>
      <c r="B1896" s="16" t="s">
        <v>1942</v>
      </c>
      <c r="C1896" s="34">
        <v>1</v>
      </c>
      <c r="D1896" s="16" t="s">
        <v>47</v>
      </c>
      <c r="E1896" s="35">
        <v>4.5999999999999996</v>
      </c>
      <c r="F1896" s="35">
        <v>3.5</v>
      </c>
      <c r="G1896" s="16" t="s">
        <v>44</v>
      </c>
      <c r="H1896" s="16" t="s">
        <v>45</v>
      </c>
      <c r="I1896" s="16">
        <f>COUNTIF(G$5:G1896,"Y")/COUNTA(G$5:G1896)</f>
        <v>0.88107822410147996</v>
      </c>
      <c r="J1896" s="16">
        <f>COUNTIF(H$5:H1896,"Y")/COUNTA(H$5:H1896)</f>
        <v>4.9682875264270614E-2</v>
      </c>
      <c r="K1896" s="16">
        <f>AVERAGE(F$5:F1896)</f>
        <v>2.217811839323466</v>
      </c>
      <c r="L1896" s="16">
        <f>SUM(F$5:F1896)/SUM(E$5:E1896)</f>
        <v>0.76194367271340568</v>
      </c>
    </row>
    <row r="1897" spans="1:12" x14ac:dyDescent="0.25">
      <c r="A1897" s="29">
        <v>45937</v>
      </c>
      <c r="B1897" s="16" t="s">
        <v>1943</v>
      </c>
      <c r="C1897" s="34">
        <v>1</v>
      </c>
      <c r="D1897" s="16" t="s">
        <v>43</v>
      </c>
      <c r="E1897" s="35">
        <v>4.0999999999999996</v>
      </c>
      <c r="F1897" s="35">
        <v>2.9</v>
      </c>
      <c r="G1897" s="16" t="s">
        <v>44</v>
      </c>
      <c r="H1897" s="16" t="s">
        <v>45</v>
      </c>
      <c r="I1897" s="16">
        <f>COUNTIF(G$5:G1897,"Y")/COUNTA(G$5:G1897)</f>
        <v>0.88114104595879561</v>
      </c>
      <c r="J1897" s="16">
        <f>COUNTIF(H$5:H1897,"Y")/COUNTA(H$5:H1897)</f>
        <v>4.9656629688325411E-2</v>
      </c>
      <c r="K1897" s="16">
        <f>AVERAGE(F$5:F1897)</f>
        <v>2.2181722134178536</v>
      </c>
      <c r="L1897" s="16">
        <f>SUM(F$5:F1897)/SUM(E$5:E1897)</f>
        <v>0.76190303382203439</v>
      </c>
    </row>
    <row r="1898" spans="1:12" x14ac:dyDescent="0.25">
      <c r="A1898" s="29">
        <v>45938</v>
      </c>
      <c r="B1898" s="16" t="s">
        <v>1944</v>
      </c>
      <c r="C1898" s="34">
        <v>1</v>
      </c>
      <c r="D1898" s="16" t="s">
        <v>52</v>
      </c>
      <c r="E1898" s="35">
        <v>4.3</v>
      </c>
      <c r="F1898" s="35">
        <v>3.8</v>
      </c>
      <c r="G1898" s="16" t="s">
        <v>45</v>
      </c>
      <c r="H1898" s="16" t="s">
        <v>45</v>
      </c>
      <c r="I1898" s="16">
        <f>COUNTIF(G$5:G1898,"Y")/COUNTA(G$5:G1898)</f>
        <v>0.88067581837381204</v>
      </c>
      <c r="J1898" s="16">
        <f>COUNTIF(H$5:H1898,"Y")/COUNTA(H$5:H1898)</f>
        <v>4.9630411826821541E-2</v>
      </c>
      <c r="K1898" s="16">
        <f>AVERAGE(F$5:F1898)</f>
        <v>2.2190073917634621</v>
      </c>
      <c r="L1898" s="16">
        <f>SUM(F$5:F1898)/SUM(E$5:E1898)</f>
        <v>0.76199800562052322</v>
      </c>
    </row>
    <row r="1899" spans="1:12" x14ac:dyDescent="0.25">
      <c r="A1899" s="29">
        <v>45939</v>
      </c>
      <c r="B1899" s="16" t="s">
        <v>1945</v>
      </c>
      <c r="C1899" s="34">
        <v>1</v>
      </c>
      <c r="D1899" s="16" t="s">
        <v>56</v>
      </c>
      <c r="E1899" s="35">
        <v>1.5</v>
      </c>
      <c r="F1899" s="35">
        <v>1.3</v>
      </c>
      <c r="G1899" s="16" t="s">
        <v>44</v>
      </c>
      <c r="H1899" s="16" t="s">
        <v>45</v>
      </c>
      <c r="I1899" s="16">
        <f>COUNTIF(G$5:G1899,"Y")/COUNTA(G$5:G1899)</f>
        <v>0.88073878627968338</v>
      </c>
      <c r="J1899" s="16">
        <f>COUNTIF(H$5:H1899,"Y")/COUNTA(H$5:H1899)</f>
        <v>4.9604221635883905E-2</v>
      </c>
      <c r="K1899" s="16">
        <f>AVERAGE(F$5:F1899)</f>
        <v>2.2185224274406319</v>
      </c>
      <c r="L1899" s="16">
        <f>SUM(F$5:F1899)/SUM(E$5:E1899)</f>
        <v>0.76202646365778437</v>
      </c>
    </row>
    <row r="1900" spans="1:12" x14ac:dyDescent="0.25">
      <c r="A1900" s="29">
        <v>45940</v>
      </c>
      <c r="B1900" s="16" t="s">
        <v>1946</v>
      </c>
      <c r="C1900" s="34">
        <v>1</v>
      </c>
      <c r="D1900" s="16" t="s">
        <v>56</v>
      </c>
      <c r="E1900" s="35">
        <v>2</v>
      </c>
      <c r="F1900" s="35">
        <v>1.7</v>
      </c>
      <c r="G1900" s="16" t="s">
        <v>45</v>
      </c>
      <c r="H1900" s="16" t="s">
        <v>45</v>
      </c>
      <c r="I1900" s="16">
        <f>COUNTIF(G$5:G1900,"Y")/COUNTA(G$5:G1900)</f>
        <v>0.88027426160337552</v>
      </c>
      <c r="J1900" s="16">
        <f>COUNTIF(H$5:H1900,"Y")/COUNTA(H$5:H1900)</f>
        <v>4.9578059071729956E-2</v>
      </c>
      <c r="K1900" s="16">
        <f>AVERAGE(F$5:F1900)</f>
        <v>2.2182489451476779</v>
      </c>
      <c r="L1900" s="16">
        <f>SUM(F$5:F1900)/SUM(E$5:E1900)</f>
        <v>0.7620583439028803</v>
      </c>
    </row>
    <row r="1901" spans="1:12" x14ac:dyDescent="0.25">
      <c r="A1901" s="29">
        <v>45936</v>
      </c>
      <c r="B1901" s="16" t="s">
        <v>1947</v>
      </c>
      <c r="C1901" s="34">
        <v>1</v>
      </c>
      <c r="D1901" s="16" t="s">
        <v>52</v>
      </c>
      <c r="E1901" s="35">
        <v>2.4</v>
      </c>
      <c r="F1901" s="35">
        <v>2</v>
      </c>
      <c r="G1901" s="16" t="s">
        <v>44</v>
      </c>
      <c r="H1901" s="16" t="s">
        <v>45</v>
      </c>
      <c r="I1901" s="16">
        <f>COUNTIF(G$5:G1901,"Y")/COUNTA(G$5:G1901)</f>
        <v>0.88033737480231944</v>
      </c>
      <c r="J1901" s="16">
        <f>COUNTIF(H$5:H1901,"Y")/COUNTA(H$5:H1901)</f>
        <v>4.9551924090669476E-2</v>
      </c>
      <c r="K1901" s="16">
        <f>AVERAGE(F$5:F1901)</f>
        <v>2.218133895624669</v>
      </c>
      <c r="L1901" s="16">
        <f>SUM(F$5:F1901)/SUM(E$5:E1901)</f>
        <v>0.76208932517115158</v>
      </c>
    </row>
    <row r="1902" spans="1:12" x14ac:dyDescent="0.25">
      <c r="A1902" s="29">
        <v>45937</v>
      </c>
      <c r="B1902" s="16" t="s">
        <v>1948</v>
      </c>
      <c r="C1902" s="34">
        <v>1</v>
      </c>
      <c r="D1902" s="16" t="s">
        <v>56</v>
      </c>
      <c r="E1902" s="35">
        <v>4.7</v>
      </c>
      <c r="F1902" s="35">
        <v>3.4</v>
      </c>
      <c r="G1902" s="16" t="s">
        <v>44</v>
      </c>
      <c r="H1902" s="16" t="s">
        <v>45</v>
      </c>
      <c r="I1902" s="16">
        <f>COUNTIF(G$5:G1902,"Y")/COUNTA(G$5:G1902)</f>
        <v>0.88040042149631192</v>
      </c>
      <c r="J1902" s="16">
        <f>COUNTIF(H$5:H1902,"Y")/COUNTA(H$5:H1902)</f>
        <v>4.9525816649104319E-2</v>
      </c>
      <c r="K1902" s="16">
        <f>AVERAGE(F$5:F1902)</f>
        <v>2.2187565858798721</v>
      </c>
      <c r="L1902" s="16">
        <f>SUM(F$5:F1902)/SUM(E$5:E1902)</f>
        <v>0.7620564231555701</v>
      </c>
    </row>
    <row r="1903" spans="1:12" x14ac:dyDescent="0.25">
      <c r="A1903" s="29">
        <v>45938</v>
      </c>
      <c r="B1903" s="16" t="s">
        <v>1949</v>
      </c>
      <c r="C1903" s="34">
        <v>1</v>
      </c>
      <c r="D1903" s="16" t="s">
        <v>50</v>
      </c>
      <c r="E1903" s="35">
        <v>2.6</v>
      </c>
      <c r="F1903" s="35">
        <v>1.9</v>
      </c>
      <c r="G1903" s="16" t="s">
        <v>44</v>
      </c>
      <c r="H1903" s="16" t="s">
        <v>45</v>
      </c>
      <c r="I1903" s="16">
        <f>COUNTIF(G$5:G1903,"Y")/COUNTA(G$5:G1903)</f>
        <v>0.88046340179041604</v>
      </c>
      <c r="J1903" s="16">
        <f>COUNTIF(H$5:H1903,"Y")/COUNTA(H$5:H1903)</f>
        <v>4.9499736703528176E-2</v>
      </c>
      <c r="K1903" s="16">
        <f>AVERAGE(F$5:F1903)</f>
        <v>2.2185887309110042</v>
      </c>
      <c r="L1903" s="16">
        <f>SUM(F$5:F1903)/SUM(E$5:E1903)</f>
        <v>0.76204170962432316</v>
      </c>
    </row>
    <row r="1904" spans="1:12" x14ac:dyDescent="0.25">
      <c r="A1904" s="29">
        <v>45939</v>
      </c>
      <c r="B1904" s="16" t="s">
        <v>1950</v>
      </c>
      <c r="C1904" s="34">
        <v>1</v>
      </c>
      <c r="D1904" s="16" t="s">
        <v>43</v>
      </c>
      <c r="E1904" s="35">
        <v>6</v>
      </c>
      <c r="F1904" s="35">
        <v>4</v>
      </c>
      <c r="G1904" s="16" t="s">
        <v>44</v>
      </c>
      <c r="H1904" s="16" t="s">
        <v>45</v>
      </c>
      <c r="I1904" s="16">
        <f>COUNTIF(G$5:G1904,"Y")/COUNTA(G$5:G1904)</f>
        <v>0.88052631578947371</v>
      </c>
      <c r="J1904" s="16">
        <f>COUNTIF(H$5:H1904,"Y")/COUNTA(H$5:H1904)</f>
        <v>4.9473684210526316E-2</v>
      </c>
      <c r="K1904" s="16">
        <f>AVERAGE(F$5:F1904)</f>
        <v>2.219526315789472</v>
      </c>
      <c r="L1904" s="16">
        <f>SUM(F$5:F1904)/SUM(E$5:E1904)</f>
        <v>0.76193831643991461</v>
      </c>
    </row>
    <row r="1905" spans="1:13" x14ac:dyDescent="0.25">
      <c r="A1905" s="29">
        <v>45940</v>
      </c>
      <c r="B1905" s="16" t="s">
        <v>1951</v>
      </c>
      <c r="C1905" s="34">
        <v>1</v>
      </c>
      <c r="D1905" s="16" t="s">
        <v>52</v>
      </c>
      <c r="E1905" s="35">
        <v>4.5999999999999996</v>
      </c>
      <c r="F1905" s="35">
        <v>3.3</v>
      </c>
      <c r="G1905" s="16" t="s">
        <v>44</v>
      </c>
      <c r="H1905" s="16" t="s">
        <v>45</v>
      </c>
      <c r="I1905" s="16">
        <f>COUNTIF(G$5:G1905,"Y")/COUNTA(G$5:G1905)</f>
        <v>0.88058916359810624</v>
      </c>
      <c r="J1905" s="16">
        <f>COUNTIF(H$5:H1905,"Y")/COUNTA(H$5:H1905)</f>
        <v>4.944765912677538E-2</v>
      </c>
      <c r="K1905" s="16">
        <f>AVERAGE(F$5:F1905)</f>
        <v>2.2200946870068368</v>
      </c>
      <c r="L1905" s="16">
        <f>SUM(F$5:F1905)/SUM(E$5:E1905)</f>
        <v>0.76190132327189275</v>
      </c>
    </row>
    <row r="1906" spans="1:13" x14ac:dyDescent="0.25">
      <c r="A1906" s="29">
        <v>45936</v>
      </c>
      <c r="B1906" s="16" t="s">
        <v>1952</v>
      </c>
      <c r="C1906" s="34">
        <v>1</v>
      </c>
      <c r="D1906" s="16" t="s">
        <v>64</v>
      </c>
      <c r="E1906" s="35">
        <v>4.0999999999999996</v>
      </c>
      <c r="F1906" s="35">
        <v>3.7</v>
      </c>
      <c r="G1906" s="16" t="s">
        <v>44</v>
      </c>
      <c r="H1906" s="16" t="s">
        <v>45</v>
      </c>
      <c r="I1906" s="16">
        <f>COUNTIF(G$5:G1906,"Y")/COUNTA(G$5:G1906)</f>
        <v>0.880651945320715</v>
      </c>
      <c r="J1906" s="16">
        <f>COUNTIF(H$5:H1906,"Y")/COUNTA(H$5:H1906)</f>
        <v>4.9421661409043111E-2</v>
      </c>
      <c r="K1906" s="16">
        <f>AVERAGE(F$5:F1906)</f>
        <v>2.2208727655099878</v>
      </c>
      <c r="L1906" s="16">
        <f>SUM(F$5:F1906)/SUM(E$5:E1906)</f>
        <v>0.76200526752534459</v>
      </c>
    </row>
    <row r="1907" spans="1:13" x14ac:dyDescent="0.25">
      <c r="A1907" s="29">
        <v>45937</v>
      </c>
      <c r="B1907" s="16" t="s">
        <v>1953</v>
      </c>
      <c r="C1907" s="34">
        <v>1</v>
      </c>
      <c r="D1907" s="16" t="s">
        <v>64</v>
      </c>
      <c r="E1907" s="35">
        <v>2.8</v>
      </c>
      <c r="F1907" s="35">
        <v>2</v>
      </c>
      <c r="G1907" s="16" t="s">
        <v>44</v>
      </c>
      <c r="H1907" s="16" t="s">
        <v>45</v>
      </c>
      <c r="I1907" s="16">
        <f>COUNTIF(G$5:G1907,"Y")/COUNTA(G$5:G1907)</f>
        <v>0.88071466106148188</v>
      </c>
      <c r="J1907" s="16">
        <f>COUNTIF(H$5:H1907,"Y")/COUNTA(H$5:H1907)</f>
        <v>4.9395691014188121E-2</v>
      </c>
      <c r="K1907" s="16">
        <f>AVERAGE(F$5:F1907)</f>
        <v>2.2207566999474495</v>
      </c>
      <c r="L1907" s="16">
        <f>SUM(F$5:F1907)/SUM(E$5:E1907)</f>
        <v>0.7619811763008898</v>
      </c>
    </row>
    <row r="1908" spans="1:13" x14ac:dyDescent="0.25">
      <c r="A1908" s="29">
        <v>45938</v>
      </c>
      <c r="B1908" s="16" t="s">
        <v>1954</v>
      </c>
      <c r="C1908" s="34">
        <v>1</v>
      </c>
      <c r="D1908" s="16" t="s">
        <v>43</v>
      </c>
      <c r="E1908" s="35">
        <v>0.6</v>
      </c>
      <c r="F1908" s="35">
        <v>0.5</v>
      </c>
      <c r="G1908" s="16" t="s">
        <v>44</v>
      </c>
      <c r="H1908" s="16" t="s">
        <v>45</v>
      </c>
      <c r="I1908" s="16">
        <f>COUNTIF(G$5:G1908,"Y")/COUNTA(G$5:G1908)</f>
        <v>0.88077731092436973</v>
      </c>
      <c r="J1908" s="16">
        <f>COUNTIF(H$5:H1908,"Y")/COUNTA(H$5:H1908)</f>
        <v>4.9369747899159662E-2</v>
      </c>
      <c r="K1908" s="16">
        <f>AVERAGE(F$5:F1908)</f>
        <v>2.2198529411764687</v>
      </c>
      <c r="L1908" s="16">
        <f>SUM(F$5:F1908)/SUM(E$5:E1908)</f>
        <v>0.76198889449772744</v>
      </c>
    </row>
    <row r="1909" spans="1:13" x14ac:dyDescent="0.25">
      <c r="A1909" s="29">
        <v>45939</v>
      </c>
      <c r="B1909" s="16" t="s">
        <v>1955</v>
      </c>
      <c r="C1909" s="34">
        <v>1</v>
      </c>
      <c r="D1909" s="16" t="s">
        <v>56</v>
      </c>
      <c r="E1909" s="35">
        <v>0.7</v>
      </c>
      <c r="F1909" s="35">
        <v>0.5</v>
      </c>
      <c r="G1909" s="16" t="s">
        <v>45</v>
      </c>
      <c r="H1909" s="16" t="s">
        <v>45</v>
      </c>
      <c r="I1909" s="16">
        <f>COUNTIF(G$5:G1909,"Y")/COUNTA(G$5:G1909)</f>
        <v>0.88031496062992121</v>
      </c>
      <c r="J1909" s="16">
        <f>COUNTIF(H$5:H1909,"Y")/COUNTA(H$5:H1909)</f>
        <v>4.9343832020997375E-2</v>
      </c>
      <c r="K1909" s="16">
        <f>AVERAGE(F$5:F1909)</f>
        <v>2.2189501312335942</v>
      </c>
      <c r="L1909" s="16">
        <f>SUM(F$5:F1909)/SUM(E$5:E1909)</f>
        <v>0.7619828751689941</v>
      </c>
    </row>
    <row r="1910" spans="1:13" x14ac:dyDescent="0.25">
      <c r="A1910" s="29">
        <v>45940</v>
      </c>
      <c r="B1910" s="16" t="s">
        <v>1956</v>
      </c>
      <c r="C1910" s="34">
        <v>1</v>
      </c>
      <c r="D1910" s="16" t="s">
        <v>60</v>
      </c>
      <c r="E1910" s="35">
        <v>0.6</v>
      </c>
      <c r="F1910" s="35">
        <v>0.5</v>
      </c>
      <c r="G1910" s="16" t="s">
        <v>44</v>
      </c>
      <c r="H1910" s="16" t="s">
        <v>45</v>
      </c>
      <c r="I1910" s="16">
        <f>COUNTIF(G$5:G1910,"Y")/COUNTA(G$5:G1910)</f>
        <v>0.88037775445960131</v>
      </c>
      <c r="J1910" s="16">
        <f>COUNTIF(H$5:H1910,"Y")/COUNTA(H$5:H1910)</f>
        <v>4.9317943336831059E-2</v>
      </c>
      <c r="K1910" s="16">
        <f>AVERAGE(F$5:F1910)</f>
        <v>2.2180482686253917</v>
      </c>
      <c r="L1910" s="16">
        <f>SUM(F$5:F1910)/SUM(E$5:E1910)</f>
        <v>0.76199059137362235</v>
      </c>
    </row>
    <row r="1911" spans="1:13" x14ac:dyDescent="0.25">
      <c r="A1911" s="29">
        <v>45936</v>
      </c>
      <c r="B1911" s="16" t="s">
        <v>1957</v>
      </c>
      <c r="C1911" s="34">
        <v>1</v>
      </c>
      <c r="D1911" s="16" t="s">
        <v>60</v>
      </c>
      <c r="E1911" s="35">
        <v>0.7</v>
      </c>
      <c r="F1911" s="35">
        <v>0.5</v>
      </c>
      <c r="G1911" s="16" t="s">
        <v>45</v>
      </c>
      <c r="H1911" s="16" t="s">
        <v>45</v>
      </c>
      <c r="I1911" s="16">
        <f>COUNTIF(G$5:G1911,"Y")/COUNTA(G$5:G1911)</f>
        <v>0.87991609858416364</v>
      </c>
      <c r="J1911" s="16">
        <f>COUNTIF(H$5:H1911,"Y")/COUNTA(H$5:H1911)</f>
        <v>4.9292081803880443E-2</v>
      </c>
      <c r="K1911" s="16">
        <f>AVERAGE(F$5:F1911)</f>
        <v>2.217147351861561</v>
      </c>
      <c r="L1911" s="16">
        <f>SUM(F$5:F1911)/SUM(E$5:E1911)</f>
        <v>0.76198457324106017</v>
      </c>
    </row>
    <row r="1912" spans="1:13" x14ac:dyDescent="0.25">
      <c r="A1912" s="29">
        <v>45937</v>
      </c>
      <c r="B1912" s="16" t="s">
        <v>1958</v>
      </c>
      <c r="C1912" s="34">
        <v>1</v>
      </c>
      <c r="D1912" s="16" t="s">
        <v>50</v>
      </c>
      <c r="E1912" s="35">
        <v>0.6</v>
      </c>
      <c r="F1912" s="35">
        <v>0.5</v>
      </c>
      <c r="G1912" s="16" t="s">
        <v>44</v>
      </c>
      <c r="H1912" s="16" t="s">
        <v>45</v>
      </c>
      <c r="I1912" s="16">
        <f>COUNTIF(G$5:G1912,"Y")/COUNTA(G$5:G1912)</f>
        <v>0.87997903563941304</v>
      </c>
      <c r="J1912" s="16">
        <f>COUNTIF(H$5:H1912,"Y")/COUNTA(H$5:H1912)</f>
        <v>4.9266247379454925E-2</v>
      </c>
      <c r="K1912" s="16">
        <f>AVERAGE(F$5:F1912)</f>
        <v>2.2162473794549249</v>
      </c>
      <c r="L1912" s="16">
        <f>SUM(F$5:F1912)/SUM(E$5:E1912)</f>
        <v>0.76199228745449854</v>
      </c>
    </row>
    <row r="1913" spans="1:13" x14ac:dyDescent="0.25">
      <c r="A1913" s="29">
        <v>45938</v>
      </c>
      <c r="B1913" s="16" t="s">
        <v>1959</v>
      </c>
      <c r="C1913" s="34">
        <v>1</v>
      </c>
      <c r="D1913" s="16" t="s">
        <v>60</v>
      </c>
      <c r="E1913" s="35">
        <v>0.7</v>
      </c>
      <c r="F1913" s="35">
        <v>0.5</v>
      </c>
      <c r="G1913" s="16" t="s">
        <v>44</v>
      </c>
      <c r="H1913" s="16" t="s">
        <v>45</v>
      </c>
      <c r="I1913" s="16">
        <f>COUNTIF(G$5:G1913,"Y")/COUNTA(G$5:G1913)</f>
        <v>0.88004190675746463</v>
      </c>
      <c r="J1913" s="16">
        <f>COUNTIF(H$5:H1913,"Y")/COUNTA(H$5:H1913)</f>
        <v>4.9240440020953381E-2</v>
      </c>
      <c r="K1913" s="16">
        <f>AVERAGE(F$5:F1913)</f>
        <v>2.215348349921423</v>
      </c>
      <c r="L1913" s="16">
        <f>SUM(F$5:F1913)/SUM(E$5:E1913)</f>
        <v>0.76198627051764733</v>
      </c>
    </row>
    <row r="1914" spans="1:13" x14ac:dyDescent="0.25">
      <c r="A1914" s="29">
        <v>45939</v>
      </c>
      <c r="B1914" s="16" t="s">
        <v>1960</v>
      </c>
      <c r="C1914" s="34">
        <v>1</v>
      </c>
      <c r="D1914" s="16" t="s">
        <v>56</v>
      </c>
      <c r="E1914" s="35">
        <v>1.5</v>
      </c>
      <c r="F1914" s="35">
        <v>0.5</v>
      </c>
      <c r="G1914" s="16" t="s">
        <v>44</v>
      </c>
      <c r="H1914" s="16" t="s">
        <v>45</v>
      </c>
      <c r="I1914" s="16">
        <f>COUNTIF(G$5:G1914,"Y")/COUNTA(G$5:G1914)</f>
        <v>0.88010471204188478</v>
      </c>
      <c r="J1914" s="16">
        <f>COUNTIF(H$5:H1914,"Y")/COUNTA(H$5:H1914)</f>
        <v>4.9214659685863874E-2</v>
      </c>
      <c r="K1914" s="16">
        <f>AVERAGE(F$5:F1914)</f>
        <v>2.2144502617801032</v>
      </c>
      <c r="L1914" s="16">
        <f>SUM(F$5:F1914)/SUM(E$5:E1914)</f>
        <v>0.76187045176165324</v>
      </c>
      <c r="M1914" s="16">
        <v>11</v>
      </c>
    </row>
    <row r="1915" spans="1:13" x14ac:dyDescent="0.25">
      <c r="A1915" s="29">
        <v>45943</v>
      </c>
      <c r="B1915" s="16" t="s">
        <v>1961</v>
      </c>
      <c r="C1915" s="34">
        <v>1</v>
      </c>
      <c r="D1915" s="16" t="s">
        <v>64</v>
      </c>
      <c r="E1915" s="35">
        <v>3.8</v>
      </c>
      <c r="F1915" s="35">
        <v>2.8</v>
      </c>
      <c r="G1915" s="16" t="s">
        <v>44</v>
      </c>
      <c r="H1915" s="16" t="s">
        <v>45</v>
      </c>
      <c r="I1915" s="16">
        <f>COUNTIF(G$5:G1915,"Y")/COUNTA(G$5:G1915)</f>
        <v>0.88016745159602305</v>
      </c>
      <c r="J1915" s="16">
        <f>COUNTIF(H$5:H1915,"Y")/COUNTA(H$5:H1915)</f>
        <v>4.9188906331763475E-2</v>
      </c>
      <c r="K1915" s="16">
        <f>AVERAGE(F$5:F1915)</f>
        <v>2.2147566718995275</v>
      </c>
      <c r="L1915" s="16">
        <f>SUM(F$5:F1915)/SUM(E$5:E1915)</f>
        <v>0.76185333189329196</v>
      </c>
    </row>
    <row r="1916" spans="1:13" x14ac:dyDescent="0.25">
      <c r="A1916" s="29">
        <v>45944</v>
      </c>
      <c r="B1916" s="16" t="s">
        <v>1962</v>
      </c>
      <c r="C1916" s="34">
        <v>1</v>
      </c>
      <c r="D1916" s="16" t="s">
        <v>52</v>
      </c>
      <c r="E1916" s="35">
        <v>2.2999999999999998</v>
      </c>
      <c r="F1916" s="35">
        <v>2.1</v>
      </c>
      <c r="G1916" s="16" t="s">
        <v>44</v>
      </c>
      <c r="H1916" s="16" t="s">
        <v>45</v>
      </c>
      <c r="I1916" s="16">
        <f>COUNTIF(G$5:G1916,"Y")/COUNTA(G$5:G1916)</f>
        <v>0.88023012552301261</v>
      </c>
      <c r="J1916" s="16">
        <f>COUNTIF(H$5:H1916,"Y")/COUNTA(H$5:H1916)</f>
        <v>4.9163179916317995E-2</v>
      </c>
      <c r="K1916" s="16">
        <f>AVERAGE(F$5:F1916)</f>
        <v>2.2146966527196636</v>
      </c>
      <c r="L1916" s="16">
        <f>SUM(F$5:F1916)/SUM(E$5:E1916)</f>
        <v>0.76191590046242053</v>
      </c>
    </row>
    <row r="1917" spans="1:13" x14ac:dyDescent="0.25">
      <c r="A1917" s="29">
        <v>45945</v>
      </c>
      <c r="B1917" s="16" t="s">
        <v>1963</v>
      </c>
      <c r="C1917" s="34">
        <v>1</v>
      </c>
      <c r="D1917" s="16" t="s">
        <v>64</v>
      </c>
      <c r="E1917" s="35">
        <v>1.8</v>
      </c>
      <c r="F1917" s="35">
        <v>1.6</v>
      </c>
      <c r="G1917" s="16" t="s">
        <v>44</v>
      </c>
      <c r="H1917" s="16" t="s">
        <v>45</v>
      </c>
      <c r="I1917" s="16">
        <f>COUNTIF(G$5:G1917,"Y")/COUNTA(G$5:G1917)</f>
        <v>0.88029273392577101</v>
      </c>
      <c r="J1917" s="16">
        <f>COUNTIF(H$5:H1917,"Y")/COUNTA(H$5:H1917)</f>
        <v>4.9137480397281753E-2</v>
      </c>
      <c r="K1917" s="16">
        <f>AVERAGE(F$5:F1917)</f>
        <v>2.2143753267119695</v>
      </c>
      <c r="L1917" s="16">
        <f>SUM(F$5:F1917)/SUM(E$5:E1917)</f>
        <v>0.76195701052252807</v>
      </c>
    </row>
    <row r="1918" spans="1:13" x14ac:dyDescent="0.25">
      <c r="A1918" s="29">
        <v>45946</v>
      </c>
      <c r="B1918" s="16" t="s">
        <v>1964</v>
      </c>
      <c r="C1918" s="34">
        <v>1</v>
      </c>
      <c r="D1918" s="16" t="s">
        <v>56</v>
      </c>
      <c r="E1918" s="35">
        <v>3.3</v>
      </c>
      <c r="F1918" s="35">
        <v>2.4</v>
      </c>
      <c r="G1918" s="16" t="s">
        <v>45</v>
      </c>
      <c r="H1918" s="16" t="s">
        <v>45</v>
      </c>
      <c r="I1918" s="16">
        <f>COUNTIF(G$5:G1918,"Y")/COUNTA(G$5:G1918)</f>
        <v>0.87983281086729359</v>
      </c>
      <c r="J1918" s="16">
        <f>COUNTIF(H$5:H1918,"Y")/COUNTA(H$5:H1918)</f>
        <v>4.911180773249739E-2</v>
      </c>
      <c r="K1918" s="16">
        <f>AVERAGE(F$5:F1918)</f>
        <v>2.2144723092998939</v>
      </c>
      <c r="L1918" s="16">
        <f>SUM(F$5:F1918)/SUM(E$5:E1918)</f>
        <v>0.76193643488890384</v>
      </c>
    </row>
    <row r="1919" spans="1:13" x14ac:dyDescent="0.25">
      <c r="A1919" s="29">
        <v>45947</v>
      </c>
      <c r="B1919" s="16" t="s">
        <v>1965</v>
      </c>
      <c r="C1919" s="34">
        <v>1</v>
      </c>
      <c r="D1919" s="16" t="s">
        <v>50</v>
      </c>
      <c r="E1919" s="35">
        <v>4</v>
      </c>
      <c r="F1919" s="35">
        <v>2.8</v>
      </c>
      <c r="G1919" s="16" t="s">
        <v>44</v>
      </c>
      <c r="H1919" s="16" t="s">
        <v>45</v>
      </c>
      <c r="I1919" s="16">
        <f>COUNTIF(G$5:G1919,"Y")/COUNTA(G$5:G1919)</f>
        <v>0.8798955613577023</v>
      </c>
      <c r="J1919" s="16">
        <f>COUNTIF(H$5:H1919,"Y")/COUNTA(H$5:H1919)</f>
        <v>4.9086161879895562E-2</v>
      </c>
      <c r="K1919" s="16">
        <f>AVERAGE(F$5:F1919)</f>
        <v>2.2147780678851161</v>
      </c>
      <c r="L1919" s="16">
        <f>SUM(F$5:F1919)/SUM(E$5:E1919)</f>
        <v>0.76189193073219708</v>
      </c>
    </row>
    <row r="1920" spans="1:13" x14ac:dyDescent="0.25">
      <c r="A1920" s="29">
        <v>45943</v>
      </c>
      <c r="B1920" s="16" t="s">
        <v>1966</v>
      </c>
      <c r="C1920" s="34">
        <v>1</v>
      </c>
      <c r="D1920" s="16" t="s">
        <v>56</v>
      </c>
      <c r="E1920" s="35">
        <v>4.9000000000000004</v>
      </c>
      <c r="F1920" s="35">
        <v>3.9</v>
      </c>
      <c r="G1920" s="16" t="s">
        <v>44</v>
      </c>
      <c r="H1920" s="16" t="s">
        <v>45</v>
      </c>
      <c r="I1920" s="16">
        <f>COUNTIF(G$5:G1920,"Y")/COUNTA(G$5:G1920)</f>
        <v>0.87995824634655528</v>
      </c>
      <c r="J1920" s="16">
        <f>COUNTIF(H$5:H1920,"Y")/COUNTA(H$5:H1920)</f>
        <v>4.9060542797494784E-2</v>
      </c>
      <c r="K1920" s="16">
        <f>AVERAGE(F$5:F1920)</f>
        <v>2.2156576200417519</v>
      </c>
      <c r="L1920" s="16">
        <f>SUM(F$5:F1920)/SUM(E$5:E1920)</f>
        <v>0.76192185508911003</v>
      </c>
    </row>
    <row r="1921" spans="1:12" x14ac:dyDescent="0.25">
      <c r="A1921" s="29">
        <v>45944</v>
      </c>
      <c r="B1921" s="16" t="s">
        <v>1967</v>
      </c>
      <c r="C1921" s="34">
        <v>1</v>
      </c>
      <c r="D1921" s="16" t="s">
        <v>64</v>
      </c>
      <c r="E1921" s="35">
        <v>4.0999999999999996</v>
      </c>
      <c r="F1921" s="35">
        <v>3</v>
      </c>
      <c r="G1921" s="16" t="s">
        <v>44</v>
      </c>
      <c r="H1921" s="16" t="s">
        <v>45</v>
      </c>
      <c r="I1921" s="16">
        <f>COUNTIF(G$5:G1921,"Y")/COUNTA(G$5:G1921)</f>
        <v>0.88002086593635886</v>
      </c>
      <c r="J1921" s="16">
        <f>COUNTIF(H$5:H1921,"Y")/COUNTA(H$5:H1921)</f>
        <v>4.903495044340115E-2</v>
      </c>
      <c r="K1921" s="16">
        <f>AVERAGE(F$5:F1921)</f>
        <v>2.2160667709963469</v>
      </c>
      <c r="L1921" s="16">
        <f>SUM(F$5:F1921)/SUM(E$5:E1921)</f>
        <v>0.76189963772014668</v>
      </c>
    </row>
    <row r="1922" spans="1:12" x14ac:dyDescent="0.25">
      <c r="A1922" s="29">
        <v>45945</v>
      </c>
      <c r="B1922" s="16" t="s">
        <v>1968</v>
      </c>
      <c r="C1922" s="34">
        <v>1</v>
      </c>
      <c r="D1922" s="16" t="s">
        <v>52</v>
      </c>
      <c r="E1922" s="35">
        <v>3</v>
      </c>
      <c r="F1922" s="35">
        <v>2.1</v>
      </c>
      <c r="G1922" s="16" t="s">
        <v>44</v>
      </c>
      <c r="H1922" s="16" t="s">
        <v>45</v>
      </c>
      <c r="I1922" s="16">
        <f>COUNTIF(G$5:G1922,"Y")/COUNTA(G$5:G1922)</f>
        <v>0.88008342022940567</v>
      </c>
      <c r="J1922" s="16">
        <f>COUNTIF(H$5:H1922,"Y")/COUNTA(H$5:H1922)</f>
        <v>4.9009384775808136E-2</v>
      </c>
      <c r="K1922" s="16">
        <f>AVERAGE(F$5:F1922)</f>
        <v>2.2160062565172041</v>
      </c>
      <c r="L1922" s="16">
        <f>SUM(F$5:F1922)/SUM(E$5:E1922)</f>
        <v>0.76186635118663415</v>
      </c>
    </row>
    <row r="1923" spans="1:12" x14ac:dyDescent="0.25">
      <c r="A1923" s="29">
        <v>45946</v>
      </c>
      <c r="B1923" s="16" t="s">
        <v>1969</v>
      </c>
      <c r="C1923" s="34">
        <v>1</v>
      </c>
      <c r="D1923" s="16" t="s">
        <v>64</v>
      </c>
      <c r="E1923" s="35">
        <v>3.5</v>
      </c>
      <c r="F1923" s="35">
        <v>2.6</v>
      </c>
      <c r="G1923" s="16" t="s">
        <v>44</v>
      </c>
      <c r="H1923" s="16" t="s">
        <v>45</v>
      </c>
      <c r="I1923" s="16">
        <f>COUNTIF(G$5:G1923,"Y")/COUNTA(G$5:G1923)</f>
        <v>0.88014590932777492</v>
      </c>
      <c r="J1923" s="16">
        <f>COUNTIF(H$5:H1923,"Y")/COUNTA(H$5:H1923)</f>
        <v>4.8983845752996351E-2</v>
      </c>
      <c r="K1923" s="16">
        <f>AVERAGE(F$5:F1923)</f>
        <v>2.2162063574778519</v>
      </c>
      <c r="L1923" s="16">
        <f>SUM(F$5:F1923)/SUM(E$5:E1923)</f>
        <v>0.76185443276068909</v>
      </c>
    </row>
    <row r="1924" spans="1:12" x14ac:dyDescent="0.25">
      <c r="A1924" s="29">
        <v>45947</v>
      </c>
      <c r="B1924" s="16" t="s">
        <v>1970</v>
      </c>
      <c r="C1924" s="34">
        <v>1</v>
      </c>
      <c r="D1924" s="16" t="s">
        <v>50</v>
      </c>
      <c r="E1924" s="35">
        <v>4.0999999999999996</v>
      </c>
      <c r="F1924" s="35">
        <v>3.4</v>
      </c>
      <c r="G1924" s="16" t="s">
        <v>44</v>
      </c>
      <c r="H1924" s="16" t="s">
        <v>45</v>
      </c>
      <c r="I1924" s="16">
        <f>COUNTIF(G$5:G1924,"Y")/COUNTA(G$5:G1924)</f>
        <v>0.88020833333333337</v>
      </c>
      <c r="J1924" s="16">
        <f>COUNTIF(H$5:H1924,"Y")/COUNTA(H$5:H1924)</f>
        <v>4.8958333333333333E-2</v>
      </c>
      <c r="K1924" s="16">
        <f>AVERAGE(F$5:F1924)</f>
        <v>2.2168229166666653</v>
      </c>
      <c r="L1924" s="16">
        <f>SUM(F$5:F1924)/SUM(E$5:E1924)</f>
        <v>0.76190390949448561</v>
      </c>
    </row>
    <row r="1925" spans="1:12" x14ac:dyDescent="0.25">
      <c r="A1925" s="29">
        <v>45943</v>
      </c>
      <c r="B1925" s="16" t="s">
        <v>1971</v>
      </c>
      <c r="C1925" s="34">
        <v>1</v>
      </c>
      <c r="D1925" s="16" t="s">
        <v>52</v>
      </c>
      <c r="E1925" s="35">
        <v>4.3</v>
      </c>
      <c r="F1925" s="35">
        <v>3.1</v>
      </c>
      <c r="G1925" s="16" t="s">
        <v>44</v>
      </c>
      <c r="H1925" s="16" t="s">
        <v>45</v>
      </c>
      <c r="I1925" s="16">
        <f>COUNTIF(G$5:G1925,"Y")/COUNTA(G$5:G1925)</f>
        <v>0.88027069234773558</v>
      </c>
      <c r="J1925" s="16">
        <f>COUNTIF(H$5:H1925,"Y")/COUNTA(H$5:H1925)</f>
        <v>4.8932847475273294E-2</v>
      </c>
      <c r="K1925" s="16">
        <f>AVERAGE(F$5:F1925)</f>
        <v>2.2172826652784998</v>
      </c>
      <c r="L1925" s="16">
        <f>SUM(F$5:F1925)/SUM(E$5:E1925)</f>
        <v>0.76187239522778805</v>
      </c>
    </row>
    <row r="1926" spans="1:12" x14ac:dyDescent="0.25">
      <c r="A1926" s="29">
        <v>45944</v>
      </c>
      <c r="B1926" s="16" t="s">
        <v>1972</v>
      </c>
      <c r="C1926" s="34">
        <v>1</v>
      </c>
      <c r="D1926" s="16" t="s">
        <v>64</v>
      </c>
      <c r="E1926" s="35">
        <v>2</v>
      </c>
      <c r="F1926" s="35">
        <v>1.7</v>
      </c>
      <c r="G1926" s="16" t="s">
        <v>44</v>
      </c>
      <c r="H1926" s="16" t="s">
        <v>45</v>
      </c>
      <c r="I1926" s="16">
        <f>COUNTIF(G$5:G1926,"Y")/COUNTA(G$5:G1926)</f>
        <v>0.88033298647242453</v>
      </c>
      <c r="J1926" s="16">
        <f>COUNTIF(H$5:H1926,"Y")/COUNTA(H$5:H1926)</f>
        <v>4.8907388137356921E-2</v>
      </c>
      <c r="K1926" s="16">
        <f>AVERAGE(F$5:F1926)</f>
        <v>2.2170135275754412</v>
      </c>
      <c r="L1926" s="16">
        <f>SUM(F$5:F1926)/SUM(E$5:E1926)</f>
        <v>0.76190391045469885</v>
      </c>
    </row>
    <row r="1927" spans="1:12" x14ac:dyDescent="0.25">
      <c r="A1927" s="29">
        <v>45945</v>
      </c>
      <c r="B1927" s="16" t="s">
        <v>1973</v>
      </c>
      <c r="C1927" s="34">
        <v>1</v>
      </c>
      <c r="D1927" s="16" t="s">
        <v>43</v>
      </c>
      <c r="E1927" s="35">
        <v>5.5</v>
      </c>
      <c r="F1927" s="35">
        <v>4</v>
      </c>
      <c r="G1927" s="16" t="s">
        <v>44</v>
      </c>
      <c r="H1927" s="16" t="s">
        <v>45</v>
      </c>
      <c r="I1927" s="16">
        <f>COUNTIF(G$5:G1927,"Y")/COUNTA(G$5:G1927)</f>
        <v>0.88039521580863234</v>
      </c>
      <c r="J1927" s="16">
        <f>COUNTIF(H$5:H1927,"Y")/COUNTA(H$5:H1927)</f>
        <v>4.8881955278211126E-2</v>
      </c>
      <c r="K1927" s="16">
        <f>AVERAGE(F$5:F1927)</f>
        <v>2.217940717628704</v>
      </c>
      <c r="L1927" s="16">
        <f>SUM(F$5:F1927)/SUM(E$5:E1927)</f>
        <v>0.76186988674931122</v>
      </c>
    </row>
    <row r="1928" spans="1:12" x14ac:dyDescent="0.25">
      <c r="A1928" s="29">
        <v>45946</v>
      </c>
      <c r="B1928" s="16" t="s">
        <v>1974</v>
      </c>
      <c r="C1928" s="34">
        <v>1</v>
      </c>
      <c r="D1928" s="16" t="s">
        <v>47</v>
      </c>
      <c r="E1928" s="35">
        <v>3.7</v>
      </c>
      <c r="F1928" s="35">
        <v>2.6</v>
      </c>
      <c r="G1928" s="16" t="s">
        <v>44</v>
      </c>
      <c r="H1928" s="16" t="s">
        <v>45</v>
      </c>
      <c r="I1928" s="16">
        <f>COUNTIF(G$5:G1928,"Y")/COUNTA(G$5:G1928)</f>
        <v>0.88045738045738042</v>
      </c>
      <c r="J1928" s="16">
        <f>COUNTIF(H$5:H1928,"Y")/COUNTA(H$5:H1928)</f>
        <v>4.8856548856548859E-2</v>
      </c>
      <c r="K1928" s="16">
        <f>AVERAGE(F$5:F1928)</f>
        <v>2.2181392931392923</v>
      </c>
      <c r="L1928" s="16">
        <f>SUM(F$5:F1928)/SUM(E$5:E1928)</f>
        <v>0.76183080740462961</v>
      </c>
    </row>
    <row r="1929" spans="1:12" x14ac:dyDescent="0.25">
      <c r="A1929" s="29">
        <v>45947</v>
      </c>
      <c r="B1929" s="16" t="s">
        <v>1975</v>
      </c>
      <c r="C1929" s="34">
        <v>1</v>
      </c>
      <c r="D1929" s="16" t="s">
        <v>50</v>
      </c>
      <c r="E1929" s="35">
        <v>2.2999999999999998</v>
      </c>
      <c r="F1929" s="35">
        <v>1.8</v>
      </c>
      <c r="G1929" s="16" t="s">
        <v>44</v>
      </c>
      <c r="H1929" s="16" t="s">
        <v>45</v>
      </c>
      <c r="I1929" s="16">
        <f>COUNTIF(G$5:G1929,"Y")/COUNTA(G$5:G1929)</f>
        <v>0.88051948051948048</v>
      </c>
      <c r="J1929" s="16">
        <f>COUNTIF(H$5:H1929,"Y")/COUNTA(H$5:H1929)</f>
        <v>4.8831168831168829E-2</v>
      </c>
      <c r="K1929" s="16">
        <f>AVERAGE(F$5:F1929)</f>
        <v>2.217922077922077</v>
      </c>
      <c r="L1929" s="16">
        <f>SUM(F$5:F1929)/SUM(E$5:E1929)</f>
        <v>0.76183933478462484</v>
      </c>
    </row>
    <row r="1930" spans="1:12" x14ac:dyDescent="0.25">
      <c r="A1930" s="29">
        <v>45943</v>
      </c>
      <c r="B1930" s="16" t="s">
        <v>1976</v>
      </c>
      <c r="C1930" s="34">
        <v>1</v>
      </c>
      <c r="D1930" s="16" t="s">
        <v>47</v>
      </c>
      <c r="E1930" s="35">
        <v>3.5</v>
      </c>
      <c r="F1930" s="35">
        <v>2.4</v>
      </c>
      <c r="G1930" s="16" t="s">
        <v>44</v>
      </c>
      <c r="H1930" s="16" t="s">
        <v>45</v>
      </c>
      <c r="I1930" s="16">
        <f>COUNTIF(G$5:G1930,"Y")/COUNTA(G$5:G1930)</f>
        <v>0.88058151609553481</v>
      </c>
      <c r="J1930" s="16">
        <f>COUNTIF(H$5:H1930,"Y")/COUNTA(H$5:H1930)</f>
        <v>4.8805815160955349E-2</v>
      </c>
      <c r="K1930" s="16">
        <f>AVERAGE(F$5:F1930)</f>
        <v>2.2180166147455855</v>
      </c>
      <c r="L1930" s="16">
        <f>SUM(F$5:F1930)/SUM(E$5:E1930)</f>
        <v>0.76179182195909101</v>
      </c>
    </row>
    <row r="1931" spans="1:12" x14ac:dyDescent="0.25">
      <c r="A1931" s="29">
        <v>45944</v>
      </c>
      <c r="B1931" s="16" t="s">
        <v>1977</v>
      </c>
      <c r="C1931" s="34">
        <v>1</v>
      </c>
      <c r="D1931" s="16" t="s">
        <v>60</v>
      </c>
      <c r="E1931" s="35">
        <v>2.7</v>
      </c>
      <c r="F1931" s="35">
        <v>1.9</v>
      </c>
      <c r="G1931" s="16" t="s">
        <v>44</v>
      </c>
      <c r="H1931" s="16" t="s">
        <v>45</v>
      </c>
      <c r="I1931" s="16">
        <f>COUNTIF(G$5:G1931,"Y")/COUNTA(G$5:G1931)</f>
        <v>0.88064348728593667</v>
      </c>
      <c r="J1931" s="16">
        <f>COUNTIF(H$5:H1931,"Y")/COUNTA(H$5:H1931)</f>
        <v>4.878048780487805E-2</v>
      </c>
      <c r="K1931" s="16">
        <f>AVERAGE(F$5:F1931)</f>
        <v>2.2178515827711456</v>
      </c>
      <c r="L1931" s="16">
        <f>SUM(F$5:F1931)/SUM(E$5:E1931)</f>
        <v>0.76176386710394883</v>
      </c>
    </row>
    <row r="1932" spans="1:12" x14ac:dyDescent="0.25">
      <c r="A1932" s="29">
        <v>45945</v>
      </c>
      <c r="B1932" s="16" t="s">
        <v>1978</v>
      </c>
      <c r="C1932" s="34">
        <v>1</v>
      </c>
      <c r="D1932" s="16" t="s">
        <v>60</v>
      </c>
      <c r="E1932" s="35">
        <v>2.8</v>
      </c>
      <c r="F1932" s="35">
        <v>2.1</v>
      </c>
      <c r="G1932" s="16" t="s">
        <v>44</v>
      </c>
      <c r="H1932" s="16" t="s">
        <v>44</v>
      </c>
      <c r="I1932" s="16">
        <f>COUNTIF(G$5:G1932,"Y")/COUNTA(G$5:G1932)</f>
        <v>0.88070539419087135</v>
      </c>
      <c r="J1932" s="16">
        <f>COUNTIF(H$5:H1932,"Y")/COUNTA(H$5:H1932)</f>
        <v>4.9273858921161824E-2</v>
      </c>
      <c r="K1932" s="16">
        <f>AVERAGE(F$5:F1932)</f>
        <v>2.2177904564315343</v>
      </c>
      <c r="L1932" s="16">
        <f>SUM(F$5:F1932)/SUM(E$5:E1932)</f>
        <v>0.76175799900235064</v>
      </c>
    </row>
    <row r="1933" spans="1:12" x14ac:dyDescent="0.25">
      <c r="A1933" s="29">
        <v>45946</v>
      </c>
      <c r="B1933" s="16" t="s">
        <v>1979</v>
      </c>
      <c r="C1933" s="34">
        <v>1</v>
      </c>
      <c r="D1933" s="16" t="s">
        <v>43</v>
      </c>
      <c r="E1933" s="35">
        <v>3</v>
      </c>
      <c r="F1933" s="35">
        <v>2.1</v>
      </c>
      <c r="G1933" s="16" t="s">
        <v>44</v>
      </c>
      <c r="H1933" s="16" t="s">
        <v>45</v>
      </c>
      <c r="I1933" s="16">
        <f>COUNTIF(G$5:G1933,"Y")/COUNTA(G$5:G1933)</f>
        <v>0.88076723691031622</v>
      </c>
      <c r="J1933" s="16">
        <f>COUNTIF(H$5:H1933,"Y")/COUNTA(H$5:H1933)</f>
        <v>4.9248315189217212E-2</v>
      </c>
      <c r="K1933" s="16">
        <f>AVERAGE(F$5:F1933)</f>
        <v>2.217729393468117</v>
      </c>
      <c r="L1933" s="16">
        <f>SUM(F$5:F1933)/SUM(E$5:E1933)</f>
        <v>0.76172500979309765</v>
      </c>
    </row>
    <row r="1934" spans="1:12" x14ac:dyDescent="0.25">
      <c r="A1934" s="29">
        <v>45947</v>
      </c>
      <c r="B1934" s="16" t="s">
        <v>1980</v>
      </c>
      <c r="C1934" s="34">
        <v>1</v>
      </c>
      <c r="D1934" s="16" t="s">
        <v>43</v>
      </c>
      <c r="E1934" s="35">
        <v>4.5999999999999996</v>
      </c>
      <c r="F1934" s="35">
        <v>3.4</v>
      </c>
      <c r="G1934" s="16" t="s">
        <v>44</v>
      </c>
      <c r="H1934" s="16" t="s">
        <v>45</v>
      </c>
      <c r="I1934" s="16">
        <f>COUNTIF(G$5:G1934,"Y")/COUNTA(G$5:G1934)</f>
        <v>0.88082901554404147</v>
      </c>
      <c r="J1934" s="16">
        <f>COUNTIF(H$5:H1934,"Y")/COUNTA(H$5:H1934)</f>
        <v>4.9222797927461141E-2</v>
      </c>
      <c r="K1934" s="16">
        <f>AVERAGE(F$5:F1934)</f>
        <v>2.2183419689119162</v>
      </c>
      <c r="L1934" s="16">
        <f>SUM(F$5:F1934)/SUM(E$5:E1934)</f>
        <v>0.76170651864503169</v>
      </c>
    </row>
    <row r="1935" spans="1:12" x14ac:dyDescent="0.25">
      <c r="A1935" s="29">
        <v>45943</v>
      </c>
      <c r="B1935" s="16" t="s">
        <v>1981</v>
      </c>
      <c r="C1935" s="34">
        <v>1</v>
      </c>
      <c r="D1935" s="16" t="s">
        <v>60</v>
      </c>
      <c r="E1935" s="35">
        <v>2.4</v>
      </c>
      <c r="F1935" s="35">
        <v>1.9</v>
      </c>
      <c r="G1935" s="16" t="s">
        <v>45</v>
      </c>
      <c r="H1935" s="16" t="s">
        <v>45</v>
      </c>
      <c r="I1935" s="16">
        <f>COUNTIF(G$5:G1935,"Y")/COUNTA(G$5:G1935)</f>
        <v>0.88037286380113933</v>
      </c>
      <c r="J1935" s="16">
        <f>COUNTIF(H$5:H1935,"Y")/COUNTA(H$5:H1935)</f>
        <v>4.9197307094769549E-2</v>
      </c>
      <c r="K1935" s="16">
        <f>AVERAGE(F$5:F1935)</f>
        <v>2.2181771103055397</v>
      </c>
      <c r="L1935" s="16">
        <f>SUM(F$5:F1935)/SUM(E$5:E1935)</f>
        <v>0.7617193057333892</v>
      </c>
    </row>
    <row r="1936" spans="1:12" x14ac:dyDescent="0.25">
      <c r="A1936" s="29">
        <v>45944</v>
      </c>
      <c r="B1936" s="16" t="s">
        <v>1982</v>
      </c>
      <c r="C1936" s="34">
        <v>1</v>
      </c>
      <c r="D1936" s="16" t="s">
        <v>64</v>
      </c>
      <c r="E1936" s="35">
        <v>5.6</v>
      </c>
      <c r="F1936" s="35">
        <v>4.3</v>
      </c>
      <c r="G1936" s="16" t="s">
        <v>44</v>
      </c>
      <c r="H1936" s="16" t="s">
        <v>45</v>
      </c>
      <c r="I1936" s="16">
        <f>COUNTIF(G$5:G1936,"Y")/COUNTA(G$5:G1936)</f>
        <v>0.88043478260869568</v>
      </c>
      <c r="J1936" s="16">
        <f>COUNTIF(H$5:H1936,"Y")/COUNTA(H$5:H1936)</f>
        <v>4.917184265010352E-2</v>
      </c>
      <c r="K1936" s="16">
        <f>AVERAGE(F$5:F1936)</f>
        <v>2.2192546583850921</v>
      </c>
      <c r="L1936" s="16">
        <f>SUM(F$5:F1936)/SUM(E$5:E1936)</f>
        <v>0.76172541216600231</v>
      </c>
    </row>
    <row r="1937" spans="1:12" x14ac:dyDescent="0.25">
      <c r="A1937" s="29">
        <v>45945</v>
      </c>
      <c r="B1937" s="16" t="s">
        <v>1983</v>
      </c>
      <c r="C1937" s="34">
        <v>1</v>
      </c>
      <c r="D1937" s="16" t="s">
        <v>64</v>
      </c>
      <c r="E1937" s="35">
        <v>4.8</v>
      </c>
      <c r="F1937" s="35">
        <v>4.3</v>
      </c>
      <c r="G1937" s="16" t="s">
        <v>44</v>
      </c>
      <c r="H1937" s="16" t="s">
        <v>45</v>
      </c>
      <c r="I1937" s="16">
        <f>COUNTIF(G$5:G1937,"Y")/COUNTA(G$5:G1937)</f>
        <v>0.88049663735126749</v>
      </c>
      <c r="J1937" s="16">
        <f>COUNTIF(H$5:H1937,"Y")/COUNTA(H$5:H1937)</f>
        <v>4.914640455250905E-2</v>
      </c>
      <c r="K1937" s="16">
        <f>AVERAGE(F$5:F1937)</f>
        <v>2.2203310915675103</v>
      </c>
      <c r="L1937" s="16">
        <f>SUM(F$5:F1937)/SUM(E$5:E1937)</f>
        <v>0.76183967622834314</v>
      </c>
    </row>
    <row r="1938" spans="1:12" x14ac:dyDescent="0.25">
      <c r="A1938" s="29">
        <v>45946</v>
      </c>
      <c r="B1938" s="16" t="s">
        <v>1984</v>
      </c>
      <c r="C1938" s="34">
        <v>1</v>
      </c>
      <c r="D1938" s="16" t="s">
        <v>56</v>
      </c>
      <c r="E1938" s="35">
        <v>2.1</v>
      </c>
      <c r="F1938" s="35">
        <v>1.5</v>
      </c>
      <c r="G1938" s="16" t="s">
        <v>44</v>
      </c>
      <c r="H1938" s="16" t="s">
        <v>45</v>
      </c>
      <c r="I1938" s="16">
        <f>COUNTIF(G$5:G1938,"Y")/COUNTA(G$5:G1938)</f>
        <v>0.8805584281282316</v>
      </c>
      <c r="J1938" s="16">
        <f>COUNTIF(H$5:H1938,"Y")/COUNTA(H$5:H1938)</f>
        <v>4.9120992761116859E-2</v>
      </c>
      <c r="K1938" s="16">
        <f>AVERAGE(F$5:F1938)</f>
        <v>2.2199586349534632</v>
      </c>
      <c r="L1938" s="16">
        <f>SUM(F$5:F1938)/SUM(E$5:E1938)</f>
        <v>0.76182195645616224</v>
      </c>
    </row>
    <row r="1939" spans="1:12" x14ac:dyDescent="0.25">
      <c r="A1939" s="29">
        <v>45947</v>
      </c>
      <c r="B1939" s="16" t="s">
        <v>1985</v>
      </c>
      <c r="C1939" s="34">
        <v>1</v>
      </c>
      <c r="D1939" s="16" t="s">
        <v>60</v>
      </c>
      <c r="E1939" s="35">
        <v>2.8</v>
      </c>
      <c r="F1939" s="35">
        <v>2.2000000000000002</v>
      </c>
      <c r="G1939" s="16" t="s">
        <v>44</v>
      </c>
      <c r="H1939" s="16" t="s">
        <v>45</v>
      </c>
      <c r="I1939" s="16">
        <f>COUNTIF(G$5:G1939,"Y")/COUNTA(G$5:G1939)</f>
        <v>0.88062015503875968</v>
      </c>
      <c r="J1939" s="16">
        <f>COUNTIF(H$5:H1939,"Y")/COUNTA(H$5:H1939)</f>
        <v>4.909560723514212E-2</v>
      </c>
      <c r="K1939" s="16">
        <f>AVERAGE(F$5:F1939)</f>
        <v>2.2199483204134354</v>
      </c>
      <c r="L1939" s="16">
        <f>SUM(F$5:F1939)/SUM(E$5:E1939)</f>
        <v>0.76183382105169695</v>
      </c>
    </row>
    <row r="1940" spans="1:12" x14ac:dyDescent="0.25">
      <c r="A1940" s="29">
        <v>45943</v>
      </c>
      <c r="B1940" s="16" t="s">
        <v>1986</v>
      </c>
      <c r="C1940" s="34">
        <v>1</v>
      </c>
      <c r="D1940" s="16" t="s">
        <v>60</v>
      </c>
      <c r="E1940" s="35">
        <v>2.6</v>
      </c>
      <c r="F1940" s="35">
        <v>2</v>
      </c>
      <c r="G1940" s="16" t="s">
        <v>44</v>
      </c>
      <c r="H1940" s="16" t="s">
        <v>45</v>
      </c>
      <c r="I1940" s="16">
        <f>COUNTIF(G$5:G1940,"Y")/COUNTA(G$5:G1940)</f>
        <v>0.88068181818181823</v>
      </c>
      <c r="J1940" s="16">
        <f>COUNTIF(H$5:H1940,"Y")/COUNTA(H$5:H1940)</f>
        <v>4.9070247933884301E-2</v>
      </c>
      <c r="K1940" s="16">
        <f>AVERAGE(F$5:F1940)</f>
        <v>2.2198347107438003</v>
      </c>
      <c r="L1940" s="16">
        <f>SUM(F$5:F1940)/SUM(E$5:E1940)</f>
        <v>0.76183723032741724</v>
      </c>
    </row>
    <row r="1941" spans="1:12" x14ac:dyDescent="0.25">
      <c r="A1941" s="29">
        <v>45944</v>
      </c>
      <c r="B1941" s="16" t="s">
        <v>1987</v>
      </c>
      <c r="C1941" s="34">
        <v>1</v>
      </c>
      <c r="D1941" s="16" t="s">
        <v>64</v>
      </c>
      <c r="E1941" s="35">
        <v>2.9</v>
      </c>
      <c r="F1941" s="35">
        <v>2.6</v>
      </c>
      <c r="G1941" s="16" t="s">
        <v>44</v>
      </c>
      <c r="H1941" s="16" t="s">
        <v>45</v>
      </c>
      <c r="I1941" s="16">
        <f>COUNTIF(G$5:G1941,"Y")/COUNTA(G$5:G1941)</f>
        <v>0.88074341765616937</v>
      </c>
      <c r="J1941" s="16">
        <f>COUNTIF(H$5:H1941,"Y")/COUNTA(H$5:H1941)</f>
        <v>4.9044914816726896E-2</v>
      </c>
      <c r="K1941" s="16">
        <f>AVERAGE(F$5:F1941)</f>
        <v>2.2200309757356727</v>
      </c>
      <c r="L1941" s="16">
        <f>SUM(F$5:F1941)/SUM(E$5:E1941)</f>
        <v>0.76190644932671758</v>
      </c>
    </row>
    <row r="1942" spans="1:12" x14ac:dyDescent="0.25">
      <c r="A1942" s="29">
        <v>45945</v>
      </c>
      <c r="B1942" s="16" t="s">
        <v>1988</v>
      </c>
      <c r="C1942" s="34">
        <v>1</v>
      </c>
      <c r="D1942" s="16" t="s">
        <v>47</v>
      </c>
      <c r="E1942" s="35">
        <v>4.7</v>
      </c>
      <c r="F1942" s="35">
        <v>3.4</v>
      </c>
      <c r="G1942" s="16" t="s">
        <v>44</v>
      </c>
      <c r="H1942" s="16" t="s">
        <v>45</v>
      </c>
      <c r="I1942" s="16">
        <f>COUNTIF(G$5:G1942,"Y")/COUNTA(G$5:G1942)</f>
        <v>0.88080495356037147</v>
      </c>
      <c r="J1942" s="16">
        <f>COUNTIF(H$5:H1942,"Y")/COUNTA(H$5:H1942)</f>
        <v>4.9019607843137254E-2</v>
      </c>
      <c r="K1942" s="16">
        <f>AVERAGE(F$5:F1942)</f>
        <v>2.2206398348813199</v>
      </c>
      <c r="L1942" s="16">
        <f>SUM(F$5:F1942)/SUM(E$5:E1942)</f>
        <v>0.76187441358188501</v>
      </c>
    </row>
    <row r="1943" spans="1:12" x14ac:dyDescent="0.25">
      <c r="A1943" s="29">
        <v>45946</v>
      </c>
      <c r="B1943" s="16" t="s">
        <v>1989</v>
      </c>
      <c r="C1943" s="34">
        <v>1</v>
      </c>
      <c r="D1943" s="16" t="s">
        <v>56</v>
      </c>
      <c r="E1943" s="35">
        <v>3.3</v>
      </c>
      <c r="F1943" s="35">
        <v>2.4</v>
      </c>
      <c r="G1943" s="16" t="s">
        <v>44</v>
      </c>
      <c r="H1943" s="16" t="s">
        <v>45</v>
      </c>
      <c r="I1943" s="16">
        <f>COUNTIF(G$5:G1943,"Y")/COUNTA(G$5:G1943)</f>
        <v>0.88086642599277976</v>
      </c>
      <c r="J1943" s="16">
        <f>COUNTIF(H$5:H1943,"Y")/COUNTA(H$5:H1943)</f>
        <v>4.899432697266632E-2</v>
      </c>
      <c r="K1943" s="16">
        <f>AVERAGE(F$5:F1943)</f>
        <v>2.2207323362558005</v>
      </c>
      <c r="L1943" s="16">
        <f>SUM(F$5:F1943)/SUM(E$5:E1943)</f>
        <v>0.76185421089879568</v>
      </c>
    </row>
    <row r="1944" spans="1:12" x14ac:dyDescent="0.25">
      <c r="A1944" s="29">
        <v>45947</v>
      </c>
      <c r="B1944" s="16" t="s">
        <v>1990</v>
      </c>
      <c r="C1944" s="34">
        <v>1</v>
      </c>
      <c r="D1944" s="16" t="s">
        <v>47</v>
      </c>
      <c r="E1944" s="35">
        <v>4.8</v>
      </c>
      <c r="F1944" s="35">
        <v>3.9</v>
      </c>
      <c r="G1944" s="16" t="s">
        <v>44</v>
      </c>
      <c r="H1944" s="16" t="s">
        <v>45</v>
      </c>
      <c r="I1944" s="16">
        <f>COUNTIF(G$5:G1944,"Y")/COUNTA(G$5:G1944)</f>
        <v>0.88092783505154637</v>
      </c>
      <c r="J1944" s="16">
        <f>COUNTIF(H$5:H1944,"Y")/COUNTA(H$5:H1944)</f>
        <v>4.8969072164948453E-2</v>
      </c>
      <c r="K1944" s="16">
        <f>AVERAGE(F$5:F1944)</f>
        <v>2.2215979381443285</v>
      </c>
      <c r="L1944" s="16">
        <f>SUM(F$5:F1944)/SUM(E$5:E1944)</f>
        <v>0.76189718568802023</v>
      </c>
    </row>
    <row r="1945" spans="1:12" x14ac:dyDescent="0.25">
      <c r="A1945" s="29">
        <v>45943</v>
      </c>
      <c r="B1945" s="16" t="s">
        <v>1991</v>
      </c>
      <c r="C1945" s="34">
        <v>1</v>
      </c>
      <c r="D1945" s="16" t="s">
        <v>60</v>
      </c>
      <c r="E1945" s="35">
        <v>1.4</v>
      </c>
      <c r="F1945" s="35">
        <v>1.2</v>
      </c>
      <c r="G1945" s="16" t="s">
        <v>44</v>
      </c>
      <c r="H1945" s="16" t="s">
        <v>45</v>
      </c>
      <c r="I1945" s="16">
        <f>COUNTIF(G$5:G1945,"Y")/COUNTA(G$5:G1945)</f>
        <v>0.8809891808346213</v>
      </c>
      <c r="J1945" s="16">
        <f>COUNTIF(H$5:H1945,"Y")/COUNTA(H$5:H1945)</f>
        <v>4.8943843379701188E-2</v>
      </c>
      <c r="K1945" s="16">
        <f>AVERAGE(F$5:F1945)</f>
        <v>2.2210716125708383</v>
      </c>
      <c r="L1945" s="16">
        <f>SUM(F$5:F1945)/SUM(E$5:E1945)</f>
        <v>0.76192075218267163</v>
      </c>
    </row>
    <row r="1946" spans="1:12" x14ac:dyDescent="0.25">
      <c r="A1946" s="29">
        <v>45944</v>
      </c>
      <c r="B1946" s="16" t="s">
        <v>1992</v>
      </c>
      <c r="C1946" s="34">
        <v>1</v>
      </c>
      <c r="D1946" s="16" t="s">
        <v>52</v>
      </c>
      <c r="E1946" s="35">
        <v>5</v>
      </c>
      <c r="F1946" s="35">
        <v>4.0999999999999996</v>
      </c>
      <c r="G1946" s="16" t="s">
        <v>44</v>
      </c>
      <c r="H1946" s="16" t="s">
        <v>44</v>
      </c>
      <c r="I1946" s="16">
        <f>COUNTIF(G$5:G1946,"Y")/COUNTA(G$5:G1946)</f>
        <v>0.8810504634397528</v>
      </c>
      <c r="J1946" s="16">
        <f>COUNTIF(H$5:H1946,"Y")/COUNTA(H$5:H1946)</f>
        <v>4.9433573635427393E-2</v>
      </c>
      <c r="K1946" s="16">
        <f>AVERAGE(F$5:F1946)</f>
        <v>2.22203913491246</v>
      </c>
      <c r="L1946" s="16">
        <f>SUM(F$5:F1946)/SUM(E$5:E1946)</f>
        <v>0.7619720299477315</v>
      </c>
    </row>
    <row r="1947" spans="1:12" x14ac:dyDescent="0.25">
      <c r="A1947" s="29">
        <v>45945</v>
      </c>
      <c r="B1947" s="16" t="s">
        <v>1993</v>
      </c>
      <c r="C1947" s="34">
        <v>1</v>
      </c>
      <c r="D1947" s="16" t="s">
        <v>47</v>
      </c>
      <c r="E1947" s="35">
        <v>4.5</v>
      </c>
      <c r="F1947" s="35">
        <v>3.5</v>
      </c>
      <c r="G1947" s="16" t="s">
        <v>44</v>
      </c>
      <c r="H1947" s="16" t="s">
        <v>45</v>
      </c>
      <c r="I1947" s="16">
        <f>COUNTIF(G$5:G1947,"Y")/COUNTA(G$5:G1947)</f>
        <v>0.88111168296448794</v>
      </c>
      <c r="J1947" s="16">
        <f>COUNTIF(H$5:H1947,"Y")/COUNTA(H$5:H1947)</f>
        <v>4.9408131755018014E-2</v>
      </c>
      <c r="K1947" s="16">
        <f>AVERAGE(F$5:F1947)</f>
        <v>2.2226968605249597</v>
      </c>
      <c r="L1947" s="16">
        <f>SUM(F$5:F1947)/SUM(E$5:E1947)</f>
        <v>0.76198457928260022</v>
      </c>
    </row>
    <row r="1948" spans="1:12" x14ac:dyDescent="0.25">
      <c r="A1948" s="29">
        <v>45946</v>
      </c>
      <c r="B1948" s="16" t="s">
        <v>1994</v>
      </c>
      <c r="C1948" s="34">
        <v>1</v>
      </c>
      <c r="D1948" s="16" t="s">
        <v>50</v>
      </c>
      <c r="E1948" s="35">
        <v>1.8</v>
      </c>
      <c r="F1948" s="35">
        <v>1.4</v>
      </c>
      <c r="G1948" s="16" t="s">
        <v>44</v>
      </c>
      <c r="H1948" s="16" t="s">
        <v>45</v>
      </c>
      <c r="I1948" s="16">
        <f>COUNTIF(G$5:G1948,"Y")/COUNTA(G$5:G1948)</f>
        <v>0.88117283950617287</v>
      </c>
      <c r="J1948" s="16">
        <f>COUNTIF(H$5:H1948,"Y")/COUNTA(H$5:H1948)</f>
        <v>4.9382716049382713E-2</v>
      </c>
      <c r="K1948" s="16">
        <f>AVERAGE(F$5:F1948)</f>
        <v>2.2222736625514385</v>
      </c>
      <c r="L1948" s="16">
        <f>SUM(F$5:F1948)/SUM(E$5:E1948)</f>
        <v>0.76198959343857353</v>
      </c>
    </row>
    <row r="1949" spans="1:12" x14ac:dyDescent="0.25">
      <c r="A1949" s="29">
        <v>45947</v>
      </c>
      <c r="B1949" s="16" t="s">
        <v>1995</v>
      </c>
      <c r="C1949" s="34">
        <v>1</v>
      </c>
      <c r="D1949" s="16" t="s">
        <v>56</v>
      </c>
      <c r="E1949" s="35">
        <v>2.9</v>
      </c>
      <c r="F1949" s="35">
        <v>2</v>
      </c>
      <c r="G1949" s="16" t="s">
        <v>45</v>
      </c>
      <c r="H1949" s="16" t="s">
        <v>45</v>
      </c>
      <c r="I1949" s="16">
        <f>COUNTIF(G$5:G1949,"Y")/COUNTA(G$5:G1949)</f>
        <v>0.88071979434447301</v>
      </c>
      <c r="J1949" s="16">
        <f>COUNTIF(H$5:H1949,"Y")/COUNTA(H$5:H1949)</f>
        <v>4.9357326478149104E-2</v>
      </c>
      <c r="K1949" s="16">
        <f>AVERAGE(F$5:F1949)</f>
        <v>2.2221593830334174</v>
      </c>
      <c r="L1949" s="16">
        <f>SUM(F$5:F1949)/SUM(E$5:E1949)</f>
        <v>0.76195261265072856</v>
      </c>
    </row>
    <row r="1950" spans="1:12" x14ac:dyDescent="0.25">
      <c r="A1950" s="29">
        <v>45943</v>
      </c>
      <c r="B1950" s="16" t="s">
        <v>1996</v>
      </c>
      <c r="C1950" s="34">
        <v>1</v>
      </c>
      <c r="D1950" s="16" t="s">
        <v>64</v>
      </c>
      <c r="E1950" s="35">
        <v>2.2000000000000002</v>
      </c>
      <c r="F1950" s="35">
        <v>1.6</v>
      </c>
      <c r="G1950" s="16" t="s">
        <v>44</v>
      </c>
      <c r="H1950" s="16" t="s">
        <v>45</v>
      </c>
      <c r="I1950" s="16">
        <f>COUNTIF(G$5:G1950,"Y")/COUNTA(G$5:G1950)</f>
        <v>0.88078108941418298</v>
      </c>
      <c r="J1950" s="16">
        <f>COUNTIF(H$5:H1950,"Y")/COUNTA(H$5:H1950)</f>
        <v>4.9331963001027747E-2</v>
      </c>
      <c r="K1950" s="16">
        <f>AVERAGE(F$5:F1950)</f>
        <v>2.2218396711202453</v>
      </c>
      <c r="L1950" s="16">
        <f>SUM(F$5:F1950)/SUM(E$5:E1950)</f>
        <v>0.76193916751841417</v>
      </c>
    </row>
    <row r="1951" spans="1:12" x14ac:dyDescent="0.25">
      <c r="A1951" s="29">
        <v>45944</v>
      </c>
      <c r="B1951" s="16" t="s">
        <v>1997</v>
      </c>
      <c r="C1951" s="34">
        <v>1</v>
      </c>
      <c r="D1951" s="16" t="s">
        <v>43</v>
      </c>
      <c r="E1951" s="35">
        <v>4.4000000000000004</v>
      </c>
      <c r="F1951" s="35">
        <v>3.8</v>
      </c>
      <c r="G1951" s="16" t="s">
        <v>44</v>
      </c>
      <c r="H1951" s="16" t="s">
        <v>45</v>
      </c>
      <c r="I1951" s="16">
        <f>COUNTIF(G$5:G1951,"Y")/COUNTA(G$5:G1951)</f>
        <v>0.88084232152028763</v>
      </c>
      <c r="J1951" s="16">
        <f>COUNTIF(H$5:H1951,"Y")/COUNTA(H$5:H1951)</f>
        <v>4.930662557781202E-2</v>
      </c>
      <c r="K1951" s="16">
        <f>AVERAGE(F$5:F1951)</f>
        <v>2.2226502311248062</v>
      </c>
      <c r="L1951" s="16">
        <f>SUM(F$5:F1951)/SUM(E$5:E1951)</f>
        <v>0.76201796090860963</v>
      </c>
    </row>
    <row r="1952" spans="1:12" x14ac:dyDescent="0.25">
      <c r="A1952" s="29">
        <v>45945</v>
      </c>
      <c r="B1952" s="16" t="s">
        <v>1998</v>
      </c>
      <c r="C1952" s="34">
        <v>1</v>
      </c>
      <c r="D1952" s="16" t="s">
        <v>52</v>
      </c>
      <c r="E1952" s="35">
        <v>1.5</v>
      </c>
      <c r="F1952" s="35">
        <v>1.3</v>
      </c>
      <c r="G1952" s="16" t="s">
        <v>44</v>
      </c>
      <c r="H1952" s="16" t="s">
        <v>45</v>
      </c>
      <c r="I1952" s="16">
        <f>COUNTIF(G$5:G1952,"Y")/COUNTA(G$5:G1952)</f>
        <v>0.8809034907597536</v>
      </c>
      <c r="J1952" s="16">
        <f>COUNTIF(H$5:H1952,"Y")/COUNTA(H$5:H1952)</f>
        <v>4.9281314168377825E-2</v>
      </c>
      <c r="K1952" s="16">
        <f>AVERAGE(F$5:F1952)</f>
        <v>2.2221765913757685</v>
      </c>
      <c r="L1952" s="16">
        <f>SUM(F$5:F1952)/SUM(E$5:E1952)</f>
        <v>0.76204559457794108</v>
      </c>
    </row>
    <row r="1953" spans="1:13" x14ac:dyDescent="0.25">
      <c r="A1953" s="29">
        <v>45946</v>
      </c>
      <c r="B1953" s="16" t="s">
        <v>1999</v>
      </c>
      <c r="C1953" s="34">
        <v>1</v>
      </c>
      <c r="D1953" s="16" t="s">
        <v>56</v>
      </c>
      <c r="E1953" s="35">
        <v>2.7</v>
      </c>
      <c r="F1953" s="35">
        <v>2.1</v>
      </c>
      <c r="G1953" s="16" t="s">
        <v>44</v>
      </c>
      <c r="H1953" s="16" t="s">
        <v>45</v>
      </c>
      <c r="I1953" s="16">
        <f>COUNTIF(G$5:G1953,"Y")/COUNTA(G$5:G1953)</f>
        <v>0.88096459722934839</v>
      </c>
      <c r="J1953" s="16">
        <f>COUNTIF(H$5:H1953,"Y")/COUNTA(H$5:H1953)</f>
        <v>4.9256028732683428E-2</v>
      </c>
      <c r="K1953" s="16">
        <f>AVERAGE(F$5:F1953)</f>
        <v>2.2221139045664433</v>
      </c>
      <c r="L1953" s="16">
        <f>SUM(F$5:F1953)/SUM(E$5:E1953)</f>
        <v>0.76205306869369271</v>
      </c>
    </row>
    <row r="1954" spans="1:13" x14ac:dyDescent="0.25">
      <c r="A1954" s="29">
        <v>45947</v>
      </c>
      <c r="B1954" s="16" t="s">
        <v>2000</v>
      </c>
      <c r="C1954" s="34">
        <v>1</v>
      </c>
      <c r="D1954" s="16" t="s">
        <v>60</v>
      </c>
      <c r="E1954" s="35">
        <v>1.3</v>
      </c>
      <c r="F1954" s="35">
        <v>2.2999999999999998</v>
      </c>
      <c r="G1954" s="16" t="s">
        <v>44</v>
      </c>
      <c r="H1954" s="16" t="s">
        <v>45</v>
      </c>
      <c r="I1954" s="16">
        <f>COUNTIF(G$5:G1954,"Y")/COUNTA(G$5:G1954)</f>
        <v>0.88102564102564107</v>
      </c>
      <c r="J1954" s="16">
        <f>COUNTIF(H$5:H1954,"Y")/COUNTA(H$5:H1954)</f>
        <v>4.9230769230769231E-2</v>
      </c>
      <c r="K1954" s="16">
        <f>AVERAGE(F$5:F1954)</f>
        <v>2.2221538461538453</v>
      </c>
      <c r="L1954" s="16">
        <f>SUM(F$5:F1954)/SUM(E$5:E1954)</f>
        <v>0.76228340223414448</v>
      </c>
    </row>
    <row r="1955" spans="1:13" x14ac:dyDescent="0.25">
      <c r="A1955" s="29">
        <v>45943</v>
      </c>
      <c r="B1955" s="16" t="s">
        <v>2001</v>
      </c>
      <c r="C1955" s="34">
        <v>1</v>
      </c>
      <c r="D1955" s="16" t="s">
        <v>47</v>
      </c>
      <c r="E1955" s="35">
        <v>0.5</v>
      </c>
      <c r="F1955" s="35">
        <v>0.5</v>
      </c>
      <c r="G1955" s="16" t="s">
        <v>44</v>
      </c>
      <c r="H1955" s="16" t="s">
        <v>45</v>
      </c>
      <c r="I1955" s="16">
        <f>COUNTIF(G$5:G1955,"Y")/COUNTA(G$5:G1955)</f>
        <v>0.88108662224500256</v>
      </c>
      <c r="J1955" s="16">
        <f>COUNTIF(H$5:H1955,"Y")/COUNTA(H$5:H1955)</f>
        <v>4.9205535622757562E-2</v>
      </c>
      <c r="K1955" s="16">
        <f>AVERAGE(F$5:F1955)</f>
        <v>2.221271143003587</v>
      </c>
      <c r="L1955" s="16">
        <f>SUM(F$5:F1955)/SUM(E$5:E1955)</f>
        <v>0.76230430958663054</v>
      </c>
    </row>
    <row r="1956" spans="1:13" x14ac:dyDescent="0.25">
      <c r="A1956" s="29">
        <v>45944</v>
      </c>
      <c r="B1956" s="16" t="s">
        <v>2002</v>
      </c>
      <c r="C1956" s="34">
        <v>1</v>
      </c>
      <c r="D1956" s="16" t="s">
        <v>47</v>
      </c>
      <c r="E1956" s="35">
        <v>0.5</v>
      </c>
      <c r="F1956" s="35">
        <v>0.5</v>
      </c>
      <c r="G1956" s="16" t="s">
        <v>44</v>
      </c>
      <c r="H1956" s="16" t="s">
        <v>45</v>
      </c>
      <c r="I1956" s="16">
        <f>COUNTIF(G$5:G1956,"Y")/COUNTA(G$5:G1956)</f>
        <v>0.88114754098360659</v>
      </c>
      <c r="J1956" s="16">
        <f>COUNTIF(H$5:H1956,"Y")/COUNTA(H$5:H1956)</f>
        <v>4.9180327868852458E-2</v>
      </c>
      <c r="K1956" s="16">
        <f>AVERAGE(F$5:F1956)</f>
        <v>2.2203893442622942</v>
      </c>
      <c r="L1956" s="16">
        <f>SUM(F$5:F1956)/SUM(E$5:E1956)</f>
        <v>0.76232521326180536</v>
      </c>
    </row>
    <row r="1957" spans="1:13" x14ac:dyDescent="0.25">
      <c r="A1957" s="29">
        <v>45945</v>
      </c>
      <c r="B1957" s="16" t="s">
        <v>2003</v>
      </c>
      <c r="C1957" s="34">
        <v>1</v>
      </c>
      <c r="D1957" s="16" t="s">
        <v>56</v>
      </c>
      <c r="E1957" s="35">
        <v>0.5</v>
      </c>
      <c r="F1957" s="35">
        <v>0.5</v>
      </c>
      <c r="G1957" s="16" t="s">
        <v>44</v>
      </c>
      <c r="H1957" s="16" t="s">
        <v>45</v>
      </c>
      <c r="I1957" s="16">
        <f>COUNTIF(G$5:G1957,"Y")/COUNTA(G$5:G1957)</f>
        <v>0.88120839733742962</v>
      </c>
      <c r="J1957" s="16">
        <f>COUNTIF(H$5:H1957,"Y")/COUNTA(H$5:H1957)</f>
        <v>4.9155145929339478E-2</v>
      </c>
      <c r="K1957" s="16">
        <f>AVERAGE(F$5:F1957)</f>
        <v>2.2195084485407057</v>
      </c>
      <c r="L1957" s="16">
        <f>SUM(F$5:F1957)/SUM(E$5:E1957)</f>
        <v>0.76234611326063917</v>
      </c>
    </row>
    <row r="1958" spans="1:13" x14ac:dyDescent="0.25">
      <c r="A1958" s="29">
        <v>45946</v>
      </c>
      <c r="B1958" s="16" t="s">
        <v>2004</v>
      </c>
      <c r="C1958" s="34">
        <v>1</v>
      </c>
      <c r="D1958" s="16" t="s">
        <v>50</v>
      </c>
      <c r="E1958" s="35">
        <v>0.5</v>
      </c>
      <c r="F1958" s="35">
        <v>0.5</v>
      </c>
      <c r="G1958" s="16" t="s">
        <v>45</v>
      </c>
      <c r="H1958" s="16" t="s">
        <v>45</v>
      </c>
      <c r="I1958" s="16">
        <f>COUNTIF(G$5:G1958,"Y")/COUNTA(G$5:G1958)</f>
        <v>0.88075742067553731</v>
      </c>
      <c r="J1958" s="16">
        <f>COUNTIF(H$5:H1958,"Y")/COUNTA(H$5:H1958)</f>
        <v>4.9129989764585463E-2</v>
      </c>
      <c r="K1958" s="16">
        <f>AVERAGE(F$5:F1958)</f>
        <v>2.2186284544524044</v>
      </c>
      <c r="L1958" s="16">
        <f>SUM(F$5:F1958)/SUM(E$5:E1958)</f>
        <v>0.76236700958410175</v>
      </c>
      <c r="M1958" s="16">
        <v>8</v>
      </c>
    </row>
    <row r="1959" spans="1:13" x14ac:dyDescent="0.25">
      <c r="A1959" s="29">
        <v>45950</v>
      </c>
      <c r="B1959" s="16" t="s">
        <v>2005</v>
      </c>
      <c r="C1959" s="34">
        <v>1</v>
      </c>
      <c r="D1959" s="16" t="s">
        <v>52</v>
      </c>
      <c r="E1959" s="35">
        <v>3.3</v>
      </c>
      <c r="F1959" s="35">
        <v>2.8</v>
      </c>
      <c r="G1959" s="16" t="s">
        <v>44</v>
      </c>
      <c r="H1959" s="16" t="s">
        <v>45</v>
      </c>
      <c r="I1959" s="16">
        <f>COUNTIF(G$5:G1959,"Y")/COUNTA(G$5:G1959)</f>
        <v>0.88081841432225061</v>
      </c>
      <c r="J1959" s="16">
        <f>COUNTIF(H$5:H1959,"Y")/COUNTA(H$5:H1959)</f>
        <v>4.9104859335038366E-2</v>
      </c>
      <c r="K1959" s="16">
        <f>AVERAGE(F$5:F1959)</f>
        <v>2.218925831202045</v>
      </c>
      <c r="L1959" s="16">
        <f>SUM(F$5:F1959)/SUM(E$5:E1959)</f>
        <v>0.76241695665928411</v>
      </c>
    </row>
    <row r="1960" spans="1:13" x14ac:dyDescent="0.25">
      <c r="A1960" s="29">
        <v>45951</v>
      </c>
      <c r="B1960" s="16" t="s">
        <v>2006</v>
      </c>
      <c r="C1960" s="34">
        <v>1</v>
      </c>
      <c r="D1960" s="16" t="s">
        <v>56</v>
      </c>
      <c r="E1960" s="35">
        <v>3.2</v>
      </c>
      <c r="F1960" s="35">
        <v>2.4</v>
      </c>
      <c r="G1960" s="16" t="s">
        <v>44</v>
      </c>
      <c r="H1960" s="16" t="s">
        <v>45</v>
      </c>
      <c r="I1960" s="16">
        <f>COUNTIF(G$5:G1960,"Y")/COUNTA(G$5:G1960)</f>
        <v>0.88087934560327197</v>
      </c>
      <c r="J1960" s="16">
        <f>COUNTIF(H$5:H1960,"Y")/COUNTA(H$5:H1960)</f>
        <v>4.9079754601226995E-2</v>
      </c>
      <c r="K1960" s="16">
        <f>AVERAGE(F$5:F1960)</f>
        <v>2.2190184049079744</v>
      </c>
      <c r="L1960" s="16">
        <f>SUM(F$5:F1960)/SUM(E$5:E1960)</f>
        <v>0.76240997716493841</v>
      </c>
    </row>
    <row r="1961" spans="1:13" x14ac:dyDescent="0.25">
      <c r="A1961" s="29">
        <v>45952</v>
      </c>
      <c r="B1961" s="16" t="s">
        <v>2007</v>
      </c>
      <c r="C1961" s="34">
        <v>1</v>
      </c>
      <c r="D1961" s="16" t="s">
        <v>50</v>
      </c>
      <c r="E1961" s="35">
        <v>2.6</v>
      </c>
      <c r="F1961" s="35">
        <v>1.9</v>
      </c>
      <c r="G1961" s="16" t="s">
        <v>44</v>
      </c>
      <c r="H1961" s="16" t="s">
        <v>45</v>
      </c>
      <c r="I1961" s="16">
        <f>COUNTIF(G$5:G1961,"Y")/COUNTA(G$5:G1961)</f>
        <v>0.88094021461420546</v>
      </c>
      <c r="J1961" s="16">
        <f>COUNTIF(H$5:H1961,"Y")/COUNTA(H$5:H1961)</f>
        <v>4.905467552376086E-2</v>
      </c>
      <c r="K1961" s="16">
        <f>AVERAGE(F$5:F1961)</f>
        <v>2.2188553909044444</v>
      </c>
      <c r="L1961" s="16">
        <f>SUM(F$5:F1961)/SUM(E$5:E1961)</f>
        <v>0.76239553339419797</v>
      </c>
    </row>
    <row r="1962" spans="1:13" x14ac:dyDescent="0.25">
      <c r="A1962" s="29">
        <v>45953</v>
      </c>
      <c r="B1962" s="16" t="s">
        <v>2008</v>
      </c>
      <c r="C1962" s="34">
        <v>1</v>
      </c>
      <c r="D1962" s="16" t="s">
        <v>64</v>
      </c>
      <c r="E1962" s="35">
        <v>5.5</v>
      </c>
      <c r="F1962" s="35">
        <v>4.3</v>
      </c>
      <c r="G1962" s="16" t="s">
        <v>44</v>
      </c>
      <c r="H1962" s="16" t="s">
        <v>45</v>
      </c>
      <c r="I1962" s="16">
        <f>COUNTIF(G$5:G1962,"Y")/COUNTA(G$5:G1962)</f>
        <v>0.88100102145045966</v>
      </c>
      <c r="J1962" s="16">
        <f>COUNTIF(H$5:H1962,"Y")/COUNTA(H$5:H1962)</f>
        <v>4.9029622063329927E-2</v>
      </c>
      <c r="K1962" s="16">
        <f>AVERAGE(F$5:F1962)</f>
        <v>2.2199182839632265</v>
      </c>
      <c r="L1962" s="16">
        <f>SUM(F$5:F1962)/SUM(E$5:E1962)</f>
        <v>0.76241427093017033</v>
      </c>
    </row>
    <row r="1963" spans="1:13" x14ac:dyDescent="0.25">
      <c r="A1963" s="29">
        <v>45954</v>
      </c>
      <c r="B1963" s="16" t="s">
        <v>2009</v>
      </c>
      <c r="C1963" s="34">
        <v>1</v>
      </c>
      <c r="D1963" s="16" t="s">
        <v>56</v>
      </c>
      <c r="E1963" s="35">
        <v>4.5</v>
      </c>
      <c r="F1963" s="35">
        <v>3.9</v>
      </c>
      <c r="G1963" s="16" t="s">
        <v>44</v>
      </c>
      <c r="H1963" s="16" t="s">
        <v>45</v>
      </c>
      <c r="I1963" s="16">
        <f>COUNTIF(G$5:G1963,"Y")/COUNTA(G$5:G1963)</f>
        <v>0.88106176620724863</v>
      </c>
      <c r="J1963" s="16">
        <f>COUNTIF(H$5:H1963,"Y")/COUNTA(H$5:H1963)</f>
        <v>4.9004594180704443E-2</v>
      </c>
      <c r="K1963" s="16">
        <f>AVERAGE(F$5:F1963)</f>
        <v>2.2207759060745262</v>
      </c>
      <c r="L1963" s="16">
        <f>SUM(F$5:F1963)/SUM(E$5:E1963)</f>
        <v>0.76249649467190017</v>
      </c>
    </row>
    <row r="1964" spans="1:13" x14ac:dyDescent="0.25">
      <c r="A1964" s="29">
        <v>45950</v>
      </c>
      <c r="B1964" s="16" t="s">
        <v>2010</v>
      </c>
      <c r="C1964" s="34">
        <v>1</v>
      </c>
      <c r="D1964" s="16" t="s">
        <v>64</v>
      </c>
      <c r="E1964" s="35">
        <v>3.1</v>
      </c>
      <c r="F1964" s="35">
        <v>2.2000000000000002</v>
      </c>
      <c r="G1964" s="16" t="s">
        <v>45</v>
      </c>
      <c r="H1964" s="16" t="s">
        <v>45</v>
      </c>
      <c r="I1964" s="16">
        <f>COUNTIF(G$5:G1964,"Y")/COUNTA(G$5:G1964)</f>
        <v>0.8806122448979592</v>
      </c>
      <c r="J1964" s="16">
        <f>COUNTIF(H$5:H1964,"Y")/COUNTA(H$5:H1964)</f>
        <v>4.8979591836734691E-2</v>
      </c>
      <c r="K1964" s="16">
        <f>AVERAGE(F$5:F1964)</f>
        <v>2.2207653061224475</v>
      </c>
      <c r="L1964" s="16">
        <f>SUM(F$5:F1964)/SUM(E$5:E1964)</f>
        <v>0.76246781228650884</v>
      </c>
    </row>
    <row r="1965" spans="1:13" x14ac:dyDescent="0.25">
      <c r="A1965" s="29">
        <v>45951</v>
      </c>
      <c r="B1965" s="16" t="s">
        <v>2011</v>
      </c>
      <c r="C1965" s="34">
        <v>1</v>
      </c>
      <c r="D1965" s="16" t="s">
        <v>43</v>
      </c>
      <c r="E1965" s="35">
        <v>1.8</v>
      </c>
      <c r="F1965" s="35">
        <v>1.3</v>
      </c>
      <c r="G1965" s="16" t="s">
        <v>44</v>
      </c>
      <c r="H1965" s="16" t="s">
        <v>45</v>
      </c>
      <c r="I1965" s="16">
        <f>COUNTIF(G$5:G1965,"Y")/COUNTA(G$5:G1965)</f>
        <v>0.88067312595614478</v>
      </c>
      <c r="J1965" s="16">
        <f>COUNTIF(H$5:H1965,"Y")/COUNTA(H$5:H1965)</f>
        <v>4.8954614992350841E-2</v>
      </c>
      <c r="K1965" s="16">
        <f>AVERAGE(F$5:F1965)</f>
        <v>2.2202957674655774</v>
      </c>
      <c r="L1965" s="16">
        <f>SUM(F$5:F1965)/SUM(E$5:E1965)</f>
        <v>0.76245512652131919</v>
      </c>
    </row>
    <row r="1966" spans="1:13" x14ac:dyDescent="0.25">
      <c r="A1966" s="29">
        <v>45952</v>
      </c>
      <c r="B1966" s="16" t="s">
        <v>2012</v>
      </c>
      <c r="C1966" s="34">
        <v>1</v>
      </c>
      <c r="D1966" s="16" t="s">
        <v>64</v>
      </c>
      <c r="E1966" s="35">
        <v>3.6</v>
      </c>
      <c r="F1966" s="35">
        <v>2.5</v>
      </c>
      <c r="G1966" s="16" t="s">
        <v>44</v>
      </c>
      <c r="H1966" s="16" t="s">
        <v>45</v>
      </c>
      <c r="I1966" s="16">
        <f>COUNTIF(G$5:G1966,"Y")/COUNTA(G$5:G1966)</f>
        <v>0.88073394495412849</v>
      </c>
      <c r="J1966" s="16">
        <f>COUNTIF(H$5:H1966,"Y")/COUNTA(H$5:H1966)</f>
        <v>4.8929663608562692E-2</v>
      </c>
      <c r="K1966" s="16">
        <f>AVERAGE(F$5:F1966)</f>
        <v>2.2204383282364919</v>
      </c>
      <c r="L1966" s="16">
        <f>SUM(F$5:F1966)/SUM(E$5:E1966)</f>
        <v>0.76241227839904668</v>
      </c>
    </row>
    <row r="1967" spans="1:13" x14ac:dyDescent="0.25">
      <c r="A1967" s="29">
        <v>45953</v>
      </c>
      <c r="B1967" s="16" t="s">
        <v>2013</v>
      </c>
      <c r="C1967" s="34">
        <v>1</v>
      </c>
      <c r="D1967" s="16" t="s">
        <v>50</v>
      </c>
      <c r="E1967" s="35">
        <v>4.2</v>
      </c>
      <c r="F1967" s="35">
        <v>3.5</v>
      </c>
      <c r="G1967" s="16" t="s">
        <v>44</v>
      </c>
      <c r="H1967" s="16" t="s">
        <v>45</v>
      </c>
      <c r="I1967" s="16">
        <f>COUNTIF(G$5:G1967,"Y")/COUNTA(G$5:G1967)</f>
        <v>0.88079470198675491</v>
      </c>
      <c r="J1967" s="16">
        <f>COUNTIF(H$5:H1967,"Y")/COUNTA(H$5:H1967)</f>
        <v>4.8904737646459501E-2</v>
      </c>
      <c r="K1967" s="16">
        <f>AVERAGE(F$5:F1967)</f>
        <v>2.2210901681100341</v>
      </c>
      <c r="L1967" s="16">
        <f>SUM(F$5:F1967)/SUM(E$5:E1967)</f>
        <v>0.76246436878093016</v>
      </c>
    </row>
    <row r="1968" spans="1:13" x14ac:dyDescent="0.25">
      <c r="A1968" s="29">
        <v>45954</v>
      </c>
      <c r="B1968" s="16" t="s">
        <v>2014</v>
      </c>
      <c r="C1968" s="34">
        <v>1</v>
      </c>
      <c r="D1968" s="16" t="s">
        <v>47</v>
      </c>
      <c r="E1968" s="35">
        <v>4.3</v>
      </c>
      <c r="F1968" s="35">
        <v>3.5</v>
      </c>
      <c r="G1968" s="16" t="s">
        <v>44</v>
      </c>
      <c r="H1968" s="16" t="s">
        <v>45</v>
      </c>
      <c r="I1968" s="16">
        <f>COUNTIF(G$5:G1968,"Y")/COUNTA(G$5:G1968)</f>
        <v>0.88085539714867622</v>
      </c>
      <c r="J1968" s="16">
        <f>COUNTIF(H$5:H1968,"Y")/COUNTA(H$5:H1968)</f>
        <v>4.8879837067209775E-2</v>
      </c>
      <c r="K1968" s="16">
        <f>AVERAGE(F$5:F1968)</f>
        <v>2.2217413441955181</v>
      </c>
      <c r="L1968" s="16">
        <f>SUM(F$5:F1968)/SUM(E$5:E1968)</f>
        <v>0.7625030580505352</v>
      </c>
    </row>
    <row r="1969" spans="1:12" x14ac:dyDescent="0.25">
      <c r="A1969" s="29">
        <v>45950</v>
      </c>
      <c r="B1969" s="16" t="s">
        <v>2015</v>
      </c>
      <c r="C1969" s="34">
        <v>1</v>
      </c>
      <c r="D1969" s="16" t="s">
        <v>56</v>
      </c>
      <c r="E1969" s="35">
        <v>2</v>
      </c>
      <c r="F1969" s="35">
        <v>1.8</v>
      </c>
      <c r="G1969" s="16" t="s">
        <v>44</v>
      </c>
      <c r="H1969" s="16" t="s">
        <v>45</v>
      </c>
      <c r="I1969" s="16">
        <f>COUNTIF(G$5:G1969,"Y")/COUNTA(G$5:G1969)</f>
        <v>0.88091603053435119</v>
      </c>
      <c r="J1969" s="16">
        <f>COUNTIF(H$5:H1969,"Y")/COUNTA(H$5:H1969)</f>
        <v>4.8854961832061068E-2</v>
      </c>
      <c r="K1969" s="16">
        <f>AVERAGE(F$5:F1969)</f>
        <v>2.2215267175572504</v>
      </c>
      <c r="L1969" s="16">
        <f>SUM(F$5:F1969)/SUM(E$5:E1969)</f>
        <v>0.762551095273031</v>
      </c>
    </row>
    <row r="1970" spans="1:12" x14ac:dyDescent="0.25">
      <c r="A1970" s="29">
        <v>45951</v>
      </c>
      <c r="B1970" s="16" t="s">
        <v>2016</v>
      </c>
      <c r="C1970" s="34">
        <v>1</v>
      </c>
      <c r="D1970" s="16" t="s">
        <v>52</v>
      </c>
      <c r="E1970" s="35">
        <v>6.1</v>
      </c>
      <c r="F1970" s="35">
        <v>4.0999999999999996</v>
      </c>
      <c r="G1970" s="16" t="s">
        <v>44</v>
      </c>
      <c r="H1970" s="16" t="s">
        <v>45</v>
      </c>
      <c r="I1970" s="16">
        <f>COUNTIF(G$5:G1970,"Y")/COUNTA(G$5:G1970)</f>
        <v>0.88097660223804675</v>
      </c>
      <c r="J1970" s="16">
        <f>COUNTIF(H$5:H1970,"Y")/COUNTA(H$5:H1970)</f>
        <v>4.8830111902339775E-2</v>
      </c>
      <c r="K1970" s="16">
        <f>AVERAGE(F$5:F1970)</f>
        <v>2.2224821973550344</v>
      </c>
      <c r="L1970" s="16">
        <f>SUM(F$5:F1970)/SUM(E$5:E1970)</f>
        <v>0.7624548484478324</v>
      </c>
    </row>
    <row r="1971" spans="1:12" x14ac:dyDescent="0.25">
      <c r="A1971" s="29">
        <v>45952</v>
      </c>
      <c r="B1971" s="16" t="s">
        <v>2017</v>
      </c>
      <c r="C1971" s="34">
        <v>1</v>
      </c>
      <c r="D1971" s="16" t="s">
        <v>43</v>
      </c>
      <c r="E1971" s="35">
        <v>5.0999999999999996</v>
      </c>
      <c r="F1971" s="35">
        <v>3.7</v>
      </c>
      <c r="G1971" s="16" t="s">
        <v>44</v>
      </c>
      <c r="H1971" s="16" t="s">
        <v>45</v>
      </c>
      <c r="I1971" s="16">
        <f>COUNTIF(G$5:G1971,"Y")/COUNTA(G$5:G1971)</f>
        <v>0.8810371123538383</v>
      </c>
      <c r="J1971" s="16">
        <f>COUNTIF(H$5:H1971,"Y")/COUNTA(H$5:H1971)</f>
        <v>4.8805287239450941E-2</v>
      </c>
      <c r="K1971" s="16">
        <f>AVERAGE(F$5:F1971)</f>
        <v>2.2232333502796124</v>
      </c>
      <c r="L1971" s="16">
        <f>SUM(F$5:F1971)/SUM(E$5:E1971)</f>
        <v>0.76242198124062777</v>
      </c>
    </row>
    <row r="1972" spans="1:12" x14ac:dyDescent="0.25">
      <c r="A1972" s="29">
        <v>45953</v>
      </c>
      <c r="B1972" s="16" t="s">
        <v>2018</v>
      </c>
      <c r="C1972" s="34">
        <v>1</v>
      </c>
      <c r="D1972" s="16" t="s">
        <v>47</v>
      </c>
      <c r="E1972" s="35">
        <v>2.7</v>
      </c>
      <c r="F1972" s="35">
        <v>1.9</v>
      </c>
      <c r="G1972" s="16" t="s">
        <v>44</v>
      </c>
      <c r="H1972" s="16" t="s">
        <v>45</v>
      </c>
      <c r="I1972" s="16">
        <f>COUNTIF(G$5:G1972,"Y")/COUNTA(G$5:G1972)</f>
        <v>0.88109756097560976</v>
      </c>
      <c r="J1972" s="16">
        <f>COUNTIF(H$5:H1972,"Y")/COUNTA(H$5:H1972)</f>
        <v>4.878048780487805E-2</v>
      </c>
      <c r="K1972" s="16">
        <f>AVERAGE(F$5:F1972)</f>
        <v>2.2230691056910556</v>
      </c>
      <c r="L1972" s="16">
        <f>SUM(F$5:F1972)/SUM(E$5:E1972)</f>
        <v>0.76239435392524046</v>
      </c>
    </row>
    <row r="1973" spans="1:12" x14ac:dyDescent="0.25">
      <c r="A1973" s="29">
        <v>45954</v>
      </c>
      <c r="B1973" s="16" t="s">
        <v>2019</v>
      </c>
      <c r="C1973" s="34">
        <v>1</v>
      </c>
      <c r="D1973" s="16" t="s">
        <v>47</v>
      </c>
      <c r="E1973" s="35">
        <v>3.3</v>
      </c>
      <c r="F1973" s="35">
        <v>2.8</v>
      </c>
      <c r="G1973" s="16" t="s">
        <v>44</v>
      </c>
      <c r="H1973" s="16" t="s">
        <v>45</v>
      </c>
      <c r="I1973" s="16">
        <f>COUNTIF(G$5:G1973,"Y")/COUNTA(G$5:G1973)</f>
        <v>0.8811579481970544</v>
      </c>
      <c r="J1973" s="16">
        <f>COUNTIF(H$5:H1973,"Y")/COUNTA(H$5:H1973)</f>
        <v>4.8755713560182837E-2</v>
      </c>
      <c r="K1973" s="16">
        <f>AVERAGE(F$5:F1973)</f>
        <v>2.2233621127475862</v>
      </c>
      <c r="L1973" s="16">
        <f>SUM(F$5:F1973)/SUM(E$5:E1973)</f>
        <v>0.76244383294437157</v>
      </c>
    </row>
    <row r="1974" spans="1:12" x14ac:dyDescent="0.25">
      <c r="A1974" s="29">
        <v>45950</v>
      </c>
      <c r="B1974" s="16" t="s">
        <v>2020</v>
      </c>
      <c r="C1974" s="34">
        <v>1</v>
      </c>
      <c r="D1974" s="16" t="s">
        <v>47</v>
      </c>
      <c r="E1974" s="35">
        <v>3.6</v>
      </c>
      <c r="F1974" s="35">
        <v>3.2</v>
      </c>
      <c r="G1974" s="16" t="s">
        <v>44</v>
      </c>
      <c r="H1974" s="16" t="s">
        <v>45</v>
      </c>
      <c r="I1974" s="16">
        <f>COUNTIF(G$5:G1974,"Y")/COUNTA(G$5:G1974)</f>
        <v>0.88121827411167508</v>
      </c>
      <c r="J1974" s="16">
        <f>COUNTIF(H$5:H1974,"Y")/COUNTA(H$5:H1974)</f>
        <v>4.8730964467005075E-2</v>
      </c>
      <c r="K1974" s="16">
        <f>AVERAGE(F$5:F1974)</f>
        <v>2.2238578680203034</v>
      </c>
      <c r="L1974" s="16">
        <f>SUM(F$5:F1974)/SUM(E$5:E1974)</f>
        <v>0.76252306192780173</v>
      </c>
    </row>
    <row r="1975" spans="1:12" x14ac:dyDescent="0.25">
      <c r="A1975" s="29">
        <v>45951</v>
      </c>
      <c r="B1975" s="16" t="s">
        <v>2021</v>
      </c>
      <c r="C1975" s="34">
        <v>1</v>
      </c>
      <c r="D1975" s="16" t="s">
        <v>52</v>
      </c>
      <c r="E1975" s="35">
        <v>4</v>
      </c>
      <c r="F1975" s="35">
        <v>2.7</v>
      </c>
      <c r="G1975" s="16" t="s">
        <v>44</v>
      </c>
      <c r="H1975" s="16" t="s">
        <v>45</v>
      </c>
      <c r="I1975" s="16">
        <f>COUNTIF(G$5:G1975,"Y")/COUNTA(G$5:G1975)</f>
        <v>0.88127853881278539</v>
      </c>
      <c r="J1975" s="16">
        <f>COUNTIF(H$5:H1975,"Y")/COUNTA(H$5:H1975)</f>
        <v>4.8706240487062402E-2</v>
      </c>
      <c r="K1975" s="16">
        <f>AVERAGE(F$5:F1975)</f>
        <v>2.2240994419076596</v>
      </c>
      <c r="L1975" s="16">
        <f>SUM(F$5:F1975)/SUM(E$5:E1975)</f>
        <v>0.76246216996556015</v>
      </c>
    </row>
    <row r="1976" spans="1:12" x14ac:dyDescent="0.25">
      <c r="A1976" s="29">
        <v>45952</v>
      </c>
      <c r="B1976" s="16" t="s">
        <v>2022</v>
      </c>
      <c r="C1976" s="34">
        <v>1</v>
      </c>
      <c r="D1976" s="16" t="s">
        <v>64</v>
      </c>
      <c r="E1976" s="35">
        <v>2.1</v>
      </c>
      <c r="F1976" s="35">
        <v>1.4</v>
      </c>
      <c r="G1976" s="16" t="s">
        <v>44</v>
      </c>
      <c r="H1976" s="16" t="s">
        <v>45</v>
      </c>
      <c r="I1976" s="16">
        <f>COUNTIF(G$5:G1976,"Y")/COUNTA(G$5:G1976)</f>
        <v>0.88133874239350918</v>
      </c>
      <c r="J1976" s="16">
        <f>COUNTIF(H$5:H1976,"Y")/COUNTA(H$5:H1976)</f>
        <v>4.8681541582150101E-2</v>
      </c>
      <c r="K1976" s="16">
        <f>AVERAGE(F$5:F1976)</f>
        <v>2.2236815415821485</v>
      </c>
      <c r="L1976" s="16">
        <f>SUM(F$5:F1976)/SUM(E$5:E1976)</f>
        <v>0.76242719290619687</v>
      </c>
    </row>
    <row r="1977" spans="1:12" x14ac:dyDescent="0.25">
      <c r="A1977" s="29">
        <v>45953</v>
      </c>
      <c r="B1977" s="16" t="s">
        <v>2023</v>
      </c>
      <c r="C1977" s="34">
        <v>1</v>
      </c>
      <c r="D1977" s="16" t="s">
        <v>43</v>
      </c>
      <c r="E1977" s="35">
        <v>4.7</v>
      </c>
      <c r="F1977" s="35">
        <v>4.0999999999999996</v>
      </c>
      <c r="G1977" s="16" t="s">
        <v>44</v>
      </c>
      <c r="H1977" s="16" t="s">
        <v>45</v>
      </c>
      <c r="I1977" s="16">
        <f>COUNTIF(G$5:G1977,"Y")/COUNTA(G$5:G1977)</f>
        <v>0.88139888494678154</v>
      </c>
      <c r="J1977" s="16">
        <f>COUNTIF(H$5:H1977,"Y")/COUNTA(H$5:H1977)</f>
        <v>4.8656867714140906E-2</v>
      </c>
      <c r="K1977" s="16">
        <f>AVERAGE(F$5:F1977)</f>
        <v>2.2246325392802824</v>
      </c>
      <c r="L1977" s="16">
        <f>SUM(F$5:F1977)/SUM(E$5:E1977)</f>
        <v>0.76251693825787703</v>
      </c>
    </row>
    <row r="1978" spans="1:12" x14ac:dyDescent="0.25">
      <c r="A1978" s="29">
        <v>45954</v>
      </c>
      <c r="B1978" s="16" t="s">
        <v>2024</v>
      </c>
      <c r="C1978" s="34">
        <v>1</v>
      </c>
      <c r="D1978" s="16" t="s">
        <v>60</v>
      </c>
      <c r="E1978" s="35">
        <v>2.2000000000000002</v>
      </c>
      <c r="F1978" s="35">
        <v>1.7</v>
      </c>
      <c r="G1978" s="16" t="s">
        <v>44</v>
      </c>
      <c r="H1978" s="16" t="s">
        <v>45</v>
      </c>
      <c r="I1978" s="16">
        <f>COUNTIF(G$5:G1978,"Y")/COUNTA(G$5:G1978)</f>
        <v>0.8814589665653495</v>
      </c>
      <c r="J1978" s="16">
        <f>COUNTIF(H$5:H1978,"Y")/COUNTA(H$5:H1978)</f>
        <v>4.8632218844984802E-2</v>
      </c>
      <c r="K1978" s="16">
        <f>AVERAGE(F$5:F1978)</f>
        <v>2.2243667679837875</v>
      </c>
      <c r="L1978" s="16">
        <f>SUM(F$5:F1978)/SUM(E$5:E1978)</f>
        <v>0.76252083912197688</v>
      </c>
    </row>
    <row r="1979" spans="1:12" x14ac:dyDescent="0.25">
      <c r="A1979" s="29">
        <v>45950</v>
      </c>
      <c r="B1979" s="16" t="s">
        <v>2025</v>
      </c>
      <c r="C1979" s="34">
        <v>1</v>
      </c>
      <c r="D1979" s="16" t="s">
        <v>43</v>
      </c>
      <c r="E1979" s="35">
        <v>4.4000000000000004</v>
      </c>
      <c r="F1979" s="35">
        <v>3.7</v>
      </c>
      <c r="G1979" s="16" t="s">
        <v>44</v>
      </c>
      <c r="H1979" s="16" t="s">
        <v>45</v>
      </c>
      <c r="I1979" s="16">
        <f>COUNTIF(G$5:G1979,"Y")/COUNTA(G$5:G1979)</f>
        <v>0.88151898734177214</v>
      </c>
      <c r="J1979" s="16">
        <f>COUNTIF(H$5:H1979,"Y")/COUNTA(H$5:H1979)</f>
        <v>4.860759493670886E-2</v>
      </c>
      <c r="K1979" s="16">
        <f>AVERAGE(F$5:F1979)</f>
        <v>2.2251139240506315</v>
      </c>
      <c r="L1979" s="16">
        <f>SUM(F$5:F1979)/SUM(E$5:E1979)</f>
        <v>0.7625806899423877</v>
      </c>
    </row>
    <row r="1980" spans="1:12" x14ac:dyDescent="0.25">
      <c r="A1980" s="29">
        <v>45951</v>
      </c>
      <c r="B1980" s="16" t="s">
        <v>2026</v>
      </c>
      <c r="C1980" s="34">
        <v>1</v>
      </c>
      <c r="D1980" s="16" t="s">
        <v>64</v>
      </c>
      <c r="E1980" s="35">
        <v>3.6</v>
      </c>
      <c r="F1980" s="35">
        <v>2.8</v>
      </c>
      <c r="G1980" s="16" t="s">
        <v>44</v>
      </c>
      <c r="H1980" s="16" t="s">
        <v>45</v>
      </c>
      <c r="I1980" s="16">
        <f>COUNTIF(G$5:G1980,"Y")/COUNTA(G$5:G1980)</f>
        <v>0.88157894736842102</v>
      </c>
      <c r="J1980" s="16">
        <f>COUNTIF(H$5:H1980,"Y")/COUNTA(H$5:H1980)</f>
        <v>4.8582995951417005E-2</v>
      </c>
      <c r="K1980" s="16">
        <f>AVERAGE(F$5:F1980)</f>
        <v>2.2254048582995938</v>
      </c>
      <c r="L1980" s="16">
        <f>SUM(F$5:F1980)/SUM(E$5:E1980)</f>
        <v>0.76259017758046466</v>
      </c>
    </row>
    <row r="1981" spans="1:12" x14ac:dyDescent="0.25">
      <c r="A1981" s="29">
        <v>45952</v>
      </c>
      <c r="B1981" s="16" t="s">
        <v>2027</v>
      </c>
      <c r="C1981" s="34">
        <v>1</v>
      </c>
      <c r="D1981" s="16" t="s">
        <v>50</v>
      </c>
      <c r="E1981" s="35">
        <v>3.2</v>
      </c>
      <c r="F1981" s="35">
        <v>2.7</v>
      </c>
      <c r="G1981" s="16" t="s">
        <v>44</v>
      </c>
      <c r="H1981" s="16" t="s">
        <v>45</v>
      </c>
      <c r="I1981" s="16">
        <f>COUNTIF(G$5:G1981,"Y")/COUNTA(G$5:G1981)</f>
        <v>0.88163884673748105</v>
      </c>
      <c r="J1981" s="16">
        <f>COUNTIF(H$5:H1981,"Y")/COUNTA(H$5:H1981)</f>
        <v>4.8558421851289835E-2</v>
      </c>
      <c r="K1981" s="16">
        <f>AVERAGE(F$5:F1981)</f>
        <v>2.2256449165402108</v>
      </c>
      <c r="L1981" s="16">
        <f>SUM(F$5:F1981)/SUM(E$5:E1981)</f>
        <v>0.76263519134775226</v>
      </c>
    </row>
    <row r="1982" spans="1:12" x14ac:dyDescent="0.25">
      <c r="A1982" s="29">
        <v>45953</v>
      </c>
      <c r="B1982" s="16" t="s">
        <v>2028</v>
      </c>
      <c r="C1982" s="34">
        <v>1</v>
      </c>
      <c r="D1982" s="16" t="s">
        <v>64</v>
      </c>
      <c r="E1982" s="35">
        <v>2.2999999999999998</v>
      </c>
      <c r="F1982" s="35">
        <v>1.8</v>
      </c>
      <c r="G1982" s="16" t="s">
        <v>44</v>
      </c>
      <c r="H1982" s="16" t="s">
        <v>45</v>
      </c>
      <c r="I1982" s="16">
        <f>COUNTIF(G$5:G1982,"Y")/COUNTA(G$5:G1982)</f>
        <v>0.88169868554095043</v>
      </c>
      <c r="J1982" s="16">
        <f>COUNTIF(H$5:H1982,"Y")/COUNTA(H$5:H1982)</f>
        <v>4.8533872598584431E-2</v>
      </c>
      <c r="K1982" s="16">
        <f>AVERAGE(F$5:F1982)</f>
        <v>2.225429726996965</v>
      </c>
      <c r="L1982" s="16">
        <f>SUM(F$5:F1982)/SUM(E$5:E1982)</f>
        <v>0.76264315043573028</v>
      </c>
    </row>
    <row r="1983" spans="1:12" x14ac:dyDescent="0.25">
      <c r="A1983" s="29">
        <v>45954</v>
      </c>
      <c r="B1983" s="16" t="s">
        <v>2029</v>
      </c>
      <c r="C1983" s="34">
        <v>1</v>
      </c>
      <c r="D1983" s="16" t="s">
        <v>43</v>
      </c>
      <c r="E1983" s="35">
        <v>3.8</v>
      </c>
      <c r="F1983" s="35">
        <v>3.1</v>
      </c>
      <c r="G1983" s="16" t="s">
        <v>45</v>
      </c>
      <c r="H1983" s="16" t="s">
        <v>44</v>
      </c>
      <c r="I1983" s="16">
        <f>COUNTIF(G$5:G1983,"Y")/COUNTA(G$5:G1983)</f>
        <v>0.88125315816068717</v>
      </c>
      <c r="J1983" s="16">
        <f>COUNTIF(H$5:H1983,"Y")/COUNTA(H$5:H1983)</f>
        <v>4.9014653865588682E-2</v>
      </c>
      <c r="K1983" s="16">
        <f>AVERAGE(F$5:F1983)</f>
        <v>2.22587165234967</v>
      </c>
      <c r="L1983" s="16">
        <f>SUM(F$5:F1983)/SUM(E$5:E1983)</f>
        <v>0.7626781169382052</v>
      </c>
    </row>
    <row r="1984" spans="1:12" x14ac:dyDescent="0.25">
      <c r="A1984" s="29">
        <v>45950</v>
      </c>
      <c r="B1984" s="16" t="s">
        <v>2030</v>
      </c>
      <c r="C1984" s="34">
        <v>1</v>
      </c>
      <c r="D1984" s="16" t="s">
        <v>56</v>
      </c>
      <c r="E1984" s="35">
        <v>4.4000000000000004</v>
      </c>
      <c r="F1984" s="35">
        <v>3</v>
      </c>
      <c r="G1984" s="16" t="s">
        <v>44</v>
      </c>
      <c r="H1984" s="16" t="s">
        <v>45</v>
      </c>
      <c r="I1984" s="16">
        <f>COUNTIF(G$5:G1984,"Y")/COUNTA(G$5:G1984)</f>
        <v>0.88131313131313127</v>
      </c>
      <c r="J1984" s="16">
        <f>COUNTIF(H$5:H1984,"Y")/COUNTA(H$5:H1984)</f>
        <v>4.8989898989898993E-2</v>
      </c>
      <c r="K1984" s="16">
        <f>AVERAGE(F$5:F1984)</f>
        <v>2.2262626262626251</v>
      </c>
      <c r="L1984" s="16">
        <f>SUM(F$5:F1984)/SUM(E$5:E1984)</f>
        <v>0.76261656372726983</v>
      </c>
    </row>
    <row r="1985" spans="1:13" x14ac:dyDescent="0.25">
      <c r="A1985" s="29">
        <v>45951</v>
      </c>
      <c r="B1985" s="16" t="s">
        <v>2031</v>
      </c>
      <c r="C1985" s="34">
        <v>1</v>
      </c>
      <c r="D1985" s="16" t="s">
        <v>56</v>
      </c>
      <c r="E1985" s="35">
        <v>2.6</v>
      </c>
      <c r="F1985" s="35">
        <v>1.8</v>
      </c>
      <c r="G1985" s="16" t="s">
        <v>44</v>
      </c>
      <c r="H1985" s="16" t="s">
        <v>45</v>
      </c>
      <c r="I1985" s="16">
        <f>COUNTIF(G$5:G1985,"Y")/COUNTA(G$5:G1985)</f>
        <v>0.88137304391721349</v>
      </c>
      <c r="J1985" s="16">
        <f>COUNTIF(H$5:H1985,"Y")/COUNTA(H$5:H1985)</f>
        <v>4.8965169106511865E-2</v>
      </c>
      <c r="K1985" s="16">
        <f>AVERAGE(F$5:F1985)</f>
        <v>2.2260474507824317</v>
      </c>
      <c r="L1985" s="16">
        <f>SUM(F$5:F1985)/SUM(E$5:E1985)</f>
        <v>0.76258495166617535</v>
      </c>
    </row>
    <row r="1986" spans="1:13" x14ac:dyDescent="0.25">
      <c r="A1986" s="29">
        <v>45952</v>
      </c>
      <c r="B1986" s="16" t="s">
        <v>2032</v>
      </c>
      <c r="C1986" s="34">
        <v>1</v>
      </c>
      <c r="D1986" s="16" t="s">
        <v>50</v>
      </c>
      <c r="E1986" s="35">
        <v>4</v>
      </c>
      <c r="F1986" s="35">
        <v>2.7</v>
      </c>
      <c r="G1986" s="16" t="s">
        <v>44</v>
      </c>
      <c r="H1986" s="16" t="s">
        <v>45</v>
      </c>
      <c r="I1986" s="16">
        <f>COUNTIF(G$5:G1986,"Y")/COUNTA(G$5:G1986)</f>
        <v>0.8814328960645812</v>
      </c>
      <c r="J1986" s="16">
        <f>COUNTIF(H$5:H1986,"Y")/COUNTA(H$5:H1986)</f>
        <v>4.8940464177598383E-2</v>
      </c>
      <c r="K1986" s="16">
        <f>AVERAGE(F$5:F1986)</f>
        <v>2.226286579212915</v>
      </c>
      <c r="L1986" s="16">
        <f>SUM(F$5:F1986)/SUM(E$5:E1986)</f>
        <v>0.76252440942160327</v>
      </c>
    </row>
    <row r="1987" spans="1:13" x14ac:dyDescent="0.25">
      <c r="A1987" s="29">
        <v>45953</v>
      </c>
      <c r="B1987" s="16" t="s">
        <v>2033</v>
      </c>
      <c r="C1987" s="34">
        <v>1</v>
      </c>
      <c r="D1987" s="16" t="s">
        <v>56</v>
      </c>
      <c r="E1987" s="35">
        <v>2.9</v>
      </c>
      <c r="F1987" s="35">
        <v>2.2999999999999998</v>
      </c>
      <c r="G1987" s="16" t="s">
        <v>44</v>
      </c>
      <c r="H1987" s="16" t="s">
        <v>45</v>
      </c>
      <c r="I1987" s="16">
        <f>COUNTIF(G$5:G1987,"Y")/COUNTA(G$5:G1987)</f>
        <v>0.88149268784669688</v>
      </c>
      <c r="J1987" s="16">
        <f>COUNTIF(H$5:H1987,"Y")/COUNTA(H$5:H1987)</f>
        <v>4.891578416540595E-2</v>
      </c>
      <c r="K1987" s="16">
        <f>AVERAGE(F$5:F1987)</f>
        <v>2.2263237518910728</v>
      </c>
      <c r="L1987" s="16">
        <f>SUM(F$5:F1987)/SUM(E$5:E1987)</f>
        <v>0.76253972640596801</v>
      </c>
    </row>
    <row r="1988" spans="1:13" x14ac:dyDescent="0.25">
      <c r="A1988" s="29">
        <v>45954</v>
      </c>
      <c r="B1988" s="16" t="s">
        <v>2034</v>
      </c>
      <c r="C1988" s="34">
        <v>1</v>
      </c>
      <c r="D1988" s="16" t="s">
        <v>64</v>
      </c>
      <c r="E1988" s="35">
        <v>3.4</v>
      </c>
      <c r="F1988" s="35">
        <v>2.7</v>
      </c>
      <c r="G1988" s="16" t="s">
        <v>45</v>
      </c>
      <c r="H1988" s="16" t="s">
        <v>45</v>
      </c>
      <c r="I1988" s="16">
        <f>COUNTIF(G$5:G1988,"Y")/COUNTA(G$5:G1988)</f>
        <v>0.88104838709677424</v>
      </c>
      <c r="J1988" s="16">
        <f>COUNTIF(H$5:H1988,"Y")/COUNTA(H$5:H1988)</f>
        <v>4.8891129032258063E-2</v>
      </c>
      <c r="K1988" s="16">
        <f>AVERAGE(F$5:F1988)</f>
        <v>2.2265624999999987</v>
      </c>
      <c r="L1988" s="16">
        <f>SUM(F$5:F1988)/SUM(E$5:E1988)</f>
        <v>0.76255825996892668</v>
      </c>
    </row>
    <row r="1989" spans="1:13" x14ac:dyDescent="0.25">
      <c r="A1989" s="29">
        <v>45950</v>
      </c>
      <c r="B1989" s="16" t="s">
        <v>2035</v>
      </c>
      <c r="C1989" s="34">
        <v>1</v>
      </c>
      <c r="D1989" s="16" t="s">
        <v>56</v>
      </c>
      <c r="E1989" s="35">
        <v>3.9</v>
      </c>
      <c r="F1989" s="35">
        <v>3.1</v>
      </c>
      <c r="G1989" s="16" t="s">
        <v>44</v>
      </c>
      <c r="H1989" s="16" t="s">
        <v>45</v>
      </c>
      <c r="I1989" s="16">
        <f>COUNTIF(G$5:G1989,"Y")/COUNTA(G$5:G1989)</f>
        <v>0.88110831234256926</v>
      </c>
      <c r="J1989" s="16">
        <f>COUNTIF(H$5:H1989,"Y")/COUNTA(H$5:H1989)</f>
        <v>4.8866498740554154E-2</v>
      </c>
      <c r="K1989" s="16">
        <f>AVERAGE(F$5:F1989)</f>
        <v>2.2270025188916867</v>
      </c>
      <c r="L1989" s="16">
        <f>SUM(F$5:F1989)/SUM(E$5:E1989)</f>
        <v>0.7625799996549868</v>
      </c>
    </row>
    <row r="1990" spans="1:13" x14ac:dyDescent="0.25">
      <c r="A1990" s="29">
        <v>45951</v>
      </c>
      <c r="B1990" s="16" t="s">
        <v>2036</v>
      </c>
      <c r="C1990" s="34">
        <v>1</v>
      </c>
      <c r="D1990" s="16" t="s">
        <v>56</v>
      </c>
      <c r="E1990" s="35">
        <v>2.5</v>
      </c>
      <c r="F1990" s="35">
        <v>1.7</v>
      </c>
      <c r="G1990" s="16" t="s">
        <v>44</v>
      </c>
      <c r="H1990" s="16" t="s">
        <v>45</v>
      </c>
      <c r="I1990" s="16">
        <f>COUNTIF(G$5:G1990,"Y")/COUNTA(G$5:G1990)</f>
        <v>0.88116817724068475</v>
      </c>
      <c r="J1990" s="16">
        <f>COUNTIF(H$5:H1990,"Y")/COUNTA(H$5:H1990)</f>
        <v>4.8841893252769386E-2</v>
      </c>
      <c r="K1990" s="16">
        <f>AVERAGE(F$5:F1990)</f>
        <v>2.2267371601208445</v>
      </c>
      <c r="L1990" s="16">
        <f>SUM(F$5:F1990)/SUM(E$5:E1990)</f>
        <v>0.76254440114494482</v>
      </c>
    </row>
    <row r="1991" spans="1:13" x14ac:dyDescent="0.25">
      <c r="A1991" s="29">
        <v>45952</v>
      </c>
      <c r="B1991" s="16" t="s">
        <v>2037</v>
      </c>
      <c r="C1991" s="34">
        <v>1</v>
      </c>
      <c r="D1991" s="16" t="s">
        <v>43</v>
      </c>
      <c r="E1991" s="35">
        <v>3.8</v>
      </c>
      <c r="F1991" s="35">
        <v>2.7</v>
      </c>
      <c r="G1991" s="16" t="s">
        <v>44</v>
      </c>
      <c r="H1991" s="16" t="s">
        <v>45</v>
      </c>
      <c r="I1991" s="16">
        <f>COUNTIF(G$5:G1991,"Y")/COUNTA(G$5:G1991)</f>
        <v>0.8812279818822345</v>
      </c>
      <c r="J1991" s="16">
        <f>COUNTIF(H$5:H1991,"Y")/COUNTA(H$5:H1991)</f>
        <v>4.8817312531454451E-2</v>
      </c>
      <c r="K1991" s="16">
        <f>AVERAGE(F$5:F1991)</f>
        <v>2.2269753397081011</v>
      </c>
      <c r="L1991" s="16">
        <f>SUM(F$5:F1991)/SUM(E$5:E1991)</f>
        <v>0.76251033912324107</v>
      </c>
    </row>
    <row r="1992" spans="1:13" x14ac:dyDescent="0.25">
      <c r="A1992" s="29">
        <v>45953</v>
      </c>
      <c r="B1992" s="16" t="s">
        <v>2038</v>
      </c>
      <c r="C1992" s="34">
        <v>1</v>
      </c>
      <c r="D1992" s="16" t="s">
        <v>56</v>
      </c>
      <c r="E1992" s="35">
        <v>2.8</v>
      </c>
      <c r="F1992" s="35">
        <v>2.5</v>
      </c>
      <c r="G1992" s="16" t="s">
        <v>44</v>
      </c>
      <c r="H1992" s="16" t="s">
        <v>45</v>
      </c>
      <c r="I1992" s="16">
        <f>COUNTIF(G$5:G1992,"Y")/COUNTA(G$5:G1992)</f>
        <v>0.88128772635814889</v>
      </c>
      <c r="J1992" s="16">
        <f>COUNTIF(H$5:H1992,"Y")/COUNTA(H$5:H1992)</f>
        <v>4.8792756539235413E-2</v>
      </c>
      <c r="K1992" s="16">
        <f>AVERAGE(F$5:F1992)</f>
        <v>2.2271126760563367</v>
      </c>
      <c r="L1992" s="16">
        <f>SUM(F$5:F1992)/SUM(E$5:E1992)</f>
        <v>0.76257320013778718</v>
      </c>
    </row>
    <row r="1993" spans="1:13" x14ac:dyDescent="0.25">
      <c r="A1993" s="29">
        <v>45954</v>
      </c>
      <c r="B1993" s="16" t="s">
        <v>2039</v>
      </c>
      <c r="C1993" s="34">
        <v>1</v>
      </c>
      <c r="D1993" s="16" t="s">
        <v>60</v>
      </c>
      <c r="E1993" s="35">
        <v>3.8</v>
      </c>
      <c r="F1993" s="35">
        <v>3.1</v>
      </c>
      <c r="G1993" s="16" t="s">
        <v>44</v>
      </c>
      <c r="H1993" s="16" t="s">
        <v>45</v>
      </c>
      <c r="I1993" s="16">
        <f>COUNTIF(G$5:G1993,"Y")/COUNTA(G$5:G1993)</f>
        <v>0.88134741075917544</v>
      </c>
      <c r="J1993" s="16">
        <f>COUNTIF(H$5:H1993,"Y")/COUNTA(H$5:H1993)</f>
        <v>4.8768225238813474E-2</v>
      </c>
      <c r="K1993" s="16">
        <f>AVERAGE(F$5:F1993)</f>
        <v>2.2275515334338851</v>
      </c>
      <c r="L1993" s="16">
        <f>SUM(F$5:F1993)/SUM(E$5:E1993)</f>
        <v>0.76260800716031407</v>
      </c>
    </row>
    <row r="1994" spans="1:13" x14ac:dyDescent="0.25">
      <c r="A1994" s="29">
        <v>45950</v>
      </c>
      <c r="B1994" s="16" t="s">
        <v>2040</v>
      </c>
      <c r="C1994" s="34">
        <v>1</v>
      </c>
      <c r="D1994" s="16" t="s">
        <v>47</v>
      </c>
      <c r="E1994" s="35">
        <v>0.7</v>
      </c>
      <c r="F1994" s="35">
        <v>0.5</v>
      </c>
      <c r="G1994" s="16" t="s">
        <v>44</v>
      </c>
      <c r="H1994" s="16" t="s">
        <v>45</v>
      </c>
      <c r="I1994" s="16">
        <f>COUNTIF(G$5:G1994,"Y")/COUNTA(G$5:G1994)</f>
        <v>0.88140703517587937</v>
      </c>
      <c r="J1994" s="16">
        <f>COUNTIF(H$5:H1994,"Y")/COUNTA(H$5:H1994)</f>
        <v>4.8743718592964821E-2</v>
      </c>
      <c r="K1994" s="16">
        <f>AVERAGE(F$5:F1994)</f>
        <v>2.2266834170854262</v>
      </c>
      <c r="L1994" s="16">
        <f>SUM(F$5:F1994)/SUM(E$5:E1994)</f>
        <v>0.76260218569830351</v>
      </c>
    </row>
    <row r="1995" spans="1:13" x14ac:dyDescent="0.25">
      <c r="A1995" s="29">
        <v>45951</v>
      </c>
      <c r="B1995" s="16" t="s">
        <v>2041</v>
      </c>
      <c r="C1995" s="34">
        <v>1</v>
      </c>
      <c r="D1995" s="16" t="s">
        <v>43</v>
      </c>
      <c r="E1995" s="35">
        <v>0.6</v>
      </c>
      <c r="F1995" s="35">
        <v>0.5</v>
      </c>
      <c r="G1995" s="16" t="s">
        <v>45</v>
      </c>
      <c r="H1995" s="16" t="s">
        <v>44</v>
      </c>
      <c r="I1995" s="16">
        <f>COUNTIF(G$5:G1995,"Y")/COUNTA(G$5:G1995)</f>
        <v>0.88096433952787545</v>
      </c>
      <c r="J1995" s="16">
        <f>COUNTIF(H$5:H1995,"Y")/COUNTA(H$5:H1995)</f>
        <v>4.9221496735308887E-2</v>
      </c>
      <c r="K1995" s="16">
        <f>AVERAGE(F$5:F1995)</f>
        <v>2.2258161727774977</v>
      </c>
      <c r="L1995" s="16">
        <f>SUM(F$5:F1995)/SUM(E$5:E1995)</f>
        <v>0.76260948873707091</v>
      </c>
    </row>
    <row r="1996" spans="1:13" x14ac:dyDescent="0.25">
      <c r="A1996" s="29">
        <v>45952</v>
      </c>
      <c r="B1996" s="16" t="s">
        <v>2042</v>
      </c>
      <c r="C1996" s="34">
        <v>1</v>
      </c>
      <c r="D1996" s="16" t="s">
        <v>60</v>
      </c>
      <c r="E1996" s="35">
        <v>0.6</v>
      </c>
      <c r="F1996" s="35">
        <v>0.5</v>
      </c>
      <c r="G1996" s="16" t="s">
        <v>44</v>
      </c>
      <c r="H1996" s="16" t="s">
        <v>45</v>
      </c>
      <c r="I1996" s="16">
        <f>COUNTIF(G$5:G1996,"Y")/COUNTA(G$5:G1996)</f>
        <v>0.88102409638554213</v>
      </c>
      <c r="J1996" s="16">
        <f>COUNTIF(H$5:H1996,"Y")/COUNTA(H$5:H1996)</f>
        <v>4.9196787148594379E-2</v>
      </c>
      <c r="K1996" s="16">
        <f>AVERAGE(F$5:F1996)</f>
        <v>2.2249497991967861</v>
      </c>
      <c r="L1996" s="16">
        <f>SUM(F$5:F1996)/SUM(E$5:E1996)</f>
        <v>0.76261679026790652</v>
      </c>
    </row>
    <row r="1997" spans="1:13" x14ac:dyDescent="0.25">
      <c r="A1997" s="29">
        <v>45953</v>
      </c>
      <c r="B1997" s="16" t="s">
        <v>2043</v>
      </c>
      <c r="C1997" s="34">
        <v>1</v>
      </c>
      <c r="D1997" s="16" t="s">
        <v>52</v>
      </c>
      <c r="E1997" s="35">
        <v>0.6</v>
      </c>
      <c r="F1997" s="35">
        <v>0.5</v>
      </c>
      <c r="G1997" s="16" t="s">
        <v>45</v>
      </c>
      <c r="H1997" s="16" t="s">
        <v>45</v>
      </c>
      <c r="I1997" s="16">
        <f>COUNTIF(G$5:G1997,"Y")/COUNTA(G$5:G1997)</f>
        <v>0.88058203712995486</v>
      </c>
      <c r="J1997" s="16">
        <f>COUNTIF(H$5:H1997,"Y")/COUNTA(H$5:H1997)</f>
        <v>4.9172102358253887E-2</v>
      </c>
      <c r="K1997" s="16">
        <f>AVERAGE(F$5:F1997)</f>
        <v>2.224084295032613</v>
      </c>
      <c r="L1997" s="16">
        <f>SUM(F$5:F1997)/SUM(E$5:E1997)</f>
        <v>0.76262409029127742</v>
      </c>
    </row>
    <row r="1998" spans="1:13" x14ac:dyDescent="0.25">
      <c r="A1998" s="29">
        <v>45954</v>
      </c>
      <c r="B1998" s="16" t="s">
        <v>2044</v>
      </c>
      <c r="C1998" s="34">
        <v>1</v>
      </c>
      <c r="D1998" s="16" t="s">
        <v>56</v>
      </c>
      <c r="E1998" s="35">
        <v>0.7</v>
      </c>
      <c r="F1998" s="35">
        <v>0.5</v>
      </c>
      <c r="G1998" s="16" t="s">
        <v>44</v>
      </c>
      <c r="H1998" s="16" t="s">
        <v>45</v>
      </c>
      <c r="I1998" s="16">
        <f>COUNTIF(G$5:G1998,"Y")/COUNTA(G$5:G1998)</f>
        <v>0.88064192577733202</v>
      </c>
      <c r="J1998" s="16">
        <f>COUNTIF(H$5:H1998,"Y")/COUNTA(H$5:H1998)</f>
        <v>4.9147442326980942E-2</v>
      </c>
      <c r="K1998" s="16">
        <f>AVERAGE(F$5:F1998)</f>
        <v>2.2232196589769297</v>
      </c>
      <c r="L1998" s="16">
        <f>SUM(F$5:F1998)/SUM(E$5:E1998)</f>
        <v>0.7626182693961796</v>
      </c>
    </row>
    <row r="1999" spans="1:13" x14ac:dyDescent="0.25">
      <c r="A1999" s="29">
        <v>45950</v>
      </c>
      <c r="B1999" s="16" t="s">
        <v>2045</v>
      </c>
      <c r="C1999" s="34">
        <v>1</v>
      </c>
      <c r="D1999" s="16" t="s">
        <v>56</v>
      </c>
      <c r="E1999" s="35">
        <v>1.3</v>
      </c>
      <c r="F1999" s="35">
        <v>0.5</v>
      </c>
      <c r="G1999" s="16" t="s">
        <v>44</v>
      </c>
      <c r="H1999" s="16" t="s">
        <v>45</v>
      </c>
      <c r="I1999" s="16">
        <f>COUNTIF(G$5:G1999,"Y")/COUNTA(G$5:G1999)</f>
        <v>0.88070175438596487</v>
      </c>
      <c r="J1999" s="16">
        <f>COUNTIF(H$5:H1999,"Y")/COUNTA(H$5:H1999)</f>
        <v>4.912280701754386E-2</v>
      </c>
      <c r="K1999" s="16">
        <f>AVERAGE(F$5:F1999)</f>
        <v>2.2223558897243096</v>
      </c>
      <c r="L1999" s="16">
        <f>SUM(F$5:F1999)/SUM(E$5:E1999)</f>
        <v>0.76253375298832049</v>
      </c>
      <c r="M1999" s="16">
        <v>14</v>
      </c>
    </row>
    <row r="2000" spans="1:13" x14ac:dyDescent="0.25">
      <c r="A2000" s="29">
        <v>45957</v>
      </c>
      <c r="B2000" s="16" t="s">
        <v>2046</v>
      </c>
      <c r="C2000" s="34">
        <v>1</v>
      </c>
      <c r="D2000" s="16" t="s">
        <v>47</v>
      </c>
      <c r="E2000" s="35">
        <v>2.2000000000000002</v>
      </c>
      <c r="F2000" s="35">
        <v>1.6</v>
      </c>
      <c r="G2000" s="16" t="s">
        <v>44</v>
      </c>
      <c r="H2000" s="16" t="s">
        <v>45</v>
      </c>
      <c r="I2000" s="16">
        <f>COUNTIF(G$5:G2000,"Y")/COUNTA(G$5:G2000)</f>
        <v>0.88076152304609223</v>
      </c>
      <c r="J2000" s="16">
        <f>COUNTIF(H$5:H2000,"Y")/COUNTA(H$5:H2000)</f>
        <v>4.9098196392785572E-2</v>
      </c>
      <c r="K2000" s="16">
        <f>AVERAGE(F$5:F2000)</f>
        <v>2.2220440881763519</v>
      </c>
      <c r="L2000" s="16">
        <f>SUM(F$5:F2000)/SUM(E$5:E2000)</f>
        <v>0.76252041605776544</v>
      </c>
    </row>
    <row r="2001" spans="1:12" x14ac:dyDescent="0.25">
      <c r="A2001" s="29">
        <v>45958</v>
      </c>
      <c r="B2001" s="16" t="s">
        <v>2047</v>
      </c>
      <c r="C2001" s="34">
        <v>1</v>
      </c>
      <c r="D2001" s="16" t="s">
        <v>60</v>
      </c>
      <c r="E2001" s="35">
        <v>3.9</v>
      </c>
      <c r="F2001" s="35">
        <v>3.3</v>
      </c>
      <c r="G2001" s="16" t="s">
        <v>45</v>
      </c>
      <c r="H2001" s="16" t="s">
        <v>45</v>
      </c>
      <c r="I2001" s="16">
        <f>COUNTIF(G$5:G2001,"Y")/COUNTA(G$5:G2001)</f>
        <v>0.8803204807210816</v>
      </c>
      <c r="J2001" s="16">
        <f>COUNTIF(H$5:H2001,"Y")/COUNTA(H$5:H2001)</f>
        <v>4.9073610415623435E-2</v>
      </c>
      <c r="K2001" s="16">
        <f>AVERAGE(F$5:F2001)</f>
        <v>2.2225838758137195</v>
      </c>
      <c r="L2001" s="16">
        <f>SUM(F$5:F2001)/SUM(E$5:E2001)</f>
        <v>0.76257645522644368</v>
      </c>
    </row>
    <row r="2002" spans="1:12" x14ac:dyDescent="0.25">
      <c r="A2002" s="29">
        <v>45959</v>
      </c>
      <c r="B2002" s="16" t="s">
        <v>2048</v>
      </c>
      <c r="C2002" s="34">
        <v>1</v>
      </c>
      <c r="D2002" s="16" t="s">
        <v>52</v>
      </c>
      <c r="E2002" s="35">
        <v>5.3</v>
      </c>
      <c r="F2002" s="35">
        <v>3.7</v>
      </c>
      <c r="G2002" s="16" t="s">
        <v>44</v>
      </c>
      <c r="H2002" s="16" t="s">
        <v>45</v>
      </c>
      <c r="I2002" s="16">
        <f>COUNTIF(G$5:G2002,"Y")/COUNTA(G$5:G2002)</f>
        <v>0.88038038038038036</v>
      </c>
      <c r="J2002" s="16">
        <f>COUNTIF(H$5:H2002,"Y")/COUNTA(H$5:H2002)</f>
        <v>4.9049049049049047E-2</v>
      </c>
      <c r="K2002" s="16">
        <f>AVERAGE(F$5:F2002)</f>
        <v>2.2233233233233225</v>
      </c>
      <c r="L2002" s="16">
        <f>SUM(F$5:F2002)/SUM(E$5:E2002)</f>
        <v>0.7625178090186574</v>
      </c>
    </row>
    <row r="2003" spans="1:12" x14ac:dyDescent="0.25">
      <c r="A2003" s="29">
        <v>45960</v>
      </c>
      <c r="B2003" s="16" t="s">
        <v>2049</v>
      </c>
      <c r="C2003" s="34">
        <v>1</v>
      </c>
      <c r="D2003" s="16" t="s">
        <v>43</v>
      </c>
      <c r="E2003" s="35">
        <v>3.4</v>
      </c>
      <c r="F2003" s="35">
        <v>2.2999999999999998</v>
      </c>
      <c r="G2003" s="16" t="s">
        <v>44</v>
      </c>
      <c r="H2003" s="16" t="s">
        <v>45</v>
      </c>
      <c r="I2003" s="16">
        <f>COUNTIF(G$5:G2003,"Y")/COUNTA(G$5:G2003)</f>
        <v>0.88044022011005507</v>
      </c>
      <c r="J2003" s="16">
        <f>COUNTIF(H$5:H2003,"Y")/COUNTA(H$5:H2003)</f>
        <v>4.9024512256128062E-2</v>
      </c>
      <c r="K2003" s="16">
        <f>AVERAGE(F$5:F2003)</f>
        <v>2.2233616808404193</v>
      </c>
      <c r="L2003" s="16">
        <f>SUM(F$5:F2003)/SUM(E$5:E2003)</f>
        <v>0.76246761935804719</v>
      </c>
    </row>
    <row r="2004" spans="1:12" x14ac:dyDescent="0.25">
      <c r="A2004" s="29">
        <v>45961</v>
      </c>
      <c r="B2004" s="16" t="s">
        <v>2050</v>
      </c>
      <c r="C2004" s="34">
        <v>1</v>
      </c>
      <c r="D2004" s="16" t="s">
        <v>50</v>
      </c>
      <c r="E2004" s="35">
        <v>1.8</v>
      </c>
      <c r="F2004" s="35">
        <v>1.3</v>
      </c>
      <c r="G2004" s="16" t="s">
        <v>44</v>
      </c>
      <c r="H2004" s="16" t="s">
        <v>44</v>
      </c>
      <c r="I2004" s="16">
        <f>COUNTIF(G$5:G2004,"Y")/COUNTA(G$5:G2004)</f>
        <v>0.88049999999999995</v>
      </c>
      <c r="J2004" s="16">
        <f>COUNTIF(H$5:H2004,"Y")/COUNTA(H$5:H2004)</f>
        <v>4.9500000000000002E-2</v>
      </c>
      <c r="K2004" s="16">
        <f>AVERAGE(F$5:F2004)</f>
        <v>2.2228999999999992</v>
      </c>
      <c r="L2004" s="16">
        <f>SUM(F$5:F2004)/SUM(E$5:E2004)</f>
        <v>0.76245519559587593</v>
      </c>
    </row>
    <row r="2005" spans="1:12" x14ac:dyDescent="0.25">
      <c r="A2005" s="29">
        <v>45957</v>
      </c>
      <c r="B2005" s="16" t="s">
        <v>2051</v>
      </c>
      <c r="C2005" s="34">
        <v>1</v>
      </c>
      <c r="D2005" s="16" t="s">
        <v>56</v>
      </c>
      <c r="E2005" s="35">
        <v>1.5</v>
      </c>
      <c r="F2005" s="35">
        <v>1.3</v>
      </c>
      <c r="G2005" s="16" t="s">
        <v>45</v>
      </c>
      <c r="H2005" s="16" t="s">
        <v>45</v>
      </c>
      <c r="I2005" s="16">
        <f>COUNTIF(G$5:G2005,"Y")/COUNTA(G$5:G2005)</f>
        <v>0.88005997001499248</v>
      </c>
      <c r="J2005" s="16">
        <f>COUNTIF(H$5:H2005,"Y")/COUNTA(H$5:H2005)</f>
        <v>4.9475262368815595E-2</v>
      </c>
      <c r="K2005" s="16">
        <f>AVERAGE(F$5:F2005)</f>
        <v>2.2224387806096946</v>
      </c>
      <c r="L2005" s="16">
        <f>SUM(F$5:F2005)/SUM(E$5:E2005)</f>
        <v>0.76248199711953801</v>
      </c>
    </row>
    <row r="2006" spans="1:12" x14ac:dyDescent="0.25">
      <c r="A2006" s="29">
        <v>45958</v>
      </c>
      <c r="B2006" s="16" t="s">
        <v>2052</v>
      </c>
      <c r="C2006" s="34">
        <v>1</v>
      </c>
      <c r="D2006" s="16" t="s">
        <v>52</v>
      </c>
      <c r="E2006" s="35">
        <v>1.6</v>
      </c>
      <c r="F2006" s="35">
        <v>1.4</v>
      </c>
      <c r="G2006" s="16" t="s">
        <v>44</v>
      </c>
      <c r="H2006" s="16" t="s">
        <v>45</v>
      </c>
      <c r="I2006" s="16">
        <f>COUNTIF(G$5:G2006,"Y")/COUNTA(G$5:G2006)</f>
        <v>0.88011988011988007</v>
      </c>
      <c r="J2006" s="16">
        <f>COUNTIF(H$5:H2006,"Y")/COUNTA(H$5:H2006)</f>
        <v>4.9450549450549448E-2</v>
      </c>
      <c r="K2006" s="16">
        <f>AVERAGE(F$5:F2006)</f>
        <v>2.2220279720279712</v>
      </c>
      <c r="L2006" s="16">
        <f>SUM(F$5:F2006)/SUM(E$5:E2006)</f>
        <v>0.76251285567363603</v>
      </c>
    </row>
    <row r="2007" spans="1:12" x14ac:dyDescent="0.25">
      <c r="A2007" s="29">
        <v>45959</v>
      </c>
      <c r="B2007" s="16" t="s">
        <v>2053</v>
      </c>
      <c r="C2007" s="34">
        <v>1</v>
      </c>
      <c r="D2007" s="16" t="s">
        <v>50</v>
      </c>
      <c r="E2007" s="35">
        <v>1.3</v>
      </c>
      <c r="F2007" s="35">
        <v>1.1000000000000001</v>
      </c>
      <c r="G2007" s="16" t="s">
        <v>44</v>
      </c>
      <c r="H2007" s="16" t="s">
        <v>45</v>
      </c>
      <c r="I2007" s="16">
        <f>COUNTIF(G$5:G2007,"Y")/COUNTA(G$5:G2007)</f>
        <v>0.88017973040439346</v>
      </c>
      <c r="J2007" s="16">
        <f>COUNTIF(H$5:H2007,"Y")/COUNTA(H$5:H2007)</f>
        <v>4.9425861208187719E-2</v>
      </c>
      <c r="K2007" s="16">
        <f>AVERAGE(F$5:F2007)</f>
        <v>2.2214677983025455</v>
      </c>
      <c r="L2007" s="16">
        <f>SUM(F$5:F2007)/SUM(E$5:E2007)</f>
        <v>0.76253148938357806</v>
      </c>
    </row>
    <row r="2008" spans="1:12" x14ac:dyDescent="0.25">
      <c r="A2008" s="29">
        <v>45960</v>
      </c>
      <c r="B2008" s="16" t="s">
        <v>2054</v>
      </c>
      <c r="C2008" s="34">
        <v>1</v>
      </c>
      <c r="D2008" s="16" t="s">
        <v>52</v>
      </c>
      <c r="E2008" s="35">
        <v>3.4</v>
      </c>
      <c r="F2008" s="35">
        <v>2.4</v>
      </c>
      <c r="G2008" s="16" t="s">
        <v>44</v>
      </c>
      <c r="H2008" s="16" t="s">
        <v>45</v>
      </c>
      <c r="I2008" s="16">
        <f>COUNTIF(G$5:G2008,"Y")/COUNTA(G$5:G2008)</f>
        <v>0.88023952095808389</v>
      </c>
      <c r="J2008" s="16">
        <f>COUNTIF(H$5:H2008,"Y")/COUNTA(H$5:H2008)</f>
        <v>4.940119760479042E-2</v>
      </c>
      <c r="K2008" s="16">
        <f>AVERAGE(F$5:F2008)</f>
        <v>2.2215568862275439</v>
      </c>
      <c r="L2008" s="16">
        <f>SUM(F$5:F2008)/SUM(E$5:E2008)</f>
        <v>0.76249850137873032</v>
      </c>
    </row>
    <row r="2009" spans="1:12" x14ac:dyDescent="0.25">
      <c r="A2009" s="29">
        <v>45961</v>
      </c>
      <c r="B2009" s="16" t="s">
        <v>2055</v>
      </c>
      <c r="C2009" s="34">
        <v>1</v>
      </c>
      <c r="D2009" s="16" t="s">
        <v>56</v>
      </c>
      <c r="E2009" s="35">
        <v>1.3</v>
      </c>
      <c r="F2009" s="35">
        <v>1.1000000000000001</v>
      </c>
      <c r="G2009" s="16" t="s">
        <v>44</v>
      </c>
      <c r="H2009" s="16" t="s">
        <v>45</v>
      </c>
      <c r="I2009" s="16">
        <f>COUNTIF(G$5:G2009,"Y")/COUNTA(G$5:G2009)</f>
        <v>0.88029925187032421</v>
      </c>
      <c r="J2009" s="16">
        <f>COUNTIF(H$5:H2009,"Y")/COUNTA(H$5:H2009)</f>
        <v>4.9376558603491272E-2</v>
      </c>
      <c r="K2009" s="16">
        <f>AVERAGE(F$5:F2009)</f>
        <v>2.2209975062344132</v>
      </c>
      <c r="L2009" s="16">
        <f>SUM(F$5:F2009)/SUM(E$5:E2009)</f>
        <v>0.76251712328767007</v>
      </c>
    </row>
    <row r="2010" spans="1:12" x14ac:dyDescent="0.25">
      <c r="A2010" s="29">
        <v>45957</v>
      </c>
      <c r="B2010" s="16" t="s">
        <v>2056</v>
      </c>
      <c r="C2010" s="34">
        <v>1</v>
      </c>
      <c r="D2010" s="16" t="s">
        <v>43</v>
      </c>
      <c r="E2010" s="35">
        <v>5</v>
      </c>
      <c r="F2010" s="35">
        <v>3.7</v>
      </c>
      <c r="G2010" s="16" t="s">
        <v>45</v>
      </c>
      <c r="H2010" s="16" t="s">
        <v>45</v>
      </c>
      <c r="I2010" s="16">
        <f>COUNTIF(G$5:G2010,"Y")/COUNTA(G$5:G2010)</f>
        <v>0.87986041874376875</v>
      </c>
      <c r="J2010" s="16">
        <f>COUNTIF(H$5:H2010,"Y")/COUNTA(H$5:H2010)</f>
        <v>4.9351944167497511E-2</v>
      </c>
      <c r="K2010" s="16">
        <f>AVERAGE(F$5:F2010)</f>
        <v>2.2217347956131599</v>
      </c>
      <c r="L2010" s="16">
        <f>SUM(F$5:F2010)/SUM(E$5:E2010)</f>
        <v>0.76249786142001585</v>
      </c>
    </row>
    <row r="2011" spans="1:12" x14ac:dyDescent="0.25">
      <c r="A2011" s="29">
        <v>45958</v>
      </c>
      <c r="B2011" s="16" t="s">
        <v>2057</v>
      </c>
      <c r="C2011" s="34">
        <v>1</v>
      </c>
      <c r="D2011" s="16" t="s">
        <v>64</v>
      </c>
      <c r="E2011" s="35">
        <v>3.6</v>
      </c>
      <c r="F2011" s="35">
        <v>3.2</v>
      </c>
      <c r="G2011" s="16" t="s">
        <v>44</v>
      </c>
      <c r="H2011" s="16" t="s">
        <v>45</v>
      </c>
      <c r="I2011" s="16">
        <f>COUNTIF(G$5:G2011,"Y")/COUNTA(G$5:G2011)</f>
        <v>0.87992027902341807</v>
      </c>
      <c r="J2011" s="16">
        <f>COUNTIF(H$5:H2011,"Y")/COUNTA(H$5:H2011)</f>
        <v>4.9327354260089683E-2</v>
      </c>
      <c r="K2011" s="16">
        <f>AVERAGE(F$5:F2011)</f>
        <v>2.2222222222222214</v>
      </c>
      <c r="L2011" s="16">
        <f>SUM(F$5:F2011)/SUM(E$5:E2011)</f>
        <v>0.76257565913209868</v>
      </c>
    </row>
    <row r="2012" spans="1:12" x14ac:dyDescent="0.25">
      <c r="A2012" s="29">
        <v>45959</v>
      </c>
      <c r="B2012" s="16" t="s">
        <v>2058</v>
      </c>
      <c r="C2012" s="34">
        <v>1</v>
      </c>
      <c r="D2012" s="16" t="s">
        <v>43</v>
      </c>
      <c r="E2012" s="35">
        <v>2.2999999999999998</v>
      </c>
      <c r="F2012" s="35">
        <v>1.6</v>
      </c>
      <c r="G2012" s="16" t="s">
        <v>44</v>
      </c>
      <c r="H2012" s="16" t="s">
        <v>45</v>
      </c>
      <c r="I2012" s="16">
        <f>COUNTIF(G$5:G2012,"Y")/COUNTA(G$5:G2012)</f>
        <v>0.8799800796812749</v>
      </c>
      <c r="J2012" s="16">
        <f>COUNTIF(H$5:H2012,"Y")/COUNTA(H$5:H2012)</f>
        <v>4.9302788844621512E-2</v>
      </c>
      <c r="K2012" s="16">
        <f>AVERAGE(F$5:F2012)</f>
        <v>2.2219123505976088</v>
      </c>
      <c r="L2012" s="16">
        <f>SUM(F$5:F2012)/SUM(E$5:E2012)</f>
        <v>0.76254935138183744</v>
      </c>
    </row>
    <row r="2013" spans="1:12" x14ac:dyDescent="0.25">
      <c r="A2013" s="29">
        <v>45960</v>
      </c>
      <c r="B2013" s="16" t="s">
        <v>2059</v>
      </c>
      <c r="C2013" s="34">
        <v>1</v>
      </c>
      <c r="D2013" s="16" t="s">
        <v>56</v>
      </c>
      <c r="E2013" s="35">
        <v>2.7</v>
      </c>
      <c r="F2013" s="35">
        <v>2.1</v>
      </c>
      <c r="G2013" s="16" t="s">
        <v>44</v>
      </c>
      <c r="H2013" s="16" t="s">
        <v>45</v>
      </c>
      <c r="I2013" s="16">
        <f>COUNTIF(G$5:G2013,"Y")/COUNTA(G$5:G2013)</f>
        <v>0.88003982080637133</v>
      </c>
      <c r="J2013" s="16">
        <f>COUNTIF(H$5:H2013,"Y")/COUNTA(H$5:H2013)</f>
        <v>4.9278247884519663E-2</v>
      </c>
      <c r="K2013" s="16">
        <f>AVERAGE(F$5:F2013)</f>
        <v>2.2218516674962663</v>
      </c>
      <c r="L2013" s="16">
        <f>SUM(F$5:F2013)/SUM(E$5:E2013)</f>
        <v>0.76255637556375444</v>
      </c>
    </row>
    <row r="2014" spans="1:12" x14ac:dyDescent="0.25">
      <c r="A2014" s="29">
        <v>45961</v>
      </c>
      <c r="B2014" s="16" t="s">
        <v>2060</v>
      </c>
      <c r="C2014" s="34">
        <v>1</v>
      </c>
      <c r="D2014" s="16" t="s">
        <v>60</v>
      </c>
      <c r="E2014" s="35">
        <v>4.5</v>
      </c>
      <c r="F2014" s="35">
        <v>3.7</v>
      </c>
      <c r="G2014" s="16" t="s">
        <v>44</v>
      </c>
      <c r="H2014" s="16" t="s">
        <v>45</v>
      </c>
      <c r="I2014" s="16">
        <f>COUNTIF(G$5:G2014,"Y")/COUNTA(G$5:G2014)</f>
        <v>0.88009950248756219</v>
      </c>
      <c r="J2014" s="16">
        <f>COUNTIF(H$5:H2014,"Y")/COUNTA(H$5:H2014)</f>
        <v>4.9253731343283584E-2</v>
      </c>
      <c r="K2014" s="16">
        <f>AVERAGE(F$5:F2014)</f>
        <v>2.2225870646766164</v>
      </c>
      <c r="L2014" s="16">
        <f>SUM(F$5:F2014)/SUM(E$5:E2014)</f>
        <v>0.76260220890732366</v>
      </c>
    </row>
    <row r="2015" spans="1:12" x14ac:dyDescent="0.25">
      <c r="A2015" s="29">
        <v>45957</v>
      </c>
      <c r="B2015" s="16" t="s">
        <v>2061</v>
      </c>
      <c r="C2015" s="34">
        <v>1</v>
      </c>
      <c r="D2015" s="16" t="s">
        <v>50</v>
      </c>
      <c r="E2015" s="35">
        <v>3.4</v>
      </c>
      <c r="F2015" s="35">
        <v>2.4</v>
      </c>
      <c r="G2015" s="16" t="s">
        <v>44</v>
      </c>
      <c r="H2015" s="16" t="s">
        <v>44</v>
      </c>
      <c r="I2015" s="16">
        <f>COUNTIF(G$5:G2015,"Y")/COUNTA(G$5:G2015)</f>
        <v>0.88015912481352565</v>
      </c>
      <c r="J2015" s="16">
        <f>COUNTIF(H$5:H2015,"Y")/COUNTA(H$5:H2015)</f>
        <v>4.9726504226752857E-2</v>
      </c>
      <c r="K2015" s="16">
        <f>AVERAGE(F$5:F2015)</f>
        <v>2.2226752859273984</v>
      </c>
      <c r="L2015" s="16">
        <f>SUM(F$5:F2015)/SUM(E$5:E2015)</f>
        <v>0.76256930819755908</v>
      </c>
    </row>
    <row r="2016" spans="1:12" x14ac:dyDescent="0.25">
      <c r="A2016" s="29">
        <v>45958</v>
      </c>
      <c r="B2016" s="16" t="s">
        <v>2062</v>
      </c>
      <c r="C2016" s="34">
        <v>1</v>
      </c>
      <c r="D2016" s="16" t="s">
        <v>56</v>
      </c>
      <c r="E2016" s="35">
        <v>3.3</v>
      </c>
      <c r="F2016" s="35">
        <v>2.7</v>
      </c>
      <c r="G2016" s="16" t="s">
        <v>44</v>
      </c>
      <c r="H2016" s="16" t="s">
        <v>45</v>
      </c>
      <c r="I2016" s="16">
        <f>COUNTIF(G$5:G2016,"Y")/COUNTA(G$5:G2016)</f>
        <v>0.88021868787276347</v>
      </c>
      <c r="J2016" s="16">
        <f>COUNTIF(H$5:H2016,"Y")/COUNTA(H$5:H2016)</f>
        <v>4.9701789264413522E-2</v>
      </c>
      <c r="K2016" s="16">
        <f>AVERAGE(F$5:F2016)</f>
        <v>2.2229125248508939</v>
      </c>
      <c r="L2016" s="16">
        <f>SUM(F$5:F2016)/SUM(E$5:E2016)</f>
        <v>0.76260060019096854</v>
      </c>
    </row>
    <row r="2017" spans="1:12" x14ac:dyDescent="0.25">
      <c r="A2017" s="29">
        <v>45959</v>
      </c>
      <c r="B2017" s="16" t="s">
        <v>2063</v>
      </c>
      <c r="C2017" s="34">
        <v>1</v>
      </c>
      <c r="D2017" s="16" t="s">
        <v>64</v>
      </c>
      <c r="E2017" s="35">
        <v>3.6</v>
      </c>
      <c r="F2017" s="35">
        <v>2.9</v>
      </c>
      <c r="G2017" s="16" t="s">
        <v>44</v>
      </c>
      <c r="H2017" s="16" t="s">
        <v>45</v>
      </c>
      <c r="I2017" s="16">
        <f>COUNTIF(G$5:G2017,"Y")/COUNTA(G$5:G2017)</f>
        <v>0.88027819175360156</v>
      </c>
      <c r="J2017" s="16">
        <f>COUNTIF(H$5:H2017,"Y")/COUNTA(H$5:H2017)</f>
        <v>4.967709885742673E-2</v>
      </c>
      <c r="K2017" s="16">
        <f>AVERAGE(F$5:F2017)</f>
        <v>2.2232488822652745</v>
      </c>
      <c r="L2017" s="16">
        <f>SUM(F$5:F2017)/SUM(E$5:E2017)</f>
        <v>0.76262695112807444</v>
      </c>
    </row>
    <row r="2018" spans="1:12" x14ac:dyDescent="0.25">
      <c r="A2018" s="29">
        <v>45960</v>
      </c>
      <c r="B2018" s="16" t="s">
        <v>2064</v>
      </c>
      <c r="C2018" s="34">
        <v>1</v>
      </c>
      <c r="D2018" s="16" t="s">
        <v>64</v>
      </c>
      <c r="E2018" s="35">
        <v>2.2999999999999998</v>
      </c>
      <c r="F2018" s="35">
        <v>1.9</v>
      </c>
      <c r="G2018" s="16" t="s">
        <v>44</v>
      </c>
      <c r="H2018" s="16" t="s">
        <v>45</v>
      </c>
      <c r="I2018" s="16">
        <f>COUNTIF(G$5:G2018,"Y")/COUNTA(G$5:G2018)</f>
        <v>0.88033763654419062</v>
      </c>
      <c r="J2018" s="16">
        <f>COUNTIF(H$5:H2018,"Y")/COUNTA(H$5:H2018)</f>
        <v>4.9652432969215489E-2</v>
      </c>
      <c r="K2018" s="16">
        <f>AVERAGE(F$5:F2018)</f>
        <v>2.2230883813306841</v>
      </c>
      <c r="L2018" s="16">
        <f>SUM(F$5:F2018)/SUM(E$5:E2018)</f>
        <v>0.76265181324203102</v>
      </c>
    </row>
    <row r="2019" spans="1:12" x14ac:dyDescent="0.25">
      <c r="A2019" s="29">
        <v>45961</v>
      </c>
      <c r="B2019" s="16" t="s">
        <v>2065</v>
      </c>
      <c r="C2019" s="34">
        <v>1</v>
      </c>
      <c r="D2019" s="16" t="s">
        <v>52</v>
      </c>
      <c r="E2019" s="35">
        <v>2.5</v>
      </c>
      <c r="F2019" s="35">
        <v>2</v>
      </c>
      <c r="G2019" s="16" t="s">
        <v>44</v>
      </c>
      <c r="H2019" s="16" t="s">
        <v>45</v>
      </c>
      <c r="I2019" s="16">
        <f>COUNTIF(G$5:G2019,"Y")/COUNTA(G$5:G2019)</f>
        <v>0.88039702233250616</v>
      </c>
      <c r="J2019" s="16">
        <f>COUNTIF(H$5:H2019,"Y")/COUNTA(H$5:H2019)</f>
        <v>4.9627791563275438E-2</v>
      </c>
      <c r="K2019" s="16">
        <f>AVERAGE(F$5:F2019)</f>
        <v>2.2229776674937951</v>
      </c>
      <c r="L2019" s="16">
        <f>SUM(F$5:F2019)/SUM(E$5:E2019)</f>
        <v>0.76266771095824959</v>
      </c>
    </row>
    <row r="2020" spans="1:12" x14ac:dyDescent="0.25">
      <c r="A2020" s="29">
        <v>45957</v>
      </c>
      <c r="B2020" s="16" t="s">
        <v>2066</v>
      </c>
      <c r="C2020" s="34">
        <v>1</v>
      </c>
      <c r="D2020" s="16" t="s">
        <v>52</v>
      </c>
      <c r="E2020" s="35">
        <v>4</v>
      </c>
      <c r="F2020" s="35">
        <v>2.7</v>
      </c>
      <c r="G2020" s="16" t="s">
        <v>44</v>
      </c>
      <c r="H2020" s="16" t="s">
        <v>45</v>
      </c>
      <c r="I2020" s="16">
        <f>COUNTIF(G$5:G2020,"Y")/COUNTA(G$5:G2020)</f>
        <v>0.88045634920634919</v>
      </c>
      <c r="J2020" s="16">
        <f>COUNTIF(H$5:H2020,"Y")/COUNTA(H$5:H2020)</f>
        <v>4.96031746031746E-2</v>
      </c>
      <c r="K2020" s="16">
        <f>AVERAGE(F$5:F2020)</f>
        <v>2.2232142857142843</v>
      </c>
      <c r="L2020" s="16">
        <f>SUM(F$5:F2020)/SUM(E$5:E2020)</f>
        <v>0.76260804464710941</v>
      </c>
    </row>
    <row r="2021" spans="1:12" x14ac:dyDescent="0.25">
      <c r="A2021" s="29">
        <v>45958</v>
      </c>
      <c r="B2021" s="16" t="s">
        <v>2067</v>
      </c>
      <c r="C2021" s="34">
        <v>1</v>
      </c>
      <c r="D2021" s="16" t="s">
        <v>52</v>
      </c>
      <c r="E2021" s="35">
        <v>4.8</v>
      </c>
      <c r="F2021" s="35">
        <v>3.4</v>
      </c>
      <c r="G2021" s="16" t="s">
        <v>45</v>
      </c>
      <c r="H2021" s="16" t="s">
        <v>45</v>
      </c>
      <c r="I2021" s="16">
        <f>COUNTIF(G$5:G2021,"Y")/COUNTA(G$5:G2021)</f>
        <v>0.88001983143282103</v>
      </c>
      <c r="J2021" s="16">
        <f>COUNTIF(H$5:H2021,"Y")/COUNTA(H$5:H2021)</f>
        <v>4.9578582052553298E-2</v>
      </c>
      <c r="K2021" s="16">
        <f>AVERAGE(F$5:F2021)</f>
        <v>2.2237977193852241</v>
      </c>
      <c r="L2021" s="16">
        <f>SUM(F$5:F2021)/SUM(E$5:E2021)</f>
        <v>0.7625637538252279</v>
      </c>
    </row>
    <row r="2022" spans="1:12" x14ac:dyDescent="0.25">
      <c r="A2022" s="29">
        <v>45959</v>
      </c>
      <c r="B2022" s="16" t="s">
        <v>2068</v>
      </c>
      <c r="C2022" s="34">
        <v>1</v>
      </c>
      <c r="D2022" s="16" t="s">
        <v>64</v>
      </c>
      <c r="E2022" s="35">
        <v>1.6</v>
      </c>
      <c r="F2022" s="35">
        <v>1.1000000000000001</v>
      </c>
      <c r="G2022" s="16" t="s">
        <v>44</v>
      </c>
      <c r="H2022" s="16" t="s">
        <v>45</v>
      </c>
      <c r="I2022" s="16">
        <f>COUNTIF(G$5:G2022,"Y")/COUNTA(G$5:G2022)</f>
        <v>0.88007928642220024</v>
      </c>
      <c r="J2022" s="16">
        <f>COUNTIF(H$5:H2022,"Y")/COUNTA(H$5:H2022)</f>
        <v>4.9554013875123884E-2</v>
      </c>
      <c r="K2022" s="16">
        <f>AVERAGE(F$5:F2022)</f>
        <v>2.2232408325074315</v>
      </c>
      <c r="L2022" s="16">
        <f>SUM(F$5:F2022)/SUM(E$5:E2022)</f>
        <v>0.76254334081174635</v>
      </c>
    </row>
    <row r="2023" spans="1:12" x14ac:dyDescent="0.25">
      <c r="A2023" s="29">
        <v>45960</v>
      </c>
      <c r="B2023" s="16" t="s">
        <v>2069</v>
      </c>
      <c r="C2023" s="34">
        <v>1</v>
      </c>
      <c r="D2023" s="16" t="s">
        <v>47</v>
      </c>
      <c r="E2023" s="35">
        <v>3</v>
      </c>
      <c r="F2023" s="35">
        <v>2.1</v>
      </c>
      <c r="G2023" s="16" t="s">
        <v>44</v>
      </c>
      <c r="H2023" s="16" t="s">
        <v>45</v>
      </c>
      <c r="I2023" s="16">
        <f>COUNTIF(G$5:G2023,"Y")/COUNTA(G$5:G2023)</f>
        <v>0.88013868251609706</v>
      </c>
      <c r="J2023" s="16">
        <f>COUNTIF(H$5:H2023,"Y")/COUNTA(H$5:H2023)</f>
        <v>4.9529470034670627E-2</v>
      </c>
      <c r="K2023" s="16">
        <f>AVERAGE(F$5:F2023)</f>
        <v>2.2231797919762246</v>
      </c>
      <c r="L2023" s="16">
        <f>SUM(F$5:F2023)/SUM(E$5:E2023)</f>
        <v>0.76251146672102588</v>
      </c>
    </row>
    <row r="2024" spans="1:12" x14ac:dyDescent="0.25">
      <c r="A2024" s="29">
        <v>45961</v>
      </c>
      <c r="B2024" s="16" t="s">
        <v>2070</v>
      </c>
      <c r="C2024" s="34">
        <v>1</v>
      </c>
      <c r="D2024" s="16" t="s">
        <v>60</v>
      </c>
      <c r="E2024" s="35">
        <v>4</v>
      </c>
      <c r="F2024" s="35">
        <v>3.6</v>
      </c>
      <c r="G2024" s="16" t="s">
        <v>44</v>
      </c>
      <c r="H2024" s="16" t="s">
        <v>45</v>
      </c>
      <c r="I2024" s="16">
        <f>COUNTIF(G$5:G2024,"Y")/COUNTA(G$5:G2024)</f>
        <v>0.8801980198019802</v>
      </c>
      <c r="J2024" s="16">
        <f>COUNTIF(H$5:H2024,"Y")/COUNTA(H$5:H2024)</f>
        <v>4.9504950495049507E-2</v>
      </c>
      <c r="K2024" s="16">
        <f>AVERAGE(F$5:F2024)</f>
        <v>2.2238613861386129</v>
      </c>
      <c r="L2024" s="16">
        <f>SUM(F$5:F2024)/SUM(E$5:E2024)</f>
        <v>0.76260482803109897</v>
      </c>
    </row>
    <row r="2025" spans="1:12" x14ac:dyDescent="0.25">
      <c r="A2025" s="29">
        <v>45957</v>
      </c>
      <c r="B2025" s="16" t="s">
        <v>2071</v>
      </c>
      <c r="C2025" s="34">
        <v>1</v>
      </c>
      <c r="D2025" s="16" t="s">
        <v>50</v>
      </c>
      <c r="E2025" s="35">
        <v>1.8</v>
      </c>
      <c r="F2025" s="35">
        <v>1.4</v>
      </c>
      <c r="G2025" s="16" t="s">
        <v>44</v>
      </c>
      <c r="H2025" s="16" t="s">
        <v>45</v>
      </c>
      <c r="I2025" s="16">
        <f>COUNTIF(G$5:G2025,"Y")/COUNTA(G$5:G2025)</f>
        <v>0.88025729836714495</v>
      </c>
      <c r="J2025" s="16">
        <f>COUNTIF(H$5:H2025,"Y")/COUNTA(H$5:H2025)</f>
        <v>4.9480455220188027E-2</v>
      </c>
      <c r="K2025" s="16">
        <f>AVERAGE(F$5:F2025)</f>
        <v>2.2234537357743678</v>
      </c>
      <c r="L2025" s="16">
        <f>SUM(F$5:F2025)/SUM(E$5:E2025)</f>
        <v>0.76260946303713106</v>
      </c>
    </row>
    <row r="2026" spans="1:12" x14ac:dyDescent="0.25">
      <c r="A2026" s="29">
        <v>45958</v>
      </c>
      <c r="B2026" s="16" t="s">
        <v>2072</v>
      </c>
      <c r="C2026" s="34">
        <v>1</v>
      </c>
      <c r="D2026" s="16" t="s">
        <v>50</v>
      </c>
      <c r="E2026" s="35">
        <v>5</v>
      </c>
      <c r="F2026" s="35">
        <v>3.6</v>
      </c>
      <c r="G2026" s="16" t="s">
        <v>44</v>
      </c>
      <c r="H2026" s="16" t="s">
        <v>45</v>
      </c>
      <c r="I2026" s="16">
        <f>COUNTIF(G$5:G2026,"Y")/COUNTA(G$5:G2026)</f>
        <v>0.88031651829871416</v>
      </c>
      <c r="J2026" s="16">
        <f>COUNTIF(H$5:H2026,"Y")/COUNTA(H$5:H2026)</f>
        <v>4.9455984174085067E-2</v>
      </c>
      <c r="K2026" s="16">
        <f>AVERAGE(F$5:F2026)</f>
        <v>2.2241345202769525</v>
      </c>
      <c r="L2026" s="16">
        <f>SUM(F$5:F2026)/SUM(E$5:E2026)</f>
        <v>0.76257333740292188</v>
      </c>
    </row>
    <row r="2027" spans="1:12" x14ac:dyDescent="0.25">
      <c r="A2027" s="29">
        <v>45959</v>
      </c>
      <c r="B2027" s="16" t="s">
        <v>2073</v>
      </c>
      <c r="C2027" s="34">
        <v>1</v>
      </c>
      <c r="D2027" s="16" t="s">
        <v>60</v>
      </c>
      <c r="E2027" s="35">
        <v>2.2000000000000002</v>
      </c>
      <c r="F2027" s="35">
        <v>1.7</v>
      </c>
      <c r="G2027" s="16" t="s">
        <v>44</v>
      </c>
      <c r="H2027" s="16" t="s">
        <v>45</v>
      </c>
      <c r="I2027" s="16">
        <f>COUNTIF(G$5:G2027,"Y")/COUNTA(G$5:G2027)</f>
        <v>0.88037567968363817</v>
      </c>
      <c r="J2027" s="16">
        <f>COUNTIF(H$5:H2027,"Y")/COUNTA(H$5:H2027)</f>
        <v>4.9431537320810674E-2</v>
      </c>
      <c r="K2027" s="16">
        <f>AVERAGE(F$5:F2027)</f>
        <v>2.2238754325259507</v>
      </c>
      <c r="L2027" s="16">
        <f>SUM(F$5:F2027)/SUM(E$5:E2027)</f>
        <v>0.76257712387280341</v>
      </c>
    </row>
    <row r="2028" spans="1:12" x14ac:dyDescent="0.25">
      <c r="A2028" s="29">
        <v>45960</v>
      </c>
      <c r="B2028" s="16" t="s">
        <v>2074</v>
      </c>
      <c r="C2028" s="34">
        <v>1</v>
      </c>
      <c r="D2028" s="16" t="s">
        <v>64</v>
      </c>
      <c r="E2028" s="35">
        <v>4.2</v>
      </c>
      <c r="F2028" s="35">
        <v>2.9</v>
      </c>
      <c r="G2028" s="16" t="s">
        <v>44</v>
      </c>
      <c r="H2028" s="16" t="s">
        <v>45</v>
      </c>
      <c r="I2028" s="16">
        <f>COUNTIF(G$5:G2028,"Y")/COUNTA(G$5:G2028)</f>
        <v>0.88043478260869568</v>
      </c>
      <c r="J2028" s="16">
        <f>COUNTIF(H$5:H2028,"Y")/COUNTA(H$5:H2028)</f>
        <v>4.9407114624505928E-2</v>
      </c>
      <c r="K2028" s="16">
        <f>AVERAGE(F$5:F2028)</f>
        <v>2.2242094861660067</v>
      </c>
      <c r="L2028" s="16">
        <f>SUM(F$5:F2028)/SUM(E$5:E2028)</f>
        <v>0.7625258308208257</v>
      </c>
    </row>
    <row r="2029" spans="1:12" x14ac:dyDescent="0.25">
      <c r="A2029" s="29">
        <v>45961</v>
      </c>
      <c r="B2029" s="16" t="s">
        <v>2075</v>
      </c>
      <c r="C2029" s="34">
        <v>1</v>
      </c>
      <c r="D2029" s="16" t="s">
        <v>47</v>
      </c>
      <c r="E2029" s="35">
        <v>3.4</v>
      </c>
      <c r="F2029" s="35">
        <v>2.5</v>
      </c>
      <c r="G2029" s="16" t="s">
        <v>44</v>
      </c>
      <c r="H2029" s="16" t="s">
        <v>45</v>
      </c>
      <c r="I2029" s="16">
        <f>COUNTIF(G$5:G2029,"Y")/COUNTA(G$5:G2029)</f>
        <v>0.88049382716049385</v>
      </c>
      <c r="J2029" s="16">
        <f>COUNTIF(H$5:H2029,"Y")/COUNTA(H$5:H2029)</f>
        <v>4.9382716049382713E-2</v>
      </c>
      <c r="K2029" s="16">
        <f>AVERAGE(F$5:F2029)</f>
        <v>2.2243456790123446</v>
      </c>
      <c r="L2029" s="16">
        <f>SUM(F$5:F2029)/SUM(E$5:E2029)</f>
        <v>0.76251015709642322</v>
      </c>
    </row>
    <row r="2030" spans="1:12" x14ac:dyDescent="0.25">
      <c r="A2030" s="29">
        <v>45957</v>
      </c>
      <c r="B2030" s="16" t="s">
        <v>2076</v>
      </c>
      <c r="C2030" s="34">
        <v>1</v>
      </c>
      <c r="D2030" s="16" t="s">
        <v>50</v>
      </c>
      <c r="E2030" s="35">
        <v>1.5</v>
      </c>
      <c r="F2030" s="35">
        <v>1.1000000000000001</v>
      </c>
      <c r="G2030" s="16" t="s">
        <v>44</v>
      </c>
      <c r="H2030" s="16" t="s">
        <v>45</v>
      </c>
      <c r="I2030" s="16">
        <f>COUNTIF(G$5:G2030,"Y")/COUNTA(G$5:G2030)</f>
        <v>0.88055281342546887</v>
      </c>
      <c r="J2030" s="16">
        <f>COUNTIF(H$5:H2030,"Y")/COUNTA(H$5:H2030)</f>
        <v>4.9358341559723594E-2</v>
      </c>
      <c r="K2030" s="16">
        <f>AVERAGE(F$5:F2030)</f>
        <v>2.2237907206317855</v>
      </c>
      <c r="L2030" s="16">
        <f>SUM(F$5:F2030)/SUM(E$5:E2030)</f>
        <v>0.7625027501819337</v>
      </c>
    </row>
    <row r="2031" spans="1:12" x14ac:dyDescent="0.25">
      <c r="A2031" s="29">
        <v>45958</v>
      </c>
      <c r="B2031" s="16" t="s">
        <v>2077</v>
      </c>
      <c r="C2031" s="34">
        <v>1</v>
      </c>
      <c r="D2031" s="16" t="s">
        <v>52</v>
      </c>
      <c r="E2031" s="35">
        <v>4.4000000000000004</v>
      </c>
      <c r="F2031" s="35">
        <v>3.6</v>
      </c>
      <c r="G2031" s="16" t="s">
        <v>44</v>
      </c>
      <c r="H2031" s="16" t="s">
        <v>45</v>
      </c>
      <c r="I2031" s="16">
        <f>COUNTIF(G$5:G2031,"Y")/COUNTA(G$5:G2031)</f>
        <v>0.88061174148988652</v>
      </c>
      <c r="J2031" s="16">
        <f>COUNTIF(H$5:H2031,"Y")/COUNTA(H$5:H2031)</f>
        <v>4.9333991119881598E-2</v>
      </c>
      <c r="K2031" s="16">
        <f>AVERAGE(F$5:F2031)</f>
        <v>2.2244696595954605</v>
      </c>
      <c r="L2031" s="16">
        <f>SUM(F$5:F2031)/SUM(E$5:E2031)</f>
        <v>0.7625441815629691</v>
      </c>
    </row>
    <row r="2032" spans="1:12" x14ac:dyDescent="0.25">
      <c r="A2032" s="29">
        <v>45959</v>
      </c>
      <c r="B2032" s="16" t="s">
        <v>2078</v>
      </c>
      <c r="C2032" s="34">
        <v>1</v>
      </c>
      <c r="D2032" s="16" t="s">
        <v>64</v>
      </c>
      <c r="E2032" s="35">
        <v>4</v>
      </c>
      <c r="F2032" s="35">
        <v>2.8</v>
      </c>
      <c r="G2032" s="16" t="s">
        <v>44</v>
      </c>
      <c r="H2032" s="16" t="s">
        <v>45</v>
      </c>
      <c r="I2032" s="16">
        <f>COUNTIF(G$5:G2032,"Y")/COUNTA(G$5:G2032)</f>
        <v>0.88067061143984215</v>
      </c>
      <c r="J2032" s="16">
        <f>COUNTIF(H$5:H2032,"Y")/COUNTA(H$5:H2032)</f>
        <v>4.9309664694280081E-2</v>
      </c>
      <c r="K2032" s="16">
        <f>AVERAGE(F$5:F2032)</f>
        <v>2.2247534516765279</v>
      </c>
      <c r="L2032" s="16">
        <f>SUM(F$5:F2032)/SUM(E$5:E2032)</f>
        <v>0.76250190126920159</v>
      </c>
    </row>
    <row r="2033" spans="1:13" x14ac:dyDescent="0.25">
      <c r="A2033" s="29">
        <v>45960</v>
      </c>
      <c r="B2033" s="16" t="s">
        <v>2079</v>
      </c>
      <c r="C2033" s="34">
        <v>1</v>
      </c>
      <c r="D2033" s="16" t="s">
        <v>60</v>
      </c>
      <c r="E2033" s="35">
        <v>5.2</v>
      </c>
      <c r="F2033" s="35">
        <v>3.7</v>
      </c>
      <c r="G2033" s="16" t="s">
        <v>44</v>
      </c>
      <c r="H2033" s="16" t="s">
        <v>45</v>
      </c>
      <c r="I2033" s="16">
        <f>COUNTIF(G$5:G2033,"Y")/COUNTA(G$5:G2033)</f>
        <v>0.8807294233612617</v>
      </c>
      <c r="J2033" s="16">
        <f>COUNTIF(H$5:H2033,"Y")/COUNTA(H$5:H2033)</f>
        <v>4.928536224741252E-2</v>
      </c>
      <c r="K2033" s="16">
        <f>AVERAGE(F$5:F2033)</f>
        <v>2.2254805322819116</v>
      </c>
      <c r="L2033" s="16">
        <f>SUM(F$5:F2033)/SUM(E$5:E2033)</f>
        <v>0.76245715347077869</v>
      </c>
    </row>
    <row r="2034" spans="1:13" x14ac:dyDescent="0.25">
      <c r="A2034" s="29">
        <v>45961</v>
      </c>
      <c r="B2034" s="16" t="s">
        <v>2080</v>
      </c>
      <c r="C2034" s="34">
        <v>1</v>
      </c>
      <c r="D2034" s="16" t="s">
        <v>43</v>
      </c>
      <c r="E2034" s="35">
        <v>3.5</v>
      </c>
      <c r="F2034" s="35">
        <v>2.9</v>
      </c>
      <c r="G2034" s="16" t="s">
        <v>44</v>
      </c>
      <c r="H2034" s="16" t="s">
        <v>45</v>
      </c>
      <c r="I2034" s="16">
        <f>COUNTIF(G$5:G2034,"Y")/COUNTA(G$5:G2034)</f>
        <v>0.88078817733990145</v>
      </c>
      <c r="J2034" s="16">
        <f>COUNTIF(H$5:H2034,"Y")/COUNTA(H$5:H2034)</f>
        <v>4.9261083743842367E-2</v>
      </c>
      <c r="K2034" s="16">
        <f>AVERAGE(F$5:F2034)</f>
        <v>2.2258128078817725</v>
      </c>
      <c r="L2034" s="16">
        <f>SUM(F$5:F2034)/SUM(E$5:E2034)</f>
        <v>0.76249620304431331</v>
      </c>
    </row>
    <row r="2035" spans="1:13" x14ac:dyDescent="0.25">
      <c r="A2035" s="29">
        <v>45957</v>
      </c>
      <c r="B2035" s="16" t="s">
        <v>2081</v>
      </c>
      <c r="C2035" s="34">
        <v>1</v>
      </c>
      <c r="D2035" s="16" t="s">
        <v>64</v>
      </c>
      <c r="E2035" s="35">
        <v>2.4</v>
      </c>
      <c r="F2035" s="35">
        <v>2</v>
      </c>
      <c r="G2035" s="16" t="s">
        <v>44</v>
      </c>
      <c r="H2035" s="16" t="s">
        <v>45</v>
      </c>
      <c r="I2035" s="16">
        <f>COUNTIF(G$5:G2035,"Y")/COUNTA(G$5:G2035)</f>
        <v>0.88084687346134904</v>
      </c>
      <c r="J2035" s="16">
        <f>COUNTIF(H$5:H2035,"Y")/COUNTA(H$5:H2035)</f>
        <v>4.9236829148202856E-2</v>
      </c>
      <c r="K2035" s="16">
        <f>AVERAGE(F$5:F2035)</f>
        <v>2.2257016248153607</v>
      </c>
      <c r="L2035" s="16">
        <f>SUM(F$5:F2035)/SUM(E$5:E2035)</f>
        <v>0.76252488107688543</v>
      </c>
    </row>
    <row r="2036" spans="1:13" x14ac:dyDescent="0.25">
      <c r="A2036" s="29">
        <v>45958</v>
      </c>
      <c r="B2036" s="16" t="s">
        <v>2082</v>
      </c>
      <c r="C2036" s="34">
        <v>1</v>
      </c>
      <c r="D2036" s="16" t="s">
        <v>52</v>
      </c>
      <c r="E2036" s="35">
        <v>0.5</v>
      </c>
      <c r="F2036" s="35">
        <v>0.5</v>
      </c>
      <c r="G2036" s="16" t="s">
        <v>44</v>
      </c>
      <c r="H2036" s="16" t="s">
        <v>45</v>
      </c>
      <c r="I2036" s="16">
        <f>COUNTIF(G$5:G2036,"Y")/COUNTA(G$5:G2036)</f>
        <v>0.88090551181102361</v>
      </c>
      <c r="J2036" s="16">
        <f>COUNTIF(H$5:H2036,"Y")/COUNTA(H$5:H2036)</f>
        <v>4.9212598425196853E-2</v>
      </c>
      <c r="K2036" s="16">
        <f>AVERAGE(F$5:F2036)</f>
        <v>2.2248523622047234</v>
      </c>
      <c r="L2036" s="16">
        <f>SUM(F$5:F2036)/SUM(E$5:E2036)</f>
        <v>0.76254490866463009</v>
      </c>
    </row>
    <row r="2037" spans="1:13" x14ac:dyDescent="0.25">
      <c r="A2037" s="29">
        <v>45959</v>
      </c>
      <c r="B2037" s="16" t="s">
        <v>2083</v>
      </c>
      <c r="C2037" s="34">
        <v>1</v>
      </c>
      <c r="D2037" s="16" t="s">
        <v>56</v>
      </c>
      <c r="E2037" s="35">
        <v>0.5</v>
      </c>
      <c r="F2037" s="35">
        <v>0.5</v>
      </c>
      <c r="G2037" s="16" t="s">
        <v>44</v>
      </c>
      <c r="H2037" s="16" t="s">
        <v>45</v>
      </c>
      <c r="I2037" s="16">
        <f>COUNTIF(G$5:G2037,"Y")/COUNTA(G$5:G2037)</f>
        <v>0.88096409247417606</v>
      </c>
      <c r="J2037" s="16">
        <f>COUNTIF(H$5:H2037,"Y")/COUNTA(H$5:H2037)</f>
        <v>4.9188391539596657E-2</v>
      </c>
      <c r="K2037" s="16">
        <f>AVERAGE(F$5:F2037)</f>
        <v>2.2240039350713219</v>
      </c>
      <c r="L2037" s="16">
        <f>SUM(F$5:F2037)/SUM(E$5:E2037)</f>
        <v>0.76256493287458549</v>
      </c>
    </row>
    <row r="2038" spans="1:13" x14ac:dyDescent="0.25">
      <c r="A2038" s="29">
        <v>45960</v>
      </c>
      <c r="B2038" s="16" t="s">
        <v>2084</v>
      </c>
      <c r="C2038" s="34">
        <v>1</v>
      </c>
      <c r="D2038" s="16" t="s">
        <v>43</v>
      </c>
      <c r="E2038" s="35">
        <v>0.5</v>
      </c>
      <c r="F2038" s="35">
        <v>0.5</v>
      </c>
      <c r="G2038" s="16" t="s">
        <v>44</v>
      </c>
      <c r="H2038" s="16" t="s">
        <v>45</v>
      </c>
      <c r="I2038" s="16">
        <f>COUNTIF(G$5:G2038,"Y")/COUNTA(G$5:G2038)</f>
        <v>0.8810226155358899</v>
      </c>
      <c r="J2038" s="16">
        <f>COUNTIF(H$5:H2038,"Y")/COUNTA(H$5:H2038)</f>
        <v>4.9164208456243856E-2</v>
      </c>
      <c r="K2038" s="16">
        <f>AVERAGE(F$5:F2038)</f>
        <v>2.2231563421828899</v>
      </c>
      <c r="L2038" s="16">
        <f>SUM(F$5:F2038)/SUM(E$5:E2038)</f>
        <v>0.76258495370760615</v>
      </c>
    </row>
    <row r="2039" spans="1:13" x14ac:dyDescent="0.25">
      <c r="A2039" s="29">
        <v>45961</v>
      </c>
      <c r="B2039" s="16" t="s">
        <v>2085</v>
      </c>
      <c r="C2039" s="34">
        <v>1</v>
      </c>
      <c r="D2039" s="16" t="s">
        <v>50</v>
      </c>
      <c r="E2039" s="35">
        <v>0.5</v>
      </c>
      <c r="F2039" s="35">
        <v>0.5</v>
      </c>
      <c r="G2039" s="16" t="s">
        <v>44</v>
      </c>
      <c r="H2039" s="16" t="s">
        <v>45</v>
      </c>
      <c r="I2039" s="16">
        <f>COUNTIF(G$5:G2039,"Y")/COUNTA(G$5:G2039)</f>
        <v>0.88108108108108107</v>
      </c>
      <c r="J2039" s="16">
        <f>COUNTIF(H$5:H2039,"Y")/COUNTA(H$5:H2039)</f>
        <v>4.9140049140049137E-2</v>
      </c>
      <c r="K2039" s="16">
        <f>AVERAGE(F$5:F2039)</f>
        <v>2.2223095823095811</v>
      </c>
      <c r="L2039" s="16">
        <f>SUM(F$5:F2039)/SUM(E$5:E2039)</f>
        <v>0.76260497116454629</v>
      </c>
    </row>
    <row r="2040" spans="1:13" x14ac:dyDescent="0.25">
      <c r="A2040" s="29">
        <v>45957</v>
      </c>
      <c r="B2040" s="16" t="s">
        <v>2086</v>
      </c>
      <c r="C2040" s="34">
        <v>1</v>
      </c>
      <c r="D2040" s="16" t="s">
        <v>64</v>
      </c>
      <c r="E2040" s="35">
        <v>0.5</v>
      </c>
      <c r="F2040" s="35">
        <v>0.5</v>
      </c>
      <c r="G2040" s="16" t="s">
        <v>44</v>
      </c>
      <c r="H2040" s="16" t="s">
        <v>45</v>
      </c>
      <c r="I2040" s="16">
        <f>COUNTIF(G$5:G2040,"Y")/COUNTA(G$5:G2040)</f>
        <v>0.88113948919449903</v>
      </c>
      <c r="J2040" s="16">
        <f>COUNTIF(H$5:H2040,"Y")/COUNTA(H$5:H2040)</f>
        <v>4.9115913555992138E-2</v>
      </c>
      <c r="K2040" s="16">
        <f>AVERAGE(F$5:F2040)</f>
        <v>2.2214636542239674</v>
      </c>
      <c r="L2040" s="16">
        <f>SUM(F$5:F2040)/SUM(E$5:E2040)</f>
        <v>0.76262498524625966</v>
      </c>
    </row>
    <row r="2041" spans="1:13" x14ac:dyDescent="0.25">
      <c r="A2041" s="29">
        <v>45958</v>
      </c>
      <c r="B2041" s="16" t="s">
        <v>2087</v>
      </c>
      <c r="C2041" s="34">
        <v>1</v>
      </c>
      <c r="D2041" s="16" t="s">
        <v>43</v>
      </c>
      <c r="E2041" s="35">
        <v>0.5</v>
      </c>
      <c r="F2041" s="35">
        <v>0.5</v>
      </c>
      <c r="G2041" s="16" t="s">
        <v>44</v>
      </c>
      <c r="H2041" s="16" t="s">
        <v>45</v>
      </c>
      <c r="I2041" s="16">
        <f>COUNTIF(G$5:G2041,"Y")/COUNTA(G$5:G2041)</f>
        <v>0.88119783996072654</v>
      </c>
      <c r="J2041" s="16">
        <f>COUNTIF(H$5:H2041,"Y")/COUNTA(H$5:H2041)</f>
        <v>4.9091801669121256E-2</v>
      </c>
      <c r="K2041" s="16">
        <f>AVERAGE(F$5:F2041)</f>
        <v>2.2206185567010297</v>
      </c>
      <c r="L2041" s="16">
        <f>SUM(F$5:F2041)/SUM(E$5:E2041)</f>
        <v>0.76264499595360002</v>
      </c>
    </row>
    <row r="2042" spans="1:13" x14ac:dyDescent="0.25">
      <c r="A2042" s="29">
        <v>45959</v>
      </c>
      <c r="B2042" s="16" t="s">
        <v>2088</v>
      </c>
      <c r="C2042" s="34">
        <v>1</v>
      </c>
      <c r="D2042" s="16" t="s">
        <v>47</v>
      </c>
      <c r="E2042" s="35">
        <v>0.5</v>
      </c>
      <c r="F2042" s="35">
        <v>0.5</v>
      </c>
      <c r="G2042" s="16" t="s">
        <v>44</v>
      </c>
      <c r="H2042" s="16" t="s">
        <v>45</v>
      </c>
      <c r="I2042" s="16">
        <f>COUNTIF(G$5:G2042,"Y")/COUNTA(G$5:G2042)</f>
        <v>0.88125613346418052</v>
      </c>
      <c r="J2042" s="16">
        <f>COUNTIF(H$5:H2042,"Y")/COUNTA(H$5:H2042)</f>
        <v>4.9067713444553483E-2</v>
      </c>
      <c r="K2042" s="16">
        <f>AVERAGE(F$5:F2042)</f>
        <v>2.2197742885181539</v>
      </c>
      <c r="L2042" s="16">
        <f>SUM(F$5:F2042)/SUM(E$5:E2042)</f>
        <v>0.76266500328742048</v>
      </c>
      <c r="M2042" s="16">
        <v>5</v>
      </c>
    </row>
    <row r="2043" spans="1:13" x14ac:dyDescent="0.25">
      <c r="A2043" s="29">
        <v>45964</v>
      </c>
      <c r="B2043" s="16" t="s">
        <v>2089</v>
      </c>
      <c r="C2043" s="34">
        <v>1</v>
      </c>
      <c r="D2043" s="16" t="s">
        <v>56</v>
      </c>
      <c r="E2043" s="35">
        <v>4.9000000000000004</v>
      </c>
      <c r="F2043" s="35">
        <v>3.9</v>
      </c>
      <c r="G2043" s="16" t="s">
        <v>44</v>
      </c>
      <c r="H2043" s="16" t="s">
        <v>45</v>
      </c>
      <c r="I2043" s="16">
        <f>COUNTIF(G$5:G2043,"Y")/COUNTA(G$5:G2043)</f>
        <v>0.88131436978911226</v>
      </c>
      <c r="J2043" s="16">
        <f>COUNTIF(H$5:H2043,"Y")/COUNTA(H$5:H2043)</f>
        <v>4.9043648847474253E-2</v>
      </c>
      <c r="K2043" s="16">
        <f>AVERAGE(F$5:F2043)</f>
        <v>2.2205983325159377</v>
      </c>
      <c r="L2043" s="16">
        <f>SUM(F$5:F2043)/SUM(E$5:E2043)</f>
        <v>0.76269245022403265</v>
      </c>
    </row>
    <row r="2044" spans="1:13" x14ac:dyDescent="0.25">
      <c r="A2044" s="29">
        <v>45965</v>
      </c>
      <c r="B2044" s="16" t="s">
        <v>2090</v>
      </c>
      <c r="C2044" s="34">
        <v>1</v>
      </c>
      <c r="D2044" s="16" t="s">
        <v>60</v>
      </c>
      <c r="E2044" s="35">
        <v>4.3</v>
      </c>
      <c r="F2044" s="35">
        <v>3.5</v>
      </c>
      <c r="G2044" s="16" t="s">
        <v>44</v>
      </c>
      <c r="H2044" s="16" t="s">
        <v>45</v>
      </c>
      <c r="I2044" s="16">
        <f>COUNTIF(G$5:G2044,"Y")/COUNTA(G$5:G2044)</f>
        <v>0.88137254901960782</v>
      </c>
      <c r="J2044" s="16">
        <f>COUNTIF(H$5:H2044,"Y")/COUNTA(H$5:H2044)</f>
        <v>4.9019607843137254E-2</v>
      </c>
      <c r="K2044" s="16">
        <f>AVERAGE(F$5:F2044)</f>
        <v>2.2212254901960771</v>
      </c>
      <c r="L2044" s="16">
        <f>SUM(F$5:F2044)/SUM(E$5:E2044)</f>
        <v>0.76272955276136478</v>
      </c>
    </row>
    <row r="2045" spans="1:13" x14ac:dyDescent="0.25">
      <c r="A2045" s="29">
        <v>45966</v>
      </c>
      <c r="B2045" s="16" t="s">
        <v>2091</v>
      </c>
      <c r="C2045" s="34">
        <v>1</v>
      </c>
      <c r="D2045" s="16" t="s">
        <v>60</v>
      </c>
      <c r="E2045" s="35">
        <v>4.7</v>
      </c>
      <c r="F2045" s="35">
        <v>3.2</v>
      </c>
      <c r="G2045" s="16" t="s">
        <v>44</v>
      </c>
      <c r="H2045" s="16" t="s">
        <v>45</v>
      </c>
      <c r="I2045" s="16">
        <f>COUNTIF(G$5:G2045,"Y")/COUNTA(G$5:G2045)</f>
        <v>0.8814306712395884</v>
      </c>
      <c r="J2045" s="16">
        <f>COUNTIF(H$5:H2045,"Y")/COUNTA(H$5:H2045)</f>
        <v>4.8995590396864283E-2</v>
      </c>
      <c r="K2045" s="16">
        <f>AVERAGE(F$5:F2045)</f>
        <v>2.2217050465458095</v>
      </c>
      <c r="L2045" s="16">
        <f>SUM(F$5:F2045)/SUM(E$5:E2045)</f>
        <v>0.76266482777179634</v>
      </c>
    </row>
    <row r="2046" spans="1:13" x14ac:dyDescent="0.25">
      <c r="A2046" s="29">
        <v>45967</v>
      </c>
      <c r="B2046" s="16" t="s">
        <v>2092</v>
      </c>
      <c r="C2046" s="34">
        <v>1</v>
      </c>
      <c r="D2046" s="16" t="s">
        <v>56</v>
      </c>
      <c r="E2046" s="35">
        <v>3.6</v>
      </c>
      <c r="F2046" s="35">
        <v>3.1</v>
      </c>
      <c r="G2046" s="16" t="s">
        <v>44</v>
      </c>
      <c r="H2046" s="16" t="s">
        <v>45</v>
      </c>
      <c r="I2046" s="16">
        <f>COUNTIF(G$5:G2046,"Y")/COUNTA(G$5:G2046)</f>
        <v>0.88148873653281101</v>
      </c>
      <c r="J2046" s="16">
        <f>COUNTIF(H$5:H2046,"Y")/COUNTA(H$5:H2046)</f>
        <v>4.8971596474045052E-2</v>
      </c>
      <c r="K2046" s="16">
        <f>AVERAGE(F$5:F2046)</f>
        <v>2.2221351616062672</v>
      </c>
      <c r="L2046" s="16">
        <f>SUM(F$5:F2046)/SUM(E$5:E2046)</f>
        <v>0.76272439991931562</v>
      </c>
    </row>
    <row r="2047" spans="1:13" x14ac:dyDescent="0.25">
      <c r="A2047" s="29">
        <v>45968</v>
      </c>
      <c r="B2047" s="16" t="s">
        <v>2093</v>
      </c>
      <c r="C2047" s="34">
        <v>1</v>
      </c>
      <c r="D2047" s="16" t="s">
        <v>60</v>
      </c>
      <c r="E2047" s="35">
        <v>4.3</v>
      </c>
      <c r="F2047" s="35">
        <v>3.6</v>
      </c>
      <c r="G2047" s="16" t="s">
        <v>44</v>
      </c>
      <c r="H2047" s="16" t="s">
        <v>45</v>
      </c>
      <c r="I2047" s="16">
        <f>COUNTIF(G$5:G2047,"Y")/COUNTA(G$5:G2047)</f>
        <v>0.88154674498286834</v>
      </c>
      <c r="J2047" s="16">
        <f>COUNTIF(H$5:H2047,"Y")/COUNTA(H$5:H2047)</f>
        <v>4.8947626040137054E-2</v>
      </c>
      <c r="K2047" s="16">
        <f>AVERAGE(F$5:F2047)</f>
        <v>2.222809593734703</v>
      </c>
      <c r="L2047" s="16">
        <f>SUM(F$5:F2047)/SUM(E$5:E2047)</f>
        <v>0.76277819769883137</v>
      </c>
    </row>
    <row r="2048" spans="1:13" x14ac:dyDescent="0.25">
      <c r="A2048" s="29">
        <v>45964</v>
      </c>
      <c r="B2048" s="16" t="s">
        <v>2094</v>
      </c>
      <c r="C2048" s="34">
        <v>1</v>
      </c>
      <c r="D2048" s="16" t="s">
        <v>50</v>
      </c>
      <c r="E2048" s="35">
        <v>3.2</v>
      </c>
      <c r="F2048" s="35">
        <v>2.5</v>
      </c>
      <c r="G2048" s="16" t="s">
        <v>44</v>
      </c>
      <c r="H2048" s="16" t="s">
        <v>45</v>
      </c>
      <c r="I2048" s="16">
        <f>COUNTIF(G$5:G2048,"Y")/COUNTA(G$5:G2048)</f>
        <v>0.88160469667318986</v>
      </c>
      <c r="J2048" s="16">
        <f>COUNTIF(H$5:H2048,"Y")/COUNTA(H$5:H2048)</f>
        <v>4.8923679060665359E-2</v>
      </c>
      <c r="K2048" s="16">
        <f>AVERAGE(F$5:F2048)</f>
        <v>2.222945205479451</v>
      </c>
      <c r="L2048" s="16">
        <f>SUM(F$5:F2048)/SUM(E$5:E2048)</f>
        <v>0.76278812093944515</v>
      </c>
    </row>
    <row r="2049" spans="1:12" x14ac:dyDescent="0.25">
      <c r="A2049" s="29">
        <v>45965</v>
      </c>
      <c r="B2049" s="16" t="s">
        <v>2095</v>
      </c>
      <c r="C2049" s="34">
        <v>1</v>
      </c>
      <c r="D2049" s="16" t="s">
        <v>50</v>
      </c>
      <c r="E2049" s="35">
        <v>5.4</v>
      </c>
      <c r="F2049" s="35">
        <v>3.9</v>
      </c>
      <c r="G2049" s="16" t="s">
        <v>44</v>
      </c>
      <c r="H2049" s="16" t="s">
        <v>45</v>
      </c>
      <c r="I2049" s="16">
        <f>COUNTIF(G$5:G2049,"Y")/COUNTA(G$5:G2049)</f>
        <v>0.88166259168704153</v>
      </c>
      <c r="J2049" s="16">
        <f>COUNTIF(H$5:H2049,"Y")/COUNTA(H$5:H2049)</f>
        <v>4.8899755501222497E-2</v>
      </c>
      <c r="K2049" s="16">
        <f>AVERAGE(F$5:F2049)</f>
        <v>2.2237652811735931</v>
      </c>
      <c r="L2049" s="16">
        <f>SUM(F$5:F2049)/SUM(E$5:E2049)</f>
        <v>0.76275137954747363</v>
      </c>
    </row>
    <row r="2050" spans="1:12" x14ac:dyDescent="0.25">
      <c r="A2050" s="29">
        <v>45966</v>
      </c>
      <c r="B2050" s="16" t="s">
        <v>2096</v>
      </c>
      <c r="C2050" s="34">
        <v>1</v>
      </c>
      <c r="D2050" s="16" t="s">
        <v>56</v>
      </c>
      <c r="E2050" s="35">
        <v>5.4</v>
      </c>
      <c r="F2050" s="35">
        <v>3.5</v>
      </c>
      <c r="G2050" s="16" t="s">
        <v>44</v>
      </c>
      <c r="H2050" s="16" t="s">
        <v>45</v>
      </c>
      <c r="I2050" s="16">
        <f>COUNTIF(G$5:G2050,"Y")/COUNTA(G$5:G2050)</f>
        <v>0.88172043010752688</v>
      </c>
      <c r="J2050" s="16">
        <f>COUNTIF(H$5:H2050,"Y")/COUNTA(H$5:H2050)</f>
        <v>4.8875855327468229E-2</v>
      </c>
      <c r="K2050" s="16">
        <f>AVERAGE(F$5:F2050)</f>
        <v>2.2243890518084055</v>
      </c>
      <c r="L2050" s="16">
        <f>SUM(F$5:F2050)/SUM(E$5:E2050)</f>
        <v>0.76264767490573826</v>
      </c>
    </row>
    <row r="2051" spans="1:12" x14ac:dyDescent="0.25">
      <c r="A2051" s="29">
        <v>45967</v>
      </c>
      <c r="B2051" s="16" t="s">
        <v>2097</v>
      </c>
      <c r="C2051" s="34">
        <v>1</v>
      </c>
      <c r="D2051" s="16" t="s">
        <v>64</v>
      </c>
      <c r="E2051" s="35">
        <v>3.4</v>
      </c>
      <c r="F2051" s="35">
        <v>2.7</v>
      </c>
      <c r="G2051" s="16" t="s">
        <v>44</v>
      </c>
      <c r="H2051" s="16" t="s">
        <v>45</v>
      </c>
      <c r="I2051" s="16">
        <f>COUNTIF(G$5:G2051,"Y")/COUNTA(G$5:G2051)</f>
        <v>0.88177821201758666</v>
      </c>
      <c r="J2051" s="16">
        <f>COUNTIF(H$5:H2051,"Y")/COUNTA(H$5:H2051)</f>
        <v>4.8851978505129456E-2</v>
      </c>
      <c r="K2051" s="16">
        <f>AVERAGE(F$5:F2051)</f>
        <v>2.224621397166584</v>
      </c>
      <c r="L2051" s="16">
        <f>SUM(F$5:F2051)/SUM(E$5:E2051)</f>
        <v>0.76266559480145257</v>
      </c>
    </row>
    <row r="2052" spans="1:12" x14ac:dyDescent="0.25">
      <c r="A2052" s="29">
        <v>45968</v>
      </c>
      <c r="B2052" s="16" t="s">
        <v>2098</v>
      </c>
      <c r="C2052" s="34">
        <v>1</v>
      </c>
      <c r="D2052" s="16" t="s">
        <v>60</v>
      </c>
      <c r="E2052" s="35">
        <v>4.5999999999999996</v>
      </c>
      <c r="F2052" s="35">
        <v>3</v>
      </c>
      <c r="G2052" s="16" t="s">
        <v>44</v>
      </c>
      <c r="H2052" s="16" t="s">
        <v>45</v>
      </c>
      <c r="I2052" s="16">
        <f>COUNTIF(G$5:G2052,"Y")/COUNTA(G$5:G2052)</f>
        <v>0.8818359375</v>
      </c>
      <c r="J2052" s="16">
        <f>COUNTIF(H$5:H2052,"Y")/COUNTA(H$5:H2052)</f>
        <v>4.8828125E-2</v>
      </c>
      <c r="K2052" s="16">
        <f>AVERAGE(F$5:F2052)</f>
        <v>2.2249999999999988</v>
      </c>
      <c r="L2052" s="16">
        <f>SUM(F$5:F2052)/SUM(E$5:E2052)</f>
        <v>0.76258053719353902</v>
      </c>
    </row>
    <row r="2053" spans="1:12" x14ac:dyDescent="0.25">
      <c r="A2053" s="29">
        <v>45964</v>
      </c>
      <c r="B2053" s="16" t="s">
        <v>2099</v>
      </c>
      <c r="C2053" s="34">
        <v>1</v>
      </c>
      <c r="D2053" s="16" t="s">
        <v>43</v>
      </c>
      <c r="E2053" s="35">
        <v>4.3</v>
      </c>
      <c r="F2053" s="35">
        <v>3.3</v>
      </c>
      <c r="G2053" s="16" t="s">
        <v>44</v>
      </c>
      <c r="H2053" s="16" t="s">
        <v>45</v>
      </c>
      <c r="I2053" s="16">
        <f>COUNTIF(G$5:G2053,"Y")/COUNTA(G$5:G2053)</f>
        <v>0.88189360663738414</v>
      </c>
      <c r="J2053" s="16">
        <f>COUNTIF(H$5:H2053,"Y")/COUNTA(H$5:H2053)</f>
        <v>4.880429477794046E-2</v>
      </c>
      <c r="K2053" s="16">
        <f>AVERAGE(F$5:F2053)</f>
        <v>2.2255246461688616</v>
      </c>
      <c r="L2053" s="16">
        <f>SUM(F$5:F2053)/SUM(E$5:E2053)</f>
        <v>0.76258403291079846</v>
      </c>
    </row>
    <row r="2054" spans="1:12" x14ac:dyDescent="0.25">
      <c r="A2054" s="29">
        <v>45965</v>
      </c>
      <c r="B2054" s="16" t="s">
        <v>2100</v>
      </c>
      <c r="C2054" s="34">
        <v>1</v>
      </c>
      <c r="D2054" s="16" t="s">
        <v>47</v>
      </c>
      <c r="E2054" s="35">
        <v>3.2</v>
      </c>
      <c r="F2054" s="35">
        <v>2.6</v>
      </c>
      <c r="G2054" s="16" t="s">
        <v>44</v>
      </c>
      <c r="H2054" s="16" t="s">
        <v>45</v>
      </c>
      <c r="I2054" s="16">
        <f>COUNTIF(G$5:G2054,"Y")/COUNTA(G$5:G2054)</f>
        <v>0.88195121951219513</v>
      </c>
      <c r="J2054" s="16">
        <f>COUNTIF(H$5:H2054,"Y")/COUNTA(H$5:H2054)</f>
        <v>4.878048780487805E-2</v>
      </c>
      <c r="K2054" s="16">
        <f>AVERAGE(F$5:F2054)</f>
        <v>2.2257073170731698</v>
      </c>
      <c r="L2054" s="16">
        <f>SUM(F$5:F2054)/SUM(E$5:E2054)</f>
        <v>0.7626107304028068</v>
      </c>
    </row>
    <row r="2055" spans="1:12" x14ac:dyDescent="0.25">
      <c r="A2055" s="29">
        <v>45966</v>
      </c>
      <c r="B2055" s="16" t="s">
        <v>2101</v>
      </c>
      <c r="C2055" s="34">
        <v>1</v>
      </c>
      <c r="D2055" s="16" t="s">
        <v>60</v>
      </c>
      <c r="E2055" s="35">
        <v>3.8</v>
      </c>
      <c r="F2055" s="35">
        <v>3.1</v>
      </c>
      <c r="G2055" s="16" t="s">
        <v>44</v>
      </c>
      <c r="H2055" s="16" t="s">
        <v>45</v>
      </c>
      <c r="I2055" s="16">
        <f>COUNTIF(G$5:G2055,"Y")/COUNTA(G$5:G2055)</f>
        <v>0.88200877620672846</v>
      </c>
      <c r="J2055" s="16">
        <f>COUNTIF(H$5:H2055,"Y")/COUNTA(H$5:H2055)</f>
        <v>4.8756704046806439E-2</v>
      </c>
      <c r="K2055" s="16">
        <f>AVERAGE(F$5:F2055)</f>
        <v>2.2261335933690876</v>
      </c>
      <c r="L2055" s="16">
        <f>SUM(F$5:F2055)/SUM(E$5:E2055)</f>
        <v>0.76264448453263733</v>
      </c>
    </row>
    <row r="2056" spans="1:12" x14ac:dyDescent="0.25">
      <c r="A2056" s="29">
        <v>45967</v>
      </c>
      <c r="B2056" s="16" t="s">
        <v>2102</v>
      </c>
      <c r="C2056" s="34">
        <v>1</v>
      </c>
      <c r="D2056" s="16" t="s">
        <v>50</v>
      </c>
      <c r="E2056" s="35">
        <v>4.5</v>
      </c>
      <c r="F2056" s="35">
        <v>3.5</v>
      </c>
      <c r="G2056" s="16" t="s">
        <v>44</v>
      </c>
      <c r="H2056" s="16" t="s">
        <v>45</v>
      </c>
      <c r="I2056" s="16">
        <f>COUNTIF(G$5:G2056,"Y")/COUNTA(G$5:G2056)</f>
        <v>0.88206627680311889</v>
      </c>
      <c r="J2056" s="16">
        <f>COUNTIF(H$5:H2056,"Y")/COUNTA(H$5:H2056)</f>
        <v>4.8732943469785572E-2</v>
      </c>
      <c r="K2056" s="16">
        <f>AVERAGE(F$5:F2056)</f>
        <v>2.2267543859649113</v>
      </c>
      <c r="L2056" s="16">
        <f>SUM(F$5:F2056)/SUM(E$5:E2056)</f>
        <v>0.76265585098392563</v>
      </c>
    </row>
    <row r="2057" spans="1:12" x14ac:dyDescent="0.25">
      <c r="A2057" s="29">
        <v>45968</v>
      </c>
      <c r="B2057" s="16" t="s">
        <v>2103</v>
      </c>
      <c r="C2057" s="34">
        <v>1</v>
      </c>
      <c r="D2057" s="16" t="s">
        <v>50</v>
      </c>
      <c r="E2057" s="35">
        <v>2.2000000000000002</v>
      </c>
      <c r="F2057" s="35">
        <v>1.5</v>
      </c>
      <c r="G2057" s="16" t="s">
        <v>44</v>
      </c>
      <c r="H2057" s="16" t="s">
        <v>45</v>
      </c>
      <c r="I2057" s="16">
        <f>COUNTIF(G$5:G2057,"Y")/COUNTA(G$5:G2057)</f>
        <v>0.8821237213833415</v>
      </c>
      <c r="J2057" s="16">
        <f>COUNTIF(H$5:H2057,"Y")/COUNTA(H$5:H2057)</f>
        <v>4.8709206039941548E-2</v>
      </c>
      <c r="K2057" s="16">
        <f>AVERAGE(F$5:F2057)</f>
        <v>2.2264003896736475</v>
      </c>
      <c r="L2057" s="16">
        <f>SUM(F$5:F2057)/SUM(E$5:E2057)</f>
        <v>0.76262617835988877</v>
      </c>
    </row>
    <row r="2058" spans="1:12" x14ac:dyDescent="0.25">
      <c r="A2058" s="29">
        <v>45964</v>
      </c>
      <c r="B2058" s="16" t="s">
        <v>2104</v>
      </c>
      <c r="C2058" s="34">
        <v>1</v>
      </c>
      <c r="D2058" s="16" t="s">
        <v>43</v>
      </c>
      <c r="E2058" s="35">
        <v>4.0999999999999996</v>
      </c>
      <c r="F2058" s="35">
        <v>2.8</v>
      </c>
      <c r="G2058" s="16" t="s">
        <v>44</v>
      </c>
      <c r="H2058" s="16" t="s">
        <v>45</v>
      </c>
      <c r="I2058" s="16">
        <f>COUNTIF(G$5:G2058,"Y")/COUNTA(G$5:G2058)</f>
        <v>0.88218111002921129</v>
      </c>
      <c r="J2058" s="16">
        <f>COUNTIF(H$5:H2058,"Y")/COUNTA(H$5:H2058)</f>
        <v>4.8685491723466409E-2</v>
      </c>
      <c r="K2058" s="16">
        <f>AVERAGE(F$5:F2058)</f>
        <v>2.226679649464459</v>
      </c>
      <c r="L2058" s="16">
        <f>SUM(F$5:F2058)/SUM(E$5:E2058)</f>
        <v>0.76257169534480351</v>
      </c>
    </row>
    <row r="2059" spans="1:12" x14ac:dyDescent="0.25">
      <c r="A2059" s="29">
        <v>45965</v>
      </c>
      <c r="B2059" s="16" t="s">
        <v>2105</v>
      </c>
      <c r="C2059" s="34">
        <v>1</v>
      </c>
      <c r="D2059" s="16" t="s">
        <v>64</v>
      </c>
      <c r="E2059" s="35">
        <v>5</v>
      </c>
      <c r="F2059" s="35">
        <v>3.5</v>
      </c>
      <c r="G2059" s="16" t="s">
        <v>45</v>
      </c>
      <c r="H2059" s="16" t="s">
        <v>45</v>
      </c>
      <c r="I2059" s="16">
        <f>COUNTIF(G$5:G2059,"Y")/COUNTA(G$5:G2059)</f>
        <v>0.88175182481751824</v>
      </c>
      <c r="J2059" s="16">
        <f>COUNTIF(H$5:H2059,"Y")/COUNTA(H$5:H2059)</f>
        <v>4.8661800486618008E-2</v>
      </c>
      <c r="K2059" s="16">
        <f>AVERAGE(F$5:F2059)</f>
        <v>2.2272992700729919</v>
      </c>
      <c r="L2059" s="16">
        <f>SUM(F$5:F2059)/SUM(E$5:E2059)</f>
        <v>0.76251957485089683</v>
      </c>
    </row>
    <row r="2060" spans="1:12" x14ac:dyDescent="0.25">
      <c r="A2060" s="29">
        <v>45966</v>
      </c>
      <c r="B2060" s="16" t="s">
        <v>2106</v>
      </c>
      <c r="C2060" s="34">
        <v>1</v>
      </c>
      <c r="D2060" s="16" t="s">
        <v>56</v>
      </c>
      <c r="E2060" s="35">
        <v>2.9</v>
      </c>
      <c r="F2060" s="35">
        <v>2.4</v>
      </c>
      <c r="G2060" s="16" t="s">
        <v>44</v>
      </c>
      <c r="H2060" s="16" t="s">
        <v>45</v>
      </c>
      <c r="I2060" s="16">
        <f>COUNTIF(G$5:G2060,"Y")/COUNTA(G$5:G2060)</f>
        <v>0.88180933852140075</v>
      </c>
      <c r="J2060" s="16">
        <f>COUNTIF(H$5:H2060,"Y")/COUNTA(H$5:H2060)</f>
        <v>4.8638132295719845E-2</v>
      </c>
      <c r="K2060" s="16">
        <f>AVERAGE(F$5:F2060)</f>
        <v>2.2273832684824892</v>
      </c>
      <c r="L2060" s="16">
        <f>SUM(F$5:F2060)/SUM(E$5:E2060)</f>
        <v>0.76255099492132106</v>
      </c>
    </row>
    <row r="2061" spans="1:12" x14ac:dyDescent="0.25">
      <c r="A2061" s="29">
        <v>45967</v>
      </c>
      <c r="B2061" s="16" t="s">
        <v>2107</v>
      </c>
      <c r="C2061" s="34">
        <v>1</v>
      </c>
      <c r="D2061" s="16" t="s">
        <v>43</v>
      </c>
      <c r="E2061" s="35">
        <v>2.1</v>
      </c>
      <c r="F2061" s="35">
        <v>1.5</v>
      </c>
      <c r="G2061" s="16" t="s">
        <v>44</v>
      </c>
      <c r="H2061" s="16" t="s">
        <v>45</v>
      </c>
      <c r="I2061" s="16">
        <f>COUNTIF(G$5:G2061,"Y")/COUNTA(G$5:G2061)</f>
        <v>0.88186679630529896</v>
      </c>
      <c r="J2061" s="16">
        <f>COUNTIF(H$5:H2061,"Y")/COUNTA(H$5:H2061)</f>
        <v>4.8614487117160911E-2</v>
      </c>
      <c r="K2061" s="16">
        <f>AVERAGE(F$5:F2061)</f>
        <v>2.2270296548371404</v>
      </c>
      <c r="L2061" s="16">
        <f>SUM(F$5:F2061)/SUM(E$5:E2061)</f>
        <v>0.76253412344363691</v>
      </c>
    </row>
    <row r="2062" spans="1:12" x14ac:dyDescent="0.25">
      <c r="A2062" s="29">
        <v>45968</v>
      </c>
      <c r="B2062" s="16" t="s">
        <v>2108</v>
      </c>
      <c r="C2062" s="34">
        <v>1</v>
      </c>
      <c r="D2062" s="16" t="s">
        <v>43</v>
      </c>
      <c r="E2062" s="35">
        <v>2.2999999999999998</v>
      </c>
      <c r="F2062" s="35">
        <v>1.9</v>
      </c>
      <c r="G2062" s="16" t="s">
        <v>44</v>
      </c>
      <c r="H2062" s="16" t="s">
        <v>45</v>
      </c>
      <c r="I2062" s="16">
        <f>COUNTIF(G$5:G2062,"Y")/COUNTA(G$5:G2062)</f>
        <v>0.88192419825072887</v>
      </c>
      <c r="J2062" s="16">
        <f>COUNTIF(H$5:H2062,"Y")/COUNTA(H$5:H2062)</f>
        <v>4.8590864917395532E-2</v>
      </c>
      <c r="K2062" s="16">
        <f>AVERAGE(F$5:F2062)</f>
        <v>2.2268707482993189</v>
      </c>
      <c r="L2062" s="16">
        <f>SUM(F$5:F2062)/SUM(E$5:E2062)</f>
        <v>0.76255844523203253</v>
      </c>
    </row>
    <row r="2063" spans="1:12" x14ac:dyDescent="0.25">
      <c r="A2063" s="29">
        <v>45964</v>
      </c>
      <c r="B2063" s="16" t="s">
        <v>2109</v>
      </c>
      <c r="C2063" s="34">
        <v>1</v>
      </c>
      <c r="D2063" s="16" t="s">
        <v>47</v>
      </c>
      <c r="E2063" s="35">
        <v>2.4</v>
      </c>
      <c r="F2063" s="35">
        <v>1.7</v>
      </c>
      <c r="G2063" s="16" t="s">
        <v>44</v>
      </c>
      <c r="H2063" s="16" t="s">
        <v>45</v>
      </c>
      <c r="I2063" s="16">
        <f>COUNTIF(G$5:G2063,"Y")/COUNTA(G$5:G2063)</f>
        <v>0.88198154443904808</v>
      </c>
      <c r="J2063" s="16">
        <f>COUNTIF(H$5:H2063,"Y")/COUNTA(H$5:H2063)</f>
        <v>4.8567265662943178E-2</v>
      </c>
      <c r="K2063" s="16">
        <f>AVERAGE(F$5:F2063)</f>
        <v>2.2266148615832919</v>
      </c>
      <c r="L2063" s="16">
        <f>SUM(F$5:F2063)/SUM(E$5:E2063)</f>
        <v>0.76253679956089893</v>
      </c>
    </row>
    <row r="2064" spans="1:12" x14ac:dyDescent="0.25">
      <c r="A2064" s="29">
        <v>45965</v>
      </c>
      <c r="B2064" s="16" t="s">
        <v>2110</v>
      </c>
      <c r="C2064" s="34">
        <v>1</v>
      </c>
      <c r="D2064" s="16" t="s">
        <v>50</v>
      </c>
      <c r="E2064" s="35">
        <v>3.6</v>
      </c>
      <c r="F2064" s="35">
        <v>3.2</v>
      </c>
      <c r="G2064" s="16" t="s">
        <v>44</v>
      </c>
      <c r="H2064" s="16" t="s">
        <v>45</v>
      </c>
      <c r="I2064" s="16">
        <f>COUNTIF(G$5:G2064,"Y")/COUNTA(G$5:G2064)</f>
        <v>0.8820388349514563</v>
      </c>
      <c r="J2064" s="16">
        <f>COUNTIF(H$5:H2064,"Y")/COUNTA(H$5:H2064)</f>
        <v>4.8543689320388349E-2</v>
      </c>
      <c r="K2064" s="16">
        <f>AVERAGE(F$5:F2064)</f>
        <v>2.2270873786407757</v>
      </c>
      <c r="L2064" s="16">
        <f>SUM(F$5:F2064)/SUM(E$5:E2064)</f>
        <v>0.76261241044565109</v>
      </c>
    </row>
    <row r="2065" spans="1:12" x14ac:dyDescent="0.25">
      <c r="A2065" s="29">
        <v>45966</v>
      </c>
      <c r="B2065" s="16" t="s">
        <v>2111</v>
      </c>
      <c r="C2065" s="34">
        <v>1</v>
      </c>
      <c r="D2065" s="16" t="s">
        <v>64</v>
      </c>
      <c r="E2065" s="35">
        <v>4.4000000000000004</v>
      </c>
      <c r="F2065" s="35">
        <v>3.2</v>
      </c>
      <c r="G2065" s="16" t="s">
        <v>44</v>
      </c>
      <c r="H2065" s="16" t="s">
        <v>44</v>
      </c>
      <c r="I2065" s="16">
        <f>COUNTIF(G$5:G2065,"Y")/COUNTA(G$5:G2065)</f>
        <v>0.88209606986899558</v>
      </c>
      <c r="J2065" s="16">
        <f>COUNTIF(H$5:H2065,"Y")/COUNTA(H$5:H2065)</f>
        <v>4.9005337214944204E-2</v>
      </c>
      <c r="K2065" s="16">
        <f>AVERAGE(F$5:F2065)</f>
        <v>2.2275594371664229</v>
      </c>
      <c r="L2065" s="16">
        <f>SUM(F$5:F2065)/SUM(E$5:E2065)</f>
        <v>0.76258658206401542</v>
      </c>
    </row>
    <row r="2066" spans="1:12" x14ac:dyDescent="0.25">
      <c r="A2066" s="29">
        <v>45967</v>
      </c>
      <c r="B2066" s="16" t="s">
        <v>2112</v>
      </c>
      <c r="C2066" s="34">
        <v>1</v>
      </c>
      <c r="D2066" s="16" t="s">
        <v>43</v>
      </c>
      <c r="E2066" s="35">
        <v>4.5999999999999996</v>
      </c>
      <c r="F2066" s="35">
        <v>3</v>
      </c>
      <c r="G2066" s="16" t="s">
        <v>44</v>
      </c>
      <c r="H2066" s="16" t="s">
        <v>45</v>
      </c>
      <c r="I2066" s="16">
        <f>COUNTIF(G$5:G2066,"Y")/COUNTA(G$5:G2066)</f>
        <v>0.8821532492725509</v>
      </c>
      <c r="J2066" s="16">
        <f>COUNTIF(H$5:H2066,"Y")/COUNTA(H$5:H2066)</f>
        <v>4.8981571290009698E-2</v>
      </c>
      <c r="K2066" s="16">
        <f>AVERAGE(F$5:F2066)</f>
        <v>2.2279340446168754</v>
      </c>
      <c r="L2066" s="16">
        <f>SUM(F$5:F2066)/SUM(E$5:E2066)</f>
        <v>0.76250228219555383</v>
      </c>
    </row>
    <row r="2067" spans="1:12" x14ac:dyDescent="0.25">
      <c r="A2067" s="29">
        <v>45968</v>
      </c>
      <c r="B2067" s="16" t="s">
        <v>2113</v>
      </c>
      <c r="C2067" s="34">
        <v>1</v>
      </c>
      <c r="D2067" s="16" t="s">
        <v>64</v>
      </c>
      <c r="E2067" s="35">
        <v>2.2999999999999998</v>
      </c>
      <c r="F2067" s="35">
        <v>1.5</v>
      </c>
      <c r="G2067" s="16" t="s">
        <v>44</v>
      </c>
      <c r="H2067" s="16" t="s">
        <v>45</v>
      </c>
      <c r="I2067" s="16">
        <f>COUNTIF(G$5:G2067,"Y")/COUNTA(G$5:G2067)</f>
        <v>0.88221037324285023</v>
      </c>
      <c r="J2067" s="16">
        <f>COUNTIF(H$5:H2067,"Y")/COUNTA(H$5:H2067)</f>
        <v>4.8957828405235097E-2</v>
      </c>
      <c r="K2067" s="16">
        <f>AVERAGE(F$5:F2067)</f>
        <v>2.2275811924381954</v>
      </c>
      <c r="L2067" s="16">
        <f>SUM(F$5:F2067)/SUM(E$5:E2067)</f>
        <v>0.76246018051499731</v>
      </c>
    </row>
    <row r="2068" spans="1:12" x14ac:dyDescent="0.25">
      <c r="A2068" s="29">
        <v>45964</v>
      </c>
      <c r="B2068" s="16" t="s">
        <v>2114</v>
      </c>
      <c r="C2068" s="34">
        <v>1</v>
      </c>
      <c r="D2068" s="16" t="s">
        <v>56</v>
      </c>
      <c r="E2068" s="35">
        <v>3.4</v>
      </c>
      <c r="F2068" s="35">
        <v>2.2999999999999998</v>
      </c>
      <c r="G2068" s="16" t="s">
        <v>44</v>
      </c>
      <c r="H2068" s="16" t="s">
        <v>44</v>
      </c>
      <c r="I2068" s="16">
        <f>COUNTIF(G$5:G2068,"Y")/COUNTA(G$5:G2068)</f>
        <v>0.88226744186046513</v>
      </c>
      <c r="J2068" s="16">
        <f>COUNTIF(H$5:H2068,"Y")/COUNTA(H$5:H2068)</f>
        <v>4.9418604651162788E-2</v>
      </c>
      <c r="K2068" s="16">
        <f>AVERAGE(F$5:F2068)</f>
        <v>2.2276162790697662</v>
      </c>
      <c r="L2068" s="16">
        <f>SUM(F$5:F2068)/SUM(E$5:E2068)</f>
        <v>0.76241170032832428</v>
      </c>
    </row>
    <row r="2069" spans="1:12" x14ac:dyDescent="0.25">
      <c r="A2069" s="29">
        <v>45965</v>
      </c>
      <c r="B2069" s="16" t="s">
        <v>2115</v>
      </c>
      <c r="C2069" s="34">
        <v>1</v>
      </c>
      <c r="D2069" s="16" t="s">
        <v>60</v>
      </c>
      <c r="E2069" s="35">
        <v>4.3</v>
      </c>
      <c r="F2069" s="35">
        <v>3.7</v>
      </c>
      <c r="G2069" s="16" t="s">
        <v>45</v>
      </c>
      <c r="H2069" s="16" t="s">
        <v>45</v>
      </c>
      <c r="I2069" s="16">
        <f>COUNTIF(G$5:G2069,"Y")/COUNTA(G$5:G2069)</f>
        <v>0.88184019370460054</v>
      </c>
      <c r="J2069" s="16">
        <f>COUNTIF(H$5:H2069,"Y")/COUNTA(H$5:H2069)</f>
        <v>4.9394673123486686E-2</v>
      </c>
      <c r="K2069" s="16">
        <f>AVERAGE(F$5:F2069)</f>
        <v>2.2283292978208218</v>
      </c>
      <c r="L2069" s="16">
        <f>SUM(F$5:F2069)/SUM(E$5:E2069)</f>
        <v>0.76248156556032276</v>
      </c>
    </row>
    <row r="2070" spans="1:12" x14ac:dyDescent="0.25">
      <c r="A2070" s="29">
        <v>45966</v>
      </c>
      <c r="B2070" s="16" t="s">
        <v>2116</v>
      </c>
      <c r="C2070" s="34">
        <v>1</v>
      </c>
      <c r="D2070" s="16" t="s">
        <v>56</v>
      </c>
      <c r="E2070" s="35">
        <v>4.7</v>
      </c>
      <c r="F2070" s="35">
        <v>3.9</v>
      </c>
      <c r="G2070" s="16" t="s">
        <v>44</v>
      </c>
      <c r="H2070" s="16" t="s">
        <v>45</v>
      </c>
      <c r="I2070" s="16">
        <f>COUNTIF(G$5:G2070,"Y")/COUNTA(G$5:G2070)</f>
        <v>0.88189738625363023</v>
      </c>
      <c r="J2070" s="16">
        <f>COUNTIF(H$5:H2070,"Y")/COUNTA(H$5:H2070)</f>
        <v>4.9370764762826716E-2</v>
      </c>
      <c r="K2070" s="16">
        <f>AVERAGE(F$5:F2070)</f>
        <v>2.2291384317521765</v>
      </c>
      <c r="L2070" s="16">
        <f>SUM(F$5:F2070)/SUM(E$5:E2070)</f>
        <v>0.76253394264520691</v>
      </c>
    </row>
    <row r="2071" spans="1:12" x14ac:dyDescent="0.25">
      <c r="A2071" s="29">
        <v>45967</v>
      </c>
      <c r="B2071" s="16" t="s">
        <v>2117</v>
      </c>
      <c r="C2071" s="34">
        <v>1</v>
      </c>
      <c r="D2071" s="16" t="s">
        <v>47</v>
      </c>
      <c r="E2071" s="35">
        <v>2</v>
      </c>
      <c r="F2071" s="35">
        <v>1.3</v>
      </c>
      <c r="G2071" s="16" t="s">
        <v>44</v>
      </c>
      <c r="H2071" s="16" t="s">
        <v>45</v>
      </c>
      <c r="I2071" s="16">
        <f>COUNTIF(G$5:G2071,"Y")/COUNTA(G$5:G2071)</f>
        <v>0.88195452346395742</v>
      </c>
      <c r="J2071" s="16">
        <f>COUNTIF(H$5:H2071,"Y")/COUNTA(H$5:H2071)</f>
        <v>4.9346879535558781E-2</v>
      </c>
      <c r="K2071" s="16">
        <f>AVERAGE(F$5:F2071)</f>
        <v>2.22868892114175</v>
      </c>
      <c r="L2071" s="16">
        <f>SUM(F$5:F2071)/SUM(E$5:E2071)</f>
        <v>0.7624966896186427</v>
      </c>
    </row>
    <row r="2072" spans="1:12" x14ac:dyDescent="0.25">
      <c r="A2072" s="29">
        <v>45968</v>
      </c>
      <c r="B2072" s="16" t="s">
        <v>2118</v>
      </c>
      <c r="C2072" s="34">
        <v>1</v>
      </c>
      <c r="D2072" s="16" t="s">
        <v>64</v>
      </c>
      <c r="E2072" s="35">
        <v>4.0999999999999996</v>
      </c>
      <c r="F2072" s="35">
        <v>3</v>
      </c>
      <c r="G2072" s="16" t="s">
        <v>44</v>
      </c>
      <c r="H2072" s="16" t="s">
        <v>45</v>
      </c>
      <c r="I2072" s="16">
        <f>COUNTIF(G$5:G2072,"Y")/COUNTA(G$5:G2072)</f>
        <v>0.88201160541586077</v>
      </c>
      <c r="J2072" s="16">
        <f>COUNTIF(H$5:H2072,"Y")/COUNTA(H$5:H2072)</f>
        <v>4.9323017408123788E-2</v>
      </c>
      <c r="K2072" s="16">
        <f>AVERAGE(F$5:F2072)</f>
        <v>2.229061895551256</v>
      </c>
      <c r="L2072" s="16">
        <f>SUM(F$5:F2072)/SUM(E$5:E2072)</f>
        <v>0.76247580925285607</v>
      </c>
    </row>
    <row r="2073" spans="1:12" x14ac:dyDescent="0.25">
      <c r="A2073" s="29">
        <v>45964</v>
      </c>
      <c r="B2073" s="16" t="s">
        <v>2119</v>
      </c>
      <c r="C2073" s="34">
        <v>1</v>
      </c>
      <c r="D2073" s="16" t="s">
        <v>64</v>
      </c>
      <c r="E2073" s="35">
        <v>5.4</v>
      </c>
      <c r="F2073" s="35">
        <v>3.9</v>
      </c>
      <c r="G2073" s="16" t="s">
        <v>44</v>
      </c>
      <c r="H2073" s="16" t="s">
        <v>45</v>
      </c>
      <c r="I2073" s="16">
        <f>COUNTIF(G$5:G2073,"Y")/COUNTA(G$5:G2073)</f>
        <v>0.88206863218946352</v>
      </c>
      <c r="J2073" s="16">
        <f>COUNTIF(H$5:H2073,"Y")/COUNTA(H$5:H2073)</f>
        <v>4.9299178347027552E-2</v>
      </c>
      <c r="K2073" s="16">
        <f>AVERAGE(F$5:F2073)</f>
        <v>2.2298695021749624</v>
      </c>
      <c r="L2073" s="16">
        <f>SUM(F$5:F2073)/SUM(E$5:E2073)</f>
        <v>0.7624398869626996</v>
      </c>
    </row>
    <row r="2074" spans="1:12" x14ac:dyDescent="0.25">
      <c r="A2074" s="29">
        <v>45965</v>
      </c>
      <c r="B2074" s="16" t="s">
        <v>2120</v>
      </c>
      <c r="C2074" s="34">
        <v>1</v>
      </c>
      <c r="D2074" s="16" t="s">
        <v>50</v>
      </c>
      <c r="E2074" s="35">
        <v>1.3</v>
      </c>
      <c r="F2074" s="35">
        <v>1.1000000000000001</v>
      </c>
      <c r="G2074" s="16" t="s">
        <v>44</v>
      </c>
      <c r="H2074" s="16" t="s">
        <v>45</v>
      </c>
      <c r="I2074" s="16">
        <f>COUNTIF(G$5:G2074,"Y")/COUNTA(G$5:G2074)</f>
        <v>0.88212560386473426</v>
      </c>
      <c r="J2074" s="16">
        <f>COUNTIF(H$5:H2074,"Y")/COUNTA(H$5:H2074)</f>
        <v>4.9275362318840582E-2</v>
      </c>
      <c r="K2074" s="16">
        <f>AVERAGE(F$5:F2074)</f>
        <v>2.2293236714975833</v>
      </c>
      <c r="L2074" s="16">
        <f>SUM(F$5:F2074)/SUM(E$5:E2074)</f>
        <v>0.76245786795320725</v>
      </c>
    </row>
    <row r="2075" spans="1:12" x14ac:dyDescent="0.25">
      <c r="A2075" s="29">
        <v>45966</v>
      </c>
      <c r="B2075" s="16" t="s">
        <v>2121</v>
      </c>
      <c r="C2075" s="34">
        <v>1</v>
      </c>
      <c r="D2075" s="16" t="s">
        <v>64</v>
      </c>
      <c r="E2075" s="35">
        <v>0.7</v>
      </c>
      <c r="F2075" s="35">
        <v>0.5</v>
      </c>
      <c r="G2075" s="16" t="s">
        <v>45</v>
      </c>
      <c r="H2075" s="16" t="s">
        <v>45</v>
      </c>
      <c r="I2075" s="16">
        <f>COUNTIF(G$5:G2075,"Y")/COUNTA(G$5:G2075)</f>
        <v>0.88169966199903427</v>
      </c>
      <c r="J2075" s="16">
        <f>COUNTIF(H$5:H2075,"Y")/COUNTA(H$5:H2075)</f>
        <v>4.9251569290197972E-2</v>
      </c>
      <c r="K2075" s="16">
        <f>AVERAGE(F$5:F2075)</f>
        <v>2.228488652824721</v>
      </c>
      <c r="L2075" s="16">
        <f>SUM(F$5:F2075)/SUM(E$5:E2075)</f>
        <v>0.76245229717004381</v>
      </c>
    </row>
    <row r="2076" spans="1:12" x14ac:dyDescent="0.25">
      <c r="A2076" s="29">
        <v>45967</v>
      </c>
      <c r="B2076" s="16" t="s">
        <v>2122</v>
      </c>
      <c r="C2076" s="34">
        <v>1</v>
      </c>
      <c r="D2076" s="16" t="s">
        <v>64</v>
      </c>
      <c r="E2076" s="35">
        <v>0.8</v>
      </c>
      <c r="F2076" s="35">
        <v>0.5</v>
      </c>
      <c r="G2076" s="16" t="s">
        <v>44</v>
      </c>
      <c r="H2076" s="16" t="s">
        <v>45</v>
      </c>
      <c r="I2076" s="16">
        <f>COUNTIF(G$5:G2076,"Y")/COUNTA(G$5:G2076)</f>
        <v>0.8817567567567568</v>
      </c>
      <c r="J2076" s="16">
        <f>COUNTIF(H$5:H2076,"Y")/COUNTA(H$5:H2076)</f>
        <v>4.9227799227799227E-2</v>
      </c>
      <c r="K2076" s="16">
        <f>AVERAGE(F$5:F2076)</f>
        <v>2.2276544401544389</v>
      </c>
      <c r="L2076" s="16">
        <f>SUM(F$5:F2076)/SUM(E$5:E2076)</f>
        <v>0.76243413336857102</v>
      </c>
    </row>
    <row r="2077" spans="1:12" x14ac:dyDescent="0.25">
      <c r="A2077" s="29">
        <v>45968</v>
      </c>
      <c r="B2077" s="16" t="s">
        <v>2123</v>
      </c>
      <c r="C2077" s="34">
        <v>1</v>
      </c>
      <c r="D2077" s="16" t="s">
        <v>64</v>
      </c>
      <c r="E2077" s="35">
        <v>0.6</v>
      </c>
      <c r="F2077" s="35">
        <v>0.5</v>
      </c>
      <c r="G2077" s="16" t="s">
        <v>44</v>
      </c>
      <c r="H2077" s="16" t="s">
        <v>45</v>
      </c>
      <c r="I2077" s="16">
        <f>COUNTIF(G$5:G2077,"Y")/COUNTA(G$5:G2077)</f>
        <v>0.88181379643029423</v>
      </c>
      <c r="J2077" s="16">
        <f>COUNTIF(H$5:H2077,"Y")/COUNTA(H$5:H2077)</f>
        <v>4.9204052098408106E-2</v>
      </c>
      <c r="K2077" s="16">
        <f>AVERAGE(F$5:F2077)</f>
        <v>2.2268210323203075</v>
      </c>
      <c r="L2077" s="16">
        <f>SUM(F$5:F2077)/SUM(E$5:E2077)</f>
        <v>0.76244115946816282</v>
      </c>
    </row>
    <row r="2078" spans="1:12" x14ac:dyDescent="0.25">
      <c r="A2078" s="29">
        <v>45964</v>
      </c>
      <c r="B2078" s="16" t="s">
        <v>2124</v>
      </c>
      <c r="C2078" s="34">
        <v>1</v>
      </c>
      <c r="D2078" s="16" t="s">
        <v>56</v>
      </c>
      <c r="E2078" s="35">
        <v>0.7</v>
      </c>
      <c r="F2078" s="35">
        <v>0.5</v>
      </c>
      <c r="G2078" s="16" t="s">
        <v>44</v>
      </c>
      <c r="H2078" s="16" t="s">
        <v>45</v>
      </c>
      <c r="I2078" s="16">
        <f>COUNTIF(G$5:G2078,"Y")/COUNTA(G$5:G2078)</f>
        <v>0.88187078109932493</v>
      </c>
      <c r="J2078" s="16">
        <f>COUNTIF(H$5:H2078,"Y")/COUNTA(H$5:H2078)</f>
        <v>4.9180327868852458E-2</v>
      </c>
      <c r="K2078" s="16">
        <f>AVERAGE(F$5:F2078)</f>
        <v>2.2259884281581472</v>
      </c>
      <c r="L2078" s="16">
        <f>SUM(F$5:F2078)/SUM(E$5:E2078)</f>
        <v>0.76243559254855198</v>
      </c>
    </row>
    <row r="2079" spans="1:12" x14ac:dyDescent="0.25">
      <c r="A2079" s="29">
        <v>45965</v>
      </c>
      <c r="B2079" s="16" t="s">
        <v>2125</v>
      </c>
      <c r="C2079" s="34">
        <v>1</v>
      </c>
      <c r="D2079" s="16" t="s">
        <v>64</v>
      </c>
      <c r="E2079" s="35">
        <v>0.7</v>
      </c>
      <c r="F2079" s="35">
        <v>0.5</v>
      </c>
      <c r="G2079" s="16" t="s">
        <v>45</v>
      </c>
      <c r="H2079" s="16" t="s">
        <v>45</v>
      </c>
      <c r="I2079" s="16">
        <f>COUNTIF(G$5:G2079,"Y")/COUNTA(G$5:G2079)</f>
        <v>0.88144578313253008</v>
      </c>
      <c r="J2079" s="16">
        <f>COUNTIF(H$5:H2079,"Y")/COUNTA(H$5:H2079)</f>
        <v>4.9156626506024099E-2</v>
      </c>
      <c r="K2079" s="16">
        <f>AVERAGE(F$5:F2079)</f>
        <v>2.2251566265060228</v>
      </c>
      <c r="L2079" s="16">
        <f>SUM(F$5:F2079)/SUM(E$5:E2079)</f>
        <v>0.7624300269158989</v>
      </c>
    </row>
    <row r="2080" spans="1:12" x14ac:dyDescent="0.25">
      <c r="A2080" s="29">
        <v>45966</v>
      </c>
      <c r="B2080" s="16" t="s">
        <v>2126</v>
      </c>
      <c r="C2080" s="34">
        <v>1</v>
      </c>
      <c r="D2080" s="16" t="s">
        <v>50</v>
      </c>
      <c r="E2080" s="35">
        <v>0.7</v>
      </c>
      <c r="F2080" s="35">
        <v>0.5</v>
      </c>
      <c r="G2080" s="16" t="s">
        <v>44</v>
      </c>
      <c r="H2080" s="16" t="s">
        <v>45</v>
      </c>
      <c r="I2080" s="16">
        <f>COUNTIF(G$5:G2080,"Y")/COUNTA(G$5:G2080)</f>
        <v>0.88150289017341044</v>
      </c>
      <c r="J2080" s="16">
        <f>COUNTIF(H$5:H2080,"Y")/COUNTA(H$5:H2080)</f>
        <v>4.9132947976878616E-2</v>
      </c>
      <c r="K2080" s="16">
        <f>AVERAGE(F$5:F2080)</f>
        <v>2.2243256262042377</v>
      </c>
      <c r="L2080" s="16">
        <f>SUM(F$5:F2080)/SUM(E$5:E2080)</f>
        <v>0.76242446256975727</v>
      </c>
    </row>
    <row r="2081" spans="1:13" x14ac:dyDescent="0.25">
      <c r="A2081" s="29">
        <v>45967</v>
      </c>
      <c r="B2081" s="16" t="s">
        <v>2127</v>
      </c>
      <c r="C2081" s="34">
        <v>1</v>
      </c>
      <c r="D2081" s="16" t="s">
        <v>60</v>
      </c>
      <c r="E2081" s="35">
        <v>0.7</v>
      </c>
      <c r="F2081" s="35">
        <v>0.5</v>
      </c>
      <c r="G2081" s="16" t="s">
        <v>44</v>
      </c>
      <c r="H2081" s="16" t="s">
        <v>45</v>
      </c>
      <c r="I2081" s="16">
        <f>COUNTIF(G$5:G2081,"Y")/COUNTA(G$5:G2081)</f>
        <v>0.88155994222436207</v>
      </c>
      <c r="J2081" s="16">
        <f>COUNTIF(H$5:H2081,"Y")/COUNTA(H$5:H2081)</f>
        <v>4.9109292248435243E-2</v>
      </c>
      <c r="K2081" s="16">
        <f>AVERAGE(F$5:F2081)</f>
        <v>2.2234954260953286</v>
      </c>
      <c r="L2081" s="16">
        <f>SUM(F$5:F2081)/SUM(E$5:E2081)</f>
        <v>0.76241889950968122</v>
      </c>
    </row>
    <row r="2082" spans="1:13" x14ac:dyDescent="0.25">
      <c r="A2082" s="29">
        <v>45968</v>
      </c>
      <c r="B2082" s="16" t="s">
        <v>2128</v>
      </c>
      <c r="C2082" s="34">
        <v>1</v>
      </c>
      <c r="D2082" s="16" t="s">
        <v>64</v>
      </c>
      <c r="E2082" s="35">
        <v>0.6</v>
      </c>
      <c r="F2082" s="35">
        <v>0.5</v>
      </c>
      <c r="G2082" s="16" t="s">
        <v>44</v>
      </c>
      <c r="H2082" s="16" t="s">
        <v>45</v>
      </c>
      <c r="I2082" s="16">
        <f>COUNTIF(G$5:G2082,"Y")/COUNTA(G$5:G2082)</f>
        <v>0.88161693936477381</v>
      </c>
      <c r="J2082" s="16">
        <f>COUNTIF(H$5:H2082,"Y")/COUNTA(H$5:H2082)</f>
        <v>4.9085659287776709E-2</v>
      </c>
      <c r="K2082" s="16">
        <f>AVERAGE(F$5:F2082)</f>
        <v>2.2226660250240604</v>
      </c>
      <c r="L2082" s="16">
        <f>SUM(F$5:F2082)/SUM(E$5:E2082)</f>
        <v>0.76242592317469615</v>
      </c>
    </row>
    <row r="2083" spans="1:13" x14ac:dyDescent="0.25">
      <c r="A2083" s="29">
        <v>45964</v>
      </c>
      <c r="B2083" s="16" t="s">
        <v>2129</v>
      </c>
      <c r="C2083" s="34">
        <v>1</v>
      </c>
      <c r="D2083" s="16" t="s">
        <v>64</v>
      </c>
      <c r="E2083" s="35">
        <v>0.7</v>
      </c>
      <c r="F2083" s="35">
        <v>0.5</v>
      </c>
      <c r="G2083" s="16" t="s">
        <v>44</v>
      </c>
      <c r="H2083" s="16" t="s">
        <v>45</v>
      </c>
      <c r="I2083" s="16">
        <f>COUNTIF(G$5:G2083,"Y")/COUNTA(G$5:G2083)</f>
        <v>0.88167388167388172</v>
      </c>
      <c r="J2083" s="16">
        <f>COUNTIF(H$5:H2083,"Y")/COUNTA(H$5:H2083)</f>
        <v>4.9062049062049064E-2</v>
      </c>
      <c r="K2083" s="16">
        <f>AVERAGE(F$5:F2083)</f>
        <v>2.2218374218374204</v>
      </c>
      <c r="L2083" s="16">
        <f>SUM(F$5:F2083)/SUM(E$5:E2083)</f>
        <v>0.76242036113953582</v>
      </c>
    </row>
    <row r="2084" spans="1:13" x14ac:dyDescent="0.25">
      <c r="A2084" s="29">
        <v>45965</v>
      </c>
      <c r="B2084" s="16" t="s">
        <v>2130</v>
      </c>
      <c r="C2084" s="34">
        <v>1</v>
      </c>
      <c r="D2084" s="16" t="s">
        <v>52</v>
      </c>
      <c r="E2084" s="35">
        <v>0.7</v>
      </c>
      <c r="F2084" s="35">
        <v>0.5</v>
      </c>
      <c r="G2084" s="16" t="s">
        <v>44</v>
      </c>
      <c r="H2084" s="16" t="s">
        <v>45</v>
      </c>
      <c r="I2084" s="16">
        <f>COUNTIF(G$5:G2084,"Y")/COUNTA(G$5:G2084)</f>
        <v>0.88173076923076921</v>
      </c>
      <c r="J2084" s="16">
        <f>COUNTIF(H$5:H2084,"Y")/COUNTA(H$5:H2084)</f>
        <v>4.9038461538461538E-2</v>
      </c>
      <c r="K2084" s="16">
        <f>AVERAGE(F$5:F2084)</f>
        <v>2.2210096153846139</v>
      </c>
      <c r="L2084" s="16">
        <f>SUM(F$5:F2084)/SUM(E$5:E2084)</f>
        <v>0.76241480038948262</v>
      </c>
    </row>
    <row r="2085" spans="1:13" x14ac:dyDescent="0.25">
      <c r="A2085" s="29">
        <v>45966</v>
      </c>
      <c r="B2085" s="16" t="s">
        <v>2131</v>
      </c>
      <c r="C2085" s="34">
        <v>1</v>
      </c>
      <c r="D2085" s="16" t="s">
        <v>60</v>
      </c>
      <c r="E2085" s="35">
        <v>0.7</v>
      </c>
      <c r="F2085" s="35">
        <v>0.5</v>
      </c>
      <c r="G2085" s="16" t="s">
        <v>44</v>
      </c>
      <c r="H2085" s="16" t="s">
        <v>45</v>
      </c>
      <c r="I2085" s="16">
        <f>COUNTIF(G$5:G2085,"Y")/COUNTA(G$5:G2085)</f>
        <v>0.88178760211436813</v>
      </c>
      <c r="J2085" s="16">
        <f>COUNTIF(H$5:H2085,"Y")/COUNTA(H$5:H2085)</f>
        <v>4.9014896684286401E-2</v>
      </c>
      <c r="K2085" s="16">
        <f>AVERAGE(F$5:F2085)</f>
        <v>2.2201826045170576</v>
      </c>
      <c r="L2085" s="16">
        <f>SUM(F$5:F2085)/SUM(E$5:E2085)</f>
        <v>0.76240924092409113</v>
      </c>
    </row>
    <row r="2086" spans="1:13" x14ac:dyDescent="0.25">
      <c r="A2086" s="29">
        <v>45967</v>
      </c>
      <c r="B2086" s="16" t="s">
        <v>2132</v>
      </c>
      <c r="C2086" s="34">
        <v>1</v>
      </c>
      <c r="D2086" s="16" t="s">
        <v>60</v>
      </c>
      <c r="E2086" s="35">
        <v>0.8</v>
      </c>
      <c r="F2086" s="35">
        <v>0.5</v>
      </c>
      <c r="G2086" s="16" t="s">
        <v>44</v>
      </c>
      <c r="H2086" s="16" t="s">
        <v>45</v>
      </c>
      <c r="I2086" s="16">
        <f>COUNTIF(G$5:G2086,"Y")/COUNTA(G$5:G2086)</f>
        <v>0.88184438040345825</v>
      </c>
      <c r="J2086" s="16">
        <f>COUNTIF(H$5:H2086,"Y")/COUNTA(H$5:H2086)</f>
        <v>4.8991354466858789E-2</v>
      </c>
      <c r="K2086" s="16">
        <f>AVERAGE(F$5:F2086)</f>
        <v>2.2193563880883751</v>
      </c>
      <c r="L2086" s="16">
        <f>SUM(F$5:F2086)/SUM(E$5:E2086)</f>
        <v>0.76239110348468719</v>
      </c>
      <c r="M2086" s="16">
        <v>9</v>
      </c>
    </row>
    <row r="2087" spans="1:13" x14ac:dyDescent="0.25">
      <c r="A2087" s="29">
        <v>45971</v>
      </c>
      <c r="B2087" s="16" t="s">
        <v>2133</v>
      </c>
      <c r="C2087" s="34">
        <v>1</v>
      </c>
      <c r="D2087" s="16" t="s">
        <v>60</v>
      </c>
      <c r="E2087" s="35">
        <v>2.2999999999999998</v>
      </c>
      <c r="F2087" s="35">
        <v>1.6</v>
      </c>
      <c r="G2087" s="16" t="s">
        <v>44</v>
      </c>
      <c r="H2087" s="16" t="s">
        <v>45</v>
      </c>
      <c r="I2087" s="16">
        <f>COUNTIF(G$5:G2087,"Y")/COUNTA(G$5:G2087)</f>
        <v>0.88190110417666823</v>
      </c>
      <c r="J2087" s="16">
        <f>COUNTIF(H$5:H2087,"Y")/COUNTA(H$5:H2087)</f>
        <v>4.8967834853576572E-2</v>
      </c>
      <c r="K2087" s="16">
        <f>AVERAGE(F$5:F2087)</f>
        <v>2.2190590494479103</v>
      </c>
      <c r="L2087" s="16">
        <f>SUM(F$5:F2087)/SUM(E$5:E2087)</f>
        <v>0.76236578647886266</v>
      </c>
    </row>
    <row r="2088" spans="1:13" x14ac:dyDescent="0.25">
      <c r="A2088" s="29">
        <v>45972</v>
      </c>
      <c r="B2088" s="16" t="s">
        <v>2134</v>
      </c>
      <c r="C2088" s="34">
        <v>1</v>
      </c>
      <c r="D2088" s="16" t="s">
        <v>43</v>
      </c>
      <c r="E2088" s="35">
        <v>2.8</v>
      </c>
      <c r="F2088" s="35">
        <v>2</v>
      </c>
      <c r="G2088" s="16" t="s">
        <v>44</v>
      </c>
      <c r="H2088" s="16" t="s">
        <v>45</v>
      </c>
      <c r="I2088" s="16">
        <f>COUNTIF(G$5:G2088,"Y")/COUNTA(G$5:G2088)</f>
        <v>0.88195777351247606</v>
      </c>
      <c r="J2088" s="16">
        <f>COUNTIF(H$5:H2088,"Y")/COUNTA(H$5:H2088)</f>
        <v>4.894433781190019E-2</v>
      </c>
      <c r="K2088" s="16">
        <f>AVERAGE(F$5:F2088)</f>
        <v>2.2189539347408815</v>
      </c>
      <c r="L2088" s="16">
        <f>SUM(F$5:F2088)/SUM(E$5:E2088)</f>
        <v>0.76234359287162534</v>
      </c>
    </row>
    <row r="2089" spans="1:13" x14ac:dyDescent="0.25">
      <c r="A2089" s="29">
        <v>45973</v>
      </c>
      <c r="B2089" s="16" t="s">
        <v>2135</v>
      </c>
      <c r="C2089" s="34">
        <v>1</v>
      </c>
      <c r="D2089" s="16" t="s">
        <v>52</v>
      </c>
      <c r="E2089" s="35">
        <v>3.2</v>
      </c>
      <c r="F2089" s="35">
        <v>2.2000000000000002</v>
      </c>
      <c r="G2089" s="16" t="s">
        <v>44</v>
      </c>
      <c r="H2089" s="16" t="s">
        <v>45</v>
      </c>
      <c r="I2089" s="16">
        <f>COUNTIF(G$5:G2089,"Y")/COUNTA(G$5:G2089)</f>
        <v>0.88201438848920866</v>
      </c>
      <c r="J2089" s="16">
        <f>COUNTIF(H$5:H2089,"Y")/COUNTA(H$5:H2089)</f>
        <v>4.8920863309352518E-2</v>
      </c>
      <c r="K2089" s="16">
        <f>AVERAGE(F$5:F2089)</f>
        <v>2.2189448441246991</v>
      </c>
      <c r="L2089" s="16">
        <f>SUM(F$5:F2089)/SUM(E$5:E2089)</f>
        <v>0.76230413076073755</v>
      </c>
    </row>
    <row r="2090" spans="1:13" x14ac:dyDescent="0.25">
      <c r="A2090" s="29">
        <v>45974</v>
      </c>
      <c r="B2090" s="16" t="s">
        <v>2136</v>
      </c>
      <c r="C2090" s="34">
        <v>1</v>
      </c>
      <c r="D2090" s="16" t="s">
        <v>64</v>
      </c>
      <c r="E2090" s="35">
        <v>2.2000000000000002</v>
      </c>
      <c r="F2090" s="35">
        <v>1.8</v>
      </c>
      <c r="G2090" s="16" t="s">
        <v>44</v>
      </c>
      <c r="H2090" s="16" t="s">
        <v>45</v>
      </c>
      <c r="I2090" s="16">
        <f>COUNTIF(G$5:G2090,"Y")/COUNTA(G$5:G2090)</f>
        <v>0.88207094918504314</v>
      </c>
      <c r="J2090" s="16">
        <f>COUNTIF(H$5:H2090,"Y")/COUNTA(H$5:H2090)</f>
        <v>4.8897411313518699E-2</v>
      </c>
      <c r="K2090" s="16">
        <f>AVERAGE(F$5:F2090)</f>
        <v>2.218744007670181</v>
      </c>
      <c r="L2090" s="16">
        <f>SUM(F$5:F2090)/SUM(E$5:E2090)</f>
        <v>0.76232437863389924</v>
      </c>
    </row>
    <row r="2091" spans="1:13" x14ac:dyDescent="0.25">
      <c r="A2091" s="29">
        <v>45975</v>
      </c>
      <c r="B2091" s="16" t="s">
        <v>2137</v>
      </c>
      <c r="C2091" s="34">
        <v>1</v>
      </c>
      <c r="D2091" s="16" t="s">
        <v>64</v>
      </c>
      <c r="E2091" s="35">
        <v>3.5</v>
      </c>
      <c r="F2091" s="35">
        <v>2.6</v>
      </c>
      <c r="G2091" s="16" t="s">
        <v>44</v>
      </c>
      <c r="H2091" s="16" t="s">
        <v>45</v>
      </c>
      <c r="I2091" s="16">
        <f>COUNTIF(G$5:G2091,"Y")/COUNTA(G$5:G2091)</f>
        <v>0.88212745567800666</v>
      </c>
      <c r="J2091" s="16">
        <f>COUNTIF(H$5:H2091,"Y")/COUNTA(H$5:H2091)</f>
        <v>4.8873981792046002E-2</v>
      </c>
      <c r="K2091" s="16">
        <f>AVERAGE(F$5:F2091)</f>
        <v>2.2189266890273109</v>
      </c>
      <c r="L2091" s="16">
        <f>SUM(F$5:F2091)/SUM(E$5:E2091)</f>
        <v>0.76231316257325221</v>
      </c>
    </row>
    <row r="2092" spans="1:13" x14ac:dyDescent="0.25">
      <c r="A2092" s="29">
        <v>45971</v>
      </c>
      <c r="B2092" s="16" t="s">
        <v>2138</v>
      </c>
      <c r="C2092" s="34">
        <v>1</v>
      </c>
      <c r="D2092" s="16" t="s">
        <v>56</v>
      </c>
      <c r="E2092" s="35">
        <v>2.8</v>
      </c>
      <c r="F2092" s="35">
        <v>2.2999999999999998</v>
      </c>
      <c r="G2092" s="16" t="s">
        <v>44</v>
      </c>
      <c r="H2092" s="16" t="s">
        <v>45</v>
      </c>
      <c r="I2092" s="16">
        <f>COUNTIF(G$5:G2092,"Y")/COUNTA(G$5:G2092)</f>
        <v>0.88218390804597702</v>
      </c>
      <c r="J2092" s="16">
        <f>COUNTIF(H$5:H2092,"Y")/COUNTA(H$5:H2092)</f>
        <v>4.8850574712643681E-2</v>
      </c>
      <c r="K2092" s="16">
        <f>AVERAGE(F$5:F2092)</f>
        <v>2.2189655172413785</v>
      </c>
      <c r="L2092" s="16">
        <f>SUM(F$5:F2092)/SUM(E$5:E2092)</f>
        <v>0.76234039752533778</v>
      </c>
    </row>
    <row r="2093" spans="1:13" x14ac:dyDescent="0.25">
      <c r="A2093" s="29">
        <v>45972</v>
      </c>
      <c r="B2093" s="16" t="s">
        <v>2139</v>
      </c>
      <c r="C2093" s="34">
        <v>1</v>
      </c>
      <c r="D2093" s="16" t="s">
        <v>50</v>
      </c>
      <c r="E2093" s="35">
        <v>2</v>
      </c>
      <c r="F2093" s="35">
        <v>1.4</v>
      </c>
      <c r="G2093" s="16" t="s">
        <v>44</v>
      </c>
      <c r="H2093" s="16" t="s">
        <v>45</v>
      </c>
      <c r="I2093" s="16">
        <f>COUNTIF(G$5:G2093,"Y")/COUNTA(G$5:G2093)</f>
        <v>0.8822403063666826</v>
      </c>
      <c r="J2093" s="16">
        <f>COUNTIF(H$5:H2093,"Y")/COUNTA(H$5:H2093)</f>
        <v>4.8827190043082815E-2</v>
      </c>
      <c r="K2093" s="16">
        <f>AVERAGE(F$5:F2093)</f>
        <v>2.2185734801340344</v>
      </c>
      <c r="L2093" s="16">
        <f>SUM(F$5:F2093)/SUM(E$5:E2093)</f>
        <v>0.76231988946641105</v>
      </c>
    </row>
    <row r="2094" spans="1:13" x14ac:dyDescent="0.25">
      <c r="A2094" s="29">
        <v>45973</v>
      </c>
      <c r="B2094" s="16" t="s">
        <v>2140</v>
      </c>
      <c r="C2094" s="34">
        <v>1</v>
      </c>
      <c r="D2094" s="16" t="s">
        <v>52</v>
      </c>
      <c r="E2094" s="35">
        <v>3.8</v>
      </c>
      <c r="F2094" s="35">
        <v>3.3</v>
      </c>
      <c r="G2094" s="16" t="s">
        <v>44</v>
      </c>
      <c r="H2094" s="16" t="s">
        <v>45</v>
      </c>
      <c r="I2094" s="16">
        <f>COUNTIF(G$5:G2094,"Y")/COUNTA(G$5:G2094)</f>
        <v>0.88229665071770336</v>
      </c>
      <c r="J2094" s="16">
        <f>COUNTIF(H$5:H2094,"Y")/COUNTA(H$5:H2094)</f>
        <v>4.8803827751196169E-2</v>
      </c>
      <c r="K2094" s="16">
        <f>AVERAGE(F$5:F2094)</f>
        <v>2.2190909090909079</v>
      </c>
      <c r="L2094" s="16">
        <f>SUM(F$5:F2094)/SUM(E$5:E2094)</f>
        <v>0.76238616563106032</v>
      </c>
    </row>
    <row r="2095" spans="1:13" x14ac:dyDescent="0.25">
      <c r="A2095" s="29">
        <v>45974</v>
      </c>
      <c r="B2095" s="16" t="s">
        <v>2141</v>
      </c>
      <c r="C2095" s="34">
        <v>1</v>
      </c>
      <c r="D2095" s="16" t="s">
        <v>52</v>
      </c>
      <c r="E2095" s="35">
        <v>4.0999999999999996</v>
      </c>
      <c r="F2095" s="35">
        <v>3.4</v>
      </c>
      <c r="G2095" s="16" t="s">
        <v>44</v>
      </c>
      <c r="H2095" s="16" t="s">
        <v>45</v>
      </c>
      <c r="I2095" s="16">
        <f>COUNTIF(G$5:G2095,"Y")/COUNTA(G$5:G2095)</f>
        <v>0.88235294117647056</v>
      </c>
      <c r="J2095" s="16">
        <f>COUNTIF(H$5:H2095,"Y")/COUNTA(H$5:H2095)</f>
        <v>4.878048780487805E-2</v>
      </c>
      <c r="K2095" s="16">
        <f>AVERAGE(F$5:F2095)</f>
        <v>2.2196556671449055</v>
      </c>
      <c r="L2095" s="16">
        <f>SUM(F$5:F2095)/SUM(E$5:E2095)</f>
        <v>0.76243121149897197</v>
      </c>
    </row>
    <row r="2096" spans="1:13" x14ac:dyDescent="0.25">
      <c r="A2096" s="29">
        <v>45975</v>
      </c>
      <c r="B2096" s="16" t="s">
        <v>2142</v>
      </c>
      <c r="C2096" s="34">
        <v>1</v>
      </c>
      <c r="D2096" s="16" t="s">
        <v>52</v>
      </c>
      <c r="E2096" s="35">
        <v>2.1</v>
      </c>
      <c r="F2096" s="35">
        <v>1.4</v>
      </c>
      <c r="G2096" s="16" t="s">
        <v>44</v>
      </c>
      <c r="H2096" s="16" t="s">
        <v>45</v>
      </c>
      <c r="I2096" s="16">
        <f>COUNTIF(G$5:G2096,"Y")/COUNTA(G$5:G2096)</f>
        <v>0.88240917782026773</v>
      </c>
      <c r="J2096" s="16">
        <f>COUNTIF(H$5:H2096,"Y")/COUNTA(H$5:H2096)</f>
        <v>4.8757170172084127E-2</v>
      </c>
      <c r="K2096" s="16">
        <f>AVERAGE(F$5:F2096)</f>
        <v>2.2192638623326948</v>
      </c>
      <c r="L2096" s="16">
        <f>SUM(F$5:F2096)/SUM(E$5:E2096)</f>
        <v>0.76239818707304108</v>
      </c>
    </row>
    <row r="2097" spans="1:12" x14ac:dyDescent="0.25">
      <c r="A2097" s="29">
        <v>45971</v>
      </c>
      <c r="B2097" s="16" t="s">
        <v>2143</v>
      </c>
      <c r="C2097" s="34">
        <v>1</v>
      </c>
      <c r="D2097" s="16" t="s">
        <v>43</v>
      </c>
      <c r="E2097" s="35">
        <v>2.5</v>
      </c>
      <c r="F2097" s="35">
        <v>1.7</v>
      </c>
      <c r="G2097" s="16" t="s">
        <v>45</v>
      </c>
      <c r="H2097" s="16" t="s">
        <v>45</v>
      </c>
      <c r="I2097" s="16">
        <f>COUNTIF(G$5:G2097,"Y")/COUNTA(G$5:G2097)</f>
        <v>0.88198757763975155</v>
      </c>
      <c r="J2097" s="16">
        <f>COUNTIF(H$5:H2097,"Y")/COUNTA(H$5:H2097)</f>
        <v>4.8733874820831344E-2</v>
      </c>
      <c r="K2097" s="16">
        <f>AVERAGE(F$5:F2097)</f>
        <v>2.2190157668418524</v>
      </c>
      <c r="L2097" s="16">
        <f>SUM(F$5:F2097)/SUM(E$5:E2097)</f>
        <v>0.76236437353293462</v>
      </c>
    </row>
    <row r="2098" spans="1:12" x14ac:dyDescent="0.25">
      <c r="A2098" s="29">
        <v>45972</v>
      </c>
      <c r="B2098" s="16" t="s">
        <v>2144</v>
      </c>
      <c r="C2098" s="34">
        <v>1</v>
      </c>
      <c r="D2098" s="16" t="s">
        <v>60</v>
      </c>
      <c r="E2098" s="35">
        <v>3.8</v>
      </c>
      <c r="F2098" s="35">
        <v>3.3</v>
      </c>
      <c r="G2098" s="16" t="s">
        <v>44</v>
      </c>
      <c r="H2098" s="16" t="s">
        <v>45</v>
      </c>
      <c r="I2098" s="16">
        <f>COUNTIF(G$5:G2098,"Y")/COUNTA(G$5:G2098)</f>
        <v>0.88204393505253109</v>
      </c>
      <c r="J2098" s="16">
        <f>COUNTIF(H$5:H2098,"Y")/COUNTA(H$5:H2098)</f>
        <v>4.8710601719197708E-2</v>
      </c>
      <c r="K2098" s="16">
        <f>AVERAGE(F$5:F2098)</f>
        <v>2.2195319961795592</v>
      </c>
      <c r="L2098" s="16">
        <f>SUM(F$5:F2098)/SUM(E$5:E2098)</f>
        <v>0.76243048606440245</v>
      </c>
    </row>
    <row r="2099" spans="1:12" x14ac:dyDescent="0.25">
      <c r="A2099" s="29">
        <v>45973</v>
      </c>
      <c r="B2099" s="16" t="s">
        <v>2145</v>
      </c>
      <c r="C2099" s="34">
        <v>1</v>
      </c>
      <c r="D2099" s="16" t="s">
        <v>64</v>
      </c>
      <c r="E2099" s="35">
        <v>3.7</v>
      </c>
      <c r="F2099" s="35">
        <v>2.6</v>
      </c>
      <c r="G2099" s="16" t="s">
        <v>44</v>
      </c>
      <c r="H2099" s="16" t="s">
        <v>45</v>
      </c>
      <c r="I2099" s="16">
        <f>COUNTIF(G$5:G2099,"Y")/COUNTA(G$5:G2099)</f>
        <v>0.88210023866348453</v>
      </c>
      <c r="J2099" s="16">
        <f>COUNTIF(H$5:H2099,"Y")/COUNTA(H$5:H2099)</f>
        <v>4.8687350835322198E-2</v>
      </c>
      <c r="K2099" s="16">
        <f>AVERAGE(F$5:F2099)</f>
        <v>2.2197136038186147</v>
      </c>
      <c r="L2099" s="16">
        <f>SUM(F$5:F2099)/SUM(E$5:E2099)</f>
        <v>0.76239425536100591</v>
      </c>
    </row>
    <row r="2100" spans="1:12" x14ac:dyDescent="0.25">
      <c r="A2100" s="29">
        <v>45974</v>
      </c>
      <c r="B2100" s="16" t="s">
        <v>2146</v>
      </c>
      <c r="C2100" s="34">
        <v>1</v>
      </c>
      <c r="D2100" s="16" t="s">
        <v>64</v>
      </c>
      <c r="E2100" s="35">
        <v>3.9</v>
      </c>
      <c r="F2100" s="35">
        <v>2.8</v>
      </c>
      <c r="G2100" s="16" t="s">
        <v>44</v>
      </c>
      <c r="H2100" s="16" t="s">
        <v>45</v>
      </c>
      <c r="I2100" s="16">
        <f>COUNTIF(G$5:G2100,"Y")/COUNTA(G$5:G2100)</f>
        <v>0.88215648854961837</v>
      </c>
      <c r="J2100" s="16">
        <f>COUNTIF(H$5:H2100,"Y")/COUNTA(H$5:H2100)</f>
        <v>4.8664122137404578E-2</v>
      </c>
      <c r="K2100" s="16">
        <f>AVERAGE(F$5:F2100)</f>
        <v>2.2199904580152658</v>
      </c>
      <c r="L2100" s="16">
        <f>SUM(F$5:F2100)/SUM(E$5:E2100)</f>
        <v>0.76236585565658921</v>
      </c>
    </row>
    <row r="2101" spans="1:12" x14ac:dyDescent="0.25">
      <c r="A2101" s="29">
        <v>45975</v>
      </c>
      <c r="B2101" s="16" t="s">
        <v>2147</v>
      </c>
      <c r="C2101" s="34">
        <v>1</v>
      </c>
      <c r="D2101" s="16" t="s">
        <v>52</v>
      </c>
      <c r="E2101" s="35">
        <v>1.7</v>
      </c>
      <c r="F2101" s="35">
        <v>1.4</v>
      </c>
      <c r="G2101" s="16" t="s">
        <v>44</v>
      </c>
      <c r="H2101" s="16" t="s">
        <v>45</v>
      </c>
      <c r="I2101" s="16">
        <f>COUNTIF(G$5:G2101,"Y")/COUNTA(G$5:G2101)</f>
        <v>0.88221268478779213</v>
      </c>
      <c r="J2101" s="16">
        <f>COUNTIF(H$5:H2101,"Y")/COUNTA(H$5:H2101)</f>
        <v>4.8640915593705293E-2</v>
      </c>
      <c r="K2101" s="16">
        <f>AVERAGE(F$5:F2101)</f>
        <v>2.2195994277539328</v>
      </c>
      <c r="L2101" s="16">
        <f>SUM(F$5:F2101)/SUM(E$5:E2101)</f>
        <v>0.76238288671951648</v>
      </c>
    </row>
    <row r="2102" spans="1:12" x14ac:dyDescent="0.25">
      <c r="A2102" s="29">
        <v>45971</v>
      </c>
      <c r="B2102" s="16" t="s">
        <v>2148</v>
      </c>
      <c r="C2102" s="34">
        <v>1</v>
      </c>
      <c r="D2102" s="16" t="s">
        <v>52</v>
      </c>
      <c r="E2102" s="35">
        <v>3.2</v>
      </c>
      <c r="F2102" s="35">
        <v>2.7</v>
      </c>
      <c r="G2102" s="16" t="s">
        <v>45</v>
      </c>
      <c r="H2102" s="16" t="s">
        <v>44</v>
      </c>
      <c r="I2102" s="16">
        <f>COUNTIF(G$5:G2102,"Y")/COUNTA(G$5:G2102)</f>
        <v>0.88179218303145857</v>
      </c>
      <c r="J2102" s="16">
        <f>COUNTIF(H$5:H2102,"Y")/COUNTA(H$5:H2102)</f>
        <v>4.9094375595805533E-2</v>
      </c>
      <c r="K2102" s="16">
        <f>AVERAGE(F$5:F2102)</f>
        <v>2.2198284080076247</v>
      </c>
      <c r="L2102" s="16">
        <f>SUM(F$5:F2102)/SUM(E$5:E2102)</f>
        <v>0.76242551240914014</v>
      </c>
    </row>
    <row r="2103" spans="1:12" x14ac:dyDescent="0.25">
      <c r="A2103" s="29">
        <v>45972</v>
      </c>
      <c r="B2103" s="16" t="s">
        <v>2149</v>
      </c>
      <c r="C2103" s="34">
        <v>1</v>
      </c>
      <c r="D2103" s="16" t="s">
        <v>43</v>
      </c>
      <c r="E2103" s="35">
        <v>2.1</v>
      </c>
      <c r="F2103" s="35">
        <v>1.9</v>
      </c>
      <c r="G2103" s="16" t="s">
        <v>45</v>
      </c>
      <c r="H2103" s="16" t="s">
        <v>45</v>
      </c>
      <c r="I2103" s="16">
        <f>COUNTIF(G$5:G2103,"Y")/COUNTA(G$5:G2103)</f>
        <v>0.8813720819437828</v>
      </c>
      <c r="J2103" s="16">
        <f>COUNTIF(H$5:H2103,"Y")/COUNTA(H$5:H2103)</f>
        <v>4.9070986183897096E-2</v>
      </c>
      <c r="K2103" s="16">
        <f>AVERAGE(F$5:F2103)</f>
        <v>2.2196760362077166</v>
      </c>
      <c r="L2103" s="16">
        <f>SUM(F$5:F2103)/SUM(E$5:E2103)</f>
        <v>0.76247442926110653</v>
      </c>
    </row>
    <row r="2104" spans="1:12" x14ac:dyDescent="0.25">
      <c r="A2104" s="29">
        <v>45973</v>
      </c>
      <c r="B2104" s="16" t="s">
        <v>2150</v>
      </c>
      <c r="C2104" s="34">
        <v>1</v>
      </c>
      <c r="D2104" s="16" t="s">
        <v>56</v>
      </c>
      <c r="E2104" s="35">
        <v>1.5</v>
      </c>
      <c r="F2104" s="35">
        <v>1.2</v>
      </c>
      <c r="G2104" s="16" t="s">
        <v>44</v>
      </c>
      <c r="H2104" s="16" t="s">
        <v>45</v>
      </c>
      <c r="I2104" s="16">
        <f>COUNTIF(G$5:G2104,"Y")/COUNTA(G$5:G2104)</f>
        <v>0.88142857142857145</v>
      </c>
      <c r="J2104" s="16">
        <f>COUNTIF(H$5:H2104,"Y")/COUNTA(H$5:H2104)</f>
        <v>4.9047619047619048E-2</v>
      </c>
      <c r="K2104" s="16">
        <f>AVERAGE(F$5:F2104)</f>
        <v>2.2191904761904744</v>
      </c>
      <c r="L2104" s="16">
        <f>SUM(F$5:F2104)/SUM(E$5:E2104)</f>
        <v>0.76248363874345404</v>
      </c>
    </row>
    <row r="2105" spans="1:12" x14ac:dyDescent="0.25">
      <c r="A2105" s="29">
        <v>45974</v>
      </c>
      <c r="B2105" s="16" t="s">
        <v>2151</v>
      </c>
      <c r="C2105" s="34">
        <v>1</v>
      </c>
      <c r="D2105" s="16" t="s">
        <v>47</v>
      </c>
      <c r="E2105" s="35">
        <v>3.8</v>
      </c>
      <c r="F2105" s="35">
        <v>3.3</v>
      </c>
      <c r="G2105" s="16" t="s">
        <v>45</v>
      </c>
      <c r="H2105" s="16" t="s">
        <v>45</v>
      </c>
      <c r="I2105" s="16">
        <f>COUNTIF(G$5:G2105,"Y")/COUNTA(G$5:G2105)</f>
        <v>0.88100904331270824</v>
      </c>
      <c r="J2105" s="16">
        <f>COUNTIF(H$5:H2105,"Y")/COUNTA(H$5:H2105)</f>
        <v>4.9024274155164208E-2</v>
      </c>
      <c r="K2105" s="16">
        <f>AVERAGE(F$5:F2105)</f>
        <v>2.2197049024274138</v>
      </c>
      <c r="L2105" s="16">
        <f>SUM(F$5:F2105)/SUM(E$5:E2105)</f>
        <v>0.76254946204911722</v>
      </c>
    </row>
    <row r="2106" spans="1:12" x14ac:dyDescent="0.25">
      <c r="A2106" s="29">
        <v>45975</v>
      </c>
      <c r="B2106" s="16" t="s">
        <v>2152</v>
      </c>
      <c r="C2106" s="34">
        <v>1</v>
      </c>
      <c r="D2106" s="16" t="s">
        <v>47</v>
      </c>
      <c r="E2106" s="35">
        <v>4.5999999999999996</v>
      </c>
      <c r="F2106" s="35">
        <v>3.4</v>
      </c>
      <c r="G2106" s="16" t="s">
        <v>44</v>
      </c>
      <c r="H2106" s="16" t="s">
        <v>45</v>
      </c>
      <c r="I2106" s="16">
        <f>COUNTIF(G$5:G2106,"Y")/COUNTA(G$5:G2106)</f>
        <v>0.88106565176022833</v>
      </c>
      <c r="J2106" s="16">
        <f>COUNTIF(H$5:H2106,"Y")/COUNTA(H$5:H2106)</f>
        <v>4.900095147478592E-2</v>
      </c>
      <c r="K2106" s="16">
        <f>AVERAGE(F$5:F2106)</f>
        <v>2.2202664129400556</v>
      </c>
      <c r="L2106" s="16">
        <f>SUM(F$5:F2106)/SUM(E$5:E2106)</f>
        <v>0.76253186066270018</v>
      </c>
    </row>
    <row r="2107" spans="1:12" x14ac:dyDescent="0.25">
      <c r="A2107" s="29">
        <v>45971</v>
      </c>
      <c r="B2107" s="16" t="s">
        <v>2153</v>
      </c>
      <c r="C2107" s="34">
        <v>1</v>
      </c>
      <c r="D2107" s="16" t="s">
        <v>52</v>
      </c>
      <c r="E2107" s="35">
        <v>4.4000000000000004</v>
      </c>
      <c r="F2107" s="35">
        <v>3.4</v>
      </c>
      <c r="G2107" s="16" t="s">
        <v>44</v>
      </c>
      <c r="H2107" s="16" t="s">
        <v>45</v>
      </c>
      <c r="I2107" s="16">
        <f>COUNTIF(G$5:G2107,"Y")/COUNTA(G$5:G2107)</f>
        <v>0.88112220637184979</v>
      </c>
      <c r="J2107" s="16">
        <f>COUNTIF(H$5:H2107,"Y")/COUNTA(H$5:H2107)</f>
        <v>4.8977650974797907E-2</v>
      </c>
      <c r="K2107" s="16">
        <f>AVERAGE(F$5:F2107)</f>
        <v>2.2208273894436501</v>
      </c>
      <c r="L2107" s="16">
        <f>SUM(F$5:F2107)/SUM(E$5:E2107)</f>
        <v>0.76253918495297646</v>
      </c>
    </row>
    <row r="2108" spans="1:12" x14ac:dyDescent="0.25">
      <c r="A2108" s="29">
        <v>45972</v>
      </c>
      <c r="B2108" s="16" t="s">
        <v>2154</v>
      </c>
      <c r="C2108" s="34">
        <v>1</v>
      </c>
      <c r="D2108" s="16" t="s">
        <v>47</v>
      </c>
      <c r="E2108" s="35">
        <v>4.5</v>
      </c>
      <c r="F2108" s="35">
        <v>3.6</v>
      </c>
      <c r="G2108" s="16" t="s">
        <v>44</v>
      </c>
      <c r="H2108" s="16" t="s">
        <v>45</v>
      </c>
      <c r="I2108" s="16">
        <f>COUNTIF(G$5:G2108,"Y")/COUNTA(G$5:G2108)</f>
        <v>0.88117870722433456</v>
      </c>
      <c r="J2108" s="16">
        <f>COUNTIF(H$5:H2108,"Y")/COUNTA(H$5:H2108)</f>
        <v>4.8954372623574147E-2</v>
      </c>
      <c r="K2108" s="16">
        <f>AVERAGE(F$5:F2108)</f>
        <v>2.2214828897338386</v>
      </c>
      <c r="L2108" s="16">
        <f>SUM(F$5:F2108)/SUM(E$5:E2108)</f>
        <v>0.76256668787626491</v>
      </c>
    </row>
    <row r="2109" spans="1:12" x14ac:dyDescent="0.25">
      <c r="A2109" s="29">
        <v>45973</v>
      </c>
      <c r="B2109" s="16" t="s">
        <v>2155</v>
      </c>
      <c r="C2109" s="34">
        <v>1</v>
      </c>
      <c r="D2109" s="16" t="s">
        <v>56</v>
      </c>
      <c r="E2109" s="35">
        <v>3.3</v>
      </c>
      <c r="F2109" s="35">
        <v>2.8</v>
      </c>
      <c r="G2109" s="16" t="s">
        <v>44</v>
      </c>
      <c r="H2109" s="16" t="s">
        <v>45</v>
      </c>
      <c r="I2109" s="16">
        <f>COUNTIF(G$5:G2109,"Y")/COUNTA(G$5:G2109)</f>
        <v>0.88123515439429934</v>
      </c>
      <c r="J2109" s="16">
        <f>COUNTIF(H$5:H2109,"Y")/COUNTA(H$5:H2109)</f>
        <v>4.8931116389548696E-2</v>
      </c>
      <c r="K2109" s="16">
        <f>AVERAGE(F$5:F2109)</f>
        <v>2.2217577197149629</v>
      </c>
      <c r="L2109" s="16">
        <f>SUM(F$5:F2109)/SUM(E$5:E2109)</f>
        <v>0.76261292111013124</v>
      </c>
    </row>
    <row r="2110" spans="1:12" x14ac:dyDescent="0.25">
      <c r="A2110" s="29">
        <v>45974</v>
      </c>
      <c r="B2110" s="16" t="s">
        <v>2156</v>
      </c>
      <c r="C2110" s="34">
        <v>1</v>
      </c>
      <c r="D2110" s="16" t="s">
        <v>56</v>
      </c>
      <c r="E2110" s="35">
        <v>4.2</v>
      </c>
      <c r="F2110" s="35">
        <v>3.1</v>
      </c>
      <c r="G2110" s="16" t="s">
        <v>44</v>
      </c>
      <c r="H2110" s="16" t="s">
        <v>45</v>
      </c>
      <c r="I2110" s="16">
        <f>COUNTIF(G$5:G2110,"Y")/COUNTA(G$5:G2110)</f>
        <v>0.88129154795821463</v>
      </c>
      <c r="J2110" s="16">
        <f>COUNTIF(H$5:H2110,"Y")/COUNTA(H$5:H2110)</f>
        <v>4.8907882241215575E-2</v>
      </c>
      <c r="K2110" s="16">
        <f>AVERAGE(F$5:F2110)</f>
        <v>2.2221747388414039</v>
      </c>
      <c r="L2110" s="16">
        <f>SUM(F$5:F2110)/SUM(E$5:E2110)</f>
        <v>0.76259614131143127</v>
      </c>
    </row>
    <row r="2111" spans="1:12" x14ac:dyDescent="0.25">
      <c r="A2111" s="29">
        <v>45975</v>
      </c>
      <c r="B2111" s="16" t="s">
        <v>2157</v>
      </c>
      <c r="C2111" s="34">
        <v>1</v>
      </c>
      <c r="D2111" s="16" t="s">
        <v>50</v>
      </c>
      <c r="E2111" s="35">
        <v>3.4</v>
      </c>
      <c r="F2111" s="35">
        <v>3</v>
      </c>
      <c r="G2111" s="16" t="s">
        <v>44</v>
      </c>
      <c r="H2111" s="16" t="s">
        <v>45</v>
      </c>
      <c r="I2111" s="16">
        <f>COUNTIF(G$5:G2111,"Y")/COUNTA(G$5:G2111)</f>
        <v>0.88134788799240626</v>
      </c>
      <c r="J2111" s="16">
        <f>COUNTIF(H$5:H2111,"Y")/COUNTA(H$5:H2111)</f>
        <v>4.888467014712862E-2</v>
      </c>
      <c r="K2111" s="16">
        <f>AVERAGE(F$5:F2111)</f>
        <v>2.2225439012814414</v>
      </c>
      <c r="L2111" s="16">
        <f>SUM(F$5:F2111)/SUM(E$5:E2111)</f>
        <v>0.76266245399172528</v>
      </c>
    </row>
    <row r="2112" spans="1:12" x14ac:dyDescent="0.25">
      <c r="A2112" s="29">
        <v>45971</v>
      </c>
      <c r="B2112" s="16" t="s">
        <v>2158</v>
      </c>
      <c r="C2112" s="34">
        <v>1</v>
      </c>
      <c r="D2112" s="16" t="s">
        <v>60</v>
      </c>
      <c r="E2112" s="35">
        <v>3.2</v>
      </c>
      <c r="F2112" s="35">
        <v>2.7</v>
      </c>
      <c r="G2112" s="16" t="s">
        <v>44</v>
      </c>
      <c r="H2112" s="16" t="s">
        <v>45</v>
      </c>
      <c r="I2112" s="16">
        <f>COUNTIF(G$5:G2112,"Y")/COUNTA(G$5:G2112)</f>
        <v>0.88140417457305498</v>
      </c>
      <c r="J2112" s="16">
        <f>COUNTIF(H$5:H2112,"Y")/COUNTA(H$5:H2112)</f>
        <v>4.8861480075901326E-2</v>
      </c>
      <c r="K2112" s="16">
        <f>AVERAGE(F$5:F2112)</f>
        <v>2.222770398481972</v>
      </c>
      <c r="L2112" s="16">
        <f>SUM(F$5:F2112)/SUM(E$5:E2112)</f>
        <v>0.76270469121333329</v>
      </c>
    </row>
    <row r="2113" spans="1:12" x14ac:dyDescent="0.25">
      <c r="A2113" s="29">
        <v>45972</v>
      </c>
      <c r="B2113" s="16" t="s">
        <v>2159</v>
      </c>
      <c r="C2113" s="34">
        <v>1</v>
      </c>
      <c r="D2113" s="16" t="s">
        <v>47</v>
      </c>
      <c r="E2113" s="35">
        <v>4.9000000000000004</v>
      </c>
      <c r="F2113" s="35">
        <v>3.7</v>
      </c>
      <c r="G2113" s="16" t="s">
        <v>44</v>
      </c>
      <c r="H2113" s="16" t="s">
        <v>45</v>
      </c>
      <c r="I2113" s="16">
        <f>COUNTIF(G$5:G2113,"Y")/COUNTA(G$5:G2113)</f>
        <v>0.88146040777619727</v>
      </c>
      <c r="J2113" s="16">
        <f>COUNTIF(H$5:H2113,"Y")/COUNTA(H$5:H2113)</f>
        <v>4.8838311996206731E-2</v>
      </c>
      <c r="K2113" s="16">
        <f>AVERAGE(F$5:F2113)</f>
        <v>2.2234708392603113</v>
      </c>
      <c r="L2113" s="16">
        <f>SUM(F$5:F2113)/SUM(E$5:E2113)</f>
        <v>0.76269863214221678</v>
      </c>
    </row>
    <row r="2114" spans="1:12" x14ac:dyDescent="0.25">
      <c r="A2114" s="29">
        <v>45973</v>
      </c>
      <c r="B2114" s="16" t="s">
        <v>2160</v>
      </c>
      <c r="C2114" s="34">
        <v>1</v>
      </c>
      <c r="D2114" s="16" t="s">
        <v>52</v>
      </c>
      <c r="E2114" s="35">
        <v>3.1</v>
      </c>
      <c r="F2114" s="35">
        <v>2.2000000000000002</v>
      </c>
      <c r="G2114" s="16" t="s">
        <v>44</v>
      </c>
      <c r="H2114" s="16" t="s">
        <v>45</v>
      </c>
      <c r="I2114" s="16">
        <f>COUNTIF(G$5:G2114,"Y")/COUNTA(G$5:G2114)</f>
        <v>0.88151658767772512</v>
      </c>
      <c r="J2114" s="16">
        <f>COUNTIF(H$5:H2114,"Y")/COUNTA(H$5:H2114)</f>
        <v>4.8815165876777249E-2</v>
      </c>
      <c r="K2114" s="16">
        <f>AVERAGE(F$5:F2114)</f>
        <v>2.2234597156398088</v>
      </c>
      <c r="L2114" s="16">
        <f>SUM(F$5:F2114)/SUM(E$5:E2114)</f>
        <v>0.76267191208505236</v>
      </c>
    </row>
    <row r="2115" spans="1:12" x14ac:dyDescent="0.25">
      <c r="A2115" s="29">
        <v>45974</v>
      </c>
      <c r="B2115" s="16" t="s">
        <v>2161</v>
      </c>
      <c r="C2115" s="34">
        <v>1</v>
      </c>
      <c r="D2115" s="16" t="s">
        <v>64</v>
      </c>
      <c r="E2115" s="35">
        <v>3.8</v>
      </c>
      <c r="F2115" s="35">
        <v>3</v>
      </c>
      <c r="G2115" s="16" t="s">
        <v>44</v>
      </c>
      <c r="H2115" s="16" t="s">
        <v>45</v>
      </c>
      <c r="I2115" s="16">
        <f>COUNTIF(G$5:G2115,"Y")/COUNTA(G$5:G2115)</f>
        <v>0.88157271435338702</v>
      </c>
      <c r="J2115" s="16">
        <f>COUNTIF(H$5:H2115,"Y")/COUNTA(H$5:H2115)</f>
        <v>4.8792041686404546E-2</v>
      </c>
      <c r="K2115" s="16">
        <f>AVERAGE(F$5:F2115)</f>
        <v>2.2238275698720966</v>
      </c>
      <c r="L2115" s="16">
        <f>SUM(F$5:F2115)/SUM(E$5:E2115)</f>
        <v>0.76268845853911993</v>
      </c>
    </row>
    <row r="2116" spans="1:12" x14ac:dyDescent="0.25">
      <c r="A2116" s="29">
        <v>45975</v>
      </c>
      <c r="B2116" s="16" t="s">
        <v>2162</v>
      </c>
      <c r="C2116" s="34">
        <v>1</v>
      </c>
      <c r="D2116" s="16" t="s">
        <v>56</v>
      </c>
      <c r="E2116" s="35">
        <v>3</v>
      </c>
      <c r="F2116" s="35">
        <v>2.4</v>
      </c>
      <c r="G2116" s="16" t="s">
        <v>44</v>
      </c>
      <c r="H2116" s="16" t="s">
        <v>45</v>
      </c>
      <c r="I2116" s="16">
        <f>COUNTIF(G$5:G2116,"Y")/COUNTA(G$5:G2116)</f>
        <v>0.88162878787878785</v>
      </c>
      <c r="J2116" s="16">
        <f>COUNTIF(H$5:H2116,"Y")/COUNTA(H$5:H2116)</f>
        <v>4.8768939393939392E-2</v>
      </c>
      <c r="K2116" s="16">
        <f>AVERAGE(F$5:F2116)</f>
        <v>2.2239109848484828</v>
      </c>
      <c r="L2116" s="16">
        <f>SUM(F$5:F2116)/SUM(E$5:E2116)</f>
        <v>0.76270663505569658</v>
      </c>
    </row>
    <row r="2117" spans="1:12" x14ac:dyDescent="0.25">
      <c r="A2117" s="29">
        <v>45971</v>
      </c>
      <c r="B2117" s="16" t="s">
        <v>2163</v>
      </c>
      <c r="C2117" s="34">
        <v>1</v>
      </c>
      <c r="D2117" s="16" t="s">
        <v>47</v>
      </c>
      <c r="E2117" s="35">
        <v>2.7</v>
      </c>
      <c r="F2117" s="35">
        <v>2.1</v>
      </c>
      <c r="G2117" s="16" t="s">
        <v>45</v>
      </c>
      <c r="H2117" s="16" t="s">
        <v>45</v>
      </c>
      <c r="I2117" s="16">
        <f>COUNTIF(G$5:G2117,"Y")/COUNTA(G$5:G2117)</f>
        <v>0.88121154756270703</v>
      </c>
      <c r="J2117" s="16">
        <f>COUNTIF(H$5:H2117,"Y")/COUNTA(H$5:H2117)</f>
        <v>4.8745858968291526E-2</v>
      </c>
      <c r="K2117" s="16">
        <f>AVERAGE(F$5:F2117)</f>
        <v>2.2238523426407935</v>
      </c>
      <c r="L2117" s="16">
        <f>SUM(F$5:F2117)/SUM(E$5:E2117)</f>
        <v>0.76271323994870732</v>
      </c>
    </row>
    <row r="2118" spans="1:12" x14ac:dyDescent="0.25">
      <c r="A2118" s="29">
        <v>45972</v>
      </c>
      <c r="B2118" s="16" t="s">
        <v>2164</v>
      </c>
      <c r="C2118" s="34">
        <v>1</v>
      </c>
      <c r="D2118" s="16" t="s">
        <v>64</v>
      </c>
      <c r="E2118" s="35">
        <v>2.8</v>
      </c>
      <c r="F2118" s="35">
        <v>1.9</v>
      </c>
      <c r="G2118" s="16" t="s">
        <v>44</v>
      </c>
      <c r="H2118" s="16" t="s">
        <v>45</v>
      </c>
      <c r="I2118" s="16">
        <f>COUNTIF(G$5:G2118,"Y")/COUNTA(G$5:G2118)</f>
        <v>0.88126773888363297</v>
      </c>
      <c r="J2118" s="16">
        <f>COUNTIF(H$5:H2118,"Y")/COUNTA(H$5:H2118)</f>
        <v>4.872280037842952E-2</v>
      </c>
      <c r="K2118" s="16">
        <f>AVERAGE(F$5:F2118)</f>
        <v>2.2236991485335835</v>
      </c>
      <c r="L2118" s="16">
        <f>SUM(F$5:F2118)/SUM(E$5:E2118)</f>
        <v>0.76267501662962034</v>
      </c>
    </row>
    <row r="2119" spans="1:12" x14ac:dyDescent="0.25">
      <c r="A2119" s="29">
        <v>45973</v>
      </c>
      <c r="B2119" s="16" t="s">
        <v>2165</v>
      </c>
      <c r="C2119" s="34">
        <v>1</v>
      </c>
      <c r="D2119" s="16" t="s">
        <v>52</v>
      </c>
      <c r="E2119" s="35">
        <v>3.6</v>
      </c>
      <c r="F2119" s="35">
        <v>2.6</v>
      </c>
      <c r="G2119" s="16" t="s">
        <v>44</v>
      </c>
      <c r="H2119" s="16" t="s">
        <v>45</v>
      </c>
      <c r="I2119" s="16">
        <f>COUNTIF(G$5:G2119,"Y")/COUNTA(G$5:G2119)</f>
        <v>0.88132387706855797</v>
      </c>
      <c r="J2119" s="16">
        <f>COUNTIF(H$5:H2119,"Y")/COUNTA(H$5:H2119)</f>
        <v>4.8699763593380616E-2</v>
      </c>
      <c r="K2119" s="16">
        <f>AVERAGE(F$5:F2119)</f>
        <v>2.2238770685579179</v>
      </c>
      <c r="L2119" s="16">
        <f>SUM(F$5:F2119)/SUM(E$5:E2119)</f>
        <v>0.7626514033693822</v>
      </c>
    </row>
    <row r="2120" spans="1:12" x14ac:dyDescent="0.25">
      <c r="A2120" s="29">
        <v>45974</v>
      </c>
      <c r="B2120" s="16" t="s">
        <v>2166</v>
      </c>
      <c r="C2120" s="34">
        <v>1</v>
      </c>
      <c r="D2120" s="16" t="s">
        <v>50</v>
      </c>
      <c r="E2120" s="35">
        <v>4.4000000000000004</v>
      </c>
      <c r="F2120" s="35">
        <v>3.7</v>
      </c>
      <c r="G2120" s="16" t="s">
        <v>44</v>
      </c>
      <c r="H2120" s="16" t="s">
        <v>45</v>
      </c>
      <c r="I2120" s="16">
        <f>COUNTIF(G$5:G2120,"Y")/COUNTA(G$5:G2120)</f>
        <v>0.88137996219281667</v>
      </c>
      <c r="J2120" s="16">
        <f>COUNTIF(H$5:H2120,"Y")/COUNTA(H$5:H2120)</f>
        <v>4.8676748582230624E-2</v>
      </c>
      <c r="K2120" s="16">
        <f>AVERAGE(F$5:F2120)</f>
        <v>2.224574669187144</v>
      </c>
      <c r="L2120" s="16">
        <f>SUM(F$5:F2120)/SUM(E$5:E2120)</f>
        <v>0.76270719574833368</v>
      </c>
    </row>
    <row r="2121" spans="1:12" x14ac:dyDescent="0.25">
      <c r="A2121" s="29">
        <v>45975</v>
      </c>
      <c r="B2121" s="16" t="s">
        <v>2167</v>
      </c>
      <c r="C2121" s="34">
        <v>1</v>
      </c>
      <c r="D2121" s="16" t="s">
        <v>43</v>
      </c>
      <c r="E2121" s="35">
        <v>3.3</v>
      </c>
      <c r="F2121" s="35">
        <v>2.9</v>
      </c>
      <c r="G2121" s="16" t="s">
        <v>44</v>
      </c>
      <c r="H2121" s="16" t="s">
        <v>45</v>
      </c>
      <c r="I2121" s="16">
        <f>COUNTIF(G$5:G2121,"Y")/COUNTA(G$5:G2121)</f>
        <v>0.88143599433160136</v>
      </c>
      <c r="J2121" s="16">
        <f>COUNTIF(H$5:H2121,"Y")/COUNTA(H$5:H2121)</f>
        <v>4.8653755314123762E-2</v>
      </c>
      <c r="K2121" s="16">
        <f>AVERAGE(F$5:F2121)</f>
        <v>2.2248937175247971</v>
      </c>
      <c r="L2121" s="16">
        <f>SUM(F$5:F2121)/SUM(E$5:E2121)</f>
        <v>0.7627692307692292</v>
      </c>
    </row>
    <row r="2122" spans="1:12" x14ac:dyDescent="0.25">
      <c r="A2122" s="29">
        <v>45971</v>
      </c>
      <c r="B2122" s="16" t="s">
        <v>2168</v>
      </c>
      <c r="C2122" s="34">
        <v>1</v>
      </c>
      <c r="D2122" s="16" t="s">
        <v>60</v>
      </c>
      <c r="E2122" s="35">
        <v>2.8</v>
      </c>
      <c r="F2122" s="35">
        <v>2</v>
      </c>
      <c r="G2122" s="16" t="s">
        <v>44</v>
      </c>
      <c r="H2122" s="16" t="s">
        <v>45</v>
      </c>
      <c r="I2122" s="16">
        <f>COUNTIF(G$5:G2122,"Y")/COUNTA(G$5:G2122)</f>
        <v>0.88149197355996223</v>
      </c>
      <c r="J2122" s="16">
        <f>COUNTIF(H$5:H2122,"Y")/COUNTA(H$5:H2122)</f>
        <v>4.8630783758262512E-2</v>
      </c>
      <c r="K2122" s="16">
        <f>AVERAGE(F$5:F2122)</f>
        <v>2.2247875354107629</v>
      </c>
      <c r="L2122" s="16">
        <f>SUM(F$5:F2122)/SUM(E$5:E2122)</f>
        <v>0.76274725630483187</v>
      </c>
    </row>
    <row r="2123" spans="1:12" x14ac:dyDescent="0.25">
      <c r="A2123" s="29">
        <v>45972</v>
      </c>
      <c r="B2123" s="16" t="s">
        <v>2169</v>
      </c>
      <c r="C2123" s="34">
        <v>1</v>
      </c>
      <c r="D2123" s="16" t="s">
        <v>64</v>
      </c>
      <c r="E2123" s="35">
        <v>4.7</v>
      </c>
      <c r="F2123" s="35">
        <v>3.5</v>
      </c>
      <c r="G2123" s="16" t="s">
        <v>44</v>
      </c>
      <c r="H2123" s="16" t="s">
        <v>45</v>
      </c>
      <c r="I2123" s="16">
        <f>COUNTIF(G$5:G2123,"Y")/COUNTA(G$5:G2123)</f>
        <v>0.88154789995280791</v>
      </c>
      <c r="J2123" s="16">
        <f>COUNTIF(H$5:H2123,"Y")/COUNTA(H$5:H2123)</f>
        <v>4.8607833883907506E-2</v>
      </c>
      <c r="K2123" s="16">
        <f>AVERAGE(F$5:F2123)</f>
        <v>2.2253893345917866</v>
      </c>
      <c r="L2123" s="16">
        <f>SUM(F$5:F2123)/SUM(E$5:E2123)</f>
        <v>0.76273352203800893</v>
      </c>
    </row>
    <row r="2124" spans="1:12" x14ac:dyDescent="0.25">
      <c r="A2124" s="29">
        <v>45973</v>
      </c>
      <c r="B2124" s="16" t="s">
        <v>2170</v>
      </c>
      <c r="C2124" s="34">
        <v>1</v>
      </c>
      <c r="D2124" s="16" t="s">
        <v>47</v>
      </c>
      <c r="E2124" s="35">
        <v>1.5</v>
      </c>
      <c r="F2124" s="35">
        <v>1.3</v>
      </c>
      <c r="G2124" s="16" t="s">
        <v>44</v>
      </c>
      <c r="H2124" s="16" t="s">
        <v>45</v>
      </c>
      <c r="I2124" s="16">
        <f>COUNTIF(G$5:G2124,"Y")/COUNTA(G$5:G2124)</f>
        <v>0.88160377358490571</v>
      </c>
      <c r="J2124" s="16">
        <f>COUNTIF(H$5:H2124,"Y")/COUNTA(H$5:H2124)</f>
        <v>4.8584905660377362E-2</v>
      </c>
      <c r="K2124" s="16">
        <f>AVERAGE(F$5:F2124)</f>
        <v>2.2249528301886774</v>
      </c>
      <c r="L2124" s="16">
        <f>SUM(F$5:F2124)/SUM(E$5:E2124)</f>
        <v>0.76275873221215884</v>
      </c>
    </row>
    <row r="2125" spans="1:12" x14ac:dyDescent="0.25">
      <c r="A2125" s="29">
        <v>45974</v>
      </c>
      <c r="B2125" s="16" t="s">
        <v>2171</v>
      </c>
      <c r="C2125" s="34">
        <v>1</v>
      </c>
      <c r="D2125" s="16" t="s">
        <v>43</v>
      </c>
      <c r="E2125" s="35">
        <v>1.8</v>
      </c>
      <c r="F2125" s="35">
        <v>1.4</v>
      </c>
      <c r="G2125" s="16" t="s">
        <v>44</v>
      </c>
      <c r="H2125" s="16" t="s">
        <v>45</v>
      </c>
      <c r="I2125" s="16">
        <f>COUNTIF(G$5:G2125,"Y")/COUNTA(G$5:G2125)</f>
        <v>0.88165959453088161</v>
      </c>
      <c r="J2125" s="16">
        <f>COUNTIF(H$5:H2125,"Y")/COUNTA(H$5:H2125)</f>
        <v>4.8561999057048562E-2</v>
      </c>
      <c r="K2125" s="16">
        <f>AVERAGE(F$5:F2125)</f>
        <v>2.2245638849599225</v>
      </c>
      <c r="L2125" s="16">
        <f>SUM(F$5:F2125)/SUM(E$5:E2125)</f>
        <v>0.76276310258980085</v>
      </c>
    </row>
    <row r="2126" spans="1:12" x14ac:dyDescent="0.25">
      <c r="A2126" s="29">
        <v>45975</v>
      </c>
      <c r="B2126" s="16" t="s">
        <v>2172</v>
      </c>
      <c r="C2126" s="34">
        <v>1</v>
      </c>
      <c r="D2126" s="16" t="s">
        <v>43</v>
      </c>
      <c r="E2126" s="35">
        <v>1.6</v>
      </c>
      <c r="F2126" s="35">
        <v>1.3</v>
      </c>
      <c r="G2126" s="16" t="s">
        <v>44</v>
      </c>
      <c r="H2126" s="16" t="s">
        <v>45</v>
      </c>
      <c r="I2126" s="16">
        <f>COUNTIF(G$5:G2126,"Y")/COUNTA(G$5:G2126)</f>
        <v>0.88171536286522145</v>
      </c>
      <c r="J2126" s="16">
        <f>COUNTIF(H$5:H2126,"Y")/COUNTA(H$5:H2126)</f>
        <v>4.8539114043355328E-2</v>
      </c>
      <c r="K2126" s="16">
        <f>AVERAGE(F$5:F2126)</f>
        <v>2.2241281809613551</v>
      </c>
      <c r="L2126" s="16">
        <f>SUM(F$5:F2126)/SUM(E$5:E2126)</f>
        <v>0.76277596405598314</v>
      </c>
    </row>
    <row r="2127" spans="1:12" x14ac:dyDescent="0.25">
      <c r="A2127" s="29">
        <v>45971</v>
      </c>
      <c r="B2127" s="16" t="s">
        <v>2173</v>
      </c>
      <c r="C2127" s="34">
        <v>1</v>
      </c>
      <c r="D2127" s="16" t="s">
        <v>50</v>
      </c>
      <c r="E2127" s="35">
        <v>5.3</v>
      </c>
      <c r="F2127" s="35">
        <v>3.8</v>
      </c>
      <c r="G2127" s="16" t="s">
        <v>45</v>
      </c>
      <c r="H2127" s="16" t="s">
        <v>45</v>
      </c>
      <c r="I2127" s="16">
        <f>COUNTIF(G$5:G2127,"Y")/COUNTA(G$5:G2127)</f>
        <v>0.8813000471031559</v>
      </c>
      <c r="J2127" s="16">
        <f>COUNTIF(H$5:H2127,"Y")/COUNTA(H$5:H2127)</f>
        <v>4.8516250588789452E-2</v>
      </c>
      <c r="K2127" s="16">
        <f>AVERAGE(F$5:F2127)</f>
        <v>2.2248704663212417</v>
      </c>
      <c r="L2127" s="16">
        <f>SUM(F$5:F2127)/SUM(E$5:E2127)</f>
        <v>0.76273677071390344</v>
      </c>
    </row>
    <row r="2128" spans="1:12" x14ac:dyDescent="0.25">
      <c r="A2128" s="29">
        <v>45972</v>
      </c>
      <c r="B2128" s="16" t="s">
        <v>2174</v>
      </c>
      <c r="C2128" s="34">
        <v>1</v>
      </c>
      <c r="D2128" s="16" t="s">
        <v>50</v>
      </c>
      <c r="E2128" s="35">
        <v>1.6</v>
      </c>
      <c r="F2128" s="35">
        <v>1.1000000000000001</v>
      </c>
      <c r="G2128" s="16" t="s">
        <v>44</v>
      </c>
      <c r="H2128" s="16" t="s">
        <v>45</v>
      </c>
      <c r="I2128" s="16">
        <f>COUNTIF(G$5:G2128,"Y")/COUNTA(G$5:G2128)</f>
        <v>0.88135593220338981</v>
      </c>
      <c r="J2128" s="16">
        <f>COUNTIF(H$5:H2128,"Y")/COUNTA(H$5:H2128)</f>
        <v>4.8493408662900188E-2</v>
      </c>
      <c r="K2128" s="16">
        <f>AVERAGE(F$5:F2128)</f>
        <v>2.2243408662900173</v>
      </c>
      <c r="L2128" s="16">
        <f>SUM(F$5:F2128)/SUM(E$5:E2128)</f>
        <v>0.76271733690650922</v>
      </c>
    </row>
    <row r="2129" spans="1:13" x14ac:dyDescent="0.25">
      <c r="A2129" s="29">
        <v>45973</v>
      </c>
      <c r="B2129" s="16" t="s">
        <v>2175</v>
      </c>
      <c r="C2129" s="34">
        <v>1</v>
      </c>
      <c r="D2129" s="16" t="s">
        <v>43</v>
      </c>
      <c r="E2129" s="35">
        <v>4.3</v>
      </c>
      <c r="F2129" s="35">
        <v>3</v>
      </c>
      <c r="G2129" s="16" t="s">
        <v>44</v>
      </c>
      <c r="H2129" s="16" t="s">
        <v>45</v>
      </c>
      <c r="I2129" s="16">
        <f>COUNTIF(G$5:G2129,"Y")/COUNTA(G$5:G2129)</f>
        <v>0.88141176470588234</v>
      </c>
      <c r="J2129" s="16">
        <f>COUNTIF(H$5:H2129,"Y")/COUNTA(H$5:H2129)</f>
        <v>4.8470588235294119E-2</v>
      </c>
      <c r="K2129" s="16">
        <f>AVERAGE(F$5:F2129)</f>
        <v>2.2247058823529393</v>
      </c>
      <c r="L2129" s="16">
        <f>SUM(F$5:F2129)/SUM(E$5:E2129)</f>
        <v>0.7626722163069064</v>
      </c>
    </row>
    <row r="2130" spans="1:13" x14ac:dyDescent="0.25">
      <c r="A2130" s="29">
        <v>45974</v>
      </c>
      <c r="B2130" s="16" t="s">
        <v>2176</v>
      </c>
      <c r="C2130" s="34">
        <v>1</v>
      </c>
      <c r="D2130" s="16" t="s">
        <v>47</v>
      </c>
      <c r="E2130" s="35">
        <v>1.9</v>
      </c>
      <c r="F2130" s="35">
        <v>1.5</v>
      </c>
      <c r="G2130" s="16" t="s">
        <v>44</v>
      </c>
      <c r="H2130" s="16" t="s">
        <v>44</v>
      </c>
      <c r="I2130" s="16">
        <f>COUNTIF(G$5:G2130,"Y")/COUNTA(G$5:G2130)</f>
        <v>0.88146754468485422</v>
      </c>
      <c r="J2130" s="16">
        <f>COUNTIF(H$5:H2130,"Y")/COUNTA(H$5:H2130)</f>
        <v>4.8918156161806212E-2</v>
      </c>
      <c r="K2130" s="16">
        <f>AVERAGE(F$5:F2130)</f>
        <v>2.2243650047036669</v>
      </c>
      <c r="L2130" s="16">
        <f>SUM(F$5:F2130)/SUM(E$5:E2130)</f>
        <v>0.76268042899765986</v>
      </c>
    </row>
    <row r="2131" spans="1:13" x14ac:dyDescent="0.25">
      <c r="A2131" s="29">
        <v>45975</v>
      </c>
      <c r="B2131" s="16" t="s">
        <v>2177</v>
      </c>
      <c r="C2131" s="34">
        <v>1</v>
      </c>
      <c r="D2131" s="16" t="s">
        <v>52</v>
      </c>
      <c r="E2131" s="35">
        <v>4.2</v>
      </c>
      <c r="F2131" s="35">
        <v>3.1</v>
      </c>
      <c r="G2131" s="16" t="s">
        <v>44</v>
      </c>
      <c r="H2131" s="16" t="s">
        <v>45</v>
      </c>
      <c r="I2131" s="16">
        <f>COUNTIF(G$5:G2131,"Y")/COUNTA(G$5:G2131)</f>
        <v>0.88152327221438642</v>
      </c>
      <c r="J2131" s="16">
        <f>COUNTIF(H$5:H2131,"Y")/COUNTA(H$5:H2131)</f>
        <v>4.8895157498824636E-2</v>
      </c>
      <c r="K2131" s="16">
        <f>AVERAGE(F$5:F2131)</f>
        <v>2.2247766807710376</v>
      </c>
      <c r="L2131" s="16">
        <f>SUM(F$5:F2131)/SUM(E$5:E2131)</f>
        <v>0.76266378712911032</v>
      </c>
    </row>
    <row r="2132" spans="1:13" x14ac:dyDescent="0.25">
      <c r="A2132" s="29">
        <v>45971</v>
      </c>
      <c r="B2132" s="16" t="s">
        <v>2178</v>
      </c>
      <c r="C2132" s="34">
        <v>1</v>
      </c>
      <c r="D2132" s="16" t="s">
        <v>43</v>
      </c>
      <c r="E2132" s="35">
        <v>3</v>
      </c>
      <c r="F2132" s="35">
        <v>2.6</v>
      </c>
      <c r="G2132" s="16" t="s">
        <v>44</v>
      </c>
      <c r="H2132" s="16" t="s">
        <v>45</v>
      </c>
      <c r="I2132" s="16">
        <f>COUNTIF(G$5:G2132,"Y")/COUNTA(G$5:G2132)</f>
        <v>0.88157894736842102</v>
      </c>
      <c r="J2132" s="16">
        <f>COUNTIF(H$5:H2132,"Y")/COUNTA(H$5:H2132)</f>
        <v>4.8872180451127817E-2</v>
      </c>
      <c r="K2132" s="16">
        <f>AVERAGE(F$5:F2132)</f>
        <v>2.2249530075187955</v>
      </c>
      <c r="L2132" s="16">
        <f>SUM(F$5:F2132)/SUM(E$5:E2132)</f>
        <v>0.76271404868147474</v>
      </c>
    </row>
    <row r="2133" spans="1:13" x14ac:dyDescent="0.25">
      <c r="A2133" s="29">
        <v>45972</v>
      </c>
      <c r="B2133" s="16" t="s">
        <v>2179</v>
      </c>
      <c r="C2133" s="34">
        <v>1</v>
      </c>
      <c r="D2133" s="16" t="s">
        <v>56</v>
      </c>
      <c r="E2133" s="35">
        <v>1.3</v>
      </c>
      <c r="F2133" s="35">
        <v>1.1000000000000001</v>
      </c>
      <c r="G2133" s="16" t="s">
        <v>44</v>
      </c>
      <c r="H2133" s="16" t="s">
        <v>45</v>
      </c>
      <c r="I2133" s="16">
        <f>COUNTIF(G$5:G2133,"Y")/COUNTA(G$5:G2133)</f>
        <v>0.88163457022076097</v>
      </c>
      <c r="J2133" s="16">
        <f>COUNTIF(H$5:H2133,"Y")/COUNTA(H$5:H2133)</f>
        <v>4.8849224988257396E-2</v>
      </c>
      <c r="K2133" s="16">
        <f>AVERAGE(F$5:F2133)</f>
        <v>2.2244246124941274</v>
      </c>
      <c r="L2133" s="16">
        <f>SUM(F$5:F2133)/SUM(E$5:E2133)</f>
        <v>0.76273151876308443</v>
      </c>
    </row>
    <row r="2134" spans="1:13" x14ac:dyDescent="0.25">
      <c r="A2134" s="29">
        <v>45973</v>
      </c>
      <c r="B2134" s="16" t="s">
        <v>2180</v>
      </c>
      <c r="C2134" s="34">
        <v>1</v>
      </c>
      <c r="D2134" s="16" t="s">
        <v>60</v>
      </c>
      <c r="E2134" s="35">
        <v>2.6</v>
      </c>
      <c r="F2134" s="35">
        <v>2.4</v>
      </c>
      <c r="G2134" s="16" t="s">
        <v>44</v>
      </c>
      <c r="H2134" s="16" t="s">
        <v>45</v>
      </c>
      <c r="I2134" s="16">
        <f>COUNTIF(G$5:G2134,"Y")/COUNTA(G$5:G2134)</f>
        <v>0.88169014084507047</v>
      </c>
      <c r="J2134" s="16">
        <f>COUNTIF(H$5:H2134,"Y")/COUNTA(H$5:H2134)</f>
        <v>4.8826291079812206E-2</v>
      </c>
      <c r="K2134" s="16">
        <f>AVERAGE(F$5:F2134)</f>
        <v>2.2245070422535198</v>
      </c>
      <c r="L2134" s="16">
        <f>SUM(F$5:F2134)/SUM(E$5:E2134)</f>
        <v>0.76279863481228516</v>
      </c>
    </row>
    <row r="2135" spans="1:13" x14ac:dyDescent="0.25">
      <c r="A2135" s="29">
        <v>45974</v>
      </c>
      <c r="B2135" s="16" t="s">
        <v>2181</v>
      </c>
      <c r="C2135" s="34">
        <v>1</v>
      </c>
      <c r="D2135" s="16" t="s">
        <v>56</v>
      </c>
      <c r="E2135" s="35">
        <v>0.6</v>
      </c>
      <c r="F2135" s="35">
        <v>0.5</v>
      </c>
      <c r="G2135" s="16" t="s">
        <v>44</v>
      </c>
      <c r="H2135" s="16" t="s">
        <v>45</v>
      </c>
      <c r="I2135" s="16">
        <f>COUNTIF(G$5:G2135,"Y")/COUNTA(G$5:G2135)</f>
        <v>0.8817456593148757</v>
      </c>
      <c r="J2135" s="16">
        <f>COUNTIF(H$5:H2135,"Y")/COUNTA(H$5:H2135)</f>
        <v>4.8803378695448145E-2</v>
      </c>
      <c r="K2135" s="16">
        <f>AVERAGE(F$5:F2135)</f>
        <v>2.2236977944626921</v>
      </c>
      <c r="L2135" s="16">
        <f>SUM(F$5:F2135)/SUM(E$5:E2135)</f>
        <v>0.76280544734554434</v>
      </c>
    </row>
    <row r="2136" spans="1:13" x14ac:dyDescent="0.25">
      <c r="A2136" s="29">
        <v>45975</v>
      </c>
      <c r="B2136" s="16" t="s">
        <v>2182</v>
      </c>
      <c r="C2136" s="34">
        <v>1</v>
      </c>
      <c r="D2136" s="16" t="s">
        <v>64</v>
      </c>
      <c r="E2136" s="35">
        <v>0.7</v>
      </c>
      <c r="F2136" s="35">
        <v>0.5</v>
      </c>
      <c r="G2136" s="16" t="s">
        <v>44</v>
      </c>
      <c r="H2136" s="16" t="s">
        <v>45</v>
      </c>
      <c r="I2136" s="16">
        <f>COUNTIF(G$5:G2136,"Y")/COUNTA(G$5:G2136)</f>
        <v>0.88180112570356473</v>
      </c>
      <c r="J2136" s="16">
        <f>COUNTIF(H$5:H2136,"Y")/COUNTA(H$5:H2136)</f>
        <v>4.878048780487805E-2</v>
      </c>
      <c r="K2136" s="16">
        <f>AVERAGE(F$5:F2136)</f>
        <v>2.2228893058161336</v>
      </c>
      <c r="L2136" s="16">
        <f>SUM(F$5:F2136)/SUM(E$5:E2136)</f>
        <v>0.76279998068534671</v>
      </c>
    </row>
    <row r="2137" spans="1:13" x14ac:dyDescent="0.25">
      <c r="A2137" s="29">
        <v>45971</v>
      </c>
      <c r="B2137" s="16" t="s">
        <v>2183</v>
      </c>
      <c r="C2137" s="34">
        <v>1</v>
      </c>
      <c r="D2137" s="16" t="s">
        <v>60</v>
      </c>
      <c r="E2137" s="35">
        <v>0.7</v>
      </c>
      <c r="F2137" s="35">
        <v>0.5</v>
      </c>
      <c r="G2137" s="16" t="s">
        <v>44</v>
      </c>
      <c r="H2137" s="16" t="s">
        <v>45</v>
      </c>
      <c r="I2137" s="16">
        <f>COUNTIF(G$5:G2137,"Y")/COUNTA(G$5:G2137)</f>
        <v>0.88185654008438819</v>
      </c>
      <c r="J2137" s="16">
        <f>COUNTIF(H$5:H2137,"Y")/COUNTA(H$5:H2137)</f>
        <v>4.8757618377871542E-2</v>
      </c>
      <c r="K2137" s="16">
        <f>AVERAGE(F$5:F2137)</f>
        <v>2.2220815752461309</v>
      </c>
      <c r="L2137" s="16">
        <f>SUM(F$5:F2137)/SUM(E$5:E2137)</f>
        <v>0.76279451525685438</v>
      </c>
    </row>
    <row r="2138" spans="1:13" x14ac:dyDescent="0.25">
      <c r="A2138" s="29">
        <v>45972</v>
      </c>
      <c r="B2138" s="16" t="s">
        <v>2184</v>
      </c>
      <c r="C2138" s="34">
        <v>1</v>
      </c>
      <c r="D2138" s="16" t="s">
        <v>56</v>
      </c>
      <c r="E2138" s="35">
        <v>0.7</v>
      </c>
      <c r="F2138" s="35">
        <v>0.5</v>
      </c>
      <c r="G2138" s="16" t="s">
        <v>44</v>
      </c>
      <c r="H2138" s="16" t="s">
        <v>45</v>
      </c>
      <c r="I2138" s="16">
        <f>COUNTIF(G$5:G2138,"Y")/COUNTA(G$5:G2138)</f>
        <v>0.88191190253045926</v>
      </c>
      <c r="J2138" s="16">
        <f>COUNTIF(H$5:H2138,"Y")/COUNTA(H$5:H2138)</f>
        <v>4.8734770384254923E-2</v>
      </c>
      <c r="K2138" s="16">
        <f>AVERAGE(F$5:F2138)</f>
        <v>2.2212746016869716</v>
      </c>
      <c r="L2138" s="16">
        <f>SUM(F$5:F2138)/SUM(E$5:E2138)</f>
        <v>0.76278905105965122</v>
      </c>
    </row>
    <row r="2139" spans="1:13" x14ac:dyDescent="0.25">
      <c r="A2139" s="29">
        <v>45973</v>
      </c>
      <c r="B2139" s="16" t="s">
        <v>2185</v>
      </c>
      <c r="C2139" s="34">
        <v>1</v>
      </c>
      <c r="D2139" s="16" t="s">
        <v>56</v>
      </c>
      <c r="E2139" s="35">
        <v>0.6</v>
      </c>
      <c r="F2139" s="35">
        <v>0.5</v>
      </c>
      <c r="G2139" s="16" t="s">
        <v>44</v>
      </c>
      <c r="H2139" s="16" t="s">
        <v>45</v>
      </c>
      <c r="I2139" s="16">
        <f>COUNTIF(G$5:G2139,"Y")/COUNTA(G$5:G2139)</f>
        <v>0.88196721311475412</v>
      </c>
      <c r="J2139" s="16">
        <f>COUNTIF(H$5:H2139,"Y")/COUNTA(H$5:H2139)</f>
        <v>4.8711943793911007E-2</v>
      </c>
      <c r="K2139" s="16">
        <f>AVERAGE(F$5:F2139)</f>
        <v>2.2204683840749402</v>
      </c>
      <c r="L2139" s="16">
        <f>SUM(F$5:F2139)/SUM(E$5:E2139)</f>
        <v>0.76279586155851109</v>
      </c>
    </row>
    <row r="2140" spans="1:13" x14ac:dyDescent="0.25">
      <c r="A2140" s="29">
        <v>45974</v>
      </c>
      <c r="B2140" s="16" t="s">
        <v>2186</v>
      </c>
      <c r="C2140" s="34">
        <v>1</v>
      </c>
      <c r="D2140" s="16" t="s">
        <v>50</v>
      </c>
      <c r="E2140" s="35">
        <v>0.6</v>
      </c>
      <c r="F2140" s="35">
        <v>0.5</v>
      </c>
      <c r="G2140" s="16" t="s">
        <v>44</v>
      </c>
      <c r="H2140" s="16" t="s">
        <v>45</v>
      </c>
      <c r="I2140" s="16">
        <f>COUNTIF(G$5:G2140,"Y")/COUNTA(G$5:G2140)</f>
        <v>0.8820224719101124</v>
      </c>
      <c r="J2140" s="16">
        <f>COUNTIF(H$5:H2140,"Y")/COUNTA(H$5:H2140)</f>
        <v>4.8689138576779027E-2</v>
      </c>
      <c r="K2140" s="16">
        <f>AVERAGE(F$5:F2140)</f>
        <v>2.2196629213483132</v>
      </c>
      <c r="L2140" s="16">
        <f>SUM(F$5:F2140)/SUM(E$5:E2140)</f>
        <v>0.76280267074249697</v>
      </c>
    </row>
    <row r="2141" spans="1:13" x14ac:dyDescent="0.25">
      <c r="A2141" s="29">
        <v>45975</v>
      </c>
      <c r="B2141" s="16" t="s">
        <v>2187</v>
      </c>
      <c r="C2141" s="34">
        <v>1</v>
      </c>
      <c r="D2141" s="16" t="s">
        <v>52</v>
      </c>
      <c r="E2141" s="35">
        <v>0.6</v>
      </c>
      <c r="F2141" s="35">
        <v>0.5</v>
      </c>
      <c r="G2141" s="16" t="s">
        <v>44</v>
      </c>
      <c r="H2141" s="16" t="s">
        <v>45</v>
      </c>
      <c r="I2141" s="16">
        <f>COUNTIF(G$5:G2141,"Y")/COUNTA(G$5:G2141)</f>
        <v>0.88207767898923728</v>
      </c>
      <c r="J2141" s="16">
        <f>COUNTIF(H$5:H2141,"Y")/COUNTA(H$5:H2141)</f>
        <v>4.8666354702854471E-2</v>
      </c>
      <c r="K2141" s="16">
        <f>AVERAGE(F$5:F2141)</f>
        <v>2.2188582124473548</v>
      </c>
      <c r="L2141" s="16">
        <f>SUM(F$5:F2141)/SUM(E$5:E2141)</f>
        <v>0.76280947861198978</v>
      </c>
      <c r="M2141" s="16">
        <v>4</v>
      </c>
    </row>
    <row r="2142" spans="1:13" x14ac:dyDescent="0.25">
      <c r="A2142" s="29">
        <v>45978</v>
      </c>
      <c r="B2142" s="16" t="s">
        <v>2188</v>
      </c>
      <c r="C2142" s="34">
        <v>1</v>
      </c>
      <c r="D2142" s="16" t="s">
        <v>50</v>
      </c>
      <c r="E2142" s="35">
        <v>1.7</v>
      </c>
      <c r="F2142" s="35">
        <v>1.4</v>
      </c>
      <c r="G2142" s="16" t="s">
        <v>44</v>
      </c>
      <c r="H2142" s="16" t="s">
        <v>45</v>
      </c>
      <c r="I2142" s="16">
        <f>COUNTIF(G$5:G2142,"Y")/COUNTA(G$5:G2142)</f>
        <v>0.88213283442469603</v>
      </c>
      <c r="J2142" s="16">
        <f>COUNTIF(H$5:H2142,"Y")/COUNTA(H$5:H2142)</f>
        <v>4.8643592142188961E-2</v>
      </c>
      <c r="K2142" s="16">
        <f>AVERAGE(F$5:F2142)</f>
        <v>2.21847521047708</v>
      </c>
      <c r="L2142" s="16">
        <f>SUM(F$5:F2142)/SUM(E$5:E2142)</f>
        <v>0.76282607996397278</v>
      </c>
    </row>
    <row r="2143" spans="1:13" x14ac:dyDescent="0.25">
      <c r="A2143" s="29">
        <v>45979</v>
      </c>
      <c r="B2143" s="16" t="s">
        <v>2189</v>
      </c>
      <c r="C2143" s="34">
        <v>1</v>
      </c>
      <c r="D2143" s="16" t="s">
        <v>47</v>
      </c>
      <c r="E2143" s="35">
        <v>4.2</v>
      </c>
      <c r="F2143" s="35">
        <v>3</v>
      </c>
      <c r="G2143" s="16" t="s">
        <v>44</v>
      </c>
      <c r="H2143" s="16" t="s">
        <v>45</v>
      </c>
      <c r="I2143" s="16">
        <f>COUNTIF(G$5:G2143,"Y")/COUNTA(G$5:G2143)</f>
        <v>0.88218793828892006</v>
      </c>
      <c r="J2143" s="16">
        <f>COUNTIF(H$5:H2143,"Y")/COUNTA(H$5:H2143)</f>
        <v>4.8620850864890139E-2</v>
      </c>
      <c r="K2143" s="16">
        <f>AVERAGE(F$5:F2143)</f>
        <v>2.2188405797101436</v>
      </c>
      <c r="L2143" s="16">
        <f>SUM(F$5:F2143)/SUM(E$5:E2143)</f>
        <v>0.76279331404692863</v>
      </c>
    </row>
    <row r="2144" spans="1:13" x14ac:dyDescent="0.25">
      <c r="A2144" s="29">
        <v>45980</v>
      </c>
      <c r="B2144" s="16" t="s">
        <v>2190</v>
      </c>
      <c r="C2144" s="34">
        <v>1</v>
      </c>
      <c r="D2144" s="16" t="s">
        <v>64</v>
      </c>
      <c r="E2144" s="35">
        <v>2.9</v>
      </c>
      <c r="F2144" s="35">
        <v>2.2000000000000002</v>
      </c>
      <c r="G2144" s="16" t="s">
        <v>45</v>
      </c>
      <c r="H2144" s="16" t="s">
        <v>45</v>
      </c>
      <c r="I2144" s="16">
        <f>COUNTIF(G$5:G2144,"Y")/COUNTA(G$5:G2144)</f>
        <v>0.88177570093457946</v>
      </c>
      <c r="J2144" s="16">
        <f>COUNTIF(H$5:H2144,"Y")/COUNTA(H$5:H2144)</f>
        <v>4.8598130841121495E-2</v>
      </c>
      <c r="K2144" s="16">
        <f>AVERAGE(F$5:F2144)</f>
        <v>2.218831775700933</v>
      </c>
      <c r="L2144" s="16">
        <f>SUM(F$5:F2144)/SUM(E$5:E2144)</f>
        <v>0.76279137014249065</v>
      </c>
    </row>
    <row r="2145" spans="1:12" x14ac:dyDescent="0.25">
      <c r="A2145" s="29">
        <v>45981</v>
      </c>
      <c r="B2145" s="16" t="s">
        <v>2191</v>
      </c>
      <c r="C2145" s="34">
        <v>1</v>
      </c>
      <c r="D2145" s="16" t="s">
        <v>52</v>
      </c>
      <c r="E2145" s="35">
        <v>3.8</v>
      </c>
      <c r="F2145" s="35">
        <v>3.2</v>
      </c>
      <c r="G2145" s="16" t="s">
        <v>44</v>
      </c>
      <c r="H2145" s="16" t="s">
        <v>45</v>
      </c>
      <c r="I2145" s="16">
        <f>COUNTIF(G$5:G2145,"Y")/COUNTA(G$5:G2145)</f>
        <v>0.88183092013078002</v>
      </c>
      <c r="J2145" s="16">
        <f>COUNTIF(H$5:H2145,"Y")/COUNTA(H$5:H2145)</f>
        <v>4.857543204110229E-2</v>
      </c>
      <c r="K2145" s="16">
        <f>AVERAGE(F$5:F2145)</f>
        <v>2.2192900513778593</v>
      </c>
      <c r="L2145" s="16">
        <f>SUM(F$5:F2145)/SUM(E$5:E2145)</f>
        <v>0.76283975789490421</v>
      </c>
    </row>
    <row r="2146" spans="1:12" x14ac:dyDescent="0.25">
      <c r="A2146" s="29">
        <v>45982</v>
      </c>
      <c r="B2146" s="16" t="s">
        <v>2192</v>
      </c>
      <c r="C2146" s="34">
        <v>1</v>
      </c>
      <c r="D2146" s="16" t="s">
        <v>47</v>
      </c>
      <c r="E2146" s="35">
        <v>4.0999999999999996</v>
      </c>
      <c r="F2146" s="35">
        <v>3</v>
      </c>
      <c r="G2146" s="16" t="s">
        <v>44</v>
      </c>
      <c r="H2146" s="16" t="s">
        <v>45</v>
      </c>
      <c r="I2146" s="16">
        <f>COUNTIF(G$5:G2146,"Y")/COUNTA(G$5:G2146)</f>
        <v>0.88188608776844069</v>
      </c>
      <c r="J2146" s="16">
        <f>COUNTIF(H$5:H2146,"Y")/COUNTA(H$5:H2146)</f>
        <v>4.8552754435107377E-2</v>
      </c>
      <c r="K2146" s="16">
        <f>AVERAGE(F$5:F2146)</f>
        <v>2.2196545284780562</v>
      </c>
      <c r="L2146" s="16">
        <f>SUM(F$5:F2146)/SUM(E$5:E2146)</f>
        <v>0.76281927865485644</v>
      </c>
    </row>
    <row r="2147" spans="1:12" x14ac:dyDescent="0.25">
      <c r="A2147" s="29">
        <v>45978</v>
      </c>
      <c r="B2147" s="16" t="s">
        <v>2193</v>
      </c>
      <c r="C2147" s="34">
        <v>1</v>
      </c>
      <c r="D2147" s="16" t="s">
        <v>52</v>
      </c>
      <c r="E2147" s="35">
        <v>2.4</v>
      </c>
      <c r="F2147" s="35">
        <v>1.6</v>
      </c>
      <c r="G2147" s="16" t="s">
        <v>44</v>
      </c>
      <c r="H2147" s="16" t="s">
        <v>45</v>
      </c>
      <c r="I2147" s="16">
        <f>COUNTIF(G$5:G2147,"Y")/COUNTA(G$5:G2147)</f>
        <v>0.88194120391973874</v>
      </c>
      <c r="J2147" s="16">
        <f>COUNTIF(H$5:H2147,"Y")/COUNTA(H$5:H2147)</f>
        <v>4.8530097993467101E-2</v>
      </c>
      <c r="K2147" s="16">
        <f>AVERAGE(F$5:F2147)</f>
        <v>2.2193653756416225</v>
      </c>
      <c r="L2147" s="16">
        <f>SUM(F$5:F2147)/SUM(E$5:E2147)</f>
        <v>0.76278226841159702</v>
      </c>
    </row>
    <row r="2148" spans="1:12" x14ac:dyDescent="0.25">
      <c r="A2148" s="29">
        <v>45979</v>
      </c>
      <c r="B2148" s="16" t="s">
        <v>2194</v>
      </c>
      <c r="C2148" s="34">
        <v>1</v>
      </c>
      <c r="D2148" s="16" t="s">
        <v>50</v>
      </c>
      <c r="E2148" s="35">
        <v>3.3</v>
      </c>
      <c r="F2148" s="35">
        <v>2.8</v>
      </c>
      <c r="G2148" s="16" t="s">
        <v>44</v>
      </c>
      <c r="H2148" s="16" t="s">
        <v>45</v>
      </c>
      <c r="I2148" s="16">
        <f>COUNTIF(G$5:G2148,"Y")/COUNTA(G$5:G2148)</f>
        <v>0.88199626865671643</v>
      </c>
      <c r="J2148" s="16">
        <f>COUNTIF(H$5:H2148,"Y")/COUNTA(H$5:H2148)</f>
        <v>4.8507462686567165E-2</v>
      </c>
      <c r="K2148" s="16">
        <f>AVERAGE(F$5:F2148)</f>
        <v>2.2196361940298495</v>
      </c>
      <c r="L2148" s="16">
        <f>SUM(F$5:F2148)/SUM(E$5:E2148)</f>
        <v>0.76282760278913042</v>
      </c>
    </row>
    <row r="2149" spans="1:12" x14ac:dyDescent="0.25">
      <c r="A2149" s="29">
        <v>45980</v>
      </c>
      <c r="B2149" s="16" t="s">
        <v>2195</v>
      </c>
      <c r="C2149" s="34">
        <v>1</v>
      </c>
      <c r="D2149" s="16" t="s">
        <v>56</v>
      </c>
      <c r="E2149" s="35">
        <v>1.8</v>
      </c>
      <c r="F2149" s="35">
        <v>1.4</v>
      </c>
      <c r="G2149" s="16" t="s">
        <v>44</v>
      </c>
      <c r="H2149" s="16" t="s">
        <v>45</v>
      </c>
      <c r="I2149" s="16">
        <f>COUNTIF(G$5:G2149,"Y")/COUNTA(G$5:G2149)</f>
        <v>0.88205128205128203</v>
      </c>
      <c r="J2149" s="16">
        <f>COUNTIF(H$5:H2149,"Y")/COUNTA(H$5:H2149)</f>
        <v>4.8484848484848485E-2</v>
      </c>
      <c r="K2149" s="16">
        <f>AVERAGE(F$5:F2149)</f>
        <v>2.2192540792540778</v>
      </c>
      <c r="L2149" s="16">
        <f>SUM(F$5:F2149)/SUM(E$5:E2149)</f>
        <v>0.76283191513228366</v>
      </c>
    </row>
    <row r="2150" spans="1:12" x14ac:dyDescent="0.25">
      <c r="A2150" s="29">
        <v>45981</v>
      </c>
      <c r="B2150" s="16" t="s">
        <v>2196</v>
      </c>
      <c r="C2150" s="34">
        <v>1</v>
      </c>
      <c r="D2150" s="16" t="s">
        <v>64</v>
      </c>
      <c r="E2150" s="35">
        <v>2.2000000000000002</v>
      </c>
      <c r="F2150" s="35">
        <v>1.8</v>
      </c>
      <c r="G2150" s="16" t="s">
        <v>44</v>
      </c>
      <c r="H2150" s="16" t="s">
        <v>45</v>
      </c>
      <c r="I2150" s="16">
        <f>COUNTIF(G$5:G2150,"Y")/COUNTA(G$5:G2150)</f>
        <v>0.88210624417520966</v>
      </c>
      <c r="J2150" s="16">
        <f>COUNTIF(H$5:H2150,"Y")/COUNTA(H$5:H2150)</f>
        <v>4.8462255358807084E-2</v>
      </c>
      <c r="K2150" s="16">
        <f>AVERAGE(F$5:F2150)</f>
        <v>2.2190587138862985</v>
      </c>
      <c r="L2150" s="16">
        <f>SUM(F$5:F2150)/SUM(E$5:E2150)</f>
        <v>0.76285142170604558</v>
      </c>
    </row>
    <row r="2151" spans="1:12" x14ac:dyDescent="0.25">
      <c r="A2151" s="29">
        <v>45982</v>
      </c>
      <c r="B2151" s="16" t="s">
        <v>2197</v>
      </c>
      <c r="C2151" s="34">
        <v>1</v>
      </c>
      <c r="D2151" s="16" t="s">
        <v>50</v>
      </c>
      <c r="E2151" s="35">
        <v>1.6</v>
      </c>
      <c r="F2151" s="35">
        <v>1.4</v>
      </c>
      <c r="G2151" s="16" t="s">
        <v>44</v>
      </c>
      <c r="H2151" s="16" t="s">
        <v>45</v>
      </c>
      <c r="I2151" s="16">
        <f>COUNTIF(G$5:G2151,"Y")/COUNTA(G$5:G2151)</f>
        <v>0.8821611551001397</v>
      </c>
      <c r="J2151" s="16">
        <f>COUNTIF(H$5:H2151,"Y")/COUNTA(H$5:H2151)</f>
        <v>4.8439683278993943E-2</v>
      </c>
      <c r="K2151" s="16">
        <f>AVERAGE(F$5:F2151)</f>
        <v>2.2186772240335335</v>
      </c>
      <c r="L2151" s="16">
        <f>SUM(F$5:F2151)/SUM(E$5:E2151)</f>
        <v>0.76288015886997151</v>
      </c>
    </row>
    <row r="2152" spans="1:12" x14ac:dyDescent="0.25">
      <c r="A2152" s="29">
        <v>45978</v>
      </c>
      <c r="B2152" s="16" t="s">
        <v>2198</v>
      </c>
      <c r="C2152" s="34">
        <v>1</v>
      </c>
      <c r="D2152" s="16" t="s">
        <v>56</v>
      </c>
      <c r="E2152" s="35">
        <v>2.4</v>
      </c>
      <c r="F2152" s="35">
        <v>1.6</v>
      </c>
      <c r="G2152" s="16" t="s">
        <v>44</v>
      </c>
      <c r="H2152" s="16" t="s">
        <v>45</v>
      </c>
      <c r="I2152" s="16">
        <f>COUNTIF(G$5:G2152,"Y")/COUNTA(G$5:G2152)</f>
        <v>0.88221601489757917</v>
      </c>
      <c r="J2152" s="16">
        <f>COUNTIF(H$5:H2152,"Y")/COUNTA(H$5:H2152)</f>
        <v>4.8417132216014895E-2</v>
      </c>
      <c r="K2152" s="16">
        <f>AVERAGE(F$5:F2152)</f>
        <v>2.2183891992551197</v>
      </c>
      <c r="L2152" s="16">
        <f>SUM(F$5:F2152)/SUM(E$5:E2152)</f>
        <v>0.76284319218762342</v>
      </c>
    </row>
    <row r="2153" spans="1:12" x14ac:dyDescent="0.25">
      <c r="A2153" s="29">
        <v>45979</v>
      </c>
      <c r="B2153" s="16" t="s">
        <v>2199</v>
      </c>
      <c r="C2153" s="34">
        <v>1</v>
      </c>
      <c r="D2153" s="16" t="s">
        <v>50</v>
      </c>
      <c r="E2153" s="35">
        <v>2.8</v>
      </c>
      <c r="F2153" s="35">
        <v>2.1</v>
      </c>
      <c r="G2153" s="16" t="s">
        <v>44</v>
      </c>
      <c r="H2153" s="16" t="s">
        <v>45</v>
      </c>
      <c r="I2153" s="16">
        <f>COUNTIF(G$5:G2153,"Y")/COUNTA(G$5:G2153)</f>
        <v>0.88227082363890186</v>
      </c>
      <c r="J2153" s="16">
        <f>COUNTIF(H$5:H2153,"Y")/COUNTA(H$5:H2153)</f>
        <v>4.8394602140530478E-2</v>
      </c>
      <c r="K2153" s="16">
        <f>AVERAGE(F$5:F2153)</f>
        <v>2.2183341088878534</v>
      </c>
      <c r="L2153" s="16">
        <f>SUM(F$5:F2153)/SUM(E$5:E2153)</f>
        <v>0.76283743779303126</v>
      </c>
    </row>
    <row r="2154" spans="1:12" x14ac:dyDescent="0.25">
      <c r="A2154" s="29">
        <v>45980</v>
      </c>
      <c r="B2154" s="16" t="s">
        <v>2200</v>
      </c>
      <c r="C2154" s="34">
        <v>1</v>
      </c>
      <c r="D2154" s="16" t="s">
        <v>47</v>
      </c>
      <c r="E2154" s="35">
        <v>4.5999999999999996</v>
      </c>
      <c r="F2154" s="35">
        <v>3</v>
      </c>
      <c r="G2154" s="16" t="s">
        <v>45</v>
      </c>
      <c r="H2154" s="16" t="s">
        <v>45</v>
      </c>
      <c r="I2154" s="16">
        <f>COUNTIF(G$5:G2154,"Y")/COUNTA(G$5:G2154)</f>
        <v>0.88186046511627902</v>
      </c>
      <c r="J2154" s="16">
        <f>COUNTIF(H$5:H2154,"Y")/COUNTA(H$5:H2154)</f>
        <v>4.8372093023255812E-2</v>
      </c>
      <c r="K2154" s="16">
        <f>AVERAGE(F$5:F2154)</f>
        <v>2.2186976744186033</v>
      </c>
      <c r="L2154" s="16">
        <f>SUM(F$5:F2154)/SUM(E$5:E2154)</f>
        <v>0.76275604023089427</v>
      </c>
    </row>
    <row r="2155" spans="1:12" x14ac:dyDescent="0.25">
      <c r="A2155" s="29">
        <v>45981</v>
      </c>
      <c r="B2155" s="16" t="s">
        <v>2201</v>
      </c>
      <c r="C2155" s="34">
        <v>1</v>
      </c>
      <c r="D2155" s="16" t="s">
        <v>60</v>
      </c>
      <c r="E2155" s="35">
        <v>2.2000000000000002</v>
      </c>
      <c r="F2155" s="35">
        <v>1.7</v>
      </c>
      <c r="G2155" s="16" t="s">
        <v>44</v>
      </c>
      <c r="H2155" s="16" t="s">
        <v>45</v>
      </c>
      <c r="I2155" s="16">
        <f>COUNTIF(G$5:G2155,"Y")/COUNTA(G$5:G2155)</f>
        <v>0.88191538819153881</v>
      </c>
      <c r="J2155" s="16">
        <f>COUNTIF(H$5:H2155,"Y")/COUNTA(H$5:H2155)</f>
        <v>4.834960483496048E-2</v>
      </c>
      <c r="K2155" s="16">
        <f>AVERAGE(F$5:F2155)</f>
        <v>2.2184565318456517</v>
      </c>
      <c r="L2155" s="16">
        <f>SUM(F$5:F2155)/SUM(E$5:E2155)</f>
        <v>0.76275954668243628</v>
      </c>
    </row>
    <row r="2156" spans="1:12" x14ac:dyDescent="0.25">
      <c r="A2156" s="29">
        <v>45982</v>
      </c>
      <c r="B2156" s="16" t="s">
        <v>2202</v>
      </c>
      <c r="C2156" s="34">
        <v>1</v>
      </c>
      <c r="D2156" s="16" t="s">
        <v>64</v>
      </c>
      <c r="E2156" s="35">
        <v>1.6</v>
      </c>
      <c r="F2156" s="35">
        <v>1.2</v>
      </c>
      <c r="G2156" s="16" t="s">
        <v>45</v>
      </c>
      <c r="H2156" s="16" t="s">
        <v>45</v>
      </c>
      <c r="I2156" s="16">
        <f>COUNTIF(G$5:G2156,"Y")/COUNTA(G$5:G2156)</f>
        <v>0.88150557620817849</v>
      </c>
      <c r="J2156" s="16">
        <f>COUNTIF(H$5:H2156,"Y")/COUNTA(H$5:H2156)</f>
        <v>4.8327137546468404E-2</v>
      </c>
      <c r="K2156" s="16">
        <f>AVERAGE(F$5:F2156)</f>
        <v>2.2179832713754633</v>
      </c>
      <c r="L2156" s="16">
        <f>SUM(F$5:F2156)/SUM(E$5:E2156)</f>
        <v>0.76275628425779263</v>
      </c>
    </row>
    <row r="2157" spans="1:12" x14ac:dyDescent="0.25">
      <c r="A2157" s="29">
        <v>45978</v>
      </c>
      <c r="B2157" s="16" t="s">
        <v>2203</v>
      </c>
      <c r="C2157" s="34">
        <v>1</v>
      </c>
      <c r="D2157" s="16" t="s">
        <v>52</v>
      </c>
      <c r="E2157" s="35">
        <v>1.4</v>
      </c>
      <c r="F2157" s="35">
        <v>1.2</v>
      </c>
      <c r="G2157" s="16" t="s">
        <v>45</v>
      </c>
      <c r="H2157" s="16" t="s">
        <v>45</v>
      </c>
      <c r="I2157" s="16">
        <f>COUNTIF(G$5:G2157,"Y")/COUNTA(G$5:G2157)</f>
        <v>0.8810961449140734</v>
      </c>
      <c r="J2157" s="16">
        <f>COUNTIF(H$5:H2157,"Y")/COUNTA(H$5:H2157)</f>
        <v>4.8304691128657685E-2</v>
      </c>
      <c r="K2157" s="16">
        <f>AVERAGE(F$5:F2157)</f>
        <v>2.217510450534137</v>
      </c>
      <c r="L2157" s="16">
        <f>SUM(F$5:F2157)/SUM(E$5:E2157)</f>
        <v>0.76277739611126028</v>
      </c>
    </row>
    <row r="2158" spans="1:12" x14ac:dyDescent="0.25">
      <c r="A2158" s="29">
        <v>45979</v>
      </c>
      <c r="B2158" s="16" t="s">
        <v>2204</v>
      </c>
      <c r="C2158" s="34">
        <v>1</v>
      </c>
      <c r="D2158" s="16" t="s">
        <v>52</v>
      </c>
      <c r="E2158" s="35">
        <v>3</v>
      </c>
      <c r="F2158" s="35">
        <v>2</v>
      </c>
      <c r="G2158" s="16" t="s">
        <v>44</v>
      </c>
      <c r="H2158" s="16" t="s">
        <v>45</v>
      </c>
      <c r="I2158" s="16">
        <f>COUNTIF(G$5:G2158,"Y")/COUNTA(G$5:G2158)</f>
        <v>0.88115134633240488</v>
      </c>
      <c r="J2158" s="16">
        <f>COUNTIF(H$5:H2158,"Y")/COUNTA(H$5:H2158)</f>
        <v>4.828226555246054E-2</v>
      </c>
      <c r="K2158" s="16">
        <f>AVERAGE(F$5:F2158)</f>
        <v>2.2174094707520875</v>
      </c>
      <c r="L2158" s="16">
        <f>SUM(F$5:F2158)/SUM(E$5:E2158)</f>
        <v>0.76273135210232823</v>
      </c>
    </row>
    <row r="2159" spans="1:12" x14ac:dyDescent="0.25">
      <c r="A2159" s="29">
        <v>45980</v>
      </c>
      <c r="B2159" s="16" t="s">
        <v>2205</v>
      </c>
      <c r="C2159" s="34">
        <v>1</v>
      </c>
      <c r="D2159" s="16" t="s">
        <v>52</v>
      </c>
      <c r="E2159" s="35">
        <v>3.7</v>
      </c>
      <c r="F2159" s="35">
        <v>3</v>
      </c>
      <c r="G2159" s="16" t="s">
        <v>44</v>
      </c>
      <c r="H2159" s="16" t="s">
        <v>45</v>
      </c>
      <c r="I2159" s="16">
        <f>COUNTIF(G$5:G2159,"Y")/COUNTA(G$5:G2159)</f>
        <v>0.8812064965197216</v>
      </c>
      <c r="J2159" s="16">
        <f>COUNTIF(H$5:H2159,"Y")/COUNTA(H$5:H2159)</f>
        <v>4.8259860788863108E-2</v>
      </c>
      <c r="K2159" s="16">
        <f>AVERAGE(F$5:F2159)</f>
        <v>2.2177726218097433</v>
      </c>
      <c r="L2159" s="16">
        <f>SUM(F$5:F2159)/SUM(E$5:E2159)</f>
        <v>0.76275974336876207</v>
      </c>
    </row>
    <row r="2160" spans="1:12" x14ac:dyDescent="0.25">
      <c r="A2160" s="29">
        <v>45981</v>
      </c>
      <c r="B2160" s="16" t="s">
        <v>2206</v>
      </c>
      <c r="C2160" s="34">
        <v>1</v>
      </c>
      <c r="D2160" s="16" t="s">
        <v>60</v>
      </c>
      <c r="E2160" s="35">
        <v>4.2</v>
      </c>
      <c r="F2160" s="35">
        <v>3.5</v>
      </c>
      <c r="G2160" s="16" t="s">
        <v>44</v>
      </c>
      <c r="H2160" s="16" t="s">
        <v>45</v>
      </c>
      <c r="I2160" s="16">
        <f>COUNTIF(G$5:G2160,"Y")/COUNTA(G$5:G2160)</f>
        <v>0.88126159554730987</v>
      </c>
      <c r="J2160" s="16">
        <f>COUNTIF(H$5:H2160,"Y")/COUNTA(H$5:H2160)</f>
        <v>4.8237476808905382E-2</v>
      </c>
      <c r="K2160" s="16">
        <f>AVERAGE(F$5:F2160)</f>
        <v>2.2183673469387739</v>
      </c>
      <c r="L2160" s="16">
        <f>SUM(F$5:F2160)/SUM(E$5:E2160)</f>
        <v>0.76280701754385805</v>
      </c>
    </row>
    <row r="2161" spans="1:12" x14ac:dyDescent="0.25">
      <c r="A2161" s="29">
        <v>45982</v>
      </c>
      <c r="B2161" s="16" t="s">
        <v>2207</v>
      </c>
      <c r="C2161" s="34">
        <v>1</v>
      </c>
      <c r="D2161" s="16" t="s">
        <v>47</v>
      </c>
      <c r="E2161" s="35">
        <v>1.5</v>
      </c>
      <c r="F2161" s="35">
        <v>1.1000000000000001</v>
      </c>
      <c r="G2161" s="16" t="s">
        <v>44</v>
      </c>
      <c r="H2161" s="16" t="s">
        <v>45</v>
      </c>
      <c r="I2161" s="16">
        <f>COUNTIF(G$5:G2161,"Y")/COUNTA(G$5:G2161)</f>
        <v>0.88131664348632355</v>
      </c>
      <c r="J2161" s="16">
        <f>COUNTIF(H$5:H2161,"Y")/COUNTA(H$5:H2161)</f>
        <v>4.8215113583681038E-2</v>
      </c>
      <c r="K2161" s="16">
        <f>AVERAGE(F$5:F2161)</f>
        <v>2.2178488641631882</v>
      </c>
      <c r="L2161" s="16">
        <f>SUM(F$5:F2161)/SUM(E$5:E2161)</f>
        <v>0.76279996810970108</v>
      </c>
    </row>
    <row r="2162" spans="1:12" x14ac:dyDescent="0.25">
      <c r="A2162" s="29">
        <v>45978</v>
      </c>
      <c r="B2162" s="16" t="s">
        <v>2208</v>
      </c>
      <c r="C2162" s="34">
        <v>1</v>
      </c>
      <c r="D2162" s="16" t="s">
        <v>64</v>
      </c>
      <c r="E2162" s="35">
        <v>2.4</v>
      </c>
      <c r="F2162" s="35">
        <v>1.9</v>
      </c>
      <c r="G2162" s="16" t="s">
        <v>44</v>
      </c>
      <c r="H2162" s="16" t="s">
        <v>45</v>
      </c>
      <c r="I2162" s="16">
        <f>COUNTIF(G$5:G2162,"Y")/COUNTA(G$5:G2162)</f>
        <v>0.88137164040778504</v>
      </c>
      <c r="J2162" s="16">
        <f>COUNTIF(H$5:H2162,"Y")/COUNTA(H$5:H2162)</f>
        <v>4.8192771084337352E-2</v>
      </c>
      <c r="K2162" s="16">
        <f>AVERAGE(F$5:F2162)</f>
        <v>2.217701575532899</v>
      </c>
      <c r="L2162" s="16">
        <f>SUM(F$5:F2162)/SUM(E$5:E2162)</f>
        <v>0.76281101069510027</v>
      </c>
    </row>
    <row r="2163" spans="1:12" x14ac:dyDescent="0.25">
      <c r="A2163" s="29">
        <v>45979</v>
      </c>
      <c r="B2163" s="16" t="s">
        <v>2209</v>
      </c>
      <c r="C2163" s="34">
        <v>1</v>
      </c>
      <c r="D2163" s="16" t="s">
        <v>64</v>
      </c>
      <c r="E2163" s="35">
        <v>2.5</v>
      </c>
      <c r="F2163" s="35">
        <v>1.8</v>
      </c>
      <c r="G2163" s="16" t="s">
        <v>44</v>
      </c>
      <c r="H2163" s="16" t="s">
        <v>45</v>
      </c>
      <c r="I2163" s="16">
        <f>COUNTIF(G$5:G2163,"Y")/COUNTA(G$5:G2163)</f>
        <v>0.88142658638258453</v>
      </c>
      <c r="J2163" s="16">
        <f>COUNTIF(H$5:H2163,"Y")/COUNTA(H$5:H2163)</f>
        <v>4.8170449282075034E-2</v>
      </c>
      <c r="K2163" s="16">
        <f>AVERAGE(F$5:F2163)</f>
        <v>2.2175081056044448</v>
      </c>
      <c r="L2163" s="16">
        <f>SUM(F$5:F2163)/SUM(E$5:E2163)</f>
        <v>0.76279395832005448</v>
      </c>
    </row>
    <row r="2164" spans="1:12" x14ac:dyDescent="0.25">
      <c r="A2164" s="29">
        <v>45980</v>
      </c>
      <c r="B2164" s="16" t="s">
        <v>2210</v>
      </c>
      <c r="C2164" s="34">
        <v>1</v>
      </c>
      <c r="D2164" s="16" t="s">
        <v>64</v>
      </c>
      <c r="E2164" s="35">
        <v>2.7</v>
      </c>
      <c r="F2164" s="35">
        <v>2.2000000000000002</v>
      </c>
      <c r="G2164" s="16" t="s">
        <v>44</v>
      </c>
      <c r="H2164" s="16" t="s">
        <v>45</v>
      </c>
      <c r="I2164" s="16">
        <f>COUNTIF(G$5:G2164,"Y")/COUNTA(G$5:G2164)</f>
        <v>0.88148148148148153</v>
      </c>
      <c r="J2164" s="16">
        <f>COUNTIF(H$5:H2164,"Y")/COUNTA(H$5:H2164)</f>
        <v>4.8148148148148148E-2</v>
      </c>
      <c r="K2164" s="16">
        <f>AVERAGE(F$5:F2164)</f>
        <v>2.2174999999999985</v>
      </c>
      <c r="L2164" s="16">
        <f>SUM(F$5:F2164)/SUM(E$5:E2164)</f>
        <v>0.76281632718064529</v>
      </c>
    </row>
    <row r="2165" spans="1:12" x14ac:dyDescent="0.25">
      <c r="A2165" s="29">
        <v>45981</v>
      </c>
      <c r="B2165" s="16" t="s">
        <v>2211</v>
      </c>
      <c r="C2165" s="34">
        <v>1</v>
      </c>
      <c r="D2165" s="16" t="s">
        <v>43</v>
      </c>
      <c r="E2165" s="35">
        <v>3</v>
      </c>
      <c r="F2165" s="35">
        <v>2.4</v>
      </c>
      <c r="G2165" s="16" t="s">
        <v>44</v>
      </c>
      <c r="H2165" s="16" t="s">
        <v>45</v>
      </c>
      <c r="I2165" s="16">
        <f>COUNTIF(G$5:G2165,"Y")/COUNTA(G$5:G2165)</f>
        <v>0.8815363257751041</v>
      </c>
      <c r="J2165" s="16">
        <f>COUNTIF(H$5:H2165,"Y")/COUNTA(H$5:H2165)</f>
        <v>4.8125867653863952E-2</v>
      </c>
      <c r="K2165" s="16">
        <f>AVERAGE(F$5:F2165)</f>
        <v>2.2175844516427561</v>
      </c>
      <c r="L2165" s="16">
        <f>SUM(F$5:F2165)/SUM(E$5:E2165)</f>
        <v>0.76283408414383558</v>
      </c>
    </row>
    <row r="2166" spans="1:12" x14ac:dyDescent="0.25">
      <c r="A2166" s="29">
        <v>45982</v>
      </c>
      <c r="B2166" s="16" t="s">
        <v>2212</v>
      </c>
      <c r="C2166" s="34">
        <v>1</v>
      </c>
      <c r="D2166" s="16" t="s">
        <v>64</v>
      </c>
      <c r="E2166" s="35">
        <v>2</v>
      </c>
      <c r="F2166" s="35">
        <v>1.4</v>
      </c>
      <c r="G2166" s="16" t="s">
        <v>44</v>
      </c>
      <c r="H2166" s="16" t="s">
        <v>45</v>
      </c>
      <c r="I2166" s="16">
        <f>COUNTIF(G$5:G2166,"Y")/COUNTA(G$5:G2166)</f>
        <v>0.88159111933395007</v>
      </c>
      <c r="J2166" s="16">
        <f>COUNTIF(H$5:H2166,"Y")/COUNTA(H$5:H2166)</f>
        <v>4.8103607770582792E-2</v>
      </c>
      <c r="K2166" s="16">
        <f>AVERAGE(F$5:F2166)</f>
        <v>2.2172062904717835</v>
      </c>
      <c r="L2166" s="16">
        <f>SUM(F$5:F2166)/SUM(E$5:E2166)</f>
        <v>0.76281408634490055</v>
      </c>
    </row>
    <row r="2167" spans="1:12" x14ac:dyDescent="0.25">
      <c r="A2167" s="29">
        <v>45978</v>
      </c>
      <c r="B2167" s="16" t="s">
        <v>2213</v>
      </c>
      <c r="C2167" s="34">
        <v>1</v>
      </c>
      <c r="D2167" s="16" t="s">
        <v>50</v>
      </c>
      <c r="E2167" s="35">
        <v>4.2</v>
      </c>
      <c r="F2167" s="35">
        <v>2.9</v>
      </c>
      <c r="G2167" s="16" t="s">
        <v>44</v>
      </c>
      <c r="H2167" s="16" t="s">
        <v>45</v>
      </c>
      <c r="I2167" s="16">
        <f>COUNTIF(G$5:G2167,"Y")/COUNTA(G$5:G2167)</f>
        <v>0.88164586222838648</v>
      </c>
      <c r="J2167" s="16">
        <f>COUNTIF(H$5:H2167,"Y")/COUNTA(H$5:H2167)</f>
        <v>4.8081368469717986E-2</v>
      </c>
      <c r="K2167" s="16">
        <f>AVERAGE(F$5:F2167)</f>
        <v>2.2175219602404046</v>
      </c>
      <c r="L2167" s="16">
        <f>SUM(F$5:F2167)/SUM(E$5:E2167)</f>
        <v>0.76276577135314616</v>
      </c>
    </row>
    <row r="2168" spans="1:12" x14ac:dyDescent="0.25">
      <c r="A2168" s="29">
        <v>45979</v>
      </c>
      <c r="B2168" s="16" t="s">
        <v>2214</v>
      </c>
      <c r="C2168" s="34">
        <v>1</v>
      </c>
      <c r="D2168" s="16" t="s">
        <v>52</v>
      </c>
      <c r="E2168" s="35">
        <v>1.8</v>
      </c>
      <c r="F2168" s="35">
        <v>1.4</v>
      </c>
      <c r="G2168" s="16" t="s">
        <v>44</v>
      </c>
      <c r="H2168" s="16" t="s">
        <v>45</v>
      </c>
      <c r="I2168" s="16">
        <f>COUNTIF(G$5:G2168,"Y")/COUNTA(G$5:G2168)</f>
        <v>0.88170055452865059</v>
      </c>
      <c r="J2168" s="16">
        <f>COUNTIF(H$5:H2168,"Y")/COUNTA(H$5:H2168)</f>
        <v>4.8059149722735672E-2</v>
      </c>
      <c r="K2168" s="16">
        <f>AVERAGE(F$5:F2168)</f>
        <v>2.2171441774491658</v>
      </c>
      <c r="L2168" s="16">
        <f>SUM(F$5:F2168)/SUM(E$5:E2168)</f>
        <v>0.76277006724853158</v>
      </c>
    </row>
    <row r="2169" spans="1:12" x14ac:dyDescent="0.25">
      <c r="A2169" s="29">
        <v>45980</v>
      </c>
      <c r="B2169" s="16" t="s">
        <v>2215</v>
      </c>
      <c r="C2169" s="34">
        <v>1</v>
      </c>
      <c r="D2169" s="16" t="s">
        <v>64</v>
      </c>
      <c r="E2169" s="35">
        <v>4.7</v>
      </c>
      <c r="F2169" s="35">
        <v>3.3</v>
      </c>
      <c r="G2169" s="16" t="s">
        <v>45</v>
      </c>
      <c r="H2169" s="16" t="s">
        <v>45</v>
      </c>
      <c r="I2169" s="16">
        <f>COUNTIF(G$5:G2169,"Y")/COUNTA(G$5:G2169)</f>
        <v>0.88129330254041571</v>
      </c>
      <c r="J2169" s="16">
        <f>COUNTIF(H$5:H2169,"Y")/COUNTA(H$5:H2169)</f>
        <v>4.8036951501154737E-2</v>
      </c>
      <c r="K2169" s="16">
        <f>AVERAGE(F$5:F2169)</f>
        <v>2.2176443418013836</v>
      </c>
      <c r="L2169" s="16">
        <f>SUM(F$5:F2169)/SUM(E$5:E2169)</f>
        <v>0.76272478871449279</v>
      </c>
    </row>
    <row r="2170" spans="1:12" x14ac:dyDescent="0.25">
      <c r="A2170" s="29">
        <v>45981</v>
      </c>
      <c r="B2170" s="16" t="s">
        <v>2216</v>
      </c>
      <c r="C2170" s="34">
        <v>1</v>
      </c>
      <c r="D2170" s="16" t="s">
        <v>64</v>
      </c>
      <c r="E2170" s="35">
        <v>3.7</v>
      </c>
      <c r="F2170" s="35">
        <v>2.7</v>
      </c>
      <c r="G2170" s="16" t="s">
        <v>44</v>
      </c>
      <c r="H2170" s="16" t="s">
        <v>44</v>
      </c>
      <c r="I2170" s="16">
        <f>COUNTIF(G$5:G2170,"Y")/COUNTA(G$5:G2170)</f>
        <v>0.88134810710987999</v>
      </c>
      <c r="J2170" s="16">
        <f>COUNTIF(H$5:H2170,"Y")/COUNTA(H$5:H2170)</f>
        <v>4.8476454293628811E-2</v>
      </c>
      <c r="K2170" s="16">
        <f>AVERAGE(F$5:F2170)</f>
        <v>2.2178670360110782</v>
      </c>
      <c r="L2170" s="16">
        <f>SUM(F$5:F2170)/SUM(E$5:E2170)</f>
        <v>0.76270540604905757</v>
      </c>
    </row>
    <row r="2171" spans="1:12" x14ac:dyDescent="0.25">
      <c r="A2171" s="29">
        <v>45982</v>
      </c>
      <c r="B2171" s="16" t="s">
        <v>2217</v>
      </c>
      <c r="C2171" s="34">
        <v>1</v>
      </c>
      <c r="D2171" s="16" t="s">
        <v>60</v>
      </c>
      <c r="E2171" s="35">
        <v>2.1</v>
      </c>
      <c r="F2171" s="35">
        <v>1.7</v>
      </c>
      <c r="G2171" s="16" t="s">
        <v>44</v>
      </c>
      <c r="H2171" s="16" t="s">
        <v>45</v>
      </c>
      <c r="I2171" s="16">
        <f>COUNTIF(G$5:G2171,"Y")/COUNTA(G$5:G2171)</f>
        <v>0.88140286109829258</v>
      </c>
      <c r="J2171" s="16">
        <f>COUNTIF(H$5:H2171,"Y")/COUNTA(H$5:H2171)</f>
        <v>4.8454083987078914E-2</v>
      </c>
      <c r="K2171" s="16">
        <f>AVERAGE(F$5:F2171)</f>
        <v>2.2176280572219635</v>
      </c>
      <c r="L2171" s="16">
        <f>SUM(F$5:F2171)/SUM(E$5:E2171)</f>
        <v>0.76272101069739207</v>
      </c>
    </row>
    <row r="2172" spans="1:12" x14ac:dyDescent="0.25">
      <c r="A2172" s="29">
        <v>45978</v>
      </c>
      <c r="B2172" s="16" t="s">
        <v>2218</v>
      </c>
      <c r="C2172" s="34">
        <v>1</v>
      </c>
      <c r="D2172" s="16" t="s">
        <v>60</v>
      </c>
      <c r="E2172" s="35">
        <v>3</v>
      </c>
      <c r="F2172" s="35">
        <v>2.6</v>
      </c>
      <c r="G2172" s="16" t="s">
        <v>44</v>
      </c>
      <c r="H2172" s="16" t="s">
        <v>45</v>
      </c>
      <c r="I2172" s="16">
        <f>COUNTIF(G$5:G2172,"Y")/COUNTA(G$5:G2172)</f>
        <v>0.88145756457564572</v>
      </c>
      <c r="J2172" s="16">
        <f>COUNTIF(H$5:H2172,"Y")/COUNTA(H$5:H2172)</f>
        <v>4.8431734317343177E-2</v>
      </c>
      <c r="K2172" s="16">
        <f>AVERAGE(F$5:F2172)</f>
        <v>2.2178044280442784</v>
      </c>
      <c r="L2172" s="16">
        <f>SUM(F$5:F2172)/SUM(E$5:E2172)</f>
        <v>0.76277048036042716</v>
      </c>
    </row>
    <row r="2173" spans="1:12" x14ac:dyDescent="0.25">
      <c r="A2173" s="29">
        <v>45979</v>
      </c>
      <c r="B2173" s="16" t="s">
        <v>2219</v>
      </c>
      <c r="C2173" s="34">
        <v>1</v>
      </c>
      <c r="D2173" s="16" t="s">
        <v>56</v>
      </c>
      <c r="E2173" s="35">
        <v>1.8</v>
      </c>
      <c r="F2173" s="35">
        <v>1.3</v>
      </c>
      <c r="G2173" s="16" t="s">
        <v>44</v>
      </c>
      <c r="H2173" s="16" t="s">
        <v>45</v>
      </c>
      <c r="I2173" s="16">
        <f>COUNTIF(G$5:G2173,"Y")/COUNTA(G$5:G2173)</f>
        <v>0.88151221761180265</v>
      </c>
      <c r="J2173" s="16">
        <f>COUNTIF(H$5:H2173,"Y")/COUNTA(H$5:H2173)</f>
        <v>4.8409405255878286E-2</v>
      </c>
      <c r="K2173" s="16">
        <f>AVERAGE(F$5:F2173)</f>
        <v>2.2173812816966323</v>
      </c>
      <c r="L2173" s="16">
        <f>SUM(F$5:F2173)/SUM(E$5:E2173)</f>
        <v>0.76275890506549759</v>
      </c>
    </row>
    <row r="2174" spans="1:12" x14ac:dyDescent="0.25">
      <c r="A2174" s="29">
        <v>45980</v>
      </c>
      <c r="B2174" s="16" t="s">
        <v>2220</v>
      </c>
      <c r="C2174" s="34">
        <v>1</v>
      </c>
      <c r="D2174" s="16" t="s">
        <v>52</v>
      </c>
      <c r="E2174" s="35">
        <v>3.1</v>
      </c>
      <c r="F2174" s="35">
        <v>2.7</v>
      </c>
      <c r="G2174" s="16" t="s">
        <v>44</v>
      </c>
      <c r="H2174" s="16" t="s">
        <v>45</v>
      </c>
      <c r="I2174" s="16">
        <f>COUNTIF(G$5:G2174,"Y")/COUNTA(G$5:G2174)</f>
        <v>0.88156682027649769</v>
      </c>
      <c r="J2174" s="16">
        <f>COUNTIF(H$5:H2174,"Y")/COUNTA(H$5:H2174)</f>
        <v>4.8387096774193547E-2</v>
      </c>
      <c r="K2174" s="16">
        <f>AVERAGE(F$5:F2174)</f>
        <v>2.2176036866359423</v>
      </c>
      <c r="L2174" s="16">
        <f>SUM(F$5:F2174)/SUM(E$5:E2174)</f>
        <v>0.76281207894110936</v>
      </c>
    </row>
    <row r="2175" spans="1:12" x14ac:dyDescent="0.25">
      <c r="A2175" s="29">
        <v>45981</v>
      </c>
      <c r="B2175" s="16" t="s">
        <v>2221</v>
      </c>
      <c r="C2175" s="34">
        <v>1</v>
      </c>
      <c r="D2175" s="16" t="s">
        <v>43</v>
      </c>
      <c r="E2175" s="35">
        <v>5.5</v>
      </c>
      <c r="F2175" s="35">
        <v>3.7</v>
      </c>
      <c r="G2175" s="16" t="s">
        <v>44</v>
      </c>
      <c r="H2175" s="16" t="s">
        <v>45</v>
      </c>
      <c r="I2175" s="16">
        <f>COUNTIF(G$5:G2175,"Y")/COUNTA(G$5:G2175)</f>
        <v>0.88162137263933671</v>
      </c>
      <c r="J2175" s="16">
        <f>COUNTIF(H$5:H2175,"Y")/COUNTA(H$5:H2175)</f>
        <v>4.8364808843850762E-2</v>
      </c>
      <c r="K2175" s="16">
        <f>AVERAGE(F$5:F2175)</f>
        <v>2.2182865039152442</v>
      </c>
      <c r="L2175" s="16">
        <f>SUM(F$5:F2175)/SUM(E$5:E2175)</f>
        <v>0.76273360785555722</v>
      </c>
    </row>
    <row r="2176" spans="1:12" x14ac:dyDescent="0.25">
      <c r="A2176" s="29">
        <v>45982</v>
      </c>
      <c r="B2176" s="16" t="s">
        <v>2222</v>
      </c>
      <c r="C2176" s="34">
        <v>1</v>
      </c>
      <c r="D2176" s="16" t="s">
        <v>56</v>
      </c>
      <c r="E2176" s="35">
        <v>4</v>
      </c>
      <c r="F2176" s="35">
        <v>3.3</v>
      </c>
      <c r="G2176" s="16" t="s">
        <v>44</v>
      </c>
      <c r="H2176" s="16" t="s">
        <v>45</v>
      </c>
      <c r="I2176" s="16">
        <f>COUNTIF(G$5:G2176,"Y")/COUNTA(G$5:G2176)</f>
        <v>0.88167587476979747</v>
      </c>
      <c r="J2176" s="16">
        <f>COUNTIF(H$5:H2176,"Y")/COUNTA(H$5:H2176)</f>
        <v>4.834254143646409E-2</v>
      </c>
      <c r="K2176" s="16">
        <f>AVERAGE(F$5:F2176)</f>
        <v>2.218784530386738</v>
      </c>
      <c r="L2176" s="16">
        <f>SUM(F$5:F2176)/SUM(E$5:E2176)</f>
        <v>0.76277302943969427</v>
      </c>
    </row>
    <row r="2177" spans="1:13" x14ac:dyDescent="0.25">
      <c r="A2177" s="29">
        <v>45978</v>
      </c>
      <c r="B2177" s="16" t="s">
        <v>2223</v>
      </c>
      <c r="C2177" s="34">
        <v>1</v>
      </c>
      <c r="D2177" s="16" t="s">
        <v>50</v>
      </c>
      <c r="E2177" s="35">
        <v>2.7</v>
      </c>
      <c r="F2177" s="35">
        <v>2.2999999999999998</v>
      </c>
      <c r="G2177" s="16" t="s">
        <v>44</v>
      </c>
      <c r="H2177" s="16" t="s">
        <v>45</v>
      </c>
      <c r="I2177" s="16">
        <f>COUNTIF(G$5:G2177,"Y")/COUNTA(G$5:G2177)</f>
        <v>0.88173032673722962</v>
      </c>
      <c r="J2177" s="16">
        <f>COUNTIF(H$5:H2177,"Y")/COUNTA(H$5:H2177)</f>
        <v>4.8320294523699951E-2</v>
      </c>
      <c r="K2177" s="16">
        <f>AVERAGE(F$5:F2177)</f>
        <v>2.2188219052001821</v>
      </c>
      <c r="L2177" s="16">
        <f>SUM(F$5:F2177)/SUM(E$5:E2177)</f>
        <v>0.76281108105114759</v>
      </c>
    </row>
    <row r="2178" spans="1:13" x14ac:dyDescent="0.25">
      <c r="A2178" s="29">
        <v>45979</v>
      </c>
      <c r="B2178" s="16" t="s">
        <v>2224</v>
      </c>
      <c r="C2178" s="34">
        <v>1</v>
      </c>
      <c r="D2178" s="16" t="s">
        <v>50</v>
      </c>
      <c r="E2178" s="35">
        <v>5</v>
      </c>
      <c r="F2178" s="35">
        <v>3.6</v>
      </c>
      <c r="G2178" s="16" t="s">
        <v>44</v>
      </c>
      <c r="H2178" s="16" t="s">
        <v>45</v>
      </c>
      <c r="I2178" s="16">
        <f>COUNTIF(G$5:G2178,"Y")/COUNTA(G$5:G2178)</f>
        <v>0.88178472861085555</v>
      </c>
      <c r="J2178" s="16">
        <f>COUNTIF(H$5:H2178,"Y")/COUNTA(H$5:H2178)</f>
        <v>4.8298068077276907E-2</v>
      </c>
      <c r="K2178" s="16">
        <f>AVERAGE(F$5:F2178)</f>
        <v>2.2194572217111297</v>
      </c>
      <c r="L2178" s="16">
        <f>SUM(F$5:F2178)/SUM(E$5:E2178)</f>
        <v>0.76277724204435704</v>
      </c>
    </row>
    <row r="2179" spans="1:13" x14ac:dyDescent="0.25">
      <c r="A2179" s="29">
        <v>45980</v>
      </c>
      <c r="B2179" s="16" t="s">
        <v>2225</v>
      </c>
      <c r="C2179" s="34">
        <v>1</v>
      </c>
      <c r="D2179" s="16" t="s">
        <v>56</v>
      </c>
      <c r="E2179" s="35">
        <v>2.5</v>
      </c>
      <c r="F2179" s="35">
        <v>1.9</v>
      </c>
      <c r="G2179" s="16" t="s">
        <v>44</v>
      </c>
      <c r="H2179" s="16" t="s">
        <v>45</v>
      </c>
      <c r="I2179" s="16">
        <f>COUNTIF(G$5:G2179,"Y")/COUNTA(G$5:G2179)</f>
        <v>0.88183908045977011</v>
      </c>
      <c r="J2179" s="16">
        <f>COUNTIF(H$5:H2179,"Y")/COUNTA(H$5:H2179)</f>
        <v>4.8275862068965517E-2</v>
      </c>
      <c r="K2179" s="16">
        <f>AVERAGE(F$5:F2179)</f>
        <v>2.2193103448275839</v>
      </c>
      <c r="L2179" s="16">
        <f>SUM(F$5:F2179)/SUM(E$5:E2179)</f>
        <v>0.7627761448753182</v>
      </c>
    </row>
    <row r="2180" spans="1:13" x14ac:dyDescent="0.25">
      <c r="A2180" s="29">
        <v>45981</v>
      </c>
      <c r="B2180" s="16" t="s">
        <v>2226</v>
      </c>
      <c r="C2180" s="34">
        <v>1</v>
      </c>
      <c r="D2180" s="16" t="s">
        <v>60</v>
      </c>
      <c r="E2180" s="35">
        <v>4</v>
      </c>
      <c r="F2180" s="35">
        <v>3</v>
      </c>
      <c r="G2180" s="16" t="s">
        <v>44</v>
      </c>
      <c r="H2180" s="16" t="s">
        <v>45</v>
      </c>
      <c r="I2180" s="16">
        <f>COUNTIF(G$5:G2180,"Y")/COUNTA(G$5:G2180)</f>
        <v>0.88189338235294112</v>
      </c>
      <c r="J2180" s="16">
        <f>COUNTIF(H$5:H2180,"Y")/COUNTA(H$5:H2180)</f>
        <v>4.8253676470588237E-2</v>
      </c>
      <c r="K2180" s="16">
        <f>AVERAGE(F$5:F2180)</f>
        <v>2.2196691176470567</v>
      </c>
      <c r="L2180" s="16">
        <f>SUM(F$5:F2180)/SUM(E$5:E2180)</f>
        <v>0.76276807428697591</v>
      </c>
    </row>
    <row r="2181" spans="1:13" x14ac:dyDescent="0.25">
      <c r="A2181" s="29">
        <v>45982</v>
      </c>
      <c r="B2181" s="16" t="s">
        <v>2227</v>
      </c>
      <c r="C2181" s="34">
        <v>1</v>
      </c>
      <c r="D2181" s="16" t="s">
        <v>64</v>
      </c>
      <c r="E2181" s="35">
        <v>0.6</v>
      </c>
      <c r="F2181" s="35">
        <v>0.5</v>
      </c>
      <c r="G2181" s="16" t="s">
        <v>44</v>
      </c>
      <c r="H2181" s="16" t="s">
        <v>45</v>
      </c>
      <c r="I2181" s="16">
        <f>COUNTIF(G$5:G2181,"Y")/COUNTA(G$5:G2181)</f>
        <v>0.88194763435920998</v>
      </c>
      <c r="J2181" s="16">
        <f>COUNTIF(H$5:H2181,"Y")/COUNTA(H$5:H2181)</f>
        <v>4.8231511254019289E-2</v>
      </c>
      <c r="K2181" s="16">
        <f>AVERAGE(F$5:F2181)</f>
        <v>2.218879191548</v>
      </c>
      <c r="L2181" s="16">
        <f>SUM(F$5:F2181)/SUM(E$5:E2181)</f>
        <v>0.76277475997978594</v>
      </c>
    </row>
    <row r="2182" spans="1:13" x14ac:dyDescent="0.25">
      <c r="A2182" s="29">
        <v>45978</v>
      </c>
      <c r="B2182" s="16" t="s">
        <v>2228</v>
      </c>
      <c r="C2182" s="34">
        <v>1</v>
      </c>
      <c r="D2182" s="16" t="s">
        <v>52</v>
      </c>
      <c r="E2182" s="35">
        <v>0.7</v>
      </c>
      <c r="F2182" s="35">
        <v>0.5</v>
      </c>
      <c r="G2182" s="16" t="s">
        <v>44</v>
      </c>
      <c r="H2182" s="16" t="s">
        <v>45</v>
      </c>
      <c r="I2182" s="16">
        <f>COUNTIF(G$5:G2182,"Y")/COUNTA(G$5:G2182)</f>
        <v>0.88200183654729114</v>
      </c>
      <c r="J2182" s="16">
        <f>COUNTIF(H$5:H2182,"Y")/COUNTA(H$5:H2182)</f>
        <v>4.8209366391184574E-2</v>
      </c>
      <c r="K2182" s="16">
        <f>AVERAGE(F$5:F2182)</f>
        <v>2.2180899908172615</v>
      </c>
      <c r="L2182" s="16">
        <f>SUM(F$5:F2182)/SUM(E$5:E2182)</f>
        <v>0.76276940080524014</v>
      </c>
    </row>
    <row r="2183" spans="1:13" x14ac:dyDescent="0.25">
      <c r="A2183" s="29">
        <v>45979</v>
      </c>
      <c r="B2183" s="16" t="s">
        <v>2229</v>
      </c>
      <c r="C2183" s="34">
        <v>1</v>
      </c>
      <c r="D2183" s="16" t="s">
        <v>52</v>
      </c>
      <c r="E2183" s="35">
        <v>0.7</v>
      </c>
      <c r="F2183" s="35">
        <v>0.5</v>
      </c>
      <c r="G2183" s="16" t="s">
        <v>44</v>
      </c>
      <c r="H2183" s="16" t="s">
        <v>44</v>
      </c>
      <c r="I2183" s="16">
        <f>COUNTIF(G$5:G2183,"Y")/COUNTA(G$5:G2183)</f>
        <v>0.88205598898577331</v>
      </c>
      <c r="J2183" s="16">
        <f>COUNTIF(H$5:H2183,"Y")/COUNTA(H$5:H2183)</f>
        <v>4.8646167966957317E-2</v>
      </c>
      <c r="K2183" s="16">
        <f>AVERAGE(F$5:F2183)</f>
        <v>2.2173015144561705</v>
      </c>
      <c r="L2183" s="16">
        <f>SUM(F$5:F2183)/SUM(E$5:E2183)</f>
        <v>0.76276404281519194</v>
      </c>
    </row>
    <row r="2184" spans="1:13" x14ac:dyDescent="0.25">
      <c r="A2184" s="29">
        <v>45980</v>
      </c>
      <c r="B2184" s="16" t="s">
        <v>2230</v>
      </c>
      <c r="C2184" s="34">
        <v>1</v>
      </c>
      <c r="D2184" s="16" t="s">
        <v>52</v>
      </c>
      <c r="E2184" s="35">
        <v>2.1</v>
      </c>
      <c r="F2184" s="35">
        <v>0.5</v>
      </c>
      <c r="G2184" s="16" t="s">
        <v>44</v>
      </c>
      <c r="H2184" s="16" t="s">
        <v>45</v>
      </c>
      <c r="I2184" s="16">
        <f>COUNTIF(G$5:G2184,"Y")/COUNTA(G$5:G2184)</f>
        <v>0.88211009174311927</v>
      </c>
      <c r="J2184" s="16">
        <f>COUNTIF(H$5:H2184,"Y")/COUNTA(H$5:H2184)</f>
        <v>4.8623853211009177E-2</v>
      </c>
      <c r="K2184" s="16">
        <f>AVERAGE(F$5:F2184)</f>
        <v>2.2165137614678878</v>
      </c>
      <c r="L2184" s="16">
        <f>SUM(F$5:F2184)/SUM(E$5:E2184)</f>
        <v>0.76259015513785466</v>
      </c>
      <c r="M2184" s="16">
        <v>8</v>
      </c>
    </row>
    <row r="2185" spans="1:13" x14ac:dyDescent="0.25">
      <c r="A2185" s="29">
        <v>45985</v>
      </c>
      <c r="B2185" s="16" t="s">
        <v>2231</v>
      </c>
      <c r="C2185" s="34">
        <v>1</v>
      </c>
      <c r="D2185" s="16" t="s">
        <v>64</v>
      </c>
      <c r="E2185" s="35">
        <v>2.6</v>
      </c>
      <c r="F2185" s="35">
        <v>2</v>
      </c>
      <c r="G2185" s="16" t="s">
        <v>44</v>
      </c>
      <c r="H2185" s="16" t="s">
        <v>44</v>
      </c>
      <c r="I2185" s="16">
        <f>COUNTIF(G$5:G2185,"Y")/COUNTA(G$5:G2185)</f>
        <v>0.88216414488766626</v>
      </c>
      <c r="J2185" s="16">
        <f>COUNTIF(H$5:H2185,"Y")/COUNTA(H$5:H2185)</f>
        <v>4.9060064190738197E-2</v>
      </c>
      <c r="K2185" s="16">
        <f>AVERAGE(F$5:F2185)</f>
        <v>2.2164144887666186</v>
      </c>
      <c r="L2185" s="16">
        <f>SUM(F$5:F2185)/SUM(E$5:E2185)</f>
        <v>0.76259287889065741</v>
      </c>
    </row>
    <row r="2186" spans="1:13" x14ac:dyDescent="0.25">
      <c r="A2186" s="29">
        <v>45986</v>
      </c>
      <c r="B2186" s="16" t="s">
        <v>2232</v>
      </c>
      <c r="C2186" s="34">
        <v>1</v>
      </c>
      <c r="D2186" s="16" t="s">
        <v>47</v>
      </c>
      <c r="E2186" s="35">
        <v>3.7</v>
      </c>
      <c r="F2186" s="35">
        <v>2.9</v>
      </c>
      <c r="G2186" s="16" t="s">
        <v>44</v>
      </c>
      <c r="H2186" s="16" t="s">
        <v>45</v>
      </c>
      <c r="I2186" s="16">
        <f>COUNTIF(G$5:G2186,"Y")/COUNTA(G$5:G2186)</f>
        <v>0.88221814848762603</v>
      </c>
      <c r="J2186" s="16">
        <f>COUNTIF(H$5:H2186,"Y")/COUNTA(H$5:H2186)</f>
        <v>4.9037580201649861E-2</v>
      </c>
      <c r="K2186" s="16">
        <f>AVERAGE(F$5:F2186)</f>
        <v>2.2167277726856072</v>
      </c>
      <c r="L2186" s="16">
        <f>SUM(F$5:F2186)/SUM(E$5:E2186)</f>
        <v>0.76260524075300162</v>
      </c>
    </row>
    <row r="2187" spans="1:13" x14ac:dyDescent="0.25">
      <c r="A2187" s="29">
        <v>45987</v>
      </c>
      <c r="B2187" s="16" t="s">
        <v>2233</v>
      </c>
      <c r="C2187" s="34">
        <v>1</v>
      </c>
      <c r="D2187" s="16" t="s">
        <v>56</v>
      </c>
      <c r="E2187" s="35">
        <v>1.8</v>
      </c>
      <c r="F2187" s="35">
        <v>1.4</v>
      </c>
      <c r="G2187" s="16" t="s">
        <v>44</v>
      </c>
      <c r="H2187" s="16" t="s">
        <v>45</v>
      </c>
      <c r="I2187" s="16">
        <f>COUNTIF(G$5:G2187,"Y")/COUNTA(G$5:G2187)</f>
        <v>0.88227210261108568</v>
      </c>
      <c r="J2187" s="16">
        <f>COUNTIF(H$5:H2187,"Y")/COUNTA(H$5:H2187)</f>
        <v>4.9015116811726982E-2</v>
      </c>
      <c r="K2187" s="16">
        <f>AVERAGE(F$5:F2187)</f>
        <v>2.2163536417773684</v>
      </c>
      <c r="L2187" s="16">
        <f>SUM(F$5:F2187)/SUM(E$5:E2187)</f>
        <v>0.76260954542588544</v>
      </c>
    </row>
    <row r="2188" spans="1:13" x14ac:dyDescent="0.25">
      <c r="A2188" s="29">
        <v>45988</v>
      </c>
      <c r="B2188" s="16" t="s">
        <v>2234</v>
      </c>
      <c r="C2188" s="34">
        <v>1</v>
      </c>
      <c r="D2188" s="16" t="s">
        <v>50</v>
      </c>
      <c r="E2188" s="35">
        <v>3</v>
      </c>
      <c r="F2188" s="35">
        <v>2.2999999999999998</v>
      </c>
      <c r="G2188" s="16" t="s">
        <v>44</v>
      </c>
      <c r="H2188" s="16" t="s">
        <v>45</v>
      </c>
      <c r="I2188" s="16">
        <f>COUNTIF(G$5:G2188,"Y")/COUNTA(G$5:G2188)</f>
        <v>0.8823260073260073</v>
      </c>
      <c r="J2188" s="16">
        <f>COUNTIF(H$5:H2188,"Y")/COUNTA(H$5:H2188)</f>
        <v>4.8992673992673992E-2</v>
      </c>
      <c r="K2188" s="16">
        <f>AVERAGE(F$5:F2188)</f>
        <v>2.2163919413919388</v>
      </c>
      <c r="L2188" s="16">
        <f>SUM(F$5:F2188)/SUM(E$5:E2188)</f>
        <v>0.76261146296121052</v>
      </c>
    </row>
    <row r="2189" spans="1:13" x14ac:dyDescent="0.25">
      <c r="A2189" s="29">
        <v>45989</v>
      </c>
      <c r="B2189" s="16" t="s">
        <v>2235</v>
      </c>
      <c r="C2189" s="34">
        <v>1</v>
      </c>
      <c r="D2189" s="16" t="s">
        <v>47</v>
      </c>
      <c r="E2189" s="35">
        <v>3.7</v>
      </c>
      <c r="F2189" s="35">
        <v>3.1</v>
      </c>
      <c r="G2189" s="16" t="s">
        <v>44</v>
      </c>
      <c r="H2189" s="16" t="s">
        <v>45</v>
      </c>
      <c r="I2189" s="16">
        <f>COUNTIF(G$5:G2189,"Y")/COUNTA(G$5:G2189)</f>
        <v>0.88237986270022883</v>
      </c>
      <c r="J2189" s="16">
        <f>COUNTIF(H$5:H2189,"Y")/COUNTA(H$5:H2189)</f>
        <v>4.8970251716247137E-2</v>
      </c>
      <c r="K2189" s="16">
        <f>AVERAGE(F$5:F2189)</f>
        <v>2.2167963386727667</v>
      </c>
      <c r="L2189" s="16">
        <f>SUM(F$5:F2189)/SUM(E$5:E2189)</f>
        <v>0.76265528806033411</v>
      </c>
    </row>
    <row r="2190" spans="1:13" x14ac:dyDescent="0.25">
      <c r="A2190" s="29">
        <v>45985</v>
      </c>
      <c r="B2190" s="16" t="s">
        <v>2236</v>
      </c>
      <c r="C2190" s="34">
        <v>1</v>
      </c>
      <c r="D2190" s="16" t="s">
        <v>56</v>
      </c>
      <c r="E2190" s="35">
        <v>3.7</v>
      </c>
      <c r="F2190" s="35">
        <v>2.5</v>
      </c>
      <c r="G2190" s="16" t="s">
        <v>44</v>
      </c>
      <c r="H2190" s="16" t="s">
        <v>44</v>
      </c>
      <c r="I2190" s="16">
        <f>COUNTIF(G$5:G2190,"Y")/COUNTA(G$5:G2190)</f>
        <v>0.8824336688014639</v>
      </c>
      <c r="J2190" s="16">
        <f>COUNTIF(H$5:H2190,"Y")/COUNTA(H$5:H2190)</f>
        <v>4.9405306495882893E-2</v>
      </c>
      <c r="K2190" s="16">
        <f>AVERAGE(F$5:F2190)</f>
        <v>2.2169258920402539</v>
      </c>
      <c r="L2190" s="16">
        <f>SUM(F$5:F2190)/SUM(E$5:E2190)</f>
        <v>0.76260464530748229</v>
      </c>
    </row>
    <row r="2191" spans="1:13" x14ac:dyDescent="0.25">
      <c r="A2191" s="29">
        <v>45986</v>
      </c>
      <c r="B2191" s="16" t="s">
        <v>2237</v>
      </c>
      <c r="C2191" s="34">
        <v>1</v>
      </c>
      <c r="D2191" s="16" t="s">
        <v>52</v>
      </c>
      <c r="E2191" s="35">
        <v>1.8</v>
      </c>
      <c r="F2191" s="35">
        <v>1.5</v>
      </c>
      <c r="G2191" s="16" t="s">
        <v>45</v>
      </c>
      <c r="H2191" s="16" t="s">
        <v>45</v>
      </c>
      <c r="I2191" s="16">
        <f>COUNTIF(G$5:G2191,"Y")/COUNTA(G$5:G2191)</f>
        <v>0.88203017832647457</v>
      </c>
      <c r="J2191" s="16">
        <f>COUNTIF(H$5:H2191,"Y")/COUNTA(H$5:H2191)</f>
        <v>4.9382716049382713E-2</v>
      </c>
      <c r="K2191" s="16">
        <f>AVERAGE(F$5:F2191)</f>
        <v>2.2165980795610403</v>
      </c>
      <c r="L2191" s="16">
        <f>SUM(F$5:F2191)/SUM(E$5:E2191)</f>
        <v>0.76262467356762864</v>
      </c>
    </row>
    <row r="2192" spans="1:13" x14ac:dyDescent="0.25">
      <c r="A2192" s="29">
        <v>45987</v>
      </c>
      <c r="B2192" s="16" t="s">
        <v>2238</v>
      </c>
      <c r="C2192" s="34">
        <v>1</v>
      </c>
      <c r="D2192" s="16" t="s">
        <v>47</v>
      </c>
      <c r="E2192" s="35">
        <v>2.6</v>
      </c>
      <c r="F2192" s="35">
        <v>1.8</v>
      </c>
      <c r="G2192" s="16" t="s">
        <v>44</v>
      </c>
      <c r="H2192" s="16" t="s">
        <v>45</v>
      </c>
      <c r="I2192" s="16">
        <f>COUNTIF(G$5:G2192,"Y")/COUNTA(G$5:G2192)</f>
        <v>0.88208409506398533</v>
      </c>
      <c r="J2192" s="16">
        <f>COUNTIF(H$5:H2192,"Y")/COUNTA(H$5:H2192)</f>
        <v>4.9360146252285193E-2</v>
      </c>
      <c r="K2192" s="16">
        <f>AVERAGE(F$5:F2192)</f>
        <v>2.2164076782449706</v>
      </c>
      <c r="L2192" s="16">
        <f>SUM(F$5:F2192)/SUM(E$5:E2192)</f>
        <v>0.7625959240155975</v>
      </c>
    </row>
    <row r="2193" spans="1:12" x14ac:dyDescent="0.25">
      <c r="A2193" s="29">
        <v>45988</v>
      </c>
      <c r="B2193" s="16" t="s">
        <v>2239</v>
      </c>
      <c r="C2193" s="34">
        <v>1</v>
      </c>
      <c r="D2193" s="16" t="s">
        <v>50</v>
      </c>
      <c r="E2193" s="35">
        <v>4.3</v>
      </c>
      <c r="F2193" s="35">
        <v>3.1</v>
      </c>
      <c r="G2193" s="16" t="s">
        <v>44</v>
      </c>
      <c r="H2193" s="16" t="s">
        <v>45</v>
      </c>
      <c r="I2193" s="16">
        <f>COUNTIF(G$5:G2193,"Y")/COUNTA(G$5:G2193)</f>
        <v>0.88213796253997256</v>
      </c>
      <c r="J2193" s="16">
        <f>COUNTIF(H$5:H2193,"Y")/COUNTA(H$5:H2193)</f>
        <v>4.933759707629054E-2</v>
      </c>
      <c r="K2193" s="16">
        <f>AVERAGE(F$5:F2193)</f>
        <v>2.2168113293741416</v>
      </c>
      <c r="L2193" s="16">
        <f>SUM(F$5:F2193)/SUM(E$5:E2193)</f>
        <v>0.76256776930934045</v>
      </c>
    </row>
    <row r="2194" spans="1:12" x14ac:dyDescent="0.25">
      <c r="A2194" s="29">
        <v>45989</v>
      </c>
      <c r="B2194" s="16" t="s">
        <v>2240</v>
      </c>
      <c r="C2194" s="34">
        <v>1</v>
      </c>
      <c r="D2194" s="16" t="s">
        <v>60</v>
      </c>
      <c r="E2194" s="35">
        <v>1.8</v>
      </c>
      <c r="F2194" s="35">
        <v>1.5</v>
      </c>
      <c r="G2194" s="16" t="s">
        <v>44</v>
      </c>
      <c r="H2194" s="16" t="s">
        <v>45</v>
      </c>
      <c r="I2194" s="16">
        <f>COUNTIF(G$5:G2194,"Y")/COUNTA(G$5:G2194)</f>
        <v>0.88219178082191785</v>
      </c>
      <c r="J2194" s="16">
        <f>COUNTIF(H$5:H2194,"Y")/COUNTA(H$5:H2194)</f>
        <v>4.9315068493150684E-2</v>
      </c>
      <c r="K2194" s="16">
        <f>AVERAGE(F$5:F2194)</f>
        <v>2.2164840182648384</v>
      </c>
      <c r="L2194" s="16">
        <f>SUM(F$5:F2194)/SUM(E$5:E2194)</f>
        <v>0.76258778062306376</v>
      </c>
    </row>
    <row r="2195" spans="1:12" x14ac:dyDescent="0.25">
      <c r="A2195" s="29">
        <v>45985</v>
      </c>
      <c r="B2195" s="16" t="s">
        <v>2241</v>
      </c>
      <c r="C2195" s="34">
        <v>1</v>
      </c>
      <c r="D2195" s="16" t="s">
        <v>43</v>
      </c>
      <c r="E2195" s="35">
        <v>2.7</v>
      </c>
      <c r="F2195" s="35">
        <v>2.1</v>
      </c>
      <c r="G2195" s="16" t="s">
        <v>44</v>
      </c>
      <c r="H2195" s="16" t="s">
        <v>45</v>
      </c>
      <c r="I2195" s="16">
        <f>COUNTIF(G$5:G2195,"Y")/COUNTA(G$5:G2195)</f>
        <v>0.88224554997717941</v>
      </c>
      <c r="J2195" s="16">
        <f>COUNTIF(H$5:H2195,"Y")/COUNTA(H$5:H2195)</f>
        <v>4.9292560474669102E-2</v>
      </c>
      <c r="K2195" s="16">
        <f>AVERAGE(F$5:F2195)</f>
        <v>2.2164308534915547</v>
      </c>
      <c r="L2195" s="16">
        <f>SUM(F$5:F2195)/SUM(E$5:E2195)</f>
        <v>0.76259422110552588</v>
      </c>
    </row>
    <row r="2196" spans="1:12" x14ac:dyDescent="0.25">
      <c r="A2196" s="29">
        <v>45986</v>
      </c>
      <c r="B2196" s="16" t="s">
        <v>2242</v>
      </c>
      <c r="C2196" s="34">
        <v>1</v>
      </c>
      <c r="D2196" s="16" t="s">
        <v>56</v>
      </c>
      <c r="E2196" s="35">
        <v>3.4</v>
      </c>
      <c r="F2196" s="35">
        <v>2.7</v>
      </c>
      <c r="G2196" s="16" t="s">
        <v>44</v>
      </c>
      <c r="H2196" s="16" t="s">
        <v>45</v>
      </c>
      <c r="I2196" s="16">
        <f>COUNTIF(G$5:G2196,"Y")/COUNTA(G$5:G2196)</f>
        <v>0.88229927007299269</v>
      </c>
      <c r="J2196" s="16">
        <f>COUNTIF(H$5:H2196,"Y")/COUNTA(H$5:H2196)</f>
        <v>4.9270072992700732E-2</v>
      </c>
      <c r="K2196" s="16">
        <f>AVERAGE(F$5:F2196)</f>
        <v>2.2166514598540128</v>
      </c>
      <c r="L2196" s="16">
        <f>SUM(F$5:F2196)/SUM(E$5:E2196)</f>
        <v>0.7626110430988462</v>
      </c>
    </row>
    <row r="2197" spans="1:12" x14ac:dyDescent="0.25">
      <c r="A2197" s="29">
        <v>45987</v>
      </c>
      <c r="B2197" s="16" t="s">
        <v>2243</v>
      </c>
      <c r="C2197" s="34">
        <v>1</v>
      </c>
      <c r="D2197" s="16" t="s">
        <v>47</v>
      </c>
      <c r="E2197" s="35">
        <v>3.4</v>
      </c>
      <c r="F2197" s="35">
        <v>2.9</v>
      </c>
      <c r="G2197" s="16" t="s">
        <v>44</v>
      </c>
      <c r="H2197" s="16" t="s">
        <v>45</v>
      </c>
      <c r="I2197" s="16">
        <f>COUNTIF(G$5:G2197,"Y")/COUNTA(G$5:G2197)</f>
        <v>0.88235294117647056</v>
      </c>
      <c r="J2197" s="16">
        <f>COUNTIF(H$5:H2197,"Y")/COUNTA(H$5:H2197)</f>
        <v>4.9247606019151846E-2</v>
      </c>
      <c r="K2197" s="16">
        <f>AVERAGE(F$5:F2197)</f>
        <v>2.2169630642954838</v>
      </c>
      <c r="L2197" s="16">
        <f>SUM(F$5:F2197)/SUM(E$5:E2197)</f>
        <v>0.76265922068143133</v>
      </c>
    </row>
    <row r="2198" spans="1:12" x14ac:dyDescent="0.25">
      <c r="A2198" s="29">
        <v>45988</v>
      </c>
      <c r="B2198" s="16" t="s">
        <v>2244</v>
      </c>
      <c r="C2198" s="34">
        <v>1</v>
      </c>
      <c r="D2198" s="16" t="s">
        <v>47</v>
      </c>
      <c r="E2198" s="35">
        <v>3.4</v>
      </c>
      <c r="F2198" s="35">
        <v>3</v>
      </c>
      <c r="G2198" s="16" t="s">
        <v>44</v>
      </c>
      <c r="H2198" s="16" t="s">
        <v>45</v>
      </c>
      <c r="I2198" s="16">
        <f>COUNTIF(G$5:G2198,"Y")/COUNTA(G$5:G2198)</f>
        <v>0.88240656335460343</v>
      </c>
      <c r="J2198" s="16">
        <f>COUNTIF(H$5:H2198,"Y")/COUNTA(H$5:H2198)</f>
        <v>4.9225159525979945E-2</v>
      </c>
      <c r="K2198" s="16">
        <f>AVERAGE(F$5:F2198)</f>
        <v>2.2173199635369167</v>
      </c>
      <c r="L2198" s="16">
        <f>SUM(F$5:F2198)/SUM(E$5:E2198)</f>
        <v>0.76272302530494318</v>
      </c>
    </row>
    <row r="2199" spans="1:12" x14ac:dyDescent="0.25">
      <c r="A2199" s="29">
        <v>45989</v>
      </c>
      <c r="B2199" s="16" t="s">
        <v>2245</v>
      </c>
      <c r="C2199" s="34">
        <v>1</v>
      </c>
      <c r="D2199" s="16" t="s">
        <v>50</v>
      </c>
      <c r="E2199" s="35">
        <v>1.6</v>
      </c>
      <c r="F2199" s="35">
        <v>1.3</v>
      </c>
      <c r="G2199" s="16" t="s">
        <v>44</v>
      </c>
      <c r="H2199" s="16" t="s">
        <v>45</v>
      </c>
      <c r="I2199" s="16">
        <f>COUNTIF(G$5:G2199,"Y")/COUNTA(G$5:G2199)</f>
        <v>0.88246013667425971</v>
      </c>
      <c r="J2199" s="16">
        <f>COUNTIF(H$5:H2199,"Y")/COUNTA(H$5:H2199)</f>
        <v>4.920273348519362E-2</v>
      </c>
      <c r="K2199" s="16">
        <f>AVERAGE(F$5:F2199)</f>
        <v>2.2169020501138932</v>
      </c>
      <c r="L2199" s="16">
        <f>SUM(F$5:F2199)/SUM(E$5:E2199)</f>
        <v>0.7627355089501221</v>
      </c>
    </row>
    <row r="2200" spans="1:12" x14ac:dyDescent="0.25">
      <c r="A2200" s="29">
        <v>45985</v>
      </c>
      <c r="B2200" s="16" t="s">
        <v>2246</v>
      </c>
      <c r="C2200" s="34">
        <v>1</v>
      </c>
      <c r="D2200" s="16" t="s">
        <v>50</v>
      </c>
      <c r="E2200" s="35">
        <v>1.5</v>
      </c>
      <c r="F2200" s="35">
        <v>1.3</v>
      </c>
      <c r="G2200" s="16" t="s">
        <v>44</v>
      </c>
      <c r="H2200" s="16" t="s">
        <v>45</v>
      </c>
      <c r="I2200" s="16">
        <f>COUNTIF(G$5:G2200,"Y")/COUNTA(G$5:G2200)</f>
        <v>0.88251366120218577</v>
      </c>
      <c r="J2200" s="16">
        <f>COUNTIF(H$5:H2200,"Y")/COUNTA(H$5:H2200)</f>
        <v>4.9180327868852458E-2</v>
      </c>
      <c r="K2200" s="16">
        <f>AVERAGE(F$5:F2200)</f>
        <v>2.2164845173041878</v>
      </c>
      <c r="L2200" s="16">
        <f>SUM(F$5:F2200)/SUM(E$5:E2200)</f>
        <v>0.76275993919734053</v>
      </c>
    </row>
    <row r="2201" spans="1:12" x14ac:dyDescent="0.25">
      <c r="A2201" s="29">
        <v>45986</v>
      </c>
      <c r="B2201" s="16" t="s">
        <v>2247</v>
      </c>
      <c r="C2201" s="34">
        <v>1</v>
      </c>
      <c r="D2201" s="16" t="s">
        <v>52</v>
      </c>
      <c r="E2201" s="35">
        <v>4.7</v>
      </c>
      <c r="F2201" s="35">
        <v>3.2</v>
      </c>
      <c r="G2201" s="16" t="s">
        <v>44</v>
      </c>
      <c r="H2201" s="16" t="s">
        <v>45</v>
      </c>
      <c r="I2201" s="16">
        <f>COUNTIF(G$5:G2201,"Y")/COUNTA(G$5:G2201)</f>
        <v>0.88256713700500677</v>
      </c>
      <c r="J2201" s="16">
        <f>COUNTIF(H$5:H2201,"Y")/COUNTA(H$5:H2201)</f>
        <v>4.9157942649066907E-2</v>
      </c>
      <c r="K2201" s="16">
        <f>AVERAGE(F$5:F2201)</f>
        <v>2.216932180245788</v>
      </c>
      <c r="L2201" s="16">
        <f>SUM(F$5:F2201)/SUM(E$5:E2201)</f>
        <v>0.76269965549639662</v>
      </c>
    </row>
    <row r="2202" spans="1:12" x14ac:dyDescent="0.25">
      <c r="A2202" s="29">
        <v>45987</v>
      </c>
      <c r="B2202" s="16" t="s">
        <v>2248</v>
      </c>
      <c r="C2202" s="34">
        <v>1</v>
      </c>
      <c r="D2202" s="16" t="s">
        <v>52</v>
      </c>
      <c r="E2202" s="35">
        <v>1.8</v>
      </c>
      <c r="F2202" s="35">
        <v>1.3</v>
      </c>
      <c r="G2202" s="16" t="s">
        <v>44</v>
      </c>
      <c r="H2202" s="16" t="s">
        <v>45</v>
      </c>
      <c r="I2202" s="16">
        <f>COUNTIF(G$5:G2202,"Y")/COUNTA(G$5:G2202)</f>
        <v>0.88262056414922652</v>
      </c>
      <c r="J2202" s="16">
        <f>COUNTIF(H$5:H2202,"Y")/COUNTA(H$5:H2202)</f>
        <v>4.9135577797998181E-2</v>
      </c>
      <c r="K2202" s="16">
        <f>AVERAGE(F$5:F2202)</f>
        <v>2.2165150136487699</v>
      </c>
      <c r="L2202" s="16">
        <f>SUM(F$5:F2202)/SUM(E$5:E2202)</f>
        <v>0.76268824947556102</v>
      </c>
    </row>
    <row r="2203" spans="1:12" x14ac:dyDescent="0.25">
      <c r="A2203" s="29">
        <v>45988</v>
      </c>
      <c r="B2203" s="16" t="s">
        <v>2249</v>
      </c>
      <c r="C2203" s="34">
        <v>1</v>
      </c>
      <c r="D2203" s="16" t="s">
        <v>52</v>
      </c>
      <c r="E2203" s="35">
        <v>2.5</v>
      </c>
      <c r="F2203" s="35">
        <v>1.7</v>
      </c>
      <c r="G2203" s="16" t="s">
        <v>44</v>
      </c>
      <c r="H2203" s="16" t="s">
        <v>45</v>
      </c>
      <c r="I2203" s="16">
        <f>COUNTIF(G$5:G2203,"Y")/COUNTA(G$5:G2203)</f>
        <v>0.88267394270122779</v>
      </c>
      <c r="J2203" s="16">
        <f>COUNTIF(H$5:H2203,"Y")/COUNTA(H$5:H2203)</f>
        <v>4.9113233287858118E-2</v>
      </c>
      <c r="K2203" s="16">
        <f>AVERAGE(F$5:F2203)</f>
        <v>2.2162801273306028</v>
      </c>
      <c r="L2203" s="16">
        <f>SUM(F$5:F2203)/SUM(E$5:E2203)</f>
        <v>0.76265590034896469</v>
      </c>
    </row>
    <row r="2204" spans="1:12" x14ac:dyDescent="0.25">
      <c r="A2204" s="29">
        <v>45989</v>
      </c>
      <c r="B2204" s="16" t="s">
        <v>2250</v>
      </c>
      <c r="C2204" s="34">
        <v>1</v>
      </c>
      <c r="D2204" s="16" t="s">
        <v>52</v>
      </c>
      <c r="E2204" s="35">
        <v>3.7</v>
      </c>
      <c r="F2204" s="35">
        <v>2.6</v>
      </c>
      <c r="G2204" s="16" t="s">
        <v>44</v>
      </c>
      <c r="H2204" s="16" t="s">
        <v>45</v>
      </c>
      <c r="I2204" s="16">
        <f>COUNTIF(G$5:G2204,"Y")/COUNTA(G$5:G2204)</f>
        <v>0.88272727272727269</v>
      </c>
      <c r="J2204" s="16">
        <f>COUNTIF(H$5:H2204,"Y")/COUNTA(H$5:H2204)</f>
        <v>4.9090909090909088E-2</v>
      </c>
      <c r="K2204" s="16">
        <f>AVERAGE(F$5:F2204)</f>
        <v>2.2164545454545439</v>
      </c>
      <c r="L2204" s="16">
        <f>SUM(F$5:F2204)/SUM(E$5:E2204)</f>
        <v>0.76262120738191885</v>
      </c>
    </row>
    <row r="2205" spans="1:12" x14ac:dyDescent="0.25">
      <c r="A2205" s="29">
        <v>45985</v>
      </c>
      <c r="B2205" s="16" t="s">
        <v>2251</v>
      </c>
      <c r="C2205" s="34">
        <v>1</v>
      </c>
      <c r="D2205" s="16" t="s">
        <v>52</v>
      </c>
      <c r="E2205" s="35">
        <v>1.4</v>
      </c>
      <c r="F2205" s="35">
        <v>1</v>
      </c>
      <c r="G2205" s="16" t="s">
        <v>44</v>
      </c>
      <c r="H2205" s="16" t="s">
        <v>45</v>
      </c>
      <c r="I2205" s="16">
        <f>COUNTIF(G$5:G2205,"Y")/COUNTA(G$5:G2205)</f>
        <v>0.88278055429350299</v>
      </c>
      <c r="J2205" s="16">
        <f>COUNTIF(H$5:H2205,"Y")/COUNTA(H$5:H2205)</f>
        <v>4.9068605179463883E-2</v>
      </c>
      <c r="K2205" s="16">
        <f>AVERAGE(F$5:F2205)</f>
        <v>2.2159018627896394</v>
      </c>
      <c r="L2205" s="16">
        <f>SUM(F$5:F2205)/SUM(E$5:E2205)</f>
        <v>0.76261062638771449</v>
      </c>
    </row>
    <row r="2206" spans="1:12" x14ac:dyDescent="0.25">
      <c r="A2206" s="29">
        <v>45986</v>
      </c>
      <c r="B2206" s="16" t="s">
        <v>2252</v>
      </c>
      <c r="C2206" s="34">
        <v>1</v>
      </c>
      <c r="D2206" s="16" t="s">
        <v>56</v>
      </c>
      <c r="E2206" s="35">
        <v>3.4</v>
      </c>
      <c r="F2206" s="35">
        <v>2.4</v>
      </c>
      <c r="G2206" s="16" t="s">
        <v>44</v>
      </c>
      <c r="H2206" s="16" t="s">
        <v>45</v>
      </c>
      <c r="I2206" s="16">
        <f>COUNTIF(G$5:G2206,"Y")/COUNTA(G$5:G2206)</f>
        <v>0.8828337874659401</v>
      </c>
      <c r="J2206" s="16">
        <f>COUNTIF(H$5:H2206,"Y")/COUNTA(H$5:H2206)</f>
        <v>4.9046321525885561E-2</v>
      </c>
      <c r="K2206" s="16">
        <f>AVERAGE(F$5:F2206)</f>
        <v>2.2159854677565831</v>
      </c>
      <c r="L2206" s="16">
        <f>SUM(F$5:F2206)/SUM(E$5:E2206)</f>
        <v>0.76258048384071853</v>
      </c>
    </row>
    <row r="2207" spans="1:12" x14ac:dyDescent="0.25">
      <c r="A2207" s="29">
        <v>45987</v>
      </c>
      <c r="B2207" s="16" t="s">
        <v>2253</v>
      </c>
      <c r="C2207" s="34">
        <v>1</v>
      </c>
      <c r="D2207" s="16" t="s">
        <v>50</v>
      </c>
      <c r="E2207" s="35">
        <v>3.7</v>
      </c>
      <c r="F2207" s="35">
        <v>3.2</v>
      </c>
      <c r="G2207" s="16" t="s">
        <v>45</v>
      </c>
      <c r="H2207" s="16" t="s">
        <v>45</v>
      </c>
      <c r="I2207" s="16">
        <f>COUNTIF(G$5:G2207,"Y")/COUNTA(G$5:G2207)</f>
        <v>0.88243304584657289</v>
      </c>
      <c r="J2207" s="16">
        <f>COUNTIF(H$5:H2207,"Y")/COUNTA(H$5:H2207)</f>
        <v>4.9024058102587378E-2</v>
      </c>
      <c r="K2207" s="16">
        <f>AVERAGE(F$5:F2207)</f>
        <v>2.2164321379936429</v>
      </c>
      <c r="L2207" s="16">
        <f>SUM(F$5:F2207)/SUM(E$5:E2207)</f>
        <v>0.76263959390862779</v>
      </c>
    </row>
    <row r="2208" spans="1:12" x14ac:dyDescent="0.25">
      <c r="A2208" s="29">
        <v>45988</v>
      </c>
      <c r="B2208" s="16" t="s">
        <v>2254</v>
      </c>
      <c r="C2208" s="34">
        <v>1</v>
      </c>
      <c r="D2208" s="16" t="s">
        <v>43</v>
      </c>
      <c r="E2208" s="35">
        <v>2</v>
      </c>
      <c r="F2208" s="35">
        <v>1.4</v>
      </c>
      <c r="G2208" s="16" t="s">
        <v>44</v>
      </c>
      <c r="H2208" s="16" t="s">
        <v>45</v>
      </c>
      <c r="I2208" s="16">
        <f>COUNTIF(G$5:G2208,"Y")/COUNTA(G$5:G2208)</f>
        <v>0.88248638838475502</v>
      </c>
      <c r="J2208" s="16">
        <f>COUNTIF(H$5:H2208,"Y")/COUNTA(H$5:H2208)</f>
        <v>4.9001814882032667E-2</v>
      </c>
      <c r="K2208" s="16">
        <f>AVERAGE(F$5:F2208)</f>
        <v>2.2160617059891083</v>
      </c>
      <c r="L2208" s="16">
        <f>SUM(F$5:F2208)/SUM(E$5:E2208)</f>
        <v>0.76262003278944324</v>
      </c>
    </row>
    <row r="2209" spans="1:13" x14ac:dyDescent="0.25">
      <c r="A2209" s="29">
        <v>45989</v>
      </c>
      <c r="B2209" s="16" t="s">
        <v>2255</v>
      </c>
      <c r="C2209" s="34">
        <v>1</v>
      </c>
      <c r="D2209" s="16" t="s">
        <v>56</v>
      </c>
      <c r="E2209" s="35">
        <v>4.7</v>
      </c>
      <c r="F2209" s="35">
        <v>3.3</v>
      </c>
      <c r="G2209" s="16" t="s">
        <v>45</v>
      </c>
      <c r="H2209" s="16" t="s">
        <v>45</v>
      </c>
      <c r="I2209" s="16">
        <f>COUNTIF(G$5:G2209,"Y")/COUNTA(G$5:G2209)</f>
        <v>0.88208616780045357</v>
      </c>
      <c r="J2209" s="16">
        <f>COUNTIF(H$5:H2209,"Y")/COUNTA(H$5:H2209)</f>
        <v>4.8979591836734691E-2</v>
      </c>
      <c r="K2209" s="16">
        <f>AVERAGE(F$5:F2209)</f>
        <v>2.2165532879818572</v>
      </c>
      <c r="L2209" s="16">
        <f>SUM(F$5:F2209)/SUM(E$5:E2209)</f>
        <v>0.76257567247082148</v>
      </c>
    </row>
    <row r="2210" spans="1:13" x14ac:dyDescent="0.25">
      <c r="A2210" s="29">
        <v>45985</v>
      </c>
      <c r="B2210" s="16" t="s">
        <v>2256</v>
      </c>
      <c r="C2210" s="34">
        <v>1</v>
      </c>
      <c r="D2210" s="16" t="s">
        <v>52</v>
      </c>
      <c r="E2210" s="35">
        <v>2.2999999999999998</v>
      </c>
      <c r="F2210" s="35">
        <v>1.8</v>
      </c>
      <c r="G2210" s="16" t="s">
        <v>44</v>
      </c>
      <c r="H2210" s="16" t="s">
        <v>45</v>
      </c>
      <c r="I2210" s="16">
        <f>COUNTIF(G$5:G2210,"Y")/COUNTA(G$5:G2210)</f>
        <v>0.88213961922030826</v>
      </c>
      <c r="J2210" s="16">
        <f>COUNTIF(H$5:H2210,"Y")/COUNTA(H$5:H2210)</f>
        <v>4.8957388939256573E-2</v>
      </c>
      <c r="K2210" s="16">
        <f>AVERAGE(F$5:F2210)</f>
        <v>2.2163644605621013</v>
      </c>
      <c r="L2210" s="16">
        <f>SUM(F$5:F2210)/SUM(E$5:E2210)</f>
        <v>0.76258285892536681</v>
      </c>
    </row>
    <row r="2211" spans="1:13" x14ac:dyDescent="0.25">
      <c r="A2211" s="29">
        <v>45986</v>
      </c>
      <c r="B2211" s="16" t="s">
        <v>2257</v>
      </c>
      <c r="C2211" s="34">
        <v>1</v>
      </c>
      <c r="D2211" s="16" t="s">
        <v>52</v>
      </c>
      <c r="E2211" s="35">
        <v>2.1</v>
      </c>
      <c r="F2211" s="35">
        <v>1.6</v>
      </c>
      <c r="G2211" s="16" t="s">
        <v>45</v>
      </c>
      <c r="H2211" s="16" t="s">
        <v>45</v>
      </c>
      <c r="I2211" s="16">
        <f>COUNTIF(G$5:G2211,"Y")/COUNTA(G$5:G2211)</f>
        <v>0.88173991844132305</v>
      </c>
      <c r="J2211" s="16">
        <f>COUNTIF(H$5:H2211,"Y")/COUNTA(H$5:H2211)</f>
        <v>4.8935206162211149E-2</v>
      </c>
      <c r="K2211" s="16">
        <f>AVERAGE(F$5:F2211)</f>
        <v>2.2160851835070212</v>
      </c>
      <c r="L2211" s="16">
        <f>SUM(F$5:F2211)/SUM(E$5:E2211)</f>
        <v>0.76258263689659311</v>
      </c>
    </row>
    <row r="2212" spans="1:13" x14ac:dyDescent="0.25">
      <c r="A2212" s="29">
        <v>45987</v>
      </c>
      <c r="B2212" s="16" t="s">
        <v>2258</v>
      </c>
      <c r="C2212" s="34">
        <v>1</v>
      </c>
      <c r="D2212" s="16" t="s">
        <v>60</v>
      </c>
      <c r="E2212" s="35">
        <v>2.2999999999999998</v>
      </c>
      <c r="F2212" s="35">
        <v>1.7</v>
      </c>
      <c r="G2212" s="16" t="s">
        <v>44</v>
      </c>
      <c r="H2212" s="16" t="s">
        <v>45</v>
      </c>
      <c r="I2212" s="16">
        <f>COUNTIF(G$5:G2212,"Y")/COUNTA(G$5:G2212)</f>
        <v>0.88179347826086951</v>
      </c>
      <c r="J2212" s="16">
        <f>COUNTIF(H$5:H2212,"Y")/COUNTA(H$5:H2212)</f>
        <v>4.8913043478260872E-2</v>
      </c>
      <c r="K2212" s="16">
        <f>AVERAGE(F$5:F2212)</f>
        <v>2.2158514492753603</v>
      </c>
      <c r="L2212" s="16">
        <f>SUM(F$5:F2212)/SUM(E$5:E2212)</f>
        <v>0.76257422964821597</v>
      </c>
    </row>
    <row r="2213" spans="1:13" x14ac:dyDescent="0.25">
      <c r="A2213" s="29">
        <v>45988</v>
      </c>
      <c r="B2213" s="16" t="s">
        <v>2259</v>
      </c>
      <c r="C2213" s="34">
        <v>1</v>
      </c>
      <c r="D2213" s="16" t="s">
        <v>43</v>
      </c>
      <c r="E2213" s="35">
        <v>1.2</v>
      </c>
      <c r="F2213" s="35">
        <v>1.1000000000000001</v>
      </c>
      <c r="G2213" s="16" t="s">
        <v>44</v>
      </c>
      <c r="H2213" s="16" t="s">
        <v>45</v>
      </c>
      <c r="I2213" s="16">
        <f>COUNTIF(G$5:G2213,"Y")/COUNTA(G$5:G2213)</f>
        <v>0.88184698958804886</v>
      </c>
      <c r="J2213" s="16">
        <f>COUNTIF(H$5:H2213,"Y")/COUNTA(H$5:H2213)</f>
        <v>4.88909008601177E-2</v>
      </c>
      <c r="K2213" s="16">
        <f>AVERAGE(F$5:F2213)</f>
        <v>2.2153463105477575</v>
      </c>
      <c r="L2213" s="16">
        <f>SUM(F$5:F2213)/SUM(E$5:E2213)</f>
        <v>0.76260304498916798</v>
      </c>
    </row>
    <row r="2214" spans="1:13" x14ac:dyDescent="0.25">
      <c r="A2214" s="29">
        <v>45989</v>
      </c>
      <c r="B2214" s="16" t="s">
        <v>2260</v>
      </c>
      <c r="C2214" s="34">
        <v>1</v>
      </c>
      <c r="D2214" s="16" t="s">
        <v>56</v>
      </c>
      <c r="E2214" s="35">
        <v>2.8</v>
      </c>
      <c r="F2214" s="35">
        <v>2.4</v>
      </c>
      <c r="G2214" s="16" t="s">
        <v>44</v>
      </c>
      <c r="H2214" s="16" t="s">
        <v>45</v>
      </c>
      <c r="I2214" s="16">
        <f>COUNTIF(G$5:G2214,"Y")/COUNTA(G$5:G2214)</f>
        <v>0.88190045248868776</v>
      </c>
      <c r="J2214" s="16">
        <f>COUNTIF(H$5:H2214,"Y")/COUNTA(H$5:H2214)</f>
        <v>4.8868778280542986E-2</v>
      </c>
      <c r="K2214" s="16">
        <f>AVERAGE(F$5:F2214)</f>
        <v>2.2154298642533918</v>
      </c>
      <c r="L2214" s="16">
        <f>SUM(F$5:F2214)/SUM(E$5:E2214)</f>
        <v>0.76264427794825296</v>
      </c>
    </row>
    <row r="2215" spans="1:13" x14ac:dyDescent="0.25">
      <c r="A2215" s="29">
        <v>45985</v>
      </c>
      <c r="B2215" s="16" t="s">
        <v>2261</v>
      </c>
      <c r="C2215" s="34">
        <v>1</v>
      </c>
      <c r="D2215" s="16" t="s">
        <v>56</v>
      </c>
      <c r="E2215" s="35">
        <v>4.2</v>
      </c>
      <c r="F2215" s="35">
        <v>3.3</v>
      </c>
      <c r="G2215" s="16" t="s">
        <v>44</v>
      </c>
      <c r="H2215" s="16" t="s">
        <v>45</v>
      </c>
      <c r="I2215" s="16">
        <f>COUNTIF(G$5:G2215,"Y")/COUNTA(G$5:G2215)</f>
        <v>0.88195386702849388</v>
      </c>
      <c r="J2215" s="16">
        <f>COUNTIF(H$5:H2215,"Y")/COUNTA(H$5:H2215)</f>
        <v>4.8846675712347354E-2</v>
      </c>
      <c r="K2215" s="16">
        <f>AVERAGE(F$5:F2215)</f>
        <v>2.2159203980099482</v>
      </c>
      <c r="L2215" s="16">
        <f>SUM(F$5:F2215)/SUM(E$5:E2215)</f>
        <v>0.76265936084431896</v>
      </c>
    </row>
    <row r="2216" spans="1:13" x14ac:dyDescent="0.25">
      <c r="A2216" s="29">
        <v>45986</v>
      </c>
      <c r="B2216" s="16" t="s">
        <v>2262</v>
      </c>
      <c r="C2216" s="34">
        <v>1</v>
      </c>
      <c r="D2216" s="16" t="s">
        <v>52</v>
      </c>
      <c r="E2216" s="35">
        <v>1.2</v>
      </c>
      <c r="F2216" s="35">
        <v>1</v>
      </c>
      <c r="G2216" s="16" t="s">
        <v>44</v>
      </c>
      <c r="H2216" s="16" t="s">
        <v>45</v>
      </c>
      <c r="I2216" s="16">
        <f>COUNTIF(G$5:G2216,"Y")/COUNTA(G$5:G2216)</f>
        <v>0.88200723327305608</v>
      </c>
      <c r="J2216" s="16">
        <f>COUNTIF(H$5:H2216,"Y")/COUNTA(H$5:H2216)</f>
        <v>4.8824593128390596E-2</v>
      </c>
      <c r="K2216" s="16">
        <f>AVERAGE(F$5:F2216)</f>
        <v>2.2153707052441209</v>
      </c>
      <c r="L2216" s="16">
        <f>SUM(F$5:F2216)/SUM(E$5:E2216)</f>
        <v>0.76267256003610562</v>
      </c>
    </row>
    <row r="2217" spans="1:13" x14ac:dyDescent="0.25">
      <c r="A2217" s="29">
        <v>45987</v>
      </c>
      <c r="B2217" s="16" t="s">
        <v>2263</v>
      </c>
      <c r="C2217" s="34">
        <v>1</v>
      </c>
      <c r="D2217" s="16" t="s">
        <v>56</v>
      </c>
      <c r="E2217" s="35">
        <v>2</v>
      </c>
      <c r="F2217" s="35">
        <v>1.6</v>
      </c>
      <c r="G2217" s="16" t="s">
        <v>44</v>
      </c>
      <c r="H2217" s="16" t="s">
        <v>45</v>
      </c>
      <c r="I2217" s="16">
        <f>COUNTIF(G$5:G2217,"Y")/COUNTA(G$5:G2217)</f>
        <v>0.88206055128784455</v>
      </c>
      <c r="J2217" s="16">
        <f>COUNTIF(H$5:H2217,"Y")/COUNTA(H$5:H2217)</f>
        <v>4.8802530501581565E-2</v>
      </c>
      <c r="K2217" s="16">
        <f>AVERAGE(F$5:F2217)</f>
        <v>2.2150926344328949</v>
      </c>
      <c r="L2217" s="16">
        <f>SUM(F$5:F2217)/SUM(E$5:E2217)</f>
        <v>0.76268417531467181</v>
      </c>
    </row>
    <row r="2218" spans="1:13" x14ac:dyDescent="0.25">
      <c r="A2218" s="29">
        <v>45988</v>
      </c>
      <c r="B2218" s="16" t="s">
        <v>2264</v>
      </c>
      <c r="C2218" s="34">
        <v>1</v>
      </c>
      <c r="D2218" s="16" t="s">
        <v>47</v>
      </c>
      <c r="E2218" s="35">
        <v>2.2999999999999998</v>
      </c>
      <c r="F2218" s="35">
        <v>1.9</v>
      </c>
      <c r="G2218" s="16" t="s">
        <v>44</v>
      </c>
      <c r="H2218" s="16" t="s">
        <v>45</v>
      </c>
      <c r="I2218" s="16">
        <f>COUNTIF(G$5:G2218,"Y")/COUNTA(G$5:G2218)</f>
        <v>0.88211382113821135</v>
      </c>
      <c r="J2218" s="16">
        <f>COUNTIF(H$5:H2218,"Y")/COUNTA(H$5:H2218)</f>
        <v>4.878048780487805E-2</v>
      </c>
      <c r="K2218" s="16">
        <f>AVERAGE(F$5:F2218)</f>
        <v>2.2149503161698267</v>
      </c>
      <c r="L2218" s="16">
        <f>SUM(F$5:F2218)/SUM(E$5:E2218)</f>
        <v>0.76270685579196051</v>
      </c>
    </row>
    <row r="2219" spans="1:13" x14ac:dyDescent="0.25">
      <c r="A2219" s="29">
        <v>45989</v>
      </c>
      <c r="B2219" s="16" t="s">
        <v>2265</v>
      </c>
      <c r="C2219" s="34">
        <v>1</v>
      </c>
      <c r="D2219" s="16" t="s">
        <v>64</v>
      </c>
      <c r="E2219" s="35">
        <v>4.7</v>
      </c>
      <c r="F2219" s="35">
        <v>3.4</v>
      </c>
      <c r="G2219" s="16" t="s">
        <v>44</v>
      </c>
      <c r="H2219" s="16" t="s">
        <v>45</v>
      </c>
      <c r="I2219" s="16">
        <f>COUNTIF(G$5:G2219,"Y")/COUNTA(G$5:G2219)</f>
        <v>0.88216704288939052</v>
      </c>
      <c r="J2219" s="16">
        <f>COUNTIF(H$5:H2219,"Y")/COUNTA(H$5:H2219)</f>
        <v>4.8758465011286681E-2</v>
      </c>
      <c r="K2219" s="16">
        <f>AVERAGE(F$5:F2219)</f>
        <v>2.2154853273137678</v>
      </c>
      <c r="L2219" s="16">
        <f>SUM(F$5:F2219)/SUM(E$5:E2219)</f>
        <v>0.76267814680695478</v>
      </c>
    </row>
    <row r="2220" spans="1:13" x14ac:dyDescent="0.25">
      <c r="A2220" s="29">
        <v>45985</v>
      </c>
      <c r="B2220" s="16" t="s">
        <v>2266</v>
      </c>
      <c r="C2220" s="34">
        <v>1</v>
      </c>
      <c r="D2220" s="16" t="s">
        <v>56</v>
      </c>
      <c r="E2220" s="35">
        <v>3.8</v>
      </c>
      <c r="F2220" s="35">
        <v>2.7</v>
      </c>
      <c r="G2220" s="16" t="s">
        <v>44</v>
      </c>
      <c r="H2220" s="16" t="s">
        <v>45</v>
      </c>
      <c r="I2220" s="16">
        <f>COUNTIF(G$5:G2220,"Y")/COUNTA(G$5:G2220)</f>
        <v>0.88222021660649819</v>
      </c>
      <c r="J2220" s="16">
        <f>COUNTIF(H$5:H2220,"Y")/COUNTA(H$5:H2220)</f>
        <v>4.8736462093862815E-2</v>
      </c>
      <c r="K2220" s="16">
        <f>AVERAGE(F$5:F2220)</f>
        <v>2.2157039711191313</v>
      </c>
      <c r="L2220" s="16">
        <f>SUM(F$5:F2220)/SUM(E$5:E2220)</f>
        <v>0.76264736490579343</v>
      </c>
    </row>
    <row r="2221" spans="1:13" x14ac:dyDescent="0.25">
      <c r="A2221" s="29">
        <v>45986</v>
      </c>
      <c r="B2221" s="16" t="s">
        <v>2267</v>
      </c>
      <c r="C2221" s="34">
        <v>1</v>
      </c>
      <c r="D2221" s="16" t="s">
        <v>47</v>
      </c>
      <c r="E2221" s="35">
        <v>0.7</v>
      </c>
      <c r="F2221" s="35">
        <v>0.5</v>
      </c>
      <c r="G2221" s="16" t="s">
        <v>44</v>
      </c>
      <c r="H2221" s="16" t="s">
        <v>45</v>
      </c>
      <c r="I2221" s="16">
        <f>COUNTIF(G$5:G2221,"Y")/COUNTA(G$5:G2221)</f>
        <v>0.88227334235453314</v>
      </c>
      <c r="J2221" s="16">
        <f>COUNTIF(H$5:H2221,"Y")/COUNTA(H$5:H2221)</f>
        <v>4.8714479025710418E-2</v>
      </c>
      <c r="K2221" s="16">
        <f>AVERAGE(F$5:F2221)</f>
        <v>2.214930085701396</v>
      </c>
      <c r="L2221" s="16">
        <f>SUM(F$5:F2221)/SUM(E$5:E2221)</f>
        <v>0.76264210722494707</v>
      </c>
    </row>
    <row r="2222" spans="1:13" x14ac:dyDescent="0.25">
      <c r="A2222" s="29">
        <v>45987</v>
      </c>
      <c r="B2222" s="16" t="s">
        <v>2268</v>
      </c>
      <c r="C2222" s="34">
        <v>1</v>
      </c>
      <c r="D2222" s="16" t="s">
        <v>64</v>
      </c>
      <c r="E2222" s="35">
        <v>0.6</v>
      </c>
      <c r="F2222" s="35">
        <v>0.5</v>
      </c>
      <c r="G2222" s="16" t="s">
        <v>44</v>
      </c>
      <c r="H2222" s="16" t="s">
        <v>45</v>
      </c>
      <c r="I2222" s="16">
        <f>COUNTIF(G$5:G2222,"Y")/COUNTA(G$5:G2222)</f>
        <v>0.88232642019837693</v>
      </c>
      <c r="J2222" s="16">
        <f>COUNTIF(H$5:H2222,"Y")/COUNTA(H$5:H2222)</f>
        <v>4.8692515779981967E-2</v>
      </c>
      <c r="K2222" s="16">
        <f>AVERAGE(F$5:F2222)</f>
        <v>2.2141568981063999</v>
      </c>
      <c r="L2222" s="16">
        <f>SUM(F$5:F2222)/SUM(E$5:E2222)</f>
        <v>0.76264869397769808</v>
      </c>
    </row>
    <row r="2223" spans="1:13" x14ac:dyDescent="0.25">
      <c r="A2223" s="29">
        <v>45988</v>
      </c>
      <c r="B2223" s="16" t="s">
        <v>2269</v>
      </c>
      <c r="C2223" s="34">
        <v>1</v>
      </c>
      <c r="D2223" s="16" t="s">
        <v>64</v>
      </c>
      <c r="E2223" s="35">
        <v>0.6</v>
      </c>
      <c r="F2223" s="35">
        <v>0.5</v>
      </c>
      <c r="G2223" s="16" t="s">
        <v>44</v>
      </c>
      <c r="H2223" s="16" t="s">
        <v>45</v>
      </c>
      <c r="I2223" s="16">
        <f>COUNTIF(G$5:G2223,"Y")/COUNTA(G$5:G2223)</f>
        <v>0.88237945020279407</v>
      </c>
      <c r="J2223" s="16">
        <f>COUNTIF(H$5:H2223,"Y")/COUNTA(H$5:H2223)</f>
        <v>4.8670572329878321E-2</v>
      </c>
      <c r="K2223" s="16">
        <f>AVERAGE(F$5:F2223)</f>
        <v>2.2133844073907145</v>
      </c>
      <c r="L2223" s="16">
        <f>SUM(F$5:F2223)/SUM(E$5:E2223)</f>
        <v>0.76265527950310386</v>
      </c>
    </row>
    <row r="2224" spans="1:13" x14ac:dyDescent="0.25">
      <c r="A2224" s="29">
        <v>45989</v>
      </c>
      <c r="B2224" s="16" t="s">
        <v>2270</v>
      </c>
      <c r="C2224" s="34">
        <v>1</v>
      </c>
      <c r="D2224" s="16" t="s">
        <v>56</v>
      </c>
      <c r="E2224" s="35">
        <v>1</v>
      </c>
      <c r="F2224" s="35">
        <v>0.5</v>
      </c>
      <c r="G2224" s="16" t="s">
        <v>44</v>
      </c>
      <c r="H2224" s="16" t="s">
        <v>45</v>
      </c>
      <c r="I2224" s="16">
        <f>COUNTIF(G$5:G2224,"Y")/COUNTA(G$5:G2224)</f>
        <v>0.88243243243243241</v>
      </c>
      <c r="J2224" s="16">
        <f>COUNTIF(H$5:H2224,"Y")/COUNTA(H$5:H2224)</f>
        <v>4.8648648648648651E-2</v>
      </c>
      <c r="K2224" s="16">
        <f>AVERAGE(F$5:F2224)</f>
        <v>2.2126126126126104</v>
      </c>
      <c r="L2224" s="16">
        <f>SUM(F$5:F2224)/SUM(E$5:E2224)</f>
        <v>0.76261450085390292</v>
      </c>
      <c r="M2224" s="16">
        <v>10</v>
      </c>
    </row>
    <row r="2225" spans="1:12" x14ac:dyDescent="0.25">
      <c r="A2225" s="29">
        <v>45992</v>
      </c>
      <c r="B2225" s="16" t="s">
        <v>2271</v>
      </c>
      <c r="C2225" s="34">
        <v>1</v>
      </c>
      <c r="D2225" s="16" t="s">
        <v>60</v>
      </c>
      <c r="E2225" s="35">
        <v>2.4</v>
      </c>
      <c r="F2225" s="35">
        <v>2.1</v>
      </c>
      <c r="G2225" s="16" t="s">
        <v>44</v>
      </c>
      <c r="H2225" s="16" t="s">
        <v>45</v>
      </c>
      <c r="I2225" s="16">
        <f>COUNTIF(G$5:G2225,"Y")/COUNTA(G$5:G2225)</f>
        <v>0.88248536695182356</v>
      </c>
      <c r="J2225" s="16">
        <f>COUNTIF(H$5:H2225,"Y")/COUNTA(H$5:H2225)</f>
        <v>4.8626744709590275E-2</v>
      </c>
      <c r="K2225" s="16">
        <f>AVERAGE(F$5:F2225)</f>
        <v>2.2125619090499757</v>
      </c>
      <c r="L2225" s="16">
        <f>SUM(F$5:F2225)/SUM(E$5:E2225)</f>
        <v>0.76265636154824923</v>
      </c>
    </row>
    <row r="2226" spans="1:12" x14ac:dyDescent="0.25">
      <c r="A2226" s="29">
        <v>45993</v>
      </c>
      <c r="B2226" s="16" t="s">
        <v>2272</v>
      </c>
      <c r="C2226" s="34">
        <v>1</v>
      </c>
      <c r="D2226" s="16" t="s">
        <v>52</v>
      </c>
      <c r="E2226" s="35">
        <v>4.7</v>
      </c>
      <c r="F2226" s="35">
        <v>3.7</v>
      </c>
      <c r="G2226" s="16" t="s">
        <v>44</v>
      </c>
      <c r="H2226" s="16" t="s">
        <v>45</v>
      </c>
      <c r="I2226" s="16">
        <f>COUNTIF(G$5:G2226,"Y")/COUNTA(G$5:G2226)</f>
        <v>0.88253825382538253</v>
      </c>
      <c r="J2226" s="16">
        <f>COUNTIF(H$5:H2226,"Y")/COUNTA(H$5:H2226)</f>
        <v>4.8604860486048604E-2</v>
      </c>
      <c r="K2226" s="16">
        <f>AVERAGE(F$5:F2226)</f>
        <v>2.2132313231323111</v>
      </c>
      <c r="L2226" s="16">
        <f>SUM(F$5:F2226)/SUM(E$5:E2226)</f>
        <v>0.76267427614335837</v>
      </c>
    </row>
    <row r="2227" spans="1:12" x14ac:dyDescent="0.25">
      <c r="A2227" s="29">
        <v>45994</v>
      </c>
      <c r="B2227" s="16" t="s">
        <v>2273</v>
      </c>
      <c r="C2227" s="34">
        <v>1</v>
      </c>
      <c r="D2227" s="16" t="s">
        <v>60</v>
      </c>
      <c r="E2227" s="35">
        <v>4.2</v>
      </c>
      <c r="F2227" s="35">
        <v>3</v>
      </c>
      <c r="G2227" s="16" t="s">
        <v>44</v>
      </c>
      <c r="H2227" s="16" t="s">
        <v>45</v>
      </c>
      <c r="I2227" s="16">
        <f>COUNTIF(G$5:G2227,"Y")/COUNTA(G$5:G2227)</f>
        <v>0.88259109311740891</v>
      </c>
      <c r="J2227" s="16">
        <f>COUNTIF(H$5:H2227,"Y")/COUNTA(H$5:H2227)</f>
        <v>4.8582995951417005E-2</v>
      </c>
      <c r="K2227" s="16">
        <f>AVERAGE(F$5:F2227)</f>
        <v>2.2135852451641904</v>
      </c>
      <c r="L2227" s="16">
        <f>SUM(F$5:F2227)/SUM(E$5:E2227)</f>
        <v>0.76264277854408336</v>
      </c>
    </row>
    <row r="2228" spans="1:12" x14ac:dyDescent="0.25">
      <c r="A2228" s="29">
        <v>45995</v>
      </c>
      <c r="B2228" s="16" t="s">
        <v>2274</v>
      </c>
      <c r="C2228" s="34">
        <v>1</v>
      </c>
      <c r="D2228" s="16" t="s">
        <v>50</v>
      </c>
      <c r="E2228" s="35">
        <v>1.9</v>
      </c>
      <c r="F2228" s="35">
        <v>1.3</v>
      </c>
      <c r="G2228" s="16" t="s">
        <v>44</v>
      </c>
      <c r="H2228" s="16" t="s">
        <v>45</v>
      </c>
      <c r="I2228" s="16">
        <f>COUNTIF(G$5:G2228,"Y")/COUNTA(G$5:G2228)</f>
        <v>0.88264388489208634</v>
      </c>
      <c r="J2228" s="16">
        <f>COUNTIF(H$5:H2228,"Y")/COUNTA(H$5:H2228)</f>
        <v>4.8561151079136694E-2</v>
      </c>
      <c r="K2228" s="16">
        <f>AVERAGE(F$5:F2228)</f>
        <v>2.2131744604316528</v>
      </c>
      <c r="L2228" s="16">
        <f>SUM(F$5:F2228)/SUM(E$5:E2228)</f>
        <v>0.76261968950450709</v>
      </c>
    </row>
    <row r="2229" spans="1:12" x14ac:dyDescent="0.25">
      <c r="A2229" s="29">
        <v>45996</v>
      </c>
      <c r="B2229" s="16" t="s">
        <v>2275</v>
      </c>
      <c r="C2229" s="34">
        <v>1</v>
      </c>
      <c r="D2229" s="16" t="s">
        <v>50</v>
      </c>
      <c r="E2229" s="35">
        <v>3.9</v>
      </c>
      <c r="F2229" s="35">
        <v>3.4</v>
      </c>
      <c r="G2229" s="16" t="s">
        <v>44</v>
      </c>
      <c r="H2229" s="16" t="s">
        <v>45</v>
      </c>
      <c r="I2229" s="16">
        <f>COUNTIF(G$5:G2229,"Y")/COUNTA(G$5:G2229)</f>
        <v>0.88269662921348313</v>
      </c>
      <c r="J2229" s="16">
        <f>COUNTIF(H$5:H2229,"Y")/COUNTA(H$5:H2229)</f>
        <v>4.8539325842696629E-2</v>
      </c>
      <c r="K2229" s="16">
        <f>AVERAGE(F$5:F2229)</f>
        <v>2.2137078651685371</v>
      </c>
      <c r="L2229" s="16">
        <f>SUM(F$5:F2229)/SUM(E$5:E2229)</f>
        <v>0.76268561960948111</v>
      </c>
    </row>
    <row r="2230" spans="1:12" x14ac:dyDescent="0.25">
      <c r="A2230" s="29">
        <v>45992</v>
      </c>
      <c r="B2230" s="16" t="s">
        <v>2276</v>
      </c>
      <c r="C2230" s="34">
        <v>1</v>
      </c>
      <c r="D2230" s="16" t="s">
        <v>47</v>
      </c>
      <c r="E2230" s="35">
        <v>2.2999999999999998</v>
      </c>
      <c r="F2230" s="35">
        <v>2</v>
      </c>
      <c r="G2230" s="16" t="s">
        <v>45</v>
      </c>
      <c r="H2230" s="16" t="s">
        <v>45</v>
      </c>
      <c r="I2230" s="16">
        <f>COUNTIF(G$5:G2230,"Y")/COUNTA(G$5:G2230)</f>
        <v>0.88230008984725961</v>
      </c>
      <c r="J2230" s="16">
        <f>COUNTIF(H$5:H2230,"Y")/COUNTA(H$5:H2230)</f>
        <v>4.8517520215633422E-2</v>
      </c>
      <c r="K2230" s="16">
        <f>AVERAGE(F$5:F2230)</f>
        <v>2.2136118598382728</v>
      </c>
      <c r="L2230" s="16">
        <f>SUM(F$5:F2230)/SUM(E$5:E2230)</f>
        <v>0.76272367036096678</v>
      </c>
    </row>
    <row r="2231" spans="1:12" x14ac:dyDescent="0.25">
      <c r="A2231" s="29">
        <v>45993</v>
      </c>
      <c r="B2231" s="16" t="s">
        <v>2277</v>
      </c>
      <c r="C2231" s="34">
        <v>1</v>
      </c>
      <c r="D2231" s="16" t="s">
        <v>64</v>
      </c>
      <c r="E2231" s="35">
        <v>1.8</v>
      </c>
      <c r="F2231" s="35">
        <v>1.3</v>
      </c>
      <c r="G2231" s="16" t="s">
        <v>44</v>
      </c>
      <c r="H2231" s="16" t="s">
        <v>45</v>
      </c>
      <c r="I2231" s="16">
        <f>COUNTIF(G$5:G2231,"Y")/COUNTA(G$5:G2231)</f>
        <v>0.88235294117647056</v>
      </c>
      <c r="J2231" s="16">
        <f>COUNTIF(H$5:H2231,"Y")/COUNTA(H$5:H2231)</f>
        <v>4.8495734171531205E-2</v>
      </c>
      <c r="K2231" s="16">
        <f>AVERAGE(F$5:F2231)</f>
        <v>2.2132016165244703</v>
      </c>
      <c r="L2231" s="16">
        <f>SUM(F$5:F2231)/SUM(E$5:E2231)</f>
        <v>0.76271238896969906</v>
      </c>
    </row>
    <row r="2232" spans="1:12" x14ac:dyDescent="0.25">
      <c r="A2232" s="29">
        <v>45994</v>
      </c>
      <c r="B2232" s="16" t="s">
        <v>2278</v>
      </c>
      <c r="C2232" s="34">
        <v>1</v>
      </c>
      <c r="D2232" s="16" t="s">
        <v>43</v>
      </c>
      <c r="E2232" s="35">
        <v>3.9</v>
      </c>
      <c r="F2232" s="35">
        <v>3.3</v>
      </c>
      <c r="G2232" s="16" t="s">
        <v>44</v>
      </c>
      <c r="H2232" s="16" t="s">
        <v>45</v>
      </c>
      <c r="I2232" s="16">
        <f>COUNTIF(G$5:G2232,"Y")/COUNTA(G$5:G2232)</f>
        <v>0.88240574506283664</v>
      </c>
      <c r="J2232" s="16">
        <f>COUNTIF(H$5:H2232,"Y")/COUNTA(H$5:H2232)</f>
        <v>4.8473967684021541E-2</v>
      </c>
      <c r="K2232" s="16">
        <f>AVERAGE(F$5:F2232)</f>
        <v>2.213689407540393</v>
      </c>
      <c r="L2232" s="16">
        <f>SUM(F$5:F2232)/SUM(E$5:E2232)</f>
        <v>0.76276271632050074</v>
      </c>
    </row>
    <row r="2233" spans="1:12" x14ac:dyDescent="0.25">
      <c r="A2233" s="29">
        <v>45995</v>
      </c>
      <c r="B2233" s="16" t="s">
        <v>2279</v>
      </c>
      <c r="C2233" s="34">
        <v>1</v>
      </c>
      <c r="D2233" s="16" t="s">
        <v>60</v>
      </c>
      <c r="E2233" s="35">
        <v>2.1</v>
      </c>
      <c r="F2233" s="35">
        <v>1.5</v>
      </c>
      <c r="G2233" s="16" t="s">
        <v>44</v>
      </c>
      <c r="H2233" s="16" t="s">
        <v>45</v>
      </c>
      <c r="I2233" s="16">
        <f>COUNTIF(G$5:G2233,"Y")/COUNTA(G$5:G2233)</f>
        <v>0.88245850157021088</v>
      </c>
      <c r="J2233" s="16">
        <f>COUNTIF(H$5:H2233,"Y")/COUNTA(H$5:H2233)</f>
        <v>4.8452220726783311E-2</v>
      </c>
      <c r="K2233" s="16">
        <f>AVERAGE(F$5:F2233)</f>
        <v>2.2133692238672031</v>
      </c>
      <c r="L2233" s="16">
        <f>SUM(F$5:F2233)/SUM(E$5:E2233)</f>
        <v>0.76274697752079246</v>
      </c>
    </row>
    <row r="2234" spans="1:12" x14ac:dyDescent="0.25">
      <c r="A2234" s="29">
        <v>45996</v>
      </c>
      <c r="B2234" s="16" t="s">
        <v>2280</v>
      </c>
      <c r="C2234" s="34">
        <v>1</v>
      </c>
      <c r="D2234" s="16" t="s">
        <v>43</v>
      </c>
      <c r="E2234" s="35">
        <v>4.4000000000000004</v>
      </c>
      <c r="F2234" s="35">
        <v>3.1</v>
      </c>
      <c r="G2234" s="16" t="s">
        <v>44</v>
      </c>
      <c r="H2234" s="16" t="s">
        <v>45</v>
      </c>
      <c r="I2234" s="16">
        <f>COUNTIF(G$5:G2234,"Y")/COUNTA(G$5:G2234)</f>
        <v>0.88251121076233185</v>
      </c>
      <c r="J2234" s="16">
        <f>COUNTIF(H$5:H2234,"Y")/COUNTA(H$5:H2234)</f>
        <v>4.8430493273542603E-2</v>
      </c>
      <c r="K2234" s="16">
        <f>AVERAGE(F$5:F2234)</f>
        <v>2.213766816143496</v>
      </c>
      <c r="L2234" s="16">
        <f>SUM(F$5:F2234)/SUM(E$5:E2234)</f>
        <v>0.76270741278620502</v>
      </c>
    </row>
    <row r="2235" spans="1:12" x14ac:dyDescent="0.25">
      <c r="A2235" s="29">
        <v>45992</v>
      </c>
      <c r="B2235" s="16" t="s">
        <v>2281</v>
      </c>
      <c r="C2235" s="34">
        <v>1</v>
      </c>
      <c r="D2235" s="16" t="s">
        <v>50</v>
      </c>
      <c r="E2235" s="35">
        <v>2.5</v>
      </c>
      <c r="F2235" s="35">
        <v>1.9</v>
      </c>
      <c r="G2235" s="16" t="s">
        <v>44</v>
      </c>
      <c r="H2235" s="16" t="s">
        <v>45</v>
      </c>
      <c r="I2235" s="16">
        <f>COUNTIF(G$5:G2235,"Y")/COUNTA(G$5:G2235)</f>
        <v>0.88256387270282388</v>
      </c>
      <c r="J2235" s="16">
        <f>COUNTIF(H$5:H2235,"Y")/COUNTA(H$5:H2235)</f>
        <v>4.8408785298072611E-2</v>
      </c>
      <c r="K2235" s="16">
        <f>AVERAGE(F$5:F2235)</f>
        <v>2.2136261766024186</v>
      </c>
      <c r="L2235" s="16">
        <f>SUM(F$5:F2235)/SUM(E$5:E2235)</f>
        <v>0.76270636746922671</v>
      </c>
    </row>
    <row r="2236" spans="1:12" x14ac:dyDescent="0.25">
      <c r="A2236" s="29">
        <v>45993</v>
      </c>
      <c r="B2236" s="16" t="s">
        <v>2282</v>
      </c>
      <c r="C2236" s="34">
        <v>1</v>
      </c>
      <c r="D2236" s="16" t="s">
        <v>64</v>
      </c>
      <c r="E2236" s="35">
        <v>2.9</v>
      </c>
      <c r="F2236" s="35">
        <v>2</v>
      </c>
      <c r="G2236" s="16" t="s">
        <v>44</v>
      </c>
      <c r="H2236" s="16" t="s">
        <v>45</v>
      </c>
      <c r="I2236" s="16">
        <f>COUNTIF(G$5:G2236,"Y")/COUNTA(G$5:G2236)</f>
        <v>0.88261648745519716</v>
      </c>
      <c r="J2236" s="16">
        <f>COUNTIF(H$5:H2236,"Y")/COUNTA(H$5:H2236)</f>
        <v>4.8387096774193547E-2</v>
      </c>
      <c r="K2236" s="16">
        <f>AVERAGE(F$5:F2236)</f>
        <v>2.2135304659498187</v>
      </c>
      <c r="L2236" s="16">
        <f>SUM(F$5:F2236)/SUM(E$5:E2236)</f>
        <v>0.76267366471132914</v>
      </c>
    </row>
    <row r="2237" spans="1:12" x14ac:dyDescent="0.25">
      <c r="A2237" s="29">
        <v>45994</v>
      </c>
      <c r="B2237" s="16" t="s">
        <v>2283</v>
      </c>
      <c r="C2237" s="34">
        <v>1</v>
      </c>
      <c r="D2237" s="16" t="s">
        <v>47</v>
      </c>
      <c r="E2237" s="35">
        <v>3.6</v>
      </c>
      <c r="F2237" s="35">
        <v>2.9</v>
      </c>
      <c r="G2237" s="16" t="s">
        <v>44</v>
      </c>
      <c r="H2237" s="16" t="s">
        <v>44</v>
      </c>
      <c r="I2237" s="16">
        <f>COUNTIF(G$5:G2237,"Y")/COUNTA(G$5:G2237)</f>
        <v>0.88266905508284821</v>
      </c>
      <c r="J2237" s="16">
        <f>COUNTIF(H$5:H2237,"Y")/COUNTA(H$5:H2237)</f>
        <v>4.8813255709807435E-2</v>
      </c>
      <c r="K2237" s="16">
        <f>AVERAGE(F$5:F2237)</f>
        <v>2.2138378862516772</v>
      </c>
      <c r="L2237" s="16">
        <f>SUM(F$5:F2237)/SUM(E$5:E2237)</f>
        <v>0.76269748210318278</v>
      </c>
    </row>
    <row r="2238" spans="1:12" x14ac:dyDescent="0.25">
      <c r="A2238" s="29">
        <v>45995</v>
      </c>
      <c r="B2238" s="16" t="s">
        <v>2284</v>
      </c>
      <c r="C2238" s="34">
        <v>1</v>
      </c>
      <c r="D2238" s="16" t="s">
        <v>60</v>
      </c>
      <c r="E2238" s="35">
        <v>2.2000000000000002</v>
      </c>
      <c r="F2238" s="35">
        <v>1.5</v>
      </c>
      <c r="G2238" s="16" t="s">
        <v>44</v>
      </c>
      <c r="H2238" s="16" t="s">
        <v>45</v>
      </c>
      <c r="I2238" s="16">
        <f>COUNTIF(G$5:G2238,"Y")/COUNTA(G$5:G2238)</f>
        <v>0.88272157564905995</v>
      </c>
      <c r="J2238" s="16">
        <f>COUNTIF(H$5:H2238,"Y")/COUNTA(H$5:H2238)</f>
        <v>4.8791405550581916E-2</v>
      </c>
      <c r="K2238" s="16">
        <f>AVERAGE(F$5:F2238)</f>
        <v>2.2135183527305262</v>
      </c>
      <c r="L2238" s="16">
        <f>SUM(F$5:F2238)/SUM(E$5:E2238)</f>
        <v>0.76267003917455656</v>
      </c>
    </row>
    <row r="2239" spans="1:12" x14ac:dyDescent="0.25">
      <c r="A2239" s="29">
        <v>45996</v>
      </c>
      <c r="B2239" s="16" t="s">
        <v>2285</v>
      </c>
      <c r="C2239" s="34">
        <v>1</v>
      </c>
      <c r="D2239" s="16" t="s">
        <v>64</v>
      </c>
      <c r="E2239" s="35">
        <v>1.6</v>
      </c>
      <c r="F2239" s="35">
        <v>1.1000000000000001</v>
      </c>
      <c r="G2239" s="16" t="s">
        <v>44</v>
      </c>
      <c r="H2239" s="16" t="s">
        <v>45</v>
      </c>
      <c r="I2239" s="16">
        <f>COUNTIF(G$5:G2239,"Y")/COUNTA(G$5:G2239)</f>
        <v>0.8827740492170022</v>
      </c>
      <c r="J2239" s="16">
        <f>COUNTIF(H$5:H2239,"Y")/COUNTA(H$5:H2239)</f>
        <v>4.8769574944071588E-2</v>
      </c>
      <c r="K2239" s="16">
        <f>AVERAGE(F$5:F2239)</f>
        <v>2.2130201342281861</v>
      </c>
      <c r="L2239" s="16">
        <f>SUM(F$5:F2239)/SUM(E$5:E2239)</f>
        <v>0.76265149412526445</v>
      </c>
    </row>
    <row r="2240" spans="1:12" x14ac:dyDescent="0.25">
      <c r="A2240" s="29">
        <v>45992</v>
      </c>
      <c r="B2240" s="16" t="s">
        <v>2286</v>
      </c>
      <c r="C2240" s="34">
        <v>1</v>
      </c>
      <c r="D2240" s="16" t="s">
        <v>47</v>
      </c>
      <c r="E2240" s="35">
        <v>2.7</v>
      </c>
      <c r="F2240" s="35">
        <v>2.4</v>
      </c>
      <c r="G2240" s="16" t="s">
        <v>44</v>
      </c>
      <c r="H2240" s="16" t="s">
        <v>45</v>
      </c>
      <c r="I2240" s="16">
        <f>COUNTIF(G$5:G2240,"Y")/COUNTA(G$5:G2240)</f>
        <v>0.88282647584973162</v>
      </c>
      <c r="J2240" s="16">
        <f>COUNTIF(H$5:H2240,"Y")/COUNTA(H$5:H2240)</f>
        <v>4.8747763864042934E-2</v>
      </c>
      <c r="K2240" s="16">
        <f>AVERAGE(F$5:F2240)</f>
        <v>2.213103756708406</v>
      </c>
      <c r="L2240" s="16">
        <f>SUM(F$5:F2240)/SUM(E$5:E2240)</f>
        <v>0.76270402737318932</v>
      </c>
    </row>
    <row r="2241" spans="1:12" x14ac:dyDescent="0.25">
      <c r="A2241" s="29">
        <v>45993</v>
      </c>
      <c r="B2241" s="16" t="s">
        <v>2287</v>
      </c>
      <c r="C2241" s="34">
        <v>1</v>
      </c>
      <c r="D2241" s="16" t="s">
        <v>64</v>
      </c>
      <c r="E2241" s="35">
        <v>4.5999999999999996</v>
      </c>
      <c r="F2241" s="35">
        <v>3.3</v>
      </c>
      <c r="G2241" s="16" t="s">
        <v>44</v>
      </c>
      <c r="H2241" s="16" t="s">
        <v>45</v>
      </c>
      <c r="I2241" s="16">
        <f>COUNTIF(G$5:G2241,"Y")/COUNTA(G$5:G2241)</f>
        <v>0.88287885561019219</v>
      </c>
      <c r="J2241" s="16">
        <f>COUNTIF(H$5:H2241,"Y")/COUNTA(H$5:H2241)</f>
        <v>4.8725972284309346E-2</v>
      </c>
      <c r="K2241" s="16">
        <f>AVERAGE(F$5:F2241)</f>
        <v>2.2135896289673651</v>
      </c>
      <c r="L2241" s="16">
        <f>SUM(F$5:F2241)/SUM(E$5:E2241)</f>
        <v>0.76267192385294091</v>
      </c>
    </row>
    <row r="2242" spans="1:12" x14ac:dyDescent="0.25">
      <c r="A2242" s="29">
        <v>45994</v>
      </c>
      <c r="B2242" s="16" t="s">
        <v>2288</v>
      </c>
      <c r="C2242" s="34">
        <v>1</v>
      </c>
      <c r="D2242" s="16" t="s">
        <v>52</v>
      </c>
      <c r="E2242" s="35">
        <v>4.5999999999999996</v>
      </c>
      <c r="F2242" s="35">
        <v>3.4</v>
      </c>
      <c r="G2242" s="16" t="s">
        <v>44</v>
      </c>
      <c r="H2242" s="16" t="s">
        <v>45</v>
      </c>
      <c r="I2242" s="16">
        <f>COUNTIF(G$5:G2242,"Y")/COUNTA(G$5:G2242)</f>
        <v>0.88293118856121533</v>
      </c>
      <c r="J2242" s="16">
        <f>COUNTIF(H$5:H2242,"Y")/COUNTA(H$5:H2242)</f>
        <v>4.8704200178731012E-2</v>
      </c>
      <c r="K2242" s="16">
        <f>AVERAGE(F$5:F2242)</f>
        <v>2.2141197497765841</v>
      </c>
      <c r="L2242" s="16">
        <f>SUM(F$5:F2242)/SUM(E$5:E2242)</f>
        <v>0.76265525679897628</v>
      </c>
    </row>
    <row r="2243" spans="1:12" x14ac:dyDescent="0.25">
      <c r="A2243" s="29">
        <v>45995</v>
      </c>
      <c r="B2243" s="16" t="s">
        <v>2289</v>
      </c>
      <c r="C2243" s="34">
        <v>1</v>
      </c>
      <c r="D2243" s="16" t="s">
        <v>56</v>
      </c>
      <c r="E2243" s="35">
        <v>4.9000000000000004</v>
      </c>
      <c r="F2243" s="35">
        <v>3.3</v>
      </c>
      <c r="G2243" s="16" t="s">
        <v>44</v>
      </c>
      <c r="H2243" s="16" t="s">
        <v>45</v>
      </c>
      <c r="I2243" s="16">
        <f>COUNTIF(G$5:G2243,"Y")/COUNTA(G$5:G2243)</f>
        <v>0.8829834747655203</v>
      </c>
      <c r="J2243" s="16">
        <f>COUNTIF(H$5:H2243,"Y")/COUNTA(H$5:H2243)</f>
        <v>4.8682447521214825E-2</v>
      </c>
      <c r="K2243" s="16">
        <f>AVERAGE(F$5:F2243)</f>
        <v>2.2146047342563624</v>
      </c>
      <c r="L2243" s="16">
        <f>SUM(F$5:F2243)/SUM(E$5:E2243)</f>
        <v>0.76258804712251071</v>
      </c>
    </row>
    <row r="2244" spans="1:12" x14ac:dyDescent="0.25">
      <c r="A2244" s="29">
        <v>45996</v>
      </c>
      <c r="B2244" s="16" t="s">
        <v>2290</v>
      </c>
      <c r="C2244" s="34">
        <v>1</v>
      </c>
      <c r="D2244" s="16" t="s">
        <v>64</v>
      </c>
      <c r="E2244" s="35">
        <v>3.4</v>
      </c>
      <c r="F2244" s="35">
        <v>2.4</v>
      </c>
      <c r="G2244" s="16" t="s">
        <v>44</v>
      </c>
      <c r="H2244" s="16" t="s">
        <v>45</v>
      </c>
      <c r="I2244" s="16">
        <f>COUNTIF(G$5:G2244,"Y")/COUNTA(G$5:G2244)</f>
        <v>0.88303571428571426</v>
      </c>
      <c r="J2244" s="16">
        <f>COUNTIF(H$5:H2244,"Y")/COUNTA(H$5:H2244)</f>
        <v>4.8660714285714286E-2</v>
      </c>
      <c r="K2244" s="16">
        <f>AVERAGE(F$5:F2244)</f>
        <v>2.2146874999999979</v>
      </c>
      <c r="L2244" s="16">
        <f>SUM(F$5:F2244)/SUM(E$5:E2244)</f>
        <v>0.7625584112149516</v>
      </c>
    </row>
    <row r="2245" spans="1:12" x14ac:dyDescent="0.25">
      <c r="A2245" s="29">
        <v>45992</v>
      </c>
      <c r="B2245" s="16" t="s">
        <v>2291</v>
      </c>
      <c r="C2245" s="34">
        <v>1</v>
      </c>
      <c r="D2245" s="16" t="s">
        <v>52</v>
      </c>
      <c r="E2245" s="35">
        <v>2.6</v>
      </c>
      <c r="F2245" s="35">
        <v>2.2000000000000002</v>
      </c>
      <c r="G2245" s="16" t="s">
        <v>44</v>
      </c>
      <c r="H2245" s="16" t="s">
        <v>45</v>
      </c>
      <c r="I2245" s="16">
        <f>COUNTIF(G$5:G2245,"Y")/COUNTA(G$5:G2245)</f>
        <v>0.88308790718429275</v>
      </c>
      <c r="J2245" s="16">
        <f>COUNTIF(H$5:H2245,"Y")/COUNTA(H$5:H2245)</f>
        <v>4.8639000446229361E-2</v>
      </c>
      <c r="K2245" s="16">
        <f>AVERAGE(F$5:F2245)</f>
        <v>2.2146809460062449</v>
      </c>
      <c r="L2245" s="16">
        <f>SUM(F$5:F2245)/SUM(E$5:E2245)</f>
        <v>0.7625918072585337</v>
      </c>
    </row>
    <row r="2246" spans="1:12" x14ac:dyDescent="0.25">
      <c r="A2246" s="29">
        <v>45993</v>
      </c>
      <c r="B2246" s="16" t="s">
        <v>2292</v>
      </c>
      <c r="C2246" s="34">
        <v>1</v>
      </c>
      <c r="D2246" s="16" t="s">
        <v>60</v>
      </c>
      <c r="E2246" s="35">
        <v>4.9000000000000004</v>
      </c>
      <c r="F2246" s="35">
        <v>3.7</v>
      </c>
      <c r="G2246" s="16" t="s">
        <v>44</v>
      </c>
      <c r="H2246" s="16" t="s">
        <v>45</v>
      </c>
      <c r="I2246" s="16">
        <f>COUNTIF(G$5:G2246,"Y")/COUNTA(G$5:G2246)</f>
        <v>0.88314005352363956</v>
      </c>
      <c r="J2246" s="16">
        <f>COUNTIF(H$5:H2246,"Y")/COUNTA(H$5:H2246)</f>
        <v>4.861730597680642E-2</v>
      </c>
      <c r="K2246" s="16">
        <f>AVERAGE(F$5:F2246)</f>
        <v>2.2153434433541457</v>
      </c>
      <c r="L2246" s="16">
        <f>SUM(F$5:F2246)/SUM(E$5:E2246)</f>
        <v>0.76258617248314764</v>
      </c>
    </row>
    <row r="2247" spans="1:12" x14ac:dyDescent="0.25">
      <c r="A2247" s="29">
        <v>45994</v>
      </c>
      <c r="B2247" s="16" t="s">
        <v>2293</v>
      </c>
      <c r="C2247" s="34">
        <v>1</v>
      </c>
      <c r="D2247" s="16" t="s">
        <v>47</v>
      </c>
      <c r="E2247" s="35">
        <v>4.4000000000000004</v>
      </c>
      <c r="F2247" s="35">
        <v>3.7</v>
      </c>
      <c r="G2247" s="16" t="s">
        <v>44</v>
      </c>
      <c r="H2247" s="16" t="s">
        <v>45</v>
      </c>
      <c r="I2247" s="16">
        <f>COUNTIF(G$5:G2247,"Y")/COUNTA(G$5:G2247)</f>
        <v>0.88319215336602763</v>
      </c>
      <c r="J2247" s="16">
        <f>COUNTIF(H$5:H2247,"Y")/COUNTA(H$5:H2247)</f>
        <v>4.8595630851538119E-2</v>
      </c>
      <c r="K2247" s="16">
        <f>AVERAGE(F$5:F2247)</f>
        <v>2.2160053499777059</v>
      </c>
      <c r="L2247" s="16">
        <f>SUM(F$5:F2247)/SUM(E$5:E2247)</f>
        <v>0.76263904871499644</v>
      </c>
    </row>
    <row r="2248" spans="1:12" x14ac:dyDescent="0.25">
      <c r="A2248" s="29">
        <v>45995</v>
      </c>
      <c r="B2248" s="16" t="s">
        <v>2294</v>
      </c>
      <c r="C2248" s="34">
        <v>1</v>
      </c>
      <c r="D2248" s="16" t="s">
        <v>56</v>
      </c>
      <c r="E2248" s="35">
        <v>2.2000000000000002</v>
      </c>
      <c r="F2248" s="35">
        <v>1.6</v>
      </c>
      <c r="G2248" s="16" t="s">
        <v>45</v>
      </c>
      <c r="H2248" s="16" t="s">
        <v>45</v>
      </c>
      <c r="I2248" s="16">
        <f>COUNTIF(G$5:G2248,"Y")/COUNTA(G$5:G2248)</f>
        <v>0.88279857397504458</v>
      </c>
      <c r="J2248" s="16">
        <f>COUNTIF(H$5:H2248,"Y")/COUNTA(H$5:H2248)</f>
        <v>4.8573975044563282E-2</v>
      </c>
      <c r="K2248" s="16">
        <f>AVERAGE(F$5:F2248)</f>
        <v>2.2157308377896592</v>
      </c>
      <c r="L2248" s="16">
        <f>SUM(F$5:F2248)/SUM(E$5:E2248)</f>
        <v>0.76262711474454181</v>
      </c>
    </row>
    <row r="2249" spans="1:12" x14ac:dyDescent="0.25">
      <c r="A2249" s="29">
        <v>45996</v>
      </c>
      <c r="B2249" s="16" t="s">
        <v>2295</v>
      </c>
      <c r="C2249" s="34">
        <v>1</v>
      </c>
      <c r="D2249" s="16" t="s">
        <v>52</v>
      </c>
      <c r="E2249" s="35">
        <v>1.9</v>
      </c>
      <c r="F2249" s="35">
        <v>1.6</v>
      </c>
      <c r="G2249" s="16" t="s">
        <v>44</v>
      </c>
      <c r="H2249" s="16" t="s">
        <v>45</v>
      </c>
      <c r="I2249" s="16">
        <f>COUNTIF(G$5:G2249,"Y")/COUNTA(G$5:G2249)</f>
        <v>0.88285077951002222</v>
      </c>
      <c r="J2249" s="16">
        <f>COUNTIF(H$5:H2249,"Y")/COUNTA(H$5:H2249)</f>
        <v>4.8552338530066817E-2</v>
      </c>
      <c r="K2249" s="16">
        <f>AVERAGE(F$5:F2249)</f>
        <v>2.2154565701558999</v>
      </c>
      <c r="L2249" s="16">
        <f>SUM(F$5:F2249)/SUM(E$5:E2249)</f>
        <v>0.76265026987242246</v>
      </c>
    </row>
    <row r="2250" spans="1:12" x14ac:dyDescent="0.25">
      <c r="A2250" s="29">
        <v>45992</v>
      </c>
      <c r="B2250" s="16" t="s">
        <v>2296</v>
      </c>
      <c r="C2250" s="34">
        <v>1</v>
      </c>
      <c r="D2250" s="16" t="s">
        <v>47</v>
      </c>
      <c r="E2250" s="35">
        <v>4.2</v>
      </c>
      <c r="F2250" s="35">
        <v>3.1</v>
      </c>
      <c r="G2250" s="16" t="s">
        <v>44</v>
      </c>
      <c r="H2250" s="16" t="s">
        <v>45</v>
      </c>
      <c r="I2250" s="16">
        <f>COUNTIF(G$5:G2250,"Y")/COUNTA(G$5:G2250)</f>
        <v>0.8829029385574354</v>
      </c>
      <c r="J2250" s="16">
        <f>COUNTIF(H$5:H2250,"Y")/COUNTA(H$5:H2250)</f>
        <v>4.8530721282279608E-2</v>
      </c>
      <c r="K2250" s="16">
        <f>AVERAGE(F$5:F2250)</f>
        <v>2.2158504007123758</v>
      </c>
      <c r="L2250" s="16">
        <f>SUM(F$5:F2250)/SUM(E$5:E2250)</f>
        <v>0.762634466272333</v>
      </c>
    </row>
    <row r="2251" spans="1:12" x14ac:dyDescent="0.25">
      <c r="A2251" s="29">
        <v>45993</v>
      </c>
      <c r="B2251" s="16" t="s">
        <v>2297</v>
      </c>
      <c r="C2251" s="34">
        <v>1</v>
      </c>
      <c r="D2251" s="16" t="s">
        <v>50</v>
      </c>
      <c r="E2251" s="35">
        <v>4.8</v>
      </c>
      <c r="F2251" s="35">
        <v>3.3</v>
      </c>
      <c r="G2251" s="16" t="s">
        <v>44</v>
      </c>
      <c r="H2251" s="16" t="s">
        <v>45</v>
      </c>
      <c r="I2251" s="16">
        <f>COUNTIF(G$5:G2251,"Y")/COUNTA(G$5:G2251)</f>
        <v>0.88295505117935025</v>
      </c>
      <c r="J2251" s="16">
        <f>COUNTIF(H$5:H2251,"Y")/COUNTA(H$5:H2251)</f>
        <v>4.8509123275478419E-2</v>
      </c>
      <c r="K2251" s="16">
        <f>AVERAGE(F$5:F2251)</f>
        <v>2.2163328882955033</v>
      </c>
      <c r="L2251" s="16">
        <f>SUM(F$5:F2251)/SUM(E$5:E2251)</f>
        <v>0.76257924233607799</v>
      </c>
    </row>
    <row r="2252" spans="1:12" x14ac:dyDescent="0.25">
      <c r="A2252" s="29">
        <v>45994</v>
      </c>
      <c r="B2252" s="16" t="s">
        <v>2298</v>
      </c>
      <c r="C2252" s="34">
        <v>1</v>
      </c>
      <c r="D2252" s="16" t="s">
        <v>43</v>
      </c>
      <c r="E2252" s="35">
        <v>2.9</v>
      </c>
      <c r="F2252" s="35">
        <v>2.2999999999999998</v>
      </c>
      <c r="G2252" s="16" t="s">
        <v>44</v>
      </c>
      <c r="H2252" s="16" t="s">
        <v>45</v>
      </c>
      <c r="I2252" s="16">
        <f>COUNTIF(G$5:G2252,"Y")/COUNTA(G$5:G2252)</f>
        <v>0.88300711743772242</v>
      </c>
      <c r="J2252" s="16">
        <f>COUNTIF(H$5:H2252,"Y")/COUNTA(H$5:H2252)</f>
        <v>4.8487544483985762E-2</v>
      </c>
      <c r="K2252" s="16">
        <f>AVERAGE(F$5:F2252)</f>
        <v>2.216370106761564</v>
      </c>
      <c r="L2252" s="16">
        <f>SUM(F$5:F2252)/SUM(E$5:E2252)</f>
        <v>0.76259279100022825</v>
      </c>
    </row>
    <row r="2253" spans="1:12" x14ac:dyDescent="0.25">
      <c r="A2253" s="29">
        <v>45995</v>
      </c>
      <c r="B2253" s="16" t="s">
        <v>2299</v>
      </c>
      <c r="C2253" s="34">
        <v>1</v>
      </c>
      <c r="D2253" s="16" t="s">
        <v>56</v>
      </c>
      <c r="E2253" s="35">
        <v>4.0999999999999996</v>
      </c>
      <c r="F2253" s="35">
        <v>2.8</v>
      </c>
      <c r="G2253" s="16" t="s">
        <v>45</v>
      </c>
      <c r="H2253" s="16" t="s">
        <v>45</v>
      </c>
      <c r="I2253" s="16">
        <f>COUNTIF(G$5:G2253,"Y")/COUNTA(G$5:G2253)</f>
        <v>0.88261449533125835</v>
      </c>
      <c r="J2253" s="16">
        <f>COUNTIF(H$5:H2253,"Y")/COUNTA(H$5:H2253)</f>
        <v>4.8465984882169855E-2</v>
      </c>
      <c r="K2253" s="16">
        <f>AVERAGE(F$5:F2253)</f>
        <v>2.2166296131614032</v>
      </c>
      <c r="L2253" s="16">
        <f>SUM(F$5:F2253)/SUM(E$5:E2253)</f>
        <v>0.76254282917278371</v>
      </c>
    </row>
    <row r="2254" spans="1:12" x14ac:dyDescent="0.25">
      <c r="A2254" s="29">
        <v>45996</v>
      </c>
      <c r="B2254" s="16" t="s">
        <v>2300</v>
      </c>
      <c r="C2254" s="34">
        <v>1</v>
      </c>
      <c r="D2254" s="16" t="s">
        <v>60</v>
      </c>
      <c r="E2254" s="35">
        <v>2.2000000000000002</v>
      </c>
      <c r="F2254" s="35">
        <v>1.5</v>
      </c>
      <c r="G2254" s="16" t="s">
        <v>44</v>
      </c>
      <c r="H2254" s="16" t="s">
        <v>45</v>
      </c>
      <c r="I2254" s="16">
        <f>COUNTIF(G$5:G2254,"Y")/COUNTA(G$5:G2254)</f>
        <v>0.88266666666666671</v>
      </c>
      <c r="J2254" s="16">
        <f>COUNTIF(H$5:H2254,"Y")/COUNTA(H$5:H2254)</f>
        <v>4.8444444444444443E-2</v>
      </c>
      <c r="K2254" s="16">
        <f>AVERAGE(F$5:F2254)</f>
        <v>2.2163111111111093</v>
      </c>
      <c r="L2254" s="16">
        <f>SUM(F$5:F2254)/SUM(E$5:E2254)</f>
        <v>0.76251567326217795</v>
      </c>
    </row>
    <row r="2255" spans="1:12" x14ac:dyDescent="0.25">
      <c r="A2255" s="29">
        <v>45992</v>
      </c>
      <c r="B2255" s="16" t="s">
        <v>2301</v>
      </c>
      <c r="C2255" s="34">
        <v>1</v>
      </c>
      <c r="D2255" s="16" t="s">
        <v>43</v>
      </c>
      <c r="E2255" s="35">
        <v>3.4</v>
      </c>
      <c r="F2255" s="35">
        <v>2.8</v>
      </c>
      <c r="G2255" s="16" t="s">
        <v>44</v>
      </c>
      <c r="H2255" s="16" t="s">
        <v>45</v>
      </c>
      <c r="I2255" s="16">
        <f>COUNTIF(G$5:G2255,"Y")/COUNTA(G$5:G2255)</f>
        <v>0.88271879164815636</v>
      </c>
      <c r="J2255" s="16">
        <f>COUNTIF(H$5:H2255,"Y")/COUNTA(H$5:H2255)</f>
        <v>4.8422923145268769E-2</v>
      </c>
      <c r="K2255" s="16">
        <f>AVERAGE(F$5:F2255)</f>
        <v>2.2165704131497095</v>
      </c>
      <c r="L2255" s="16">
        <f>SUM(F$5:F2255)/SUM(E$5:E2255)</f>
        <v>0.76254737743000234</v>
      </c>
    </row>
    <row r="2256" spans="1:12" x14ac:dyDescent="0.25">
      <c r="A2256" s="29">
        <v>45993</v>
      </c>
      <c r="B2256" s="16" t="s">
        <v>2302</v>
      </c>
      <c r="C2256" s="34">
        <v>1</v>
      </c>
      <c r="D2256" s="16" t="s">
        <v>52</v>
      </c>
      <c r="E2256" s="35">
        <v>1.5</v>
      </c>
      <c r="F2256" s="35">
        <v>1.3</v>
      </c>
      <c r="G2256" s="16" t="s">
        <v>44</v>
      </c>
      <c r="H2256" s="16" t="s">
        <v>45</v>
      </c>
      <c r="I2256" s="16">
        <f>COUNTIF(G$5:G2256,"Y")/COUNTA(G$5:G2256)</f>
        <v>0.88277087033747781</v>
      </c>
      <c r="J2256" s="16">
        <f>COUNTIF(H$5:H2256,"Y")/COUNTA(H$5:H2256)</f>
        <v>4.8401420959147422E-2</v>
      </c>
      <c r="K2256" s="16">
        <f>AVERAGE(F$5:F2256)</f>
        <v>2.2161634103019523</v>
      </c>
      <c r="L2256" s="16">
        <f>SUM(F$5:F2256)/SUM(E$5:E2256)</f>
        <v>0.76257124085137462</v>
      </c>
    </row>
    <row r="2257" spans="1:13" x14ac:dyDescent="0.25">
      <c r="A2257" s="29">
        <v>45994</v>
      </c>
      <c r="B2257" s="16" t="s">
        <v>2303</v>
      </c>
      <c r="C2257" s="34">
        <v>1</v>
      </c>
      <c r="D2257" s="16" t="s">
        <v>47</v>
      </c>
      <c r="E2257" s="35">
        <v>4</v>
      </c>
      <c r="F2257" s="35">
        <v>2.7</v>
      </c>
      <c r="G2257" s="16" t="s">
        <v>44</v>
      </c>
      <c r="H2257" s="16" t="s">
        <v>45</v>
      </c>
      <c r="I2257" s="16">
        <f>COUNTIF(G$5:G2257,"Y")/COUNTA(G$5:G2257)</f>
        <v>0.88282290279627162</v>
      </c>
      <c r="J2257" s="16">
        <f>COUNTIF(H$5:H2257,"Y")/COUNTA(H$5:H2257)</f>
        <v>4.8379937860630273E-2</v>
      </c>
      <c r="K2257" s="16">
        <f>AVERAGE(F$5:F2257)</f>
        <v>2.2163781624500651</v>
      </c>
      <c r="L2257" s="16">
        <f>SUM(F$5:F2257)/SUM(E$5:E2257)</f>
        <v>0.76251775161482305</v>
      </c>
    </row>
    <row r="2258" spans="1:13" x14ac:dyDescent="0.25">
      <c r="A2258" s="29">
        <v>45995</v>
      </c>
      <c r="B2258" s="16" t="s">
        <v>2304</v>
      </c>
      <c r="C2258" s="34">
        <v>1</v>
      </c>
      <c r="D2258" s="16" t="s">
        <v>56</v>
      </c>
      <c r="E2258" s="35">
        <v>1.4</v>
      </c>
      <c r="F2258" s="35">
        <v>1.1000000000000001</v>
      </c>
      <c r="G2258" s="16" t="s">
        <v>44</v>
      </c>
      <c r="H2258" s="16" t="s">
        <v>45</v>
      </c>
      <c r="I2258" s="16">
        <f>COUNTIF(G$5:G2258,"Y")/COUNTA(G$5:G2258)</f>
        <v>0.88287488908606926</v>
      </c>
      <c r="J2258" s="16">
        <f>COUNTIF(H$5:H2258,"Y")/COUNTA(H$5:H2258)</f>
        <v>4.8358473824312333E-2</v>
      </c>
      <c r="K2258" s="16">
        <f>AVERAGE(F$5:F2258)</f>
        <v>2.2158828748890844</v>
      </c>
      <c r="L2258" s="16">
        <f>SUM(F$5:F2258)/SUM(E$5:E2258)</f>
        <v>0.7625227095769519</v>
      </c>
    </row>
    <row r="2259" spans="1:13" x14ac:dyDescent="0.25">
      <c r="A2259" s="29">
        <v>45996</v>
      </c>
      <c r="B2259" s="16" t="s">
        <v>2305</v>
      </c>
      <c r="C2259" s="34">
        <v>1</v>
      </c>
      <c r="D2259" s="16" t="s">
        <v>43</v>
      </c>
      <c r="E2259" s="35">
        <v>2.9</v>
      </c>
      <c r="F2259" s="35">
        <v>2.5</v>
      </c>
      <c r="G2259" s="16" t="s">
        <v>44</v>
      </c>
      <c r="H2259" s="16" t="s">
        <v>45</v>
      </c>
      <c r="I2259" s="16">
        <f>COUNTIF(G$5:G2259,"Y")/COUNTA(G$5:G2259)</f>
        <v>0.88292682926829269</v>
      </c>
      <c r="J2259" s="16">
        <f>COUNTIF(H$5:H2259,"Y")/COUNTA(H$5:H2259)</f>
        <v>4.8337028824833705E-2</v>
      </c>
      <c r="K2259" s="16">
        <f>AVERAGE(F$5:F2259)</f>
        <v>2.2160088691795994</v>
      </c>
      <c r="L2259" s="16">
        <f>SUM(F$5:F2259)/SUM(E$5:E2259)</f>
        <v>0.76256676331451134</v>
      </c>
    </row>
    <row r="2260" spans="1:13" x14ac:dyDescent="0.25">
      <c r="A2260" s="29">
        <v>45992</v>
      </c>
      <c r="B2260" s="16" t="s">
        <v>2306</v>
      </c>
      <c r="C2260" s="34">
        <v>1</v>
      </c>
      <c r="D2260" s="16" t="s">
        <v>52</v>
      </c>
      <c r="E2260" s="35">
        <v>3.9</v>
      </c>
      <c r="F2260" s="35">
        <v>2.7</v>
      </c>
      <c r="G2260" s="16" t="s">
        <v>44</v>
      </c>
      <c r="H2260" s="16" t="s">
        <v>45</v>
      </c>
      <c r="I2260" s="16">
        <f>COUNTIF(G$5:G2260,"Y")/COUNTA(G$5:G2260)</f>
        <v>0.88297872340425532</v>
      </c>
      <c r="J2260" s="16">
        <f>COUNTIF(H$5:H2260,"Y")/COUNTA(H$5:H2260)</f>
        <v>4.8315602836879433E-2</v>
      </c>
      <c r="K2260" s="16">
        <f>AVERAGE(F$5:F2260)</f>
        <v>2.2162234042553175</v>
      </c>
      <c r="L2260" s="16">
        <f>SUM(F$5:F2260)/SUM(E$5:E2260)</f>
        <v>0.76252497369183492</v>
      </c>
    </row>
    <row r="2261" spans="1:13" x14ac:dyDescent="0.25">
      <c r="A2261" s="29">
        <v>45993</v>
      </c>
      <c r="B2261" s="16" t="s">
        <v>2307</v>
      </c>
      <c r="C2261" s="34">
        <v>1</v>
      </c>
      <c r="D2261" s="16" t="s">
        <v>43</v>
      </c>
      <c r="E2261" s="35">
        <v>2.6</v>
      </c>
      <c r="F2261" s="35">
        <v>1.9</v>
      </c>
      <c r="G2261" s="16" t="s">
        <v>44</v>
      </c>
      <c r="H2261" s="16" t="s">
        <v>45</v>
      </c>
      <c r="I2261" s="16">
        <f>COUNTIF(G$5:G2261,"Y")/COUNTA(G$5:G2261)</f>
        <v>0.88303057155516174</v>
      </c>
      <c r="J2261" s="16">
        <f>COUNTIF(H$5:H2261,"Y")/COUNTA(H$5:H2261)</f>
        <v>4.8294195835179445E-2</v>
      </c>
      <c r="K2261" s="16">
        <f>AVERAGE(F$5:F2261)</f>
        <v>2.2160832964111634</v>
      </c>
      <c r="L2261" s="16">
        <f>SUM(F$5:F2261)/SUM(E$5:E2261)</f>
        <v>0.76251238661483223</v>
      </c>
    </row>
    <row r="2262" spans="1:13" x14ac:dyDescent="0.25">
      <c r="A2262" s="29">
        <v>45994</v>
      </c>
      <c r="B2262" s="16" t="s">
        <v>2308</v>
      </c>
      <c r="C2262" s="34">
        <v>1</v>
      </c>
      <c r="D2262" s="16" t="s">
        <v>64</v>
      </c>
      <c r="E2262" s="35">
        <v>3.2</v>
      </c>
      <c r="F2262" s="35">
        <v>2.8</v>
      </c>
      <c r="G2262" s="16" t="s">
        <v>44</v>
      </c>
      <c r="H2262" s="16" t="s">
        <v>45</v>
      </c>
      <c r="I2262" s="16">
        <f>COUNTIF(G$5:G2262,"Y")/COUNTA(G$5:G2262)</f>
        <v>0.88308237378210808</v>
      </c>
      <c r="J2262" s="16">
        <f>COUNTIF(H$5:H2262,"Y")/COUNTA(H$5:H2262)</f>
        <v>4.8272807794508411E-2</v>
      </c>
      <c r="K2262" s="16">
        <f>AVERAGE(F$5:F2262)</f>
        <v>2.2163418954827265</v>
      </c>
      <c r="L2262" s="16">
        <f>SUM(F$5:F2262)/SUM(E$5:E2262)</f>
        <v>0.76256723604613841</v>
      </c>
    </row>
    <row r="2263" spans="1:13" x14ac:dyDescent="0.25">
      <c r="A2263" s="29">
        <v>45995</v>
      </c>
      <c r="B2263" s="16" t="s">
        <v>2309</v>
      </c>
      <c r="C2263" s="34">
        <v>1</v>
      </c>
      <c r="D2263" s="16" t="s">
        <v>47</v>
      </c>
      <c r="E2263" s="35">
        <v>0.9</v>
      </c>
      <c r="F2263" s="35">
        <v>0.6</v>
      </c>
      <c r="G2263" s="16" t="s">
        <v>45</v>
      </c>
      <c r="H2263" s="16" t="s">
        <v>45</v>
      </c>
      <c r="I2263" s="16">
        <f>COUNTIF(G$5:G2263,"Y")/COUNTA(G$5:G2263)</f>
        <v>0.88269145639663571</v>
      </c>
      <c r="J2263" s="16">
        <f>COUNTIF(H$5:H2263,"Y")/COUNTA(H$5:H2263)</f>
        <v>4.8251438689685705E-2</v>
      </c>
      <c r="K2263" s="16">
        <f>AVERAGE(F$5:F2263)</f>
        <v>2.2156263833554655</v>
      </c>
      <c r="L2263" s="16">
        <f>SUM(F$5:F2263)/SUM(E$5:E2263)</f>
        <v>0.76255408617222153</v>
      </c>
    </row>
    <row r="2264" spans="1:13" x14ac:dyDescent="0.25">
      <c r="A2264" s="29">
        <v>45996</v>
      </c>
      <c r="B2264" s="16" t="s">
        <v>2310</v>
      </c>
      <c r="C2264" s="34">
        <v>1</v>
      </c>
      <c r="D2264" s="16" t="s">
        <v>50</v>
      </c>
      <c r="E2264" s="35">
        <v>0.7</v>
      </c>
      <c r="F2264" s="35">
        <v>0.5</v>
      </c>
      <c r="G2264" s="16" t="s">
        <v>44</v>
      </c>
      <c r="H2264" s="16" t="s">
        <v>45</v>
      </c>
      <c r="I2264" s="16">
        <f>COUNTIF(G$5:G2264,"Y")/COUNTA(G$5:G2264)</f>
        <v>0.88274336283185839</v>
      </c>
      <c r="J2264" s="16">
        <f>COUNTIF(H$5:H2264,"Y")/COUNTA(H$5:H2264)</f>
        <v>4.8230088495575224E-2</v>
      </c>
      <c r="K2264" s="16">
        <f>AVERAGE(F$5:F2264)</f>
        <v>2.2148672566371665</v>
      </c>
      <c r="L2264" s="16">
        <f>SUM(F$5:F2264)/SUM(E$5:E2264)</f>
        <v>0.76254893895769438</v>
      </c>
    </row>
    <row r="2265" spans="1:13" x14ac:dyDescent="0.25">
      <c r="A2265" s="29">
        <v>45992</v>
      </c>
      <c r="B2265" s="16" t="s">
        <v>2311</v>
      </c>
      <c r="C2265" s="34">
        <v>1</v>
      </c>
      <c r="D2265" s="16" t="s">
        <v>43</v>
      </c>
      <c r="E2265" s="35">
        <v>0.6</v>
      </c>
      <c r="F2265" s="35">
        <v>0.5</v>
      </c>
      <c r="G2265" s="16" t="s">
        <v>44</v>
      </c>
      <c r="H2265" s="16" t="s">
        <v>44</v>
      </c>
      <c r="I2265" s="16">
        <f>COUNTIF(G$5:G2265,"Y")/COUNTA(G$5:G2265)</f>
        <v>0.88279522335249894</v>
      </c>
      <c r="J2265" s="16">
        <f>COUNTIF(H$5:H2265,"Y")/COUNTA(H$5:H2265)</f>
        <v>4.8651039363113664E-2</v>
      </c>
      <c r="K2265" s="16">
        <f>AVERAGE(F$5:F2265)</f>
        <v>2.2141088014153016</v>
      </c>
      <c r="L2265" s="16">
        <f>SUM(F$5:F2265)/SUM(E$5:E2265)</f>
        <v>0.76255540830781776</v>
      </c>
    </row>
    <row r="2266" spans="1:13" x14ac:dyDescent="0.25">
      <c r="A2266" s="29">
        <v>45993</v>
      </c>
      <c r="B2266" s="16" t="s">
        <v>2312</v>
      </c>
      <c r="C2266" s="34">
        <v>1</v>
      </c>
      <c r="D2266" s="16" t="s">
        <v>43</v>
      </c>
      <c r="E2266" s="35">
        <v>0.8</v>
      </c>
      <c r="F2266" s="35">
        <v>0.5</v>
      </c>
      <c r="G2266" s="16" t="s">
        <v>44</v>
      </c>
      <c r="H2266" s="16" t="s">
        <v>45</v>
      </c>
      <c r="I2266" s="16">
        <f>COUNTIF(G$5:G2266,"Y")/COUNTA(G$5:G2266)</f>
        <v>0.88284703801945186</v>
      </c>
      <c r="J2266" s="16">
        <f>COUNTIF(H$5:H2266,"Y")/COUNTA(H$5:H2266)</f>
        <v>4.8629531388152077E-2</v>
      </c>
      <c r="K2266" s="16">
        <f>AVERAGE(F$5:F2266)</f>
        <v>2.2133510167992911</v>
      </c>
      <c r="L2266" s="16">
        <f>SUM(F$5:F2266)/SUM(E$5:E2266)</f>
        <v>0.7625386478212518</v>
      </c>
    </row>
    <row r="2267" spans="1:13" x14ac:dyDescent="0.25">
      <c r="A2267" s="29">
        <v>45994</v>
      </c>
      <c r="B2267" s="16" t="s">
        <v>2313</v>
      </c>
      <c r="C2267" s="34">
        <v>1</v>
      </c>
      <c r="D2267" s="16" t="s">
        <v>64</v>
      </c>
      <c r="E2267" s="35">
        <v>0.6</v>
      </c>
      <c r="F2267" s="35">
        <v>0.5</v>
      </c>
      <c r="G2267" s="16" t="s">
        <v>44</v>
      </c>
      <c r="H2267" s="16" t="s">
        <v>45</v>
      </c>
      <c r="I2267" s="16">
        <f>COUNTIF(G$5:G2267,"Y")/COUNTA(G$5:G2267)</f>
        <v>0.8828988068935042</v>
      </c>
      <c r="J2267" s="16">
        <f>COUNTIF(H$5:H2267,"Y")/COUNTA(H$5:H2267)</f>
        <v>4.8608042421564294E-2</v>
      </c>
      <c r="K2267" s="16">
        <f>AVERAGE(F$5:F2267)</f>
        <v>2.2125939019001311</v>
      </c>
      <c r="L2267" s="16">
        <f>SUM(F$5:F2267)/SUM(E$5:E2267)</f>
        <v>0.76254511673240521</v>
      </c>
    </row>
    <row r="2268" spans="1:13" x14ac:dyDescent="0.25">
      <c r="A2268" s="29">
        <v>45995</v>
      </c>
      <c r="B2268" s="16" t="s">
        <v>2314</v>
      </c>
      <c r="C2268" s="34">
        <v>1</v>
      </c>
      <c r="D2268" s="16" t="s">
        <v>60</v>
      </c>
      <c r="E2268" s="35">
        <v>0.6</v>
      </c>
      <c r="F2268" s="35">
        <v>0.5</v>
      </c>
      <c r="G2268" s="16" t="s">
        <v>45</v>
      </c>
      <c r="H2268" s="16" t="s">
        <v>45</v>
      </c>
      <c r="I2268" s="16">
        <f>COUNTIF(G$5:G2268,"Y")/COUNTA(G$5:G2268)</f>
        <v>0.88250883392226154</v>
      </c>
      <c r="J2268" s="16">
        <f>COUNTIF(H$5:H2268,"Y")/COUNTA(H$5:H2268)</f>
        <v>4.8586572438162542E-2</v>
      </c>
      <c r="K2268" s="16">
        <f>AVERAGE(F$5:F2268)</f>
        <v>2.2118374558303873</v>
      </c>
      <c r="L2268" s="16">
        <f>SUM(F$5:F2268)/SUM(E$5:E2268)</f>
        <v>0.76255158446146465</v>
      </c>
    </row>
    <row r="2269" spans="1:13" x14ac:dyDescent="0.25">
      <c r="A2269" s="29">
        <v>45996</v>
      </c>
      <c r="B2269" s="16" t="s">
        <v>2315</v>
      </c>
      <c r="C2269" s="34">
        <v>1</v>
      </c>
      <c r="D2269" s="16" t="s">
        <v>52</v>
      </c>
      <c r="E2269" s="35">
        <v>0.7</v>
      </c>
      <c r="F2269" s="35">
        <v>0.5</v>
      </c>
      <c r="G2269" s="16" t="s">
        <v>44</v>
      </c>
      <c r="H2269" s="16" t="s">
        <v>45</v>
      </c>
      <c r="I2269" s="16">
        <f>COUNTIF(G$5:G2269,"Y")/COUNTA(G$5:G2269)</f>
        <v>0.88256070640176598</v>
      </c>
      <c r="J2269" s="16">
        <f>COUNTIF(H$5:H2269,"Y")/COUNTA(H$5:H2269)</f>
        <v>4.856512141280353E-2</v>
      </c>
      <c r="K2269" s="16">
        <f>AVERAGE(F$5:F2269)</f>
        <v>2.2110816777041928</v>
      </c>
      <c r="L2269" s="16">
        <f>SUM(F$5:F2269)/SUM(E$5:E2269)</f>
        <v>0.76254644009988315</v>
      </c>
    </row>
    <row r="2270" spans="1:13" x14ac:dyDescent="0.25">
      <c r="A2270" s="29">
        <v>45992</v>
      </c>
      <c r="B2270" s="16" t="s">
        <v>2316</v>
      </c>
      <c r="C2270" s="34">
        <v>1</v>
      </c>
      <c r="D2270" s="16" t="s">
        <v>43</v>
      </c>
      <c r="E2270" s="35">
        <v>1.5</v>
      </c>
      <c r="F2270" s="35">
        <v>0.5</v>
      </c>
      <c r="G2270" s="16" t="s">
        <v>44</v>
      </c>
      <c r="H2270" s="16" t="s">
        <v>45</v>
      </c>
      <c r="I2270" s="16">
        <f>COUNTIF(G$5:G2270,"Y")/COUNTA(G$5:G2270)</f>
        <v>0.88261253309796994</v>
      </c>
      <c r="J2270" s="16">
        <f>COUNTIF(H$5:H2270,"Y")/COUNTA(H$5:H2270)</f>
        <v>4.8543689320388349E-2</v>
      </c>
      <c r="K2270" s="16">
        <f>AVERAGE(F$5:F2270)</f>
        <v>2.2103265666372449</v>
      </c>
      <c r="L2270" s="16">
        <f>SUM(F$5:F2270)/SUM(E$5:E2270)</f>
        <v>0.76244843281423513</v>
      </c>
      <c r="M2270" s="16">
        <v>14</v>
      </c>
    </row>
    <row r="2271" spans="1:13" x14ac:dyDescent="0.25">
      <c r="A2271" s="29">
        <v>45999</v>
      </c>
      <c r="B2271" s="16" t="s">
        <v>2317</v>
      </c>
      <c r="C2271" s="34">
        <v>1</v>
      </c>
      <c r="D2271" s="16" t="s">
        <v>50</v>
      </c>
      <c r="E2271" s="35">
        <v>1.5</v>
      </c>
      <c r="F2271" s="35">
        <v>1.3</v>
      </c>
      <c r="G2271" s="16" t="s">
        <v>44</v>
      </c>
      <c r="H2271" s="16" t="s">
        <v>45</v>
      </c>
      <c r="I2271" s="16">
        <f>COUNTIF(G$5:G2271,"Y")/COUNTA(G$5:G2271)</f>
        <v>0.88266431407146007</v>
      </c>
      <c r="J2271" s="16">
        <f>COUNTIF(H$5:H2271,"Y")/COUNTA(H$5:H2271)</f>
        <v>4.8522276135862373E-2</v>
      </c>
      <c r="K2271" s="16">
        <f>AVERAGE(F$5:F2271)</f>
        <v>2.2099250110277886</v>
      </c>
      <c r="L2271" s="16">
        <f>SUM(F$5:F2271)/SUM(E$5:E2271)</f>
        <v>0.76247222475877274</v>
      </c>
    </row>
    <row r="2272" spans="1:13" x14ac:dyDescent="0.25">
      <c r="A2272" s="29">
        <v>46000</v>
      </c>
      <c r="B2272" s="16" t="s">
        <v>2318</v>
      </c>
      <c r="C2272" s="34">
        <v>1</v>
      </c>
      <c r="D2272" s="16" t="s">
        <v>52</v>
      </c>
      <c r="E2272" s="35">
        <v>1.9</v>
      </c>
      <c r="F2272" s="35">
        <v>1.3</v>
      </c>
      <c r="G2272" s="16" t="s">
        <v>44</v>
      </c>
      <c r="H2272" s="16" t="s">
        <v>45</v>
      </c>
      <c r="I2272" s="16">
        <f>COUNTIF(G$5:G2272,"Y")/COUNTA(G$5:G2272)</f>
        <v>0.88271604938271608</v>
      </c>
      <c r="J2272" s="16">
        <f>COUNTIF(H$5:H2272,"Y")/COUNTA(H$5:H2272)</f>
        <v>4.8500881834215165E-2</v>
      </c>
      <c r="K2272" s="16">
        <f>AVERAGE(F$5:F2272)</f>
        <v>2.2095238095238083</v>
      </c>
      <c r="L2272" s="16">
        <f>SUM(F$5:F2272)/SUM(E$5:E2272)</f>
        <v>0.76244960060859535</v>
      </c>
    </row>
    <row r="2273" spans="1:12" x14ac:dyDescent="0.25">
      <c r="A2273" s="29">
        <v>46001</v>
      </c>
      <c r="B2273" s="16" t="s">
        <v>2319</v>
      </c>
      <c r="C2273" s="34">
        <v>1</v>
      </c>
      <c r="D2273" s="16" t="s">
        <v>52</v>
      </c>
      <c r="E2273" s="35">
        <v>2.6</v>
      </c>
      <c r="F2273" s="35">
        <v>2</v>
      </c>
      <c r="G2273" s="16" t="s">
        <v>44</v>
      </c>
      <c r="H2273" s="16" t="s">
        <v>45</v>
      </c>
      <c r="I2273" s="16">
        <f>COUNTIF(G$5:G2273,"Y")/COUNTA(G$5:G2273)</f>
        <v>0.88276773909211104</v>
      </c>
      <c r="J2273" s="16">
        <f>COUNTIF(H$5:H2273,"Y")/COUNTA(H$5:H2273)</f>
        <v>4.847950639048039E-2</v>
      </c>
      <c r="K2273" s="16">
        <f>AVERAGE(F$5:F2273)</f>
        <v>2.209431467606874</v>
      </c>
      <c r="L2273" s="16">
        <f>SUM(F$5:F2273)/SUM(E$5:E2273)</f>
        <v>0.76245228209456783</v>
      </c>
    </row>
    <row r="2274" spans="1:12" x14ac:dyDescent="0.25">
      <c r="A2274" s="29">
        <v>46002</v>
      </c>
      <c r="B2274" s="16" t="s">
        <v>2320</v>
      </c>
      <c r="C2274" s="34">
        <v>1</v>
      </c>
      <c r="D2274" s="16" t="s">
        <v>43</v>
      </c>
      <c r="E2274" s="35">
        <v>2.2999999999999998</v>
      </c>
      <c r="F2274" s="35">
        <v>2</v>
      </c>
      <c r="G2274" s="16" t="s">
        <v>44</v>
      </c>
      <c r="H2274" s="16" t="s">
        <v>45</v>
      </c>
      <c r="I2274" s="16">
        <f>COUNTIF(G$5:G2274,"Y")/COUNTA(G$5:G2274)</f>
        <v>0.88281938325991194</v>
      </c>
      <c r="J2274" s="16">
        <f>COUNTIF(H$5:H2274,"Y")/COUNTA(H$5:H2274)</f>
        <v>4.8458149779735685E-2</v>
      </c>
      <c r="K2274" s="16">
        <f>AVERAGE(F$5:F2274)</f>
        <v>2.209339207048457</v>
      </c>
      <c r="L2274" s="16">
        <f>SUM(F$5:F2274)/SUM(E$5:E2274)</f>
        <v>0.76248973758627914</v>
      </c>
    </row>
    <row r="2275" spans="1:12" x14ac:dyDescent="0.25">
      <c r="A2275" s="29">
        <v>46003</v>
      </c>
      <c r="B2275" s="16" t="s">
        <v>2321</v>
      </c>
      <c r="C2275" s="34">
        <v>1</v>
      </c>
      <c r="D2275" s="16" t="s">
        <v>64</v>
      </c>
      <c r="E2275" s="35">
        <v>2.6</v>
      </c>
      <c r="F2275" s="35">
        <v>1.9</v>
      </c>
      <c r="G2275" s="16" t="s">
        <v>45</v>
      </c>
      <c r="H2275" s="16" t="s">
        <v>45</v>
      </c>
      <c r="I2275" s="16">
        <f>COUNTIF(G$5:G2275,"Y")/COUNTA(G$5:G2275)</f>
        <v>0.88243064729194187</v>
      </c>
      <c r="J2275" s="16">
        <f>COUNTIF(H$5:H2275,"Y")/COUNTA(H$5:H2275)</f>
        <v>4.8436811977102597E-2</v>
      </c>
      <c r="K2275" s="16">
        <f>AVERAGE(F$5:F2275)</f>
        <v>2.2092029942756479</v>
      </c>
      <c r="L2275" s="16">
        <f>SUM(F$5:F2275)/SUM(E$5:E2275)</f>
        <v>0.76247720364741522</v>
      </c>
    </row>
    <row r="2276" spans="1:12" x14ac:dyDescent="0.25">
      <c r="A2276" s="29">
        <v>45999</v>
      </c>
      <c r="B2276" s="16" t="s">
        <v>2322</v>
      </c>
      <c r="C2276" s="34">
        <v>1</v>
      </c>
      <c r="D2276" s="16" t="s">
        <v>56</v>
      </c>
      <c r="E2276" s="35">
        <v>2.2999999999999998</v>
      </c>
      <c r="F2276" s="35">
        <v>1.6</v>
      </c>
      <c r="G2276" s="16" t="s">
        <v>44</v>
      </c>
      <c r="H2276" s="16" t="s">
        <v>45</v>
      </c>
      <c r="I2276" s="16">
        <f>COUNTIF(G$5:G2276,"Y")/COUNTA(G$5:G2276)</f>
        <v>0.88248239436619713</v>
      </c>
      <c r="J2276" s="16">
        <f>COUNTIF(H$5:H2276,"Y")/COUNTA(H$5:H2276)</f>
        <v>4.8415492957746477E-2</v>
      </c>
      <c r="K2276" s="16">
        <f>AVERAGE(F$5:F2276)</f>
        <v>2.2089348591549283</v>
      </c>
      <c r="L2276" s="16">
        <f>SUM(F$5:F2276)/SUM(E$5:E2276)</f>
        <v>0.76245385351624695</v>
      </c>
    </row>
    <row r="2277" spans="1:12" x14ac:dyDescent="0.25">
      <c r="A2277" s="29">
        <v>46000</v>
      </c>
      <c r="B2277" s="16" t="s">
        <v>2323</v>
      </c>
      <c r="C2277" s="34">
        <v>1</v>
      </c>
      <c r="D2277" s="16" t="s">
        <v>47</v>
      </c>
      <c r="E2277" s="35">
        <v>1.7</v>
      </c>
      <c r="F2277" s="35">
        <v>1.3</v>
      </c>
      <c r="G2277" s="16" t="s">
        <v>44</v>
      </c>
      <c r="H2277" s="16" t="s">
        <v>45</v>
      </c>
      <c r="I2277" s="16">
        <f>COUNTIF(G$5:G2277,"Y")/COUNTA(G$5:G2277)</f>
        <v>0.88253409590849097</v>
      </c>
      <c r="J2277" s="16">
        <f>COUNTIF(H$5:H2277,"Y")/COUNTA(H$5:H2277)</f>
        <v>4.8394192696876372E-2</v>
      </c>
      <c r="K2277" s="16">
        <f>AVERAGE(F$5:F2277)</f>
        <v>2.2085349758029023</v>
      </c>
      <c r="L2277" s="16">
        <f>SUM(F$5:F2277)/SUM(E$5:E2277)</f>
        <v>0.76245443499392351</v>
      </c>
    </row>
    <row r="2278" spans="1:12" x14ac:dyDescent="0.25">
      <c r="A2278" s="29">
        <v>46001</v>
      </c>
      <c r="B2278" s="16" t="s">
        <v>2324</v>
      </c>
      <c r="C2278" s="34">
        <v>1</v>
      </c>
      <c r="D2278" s="16" t="s">
        <v>43</v>
      </c>
      <c r="E2278" s="35">
        <v>3.6</v>
      </c>
      <c r="F2278" s="35">
        <v>2.4</v>
      </c>
      <c r="G2278" s="16" t="s">
        <v>44</v>
      </c>
      <c r="H2278" s="16" t="s">
        <v>45</v>
      </c>
      <c r="I2278" s="16">
        <f>COUNTIF(G$5:G2278,"Y")/COUNTA(G$5:G2278)</f>
        <v>0.88258575197889177</v>
      </c>
      <c r="J2278" s="16">
        <f>COUNTIF(H$5:H2278,"Y")/COUNTA(H$5:H2278)</f>
        <v>4.8372911169744945E-2</v>
      </c>
      <c r="K2278" s="16">
        <f>AVERAGE(F$5:F2278)</f>
        <v>2.2086191732629712</v>
      </c>
      <c r="L2278" s="16">
        <f>SUM(F$5:F2278)/SUM(E$5:E2278)</f>
        <v>0.76240208877284465</v>
      </c>
    </row>
    <row r="2279" spans="1:12" x14ac:dyDescent="0.25">
      <c r="A2279" s="29">
        <v>46002</v>
      </c>
      <c r="B2279" s="16" t="s">
        <v>2325</v>
      </c>
      <c r="C2279" s="34">
        <v>1</v>
      </c>
      <c r="D2279" s="16" t="s">
        <v>47</v>
      </c>
      <c r="E2279" s="35">
        <v>1.7</v>
      </c>
      <c r="F2279" s="35">
        <v>1.4</v>
      </c>
      <c r="G2279" s="16" t="s">
        <v>44</v>
      </c>
      <c r="H2279" s="16" t="s">
        <v>44</v>
      </c>
      <c r="I2279" s="16">
        <f>COUNTIF(G$5:G2279,"Y")/COUNTA(G$5:G2279)</f>
        <v>0.88263736263736259</v>
      </c>
      <c r="J2279" s="16">
        <f>COUNTIF(H$5:H2279,"Y")/COUNTA(H$5:H2279)</f>
        <v>4.8791208791208789E-2</v>
      </c>
      <c r="K2279" s="16">
        <f>AVERAGE(F$5:F2279)</f>
        <v>2.208263736263735</v>
      </c>
      <c r="L2279" s="16">
        <f>SUM(F$5:F2279)/SUM(E$5:E2279)</f>
        <v>0.76241785925667238</v>
      </c>
    </row>
    <row r="2280" spans="1:12" x14ac:dyDescent="0.25">
      <c r="A2280" s="29">
        <v>46003</v>
      </c>
      <c r="B2280" s="16" t="s">
        <v>2326</v>
      </c>
      <c r="C2280" s="34">
        <v>1</v>
      </c>
      <c r="D2280" s="16" t="s">
        <v>47</v>
      </c>
      <c r="E2280" s="35">
        <v>3.8</v>
      </c>
      <c r="F2280" s="35">
        <v>2.5</v>
      </c>
      <c r="G2280" s="16" t="s">
        <v>44</v>
      </c>
      <c r="H2280" s="16" t="s">
        <v>45</v>
      </c>
      <c r="I2280" s="16">
        <f>COUNTIF(G$5:G2280,"Y")/COUNTA(G$5:G2280)</f>
        <v>0.88268892794376097</v>
      </c>
      <c r="J2280" s="16">
        <f>COUNTIF(H$5:H2280,"Y")/COUNTA(H$5:H2280)</f>
        <v>4.8769771528998244E-2</v>
      </c>
      <c r="K2280" s="16">
        <f>AVERAGE(F$5:F2280)</f>
        <v>2.2083919156414749</v>
      </c>
      <c r="L2280" s="16">
        <f>SUM(F$5:F2280)/SUM(E$5:E2280)</f>
        <v>0.7623576162958231</v>
      </c>
    </row>
    <row r="2281" spans="1:12" x14ac:dyDescent="0.25">
      <c r="A2281" s="29">
        <v>45999</v>
      </c>
      <c r="B2281" s="16" t="s">
        <v>2327</v>
      </c>
      <c r="C2281" s="34">
        <v>1</v>
      </c>
      <c r="D2281" s="16" t="s">
        <v>47</v>
      </c>
      <c r="E2281" s="35">
        <v>3.4</v>
      </c>
      <c r="F2281" s="35">
        <v>3</v>
      </c>
      <c r="G2281" s="16" t="s">
        <v>44</v>
      </c>
      <c r="H2281" s="16" t="s">
        <v>45</v>
      </c>
      <c r="I2281" s="16">
        <f>COUNTIF(G$5:G2281,"Y")/COUNTA(G$5:G2281)</f>
        <v>0.88274044795783924</v>
      </c>
      <c r="J2281" s="16">
        <f>COUNTIF(H$5:H2281,"Y")/COUNTA(H$5:H2281)</f>
        <v>4.8748353096179184E-2</v>
      </c>
      <c r="K2281" s="16">
        <f>AVERAGE(F$5:F2281)</f>
        <v>2.2087395696091332</v>
      </c>
      <c r="L2281" s="16">
        <f>SUM(F$5:F2281)/SUM(E$5:E2281)</f>
        <v>0.7624194648677316</v>
      </c>
    </row>
    <row r="2282" spans="1:12" x14ac:dyDescent="0.25">
      <c r="A2282" s="29">
        <v>46000</v>
      </c>
      <c r="B2282" s="16" t="s">
        <v>2328</v>
      </c>
      <c r="C2282" s="34">
        <v>1</v>
      </c>
      <c r="D2282" s="16" t="s">
        <v>56</v>
      </c>
      <c r="E2282" s="35">
        <v>4.4000000000000004</v>
      </c>
      <c r="F2282" s="35">
        <v>3.1</v>
      </c>
      <c r="G2282" s="16" t="s">
        <v>44</v>
      </c>
      <c r="H2282" s="16" t="s">
        <v>45</v>
      </c>
      <c r="I2282" s="16">
        <f>COUNTIF(G$5:G2282,"Y")/COUNTA(G$5:G2282)</f>
        <v>0.88279192273924501</v>
      </c>
      <c r="J2282" s="16">
        <f>COUNTIF(H$5:H2282,"Y")/COUNTA(H$5:H2282)</f>
        <v>4.8726953467954345E-2</v>
      </c>
      <c r="K2282" s="16">
        <f>AVERAGE(F$5:F2282)</f>
        <v>2.2091308165057053</v>
      </c>
      <c r="L2282" s="16">
        <f>SUM(F$5:F2282)/SUM(E$5:E2282)</f>
        <v>0.76238088745473986</v>
      </c>
    </row>
    <row r="2283" spans="1:12" x14ac:dyDescent="0.25">
      <c r="A2283" s="29">
        <v>46001</v>
      </c>
      <c r="B2283" s="16" t="s">
        <v>2329</v>
      </c>
      <c r="C2283" s="34">
        <v>1</v>
      </c>
      <c r="D2283" s="16" t="s">
        <v>52</v>
      </c>
      <c r="E2283" s="35">
        <v>4.2</v>
      </c>
      <c r="F2283" s="35">
        <v>3.5</v>
      </c>
      <c r="G2283" s="16" t="s">
        <v>44</v>
      </c>
      <c r="H2283" s="16" t="s">
        <v>45</v>
      </c>
      <c r="I2283" s="16">
        <f>COUNTIF(G$5:G2283,"Y")/COUNTA(G$5:G2283)</f>
        <v>0.88284335234752087</v>
      </c>
      <c r="J2283" s="16">
        <f>COUNTIF(H$5:H2283,"Y")/COUNTA(H$5:H2283)</f>
        <v>4.8705572619569988E-2</v>
      </c>
      <c r="K2283" s="16">
        <f>AVERAGE(F$5:F2283)</f>
        <v>2.2096972356296609</v>
      </c>
      <c r="L2283" s="16">
        <f>SUM(F$5:F2283)/SUM(E$5:E2283)</f>
        <v>0.76242600414830852</v>
      </c>
    </row>
    <row r="2284" spans="1:12" x14ac:dyDescent="0.25">
      <c r="A2284" s="29">
        <v>46002</v>
      </c>
      <c r="B2284" s="16" t="s">
        <v>2330</v>
      </c>
      <c r="C2284" s="34">
        <v>1</v>
      </c>
      <c r="D2284" s="16" t="s">
        <v>50</v>
      </c>
      <c r="E2284" s="35">
        <v>1.7</v>
      </c>
      <c r="F2284" s="35">
        <v>1.5</v>
      </c>
      <c r="G2284" s="16" t="s">
        <v>44</v>
      </c>
      <c r="H2284" s="16" t="s">
        <v>45</v>
      </c>
      <c r="I2284" s="16">
        <f>COUNTIF(G$5:G2284,"Y")/COUNTA(G$5:G2284)</f>
        <v>0.88289473684210529</v>
      </c>
      <c r="J2284" s="16">
        <f>COUNTIF(H$5:H2284,"Y")/COUNTA(H$5:H2284)</f>
        <v>4.8684210526315788E-2</v>
      </c>
      <c r="K2284" s="16">
        <f>AVERAGE(F$5:F2284)</f>
        <v>2.2093859649122796</v>
      </c>
      <c r="L2284" s="16">
        <f>SUM(F$5:F2284)/SUM(E$5:E2284)</f>
        <v>0.76245686262638379</v>
      </c>
    </row>
    <row r="2285" spans="1:12" x14ac:dyDescent="0.25">
      <c r="A2285" s="29">
        <v>46003</v>
      </c>
      <c r="B2285" s="16" t="s">
        <v>2331</v>
      </c>
      <c r="C2285" s="34">
        <v>1</v>
      </c>
      <c r="D2285" s="16" t="s">
        <v>52</v>
      </c>
      <c r="E2285" s="35">
        <v>3.9</v>
      </c>
      <c r="F2285" s="35">
        <v>3</v>
      </c>
      <c r="G2285" s="16" t="s">
        <v>44</v>
      </c>
      <c r="H2285" s="16" t="s">
        <v>45</v>
      </c>
      <c r="I2285" s="16">
        <f>COUNTIF(G$5:G2285,"Y")/COUNTA(G$5:G2285)</f>
        <v>0.88294607628233235</v>
      </c>
      <c r="J2285" s="16">
        <f>COUNTIF(H$5:H2285,"Y")/COUNTA(H$5:H2285)</f>
        <v>4.8662867163524769E-2</v>
      </c>
      <c r="K2285" s="16">
        <f>AVERAGE(F$5:F2285)</f>
        <v>2.2097325734327038</v>
      </c>
      <c r="L2285" s="16">
        <f>SUM(F$5:F2285)/SUM(E$5:E2285)</f>
        <v>0.76246085891055304</v>
      </c>
    </row>
    <row r="2286" spans="1:12" x14ac:dyDescent="0.25">
      <c r="A2286" s="29">
        <v>45999</v>
      </c>
      <c r="B2286" s="16" t="s">
        <v>2332</v>
      </c>
      <c r="C2286" s="34">
        <v>1</v>
      </c>
      <c r="D2286" s="16" t="s">
        <v>52</v>
      </c>
      <c r="E2286" s="35">
        <v>2</v>
      </c>
      <c r="F2286" s="35">
        <v>1.7</v>
      </c>
      <c r="G2286" s="16" t="s">
        <v>45</v>
      </c>
      <c r="H2286" s="16" t="s">
        <v>45</v>
      </c>
      <c r="I2286" s="16">
        <f>COUNTIF(G$5:G2286,"Y")/COUNTA(G$5:G2286)</f>
        <v>0.88255915863277823</v>
      </c>
      <c r="J2286" s="16">
        <f>COUNTIF(H$5:H2286,"Y")/COUNTA(H$5:H2286)</f>
        <v>4.8641542506573182E-2</v>
      </c>
      <c r="K2286" s="16">
        <f>AVERAGE(F$5:F2286)</f>
        <v>2.2095092024539862</v>
      </c>
      <c r="L2286" s="16">
        <f>SUM(F$5:F2286)/SUM(E$5:E2286)</f>
        <v>0.76248733497663479</v>
      </c>
    </row>
    <row r="2287" spans="1:12" x14ac:dyDescent="0.25">
      <c r="A2287" s="29">
        <v>46000</v>
      </c>
      <c r="B2287" s="16" t="s">
        <v>2333</v>
      </c>
      <c r="C2287" s="34">
        <v>1</v>
      </c>
      <c r="D2287" s="16" t="s">
        <v>60</v>
      </c>
      <c r="E2287" s="35">
        <v>1.7</v>
      </c>
      <c r="F2287" s="35">
        <v>1.4</v>
      </c>
      <c r="G2287" s="16" t="s">
        <v>44</v>
      </c>
      <c r="H2287" s="16" t="s">
        <v>45</v>
      </c>
      <c r="I2287" s="16">
        <f>COUNTIF(G$5:G2287,"Y")/COUNTA(G$5:G2287)</f>
        <v>0.88261060008760406</v>
      </c>
      <c r="J2287" s="16">
        <f>COUNTIF(H$5:H2287,"Y")/COUNTA(H$5:H2287)</f>
        <v>4.862023653088042E-2</v>
      </c>
      <c r="K2287" s="16">
        <f>AVERAGE(F$5:F2287)</f>
        <v>2.2091546211125697</v>
      </c>
      <c r="L2287" s="16">
        <f>SUM(F$5:F2287)/SUM(E$5:E2287)</f>
        <v>0.76250302370585277</v>
      </c>
    </row>
    <row r="2288" spans="1:12" x14ac:dyDescent="0.25">
      <c r="A2288" s="29">
        <v>46001</v>
      </c>
      <c r="B2288" s="16" t="s">
        <v>2334</v>
      </c>
      <c r="C2288" s="34">
        <v>1</v>
      </c>
      <c r="D2288" s="16" t="s">
        <v>52</v>
      </c>
      <c r="E2288" s="35">
        <v>1.8</v>
      </c>
      <c r="F2288" s="35">
        <v>1.2</v>
      </c>
      <c r="G2288" s="16" t="s">
        <v>44</v>
      </c>
      <c r="H2288" s="16" t="s">
        <v>45</v>
      </c>
      <c r="I2288" s="16">
        <f>COUNTIF(G$5:G2288,"Y")/COUNTA(G$5:G2288)</f>
        <v>0.88266199649737298</v>
      </c>
      <c r="J2288" s="16">
        <f>COUNTIF(H$5:H2288,"Y")/COUNTA(H$5:H2288)</f>
        <v>4.859894921190893E-2</v>
      </c>
      <c r="K2288" s="16">
        <f>AVERAGE(F$5:F2288)</f>
        <v>2.2087127845884398</v>
      </c>
      <c r="L2288" s="16">
        <f>SUM(F$5:F2288)/SUM(E$5:E2288)</f>
        <v>0.76247695051540043</v>
      </c>
    </row>
    <row r="2289" spans="1:12" x14ac:dyDescent="0.25">
      <c r="A2289" s="29">
        <v>46002</v>
      </c>
      <c r="B2289" s="16" t="s">
        <v>2335</v>
      </c>
      <c r="C2289" s="34">
        <v>1</v>
      </c>
      <c r="D2289" s="16" t="s">
        <v>64</v>
      </c>
      <c r="E2289" s="35">
        <v>2.8</v>
      </c>
      <c r="F2289" s="35">
        <v>2.2000000000000002</v>
      </c>
      <c r="G2289" s="16" t="s">
        <v>44</v>
      </c>
      <c r="H2289" s="16" t="s">
        <v>45</v>
      </c>
      <c r="I2289" s="16">
        <f>COUNTIF(G$5:G2289,"Y")/COUNTA(G$5:G2289)</f>
        <v>0.88271334792122536</v>
      </c>
      <c r="J2289" s="16">
        <f>COUNTIF(H$5:H2289,"Y")/COUNTA(H$5:H2289)</f>
        <v>4.8577680525164112E-2</v>
      </c>
      <c r="K2289" s="16">
        <f>AVERAGE(F$5:F2289)</f>
        <v>2.2087089715536088</v>
      </c>
      <c r="L2289" s="16">
        <f>SUM(F$5:F2289)/SUM(E$5:E2289)</f>
        <v>0.76248678048043383</v>
      </c>
    </row>
    <row r="2290" spans="1:12" x14ac:dyDescent="0.25">
      <c r="A2290" s="29">
        <v>46003</v>
      </c>
      <c r="B2290" s="16" t="s">
        <v>2336</v>
      </c>
      <c r="C2290" s="34">
        <v>1</v>
      </c>
      <c r="D2290" s="16" t="s">
        <v>60</v>
      </c>
      <c r="E2290" s="35">
        <v>2.4</v>
      </c>
      <c r="F2290" s="35">
        <v>1.6</v>
      </c>
      <c r="G2290" s="16" t="s">
        <v>44</v>
      </c>
      <c r="H2290" s="16" t="s">
        <v>45</v>
      </c>
      <c r="I2290" s="16">
        <f>COUNTIF(G$5:G2290,"Y")/COUNTA(G$5:G2290)</f>
        <v>0.88276465441819774</v>
      </c>
      <c r="J2290" s="16">
        <f>COUNTIF(H$5:H2290,"Y")/COUNTA(H$5:H2290)</f>
        <v>4.8556430446194225E-2</v>
      </c>
      <c r="K2290" s="16">
        <f>AVERAGE(F$5:F2290)</f>
        <v>2.2084426946631655</v>
      </c>
      <c r="L2290" s="16">
        <f>SUM(F$5:F2290)/SUM(E$5:E2290)</f>
        <v>0.76245204941553035</v>
      </c>
    </row>
    <row r="2291" spans="1:12" x14ac:dyDescent="0.25">
      <c r="A2291" s="29">
        <v>45999</v>
      </c>
      <c r="B2291" s="16" t="s">
        <v>2337</v>
      </c>
      <c r="C2291" s="34">
        <v>1</v>
      </c>
      <c r="D2291" s="16" t="s">
        <v>50</v>
      </c>
      <c r="E2291" s="35">
        <v>1.7</v>
      </c>
      <c r="F2291" s="35">
        <v>1.5</v>
      </c>
      <c r="G2291" s="16" t="s">
        <v>44</v>
      </c>
      <c r="H2291" s="16" t="s">
        <v>45</v>
      </c>
      <c r="I2291" s="16">
        <f>COUNTIF(G$5:G2291,"Y")/COUNTA(G$5:G2291)</f>
        <v>0.88281591604722343</v>
      </c>
      <c r="J2291" s="16">
        <f>COUNTIF(H$5:H2291,"Y")/COUNTA(H$5:H2291)</f>
        <v>4.8535198950590296E-2</v>
      </c>
      <c r="K2291" s="16">
        <f>AVERAGE(F$5:F2291)</f>
        <v>2.208132925229557</v>
      </c>
      <c r="L2291" s="16">
        <f>SUM(F$5:F2291)/SUM(E$5:E2291)</f>
        <v>0.76248282526309319</v>
      </c>
    </row>
    <row r="2292" spans="1:12" x14ac:dyDescent="0.25">
      <c r="A2292" s="29">
        <v>46000</v>
      </c>
      <c r="B2292" s="16" t="s">
        <v>2338</v>
      </c>
      <c r="C2292" s="34">
        <v>1</v>
      </c>
      <c r="D2292" s="16" t="s">
        <v>50</v>
      </c>
      <c r="E2292" s="35">
        <v>4.2</v>
      </c>
      <c r="F2292" s="35">
        <v>3.3</v>
      </c>
      <c r="G2292" s="16" t="s">
        <v>45</v>
      </c>
      <c r="H2292" s="16" t="s">
        <v>45</v>
      </c>
      <c r="I2292" s="16">
        <f>COUNTIF(G$5:G2292,"Y")/COUNTA(G$5:G2292)</f>
        <v>0.88243006993006989</v>
      </c>
      <c r="J2292" s="16">
        <f>COUNTIF(H$5:H2292,"Y")/COUNTA(H$5:H2292)</f>
        <v>4.8513986013986016E-2</v>
      </c>
      <c r="K2292" s="16">
        <f>AVERAGE(F$5:F2292)</f>
        <v>2.2086101398601383</v>
      </c>
      <c r="L2292" s="16">
        <f>SUM(F$5:F2292)/SUM(E$5:E2292)</f>
        <v>0.76249754802106329</v>
      </c>
    </row>
    <row r="2293" spans="1:12" x14ac:dyDescent="0.25">
      <c r="A2293" s="29">
        <v>46001</v>
      </c>
      <c r="B2293" s="16" t="s">
        <v>2339</v>
      </c>
      <c r="C2293" s="34">
        <v>1</v>
      </c>
      <c r="D2293" s="16" t="s">
        <v>56</v>
      </c>
      <c r="E2293" s="35">
        <v>4.3</v>
      </c>
      <c r="F2293" s="35">
        <v>3.5</v>
      </c>
      <c r="G2293" s="16" t="s">
        <v>44</v>
      </c>
      <c r="H2293" s="16" t="s">
        <v>45</v>
      </c>
      <c r="I2293" s="16">
        <f>COUNTIF(G$5:G2293,"Y")/COUNTA(G$5:G2293)</f>
        <v>0.88248143294014858</v>
      </c>
      <c r="J2293" s="16">
        <f>COUNTIF(H$5:H2293,"Y")/COUNTA(H$5:H2293)</f>
        <v>4.8492791612057669E-2</v>
      </c>
      <c r="K2293" s="16">
        <f>AVERAGE(F$5:F2293)</f>
        <v>2.2091743119266041</v>
      </c>
      <c r="L2293" s="16">
        <f>SUM(F$5:F2293)/SUM(E$5:E2293)</f>
        <v>0.76253091260027639</v>
      </c>
    </row>
    <row r="2294" spans="1:12" x14ac:dyDescent="0.25">
      <c r="A2294" s="29">
        <v>46002</v>
      </c>
      <c r="B2294" s="16" t="s">
        <v>2340</v>
      </c>
      <c r="C2294" s="34">
        <v>1</v>
      </c>
      <c r="D2294" s="16" t="s">
        <v>60</v>
      </c>
      <c r="E2294" s="35">
        <v>2.2000000000000002</v>
      </c>
      <c r="F2294" s="35">
        <v>1.5</v>
      </c>
      <c r="G2294" s="16" t="s">
        <v>44</v>
      </c>
      <c r="H2294" s="16" t="s">
        <v>45</v>
      </c>
      <c r="I2294" s="16">
        <f>COUNTIF(G$5:G2294,"Y")/COUNTA(G$5:G2294)</f>
        <v>0.88253275109170304</v>
      </c>
      <c r="J2294" s="16">
        <f>COUNTIF(H$5:H2294,"Y")/COUNTA(H$5:H2294)</f>
        <v>4.8471615720524018E-2</v>
      </c>
      <c r="K2294" s="16">
        <f>AVERAGE(F$5:F2294)</f>
        <v>2.208864628820959</v>
      </c>
      <c r="L2294" s="16">
        <f>SUM(F$5:F2294)/SUM(E$5:E2294)</f>
        <v>0.7625041454370034</v>
      </c>
    </row>
    <row r="2295" spans="1:12" x14ac:dyDescent="0.25">
      <c r="A2295" s="29">
        <v>46003</v>
      </c>
      <c r="B2295" s="16" t="s">
        <v>2341</v>
      </c>
      <c r="C2295" s="34">
        <v>1</v>
      </c>
      <c r="D2295" s="16" t="s">
        <v>43</v>
      </c>
      <c r="E2295" s="35">
        <v>3.1</v>
      </c>
      <c r="F2295" s="35">
        <v>2.2999999999999998</v>
      </c>
      <c r="G2295" s="16" t="s">
        <v>44</v>
      </c>
      <c r="H2295" s="16" t="s">
        <v>45</v>
      </c>
      <c r="I2295" s="16">
        <f>COUNTIF(G$5:G2295,"Y")/COUNTA(G$5:G2295)</f>
        <v>0.8825840244434745</v>
      </c>
      <c r="J2295" s="16">
        <f>COUNTIF(H$5:H2295,"Y")/COUNTA(H$5:H2295)</f>
        <v>4.8450458315146223E-2</v>
      </c>
      <c r="K2295" s="16">
        <f>AVERAGE(F$5:F2295)</f>
        <v>2.2089044085552145</v>
      </c>
      <c r="L2295" s="16">
        <f>SUM(F$5:F2295)/SUM(E$5:E2295)</f>
        <v>0.76249453811267198</v>
      </c>
    </row>
    <row r="2296" spans="1:12" x14ac:dyDescent="0.25">
      <c r="A2296" s="29">
        <v>45999</v>
      </c>
      <c r="B2296" s="16" t="s">
        <v>2342</v>
      </c>
      <c r="C2296" s="34">
        <v>1</v>
      </c>
      <c r="D2296" s="16" t="s">
        <v>56</v>
      </c>
      <c r="E2296" s="35">
        <v>4.5</v>
      </c>
      <c r="F2296" s="35">
        <v>3</v>
      </c>
      <c r="G2296" s="16" t="s">
        <v>44</v>
      </c>
      <c r="H2296" s="16" t="s">
        <v>45</v>
      </c>
      <c r="I2296" s="16">
        <f>COUNTIF(G$5:G2296,"Y")/COUNTA(G$5:G2296)</f>
        <v>0.88263525305410118</v>
      </c>
      <c r="J2296" s="16">
        <f>COUNTIF(H$5:H2296,"Y")/COUNTA(H$5:H2296)</f>
        <v>4.8429319371727751E-2</v>
      </c>
      <c r="K2296" s="16">
        <f>AVERAGE(F$5:F2296)</f>
        <v>2.2092495636998239</v>
      </c>
      <c r="L2296" s="16">
        <f>SUM(F$5:F2296)/SUM(E$5:E2296)</f>
        <v>0.76242960821513428</v>
      </c>
    </row>
    <row r="2297" spans="1:12" x14ac:dyDescent="0.25">
      <c r="A2297" s="29">
        <v>46000</v>
      </c>
      <c r="B2297" s="16" t="s">
        <v>2343</v>
      </c>
      <c r="C2297" s="34">
        <v>1</v>
      </c>
      <c r="D2297" s="16" t="s">
        <v>60</v>
      </c>
      <c r="E2297" s="35">
        <v>3.1</v>
      </c>
      <c r="F2297" s="35">
        <v>2.1</v>
      </c>
      <c r="G2297" s="16" t="s">
        <v>44</v>
      </c>
      <c r="H2297" s="16" t="s">
        <v>45</v>
      </c>
      <c r="I2297" s="16">
        <f>COUNTIF(G$5:G2297,"Y")/COUNTA(G$5:G2297)</f>
        <v>0.88268643698211946</v>
      </c>
      <c r="J2297" s="16">
        <f>COUNTIF(H$5:H2297,"Y")/COUNTA(H$5:H2297)</f>
        <v>4.8408198866114263E-2</v>
      </c>
      <c r="K2297" s="16">
        <f>AVERAGE(F$5:F2297)</f>
        <v>2.2092019188835574</v>
      </c>
      <c r="L2297" s="16">
        <f>SUM(F$5:F2297)/SUM(E$5:E2297)</f>
        <v>0.76238994657235204</v>
      </c>
    </row>
    <row r="2298" spans="1:12" x14ac:dyDescent="0.25">
      <c r="A2298" s="29">
        <v>46001</v>
      </c>
      <c r="B2298" s="16" t="s">
        <v>2344</v>
      </c>
      <c r="C2298" s="34">
        <v>1</v>
      </c>
      <c r="D2298" s="16" t="s">
        <v>43</v>
      </c>
      <c r="E2298" s="35">
        <v>3.6</v>
      </c>
      <c r="F2298" s="35">
        <v>2.5</v>
      </c>
      <c r="G2298" s="16" t="s">
        <v>44</v>
      </c>
      <c r="H2298" s="16" t="s">
        <v>45</v>
      </c>
      <c r="I2298" s="16">
        <f>COUNTIF(G$5:G2298,"Y")/COUNTA(G$5:G2298)</f>
        <v>0.88273757628596339</v>
      </c>
      <c r="J2298" s="16">
        <f>COUNTIF(H$5:H2298,"Y")/COUNTA(H$5:H2298)</f>
        <v>4.8387096774193547E-2</v>
      </c>
      <c r="K2298" s="16">
        <f>AVERAGE(F$5:F2298)</f>
        <v>2.2093286835222306</v>
      </c>
      <c r="L2298" s="16">
        <f>SUM(F$5:F2298)/SUM(E$5:E2298)</f>
        <v>0.76235315353258715</v>
      </c>
    </row>
    <row r="2299" spans="1:12" x14ac:dyDescent="0.25">
      <c r="A2299" s="29">
        <v>46002</v>
      </c>
      <c r="B2299" s="16" t="s">
        <v>2345</v>
      </c>
      <c r="C2299" s="34">
        <v>1</v>
      </c>
      <c r="D2299" s="16" t="s">
        <v>56</v>
      </c>
      <c r="E2299" s="35">
        <v>3.7</v>
      </c>
      <c r="F2299" s="35">
        <v>2.5</v>
      </c>
      <c r="G2299" s="16" t="s">
        <v>44</v>
      </c>
      <c r="H2299" s="16" t="s">
        <v>45</v>
      </c>
      <c r="I2299" s="16">
        <f>COUNTIF(G$5:G2299,"Y")/COUNTA(G$5:G2299)</f>
        <v>0.88278867102396519</v>
      </c>
      <c r="J2299" s="16">
        <f>COUNTIF(H$5:H2299,"Y")/COUNTA(H$5:H2299)</f>
        <v>4.8366013071895426E-2</v>
      </c>
      <c r="K2299" s="16">
        <f>AVERAGE(F$5:F2299)</f>
        <v>2.2094553376906307</v>
      </c>
      <c r="L2299" s="16">
        <f>SUM(F$5:F2299)/SUM(E$5:E2299)</f>
        <v>0.76230494001623517</v>
      </c>
    </row>
    <row r="2300" spans="1:12" x14ac:dyDescent="0.25">
      <c r="A2300" s="29">
        <v>46003</v>
      </c>
      <c r="B2300" s="16" t="s">
        <v>2346</v>
      </c>
      <c r="C2300" s="34">
        <v>1</v>
      </c>
      <c r="D2300" s="16" t="s">
        <v>60</v>
      </c>
      <c r="E2300" s="35">
        <v>2.1</v>
      </c>
      <c r="F2300" s="35">
        <v>1.5</v>
      </c>
      <c r="G2300" s="16" t="s">
        <v>44</v>
      </c>
      <c r="H2300" s="16" t="s">
        <v>45</v>
      </c>
      <c r="I2300" s="16">
        <f>COUNTIF(G$5:G2300,"Y")/COUNTA(G$5:G2300)</f>
        <v>0.88283972125435539</v>
      </c>
      <c r="J2300" s="16">
        <f>COUNTIF(H$5:H2300,"Y")/COUNTA(H$5:H2300)</f>
        <v>4.8344947735191636E-2</v>
      </c>
      <c r="K2300" s="16">
        <f>AVERAGE(F$5:F2300)</f>
        <v>2.2091463414634132</v>
      </c>
      <c r="L2300" s="16">
        <f>SUM(F$5:F2300)/SUM(E$5:E2300)</f>
        <v>0.76228978493815547</v>
      </c>
    </row>
    <row r="2301" spans="1:12" x14ac:dyDescent="0.25">
      <c r="A2301" s="29">
        <v>45999</v>
      </c>
      <c r="B2301" s="16" t="s">
        <v>2347</v>
      </c>
      <c r="C2301" s="34">
        <v>1</v>
      </c>
      <c r="D2301" s="16" t="s">
        <v>64</v>
      </c>
      <c r="E2301" s="35">
        <v>2.9</v>
      </c>
      <c r="F2301" s="35">
        <v>2.5</v>
      </c>
      <c r="G2301" s="16" t="s">
        <v>44</v>
      </c>
      <c r="H2301" s="16" t="s">
        <v>45</v>
      </c>
      <c r="I2301" s="16">
        <f>COUNTIF(G$5:G2301,"Y")/COUNTA(G$5:G2301)</f>
        <v>0.88289072703526339</v>
      </c>
      <c r="J2301" s="16">
        <f>COUNTIF(H$5:H2301,"Y")/COUNTA(H$5:H2301)</f>
        <v>4.8323900740095779E-2</v>
      </c>
      <c r="K2301" s="16">
        <f>AVERAGE(F$5:F2301)</f>
        <v>2.2092729647366118</v>
      </c>
      <c r="L2301" s="16">
        <f>SUM(F$5:F2301)/SUM(E$5:E2301)</f>
        <v>0.76233325321475676</v>
      </c>
    </row>
    <row r="2302" spans="1:12" x14ac:dyDescent="0.25">
      <c r="A2302" s="29">
        <v>46000</v>
      </c>
      <c r="B2302" s="16" t="s">
        <v>2348</v>
      </c>
      <c r="C2302" s="34">
        <v>1</v>
      </c>
      <c r="D2302" s="16" t="s">
        <v>43</v>
      </c>
      <c r="E2302" s="35">
        <v>3.9</v>
      </c>
      <c r="F2302" s="35">
        <v>2.7</v>
      </c>
      <c r="G2302" s="16" t="s">
        <v>44</v>
      </c>
      <c r="H2302" s="16" t="s">
        <v>45</v>
      </c>
      <c r="I2302" s="16">
        <f>COUNTIF(G$5:G2302,"Y")/COUNTA(G$5:G2302)</f>
        <v>0.8829416884247171</v>
      </c>
      <c r="J2302" s="16">
        <f>COUNTIF(H$5:H2302,"Y")/COUNTA(H$5:H2302)</f>
        <v>4.8302872062663184E-2</v>
      </c>
      <c r="K2302" s="16">
        <f>AVERAGE(F$5:F2302)</f>
        <v>2.209486510008702</v>
      </c>
      <c r="L2302" s="16">
        <f>SUM(F$5:F2302)/SUM(E$5:E2302)</f>
        <v>0.76229225156514979</v>
      </c>
    </row>
    <row r="2303" spans="1:12" x14ac:dyDescent="0.25">
      <c r="A2303" s="29">
        <v>46001</v>
      </c>
      <c r="B2303" s="16" t="s">
        <v>2349</v>
      </c>
      <c r="C2303" s="34">
        <v>1</v>
      </c>
      <c r="D2303" s="16" t="s">
        <v>52</v>
      </c>
      <c r="E2303" s="35">
        <v>4.2</v>
      </c>
      <c r="F2303" s="35">
        <v>2.9</v>
      </c>
      <c r="G2303" s="16" t="s">
        <v>44</v>
      </c>
      <c r="H2303" s="16" t="s">
        <v>45</v>
      </c>
      <c r="I2303" s="16">
        <f>COUNTIF(G$5:G2303,"Y")/COUNTA(G$5:G2303)</f>
        <v>0.88299260548064373</v>
      </c>
      <c r="J2303" s="16">
        <f>COUNTIF(H$5:H2303,"Y")/COUNTA(H$5:H2303)</f>
        <v>4.8281861678990866E-2</v>
      </c>
      <c r="K2303" s="16">
        <f>AVERAGE(F$5:F2303)</f>
        <v>2.2097868638538478</v>
      </c>
      <c r="L2303" s="16">
        <f>SUM(F$5:F2303)/SUM(E$5:E2303)</f>
        <v>0.76224699545379415</v>
      </c>
    </row>
    <row r="2304" spans="1:12" x14ac:dyDescent="0.25">
      <c r="A2304" s="29">
        <v>46002</v>
      </c>
      <c r="B2304" s="16" t="s">
        <v>2350</v>
      </c>
      <c r="C2304" s="34">
        <v>1</v>
      </c>
      <c r="D2304" s="16" t="s">
        <v>47</v>
      </c>
      <c r="E2304" s="35">
        <v>3.3</v>
      </c>
      <c r="F2304" s="35">
        <v>2.9</v>
      </c>
      <c r="G2304" s="16" t="s">
        <v>44</v>
      </c>
      <c r="H2304" s="16" t="s">
        <v>45</v>
      </c>
      <c r="I2304" s="16">
        <f>COUNTIF(G$5:G2304,"Y")/COUNTA(G$5:G2304)</f>
        <v>0.8830434782608696</v>
      </c>
      <c r="J2304" s="16">
        <f>COUNTIF(H$5:H2304,"Y")/COUNTA(H$5:H2304)</f>
        <v>4.8260869565217392E-2</v>
      </c>
      <c r="K2304" s="16">
        <f>AVERAGE(F$5:F2304)</f>
        <v>2.2100869565217374</v>
      </c>
      <c r="L2304" s="16">
        <f>SUM(F$5:F2304)/SUM(E$5:E2304)</f>
        <v>0.76230466992591583</v>
      </c>
    </row>
    <row r="2305" spans="1:13" x14ac:dyDescent="0.25">
      <c r="A2305" s="29">
        <v>46003</v>
      </c>
      <c r="B2305" s="16" t="s">
        <v>2351</v>
      </c>
      <c r="C2305" s="34">
        <v>1</v>
      </c>
      <c r="D2305" s="16" t="s">
        <v>52</v>
      </c>
      <c r="E2305" s="35">
        <v>4.9000000000000004</v>
      </c>
      <c r="F2305" s="35">
        <v>3.3</v>
      </c>
      <c r="G2305" s="16" t="s">
        <v>44</v>
      </c>
      <c r="H2305" s="16" t="s">
        <v>45</v>
      </c>
      <c r="I2305" s="16">
        <f>COUNTIF(G$5:G2305,"Y")/COUNTA(G$5:G2305)</f>
        <v>0.8830943068231204</v>
      </c>
      <c r="J2305" s="16">
        <f>COUNTIF(H$5:H2305,"Y")/COUNTA(H$5:H2305)</f>
        <v>4.8239895697522815E-2</v>
      </c>
      <c r="K2305" s="16">
        <f>AVERAGE(F$5:F2305)</f>
        <v>2.2105606258148613</v>
      </c>
      <c r="L2305" s="16">
        <f>SUM(F$5:F2305)/SUM(E$5:E2305)</f>
        <v>0.76223943894142043</v>
      </c>
    </row>
    <row r="2306" spans="1:13" x14ac:dyDescent="0.25">
      <c r="A2306" s="29">
        <v>45999</v>
      </c>
      <c r="B2306" s="16" t="s">
        <v>2352</v>
      </c>
      <c r="C2306" s="34">
        <v>1</v>
      </c>
      <c r="D2306" s="16" t="s">
        <v>60</v>
      </c>
      <c r="E2306" s="35">
        <v>2.9</v>
      </c>
      <c r="F2306" s="35">
        <v>2.2999999999999998</v>
      </c>
      <c r="G2306" s="16" t="s">
        <v>44</v>
      </c>
      <c r="H2306" s="16" t="s">
        <v>45</v>
      </c>
      <c r="I2306" s="16">
        <f>COUNTIF(G$5:G2306,"Y")/COUNTA(G$5:G2306)</f>
        <v>0.88314509122502172</v>
      </c>
      <c r="J2306" s="16">
        <f>COUNTIF(H$5:H2306,"Y")/COUNTA(H$5:H2306)</f>
        <v>4.8218940052128581E-2</v>
      </c>
      <c r="K2306" s="16">
        <f>AVERAGE(F$5:F2306)</f>
        <v>2.2105994787141601</v>
      </c>
      <c r="L2306" s="16">
        <f>SUM(F$5:F2306)/SUM(E$5:E2306)</f>
        <v>0.76225284601557719</v>
      </c>
    </row>
    <row r="2307" spans="1:13" x14ac:dyDescent="0.25">
      <c r="A2307" s="29">
        <v>46000</v>
      </c>
      <c r="B2307" s="16" t="s">
        <v>2353</v>
      </c>
      <c r="C2307" s="34">
        <v>1</v>
      </c>
      <c r="D2307" s="16" t="s">
        <v>43</v>
      </c>
      <c r="E2307" s="35">
        <v>4.3</v>
      </c>
      <c r="F2307" s="35">
        <v>3.1</v>
      </c>
      <c r="G2307" s="16" t="s">
        <v>44</v>
      </c>
      <c r="H2307" s="16" t="s">
        <v>44</v>
      </c>
      <c r="I2307" s="16">
        <f>COUNTIF(G$5:G2307,"Y")/COUNTA(G$5:G2307)</f>
        <v>0.88319583152409897</v>
      </c>
      <c r="J2307" s="16">
        <f>COUNTIF(H$5:H2307,"Y")/COUNTA(H$5:H2307)</f>
        <v>4.8632218844984802E-2</v>
      </c>
      <c r="K2307" s="16">
        <f>AVERAGE(F$5:F2307)</f>
        <v>2.2109856708640891</v>
      </c>
      <c r="L2307" s="16">
        <f>SUM(F$5:F2307)/SUM(E$5:E2307)</f>
        <v>0.76222624732422095</v>
      </c>
    </row>
    <row r="2308" spans="1:13" x14ac:dyDescent="0.25">
      <c r="A2308" s="29">
        <v>46001</v>
      </c>
      <c r="B2308" s="16" t="s">
        <v>2354</v>
      </c>
      <c r="C2308" s="34">
        <v>1</v>
      </c>
      <c r="D2308" s="16" t="s">
        <v>56</v>
      </c>
      <c r="E2308" s="35">
        <v>1.6</v>
      </c>
      <c r="F2308" s="35">
        <v>1.7</v>
      </c>
      <c r="G2308" s="16" t="s">
        <v>44</v>
      </c>
      <c r="H2308" s="16" t="s">
        <v>45</v>
      </c>
      <c r="I2308" s="16">
        <f>COUNTIF(G$5:G2308,"Y")/COUNTA(G$5:G2308)</f>
        <v>0.88324652777777779</v>
      </c>
      <c r="J2308" s="16">
        <f>COUNTIF(H$5:H2308,"Y")/COUNTA(H$5:H2308)</f>
        <v>4.8611111111111112E-2</v>
      </c>
      <c r="K2308" s="16">
        <f>AVERAGE(F$5:F2308)</f>
        <v>2.2107638888888874</v>
      </c>
      <c r="L2308" s="16">
        <f>SUM(F$5:F2308)/SUM(E$5:E2308)</f>
        <v>0.76229814873015056</v>
      </c>
    </row>
    <row r="2309" spans="1:13" x14ac:dyDescent="0.25">
      <c r="A2309" s="29">
        <v>46002</v>
      </c>
      <c r="B2309" s="16" t="s">
        <v>2355</v>
      </c>
      <c r="C2309" s="34">
        <v>1</v>
      </c>
      <c r="D2309" s="16" t="s">
        <v>64</v>
      </c>
      <c r="E2309" s="35">
        <v>0.5</v>
      </c>
      <c r="F2309" s="35">
        <v>0.5</v>
      </c>
      <c r="G2309" s="16" t="s">
        <v>45</v>
      </c>
      <c r="H2309" s="16" t="s">
        <v>45</v>
      </c>
      <c r="I2309" s="16">
        <f>COUNTIF(G$5:G2309,"Y")/COUNTA(G$5:G2309)</f>
        <v>0.88286334056399129</v>
      </c>
      <c r="J2309" s="16">
        <f>COUNTIF(H$5:H2309,"Y")/COUNTA(H$5:H2309)</f>
        <v>4.8590021691973968E-2</v>
      </c>
      <c r="K2309" s="16">
        <f>AVERAGE(F$5:F2309)</f>
        <v>2.2100216919739681</v>
      </c>
      <c r="L2309" s="16">
        <f>SUM(F$5:F2309)/SUM(E$5:E2309)</f>
        <v>0.76231593439482714</v>
      </c>
    </row>
    <row r="2310" spans="1:13" x14ac:dyDescent="0.25">
      <c r="A2310" s="29">
        <v>46003</v>
      </c>
      <c r="B2310" s="16" t="s">
        <v>2356</v>
      </c>
      <c r="C2310" s="34">
        <v>1</v>
      </c>
      <c r="D2310" s="16" t="s">
        <v>43</v>
      </c>
      <c r="E2310" s="35">
        <v>0.5</v>
      </c>
      <c r="F2310" s="35">
        <v>0.5</v>
      </c>
      <c r="G2310" s="16" t="s">
        <v>44</v>
      </c>
      <c r="H2310" s="16" t="s">
        <v>45</v>
      </c>
      <c r="I2310" s="16">
        <f>COUNTIF(G$5:G2310,"Y")/COUNTA(G$5:G2310)</f>
        <v>0.88291413703382482</v>
      </c>
      <c r="J2310" s="16">
        <f>COUNTIF(H$5:H2310,"Y")/COUNTA(H$5:H2310)</f>
        <v>4.856895056374675E-2</v>
      </c>
      <c r="K2310" s="16">
        <f>AVERAGE(F$5:F2310)</f>
        <v>2.2092801387684289</v>
      </c>
      <c r="L2310" s="16">
        <f>SUM(F$5:F2310)/SUM(E$5:E2310)</f>
        <v>0.76233371739813449</v>
      </c>
    </row>
    <row r="2311" spans="1:13" x14ac:dyDescent="0.25">
      <c r="A2311" s="29">
        <v>45999</v>
      </c>
      <c r="B2311" s="16" t="s">
        <v>2357</v>
      </c>
      <c r="C2311" s="34">
        <v>1</v>
      </c>
      <c r="D2311" s="16" t="s">
        <v>64</v>
      </c>
      <c r="E2311" s="35">
        <v>0.5</v>
      </c>
      <c r="F2311" s="35">
        <v>0.5</v>
      </c>
      <c r="G2311" s="16" t="s">
        <v>44</v>
      </c>
      <c r="H2311" s="16" t="s">
        <v>45</v>
      </c>
      <c r="I2311" s="16">
        <f>COUNTIF(G$5:G2311,"Y")/COUNTA(G$5:G2311)</f>
        <v>0.88296488946684004</v>
      </c>
      <c r="J2311" s="16">
        <f>COUNTIF(H$5:H2311,"Y")/COUNTA(H$5:H2311)</f>
        <v>4.854789770264413E-2</v>
      </c>
      <c r="K2311" s="16">
        <f>AVERAGE(F$5:F2311)</f>
        <v>2.2085392284351957</v>
      </c>
      <c r="L2311" s="16">
        <f>SUM(F$5:F2311)/SUM(E$5:E2311)</f>
        <v>0.76235149774066979</v>
      </c>
    </row>
    <row r="2312" spans="1:13" x14ac:dyDescent="0.25">
      <c r="A2312" s="29">
        <v>46000</v>
      </c>
      <c r="B2312" s="16" t="s">
        <v>2358</v>
      </c>
      <c r="C2312" s="34">
        <v>1</v>
      </c>
      <c r="D2312" s="16" t="s">
        <v>56</v>
      </c>
      <c r="E2312" s="35">
        <v>0.5</v>
      </c>
      <c r="F2312" s="35">
        <v>0.5</v>
      </c>
      <c r="G2312" s="16" t="s">
        <v>44</v>
      </c>
      <c r="H2312" s="16" t="s">
        <v>45</v>
      </c>
      <c r="I2312" s="16">
        <f>COUNTIF(G$5:G2312,"Y")/COUNTA(G$5:G2312)</f>
        <v>0.88301559792027728</v>
      </c>
      <c r="J2312" s="16">
        <f>COUNTIF(H$5:H2312,"Y")/COUNTA(H$5:H2312)</f>
        <v>4.852686308492201E-2</v>
      </c>
      <c r="K2312" s="16">
        <f>AVERAGE(F$5:F2312)</f>
        <v>2.2077989601386467</v>
      </c>
      <c r="L2312" s="16">
        <f>SUM(F$5:F2312)/SUM(E$5:E2312)</f>
        <v>0.76236927542303035</v>
      </c>
    </row>
    <row r="2313" spans="1:13" x14ac:dyDescent="0.25">
      <c r="A2313" s="29">
        <v>46001</v>
      </c>
      <c r="B2313" s="16" t="s">
        <v>2359</v>
      </c>
      <c r="C2313" s="34">
        <v>1</v>
      </c>
      <c r="D2313" s="16" t="s">
        <v>43</v>
      </c>
      <c r="E2313" s="35">
        <v>0.5</v>
      </c>
      <c r="F2313" s="35">
        <v>0.5</v>
      </c>
      <c r="G2313" s="16" t="s">
        <v>44</v>
      </c>
      <c r="H2313" s="16" t="s">
        <v>45</v>
      </c>
      <c r="I2313" s="16">
        <f>COUNTIF(G$5:G2313,"Y")/COUNTA(G$5:G2313)</f>
        <v>0.88306626245127762</v>
      </c>
      <c r="J2313" s="16">
        <f>COUNTIF(H$5:H2313,"Y")/COUNTA(H$5:H2313)</f>
        <v>4.8505846686877435E-2</v>
      </c>
      <c r="K2313" s="16">
        <f>AVERAGE(F$5:F2313)</f>
        <v>2.2070593330446067</v>
      </c>
      <c r="L2313" s="16">
        <f>SUM(F$5:F2313)/SUM(E$5:E2313)</f>
        <v>0.76238705044581301</v>
      </c>
    </row>
    <row r="2314" spans="1:13" x14ac:dyDescent="0.25">
      <c r="A2314" s="29">
        <v>46002</v>
      </c>
      <c r="B2314" s="16" t="s">
        <v>2360</v>
      </c>
      <c r="C2314" s="34">
        <v>1</v>
      </c>
      <c r="D2314" s="16" t="s">
        <v>50</v>
      </c>
      <c r="E2314" s="35">
        <v>0.5</v>
      </c>
      <c r="F2314" s="35">
        <v>0.5</v>
      </c>
      <c r="G2314" s="16" t="s">
        <v>44</v>
      </c>
      <c r="H2314" s="16" t="s">
        <v>45</v>
      </c>
      <c r="I2314" s="16">
        <f>COUNTIF(G$5:G2314,"Y")/COUNTA(G$5:G2314)</f>
        <v>0.88311688311688308</v>
      </c>
      <c r="J2314" s="16">
        <f>COUNTIF(H$5:H2314,"Y")/COUNTA(H$5:H2314)</f>
        <v>4.8484848484848485E-2</v>
      </c>
      <c r="K2314" s="16">
        <f>AVERAGE(F$5:F2314)</f>
        <v>2.2063203463203447</v>
      </c>
      <c r="L2314" s="16">
        <f>SUM(F$5:F2314)/SUM(E$5:E2314)</f>
        <v>0.76240482280961464</v>
      </c>
      <c r="M2314" s="16">
        <v>8</v>
      </c>
    </row>
    <row r="2315" spans="1:13" x14ac:dyDescent="0.25">
      <c r="A2315" s="29">
        <v>46006</v>
      </c>
      <c r="B2315" s="16" t="s">
        <v>2361</v>
      </c>
      <c r="C2315" s="34">
        <v>1</v>
      </c>
      <c r="D2315" s="16" t="s">
        <v>60</v>
      </c>
      <c r="E2315" s="35">
        <v>3.8</v>
      </c>
      <c r="F2315" s="35">
        <v>2.9</v>
      </c>
      <c r="G2315" s="16" t="s">
        <v>44</v>
      </c>
      <c r="H2315" s="16" t="s">
        <v>45</v>
      </c>
      <c r="I2315" s="16">
        <f>COUNTIF(G$5:G2315,"Y")/COUNTA(G$5:G2315)</f>
        <v>0.88316745997403723</v>
      </c>
      <c r="J2315" s="16">
        <f>COUNTIF(H$5:H2315,"Y")/COUNTA(H$5:H2315)</f>
        <v>4.8463868455214193E-2</v>
      </c>
      <c r="K2315" s="16">
        <f>AVERAGE(F$5:F2315)</f>
        <v>2.2066205106014696</v>
      </c>
      <c r="L2315" s="16">
        <f>SUM(F$5:F2315)/SUM(E$5:E2315)</f>
        <v>0.7624052506466118</v>
      </c>
    </row>
    <row r="2316" spans="1:13" x14ac:dyDescent="0.25">
      <c r="A2316" s="29">
        <v>46007</v>
      </c>
      <c r="B2316" s="16" t="s">
        <v>2362</v>
      </c>
      <c r="C2316" s="34">
        <v>1</v>
      </c>
      <c r="D2316" s="16" t="s">
        <v>56</v>
      </c>
      <c r="E2316" s="35">
        <v>2.4</v>
      </c>
      <c r="F2316" s="35">
        <v>1.6</v>
      </c>
      <c r="G2316" s="16" t="s">
        <v>44</v>
      </c>
      <c r="H2316" s="16" t="s">
        <v>45</v>
      </c>
      <c r="I2316" s="16">
        <f>COUNTIF(G$5:G2316,"Y")/COUNTA(G$5:G2316)</f>
        <v>0.88321799307958482</v>
      </c>
      <c r="J2316" s="16">
        <f>COUNTIF(H$5:H2316,"Y")/COUNTA(H$5:H2316)</f>
        <v>4.8442906574394463E-2</v>
      </c>
      <c r="K2316" s="16">
        <f>AVERAGE(F$5:F2316)</f>
        <v>2.206358131487888</v>
      </c>
      <c r="L2316" s="16">
        <f>SUM(F$5:F2316)/SUM(E$5:E2316)</f>
        <v>0.76237091061260376</v>
      </c>
    </row>
    <row r="2317" spans="1:13" x14ac:dyDescent="0.25">
      <c r="A2317" s="29">
        <v>46008</v>
      </c>
      <c r="B2317" s="16" t="s">
        <v>2363</v>
      </c>
      <c r="C2317" s="34">
        <v>1</v>
      </c>
      <c r="D2317" s="16" t="s">
        <v>47</v>
      </c>
      <c r="E2317" s="35">
        <v>4.0999999999999996</v>
      </c>
      <c r="F2317" s="35">
        <v>2.9</v>
      </c>
      <c r="G2317" s="16" t="s">
        <v>44</v>
      </c>
      <c r="H2317" s="16" t="s">
        <v>45</v>
      </c>
      <c r="I2317" s="16">
        <f>COUNTIF(G$5:G2317,"Y")/COUNTA(G$5:G2317)</f>
        <v>0.88326848249027234</v>
      </c>
      <c r="J2317" s="16">
        <f>COUNTIF(H$5:H2317,"Y")/COUNTA(H$5:H2317)</f>
        <v>4.842196281884998E-2</v>
      </c>
      <c r="K2317" s="16">
        <f>AVERAGE(F$5:F2317)</f>
        <v>2.2066580198875902</v>
      </c>
      <c r="L2317" s="16">
        <f>SUM(F$5:F2317)/SUM(E$5:E2317)</f>
        <v>0.76233719679770473</v>
      </c>
    </row>
    <row r="2318" spans="1:13" x14ac:dyDescent="0.25">
      <c r="A2318" s="29">
        <v>46009</v>
      </c>
      <c r="B2318" s="16" t="s">
        <v>2364</v>
      </c>
      <c r="C2318" s="34">
        <v>1</v>
      </c>
      <c r="D2318" s="16" t="s">
        <v>60</v>
      </c>
      <c r="E2318" s="35">
        <v>5.7</v>
      </c>
      <c r="F2318" s="35">
        <v>3.8</v>
      </c>
      <c r="G2318" s="16" t="s">
        <v>44</v>
      </c>
      <c r="H2318" s="16" t="s">
        <v>45</v>
      </c>
      <c r="I2318" s="16">
        <f>COUNTIF(G$5:G2318,"Y")/COUNTA(G$5:G2318)</f>
        <v>0.88331892826274849</v>
      </c>
      <c r="J2318" s="16">
        <f>COUNTIF(H$5:H2318,"Y")/COUNTA(H$5:H2318)</f>
        <v>4.8401037165082109E-2</v>
      </c>
      <c r="K2318" s="16">
        <f>AVERAGE(F$5:F2318)</f>
        <v>2.2073465859982697</v>
      </c>
      <c r="L2318" s="16">
        <f>SUM(F$5:F2318)/SUM(E$5:E2318)</f>
        <v>0.76225581638287288</v>
      </c>
    </row>
    <row r="2319" spans="1:13" x14ac:dyDescent="0.25">
      <c r="A2319" s="29">
        <v>46010</v>
      </c>
      <c r="B2319" s="16" t="s">
        <v>2365</v>
      </c>
      <c r="C2319" s="34">
        <v>1</v>
      </c>
      <c r="D2319" s="16" t="s">
        <v>50</v>
      </c>
      <c r="E2319" s="35">
        <v>4.0999999999999996</v>
      </c>
      <c r="F2319" s="35">
        <v>3.3</v>
      </c>
      <c r="G2319" s="16" t="s">
        <v>44</v>
      </c>
      <c r="H2319" s="16" t="s">
        <v>45</v>
      </c>
      <c r="I2319" s="16">
        <f>COUNTIF(G$5:G2319,"Y")/COUNTA(G$5:G2319)</f>
        <v>0.88336933045356369</v>
      </c>
      <c r="J2319" s="16">
        <f>COUNTIF(H$5:H2319,"Y")/COUNTA(H$5:H2319)</f>
        <v>4.838012958963283E-2</v>
      </c>
      <c r="K2319" s="16">
        <f>AVERAGE(F$5:F2319)</f>
        <v>2.2078185745140373</v>
      </c>
      <c r="L2319" s="16">
        <f>SUM(F$5:F2319)/SUM(E$5:E2319)</f>
        <v>0.76228187919462975</v>
      </c>
    </row>
    <row r="2320" spans="1:13" x14ac:dyDescent="0.25">
      <c r="A2320" s="29">
        <v>46006</v>
      </c>
      <c r="B2320" s="16" t="s">
        <v>2366</v>
      </c>
      <c r="C2320" s="34">
        <v>1</v>
      </c>
      <c r="D2320" s="16" t="s">
        <v>64</v>
      </c>
      <c r="E2320" s="35">
        <v>4.5999999999999996</v>
      </c>
      <c r="F2320" s="35">
        <v>3</v>
      </c>
      <c r="G2320" s="16" t="s">
        <v>44</v>
      </c>
      <c r="H2320" s="16" t="s">
        <v>45</v>
      </c>
      <c r="I2320" s="16">
        <f>COUNTIF(G$5:G2320,"Y")/COUNTA(G$5:G2320)</f>
        <v>0.88341968911917101</v>
      </c>
      <c r="J2320" s="16">
        <f>COUNTIF(H$5:H2320,"Y")/COUNTA(H$5:H2320)</f>
        <v>4.8359240069084632E-2</v>
      </c>
      <c r="K2320" s="16">
        <f>AVERAGE(F$5:F2320)</f>
        <v>2.2081606217616567</v>
      </c>
      <c r="L2320" s="16">
        <f>SUM(F$5:F2320)/SUM(E$5:E2320)</f>
        <v>0.76220639084297015</v>
      </c>
    </row>
    <row r="2321" spans="1:12" x14ac:dyDescent="0.25">
      <c r="A2321" s="29">
        <v>46007</v>
      </c>
      <c r="B2321" s="16" t="s">
        <v>2367</v>
      </c>
      <c r="C2321" s="34">
        <v>1</v>
      </c>
      <c r="D2321" s="16" t="s">
        <v>60</v>
      </c>
      <c r="E2321" s="35">
        <v>2.2999999999999998</v>
      </c>
      <c r="F2321" s="35">
        <v>1.9</v>
      </c>
      <c r="G2321" s="16" t="s">
        <v>44</v>
      </c>
      <c r="H2321" s="16" t="s">
        <v>45</v>
      </c>
      <c r="I2321" s="16">
        <f>COUNTIF(G$5:G2321,"Y")/COUNTA(G$5:G2321)</f>
        <v>0.88347000431592582</v>
      </c>
      <c r="J2321" s="16">
        <f>COUNTIF(H$5:H2321,"Y")/COUNTA(H$5:H2321)</f>
        <v>4.8338368580060423E-2</v>
      </c>
      <c r="K2321" s="16">
        <f>AVERAGE(F$5:F2321)</f>
        <v>2.2080276219249013</v>
      </c>
      <c r="L2321" s="16">
        <f>SUM(F$5:F2321)/SUM(E$5:E2321)</f>
        <v>0.7622282811126494</v>
      </c>
    </row>
    <row r="2322" spans="1:12" x14ac:dyDescent="0.25">
      <c r="A2322" s="29">
        <v>46008</v>
      </c>
      <c r="B2322" s="16" t="s">
        <v>2368</v>
      </c>
      <c r="C2322" s="34">
        <v>1</v>
      </c>
      <c r="D2322" s="16" t="s">
        <v>52</v>
      </c>
      <c r="E2322" s="35">
        <v>3.8</v>
      </c>
      <c r="F2322" s="35">
        <v>2.7</v>
      </c>
      <c r="G2322" s="16" t="s">
        <v>44</v>
      </c>
      <c r="H2322" s="16" t="s">
        <v>45</v>
      </c>
      <c r="I2322" s="16">
        <f>COUNTIF(G$5:G2322,"Y")/COUNTA(G$5:G2322)</f>
        <v>0.88352027610008632</v>
      </c>
      <c r="J2322" s="16">
        <f>COUNTIF(H$5:H2322,"Y")/COUNTA(H$5:H2322)</f>
        <v>4.8317515099223468E-2</v>
      </c>
      <c r="K2322" s="16">
        <f>AVERAGE(F$5:F2322)</f>
        <v>2.2082398619499553</v>
      </c>
      <c r="L2322" s="16">
        <f>SUM(F$5:F2322)/SUM(E$5:E2322)</f>
        <v>0.76219902616257296</v>
      </c>
    </row>
    <row r="2323" spans="1:12" x14ac:dyDescent="0.25">
      <c r="A2323" s="29">
        <v>46009</v>
      </c>
      <c r="B2323" s="16" t="s">
        <v>2369</v>
      </c>
      <c r="C2323" s="34">
        <v>1</v>
      </c>
      <c r="D2323" s="16" t="s">
        <v>52</v>
      </c>
      <c r="E2323" s="35">
        <v>3.7</v>
      </c>
      <c r="F2323" s="35">
        <v>3.2</v>
      </c>
      <c r="G2323" s="16" t="s">
        <v>44</v>
      </c>
      <c r="H2323" s="16" t="s">
        <v>45</v>
      </c>
      <c r="I2323" s="16">
        <f>COUNTIF(G$5:G2323,"Y")/COUNTA(G$5:G2323)</f>
        <v>0.88357050452781372</v>
      </c>
      <c r="J2323" s="16">
        <f>COUNTIF(H$5:H2323,"Y")/COUNTA(H$5:H2323)</f>
        <v>4.8296679603277277E-2</v>
      </c>
      <c r="K2323" s="16">
        <f>AVERAGE(F$5:F2323)</f>
        <v>2.2086675291073723</v>
      </c>
      <c r="L2323" s="16">
        <f>SUM(F$5:F2323)/SUM(E$5:E2323)</f>
        <v>0.76225555853201055</v>
      </c>
    </row>
    <row r="2324" spans="1:12" x14ac:dyDescent="0.25">
      <c r="A2324" s="29">
        <v>46010</v>
      </c>
      <c r="B2324" s="16" t="s">
        <v>2370</v>
      </c>
      <c r="C2324" s="34">
        <v>1</v>
      </c>
      <c r="D2324" s="16" t="s">
        <v>64</v>
      </c>
      <c r="E2324" s="35">
        <v>5.3</v>
      </c>
      <c r="F2324" s="35">
        <v>3.5</v>
      </c>
      <c r="G2324" s="16" t="s">
        <v>45</v>
      </c>
      <c r="H2324" s="16" t="s">
        <v>45</v>
      </c>
      <c r="I2324" s="16">
        <f>COUNTIF(G$5:G2324,"Y")/COUNTA(G$5:G2324)</f>
        <v>0.88318965517241377</v>
      </c>
      <c r="J2324" s="16">
        <f>COUNTIF(H$5:H2324,"Y")/COUNTA(H$5:H2324)</f>
        <v>4.8275862068965517E-2</v>
      </c>
      <c r="K2324" s="16">
        <f>AVERAGE(F$5:F2324)</f>
        <v>2.2092241379310327</v>
      </c>
      <c r="L2324" s="16">
        <f>SUM(F$5:F2324)/SUM(E$5:E2324)</f>
        <v>0.7621752643240578</v>
      </c>
    </row>
    <row r="2325" spans="1:12" x14ac:dyDescent="0.25">
      <c r="A2325" s="29">
        <v>46006</v>
      </c>
      <c r="B2325" s="16" t="s">
        <v>2371</v>
      </c>
      <c r="C2325" s="34">
        <v>1</v>
      </c>
      <c r="D2325" s="16" t="s">
        <v>47</v>
      </c>
      <c r="E2325" s="35">
        <v>2</v>
      </c>
      <c r="F2325" s="35">
        <v>1.5</v>
      </c>
      <c r="G2325" s="16" t="s">
        <v>44</v>
      </c>
      <c r="H2325" s="16" t="s">
        <v>45</v>
      </c>
      <c r="I2325" s="16">
        <f>COUNTIF(G$5:G2325,"Y")/COUNTA(G$5:G2325)</f>
        <v>0.88323998276604909</v>
      </c>
      <c r="J2325" s="16">
        <f>COUNTIF(H$5:H2325,"Y")/COUNTA(H$5:H2325)</f>
        <v>4.8255062473071951E-2</v>
      </c>
      <c r="K2325" s="16">
        <f>AVERAGE(F$5:F2325)</f>
        <v>2.208918569582075</v>
      </c>
      <c r="L2325" s="16">
        <f>SUM(F$5:F2325)/SUM(E$5:E2325)</f>
        <v>0.76217164434269269</v>
      </c>
    </row>
    <row r="2326" spans="1:12" x14ac:dyDescent="0.25">
      <c r="A2326" s="29">
        <v>46007</v>
      </c>
      <c r="B2326" s="16" t="s">
        <v>2372</v>
      </c>
      <c r="C2326" s="34">
        <v>1</v>
      </c>
      <c r="D2326" s="16" t="s">
        <v>60</v>
      </c>
      <c r="E2326" s="35">
        <v>4.5</v>
      </c>
      <c r="F2326" s="35">
        <v>3.7</v>
      </c>
      <c r="G2326" s="16" t="s">
        <v>44</v>
      </c>
      <c r="H2326" s="16" t="s">
        <v>45</v>
      </c>
      <c r="I2326" s="16">
        <f>COUNTIF(G$5:G2326,"Y")/COUNTA(G$5:G2326)</f>
        <v>0.88329026701119728</v>
      </c>
      <c r="J2326" s="16">
        <f>COUNTIF(H$5:H2326,"Y")/COUNTA(H$5:H2326)</f>
        <v>4.8234280792420328E-2</v>
      </c>
      <c r="K2326" s="16">
        <f>AVERAGE(F$5:F2326)</f>
        <v>2.2095607235142101</v>
      </c>
      <c r="L2326" s="16">
        <f>SUM(F$5:F2326)/SUM(E$5:E2326)</f>
        <v>0.76221178987401816</v>
      </c>
    </row>
    <row r="2327" spans="1:12" x14ac:dyDescent="0.25">
      <c r="A2327" s="29">
        <v>46008</v>
      </c>
      <c r="B2327" s="16" t="s">
        <v>2373</v>
      </c>
      <c r="C2327" s="34">
        <v>1</v>
      </c>
      <c r="D2327" s="16" t="s">
        <v>64</v>
      </c>
      <c r="E2327" s="35">
        <v>3.8</v>
      </c>
      <c r="F2327" s="35">
        <v>2.7</v>
      </c>
      <c r="G2327" s="16" t="s">
        <v>44</v>
      </c>
      <c r="H2327" s="16" t="s">
        <v>45</v>
      </c>
      <c r="I2327" s="16">
        <f>COUNTIF(G$5:G2327,"Y")/COUNTA(G$5:G2327)</f>
        <v>0.88334050796383989</v>
      </c>
      <c r="J2327" s="16">
        <f>COUNTIF(H$5:H2327,"Y")/COUNTA(H$5:H2327)</f>
        <v>4.8213517003874301E-2</v>
      </c>
      <c r="K2327" s="16">
        <f>AVERAGE(F$5:F2327)</f>
        <v>2.2097718467498906</v>
      </c>
      <c r="L2327" s="16">
        <f>SUM(F$5:F2327)/SUM(E$5:E2327)</f>
        <v>0.76218262806235948</v>
      </c>
    </row>
    <row r="2328" spans="1:12" x14ac:dyDescent="0.25">
      <c r="A2328" s="29">
        <v>46009</v>
      </c>
      <c r="B2328" s="16" t="s">
        <v>2374</v>
      </c>
      <c r="C2328" s="34">
        <v>1</v>
      </c>
      <c r="D2328" s="16" t="s">
        <v>43</v>
      </c>
      <c r="E2328" s="35">
        <v>3</v>
      </c>
      <c r="F2328" s="35">
        <v>2.4</v>
      </c>
      <c r="G2328" s="16" t="s">
        <v>44</v>
      </c>
      <c r="H2328" s="16" t="s">
        <v>45</v>
      </c>
      <c r="I2328" s="16">
        <f>COUNTIF(G$5:G2328,"Y")/COUNTA(G$5:G2328)</f>
        <v>0.88339070567986233</v>
      </c>
      <c r="J2328" s="16">
        <f>COUNTIF(H$5:H2328,"Y")/COUNTA(H$5:H2328)</f>
        <v>4.8192771084337352E-2</v>
      </c>
      <c r="K2328" s="16">
        <f>AVERAGE(F$5:F2328)</f>
        <v>2.2098537005163492</v>
      </c>
      <c r="L2328" s="16">
        <f>SUM(F$5:F2328)/SUM(E$5:E2328)</f>
        <v>0.76219946571682851</v>
      </c>
    </row>
    <row r="2329" spans="1:12" x14ac:dyDescent="0.25">
      <c r="A2329" s="29">
        <v>46010</v>
      </c>
      <c r="B2329" s="16" t="s">
        <v>2375</v>
      </c>
      <c r="C2329" s="34">
        <v>1</v>
      </c>
      <c r="D2329" s="16" t="s">
        <v>64</v>
      </c>
      <c r="E2329" s="35">
        <v>5.3</v>
      </c>
      <c r="F2329" s="35">
        <v>4.2</v>
      </c>
      <c r="G2329" s="16" t="s">
        <v>44</v>
      </c>
      <c r="H2329" s="16" t="s">
        <v>45</v>
      </c>
      <c r="I2329" s="16">
        <f>COUNTIF(G$5:G2329,"Y")/COUNTA(G$5:G2329)</f>
        <v>0.88344086021505375</v>
      </c>
      <c r="J2329" s="16">
        <f>COUNTIF(H$5:H2329,"Y")/COUNTA(H$5:H2329)</f>
        <v>4.8172043010752688E-2</v>
      </c>
      <c r="K2329" s="16">
        <f>AVERAGE(F$5:F2329)</f>
        <v>2.2107096774193526</v>
      </c>
      <c r="L2329" s="16">
        <f>SUM(F$5:F2329)/SUM(E$5:E2329)</f>
        <v>0.76222324381237527</v>
      </c>
    </row>
    <row r="2330" spans="1:12" x14ac:dyDescent="0.25">
      <c r="A2330" s="29">
        <v>46006</v>
      </c>
      <c r="B2330" s="16" t="s">
        <v>2376</v>
      </c>
      <c r="C2330" s="34">
        <v>1</v>
      </c>
      <c r="D2330" s="16" t="s">
        <v>52</v>
      </c>
      <c r="E2330" s="35">
        <v>3.7</v>
      </c>
      <c r="F2330" s="35">
        <v>3</v>
      </c>
      <c r="G2330" s="16" t="s">
        <v>44</v>
      </c>
      <c r="H2330" s="16" t="s">
        <v>44</v>
      </c>
      <c r="I2330" s="16">
        <f>COUNTIF(G$5:G2330,"Y")/COUNTA(G$5:G2330)</f>
        <v>0.88349097162510748</v>
      </c>
      <c r="J2330" s="16">
        <f>COUNTIF(H$5:H2330,"Y")/COUNTA(H$5:H2330)</f>
        <v>4.8581255374032677E-2</v>
      </c>
      <c r="K2330" s="16">
        <f>AVERAGE(F$5:F2330)</f>
        <v>2.2110490111779857</v>
      </c>
      <c r="L2330" s="16">
        <f>SUM(F$5:F2330)/SUM(E$5:E2330)</f>
        <v>0.76224988883948275</v>
      </c>
    </row>
    <row r="2331" spans="1:12" x14ac:dyDescent="0.25">
      <c r="A2331" s="29">
        <v>46007</v>
      </c>
      <c r="B2331" s="16" t="s">
        <v>2377</v>
      </c>
      <c r="C2331" s="34">
        <v>1</v>
      </c>
      <c r="D2331" s="16" t="s">
        <v>43</v>
      </c>
      <c r="E2331" s="35">
        <v>5.6</v>
      </c>
      <c r="F2331" s="35">
        <v>3.8</v>
      </c>
      <c r="G2331" s="16" t="s">
        <v>44</v>
      </c>
      <c r="H2331" s="16" t="s">
        <v>45</v>
      </c>
      <c r="I2331" s="16">
        <f>COUNTIF(G$5:G2331,"Y")/COUNTA(G$5:G2331)</f>
        <v>0.88354103996562094</v>
      </c>
      <c r="J2331" s="16">
        <f>COUNTIF(H$5:H2331,"Y")/COUNTA(H$5:H2331)</f>
        <v>4.8560378169316715E-2</v>
      </c>
      <c r="K2331" s="16">
        <f>AVERAGE(F$5:F2331)</f>
        <v>2.211731843575417</v>
      </c>
      <c r="L2331" s="16">
        <f>SUM(F$5:F2331)/SUM(E$5:E2331)</f>
        <v>0.76218049343956251</v>
      </c>
    </row>
    <row r="2332" spans="1:12" x14ac:dyDescent="0.25">
      <c r="A2332" s="29">
        <v>46008</v>
      </c>
      <c r="B2332" s="16" t="s">
        <v>2378</v>
      </c>
      <c r="C2332" s="34">
        <v>1</v>
      </c>
      <c r="D2332" s="16" t="s">
        <v>50</v>
      </c>
      <c r="E2332" s="35">
        <v>5.4</v>
      </c>
      <c r="F2332" s="35">
        <v>3.8</v>
      </c>
      <c r="G2332" s="16" t="s">
        <v>44</v>
      </c>
      <c r="H2332" s="16" t="s">
        <v>45</v>
      </c>
      <c r="I2332" s="16">
        <f>COUNTIF(G$5:G2332,"Y")/COUNTA(G$5:G2332)</f>
        <v>0.88359106529209619</v>
      </c>
      <c r="J2332" s="16">
        <f>COUNTIF(H$5:H2332,"Y")/COUNTA(H$5:H2332)</f>
        <v>4.8539518900343644E-2</v>
      </c>
      <c r="K2332" s="16">
        <f>AVERAGE(F$5:F2332)</f>
        <v>2.2124140893470772</v>
      </c>
      <c r="L2332" s="16">
        <f>SUM(F$5:F2332)/SUM(E$5:E2332)</f>
        <v>0.76213376738679939</v>
      </c>
    </row>
    <row r="2333" spans="1:12" x14ac:dyDescent="0.25">
      <c r="A2333" s="29">
        <v>46009</v>
      </c>
      <c r="B2333" s="16" t="s">
        <v>2379</v>
      </c>
      <c r="C2333" s="34">
        <v>1</v>
      </c>
      <c r="D2333" s="16" t="s">
        <v>52</v>
      </c>
      <c r="E2333" s="35">
        <v>3.2</v>
      </c>
      <c r="F2333" s="35">
        <v>2.1</v>
      </c>
      <c r="G2333" s="16" t="s">
        <v>44</v>
      </c>
      <c r="H2333" s="16" t="s">
        <v>45</v>
      </c>
      <c r="I2333" s="16">
        <f>COUNTIF(G$5:G2333,"Y")/COUNTA(G$5:G2333)</f>
        <v>0.88364104765993989</v>
      </c>
      <c r="J2333" s="16">
        <f>COUNTIF(H$5:H2333,"Y")/COUNTA(H$5:H2333)</f>
        <v>4.8518677544010305E-2</v>
      </c>
      <c r="K2333" s="16">
        <f>AVERAGE(F$5:F2333)</f>
        <v>2.2123658222413036</v>
      </c>
      <c r="L2333" s="16">
        <f>SUM(F$5:F2333)/SUM(E$5:E2333)</f>
        <v>0.7620836537892669</v>
      </c>
    </row>
    <row r="2334" spans="1:12" x14ac:dyDescent="0.25">
      <c r="A2334" s="29">
        <v>46010</v>
      </c>
      <c r="B2334" s="16" t="s">
        <v>2380</v>
      </c>
      <c r="C2334" s="34">
        <v>1</v>
      </c>
      <c r="D2334" s="16" t="s">
        <v>50</v>
      </c>
      <c r="E2334" s="35">
        <v>4.5999999999999996</v>
      </c>
      <c r="F2334" s="35">
        <v>3.3</v>
      </c>
      <c r="G2334" s="16" t="s">
        <v>44</v>
      </c>
      <c r="H2334" s="16" t="s">
        <v>45</v>
      </c>
      <c r="I2334" s="16">
        <f>COUNTIF(G$5:G2334,"Y")/COUNTA(G$5:G2334)</f>
        <v>0.88369098712446348</v>
      </c>
      <c r="J2334" s="16">
        <f>COUNTIF(H$5:H2334,"Y")/COUNTA(H$5:H2334)</f>
        <v>4.8497854077253218E-2</v>
      </c>
      <c r="K2334" s="16">
        <f>AVERAGE(F$5:F2334)</f>
        <v>2.2128326180257494</v>
      </c>
      <c r="L2334" s="16">
        <f>SUM(F$5:F2334)/SUM(E$5:E2334)</f>
        <v>0.76205326790623296</v>
      </c>
    </row>
    <row r="2335" spans="1:12" x14ac:dyDescent="0.25">
      <c r="A2335" s="29">
        <v>46006</v>
      </c>
      <c r="B2335" s="16" t="s">
        <v>2381</v>
      </c>
      <c r="C2335" s="34">
        <v>1</v>
      </c>
      <c r="D2335" s="16" t="s">
        <v>56</v>
      </c>
      <c r="E2335" s="35">
        <v>3.7</v>
      </c>
      <c r="F2335" s="35">
        <v>3.1</v>
      </c>
      <c r="G2335" s="16" t="s">
        <v>44</v>
      </c>
      <c r="H2335" s="16" t="s">
        <v>45</v>
      </c>
      <c r="I2335" s="16">
        <f>COUNTIF(G$5:G2335,"Y")/COUNTA(G$5:G2335)</f>
        <v>0.88374088374088378</v>
      </c>
      <c r="J2335" s="16">
        <f>COUNTIF(H$5:H2335,"Y")/COUNTA(H$5:H2335)</f>
        <v>4.8477048477048479E-2</v>
      </c>
      <c r="K2335" s="16">
        <f>AVERAGE(F$5:F2335)</f>
        <v>2.2132132132132116</v>
      </c>
      <c r="L2335" s="16">
        <f>SUM(F$5:F2335)/SUM(E$5:E2335)</f>
        <v>0.76209468941576064</v>
      </c>
    </row>
    <row r="2336" spans="1:12" x14ac:dyDescent="0.25">
      <c r="A2336" s="29">
        <v>46007</v>
      </c>
      <c r="B2336" s="16" t="s">
        <v>2382</v>
      </c>
      <c r="C2336" s="34">
        <v>1</v>
      </c>
      <c r="D2336" s="16" t="s">
        <v>56</v>
      </c>
      <c r="E2336" s="35">
        <v>3.8</v>
      </c>
      <c r="F2336" s="35">
        <v>2.7</v>
      </c>
      <c r="G2336" s="16" t="s">
        <v>44</v>
      </c>
      <c r="H2336" s="16" t="s">
        <v>45</v>
      </c>
      <c r="I2336" s="16">
        <f>COUNTIF(G$5:G2336,"Y")/COUNTA(G$5:G2336)</f>
        <v>0.88379073756432247</v>
      </c>
      <c r="J2336" s="16">
        <f>COUNTIF(H$5:H2336,"Y")/COUNTA(H$5:H2336)</f>
        <v>4.8456260720411662E-2</v>
      </c>
      <c r="K2336" s="16">
        <f>AVERAGE(F$5:F2336)</f>
        <v>2.2134219554030858</v>
      </c>
      <c r="L2336" s="16">
        <f>SUM(F$5:F2336)/SUM(E$5:E2336)</f>
        <v>0.76206575819762767</v>
      </c>
    </row>
    <row r="2337" spans="1:12" x14ac:dyDescent="0.25">
      <c r="A2337" s="29">
        <v>46008</v>
      </c>
      <c r="B2337" s="16" t="s">
        <v>2383</v>
      </c>
      <c r="C2337" s="34">
        <v>1</v>
      </c>
      <c r="D2337" s="16" t="s">
        <v>47</v>
      </c>
      <c r="E2337" s="35">
        <v>2</v>
      </c>
      <c r="F2337" s="35">
        <v>1.6</v>
      </c>
      <c r="G2337" s="16" t="s">
        <v>45</v>
      </c>
      <c r="H2337" s="16" t="s">
        <v>45</v>
      </c>
      <c r="I2337" s="16">
        <f>COUNTIF(G$5:G2337,"Y")/COUNTA(G$5:G2337)</f>
        <v>0.88341191598799829</v>
      </c>
      <c r="J2337" s="16">
        <f>COUNTIF(H$5:H2337,"Y")/COUNTA(H$5:H2337)</f>
        <v>4.8435490784397774E-2</v>
      </c>
      <c r="K2337" s="16">
        <f>AVERAGE(F$5:F2337)</f>
        <v>2.2131590227175297</v>
      </c>
      <c r="L2337" s="16">
        <f>SUM(F$5:F2337)/SUM(E$5:E2337)</f>
        <v>0.76207695600194703</v>
      </c>
    </row>
    <row r="2338" spans="1:12" x14ac:dyDescent="0.25">
      <c r="A2338" s="29">
        <v>46009</v>
      </c>
      <c r="B2338" s="16" t="s">
        <v>2384</v>
      </c>
      <c r="C2338" s="34">
        <v>1</v>
      </c>
      <c r="D2338" s="16" t="s">
        <v>52</v>
      </c>
      <c r="E2338" s="35">
        <v>5</v>
      </c>
      <c r="F2338" s="35">
        <v>4.2</v>
      </c>
      <c r="G2338" s="16" t="s">
        <v>44</v>
      </c>
      <c r="H2338" s="16" t="s">
        <v>45</v>
      </c>
      <c r="I2338" s="16">
        <f>COUNTIF(G$5:G2338,"Y")/COUNTA(G$5:G2338)</f>
        <v>0.88346186803770355</v>
      </c>
      <c r="J2338" s="16">
        <f>COUNTIF(H$5:H2338,"Y")/COUNTA(H$5:H2338)</f>
        <v>4.8414738646101116E-2</v>
      </c>
      <c r="K2338" s="16">
        <f>AVERAGE(F$5:F2338)</f>
        <v>2.2140102827763481</v>
      </c>
      <c r="L2338" s="16">
        <f>SUM(F$5:F2338)/SUM(E$5:E2338)</f>
        <v>0.76213441883102395</v>
      </c>
    </row>
    <row r="2339" spans="1:12" x14ac:dyDescent="0.25">
      <c r="A2339" s="29">
        <v>46010</v>
      </c>
      <c r="B2339" s="16" t="s">
        <v>2385</v>
      </c>
      <c r="C2339" s="34">
        <v>1</v>
      </c>
      <c r="D2339" s="16" t="s">
        <v>43</v>
      </c>
      <c r="E2339" s="35">
        <v>3.8</v>
      </c>
      <c r="F2339" s="35">
        <v>2.9</v>
      </c>
      <c r="G2339" s="16" t="s">
        <v>44</v>
      </c>
      <c r="H2339" s="16" t="s">
        <v>45</v>
      </c>
      <c r="I2339" s="16">
        <f>COUNTIF(G$5:G2339,"Y")/COUNTA(G$5:G2339)</f>
        <v>0.8835117773019272</v>
      </c>
      <c r="J2339" s="16">
        <f>COUNTIF(H$5:H2339,"Y")/COUNTA(H$5:H2339)</f>
        <v>4.8394004282655244E-2</v>
      </c>
      <c r="K2339" s="16">
        <f>AVERAGE(F$5:F2339)</f>
        <v>2.2143040685224822</v>
      </c>
      <c r="L2339" s="16">
        <f>SUM(F$5:F2339)/SUM(E$5:E2339)</f>
        <v>0.76213499211391211</v>
      </c>
    </row>
    <row r="2340" spans="1:12" x14ac:dyDescent="0.25">
      <c r="A2340" s="29">
        <v>46006</v>
      </c>
      <c r="B2340" s="16" t="s">
        <v>2386</v>
      </c>
      <c r="C2340" s="34">
        <v>1</v>
      </c>
      <c r="D2340" s="16" t="s">
        <v>43</v>
      </c>
      <c r="E2340" s="35">
        <v>5.2</v>
      </c>
      <c r="F2340" s="35">
        <v>4</v>
      </c>
      <c r="G2340" s="16" t="s">
        <v>44</v>
      </c>
      <c r="H2340" s="16" t="s">
        <v>45</v>
      </c>
      <c r="I2340" s="16">
        <f>COUNTIF(G$5:G2340,"Y")/COUNTA(G$5:G2340)</f>
        <v>0.88356164383561642</v>
      </c>
      <c r="J2340" s="16">
        <f>COUNTIF(H$5:H2340,"Y")/COUNTA(H$5:H2340)</f>
        <v>4.8373287671232876E-2</v>
      </c>
      <c r="K2340" s="16">
        <f>AVERAGE(F$5:F2340)</f>
        <v>2.2150684931506834</v>
      </c>
      <c r="L2340" s="16">
        <f>SUM(F$5:F2340)/SUM(E$5:E2340)</f>
        <v>0.76214042684812733</v>
      </c>
    </row>
    <row r="2341" spans="1:12" x14ac:dyDescent="0.25">
      <c r="A2341" s="29">
        <v>46007</v>
      </c>
      <c r="B2341" s="16" t="s">
        <v>2387</v>
      </c>
      <c r="C2341" s="34">
        <v>1</v>
      </c>
      <c r="D2341" s="16" t="s">
        <v>47</v>
      </c>
      <c r="E2341" s="35">
        <v>3.2</v>
      </c>
      <c r="F2341" s="35">
        <v>2.8</v>
      </c>
      <c r="G2341" s="16" t="s">
        <v>45</v>
      </c>
      <c r="H2341" s="16" t="s">
        <v>45</v>
      </c>
      <c r="I2341" s="16">
        <f>COUNTIF(G$5:G2341,"Y")/COUNTA(G$5:G2341)</f>
        <v>0.88318356867779202</v>
      </c>
      <c r="J2341" s="16">
        <f>COUNTIF(H$5:H2341,"Y")/COUNTA(H$5:H2341)</f>
        <v>4.8352588789045782E-2</v>
      </c>
      <c r="K2341" s="16">
        <f>AVERAGE(F$5:F2341)</f>
        <v>2.2153187847667932</v>
      </c>
      <c r="L2341" s="16">
        <f>SUM(F$5:F2341)/SUM(E$5:E2341)</f>
        <v>0.76219359587780511</v>
      </c>
    </row>
    <row r="2342" spans="1:12" x14ac:dyDescent="0.25">
      <c r="A2342" s="29">
        <v>46008</v>
      </c>
      <c r="B2342" s="16" t="s">
        <v>2388</v>
      </c>
      <c r="C2342" s="34">
        <v>1</v>
      </c>
      <c r="D2342" s="16" t="s">
        <v>50</v>
      </c>
      <c r="E2342" s="35">
        <v>2.2999999999999998</v>
      </c>
      <c r="F2342" s="35">
        <v>1.5</v>
      </c>
      <c r="G2342" s="16" t="s">
        <v>44</v>
      </c>
      <c r="H2342" s="16" t="s">
        <v>45</v>
      </c>
      <c r="I2342" s="16">
        <f>COUNTIF(G$5:G2342,"Y")/COUNTA(G$5:G2342)</f>
        <v>0.88323353293413176</v>
      </c>
      <c r="J2342" s="16">
        <f>COUNTIF(H$5:H2342,"Y")/COUNTA(H$5:H2342)</f>
        <v>4.8331907613344736E-2</v>
      </c>
      <c r="K2342" s="16">
        <f>AVERAGE(F$5:F2342)</f>
        <v>2.2150128314798958</v>
      </c>
      <c r="L2342" s="16">
        <f>SUM(F$5:F2342)/SUM(E$5:E2342)</f>
        <v>0.76215635485959721</v>
      </c>
    </row>
    <row r="2343" spans="1:12" x14ac:dyDescent="0.25">
      <c r="A2343" s="29">
        <v>46009</v>
      </c>
      <c r="B2343" s="16" t="s">
        <v>2389</v>
      </c>
      <c r="C2343" s="34">
        <v>1</v>
      </c>
      <c r="D2343" s="16" t="s">
        <v>43</v>
      </c>
      <c r="E2343" s="35">
        <v>2.1</v>
      </c>
      <c r="F2343" s="35">
        <v>1.5</v>
      </c>
      <c r="G2343" s="16" t="s">
        <v>45</v>
      </c>
      <c r="H2343" s="16" t="s">
        <v>45</v>
      </c>
      <c r="I2343" s="16">
        <f>COUNTIF(G$5:G2343,"Y")/COUNTA(G$5:G2343)</f>
        <v>0.88285592133390334</v>
      </c>
      <c r="J2343" s="16">
        <f>COUNTIF(H$5:H2343,"Y")/COUNTA(H$5:H2343)</f>
        <v>4.8311244121419412E-2</v>
      </c>
      <c r="K2343" s="16">
        <f>AVERAGE(F$5:F2343)</f>
        <v>2.2147071398033331</v>
      </c>
      <c r="L2343" s="16">
        <f>SUM(F$5:F2343)/SUM(E$5:E2343)</f>
        <v>0.76214156453677273</v>
      </c>
    </row>
    <row r="2344" spans="1:12" x14ac:dyDescent="0.25">
      <c r="A2344" s="29">
        <v>46010</v>
      </c>
      <c r="B2344" s="16" t="s">
        <v>2390</v>
      </c>
      <c r="C2344" s="34">
        <v>1</v>
      </c>
      <c r="D2344" s="16" t="s">
        <v>47</v>
      </c>
      <c r="E2344" s="35">
        <v>3.2</v>
      </c>
      <c r="F2344" s="35">
        <v>2.5</v>
      </c>
      <c r="G2344" s="16" t="s">
        <v>44</v>
      </c>
      <c r="H2344" s="16" t="s">
        <v>45</v>
      </c>
      <c r="I2344" s="16">
        <f>COUNTIF(G$5:G2344,"Y")/COUNTA(G$5:G2344)</f>
        <v>0.88290598290598288</v>
      </c>
      <c r="J2344" s="16">
        <f>COUNTIF(H$5:H2344,"Y")/COUNTA(H$5:H2344)</f>
        <v>4.8290598290598293E-2</v>
      </c>
      <c r="K2344" s="16">
        <f>AVERAGE(F$5:F2344)</f>
        <v>2.2148290598290581</v>
      </c>
      <c r="L2344" s="16">
        <f>SUM(F$5:F2344)/SUM(E$5:E2344)</f>
        <v>0.76215055660946029</v>
      </c>
    </row>
    <row r="2345" spans="1:12" x14ac:dyDescent="0.25">
      <c r="A2345" s="29">
        <v>46006</v>
      </c>
      <c r="B2345" s="16" t="s">
        <v>2391</v>
      </c>
      <c r="C2345" s="34">
        <v>1</v>
      </c>
      <c r="D2345" s="16" t="s">
        <v>47</v>
      </c>
      <c r="E2345" s="35">
        <v>6.2</v>
      </c>
      <c r="F2345" s="35">
        <v>4.2</v>
      </c>
      <c r="G2345" s="16" t="s">
        <v>44</v>
      </c>
      <c r="H2345" s="16" t="s">
        <v>45</v>
      </c>
      <c r="I2345" s="16">
        <f>COUNTIF(G$5:G2345,"Y")/COUNTA(G$5:G2345)</f>
        <v>0.8829560017086715</v>
      </c>
      <c r="J2345" s="16">
        <f>COUNTIF(H$5:H2345,"Y")/COUNTA(H$5:H2345)</f>
        <v>4.8269970098248613E-2</v>
      </c>
      <c r="K2345" s="16">
        <f>AVERAGE(F$5:F2345)</f>
        <v>2.2156770610850045</v>
      </c>
      <c r="L2345" s="16">
        <f>SUM(F$5:F2345)/SUM(E$5:E2345)</f>
        <v>0.76207337319835899</v>
      </c>
    </row>
    <row r="2346" spans="1:12" x14ac:dyDescent="0.25">
      <c r="A2346" s="29">
        <v>46007</v>
      </c>
      <c r="B2346" s="16" t="s">
        <v>2392</v>
      </c>
      <c r="C2346" s="34">
        <v>1</v>
      </c>
      <c r="D2346" s="16" t="s">
        <v>43</v>
      </c>
      <c r="E2346" s="35">
        <v>2.1</v>
      </c>
      <c r="F2346" s="35">
        <v>1.8</v>
      </c>
      <c r="G2346" s="16" t="s">
        <v>44</v>
      </c>
      <c r="H2346" s="16" t="s">
        <v>45</v>
      </c>
      <c r="I2346" s="16">
        <f>COUNTIF(G$5:G2346,"Y")/COUNTA(G$5:G2346)</f>
        <v>0.88300597779675494</v>
      </c>
      <c r="J2346" s="16">
        <f>COUNTIF(H$5:H2346,"Y")/COUNTA(H$5:H2346)</f>
        <v>4.824935952177626E-2</v>
      </c>
      <c r="K2346" s="16">
        <f>AVERAGE(F$5:F2346)</f>
        <v>2.2154995730145157</v>
      </c>
      <c r="L2346" s="16">
        <f>SUM(F$5:F2346)/SUM(E$5:E2346)</f>
        <v>0.76210269666881958</v>
      </c>
    </row>
    <row r="2347" spans="1:12" x14ac:dyDescent="0.25">
      <c r="A2347" s="29">
        <v>46008</v>
      </c>
      <c r="B2347" s="16" t="s">
        <v>2393</v>
      </c>
      <c r="C2347" s="34">
        <v>1</v>
      </c>
      <c r="D2347" s="16" t="s">
        <v>56</v>
      </c>
      <c r="E2347" s="35">
        <v>2.5</v>
      </c>
      <c r="F2347" s="35">
        <v>1.8</v>
      </c>
      <c r="G2347" s="16" t="s">
        <v>44</v>
      </c>
      <c r="H2347" s="16" t="s">
        <v>44</v>
      </c>
      <c r="I2347" s="16">
        <f>COUNTIF(G$5:G2347,"Y")/COUNTA(G$5:G2347)</f>
        <v>0.88305591122492533</v>
      </c>
      <c r="J2347" s="16">
        <f>COUNTIF(H$5:H2347,"Y")/COUNTA(H$5:H2347)</f>
        <v>4.8655569782330349E-2</v>
      </c>
      <c r="K2347" s="16">
        <f>AVERAGE(F$5:F2347)</f>
        <v>2.2153222364489955</v>
      </c>
      <c r="L2347" s="16">
        <f>SUM(F$5:F2347)/SUM(E$5:E2347)</f>
        <v>0.76208724250833093</v>
      </c>
    </row>
    <row r="2348" spans="1:12" x14ac:dyDescent="0.25">
      <c r="A2348" s="29">
        <v>46009</v>
      </c>
      <c r="B2348" s="16" t="s">
        <v>2394</v>
      </c>
      <c r="C2348" s="34">
        <v>1</v>
      </c>
      <c r="D2348" s="16" t="s">
        <v>60</v>
      </c>
      <c r="E2348" s="35">
        <v>3.7</v>
      </c>
      <c r="F2348" s="35">
        <v>3.2</v>
      </c>
      <c r="G2348" s="16" t="s">
        <v>44</v>
      </c>
      <c r="H2348" s="16" t="s">
        <v>45</v>
      </c>
      <c r="I2348" s="16">
        <f>COUNTIF(G$5:G2348,"Y")/COUNTA(G$5:G2348)</f>
        <v>0.88310580204778155</v>
      </c>
      <c r="J2348" s="16">
        <f>COUNTIF(H$5:H2348,"Y")/COUNTA(H$5:H2348)</f>
        <v>4.8634812286689422E-2</v>
      </c>
      <c r="K2348" s="16">
        <f>AVERAGE(F$5:F2348)</f>
        <v>2.2157423208191109</v>
      </c>
      <c r="L2348" s="16">
        <f>SUM(F$5:F2348)/SUM(E$5:E2348)</f>
        <v>0.76214304581339931</v>
      </c>
    </row>
    <row r="2349" spans="1:12" x14ac:dyDescent="0.25">
      <c r="A2349" s="29">
        <v>46010</v>
      </c>
      <c r="B2349" s="16" t="s">
        <v>2395</v>
      </c>
      <c r="C2349" s="34">
        <v>1</v>
      </c>
      <c r="D2349" s="16" t="s">
        <v>50</v>
      </c>
      <c r="E2349" s="35">
        <v>6.8</v>
      </c>
      <c r="F2349" s="35">
        <v>4.4000000000000004</v>
      </c>
      <c r="G2349" s="16" t="s">
        <v>44</v>
      </c>
      <c r="H2349" s="16" t="s">
        <v>45</v>
      </c>
      <c r="I2349" s="16">
        <f>COUNTIF(G$5:G2349,"Y")/COUNTA(G$5:G2349)</f>
        <v>0.88315565031982945</v>
      </c>
      <c r="J2349" s="16">
        <f>COUNTIF(H$5:H2349,"Y")/COUNTA(H$5:H2349)</f>
        <v>4.8614072494669508E-2</v>
      </c>
      <c r="K2349" s="16">
        <f>AVERAGE(F$5:F2349)</f>
        <v>2.2166737739872051</v>
      </c>
      <c r="L2349" s="16">
        <f>SUM(F$5:F2349)/SUM(E$5:E2349)</f>
        <v>0.76202832263171649</v>
      </c>
    </row>
    <row r="2350" spans="1:12" x14ac:dyDescent="0.25">
      <c r="A2350" s="29">
        <v>46006</v>
      </c>
      <c r="B2350" s="16" t="s">
        <v>2396</v>
      </c>
      <c r="C2350" s="34">
        <v>1</v>
      </c>
      <c r="D2350" s="16" t="s">
        <v>60</v>
      </c>
      <c r="E2350" s="35">
        <v>3.9</v>
      </c>
      <c r="F2350" s="35">
        <v>2.8</v>
      </c>
      <c r="G2350" s="16" t="s">
        <v>44</v>
      </c>
      <c r="H2350" s="16" t="s">
        <v>45</v>
      </c>
      <c r="I2350" s="16">
        <f>COUNTIF(G$5:G2350,"Y")/COUNTA(G$5:G2350)</f>
        <v>0.88320545609548162</v>
      </c>
      <c r="J2350" s="16">
        <f>COUNTIF(H$5:H2350,"Y")/COUNTA(H$5:H2350)</f>
        <v>4.859335038363171E-2</v>
      </c>
      <c r="K2350" s="16">
        <f>AVERAGE(F$5:F2350)</f>
        <v>2.2169224211423684</v>
      </c>
      <c r="L2350" s="16">
        <f>SUM(F$5:F2350)/SUM(E$5:E2350)</f>
        <v>0.76200313539331477</v>
      </c>
    </row>
    <row r="2351" spans="1:12" x14ac:dyDescent="0.25">
      <c r="A2351" s="29">
        <v>46007</v>
      </c>
      <c r="B2351" s="16" t="s">
        <v>2397</v>
      </c>
      <c r="C2351" s="34">
        <v>1</v>
      </c>
      <c r="D2351" s="16" t="s">
        <v>43</v>
      </c>
      <c r="E2351" s="35">
        <v>2.7</v>
      </c>
      <c r="F2351" s="35">
        <v>2.2000000000000002</v>
      </c>
      <c r="G2351" s="16" t="s">
        <v>44</v>
      </c>
      <c r="H2351" s="16" t="s">
        <v>45</v>
      </c>
      <c r="I2351" s="16">
        <f>COUNTIF(G$5:G2351,"Y")/COUNTA(G$5:G2351)</f>
        <v>0.88325521942905838</v>
      </c>
      <c r="J2351" s="16">
        <f>COUNTIF(H$5:H2351,"Y")/COUNTA(H$5:H2351)</f>
        <v>4.8572645930975711E-2</v>
      </c>
      <c r="K2351" s="16">
        <f>AVERAGE(F$5:F2351)</f>
        <v>2.2169152109075396</v>
      </c>
      <c r="L2351" s="16">
        <f>SUM(F$5:F2351)/SUM(E$5:E2351)</f>
        <v>0.76202401874633729</v>
      </c>
    </row>
    <row r="2352" spans="1:12" x14ac:dyDescent="0.25">
      <c r="A2352" s="29">
        <v>46008</v>
      </c>
      <c r="B2352" s="16" t="s">
        <v>2398</v>
      </c>
      <c r="C2352" s="34">
        <v>1</v>
      </c>
      <c r="D2352" s="16" t="s">
        <v>56</v>
      </c>
      <c r="E2352" s="35">
        <v>0.8</v>
      </c>
      <c r="F2352" s="35">
        <v>0.5</v>
      </c>
      <c r="G2352" s="16" t="s">
        <v>44</v>
      </c>
      <c r="H2352" s="16" t="s">
        <v>45</v>
      </c>
      <c r="I2352" s="16">
        <f>COUNTIF(G$5:G2352,"Y")/COUNTA(G$5:G2352)</f>
        <v>0.88330494037478702</v>
      </c>
      <c r="J2352" s="16">
        <f>COUNTIF(H$5:H2352,"Y")/COUNTA(H$5:H2352)</f>
        <v>4.8551959114139696E-2</v>
      </c>
      <c r="K2352" s="16">
        <f>AVERAGE(F$5:F2352)</f>
        <v>2.2161839863713779</v>
      </c>
      <c r="L2352" s="16">
        <f>SUM(F$5:F2352)/SUM(E$5:E2352)</f>
        <v>0.76200796626054224</v>
      </c>
    </row>
    <row r="2353" spans="1:13" x14ac:dyDescent="0.25">
      <c r="A2353" s="29">
        <v>46009</v>
      </c>
      <c r="B2353" s="16" t="s">
        <v>2399</v>
      </c>
      <c r="C2353" s="34">
        <v>1</v>
      </c>
      <c r="D2353" s="16" t="s">
        <v>60</v>
      </c>
      <c r="E2353" s="35">
        <v>0.6</v>
      </c>
      <c r="F2353" s="35">
        <v>0.5</v>
      </c>
      <c r="G2353" s="16" t="s">
        <v>44</v>
      </c>
      <c r="H2353" s="16" t="s">
        <v>45</v>
      </c>
      <c r="I2353" s="16">
        <f>COUNTIF(G$5:G2353,"Y")/COUNTA(G$5:G2353)</f>
        <v>0.8833546189868029</v>
      </c>
      <c r="J2353" s="16">
        <f>COUNTIF(H$5:H2353,"Y")/COUNTA(H$5:H2353)</f>
        <v>4.8531289910600253E-2</v>
      </c>
      <c r="K2353" s="16">
        <f>AVERAGE(F$5:F2353)</f>
        <v>2.2154533844188999</v>
      </c>
      <c r="L2353" s="16">
        <f>SUM(F$5:F2353)/SUM(E$5:E2353)</f>
        <v>0.76201423258265599</v>
      </c>
    </row>
    <row r="2354" spans="1:13" x14ac:dyDescent="0.25">
      <c r="A2354" s="29">
        <v>46010</v>
      </c>
      <c r="B2354" s="16" t="s">
        <v>2400</v>
      </c>
      <c r="C2354" s="34">
        <v>1</v>
      </c>
      <c r="D2354" s="16" t="s">
        <v>47</v>
      </c>
      <c r="E2354" s="35">
        <v>0.7</v>
      </c>
      <c r="F2354" s="35">
        <v>0.5</v>
      </c>
      <c r="G2354" s="16" t="s">
        <v>44</v>
      </c>
      <c r="H2354" s="16" t="s">
        <v>45</v>
      </c>
      <c r="I2354" s="16">
        <f>COUNTIF(G$5:G2354,"Y")/COUNTA(G$5:G2354)</f>
        <v>0.8834042553191489</v>
      </c>
      <c r="J2354" s="16">
        <f>COUNTIF(H$5:H2354,"Y")/COUNTA(H$5:H2354)</f>
        <v>4.851063829787234E-2</v>
      </c>
      <c r="K2354" s="16">
        <f>AVERAGE(F$5:F2354)</f>
        <v>2.2147234042553174</v>
      </c>
      <c r="L2354" s="16">
        <f>SUM(F$5:F2354)/SUM(E$5:E2354)</f>
        <v>0.76200934100525475</v>
      </c>
    </row>
    <row r="2355" spans="1:13" x14ac:dyDescent="0.25">
      <c r="A2355" s="29">
        <v>46006</v>
      </c>
      <c r="B2355" s="16" t="s">
        <v>2401</v>
      </c>
      <c r="C2355" s="34">
        <v>1</v>
      </c>
      <c r="D2355" s="16" t="s">
        <v>50</v>
      </c>
      <c r="E2355" s="35">
        <v>0.8</v>
      </c>
      <c r="F2355" s="35">
        <v>0.5</v>
      </c>
      <c r="G2355" s="16" t="s">
        <v>44</v>
      </c>
      <c r="H2355" s="16" t="s">
        <v>45</v>
      </c>
      <c r="I2355" s="16">
        <f>COUNTIF(G$5:G2355,"Y")/COUNTA(G$5:G2355)</f>
        <v>0.88345384942577632</v>
      </c>
      <c r="J2355" s="16">
        <f>COUNTIF(H$5:H2355,"Y")/COUNTA(H$5:H2355)</f>
        <v>4.8490004253509147E-2</v>
      </c>
      <c r="K2355" s="16">
        <f>AVERAGE(F$5:F2355)</f>
        <v>2.2139940450871953</v>
      </c>
      <c r="L2355" s="16">
        <f>SUM(F$5:F2355)/SUM(E$5:E2355)</f>
        <v>0.76199329517340186</v>
      </c>
    </row>
    <row r="2356" spans="1:13" x14ac:dyDescent="0.25">
      <c r="A2356" s="29">
        <v>46007</v>
      </c>
      <c r="B2356" s="16" t="s">
        <v>2402</v>
      </c>
      <c r="C2356" s="34">
        <v>1</v>
      </c>
      <c r="D2356" s="16" t="s">
        <v>47</v>
      </c>
      <c r="E2356" s="35">
        <v>0.6</v>
      </c>
      <c r="F2356" s="35">
        <v>0.5</v>
      </c>
      <c r="G2356" s="16" t="s">
        <v>45</v>
      </c>
      <c r="H2356" s="16" t="s">
        <v>45</v>
      </c>
      <c r="I2356" s="16">
        <f>COUNTIF(G$5:G2356,"Y")/COUNTA(G$5:G2356)</f>
        <v>0.88307823129251706</v>
      </c>
      <c r="J2356" s="16">
        <f>COUNTIF(H$5:H2356,"Y")/COUNTA(H$5:H2356)</f>
        <v>4.8469387755102039E-2</v>
      </c>
      <c r="K2356" s="16">
        <f>AVERAGE(F$5:F2356)</f>
        <v>2.2132653061224472</v>
      </c>
      <c r="L2356" s="16">
        <f>SUM(F$5:F2356)/SUM(E$5:E2356)</f>
        <v>0.76199956085778964</v>
      </c>
    </row>
    <row r="2357" spans="1:13" x14ac:dyDescent="0.25">
      <c r="A2357" s="29">
        <v>46008</v>
      </c>
      <c r="B2357" s="16" t="s">
        <v>2403</v>
      </c>
      <c r="C2357" s="34">
        <v>1</v>
      </c>
      <c r="D2357" s="16" t="s">
        <v>64</v>
      </c>
      <c r="E2357" s="35">
        <v>0.6</v>
      </c>
      <c r="F2357" s="35">
        <v>0.5</v>
      </c>
      <c r="G2357" s="16" t="s">
        <v>44</v>
      </c>
      <c r="H2357" s="16" t="s">
        <v>45</v>
      </c>
      <c r="I2357" s="16">
        <f>COUNTIF(G$5:G2357,"Y")/COUNTA(G$5:G2357)</f>
        <v>0.88312792180195498</v>
      </c>
      <c r="J2357" s="16">
        <f>COUNTIF(H$5:H2357,"Y")/COUNTA(H$5:H2357)</f>
        <v>4.8448788780280493E-2</v>
      </c>
      <c r="K2357" s="16">
        <f>AVERAGE(F$5:F2357)</f>
        <v>2.212537186570334</v>
      </c>
      <c r="L2357" s="16">
        <f>SUM(F$5:F2357)/SUM(E$5:E2357)</f>
        <v>0.76200582544166362</v>
      </c>
    </row>
    <row r="2358" spans="1:13" x14ac:dyDescent="0.25">
      <c r="A2358" s="29">
        <v>46009</v>
      </c>
      <c r="B2358" s="16" t="s">
        <v>2404</v>
      </c>
      <c r="C2358" s="34">
        <v>1</v>
      </c>
      <c r="D2358" s="16" t="s">
        <v>52</v>
      </c>
      <c r="E2358" s="35">
        <v>1.6</v>
      </c>
      <c r="F2358" s="35">
        <v>0.5</v>
      </c>
      <c r="G2358" s="16" t="s">
        <v>44</v>
      </c>
      <c r="H2358" s="16" t="s">
        <v>45</v>
      </c>
      <c r="I2358" s="16">
        <f>COUNTIF(G$5:G2358,"Y")/COUNTA(G$5:G2358)</f>
        <v>0.88317757009345799</v>
      </c>
      <c r="J2358" s="16">
        <f>COUNTIF(H$5:H2358,"Y")/COUNTA(H$5:H2358)</f>
        <v>4.8428207306711976E-2</v>
      </c>
      <c r="K2358" s="16">
        <f>AVERAGE(F$5:F2358)</f>
        <v>2.2118096856414597</v>
      </c>
      <c r="L2358" s="16">
        <f>SUM(F$5:F2358)/SUM(E$5:E2358)</f>
        <v>0.76190058094443558</v>
      </c>
      <c r="M2358" s="16">
        <v>12</v>
      </c>
    </row>
    <row r="2359" spans="1:13" x14ac:dyDescent="0.25">
      <c r="A2359" s="29">
        <v>46013</v>
      </c>
      <c r="B2359" s="16" t="s">
        <v>2405</v>
      </c>
      <c r="C2359" s="34">
        <v>1</v>
      </c>
      <c r="D2359" s="16" t="s">
        <v>47</v>
      </c>
      <c r="E2359" s="35">
        <v>5.3</v>
      </c>
      <c r="F2359" s="35">
        <v>3.5</v>
      </c>
      <c r="G2359" s="16" t="s">
        <v>44</v>
      </c>
      <c r="H2359" s="16" t="s">
        <v>45</v>
      </c>
      <c r="I2359" s="16">
        <f>COUNTIF(G$5:G2359,"Y")/COUNTA(G$5:G2359)</f>
        <v>0.88322717622080682</v>
      </c>
      <c r="J2359" s="16">
        <f>COUNTIF(H$5:H2359,"Y")/COUNTA(H$5:H2359)</f>
        <v>4.8407643312101914E-2</v>
      </c>
      <c r="K2359" s="16">
        <f>AVERAGE(F$5:F2359)</f>
        <v>2.2123566878980876</v>
      </c>
      <c r="L2359" s="16">
        <f>SUM(F$5:F2359)/SUM(E$5:E2359)</f>
        <v>0.76182190378710191</v>
      </c>
    </row>
    <row r="2360" spans="1:13" x14ac:dyDescent="0.25">
      <c r="A2360" s="29">
        <v>46014</v>
      </c>
      <c r="B2360" s="16" t="s">
        <v>2406</v>
      </c>
      <c r="C2360" s="34">
        <v>1</v>
      </c>
      <c r="D2360" s="16" t="s">
        <v>56</v>
      </c>
      <c r="E2360" s="35">
        <v>4.5</v>
      </c>
      <c r="F2360" s="35">
        <v>3.7</v>
      </c>
      <c r="G2360" s="16" t="s">
        <v>44</v>
      </c>
      <c r="H2360" s="16" t="s">
        <v>45</v>
      </c>
      <c r="I2360" s="16">
        <f>COUNTIF(G$5:G2360,"Y")/COUNTA(G$5:G2360)</f>
        <v>0.88327674023769098</v>
      </c>
      <c r="J2360" s="16">
        <f>COUNTIF(H$5:H2360,"Y")/COUNTA(H$5:H2360)</f>
        <v>4.8387096774193547E-2</v>
      </c>
      <c r="K2360" s="16">
        <f>AVERAGE(F$5:F2360)</f>
        <v>2.2129881154499134</v>
      </c>
      <c r="L2360" s="16">
        <f>SUM(F$5:F2360)/SUM(E$5:E2360)</f>
        <v>0.76186162051581641</v>
      </c>
    </row>
    <row r="2361" spans="1:13" x14ac:dyDescent="0.25">
      <c r="A2361" s="29">
        <v>46015</v>
      </c>
      <c r="B2361" s="16" t="s">
        <v>2407</v>
      </c>
      <c r="C2361" s="34">
        <v>1</v>
      </c>
      <c r="D2361" s="16" t="s">
        <v>47</v>
      </c>
      <c r="E2361" s="35">
        <v>4.5</v>
      </c>
      <c r="F2361" s="35">
        <v>3.5</v>
      </c>
      <c r="G2361" s="16" t="s">
        <v>45</v>
      </c>
      <c r="H2361" s="16" t="s">
        <v>45</v>
      </c>
      <c r="I2361" s="16">
        <f>COUNTIF(G$5:G2361,"Y")/COUNTA(G$5:G2361)</f>
        <v>0.88290199406024605</v>
      </c>
      <c r="J2361" s="16">
        <f>COUNTIF(H$5:H2361,"Y")/COUNTA(H$5:H2361)</f>
        <v>4.8366567670767927E-2</v>
      </c>
      <c r="K2361" s="16">
        <f>AVERAGE(F$5:F2361)</f>
        <v>2.2135341535850639</v>
      </c>
      <c r="L2361" s="16">
        <f>SUM(F$5:F2361)/SUM(E$5:E2361)</f>
        <v>0.76187207943925084</v>
      </c>
    </row>
    <row r="2362" spans="1:13" x14ac:dyDescent="0.25">
      <c r="A2362" s="29">
        <v>46016</v>
      </c>
      <c r="B2362" s="16" t="s">
        <v>2408</v>
      </c>
      <c r="C2362" s="34">
        <v>1</v>
      </c>
      <c r="D2362" s="16" t="s">
        <v>47</v>
      </c>
      <c r="E2362" s="35">
        <v>5.5</v>
      </c>
      <c r="F2362" s="35">
        <v>3.7</v>
      </c>
      <c r="G2362" s="16" t="s">
        <v>44</v>
      </c>
      <c r="H2362" s="16" t="s">
        <v>45</v>
      </c>
      <c r="I2362" s="16">
        <f>COUNTIF(G$5:G2362,"Y")/COUNTA(G$5:G2362)</f>
        <v>0.88295165394402031</v>
      </c>
      <c r="J2362" s="16">
        <f>COUNTIF(H$5:H2362,"Y")/COUNTA(H$5:H2362)</f>
        <v>4.8346055979643768E-2</v>
      </c>
      <c r="K2362" s="16">
        <f>AVERAGE(F$5:F2362)</f>
        <v>2.214164546225613</v>
      </c>
      <c r="L2362" s="16">
        <f>SUM(F$5:F2362)/SUM(E$5:E2362)</f>
        <v>0.76180053987013774</v>
      </c>
    </row>
    <row r="2363" spans="1:13" x14ac:dyDescent="0.25">
      <c r="A2363" s="29">
        <v>46017</v>
      </c>
      <c r="B2363" s="16" t="s">
        <v>2409</v>
      </c>
      <c r="C2363" s="34">
        <v>1</v>
      </c>
      <c r="D2363" s="16" t="s">
        <v>47</v>
      </c>
      <c r="E2363" s="35">
        <v>1.6</v>
      </c>
      <c r="F2363" s="35">
        <v>1.2</v>
      </c>
      <c r="G2363" s="16" t="s">
        <v>44</v>
      </c>
      <c r="H2363" s="16" t="s">
        <v>44</v>
      </c>
      <c r="I2363" s="16">
        <f>COUNTIF(G$5:G2363,"Y")/COUNTA(G$5:G2363)</f>
        <v>0.88300127172530729</v>
      </c>
      <c r="J2363" s="16">
        <f>COUNTIF(H$5:H2363,"Y")/COUNTA(H$5:H2363)</f>
        <v>4.8749470114455275E-2</v>
      </c>
      <c r="K2363" s="16">
        <f>AVERAGE(F$5:F2363)</f>
        <v>2.2137346333192012</v>
      </c>
      <c r="L2363" s="16">
        <f>SUM(F$5:F2363)/SUM(E$5:E2363)</f>
        <v>0.76179778559028877</v>
      </c>
    </row>
    <row r="2364" spans="1:13" x14ac:dyDescent="0.25">
      <c r="A2364" s="29">
        <v>46013</v>
      </c>
      <c r="B2364" s="16" t="s">
        <v>2410</v>
      </c>
      <c r="C2364" s="34">
        <v>1</v>
      </c>
      <c r="D2364" s="16" t="s">
        <v>60</v>
      </c>
      <c r="E2364" s="35">
        <v>1.5</v>
      </c>
      <c r="F2364" s="35">
        <v>1.3</v>
      </c>
      <c r="G2364" s="16" t="s">
        <v>44</v>
      </c>
      <c r="H2364" s="16" t="s">
        <v>45</v>
      </c>
      <c r="I2364" s="16">
        <f>COUNTIF(G$5:G2364,"Y")/COUNTA(G$5:G2364)</f>
        <v>0.88305084745762707</v>
      </c>
      <c r="J2364" s="16">
        <f>COUNTIF(H$5:H2364,"Y")/COUNTA(H$5:H2364)</f>
        <v>4.8728813559322036E-2</v>
      </c>
      <c r="K2364" s="16">
        <f>AVERAGE(F$5:F2364)</f>
        <v>2.2133474576271168</v>
      </c>
      <c r="L2364" s="16">
        <f>SUM(F$5:F2364)/SUM(E$5:E2364)</f>
        <v>0.76182072747425678</v>
      </c>
    </row>
    <row r="2365" spans="1:13" x14ac:dyDescent="0.25">
      <c r="A2365" s="29">
        <v>46014</v>
      </c>
      <c r="B2365" s="16" t="s">
        <v>2411</v>
      </c>
      <c r="C2365" s="34">
        <v>1</v>
      </c>
      <c r="D2365" s="16" t="s">
        <v>50</v>
      </c>
      <c r="E2365" s="35">
        <v>4.8</v>
      </c>
      <c r="F2365" s="35">
        <v>3.4</v>
      </c>
      <c r="G2365" s="16" t="s">
        <v>44</v>
      </c>
      <c r="H2365" s="16" t="s">
        <v>45</v>
      </c>
      <c r="I2365" s="16">
        <f>COUNTIF(G$5:G2365,"Y")/COUNTA(G$5:G2365)</f>
        <v>0.88310038119440915</v>
      </c>
      <c r="J2365" s="16">
        <f>COUNTIF(H$5:H2365,"Y")/COUNTA(H$5:H2365)</f>
        <v>4.8708174502329518E-2</v>
      </c>
      <c r="K2365" s="16">
        <f>AVERAGE(F$5:F2365)</f>
        <v>2.2138500635323997</v>
      </c>
      <c r="L2365" s="16">
        <f>SUM(F$5:F2365)/SUM(E$5:E2365)</f>
        <v>0.76178330952866591</v>
      </c>
    </row>
    <row r="2366" spans="1:13" x14ac:dyDescent="0.25">
      <c r="A2366" s="29">
        <v>46015</v>
      </c>
      <c r="B2366" s="16" t="s">
        <v>2412</v>
      </c>
      <c r="C2366" s="34">
        <v>1</v>
      </c>
      <c r="D2366" s="16" t="s">
        <v>56</v>
      </c>
      <c r="E2366" s="35">
        <v>2.7</v>
      </c>
      <c r="F2366" s="35">
        <v>1.9</v>
      </c>
      <c r="G2366" s="16" t="s">
        <v>44</v>
      </c>
      <c r="H2366" s="16" t="s">
        <v>45</v>
      </c>
      <c r="I2366" s="16">
        <f>COUNTIF(G$5:G2366,"Y")/COUNTA(G$5:G2366)</f>
        <v>0.88314987298899239</v>
      </c>
      <c r="J2366" s="16">
        <f>COUNTIF(H$5:H2366,"Y")/COUNTA(H$5:H2366)</f>
        <v>4.8687552921253173E-2</v>
      </c>
      <c r="K2366" s="16">
        <f>AVERAGE(F$5:F2366)</f>
        <v>2.2137171888230291</v>
      </c>
      <c r="L2366" s="16">
        <f>SUM(F$5:F2366)/SUM(E$5:E2366)</f>
        <v>0.76176046386270424</v>
      </c>
    </row>
    <row r="2367" spans="1:13" x14ac:dyDescent="0.25">
      <c r="A2367" s="29">
        <v>46016</v>
      </c>
      <c r="B2367" s="16" t="s">
        <v>2413</v>
      </c>
      <c r="C2367" s="34">
        <v>1</v>
      </c>
      <c r="D2367" s="16" t="s">
        <v>47</v>
      </c>
      <c r="E2367" s="35">
        <v>2.9</v>
      </c>
      <c r="F2367" s="35">
        <v>2.2000000000000002</v>
      </c>
      <c r="G2367" s="16" t="s">
        <v>44</v>
      </c>
      <c r="H2367" s="16" t="s">
        <v>45</v>
      </c>
      <c r="I2367" s="16">
        <f>COUNTIF(G$5:G2367,"Y")/COUNTA(G$5:G2367)</f>
        <v>0.88319932289462544</v>
      </c>
      <c r="J2367" s="16">
        <f>COUNTIF(H$5:H2367,"Y")/COUNTA(H$5:H2367)</f>
        <v>4.8666948793906054E-2</v>
      </c>
      <c r="K2367" s="16">
        <f>AVERAGE(F$5:F2367)</f>
        <v>2.2137113838341067</v>
      </c>
      <c r="L2367" s="16">
        <f>SUM(F$5:F2367)/SUM(E$5:E2367)</f>
        <v>0.7617591379059252</v>
      </c>
    </row>
    <row r="2368" spans="1:13" x14ac:dyDescent="0.25">
      <c r="A2368" s="29">
        <v>46017</v>
      </c>
      <c r="B2368" s="16" t="s">
        <v>2414</v>
      </c>
      <c r="C2368" s="34">
        <v>1</v>
      </c>
      <c r="D2368" s="16" t="s">
        <v>60</v>
      </c>
      <c r="E2368" s="35">
        <v>2.7</v>
      </c>
      <c r="F2368" s="35">
        <v>2</v>
      </c>
      <c r="G2368" s="16" t="s">
        <v>44</v>
      </c>
      <c r="H2368" s="16" t="s">
        <v>45</v>
      </c>
      <c r="I2368" s="16">
        <f>COUNTIF(G$5:G2368,"Y")/COUNTA(G$5:G2368)</f>
        <v>0.88324873096446699</v>
      </c>
      <c r="J2368" s="16">
        <f>COUNTIF(H$5:H2368,"Y")/COUNTA(H$5:H2368)</f>
        <v>4.8646362098138746E-2</v>
      </c>
      <c r="K2368" s="16">
        <f>AVERAGE(F$5:F2368)</f>
        <v>2.2136209813874768</v>
      </c>
      <c r="L2368" s="16">
        <f>SUM(F$5:F2368)/SUM(E$5:E2368)</f>
        <v>0.76175087703975264</v>
      </c>
    </row>
    <row r="2369" spans="1:12" x14ac:dyDescent="0.25">
      <c r="A2369" s="29">
        <v>46013</v>
      </c>
      <c r="B2369" s="16" t="s">
        <v>2415</v>
      </c>
      <c r="C2369" s="34">
        <v>1</v>
      </c>
      <c r="D2369" s="16" t="s">
        <v>47</v>
      </c>
      <c r="E2369" s="35">
        <v>3.1</v>
      </c>
      <c r="F2369" s="35">
        <v>2.2000000000000002</v>
      </c>
      <c r="G2369" s="16" t="s">
        <v>44</v>
      </c>
      <c r="H2369" s="16" t="s">
        <v>45</v>
      </c>
      <c r="I2369" s="16">
        <f>COUNTIF(G$5:G2369,"Y")/COUNTA(G$5:G2369)</f>
        <v>0.88329809725158559</v>
      </c>
      <c r="J2369" s="16">
        <f>COUNTIF(H$5:H2369,"Y")/COUNTA(H$5:H2369)</f>
        <v>4.8625792811839326E-2</v>
      </c>
      <c r="K2369" s="16">
        <f>AVERAGE(F$5:F2369)</f>
        <v>2.2136152219873124</v>
      </c>
      <c r="L2369" s="16">
        <f>SUM(F$5:F2369)/SUM(E$5:E2369)</f>
        <v>0.76172738912815563</v>
      </c>
    </row>
    <row r="2370" spans="1:12" x14ac:dyDescent="0.25">
      <c r="A2370" s="29">
        <v>46014</v>
      </c>
      <c r="B2370" s="16" t="s">
        <v>2416</v>
      </c>
      <c r="C2370" s="34">
        <v>1</v>
      </c>
      <c r="D2370" s="16" t="s">
        <v>50</v>
      </c>
      <c r="E2370" s="35">
        <v>3.5</v>
      </c>
      <c r="F2370" s="35">
        <v>2.4</v>
      </c>
      <c r="G2370" s="16" t="s">
        <v>44</v>
      </c>
      <c r="H2370" s="16" t="s">
        <v>45</v>
      </c>
      <c r="I2370" s="16">
        <f>COUNTIF(G$5:G2370,"Y")/COUNTA(G$5:G2370)</f>
        <v>0.88334742180896031</v>
      </c>
      <c r="J2370" s="16">
        <f>COUNTIF(H$5:H2370,"Y")/COUNTA(H$5:H2370)</f>
        <v>4.8605240912933223E-2</v>
      </c>
      <c r="K2370" s="16">
        <f>AVERAGE(F$5:F2370)</f>
        <v>2.2136939983093802</v>
      </c>
      <c r="L2370" s="16">
        <f>SUM(F$5:F2370)/SUM(E$5:E2370)</f>
        <v>0.76168869886421298</v>
      </c>
    </row>
    <row r="2371" spans="1:12" x14ac:dyDescent="0.25">
      <c r="A2371" s="29">
        <v>46015</v>
      </c>
      <c r="B2371" s="16" t="s">
        <v>2417</v>
      </c>
      <c r="C2371" s="34">
        <v>1</v>
      </c>
      <c r="D2371" s="16" t="s">
        <v>56</v>
      </c>
      <c r="E2371" s="35">
        <v>4.5</v>
      </c>
      <c r="F2371" s="35">
        <v>3.9</v>
      </c>
      <c r="G2371" s="16" t="s">
        <v>44</v>
      </c>
      <c r="H2371" s="16" t="s">
        <v>45</v>
      </c>
      <c r="I2371" s="16">
        <f>COUNTIF(G$5:G2371,"Y")/COUNTA(G$5:G2371)</f>
        <v>0.88339670468948039</v>
      </c>
      <c r="J2371" s="16">
        <f>COUNTIF(H$5:H2371,"Y")/COUNTA(H$5:H2371)</f>
        <v>4.8584706379383183E-2</v>
      </c>
      <c r="K2371" s="16">
        <f>AVERAGE(F$5:F2371)</f>
        <v>2.2144064216307537</v>
      </c>
      <c r="L2371" s="16">
        <f>SUM(F$5:F2371)/SUM(E$5:E2371)</f>
        <v>0.76175735379606835</v>
      </c>
    </row>
    <row r="2372" spans="1:12" x14ac:dyDescent="0.25">
      <c r="A2372" s="29">
        <v>46016</v>
      </c>
      <c r="B2372" s="16" t="s">
        <v>2418</v>
      </c>
      <c r="C2372" s="34">
        <v>1</v>
      </c>
      <c r="D2372" s="16" t="s">
        <v>60</v>
      </c>
      <c r="E2372" s="35">
        <v>3</v>
      </c>
      <c r="F2372" s="35">
        <v>2.2000000000000002</v>
      </c>
      <c r="G2372" s="16" t="s">
        <v>44</v>
      </c>
      <c r="H2372" s="16" t="s">
        <v>45</v>
      </c>
      <c r="I2372" s="16">
        <f>COUNTIF(G$5:G2372,"Y")/COUNTA(G$5:G2372)</f>
        <v>0.88344594594594594</v>
      </c>
      <c r="J2372" s="16">
        <f>COUNTIF(H$5:H2372,"Y")/COUNTA(H$5:H2372)</f>
        <v>4.8564189189189186E-2</v>
      </c>
      <c r="K2372" s="16">
        <f>AVERAGE(F$5:F2372)</f>
        <v>2.214400337837835</v>
      </c>
      <c r="L2372" s="16">
        <f>SUM(F$5:F2372)/SUM(E$5:E2372)</f>
        <v>0.76174496644295109</v>
      </c>
    </row>
    <row r="2373" spans="1:12" x14ac:dyDescent="0.25">
      <c r="A2373" s="29">
        <v>46017</v>
      </c>
      <c r="B2373" s="16" t="s">
        <v>2419</v>
      </c>
      <c r="C2373" s="34">
        <v>1</v>
      </c>
      <c r="D2373" s="16" t="s">
        <v>64</v>
      </c>
      <c r="E2373" s="35">
        <v>1.4</v>
      </c>
      <c r="F2373" s="35">
        <v>1.2</v>
      </c>
      <c r="G2373" s="16" t="s">
        <v>44</v>
      </c>
      <c r="H2373" s="16" t="s">
        <v>45</v>
      </c>
      <c r="I2373" s="16">
        <f>COUNTIF(G$5:G2373,"Y")/COUNTA(G$5:G2373)</f>
        <v>0.88349514563106801</v>
      </c>
      <c r="J2373" s="16">
        <f>COUNTIF(H$5:H2373,"Y")/COUNTA(H$5:H2373)</f>
        <v>4.8543689320388349E-2</v>
      </c>
      <c r="K2373" s="16">
        <f>AVERAGE(F$5:F2373)</f>
        <v>2.2139721401435177</v>
      </c>
      <c r="L2373" s="16">
        <f>SUM(F$5:F2373)/SUM(E$5:E2373)</f>
        <v>0.76176436414337811</v>
      </c>
    </row>
    <row r="2374" spans="1:12" x14ac:dyDescent="0.25">
      <c r="A2374" s="29">
        <v>46013</v>
      </c>
      <c r="B2374" s="16" t="s">
        <v>2420</v>
      </c>
      <c r="C2374" s="34">
        <v>1</v>
      </c>
      <c r="D2374" s="16" t="s">
        <v>64</v>
      </c>
      <c r="E2374" s="35">
        <v>1.3</v>
      </c>
      <c r="F2374" s="35">
        <v>1.1000000000000001</v>
      </c>
      <c r="G2374" s="16" t="s">
        <v>44</v>
      </c>
      <c r="H2374" s="16" t="s">
        <v>45</v>
      </c>
      <c r="I2374" s="16">
        <f>COUNTIF(G$5:G2374,"Y")/COUNTA(G$5:G2374)</f>
        <v>0.8835443037974684</v>
      </c>
      <c r="J2374" s="16">
        <f>COUNTIF(H$5:H2374,"Y")/COUNTA(H$5:H2374)</f>
        <v>4.852320675105485E-2</v>
      </c>
      <c r="K2374" s="16">
        <f>AVERAGE(F$5:F2374)</f>
        <v>2.2135021097046388</v>
      </c>
      <c r="L2374" s="16">
        <f>SUM(F$5:F2374)/SUM(E$5:E2374)</f>
        <v>0.76178029477963949</v>
      </c>
    </row>
    <row r="2375" spans="1:12" x14ac:dyDescent="0.25">
      <c r="A2375" s="29">
        <v>46014</v>
      </c>
      <c r="B2375" s="16" t="s">
        <v>2421</v>
      </c>
      <c r="C2375" s="34">
        <v>1</v>
      </c>
      <c r="D2375" s="16" t="s">
        <v>43</v>
      </c>
      <c r="E2375" s="35">
        <v>2.8</v>
      </c>
      <c r="F2375" s="35">
        <v>2</v>
      </c>
      <c r="G2375" s="16" t="s">
        <v>45</v>
      </c>
      <c r="H2375" s="16" t="s">
        <v>45</v>
      </c>
      <c r="I2375" s="16">
        <f>COUNTIF(G$5:G2375,"Y")/COUNTA(G$5:G2375)</f>
        <v>0.88317165752846905</v>
      </c>
      <c r="J2375" s="16">
        <f>COUNTIF(H$5:H2375,"Y")/COUNTA(H$5:H2375)</f>
        <v>4.8502741459299871E-2</v>
      </c>
      <c r="K2375" s="16">
        <f>AVERAGE(F$5:F2375)</f>
        <v>2.2134120624209168</v>
      </c>
      <c r="L2375" s="16">
        <f>SUM(F$5:F2375)/SUM(E$5:E2375)</f>
        <v>0.76176099168275258</v>
      </c>
    </row>
    <row r="2376" spans="1:12" x14ac:dyDescent="0.25">
      <c r="A2376" s="29">
        <v>46015</v>
      </c>
      <c r="B2376" s="16" t="s">
        <v>2422</v>
      </c>
      <c r="C2376" s="34">
        <v>1</v>
      </c>
      <c r="D2376" s="16" t="s">
        <v>43</v>
      </c>
      <c r="E2376" s="35">
        <v>2.7</v>
      </c>
      <c r="F2376" s="35">
        <v>2.2999999999999998</v>
      </c>
      <c r="G2376" s="16" t="s">
        <v>44</v>
      </c>
      <c r="H2376" s="16" t="s">
        <v>45</v>
      </c>
      <c r="I2376" s="16">
        <f>COUNTIF(G$5:G2376,"Y")/COUNTA(G$5:G2376)</f>
        <v>0.88322091062394603</v>
      </c>
      <c r="J2376" s="16">
        <f>COUNTIF(H$5:H2376,"Y")/COUNTA(H$5:H2376)</f>
        <v>4.8482293423271504E-2</v>
      </c>
      <c r="K2376" s="16">
        <f>AVERAGE(F$5:F2376)</f>
        <v>2.2134485666104529</v>
      </c>
      <c r="L2376" s="16">
        <f>SUM(F$5:F2376)/SUM(E$5:E2376)</f>
        <v>0.76179628554846013</v>
      </c>
    </row>
    <row r="2377" spans="1:12" x14ac:dyDescent="0.25">
      <c r="A2377" s="29">
        <v>46016</v>
      </c>
      <c r="B2377" s="16" t="s">
        <v>2423</v>
      </c>
      <c r="C2377" s="34">
        <v>1</v>
      </c>
      <c r="D2377" s="16" t="s">
        <v>43</v>
      </c>
      <c r="E2377" s="35">
        <v>2.4</v>
      </c>
      <c r="F2377" s="35">
        <v>1.6</v>
      </c>
      <c r="G2377" s="16" t="s">
        <v>44</v>
      </c>
      <c r="H2377" s="16" t="s">
        <v>45</v>
      </c>
      <c r="I2377" s="16">
        <f>COUNTIF(G$5:G2377,"Y")/COUNTA(G$5:G2377)</f>
        <v>0.88327012220817536</v>
      </c>
      <c r="J2377" s="16">
        <f>COUNTIF(H$5:H2377,"Y")/COUNTA(H$5:H2377)</f>
        <v>4.8461862621154657E-2</v>
      </c>
      <c r="K2377" s="16">
        <f>AVERAGE(F$5:F2377)</f>
        <v>2.2131900547829728</v>
      </c>
      <c r="L2377" s="16">
        <f>SUM(F$5:F2377)/SUM(E$5:E2377)</f>
        <v>0.76176317010907235</v>
      </c>
    </row>
    <row r="2378" spans="1:12" x14ac:dyDescent="0.25">
      <c r="A2378" s="29">
        <v>46017</v>
      </c>
      <c r="B2378" s="16" t="s">
        <v>2424</v>
      </c>
      <c r="C2378" s="34">
        <v>1</v>
      </c>
      <c r="D2378" s="16" t="s">
        <v>47</v>
      </c>
      <c r="E2378" s="35">
        <v>3.2</v>
      </c>
      <c r="F2378" s="35">
        <v>2.2000000000000002</v>
      </c>
      <c r="G2378" s="16" t="s">
        <v>45</v>
      </c>
      <c r="H2378" s="16" t="s">
        <v>45</v>
      </c>
      <c r="I2378" s="16">
        <f>COUNTIF(G$5:G2378,"Y")/COUNTA(G$5:G2378)</f>
        <v>0.88289806234203871</v>
      </c>
      <c r="J2378" s="16">
        <f>COUNTIF(H$5:H2378,"Y")/COUNTA(H$5:H2378)</f>
        <v>4.8441449031171022E-2</v>
      </c>
      <c r="K2378" s="16">
        <f>AVERAGE(F$5:F2378)</f>
        <v>2.2131844987363074</v>
      </c>
      <c r="L2378" s="16">
        <f>SUM(F$5:F2378)/SUM(E$5:E2378)</f>
        <v>0.76172871723497859</v>
      </c>
    </row>
    <row r="2379" spans="1:12" x14ac:dyDescent="0.25">
      <c r="A2379" s="29">
        <v>46013</v>
      </c>
      <c r="B2379" s="16" t="s">
        <v>2425</v>
      </c>
      <c r="C2379" s="34">
        <v>1</v>
      </c>
      <c r="D2379" s="16" t="s">
        <v>56</v>
      </c>
      <c r="E2379" s="35">
        <v>5.8</v>
      </c>
      <c r="F2379" s="35">
        <v>3.9</v>
      </c>
      <c r="G2379" s="16" t="s">
        <v>44</v>
      </c>
      <c r="H2379" s="16" t="s">
        <v>45</v>
      </c>
      <c r="I2379" s="16">
        <f>COUNTIF(G$5:G2379,"Y")/COUNTA(G$5:G2379)</f>
        <v>0.88294736842105259</v>
      </c>
      <c r="J2379" s="16">
        <f>COUNTIF(H$5:H2379,"Y")/COUNTA(H$5:H2379)</f>
        <v>4.8421052631578948E-2</v>
      </c>
      <c r="K2379" s="16">
        <f>AVERAGE(F$5:F2379)</f>
        <v>2.2138947368421027</v>
      </c>
      <c r="L2379" s="16">
        <f>SUM(F$5:F2379)/SUM(E$5:E2379)</f>
        <v>0.76165367789784566</v>
      </c>
    </row>
    <row r="2380" spans="1:12" x14ac:dyDescent="0.25">
      <c r="A2380" s="29">
        <v>46014</v>
      </c>
      <c r="B2380" s="16" t="s">
        <v>2426</v>
      </c>
      <c r="C2380" s="34">
        <v>1</v>
      </c>
      <c r="D2380" s="16" t="s">
        <v>64</v>
      </c>
      <c r="E2380" s="35">
        <v>4.4000000000000004</v>
      </c>
      <c r="F2380" s="35">
        <v>3.6</v>
      </c>
      <c r="G2380" s="16" t="s">
        <v>44</v>
      </c>
      <c r="H2380" s="16" t="s">
        <v>45</v>
      </c>
      <c r="I2380" s="16">
        <f>COUNTIF(G$5:G2380,"Y")/COUNTA(G$5:G2380)</f>
        <v>0.882996632996633</v>
      </c>
      <c r="J2380" s="16">
        <f>COUNTIF(H$5:H2380,"Y")/COUNTA(H$5:H2380)</f>
        <v>4.8400673400673402E-2</v>
      </c>
      <c r="K2380" s="16">
        <f>AVERAGE(F$5:F2380)</f>
        <v>2.214478114478112</v>
      </c>
      <c r="L2380" s="16">
        <f>SUM(F$5:F2380)/SUM(E$5:E2380)</f>
        <v>0.76168968412519011</v>
      </c>
    </row>
    <row r="2381" spans="1:12" x14ac:dyDescent="0.25">
      <c r="A2381" s="29">
        <v>46015</v>
      </c>
      <c r="B2381" s="16" t="s">
        <v>2427</v>
      </c>
      <c r="C2381" s="34">
        <v>1</v>
      </c>
      <c r="D2381" s="16" t="s">
        <v>52</v>
      </c>
      <c r="E2381" s="35">
        <v>3.8</v>
      </c>
      <c r="F2381" s="35">
        <v>3.3</v>
      </c>
      <c r="G2381" s="16" t="s">
        <v>44</v>
      </c>
      <c r="H2381" s="16" t="s">
        <v>45</v>
      </c>
      <c r="I2381" s="16">
        <f>COUNTIF(G$5:G2381,"Y")/COUNTA(G$5:G2381)</f>
        <v>0.88304585612116115</v>
      </c>
      <c r="J2381" s="16">
        <f>COUNTIF(H$5:H2381,"Y")/COUNTA(H$5:H2381)</f>
        <v>4.8380311316785864E-2</v>
      </c>
      <c r="K2381" s="16">
        <f>AVERAGE(F$5:F2381)</f>
        <v>2.2149347917543096</v>
      </c>
      <c r="L2381" s="16">
        <f>SUM(F$5:F2381)/SUM(E$5:E2381)</f>
        <v>0.76174836506742116</v>
      </c>
    </row>
    <row r="2382" spans="1:12" x14ac:dyDescent="0.25">
      <c r="A2382" s="29">
        <v>46016</v>
      </c>
      <c r="B2382" s="16" t="s">
        <v>2428</v>
      </c>
      <c r="C2382" s="34">
        <v>1</v>
      </c>
      <c r="D2382" s="16" t="s">
        <v>64</v>
      </c>
      <c r="E2382" s="35">
        <v>4.3</v>
      </c>
      <c r="F2382" s="35">
        <v>3.8</v>
      </c>
      <c r="G2382" s="16" t="s">
        <v>44</v>
      </c>
      <c r="H2382" s="16" t="s">
        <v>45</v>
      </c>
      <c r="I2382" s="16">
        <f>COUNTIF(G$5:G2382,"Y")/COUNTA(G$5:G2382)</f>
        <v>0.88309503784693022</v>
      </c>
      <c r="J2382" s="16">
        <f>COUNTIF(H$5:H2382,"Y")/COUNTA(H$5:H2382)</f>
        <v>4.8359966358284275E-2</v>
      </c>
      <c r="K2382" s="16">
        <f>AVERAGE(F$5:F2382)</f>
        <v>2.2156013456686265</v>
      </c>
      <c r="L2382" s="16">
        <f>SUM(F$5:F2382)/SUM(E$5:E2382)</f>
        <v>0.76182420220072422</v>
      </c>
    </row>
    <row r="2383" spans="1:12" x14ac:dyDescent="0.25">
      <c r="A2383" s="29">
        <v>46017</v>
      </c>
      <c r="B2383" s="16" t="s">
        <v>2429</v>
      </c>
      <c r="C2383" s="34">
        <v>1</v>
      </c>
      <c r="D2383" s="16" t="s">
        <v>50</v>
      </c>
      <c r="E2383" s="35">
        <v>2.7</v>
      </c>
      <c r="F2383" s="35">
        <v>2</v>
      </c>
      <c r="G2383" s="16" t="s">
        <v>44</v>
      </c>
      <c r="H2383" s="16" t="s">
        <v>45</v>
      </c>
      <c r="I2383" s="16">
        <f>COUNTIF(G$5:G2383,"Y")/COUNTA(G$5:G2383)</f>
        <v>0.88314417822614544</v>
      </c>
      <c r="J2383" s="16">
        <f>COUNTIF(H$5:H2383,"Y")/COUNTA(H$5:H2383)</f>
        <v>4.8339638503572931E-2</v>
      </c>
      <c r="K2383" s="16">
        <f>AVERAGE(F$5:F2383)</f>
        <v>2.215510718789405</v>
      </c>
      <c r="L2383" s="16">
        <f>SUM(F$5:F2383)/SUM(E$5:E2383)</f>
        <v>0.76181597433006509</v>
      </c>
    </row>
    <row r="2384" spans="1:12" x14ac:dyDescent="0.25">
      <c r="A2384" s="29">
        <v>46013</v>
      </c>
      <c r="B2384" s="16" t="s">
        <v>2430</v>
      </c>
      <c r="C2384" s="34">
        <v>1</v>
      </c>
      <c r="D2384" s="16" t="s">
        <v>43</v>
      </c>
      <c r="E2384" s="35">
        <v>4.0999999999999996</v>
      </c>
      <c r="F2384" s="35">
        <v>3.4</v>
      </c>
      <c r="G2384" s="16" t="s">
        <v>44</v>
      </c>
      <c r="H2384" s="16" t="s">
        <v>45</v>
      </c>
      <c r="I2384" s="16">
        <f>COUNTIF(G$5:G2384,"Y")/COUNTA(G$5:G2384)</f>
        <v>0.88319327731092434</v>
      </c>
      <c r="J2384" s="16">
        <f>COUNTIF(H$5:H2384,"Y")/COUNTA(H$5:H2384)</f>
        <v>4.8319327731092439E-2</v>
      </c>
      <c r="K2384" s="16">
        <f>AVERAGE(F$5:F2384)</f>
        <v>2.2160084033613421</v>
      </c>
      <c r="L2384" s="16">
        <f>SUM(F$5:F2384)/SUM(E$5:E2384)</f>
        <v>0.76185592326693163</v>
      </c>
    </row>
    <row r="2385" spans="1:13" x14ac:dyDescent="0.25">
      <c r="A2385" s="29">
        <v>46014</v>
      </c>
      <c r="B2385" s="16" t="s">
        <v>2431</v>
      </c>
      <c r="C2385" s="34">
        <v>1</v>
      </c>
      <c r="D2385" s="16" t="s">
        <v>56</v>
      </c>
      <c r="E2385" s="35">
        <v>1.9</v>
      </c>
      <c r="F2385" s="35">
        <v>1.6</v>
      </c>
      <c r="G2385" s="16" t="s">
        <v>45</v>
      </c>
      <c r="H2385" s="16" t="s">
        <v>45</v>
      </c>
      <c r="I2385" s="16">
        <f>COUNTIF(G$5:G2385,"Y")/COUNTA(G$5:G2385)</f>
        <v>0.88282234355312894</v>
      </c>
      <c r="J2385" s="16">
        <f>COUNTIF(H$5:H2385,"Y")/COUNTA(H$5:H2385)</f>
        <v>4.8299034019319613E-2</v>
      </c>
      <c r="K2385" s="16">
        <f>AVERAGE(F$5:F2385)</f>
        <v>2.2157496850062977</v>
      </c>
      <c r="L2385" s="16">
        <f>SUM(F$5:F2385)/SUM(E$5:E2385)</f>
        <v>0.76187794240822404</v>
      </c>
    </row>
    <row r="2386" spans="1:13" x14ac:dyDescent="0.25">
      <c r="A2386" s="29">
        <v>46015</v>
      </c>
      <c r="B2386" s="16" t="s">
        <v>2432</v>
      </c>
      <c r="C2386" s="34">
        <v>1</v>
      </c>
      <c r="D2386" s="16" t="s">
        <v>56</v>
      </c>
      <c r="E2386" s="35">
        <v>2.8</v>
      </c>
      <c r="F2386" s="35">
        <v>2.4</v>
      </c>
      <c r="G2386" s="16" t="s">
        <v>44</v>
      </c>
      <c r="H2386" s="16" t="s">
        <v>45</v>
      </c>
      <c r="I2386" s="16">
        <f>COUNTIF(G$5:G2386,"Y")/COUNTA(G$5:G2386)</f>
        <v>0.88287153652392947</v>
      </c>
      <c r="J2386" s="16">
        <f>COUNTIF(H$5:H2386,"Y")/COUNTA(H$5:H2386)</f>
        <v>4.8278757346767419E-2</v>
      </c>
      <c r="K2386" s="16">
        <f>AVERAGE(F$5:F2386)</f>
        <v>2.2158270361041117</v>
      </c>
      <c r="L2386" s="16">
        <f>SUM(F$5:F2386)/SUM(E$5:E2386)</f>
        <v>0.76191644772930511</v>
      </c>
    </row>
    <row r="2387" spans="1:13" x14ac:dyDescent="0.25">
      <c r="A2387" s="29">
        <v>46016</v>
      </c>
      <c r="B2387" s="16" t="s">
        <v>2433</v>
      </c>
      <c r="C2387" s="34">
        <v>1</v>
      </c>
      <c r="D2387" s="16" t="s">
        <v>52</v>
      </c>
      <c r="E2387" s="35">
        <v>5.0999999999999996</v>
      </c>
      <c r="F2387" s="35">
        <v>3.6</v>
      </c>
      <c r="G2387" s="16" t="s">
        <v>44</v>
      </c>
      <c r="H2387" s="16" t="s">
        <v>45</v>
      </c>
      <c r="I2387" s="16">
        <f>COUNTIF(G$5:G2387,"Y")/COUNTA(G$5:G2387)</f>
        <v>0.88292068820814096</v>
      </c>
      <c r="J2387" s="16">
        <f>COUNTIF(H$5:H2387,"Y")/COUNTA(H$5:H2387)</f>
        <v>4.825849769198489E-2</v>
      </c>
      <c r="K2387" s="16">
        <f>AVERAGE(F$5:F2387)</f>
        <v>2.2164078892152723</v>
      </c>
      <c r="L2387" s="16">
        <f>SUM(F$5:F2387)/SUM(E$5:E2387)</f>
        <v>0.76187522538766506</v>
      </c>
    </row>
    <row r="2388" spans="1:13" x14ac:dyDescent="0.25">
      <c r="A2388" s="29">
        <v>46017</v>
      </c>
      <c r="B2388" s="16" t="s">
        <v>2434</v>
      </c>
      <c r="C2388" s="34">
        <v>1</v>
      </c>
      <c r="D2388" s="16" t="s">
        <v>56</v>
      </c>
      <c r="E2388" s="35">
        <v>5.4</v>
      </c>
      <c r="F2388" s="35">
        <v>3.6</v>
      </c>
      <c r="G2388" s="16" t="s">
        <v>44</v>
      </c>
      <c r="H2388" s="16" t="s">
        <v>45</v>
      </c>
      <c r="I2388" s="16">
        <f>COUNTIF(G$5:G2388,"Y")/COUNTA(G$5:G2388)</f>
        <v>0.88296979865771807</v>
      </c>
      <c r="J2388" s="16">
        <f>COUNTIF(H$5:H2388,"Y")/COUNTA(H$5:H2388)</f>
        <v>4.8238255033557047E-2</v>
      </c>
      <c r="K2388" s="16">
        <f>AVERAGE(F$5:F2388)</f>
        <v>2.2169882550335549</v>
      </c>
      <c r="L2388" s="16">
        <f>SUM(F$5:F2388)/SUM(E$5:E2388)</f>
        <v>0.76180112137678391</v>
      </c>
    </row>
    <row r="2389" spans="1:13" x14ac:dyDescent="0.25">
      <c r="A2389" s="29">
        <v>46013</v>
      </c>
      <c r="B2389" s="16" t="s">
        <v>2435</v>
      </c>
      <c r="C2389" s="34">
        <v>1</v>
      </c>
      <c r="D2389" s="16" t="s">
        <v>50</v>
      </c>
      <c r="E2389" s="35">
        <v>3</v>
      </c>
      <c r="F2389" s="35">
        <v>2.2999999999999998</v>
      </c>
      <c r="G2389" s="16" t="s">
        <v>45</v>
      </c>
      <c r="H2389" s="16" t="s">
        <v>45</v>
      </c>
      <c r="I2389" s="16">
        <f>COUNTIF(G$5:G2389,"Y")/COUNTA(G$5:G2389)</f>
        <v>0.88259958071278821</v>
      </c>
      <c r="J2389" s="16">
        <f>COUNTIF(H$5:H2389,"Y")/COUNTA(H$5:H2389)</f>
        <v>4.8218029350104823E-2</v>
      </c>
      <c r="K2389" s="16">
        <f>AVERAGE(F$5:F2389)</f>
        <v>2.2170230607966435</v>
      </c>
      <c r="L2389" s="16">
        <f>SUM(F$5:F2389)/SUM(E$5:E2389)</f>
        <v>0.76180322436571468</v>
      </c>
    </row>
    <row r="2390" spans="1:13" x14ac:dyDescent="0.25">
      <c r="A2390" s="29">
        <v>46014</v>
      </c>
      <c r="B2390" s="16" t="s">
        <v>2436</v>
      </c>
      <c r="C2390" s="34">
        <v>1</v>
      </c>
      <c r="D2390" s="16" t="s">
        <v>64</v>
      </c>
      <c r="E2390" s="35">
        <v>1.9</v>
      </c>
      <c r="F2390" s="35">
        <v>1.4</v>
      </c>
      <c r="G2390" s="16" t="s">
        <v>44</v>
      </c>
      <c r="H2390" s="16" t="s">
        <v>45</v>
      </c>
      <c r="I2390" s="16">
        <f>COUNTIF(G$5:G2390,"Y")/COUNTA(G$5:G2390)</f>
        <v>0.88264878457669738</v>
      </c>
      <c r="J2390" s="16">
        <f>COUNTIF(H$5:H2390,"Y")/COUNTA(H$5:H2390)</f>
        <v>4.8197820620284992E-2</v>
      </c>
      <c r="K2390" s="16">
        <f>AVERAGE(F$5:F2390)</f>
        <v>2.216680637049453</v>
      </c>
      <c r="L2390" s="16">
        <f>SUM(F$5:F2390)/SUM(E$5:E2390)</f>
        <v>0.76179639338595218</v>
      </c>
    </row>
    <row r="2391" spans="1:13" x14ac:dyDescent="0.25">
      <c r="A2391" s="29">
        <v>46015</v>
      </c>
      <c r="B2391" s="16" t="s">
        <v>2437</v>
      </c>
      <c r="C2391" s="34">
        <v>1</v>
      </c>
      <c r="D2391" s="16" t="s">
        <v>50</v>
      </c>
      <c r="E2391" s="35">
        <v>3.8</v>
      </c>
      <c r="F2391" s="35">
        <v>2.8</v>
      </c>
      <c r="G2391" s="16" t="s">
        <v>44</v>
      </c>
      <c r="H2391" s="16" t="s">
        <v>45</v>
      </c>
      <c r="I2391" s="16">
        <f>COUNTIF(G$5:G2391,"Y")/COUNTA(G$5:G2391)</f>
        <v>0.88269794721407624</v>
      </c>
      <c r="J2391" s="16">
        <f>COUNTIF(H$5:H2391,"Y")/COUNTA(H$5:H2391)</f>
        <v>4.8177628822790114E-2</v>
      </c>
      <c r="K2391" s="16">
        <f>AVERAGE(F$5:F2391)</f>
        <v>2.2169250104733953</v>
      </c>
      <c r="L2391" s="16">
        <f>SUM(F$5:F2391)/SUM(E$5:E2391)</f>
        <v>0.761782742636684</v>
      </c>
    </row>
    <row r="2392" spans="1:13" x14ac:dyDescent="0.25">
      <c r="A2392" s="29">
        <v>46016</v>
      </c>
      <c r="B2392" s="16" t="s">
        <v>2438</v>
      </c>
      <c r="C2392" s="34">
        <v>1</v>
      </c>
      <c r="D2392" s="16" t="s">
        <v>64</v>
      </c>
      <c r="E2392" s="35">
        <v>4</v>
      </c>
      <c r="F2392" s="35">
        <v>3.2</v>
      </c>
      <c r="G2392" s="16" t="s">
        <v>44</v>
      </c>
      <c r="H2392" s="16" t="s">
        <v>45</v>
      </c>
      <c r="I2392" s="16">
        <f>COUNTIF(G$5:G2392,"Y")/COUNTA(G$5:G2392)</f>
        <v>0.88274706867671693</v>
      </c>
      <c r="J2392" s="16">
        <f>COUNTIF(H$5:H2392,"Y")/COUNTA(H$5:H2392)</f>
        <v>4.8157453936348411E-2</v>
      </c>
      <c r="K2392" s="16">
        <f>AVERAGE(F$5:F2392)</f>
        <v>2.2173366834170833</v>
      </c>
      <c r="L2392" s="16">
        <f>SUM(F$5:F2392)/SUM(E$5:E2392)</f>
        <v>0.76180473628175827</v>
      </c>
    </row>
    <row r="2393" spans="1:13" x14ac:dyDescent="0.25">
      <c r="A2393" s="29">
        <v>46017</v>
      </c>
      <c r="B2393" s="16" t="s">
        <v>2439</v>
      </c>
      <c r="C2393" s="34">
        <v>1</v>
      </c>
      <c r="D2393" s="16" t="s">
        <v>60</v>
      </c>
      <c r="E2393" s="35">
        <v>0.6</v>
      </c>
      <c r="F2393" s="35">
        <v>0.5</v>
      </c>
      <c r="G2393" s="16" t="s">
        <v>45</v>
      </c>
      <c r="H2393" s="16" t="s">
        <v>45</v>
      </c>
      <c r="I2393" s="16">
        <f>COUNTIF(G$5:G2393,"Y")/COUNTA(G$5:G2393)</f>
        <v>0.88237756383424026</v>
      </c>
      <c r="J2393" s="16">
        <f>COUNTIF(H$5:H2393,"Y")/COUNTA(H$5:H2393)</f>
        <v>4.8137295939723733E-2</v>
      </c>
      <c r="K2393" s="16">
        <f>AVERAGE(F$5:F2393)</f>
        <v>2.2166178317287546</v>
      </c>
      <c r="L2393" s="16">
        <f>SUM(F$5:F2393)/SUM(E$5:E2393)</f>
        <v>0.76181091034641335</v>
      </c>
    </row>
    <row r="2394" spans="1:13" x14ac:dyDescent="0.25">
      <c r="A2394" s="29">
        <v>46013</v>
      </c>
      <c r="B2394" s="16" t="s">
        <v>2440</v>
      </c>
      <c r="C2394" s="34">
        <v>1</v>
      </c>
      <c r="D2394" s="16" t="s">
        <v>50</v>
      </c>
      <c r="E2394" s="35">
        <v>0.6</v>
      </c>
      <c r="F2394" s="35">
        <v>0.5</v>
      </c>
      <c r="G2394" s="16" t="s">
        <v>44</v>
      </c>
      <c r="H2394" s="16" t="s">
        <v>45</v>
      </c>
      <c r="I2394" s="16">
        <f>COUNTIF(G$5:G2394,"Y")/COUNTA(G$5:G2394)</f>
        <v>0.88242677824267779</v>
      </c>
      <c r="J2394" s="16">
        <f>COUNTIF(H$5:H2394,"Y")/COUNTA(H$5:H2394)</f>
        <v>4.8117154811715482E-2</v>
      </c>
      <c r="K2394" s="16">
        <f>AVERAGE(F$5:F2394)</f>
        <v>2.215899581589956</v>
      </c>
      <c r="L2394" s="16">
        <f>SUM(F$5:F2394)/SUM(E$5:E2394)</f>
        <v>0.76181708334531895</v>
      </c>
    </row>
    <row r="2395" spans="1:13" x14ac:dyDescent="0.25">
      <c r="A2395" s="29">
        <v>46014</v>
      </c>
      <c r="B2395" s="16" t="s">
        <v>2441</v>
      </c>
      <c r="C2395" s="34">
        <v>1</v>
      </c>
      <c r="D2395" s="16" t="s">
        <v>64</v>
      </c>
      <c r="E2395" s="35">
        <v>0.5</v>
      </c>
      <c r="F2395" s="35">
        <v>0.5</v>
      </c>
      <c r="G2395" s="16" t="s">
        <v>44</v>
      </c>
      <c r="H2395" s="16" t="s">
        <v>45</v>
      </c>
      <c r="I2395" s="16">
        <f>COUNTIF(G$5:G2395,"Y")/COUNTA(G$5:G2395)</f>
        <v>0.88247595148473446</v>
      </c>
      <c r="J2395" s="16">
        <f>COUNTIF(H$5:H2395,"Y")/COUNTA(H$5:H2395)</f>
        <v>4.8097030531158512E-2</v>
      </c>
      <c r="K2395" s="16">
        <f>AVERAGE(F$5:F2395)</f>
        <v>2.2151819322459199</v>
      </c>
      <c r="L2395" s="16">
        <f>SUM(F$5:F2395)/SUM(E$5:E2395)</f>
        <v>0.76183421313809652</v>
      </c>
    </row>
    <row r="2396" spans="1:13" x14ac:dyDescent="0.25">
      <c r="A2396" s="29">
        <v>46015</v>
      </c>
      <c r="B2396" s="16" t="s">
        <v>2442</v>
      </c>
      <c r="C2396" s="34">
        <v>1</v>
      </c>
      <c r="D2396" s="16" t="s">
        <v>47</v>
      </c>
      <c r="E2396" s="35">
        <v>0.5</v>
      </c>
      <c r="F2396" s="35">
        <v>0.5</v>
      </c>
      <c r="G2396" s="16" t="s">
        <v>44</v>
      </c>
      <c r="H2396" s="16" t="s">
        <v>45</v>
      </c>
      <c r="I2396" s="16">
        <f>COUNTIF(G$5:G2396,"Y")/COUNTA(G$5:G2396)</f>
        <v>0.88252508361204018</v>
      </c>
      <c r="J2396" s="16">
        <f>COUNTIF(H$5:H2396,"Y")/COUNTA(H$5:H2396)</f>
        <v>4.807692307692308E-2</v>
      </c>
      <c r="K2396" s="16">
        <f>AVERAGE(F$5:F2396)</f>
        <v>2.2144648829431417</v>
      </c>
      <c r="L2396" s="16">
        <f>SUM(F$5:F2396)/SUM(E$5:E2396)</f>
        <v>0.7618513404671482</v>
      </c>
    </row>
    <row r="2397" spans="1:13" x14ac:dyDescent="0.25">
      <c r="A2397" s="29">
        <v>46016</v>
      </c>
      <c r="B2397" s="16" t="s">
        <v>2443</v>
      </c>
      <c r="C2397" s="34">
        <v>1</v>
      </c>
      <c r="D2397" s="16" t="s">
        <v>47</v>
      </c>
      <c r="E2397" s="35">
        <v>0.5</v>
      </c>
      <c r="F2397" s="35">
        <v>0.5</v>
      </c>
      <c r="G2397" s="16" t="s">
        <v>44</v>
      </c>
      <c r="H2397" s="16" t="s">
        <v>45</v>
      </c>
      <c r="I2397" s="16">
        <f>COUNTIF(G$5:G2397,"Y")/COUNTA(G$5:G2397)</f>
        <v>0.88257417467613875</v>
      </c>
      <c r="J2397" s="16">
        <f>COUNTIF(H$5:H2397,"Y")/COUNTA(H$5:H2397)</f>
        <v>4.8056832427914753E-2</v>
      </c>
      <c r="K2397" s="16">
        <f>AVERAGE(F$5:F2397)</f>
        <v>2.2137484329293753</v>
      </c>
      <c r="L2397" s="16">
        <f>SUM(F$5:F2397)/SUM(E$5:E2397)</f>
        <v>0.76186846533300567</v>
      </c>
    </row>
    <row r="2398" spans="1:13" x14ac:dyDescent="0.25">
      <c r="A2398" s="29">
        <v>46017</v>
      </c>
      <c r="B2398" s="16" t="s">
        <v>2444</v>
      </c>
      <c r="C2398" s="34">
        <v>1</v>
      </c>
      <c r="D2398" s="16" t="s">
        <v>56</v>
      </c>
      <c r="E2398" s="35">
        <v>0.5</v>
      </c>
      <c r="F2398" s="35">
        <v>0.5</v>
      </c>
      <c r="G2398" s="16" t="s">
        <v>44</v>
      </c>
      <c r="H2398" s="16" t="s">
        <v>44</v>
      </c>
      <c r="I2398" s="16">
        <f>COUNTIF(G$5:G2398,"Y")/COUNTA(G$5:G2398)</f>
        <v>0.88262322472848787</v>
      </c>
      <c r="J2398" s="16">
        <f>COUNTIF(H$5:H2398,"Y")/COUNTA(H$5:H2398)</f>
        <v>4.8454469507101083E-2</v>
      </c>
      <c r="K2398" s="16">
        <f>AVERAGE(F$5:F2398)</f>
        <v>2.213032581453632</v>
      </c>
      <c r="L2398" s="16">
        <f>SUM(F$5:F2398)/SUM(E$5:E2398)</f>
        <v>0.76188558773620008</v>
      </c>
    </row>
    <row r="2399" spans="1:13" x14ac:dyDescent="0.25">
      <c r="A2399" s="29">
        <v>46013</v>
      </c>
      <c r="B2399" s="16" t="s">
        <v>2445</v>
      </c>
      <c r="C2399" s="34">
        <v>1</v>
      </c>
      <c r="D2399" s="16" t="s">
        <v>60</v>
      </c>
      <c r="E2399" s="35">
        <v>0.5</v>
      </c>
      <c r="F2399" s="35">
        <v>0.5</v>
      </c>
      <c r="G2399" s="16" t="s">
        <v>44</v>
      </c>
      <c r="H2399" s="16" t="s">
        <v>45</v>
      </c>
      <c r="I2399" s="16">
        <f>COUNTIF(G$5:G2399,"Y")/COUNTA(G$5:G2399)</f>
        <v>0.88267223382045934</v>
      </c>
      <c r="J2399" s="16">
        <f>COUNTIF(H$5:H2399,"Y")/COUNTA(H$5:H2399)</f>
        <v>4.8434237995824636E-2</v>
      </c>
      <c r="K2399" s="16">
        <f>AVERAGE(F$5:F2399)</f>
        <v>2.2123173277661774</v>
      </c>
      <c r="L2399" s="16">
        <f>SUM(F$5:F2399)/SUM(E$5:E2399)</f>
        <v>0.76190270767726276</v>
      </c>
    </row>
    <row r="2400" spans="1:13" x14ac:dyDescent="0.25">
      <c r="A2400" s="29">
        <v>46014</v>
      </c>
      <c r="B2400" s="16" t="s">
        <v>2446</v>
      </c>
      <c r="C2400" s="34">
        <v>1</v>
      </c>
      <c r="D2400" s="16" t="s">
        <v>64</v>
      </c>
      <c r="E2400" s="35">
        <v>0.5</v>
      </c>
      <c r="F2400" s="35">
        <v>0.5</v>
      </c>
      <c r="G2400" s="16" t="s">
        <v>44</v>
      </c>
      <c r="H2400" s="16" t="s">
        <v>45</v>
      </c>
      <c r="I2400" s="16">
        <f>COUNTIF(G$5:G2400,"Y")/COUNTA(G$5:G2400)</f>
        <v>0.88272120200333892</v>
      </c>
      <c r="J2400" s="16">
        <f>COUNTIF(H$5:H2400,"Y")/COUNTA(H$5:H2400)</f>
        <v>4.8414023372287146E-2</v>
      </c>
      <c r="K2400" s="16">
        <f>AVERAGE(F$5:F2400)</f>
        <v>2.2116026711185288</v>
      </c>
      <c r="L2400" s="16">
        <f>SUM(F$5:F2400)/SUM(E$5:E2400)</f>
        <v>0.76191982515672463</v>
      </c>
      <c r="M2400" s="16">
        <v>7</v>
      </c>
    </row>
    <row r="2401" spans="1:12" x14ac:dyDescent="0.25">
      <c r="A2401" s="29">
        <v>46020</v>
      </c>
      <c r="B2401" s="16" t="s">
        <v>2447</v>
      </c>
      <c r="C2401" s="34">
        <v>1</v>
      </c>
      <c r="D2401" s="16" t="s">
        <v>47</v>
      </c>
      <c r="E2401" s="35">
        <v>4.3</v>
      </c>
      <c r="F2401" s="35">
        <v>3.1</v>
      </c>
      <c r="G2401" s="16" t="s">
        <v>44</v>
      </c>
      <c r="H2401" s="16" t="s">
        <v>44</v>
      </c>
      <c r="I2401" s="16">
        <f>COUNTIF(G$5:G2401,"Y")/COUNTA(G$5:G2401)</f>
        <v>0.8827701293283271</v>
      </c>
      <c r="J2401" s="16">
        <f>COUNTIF(H$5:H2401,"Y")/COUNTA(H$5:H2401)</f>
        <v>4.8811013767209012E-2</v>
      </c>
      <c r="K2401" s="16">
        <f>AVERAGE(F$5:F2401)</f>
        <v>2.2119732999582791</v>
      </c>
      <c r="L2401" s="16">
        <f>SUM(F$5:F2401)/SUM(E$5:E2401)</f>
        <v>0.76189449785173202</v>
      </c>
    </row>
    <row r="2402" spans="1:12" x14ac:dyDescent="0.25">
      <c r="A2402" s="29">
        <v>46021</v>
      </c>
      <c r="B2402" s="16" t="s">
        <v>2448</v>
      </c>
      <c r="C2402" s="34">
        <v>1</v>
      </c>
      <c r="D2402" s="16" t="s">
        <v>50</v>
      </c>
      <c r="E2402" s="35">
        <v>5.3</v>
      </c>
      <c r="F2402" s="35">
        <v>3.9</v>
      </c>
      <c r="G2402" s="16" t="s">
        <v>44</v>
      </c>
      <c r="H2402" s="16" t="s">
        <v>45</v>
      </c>
      <c r="I2402" s="16">
        <f>COUNTIF(G$5:G2402,"Y")/COUNTA(G$5:G2402)</f>
        <v>0.88281901584653877</v>
      </c>
      <c r="J2402" s="16">
        <f>COUNTIF(H$5:H2402,"Y")/COUNTA(H$5:H2402)</f>
        <v>4.8790658882401999E-2</v>
      </c>
      <c r="K2402" s="16">
        <f>AVERAGE(F$5:F2402)</f>
        <v>2.2126772310258525</v>
      </c>
      <c r="L2402" s="16">
        <f>SUM(F$5:F2402)/SUM(E$5:E2402)</f>
        <v>0.76187467692837685</v>
      </c>
    </row>
    <row r="2403" spans="1:12" x14ac:dyDescent="0.25">
      <c r="A2403" s="29">
        <v>46022</v>
      </c>
      <c r="B2403" s="16" t="s">
        <v>2449</v>
      </c>
      <c r="C2403" s="34">
        <v>1</v>
      </c>
      <c r="D2403" s="16" t="s">
        <v>60</v>
      </c>
      <c r="E2403" s="35">
        <v>2.2999999999999998</v>
      </c>
      <c r="F2403" s="35">
        <v>1.7</v>
      </c>
      <c r="G2403" s="16" t="s">
        <v>44</v>
      </c>
      <c r="H2403" s="16" t="s">
        <v>45</v>
      </c>
      <c r="I2403" s="16">
        <f>COUNTIF(G$5:G2403,"Y")/COUNTA(G$5:G2403)</f>
        <v>0.88286786160900377</v>
      </c>
      <c r="J2403" s="16">
        <f>COUNTIF(H$5:H2403,"Y")/COUNTA(H$5:H2403)</f>
        <v>4.8770320967069611E-2</v>
      </c>
      <c r="K2403" s="16">
        <f>AVERAGE(F$5:F2403)</f>
        <v>2.2124635264693597</v>
      </c>
      <c r="L2403" s="16">
        <f>SUM(F$5:F2403)/SUM(E$5:E2403)</f>
        <v>0.76186716809967236</v>
      </c>
    </row>
    <row r="2404" spans="1:12" x14ac:dyDescent="0.25">
      <c r="A2404" s="29">
        <v>46023</v>
      </c>
      <c r="B2404" s="16" t="s">
        <v>2450</v>
      </c>
      <c r="C2404" s="34">
        <v>1</v>
      </c>
      <c r="D2404" s="16" t="s">
        <v>64</v>
      </c>
      <c r="E2404" s="35">
        <v>2.1</v>
      </c>
      <c r="F2404" s="35">
        <v>1.7</v>
      </c>
      <c r="G2404" s="16" t="s">
        <v>44</v>
      </c>
      <c r="H2404" s="16" t="s">
        <v>45</v>
      </c>
      <c r="I2404" s="16">
        <f>COUNTIF(G$5:G2404,"Y")/COUNTA(G$5:G2404)</f>
        <v>0.88291666666666668</v>
      </c>
      <c r="J2404" s="16">
        <f>COUNTIF(H$5:H2404,"Y")/COUNTA(H$5:H2404)</f>
        <v>4.8750000000000002E-2</v>
      </c>
      <c r="K2404" s="16">
        <f>AVERAGE(F$5:F2404)</f>
        <v>2.2122499999999974</v>
      </c>
      <c r="L2404" s="16">
        <f>SUM(F$5:F2404)/SUM(E$5:E2404)</f>
        <v>0.7618815291011346</v>
      </c>
    </row>
    <row r="2405" spans="1:12" x14ac:dyDescent="0.25">
      <c r="A2405" s="29">
        <v>46024</v>
      </c>
      <c r="B2405" s="16" t="s">
        <v>2451</v>
      </c>
      <c r="C2405" s="34">
        <v>1</v>
      </c>
      <c r="D2405" s="16" t="s">
        <v>43</v>
      </c>
      <c r="E2405" s="35">
        <v>3.8</v>
      </c>
      <c r="F2405" s="35">
        <v>2.6</v>
      </c>
      <c r="G2405" s="16" t="s">
        <v>44</v>
      </c>
      <c r="H2405" s="16" t="s">
        <v>45</v>
      </c>
      <c r="I2405" s="16">
        <f>COUNTIF(G$5:G2405,"Y")/COUNTA(G$5:G2405)</f>
        <v>0.88296543107038739</v>
      </c>
      <c r="J2405" s="16">
        <f>COUNTIF(H$5:H2405,"Y")/COUNTA(H$5:H2405)</f>
        <v>4.872969596001666E-2</v>
      </c>
      <c r="K2405" s="16">
        <f>AVERAGE(F$5:F2405)</f>
        <v>2.2124114952103269</v>
      </c>
      <c r="L2405" s="16">
        <f>SUM(F$5:F2405)/SUM(E$5:E2405)</f>
        <v>0.76183919915096054</v>
      </c>
    </row>
    <row r="2406" spans="1:12" x14ac:dyDescent="0.25">
      <c r="A2406" s="29">
        <v>46020</v>
      </c>
      <c r="B2406" s="16" t="s">
        <v>2452</v>
      </c>
      <c r="C2406" s="34">
        <v>1</v>
      </c>
      <c r="D2406" s="16" t="s">
        <v>60</v>
      </c>
      <c r="E2406" s="35">
        <v>4.2</v>
      </c>
      <c r="F2406" s="35">
        <v>3.3</v>
      </c>
      <c r="G2406" s="16" t="s">
        <v>44</v>
      </c>
      <c r="H2406" s="16" t="s">
        <v>45</v>
      </c>
      <c r="I2406" s="16">
        <f>COUNTIF(G$5:G2406,"Y")/COUNTA(G$5:G2406)</f>
        <v>0.88301415487094093</v>
      </c>
      <c r="J2406" s="16">
        <f>COUNTIF(H$5:H2406,"Y")/COUNTA(H$5:H2406)</f>
        <v>4.8709408825978351E-2</v>
      </c>
      <c r="K2406" s="16">
        <f>AVERAGE(F$5:F2406)</f>
        <v>2.2128642797668587</v>
      </c>
      <c r="L2406" s="16">
        <f>SUM(F$5:F2406)/SUM(E$5:E2406)</f>
        <v>0.76185357183809022</v>
      </c>
    </row>
    <row r="2407" spans="1:12" x14ac:dyDescent="0.25">
      <c r="A2407" s="29">
        <v>46021</v>
      </c>
      <c r="B2407" s="16" t="s">
        <v>2453</v>
      </c>
      <c r="C2407" s="34">
        <v>1</v>
      </c>
      <c r="D2407" s="16" t="s">
        <v>56</v>
      </c>
      <c r="E2407" s="35">
        <v>1.9</v>
      </c>
      <c r="F2407" s="35">
        <v>1.3</v>
      </c>
      <c r="G2407" s="16" t="s">
        <v>44</v>
      </c>
      <c r="H2407" s="16" t="s">
        <v>45</v>
      </c>
      <c r="I2407" s="16">
        <f>COUNTIF(G$5:G2407,"Y")/COUNTA(G$5:G2407)</f>
        <v>0.88306283811901787</v>
      </c>
      <c r="J2407" s="16">
        <f>COUNTIF(H$5:H2407,"Y")/COUNTA(H$5:H2407)</f>
        <v>4.8689138576779027E-2</v>
      </c>
      <c r="K2407" s="16">
        <f>AVERAGE(F$5:F2407)</f>
        <v>2.2124843945068644</v>
      </c>
      <c r="L2407" s="16">
        <f>SUM(F$5:F2407)/SUM(E$5:E2407)</f>
        <v>0.76183243297462111</v>
      </c>
    </row>
    <row r="2408" spans="1:12" x14ac:dyDescent="0.25">
      <c r="A2408" s="29">
        <v>46022</v>
      </c>
      <c r="B2408" s="16" t="s">
        <v>2454</v>
      </c>
      <c r="C2408" s="34">
        <v>1</v>
      </c>
      <c r="D2408" s="16" t="s">
        <v>43</v>
      </c>
      <c r="E2408" s="35">
        <v>4.5</v>
      </c>
      <c r="F2408" s="35">
        <v>3.9</v>
      </c>
      <c r="G2408" s="16" t="s">
        <v>44</v>
      </c>
      <c r="H2408" s="16" t="s">
        <v>45</v>
      </c>
      <c r="I2408" s="16">
        <f>COUNTIF(G$5:G2408,"Y")/COUNTA(G$5:G2408)</f>
        <v>0.88311148086522462</v>
      </c>
      <c r="J2408" s="16">
        <f>COUNTIF(H$5:H2408,"Y")/COUNTA(H$5:H2408)</f>
        <v>4.8668885191347752E-2</v>
      </c>
      <c r="K2408" s="16">
        <f>AVERAGE(F$5:F2408)</f>
        <v>2.213186356073209</v>
      </c>
      <c r="L2408" s="16">
        <f>SUM(F$5:F2408)/SUM(E$5:E2408)</f>
        <v>0.76189998854393226</v>
      </c>
    </row>
    <row r="2409" spans="1:12" x14ac:dyDescent="0.25">
      <c r="A2409" s="29">
        <v>46023</v>
      </c>
      <c r="B2409" s="16" t="s">
        <v>2455</v>
      </c>
      <c r="C2409" s="34">
        <v>1</v>
      </c>
      <c r="D2409" s="16" t="s">
        <v>52</v>
      </c>
      <c r="E2409" s="35">
        <v>4</v>
      </c>
      <c r="F2409" s="35">
        <v>3.6</v>
      </c>
      <c r="G2409" s="16" t="s">
        <v>44</v>
      </c>
      <c r="H2409" s="16" t="s">
        <v>45</v>
      </c>
      <c r="I2409" s="16">
        <f>COUNTIF(G$5:G2409,"Y")/COUNTA(G$5:G2409)</f>
        <v>0.88316008316008321</v>
      </c>
      <c r="J2409" s="16">
        <f>COUNTIF(H$5:H2409,"Y")/COUNTA(H$5:H2409)</f>
        <v>4.8648648648648651E-2</v>
      </c>
      <c r="K2409" s="16">
        <f>AVERAGE(F$5:F2409)</f>
        <v>2.2137629937629915</v>
      </c>
      <c r="L2409" s="16">
        <f>SUM(F$5:F2409)/SUM(E$5:E2409)</f>
        <v>0.76197904740096001</v>
      </c>
    </row>
    <row r="2410" spans="1:12" x14ac:dyDescent="0.25">
      <c r="A2410" s="29">
        <v>46024</v>
      </c>
      <c r="B2410" s="16" t="s">
        <v>2456</v>
      </c>
      <c r="C2410" s="34">
        <v>1</v>
      </c>
      <c r="D2410" s="16" t="s">
        <v>52</v>
      </c>
      <c r="E2410" s="35">
        <v>3</v>
      </c>
      <c r="F2410" s="35">
        <v>2.2999999999999998</v>
      </c>
      <c r="G2410" s="16" t="s">
        <v>44</v>
      </c>
      <c r="H2410" s="16" t="s">
        <v>45</v>
      </c>
      <c r="I2410" s="16">
        <f>COUNTIF(G$5:G2410,"Y")/COUNTA(G$5:G2410)</f>
        <v>0.88320864505403163</v>
      </c>
      <c r="J2410" s="16">
        <f>COUNTIF(H$5:H2410,"Y")/COUNTA(H$5:H2410)</f>
        <v>4.8628428927680795E-2</v>
      </c>
      <c r="K2410" s="16">
        <f>AVERAGE(F$5:F2410)</f>
        <v>2.2137988362427246</v>
      </c>
      <c r="L2410" s="16">
        <f>SUM(F$5:F2410)/SUM(E$5:E2410)</f>
        <v>0.76198105919716008</v>
      </c>
    </row>
    <row r="2411" spans="1:12" x14ac:dyDescent="0.25">
      <c r="A2411" s="29">
        <v>46020</v>
      </c>
      <c r="B2411" s="16" t="s">
        <v>2457</v>
      </c>
      <c r="C2411" s="34">
        <v>1</v>
      </c>
      <c r="D2411" s="16" t="s">
        <v>43</v>
      </c>
      <c r="E2411" s="35">
        <v>1.7</v>
      </c>
      <c r="F2411" s="35">
        <v>1.2</v>
      </c>
      <c r="G2411" s="16" t="s">
        <v>44</v>
      </c>
      <c r="H2411" s="16" t="s">
        <v>45</v>
      </c>
      <c r="I2411" s="16">
        <f>COUNTIF(G$5:G2411,"Y")/COUNTA(G$5:G2411)</f>
        <v>0.88325716659742415</v>
      </c>
      <c r="J2411" s="16">
        <f>COUNTIF(H$5:H2411,"Y")/COUNTA(H$5:H2411)</f>
        <v>4.8608226007478189E-2</v>
      </c>
      <c r="K2411" s="16">
        <f>AVERAGE(F$5:F2411)</f>
        <v>2.2133776485251331</v>
      </c>
      <c r="L2411" s="16">
        <f>SUM(F$5:F2411)/SUM(E$5:E2411)</f>
        <v>0.76196741944249602</v>
      </c>
    </row>
    <row r="2412" spans="1:12" x14ac:dyDescent="0.25">
      <c r="A2412" s="29">
        <v>46021</v>
      </c>
      <c r="B2412" s="16" t="s">
        <v>2458</v>
      </c>
      <c r="C2412" s="34">
        <v>1</v>
      </c>
      <c r="D2412" s="16" t="s">
        <v>47</v>
      </c>
      <c r="E2412" s="35">
        <v>3</v>
      </c>
      <c r="F2412" s="35">
        <v>2.7</v>
      </c>
      <c r="G2412" s="16" t="s">
        <v>44</v>
      </c>
      <c r="H2412" s="16" t="s">
        <v>45</v>
      </c>
      <c r="I2412" s="16">
        <f>COUNTIF(G$5:G2412,"Y")/COUNTA(G$5:G2412)</f>
        <v>0.88330564784053156</v>
      </c>
      <c r="J2412" s="16">
        <f>COUNTIF(H$5:H2412,"Y")/COUNTA(H$5:H2412)</f>
        <v>4.8588039867109634E-2</v>
      </c>
      <c r="K2412" s="16">
        <f>AVERAGE(F$5:F2412)</f>
        <v>2.2135797342192669</v>
      </c>
      <c r="L2412" s="16">
        <f>SUM(F$5:F2412)/SUM(E$5:E2412)</f>
        <v>0.7620266193941283</v>
      </c>
    </row>
    <row r="2413" spans="1:12" x14ac:dyDescent="0.25">
      <c r="A2413" s="29">
        <v>46022</v>
      </c>
      <c r="B2413" s="16" t="s">
        <v>2459</v>
      </c>
      <c r="C2413" s="34">
        <v>1</v>
      </c>
      <c r="D2413" s="16" t="s">
        <v>56</v>
      </c>
      <c r="E2413" s="35">
        <v>1.8</v>
      </c>
      <c r="F2413" s="35">
        <v>1.3</v>
      </c>
      <c r="G2413" s="16" t="s">
        <v>45</v>
      </c>
      <c r="H2413" s="16" t="s">
        <v>45</v>
      </c>
      <c r="I2413" s="16">
        <f>COUNTIF(G$5:G2413,"Y")/COUNTA(G$5:G2413)</f>
        <v>0.88293897882938976</v>
      </c>
      <c r="J2413" s="16">
        <f>COUNTIF(H$5:H2413,"Y")/COUNTA(H$5:H2413)</f>
        <v>4.8567870485678705E-2</v>
      </c>
      <c r="K2413" s="16">
        <f>AVERAGE(F$5:F2413)</f>
        <v>2.2132004981320028</v>
      </c>
      <c r="L2413" s="16">
        <f>SUM(F$5:F2413)/SUM(E$5:E2413)</f>
        <v>0.76201637915016907</v>
      </c>
    </row>
    <row r="2414" spans="1:12" x14ac:dyDescent="0.25">
      <c r="A2414" s="29">
        <v>46023</v>
      </c>
      <c r="B2414" s="16" t="s">
        <v>2460</v>
      </c>
      <c r="C2414" s="34">
        <v>1</v>
      </c>
      <c r="D2414" s="16" t="s">
        <v>60</v>
      </c>
      <c r="E2414" s="35">
        <v>2.5</v>
      </c>
      <c r="F2414" s="35">
        <v>2.1</v>
      </c>
      <c r="G2414" s="16" t="s">
        <v>44</v>
      </c>
      <c r="H2414" s="16" t="s">
        <v>45</v>
      </c>
      <c r="I2414" s="16">
        <f>COUNTIF(G$5:G2414,"Y")/COUNTA(G$5:G2414)</f>
        <v>0.88298755186721989</v>
      </c>
      <c r="J2414" s="16">
        <f>COUNTIF(H$5:H2414,"Y")/COUNTA(H$5:H2414)</f>
        <v>4.8547717842323652E-2</v>
      </c>
      <c r="K2414" s="16">
        <f>AVERAGE(F$5:F2414)</f>
        <v>2.2131535269709524</v>
      </c>
      <c r="L2414" s="16">
        <f>SUM(F$5:F2414)/SUM(E$5:E2414)</f>
        <v>0.7620442336266986</v>
      </c>
    </row>
    <row r="2415" spans="1:12" x14ac:dyDescent="0.25">
      <c r="A2415" s="29">
        <v>46024</v>
      </c>
      <c r="B2415" s="16" t="s">
        <v>2461</v>
      </c>
      <c r="C2415" s="34">
        <v>1</v>
      </c>
      <c r="D2415" s="16" t="s">
        <v>43</v>
      </c>
      <c r="E2415" s="35">
        <v>3.9</v>
      </c>
      <c r="F2415" s="35">
        <v>2.8</v>
      </c>
      <c r="G2415" s="16" t="s">
        <v>44</v>
      </c>
      <c r="H2415" s="16" t="s">
        <v>45</v>
      </c>
      <c r="I2415" s="16">
        <f>COUNTIF(G$5:G2415,"Y")/COUNTA(G$5:G2415)</f>
        <v>0.88303608461219407</v>
      </c>
      <c r="J2415" s="16">
        <f>COUNTIF(H$5:H2415,"Y")/COUNTA(H$5:H2415)</f>
        <v>4.8527581916217338E-2</v>
      </c>
      <c r="K2415" s="16">
        <f>AVERAGE(F$5:F2415)</f>
        <v>2.2133969307341332</v>
      </c>
      <c r="L2415" s="16">
        <f>SUM(F$5:F2415)/SUM(E$5:E2415)</f>
        <v>0.76201967700018403</v>
      </c>
    </row>
    <row r="2416" spans="1:12" x14ac:dyDescent="0.25">
      <c r="A2416" s="29">
        <v>46020</v>
      </c>
      <c r="B2416" s="16" t="s">
        <v>2462</v>
      </c>
      <c r="C2416" s="34">
        <v>1</v>
      </c>
      <c r="D2416" s="16" t="s">
        <v>64</v>
      </c>
      <c r="E2416" s="35">
        <v>4.0999999999999996</v>
      </c>
      <c r="F2416" s="35">
        <v>3.6</v>
      </c>
      <c r="G2416" s="16" t="s">
        <v>44</v>
      </c>
      <c r="H2416" s="16" t="s">
        <v>45</v>
      </c>
      <c r="I2416" s="16">
        <f>COUNTIF(G$5:G2416,"Y")/COUNTA(G$5:G2416)</f>
        <v>0.88308457711442789</v>
      </c>
      <c r="J2416" s="16">
        <f>COUNTIF(H$5:H2416,"Y")/COUNTA(H$5:H2416)</f>
        <v>4.8507462686567165E-2</v>
      </c>
      <c r="K2416" s="16">
        <f>AVERAGE(F$5:F2416)</f>
        <v>2.2139718076285222</v>
      </c>
      <c r="L2416" s="16">
        <f>SUM(F$5:F2416)/SUM(E$5:E2416)</f>
        <v>0.76208756707386527</v>
      </c>
    </row>
    <row r="2417" spans="1:12" x14ac:dyDescent="0.25">
      <c r="A2417" s="29">
        <v>46021</v>
      </c>
      <c r="B2417" s="16" t="s">
        <v>2463</v>
      </c>
      <c r="C2417" s="34">
        <v>1</v>
      </c>
      <c r="D2417" s="16" t="s">
        <v>50</v>
      </c>
      <c r="E2417" s="35">
        <v>4.5999999999999996</v>
      </c>
      <c r="F2417" s="35">
        <v>3.7</v>
      </c>
      <c r="G2417" s="16" t="s">
        <v>44</v>
      </c>
      <c r="H2417" s="16" t="s">
        <v>45</v>
      </c>
      <c r="I2417" s="16">
        <f>COUNTIF(G$5:G2417,"Y")/COUNTA(G$5:G2417)</f>
        <v>0.88313302942395355</v>
      </c>
      <c r="J2417" s="16">
        <f>COUNTIF(H$5:H2417,"Y")/COUNTA(H$5:H2417)</f>
        <v>4.8487360132615002E-2</v>
      </c>
      <c r="K2417" s="16">
        <f>AVERAGE(F$5:F2417)</f>
        <v>2.21458765022793</v>
      </c>
      <c r="L2417" s="16">
        <f>SUM(F$5:F2417)/SUM(E$5:E2417)</f>
        <v>0.76211529136598144</v>
      </c>
    </row>
    <row r="2418" spans="1:12" x14ac:dyDescent="0.25">
      <c r="A2418" s="29">
        <v>46022</v>
      </c>
      <c r="B2418" s="16" t="s">
        <v>2464</v>
      </c>
      <c r="C2418" s="34">
        <v>1</v>
      </c>
      <c r="D2418" s="16" t="s">
        <v>60</v>
      </c>
      <c r="E2418" s="35">
        <v>3.3</v>
      </c>
      <c r="F2418" s="35">
        <v>2.7</v>
      </c>
      <c r="G2418" s="16" t="s">
        <v>44</v>
      </c>
      <c r="H2418" s="16" t="s">
        <v>45</v>
      </c>
      <c r="I2418" s="16">
        <f>COUNTIF(G$5:G2418,"Y")/COUNTA(G$5:G2418)</f>
        <v>0.88318144159072076</v>
      </c>
      <c r="J2418" s="16">
        <f>COUNTIF(H$5:H2418,"Y")/COUNTA(H$5:H2418)</f>
        <v>4.8467274233637114E-2</v>
      </c>
      <c r="K2418" s="16">
        <f>AVERAGE(F$5:F2418)</f>
        <v>2.2147887323943642</v>
      </c>
      <c r="L2418" s="16">
        <f>SUM(F$5:F2418)/SUM(E$5:E2418)</f>
        <v>0.76214166583512544</v>
      </c>
    </row>
    <row r="2419" spans="1:12" x14ac:dyDescent="0.25">
      <c r="A2419" s="29">
        <v>46023</v>
      </c>
      <c r="B2419" s="16" t="s">
        <v>2465</v>
      </c>
      <c r="C2419" s="34">
        <v>1</v>
      </c>
      <c r="D2419" s="16" t="s">
        <v>64</v>
      </c>
      <c r="E2419" s="35">
        <v>3.9</v>
      </c>
      <c r="F2419" s="35">
        <v>2.9</v>
      </c>
      <c r="G2419" s="16" t="s">
        <v>44</v>
      </c>
      <c r="H2419" s="16" t="s">
        <v>45</v>
      </c>
      <c r="I2419" s="16">
        <f>COUNTIF(G$5:G2419,"Y")/COUNTA(G$5:G2419)</f>
        <v>0.8832298136645963</v>
      </c>
      <c r="J2419" s="16">
        <f>COUNTIF(H$5:H2419,"Y")/COUNTA(H$5:H2419)</f>
        <v>4.8447204968944099E-2</v>
      </c>
      <c r="K2419" s="16">
        <f>AVERAGE(F$5:F2419)</f>
        <v>2.2150724637681138</v>
      </c>
      <c r="L2419" s="16">
        <f>SUM(F$5:F2419)/SUM(E$5:E2419)</f>
        <v>0.76213135774326657</v>
      </c>
    </row>
    <row r="2420" spans="1:12" x14ac:dyDescent="0.25">
      <c r="A2420" s="29">
        <v>46024</v>
      </c>
      <c r="B2420" s="16" t="s">
        <v>2466</v>
      </c>
      <c r="C2420" s="34">
        <v>1</v>
      </c>
      <c r="D2420" s="16" t="s">
        <v>64</v>
      </c>
      <c r="E2420" s="35">
        <v>2.6</v>
      </c>
      <c r="F2420" s="35">
        <v>2</v>
      </c>
      <c r="G2420" s="16" t="s">
        <v>44</v>
      </c>
      <c r="H2420" s="16" t="s">
        <v>45</v>
      </c>
      <c r="I2420" s="16">
        <f>COUNTIF(G$5:G2420,"Y")/COUNTA(G$5:G2420)</f>
        <v>0.88327814569536423</v>
      </c>
      <c r="J2420" s="16">
        <f>COUNTIF(H$5:H2420,"Y")/COUNTA(H$5:H2420)</f>
        <v>4.8427152317880792E-2</v>
      </c>
      <c r="K2420" s="16">
        <f>AVERAGE(F$5:F2420)</f>
        <v>2.2149834437086073</v>
      </c>
      <c r="L2420" s="16">
        <f>SUM(F$5:F2420)/SUM(E$5:E2420)</f>
        <v>0.76213398655576903</v>
      </c>
    </row>
    <row r="2421" spans="1:12" x14ac:dyDescent="0.25">
      <c r="A2421" s="29">
        <v>46020</v>
      </c>
      <c r="B2421" s="16" t="s">
        <v>2467</v>
      </c>
      <c r="C2421" s="34">
        <v>1</v>
      </c>
      <c r="D2421" s="16" t="s">
        <v>50</v>
      </c>
      <c r="E2421" s="35">
        <v>4.5999999999999996</v>
      </c>
      <c r="F2421" s="35">
        <v>3.8</v>
      </c>
      <c r="G2421" s="16" t="s">
        <v>45</v>
      </c>
      <c r="H2421" s="16" t="s">
        <v>45</v>
      </c>
      <c r="I2421" s="16">
        <f>COUNTIF(G$5:G2421,"Y")/COUNTA(G$5:G2421)</f>
        <v>0.88291270169631775</v>
      </c>
      <c r="J2421" s="16">
        <f>COUNTIF(H$5:H2421,"Y")/COUNTA(H$5:H2421)</f>
        <v>4.840711625982623E-2</v>
      </c>
      <c r="K2421" s="16">
        <f>AVERAGE(F$5:F2421)</f>
        <v>2.2156392221762498</v>
      </c>
      <c r="L2421" s="16">
        <f>SUM(F$5:F2421)/SUM(E$5:E2421)</f>
        <v>0.76217585608152172</v>
      </c>
    </row>
    <row r="2422" spans="1:12" x14ac:dyDescent="0.25">
      <c r="A2422" s="29">
        <v>46021</v>
      </c>
      <c r="B2422" s="16" t="s">
        <v>2468</v>
      </c>
      <c r="C2422" s="34">
        <v>1</v>
      </c>
      <c r="D2422" s="16" t="s">
        <v>43</v>
      </c>
      <c r="E2422" s="35">
        <v>2.9</v>
      </c>
      <c r="F2422" s="35">
        <v>2.2000000000000002</v>
      </c>
      <c r="G2422" s="16" t="s">
        <v>44</v>
      </c>
      <c r="H2422" s="16" t="s">
        <v>45</v>
      </c>
      <c r="I2422" s="16">
        <f>COUNTIF(G$5:G2422,"Y")/COUNTA(G$5:G2422)</f>
        <v>0.88296112489660872</v>
      </c>
      <c r="J2422" s="16">
        <f>COUNTIF(H$5:H2422,"Y")/COUNTA(H$5:H2422)</f>
        <v>4.8387096774193547E-2</v>
      </c>
      <c r="K2422" s="16">
        <f>AVERAGE(F$5:F2422)</f>
        <v>2.2156327543424297</v>
      </c>
      <c r="L2422" s="16">
        <f>SUM(F$5:F2422)/SUM(E$5:E2422)</f>
        <v>0.76217438932437831</v>
      </c>
    </row>
    <row r="2423" spans="1:12" x14ac:dyDescent="0.25">
      <c r="A2423" s="29">
        <v>46022</v>
      </c>
      <c r="B2423" s="16" t="s">
        <v>2469</v>
      </c>
      <c r="C2423" s="34">
        <v>1</v>
      </c>
      <c r="D2423" s="16" t="s">
        <v>50</v>
      </c>
      <c r="E2423" s="35">
        <v>4.7</v>
      </c>
      <c r="F2423" s="35">
        <v>3.3</v>
      </c>
      <c r="G2423" s="16" t="s">
        <v>45</v>
      </c>
      <c r="H2423" s="16" t="s">
        <v>45</v>
      </c>
      <c r="I2423" s="16">
        <f>COUNTIF(G$5:G2423,"Y")/COUNTA(G$5:G2423)</f>
        <v>0.88259611409673422</v>
      </c>
      <c r="J2423" s="16">
        <f>COUNTIF(H$5:H2423,"Y")/COUNTA(H$5:H2423)</f>
        <v>4.8367093840429927E-2</v>
      </c>
      <c r="K2423" s="16">
        <f>AVERAGE(F$5:F2423)</f>
        <v>2.2160810252170298</v>
      </c>
      <c r="L2423" s="16">
        <f>SUM(F$5:F2423)/SUM(E$5:E2423)</f>
        <v>0.76213426597287215</v>
      </c>
    </row>
    <row r="2424" spans="1:12" x14ac:dyDescent="0.25">
      <c r="A2424" s="29">
        <v>46023</v>
      </c>
      <c r="B2424" s="16" t="s">
        <v>2470</v>
      </c>
      <c r="C2424" s="34">
        <v>1</v>
      </c>
      <c r="D2424" s="16" t="s">
        <v>43</v>
      </c>
      <c r="E2424" s="35">
        <v>4.9000000000000004</v>
      </c>
      <c r="F2424" s="35">
        <v>3.8</v>
      </c>
      <c r="G2424" s="16" t="s">
        <v>44</v>
      </c>
      <c r="H2424" s="16" t="s">
        <v>45</v>
      </c>
      <c r="I2424" s="16">
        <f>COUNTIF(G$5:G2424,"Y")/COUNTA(G$5:G2424)</f>
        <v>0.88264462809917354</v>
      </c>
      <c r="J2424" s="16">
        <f>COUNTIF(H$5:H2424,"Y")/COUNTA(H$5:H2424)</f>
        <v>4.8347107438016526E-2</v>
      </c>
      <c r="K2424" s="16">
        <f>AVERAGE(F$5:F2424)</f>
        <v>2.2167355371900808</v>
      </c>
      <c r="L2424" s="16">
        <f>SUM(F$5:F2424)/SUM(E$5:E2424)</f>
        <v>0.7621435776492802</v>
      </c>
    </row>
    <row r="2425" spans="1:12" x14ac:dyDescent="0.25">
      <c r="A2425" s="29">
        <v>46024</v>
      </c>
      <c r="B2425" s="16" t="s">
        <v>2471</v>
      </c>
      <c r="C2425" s="34">
        <v>1</v>
      </c>
      <c r="D2425" s="16" t="s">
        <v>43</v>
      </c>
      <c r="E2425" s="35">
        <v>2.6</v>
      </c>
      <c r="F2425" s="35">
        <v>2</v>
      </c>
      <c r="G2425" s="16" t="s">
        <v>44</v>
      </c>
      <c r="H2425" s="16" t="s">
        <v>45</v>
      </c>
      <c r="I2425" s="16">
        <f>COUNTIF(G$5:G2425,"Y")/COUNTA(G$5:G2425)</f>
        <v>0.88269310202395701</v>
      </c>
      <c r="J2425" s="16">
        <f>COUNTIF(H$5:H2425,"Y")/COUNTA(H$5:H2425)</f>
        <v>4.8327137546468404E-2</v>
      </c>
      <c r="K2425" s="16">
        <f>AVERAGE(F$5:F2425)</f>
        <v>2.2166460140437816</v>
      </c>
      <c r="L2425" s="16">
        <f>SUM(F$5:F2425)/SUM(E$5:E2425)</f>
        <v>0.76214619459474653</v>
      </c>
    </row>
    <row r="2426" spans="1:12" x14ac:dyDescent="0.25">
      <c r="A2426" s="29">
        <v>46020</v>
      </c>
      <c r="B2426" s="16" t="s">
        <v>2472</v>
      </c>
      <c r="C2426" s="34">
        <v>1</v>
      </c>
      <c r="D2426" s="16" t="s">
        <v>43</v>
      </c>
      <c r="E2426" s="35">
        <v>3.7</v>
      </c>
      <c r="F2426" s="35">
        <v>3.2</v>
      </c>
      <c r="G2426" s="16" t="s">
        <v>44</v>
      </c>
      <c r="H2426" s="16" t="s">
        <v>45</v>
      </c>
      <c r="I2426" s="16">
        <f>COUNTIF(G$5:G2426,"Y")/COUNTA(G$5:G2426)</f>
        <v>0.88274153592072668</v>
      </c>
      <c r="J2426" s="16">
        <f>COUNTIF(H$5:H2426,"Y")/COUNTA(H$5:H2426)</f>
        <v>4.8307184145334435E-2</v>
      </c>
      <c r="K2426" s="16">
        <f>AVERAGE(F$5:F2426)</f>
        <v>2.2170520231213855</v>
      </c>
      <c r="L2426" s="16">
        <f>SUM(F$5:F2426)/SUM(E$5:E2426)</f>
        <v>0.76220014194463992</v>
      </c>
    </row>
    <row r="2427" spans="1:12" x14ac:dyDescent="0.25">
      <c r="A2427" s="29">
        <v>46021</v>
      </c>
      <c r="B2427" s="16" t="s">
        <v>2473</v>
      </c>
      <c r="C2427" s="34">
        <v>1</v>
      </c>
      <c r="D2427" s="16" t="s">
        <v>43</v>
      </c>
      <c r="E2427" s="35">
        <v>3</v>
      </c>
      <c r="F2427" s="35">
        <v>2.5</v>
      </c>
      <c r="G2427" s="16" t="s">
        <v>44</v>
      </c>
      <c r="H2427" s="16" t="s">
        <v>45</v>
      </c>
      <c r="I2427" s="16">
        <f>COUNTIF(G$5:G2427,"Y")/COUNTA(G$5:G2427)</f>
        <v>0.88278992983904248</v>
      </c>
      <c r="J2427" s="16">
        <f>COUNTIF(H$5:H2427,"Y")/COUNTA(H$5:H2427)</f>
        <v>4.8287247214197276E-2</v>
      </c>
      <c r="K2427" s="16">
        <f>AVERAGE(F$5:F2427)</f>
        <v>2.2171687990094906</v>
      </c>
      <c r="L2427" s="16">
        <f>SUM(F$5:F2427)/SUM(E$5:E2427)</f>
        <v>0.7622304199772969</v>
      </c>
    </row>
    <row r="2428" spans="1:12" x14ac:dyDescent="0.25">
      <c r="A2428" s="29">
        <v>46022</v>
      </c>
      <c r="B2428" s="16" t="s">
        <v>2474</v>
      </c>
      <c r="C2428" s="34">
        <v>1</v>
      </c>
      <c r="D2428" s="16" t="s">
        <v>43</v>
      </c>
      <c r="E2428" s="35">
        <v>5.3</v>
      </c>
      <c r="F2428" s="35">
        <v>4.3</v>
      </c>
      <c r="G2428" s="16" t="s">
        <v>44</v>
      </c>
      <c r="H2428" s="16" t="s">
        <v>45</v>
      </c>
      <c r="I2428" s="16">
        <f>COUNTIF(G$5:G2428,"Y")/COUNTA(G$5:G2428)</f>
        <v>0.88283828382838281</v>
      </c>
      <c r="J2428" s="16">
        <f>COUNTIF(H$5:H2428,"Y")/COUNTA(H$5:H2428)</f>
        <v>4.8267326732673269E-2</v>
      </c>
      <c r="K2428" s="16">
        <f>AVERAGE(F$5:F2428)</f>
        <v>2.2180280528052787</v>
      </c>
      <c r="L2428" s="16">
        <f>SUM(F$5:F2428)/SUM(E$5:E2428)</f>
        <v>0.76226730750145155</v>
      </c>
    </row>
    <row r="2429" spans="1:12" x14ac:dyDescent="0.25">
      <c r="A2429" s="29">
        <v>46023</v>
      </c>
      <c r="B2429" s="16" t="s">
        <v>2475</v>
      </c>
      <c r="C2429" s="34">
        <v>1</v>
      </c>
      <c r="D2429" s="16" t="s">
        <v>47</v>
      </c>
      <c r="E2429" s="35">
        <v>1.7</v>
      </c>
      <c r="F2429" s="35">
        <v>1.3</v>
      </c>
      <c r="G2429" s="16" t="s">
        <v>44</v>
      </c>
      <c r="H2429" s="16" t="s">
        <v>44</v>
      </c>
      <c r="I2429" s="16">
        <f>COUNTIF(G$5:G2429,"Y")/COUNTA(G$5:G2429)</f>
        <v>0.88288659793814428</v>
      </c>
      <c r="J2429" s="16">
        <f>COUNTIF(H$5:H2429,"Y")/COUNTA(H$5:H2429)</f>
        <v>4.8659793814432993E-2</v>
      </c>
      <c r="K2429" s="16">
        <f>AVERAGE(F$5:F2429)</f>
        <v>2.2176494845360808</v>
      </c>
      <c r="L2429" s="16">
        <f>SUM(F$5:F2429)/SUM(E$5:E2429)</f>
        <v>0.7622678951098496</v>
      </c>
    </row>
    <row r="2430" spans="1:12" x14ac:dyDescent="0.25">
      <c r="A2430" s="29">
        <v>46024</v>
      </c>
      <c r="B2430" s="16" t="s">
        <v>2476</v>
      </c>
      <c r="C2430" s="34">
        <v>1</v>
      </c>
      <c r="D2430" s="16" t="s">
        <v>60</v>
      </c>
      <c r="E2430" s="35">
        <v>4.3</v>
      </c>
      <c r="F2430" s="35">
        <v>3.4</v>
      </c>
      <c r="G2430" s="16" t="s">
        <v>44</v>
      </c>
      <c r="H2430" s="16" t="s">
        <v>45</v>
      </c>
      <c r="I2430" s="16">
        <f>COUNTIF(G$5:G2430,"Y")/COUNTA(G$5:G2430)</f>
        <v>0.88293487221764222</v>
      </c>
      <c r="J2430" s="16">
        <f>COUNTIF(H$5:H2430,"Y")/COUNTA(H$5:H2430)</f>
        <v>4.8639736191261336E-2</v>
      </c>
      <c r="K2430" s="16">
        <f>AVERAGE(F$5:F2430)</f>
        <v>2.2181368507831802</v>
      </c>
      <c r="L2430" s="16">
        <f>SUM(F$5:F2430)/SUM(E$5:E2430)</f>
        <v>0.76228521241482694</v>
      </c>
    </row>
    <row r="2431" spans="1:12" x14ac:dyDescent="0.25">
      <c r="A2431" s="29">
        <v>46020</v>
      </c>
      <c r="B2431" s="16" t="s">
        <v>2477</v>
      </c>
      <c r="C2431" s="34">
        <v>1</v>
      </c>
      <c r="D2431" s="16" t="s">
        <v>47</v>
      </c>
      <c r="E2431" s="35">
        <v>2</v>
      </c>
      <c r="F2431" s="35">
        <v>1.8</v>
      </c>
      <c r="G2431" s="16" t="s">
        <v>44</v>
      </c>
      <c r="H2431" s="16" t="s">
        <v>45</v>
      </c>
      <c r="I2431" s="16">
        <f>COUNTIF(G$5:G2431,"Y")/COUNTA(G$5:G2431)</f>
        <v>0.88298310671611047</v>
      </c>
      <c r="J2431" s="16">
        <f>COUNTIF(H$5:H2431,"Y")/COUNTA(H$5:H2431)</f>
        <v>4.8619695096827356E-2</v>
      </c>
      <c r="K2431" s="16">
        <f>AVERAGE(F$5:F2431)</f>
        <v>2.2179645653069615</v>
      </c>
      <c r="L2431" s="16">
        <f>SUM(F$5:F2431)/SUM(E$5:E2431)</f>
        <v>0.76232421792021132</v>
      </c>
    </row>
    <row r="2432" spans="1:12" x14ac:dyDescent="0.25">
      <c r="A2432" s="29">
        <v>46021</v>
      </c>
      <c r="B2432" s="16" t="s">
        <v>2478</v>
      </c>
      <c r="C2432" s="34">
        <v>1</v>
      </c>
      <c r="D2432" s="16" t="s">
        <v>52</v>
      </c>
      <c r="E2432" s="35">
        <v>5.0999999999999996</v>
      </c>
      <c r="F2432" s="35">
        <v>4.0999999999999996</v>
      </c>
      <c r="G2432" s="16" t="s">
        <v>45</v>
      </c>
      <c r="H2432" s="16" t="s">
        <v>45</v>
      </c>
      <c r="I2432" s="16">
        <f>COUNTIF(G$5:G2432,"Y")/COUNTA(G$5:G2432)</f>
        <v>0.88261943986820424</v>
      </c>
      <c r="J2432" s="16">
        <f>COUNTIF(H$5:H2432,"Y")/COUNTA(H$5:H2432)</f>
        <v>4.8599670510708404E-2</v>
      </c>
      <c r="K2432" s="16">
        <f>AVERAGE(F$5:F2432)</f>
        <v>2.2187397034596357</v>
      </c>
      <c r="L2432" s="16">
        <f>SUM(F$5:F2432)/SUM(E$5:E2432)</f>
        <v>0.76235423978263173</v>
      </c>
    </row>
    <row r="2433" spans="1:13" x14ac:dyDescent="0.25">
      <c r="A2433" s="29">
        <v>46022</v>
      </c>
      <c r="B2433" s="16" t="s">
        <v>2479</v>
      </c>
      <c r="C2433" s="34">
        <v>1</v>
      </c>
      <c r="D2433" s="16" t="s">
        <v>43</v>
      </c>
      <c r="E2433" s="35">
        <v>1.8</v>
      </c>
      <c r="F2433" s="35">
        <v>1.5</v>
      </c>
      <c r="G2433" s="16" t="s">
        <v>44</v>
      </c>
      <c r="H2433" s="16" t="s">
        <v>45</v>
      </c>
      <c r="I2433" s="16">
        <f>COUNTIF(G$5:G2433,"Y")/COUNTA(G$5:G2433)</f>
        <v>0.8826677645121449</v>
      </c>
      <c r="J2433" s="16">
        <f>COUNTIF(H$5:H2433,"Y")/COUNTA(H$5:H2433)</f>
        <v>4.8579662412515441E-2</v>
      </c>
      <c r="K2433" s="16">
        <f>AVERAGE(F$5:F2433)</f>
        <v>2.2184438040345804</v>
      </c>
      <c r="L2433" s="16">
        <f>SUM(F$5:F2433)/SUM(E$5:E2433)</f>
        <v>0.7623723154409876</v>
      </c>
    </row>
    <row r="2434" spans="1:13" x14ac:dyDescent="0.25">
      <c r="A2434" s="29">
        <v>46023</v>
      </c>
      <c r="B2434" s="16" t="s">
        <v>2480</v>
      </c>
      <c r="C2434" s="34">
        <v>1</v>
      </c>
      <c r="D2434" s="16" t="s">
        <v>47</v>
      </c>
      <c r="E2434" s="35">
        <v>4.2</v>
      </c>
      <c r="F2434" s="35">
        <v>3.2</v>
      </c>
      <c r="G2434" s="16" t="s">
        <v>44</v>
      </c>
      <c r="H2434" s="16" t="s">
        <v>45</v>
      </c>
      <c r="I2434" s="16">
        <f>COUNTIF(G$5:G2434,"Y")/COUNTA(G$5:G2434)</f>
        <v>0.88271604938271608</v>
      </c>
      <c r="J2434" s="16">
        <f>COUNTIF(H$5:H2434,"Y")/COUNTA(H$5:H2434)</f>
        <v>4.8559670781893001E-2</v>
      </c>
      <c r="K2434" s="16">
        <f>AVERAGE(F$5:F2434)</f>
        <v>2.2188477366255128</v>
      </c>
      <c r="L2434" s="16">
        <f>SUM(F$5:F2434)/SUM(E$5:E2434)</f>
        <v>0.76237203778066687</v>
      </c>
    </row>
    <row r="2435" spans="1:13" x14ac:dyDescent="0.25">
      <c r="A2435" s="29">
        <v>46024</v>
      </c>
      <c r="B2435" s="16" t="s">
        <v>2481</v>
      </c>
      <c r="C2435" s="34">
        <v>1</v>
      </c>
      <c r="D2435" s="16" t="s">
        <v>52</v>
      </c>
      <c r="E2435" s="35">
        <v>5.9</v>
      </c>
      <c r="F2435" s="35">
        <v>4</v>
      </c>
      <c r="G2435" s="16" t="s">
        <v>44</v>
      </c>
      <c r="H2435" s="16" t="s">
        <v>45</v>
      </c>
      <c r="I2435" s="16">
        <f>COUNTIF(G$5:G2435,"Y")/COUNTA(G$5:G2435)</f>
        <v>0.8827642945290004</v>
      </c>
      <c r="J2435" s="16">
        <f>COUNTIF(H$5:H2435,"Y")/COUNTA(H$5:H2435)</f>
        <v>4.8539695598519131E-2</v>
      </c>
      <c r="K2435" s="16">
        <f>AVERAGE(F$5:F2435)</f>
        <v>2.2195804195804176</v>
      </c>
      <c r="L2435" s="16">
        <f>SUM(F$5:F2435)/SUM(E$5:E2435)</f>
        <v>0.76230168260740416</v>
      </c>
    </row>
    <row r="2436" spans="1:13" x14ac:dyDescent="0.25">
      <c r="A2436" s="29">
        <v>46020</v>
      </c>
      <c r="B2436" s="16" t="s">
        <v>2482</v>
      </c>
      <c r="C2436" s="34">
        <v>1</v>
      </c>
      <c r="D2436" s="16" t="s">
        <v>56</v>
      </c>
      <c r="E2436" s="35">
        <v>1.2</v>
      </c>
      <c r="F2436" s="35">
        <v>1</v>
      </c>
      <c r="G2436" s="16" t="s">
        <v>45</v>
      </c>
      <c r="H2436" s="16" t="s">
        <v>45</v>
      </c>
      <c r="I2436" s="16">
        <f>COUNTIF(G$5:G2436,"Y")/COUNTA(G$5:G2436)</f>
        <v>0.88240131578947367</v>
      </c>
      <c r="J2436" s="16">
        <f>COUNTIF(H$5:H2436,"Y")/COUNTA(H$5:H2436)</f>
        <v>4.8519736842105261E-2</v>
      </c>
      <c r="K2436" s="16">
        <f>AVERAGE(F$5:F2436)</f>
        <v>2.2190789473684194</v>
      </c>
      <c r="L2436" s="16">
        <f>SUM(F$5:F2436)/SUM(E$5:E2436)</f>
        <v>0.76231372272052955</v>
      </c>
    </row>
    <row r="2437" spans="1:13" x14ac:dyDescent="0.25">
      <c r="A2437" s="29">
        <v>46021</v>
      </c>
      <c r="B2437" s="16" t="s">
        <v>2483</v>
      </c>
      <c r="C2437" s="34">
        <v>1</v>
      </c>
      <c r="D2437" s="16" t="s">
        <v>60</v>
      </c>
      <c r="E2437" s="35">
        <v>0.6</v>
      </c>
      <c r="F2437" s="35">
        <v>0.5</v>
      </c>
      <c r="G2437" s="16" t="s">
        <v>44</v>
      </c>
      <c r="H2437" s="16" t="s">
        <v>45</v>
      </c>
      <c r="I2437" s="16">
        <f>COUNTIF(G$5:G2437,"Y")/COUNTA(G$5:G2437)</f>
        <v>0.88244965063707359</v>
      </c>
      <c r="J2437" s="16">
        <f>COUNTIF(H$5:H2437,"Y")/COUNTA(H$5:H2437)</f>
        <v>4.849979449239622E-2</v>
      </c>
      <c r="K2437" s="16">
        <f>AVERAGE(F$5:F2437)</f>
        <v>2.2183723797780499</v>
      </c>
      <c r="L2437" s="16">
        <f>SUM(F$5:F2437)/SUM(E$5:E2437)</f>
        <v>0.76231974124659097</v>
      </c>
    </row>
    <row r="2438" spans="1:13" x14ac:dyDescent="0.25">
      <c r="A2438" s="29">
        <v>46022</v>
      </c>
      <c r="B2438" s="16" t="s">
        <v>2484</v>
      </c>
      <c r="C2438" s="34">
        <v>1</v>
      </c>
      <c r="D2438" s="16" t="s">
        <v>50</v>
      </c>
      <c r="E2438" s="35">
        <v>0.7</v>
      </c>
      <c r="F2438" s="35">
        <v>0.5</v>
      </c>
      <c r="G2438" s="16" t="s">
        <v>44</v>
      </c>
      <c r="H2438" s="16" t="s">
        <v>45</v>
      </c>
      <c r="I2438" s="16">
        <f>COUNTIF(G$5:G2438,"Y")/COUNTA(G$5:G2438)</f>
        <v>0.88249794576828267</v>
      </c>
      <c r="J2438" s="16">
        <f>COUNTIF(H$5:H2438,"Y")/COUNTA(H$5:H2438)</f>
        <v>4.8479868529170092E-2</v>
      </c>
      <c r="K2438" s="16">
        <f>AVERAGE(F$5:F2438)</f>
        <v>2.2176663927691025</v>
      </c>
      <c r="L2438" s="16">
        <f>SUM(F$5:F2438)/SUM(E$5:E2438)</f>
        <v>0.7623149926561954</v>
      </c>
    </row>
    <row r="2439" spans="1:13" x14ac:dyDescent="0.25">
      <c r="A2439" s="29">
        <v>46023</v>
      </c>
      <c r="B2439" s="16" t="s">
        <v>2485</v>
      </c>
      <c r="C2439" s="34">
        <v>1</v>
      </c>
      <c r="D2439" s="16" t="s">
        <v>52</v>
      </c>
      <c r="E2439" s="35">
        <v>0.6</v>
      </c>
      <c r="F2439" s="35">
        <v>0.5</v>
      </c>
      <c r="G2439" s="16" t="s">
        <v>45</v>
      </c>
      <c r="H2439" s="16" t="s">
        <v>45</v>
      </c>
      <c r="I2439" s="16">
        <f>COUNTIF(G$5:G2439,"Y")/COUNTA(G$5:G2439)</f>
        <v>0.88213552361396308</v>
      </c>
      <c r="J2439" s="16">
        <f>COUNTIF(H$5:H2439,"Y")/COUNTA(H$5:H2439)</f>
        <v>4.8459958932238194E-2</v>
      </c>
      <c r="K2439" s="16">
        <f>AVERAGE(F$5:F2439)</f>
        <v>2.2169609856262817</v>
      </c>
      <c r="L2439" s="16">
        <f>SUM(F$5:F2439)/SUM(E$5:E2439)</f>
        <v>0.76232100996977836</v>
      </c>
    </row>
    <row r="2440" spans="1:13" x14ac:dyDescent="0.25">
      <c r="A2440" s="29">
        <v>46024</v>
      </c>
      <c r="B2440" s="16" t="s">
        <v>2486</v>
      </c>
      <c r="C2440" s="34">
        <v>1</v>
      </c>
      <c r="D2440" s="16" t="s">
        <v>56</v>
      </c>
      <c r="E2440" s="35">
        <v>0.7</v>
      </c>
      <c r="F2440" s="35">
        <v>0.5</v>
      </c>
      <c r="G2440" s="16" t="s">
        <v>44</v>
      </c>
      <c r="H2440" s="16" t="s">
        <v>45</v>
      </c>
      <c r="I2440" s="16">
        <f>COUNTIF(G$5:G2440,"Y")/COUNTA(G$5:G2440)</f>
        <v>0.88218390804597702</v>
      </c>
      <c r="J2440" s="16">
        <f>COUNTIF(H$5:H2440,"Y")/COUNTA(H$5:H2440)</f>
        <v>4.8440065681444995E-2</v>
      </c>
      <c r="K2440" s="16">
        <f>AVERAGE(F$5:F2440)</f>
        <v>2.216256157635466</v>
      </c>
      <c r="L2440" s="16">
        <f>SUM(F$5:F2440)/SUM(E$5:E2440)</f>
        <v>0.76231626212563908</v>
      </c>
    </row>
    <row r="2441" spans="1:13" x14ac:dyDescent="0.25">
      <c r="A2441" s="29">
        <v>46020</v>
      </c>
      <c r="B2441" s="16" t="s">
        <v>2487</v>
      </c>
      <c r="C2441" s="34">
        <v>1</v>
      </c>
      <c r="D2441" s="16" t="s">
        <v>60</v>
      </c>
      <c r="E2441" s="35">
        <v>0.7</v>
      </c>
      <c r="F2441" s="35">
        <v>0.5</v>
      </c>
      <c r="G2441" s="16" t="s">
        <v>44</v>
      </c>
      <c r="H2441" s="16" t="s">
        <v>45</v>
      </c>
      <c r="I2441" s="16">
        <f>COUNTIF(G$5:G2441,"Y")/COUNTA(G$5:G2441)</f>
        <v>0.88223225276979889</v>
      </c>
      <c r="J2441" s="16">
        <f>COUNTIF(H$5:H2441,"Y")/COUNTA(H$5:H2441)</f>
        <v>4.8420188756668037E-2</v>
      </c>
      <c r="K2441" s="16">
        <f>AVERAGE(F$5:F2441)</f>
        <v>2.2155519080837078</v>
      </c>
      <c r="L2441" s="16">
        <f>SUM(F$5:F2441)/SUM(E$5:E2441)</f>
        <v>0.76231151521996787</v>
      </c>
    </row>
    <row r="2442" spans="1:13" x14ac:dyDescent="0.25">
      <c r="A2442" s="29">
        <v>46021</v>
      </c>
      <c r="B2442" s="16" t="s">
        <v>2488</v>
      </c>
      <c r="C2442" s="34">
        <v>1</v>
      </c>
      <c r="D2442" s="16" t="s">
        <v>60</v>
      </c>
      <c r="E2442" s="35">
        <v>2.4</v>
      </c>
      <c r="F2442" s="35">
        <v>0.5</v>
      </c>
      <c r="G2442" s="16" t="s">
        <v>44</v>
      </c>
      <c r="H2442" s="16" t="s">
        <v>45</v>
      </c>
      <c r="I2442" s="16">
        <f>COUNTIF(G$5:G2442,"Y")/COUNTA(G$5:G2442)</f>
        <v>0.88228055783429038</v>
      </c>
      <c r="J2442" s="16">
        <f>COUNTIF(H$5:H2442,"Y")/COUNTA(H$5:H2442)</f>
        <v>4.8400328137817882E-2</v>
      </c>
      <c r="K2442" s="16">
        <f>AVERAGE(F$5:F2442)</f>
        <v>2.2148482362592272</v>
      </c>
      <c r="L2442" s="16">
        <f>SUM(F$5:F2442)/SUM(E$5:E2442)</f>
        <v>0.76212386382882469</v>
      </c>
      <c r="M2442" s="16">
        <v>14</v>
      </c>
    </row>
    <row r="2443" spans="1:13" x14ac:dyDescent="0.25">
      <c r="A2443" s="29">
        <v>46027</v>
      </c>
      <c r="B2443" s="16" t="s">
        <v>2489</v>
      </c>
      <c r="C2443" s="34">
        <v>1</v>
      </c>
      <c r="D2443" s="16" t="s">
        <v>47</v>
      </c>
      <c r="E2443" s="35">
        <v>3</v>
      </c>
      <c r="F2443" s="35">
        <v>2.2999999999999998</v>
      </c>
      <c r="G2443" s="16" t="s">
        <v>44</v>
      </c>
      <c r="H2443" s="16" t="s">
        <v>45</v>
      </c>
      <c r="I2443" s="16">
        <f>COUNTIF(G$5:G2443,"Y")/COUNTA(G$5:G2443)</f>
        <v>0.88232882328823292</v>
      </c>
      <c r="J2443" s="16">
        <f>COUNTIF(H$5:H2443,"Y")/COUNTA(H$5:H2443)</f>
        <v>4.8380483804838045E-2</v>
      </c>
      <c r="K2443" s="16">
        <f>AVERAGE(F$5:F2443)</f>
        <v>2.2148831488314866</v>
      </c>
      <c r="L2443" s="16">
        <f>SUM(F$5:F2443)/SUM(E$5:E2443)</f>
        <v>0.76212578651843754</v>
      </c>
    </row>
    <row r="2444" spans="1:13" x14ac:dyDescent="0.25">
      <c r="A2444" s="29">
        <v>46028</v>
      </c>
      <c r="B2444" s="16" t="s">
        <v>2490</v>
      </c>
      <c r="C2444" s="34">
        <v>1</v>
      </c>
      <c r="D2444" s="16" t="s">
        <v>56</v>
      </c>
      <c r="E2444" s="35">
        <v>5.3</v>
      </c>
      <c r="F2444" s="35">
        <v>3.8</v>
      </c>
      <c r="G2444" s="16" t="s">
        <v>44</v>
      </c>
      <c r="H2444" s="16" t="s">
        <v>45</v>
      </c>
      <c r="I2444" s="16">
        <f>COUNTIF(G$5:G2444,"Y")/COUNTA(G$5:G2444)</f>
        <v>0.88237704918032789</v>
      </c>
      <c r="J2444" s="16">
        <f>COUNTIF(H$5:H2444,"Y")/COUNTA(H$5:H2444)</f>
        <v>4.836065573770492E-2</v>
      </c>
      <c r="K2444" s="16">
        <f>AVERAGE(F$5:F2444)</f>
        <v>2.2155327868852441</v>
      </c>
      <c r="L2444" s="16">
        <f>SUM(F$5:F2444)/SUM(E$5:E2444)</f>
        <v>0.7620920561077027</v>
      </c>
    </row>
    <row r="2445" spans="1:13" x14ac:dyDescent="0.25">
      <c r="A2445" s="29">
        <v>46029</v>
      </c>
      <c r="B2445" s="16" t="s">
        <v>2491</v>
      </c>
      <c r="C2445" s="34">
        <v>1</v>
      </c>
      <c r="D2445" s="16" t="s">
        <v>64</v>
      </c>
      <c r="E2445" s="35">
        <v>1.8</v>
      </c>
      <c r="F2445" s="35">
        <v>1.3</v>
      </c>
      <c r="G2445" s="16" t="s">
        <v>44</v>
      </c>
      <c r="H2445" s="16" t="s">
        <v>45</v>
      </c>
      <c r="I2445" s="16">
        <f>COUNTIF(G$5:G2445,"Y")/COUNTA(G$5:G2445)</f>
        <v>0.88242523555919705</v>
      </c>
      <c r="J2445" s="16">
        <f>COUNTIF(H$5:H2445,"Y")/COUNTA(H$5:H2445)</f>
        <v>4.8340843916427692E-2</v>
      </c>
      <c r="K2445" s="16">
        <f>AVERAGE(F$5:F2445)</f>
        <v>2.2151577222449799</v>
      </c>
      <c r="L2445" s="16">
        <f>SUM(F$5:F2445)/SUM(E$5:E2445)</f>
        <v>0.76208194156695119</v>
      </c>
    </row>
    <row r="2446" spans="1:13" x14ac:dyDescent="0.25">
      <c r="A2446" s="29">
        <v>46030</v>
      </c>
      <c r="B2446" s="16" t="s">
        <v>2492</v>
      </c>
      <c r="C2446" s="34">
        <v>1</v>
      </c>
      <c r="D2446" s="16" t="s">
        <v>43</v>
      </c>
      <c r="E2446" s="35">
        <v>2</v>
      </c>
      <c r="F2446" s="35">
        <v>1.5</v>
      </c>
      <c r="G2446" s="16" t="s">
        <v>44</v>
      </c>
      <c r="H2446" s="16" t="s">
        <v>45</v>
      </c>
      <c r="I2446" s="16">
        <f>COUNTIF(G$5:G2446,"Y")/COUNTA(G$5:G2446)</f>
        <v>0.88247338247338247</v>
      </c>
      <c r="J2446" s="16">
        <f>COUNTIF(H$5:H2446,"Y")/COUNTA(H$5:H2446)</f>
        <v>4.8321048321048318E-2</v>
      </c>
      <c r="K2446" s="16">
        <f>AVERAGE(F$5:F2446)</f>
        <v>2.2148648648648632</v>
      </c>
      <c r="L2446" s="16">
        <f>SUM(F$5:F2446)/SUM(E$5:E2446)</f>
        <v>0.76207853690840022</v>
      </c>
    </row>
    <row r="2447" spans="1:13" x14ac:dyDescent="0.25">
      <c r="A2447" s="29">
        <v>46031</v>
      </c>
      <c r="B2447" s="16" t="s">
        <v>2493</v>
      </c>
      <c r="C2447" s="34">
        <v>1</v>
      </c>
      <c r="D2447" s="16" t="s">
        <v>52</v>
      </c>
      <c r="E2447" s="35">
        <v>3.4</v>
      </c>
      <c r="F2447" s="35">
        <v>2.5</v>
      </c>
      <c r="G2447" s="16" t="s">
        <v>44</v>
      </c>
      <c r="H2447" s="16" t="s">
        <v>45</v>
      </c>
      <c r="I2447" s="16">
        <f>COUNTIF(G$5:G2447,"Y")/COUNTA(G$5:G2447)</f>
        <v>0.88252148997134672</v>
      </c>
      <c r="J2447" s="16">
        <f>COUNTIF(H$5:H2447,"Y")/COUNTA(H$5:H2447)</f>
        <v>4.8301268931641425E-2</v>
      </c>
      <c r="K2447" s="16">
        <f>AVERAGE(F$5:F2447)</f>
        <v>2.2149815800245585</v>
      </c>
      <c r="L2447" s="16">
        <f>SUM(F$5:F2447)/SUM(E$5:E2447)</f>
        <v>0.7620657118312264</v>
      </c>
    </row>
    <row r="2448" spans="1:13" x14ac:dyDescent="0.25">
      <c r="A2448" s="29">
        <v>46027</v>
      </c>
      <c r="B2448" s="16" t="s">
        <v>2494</v>
      </c>
      <c r="C2448" s="34">
        <v>1</v>
      </c>
      <c r="D2448" s="16" t="s">
        <v>43</v>
      </c>
      <c r="E2448" s="35">
        <v>3.8</v>
      </c>
      <c r="F2448" s="35">
        <v>2.7</v>
      </c>
      <c r="G2448" s="16" t="s">
        <v>44</v>
      </c>
      <c r="H2448" s="16" t="s">
        <v>45</v>
      </c>
      <c r="I2448" s="16">
        <f>COUNTIF(G$5:G2448,"Y")/COUNTA(G$5:G2448)</f>
        <v>0.88256955810147297</v>
      </c>
      <c r="J2448" s="16">
        <f>COUNTIF(H$5:H2448,"Y")/COUNTA(H$5:H2448)</f>
        <v>4.8281505728314238E-2</v>
      </c>
      <c r="K2448" s="16">
        <f>AVERAGE(F$5:F2448)</f>
        <v>2.2151800327332225</v>
      </c>
      <c r="L2448" s="16">
        <f>SUM(F$5:F2448)/SUM(E$5:E2448)</f>
        <v>0.76203814483777732</v>
      </c>
    </row>
    <row r="2449" spans="1:12" x14ac:dyDescent="0.25">
      <c r="A2449" s="29">
        <v>46028</v>
      </c>
      <c r="B2449" s="16" t="s">
        <v>2495</v>
      </c>
      <c r="C2449" s="34">
        <v>1</v>
      </c>
      <c r="D2449" s="16" t="s">
        <v>47</v>
      </c>
      <c r="E2449" s="35">
        <v>1.6</v>
      </c>
      <c r="F2449" s="35">
        <v>1.4</v>
      </c>
      <c r="G2449" s="16" t="s">
        <v>44</v>
      </c>
      <c r="H2449" s="16" t="s">
        <v>45</v>
      </c>
      <c r="I2449" s="16">
        <f>COUNTIF(G$5:G2449,"Y")/COUNTA(G$5:G2449)</f>
        <v>0.88261758691206549</v>
      </c>
      <c r="J2449" s="16">
        <f>COUNTIF(H$5:H2449,"Y")/COUNTA(H$5:H2449)</f>
        <v>4.8261758691206545E-2</v>
      </c>
      <c r="K2449" s="16">
        <f>AVERAGE(F$5:F2449)</f>
        <v>2.2148466257668695</v>
      </c>
      <c r="L2449" s="16">
        <f>SUM(F$5:F2449)/SUM(E$5:E2449)</f>
        <v>0.76206357917845069</v>
      </c>
    </row>
    <row r="2450" spans="1:12" x14ac:dyDescent="0.25">
      <c r="A2450" s="29">
        <v>46029</v>
      </c>
      <c r="B2450" s="16" t="s">
        <v>2496</v>
      </c>
      <c r="C2450" s="34">
        <v>1</v>
      </c>
      <c r="D2450" s="16" t="s">
        <v>47</v>
      </c>
      <c r="E2450" s="35">
        <v>4.5999999999999996</v>
      </c>
      <c r="F2450" s="35">
        <v>4.0999999999999996</v>
      </c>
      <c r="G2450" s="16" t="s">
        <v>44</v>
      </c>
      <c r="H2450" s="16" t="s">
        <v>45</v>
      </c>
      <c r="I2450" s="16">
        <f>COUNTIF(G$5:G2450,"Y")/COUNTA(G$5:G2450)</f>
        <v>0.88266557645134913</v>
      </c>
      <c r="J2450" s="16">
        <f>COUNTIF(H$5:H2450,"Y")/COUNTA(H$5:H2450)</f>
        <v>4.8242027800490597E-2</v>
      </c>
      <c r="K2450" s="16">
        <f>AVERAGE(F$5:F2450)</f>
        <v>2.215617334423547</v>
      </c>
      <c r="L2450" s="16">
        <f>SUM(F$5:F2450)/SUM(E$5:E2450)</f>
        <v>0.76214718663422565</v>
      </c>
    </row>
    <row r="2451" spans="1:12" x14ac:dyDescent="0.25">
      <c r="A2451" s="29">
        <v>46030</v>
      </c>
      <c r="B2451" s="16" t="s">
        <v>2497</v>
      </c>
      <c r="C2451" s="34">
        <v>1</v>
      </c>
      <c r="D2451" s="16" t="s">
        <v>60</v>
      </c>
      <c r="E2451" s="35">
        <v>4</v>
      </c>
      <c r="F2451" s="35">
        <v>2.9</v>
      </c>
      <c r="G2451" s="16" t="s">
        <v>44</v>
      </c>
      <c r="H2451" s="16" t="s">
        <v>45</v>
      </c>
      <c r="I2451" s="16">
        <f>COUNTIF(G$5:G2451,"Y")/COUNTA(G$5:G2451)</f>
        <v>0.88271352676747039</v>
      </c>
      <c r="J2451" s="16">
        <f>COUNTIF(H$5:H2451,"Y")/COUNTA(H$5:H2451)</f>
        <v>4.8222313036371069E-2</v>
      </c>
      <c r="K2451" s="16">
        <f>AVERAGE(F$5:F2451)</f>
        <v>2.2158970167552088</v>
      </c>
      <c r="L2451" s="16">
        <f>SUM(F$5:F2451)/SUM(E$5:E2451)</f>
        <v>0.76212630188201724</v>
      </c>
    </row>
    <row r="2452" spans="1:12" x14ac:dyDescent="0.25">
      <c r="A2452" s="29">
        <v>46031</v>
      </c>
      <c r="B2452" s="16" t="s">
        <v>2498</v>
      </c>
      <c r="C2452" s="34">
        <v>1</v>
      </c>
      <c r="D2452" s="16" t="s">
        <v>50</v>
      </c>
      <c r="E2452" s="35">
        <v>3.7</v>
      </c>
      <c r="F2452" s="35">
        <v>2.8</v>
      </c>
      <c r="G2452" s="16" t="s">
        <v>44</v>
      </c>
      <c r="H2452" s="16" t="s">
        <v>44</v>
      </c>
      <c r="I2452" s="16">
        <f>COUNTIF(G$5:G2452,"Y")/COUNTA(G$5:G2452)</f>
        <v>0.8827614379084967</v>
      </c>
      <c r="J2452" s="16">
        <f>COUNTIF(H$5:H2452,"Y")/COUNTA(H$5:H2452)</f>
        <v>4.8611111111111112E-2</v>
      </c>
      <c r="K2452" s="16">
        <f>AVERAGE(F$5:F2452)</f>
        <v>2.2161356209150309</v>
      </c>
      <c r="L2452" s="16">
        <f>SUM(F$5:F2452)/SUM(E$5:E2452)</f>
        <v>0.76212351090132457</v>
      </c>
    </row>
    <row r="2453" spans="1:12" x14ac:dyDescent="0.25">
      <c r="A2453" s="29">
        <v>46027</v>
      </c>
      <c r="B2453" s="16" t="s">
        <v>2499</v>
      </c>
      <c r="C2453" s="34">
        <v>1</v>
      </c>
      <c r="D2453" s="16" t="s">
        <v>47</v>
      </c>
      <c r="E2453" s="35">
        <v>4.0999999999999996</v>
      </c>
      <c r="F2453" s="35">
        <v>3.7</v>
      </c>
      <c r="G2453" s="16" t="s">
        <v>44</v>
      </c>
      <c r="H2453" s="16" t="s">
        <v>45</v>
      </c>
      <c r="I2453" s="16">
        <f>COUNTIF(G$5:G2453,"Y")/COUNTA(G$5:G2453)</f>
        <v>0.88280930992241735</v>
      </c>
      <c r="J2453" s="16">
        <f>COUNTIF(H$5:H2453,"Y")/COUNTA(H$5:H2453)</f>
        <v>4.8591261739485504E-2</v>
      </c>
      <c r="K2453" s="16">
        <f>AVERAGE(F$5:F2453)</f>
        <v>2.2167415271539386</v>
      </c>
      <c r="L2453" s="16">
        <f>SUM(F$5:F2453)/SUM(E$5:E2453)</f>
        <v>0.76220428220428049</v>
      </c>
    </row>
    <row r="2454" spans="1:12" x14ac:dyDescent="0.25">
      <c r="A2454" s="29">
        <v>46028</v>
      </c>
      <c r="B2454" s="16" t="s">
        <v>2500</v>
      </c>
      <c r="C2454" s="34">
        <v>1</v>
      </c>
      <c r="D2454" s="16" t="s">
        <v>47</v>
      </c>
      <c r="E2454" s="35">
        <v>3.7</v>
      </c>
      <c r="F2454" s="35">
        <v>2.9</v>
      </c>
      <c r="G2454" s="16" t="s">
        <v>44</v>
      </c>
      <c r="H2454" s="16" t="s">
        <v>45</v>
      </c>
      <c r="I2454" s="16">
        <f>COUNTIF(G$5:G2454,"Y")/COUNTA(G$5:G2454)</f>
        <v>0.8828571428571429</v>
      </c>
      <c r="J2454" s="16">
        <f>COUNTIF(H$5:H2454,"Y")/COUNTA(H$5:H2454)</f>
        <v>4.8571428571428571E-2</v>
      </c>
      <c r="K2454" s="16">
        <f>AVERAGE(F$5:F2454)</f>
        <v>2.2170204081632634</v>
      </c>
      <c r="L2454" s="16">
        <f>SUM(F$5:F2454)/SUM(E$5:E2454)</f>
        <v>0.76221548651455018</v>
      </c>
    </row>
    <row r="2455" spans="1:12" x14ac:dyDescent="0.25">
      <c r="A2455" s="29">
        <v>46029</v>
      </c>
      <c r="B2455" s="16" t="s">
        <v>2501</v>
      </c>
      <c r="C2455" s="34">
        <v>1</v>
      </c>
      <c r="D2455" s="16" t="s">
        <v>52</v>
      </c>
      <c r="E2455" s="35">
        <v>4.4000000000000004</v>
      </c>
      <c r="F2455" s="35">
        <v>3.3</v>
      </c>
      <c r="G2455" s="16" t="s">
        <v>44</v>
      </c>
      <c r="H2455" s="16" t="s">
        <v>45</v>
      </c>
      <c r="I2455" s="16">
        <f>COUNTIF(G$5:G2455,"Y")/COUNTA(G$5:G2455)</f>
        <v>0.88290493676050597</v>
      </c>
      <c r="J2455" s="16">
        <f>COUNTIF(H$5:H2455,"Y")/COUNTA(H$5:H2455)</f>
        <v>4.8551611587107302E-2</v>
      </c>
      <c r="K2455" s="16">
        <f>AVERAGE(F$5:F2455)</f>
        <v>2.2174622603019158</v>
      </c>
      <c r="L2455" s="16">
        <f>SUM(F$5:F2455)/SUM(E$5:E2455)</f>
        <v>0.76220794884020815</v>
      </c>
    </row>
    <row r="2456" spans="1:12" x14ac:dyDescent="0.25">
      <c r="A2456" s="29">
        <v>46030</v>
      </c>
      <c r="B2456" s="16" t="s">
        <v>2502</v>
      </c>
      <c r="C2456" s="34">
        <v>1</v>
      </c>
      <c r="D2456" s="16" t="s">
        <v>64</v>
      </c>
      <c r="E2456" s="35">
        <v>3.5</v>
      </c>
      <c r="F2456" s="35">
        <v>2.7</v>
      </c>
      <c r="G2456" s="16" t="s">
        <v>44</v>
      </c>
      <c r="H2456" s="16" t="s">
        <v>45</v>
      </c>
      <c r="I2456" s="16">
        <f>COUNTIF(G$5:G2456,"Y")/COUNTA(G$5:G2456)</f>
        <v>0.88295269168026103</v>
      </c>
      <c r="J2456" s="16">
        <f>COUNTIF(H$5:H2456,"Y")/COUNTA(H$5:H2456)</f>
        <v>4.8531810766721042E-2</v>
      </c>
      <c r="K2456" s="16">
        <f>AVERAGE(F$5:F2456)</f>
        <v>2.2176590538336032</v>
      </c>
      <c r="L2456" s="16">
        <f>SUM(F$5:F2456)/SUM(E$5:E2456)</f>
        <v>0.76221247249127266</v>
      </c>
    </row>
    <row r="2457" spans="1:12" x14ac:dyDescent="0.25">
      <c r="A2457" s="29">
        <v>46031</v>
      </c>
      <c r="B2457" s="16" t="s">
        <v>2503</v>
      </c>
      <c r="C2457" s="34">
        <v>1</v>
      </c>
      <c r="D2457" s="16" t="s">
        <v>47</v>
      </c>
      <c r="E2457" s="35">
        <v>4.5</v>
      </c>
      <c r="F2457" s="35">
        <v>4</v>
      </c>
      <c r="G2457" s="16" t="s">
        <v>44</v>
      </c>
      <c r="H2457" s="16" t="s">
        <v>44</v>
      </c>
      <c r="I2457" s="16">
        <f>COUNTIF(G$5:G2457,"Y")/COUNTA(G$5:G2457)</f>
        <v>0.88300040766408483</v>
      </c>
      <c r="J2457" s="16">
        <f>COUNTIF(H$5:H2457,"Y")/COUNTA(H$5:H2457)</f>
        <v>4.8919690175295558E-2</v>
      </c>
      <c r="K2457" s="16">
        <f>AVERAGE(F$5:F2457)</f>
        <v>2.2183856502242132</v>
      </c>
      <c r="L2457" s="16">
        <f>SUM(F$5:F2457)/SUM(E$5:E2457)</f>
        <v>0.76229232622642928</v>
      </c>
    </row>
    <row r="2458" spans="1:12" x14ac:dyDescent="0.25">
      <c r="A2458" s="29">
        <v>46027</v>
      </c>
      <c r="B2458" s="16" t="s">
        <v>2504</v>
      </c>
      <c r="C2458" s="34">
        <v>1</v>
      </c>
      <c r="D2458" s="16" t="s">
        <v>43</v>
      </c>
      <c r="E2458" s="35">
        <v>5</v>
      </c>
      <c r="F2458" s="35">
        <v>3.8</v>
      </c>
      <c r="G2458" s="16" t="s">
        <v>44</v>
      </c>
      <c r="H2458" s="16" t="s">
        <v>45</v>
      </c>
      <c r="I2458" s="16">
        <f>COUNTIF(G$5:G2458,"Y")/COUNTA(G$5:G2458)</f>
        <v>0.88304808475957619</v>
      </c>
      <c r="J2458" s="16">
        <f>COUNTIF(H$5:H2458,"Y")/COUNTA(H$5:H2458)</f>
        <v>4.8899755501222497E-2</v>
      </c>
      <c r="K2458" s="16">
        <f>AVERAGE(F$5:F2458)</f>
        <v>2.2190301548492237</v>
      </c>
      <c r="L2458" s="16">
        <f>SUM(F$5:F2458)/SUM(E$5:E2458)</f>
        <v>0.76229072176493484</v>
      </c>
    </row>
    <row r="2459" spans="1:12" x14ac:dyDescent="0.25">
      <c r="A2459" s="29">
        <v>46028</v>
      </c>
      <c r="B2459" s="16" t="s">
        <v>2505</v>
      </c>
      <c r="C2459" s="34">
        <v>1</v>
      </c>
      <c r="D2459" s="16" t="s">
        <v>52</v>
      </c>
      <c r="E2459" s="35">
        <v>2.1</v>
      </c>
      <c r="F2459" s="35">
        <v>1.6</v>
      </c>
      <c r="G2459" s="16" t="s">
        <v>44</v>
      </c>
      <c r="H2459" s="16" t="s">
        <v>45</v>
      </c>
      <c r="I2459" s="16">
        <f>COUNTIF(G$5:G2459,"Y")/COUNTA(G$5:G2459)</f>
        <v>0.88309572301425665</v>
      </c>
      <c r="J2459" s="16">
        <f>COUNTIF(H$5:H2459,"Y")/COUNTA(H$5:H2459)</f>
        <v>4.8879837067209775E-2</v>
      </c>
      <c r="K2459" s="16">
        <f>AVERAGE(F$5:F2459)</f>
        <v>2.218778004073318</v>
      </c>
      <c r="L2459" s="16">
        <f>SUM(F$5:F2459)/SUM(E$5:E2459)</f>
        <v>0.76229060833787987</v>
      </c>
    </row>
    <row r="2460" spans="1:12" x14ac:dyDescent="0.25">
      <c r="A2460" s="29">
        <v>46029</v>
      </c>
      <c r="B2460" s="16" t="s">
        <v>2506</v>
      </c>
      <c r="C2460" s="34">
        <v>1</v>
      </c>
      <c r="D2460" s="16" t="s">
        <v>50</v>
      </c>
      <c r="E2460" s="35">
        <v>4.7</v>
      </c>
      <c r="F2460" s="35">
        <v>3.3</v>
      </c>
      <c r="G2460" s="16" t="s">
        <v>44</v>
      </c>
      <c r="H2460" s="16" t="s">
        <v>45</v>
      </c>
      <c r="I2460" s="16">
        <f>COUNTIF(G$5:G2460,"Y")/COUNTA(G$5:G2460)</f>
        <v>0.88314332247557004</v>
      </c>
      <c r="J2460" s="16">
        <f>COUNTIF(H$5:H2460,"Y")/COUNTA(H$5:H2460)</f>
        <v>4.8859934853420196E-2</v>
      </c>
      <c r="K2460" s="16">
        <f>AVERAGE(F$5:F2460)</f>
        <v>2.2192182410423436</v>
      </c>
      <c r="L2460" s="16">
        <f>SUM(F$5:F2460)/SUM(E$5:E2460)</f>
        <v>0.76225106287759969</v>
      </c>
    </row>
    <row r="2461" spans="1:12" x14ac:dyDescent="0.25">
      <c r="A2461" s="29">
        <v>46030</v>
      </c>
      <c r="B2461" s="16" t="s">
        <v>2507</v>
      </c>
      <c r="C2461" s="34">
        <v>1</v>
      </c>
      <c r="D2461" s="16" t="s">
        <v>60</v>
      </c>
      <c r="E2461" s="35">
        <v>4.7</v>
      </c>
      <c r="F2461" s="35">
        <v>3.6</v>
      </c>
      <c r="G2461" s="16" t="s">
        <v>44</v>
      </c>
      <c r="H2461" s="16" t="s">
        <v>45</v>
      </c>
      <c r="I2461" s="16">
        <f>COUNTIF(G$5:G2461,"Y")/COUNTA(G$5:G2461)</f>
        <v>0.88319088319088324</v>
      </c>
      <c r="J2461" s="16">
        <f>COUNTIF(H$5:H2461,"Y")/COUNTA(H$5:H2461)</f>
        <v>4.884004884004884E-2</v>
      </c>
      <c r="K2461" s="16">
        <f>AVERAGE(F$5:F2461)</f>
        <v>2.2197802197802181</v>
      </c>
      <c r="L2461" s="16">
        <f>SUM(F$5:F2461)/SUM(E$5:E2461)</f>
        <v>0.76225349750527449</v>
      </c>
    </row>
    <row r="2462" spans="1:12" x14ac:dyDescent="0.25">
      <c r="A2462" s="29">
        <v>46031</v>
      </c>
      <c r="B2462" s="16" t="s">
        <v>2508</v>
      </c>
      <c r="C2462" s="34">
        <v>1</v>
      </c>
      <c r="D2462" s="16" t="s">
        <v>64</v>
      </c>
      <c r="E2462" s="35">
        <v>2</v>
      </c>
      <c r="F2462" s="35">
        <v>1.8</v>
      </c>
      <c r="G2462" s="16" t="s">
        <v>44</v>
      </c>
      <c r="H2462" s="16" t="s">
        <v>45</v>
      </c>
      <c r="I2462" s="16">
        <f>COUNTIF(G$5:G2462,"Y")/COUNTA(G$5:G2462)</f>
        <v>0.88323840520748575</v>
      </c>
      <c r="J2462" s="16">
        <f>COUNTIF(H$5:H2462,"Y")/COUNTA(H$5:H2462)</f>
        <v>4.8820179007323029E-2</v>
      </c>
      <c r="K2462" s="16">
        <f>AVERAGE(F$5:F2462)</f>
        <v>2.2196094385679399</v>
      </c>
      <c r="L2462" s="16">
        <f>SUM(F$5:F2462)/SUM(E$5:E2462)</f>
        <v>0.76229198977239232</v>
      </c>
    </row>
    <row r="2463" spans="1:12" x14ac:dyDescent="0.25">
      <c r="A2463" s="29">
        <v>46027</v>
      </c>
      <c r="B2463" s="16" t="s">
        <v>2509</v>
      </c>
      <c r="C2463" s="34">
        <v>1</v>
      </c>
      <c r="D2463" s="16" t="s">
        <v>52</v>
      </c>
      <c r="E2463" s="35">
        <v>2.2999999999999998</v>
      </c>
      <c r="F2463" s="35">
        <v>1.6</v>
      </c>
      <c r="G2463" s="16" t="s">
        <v>44</v>
      </c>
      <c r="H2463" s="16" t="s">
        <v>45</v>
      </c>
      <c r="I2463" s="16">
        <f>COUNTIF(G$5:G2463,"Y")/COUNTA(G$5:G2463)</f>
        <v>0.88328588857259049</v>
      </c>
      <c r="J2463" s="16">
        <f>COUNTIF(H$5:H2463,"Y")/COUNTA(H$5:H2463)</f>
        <v>4.8800325335502236E-2</v>
      </c>
      <c r="K2463" s="16">
        <f>AVERAGE(F$5:F2463)</f>
        <v>2.2193574623830812</v>
      </c>
      <c r="L2463" s="16">
        <f>SUM(F$5:F2463)/SUM(E$5:E2463)</f>
        <v>0.7622705813336299</v>
      </c>
    </row>
    <row r="2464" spans="1:12" x14ac:dyDescent="0.25">
      <c r="A2464" s="29">
        <v>46028</v>
      </c>
      <c r="B2464" s="16" t="s">
        <v>2510</v>
      </c>
      <c r="C2464" s="34">
        <v>1</v>
      </c>
      <c r="D2464" s="16" t="s">
        <v>47</v>
      </c>
      <c r="E2464" s="35">
        <v>3.2</v>
      </c>
      <c r="F2464" s="35">
        <v>2.7</v>
      </c>
      <c r="G2464" s="16" t="s">
        <v>44</v>
      </c>
      <c r="H2464" s="16" t="s">
        <v>45</v>
      </c>
      <c r="I2464" s="16">
        <f>COUNTIF(G$5:G2464,"Y")/COUNTA(G$5:G2464)</f>
        <v>0.8833333333333333</v>
      </c>
      <c r="J2464" s="16">
        <f>COUNTIF(H$5:H2464,"Y")/COUNTA(H$5:H2464)</f>
        <v>4.878048780487805E-2</v>
      </c>
      <c r="K2464" s="16">
        <f>AVERAGE(F$5:F2464)</f>
        <v>2.2195528455284541</v>
      </c>
      <c r="L2464" s="16">
        <f>SUM(F$5:F2464)/SUM(E$5:E2464)</f>
        <v>0.76230698349761117</v>
      </c>
    </row>
    <row r="2465" spans="1:12" x14ac:dyDescent="0.25">
      <c r="A2465" s="29">
        <v>46029</v>
      </c>
      <c r="B2465" s="16" t="s">
        <v>2511</v>
      </c>
      <c r="C2465" s="34">
        <v>1</v>
      </c>
      <c r="D2465" s="16" t="s">
        <v>56</v>
      </c>
      <c r="E2465" s="35">
        <v>1.6</v>
      </c>
      <c r="F2465" s="35">
        <v>1.5</v>
      </c>
      <c r="G2465" s="16" t="s">
        <v>44</v>
      </c>
      <c r="H2465" s="16" t="s">
        <v>45</v>
      </c>
      <c r="I2465" s="16">
        <f>COUNTIF(G$5:G2465,"Y")/COUNTA(G$5:G2465)</f>
        <v>0.88338073953677365</v>
      </c>
      <c r="J2465" s="16">
        <f>COUNTIF(H$5:H2465,"Y")/COUNTA(H$5:H2465)</f>
        <v>4.8760666395774074E-2</v>
      </c>
      <c r="K2465" s="16">
        <f>AVERAGE(F$5:F2465)</f>
        <v>2.2192604632263295</v>
      </c>
      <c r="L2465" s="16">
        <f>SUM(F$5:F2465)/SUM(E$5:E2465)</f>
        <v>0.76234610982384488</v>
      </c>
    </row>
    <row r="2466" spans="1:12" x14ac:dyDescent="0.25">
      <c r="A2466" s="29">
        <v>46030</v>
      </c>
      <c r="B2466" s="16" t="s">
        <v>2512</v>
      </c>
      <c r="C2466" s="34">
        <v>1</v>
      </c>
      <c r="D2466" s="16" t="s">
        <v>50</v>
      </c>
      <c r="E2466" s="35">
        <v>3.3</v>
      </c>
      <c r="F2466" s="35">
        <v>2.7</v>
      </c>
      <c r="G2466" s="16" t="s">
        <v>44</v>
      </c>
      <c r="H2466" s="16" t="s">
        <v>45</v>
      </c>
      <c r="I2466" s="16">
        <f>COUNTIF(G$5:G2466,"Y")/COUNTA(G$5:G2466)</f>
        <v>0.8834281072298944</v>
      </c>
      <c r="J2466" s="16">
        <f>COUNTIF(H$5:H2466,"Y")/COUNTA(H$5:H2466)</f>
        <v>4.8740861088545896E-2</v>
      </c>
      <c r="K2466" s="16">
        <f>AVERAGE(F$5:F2466)</f>
        <v>2.2194557270511766</v>
      </c>
      <c r="L2466" s="16">
        <f>SUM(F$5:F2466)/SUM(E$5:E2466)</f>
        <v>0.76237181723055303</v>
      </c>
    </row>
    <row r="2467" spans="1:12" x14ac:dyDescent="0.25">
      <c r="A2467" s="29">
        <v>46031</v>
      </c>
      <c r="B2467" s="16" t="s">
        <v>2513</v>
      </c>
      <c r="C2467" s="34">
        <v>1</v>
      </c>
      <c r="D2467" s="16" t="s">
        <v>47</v>
      </c>
      <c r="E2467" s="35">
        <v>4.5999999999999996</v>
      </c>
      <c r="F2467" s="35">
        <v>3.9</v>
      </c>
      <c r="G2467" s="16" t="s">
        <v>44</v>
      </c>
      <c r="H2467" s="16" t="s">
        <v>45</v>
      </c>
      <c r="I2467" s="16">
        <f>COUNTIF(G$5:G2467,"Y")/COUNTA(G$5:G2467)</f>
        <v>0.88347543645960214</v>
      </c>
      <c r="J2467" s="16">
        <f>COUNTIF(H$5:H2467,"Y")/COUNTA(H$5:H2467)</f>
        <v>4.8721071863580996E-2</v>
      </c>
      <c r="K2467" s="16">
        <f>AVERAGE(F$5:F2467)</f>
        <v>2.2201380430369451</v>
      </c>
      <c r="L2467" s="16">
        <f>SUM(F$5:F2467)/SUM(E$5:E2467)</f>
        <v>0.76242662539562867</v>
      </c>
    </row>
    <row r="2468" spans="1:12" x14ac:dyDescent="0.25">
      <c r="A2468" s="29">
        <v>46027</v>
      </c>
      <c r="B2468" s="16" t="s">
        <v>2514</v>
      </c>
      <c r="C2468" s="34">
        <v>1</v>
      </c>
      <c r="D2468" s="16" t="s">
        <v>64</v>
      </c>
      <c r="E2468" s="35">
        <v>3</v>
      </c>
      <c r="F2468" s="35">
        <v>2.6</v>
      </c>
      <c r="G2468" s="16" t="s">
        <v>44</v>
      </c>
      <c r="H2468" s="16" t="s">
        <v>45</v>
      </c>
      <c r="I2468" s="16">
        <f>COUNTIF(G$5:G2468,"Y")/COUNTA(G$5:G2468)</f>
        <v>0.88352272727272729</v>
      </c>
      <c r="J2468" s="16">
        <f>COUNTIF(H$5:H2468,"Y")/COUNTA(H$5:H2468)</f>
        <v>4.8701298701298704E-2</v>
      </c>
      <c r="K2468" s="16">
        <f>AVERAGE(F$5:F2468)</f>
        <v>2.2202922077922063</v>
      </c>
      <c r="L2468" s="16">
        <f>SUM(F$5:F2468)/SUM(E$5:E2468)</f>
        <v>0.76247020947443078</v>
      </c>
    </row>
    <row r="2469" spans="1:12" x14ac:dyDescent="0.25">
      <c r="A2469" s="29">
        <v>46028</v>
      </c>
      <c r="B2469" s="16" t="s">
        <v>2515</v>
      </c>
      <c r="C2469" s="34">
        <v>1</v>
      </c>
      <c r="D2469" s="16" t="s">
        <v>43</v>
      </c>
      <c r="E2469" s="35">
        <v>2.7</v>
      </c>
      <c r="F2469" s="35">
        <v>1.9</v>
      </c>
      <c r="G2469" s="16" t="s">
        <v>45</v>
      </c>
      <c r="H2469" s="16" t="s">
        <v>45</v>
      </c>
      <c r="I2469" s="16">
        <f>COUNTIF(G$5:G2469,"Y")/COUNTA(G$5:G2469)</f>
        <v>0.88316430020283976</v>
      </c>
      <c r="J2469" s="16">
        <f>COUNTIF(H$5:H2469,"Y")/COUNTA(H$5:H2469)</f>
        <v>4.8681541582150101E-2</v>
      </c>
      <c r="K2469" s="16">
        <f>AVERAGE(F$5:F2469)</f>
        <v>2.2201622718052723</v>
      </c>
      <c r="L2469" s="16">
        <f>SUM(F$5:F2469)/SUM(E$5:E2469)</f>
        <v>0.76244810387583783</v>
      </c>
    </row>
    <row r="2470" spans="1:12" x14ac:dyDescent="0.25">
      <c r="A2470" s="29">
        <v>46029</v>
      </c>
      <c r="B2470" s="16" t="s">
        <v>2516</v>
      </c>
      <c r="C2470" s="34">
        <v>1</v>
      </c>
      <c r="D2470" s="16" t="s">
        <v>43</v>
      </c>
      <c r="E2470" s="35">
        <v>2.5</v>
      </c>
      <c r="F2470" s="35">
        <v>1.9</v>
      </c>
      <c r="G2470" s="16" t="s">
        <v>44</v>
      </c>
      <c r="H2470" s="16" t="s">
        <v>45</v>
      </c>
      <c r="I2470" s="16">
        <f>COUNTIF(G$5:G2470,"Y")/COUNTA(G$5:G2470)</f>
        <v>0.88321167883211682</v>
      </c>
      <c r="J2470" s="16">
        <f>COUNTIF(H$5:H2470,"Y")/COUNTA(H$5:H2470)</f>
        <v>4.8661800486618008E-2</v>
      </c>
      <c r="K2470" s="16">
        <f>AVERAGE(F$5:F2470)</f>
        <v>2.2200324412003227</v>
      </c>
      <c r="L2470" s="16">
        <f>SUM(F$5:F2470)/SUM(E$5:E2470)</f>
        <v>0.76244725150759551</v>
      </c>
    </row>
    <row r="2471" spans="1:12" x14ac:dyDescent="0.25">
      <c r="A2471" s="29">
        <v>46030</v>
      </c>
      <c r="B2471" s="16" t="s">
        <v>2517</v>
      </c>
      <c r="C2471" s="34">
        <v>1</v>
      </c>
      <c r="D2471" s="16" t="s">
        <v>56</v>
      </c>
      <c r="E2471" s="35">
        <v>3.3</v>
      </c>
      <c r="F2471" s="35">
        <v>2.5</v>
      </c>
      <c r="G2471" s="16" t="s">
        <v>45</v>
      </c>
      <c r="H2471" s="16" t="s">
        <v>45</v>
      </c>
      <c r="I2471" s="16">
        <f>COUNTIF(G$5:G2471,"Y")/COUNTA(G$5:G2471)</f>
        <v>0.88285366842318602</v>
      </c>
      <c r="J2471" s="16">
        <f>COUNTIF(H$5:H2471,"Y")/COUNTA(H$5:H2471)</f>
        <v>4.8642075395216859E-2</v>
      </c>
      <c r="K2471" s="16">
        <f>AVERAGE(F$5:F2471)</f>
        <v>2.2201459262261838</v>
      </c>
      <c r="L2471" s="16">
        <f>SUM(F$5:F2471)/SUM(E$5:E2471)</f>
        <v>0.76244501364218331</v>
      </c>
    </row>
    <row r="2472" spans="1:12" x14ac:dyDescent="0.25">
      <c r="A2472" s="29">
        <v>46031</v>
      </c>
      <c r="B2472" s="16" t="s">
        <v>2518</v>
      </c>
      <c r="C2472" s="34">
        <v>1</v>
      </c>
      <c r="D2472" s="16" t="s">
        <v>64</v>
      </c>
      <c r="E2472" s="35">
        <v>1.7</v>
      </c>
      <c r="F2472" s="35">
        <v>1.5</v>
      </c>
      <c r="G2472" s="16" t="s">
        <v>45</v>
      </c>
      <c r="H2472" s="16" t="s">
        <v>45</v>
      </c>
      <c r="I2472" s="16">
        <f>COUNTIF(G$5:G2472,"Y")/COUNTA(G$5:G2472)</f>
        <v>0.88249594813614263</v>
      </c>
      <c r="J2472" s="16">
        <f>COUNTIF(H$5:H2472,"Y")/COUNTA(H$5:H2472)</f>
        <v>4.8622366288492709E-2</v>
      </c>
      <c r="K2472" s="16">
        <f>AVERAGE(F$5:F2472)</f>
        <v>2.219854132901133</v>
      </c>
      <c r="L2472" s="16">
        <f>SUM(F$5:F2472)/SUM(E$5:E2472)</f>
        <v>0.76247338315727775</v>
      </c>
    </row>
    <row r="2473" spans="1:12" x14ac:dyDescent="0.25">
      <c r="A2473" s="29">
        <v>46027</v>
      </c>
      <c r="B2473" s="16" t="s">
        <v>2519</v>
      </c>
      <c r="C2473" s="34">
        <v>1</v>
      </c>
      <c r="D2473" s="16" t="s">
        <v>60</v>
      </c>
      <c r="E2473" s="35">
        <v>1.4</v>
      </c>
      <c r="F2473" s="35">
        <v>1.2</v>
      </c>
      <c r="G2473" s="16" t="s">
        <v>45</v>
      </c>
      <c r="H2473" s="16" t="s">
        <v>45</v>
      </c>
      <c r="I2473" s="16">
        <f>COUNTIF(G$5:G2473,"Y")/COUNTA(G$5:G2473)</f>
        <v>0.88213851761846906</v>
      </c>
      <c r="J2473" s="16">
        <f>COUNTIF(H$5:H2473,"Y")/COUNTA(H$5:H2473)</f>
        <v>4.8602673147023087E-2</v>
      </c>
      <c r="K2473" s="16">
        <f>AVERAGE(F$5:F2473)</f>
        <v>2.2194410692588074</v>
      </c>
      <c r="L2473" s="16">
        <f>SUM(F$5:F2473)/SUM(E$5:E2473)</f>
        <v>0.76249182517706149</v>
      </c>
    </row>
    <row r="2474" spans="1:12" x14ac:dyDescent="0.25">
      <c r="A2474" s="29">
        <v>46028</v>
      </c>
      <c r="B2474" s="16" t="s">
        <v>2520</v>
      </c>
      <c r="C2474" s="34">
        <v>1</v>
      </c>
      <c r="D2474" s="16" t="s">
        <v>60</v>
      </c>
      <c r="E2474" s="35">
        <v>4</v>
      </c>
      <c r="F2474" s="35">
        <v>3.4</v>
      </c>
      <c r="G2474" s="16" t="s">
        <v>44</v>
      </c>
      <c r="H2474" s="16" t="s">
        <v>45</v>
      </c>
      <c r="I2474" s="16">
        <f>COUNTIF(G$5:G2474,"Y")/COUNTA(G$5:G2474)</f>
        <v>0.88218623481781377</v>
      </c>
      <c r="J2474" s="16">
        <f>COUNTIF(H$5:H2474,"Y")/COUNTA(H$5:H2474)</f>
        <v>4.8582995951417005E-2</v>
      </c>
      <c r="K2474" s="16">
        <f>AVERAGE(F$5:F2474)</f>
        <v>2.2199190283400791</v>
      </c>
      <c r="L2474" s="16">
        <f>SUM(F$5:F2474)/SUM(E$5:E2474)</f>
        <v>0.76254050370617432</v>
      </c>
    </row>
    <row r="2475" spans="1:12" x14ac:dyDescent="0.25">
      <c r="A2475" s="29">
        <v>46029</v>
      </c>
      <c r="B2475" s="16" t="s">
        <v>2521</v>
      </c>
      <c r="C2475" s="34">
        <v>1</v>
      </c>
      <c r="D2475" s="16" t="s">
        <v>56</v>
      </c>
      <c r="E2475" s="35">
        <v>3.6</v>
      </c>
      <c r="F2475" s="35">
        <v>2.7</v>
      </c>
      <c r="G2475" s="16" t="s">
        <v>44</v>
      </c>
      <c r="H2475" s="16" t="s">
        <v>45</v>
      </c>
      <c r="I2475" s="16">
        <f>COUNTIF(G$5:G2475,"Y")/COUNTA(G$5:G2475)</f>
        <v>0.88223391339538648</v>
      </c>
      <c r="J2475" s="16">
        <f>COUNTIF(H$5:H2475,"Y")/COUNTA(H$5:H2475)</f>
        <v>4.856333468231485E-2</v>
      </c>
      <c r="K2475" s="16">
        <f>AVERAGE(F$5:F2475)</f>
        <v>2.2201133144475902</v>
      </c>
      <c r="L2475" s="16">
        <f>SUM(F$5:F2475)/SUM(E$5:E2475)</f>
        <v>0.76253422848643893</v>
      </c>
    </row>
    <row r="2476" spans="1:12" x14ac:dyDescent="0.25">
      <c r="A2476" s="29">
        <v>46030</v>
      </c>
      <c r="B2476" s="16" t="s">
        <v>2522</v>
      </c>
      <c r="C2476" s="34">
        <v>1</v>
      </c>
      <c r="D2476" s="16" t="s">
        <v>56</v>
      </c>
      <c r="E2476" s="35">
        <v>1.4</v>
      </c>
      <c r="F2476" s="35">
        <v>1.1000000000000001</v>
      </c>
      <c r="G2476" s="16" t="s">
        <v>44</v>
      </c>
      <c r="H2476" s="16" t="s">
        <v>45</v>
      </c>
      <c r="I2476" s="16">
        <f>COUNTIF(G$5:G2476,"Y")/COUNTA(G$5:G2476)</f>
        <v>0.88228155339805825</v>
      </c>
      <c r="J2476" s="16">
        <f>COUNTIF(H$5:H2476,"Y")/COUNTA(H$5:H2476)</f>
        <v>4.8543689320388349E-2</v>
      </c>
      <c r="K2476" s="16">
        <f>AVERAGE(F$5:F2476)</f>
        <v>2.2196601941747556</v>
      </c>
      <c r="L2476" s="16">
        <f>SUM(F$5:F2476)/SUM(E$5:E2476)</f>
        <v>0.76253873841321729</v>
      </c>
    </row>
    <row r="2477" spans="1:12" x14ac:dyDescent="0.25">
      <c r="A2477" s="29">
        <v>46031</v>
      </c>
      <c r="B2477" s="16" t="s">
        <v>2523</v>
      </c>
      <c r="C2477" s="34">
        <v>1</v>
      </c>
      <c r="D2477" s="16" t="s">
        <v>50</v>
      </c>
      <c r="E2477" s="35">
        <v>0.6</v>
      </c>
      <c r="F2477" s="35">
        <v>0.5</v>
      </c>
      <c r="G2477" s="16" t="s">
        <v>44</v>
      </c>
      <c r="H2477" s="16" t="s">
        <v>45</v>
      </c>
      <c r="I2477" s="16">
        <f>COUNTIF(G$5:G2477,"Y")/COUNTA(G$5:G2477)</f>
        <v>0.88232915487262431</v>
      </c>
      <c r="J2477" s="16">
        <f>COUNTIF(H$5:H2477,"Y")/COUNTA(H$5:H2477)</f>
        <v>4.8524059846340478E-2</v>
      </c>
      <c r="K2477" s="16">
        <f>AVERAGE(F$5:F2477)</f>
        <v>2.2189648200566094</v>
      </c>
      <c r="L2477" s="16">
        <f>SUM(F$5:F2477)/SUM(E$5:E2477)</f>
        <v>0.76254464099606567</v>
      </c>
    </row>
    <row r="2478" spans="1:12" x14ac:dyDescent="0.25">
      <c r="A2478" s="29">
        <v>46027</v>
      </c>
      <c r="B2478" s="16" t="s">
        <v>2524</v>
      </c>
      <c r="C2478" s="34">
        <v>1</v>
      </c>
      <c r="D2478" s="16" t="s">
        <v>43</v>
      </c>
      <c r="E2478" s="35">
        <v>0.6</v>
      </c>
      <c r="F2478" s="35">
        <v>0.5</v>
      </c>
      <c r="G2478" s="16" t="s">
        <v>44</v>
      </c>
      <c r="H2478" s="16" t="s">
        <v>45</v>
      </c>
      <c r="I2478" s="16">
        <f>COUNTIF(G$5:G2478,"Y")/COUNTA(G$5:G2478)</f>
        <v>0.88237671786580441</v>
      </c>
      <c r="J2478" s="16">
        <f>COUNTIF(H$5:H2478,"Y")/COUNTA(H$5:H2478)</f>
        <v>4.8504446240905413E-2</v>
      </c>
      <c r="K2478" s="16">
        <f>AVERAGE(F$5:F2478)</f>
        <v>2.2182700080840725</v>
      </c>
      <c r="L2478" s="16">
        <f>SUM(F$5:F2478)/SUM(E$5:E2478)</f>
        <v>0.76255054259472654</v>
      </c>
    </row>
    <row r="2479" spans="1:12" x14ac:dyDescent="0.25">
      <c r="A2479" s="29">
        <v>46028</v>
      </c>
      <c r="B2479" s="16" t="s">
        <v>2525</v>
      </c>
      <c r="C2479" s="34">
        <v>1</v>
      </c>
      <c r="D2479" s="16" t="s">
        <v>43</v>
      </c>
      <c r="E2479" s="35">
        <v>0.6</v>
      </c>
      <c r="F2479" s="35">
        <v>0.5</v>
      </c>
      <c r="G2479" s="16" t="s">
        <v>44</v>
      </c>
      <c r="H2479" s="16" t="s">
        <v>45</v>
      </c>
      <c r="I2479" s="16">
        <f>COUNTIF(G$5:G2479,"Y")/COUNTA(G$5:G2479)</f>
        <v>0.88242424242424244</v>
      </c>
      <c r="J2479" s="16">
        <f>COUNTIF(H$5:H2479,"Y")/COUNTA(H$5:H2479)</f>
        <v>4.8484848484848485E-2</v>
      </c>
      <c r="K2479" s="16">
        <f>AVERAGE(F$5:F2479)</f>
        <v>2.2175757575757555</v>
      </c>
      <c r="L2479" s="16">
        <f>SUM(F$5:F2479)/SUM(E$5:E2479)</f>
        <v>0.76255644320944593</v>
      </c>
    </row>
    <row r="2480" spans="1:12" x14ac:dyDescent="0.25">
      <c r="A2480" s="29">
        <v>46029</v>
      </c>
      <c r="B2480" s="16" t="s">
        <v>2526</v>
      </c>
      <c r="C2480" s="34">
        <v>1</v>
      </c>
      <c r="D2480" s="16" t="s">
        <v>64</v>
      </c>
      <c r="E2480" s="35">
        <v>0.5</v>
      </c>
      <c r="F2480" s="35">
        <v>0.5</v>
      </c>
      <c r="G2480" s="16" t="s">
        <v>44</v>
      </c>
      <c r="H2480" s="16" t="s">
        <v>45</v>
      </c>
      <c r="I2480" s="16">
        <f>COUNTIF(G$5:G2480,"Y")/COUNTA(G$5:G2480)</f>
        <v>0.88247172859450729</v>
      </c>
      <c r="J2480" s="16">
        <f>COUNTIF(H$5:H2480,"Y")/COUNTA(H$5:H2480)</f>
        <v>4.8465266558966075E-2</v>
      </c>
      <c r="K2480" s="16">
        <f>AVERAGE(F$5:F2480)</f>
        <v>2.2168820678513712</v>
      </c>
      <c r="L2480" s="16">
        <f>SUM(F$5:F2480)/SUM(E$5:E2480)</f>
        <v>0.76257293692692241</v>
      </c>
    </row>
    <row r="2481" spans="1:13" x14ac:dyDescent="0.25">
      <c r="A2481" s="29">
        <v>46030</v>
      </c>
      <c r="B2481" s="16" t="s">
        <v>2527</v>
      </c>
      <c r="C2481" s="34">
        <v>1</v>
      </c>
      <c r="D2481" s="16" t="s">
        <v>50</v>
      </c>
      <c r="E2481" s="35">
        <v>0.5</v>
      </c>
      <c r="F2481" s="35">
        <v>0.5</v>
      </c>
      <c r="G2481" s="16" t="s">
        <v>44</v>
      </c>
      <c r="H2481" s="16" t="s">
        <v>45</v>
      </c>
      <c r="I2481" s="16">
        <f>COUNTIF(G$5:G2481,"Y")/COUNTA(G$5:G2481)</f>
        <v>0.88251917642309241</v>
      </c>
      <c r="J2481" s="16">
        <f>COUNTIF(H$5:H2481,"Y")/COUNTA(H$5:H2481)</f>
        <v>4.8445700444085589E-2</v>
      </c>
      <c r="K2481" s="16">
        <f>AVERAGE(F$5:F2481)</f>
        <v>2.2161889382317299</v>
      </c>
      <c r="L2481" s="16">
        <f>SUM(F$5:F2481)/SUM(E$5:E2481)</f>
        <v>0.76258942835312737</v>
      </c>
      <c r="M2481" s="16">
        <v>8</v>
      </c>
    </row>
    <row r="2482" spans="1:13" x14ac:dyDescent="0.25">
      <c r="A2482" s="29">
        <v>46034</v>
      </c>
      <c r="B2482" s="16" t="s">
        <v>2528</v>
      </c>
      <c r="C2482" s="34">
        <v>1</v>
      </c>
      <c r="D2482" s="16" t="s">
        <v>56</v>
      </c>
      <c r="E2482" s="35">
        <v>2.6</v>
      </c>
      <c r="F2482" s="35">
        <v>1.8</v>
      </c>
      <c r="G2482" s="16" t="s">
        <v>45</v>
      </c>
      <c r="H2482" s="16" t="s">
        <v>45</v>
      </c>
      <c r="I2482" s="16">
        <f>COUNTIF(G$5:G2482,"Y")/COUNTA(G$5:G2482)</f>
        <v>0.88216303470540758</v>
      </c>
      <c r="J2482" s="16">
        <f>COUNTIF(H$5:H2482,"Y")/COUNTA(H$5:H2482)</f>
        <v>4.8426150121065374E-2</v>
      </c>
      <c r="K2482" s="16">
        <f>AVERAGE(F$5:F2482)</f>
        <v>2.2160209846650507</v>
      </c>
      <c r="L2482" s="16">
        <f>SUM(F$5:F2482)/SUM(E$5:E2482)</f>
        <v>0.76256405271416683</v>
      </c>
    </row>
    <row r="2483" spans="1:13" x14ac:dyDescent="0.25">
      <c r="A2483" s="29">
        <v>46035</v>
      </c>
      <c r="B2483" s="16" t="s">
        <v>2529</v>
      </c>
      <c r="C2483" s="34">
        <v>1</v>
      </c>
      <c r="D2483" s="16" t="s">
        <v>50</v>
      </c>
      <c r="E2483" s="35">
        <v>3.2</v>
      </c>
      <c r="F2483" s="35">
        <v>2.4</v>
      </c>
      <c r="G2483" s="16" t="s">
        <v>45</v>
      </c>
      <c r="H2483" s="16" t="s">
        <v>45</v>
      </c>
      <c r="I2483" s="16">
        <f>COUNTIF(G$5:G2483,"Y")/COUNTA(G$5:G2483)</f>
        <v>0.881807180314643</v>
      </c>
      <c r="J2483" s="16">
        <f>COUNTIF(H$5:H2483,"Y")/COUNTA(H$5:H2483)</f>
        <v>4.8406615570794675E-2</v>
      </c>
      <c r="K2483" s="16">
        <f>AVERAGE(F$5:F2483)</f>
        <v>2.2160951996772873</v>
      </c>
      <c r="L2483" s="16">
        <f>SUM(F$5:F2483)/SUM(E$5:E2483)</f>
        <v>0.76255847202365068</v>
      </c>
    </row>
    <row r="2484" spans="1:13" x14ac:dyDescent="0.25">
      <c r="A2484" s="29">
        <v>46036</v>
      </c>
      <c r="B2484" s="16" t="s">
        <v>2530</v>
      </c>
      <c r="C2484" s="34">
        <v>1</v>
      </c>
      <c r="D2484" s="16" t="s">
        <v>47</v>
      </c>
      <c r="E2484" s="35">
        <v>4.0999999999999996</v>
      </c>
      <c r="F2484" s="35">
        <v>3.5</v>
      </c>
      <c r="G2484" s="16" t="s">
        <v>44</v>
      </c>
      <c r="H2484" s="16" t="s">
        <v>45</v>
      </c>
      <c r="I2484" s="16">
        <f>COUNTIF(G$5:G2484,"Y")/COUNTA(G$5:G2484)</f>
        <v>0.8818548387096774</v>
      </c>
      <c r="J2484" s="16">
        <f>COUNTIF(H$5:H2484,"Y")/COUNTA(H$5:H2484)</f>
        <v>4.8387096774193547E-2</v>
      </c>
      <c r="K2484" s="16">
        <f>AVERAGE(F$5:F2484)</f>
        <v>2.2166129032258044</v>
      </c>
      <c r="L2484" s="16">
        <f>SUM(F$5:F2484)/SUM(E$5:E2484)</f>
        <v>0.76261028799733455</v>
      </c>
    </row>
    <row r="2485" spans="1:13" x14ac:dyDescent="0.25">
      <c r="A2485" s="29">
        <v>46037</v>
      </c>
      <c r="B2485" s="16" t="s">
        <v>2531</v>
      </c>
      <c r="C2485" s="34">
        <v>1</v>
      </c>
      <c r="D2485" s="16" t="s">
        <v>50</v>
      </c>
      <c r="E2485" s="35">
        <v>1.8</v>
      </c>
      <c r="F2485" s="35">
        <v>1.2</v>
      </c>
      <c r="G2485" s="16" t="s">
        <v>44</v>
      </c>
      <c r="H2485" s="16" t="s">
        <v>45</v>
      </c>
      <c r="I2485" s="16">
        <f>COUNTIF(G$5:G2485,"Y")/COUNTA(G$5:G2485)</f>
        <v>0.88190245868601369</v>
      </c>
      <c r="J2485" s="16">
        <f>COUNTIF(H$5:H2485,"Y")/COUNTA(H$5:H2485)</f>
        <v>4.8367593712212817E-2</v>
      </c>
      <c r="K2485" s="16">
        <f>AVERAGE(F$5:F2485)</f>
        <v>2.2162031438935892</v>
      </c>
      <c r="L2485" s="16">
        <f>SUM(F$5:F2485)/SUM(E$5:E2485)</f>
        <v>0.76258633602396408</v>
      </c>
    </row>
    <row r="2486" spans="1:13" x14ac:dyDescent="0.25">
      <c r="A2486" s="29">
        <v>46038</v>
      </c>
      <c r="B2486" s="16" t="s">
        <v>2532</v>
      </c>
      <c r="C2486" s="34">
        <v>1</v>
      </c>
      <c r="D2486" s="16" t="s">
        <v>50</v>
      </c>
      <c r="E2486" s="35">
        <v>1.6</v>
      </c>
      <c r="F2486" s="35">
        <v>1.4</v>
      </c>
      <c r="G2486" s="16" t="s">
        <v>44</v>
      </c>
      <c r="H2486" s="16" t="s">
        <v>45</v>
      </c>
      <c r="I2486" s="16">
        <f>COUNTIF(G$5:G2486,"Y")/COUNTA(G$5:G2486)</f>
        <v>0.88195004029008861</v>
      </c>
      <c r="J2486" s="16">
        <f>COUNTIF(H$5:H2486,"Y")/COUNTA(H$5:H2486)</f>
        <v>4.8348106365834004E-2</v>
      </c>
      <c r="K2486" s="16">
        <f>AVERAGE(F$5:F2486)</f>
        <v>2.2158742949234469</v>
      </c>
      <c r="L2486" s="16">
        <f>SUM(F$5:F2486)/SUM(E$5:E2486)</f>
        <v>0.76261127596438971</v>
      </c>
    </row>
    <row r="2487" spans="1:13" x14ac:dyDescent="0.25">
      <c r="A2487" s="29">
        <v>46034</v>
      </c>
      <c r="B2487" s="16" t="s">
        <v>2533</v>
      </c>
      <c r="C2487" s="34">
        <v>1</v>
      </c>
      <c r="D2487" s="16" t="s">
        <v>60</v>
      </c>
      <c r="E2487" s="35">
        <v>1.8</v>
      </c>
      <c r="F2487" s="35">
        <v>1.6</v>
      </c>
      <c r="G2487" s="16" t="s">
        <v>44</v>
      </c>
      <c r="H2487" s="16" t="s">
        <v>45</v>
      </c>
      <c r="I2487" s="16">
        <f>COUNTIF(G$5:G2487,"Y")/COUNTA(G$5:G2487)</f>
        <v>0.88199758356826419</v>
      </c>
      <c r="J2487" s="16">
        <f>COUNTIF(H$5:H2487,"Y")/COUNTA(H$5:H2487)</f>
        <v>4.8328634716069269E-2</v>
      </c>
      <c r="K2487" s="16">
        <f>AVERAGE(F$5:F2487)</f>
        <v>2.2156262585581938</v>
      </c>
      <c r="L2487" s="16">
        <f>SUM(F$5:F2487)/SUM(E$5:E2487)</f>
        <v>0.76264278584894996</v>
      </c>
    </row>
    <row r="2488" spans="1:13" x14ac:dyDescent="0.25">
      <c r="A2488" s="29">
        <v>46035</v>
      </c>
      <c r="B2488" s="16" t="s">
        <v>2534</v>
      </c>
      <c r="C2488" s="34">
        <v>1</v>
      </c>
      <c r="D2488" s="16" t="s">
        <v>64</v>
      </c>
      <c r="E2488" s="35">
        <v>4.8</v>
      </c>
      <c r="F2488" s="35">
        <v>3.5</v>
      </c>
      <c r="G2488" s="16" t="s">
        <v>44</v>
      </c>
      <c r="H2488" s="16" t="s">
        <v>45</v>
      </c>
      <c r="I2488" s="16">
        <f>COUNTIF(G$5:G2488,"Y")/COUNTA(G$5:G2488)</f>
        <v>0.88204508856682773</v>
      </c>
      <c r="J2488" s="16">
        <f>COUNTIF(H$5:H2488,"Y")/COUNTA(H$5:H2488)</f>
        <v>4.8309178743961352E-2</v>
      </c>
      <c r="K2488" s="16">
        <f>AVERAGE(F$5:F2488)</f>
        <v>2.2161433172302716</v>
      </c>
      <c r="L2488" s="16">
        <f>SUM(F$5:F2488)/SUM(E$5:E2488)</f>
        <v>0.76262052532416957</v>
      </c>
    </row>
    <row r="2489" spans="1:13" x14ac:dyDescent="0.25">
      <c r="A2489" s="29">
        <v>46036</v>
      </c>
      <c r="B2489" s="16" t="s">
        <v>2535</v>
      </c>
      <c r="C2489" s="34">
        <v>1</v>
      </c>
      <c r="D2489" s="16" t="s">
        <v>56</v>
      </c>
      <c r="E2489" s="35">
        <v>4.7</v>
      </c>
      <c r="F2489" s="35">
        <v>3.7</v>
      </c>
      <c r="G2489" s="16" t="s">
        <v>44</v>
      </c>
      <c r="H2489" s="16" t="s">
        <v>45</v>
      </c>
      <c r="I2489" s="16">
        <f>COUNTIF(G$5:G2489,"Y")/COUNTA(G$5:G2489)</f>
        <v>0.88209255533199193</v>
      </c>
      <c r="J2489" s="16">
        <f>COUNTIF(H$5:H2489,"Y")/COUNTA(H$5:H2489)</f>
        <v>4.8289738430583498E-2</v>
      </c>
      <c r="K2489" s="16">
        <f>AVERAGE(F$5:F2489)</f>
        <v>2.2167404426559334</v>
      </c>
      <c r="L2489" s="16">
        <f>SUM(F$5:F2489)/SUM(E$5:E2489)</f>
        <v>0.76263654109731083</v>
      </c>
    </row>
    <row r="2490" spans="1:13" x14ac:dyDescent="0.25">
      <c r="A2490" s="29">
        <v>46037</v>
      </c>
      <c r="B2490" s="16" t="s">
        <v>2536</v>
      </c>
      <c r="C2490" s="34">
        <v>1</v>
      </c>
      <c r="D2490" s="16" t="s">
        <v>50</v>
      </c>
      <c r="E2490" s="35">
        <v>4.8</v>
      </c>
      <c r="F2490" s="35">
        <v>3.2</v>
      </c>
      <c r="G2490" s="16" t="s">
        <v>44</v>
      </c>
      <c r="H2490" s="16" t="s">
        <v>45</v>
      </c>
      <c r="I2490" s="16">
        <f>COUNTIF(G$5:G2490,"Y")/COUNTA(G$5:G2490)</f>
        <v>0.88213998390989545</v>
      </c>
      <c r="J2490" s="16">
        <f>COUNTIF(H$5:H2490,"Y")/COUNTA(H$5:H2490)</f>
        <v>4.8270313757039419E-2</v>
      </c>
      <c r="K2490" s="16">
        <f>AVERAGE(F$5:F2490)</f>
        <v>2.2171359613837467</v>
      </c>
      <c r="L2490" s="16">
        <f>SUM(F$5:F2490)/SUM(E$5:E2490)</f>
        <v>0.7625728081462092</v>
      </c>
    </row>
    <row r="2491" spans="1:13" x14ac:dyDescent="0.25">
      <c r="A2491" s="29">
        <v>46038</v>
      </c>
      <c r="B2491" s="16" t="s">
        <v>2537</v>
      </c>
      <c r="C2491" s="34">
        <v>1</v>
      </c>
      <c r="D2491" s="16" t="s">
        <v>56</v>
      </c>
      <c r="E2491" s="35">
        <v>4.4000000000000004</v>
      </c>
      <c r="F2491" s="35">
        <v>3.3</v>
      </c>
      <c r="G2491" s="16" t="s">
        <v>44</v>
      </c>
      <c r="H2491" s="16" t="s">
        <v>45</v>
      </c>
      <c r="I2491" s="16">
        <f>COUNTIF(G$5:G2491,"Y")/COUNTA(G$5:G2491)</f>
        <v>0.88218737434660233</v>
      </c>
      <c r="J2491" s="16">
        <f>COUNTIF(H$5:H2491,"Y")/COUNTA(H$5:H2491)</f>
        <v>4.8250904704463207E-2</v>
      </c>
      <c r="K2491" s="16">
        <f>AVERAGE(F$5:F2491)</f>
        <v>2.2175713711298735</v>
      </c>
      <c r="L2491" s="16">
        <f>SUM(F$5:F2491)/SUM(E$5:E2491)</f>
        <v>0.76256515907802302</v>
      </c>
    </row>
    <row r="2492" spans="1:13" x14ac:dyDescent="0.25">
      <c r="A2492" s="29">
        <v>46034</v>
      </c>
      <c r="B2492" s="16" t="s">
        <v>2538</v>
      </c>
      <c r="C2492" s="34">
        <v>1</v>
      </c>
      <c r="D2492" s="16" t="s">
        <v>60</v>
      </c>
      <c r="E2492" s="35">
        <v>2.1</v>
      </c>
      <c r="F2492" s="35">
        <v>1.7</v>
      </c>
      <c r="G2492" s="16" t="s">
        <v>44</v>
      </c>
      <c r="H2492" s="16" t="s">
        <v>45</v>
      </c>
      <c r="I2492" s="16">
        <f>COUNTIF(G$5:G2492,"Y")/COUNTA(G$5:G2492)</f>
        <v>0.88223472668810288</v>
      </c>
      <c r="J2492" s="16">
        <f>COUNTIF(H$5:H2492,"Y")/COUNTA(H$5:H2492)</f>
        <v>4.8231511254019289E-2</v>
      </c>
      <c r="K2492" s="16">
        <f>AVERAGE(F$5:F2492)</f>
        <v>2.2173633440514449</v>
      </c>
      <c r="L2492" s="16">
        <f>SUM(F$5:F2492)/SUM(E$5:E2492)</f>
        <v>0.76257879022448094</v>
      </c>
    </row>
    <row r="2493" spans="1:13" x14ac:dyDescent="0.25">
      <c r="A2493" s="29">
        <v>46035</v>
      </c>
      <c r="B2493" s="16" t="s">
        <v>2539</v>
      </c>
      <c r="C2493" s="34">
        <v>1</v>
      </c>
      <c r="D2493" s="16" t="s">
        <v>43</v>
      </c>
      <c r="E2493" s="35">
        <v>4.8</v>
      </c>
      <c r="F2493" s="35">
        <v>3.6</v>
      </c>
      <c r="G2493" s="16" t="s">
        <v>44</v>
      </c>
      <c r="H2493" s="16" t="s">
        <v>45</v>
      </c>
      <c r="I2493" s="16">
        <f>COUNTIF(G$5:G2493,"Y")/COUNTA(G$5:G2493)</f>
        <v>0.88228204098031338</v>
      </c>
      <c r="J2493" s="16">
        <f>COUNTIF(H$5:H2493,"Y")/COUNTA(H$5:H2493)</f>
        <v>4.8212133386902369E-2</v>
      </c>
      <c r="K2493" s="16">
        <f>AVERAGE(F$5:F2493)</f>
        <v>2.2179188429087966</v>
      </c>
      <c r="L2493" s="16">
        <f>SUM(F$5:F2493)/SUM(E$5:E2493)</f>
        <v>0.76257044977345367</v>
      </c>
    </row>
    <row r="2494" spans="1:13" x14ac:dyDescent="0.25">
      <c r="A2494" s="29">
        <v>46036</v>
      </c>
      <c r="B2494" s="16" t="s">
        <v>2540</v>
      </c>
      <c r="C2494" s="34">
        <v>1</v>
      </c>
      <c r="D2494" s="16" t="s">
        <v>43</v>
      </c>
      <c r="E2494" s="35">
        <v>3.3</v>
      </c>
      <c r="F2494" s="35">
        <v>2.2000000000000002</v>
      </c>
      <c r="G2494" s="16" t="s">
        <v>44</v>
      </c>
      <c r="H2494" s="16" t="s">
        <v>45</v>
      </c>
      <c r="I2494" s="16">
        <f>COUNTIF(G$5:G2494,"Y")/COUNTA(G$5:G2494)</f>
        <v>0.88232931726907626</v>
      </c>
      <c r="J2494" s="16">
        <f>COUNTIF(H$5:H2494,"Y")/COUNTA(H$5:H2494)</f>
        <v>4.8192771084337352E-2</v>
      </c>
      <c r="K2494" s="16">
        <f>AVERAGE(F$5:F2494)</f>
        <v>2.2179116465863435</v>
      </c>
      <c r="L2494" s="16">
        <f>SUM(F$5:F2494)/SUM(E$5:E2494)</f>
        <v>0.76252675181221752</v>
      </c>
    </row>
    <row r="2495" spans="1:13" x14ac:dyDescent="0.25">
      <c r="A2495" s="29">
        <v>46037</v>
      </c>
      <c r="B2495" s="16" t="s">
        <v>2541</v>
      </c>
      <c r="C2495" s="34">
        <v>1</v>
      </c>
      <c r="D2495" s="16" t="s">
        <v>64</v>
      </c>
      <c r="E2495" s="35">
        <v>5.4</v>
      </c>
      <c r="F2495" s="35">
        <v>3.7</v>
      </c>
      <c r="G2495" s="16" t="s">
        <v>44</v>
      </c>
      <c r="H2495" s="16" t="s">
        <v>45</v>
      </c>
      <c r="I2495" s="16">
        <f>COUNTIF(G$5:G2495,"Y")/COUNTA(G$5:G2495)</f>
        <v>0.88237655560016059</v>
      </c>
      <c r="J2495" s="16">
        <f>COUNTIF(H$5:H2495,"Y")/COUNTA(H$5:H2495)</f>
        <v>4.8173424327579283E-2</v>
      </c>
      <c r="K2495" s="16">
        <f>AVERAGE(F$5:F2495)</f>
        <v>2.2185066238458431</v>
      </c>
      <c r="L2495" s="16">
        <f>SUM(F$5:F2495)/SUM(E$5:E2495)</f>
        <v>0.76246912898908448</v>
      </c>
    </row>
    <row r="2496" spans="1:13" x14ac:dyDescent="0.25">
      <c r="A2496" s="29">
        <v>46038</v>
      </c>
      <c r="B2496" s="16" t="s">
        <v>2542</v>
      </c>
      <c r="C2496" s="34">
        <v>1</v>
      </c>
      <c r="D2496" s="16" t="s">
        <v>47</v>
      </c>
      <c r="E2496" s="35">
        <v>3.5</v>
      </c>
      <c r="F2496" s="35">
        <v>2.5</v>
      </c>
      <c r="G2496" s="16" t="s">
        <v>44</v>
      </c>
      <c r="H2496" s="16" t="s">
        <v>45</v>
      </c>
      <c r="I2496" s="16">
        <f>COUNTIF(G$5:G2496,"Y")/COUNTA(G$5:G2496)</f>
        <v>0.8824237560192616</v>
      </c>
      <c r="J2496" s="16">
        <f>COUNTIF(H$5:H2496,"Y")/COUNTA(H$5:H2496)</f>
        <v>4.8154093097913325E-2</v>
      </c>
      <c r="K2496" s="16">
        <f>AVERAGE(F$5:F2496)</f>
        <v>2.2186195826645245</v>
      </c>
      <c r="L2496" s="16">
        <f>SUM(F$5:F2496)/SUM(E$5:E2496)</f>
        <v>0.76244587252116625</v>
      </c>
    </row>
    <row r="2497" spans="1:12" x14ac:dyDescent="0.25">
      <c r="A2497" s="29">
        <v>46034</v>
      </c>
      <c r="B2497" s="16" t="s">
        <v>2543</v>
      </c>
      <c r="C2497" s="34">
        <v>1</v>
      </c>
      <c r="D2497" s="16" t="s">
        <v>64</v>
      </c>
      <c r="E2497" s="35">
        <v>5.2</v>
      </c>
      <c r="F2497" s="35">
        <v>3.8</v>
      </c>
      <c r="G2497" s="16" t="s">
        <v>44</v>
      </c>
      <c r="H2497" s="16" t="s">
        <v>45</v>
      </c>
      <c r="I2497" s="16">
        <f>COUNTIF(G$5:G2497,"Y")/COUNTA(G$5:G2497)</f>
        <v>0.88247091857200155</v>
      </c>
      <c r="J2497" s="16">
        <f>COUNTIF(H$5:H2497,"Y")/COUNTA(H$5:H2497)</f>
        <v>4.8134777376654635E-2</v>
      </c>
      <c r="K2497" s="16">
        <f>AVERAGE(F$5:F2497)</f>
        <v>2.2192539109506599</v>
      </c>
      <c r="L2497" s="16">
        <f>SUM(F$5:F2497)/SUM(E$5:E2497)</f>
        <v>0.76242317338698362</v>
      </c>
    </row>
    <row r="2498" spans="1:12" x14ac:dyDescent="0.25">
      <c r="A2498" s="29">
        <v>46035</v>
      </c>
      <c r="B2498" s="16" t="s">
        <v>2544</v>
      </c>
      <c r="C2498" s="34">
        <v>1</v>
      </c>
      <c r="D2498" s="16" t="s">
        <v>47</v>
      </c>
      <c r="E2498" s="35">
        <v>2</v>
      </c>
      <c r="F2498" s="35">
        <v>1.5</v>
      </c>
      <c r="G2498" s="16" t="s">
        <v>44</v>
      </c>
      <c r="H2498" s="16" t="s">
        <v>45</v>
      </c>
      <c r="I2498" s="16">
        <f>COUNTIF(G$5:G2498,"Y")/COUNTA(G$5:G2498)</f>
        <v>0.88251804330392947</v>
      </c>
      <c r="J2498" s="16">
        <f>COUNTIF(H$5:H2498,"Y")/COUNTA(H$5:H2498)</f>
        <v>4.8115477145148355E-2</v>
      </c>
      <c r="K2498" s="16">
        <f>AVERAGE(F$5:F2498)</f>
        <v>2.2189655172413771</v>
      </c>
      <c r="L2498" s="16">
        <f>SUM(F$5:F2498)/SUM(E$5:E2498)</f>
        <v>0.76241975036508225</v>
      </c>
    </row>
    <row r="2499" spans="1:12" x14ac:dyDescent="0.25">
      <c r="A2499" s="29">
        <v>46036</v>
      </c>
      <c r="B2499" s="16" t="s">
        <v>2545</v>
      </c>
      <c r="C2499" s="34">
        <v>1</v>
      </c>
      <c r="D2499" s="16" t="s">
        <v>47</v>
      </c>
      <c r="E2499" s="35">
        <v>2</v>
      </c>
      <c r="F2499" s="35">
        <v>1.5</v>
      </c>
      <c r="G2499" s="16" t="s">
        <v>44</v>
      </c>
      <c r="H2499" s="16" t="s">
        <v>44</v>
      </c>
      <c r="I2499" s="16">
        <f>COUNTIF(G$5:G2499,"Y")/COUNTA(G$5:G2499)</f>
        <v>0.88256513026052108</v>
      </c>
      <c r="J2499" s="16">
        <f>COUNTIF(H$5:H2499,"Y")/COUNTA(H$5:H2499)</f>
        <v>4.8496993987975953E-2</v>
      </c>
      <c r="K2499" s="16">
        <f>AVERAGE(F$5:F2499)</f>
        <v>2.218677354709417</v>
      </c>
      <c r="L2499" s="16">
        <f>SUM(F$5:F2499)/SUM(E$5:E2499)</f>
        <v>0.76241632922898739</v>
      </c>
    </row>
    <row r="2500" spans="1:12" x14ac:dyDescent="0.25">
      <c r="A2500" s="29">
        <v>46037</v>
      </c>
      <c r="B2500" s="16" t="s">
        <v>2546</v>
      </c>
      <c r="C2500" s="34">
        <v>1</v>
      </c>
      <c r="D2500" s="16" t="s">
        <v>50</v>
      </c>
      <c r="E2500" s="35">
        <v>1.8</v>
      </c>
      <c r="F2500" s="35">
        <v>1.3</v>
      </c>
      <c r="G2500" s="16" t="s">
        <v>44</v>
      </c>
      <c r="H2500" s="16" t="s">
        <v>45</v>
      </c>
      <c r="I2500" s="16">
        <f>COUNTIF(G$5:G2500,"Y")/COUNTA(G$5:G2500)</f>
        <v>0.88261217948717952</v>
      </c>
      <c r="J2500" s="16">
        <f>COUNTIF(H$5:H2500,"Y")/COUNTA(H$5:H2500)</f>
        <v>4.8477564102564104E-2</v>
      </c>
      <c r="K2500" s="16">
        <f>AVERAGE(F$5:F2500)</f>
        <v>2.2183092948717928</v>
      </c>
      <c r="L2500" s="16">
        <f>SUM(F$5:F2500)/SUM(E$5:E2500)</f>
        <v>0.76240636704119658</v>
      </c>
    </row>
    <row r="2501" spans="1:12" x14ac:dyDescent="0.25">
      <c r="A2501" s="29">
        <v>46038</v>
      </c>
      <c r="B2501" s="16" t="s">
        <v>2547</v>
      </c>
      <c r="C2501" s="34">
        <v>1</v>
      </c>
      <c r="D2501" s="16" t="s">
        <v>60</v>
      </c>
      <c r="E2501" s="35">
        <v>1.8</v>
      </c>
      <c r="F2501" s="35">
        <v>1.2</v>
      </c>
      <c r="G2501" s="16" t="s">
        <v>44</v>
      </c>
      <c r="H2501" s="16" t="s">
        <v>45</v>
      </c>
      <c r="I2501" s="16">
        <f>COUNTIF(G$5:G2501,"Y")/COUNTA(G$5:G2501)</f>
        <v>0.88265919102923507</v>
      </c>
      <c r="J2501" s="16">
        <f>COUNTIF(H$5:H2501,"Y")/COUNTA(H$5:H2501)</f>
        <v>4.8458149779735685E-2</v>
      </c>
      <c r="K2501" s="16">
        <f>AVERAGE(F$5:F2501)</f>
        <v>2.2179014817781315</v>
      </c>
      <c r="L2501" s="16">
        <f>SUM(F$5:F2501)/SUM(E$5:E2501)</f>
        <v>0.76238264364967723</v>
      </c>
    </row>
    <row r="2502" spans="1:12" x14ac:dyDescent="0.25">
      <c r="A2502" s="29">
        <v>46034</v>
      </c>
      <c r="B2502" s="16" t="s">
        <v>2548</v>
      </c>
      <c r="C2502" s="34">
        <v>1</v>
      </c>
      <c r="D2502" s="16" t="s">
        <v>56</v>
      </c>
      <c r="E2502" s="35">
        <v>2.9</v>
      </c>
      <c r="F2502" s="35">
        <v>2</v>
      </c>
      <c r="G2502" s="16" t="s">
        <v>44</v>
      </c>
      <c r="H2502" s="16" t="s">
        <v>45</v>
      </c>
      <c r="I2502" s="16">
        <f>COUNTIF(G$5:G2502,"Y")/COUNTA(G$5:G2502)</f>
        <v>0.88270616493194554</v>
      </c>
      <c r="J2502" s="16">
        <f>COUNTIF(H$5:H2502,"Y")/COUNTA(H$5:H2502)</f>
        <v>4.8438751000800639E-2</v>
      </c>
      <c r="K2502" s="16">
        <f>AVERAGE(F$5:F2502)</f>
        <v>2.2178142514011188</v>
      </c>
      <c r="L2502" s="16">
        <f>SUM(F$5:F2502)/SUM(E$5:E2502)</f>
        <v>0.76235362111433524</v>
      </c>
    </row>
    <row r="2503" spans="1:12" x14ac:dyDescent="0.25">
      <c r="A2503" s="29">
        <v>46035</v>
      </c>
      <c r="B2503" s="16" t="s">
        <v>2549</v>
      </c>
      <c r="C2503" s="34">
        <v>1</v>
      </c>
      <c r="D2503" s="16" t="s">
        <v>43</v>
      </c>
      <c r="E2503" s="35">
        <v>2.9</v>
      </c>
      <c r="F2503" s="35">
        <v>2.2999999999999998</v>
      </c>
      <c r="G2503" s="16" t="s">
        <v>44</v>
      </c>
      <c r="H2503" s="16" t="s">
        <v>44</v>
      </c>
      <c r="I2503" s="16">
        <f>COUNTIF(G$5:G2503,"Y")/COUNTA(G$5:G2503)</f>
        <v>0.88275310124049622</v>
      </c>
      <c r="J2503" s="16">
        <f>COUNTIF(H$5:H2503,"Y")/COUNTA(H$5:H2503)</f>
        <v>4.8819527811124447E-2</v>
      </c>
      <c r="K2503" s="16">
        <f>AVERAGE(F$5:F2503)</f>
        <v>2.2178471388555403</v>
      </c>
      <c r="L2503" s="16">
        <f>SUM(F$5:F2503)/SUM(E$5:E2503)</f>
        <v>0.76236588720770093</v>
      </c>
    </row>
    <row r="2504" spans="1:12" x14ac:dyDescent="0.25">
      <c r="A2504" s="29">
        <v>46036</v>
      </c>
      <c r="B2504" s="16" t="s">
        <v>2550</v>
      </c>
      <c r="C2504" s="34">
        <v>1</v>
      </c>
      <c r="D2504" s="16" t="s">
        <v>64</v>
      </c>
      <c r="E2504" s="35">
        <v>4.5</v>
      </c>
      <c r="F2504" s="35">
        <v>3.8</v>
      </c>
      <c r="G2504" s="16" t="s">
        <v>44</v>
      </c>
      <c r="H2504" s="16" t="s">
        <v>45</v>
      </c>
      <c r="I2504" s="16">
        <f>COUNTIF(G$5:G2504,"Y")/COUNTA(G$5:G2504)</f>
        <v>0.88280000000000003</v>
      </c>
      <c r="J2504" s="16">
        <f>COUNTIF(H$5:H2504,"Y")/COUNTA(H$5:H2504)</f>
        <v>4.8800000000000003E-2</v>
      </c>
      <c r="K2504" s="16">
        <f>AVERAGE(F$5:F2504)</f>
        <v>2.2184799999999982</v>
      </c>
      <c r="L2504" s="16">
        <f>SUM(F$5:F2504)/SUM(E$5:E2504)</f>
        <v>0.76241666093889426</v>
      </c>
    </row>
    <row r="2505" spans="1:12" x14ac:dyDescent="0.25">
      <c r="A2505" s="29">
        <v>46037</v>
      </c>
      <c r="B2505" s="16" t="s">
        <v>2551</v>
      </c>
      <c r="C2505" s="34">
        <v>1</v>
      </c>
      <c r="D2505" s="16" t="s">
        <v>64</v>
      </c>
      <c r="E2505" s="35">
        <v>2.7</v>
      </c>
      <c r="F2505" s="35">
        <v>2</v>
      </c>
      <c r="G2505" s="16" t="s">
        <v>44</v>
      </c>
      <c r="H2505" s="16" t="s">
        <v>45</v>
      </c>
      <c r="I2505" s="16">
        <f>COUNTIF(G$5:G2505,"Y")/COUNTA(G$5:G2505)</f>
        <v>0.88284686125549783</v>
      </c>
      <c r="J2505" s="16">
        <f>COUNTIF(H$5:H2505,"Y")/COUNTA(H$5:H2505)</f>
        <v>4.878048780487805E-2</v>
      </c>
      <c r="K2505" s="16">
        <f>AVERAGE(F$5:F2505)</f>
        <v>2.2183926429428209</v>
      </c>
      <c r="L2505" s="16">
        <f>SUM(F$5:F2505)/SUM(E$5:E2505)</f>
        <v>0.76240861869949794</v>
      </c>
    </row>
    <row r="2506" spans="1:12" x14ac:dyDescent="0.25">
      <c r="A2506" s="29">
        <v>46038</v>
      </c>
      <c r="B2506" s="16" t="s">
        <v>2552</v>
      </c>
      <c r="C2506" s="34">
        <v>1</v>
      </c>
      <c r="D2506" s="16" t="s">
        <v>52</v>
      </c>
      <c r="E2506" s="35">
        <v>2.5</v>
      </c>
      <c r="F2506" s="35">
        <v>1.9</v>
      </c>
      <c r="G2506" s="16" t="s">
        <v>44</v>
      </c>
      <c r="H2506" s="16" t="s">
        <v>45</v>
      </c>
      <c r="I2506" s="16">
        <f>COUNTIF(G$5:G2506,"Y")/COUNTA(G$5:G2506)</f>
        <v>0.88289368505195842</v>
      </c>
      <c r="J2506" s="16">
        <f>COUNTIF(H$5:H2506,"Y")/COUNTA(H$5:H2506)</f>
        <v>4.8760991207034372E-2</v>
      </c>
      <c r="K2506" s="16">
        <f>AVERAGE(F$5:F2506)</f>
        <v>2.2182653876898462</v>
      </c>
      <c r="L2506" s="16">
        <f>SUM(F$5:F2506)/SUM(E$5:E2506)</f>
        <v>0.76240779152986882</v>
      </c>
    </row>
    <row r="2507" spans="1:12" x14ac:dyDescent="0.25">
      <c r="A2507" s="29">
        <v>46034</v>
      </c>
      <c r="B2507" s="16" t="s">
        <v>2553</v>
      </c>
      <c r="C2507" s="34">
        <v>1</v>
      </c>
      <c r="D2507" s="16" t="s">
        <v>50</v>
      </c>
      <c r="E2507" s="35">
        <v>3.8</v>
      </c>
      <c r="F2507" s="35">
        <v>3</v>
      </c>
      <c r="G2507" s="16" t="s">
        <v>44</v>
      </c>
      <c r="H2507" s="16" t="s">
        <v>45</v>
      </c>
      <c r="I2507" s="16">
        <f>COUNTIF(G$5:G2507,"Y")/COUNTA(G$5:G2507)</f>
        <v>0.8829404714342789</v>
      </c>
      <c r="J2507" s="16">
        <f>COUNTIF(H$5:H2507,"Y")/COUNTA(H$5:H2507)</f>
        <v>4.8741510187774673E-2</v>
      </c>
      <c r="K2507" s="16">
        <f>AVERAGE(F$5:F2507)</f>
        <v>2.2185777067518955</v>
      </c>
      <c r="L2507" s="16">
        <f>SUM(F$5:F2507)/SUM(E$5:E2507)</f>
        <v>0.76242191254204517</v>
      </c>
    </row>
    <row r="2508" spans="1:12" x14ac:dyDescent="0.25">
      <c r="A2508" s="29">
        <v>46035</v>
      </c>
      <c r="B2508" s="16" t="s">
        <v>2554</v>
      </c>
      <c r="C2508" s="34">
        <v>1</v>
      </c>
      <c r="D2508" s="16" t="s">
        <v>52</v>
      </c>
      <c r="E2508" s="35">
        <v>4</v>
      </c>
      <c r="F2508" s="35">
        <v>3</v>
      </c>
      <c r="G2508" s="16" t="s">
        <v>44</v>
      </c>
      <c r="H2508" s="16" t="s">
        <v>45</v>
      </c>
      <c r="I2508" s="16">
        <f>COUNTIF(G$5:G2508,"Y")/COUNTA(G$5:G2508)</f>
        <v>0.88298722044728439</v>
      </c>
      <c r="J2508" s="16">
        <f>COUNTIF(H$5:H2508,"Y")/COUNTA(H$5:H2508)</f>
        <v>4.8722044728434506E-2</v>
      </c>
      <c r="K2508" s="16">
        <f>AVERAGE(F$5:F2508)</f>
        <v>2.2188897763578255</v>
      </c>
      <c r="L2508" s="16">
        <f>SUM(F$5:F2508)/SUM(E$5:E2508)</f>
        <v>0.76241509433962074</v>
      </c>
    </row>
    <row r="2509" spans="1:12" x14ac:dyDescent="0.25">
      <c r="A2509" s="29">
        <v>46036</v>
      </c>
      <c r="B2509" s="16" t="s">
        <v>2555</v>
      </c>
      <c r="C2509" s="34">
        <v>1</v>
      </c>
      <c r="D2509" s="16" t="s">
        <v>56</v>
      </c>
      <c r="E2509" s="35">
        <v>5.2</v>
      </c>
      <c r="F2509" s="35">
        <v>3.8</v>
      </c>
      <c r="G2509" s="16" t="s">
        <v>45</v>
      </c>
      <c r="H2509" s="16" t="s">
        <v>45</v>
      </c>
      <c r="I2509" s="16">
        <f>COUNTIF(G$5:G2509,"Y")/COUNTA(G$5:G2509)</f>
        <v>0.88263473053892216</v>
      </c>
      <c r="J2509" s="16">
        <f>COUNTIF(H$5:H2509,"Y")/COUNTA(H$5:H2509)</f>
        <v>4.8702594810379245E-2</v>
      </c>
      <c r="K2509" s="16">
        <f>AVERAGE(F$5:F2509)</f>
        <v>2.2195209580838302</v>
      </c>
      <c r="L2509" s="16">
        <f>SUM(F$5:F2509)/SUM(E$5:E2509)</f>
        <v>0.76239252951581526</v>
      </c>
    </row>
    <row r="2510" spans="1:12" x14ac:dyDescent="0.25">
      <c r="A2510" s="29">
        <v>46037</v>
      </c>
      <c r="B2510" s="16" t="s">
        <v>2556</v>
      </c>
      <c r="C2510" s="34">
        <v>1</v>
      </c>
      <c r="D2510" s="16" t="s">
        <v>43</v>
      </c>
      <c r="E2510" s="35">
        <v>6.1</v>
      </c>
      <c r="F2510" s="35">
        <v>4</v>
      </c>
      <c r="G2510" s="16" t="s">
        <v>44</v>
      </c>
      <c r="H2510" s="16" t="s">
        <v>45</v>
      </c>
      <c r="I2510" s="16">
        <f>COUNTIF(G$5:G2510,"Y")/COUNTA(G$5:G2510)</f>
        <v>0.88268156424581001</v>
      </c>
      <c r="J2510" s="16">
        <f>COUNTIF(H$5:H2510,"Y")/COUNTA(H$5:H2510)</f>
        <v>4.8683160415003993E-2</v>
      </c>
      <c r="K2510" s="16">
        <f>AVERAGE(F$5:F2510)</f>
        <v>2.2202314445331184</v>
      </c>
      <c r="L2510" s="16">
        <f>SUM(F$5:F2510)/SUM(E$5:E2510)</f>
        <v>0.76230339233846467</v>
      </c>
    </row>
    <row r="2511" spans="1:12" x14ac:dyDescent="0.25">
      <c r="A2511" s="29">
        <v>46038</v>
      </c>
      <c r="B2511" s="16" t="s">
        <v>2557</v>
      </c>
      <c r="C2511" s="34">
        <v>1</v>
      </c>
      <c r="D2511" s="16" t="s">
        <v>64</v>
      </c>
      <c r="E2511" s="35">
        <v>3.5</v>
      </c>
      <c r="F2511" s="35">
        <v>3.1</v>
      </c>
      <c r="G2511" s="16" t="s">
        <v>44</v>
      </c>
      <c r="H2511" s="16" t="s">
        <v>45</v>
      </c>
      <c r="I2511" s="16">
        <f>COUNTIF(G$5:G2511,"Y")/COUNTA(G$5:G2511)</f>
        <v>0.88272836059034698</v>
      </c>
      <c r="J2511" s="16">
        <f>COUNTIF(H$5:H2511,"Y")/COUNTA(H$5:H2511)</f>
        <v>4.8663741523733546E-2</v>
      </c>
      <c r="K2511" s="16">
        <f>AVERAGE(F$5:F2511)</f>
        <v>2.2205823693657738</v>
      </c>
      <c r="L2511" s="16">
        <f>SUM(F$5:F2511)/SUM(E$5:E2511)</f>
        <v>0.76236254330827091</v>
      </c>
    </row>
    <row r="2512" spans="1:12" x14ac:dyDescent="0.25">
      <c r="A2512" s="29">
        <v>46034</v>
      </c>
      <c r="B2512" s="16" t="s">
        <v>2558</v>
      </c>
      <c r="C2512" s="34">
        <v>1</v>
      </c>
      <c r="D2512" s="16" t="s">
        <v>50</v>
      </c>
      <c r="E2512" s="35">
        <v>2.9</v>
      </c>
      <c r="F2512" s="35">
        <v>2.4</v>
      </c>
      <c r="G2512" s="16" t="s">
        <v>44</v>
      </c>
      <c r="H2512" s="16" t="s">
        <v>45</v>
      </c>
      <c r="I2512" s="16">
        <f>COUNTIF(G$5:G2512,"Y")/COUNTA(G$5:G2512)</f>
        <v>0.88277511961722488</v>
      </c>
      <c r="J2512" s="16">
        <f>COUNTIF(H$5:H2512,"Y")/COUNTA(H$5:H2512)</f>
        <v>4.864433811802233E-2</v>
      </c>
      <c r="K2512" s="16">
        <f>AVERAGE(F$5:F2512)</f>
        <v>2.2206539074960108</v>
      </c>
      <c r="L2512" s="16">
        <f>SUM(F$5:F2512)/SUM(E$5:E2512)</f>
        <v>0.76238843563488834</v>
      </c>
    </row>
    <row r="2513" spans="1:13" x14ac:dyDescent="0.25">
      <c r="A2513" s="29">
        <v>46035</v>
      </c>
      <c r="B2513" s="16" t="s">
        <v>2559</v>
      </c>
      <c r="C2513" s="34">
        <v>1</v>
      </c>
      <c r="D2513" s="16" t="s">
        <v>50</v>
      </c>
      <c r="E2513" s="35">
        <v>3.1</v>
      </c>
      <c r="F2513" s="35">
        <v>2.7</v>
      </c>
      <c r="G2513" s="16" t="s">
        <v>44</v>
      </c>
      <c r="H2513" s="16" t="s">
        <v>45</v>
      </c>
      <c r="I2513" s="16">
        <f>COUNTIF(G$5:G2513,"Y")/COUNTA(G$5:G2513)</f>
        <v>0.88282184137106412</v>
      </c>
      <c r="J2513" s="16">
        <f>COUNTIF(H$5:H2513,"Y")/COUNTA(H$5:H2513)</f>
        <v>4.8624950179354323E-2</v>
      </c>
      <c r="K2513" s="16">
        <f>AVERAGE(F$5:F2513)</f>
        <v>2.2208449581506557</v>
      </c>
      <c r="L2513" s="16">
        <f>SUM(F$5:F2513)/SUM(E$5:E2513)</f>
        <v>0.7624344922895866</v>
      </c>
    </row>
    <row r="2514" spans="1:13" x14ac:dyDescent="0.25">
      <c r="A2514" s="29">
        <v>46036</v>
      </c>
      <c r="B2514" s="16" t="s">
        <v>2560</v>
      </c>
      <c r="C2514" s="34">
        <v>1</v>
      </c>
      <c r="D2514" s="16" t="s">
        <v>52</v>
      </c>
      <c r="E2514" s="35">
        <v>0.7</v>
      </c>
      <c r="F2514" s="35">
        <v>0.5</v>
      </c>
      <c r="G2514" s="16" t="s">
        <v>44</v>
      </c>
      <c r="H2514" s="16" t="s">
        <v>45</v>
      </c>
      <c r="I2514" s="16">
        <f>COUNTIF(G$5:G2514,"Y")/COUNTA(G$5:G2514)</f>
        <v>0.88286852589641429</v>
      </c>
      <c r="J2514" s="16">
        <f>COUNTIF(H$5:H2514,"Y")/COUNTA(H$5:H2514)</f>
        <v>4.8605577689243028E-2</v>
      </c>
      <c r="K2514" s="16">
        <f>AVERAGE(F$5:F2514)</f>
        <v>2.2201593625497988</v>
      </c>
      <c r="L2514" s="16">
        <f>SUM(F$5:F2514)/SUM(E$5:E2514)</f>
        <v>0.76242988096866682</v>
      </c>
    </row>
    <row r="2515" spans="1:13" x14ac:dyDescent="0.25">
      <c r="A2515" s="29">
        <v>46037</v>
      </c>
      <c r="B2515" s="16" t="s">
        <v>2561</v>
      </c>
      <c r="C2515" s="34">
        <v>1</v>
      </c>
      <c r="D2515" s="16" t="s">
        <v>60</v>
      </c>
      <c r="E2515" s="35">
        <v>0.7</v>
      </c>
      <c r="F2515" s="35">
        <v>0.5</v>
      </c>
      <c r="G2515" s="16" t="s">
        <v>44</v>
      </c>
      <c r="H2515" s="16" t="s">
        <v>45</v>
      </c>
      <c r="I2515" s="16">
        <f>COUNTIF(G$5:G2515,"Y")/COUNTA(G$5:G2515)</f>
        <v>0.88291517323775393</v>
      </c>
      <c r="J2515" s="16">
        <f>COUNTIF(H$5:H2515,"Y")/COUNTA(H$5:H2515)</f>
        <v>4.8586220629231382E-2</v>
      </c>
      <c r="K2515" s="16">
        <f>AVERAGE(F$5:F2515)</f>
        <v>2.2194743130226979</v>
      </c>
      <c r="L2515" s="16">
        <f>SUM(F$5:F2515)/SUM(E$5:E2515)</f>
        <v>0.76242527053093645</v>
      </c>
    </row>
    <row r="2516" spans="1:13" x14ac:dyDescent="0.25">
      <c r="A2516" s="29">
        <v>46038</v>
      </c>
      <c r="B2516" s="16" t="s">
        <v>2562</v>
      </c>
      <c r="C2516" s="34">
        <v>1</v>
      </c>
      <c r="D2516" s="16" t="s">
        <v>50</v>
      </c>
      <c r="E2516" s="35">
        <v>0.6</v>
      </c>
      <c r="F2516" s="35">
        <v>0.5</v>
      </c>
      <c r="G2516" s="16" t="s">
        <v>44</v>
      </c>
      <c r="H2516" s="16" t="s">
        <v>45</v>
      </c>
      <c r="I2516" s="16">
        <f>COUNTIF(G$5:G2516,"Y")/COUNTA(G$5:G2516)</f>
        <v>0.8829617834394905</v>
      </c>
      <c r="J2516" s="16">
        <f>COUNTIF(H$5:H2516,"Y")/COUNTA(H$5:H2516)</f>
        <v>4.8566878980891723E-2</v>
      </c>
      <c r="K2516" s="16">
        <f>AVERAGE(F$5:F2516)</f>
        <v>2.2187898089171956</v>
      </c>
      <c r="L2516" s="16">
        <f>SUM(F$5:F2516)/SUM(E$5:E2516)</f>
        <v>0.76243109037932588</v>
      </c>
    </row>
    <row r="2517" spans="1:13" x14ac:dyDescent="0.25">
      <c r="A2517" s="29">
        <v>46034</v>
      </c>
      <c r="B2517" s="16" t="s">
        <v>2563</v>
      </c>
      <c r="C2517" s="34">
        <v>1</v>
      </c>
      <c r="D2517" s="16" t="s">
        <v>52</v>
      </c>
      <c r="E2517" s="35">
        <v>0.7</v>
      </c>
      <c r="F2517" s="35">
        <v>0.5</v>
      </c>
      <c r="G2517" s="16" t="s">
        <v>44</v>
      </c>
      <c r="H2517" s="16" t="s">
        <v>45</v>
      </c>
      <c r="I2517" s="16">
        <f>COUNTIF(G$5:G2517,"Y")/COUNTA(G$5:G2517)</f>
        <v>0.88300835654596099</v>
      </c>
      <c r="J2517" s="16">
        <f>COUNTIF(H$5:H2517,"Y")/COUNTA(H$5:H2517)</f>
        <v>4.8547552725825706E-2</v>
      </c>
      <c r="K2517" s="16">
        <f>AVERAGE(F$5:F2517)</f>
        <v>2.2181058495821708</v>
      </c>
      <c r="L2517" s="16">
        <f>SUM(F$5:F2517)/SUM(E$5:E2517)</f>
        <v>0.76242648064560059</v>
      </c>
    </row>
    <row r="2518" spans="1:13" x14ac:dyDescent="0.25">
      <c r="A2518" s="29">
        <v>46035</v>
      </c>
      <c r="B2518" s="16" t="s">
        <v>2564</v>
      </c>
      <c r="C2518" s="34">
        <v>1</v>
      </c>
      <c r="D2518" s="16" t="s">
        <v>64</v>
      </c>
      <c r="E2518" s="35">
        <v>0.8</v>
      </c>
      <c r="F2518" s="35">
        <v>0.5</v>
      </c>
      <c r="G2518" s="16" t="s">
        <v>45</v>
      </c>
      <c r="H2518" s="16" t="s">
        <v>45</v>
      </c>
      <c r="I2518" s="16">
        <f>COUNTIF(G$5:G2518,"Y")/COUNTA(G$5:G2518)</f>
        <v>0.88265712012728714</v>
      </c>
      <c r="J2518" s="16">
        <f>COUNTIF(H$5:H2518,"Y")/COUNTA(H$5:H2518)</f>
        <v>4.8528241845664281E-2</v>
      </c>
      <c r="K2518" s="16">
        <f>AVERAGE(F$5:F2518)</f>
        <v>2.2174224343675397</v>
      </c>
      <c r="L2518" s="16">
        <f>SUM(F$5:F2518)/SUM(E$5:E2518)</f>
        <v>0.76241144451434473</v>
      </c>
      <c r="M2518" s="16">
        <v>10</v>
      </c>
    </row>
    <row r="2519" spans="1:13" x14ac:dyDescent="0.25">
      <c r="A2519" s="29">
        <v>46041</v>
      </c>
      <c r="B2519" s="16" t="s">
        <v>2565</v>
      </c>
      <c r="C2519" s="34">
        <v>1</v>
      </c>
      <c r="D2519" s="16" t="s">
        <v>50</v>
      </c>
      <c r="E2519" s="35">
        <v>2.2999999999999998</v>
      </c>
      <c r="F2519" s="35">
        <v>1.6</v>
      </c>
      <c r="G2519" s="16" t="s">
        <v>44</v>
      </c>
      <c r="H2519" s="16" t="s">
        <v>45</v>
      </c>
      <c r="I2519" s="16">
        <f>COUNTIF(G$5:G2519,"Y")/COUNTA(G$5:G2519)</f>
        <v>0.88270377733598404</v>
      </c>
      <c r="J2519" s="16">
        <f>COUNTIF(H$5:H2519,"Y")/COUNTA(H$5:H2519)</f>
        <v>4.8508946322067592E-2</v>
      </c>
      <c r="K2519" s="16">
        <f>AVERAGE(F$5:F2519)</f>
        <v>2.2171769383697795</v>
      </c>
      <c r="L2519" s="16">
        <f>SUM(F$5:F2519)/SUM(E$5:E2519)</f>
        <v>0.76239045132005112</v>
      </c>
    </row>
    <row r="2520" spans="1:13" x14ac:dyDescent="0.25">
      <c r="A2520" s="29">
        <v>46042</v>
      </c>
      <c r="B2520" s="16" t="s">
        <v>2566</v>
      </c>
      <c r="C2520" s="34">
        <v>1</v>
      </c>
      <c r="D2520" s="16" t="s">
        <v>56</v>
      </c>
      <c r="E2520" s="35">
        <v>2.4</v>
      </c>
      <c r="F2520" s="35">
        <v>1.8</v>
      </c>
      <c r="G2520" s="16" t="s">
        <v>45</v>
      </c>
      <c r="H2520" s="16" t="s">
        <v>45</v>
      </c>
      <c r="I2520" s="16">
        <f>COUNTIF(G$5:G2520,"Y")/COUNTA(G$5:G2520)</f>
        <v>0.88235294117647056</v>
      </c>
      <c r="J2520" s="16">
        <f>COUNTIF(H$5:H2520,"Y")/COUNTA(H$5:H2520)</f>
        <v>4.8489666136724958E-2</v>
      </c>
      <c r="K2520" s="16">
        <f>AVERAGE(F$5:F2520)</f>
        <v>2.217011128775833</v>
      </c>
      <c r="L2520" s="16">
        <f>SUM(F$5:F2520)/SUM(E$5:E2520)</f>
        <v>0.76238638693364125</v>
      </c>
    </row>
    <row r="2521" spans="1:13" x14ac:dyDescent="0.25">
      <c r="A2521" s="29">
        <v>46043</v>
      </c>
      <c r="B2521" s="16" t="s">
        <v>2567</v>
      </c>
      <c r="C2521" s="34">
        <v>1</v>
      </c>
      <c r="D2521" s="16" t="s">
        <v>60</v>
      </c>
      <c r="E2521" s="35">
        <v>1.6</v>
      </c>
      <c r="F2521" s="35">
        <v>1.3</v>
      </c>
      <c r="G2521" s="16" t="s">
        <v>45</v>
      </c>
      <c r="H2521" s="16" t="s">
        <v>45</v>
      </c>
      <c r="I2521" s="16">
        <f>COUNTIF(G$5:G2521,"Y")/COUNTA(G$5:G2521)</f>
        <v>0.88200238379022644</v>
      </c>
      <c r="J2521" s="16">
        <f>COUNTIF(H$5:H2521,"Y")/COUNTA(H$5:H2521)</f>
        <v>4.8470401271354789E-2</v>
      </c>
      <c r="K2521" s="16">
        <f>AVERAGE(F$5:F2521)</f>
        <v>2.2166468017481109</v>
      </c>
      <c r="L2521" s="16">
        <f>SUM(F$5:F2521)/SUM(E$5:E2521)</f>
        <v>0.76239734357278344</v>
      </c>
    </row>
    <row r="2522" spans="1:13" x14ac:dyDescent="0.25">
      <c r="A2522" s="29">
        <v>46044</v>
      </c>
      <c r="B2522" s="16" t="s">
        <v>2568</v>
      </c>
      <c r="C2522" s="34">
        <v>1</v>
      </c>
      <c r="D2522" s="16" t="s">
        <v>47</v>
      </c>
      <c r="E2522" s="35">
        <v>3.1</v>
      </c>
      <c r="F2522" s="35">
        <v>2.1</v>
      </c>
      <c r="G2522" s="16" t="s">
        <v>44</v>
      </c>
      <c r="H2522" s="16" t="s">
        <v>45</v>
      </c>
      <c r="I2522" s="16">
        <f>COUNTIF(G$5:G2522,"Y")/COUNTA(G$5:G2522)</f>
        <v>0.88204924543288321</v>
      </c>
      <c r="J2522" s="16">
        <f>COUNTIF(H$5:H2522,"Y")/COUNTA(H$5:H2522)</f>
        <v>4.8451151707704525E-2</v>
      </c>
      <c r="K2522" s="16">
        <f>AVERAGE(F$5:F2522)</f>
        <v>2.2166004765687037</v>
      </c>
      <c r="L2522" s="16">
        <f>SUM(F$5:F2522)/SUM(E$5:E2522)</f>
        <v>0.7623613615254311</v>
      </c>
    </row>
    <row r="2523" spans="1:13" x14ac:dyDescent="0.25">
      <c r="A2523" s="29">
        <v>46045</v>
      </c>
      <c r="B2523" s="16" t="s">
        <v>2569</v>
      </c>
      <c r="C2523" s="34">
        <v>1</v>
      </c>
      <c r="D2523" s="16" t="s">
        <v>47</v>
      </c>
      <c r="E2523" s="35">
        <v>2.6</v>
      </c>
      <c r="F2523" s="35">
        <v>2.2999999999999998</v>
      </c>
      <c r="G2523" s="16" t="s">
        <v>44</v>
      </c>
      <c r="H2523" s="16" t="s">
        <v>45</v>
      </c>
      <c r="I2523" s="16">
        <f>COUNTIF(G$5:G2523,"Y")/COUNTA(G$5:G2523)</f>
        <v>0.88209606986899558</v>
      </c>
      <c r="J2523" s="16">
        <f>COUNTIF(H$5:H2523,"Y")/COUNTA(H$5:H2523)</f>
        <v>4.8431917427550618E-2</v>
      </c>
      <c r="K2523" s="16">
        <f>AVERAGE(F$5:F2523)</f>
        <v>2.2166335847558538</v>
      </c>
      <c r="L2523" s="16">
        <f>SUM(F$5:F2523)/SUM(E$5:E2523)</f>
        <v>0.76240476255495593</v>
      </c>
    </row>
    <row r="2524" spans="1:13" x14ac:dyDescent="0.25">
      <c r="A2524" s="29">
        <v>46041</v>
      </c>
      <c r="B2524" s="16" t="s">
        <v>2570</v>
      </c>
      <c r="C2524" s="34">
        <v>1</v>
      </c>
      <c r="D2524" s="16" t="s">
        <v>60</v>
      </c>
      <c r="E2524" s="35">
        <v>4.8</v>
      </c>
      <c r="F2524" s="35">
        <v>3.4</v>
      </c>
      <c r="G2524" s="16" t="s">
        <v>44</v>
      </c>
      <c r="H2524" s="16" t="s">
        <v>45</v>
      </c>
      <c r="I2524" s="16">
        <f>COUNTIF(G$5:G2524,"Y")/COUNTA(G$5:G2524)</f>
        <v>0.88214285714285712</v>
      </c>
      <c r="J2524" s="16">
        <f>COUNTIF(H$5:H2524,"Y")/COUNTA(H$5:H2524)</f>
        <v>4.8412698412698414E-2</v>
      </c>
      <c r="K2524" s="16">
        <f>AVERAGE(F$5:F2524)</f>
        <v>2.2171031746031731</v>
      </c>
      <c r="L2524" s="16">
        <f>SUM(F$5:F2524)/SUM(E$5:E2524)</f>
        <v>0.76236934748792207</v>
      </c>
    </row>
    <row r="2525" spans="1:13" x14ac:dyDescent="0.25">
      <c r="A2525" s="29">
        <v>46042</v>
      </c>
      <c r="B2525" s="16" t="s">
        <v>2571</v>
      </c>
      <c r="C2525" s="34">
        <v>1</v>
      </c>
      <c r="D2525" s="16" t="s">
        <v>56</v>
      </c>
      <c r="E2525" s="35">
        <v>2.9</v>
      </c>
      <c r="F2525" s="35">
        <v>2.4</v>
      </c>
      <c r="G2525" s="16" t="s">
        <v>45</v>
      </c>
      <c r="H2525" s="16" t="s">
        <v>45</v>
      </c>
      <c r="I2525" s="16">
        <f>COUNTIF(G$5:G2525,"Y")/COUNTA(G$5:G2525)</f>
        <v>0.88179293930979774</v>
      </c>
      <c r="J2525" s="16">
        <f>COUNTIF(H$5:H2525,"Y")/COUNTA(H$5:H2525)</f>
        <v>4.8393494644982153E-2</v>
      </c>
      <c r="K2525" s="16">
        <f>AVERAGE(F$5:F2525)</f>
        <v>2.2171757239190781</v>
      </c>
      <c r="L2525" s="16">
        <f>SUM(F$5:F2525)/SUM(E$5:E2525)</f>
        <v>0.76239514424060362</v>
      </c>
    </row>
    <row r="2526" spans="1:13" x14ac:dyDescent="0.25">
      <c r="A2526" s="29">
        <v>46043</v>
      </c>
      <c r="B2526" s="16" t="s">
        <v>2572</v>
      </c>
      <c r="C2526" s="34">
        <v>1</v>
      </c>
      <c r="D2526" s="16" t="s">
        <v>52</v>
      </c>
      <c r="E2526" s="35">
        <v>2.8</v>
      </c>
      <c r="F2526" s="35">
        <v>2.4</v>
      </c>
      <c r="G2526" s="16" t="s">
        <v>44</v>
      </c>
      <c r="H2526" s="16" t="s">
        <v>45</v>
      </c>
      <c r="I2526" s="16">
        <f>COUNTIF(G$5:G2526,"Y")/COUNTA(G$5:G2526)</f>
        <v>0.8818398096748612</v>
      </c>
      <c r="J2526" s="16">
        <f>COUNTIF(H$5:H2526,"Y")/COUNTA(H$5:H2526)</f>
        <v>4.8374306106264871E-2</v>
      </c>
      <c r="K2526" s="16">
        <f>AVERAGE(F$5:F2526)</f>
        <v>2.2172482157018218</v>
      </c>
      <c r="L2526" s="16">
        <f>SUM(F$5:F2526)/SUM(E$5:E2526)</f>
        <v>0.76243131587199664</v>
      </c>
    </row>
    <row r="2527" spans="1:13" x14ac:dyDescent="0.25">
      <c r="A2527" s="29">
        <v>46044</v>
      </c>
      <c r="B2527" s="16" t="s">
        <v>2573</v>
      </c>
      <c r="C2527" s="34">
        <v>1</v>
      </c>
      <c r="D2527" s="16" t="s">
        <v>50</v>
      </c>
      <c r="E2527" s="35">
        <v>4.0999999999999996</v>
      </c>
      <c r="F2527" s="35">
        <v>2.9</v>
      </c>
      <c r="G2527" s="16" t="s">
        <v>44</v>
      </c>
      <c r="H2527" s="16" t="s">
        <v>45</v>
      </c>
      <c r="I2527" s="16">
        <f>COUNTIF(G$5:G2527,"Y")/COUNTA(G$5:G2527)</f>
        <v>0.88188664288545382</v>
      </c>
      <c r="J2527" s="16">
        <f>COUNTIF(H$5:H2527,"Y")/COUNTA(H$5:H2527)</f>
        <v>4.8355132778438364E-2</v>
      </c>
      <c r="K2527" s="16">
        <f>AVERAGE(F$5:F2527)</f>
        <v>2.2175188267934978</v>
      </c>
      <c r="L2527" s="16">
        <f>SUM(F$5:F2527)/SUM(E$5:E2527)</f>
        <v>0.76240052327482621</v>
      </c>
    </row>
    <row r="2528" spans="1:13" x14ac:dyDescent="0.25">
      <c r="A2528" s="29">
        <v>46045</v>
      </c>
      <c r="B2528" s="16" t="s">
        <v>2574</v>
      </c>
      <c r="C2528" s="34">
        <v>1</v>
      </c>
      <c r="D2528" s="16" t="s">
        <v>60</v>
      </c>
      <c r="E2528" s="35">
        <v>1.3</v>
      </c>
      <c r="F2528" s="35">
        <v>1.1000000000000001</v>
      </c>
      <c r="G2528" s="16" t="s">
        <v>44</v>
      </c>
      <c r="H2528" s="16" t="s">
        <v>45</v>
      </c>
      <c r="I2528" s="16">
        <f>COUNTIF(G$5:G2528,"Y")/COUNTA(G$5:G2528)</f>
        <v>0.88193343898573695</v>
      </c>
      <c r="J2528" s="16">
        <f>COUNTIF(H$5:H2528,"Y")/COUNTA(H$5:H2528)</f>
        <v>4.8335974643423138E-2</v>
      </c>
      <c r="K2528" s="16">
        <f>AVERAGE(F$5:F2528)</f>
        <v>2.2170760697305845</v>
      </c>
      <c r="L2528" s="16">
        <f>SUM(F$5:F2528)/SUM(E$5:E2528)</f>
        <v>0.7624153575759206</v>
      </c>
    </row>
    <row r="2529" spans="1:12" x14ac:dyDescent="0.25">
      <c r="A2529" s="29">
        <v>46041</v>
      </c>
      <c r="B2529" s="16" t="s">
        <v>2575</v>
      </c>
      <c r="C2529" s="34">
        <v>1</v>
      </c>
      <c r="D2529" s="16" t="s">
        <v>64</v>
      </c>
      <c r="E2529" s="35">
        <v>2.9</v>
      </c>
      <c r="F2529" s="35">
        <v>2.1</v>
      </c>
      <c r="G2529" s="16" t="s">
        <v>44</v>
      </c>
      <c r="H2529" s="16" t="s">
        <v>45</v>
      </c>
      <c r="I2529" s="16">
        <f>COUNTIF(G$5:G2529,"Y")/COUNTA(G$5:G2529)</f>
        <v>0.88198019801980199</v>
      </c>
      <c r="J2529" s="16">
        <f>COUNTIF(H$5:H2529,"Y")/COUNTA(H$5:H2529)</f>
        <v>4.8316831683168318E-2</v>
      </c>
      <c r="K2529" s="16">
        <f>AVERAGE(F$5:F2529)</f>
        <v>2.2170297029702954</v>
      </c>
      <c r="L2529" s="16">
        <f>SUM(F$5:F2529)/SUM(E$5:E2529)</f>
        <v>0.76240023969710802</v>
      </c>
    </row>
    <row r="2530" spans="1:12" x14ac:dyDescent="0.25">
      <c r="A2530" s="29">
        <v>46042</v>
      </c>
      <c r="B2530" s="16" t="s">
        <v>2576</v>
      </c>
      <c r="C2530" s="34">
        <v>1</v>
      </c>
      <c r="D2530" s="16" t="s">
        <v>52</v>
      </c>
      <c r="E2530" s="35">
        <v>3.9</v>
      </c>
      <c r="F2530" s="35">
        <v>3.5</v>
      </c>
      <c r="G2530" s="16" t="s">
        <v>44</v>
      </c>
      <c r="H2530" s="16" t="s">
        <v>45</v>
      </c>
      <c r="I2530" s="16">
        <f>COUNTIF(G$5:G2530,"Y")/COUNTA(G$5:G2530)</f>
        <v>0.8820269200316706</v>
      </c>
      <c r="J2530" s="16">
        <f>COUNTIF(H$5:H2530,"Y")/COUNTA(H$5:H2530)</f>
        <v>4.829770387965162E-2</v>
      </c>
      <c r="K2530" s="16">
        <f>AVERAGE(F$5:F2530)</f>
        <v>2.2175376088677732</v>
      </c>
      <c r="L2530" s="16">
        <f>SUM(F$5:F2530)/SUM(E$5:E2530)</f>
        <v>0.76247192540665432</v>
      </c>
    </row>
    <row r="2531" spans="1:12" x14ac:dyDescent="0.25">
      <c r="A2531" s="29">
        <v>46043</v>
      </c>
      <c r="B2531" s="16" t="s">
        <v>2577</v>
      </c>
      <c r="C2531" s="34">
        <v>1</v>
      </c>
      <c r="D2531" s="16" t="s">
        <v>64</v>
      </c>
      <c r="E2531" s="35">
        <v>3.9</v>
      </c>
      <c r="F2531" s="35">
        <v>3.2</v>
      </c>
      <c r="G2531" s="16" t="s">
        <v>44</v>
      </c>
      <c r="H2531" s="16" t="s">
        <v>45</v>
      </c>
      <c r="I2531" s="16">
        <f>COUNTIF(G$5:G2531,"Y")/COUNTA(G$5:G2531)</f>
        <v>0.88207360506529486</v>
      </c>
      <c r="J2531" s="16">
        <f>COUNTIF(H$5:H2531,"Y")/COUNTA(H$5:H2531)</f>
        <v>4.8278591214879304E-2</v>
      </c>
      <c r="K2531" s="16">
        <f>AVERAGE(F$5:F2531)</f>
        <v>2.2179263949347034</v>
      </c>
      <c r="L2531" s="16">
        <f>SUM(F$5:F2531)/SUM(E$5:E2531)</f>
        <v>0.76250272094035509</v>
      </c>
    </row>
    <row r="2532" spans="1:12" x14ac:dyDescent="0.25">
      <c r="A2532" s="29">
        <v>46044</v>
      </c>
      <c r="B2532" s="16" t="s">
        <v>2578</v>
      </c>
      <c r="C2532" s="34">
        <v>1</v>
      </c>
      <c r="D2532" s="16" t="s">
        <v>60</v>
      </c>
      <c r="E2532" s="35">
        <v>3</v>
      </c>
      <c r="F2532" s="35">
        <v>2.5</v>
      </c>
      <c r="G2532" s="16" t="s">
        <v>44</v>
      </c>
      <c r="H2532" s="16" t="s">
        <v>45</v>
      </c>
      <c r="I2532" s="16">
        <f>COUNTIF(G$5:G2532,"Y")/COUNTA(G$5:G2532)</f>
        <v>0.882120253164557</v>
      </c>
      <c r="J2532" s="16">
        <f>COUNTIF(H$5:H2532,"Y")/COUNTA(H$5:H2532)</f>
        <v>4.8259493670886076E-2</v>
      </c>
      <c r="K2532" s="16">
        <f>AVERAGE(F$5:F2532)</f>
        <v>2.2180379746835426</v>
      </c>
      <c r="L2532" s="16">
        <f>SUM(F$5:F2532)/SUM(E$5:E2532)</f>
        <v>0.76253161802703318</v>
      </c>
    </row>
    <row r="2533" spans="1:12" x14ac:dyDescent="0.25">
      <c r="A2533" s="29">
        <v>46045</v>
      </c>
      <c r="B2533" s="16" t="s">
        <v>2579</v>
      </c>
      <c r="C2533" s="34">
        <v>1</v>
      </c>
      <c r="D2533" s="16" t="s">
        <v>52</v>
      </c>
      <c r="E2533" s="35">
        <v>3.9</v>
      </c>
      <c r="F2533" s="35">
        <v>3.5</v>
      </c>
      <c r="G2533" s="16" t="s">
        <v>44</v>
      </c>
      <c r="H2533" s="16" t="s">
        <v>45</v>
      </c>
      <c r="I2533" s="16">
        <f>COUNTIF(G$5:G2533,"Y")/COUNTA(G$5:G2533)</f>
        <v>0.88216686437327008</v>
      </c>
      <c r="J2533" s="16">
        <f>COUNTIF(H$5:H2533,"Y")/COUNTA(H$5:H2533)</f>
        <v>4.8240411229735075E-2</v>
      </c>
      <c r="K2533" s="16">
        <f>AVERAGE(F$5:F2533)</f>
        <v>2.2185448793989702</v>
      </c>
      <c r="L2533" s="16">
        <f>SUM(F$5:F2533)/SUM(E$5:E2533)</f>
        <v>0.76260312886520687</v>
      </c>
    </row>
    <row r="2534" spans="1:12" x14ac:dyDescent="0.25">
      <c r="A2534" s="29">
        <v>46041</v>
      </c>
      <c r="B2534" s="16" t="s">
        <v>2580</v>
      </c>
      <c r="C2534" s="34">
        <v>1</v>
      </c>
      <c r="D2534" s="16" t="s">
        <v>60</v>
      </c>
      <c r="E2534" s="35">
        <v>4</v>
      </c>
      <c r="F2534" s="35">
        <v>3.2</v>
      </c>
      <c r="G2534" s="16" t="s">
        <v>44</v>
      </c>
      <c r="H2534" s="16" t="s">
        <v>44</v>
      </c>
      <c r="I2534" s="16">
        <f>COUNTIF(G$5:G2534,"Y")/COUNTA(G$5:G2534)</f>
        <v>0.88221343873517788</v>
      </c>
      <c r="J2534" s="16">
        <f>COUNTIF(H$5:H2534,"Y")/COUNTA(H$5:H2534)</f>
        <v>4.8616600790513831E-2</v>
      </c>
      <c r="K2534" s="16">
        <f>AVERAGE(F$5:F2534)</f>
        <v>2.2189328063241089</v>
      </c>
      <c r="L2534" s="16">
        <f>SUM(F$5:F2534)/SUM(E$5:E2534)</f>
        <v>0.76262344966242179</v>
      </c>
    </row>
    <row r="2535" spans="1:12" x14ac:dyDescent="0.25">
      <c r="A2535" s="29">
        <v>46042</v>
      </c>
      <c r="B2535" s="16" t="s">
        <v>2581</v>
      </c>
      <c r="C2535" s="34">
        <v>1</v>
      </c>
      <c r="D2535" s="16" t="s">
        <v>64</v>
      </c>
      <c r="E2535" s="35">
        <v>1.2</v>
      </c>
      <c r="F2535" s="35">
        <v>1</v>
      </c>
      <c r="G2535" s="16" t="s">
        <v>44</v>
      </c>
      <c r="H2535" s="16" t="s">
        <v>45</v>
      </c>
      <c r="I2535" s="16">
        <f>COUNTIF(G$5:G2535,"Y")/COUNTA(G$5:G2535)</f>
        <v>0.88225997629395492</v>
      </c>
      <c r="J2535" s="16">
        <f>COUNTIF(H$5:H2535,"Y")/COUNTA(H$5:H2535)</f>
        <v>4.8597392335045439E-2</v>
      </c>
      <c r="K2535" s="16">
        <f>AVERAGE(F$5:F2535)</f>
        <v>2.2184512050572875</v>
      </c>
      <c r="L2535" s="16">
        <f>SUM(F$5:F2535)/SUM(E$5:E2535)</f>
        <v>0.76263497453310503</v>
      </c>
    </row>
    <row r="2536" spans="1:12" x14ac:dyDescent="0.25">
      <c r="A2536" s="29">
        <v>46043</v>
      </c>
      <c r="B2536" s="16" t="s">
        <v>2582</v>
      </c>
      <c r="C2536" s="34">
        <v>1</v>
      </c>
      <c r="D2536" s="16" t="s">
        <v>50</v>
      </c>
      <c r="E2536" s="35">
        <v>2.6</v>
      </c>
      <c r="F2536" s="35">
        <v>2.2000000000000002</v>
      </c>
      <c r="G2536" s="16" t="s">
        <v>44</v>
      </c>
      <c r="H2536" s="16" t="s">
        <v>45</v>
      </c>
      <c r="I2536" s="16">
        <f>COUNTIF(G$5:G2536,"Y")/COUNTA(G$5:G2536)</f>
        <v>0.88230647709320698</v>
      </c>
      <c r="J2536" s="16">
        <f>COUNTIF(H$5:H2536,"Y")/COUNTA(H$5:H2536)</f>
        <v>4.8578199052132703E-2</v>
      </c>
      <c r="K2536" s="16">
        <f>AVERAGE(F$5:F2536)</f>
        <v>2.218443917851499</v>
      </c>
      <c r="L2536" s="16">
        <f>SUM(F$5:F2536)/SUM(E$5:E2536)</f>
        <v>0.76266445805216299</v>
      </c>
    </row>
    <row r="2537" spans="1:12" x14ac:dyDescent="0.25">
      <c r="A2537" s="29">
        <v>46044</v>
      </c>
      <c r="B2537" s="16" t="s">
        <v>2583</v>
      </c>
      <c r="C2537" s="34">
        <v>1</v>
      </c>
      <c r="D2537" s="16" t="s">
        <v>56</v>
      </c>
      <c r="E2537" s="35">
        <v>2.7</v>
      </c>
      <c r="F2537" s="35">
        <v>2</v>
      </c>
      <c r="G2537" s="16" t="s">
        <v>44</v>
      </c>
      <c r="H2537" s="16" t="s">
        <v>45</v>
      </c>
      <c r="I2537" s="16">
        <f>COUNTIF(G$5:G2537,"Y")/COUNTA(G$5:G2537)</f>
        <v>0.88235294117647056</v>
      </c>
      <c r="J2537" s="16">
        <f>COUNTIF(H$5:H2537,"Y")/COUNTA(H$5:H2537)</f>
        <v>4.8559020923805762E-2</v>
      </c>
      <c r="K2537" s="16">
        <f>AVERAGE(F$5:F2537)</f>
        <v>2.2183576786419246</v>
      </c>
      <c r="L2537" s="16">
        <f>SUM(F$5:F2537)/SUM(E$5:E2537)</f>
        <v>0.76265642389858379</v>
      </c>
    </row>
    <row r="2538" spans="1:12" x14ac:dyDescent="0.25">
      <c r="A2538" s="29">
        <v>46045</v>
      </c>
      <c r="B2538" s="16" t="s">
        <v>2584</v>
      </c>
      <c r="C2538" s="34">
        <v>1</v>
      </c>
      <c r="D2538" s="16" t="s">
        <v>43</v>
      </c>
      <c r="E2538" s="35">
        <v>3.3</v>
      </c>
      <c r="F2538" s="35">
        <v>2.4</v>
      </c>
      <c r="G2538" s="16" t="s">
        <v>44</v>
      </c>
      <c r="H2538" s="16" t="s">
        <v>45</v>
      </c>
      <c r="I2538" s="16">
        <f>COUNTIF(G$5:G2538,"Y")/COUNTA(G$5:G2538)</f>
        <v>0.88239936858721391</v>
      </c>
      <c r="J2538" s="16">
        <f>COUNTIF(H$5:H2538,"Y")/COUNTA(H$5:H2538)</f>
        <v>4.8539857932123127E-2</v>
      </c>
      <c r="K2538" s="16">
        <f>AVERAGE(F$5:F2538)</f>
        <v>2.218429360694552</v>
      </c>
      <c r="L2538" s="16">
        <f>SUM(F$5:F2538)/SUM(E$5:E2538)</f>
        <v>0.76264058281667391</v>
      </c>
    </row>
    <row r="2539" spans="1:12" x14ac:dyDescent="0.25">
      <c r="A2539" s="29">
        <v>46041</v>
      </c>
      <c r="B2539" s="16" t="s">
        <v>2585</v>
      </c>
      <c r="C2539" s="34">
        <v>1</v>
      </c>
      <c r="D2539" s="16" t="s">
        <v>52</v>
      </c>
      <c r="E2539" s="35">
        <v>1.5</v>
      </c>
      <c r="F2539" s="35">
        <v>1.1000000000000001</v>
      </c>
      <c r="G2539" s="16" t="s">
        <v>44</v>
      </c>
      <c r="H2539" s="16" t="s">
        <v>45</v>
      </c>
      <c r="I2539" s="16">
        <f>COUNTIF(G$5:G2539,"Y")/COUNTA(G$5:G2539)</f>
        <v>0.88244575936883629</v>
      </c>
      <c r="J2539" s="16">
        <f>COUNTIF(H$5:H2539,"Y")/COUNTA(H$5:H2539)</f>
        <v>4.85207100591716E-2</v>
      </c>
      <c r="K2539" s="16">
        <f>AVERAGE(F$5:F2539)</f>
        <v>2.2179881656804712</v>
      </c>
      <c r="L2539" s="16">
        <f>SUM(F$5:F2539)/SUM(E$5:E2539)</f>
        <v>0.7626346200797528</v>
      </c>
    </row>
    <row r="2540" spans="1:12" x14ac:dyDescent="0.25">
      <c r="A2540" s="29">
        <v>46042</v>
      </c>
      <c r="B2540" s="16" t="s">
        <v>2586</v>
      </c>
      <c r="C2540" s="34">
        <v>1</v>
      </c>
      <c r="D2540" s="16" t="s">
        <v>60</v>
      </c>
      <c r="E2540" s="35">
        <v>4.9000000000000004</v>
      </c>
      <c r="F2540" s="35">
        <v>3.4</v>
      </c>
      <c r="G2540" s="16" t="s">
        <v>44</v>
      </c>
      <c r="H2540" s="16" t="s">
        <v>45</v>
      </c>
      <c r="I2540" s="16">
        <f>COUNTIF(G$5:G2540,"Y")/COUNTA(G$5:G2540)</f>
        <v>0.88249211356466872</v>
      </c>
      <c r="J2540" s="16">
        <f>COUNTIF(H$5:H2540,"Y")/COUNTA(H$5:H2540)</f>
        <v>4.8501577287066243E-2</v>
      </c>
      <c r="K2540" s="16">
        <f>AVERAGE(F$5:F2540)</f>
        <v>2.2184542586750768</v>
      </c>
      <c r="L2540" s="16">
        <f>SUM(F$5:F2540)/SUM(E$5:E2540)</f>
        <v>0.76258895289732098</v>
      </c>
    </row>
    <row r="2541" spans="1:12" x14ac:dyDescent="0.25">
      <c r="A2541" s="29">
        <v>46043</v>
      </c>
      <c r="B2541" s="16" t="s">
        <v>2587</v>
      </c>
      <c r="C2541" s="34">
        <v>1</v>
      </c>
      <c r="D2541" s="16" t="s">
        <v>47</v>
      </c>
      <c r="E2541" s="35">
        <v>3.7</v>
      </c>
      <c r="F2541" s="35">
        <v>3</v>
      </c>
      <c r="G2541" s="16" t="s">
        <v>44</v>
      </c>
      <c r="H2541" s="16" t="s">
        <v>45</v>
      </c>
      <c r="I2541" s="16">
        <f>COUNTIF(G$5:G2541,"Y")/COUNTA(G$5:G2541)</f>
        <v>0.88253843121797404</v>
      </c>
      <c r="J2541" s="16">
        <f>COUNTIF(H$5:H2541,"Y")/COUNTA(H$5:H2541)</f>
        <v>4.8482459597950334E-2</v>
      </c>
      <c r="K2541" s="16">
        <f>AVERAGE(F$5:F2541)</f>
        <v>2.2187623176980664</v>
      </c>
      <c r="L2541" s="16">
        <f>SUM(F$5:F2541)/SUM(E$5:E2541)</f>
        <v>0.76261312523708691</v>
      </c>
    </row>
    <row r="2542" spans="1:12" x14ac:dyDescent="0.25">
      <c r="A2542" s="29">
        <v>46044</v>
      </c>
      <c r="B2542" s="16" t="s">
        <v>2588</v>
      </c>
      <c r="C2542" s="34">
        <v>1</v>
      </c>
      <c r="D2542" s="16" t="s">
        <v>64</v>
      </c>
      <c r="E2542" s="35">
        <v>3.8</v>
      </c>
      <c r="F2542" s="35">
        <v>3.2</v>
      </c>
      <c r="G2542" s="16" t="s">
        <v>44</v>
      </c>
      <c r="H2542" s="16" t="s">
        <v>45</v>
      </c>
      <c r="I2542" s="16">
        <f>COUNTIF(G$5:G2542,"Y")/COUNTA(G$5:G2542)</f>
        <v>0.88258471237194647</v>
      </c>
      <c r="J2542" s="16">
        <f>COUNTIF(H$5:H2542,"Y")/COUNTA(H$5:H2542)</f>
        <v>4.8463356973995272E-2</v>
      </c>
      <c r="K2542" s="16">
        <f>AVERAGE(F$5:F2542)</f>
        <v>2.2191489361702104</v>
      </c>
      <c r="L2542" s="16">
        <f>SUM(F$5:F2542)/SUM(E$5:E2542)</f>
        <v>0.76265402843601693</v>
      </c>
    </row>
    <row r="2543" spans="1:12" x14ac:dyDescent="0.25">
      <c r="A2543" s="29">
        <v>46045</v>
      </c>
      <c r="B2543" s="16" t="s">
        <v>2589</v>
      </c>
      <c r="C2543" s="34">
        <v>1</v>
      </c>
      <c r="D2543" s="16" t="s">
        <v>64</v>
      </c>
      <c r="E2543" s="35">
        <v>3.6</v>
      </c>
      <c r="F2543" s="35">
        <v>3</v>
      </c>
      <c r="G2543" s="16" t="s">
        <v>44</v>
      </c>
      <c r="H2543" s="16" t="s">
        <v>45</v>
      </c>
      <c r="I2543" s="16">
        <f>COUNTIF(G$5:G2543,"Y")/COUNTA(G$5:G2543)</f>
        <v>0.88263095706971251</v>
      </c>
      <c r="J2543" s="16">
        <f>COUNTIF(H$5:H2543,"Y")/COUNTA(H$5:H2543)</f>
        <v>4.8444269397400548E-2</v>
      </c>
      <c r="K2543" s="16">
        <f>AVERAGE(F$5:F2543)</f>
        <v>2.2194564789287097</v>
      </c>
      <c r="L2543" s="16">
        <f>SUM(F$5:F2543)/SUM(E$5:E2543)</f>
        <v>0.76268846601521056</v>
      </c>
    </row>
    <row r="2544" spans="1:12" x14ac:dyDescent="0.25">
      <c r="A2544" s="29">
        <v>46041</v>
      </c>
      <c r="B2544" s="16" t="s">
        <v>2590</v>
      </c>
      <c r="C2544" s="34">
        <v>1</v>
      </c>
      <c r="D2544" s="16" t="s">
        <v>56</v>
      </c>
      <c r="E2544" s="35">
        <v>1.5</v>
      </c>
      <c r="F2544" s="35">
        <v>1.1000000000000001</v>
      </c>
      <c r="G2544" s="16" t="s">
        <v>44</v>
      </c>
      <c r="H2544" s="16" t="s">
        <v>45</v>
      </c>
      <c r="I2544" s="16">
        <f>COUNTIF(G$5:G2544,"Y")/COUNTA(G$5:G2544)</f>
        <v>0.88267716535433072</v>
      </c>
      <c r="J2544" s="16">
        <f>COUNTIF(H$5:H2544,"Y")/COUNTA(H$5:H2544)</f>
        <v>4.8425196850393704E-2</v>
      </c>
      <c r="K2544" s="16">
        <f>AVERAGE(F$5:F2544)</f>
        <v>2.2190157480314938</v>
      </c>
      <c r="L2544" s="16">
        <f>SUM(F$5:F2544)/SUM(E$5:E2544)</f>
        <v>0.76268250767919044</v>
      </c>
    </row>
    <row r="2545" spans="1:12" x14ac:dyDescent="0.25">
      <c r="A2545" s="29">
        <v>46042</v>
      </c>
      <c r="B2545" s="16" t="s">
        <v>2591</v>
      </c>
      <c r="C2545" s="34">
        <v>1</v>
      </c>
      <c r="D2545" s="16" t="s">
        <v>43</v>
      </c>
      <c r="E2545" s="35">
        <v>3.7</v>
      </c>
      <c r="F2545" s="35">
        <v>2.6</v>
      </c>
      <c r="G2545" s="16" t="s">
        <v>44</v>
      </c>
      <c r="H2545" s="16" t="s">
        <v>45</v>
      </c>
      <c r="I2545" s="16">
        <f>COUNTIF(G$5:G2545,"Y")/COUNTA(G$5:G2545)</f>
        <v>0.88272333726879182</v>
      </c>
      <c r="J2545" s="16">
        <f>COUNTIF(H$5:H2545,"Y")/COUNTA(H$5:H2545)</f>
        <v>4.8406139315230225E-2</v>
      </c>
      <c r="K2545" s="16">
        <f>AVERAGE(F$5:F2545)</f>
        <v>2.2191656828020445</v>
      </c>
      <c r="L2545" s="16">
        <f>SUM(F$5:F2545)/SUM(E$5:E2545)</f>
        <v>0.76265249262895751</v>
      </c>
    </row>
    <row r="2546" spans="1:12" x14ac:dyDescent="0.25">
      <c r="A2546" s="29">
        <v>46043</v>
      </c>
      <c r="B2546" s="16" t="s">
        <v>2592</v>
      </c>
      <c r="C2546" s="34">
        <v>1</v>
      </c>
      <c r="D2546" s="16" t="s">
        <v>52</v>
      </c>
      <c r="E2546" s="35">
        <v>4.4000000000000004</v>
      </c>
      <c r="F2546" s="35">
        <v>3</v>
      </c>
      <c r="G2546" s="16" t="s">
        <v>44</v>
      </c>
      <c r="H2546" s="16" t="s">
        <v>45</v>
      </c>
      <c r="I2546" s="16">
        <f>COUNTIF(G$5:G2546,"Y")/COUNTA(G$5:G2546)</f>
        <v>0.88276947285601892</v>
      </c>
      <c r="J2546" s="16">
        <f>COUNTIF(H$5:H2546,"Y")/COUNTA(H$5:H2546)</f>
        <v>4.8387096774193547E-2</v>
      </c>
      <c r="K2546" s="16">
        <f>AVERAGE(F$5:F2546)</f>
        <v>2.2194728560188808</v>
      </c>
      <c r="L2546" s="16">
        <f>SUM(F$5:F2546)/SUM(E$5:E2546)</f>
        <v>0.76260441729069051</v>
      </c>
    </row>
    <row r="2547" spans="1:12" x14ac:dyDescent="0.25">
      <c r="A2547" s="29">
        <v>46044</v>
      </c>
      <c r="B2547" s="16" t="s">
        <v>2593</v>
      </c>
      <c r="C2547" s="34">
        <v>1</v>
      </c>
      <c r="D2547" s="16" t="s">
        <v>64</v>
      </c>
      <c r="E2547" s="35">
        <v>4.2</v>
      </c>
      <c r="F2547" s="35">
        <v>3</v>
      </c>
      <c r="G2547" s="16" t="s">
        <v>44</v>
      </c>
      <c r="H2547" s="16" t="s">
        <v>45</v>
      </c>
      <c r="I2547" s="16">
        <f>COUNTIF(G$5:G2547,"Y")/COUNTA(G$5:G2547)</f>
        <v>0.88281557215886752</v>
      </c>
      <c r="J2547" s="16">
        <f>COUNTIF(H$5:H2547,"Y")/COUNTA(H$5:H2547)</f>
        <v>4.8368069209594966E-2</v>
      </c>
      <c r="K2547" s="16">
        <f>AVERAGE(F$5:F2547)</f>
        <v>2.219779787652377</v>
      </c>
      <c r="L2547" s="16">
        <f>SUM(F$5:F2547)/SUM(E$5:E2547)</f>
        <v>0.7625770020533863</v>
      </c>
    </row>
    <row r="2548" spans="1:12" x14ac:dyDescent="0.25">
      <c r="A2548" s="29">
        <v>46045</v>
      </c>
      <c r="B2548" s="16" t="s">
        <v>2594</v>
      </c>
      <c r="C2548" s="34">
        <v>1</v>
      </c>
      <c r="D2548" s="16" t="s">
        <v>47</v>
      </c>
      <c r="E2548" s="35">
        <v>3.5</v>
      </c>
      <c r="F2548" s="35">
        <v>2.4</v>
      </c>
      <c r="G2548" s="16" t="s">
        <v>44</v>
      </c>
      <c r="H2548" s="16" t="s">
        <v>45</v>
      </c>
      <c r="I2548" s="16">
        <f>COUNTIF(G$5:G2548,"Y")/COUNTA(G$5:G2548)</f>
        <v>0.88286163522012584</v>
      </c>
      <c r="J2548" s="16">
        <f>COUNTIF(H$5:H2548,"Y")/COUNTA(H$5:H2548)</f>
        <v>4.8349056603773588E-2</v>
      </c>
      <c r="K2548" s="16">
        <f>AVERAGE(F$5:F2548)</f>
        <v>2.2198506289308155</v>
      </c>
      <c r="L2548" s="16">
        <f>SUM(F$5:F2548)/SUM(E$5:E2548)</f>
        <v>0.76254067702777328</v>
      </c>
    </row>
    <row r="2549" spans="1:12" x14ac:dyDescent="0.25">
      <c r="A2549" s="29">
        <v>46041</v>
      </c>
      <c r="B2549" s="16" t="s">
        <v>2595</v>
      </c>
      <c r="C2549" s="34">
        <v>1</v>
      </c>
      <c r="D2549" s="16" t="s">
        <v>47</v>
      </c>
      <c r="E2549" s="35">
        <v>4.0999999999999996</v>
      </c>
      <c r="F2549" s="35">
        <v>3.4</v>
      </c>
      <c r="G2549" s="16" t="s">
        <v>44</v>
      </c>
      <c r="H2549" s="16" t="s">
        <v>45</v>
      </c>
      <c r="I2549" s="16">
        <f>COUNTIF(G$5:G2549,"Y")/COUNTA(G$5:G2549)</f>
        <v>0.8829076620825147</v>
      </c>
      <c r="J2549" s="16">
        <f>COUNTIF(H$5:H2549,"Y")/COUNTA(H$5:H2549)</f>
        <v>4.8330058939096268E-2</v>
      </c>
      <c r="K2549" s="16">
        <f>AVERAGE(F$5:F2549)</f>
        <v>2.2203143418467559</v>
      </c>
      <c r="L2549" s="16">
        <f>SUM(F$5:F2549)/SUM(E$5:E2549)</f>
        <v>0.76257759784075374</v>
      </c>
    </row>
    <row r="2550" spans="1:12" x14ac:dyDescent="0.25">
      <c r="A2550" s="29">
        <v>46042</v>
      </c>
      <c r="B2550" s="16" t="s">
        <v>2596</v>
      </c>
      <c r="C2550" s="34">
        <v>1</v>
      </c>
      <c r="D2550" s="16" t="s">
        <v>56</v>
      </c>
      <c r="E2550" s="35">
        <v>4.7</v>
      </c>
      <c r="F2550" s="35">
        <v>3.6</v>
      </c>
      <c r="G2550" s="16" t="s">
        <v>44</v>
      </c>
      <c r="H2550" s="16" t="s">
        <v>45</v>
      </c>
      <c r="I2550" s="16">
        <f>COUNTIF(G$5:G2550,"Y")/COUNTA(G$5:G2550)</f>
        <v>0.88295365278868809</v>
      </c>
      <c r="J2550" s="16">
        <f>COUNTIF(H$5:H2550,"Y")/COUNTA(H$5:H2550)</f>
        <v>4.8311076197957582E-2</v>
      </c>
      <c r="K2550" s="16">
        <f>AVERAGE(F$5:F2550)</f>
        <v>2.2208562450903355</v>
      </c>
      <c r="L2550" s="16">
        <f>SUM(F$5:F2550)/SUM(E$5:E2550)</f>
        <v>0.76257974024572617</v>
      </c>
    </row>
    <row r="2551" spans="1:12" x14ac:dyDescent="0.25">
      <c r="A2551" s="29">
        <v>46043</v>
      </c>
      <c r="B2551" s="16" t="s">
        <v>2597</v>
      </c>
      <c r="C2551" s="34">
        <v>1</v>
      </c>
      <c r="D2551" s="16" t="s">
        <v>60</v>
      </c>
      <c r="E2551" s="35">
        <v>2.9</v>
      </c>
      <c r="F2551" s="35">
        <v>2.1</v>
      </c>
      <c r="G2551" s="16" t="s">
        <v>44</v>
      </c>
      <c r="H2551" s="16" t="s">
        <v>45</v>
      </c>
      <c r="I2551" s="16">
        <f>COUNTIF(G$5:G2551,"Y")/COUNTA(G$5:G2551)</f>
        <v>0.88299960738123284</v>
      </c>
      <c r="J2551" s="16">
        <f>COUNTIF(H$5:H2551,"Y")/COUNTA(H$5:H2551)</f>
        <v>4.8292108362779744E-2</v>
      </c>
      <c r="K2551" s="16">
        <f>AVERAGE(F$5:F2551)</f>
        <v>2.2208087946603827</v>
      </c>
      <c r="L2551" s="16">
        <f>SUM(F$5:F2551)/SUM(E$5:E2551)</f>
        <v>0.76256471095772038</v>
      </c>
    </row>
    <row r="2552" spans="1:12" x14ac:dyDescent="0.25">
      <c r="A2552" s="29">
        <v>46044</v>
      </c>
      <c r="B2552" s="16" t="s">
        <v>2598</v>
      </c>
      <c r="C2552" s="34">
        <v>1</v>
      </c>
      <c r="D2552" s="16" t="s">
        <v>60</v>
      </c>
      <c r="E2552" s="35">
        <v>3.2</v>
      </c>
      <c r="F2552" s="35">
        <v>2.7</v>
      </c>
      <c r="G2552" s="16" t="s">
        <v>44</v>
      </c>
      <c r="H2552" s="16" t="s">
        <v>45</v>
      </c>
      <c r="I2552" s="16">
        <f>COUNTIF(G$5:G2552,"Y")/COUNTA(G$5:G2552)</f>
        <v>0.88304552590266872</v>
      </c>
      <c r="J2552" s="16">
        <f>COUNTIF(H$5:H2552,"Y")/COUNTA(H$5:H2552)</f>
        <v>4.8273155416012556E-2</v>
      </c>
      <c r="K2552" s="16">
        <f>AVERAGE(F$5:F2552)</f>
        <v>2.2209968602825727</v>
      </c>
      <c r="L2552" s="16">
        <f>SUM(F$5:F2552)/SUM(E$5:E2552)</f>
        <v>0.76259971970676832</v>
      </c>
    </row>
    <row r="2553" spans="1:12" x14ac:dyDescent="0.25">
      <c r="A2553" s="29">
        <v>46045</v>
      </c>
      <c r="B2553" s="16" t="s">
        <v>2599</v>
      </c>
      <c r="C2553" s="34">
        <v>1</v>
      </c>
      <c r="D2553" s="16" t="s">
        <v>60</v>
      </c>
      <c r="E2553" s="35">
        <v>0.6</v>
      </c>
      <c r="F2553" s="35">
        <v>0.5</v>
      </c>
      <c r="G2553" s="16" t="s">
        <v>44</v>
      </c>
      <c r="H2553" s="16" t="s">
        <v>45</v>
      </c>
      <c r="I2553" s="16">
        <f>COUNTIF(G$5:G2553,"Y")/COUNTA(G$5:G2553)</f>
        <v>0.8830914083954492</v>
      </c>
      <c r="J2553" s="16">
        <f>COUNTIF(H$5:H2553,"Y")/COUNTA(H$5:H2553)</f>
        <v>4.8254217340133389E-2</v>
      </c>
      <c r="K2553" s="16">
        <f>AVERAGE(F$5:F2553)</f>
        <v>2.2203216947822657</v>
      </c>
      <c r="L2553" s="16">
        <f>SUM(F$5:F2553)/SUM(E$5:E2553)</f>
        <v>0.76260543832699845</v>
      </c>
    </row>
    <row r="2554" spans="1:12" x14ac:dyDescent="0.25">
      <c r="A2554" s="29">
        <v>46041</v>
      </c>
      <c r="B2554" s="16" t="s">
        <v>2600</v>
      </c>
      <c r="C2554" s="34">
        <v>1</v>
      </c>
      <c r="D2554" s="16" t="s">
        <v>64</v>
      </c>
      <c r="E2554" s="35">
        <v>0.6</v>
      </c>
      <c r="F2554" s="35">
        <v>0.5</v>
      </c>
      <c r="G2554" s="16" t="s">
        <v>44</v>
      </c>
      <c r="H2554" s="16" t="s">
        <v>45</v>
      </c>
      <c r="I2554" s="16">
        <f>COUNTIF(G$5:G2554,"Y")/COUNTA(G$5:G2554)</f>
        <v>0.88313725490196082</v>
      </c>
      <c r="J2554" s="16">
        <f>COUNTIF(H$5:H2554,"Y")/COUNTA(H$5:H2554)</f>
        <v>4.8235294117647057E-2</v>
      </c>
      <c r="K2554" s="16">
        <f>AVERAGE(F$5:F2554)</f>
        <v>2.2196470588235275</v>
      </c>
      <c r="L2554" s="16">
        <f>SUM(F$5:F2554)/SUM(E$5:E2554)</f>
        <v>0.76261115602263352</v>
      </c>
    </row>
    <row r="2555" spans="1:12" x14ac:dyDescent="0.25">
      <c r="A2555" s="29">
        <v>46042</v>
      </c>
      <c r="B2555" s="16" t="s">
        <v>2601</v>
      </c>
      <c r="C2555" s="34">
        <v>1</v>
      </c>
      <c r="D2555" s="16" t="s">
        <v>60</v>
      </c>
      <c r="E2555" s="35">
        <v>0.6</v>
      </c>
      <c r="F2555" s="35">
        <v>0.5</v>
      </c>
      <c r="G2555" s="16" t="s">
        <v>44</v>
      </c>
      <c r="H2555" s="16" t="s">
        <v>45</v>
      </c>
      <c r="I2555" s="16">
        <f>COUNTIF(G$5:G2555,"Y")/COUNTA(G$5:G2555)</f>
        <v>0.88318306546452374</v>
      </c>
      <c r="J2555" s="16">
        <f>COUNTIF(H$5:H2555,"Y")/COUNTA(H$5:H2555)</f>
        <v>4.8216385731085852E-2</v>
      </c>
      <c r="K2555" s="16">
        <f>AVERAGE(F$5:F2555)</f>
        <v>2.2189729517836123</v>
      </c>
      <c r="L2555" s="16">
        <f>SUM(F$5:F2555)/SUM(E$5:E2555)</f>
        <v>0.76261687279389778</v>
      </c>
    </row>
    <row r="2556" spans="1:12" x14ac:dyDescent="0.25">
      <c r="A2556" s="29">
        <v>46043</v>
      </c>
      <c r="B2556" s="16" t="s">
        <v>2602</v>
      </c>
      <c r="C2556" s="34">
        <v>1</v>
      </c>
      <c r="D2556" s="16" t="s">
        <v>64</v>
      </c>
      <c r="E2556" s="35">
        <v>0.6</v>
      </c>
      <c r="F2556" s="35">
        <v>0.5</v>
      </c>
      <c r="G2556" s="16" t="s">
        <v>44</v>
      </c>
      <c r="H2556" s="16" t="s">
        <v>45</v>
      </c>
      <c r="I2556" s="16">
        <f>COUNTIF(G$5:G2556,"Y")/COUNTA(G$5:G2556)</f>
        <v>0.88322884012539182</v>
      </c>
      <c r="J2556" s="16">
        <f>COUNTIF(H$5:H2556,"Y")/COUNTA(H$5:H2556)</f>
        <v>4.8197492163009406E-2</v>
      </c>
      <c r="K2556" s="16">
        <f>AVERAGE(F$5:F2556)</f>
        <v>2.2182993730407503</v>
      </c>
      <c r="L2556" s="16">
        <f>SUM(F$5:F2556)/SUM(E$5:E2556)</f>
        <v>0.7626225886410154</v>
      </c>
    </row>
    <row r="2557" spans="1:12" x14ac:dyDescent="0.25">
      <c r="A2557" s="29">
        <v>46044</v>
      </c>
      <c r="B2557" s="16" t="s">
        <v>2603</v>
      </c>
      <c r="C2557" s="34">
        <v>1</v>
      </c>
      <c r="D2557" s="16" t="s">
        <v>43</v>
      </c>
      <c r="E2557" s="35">
        <v>0.7</v>
      </c>
      <c r="F2557" s="35">
        <v>0.5</v>
      </c>
      <c r="G2557" s="16" t="s">
        <v>44</v>
      </c>
      <c r="H2557" s="16" t="s">
        <v>44</v>
      </c>
      <c r="I2557" s="16">
        <f>COUNTIF(G$5:G2557,"Y")/COUNTA(G$5:G2557)</f>
        <v>0.88327457892675287</v>
      </c>
      <c r="J2557" s="16">
        <f>COUNTIF(H$5:H2557,"Y")/COUNTA(H$5:H2557)</f>
        <v>4.8570309439874657E-2</v>
      </c>
      <c r="K2557" s="16">
        <f>AVERAGE(F$5:F2557)</f>
        <v>2.2176263219741461</v>
      </c>
      <c r="L2557" s="16">
        <f>SUM(F$5:F2557)/SUM(E$5:E2557)</f>
        <v>0.76261803095407876</v>
      </c>
    </row>
    <row r="2558" spans="1:12" x14ac:dyDescent="0.25">
      <c r="A2558" s="29">
        <v>46045</v>
      </c>
      <c r="B2558" s="16" t="s">
        <v>2604</v>
      </c>
      <c r="C2558" s="34">
        <v>1</v>
      </c>
      <c r="D2558" s="16" t="s">
        <v>60</v>
      </c>
      <c r="E2558" s="35">
        <v>0.7</v>
      </c>
      <c r="F2558" s="35">
        <v>0.5</v>
      </c>
      <c r="G2558" s="16" t="s">
        <v>44</v>
      </c>
      <c r="H2558" s="16" t="s">
        <v>45</v>
      </c>
      <c r="I2558" s="16">
        <f>COUNTIF(G$5:G2558,"Y")/COUNTA(G$5:G2558)</f>
        <v>0.88332028191072831</v>
      </c>
      <c r="J2558" s="16">
        <f>COUNTIF(H$5:H2558,"Y")/COUNTA(H$5:H2558)</f>
        <v>4.8551292090837903E-2</v>
      </c>
      <c r="K2558" s="16">
        <f>AVERAGE(F$5:F2558)</f>
        <v>2.216953797963976</v>
      </c>
      <c r="L2558" s="16">
        <f>SUM(F$5:F2558)/SUM(E$5:E2558)</f>
        <v>0.76261347412655034</v>
      </c>
    </row>
    <row r="2559" spans="1:12" x14ac:dyDescent="0.25">
      <c r="A2559" s="29">
        <v>46041</v>
      </c>
      <c r="B2559" s="16" t="s">
        <v>2605</v>
      </c>
      <c r="C2559" s="34">
        <v>1</v>
      </c>
      <c r="D2559" s="16" t="s">
        <v>64</v>
      </c>
      <c r="E2559" s="35">
        <v>0.6</v>
      </c>
      <c r="F2559" s="35">
        <v>0.5</v>
      </c>
      <c r="G2559" s="16" t="s">
        <v>44</v>
      </c>
      <c r="H2559" s="16" t="s">
        <v>45</v>
      </c>
      <c r="I2559" s="16">
        <f>COUNTIF(G$5:G2559,"Y")/COUNTA(G$5:G2559)</f>
        <v>0.88336594911937383</v>
      </c>
      <c r="J2559" s="16">
        <f>COUNTIF(H$5:H2559,"Y")/COUNTA(H$5:H2559)</f>
        <v>4.8532289628180042E-2</v>
      </c>
      <c r="K2559" s="16">
        <f>AVERAGE(F$5:F2559)</f>
        <v>2.2162818003913873</v>
      </c>
      <c r="L2559" s="16">
        <f>SUM(F$5:F2559)/SUM(E$5:E2559)</f>
        <v>0.7626191887087197</v>
      </c>
    </row>
    <row r="2560" spans="1:12" x14ac:dyDescent="0.25">
      <c r="A2560" s="29">
        <v>46042</v>
      </c>
      <c r="B2560" s="16" t="s">
        <v>2606</v>
      </c>
      <c r="C2560" s="34">
        <v>1</v>
      </c>
      <c r="D2560" s="16" t="s">
        <v>47</v>
      </c>
      <c r="E2560" s="35">
        <v>0.6</v>
      </c>
      <c r="F2560" s="35">
        <v>0.5</v>
      </c>
      <c r="G2560" s="16" t="s">
        <v>44</v>
      </c>
      <c r="H2560" s="16" t="s">
        <v>45</v>
      </c>
      <c r="I2560" s="16">
        <f>COUNTIF(G$5:G2560,"Y")/COUNTA(G$5:G2560)</f>
        <v>0.88341158059467917</v>
      </c>
      <c r="J2560" s="16">
        <f>COUNTIF(H$5:H2560,"Y")/COUNTA(H$5:H2560)</f>
        <v>4.8513302034428794E-2</v>
      </c>
      <c r="K2560" s="16">
        <f>AVERAGE(F$5:F2560)</f>
        <v>2.2156103286384958</v>
      </c>
      <c r="L2560" s="16">
        <f>SUM(F$5:F2560)/SUM(E$5:E2560)</f>
        <v>0.76262490236741964</v>
      </c>
    </row>
    <row r="2561" spans="1:13" x14ac:dyDescent="0.25">
      <c r="A2561" s="29">
        <v>46043</v>
      </c>
      <c r="B2561" s="16" t="s">
        <v>2607</v>
      </c>
      <c r="C2561" s="34">
        <v>1</v>
      </c>
      <c r="D2561" s="16" t="s">
        <v>52</v>
      </c>
      <c r="E2561" s="35">
        <v>0.7</v>
      </c>
      <c r="F2561" s="35">
        <v>0.5</v>
      </c>
      <c r="G2561" s="16" t="s">
        <v>44</v>
      </c>
      <c r="H2561" s="16" t="s">
        <v>45</v>
      </c>
      <c r="I2561" s="16">
        <f>COUNTIF(G$5:G2561,"Y")/COUNTA(G$5:G2561)</f>
        <v>0.88345717637856869</v>
      </c>
      <c r="J2561" s="16">
        <f>COUNTIF(H$5:H2561,"Y")/COUNTA(H$5:H2561)</f>
        <v>4.8494329292139225E-2</v>
      </c>
      <c r="K2561" s="16">
        <f>AVERAGE(F$5:F2561)</f>
        <v>2.2149393820883829</v>
      </c>
      <c r="L2561" s="16">
        <f>SUM(F$5:F2561)/SUM(E$5:E2561)</f>
        <v>0.76262034605803342</v>
      </c>
    </row>
    <row r="2562" spans="1:13" x14ac:dyDescent="0.25">
      <c r="A2562" s="29">
        <v>46044</v>
      </c>
      <c r="B2562" s="16" t="s">
        <v>2608</v>
      </c>
      <c r="C2562" s="34">
        <v>1</v>
      </c>
      <c r="D2562" s="16" t="s">
        <v>60</v>
      </c>
      <c r="E2562" s="35">
        <v>0.6</v>
      </c>
      <c r="F2562" s="35">
        <v>0.5</v>
      </c>
      <c r="G2562" s="16" t="s">
        <v>44</v>
      </c>
      <c r="H2562" s="16" t="s">
        <v>45</v>
      </c>
      <c r="I2562" s="16">
        <f>COUNTIF(G$5:G2562,"Y")/COUNTA(G$5:G2562)</f>
        <v>0.88350273651290068</v>
      </c>
      <c r="J2562" s="16">
        <f>COUNTIF(H$5:H2562,"Y")/COUNTA(H$5:H2562)</f>
        <v>4.847537138389367E-2</v>
      </c>
      <c r="K2562" s="16">
        <f>AVERAGE(F$5:F2562)</f>
        <v>2.2142689601250956</v>
      </c>
      <c r="L2562" s="16">
        <f>SUM(F$5:F2562)/SUM(E$5:E2562)</f>
        <v>0.76262605862314836</v>
      </c>
    </row>
    <row r="2563" spans="1:13" x14ac:dyDescent="0.25">
      <c r="A2563" s="29">
        <v>46045</v>
      </c>
      <c r="B2563" s="16" t="s">
        <v>2609</v>
      </c>
      <c r="C2563" s="34">
        <v>1</v>
      </c>
      <c r="D2563" s="16" t="s">
        <v>52</v>
      </c>
      <c r="E2563" s="35">
        <v>1.1000000000000001</v>
      </c>
      <c r="F2563" s="35">
        <v>0.5</v>
      </c>
      <c r="G2563" s="16" t="s">
        <v>45</v>
      </c>
      <c r="H2563" s="16" t="s">
        <v>45</v>
      </c>
      <c r="I2563" s="16">
        <f>COUNTIF(G$5:G2563,"Y")/COUNTA(G$5:G2563)</f>
        <v>0.88315748339194999</v>
      </c>
      <c r="J2563" s="16">
        <f>COUNTIF(H$5:H2563,"Y")/COUNTA(H$5:H2563)</f>
        <v>4.8456428292301679E-2</v>
      </c>
      <c r="K2563" s="16">
        <f>AVERAGE(F$5:F2563)</f>
        <v>2.2135990621336439</v>
      </c>
      <c r="L2563" s="16">
        <f>SUM(F$5:F2563)/SUM(E$5:E2563)</f>
        <v>0.76258043671414133</v>
      </c>
      <c r="M2563" s="16">
        <v>7</v>
      </c>
    </row>
    <row r="2564" spans="1:13" x14ac:dyDescent="0.25">
      <c r="A2564" s="29">
        <v>46048</v>
      </c>
      <c r="B2564" s="16" t="s">
        <v>2610</v>
      </c>
      <c r="C2564" s="34">
        <v>1</v>
      </c>
      <c r="D2564" s="16" t="s">
        <v>50</v>
      </c>
      <c r="E2564" s="35">
        <v>1.4</v>
      </c>
      <c r="F2564" s="35">
        <v>1.1000000000000001</v>
      </c>
      <c r="G2564" s="16" t="s">
        <v>44</v>
      </c>
      <c r="H2564" s="16" t="s">
        <v>45</v>
      </c>
      <c r="I2564" s="16">
        <f>COUNTIF(G$5:G2564,"Y")/COUNTA(G$5:G2564)</f>
        <v>0.88320312499999998</v>
      </c>
      <c r="J2564" s="16">
        <f>COUNTIF(H$5:H2564,"Y")/COUNTA(H$5:H2564)</f>
        <v>4.8437500000000001E-2</v>
      </c>
      <c r="K2564" s="16">
        <f>AVERAGE(F$5:F2564)</f>
        <v>2.213164062499998</v>
      </c>
      <c r="L2564" s="16">
        <f>SUM(F$5:F2564)/SUM(E$5:E2564)</f>
        <v>0.76258479595132789</v>
      </c>
    </row>
    <row r="2565" spans="1:13" x14ac:dyDescent="0.25">
      <c r="A2565" s="29">
        <v>46049</v>
      </c>
      <c r="B2565" s="16" t="s">
        <v>2611</v>
      </c>
      <c r="C2565" s="34">
        <v>1</v>
      </c>
      <c r="D2565" s="16" t="s">
        <v>52</v>
      </c>
      <c r="E2565" s="35">
        <v>3</v>
      </c>
      <c r="F2565" s="35">
        <v>2.4</v>
      </c>
      <c r="G2565" s="16" t="s">
        <v>44</v>
      </c>
      <c r="H2565" s="16" t="s">
        <v>45</v>
      </c>
      <c r="I2565" s="16">
        <f>COUNTIF(G$5:G2565,"Y")/COUNTA(G$5:G2565)</f>
        <v>0.88324873096446699</v>
      </c>
      <c r="J2565" s="16">
        <f>COUNTIF(H$5:H2565,"Y")/COUNTA(H$5:H2565)</f>
        <v>4.8418586489652478E-2</v>
      </c>
      <c r="K2565" s="16">
        <f>AVERAGE(F$5:F2565)</f>
        <v>2.2132370167903144</v>
      </c>
      <c r="L2565" s="16">
        <f>SUM(F$5:F2565)/SUM(E$5:E2565)</f>
        <v>0.76259989774775783</v>
      </c>
    </row>
    <row r="2566" spans="1:13" x14ac:dyDescent="0.25">
      <c r="A2566" s="29">
        <v>46050</v>
      </c>
      <c r="B2566" s="16" t="s">
        <v>2612</v>
      </c>
      <c r="C2566" s="34">
        <v>1</v>
      </c>
      <c r="D2566" s="16" t="s">
        <v>47</v>
      </c>
      <c r="E2566" s="35">
        <v>2.4</v>
      </c>
      <c r="F2566" s="35">
        <v>1.7</v>
      </c>
      <c r="G2566" s="16" t="s">
        <v>44</v>
      </c>
      <c r="H2566" s="16" t="s">
        <v>45</v>
      </c>
      <c r="I2566" s="16">
        <f>COUNTIF(G$5:G2566,"Y")/COUNTA(G$5:G2566)</f>
        <v>0.88329430132708819</v>
      </c>
      <c r="J2566" s="16">
        <f>COUNTIF(H$5:H2566,"Y")/COUNTA(H$5:H2566)</f>
        <v>4.8399687743950037E-2</v>
      </c>
      <c r="K2566" s="16">
        <f>AVERAGE(F$5:F2566)</f>
        <v>2.2130366900858682</v>
      </c>
      <c r="L2566" s="16">
        <f>SUM(F$5:F2566)/SUM(E$5:E2566)</f>
        <v>0.76258238063214323</v>
      </c>
    </row>
    <row r="2567" spans="1:13" x14ac:dyDescent="0.25">
      <c r="A2567" s="29">
        <v>46051</v>
      </c>
      <c r="B2567" s="16" t="s">
        <v>2613</v>
      </c>
      <c r="C2567" s="34">
        <v>1</v>
      </c>
      <c r="D2567" s="16" t="s">
        <v>64</v>
      </c>
      <c r="E2567" s="35">
        <v>2.1</v>
      </c>
      <c r="F2567" s="35">
        <v>1.8</v>
      </c>
      <c r="G2567" s="16" t="s">
        <v>44</v>
      </c>
      <c r="H2567" s="16" t="s">
        <v>45</v>
      </c>
      <c r="I2567" s="16">
        <f>COUNTIF(G$5:G2567,"Y")/COUNTA(G$5:G2567)</f>
        <v>0.8833398361295357</v>
      </c>
      <c r="J2567" s="16">
        <f>COUNTIF(H$5:H2567,"Y")/COUNTA(H$5:H2567)</f>
        <v>4.8380803745610615E-2</v>
      </c>
      <c r="K2567" s="16">
        <f>AVERAGE(F$5:F2567)</f>
        <v>2.2128755364806847</v>
      </c>
      <c r="L2567" s="16">
        <f>SUM(F$5:F2567)/SUM(E$5:E2567)</f>
        <v>0.76260908149681794</v>
      </c>
    </row>
    <row r="2568" spans="1:13" x14ac:dyDescent="0.25">
      <c r="A2568" s="29">
        <v>46052</v>
      </c>
      <c r="B2568" s="16" t="s">
        <v>2614</v>
      </c>
      <c r="C2568" s="34">
        <v>1</v>
      </c>
      <c r="D2568" s="16" t="s">
        <v>52</v>
      </c>
      <c r="E2568" s="35">
        <v>2.2000000000000002</v>
      </c>
      <c r="F2568" s="35">
        <v>1.6</v>
      </c>
      <c r="G2568" s="16" t="s">
        <v>44</v>
      </c>
      <c r="H2568" s="16" t="s">
        <v>45</v>
      </c>
      <c r="I2568" s="16">
        <f>COUNTIF(G$5:G2568,"Y")/COUNTA(G$5:G2568)</f>
        <v>0.88338533541341657</v>
      </c>
      <c r="J2568" s="16">
        <f>COUNTIF(H$5:H2568,"Y")/COUNTA(H$5:H2568)</f>
        <v>4.8361934477379097E-2</v>
      </c>
      <c r="K2568" s="16">
        <f>AVERAGE(F$5:F2568)</f>
        <v>2.2126365054602166</v>
      </c>
      <c r="L2568" s="16">
        <f>SUM(F$5:F2568)/SUM(E$5:E2568)</f>
        <v>0.76259863159168007</v>
      </c>
    </row>
    <row r="2569" spans="1:13" x14ac:dyDescent="0.25">
      <c r="A2569" s="29">
        <v>46048</v>
      </c>
      <c r="B2569" s="16" t="s">
        <v>2615</v>
      </c>
      <c r="C2569" s="34">
        <v>1</v>
      </c>
      <c r="D2569" s="16" t="s">
        <v>56</v>
      </c>
      <c r="E2569" s="35">
        <v>2.4</v>
      </c>
      <c r="F2569" s="35">
        <v>1.9</v>
      </c>
      <c r="G2569" s="16" t="s">
        <v>45</v>
      </c>
      <c r="H2569" s="16" t="s">
        <v>45</v>
      </c>
      <c r="I2569" s="16">
        <f>COUNTIF(G$5:G2569,"Y")/COUNTA(G$5:G2569)</f>
        <v>0.88304093567251463</v>
      </c>
      <c r="J2569" s="16">
        <f>COUNTIF(H$5:H2569,"Y")/COUNTA(H$5:H2569)</f>
        <v>4.8343079922027292E-2</v>
      </c>
      <c r="K2569" s="16">
        <f>AVERAGE(F$5:F2569)</f>
        <v>2.2125146198830388</v>
      </c>
      <c r="L2569" s="16">
        <f>SUM(F$5:F2569)/SUM(E$5:E2569)</f>
        <v>0.76260800623513247</v>
      </c>
    </row>
    <row r="2570" spans="1:13" x14ac:dyDescent="0.25">
      <c r="A2570" s="29">
        <v>46049</v>
      </c>
      <c r="B2570" s="16" t="s">
        <v>2616</v>
      </c>
      <c r="C2570" s="34">
        <v>1</v>
      </c>
      <c r="D2570" s="16" t="s">
        <v>64</v>
      </c>
      <c r="E2570" s="35">
        <v>3.3</v>
      </c>
      <c r="F2570" s="35">
        <v>2.9</v>
      </c>
      <c r="G2570" s="16" t="s">
        <v>44</v>
      </c>
      <c r="H2570" s="16" t="s">
        <v>45</v>
      </c>
      <c r="I2570" s="16">
        <f>COUNTIF(G$5:G2570,"Y")/COUNTA(G$5:G2570)</f>
        <v>0.88308651597817611</v>
      </c>
      <c r="J2570" s="16">
        <f>COUNTIF(H$5:H2570,"Y")/COUNTA(H$5:H2570)</f>
        <v>4.8324240062353856E-2</v>
      </c>
      <c r="K2570" s="16">
        <f>AVERAGE(F$5:F2570)</f>
        <v>2.2127825409197173</v>
      </c>
      <c r="L2570" s="16">
        <f>SUM(F$5:F2570)/SUM(E$5:E2570)</f>
        <v>0.76265950302216046</v>
      </c>
    </row>
    <row r="2571" spans="1:13" x14ac:dyDescent="0.25">
      <c r="A2571" s="29">
        <v>46050</v>
      </c>
      <c r="B2571" s="16" t="s">
        <v>2617</v>
      </c>
      <c r="C2571" s="34">
        <v>1</v>
      </c>
      <c r="D2571" s="16" t="s">
        <v>47</v>
      </c>
      <c r="E2571" s="35">
        <v>2.2000000000000002</v>
      </c>
      <c r="F2571" s="35">
        <v>1.6</v>
      </c>
      <c r="G2571" s="16" t="s">
        <v>44</v>
      </c>
      <c r="H2571" s="16" t="s">
        <v>45</v>
      </c>
      <c r="I2571" s="16">
        <f>COUNTIF(G$5:G2571,"Y")/COUNTA(G$5:G2571)</f>
        <v>0.88313206077132844</v>
      </c>
      <c r="J2571" s="16">
        <f>COUNTIF(H$5:H2571,"Y")/COUNTA(H$5:H2571)</f>
        <v>4.8305414881184262E-2</v>
      </c>
      <c r="K2571" s="16">
        <f>AVERAGE(F$5:F2571)</f>
        <v>2.212543825477209</v>
      </c>
      <c r="L2571" s="16">
        <f>SUM(F$5:F2571)/SUM(E$5:E2571)</f>
        <v>0.76264904930712019</v>
      </c>
    </row>
    <row r="2572" spans="1:13" x14ac:dyDescent="0.25">
      <c r="A2572" s="29">
        <v>46051</v>
      </c>
      <c r="B2572" s="16" t="s">
        <v>2618</v>
      </c>
      <c r="C2572" s="34">
        <v>1</v>
      </c>
      <c r="D2572" s="16" t="s">
        <v>50</v>
      </c>
      <c r="E2572" s="35">
        <v>4.0999999999999996</v>
      </c>
      <c r="F2572" s="35">
        <v>3.3</v>
      </c>
      <c r="G2572" s="16" t="s">
        <v>45</v>
      </c>
      <c r="H2572" s="16" t="s">
        <v>45</v>
      </c>
      <c r="I2572" s="16">
        <f>COUNTIF(G$5:G2572,"Y")/COUNTA(G$5:G2572)</f>
        <v>0.88278816199376942</v>
      </c>
      <c r="J2572" s="16">
        <f>COUNTIF(H$5:H2572,"Y")/COUNTA(H$5:H2572)</f>
        <v>4.8286604361370715E-2</v>
      </c>
      <c r="K2572" s="16">
        <f>AVERAGE(F$5:F2572)</f>
        <v>2.2129672897196242</v>
      </c>
      <c r="L2572" s="16">
        <f>SUM(F$5:F2572)/SUM(E$5:E2572)</f>
        <v>0.76267228537302023</v>
      </c>
    </row>
    <row r="2573" spans="1:13" x14ac:dyDescent="0.25">
      <c r="A2573" s="29">
        <v>46052</v>
      </c>
      <c r="B2573" s="16" t="s">
        <v>2619</v>
      </c>
      <c r="C2573" s="34">
        <v>1</v>
      </c>
      <c r="D2573" s="16" t="s">
        <v>56</v>
      </c>
      <c r="E2573" s="35">
        <v>2.5</v>
      </c>
      <c r="F2573" s="35">
        <v>1.9</v>
      </c>
      <c r="G2573" s="16" t="s">
        <v>44</v>
      </c>
      <c r="H2573" s="16" t="s">
        <v>45</v>
      </c>
      <c r="I2573" s="16">
        <f>COUNTIF(G$5:G2573,"Y")/COUNTA(G$5:G2573)</f>
        <v>0.8828337874659401</v>
      </c>
      <c r="J2573" s="16">
        <f>COUNTIF(H$5:H2573,"Y")/COUNTA(H$5:H2573)</f>
        <v>4.8267808485792138E-2</v>
      </c>
      <c r="K2573" s="16">
        <f>AVERAGE(F$5:F2573)</f>
        <v>2.2128454651615392</v>
      </c>
      <c r="L2573" s="16">
        <f>SUM(F$5:F2573)/SUM(E$5:E2573)</f>
        <v>0.76267138909012655</v>
      </c>
    </row>
    <row r="2574" spans="1:13" x14ac:dyDescent="0.25">
      <c r="A2574" s="29">
        <v>46048</v>
      </c>
      <c r="B2574" s="16" t="s">
        <v>2620</v>
      </c>
      <c r="C2574" s="34">
        <v>1</v>
      </c>
      <c r="D2574" s="16" t="s">
        <v>60</v>
      </c>
      <c r="E2574" s="35">
        <v>4.5999999999999996</v>
      </c>
      <c r="F2574" s="35">
        <v>3.4</v>
      </c>
      <c r="G2574" s="16" t="s">
        <v>44</v>
      </c>
      <c r="H2574" s="16" t="s">
        <v>45</v>
      </c>
      <c r="I2574" s="16">
        <f>COUNTIF(G$5:G2574,"Y")/COUNTA(G$5:G2574)</f>
        <v>0.88287937743190659</v>
      </c>
      <c r="J2574" s="16">
        <f>COUNTIF(H$5:H2574,"Y")/COUNTA(H$5:H2574)</f>
        <v>4.8249027237354088E-2</v>
      </c>
      <c r="K2574" s="16">
        <f>AVERAGE(F$5:F2574)</f>
        <v>2.2133073929961067</v>
      </c>
      <c r="L2574" s="16">
        <f>SUM(F$5:F2574)/SUM(E$5:E2574)</f>
        <v>0.76265687010618688</v>
      </c>
    </row>
    <row r="2575" spans="1:13" x14ac:dyDescent="0.25">
      <c r="A2575" s="29">
        <v>46049</v>
      </c>
      <c r="B2575" s="16" t="s">
        <v>2621</v>
      </c>
      <c r="C2575" s="34">
        <v>1</v>
      </c>
      <c r="D2575" s="16" t="s">
        <v>50</v>
      </c>
      <c r="E2575" s="35">
        <v>3.3</v>
      </c>
      <c r="F2575" s="35">
        <v>2.6</v>
      </c>
      <c r="G2575" s="16" t="s">
        <v>44</v>
      </c>
      <c r="H2575" s="16" t="s">
        <v>45</v>
      </c>
      <c r="I2575" s="16">
        <f>COUNTIF(G$5:G2575,"Y")/COUNTA(G$5:G2575)</f>
        <v>0.88292493193309995</v>
      </c>
      <c r="J2575" s="16">
        <f>COUNTIF(H$5:H2575,"Y")/COUNTA(H$5:H2575)</f>
        <v>4.8230260598988724E-2</v>
      </c>
      <c r="K2575" s="16">
        <f>AVERAGE(F$5:F2575)</f>
        <v>2.2134577985219739</v>
      </c>
      <c r="L2575" s="16">
        <f>SUM(F$5:F2575)/SUM(E$5:E2575)</f>
        <v>0.76266802471286499</v>
      </c>
    </row>
    <row r="2576" spans="1:13" x14ac:dyDescent="0.25">
      <c r="A2576" s="29">
        <v>46050</v>
      </c>
      <c r="B2576" s="16" t="s">
        <v>2622</v>
      </c>
      <c r="C2576" s="34">
        <v>1</v>
      </c>
      <c r="D2576" s="16" t="s">
        <v>50</v>
      </c>
      <c r="E2576" s="35">
        <v>2.8</v>
      </c>
      <c r="F2576" s="35">
        <v>2.1</v>
      </c>
      <c r="G2576" s="16" t="s">
        <v>44</v>
      </c>
      <c r="H2576" s="16" t="s">
        <v>45</v>
      </c>
      <c r="I2576" s="16">
        <f>COUNTIF(G$5:G2576,"Y")/COUNTA(G$5:G2576)</f>
        <v>0.88297045101088645</v>
      </c>
      <c r="J2576" s="16">
        <f>COUNTIF(H$5:H2576,"Y")/COUNTA(H$5:H2576)</f>
        <v>4.821150855365474E-2</v>
      </c>
      <c r="K2576" s="16">
        <f>AVERAGE(F$5:F2576)</f>
        <v>2.2134136858475877</v>
      </c>
      <c r="L2576" s="16">
        <f>SUM(F$5:F2576)/SUM(E$5:E2576)</f>
        <v>0.76266327282470159</v>
      </c>
    </row>
    <row r="2577" spans="1:12" x14ac:dyDescent="0.25">
      <c r="A2577" s="29">
        <v>46051</v>
      </c>
      <c r="B2577" s="16" t="s">
        <v>2623</v>
      </c>
      <c r="C2577" s="34">
        <v>1</v>
      </c>
      <c r="D2577" s="16" t="s">
        <v>43</v>
      </c>
      <c r="E2577" s="35">
        <v>3.5</v>
      </c>
      <c r="F2577" s="35">
        <v>3.1</v>
      </c>
      <c r="G2577" s="16" t="s">
        <v>44</v>
      </c>
      <c r="H2577" s="16" t="s">
        <v>45</v>
      </c>
      <c r="I2577" s="16">
        <f>COUNTIF(G$5:G2577,"Y")/COUNTA(G$5:G2577)</f>
        <v>0.88301593470656825</v>
      </c>
      <c r="J2577" s="16">
        <f>COUNTIF(H$5:H2577,"Y")/COUNTA(H$5:H2577)</f>
        <v>4.8192771084337352E-2</v>
      </c>
      <c r="K2577" s="16">
        <f>AVERAGE(F$5:F2577)</f>
        <v>2.2137582588418172</v>
      </c>
      <c r="L2577" s="16">
        <f>SUM(F$5:F2577)/SUM(E$5:E2577)</f>
        <v>0.76272094268880353</v>
      </c>
    </row>
    <row r="2578" spans="1:12" x14ac:dyDescent="0.25">
      <c r="A2578" s="29">
        <v>46052</v>
      </c>
      <c r="B2578" s="16" t="s">
        <v>2624</v>
      </c>
      <c r="C2578" s="34">
        <v>1</v>
      </c>
      <c r="D2578" s="16" t="s">
        <v>64</v>
      </c>
      <c r="E2578" s="35">
        <v>3.4</v>
      </c>
      <c r="F2578" s="35">
        <v>2.4</v>
      </c>
      <c r="G2578" s="16" t="s">
        <v>44</v>
      </c>
      <c r="H2578" s="16" t="s">
        <v>45</v>
      </c>
      <c r="I2578" s="16">
        <f>COUNTIF(G$5:G2578,"Y")/COUNTA(G$5:G2578)</f>
        <v>0.88306138306138304</v>
      </c>
      <c r="J2578" s="16">
        <f>COUNTIF(H$5:H2578,"Y")/COUNTA(H$5:H2578)</f>
        <v>4.8174048174048176E-2</v>
      </c>
      <c r="K2578" s="16">
        <f>AVERAGE(F$5:F2578)</f>
        <v>2.2138306138306119</v>
      </c>
      <c r="L2578" s="16">
        <f>SUM(F$5:F2578)/SUM(E$5:E2578)</f>
        <v>0.76269507722782681</v>
      </c>
    </row>
    <row r="2579" spans="1:12" x14ac:dyDescent="0.25">
      <c r="A2579" s="29">
        <v>46048</v>
      </c>
      <c r="B2579" s="16" t="s">
        <v>2625</v>
      </c>
      <c r="C2579" s="34">
        <v>1</v>
      </c>
      <c r="D2579" s="16" t="s">
        <v>64</v>
      </c>
      <c r="E2579" s="35">
        <v>2.8</v>
      </c>
      <c r="F2579" s="35">
        <v>2.1</v>
      </c>
      <c r="G2579" s="16" t="s">
        <v>44</v>
      </c>
      <c r="H2579" s="16" t="s">
        <v>45</v>
      </c>
      <c r="I2579" s="16">
        <f>COUNTIF(G$5:G2579,"Y")/COUNTA(G$5:G2579)</f>
        <v>0.88310679611650489</v>
      </c>
      <c r="J2579" s="16">
        <f>COUNTIF(H$5:H2579,"Y")/COUNTA(H$5:H2579)</f>
        <v>4.8155339805825245E-2</v>
      </c>
      <c r="K2579" s="16">
        <f>AVERAGE(F$5:F2579)</f>
        <v>2.2137864077669884</v>
      </c>
      <c r="L2579" s="16">
        <f>SUM(F$5:F2579)/SUM(E$5:E2579)</f>
        <v>0.76269032137218495</v>
      </c>
    </row>
    <row r="2580" spans="1:12" x14ac:dyDescent="0.25">
      <c r="A2580" s="29">
        <v>46049</v>
      </c>
      <c r="B2580" s="16" t="s">
        <v>2626</v>
      </c>
      <c r="C2580" s="34">
        <v>1</v>
      </c>
      <c r="D2580" s="16" t="s">
        <v>60</v>
      </c>
      <c r="E2580" s="35">
        <v>1.7</v>
      </c>
      <c r="F2580" s="35">
        <v>1.4</v>
      </c>
      <c r="G2580" s="16" t="s">
        <v>45</v>
      </c>
      <c r="H2580" s="16" t="s">
        <v>45</v>
      </c>
      <c r="I2580" s="16">
        <f>COUNTIF(G$5:G2580,"Y")/COUNTA(G$5:G2580)</f>
        <v>0.88276397515527949</v>
      </c>
      <c r="J2580" s="16">
        <f>COUNTIF(H$5:H2580,"Y")/COUNTA(H$5:H2580)</f>
        <v>4.813664596273292E-2</v>
      </c>
      <c r="K2580" s="16">
        <f>AVERAGE(F$5:F2580)</f>
        <v>2.2134704968944079</v>
      </c>
      <c r="L2580" s="16">
        <f>SUM(F$5:F2580)/SUM(E$5:E2580)</f>
        <v>0.76270415602134656</v>
      </c>
    </row>
    <row r="2581" spans="1:12" x14ac:dyDescent="0.25">
      <c r="A2581" s="29">
        <v>46050</v>
      </c>
      <c r="B2581" s="16" t="s">
        <v>2627</v>
      </c>
      <c r="C2581" s="34">
        <v>1</v>
      </c>
      <c r="D2581" s="16" t="s">
        <v>64</v>
      </c>
      <c r="E2581" s="35">
        <v>2.1</v>
      </c>
      <c r="F2581" s="35">
        <v>1.7</v>
      </c>
      <c r="G2581" s="16" t="s">
        <v>44</v>
      </c>
      <c r="H2581" s="16" t="s">
        <v>45</v>
      </c>
      <c r="I2581" s="16">
        <f>COUNTIF(G$5:G2581,"Y")/COUNTA(G$5:G2581)</f>
        <v>0.88280946837407837</v>
      </c>
      <c r="J2581" s="16">
        <f>COUNTIF(H$5:H2581,"Y")/COUNTA(H$5:H2581)</f>
        <v>4.8117966627861858E-2</v>
      </c>
      <c r="K2581" s="16">
        <f>AVERAGE(F$5:F2581)</f>
        <v>2.2132712456344565</v>
      </c>
      <c r="L2581" s="16">
        <f>SUM(F$5:F2581)/SUM(E$5:E2581)</f>
        <v>0.76271730409200111</v>
      </c>
    </row>
    <row r="2582" spans="1:12" x14ac:dyDescent="0.25">
      <c r="A2582" s="29">
        <v>46051</v>
      </c>
      <c r="B2582" s="16" t="s">
        <v>2628</v>
      </c>
      <c r="C2582" s="34">
        <v>1</v>
      </c>
      <c r="D2582" s="16" t="s">
        <v>52</v>
      </c>
      <c r="E2582" s="35">
        <v>1.5</v>
      </c>
      <c r="F2582" s="35">
        <v>1.2</v>
      </c>
      <c r="G2582" s="16" t="s">
        <v>44</v>
      </c>
      <c r="H2582" s="16" t="s">
        <v>45</v>
      </c>
      <c r="I2582" s="16">
        <f>COUNTIF(G$5:G2582,"Y")/COUNTA(G$5:G2582)</f>
        <v>0.88285492629945694</v>
      </c>
      <c r="J2582" s="16">
        <f>COUNTIF(H$5:H2582,"Y")/COUNTA(H$5:H2582)</f>
        <v>4.8099301784328939E-2</v>
      </c>
      <c r="K2582" s="16">
        <f>AVERAGE(F$5:F2582)</f>
        <v>2.2128782001551568</v>
      </c>
      <c r="L2582" s="16">
        <f>SUM(F$5:F2582)/SUM(E$5:E2582)</f>
        <v>0.76272478106825115</v>
      </c>
    </row>
    <row r="2583" spans="1:12" x14ac:dyDescent="0.25">
      <c r="A2583" s="29">
        <v>46052</v>
      </c>
      <c r="B2583" s="16" t="s">
        <v>2629</v>
      </c>
      <c r="C2583" s="34">
        <v>1</v>
      </c>
      <c r="D2583" s="16" t="s">
        <v>47</v>
      </c>
      <c r="E2583" s="35">
        <v>4.7</v>
      </c>
      <c r="F2583" s="35">
        <v>3.6</v>
      </c>
      <c r="G2583" s="16" t="s">
        <v>44</v>
      </c>
      <c r="H2583" s="16" t="s">
        <v>45</v>
      </c>
      <c r="I2583" s="16">
        <f>COUNTIF(G$5:G2583,"Y")/COUNTA(G$5:G2583)</f>
        <v>0.88290034897246994</v>
      </c>
      <c r="J2583" s="16">
        <f>COUNTIF(H$5:H2583,"Y")/COUNTA(H$5:H2583)</f>
        <v>4.8080651415277238E-2</v>
      </c>
      <c r="K2583" s="16">
        <f>AVERAGE(F$5:F2583)</f>
        <v>2.2134160527336157</v>
      </c>
      <c r="L2583" s="16">
        <f>SUM(F$5:F2583)/SUM(E$5:E2583)</f>
        <v>0.76272681114881813</v>
      </c>
    </row>
    <row r="2584" spans="1:12" x14ac:dyDescent="0.25">
      <c r="A2584" s="29">
        <v>46048</v>
      </c>
      <c r="B2584" s="16" t="s">
        <v>2630</v>
      </c>
      <c r="C2584" s="34">
        <v>1</v>
      </c>
      <c r="D2584" s="16" t="s">
        <v>64</v>
      </c>
      <c r="E2584" s="35">
        <v>3.6</v>
      </c>
      <c r="F2584" s="35">
        <v>2.6</v>
      </c>
      <c r="G2584" s="16" t="s">
        <v>44</v>
      </c>
      <c r="H2584" s="16" t="s">
        <v>45</v>
      </c>
      <c r="I2584" s="16">
        <f>COUNTIF(G$5:G2584,"Y")/COUNTA(G$5:G2584)</f>
        <v>0.88294573643410856</v>
      </c>
      <c r="J2584" s="16">
        <f>COUNTIF(H$5:H2584,"Y")/COUNTA(H$5:H2584)</f>
        <v>4.8062015503875968E-2</v>
      </c>
      <c r="K2584" s="16">
        <f>AVERAGE(F$5:F2584)</f>
        <v>2.2135658914728666</v>
      </c>
      <c r="L2584" s="16">
        <f>SUM(F$5:F2584)/SUM(E$5:E2584)</f>
        <v>0.76270733726862161</v>
      </c>
    </row>
    <row r="2585" spans="1:12" x14ac:dyDescent="0.25">
      <c r="A2585" s="29">
        <v>46049</v>
      </c>
      <c r="B2585" s="16" t="s">
        <v>2631</v>
      </c>
      <c r="C2585" s="34">
        <v>1</v>
      </c>
      <c r="D2585" s="16" t="s">
        <v>64</v>
      </c>
      <c r="E2585" s="35">
        <v>4.7</v>
      </c>
      <c r="F2585" s="35">
        <v>3.3</v>
      </c>
      <c r="G2585" s="16" t="s">
        <v>44</v>
      </c>
      <c r="H2585" s="16" t="s">
        <v>45</v>
      </c>
      <c r="I2585" s="16">
        <f>COUNTIF(G$5:G2585,"Y")/COUNTA(G$5:G2585)</f>
        <v>0.8829910887253003</v>
      </c>
      <c r="J2585" s="16">
        <f>COUNTIF(H$5:H2585,"Y")/COUNTA(H$5:H2585)</f>
        <v>4.8043394033320419E-2</v>
      </c>
      <c r="K2585" s="16">
        <f>AVERAGE(F$5:F2585)</f>
        <v>2.2139868268113116</v>
      </c>
      <c r="L2585" s="16">
        <f>SUM(F$5:F2585)/SUM(E$5:E2585)</f>
        <v>0.7626693360026674</v>
      </c>
    </row>
    <row r="2586" spans="1:12" x14ac:dyDescent="0.25">
      <c r="A2586" s="29">
        <v>46050</v>
      </c>
      <c r="B2586" s="16" t="s">
        <v>2632</v>
      </c>
      <c r="C2586" s="34">
        <v>1</v>
      </c>
      <c r="D2586" s="16" t="s">
        <v>50</v>
      </c>
      <c r="E2586" s="35">
        <v>1.1000000000000001</v>
      </c>
      <c r="F2586" s="35">
        <v>1</v>
      </c>
      <c r="G2586" s="16" t="s">
        <v>44</v>
      </c>
      <c r="H2586" s="16" t="s">
        <v>45</v>
      </c>
      <c r="I2586" s="16">
        <f>COUNTIF(G$5:G2586,"Y")/COUNTA(G$5:G2586)</f>
        <v>0.88303640588690935</v>
      </c>
      <c r="J2586" s="16">
        <f>COUNTIF(H$5:H2586,"Y")/COUNTA(H$5:H2586)</f>
        <v>4.8024786986831915E-2</v>
      </c>
      <c r="K2586" s="16">
        <f>AVERAGE(F$5:F2586)</f>
        <v>2.2135166537567761</v>
      </c>
      <c r="L2586" s="16">
        <f>SUM(F$5:F2586)/SUM(E$5:E2586)</f>
        <v>0.76269082950784473</v>
      </c>
    </row>
    <row r="2587" spans="1:12" x14ac:dyDescent="0.25">
      <c r="A2587" s="29">
        <v>46051</v>
      </c>
      <c r="B2587" s="16" t="s">
        <v>2633</v>
      </c>
      <c r="C2587" s="34">
        <v>1</v>
      </c>
      <c r="D2587" s="16" t="s">
        <v>47</v>
      </c>
      <c r="E2587" s="35">
        <v>2.2000000000000002</v>
      </c>
      <c r="F2587" s="35">
        <v>1.7</v>
      </c>
      <c r="G2587" s="16" t="s">
        <v>44</v>
      </c>
      <c r="H2587" s="16" t="s">
        <v>45</v>
      </c>
      <c r="I2587" s="16">
        <f>COUNTIF(G$5:G2587,"Y")/COUNTA(G$5:G2587)</f>
        <v>0.88308168795973674</v>
      </c>
      <c r="J2587" s="16">
        <f>COUNTIF(H$5:H2587,"Y")/COUNTA(H$5:H2587)</f>
        <v>4.8006194347657766E-2</v>
      </c>
      <c r="K2587" s="16">
        <f>AVERAGE(F$5:F2587)</f>
        <v>2.2133178474641872</v>
      </c>
      <c r="L2587" s="16">
        <f>SUM(F$5:F2587)/SUM(E$5:E2587)</f>
        <v>0.76269377518076586</v>
      </c>
    </row>
    <row r="2588" spans="1:12" x14ac:dyDescent="0.25">
      <c r="A2588" s="29">
        <v>46052</v>
      </c>
      <c r="B2588" s="16" t="s">
        <v>2634</v>
      </c>
      <c r="C2588" s="34">
        <v>1</v>
      </c>
      <c r="D2588" s="16" t="s">
        <v>43</v>
      </c>
      <c r="E2588" s="35">
        <v>4.7</v>
      </c>
      <c r="F2588" s="35">
        <v>3.4</v>
      </c>
      <c r="G2588" s="16" t="s">
        <v>44</v>
      </c>
      <c r="H2588" s="16" t="s">
        <v>45</v>
      </c>
      <c r="I2588" s="16">
        <f>COUNTIF(G$5:G2588,"Y")/COUNTA(G$5:G2588)</f>
        <v>0.88312693498452011</v>
      </c>
      <c r="J2588" s="16">
        <f>COUNTIF(H$5:H2588,"Y")/COUNTA(H$5:H2588)</f>
        <v>4.7987616099071206E-2</v>
      </c>
      <c r="K2588" s="16">
        <f>AVERAGE(F$5:F2588)</f>
        <v>2.2137770897832798</v>
      </c>
      <c r="L2588" s="16">
        <f>SUM(F$5:F2588)/SUM(E$5:E2588)</f>
        <v>0.76266915538963864</v>
      </c>
    </row>
    <row r="2589" spans="1:12" x14ac:dyDescent="0.25">
      <c r="A2589" s="29">
        <v>46048</v>
      </c>
      <c r="B2589" s="16" t="s">
        <v>2635</v>
      </c>
      <c r="C2589" s="34">
        <v>1</v>
      </c>
      <c r="D2589" s="16" t="s">
        <v>47</v>
      </c>
      <c r="E2589" s="35">
        <v>1.4</v>
      </c>
      <c r="F2589" s="35">
        <v>1.3</v>
      </c>
      <c r="G2589" s="16" t="s">
        <v>44</v>
      </c>
      <c r="H2589" s="16" t="s">
        <v>45</v>
      </c>
      <c r="I2589" s="16">
        <f>COUNTIF(G$5:G2589,"Y")/COUNTA(G$5:G2589)</f>
        <v>0.88317214700193425</v>
      </c>
      <c r="J2589" s="16">
        <f>COUNTIF(H$5:H2589,"Y")/COUNTA(H$5:H2589)</f>
        <v>4.7969052224371374E-2</v>
      </c>
      <c r="K2589" s="16">
        <f>AVERAGE(F$5:F2589)</f>
        <v>2.2134235976789149</v>
      </c>
      <c r="L2589" s="16">
        <f>SUM(F$5:F2589)/SUM(E$5:E2589)</f>
        <v>0.76270011597061882</v>
      </c>
    </row>
    <row r="2590" spans="1:12" x14ac:dyDescent="0.25">
      <c r="A2590" s="29">
        <v>46049</v>
      </c>
      <c r="B2590" s="16" t="s">
        <v>2636</v>
      </c>
      <c r="C2590" s="34">
        <v>1</v>
      </c>
      <c r="D2590" s="16" t="s">
        <v>64</v>
      </c>
      <c r="E2590" s="35">
        <v>2.9</v>
      </c>
      <c r="F2590" s="35">
        <v>2.1</v>
      </c>
      <c r="G2590" s="16" t="s">
        <v>44</v>
      </c>
      <c r="H2590" s="16" t="s">
        <v>45</v>
      </c>
      <c r="I2590" s="16">
        <f>COUNTIF(G$5:G2590,"Y")/COUNTA(G$5:G2590)</f>
        <v>0.8832173240525909</v>
      </c>
      <c r="J2590" s="16">
        <f>COUNTIF(H$5:H2590,"Y")/COUNTA(H$5:H2590)</f>
        <v>4.7950502706883218E-2</v>
      </c>
      <c r="K2590" s="16">
        <f>AVERAGE(F$5:F2590)</f>
        <v>2.2133797370456287</v>
      </c>
      <c r="L2590" s="16">
        <f>SUM(F$5:F2590)/SUM(E$5:E2590)</f>
        <v>0.76268521479586204</v>
      </c>
    </row>
    <row r="2591" spans="1:12" x14ac:dyDescent="0.25">
      <c r="A2591" s="29">
        <v>46050</v>
      </c>
      <c r="B2591" s="16" t="s">
        <v>2637</v>
      </c>
      <c r="C2591" s="34">
        <v>1</v>
      </c>
      <c r="D2591" s="16" t="s">
        <v>52</v>
      </c>
      <c r="E2591" s="35">
        <v>4.0999999999999996</v>
      </c>
      <c r="F2591" s="35">
        <v>3.6</v>
      </c>
      <c r="G2591" s="16" t="s">
        <v>44</v>
      </c>
      <c r="H2591" s="16" t="s">
        <v>44</v>
      </c>
      <c r="I2591" s="16">
        <f>COUNTIF(G$5:G2591,"Y")/COUNTA(G$5:G2591)</f>
        <v>0.88326246617703907</v>
      </c>
      <c r="J2591" s="16">
        <f>COUNTIF(H$5:H2591,"Y")/COUNTA(H$5:H2591)</f>
        <v>4.8318515655199075E-2</v>
      </c>
      <c r="K2591" s="16">
        <f>AVERAGE(F$5:F2591)</f>
        <v>2.213915732508696</v>
      </c>
      <c r="L2591" s="16">
        <f>SUM(F$5:F2591)/SUM(E$5:E2591)</f>
        <v>0.76274820546284883</v>
      </c>
    </row>
    <row r="2592" spans="1:12" x14ac:dyDescent="0.25">
      <c r="A2592" s="29">
        <v>46051</v>
      </c>
      <c r="B2592" s="16" t="s">
        <v>2638</v>
      </c>
      <c r="C2592" s="34">
        <v>1</v>
      </c>
      <c r="D2592" s="16" t="s">
        <v>60</v>
      </c>
      <c r="E2592" s="35">
        <v>4.8</v>
      </c>
      <c r="F2592" s="35">
        <v>3.3</v>
      </c>
      <c r="G2592" s="16" t="s">
        <v>44</v>
      </c>
      <c r="H2592" s="16" t="s">
        <v>45</v>
      </c>
      <c r="I2592" s="16">
        <f>COUNTIF(G$5:G2592,"Y")/COUNTA(G$5:G2592)</f>
        <v>0.88330757341576505</v>
      </c>
      <c r="J2592" s="16">
        <f>COUNTIF(H$5:H2592,"Y")/COUNTA(H$5:H2592)</f>
        <v>4.8299845440494593E-2</v>
      </c>
      <c r="K2592" s="16">
        <f>AVERAGE(F$5:F2592)</f>
        <v>2.2143353941267372</v>
      </c>
      <c r="L2592" s="16">
        <f>SUM(F$5:F2592)/SUM(E$5:E2592)</f>
        <v>0.76270013442112217</v>
      </c>
    </row>
    <row r="2593" spans="1:13" x14ac:dyDescent="0.25">
      <c r="A2593" s="29">
        <v>46052</v>
      </c>
      <c r="B2593" s="16" t="s">
        <v>2639</v>
      </c>
      <c r="C2593" s="34">
        <v>1</v>
      </c>
      <c r="D2593" s="16" t="s">
        <v>50</v>
      </c>
      <c r="E2593" s="35">
        <v>4.2</v>
      </c>
      <c r="F2593" s="35">
        <v>3.4</v>
      </c>
      <c r="G2593" s="16" t="s">
        <v>44</v>
      </c>
      <c r="H2593" s="16" t="s">
        <v>45</v>
      </c>
      <c r="I2593" s="16">
        <f>COUNTIF(G$5:G2593,"Y")/COUNTA(G$5:G2593)</f>
        <v>0.8833526458091927</v>
      </c>
      <c r="J2593" s="16">
        <f>COUNTIF(H$5:H2593,"Y")/COUNTA(H$5:H2593)</f>
        <v>4.828118964851294E-2</v>
      </c>
      <c r="K2593" s="16">
        <f>AVERAGE(F$5:F2593)</f>
        <v>2.2147933565083027</v>
      </c>
      <c r="L2593" s="16">
        <f>SUM(F$5:F2593)/SUM(E$5:E2593)</f>
        <v>0.76272629324678243</v>
      </c>
    </row>
    <row r="2594" spans="1:13" x14ac:dyDescent="0.25">
      <c r="A2594" s="29">
        <v>46048</v>
      </c>
      <c r="B2594" s="16" t="s">
        <v>2640</v>
      </c>
      <c r="C2594" s="34">
        <v>1</v>
      </c>
      <c r="D2594" s="16" t="s">
        <v>56</v>
      </c>
      <c r="E2594" s="35">
        <v>2.6</v>
      </c>
      <c r="F2594" s="35">
        <v>2</v>
      </c>
      <c r="G2594" s="16" t="s">
        <v>44</v>
      </c>
      <c r="H2594" s="16" t="s">
        <v>44</v>
      </c>
      <c r="I2594" s="16">
        <f>COUNTIF(G$5:G2594,"Y")/COUNTA(G$5:G2594)</f>
        <v>0.88339768339768343</v>
      </c>
      <c r="J2594" s="16">
        <f>COUNTIF(H$5:H2594,"Y")/COUNTA(H$5:H2594)</f>
        <v>4.8648648648648651E-2</v>
      </c>
      <c r="K2594" s="16">
        <f>AVERAGE(F$5:F2594)</f>
        <v>2.214710424710423</v>
      </c>
      <c r="L2594" s="16">
        <f>SUM(F$5:F2594)/SUM(E$5:E2594)</f>
        <v>0.76272854198523843</v>
      </c>
    </row>
    <row r="2595" spans="1:13" x14ac:dyDescent="0.25">
      <c r="A2595" s="29">
        <v>46049</v>
      </c>
      <c r="B2595" s="16" t="s">
        <v>2641</v>
      </c>
      <c r="C2595" s="34">
        <v>1</v>
      </c>
      <c r="D2595" s="16" t="s">
        <v>52</v>
      </c>
      <c r="E2595" s="35">
        <v>3.3</v>
      </c>
      <c r="F2595" s="35">
        <v>2.9</v>
      </c>
      <c r="G2595" s="16" t="s">
        <v>44</v>
      </c>
      <c r="H2595" s="16" t="s">
        <v>45</v>
      </c>
      <c r="I2595" s="16">
        <f>COUNTIF(G$5:G2595,"Y")/COUNTA(G$5:G2595)</f>
        <v>0.8834426862215361</v>
      </c>
      <c r="J2595" s="16">
        <f>COUNTIF(H$5:H2595,"Y")/COUNTA(H$5:H2595)</f>
        <v>4.8629872636047858E-2</v>
      </c>
      <c r="K2595" s="16">
        <f>AVERAGE(F$5:F2595)</f>
        <v>2.21497491316094</v>
      </c>
      <c r="L2595" s="16">
        <f>SUM(F$5:F2595)/SUM(E$5:E2595)</f>
        <v>0.76277944655625951</v>
      </c>
    </row>
    <row r="2596" spans="1:13" x14ac:dyDescent="0.25">
      <c r="A2596" s="29">
        <v>46050</v>
      </c>
      <c r="B2596" s="16" t="s">
        <v>2642</v>
      </c>
      <c r="C2596" s="34">
        <v>1</v>
      </c>
      <c r="D2596" s="16" t="s">
        <v>60</v>
      </c>
      <c r="E2596" s="35">
        <v>4.8</v>
      </c>
      <c r="F2596" s="35">
        <v>3.3</v>
      </c>
      <c r="G2596" s="16" t="s">
        <v>44</v>
      </c>
      <c r="H2596" s="16" t="s">
        <v>45</v>
      </c>
      <c r="I2596" s="16">
        <f>COUNTIF(G$5:G2596,"Y")/COUNTA(G$5:G2596)</f>
        <v>0.88348765432098764</v>
      </c>
      <c r="J2596" s="16">
        <f>COUNTIF(H$5:H2596,"Y")/COUNTA(H$5:H2596)</f>
        <v>4.8611111111111112E-2</v>
      </c>
      <c r="K2596" s="16">
        <f>AVERAGE(F$5:F2596)</f>
        <v>2.2153935185185167</v>
      </c>
      <c r="L2596" s="16">
        <f>SUM(F$5:F2596)/SUM(E$5:E2596)</f>
        <v>0.7627314507345303</v>
      </c>
    </row>
    <row r="2597" spans="1:13" x14ac:dyDescent="0.25">
      <c r="A2597" s="29">
        <v>46051</v>
      </c>
      <c r="B2597" s="16" t="s">
        <v>2643</v>
      </c>
      <c r="C2597" s="34">
        <v>1</v>
      </c>
      <c r="D2597" s="16" t="s">
        <v>64</v>
      </c>
      <c r="E2597" s="35">
        <v>3.3</v>
      </c>
      <c r="F2597" s="35">
        <v>2.5</v>
      </c>
      <c r="G2597" s="16" t="s">
        <v>44</v>
      </c>
      <c r="H2597" s="16" t="s">
        <v>45</v>
      </c>
      <c r="I2597" s="16">
        <f>COUNTIF(G$5:G2597,"Y")/COUNTA(G$5:G2597)</f>
        <v>0.8835325877362129</v>
      </c>
      <c r="J2597" s="16">
        <f>COUNTIF(H$5:H2597,"Y")/COUNTA(H$5:H2597)</f>
        <v>4.8592364057076745E-2</v>
      </c>
      <c r="K2597" s="16">
        <f>AVERAGE(F$5:F2597)</f>
        <v>2.2155032780563038</v>
      </c>
      <c r="L2597" s="16">
        <f>SUM(F$5:F2597)/SUM(E$5:E2597)</f>
        <v>0.76272919183738297</v>
      </c>
    </row>
    <row r="2598" spans="1:13" x14ac:dyDescent="0.25">
      <c r="A2598" s="29">
        <v>46052</v>
      </c>
      <c r="B2598" s="16" t="s">
        <v>2644</v>
      </c>
      <c r="C2598" s="34">
        <v>1</v>
      </c>
      <c r="D2598" s="16" t="s">
        <v>52</v>
      </c>
      <c r="E2598" s="35">
        <v>3.7</v>
      </c>
      <c r="F2598" s="35">
        <v>3.3</v>
      </c>
      <c r="G2598" s="16" t="s">
        <v>44</v>
      </c>
      <c r="H2598" s="16" t="s">
        <v>45</v>
      </c>
      <c r="I2598" s="16">
        <f>COUNTIF(G$5:G2598,"Y")/COUNTA(G$5:G2598)</f>
        <v>0.88357748650732459</v>
      </c>
      <c r="J2598" s="16">
        <f>COUNTIF(H$5:H2598,"Y")/COUNTA(H$5:H2598)</f>
        <v>4.8573631457208943E-2</v>
      </c>
      <c r="K2598" s="16">
        <f>AVERAGE(F$5:F2598)</f>
        <v>2.2159213569776393</v>
      </c>
      <c r="L2598" s="16">
        <f>SUM(F$5:F2598)/SUM(E$5:E2598)</f>
        <v>0.76279261107277263</v>
      </c>
    </row>
    <row r="2599" spans="1:13" x14ac:dyDescent="0.25">
      <c r="A2599" s="29">
        <v>46048</v>
      </c>
      <c r="B2599" s="16" t="s">
        <v>2645</v>
      </c>
      <c r="C2599" s="34">
        <v>1</v>
      </c>
      <c r="D2599" s="16" t="s">
        <v>64</v>
      </c>
      <c r="E2599" s="35">
        <v>0.6</v>
      </c>
      <c r="F2599" s="35">
        <v>0.5</v>
      </c>
      <c r="G2599" s="16" t="s">
        <v>44</v>
      </c>
      <c r="H2599" s="16" t="s">
        <v>45</v>
      </c>
      <c r="I2599" s="16">
        <f>COUNTIF(G$5:G2599,"Y")/COUNTA(G$5:G2599)</f>
        <v>0.88362235067437378</v>
      </c>
      <c r="J2599" s="16">
        <f>COUNTIF(H$5:H2599,"Y")/COUNTA(H$5:H2599)</f>
        <v>4.8554913294797684E-2</v>
      </c>
      <c r="K2599" s="16">
        <f>AVERAGE(F$5:F2599)</f>
        <v>2.2152601156069349</v>
      </c>
      <c r="L2599" s="16">
        <f>SUM(F$5:F2599)/SUM(E$5:E2599)</f>
        <v>0.76279822722326707</v>
      </c>
    </row>
    <row r="2600" spans="1:13" x14ac:dyDescent="0.25">
      <c r="A2600" s="29">
        <v>46049</v>
      </c>
      <c r="B2600" s="16" t="s">
        <v>2646</v>
      </c>
      <c r="C2600" s="34">
        <v>1</v>
      </c>
      <c r="D2600" s="16" t="s">
        <v>47</v>
      </c>
      <c r="E2600" s="35">
        <v>0.6</v>
      </c>
      <c r="F2600" s="35">
        <v>0.5</v>
      </c>
      <c r="G2600" s="16" t="s">
        <v>44</v>
      </c>
      <c r="H2600" s="16" t="s">
        <v>45</v>
      </c>
      <c r="I2600" s="16">
        <f>COUNTIF(G$5:G2600,"Y")/COUNTA(G$5:G2600)</f>
        <v>0.88366718027734981</v>
      </c>
      <c r="J2600" s="16">
        <f>COUNTIF(H$5:H2600,"Y")/COUNTA(H$5:H2600)</f>
        <v>4.8536209553158703E-2</v>
      </c>
      <c r="K2600" s="16">
        <f>AVERAGE(F$5:F2600)</f>
        <v>2.2145993836671787</v>
      </c>
      <c r="L2600" s="16">
        <f>SUM(F$5:F2600)/SUM(E$5:E2600)</f>
        <v>0.7628038424795649</v>
      </c>
    </row>
    <row r="2601" spans="1:13" x14ac:dyDescent="0.25">
      <c r="A2601" s="29">
        <v>46050</v>
      </c>
      <c r="B2601" s="16" t="s">
        <v>2647</v>
      </c>
      <c r="C2601" s="34">
        <v>1</v>
      </c>
      <c r="D2601" s="16" t="s">
        <v>64</v>
      </c>
      <c r="E2601" s="35">
        <v>0.7</v>
      </c>
      <c r="F2601" s="35">
        <v>0.5</v>
      </c>
      <c r="G2601" s="16" t="s">
        <v>44</v>
      </c>
      <c r="H2601" s="16" t="s">
        <v>45</v>
      </c>
      <c r="I2601" s="16">
        <f>COUNTIF(G$5:G2601,"Y")/COUNTA(G$5:G2601)</f>
        <v>0.88371197535618018</v>
      </c>
      <c r="J2601" s="16">
        <f>COUNTIF(H$5:H2601,"Y")/COUNTA(H$5:H2601)</f>
        <v>4.8517520215633422E-2</v>
      </c>
      <c r="K2601" s="16">
        <f>AVERAGE(F$5:F2601)</f>
        <v>2.2139391605698866</v>
      </c>
      <c r="L2601" s="16">
        <f>SUM(F$5:F2601)/SUM(E$5:E2601)</f>
        <v>0.76279933665008093</v>
      </c>
    </row>
    <row r="2602" spans="1:13" x14ac:dyDescent="0.25">
      <c r="A2602" s="29">
        <v>46051</v>
      </c>
      <c r="B2602" s="16" t="s">
        <v>2648</v>
      </c>
      <c r="C2602" s="34">
        <v>1</v>
      </c>
      <c r="D2602" s="16" t="s">
        <v>64</v>
      </c>
      <c r="E2602" s="35">
        <v>0.6</v>
      </c>
      <c r="F2602" s="35">
        <v>0.5</v>
      </c>
      <c r="G2602" s="16" t="s">
        <v>44</v>
      </c>
      <c r="H2602" s="16" t="s">
        <v>45</v>
      </c>
      <c r="I2602" s="16">
        <f>COUNTIF(G$5:G2602,"Y")/COUNTA(G$5:G2602)</f>
        <v>0.88375673595073134</v>
      </c>
      <c r="J2602" s="16">
        <f>COUNTIF(H$5:H2602,"Y")/COUNTA(H$5:H2602)</f>
        <v>4.8498845265588918E-2</v>
      </c>
      <c r="K2602" s="16">
        <f>AVERAGE(F$5:F2602)</f>
        <v>2.2132794457274811</v>
      </c>
      <c r="L2602" s="16">
        <f>SUM(F$5:F2602)/SUM(E$5:E2602)</f>
        <v>0.76280495084968158</v>
      </c>
    </row>
    <row r="2603" spans="1:13" x14ac:dyDescent="0.25">
      <c r="A2603" s="29">
        <v>46052</v>
      </c>
      <c r="B2603" s="16" t="s">
        <v>2649</v>
      </c>
      <c r="C2603" s="34">
        <v>1</v>
      </c>
      <c r="D2603" s="16" t="s">
        <v>47</v>
      </c>
      <c r="E2603" s="35">
        <v>0.6</v>
      </c>
      <c r="F2603" s="35">
        <v>0.5</v>
      </c>
      <c r="G2603" s="16" t="s">
        <v>44</v>
      </c>
      <c r="H2603" s="16" t="s">
        <v>45</v>
      </c>
      <c r="I2603" s="16">
        <f>COUNTIF(G$5:G2603,"Y")/COUNTA(G$5:G2603)</f>
        <v>0.88380146210080801</v>
      </c>
      <c r="J2603" s="16">
        <f>COUNTIF(H$5:H2603,"Y")/COUNTA(H$5:H2603)</f>
        <v>4.8480184686417856E-2</v>
      </c>
      <c r="K2603" s="16">
        <f>AVERAGE(F$5:F2603)</f>
        <v>2.212620238553288</v>
      </c>
      <c r="L2603" s="16">
        <f>SUM(F$5:F2603)/SUM(E$5:E2603)</f>
        <v>0.76281056415562154</v>
      </c>
    </row>
    <row r="2604" spans="1:13" x14ac:dyDescent="0.25">
      <c r="A2604" s="29">
        <v>46048</v>
      </c>
      <c r="B2604" s="16" t="s">
        <v>2650</v>
      </c>
      <c r="C2604" s="34">
        <v>1</v>
      </c>
      <c r="D2604" s="16" t="s">
        <v>56</v>
      </c>
      <c r="E2604" s="35">
        <v>0.7</v>
      </c>
      <c r="F2604" s="35">
        <v>0.5</v>
      </c>
      <c r="G2604" s="16" t="s">
        <v>44</v>
      </c>
      <c r="H2604" s="16" t="s">
        <v>45</v>
      </c>
      <c r="I2604" s="16">
        <f>COUNTIF(G$5:G2604,"Y")/COUNTA(G$5:G2604)</f>
        <v>0.88384615384615384</v>
      </c>
      <c r="J2604" s="16">
        <f>COUNTIF(H$5:H2604,"Y")/COUNTA(H$5:H2604)</f>
        <v>4.8461538461538459E-2</v>
      </c>
      <c r="K2604" s="16">
        <f>AVERAGE(F$5:F2604)</f>
        <v>2.2119615384615368</v>
      </c>
      <c r="L2604" s="16">
        <f>SUM(F$5:F2604)/SUM(E$5:E2604)</f>
        <v>0.76280605883757124</v>
      </c>
    </row>
    <row r="2605" spans="1:13" x14ac:dyDescent="0.25">
      <c r="A2605" s="29">
        <v>46049</v>
      </c>
      <c r="B2605" s="16" t="s">
        <v>2651</v>
      </c>
      <c r="C2605" s="34">
        <v>1</v>
      </c>
      <c r="D2605" s="16" t="s">
        <v>56</v>
      </c>
      <c r="E2605" s="35">
        <v>0.6</v>
      </c>
      <c r="F2605" s="35">
        <v>0.5</v>
      </c>
      <c r="G2605" s="16" t="s">
        <v>44</v>
      </c>
      <c r="H2605" s="16" t="s">
        <v>45</v>
      </c>
      <c r="I2605" s="16">
        <f>COUNTIF(G$5:G2605,"Y")/COUNTA(G$5:G2605)</f>
        <v>0.88389081122645141</v>
      </c>
      <c r="J2605" s="16">
        <f>COUNTIF(H$5:H2605,"Y")/COUNTA(H$5:H2605)</f>
        <v>4.8442906574394463E-2</v>
      </c>
      <c r="K2605" s="16">
        <f>AVERAGE(F$5:F2605)</f>
        <v>2.2113033448673569</v>
      </c>
      <c r="L2605" s="16">
        <f>SUM(F$5:F2605)/SUM(E$5:E2605)</f>
        <v>0.76281167108753101</v>
      </c>
    </row>
    <row r="2606" spans="1:13" x14ac:dyDescent="0.25">
      <c r="A2606" s="29">
        <v>46050</v>
      </c>
      <c r="B2606" s="16" t="s">
        <v>2652</v>
      </c>
      <c r="C2606" s="34">
        <v>1</v>
      </c>
      <c r="D2606" s="16" t="s">
        <v>60</v>
      </c>
      <c r="E2606" s="35">
        <v>0.7</v>
      </c>
      <c r="F2606" s="35">
        <v>0.5</v>
      </c>
      <c r="G2606" s="16" t="s">
        <v>45</v>
      </c>
      <c r="H2606" s="16" t="s">
        <v>45</v>
      </c>
      <c r="I2606" s="16">
        <f>COUNTIF(G$5:G2606,"Y")/COUNTA(G$5:G2606)</f>
        <v>0.88355111452728674</v>
      </c>
      <c r="J2606" s="16">
        <f>COUNTIF(H$5:H2606,"Y")/COUNTA(H$5:H2606)</f>
        <v>4.8424289008455038E-2</v>
      </c>
      <c r="K2606" s="16">
        <f>AVERAGE(F$5:F2606)</f>
        <v>2.2106456571867779</v>
      </c>
      <c r="L2606" s="16">
        <f>SUM(F$5:F2606)/SUM(E$5:E2606)</f>
        <v>0.76280716644343149</v>
      </c>
    </row>
    <row r="2607" spans="1:13" x14ac:dyDescent="0.25">
      <c r="A2607" s="29">
        <v>46051</v>
      </c>
      <c r="B2607" s="16" t="s">
        <v>2653</v>
      </c>
      <c r="C2607" s="34">
        <v>1</v>
      </c>
      <c r="D2607" s="16" t="s">
        <v>43</v>
      </c>
      <c r="E2607" s="35">
        <v>1</v>
      </c>
      <c r="F2607" s="35">
        <v>0.5</v>
      </c>
      <c r="G2607" s="16" t="s">
        <v>44</v>
      </c>
      <c r="H2607" s="16" t="s">
        <v>45</v>
      </c>
      <c r="I2607" s="16">
        <f>COUNTIF(G$5:G2607,"Y")/COUNTA(G$5:G2607)</f>
        <v>0.88359585094122162</v>
      </c>
      <c r="J2607" s="16">
        <f>COUNTIF(H$5:H2607,"Y")/COUNTA(H$5:H2607)</f>
        <v>4.8405685747214752E-2</v>
      </c>
      <c r="K2607" s="16">
        <f>AVERAGE(F$5:F2607)</f>
        <v>2.2099884748367251</v>
      </c>
      <c r="L2607" s="16">
        <f>SUM(F$5:F2607)/SUM(E$5:E2607)</f>
        <v>0.76277231923836586</v>
      </c>
      <c r="M2607" s="16">
        <v>13</v>
      </c>
    </row>
    <row r="2608" spans="1:13" x14ac:dyDescent="0.25">
      <c r="A2608" s="29">
        <v>46055</v>
      </c>
      <c r="B2608" s="16" t="s">
        <v>2654</v>
      </c>
      <c r="C2608" s="34">
        <v>1</v>
      </c>
      <c r="D2608" s="16" t="s">
        <v>56</v>
      </c>
      <c r="E2608" s="35">
        <v>4.4000000000000004</v>
      </c>
      <c r="F2608" s="35">
        <v>3.8</v>
      </c>
      <c r="G2608" s="16" t="s">
        <v>44</v>
      </c>
      <c r="H2608" s="16" t="s">
        <v>45</v>
      </c>
      <c r="I2608" s="16">
        <f>COUNTIF(G$5:G2608,"Y")/COUNTA(G$5:G2608)</f>
        <v>0.88364055299539168</v>
      </c>
      <c r="J2608" s="16">
        <f>COUNTIF(H$5:H2608,"Y")/COUNTA(H$5:H2608)</f>
        <v>4.8387096774193547E-2</v>
      </c>
      <c r="K2608" s="16">
        <f>AVERAGE(F$5:F2608)</f>
        <v>2.2105990783410121</v>
      </c>
      <c r="L2608" s="16">
        <f>SUM(F$5:F2608)/SUM(E$5:E2608)</f>
        <v>0.76283113131286151</v>
      </c>
    </row>
    <row r="2609" spans="1:12" x14ac:dyDescent="0.25">
      <c r="A2609" s="29">
        <v>46056</v>
      </c>
      <c r="B2609" s="16" t="s">
        <v>2655</v>
      </c>
      <c r="C2609" s="34">
        <v>1</v>
      </c>
      <c r="D2609" s="16" t="s">
        <v>52</v>
      </c>
      <c r="E2609" s="35">
        <v>2.1</v>
      </c>
      <c r="F2609" s="35">
        <v>1.7</v>
      </c>
      <c r="G2609" s="16" t="s">
        <v>44</v>
      </c>
      <c r="H2609" s="16" t="s">
        <v>45</v>
      </c>
      <c r="I2609" s="16">
        <f>COUNTIF(G$5:G2609,"Y")/COUNTA(G$5:G2609)</f>
        <v>0.88368522072936662</v>
      </c>
      <c r="J2609" s="16">
        <f>COUNTIF(H$5:H2609,"Y")/COUNTA(H$5:H2609)</f>
        <v>4.8368522072936661E-2</v>
      </c>
      <c r="K2609" s="16">
        <f>AVERAGE(F$5:F2609)</f>
        <v>2.2104030710172728</v>
      </c>
      <c r="L2609" s="16">
        <f>SUM(F$5:F2609)/SUM(E$5:E2609)</f>
        <v>0.76284412177737526</v>
      </c>
    </row>
    <row r="2610" spans="1:12" x14ac:dyDescent="0.25">
      <c r="A2610" s="29">
        <v>46057</v>
      </c>
      <c r="B2610" s="16" t="s">
        <v>2656</v>
      </c>
      <c r="C2610" s="34">
        <v>1</v>
      </c>
      <c r="D2610" s="16" t="s">
        <v>43</v>
      </c>
      <c r="E2610" s="35">
        <v>3</v>
      </c>
      <c r="F2610" s="35">
        <v>2.6</v>
      </c>
      <c r="G2610" s="16" t="s">
        <v>44</v>
      </c>
      <c r="H2610" s="16" t="s">
        <v>45</v>
      </c>
      <c r="I2610" s="16">
        <f>COUNTIF(G$5:G2610,"Y")/COUNTA(G$5:G2610)</f>
        <v>0.88372985418265537</v>
      </c>
      <c r="J2610" s="16">
        <f>COUNTIF(H$5:H2610,"Y")/COUNTA(H$5:H2610)</f>
        <v>4.8349961627014583E-2</v>
      </c>
      <c r="K2610" s="16">
        <f>AVERAGE(F$5:F2610)</f>
        <v>2.2105525709900213</v>
      </c>
      <c r="L2610" s="16">
        <f>SUM(F$5:F2610)/SUM(E$5:E2610)</f>
        <v>0.76288536921283834</v>
      </c>
    </row>
    <row r="2611" spans="1:12" x14ac:dyDescent="0.25">
      <c r="A2611" s="29">
        <v>46058</v>
      </c>
      <c r="B2611" s="16" t="s">
        <v>2657</v>
      </c>
      <c r="C2611" s="34">
        <v>1</v>
      </c>
      <c r="D2611" s="16" t="s">
        <v>60</v>
      </c>
      <c r="E2611" s="35">
        <v>2.9</v>
      </c>
      <c r="F2611" s="35">
        <v>2.6</v>
      </c>
      <c r="G2611" s="16" t="s">
        <v>44</v>
      </c>
      <c r="H2611" s="16" t="s">
        <v>45</v>
      </c>
      <c r="I2611" s="16">
        <f>COUNTIF(G$5:G2611,"Y")/COUNTA(G$5:G2611)</f>
        <v>0.88377445339470651</v>
      </c>
      <c r="J2611" s="16">
        <f>COUNTIF(H$5:H2611,"Y")/COUNTA(H$5:H2611)</f>
        <v>4.8331415420023012E-2</v>
      </c>
      <c r="K2611" s="16">
        <f>AVERAGE(F$5:F2611)</f>
        <v>2.2107019562715751</v>
      </c>
      <c r="L2611" s="16">
        <f>SUM(F$5:F2611)/SUM(E$5:E2611)</f>
        <v>0.76293668339047471</v>
      </c>
    </row>
    <row r="2612" spans="1:12" x14ac:dyDescent="0.25">
      <c r="A2612" s="29">
        <v>46059</v>
      </c>
      <c r="B2612" s="16" t="s">
        <v>2658</v>
      </c>
      <c r="C2612" s="34">
        <v>1</v>
      </c>
      <c r="D2612" s="16" t="s">
        <v>56</v>
      </c>
      <c r="E2612" s="35">
        <v>3.3</v>
      </c>
      <c r="F2612" s="35">
        <v>3</v>
      </c>
      <c r="G2612" s="16" t="s">
        <v>44</v>
      </c>
      <c r="H2612" s="16" t="s">
        <v>45</v>
      </c>
      <c r="I2612" s="16">
        <f>COUNTIF(G$5:G2612,"Y")/COUNTA(G$5:G2612)</f>
        <v>0.88381901840490795</v>
      </c>
      <c r="J2612" s="16">
        <f>COUNTIF(H$5:H2612,"Y")/COUNTA(H$5:H2612)</f>
        <v>4.8312883435582821E-2</v>
      </c>
      <c r="K2612" s="16">
        <f>AVERAGE(F$5:F2612)</f>
        <v>2.2110046012269926</v>
      </c>
      <c r="L2612" s="16">
        <f>SUM(F$5:F2612)/SUM(E$5:E2612)</f>
        <v>0.76300050281842768</v>
      </c>
    </row>
    <row r="2613" spans="1:12" x14ac:dyDescent="0.25">
      <c r="A2613" s="29">
        <v>46055</v>
      </c>
      <c r="B2613" s="16" t="s">
        <v>2659</v>
      </c>
      <c r="C2613" s="34">
        <v>1</v>
      </c>
      <c r="D2613" s="16" t="s">
        <v>47</v>
      </c>
      <c r="E2613" s="35">
        <v>3.7</v>
      </c>
      <c r="F2613" s="35">
        <v>2.7</v>
      </c>
      <c r="G2613" s="16" t="s">
        <v>44</v>
      </c>
      <c r="H2613" s="16" t="s">
        <v>45</v>
      </c>
      <c r="I2613" s="16">
        <f>COUNTIF(G$5:G2613,"Y")/COUNTA(G$5:G2613)</f>
        <v>0.88386354925258714</v>
      </c>
      <c r="J2613" s="16">
        <f>COUNTIF(H$5:H2613,"Y")/COUNTA(H$5:H2613)</f>
        <v>4.829436565733998E-2</v>
      </c>
      <c r="K2613" s="16">
        <f>AVERAGE(F$5:F2613)</f>
        <v>2.2111920275967791</v>
      </c>
      <c r="L2613" s="16">
        <f>SUM(F$5:F2613)/SUM(E$5:E2613)</f>
        <v>0.76298422187247683</v>
      </c>
    </row>
    <row r="2614" spans="1:12" x14ac:dyDescent="0.25">
      <c r="A2614" s="29">
        <v>46056</v>
      </c>
      <c r="B2614" s="16" t="s">
        <v>2660</v>
      </c>
      <c r="C2614" s="34">
        <v>1</v>
      </c>
      <c r="D2614" s="16" t="s">
        <v>56</v>
      </c>
      <c r="E2614" s="35">
        <v>2.2000000000000002</v>
      </c>
      <c r="F2614" s="35">
        <v>1.8</v>
      </c>
      <c r="G2614" s="16" t="s">
        <v>44</v>
      </c>
      <c r="H2614" s="16" t="s">
        <v>45</v>
      </c>
      <c r="I2614" s="16">
        <f>COUNTIF(G$5:G2614,"Y")/COUNTA(G$5:G2614)</f>
        <v>0.88390804597701145</v>
      </c>
      <c r="J2614" s="16">
        <f>COUNTIF(H$5:H2614,"Y")/COUNTA(H$5:H2614)</f>
        <v>4.8275862068965517E-2</v>
      </c>
      <c r="K2614" s="16">
        <f>AVERAGE(F$5:F2614)</f>
        <v>2.2110344827586195</v>
      </c>
      <c r="L2614" s="16">
        <f>SUM(F$5:F2614)/SUM(E$5:E2614)</f>
        <v>0.76300027765657652</v>
      </c>
    </row>
    <row r="2615" spans="1:12" x14ac:dyDescent="0.25">
      <c r="A2615" s="29">
        <v>46057</v>
      </c>
      <c r="B2615" s="16" t="s">
        <v>2661</v>
      </c>
      <c r="C2615" s="34">
        <v>1</v>
      </c>
      <c r="D2615" s="16" t="s">
        <v>43</v>
      </c>
      <c r="E2615" s="35">
        <v>3.4</v>
      </c>
      <c r="F2615" s="35">
        <v>2.6</v>
      </c>
      <c r="G2615" s="16" t="s">
        <v>44</v>
      </c>
      <c r="H2615" s="16" t="s">
        <v>45</v>
      </c>
      <c r="I2615" s="16">
        <f>COUNTIF(G$5:G2615,"Y")/COUNTA(G$5:G2615)</f>
        <v>0.88395250861738794</v>
      </c>
      <c r="J2615" s="16">
        <f>COUNTIF(H$5:H2615,"Y")/COUNTA(H$5:H2615)</f>
        <v>4.8257372654155493E-2</v>
      </c>
      <c r="K2615" s="16">
        <f>AVERAGE(F$5:F2615)</f>
        <v>2.2111834546150888</v>
      </c>
      <c r="L2615" s="16">
        <f>SUM(F$5:F2615)/SUM(E$5:E2615)</f>
        <v>0.7630010440482623</v>
      </c>
    </row>
    <row r="2616" spans="1:12" x14ac:dyDescent="0.25">
      <c r="A2616" s="29">
        <v>46058</v>
      </c>
      <c r="B2616" s="16" t="s">
        <v>2662</v>
      </c>
      <c r="C2616" s="34">
        <v>1</v>
      </c>
      <c r="D2616" s="16" t="s">
        <v>60</v>
      </c>
      <c r="E2616" s="35">
        <v>3.6</v>
      </c>
      <c r="F2616" s="35">
        <v>3.3</v>
      </c>
      <c r="G2616" s="16" t="s">
        <v>44</v>
      </c>
      <c r="H2616" s="16" t="s">
        <v>45</v>
      </c>
      <c r="I2616" s="16">
        <f>COUNTIF(G$5:G2616,"Y")/COUNTA(G$5:G2616)</f>
        <v>0.88399693721286365</v>
      </c>
      <c r="J2616" s="16">
        <f>COUNTIF(H$5:H2616,"Y")/COUNTA(H$5:H2616)</f>
        <v>4.8238897396630932E-2</v>
      </c>
      <c r="K2616" s="16">
        <f>AVERAGE(F$5:F2616)</f>
        <v>2.2116003062787124</v>
      </c>
      <c r="L2616" s="16">
        <f>SUM(F$5:F2616)/SUM(E$5:E2616)</f>
        <v>0.76307411859503405</v>
      </c>
    </row>
    <row r="2617" spans="1:12" x14ac:dyDescent="0.25">
      <c r="A2617" s="29">
        <v>46059</v>
      </c>
      <c r="B2617" s="16" t="s">
        <v>2663</v>
      </c>
      <c r="C2617" s="34">
        <v>1</v>
      </c>
      <c r="D2617" s="16" t="s">
        <v>52</v>
      </c>
      <c r="E2617" s="35">
        <v>4.2</v>
      </c>
      <c r="F2617" s="35">
        <v>3.2</v>
      </c>
      <c r="G2617" s="16" t="s">
        <v>44</v>
      </c>
      <c r="H2617" s="16" t="s">
        <v>45</v>
      </c>
      <c r="I2617" s="16">
        <f>COUNTIF(G$5:G2617,"Y")/COUNTA(G$5:G2617)</f>
        <v>0.88404133180252586</v>
      </c>
      <c r="J2617" s="16">
        <f>COUNTIF(H$5:H2617,"Y")/COUNTA(H$5:H2617)</f>
        <v>4.8220436280137773E-2</v>
      </c>
      <c r="K2617" s="16">
        <f>AVERAGE(F$5:F2617)</f>
        <v>2.2119785686949855</v>
      </c>
      <c r="L2617" s="16">
        <f>SUM(F$5:F2617)/SUM(E$5:E2617)</f>
        <v>0.76307347019605065</v>
      </c>
    </row>
    <row r="2618" spans="1:12" x14ac:dyDescent="0.25">
      <c r="A2618" s="29">
        <v>46055</v>
      </c>
      <c r="B2618" s="16" t="s">
        <v>2664</v>
      </c>
      <c r="C2618" s="34">
        <v>1</v>
      </c>
      <c r="D2618" s="16" t="s">
        <v>43</v>
      </c>
      <c r="E2618" s="35">
        <v>3.5</v>
      </c>
      <c r="F2618" s="35">
        <v>3</v>
      </c>
      <c r="G2618" s="16" t="s">
        <v>44</v>
      </c>
      <c r="H2618" s="16" t="s">
        <v>45</v>
      </c>
      <c r="I2618" s="16">
        <f>COUNTIF(G$5:G2618,"Y")/COUNTA(G$5:G2618)</f>
        <v>0.88408569242540169</v>
      </c>
      <c r="J2618" s="16">
        <f>COUNTIF(H$5:H2618,"Y")/COUNTA(H$5:H2618)</f>
        <v>4.8201989288446823E-2</v>
      </c>
      <c r="K2618" s="16">
        <f>AVERAGE(F$5:F2618)</f>
        <v>2.2122800306044366</v>
      </c>
      <c r="L2618" s="16">
        <f>SUM(F$5:F2618)/SUM(E$5:E2618)</f>
        <v>0.76311691739244991</v>
      </c>
    </row>
    <row r="2619" spans="1:12" x14ac:dyDescent="0.25">
      <c r="A2619" s="29">
        <v>46056</v>
      </c>
      <c r="B2619" s="16" t="s">
        <v>2665</v>
      </c>
      <c r="C2619" s="34">
        <v>1</v>
      </c>
      <c r="D2619" s="16" t="s">
        <v>60</v>
      </c>
      <c r="E2619" s="35">
        <v>2.8</v>
      </c>
      <c r="F2619" s="35">
        <v>2.2000000000000002</v>
      </c>
      <c r="G2619" s="16" t="s">
        <v>44</v>
      </c>
      <c r="H2619" s="16" t="s">
        <v>44</v>
      </c>
      <c r="I2619" s="16">
        <f>COUNTIF(G$5:G2619,"Y")/COUNTA(G$5:G2619)</f>
        <v>0.88413001912045885</v>
      </c>
      <c r="J2619" s="16">
        <f>COUNTIF(H$5:H2619,"Y")/COUNTA(H$5:H2619)</f>
        <v>4.8565965583173998E-2</v>
      </c>
      <c r="K2619" s="16">
        <f>AVERAGE(F$5:F2619)</f>
        <v>2.2122753346080293</v>
      </c>
      <c r="L2619" s="16">
        <f>SUM(F$5:F2619)/SUM(E$5:E2619)</f>
        <v>0.7631252638243966</v>
      </c>
    </row>
    <row r="2620" spans="1:12" x14ac:dyDescent="0.25">
      <c r="A2620" s="29">
        <v>46057</v>
      </c>
      <c r="B2620" s="16" t="s">
        <v>2666</v>
      </c>
      <c r="C2620" s="34">
        <v>1</v>
      </c>
      <c r="D2620" s="16" t="s">
        <v>64</v>
      </c>
      <c r="E2620" s="35">
        <v>5.6</v>
      </c>
      <c r="F2620" s="35">
        <v>4</v>
      </c>
      <c r="G2620" s="16" t="s">
        <v>44</v>
      </c>
      <c r="H2620" s="16" t="s">
        <v>45</v>
      </c>
      <c r="I2620" s="16">
        <f>COUNTIF(G$5:G2620,"Y")/COUNTA(G$5:G2620)</f>
        <v>0.88417431192660545</v>
      </c>
      <c r="J2620" s="16">
        <f>COUNTIF(H$5:H2620,"Y")/COUNTA(H$5:H2620)</f>
        <v>4.8547400611620793E-2</v>
      </c>
      <c r="K2620" s="16">
        <f>AVERAGE(F$5:F2620)</f>
        <v>2.2129587155963288</v>
      </c>
      <c r="L2620" s="16">
        <f>SUM(F$5:F2620)/SUM(E$5:E2620)</f>
        <v>0.7630892122745947</v>
      </c>
    </row>
    <row r="2621" spans="1:12" x14ac:dyDescent="0.25">
      <c r="A2621" s="29">
        <v>46058</v>
      </c>
      <c r="B2621" s="16" t="s">
        <v>2667</v>
      </c>
      <c r="C2621" s="34">
        <v>1</v>
      </c>
      <c r="D2621" s="16" t="s">
        <v>52</v>
      </c>
      <c r="E2621" s="35">
        <v>5.2</v>
      </c>
      <c r="F2621" s="35">
        <v>3.7</v>
      </c>
      <c r="G2621" s="16" t="s">
        <v>44</v>
      </c>
      <c r="H2621" s="16" t="s">
        <v>45</v>
      </c>
      <c r="I2621" s="16">
        <f>COUNTIF(G$5:G2621,"Y")/COUNTA(G$5:G2621)</f>
        <v>0.88421857088269007</v>
      </c>
      <c r="J2621" s="16">
        <f>COUNTIF(H$5:H2621,"Y")/COUNTA(H$5:H2621)</f>
        <v>4.852884982804738E-2</v>
      </c>
      <c r="K2621" s="16">
        <f>AVERAGE(F$5:F2621)</f>
        <v>2.2135269392434074</v>
      </c>
      <c r="L2621" s="16">
        <f>SUM(F$5:F2621)/SUM(E$5:E2621)</f>
        <v>0.76305390168080311</v>
      </c>
    </row>
    <row r="2622" spans="1:12" x14ac:dyDescent="0.25">
      <c r="A2622" s="29">
        <v>46059</v>
      </c>
      <c r="B2622" s="16" t="s">
        <v>2668</v>
      </c>
      <c r="C2622" s="34">
        <v>1</v>
      </c>
      <c r="D2622" s="16" t="s">
        <v>60</v>
      </c>
      <c r="E2622" s="35">
        <v>3.9</v>
      </c>
      <c r="F2622" s="35">
        <v>3.1</v>
      </c>
      <c r="G2622" s="16" t="s">
        <v>44</v>
      </c>
      <c r="H2622" s="16" t="s">
        <v>45</v>
      </c>
      <c r="I2622" s="16">
        <f>COUNTIF(G$5:G2622,"Y")/COUNTA(G$5:G2622)</f>
        <v>0.88426279602750191</v>
      </c>
      <c r="J2622" s="16">
        <f>COUNTIF(H$5:H2622,"Y")/COUNTA(H$5:H2622)</f>
        <v>4.8510313216195568E-2</v>
      </c>
      <c r="K2622" s="16">
        <f>AVERAGE(F$5:F2622)</f>
        <v>2.2138655462184862</v>
      </c>
      <c r="L2622" s="16">
        <f>SUM(F$5:F2622)/SUM(E$5:E2622)</f>
        <v>0.76307023895727544</v>
      </c>
    </row>
    <row r="2623" spans="1:12" x14ac:dyDescent="0.25">
      <c r="A2623" s="29">
        <v>46055</v>
      </c>
      <c r="B2623" s="16" t="s">
        <v>2669</v>
      </c>
      <c r="C2623" s="34">
        <v>1</v>
      </c>
      <c r="D2623" s="16" t="s">
        <v>52</v>
      </c>
      <c r="E2623" s="35">
        <v>3.9</v>
      </c>
      <c r="F2623" s="35">
        <v>3</v>
      </c>
      <c r="G2623" s="16" t="s">
        <v>44</v>
      </c>
      <c r="H2623" s="16" t="s">
        <v>45</v>
      </c>
      <c r="I2623" s="16">
        <f>COUNTIF(G$5:G2623,"Y")/COUNTA(G$5:G2623)</f>
        <v>0.88430698739977087</v>
      </c>
      <c r="J2623" s="16">
        <f>COUNTIF(H$5:H2623,"Y")/COUNTA(H$5:H2623)</f>
        <v>4.8491790759831996E-2</v>
      </c>
      <c r="K2623" s="16">
        <f>AVERAGE(F$5:F2623)</f>
        <v>2.2141657121038554</v>
      </c>
      <c r="L2623" s="16">
        <f>SUM(F$5:F2623)/SUM(E$5:E2623)</f>
        <v>0.76307340053161909</v>
      </c>
    </row>
    <row r="2624" spans="1:12" x14ac:dyDescent="0.25">
      <c r="A2624" s="29">
        <v>46056</v>
      </c>
      <c r="B2624" s="16" t="s">
        <v>2670</v>
      </c>
      <c r="C2624" s="34">
        <v>1</v>
      </c>
      <c r="D2624" s="16" t="s">
        <v>56</v>
      </c>
      <c r="E2624" s="35">
        <v>3.3</v>
      </c>
      <c r="F2624" s="35">
        <v>2.8</v>
      </c>
      <c r="G2624" s="16" t="s">
        <v>44</v>
      </c>
      <c r="H2624" s="16" t="s">
        <v>45</v>
      </c>
      <c r="I2624" s="16">
        <f>COUNTIF(G$5:G2624,"Y")/COUNTA(G$5:G2624)</f>
        <v>0.88435114503816792</v>
      </c>
      <c r="J2624" s="16">
        <f>COUNTIF(H$5:H2624,"Y")/COUNTA(H$5:H2624)</f>
        <v>4.8473282442748095E-2</v>
      </c>
      <c r="K2624" s="16">
        <f>AVERAGE(F$5:F2624)</f>
        <v>2.2143893129770982</v>
      </c>
      <c r="L2624" s="16">
        <f>SUM(F$5:F2624)/SUM(E$5:E2624)</f>
        <v>0.76311047391058262</v>
      </c>
    </row>
    <row r="2625" spans="1:12" x14ac:dyDescent="0.25">
      <c r="A2625" s="29">
        <v>46057</v>
      </c>
      <c r="B2625" s="16" t="s">
        <v>2671</v>
      </c>
      <c r="C2625" s="34">
        <v>1</v>
      </c>
      <c r="D2625" s="16" t="s">
        <v>47</v>
      </c>
      <c r="E2625" s="35">
        <v>2.6</v>
      </c>
      <c r="F2625" s="35">
        <v>1.8</v>
      </c>
      <c r="G2625" s="16" t="s">
        <v>45</v>
      </c>
      <c r="H2625" s="16" t="s">
        <v>45</v>
      </c>
      <c r="I2625" s="16">
        <f>COUNTIF(G$5:G2625,"Y")/COUNTA(G$5:G2625)</f>
        <v>0.88401373521556659</v>
      </c>
      <c r="J2625" s="16">
        <f>COUNTIF(H$5:H2625,"Y")/COUNTA(H$5:H2625)</f>
        <v>4.8454788248760018E-2</v>
      </c>
      <c r="K2625" s="16">
        <f>AVERAGE(F$5:F2625)</f>
        <v>2.2142312094620364</v>
      </c>
      <c r="L2625" s="16">
        <f>SUM(F$5:F2625)/SUM(E$5:E2625)</f>
        <v>0.76308626878623931</v>
      </c>
    </row>
    <row r="2626" spans="1:12" x14ac:dyDescent="0.25">
      <c r="A2626" s="29">
        <v>46058</v>
      </c>
      <c r="B2626" s="16" t="s">
        <v>2672</v>
      </c>
      <c r="C2626" s="34">
        <v>1</v>
      </c>
      <c r="D2626" s="16" t="s">
        <v>52</v>
      </c>
      <c r="E2626" s="35">
        <v>5.2</v>
      </c>
      <c r="F2626" s="35">
        <v>3.8</v>
      </c>
      <c r="G2626" s="16" t="s">
        <v>44</v>
      </c>
      <c r="H2626" s="16" t="s">
        <v>45</v>
      </c>
      <c r="I2626" s="16">
        <f>COUNTIF(G$5:G2626,"Y")/COUNTA(G$5:G2626)</f>
        <v>0.88405797101449279</v>
      </c>
      <c r="J2626" s="16">
        <f>COUNTIF(H$5:H2626,"Y")/COUNTA(H$5:H2626)</f>
        <v>4.8436308161708616E-2</v>
      </c>
      <c r="K2626" s="16">
        <f>AVERAGE(F$5:F2626)</f>
        <v>2.2148360030511052</v>
      </c>
      <c r="L2626" s="16">
        <f>SUM(F$5:F2626)/SUM(E$5:E2626)</f>
        <v>0.76306418763550177</v>
      </c>
    </row>
    <row r="2627" spans="1:12" x14ac:dyDescent="0.25">
      <c r="A2627" s="29">
        <v>46059</v>
      </c>
      <c r="B2627" s="16" t="s">
        <v>2673</v>
      </c>
      <c r="C2627" s="34">
        <v>1</v>
      </c>
      <c r="D2627" s="16" t="s">
        <v>43</v>
      </c>
      <c r="E2627" s="35">
        <v>3</v>
      </c>
      <c r="F2627" s="35">
        <v>2.4</v>
      </c>
      <c r="G2627" s="16" t="s">
        <v>45</v>
      </c>
      <c r="H2627" s="16" t="s">
        <v>45</v>
      </c>
      <c r="I2627" s="16">
        <f>COUNTIF(G$5:G2627,"Y")/COUNTA(G$5:G2627)</f>
        <v>0.88372093023255816</v>
      </c>
      <c r="J2627" s="16">
        <f>COUNTIF(H$5:H2627,"Y")/COUNTA(H$5:H2627)</f>
        <v>4.8417842165459399E-2</v>
      </c>
      <c r="K2627" s="16">
        <f>AVERAGE(F$5:F2627)</f>
        <v>2.2149065955013332</v>
      </c>
      <c r="L2627" s="16">
        <f>SUM(F$5:F2627)/SUM(E$5:E2627)</f>
        <v>0.76307874170880485</v>
      </c>
    </row>
    <row r="2628" spans="1:12" x14ac:dyDescent="0.25">
      <c r="A2628" s="29">
        <v>46055</v>
      </c>
      <c r="B2628" s="16" t="s">
        <v>2674</v>
      </c>
      <c r="C2628" s="34">
        <v>1</v>
      </c>
      <c r="D2628" s="16" t="s">
        <v>50</v>
      </c>
      <c r="E2628" s="35">
        <v>2.4</v>
      </c>
      <c r="F2628" s="35">
        <v>1.9</v>
      </c>
      <c r="G2628" s="16" t="s">
        <v>44</v>
      </c>
      <c r="H2628" s="16" t="s">
        <v>45</v>
      </c>
      <c r="I2628" s="16">
        <f>COUNTIF(G$5:G2628,"Y")/COUNTA(G$5:G2628)</f>
        <v>0.88376524390243905</v>
      </c>
      <c r="J2628" s="16">
        <f>COUNTIF(H$5:H2628,"Y")/COUNTA(H$5:H2628)</f>
        <v>4.839939024390244E-2</v>
      </c>
      <c r="K2628" s="16">
        <f>AVERAGE(F$5:F2628)</f>
        <v>2.2147865853658524</v>
      </c>
      <c r="L2628" s="16">
        <f>SUM(F$5:F2628)/SUM(E$5:E2628)</f>
        <v>0.76308775062697587</v>
      </c>
    </row>
    <row r="2629" spans="1:12" x14ac:dyDescent="0.25">
      <c r="A2629" s="29">
        <v>46056</v>
      </c>
      <c r="B2629" s="16" t="s">
        <v>2675</v>
      </c>
      <c r="C2629" s="34">
        <v>1</v>
      </c>
      <c r="D2629" s="16" t="s">
        <v>43</v>
      </c>
      <c r="E2629" s="35">
        <v>2.5</v>
      </c>
      <c r="F2629" s="35">
        <v>1.7</v>
      </c>
      <c r="G2629" s="16" t="s">
        <v>44</v>
      </c>
      <c r="H2629" s="16" t="s">
        <v>45</v>
      </c>
      <c r="I2629" s="16">
        <f>COUNTIF(G$5:G2629,"Y")/COUNTA(G$5:G2629)</f>
        <v>0.88380952380952382</v>
      </c>
      <c r="J2629" s="16">
        <f>COUNTIF(H$5:H2629,"Y")/COUNTA(H$5:H2629)</f>
        <v>4.8380952380952379E-2</v>
      </c>
      <c r="K2629" s="16">
        <f>AVERAGE(F$5:F2629)</f>
        <v>2.2145904761904749</v>
      </c>
      <c r="L2629" s="16">
        <f>SUM(F$5:F2629)/SUM(E$5:E2629)</f>
        <v>0.76306048514123515</v>
      </c>
    </row>
    <row r="2630" spans="1:12" x14ac:dyDescent="0.25">
      <c r="A2630" s="29">
        <v>46057</v>
      </c>
      <c r="B2630" s="16" t="s">
        <v>2676</v>
      </c>
      <c r="C2630" s="34">
        <v>1</v>
      </c>
      <c r="D2630" s="16" t="s">
        <v>50</v>
      </c>
      <c r="E2630" s="35">
        <v>3.8</v>
      </c>
      <c r="F2630" s="35">
        <v>3.1</v>
      </c>
      <c r="G2630" s="16" t="s">
        <v>44</v>
      </c>
      <c r="H2630" s="16" t="s">
        <v>45</v>
      </c>
      <c r="I2630" s="16">
        <f>COUNTIF(G$5:G2630,"Y")/COUNTA(G$5:G2630)</f>
        <v>0.88385376999238385</v>
      </c>
      <c r="J2630" s="16">
        <f>COUNTIF(H$5:H2630,"Y")/COUNTA(H$5:H2630)</f>
        <v>4.836252856054836E-2</v>
      </c>
      <c r="K2630" s="16">
        <f>AVERAGE(F$5:F2630)</f>
        <v>2.2149276466108136</v>
      </c>
      <c r="L2630" s="16">
        <f>SUM(F$5:F2630)/SUM(E$5:E2630)</f>
        <v>0.76308677284773241</v>
      </c>
    </row>
    <row r="2631" spans="1:12" x14ac:dyDescent="0.25">
      <c r="A2631" s="29">
        <v>46058</v>
      </c>
      <c r="B2631" s="16" t="s">
        <v>2677</v>
      </c>
      <c r="C2631" s="34">
        <v>1</v>
      </c>
      <c r="D2631" s="16" t="s">
        <v>64</v>
      </c>
      <c r="E2631" s="35">
        <v>2.6</v>
      </c>
      <c r="F2631" s="35">
        <v>2.2999999999999998</v>
      </c>
      <c r="G2631" s="16" t="s">
        <v>44</v>
      </c>
      <c r="H2631" s="16" t="s">
        <v>45</v>
      </c>
      <c r="I2631" s="16">
        <f>COUNTIF(G$5:G2631,"Y")/COUNTA(G$5:G2631)</f>
        <v>0.88389798248953177</v>
      </c>
      <c r="J2631" s="16">
        <f>COUNTIF(H$5:H2631,"Y")/COUNTA(H$5:H2631)</f>
        <v>4.8344118766653975E-2</v>
      </c>
      <c r="K2631" s="16">
        <f>AVERAGE(F$5:F2631)</f>
        <v>2.2149600304529873</v>
      </c>
      <c r="L2631" s="16">
        <f>SUM(F$5:F2631)/SUM(E$5:E2631)</f>
        <v>0.7631282131990329</v>
      </c>
    </row>
    <row r="2632" spans="1:12" x14ac:dyDescent="0.25">
      <c r="A2632" s="29">
        <v>46059</v>
      </c>
      <c r="B2632" s="16" t="s">
        <v>2678</v>
      </c>
      <c r="C2632" s="34">
        <v>1</v>
      </c>
      <c r="D2632" s="16" t="s">
        <v>50</v>
      </c>
      <c r="E2632" s="35">
        <v>5.3</v>
      </c>
      <c r="F2632" s="35">
        <v>3.8</v>
      </c>
      <c r="G2632" s="16" t="s">
        <v>44</v>
      </c>
      <c r="H2632" s="16" t="s">
        <v>45</v>
      </c>
      <c r="I2632" s="16">
        <f>COUNTIF(G$5:G2632,"Y")/COUNTA(G$5:G2632)</f>
        <v>0.88394216133942161</v>
      </c>
      <c r="J2632" s="16">
        <f>COUNTIF(H$5:H2632,"Y")/COUNTA(H$5:H2632)</f>
        <v>4.8325722983257227E-2</v>
      </c>
      <c r="K2632" s="16">
        <f>AVERAGE(F$5:F2632)</f>
        <v>2.2155631659056305</v>
      </c>
      <c r="L2632" s="16">
        <f>SUM(F$5:F2632)/SUM(E$5:E2632)</f>
        <v>0.76309615863487845</v>
      </c>
    </row>
    <row r="2633" spans="1:12" x14ac:dyDescent="0.25">
      <c r="A2633" s="29">
        <v>46055</v>
      </c>
      <c r="B2633" s="16" t="s">
        <v>2679</v>
      </c>
      <c r="C2633" s="34">
        <v>1</v>
      </c>
      <c r="D2633" s="16" t="s">
        <v>52</v>
      </c>
      <c r="E2633" s="35">
        <v>4.8</v>
      </c>
      <c r="F2633" s="35">
        <v>3.7</v>
      </c>
      <c r="G2633" s="16" t="s">
        <v>44</v>
      </c>
      <c r="H2633" s="16" t="s">
        <v>45</v>
      </c>
      <c r="I2633" s="16">
        <f>COUNTIF(G$5:G2633,"Y")/COUNTA(G$5:G2633)</f>
        <v>0.88398630658044886</v>
      </c>
      <c r="J2633" s="16">
        <f>COUNTIF(H$5:H2633,"Y")/COUNTA(H$5:H2633)</f>
        <v>4.8307341194370482E-2</v>
      </c>
      <c r="K2633" s="16">
        <f>AVERAGE(F$5:F2633)</f>
        <v>2.2161278052491431</v>
      </c>
      <c r="L2633" s="16">
        <f>SUM(F$5:F2633)/SUM(E$5:E2633)</f>
        <v>0.76310102293415571</v>
      </c>
    </row>
    <row r="2634" spans="1:12" x14ac:dyDescent="0.25">
      <c r="A2634" s="29">
        <v>46056</v>
      </c>
      <c r="B2634" s="16" t="s">
        <v>2680</v>
      </c>
      <c r="C2634" s="34">
        <v>1</v>
      </c>
      <c r="D2634" s="16" t="s">
        <v>56</v>
      </c>
      <c r="E2634" s="35">
        <v>3.5</v>
      </c>
      <c r="F2634" s="35">
        <v>3.2</v>
      </c>
      <c r="G2634" s="16" t="s">
        <v>44</v>
      </c>
      <c r="H2634" s="16" t="s">
        <v>45</v>
      </c>
      <c r="I2634" s="16">
        <f>COUNTIF(G$5:G2634,"Y")/COUNTA(G$5:G2634)</f>
        <v>0.88403041825095052</v>
      </c>
      <c r="J2634" s="16">
        <f>COUNTIF(H$5:H2634,"Y")/COUNTA(H$5:H2634)</f>
        <v>4.8288973384030418E-2</v>
      </c>
      <c r="K2634" s="16">
        <f>AVERAGE(F$5:F2634)</f>
        <v>2.216501901140683</v>
      </c>
      <c r="L2634" s="16">
        <f>SUM(F$5:F2634)/SUM(E$5:E2634)</f>
        <v>0.76317029744448905</v>
      </c>
    </row>
    <row r="2635" spans="1:12" x14ac:dyDescent="0.25">
      <c r="A2635" s="29">
        <v>46057</v>
      </c>
      <c r="B2635" s="16" t="s">
        <v>2681</v>
      </c>
      <c r="C2635" s="34">
        <v>1</v>
      </c>
      <c r="D2635" s="16" t="s">
        <v>47</v>
      </c>
      <c r="E2635" s="35">
        <v>2.2999999999999998</v>
      </c>
      <c r="F2635" s="35">
        <v>2</v>
      </c>
      <c r="G2635" s="16" t="s">
        <v>44</v>
      </c>
      <c r="H2635" s="16" t="s">
        <v>45</v>
      </c>
      <c r="I2635" s="16">
        <f>COUNTIF(G$5:G2635,"Y")/COUNTA(G$5:G2635)</f>
        <v>0.88407449638920566</v>
      </c>
      <c r="J2635" s="16">
        <f>COUNTIF(H$5:H2635,"Y")/COUNTA(H$5:H2635)</f>
        <v>4.8270619536297986E-2</v>
      </c>
      <c r="K2635" s="16">
        <f>AVERAGE(F$5:F2635)</f>
        <v>2.216419612314708</v>
      </c>
      <c r="L2635" s="16">
        <f>SUM(F$5:F2635)/SUM(E$5:E2635)</f>
        <v>0.76320232439435987</v>
      </c>
    </row>
    <row r="2636" spans="1:12" x14ac:dyDescent="0.25">
      <c r="A2636" s="29">
        <v>46058</v>
      </c>
      <c r="B2636" s="16" t="s">
        <v>2682</v>
      </c>
      <c r="C2636" s="34">
        <v>1</v>
      </c>
      <c r="D2636" s="16" t="s">
        <v>50</v>
      </c>
      <c r="E2636" s="35">
        <v>4.5999999999999996</v>
      </c>
      <c r="F2636" s="35">
        <v>3.7</v>
      </c>
      <c r="G2636" s="16" t="s">
        <v>44</v>
      </c>
      <c r="H2636" s="16" t="s">
        <v>45</v>
      </c>
      <c r="I2636" s="16">
        <f>COUNTIF(G$5:G2636,"Y")/COUNTA(G$5:G2636)</f>
        <v>0.88411854103343468</v>
      </c>
      <c r="J2636" s="16">
        <f>COUNTIF(H$5:H2636,"Y")/COUNTA(H$5:H2636)</f>
        <v>4.8252279635258362E-2</v>
      </c>
      <c r="K2636" s="16">
        <f>AVERAGE(F$5:F2636)</f>
        <v>2.2169832826747706</v>
      </c>
      <c r="L2636" s="16">
        <f>SUM(F$5:F2636)/SUM(E$5:E2636)</f>
        <v>0.76322708069009515</v>
      </c>
    </row>
    <row r="2637" spans="1:12" x14ac:dyDescent="0.25">
      <c r="A2637" s="29">
        <v>46059</v>
      </c>
      <c r="B2637" s="16" t="s">
        <v>2683</v>
      </c>
      <c r="C2637" s="34">
        <v>1</v>
      </c>
      <c r="D2637" s="16" t="s">
        <v>64</v>
      </c>
      <c r="E2637" s="35">
        <v>3.4</v>
      </c>
      <c r="F2637" s="35">
        <v>2.8</v>
      </c>
      <c r="G2637" s="16" t="s">
        <v>44</v>
      </c>
      <c r="H2637" s="16" t="s">
        <v>45</v>
      </c>
      <c r="I2637" s="16">
        <f>COUNTIF(G$5:G2637,"Y")/COUNTA(G$5:G2637)</f>
        <v>0.88416255222180018</v>
      </c>
      <c r="J2637" s="16">
        <f>COUNTIF(H$5:H2637,"Y")/COUNTA(H$5:H2637)</f>
        <v>4.8233953665020889E-2</v>
      </c>
      <c r="K2637" s="16">
        <f>AVERAGE(F$5:F2637)</f>
        <v>2.2172047094568921</v>
      </c>
      <c r="L2637" s="16">
        <f>SUM(F$5:F2637)/SUM(E$5:E2637)</f>
        <v>0.76325388628132695</v>
      </c>
    </row>
    <row r="2638" spans="1:12" x14ac:dyDescent="0.25">
      <c r="A2638" s="29">
        <v>46055</v>
      </c>
      <c r="B2638" s="16" t="s">
        <v>2684</v>
      </c>
      <c r="C2638" s="34">
        <v>1</v>
      </c>
      <c r="D2638" s="16" t="s">
        <v>60</v>
      </c>
      <c r="E2638" s="35">
        <v>3.9</v>
      </c>
      <c r="F2638" s="35">
        <v>3.2</v>
      </c>
      <c r="G2638" s="16" t="s">
        <v>44</v>
      </c>
      <c r="H2638" s="16" t="s">
        <v>44</v>
      </c>
      <c r="I2638" s="16">
        <f>COUNTIF(G$5:G2638,"Y")/COUNTA(G$5:G2638)</f>
        <v>0.88420652999240701</v>
      </c>
      <c r="J2638" s="16">
        <f>COUNTIF(H$5:H2638,"Y")/COUNTA(H$5:H2638)</f>
        <v>4.8595292331055431E-2</v>
      </c>
      <c r="K2638" s="16">
        <f>AVERAGE(F$5:F2638)</f>
        <v>2.2175778283978729</v>
      </c>
      <c r="L2638" s="16">
        <f>SUM(F$5:F2638)/SUM(E$5:E2638)</f>
        <v>0.76328306719284755</v>
      </c>
    </row>
    <row r="2639" spans="1:12" x14ac:dyDescent="0.25">
      <c r="A2639" s="29">
        <v>46056</v>
      </c>
      <c r="B2639" s="16" t="s">
        <v>2685</v>
      </c>
      <c r="C2639" s="34">
        <v>1</v>
      </c>
      <c r="D2639" s="16" t="s">
        <v>60</v>
      </c>
      <c r="E2639" s="35">
        <v>4.5</v>
      </c>
      <c r="F2639" s="35">
        <v>3.6</v>
      </c>
      <c r="G2639" s="16" t="s">
        <v>44</v>
      </c>
      <c r="H2639" s="16" t="s">
        <v>45</v>
      </c>
      <c r="I2639" s="16">
        <f>COUNTIF(G$5:G2639,"Y")/COUNTA(G$5:G2639)</f>
        <v>0.88425047438330173</v>
      </c>
      <c r="J2639" s="16">
        <f>COUNTIF(H$5:H2639,"Y")/COUNTA(H$5:H2639)</f>
        <v>4.857685009487666E-2</v>
      </c>
      <c r="K2639" s="16">
        <f>AVERAGE(F$5:F2639)</f>
        <v>2.2181024667931677</v>
      </c>
      <c r="L2639" s="16">
        <f>SUM(F$5:F2639)/SUM(E$5:E2639)</f>
        <v>0.76330464536181919</v>
      </c>
    </row>
    <row r="2640" spans="1:12" x14ac:dyDescent="0.25">
      <c r="A2640" s="29">
        <v>46057</v>
      </c>
      <c r="B2640" s="16" t="s">
        <v>2686</v>
      </c>
      <c r="C2640" s="34">
        <v>1</v>
      </c>
      <c r="D2640" s="16" t="s">
        <v>43</v>
      </c>
      <c r="E2640" s="35">
        <v>2.1</v>
      </c>
      <c r="F2640" s="35">
        <v>1.9</v>
      </c>
      <c r="G2640" s="16" t="s">
        <v>44</v>
      </c>
      <c r="H2640" s="16" t="s">
        <v>45</v>
      </c>
      <c r="I2640" s="16">
        <f>COUNTIF(G$5:G2640,"Y")/COUNTA(G$5:G2640)</f>
        <v>0.88429438543247341</v>
      </c>
      <c r="J2640" s="16">
        <f>COUNTIF(H$5:H2640,"Y")/COUNTA(H$5:H2640)</f>
        <v>4.8558421851289835E-2</v>
      </c>
      <c r="K2640" s="16">
        <f>AVERAGE(F$5:F2640)</f>
        <v>2.2179817905918044</v>
      </c>
      <c r="L2640" s="16">
        <f>SUM(F$5:F2640)/SUM(E$5:E2640)</f>
        <v>0.76334343012324857</v>
      </c>
    </row>
    <row r="2641" spans="1:12" x14ac:dyDescent="0.25">
      <c r="A2641" s="29">
        <v>46058</v>
      </c>
      <c r="B2641" s="16" t="s">
        <v>2687</v>
      </c>
      <c r="C2641" s="34">
        <v>1</v>
      </c>
      <c r="D2641" s="16" t="s">
        <v>52</v>
      </c>
      <c r="E2641" s="35">
        <v>3</v>
      </c>
      <c r="F2641" s="35">
        <v>2.6</v>
      </c>
      <c r="G2641" s="16" t="s">
        <v>44</v>
      </c>
      <c r="H2641" s="16" t="s">
        <v>45</v>
      </c>
      <c r="I2641" s="16">
        <f>COUNTIF(G$5:G2641,"Y")/COUNTA(G$5:G2641)</f>
        <v>0.88433826317785358</v>
      </c>
      <c r="J2641" s="16">
        <f>COUNTIF(H$5:H2641,"Y")/COUNTA(H$5:H2641)</f>
        <v>4.8540007584376182E-2</v>
      </c>
      <c r="K2641" s="16">
        <f>AVERAGE(F$5:F2641)</f>
        <v>2.2181266590822895</v>
      </c>
      <c r="L2641" s="16">
        <f>SUM(F$5:F2641)/SUM(E$5:E2641)</f>
        <v>0.76338388452402517</v>
      </c>
    </row>
    <row r="2642" spans="1:12" x14ac:dyDescent="0.25">
      <c r="A2642" s="29">
        <v>46059</v>
      </c>
      <c r="B2642" s="16" t="s">
        <v>2688</v>
      </c>
      <c r="C2642" s="34">
        <v>1</v>
      </c>
      <c r="D2642" s="16" t="s">
        <v>47</v>
      </c>
      <c r="E2642" s="35">
        <v>3.4</v>
      </c>
      <c r="F2642" s="35">
        <v>3.1</v>
      </c>
      <c r="G2642" s="16" t="s">
        <v>44</v>
      </c>
      <c r="H2642" s="16" t="s">
        <v>45</v>
      </c>
      <c r="I2642" s="16">
        <f>COUNTIF(G$5:G2642,"Y")/COUNTA(G$5:G2642)</f>
        <v>0.88438210765731617</v>
      </c>
      <c r="J2642" s="16">
        <f>COUNTIF(H$5:H2642,"Y")/COUNTA(H$5:H2642)</f>
        <v>4.8521607278241091E-2</v>
      </c>
      <c r="K2642" s="16">
        <f>AVERAGE(F$5:F2642)</f>
        <v>2.2184609552691423</v>
      </c>
      <c r="L2642" s="16">
        <f>SUM(F$5:F2642)/SUM(E$5:E2642)</f>
        <v>0.76344969734919454</v>
      </c>
    </row>
    <row r="2643" spans="1:12" x14ac:dyDescent="0.25">
      <c r="A2643" s="29">
        <v>46055</v>
      </c>
      <c r="B2643" s="16" t="s">
        <v>2689</v>
      </c>
      <c r="C2643" s="34">
        <v>1</v>
      </c>
      <c r="D2643" s="16" t="s">
        <v>50</v>
      </c>
      <c r="E2643" s="35">
        <v>2.9</v>
      </c>
      <c r="F2643" s="35">
        <v>2.5</v>
      </c>
      <c r="G2643" s="16" t="s">
        <v>45</v>
      </c>
      <c r="H2643" s="16" t="s">
        <v>45</v>
      </c>
      <c r="I2643" s="16">
        <f>COUNTIF(G$5:G2643,"Y")/COUNTA(G$5:G2643)</f>
        <v>0.88404698749526334</v>
      </c>
      <c r="J2643" s="16">
        <f>COUNTIF(H$5:H2643,"Y")/COUNTA(H$5:H2643)</f>
        <v>4.850322091701402E-2</v>
      </c>
      <c r="K2643" s="16">
        <f>AVERAGE(F$5:F2643)</f>
        <v>2.2185676392572935</v>
      </c>
      <c r="L2643" s="16">
        <f>SUM(F$5:F2643)/SUM(E$5:E2643)</f>
        <v>0.76348699224098404</v>
      </c>
    </row>
    <row r="2644" spans="1:12" x14ac:dyDescent="0.25">
      <c r="A2644" s="29">
        <v>46056</v>
      </c>
      <c r="B2644" s="16" t="s">
        <v>2690</v>
      </c>
      <c r="C2644" s="34">
        <v>1</v>
      </c>
      <c r="D2644" s="16" t="s">
        <v>64</v>
      </c>
      <c r="E2644" s="35">
        <v>4.9000000000000004</v>
      </c>
      <c r="F2644" s="35">
        <v>3.8</v>
      </c>
      <c r="G2644" s="16" t="s">
        <v>44</v>
      </c>
      <c r="H2644" s="16" t="s">
        <v>45</v>
      </c>
      <c r="I2644" s="16">
        <f>COUNTIF(G$5:G2644,"Y")/COUNTA(G$5:G2644)</f>
        <v>0.88409090909090904</v>
      </c>
      <c r="J2644" s="16">
        <f>COUNTIF(H$5:H2644,"Y")/COUNTA(H$5:H2644)</f>
        <v>4.8484848484848485E-2</v>
      </c>
      <c r="K2644" s="16">
        <f>AVERAGE(F$5:F2644)</f>
        <v>2.2191666666666658</v>
      </c>
      <c r="L2644" s="16">
        <f>SUM(F$5:F2644)/SUM(E$5:E2644)</f>
        <v>0.76349466989860904</v>
      </c>
    </row>
    <row r="2645" spans="1:12" x14ac:dyDescent="0.25">
      <c r="A2645" s="29">
        <v>46057</v>
      </c>
      <c r="B2645" s="16" t="s">
        <v>2691</v>
      </c>
      <c r="C2645" s="34">
        <v>1</v>
      </c>
      <c r="D2645" s="16" t="s">
        <v>56</v>
      </c>
      <c r="E2645" s="35">
        <v>3.9</v>
      </c>
      <c r="F2645" s="35">
        <v>3.5</v>
      </c>
      <c r="G2645" s="16" t="s">
        <v>45</v>
      </c>
      <c r="H2645" s="16" t="s">
        <v>45</v>
      </c>
      <c r="I2645" s="16">
        <f>COUNTIF(G$5:G2645,"Y")/COUNTA(G$5:G2645)</f>
        <v>0.88375615297235899</v>
      </c>
      <c r="J2645" s="16">
        <f>COUNTIF(H$5:H2645,"Y")/COUNTA(H$5:H2645)</f>
        <v>4.8466489965921997E-2</v>
      </c>
      <c r="K2645" s="16">
        <f>AVERAGE(F$5:F2645)</f>
        <v>2.2196516471033689</v>
      </c>
      <c r="L2645" s="16">
        <f>SUM(F$5:F2645)/SUM(E$5:E2645)</f>
        <v>0.7635627108488644</v>
      </c>
    </row>
    <row r="2646" spans="1:12" x14ac:dyDescent="0.25">
      <c r="A2646" s="29">
        <v>46058</v>
      </c>
      <c r="B2646" s="16" t="s">
        <v>2692</v>
      </c>
      <c r="C2646" s="34">
        <v>1</v>
      </c>
      <c r="D2646" s="16" t="s">
        <v>52</v>
      </c>
      <c r="E2646" s="35">
        <v>2.4</v>
      </c>
      <c r="F2646" s="35">
        <v>1.8</v>
      </c>
      <c r="G2646" s="16" t="s">
        <v>44</v>
      </c>
      <c r="H2646" s="16" t="s">
        <v>45</v>
      </c>
      <c r="I2646" s="16">
        <f>COUNTIF(G$5:G2646,"Y")/COUNTA(G$5:G2646)</f>
        <v>0.8838001514004542</v>
      </c>
      <c r="J2646" s="16">
        <f>COUNTIF(H$5:H2646,"Y")/COUNTA(H$5:H2646)</f>
        <v>4.8448145344436033E-2</v>
      </c>
      <c r="K2646" s="16">
        <f>AVERAGE(F$5:F2646)</f>
        <v>2.2194928084784245</v>
      </c>
      <c r="L2646" s="16">
        <f>SUM(F$5:F2646)/SUM(E$5:E2646)</f>
        <v>0.76355847233615737</v>
      </c>
    </row>
    <row r="2647" spans="1:12" x14ac:dyDescent="0.25">
      <c r="A2647" s="29">
        <v>46059</v>
      </c>
      <c r="B2647" s="16" t="s">
        <v>2693</v>
      </c>
      <c r="C2647" s="34">
        <v>1</v>
      </c>
      <c r="D2647" s="16" t="s">
        <v>60</v>
      </c>
      <c r="E2647" s="35">
        <v>0.6</v>
      </c>
      <c r="F2647" s="35">
        <v>0.5</v>
      </c>
      <c r="G2647" s="16" t="s">
        <v>44</v>
      </c>
      <c r="H2647" s="16" t="s">
        <v>45</v>
      </c>
      <c r="I2647" s="16">
        <f>COUNTIF(G$5:G2647,"Y")/COUNTA(G$5:G2647)</f>
        <v>0.88384411653424144</v>
      </c>
      <c r="J2647" s="16">
        <f>COUNTIF(H$5:H2647,"Y")/COUNTA(H$5:H2647)</f>
        <v>4.842981460461597E-2</v>
      </c>
      <c r="K2647" s="16">
        <f>AVERAGE(F$5:F2647)</f>
        <v>2.2188422247446078</v>
      </c>
      <c r="L2647" s="16">
        <f>SUM(F$5:F2647)/SUM(E$5:E2647)</f>
        <v>0.76356392328424505</v>
      </c>
    </row>
    <row r="2648" spans="1:12" x14ac:dyDescent="0.25">
      <c r="A2648" s="29">
        <v>46055</v>
      </c>
      <c r="B2648" s="16" t="s">
        <v>2694</v>
      </c>
      <c r="C2648" s="34">
        <v>1</v>
      </c>
      <c r="D2648" s="16" t="s">
        <v>52</v>
      </c>
      <c r="E2648" s="35">
        <v>0.5</v>
      </c>
      <c r="F2648" s="35">
        <v>0.5</v>
      </c>
      <c r="G2648" s="16" t="s">
        <v>44</v>
      </c>
      <c r="H2648" s="16" t="s">
        <v>45</v>
      </c>
      <c r="I2648" s="16">
        <f>COUNTIF(G$5:G2648,"Y")/COUNTA(G$5:G2648)</f>
        <v>0.88388804841149771</v>
      </c>
      <c r="J2648" s="16">
        <f>COUNTIF(H$5:H2648,"Y")/COUNTA(H$5:H2648)</f>
        <v>4.8411497730711045E-2</v>
      </c>
      <c r="K2648" s="16">
        <f>AVERAGE(F$5:F2648)</f>
        <v>2.2181921331316179</v>
      </c>
      <c r="L2648" s="16">
        <f>SUM(F$5:F2648)/SUM(E$5:E2648)</f>
        <v>0.76357931465472184</v>
      </c>
    </row>
    <row r="2649" spans="1:12" x14ac:dyDescent="0.25">
      <c r="A2649" s="29">
        <v>46056</v>
      </c>
      <c r="B2649" s="16" t="s">
        <v>2695</v>
      </c>
      <c r="C2649" s="34">
        <v>1</v>
      </c>
      <c r="D2649" s="16" t="s">
        <v>43</v>
      </c>
      <c r="E2649" s="35">
        <v>0.7</v>
      </c>
      <c r="F2649" s="35">
        <v>0.5</v>
      </c>
      <c r="G2649" s="16" t="s">
        <v>45</v>
      </c>
      <c r="H2649" s="16" t="s">
        <v>45</v>
      </c>
      <c r="I2649" s="16">
        <f>COUNTIF(G$5:G2649,"Y")/COUNTA(G$5:G2649)</f>
        <v>0.88355387523629492</v>
      </c>
      <c r="J2649" s="16">
        <f>COUNTIF(H$5:H2649,"Y")/COUNTA(H$5:H2649)</f>
        <v>4.8393194706994332E-2</v>
      </c>
      <c r="K2649" s="16">
        <f>AVERAGE(F$5:F2649)</f>
        <v>2.2175425330812848</v>
      </c>
      <c r="L2649" s="16">
        <f>SUM(F$5:F2649)/SUM(E$5:E2649)</f>
        <v>0.76357482262578757</v>
      </c>
    </row>
    <row r="2650" spans="1:12" x14ac:dyDescent="0.25">
      <c r="A2650" s="29">
        <v>46057</v>
      </c>
      <c r="B2650" s="16" t="s">
        <v>2696</v>
      </c>
      <c r="C2650" s="34">
        <v>1</v>
      </c>
      <c r="D2650" s="16" t="s">
        <v>60</v>
      </c>
      <c r="E2650" s="35">
        <v>0.6</v>
      </c>
      <c r="F2650" s="35">
        <v>0.5</v>
      </c>
      <c r="G2650" s="16" t="s">
        <v>44</v>
      </c>
      <c r="H2650" s="16" t="s">
        <v>45</v>
      </c>
      <c r="I2650" s="16">
        <f>COUNTIF(G$5:G2650,"Y")/COUNTA(G$5:G2650)</f>
        <v>0.8835978835978836</v>
      </c>
      <c r="J2650" s="16">
        <f>COUNTIF(H$5:H2650,"Y")/COUNTA(H$5:H2650)</f>
        <v>4.8374905517762662E-2</v>
      </c>
      <c r="K2650" s="16">
        <f>AVERAGE(F$5:F2650)</f>
        <v>2.2168934240362805</v>
      </c>
      <c r="L2650" s="16">
        <f>SUM(F$5:F2650)/SUM(E$5:E2650)</f>
        <v>0.76358027101964143</v>
      </c>
    </row>
    <row r="2651" spans="1:12" x14ac:dyDescent="0.25">
      <c r="A2651" s="29">
        <v>46058</v>
      </c>
      <c r="B2651" s="16" t="s">
        <v>2697</v>
      </c>
      <c r="C2651" s="34">
        <v>1</v>
      </c>
      <c r="D2651" s="16" t="s">
        <v>43</v>
      </c>
      <c r="E2651" s="35">
        <v>0.6</v>
      </c>
      <c r="F2651" s="35">
        <v>0.5</v>
      </c>
      <c r="G2651" s="16" t="s">
        <v>44</v>
      </c>
      <c r="H2651" s="16" t="s">
        <v>45</v>
      </c>
      <c r="I2651" s="16">
        <f>COUNTIF(G$5:G2651,"Y")/COUNTA(G$5:G2651)</f>
        <v>0.88364185870797129</v>
      </c>
      <c r="J2651" s="16">
        <f>COUNTIF(H$5:H2651,"Y")/COUNTA(H$5:H2651)</f>
        <v>4.8356630147336606E-2</v>
      </c>
      <c r="K2651" s="16">
        <f>AVERAGE(F$5:F2651)</f>
        <v>2.21624480544012</v>
      </c>
      <c r="L2651" s="16">
        <f>SUM(F$5:F2651)/SUM(E$5:E2651)</f>
        <v>0.76358571856248281</v>
      </c>
    </row>
    <row r="2652" spans="1:12" x14ac:dyDescent="0.25">
      <c r="A2652" s="29">
        <v>46059</v>
      </c>
      <c r="B2652" s="16" t="s">
        <v>2698</v>
      </c>
      <c r="C2652" s="34">
        <v>1</v>
      </c>
      <c r="D2652" s="16" t="s">
        <v>50</v>
      </c>
      <c r="E2652" s="35">
        <v>0.6</v>
      </c>
      <c r="F2652" s="35">
        <v>0.5</v>
      </c>
      <c r="G2652" s="16" t="s">
        <v>44</v>
      </c>
      <c r="H2652" s="16" t="s">
        <v>45</v>
      </c>
      <c r="I2652" s="16">
        <f>COUNTIF(G$5:G2652,"Y")/COUNTA(G$5:G2652)</f>
        <v>0.88368580060422963</v>
      </c>
      <c r="J2652" s="16">
        <f>COUNTIF(H$5:H2652,"Y")/COUNTA(H$5:H2652)</f>
        <v>4.8338368580060423E-2</v>
      </c>
      <c r="K2652" s="16">
        <f>AVERAGE(F$5:F2652)</f>
        <v>2.2155966767371593</v>
      </c>
      <c r="L2652" s="16">
        <f>SUM(F$5:F2652)/SUM(E$5:E2652)</f>
        <v>0.76359116525451132</v>
      </c>
    </row>
    <row r="2653" spans="1:12" x14ac:dyDescent="0.25">
      <c r="A2653" s="29">
        <v>46055</v>
      </c>
      <c r="B2653" s="16" t="s">
        <v>2699</v>
      </c>
      <c r="C2653" s="34">
        <v>1</v>
      </c>
      <c r="D2653" s="16" t="s">
        <v>64</v>
      </c>
      <c r="E2653" s="35">
        <v>0.7</v>
      </c>
      <c r="F2653" s="35">
        <v>0.5</v>
      </c>
      <c r="G2653" s="16" t="s">
        <v>44</v>
      </c>
      <c r="H2653" s="16" t="s">
        <v>45</v>
      </c>
      <c r="I2653" s="16">
        <f>COUNTIF(G$5:G2653,"Y")/COUNTA(G$5:G2653)</f>
        <v>0.8837297093242733</v>
      </c>
      <c r="J2653" s="16">
        <f>COUNTIF(H$5:H2653,"Y")/COUNTA(H$5:H2653)</f>
        <v>4.8320120800301999E-2</v>
      </c>
      <c r="K2653" s="16">
        <f>AVERAGE(F$5:F2653)</f>
        <v>2.2149490373725924</v>
      </c>
      <c r="L2653" s="16">
        <f>SUM(F$5:F2653)/SUM(E$5:E2653)</f>
        <v>0.76358667360749433</v>
      </c>
    </row>
    <row r="2654" spans="1:12" x14ac:dyDescent="0.25">
      <c r="A2654" s="29">
        <v>46056</v>
      </c>
      <c r="B2654" s="16" t="s">
        <v>2700</v>
      </c>
      <c r="C2654" s="34">
        <v>1</v>
      </c>
      <c r="D2654" s="16" t="s">
        <v>56</v>
      </c>
      <c r="E2654" s="35">
        <v>0.6</v>
      </c>
      <c r="F2654" s="35">
        <v>0.5</v>
      </c>
      <c r="G2654" s="16" t="s">
        <v>44</v>
      </c>
      <c r="H2654" s="16" t="s">
        <v>45</v>
      </c>
      <c r="I2654" s="16">
        <f>COUNTIF(G$5:G2654,"Y")/COUNTA(G$5:G2654)</f>
        <v>0.88377358490566038</v>
      </c>
      <c r="J2654" s="16">
        <f>COUNTIF(H$5:H2654,"Y")/COUNTA(H$5:H2654)</f>
        <v>4.8301886792452828E-2</v>
      </c>
      <c r="K2654" s="16">
        <f>AVERAGE(F$5:F2654)</f>
        <v>2.2143018867924522</v>
      </c>
      <c r="L2654" s="16">
        <f>SUM(F$5:F2654)/SUM(E$5:E2654)</f>
        <v>0.76359211930354043</v>
      </c>
    </row>
    <row r="2655" spans="1:12" x14ac:dyDescent="0.25">
      <c r="A2655" s="29">
        <v>46057</v>
      </c>
      <c r="B2655" s="16" t="s">
        <v>2701</v>
      </c>
      <c r="C2655" s="34">
        <v>1</v>
      </c>
      <c r="D2655" s="16" t="s">
        <v>50</v>
      </c>
      <c r="E2655" s="35">
        <v>0.6</v>
      </c>
      <c r="F2655" s="35">
        <v>0.5</v>
      </c>
      <c r="G2655" s="16" t="s">
        <v>44</v>
      </c>
      <c r="H2655" s="16" t="s">
        <v>45</v>
      </c>
      <c r="I2655" s="16">
        <f>COUNTIF(G$5:G2655,"Y")/COUNTA(G$5:G2655)</f>
        <v>0.88381742738589208</v>
      </c>
      <c r="J2655" s="16">
        <f>COUNTIF(H$5:H2655,"Y")/COUNTA(H$5:H2655)</f>
        <v>4.8283666540927951E-2</v>
      </c>
      <c r="K2655" s="16">
        <f>AVERAGE(F$5:F2655)</f>
        <v>2.2136552244436052</v>
      </c>
      <c r="L2655" s="16">
        <f>SUM(F$5:F2655)/SUM(E$5:E2655)</f>
        <v>0.76359756414927216</v>
      </c>
    </row>
    <row r="2656" spans="1:12" x14ac:dyDescent="0.25">
      <c r="A2656" s="29">
        <v>46058</v>
      </c>
      <c r="B2656" s="16" t="s">
        <v>2702</v>
      </c>
      <c r="C2656" s="34">
        <v>1</v>
      </c>
      <c r="D2656" s="16" t="s">
        <v>43</v>
      </c>
      <c r="E2656" s="35">
        <v>0.6</v>
      </c>
      <c r="F2656" s="35">
        <v>0.5</v>
      </c>
      <c r="G2656" s="16" t="s">
        <v>44</v>
      </c>
      <c r="H2656" s="16" t="s">
        <v>45</v>
      </c>
      <c r="I2656" s="16">
        <f>COUNTIF(G$5:G2656,"Y")/COUNTA(G$5:G2656)</f>
        <v>0.88386123680241324</v>
      </c>
      <c r="J2656" s="16">
        <f>COUNTIF(H$5:H2656,"Y")/COUNTA(H$5:H2656)</f>
        <v>4.8265460030165915E-2</v>
      </c>
      <c r="K2656" s="16">
        <f>AVERAGE(F$5:F2656)</f>
        <v>2.2130090497737549</v>
      </c>
      <c r="L2656" s="16">
        <f>SUM(F$5:F2656)/SUM(E$5:E2656)</f>
        <v>0.76360300814488868</v>
      </c>
    </row>
    <row r="2657" spans="1:13" x14ac:dyDescent="0.25">
      <c r="A2657" s="29">
        <v>46059</v>
      </c>
      <c r="B2657" s="16" t="s">
        <v>2703</v>
      </c>
      <c r="C2657" s="34">
        <v>1</v>
      </c>
      <c r="D2657" s="16" t="s">
        <v>64</v>
      </c>
      <c r="E2657" s="35">
        <v>0.6</v>
      </c>
      <c r="F2657" s="35">
        <v>0.5</v>
      </c>
      <c r="G2657" s="16" t="s">
        <v>44</v>
      </c>
      <c r="H2657" s="16" t="s">
        <v>45</v>
      </c>
      <c r="I2657" s="16">
        <f>COUNTIF(G$5:G2657,"Y")/COUNTA(G$5:G2657)</f>
        <v>0.88390501319261217</v>
      </c>
      <c r="J2657" s="16">
        <f>COUNTIF(H$5:H2657,"Y")/COUNTA(H$5:H2657)</f>
        <v>4.8247267244628723E-2</v>
      </c>
      <c r="K2657" s="16">
        <f>AVERAGE(F$5:F2657)</f>
        <v>2.2123633622314354</v>
      </c>
      <c r="L2657" s="16">
        <f>SUM(F$5:F2657)/SUM(E$5:E2657)</f>
        <v>0.7636084512905893</v>
      </c>
    </row>
    <row r="2658" spans="1:13" x14ac:dyDescent="0.25">
      <c r="A2658" s="29">
        <v>46055</v>
      </c>
      <c r="B2658" s="16" t="s">
        <v>2704</v>
      </c>
      <c r="C2658" s="34">
        <v>1</v>
      </c>
      <c r="D2658" s="16" t="s">
        <v>43</v>
      </c>
      <c r="E2658" s="35">
        <v>4</v>
      </c>
      <c r="F2658" s="35">
        <v>0.5</v>
      </c>
      <c r="G2658" s="16" t="s">
        <v>44</v>
      </c>
      <c r="H2658" s="16" t="s">
        <v>45</v>
      </c>
      <c r="I2658" s="16">
        <f>COUNTIF(G$5:G2658,"Y")/COUNTA(G$5:G2658)</f>
        <v>0.88394875659382066</v>
      </c>
      <c r="J2658" s="16">
        <f>COUNTIF(H$5:H2658,"Y")/COUNTA(H$5:H2658)</f>
        <v>4.8229088168801809E-2</v>
      </c>
      <c r="K2658" s="16">
        <f>AVERAGE(F$5:F2658)</f>
        <v>2.2117181612660128</v>
      </c>
      <c r="L2658" s="16">
        <f>SUM(F$5:F2658)/SUM(E$5:E2658)</f>
        <v>0.76327629252054319</v>
      </c>
      <c r="M2658" s="16">
        <v>5</v>
      </c>
    </row>
    <row r="2659" spans="1:13" x14ac:dyDescent="0.25">
      <c r="A2659" s="29">
        <v>46062</v>
      </c>
      <c r="B2659" s="16" t="s">
        <v>2705</v>
      </c>
      <c r="C2659" s="34">
        <v>1</v>
      </c>
      <c r="D2659" s="16" t="s">
        <v>50</v>
      </c>
      <c r="E2659" s="35">
        <v>3.8</v>
      </c>
      <c r="F2659" s="35">
        <v>2.6</v>
      </c>
      <c r="G2659" s="16" t="s">
        <v>44</v>
      </c>
      <c r="H2659" s="16" t="s">
        <v>45</v>
      </c>
      <c r="I2659" s="16">
        <f>COUNTIF(G$5:G2659,"Y")/COUNTA(G$5:G2659)</f>
        <v>0.88399246704331447</v>
      </c>
      <c r="J2659" s="16">
        <f>COUNTIF(H$5:H2659,"Y")/COUNTA(H$5:H2659)</f>
        <v>4.8210922787193973E-2</v>
      </c>
      <c r="K2659" s="16">
        <f>AVERAGE(F$5:F2659)</f>
        <v>2.2118644067796605</v>
      </c>
      <c r="L2659" s="16">
        <f>SUM(F$5:F2659)/SUM(E$5:E2659)</f>
        <v>0.76323724363806322</v>
      </c>
    </row>
    <row r="2660" spans="1:13" x14ac:dyDescent="0.25">
      <c r="A2660" s="29">
        <v>46063</v>
      </c>
      <c r="B2660" s="16" t="s">
        <v>2706</v>
      </c>
      <c r="C2660" s="34">
        <v>1</v>
      </c>
      <c r="D2660" s="16" t="s">
        <v>47</v>
      </c>
      <c r="E2660" s="35">
        <v>4.4000000000000004</v>
      </c>
      <c r="F2660" s="35">
        <v>3.9</v>
      </c>
      <c r="G2660" s="16" t="s">
        <v>44</v>
      </c>
      <c r="H2660" s="16" t="s">
        <v>45</v>
      </c>
      <c r="I2660" s="16">
        <f>COUNTIF(G$5:G2660,"Y")/COUNTA(G$5:G2660)</f>
        <v>0.88403614457831325</v>
      </c>
      <c r="J2660" s="16">
        <f>COUNTIF(H$5:H2660,"Y")/COUNTA(H$5:H2660)</f>
        <v>4.8192771084337352E-2</v>
      </c>
      <c r="K2660" s="16">
        <f>AVERAGE(F$5:F2660)</f>
        <v>2.212499999999999</v>
      </c>
      <c r="L2660" s="16">
        <f>SUM(F$5:F2660)/SUM(E$5:E2660)</f>
        <v>0.76330761437144234</v>
      </c>
    </row>
    <row r="2661" spans="1:13" x14ac:dyDescent="0.25">
      <c r="A2661" s="29">
        <v>46064</v>
      </c>
      <c r="B2661" s="16" t="s">
        <v>2707</v>
      </c>
      <c r="C2661" s="34">
        <v>1</v>
      </c>
      <c r="D2661" s="16" t="s">
        <v>50</v>
      </c>
      <c r="E2661" s="35">
        <v>1.9</v>
      </c>
      <c r="F2661" s="35">
        <v>1.4</v>
      </c>
      <c r="G2661" s="16" t="s">
        <v>44</v>
      </c>
      <c r="H2661" s="16" t="s">
        <v>45</v>
      </c>
      <c r="I2661" s="16">
        <f>COUNTIF(G$5:G2661,"Y")/COUNTA(G$5:G2661)</f>
        <v>0.88407978923598041</v>
      </c>
      <c r="J2661" s="16">
        <f>COUNTIF(H$5:H2661,"Y")/COUNTA(H$5:H2661)</f>
        <v>4.8174633044787356E-2</v>
      </c>
      <c r="K2661" s="16">
        <f>AVERAGE(F$5:F2661)</f>
        <v>2.2121942039894607</v>
      </c>
      <c r="L2661" s="16">
        <f>SUM(F$5:F2661)/SUM(E$5:E2661)</f>
        <v>0.76330108434517052</v>
      </c>
    </row>
    <row r="2662" spans="1:13" x14ac:dyDescent="0.25">
      <c r="A2662" s="29">
        <v>46065</v>
      </c>
      <c r="B2662" s="16" t="s">
        <v>2708</v>
      </c>
      <c r="C2662" s="34">
        <v>1</v>
      </c>
      <c r="D2662" s="16" t="s">
        <v>50</v>
      </c>
      <c r="E2662" s="35">
        <v>3.1</v>
      </c>
      <c r="F2662" s="35">
        <v>2.2000000000000002</v>
      </c>
      <c r="G2662" s="16" t="s">
        <v>44</v>
      </c>
      <c r="H2662" s="16" t="s">
        <v>44</v>
      </c>
      <c r="I2662" s="16">
        <f>COUNTIF(G$5:G2662,"Y")/COUNTA(G$5:G2662)</f>
        <v>0.88412340105342357</v>
      </c>
      <c r="J2662" s="16">
        <f>COUNTIF(H$5:H2662,"Y")/COUNTA(H$5:H2662)</f>
        <v>4.8532731376975169E-2</v>
      </c>
      <c r="K2662" s="16">
        <f>AVERAGE(F$5:F2662)</f>
        <v>2.2121896162528207</v>
      </c>
      <c r="L2662" s="16">
        <f>SUM(F$5:F2662)/SUM(E$5:E2662)</f>
        <v>0.7632795056856515</v>
      </c>
    </row>
    <row r="2663" spans="1:13" x14ac:dyDescent="0.25">
      <c r="A2663" s="29">
        <v>46066</v>
      </c>
      <c r="B2663" s="16" t="s">
        <v>2709</v>
      </c>
      <c r="C2663" s="34">
        <v>1</v>
      </c>
      <c r="D2663" s="16" t="s">
        <v>60</v>
      </c>
      <c r="E2663" s="35">
        <v>2.2000000000000002</v>
      </c>
      <c r="F2663" s="35">
        <v>1.6</v>
      </c>
      <c r="G2663" s="16" t="s">
        <v>44</v>
      </c>
      <c r="H2663" s="16" t="s">
        <v>45</v>
      </c>
      <c r="I2663" s="16">
        <f>COUNTIF(G$5:G2663,"Y")/COUNTA(G$5:G2663)</f>
        <v>0.88416698006769467</v>
      </c>
      <c r="J2663" s="16">
        <f>COUNTIF(H$5:H2663,"Y")/COUNTA(H$5:H2663)</f>
        <v>4.8514479127491537E-2</v>
      </c>
      <c r="K2663" s="16">
        <f>AVERAGE(F$5:F2663)</f>
        <v>2.2119593832267759</v>
      </c>
      <c r="L2663" s="16">
        <f>SUM(F$5:F2663)/SUM(E$5:E2663)</f>
        <v>0.76326922577798351</v>
      </c>
    </row>
    <row r="2664" spans="1:13" x14ac:dyDescent="0.25">
      <c r="A2664" s="29">
        <v>46062</v>
      </c>
      <c r="B2664" s="16" t="s">
        <v>2710</v>
      </c>
      <c r="C2664" s="34">
        <v>1</v>
      </c>
      <c r="D2664" s="16" t="s">
        <v>47</v>
      </c>
      <c r="E2664" s="35">
        <v>2</v>
      </c>
      <c r="F2664" s="35">
        <v>1.6</v>
      </c>
      <c r="G2664" s="16" t="s">
        <v>44</v>
      </c>
      <c r="H2664" s="16" t="s">
        <v>45</v>
      </c>
      <c r="I2664" s="16">
        <f>COUNTIF(G$5:G2664,"Y")/COUNTA(G$5:G2664)</f>
        <v>0.88421052631578945</v>
      </c>
      <c r="J2664" s="16">
        <f>COUNTIF(H$5:H2664,"Y")/COUNTA(H$5:H2664)</f>
        <v>4.8496240601503759E-2</v>
      </c>
      <c r="K2664" s="16">
        <f>AVERAGE(F$5:F2664)</f>
        <v>2.21172932330827</v>
      </c>
      <c r="L2664" s="16">
        <f>SUM(F$5:F2664)/SUM(E$5:E2664)</f>
        <v>0.76327875658423749</v>
      </c>
    </row>
    <row r="2665" spans="1:13" x14ac:dyDescent="0.25">
      <c r="A2665" s="29">
        <v>46063</v>
      </c>
      <c r="B2665" s="16" t="s">
        <v>2711</v>
      </c>
      <c r="C2665" s="34">
        <v>1</v>
      </c>
      <c r="D2665" s="16" t="s">
        <v>60</v>
      </c>
      <c r="E2665" s="35">
        <v>4.4000000000000004</v>
      </c>
      <c r="F2665" s="35">
        <v>3.9</v>
      </c>
      <c r="G2665" s="16" t="s">
        <v>45</v>
      </c>
      <c r="H2665" s="16" t="s">
        <v>45</v>
      </c>
      <c r="I2665" s="16">
        <f>COUNTIF(G$5:G2665,"Y")/COUNTA(G$5:G2665)</f>
        <v>0.88387824126268322</v>
      </c>
      <c r="J2665" s="16">
        <f>COUNTIF(H$5:H2665,"Y")/COUNTA(H$5:H2665)</f>
        <v>4.8478015783540024E-2</v>
      </c>
      <c r="K2665" s="16">
        <f>AVERAGE(F$5:F2665)</f>
        <v>2.2123637730176617</v>
      </c>
      <c r="L2665" s="16">
        <f>SUM(F$5:F2665)/SUM(E$5:E2665)</f>
        <v>0.76334897953891057</v>
      </c>
    </row>
    <row r="2666" spans="1:13" x14ac:dyDescent="0.25">
      <c r="A2666" s="29">
        <v>46064</v>
      </c>
      <c r="B2666" s="16" t="s">
        <v>2712</v>
      </c>
      <c r="C2666" s="34">
        <v>1</v>
      </c>
      <c r="D2666" s="16" t="s">
        <v>50</v>
      </c>
      <c r="E2666" s="35">
        <v>2.7</v>
      </c>
      <c r="F2666" s="35">
        <v>2.2999999999999998</v>
      </c>
      <c r="G2666" s="16" t="s">
        <v>44</v>
      </c>
      <c r="H2666" s="16" t="s">
        <v>45</v>
      </c>
      <c r="I2666" s="16">
        <f>COUNTIF(G$5:G2666,"Y")/COUNTA(G$5:G2666)</f>
        <v>0.88392186326070621</v>
      </c>
      <c r="J2666" s="16">
        <f>COUNTIF(H$5:H2666,"Y")/COUNTA(H$5:H2666)</f>
        <v>4.8459804658151764E-2</v>
      </c>
      <c r="K2666" s="16">
        <f>AVERAGE(F$5:F2666)</f>
        <v>2.2123966942148754</v>
      </c>
      <c r="L2666" s="16">
        <f>SUM(F$5:F2666)/SUM(E$5:E2666)</f>
        <v>0.7633799530778087</v>
      </c>
    </row>
    <row r="2667" spans="1:13" x14ac:dyDescent="0.25">
      <c r="A2667" s="29">
        <v>46065</v>
      </c>
      <c r="B2667" s="16" t="s">
        <v>2713</v>
      </c>
      <c r="C2667" s="34">
        <v>1</v>
      </c>
      <c r="D2667" s="16" t="s">
        <v>47</v>
      </c>
      <c r="E2667" s="35">
        <v>4.4000000000000004</v>
      </c>
      <c r="F2667" s="35">
        <v>3.4</v>
      </c>
      <c r="G2667" s="16" t="s">
        <v>44</v>
      </c>
      <c r="H2667" s="16" t="s">
        <v>45</v>
      </c>
      <c r="I2667" s="16">
        <f>COUNTIF(G$5:G2667,"Y")/COUNTA(G$5:G2667)</f>
        <v>0.88396545249718361</v>
      </c>
      <c r="J2667" s="16">
        <f>COUNTIF(H$5:H2667,"Y")/COUNTA(H$5:H2667)</f>
        <v>4.8441607209913633E-2</v>
      </c>
      <c r="K2667" s="16">
        <f>AVERAGE(F$5:F2667)</f>
        <v>2.2128426586556507</v>
      </c>
      <c r="L2667" s="16">
        <f>SUM(F$5:F2667)/SUM(E$5:E2667)</f>
        <v>0.76338528104879799</v>
      </c>
    </row>
    <row r="2668" spans="1:13" x14ac:dyDescent="0.25">
      <c r="A2668" s="29">
        <v>46066</v>
      </c>
      <c r="B2668" s="16" t="s">
        <v>2714</v>
      </c>
      <c r="C2668" s="34">
        <v>1</v>
      </c>
      <c r="D2668" s="16" t="s">
        <v>64</v>
      </c>
      <c r="E2668" s="35">
        <v>4.2</v>
      </c>
      <c r="F2668" s="35">
        <v>3.2</v>
      </c>
      <c r="G2668" s="16" t="s">
        <v>44</v>
      </c>
      <c r="H2668" s="16" t="s">
        <v>45</v>
      </c>
      <c r="I2668" s="16">
        <f>COUNTIF(G$5:G2668,"Y")/COUNTA(G$5:G2668)</f>
        <v>0.88400900900900903</v>
      </c>
      <c r="J2668" s="16">
        <f>COUNTIF(H$5:H2668,"Y")/COUNTA(H$5:H2668)</f>
        <v>4.8423423423423421E-2</v>
      </c>
      <c r="K2668" s="16">
        <f>AVERAGE(F$5:F2668)</f>
        <v>2.2132132132132121</v>
      </c>
      <c r="L2668" s="16">
        <f>SUM(F$5:F2668)/SUM(E$5:E2668)</f>
        <v>0.7633844759500209</v>
      </c>
    </row>
    <row r="2669" spans="1:13" x14ac:dyDescent="0.25">
      <c r="A2669" s="29">
        <v>46062</v>
      </c>
      <c r="B2669" s="16" t="s">
        <v>2715</v>
      </c>
      <c r="C2669" s="34">
        <v>1</v>
      </c>
      <c r="D2669" s="16" t="s">
        <v>50</v>
      </c>
      <c r="E2669" s="35">
        <v>2.7</v>
      </c>
      <c r="F2669" s="35">
        <v>2.2000000000000002</v>
      </c>
      <c r="G2669" s="16" t="s">
        <v>44</v>
      </c>
      <c r="H2669" s="16" t="s">
        <v>45</v>
      </c>
      <c r="I2669" s="16">
        <f>COUNTIF(G$5:G2669,"Y")/COUNTA(G$5:G2669)</f>
        <v>0.88405253283302065</v>
      </c>
      <c r="J2669" s="16">
        <f>COUNTIF(H$5:H2669,"Y")/COUNTA(H$5:H2669)</f>
        <v>4.8405253283302065E-2</v>
      </c>
      <c r="K2669" s="16">
        <f>AVERAGE(F$5:F2669)</f>
        <v>2.2132082551594734</v>
      </c>
      <c r="L2669" s="16">
        <f>SUM(F$5:F2669)/SUM(E$5:E2669)</f>
        <v>0.76340244881053898</v>
      </c>
    </row>
    <row r="2670" spans="1:13" x14ac:dyDescent="0.25">
      <c r="A2670" s="29">
        <v>46063</v>
      </c>
      <c r="B2670" s="16" t="s">
        <v>2716</v>
      </c>
      <c r="C2670" s="34">
        <v>1</v>
      </c>
      <c r="D2670" s="16" t="s">
        <v>64</v>
      </c>
      <c r="E2670" s="35">
        <v>2.8</v>
      </c>
      <c r="F2670" s="35">
        <v>2.2999999999999998</v>
      </c>
      <c r="G2670" s="16" t="s">
        <v>44</v>
      </c>
      <c r="H2670" s="16" t="s">
        <v>45</v>
      </c>
      <c r="I2670" s="16">
        <f>COUNTIF(G$5:G2670,"Y")/COUNTA(G$5:G2670)</f>
        <v>0.88409602400600151</v>
      </c>
      <c r="J2670" s="16">
        <f>COUNTIF(H$5:H2670,"Y")/COUNTA(H$5:H2670)</f>
        <v>4.8387096774193547E-2</v>
      </c>
      <c r="K2670" s="16">
        <f>AVERAGE(F$5:F2670)</f>
        <v>2.2132408102025498</v>
      </c>
      <c r="L2670" s="16">
        <f>SUM(F$5:F2670)/SUM(E$5:E2670)</f>
        <v>0.76342347004786981</v>
      </c>
    </row>
    <row r="2671" spans="1:13" x14ac:dyDescent="0.25">
      <c r="A2671" s="29">
        <v>46064</v>
      </c>
      <c r="B2671" s="16" t="s">
        <v>2717</v>
      </c>
      <c r="C2671" s="34">
        <v>1</v>
      </c>
      <c r="D2671" s="16" t="s">
        <v>43</v>
      </c>
      <c r="E2671" s="35">
        <v>5.0999999999999996</v>
      </c>
      <c r="F2671" s="35">
        <v>3.7</v>
      </c>
      <c r="G2671" s="16" t="s">
        <v>45</v>
      </c>
      <c r="H2671" s="16" t="s">
        <v>45</v>
      </c>
      <c r="I2671" s="16">
        <f>COUNTIF(G$5:G2671,"Y")/COUNTA(G$5:G2671)</f>
        <v>0.88376452943382078</v>
      </c>
      <c r="J2671" s="16">
        <f>COUNTIF(H$5:H2671,"Y")/COUNTA(H$5:H2671)</f>
        <v>4.8368953880764905E-2</v>
      </c>
      <c r="K2671" s="16">
        <f>AVERAGE(F$5:F2671)</f>
        <v>2.2137982752155971</v>
      </c>
      <c r="L2671" s="16">
        <f>SUM(F$5:F2671)/SUM(E$5:E2671)</f>
        <v>0.76339845618753133</v>
      </c>
    </row>
    <row r="2672" spans="1:13" x14ac:dyDescent="0.25">
      <c r="A2672" s="29">
        <v>46065</v>
      </c>
      <c r="B2672" s="16" t="s">
        <v>2718</v>
      </c>
      <c r="C2672" s="34">
        <v>1</v>
      </c>
      <c r="D2672" s="16" t="s">
        <v>43</v>
      </c>
      <c r="E2672" s="35">
        <v>3.5</v>
      </c>
      <c r="F2672" s="35">
        <v>2.6</v>
      </c>
      <c r="G2672" s="16" t="s">
        <v>44</v>
      </c>
      <c r="H2672" s="16" t="s">
        <v>45</v>
      </c>
      <c r="I2672" s="16">
        <f>COUNTIF(G$5:G2672,"Y")/COUNTA(G$5:G2672)</f>
        <v>0.88380809595202403</v>
      </c>
      <c r="J2672" s="16">
        <f>COUNTIF(H$5:H2672,"Y")/COUNTA(H$5:H2672)</f>
        <v>4.8350824587706148E-2</v>
      </c>
      <c r="K2672" s="16">
        <f>AVERAGE(F$5:F2672)</f>
        <v>2.213943028485756</v>
      </c>
      <c r="L2672" s="16">
        <f>SUM(F$5:F2672)/SUM(E$5:E2672)</f>
        <v>0.76338916459884021</v>
      </c>
    </row>
    <row r="2673" spans="1:12" x14ac:dyDescent="0.25">
      <c r="A2673" s="29">
        <v>46066</v>
      </c>
      <c r="B2673" s="16" t="s">
        <v>2719</v>
      </c>
      <c r="C2673" s="34">
        <v>1</v>
      </c>
      <c r="D2673" s="16" t="s">
        <v>47</v>
      </c>
      <c r="E2673" s="35">
        <v>3</v>
      </c>
      <c r="F2673" s="35">
        <v>2.2000000000000002</v>
      </c>
      <c r="G2673" s="16" t="s">
        <v>45</v>
      </c>
      <c r="H2673" s="16" t="s">
        <v>45</v>
      </c>
      <c r="I2673" s="16">
        <f>COUNTIF(G$5:G2673,"Y")/COUNTA(G$5:G2673)</f>
        <v>0.8834769576620457</v>
      </c>
      <c r="J2673" s="16">
        <f>COUNTIF(H$5:H2673,"Y")/COUNTA(H$5:H2673)</f>
        <v>4.8332708879730235E-2</v>
      </c>
      <c r="K2673" s="16">
        <f>AVERAGE(F$5:F2673)</f>
        <v>2.2139378044211306</v>
      </c>
      <c r="L2673" s="16">
        <f>SUM(F$5:F2673)/SUM(E$5:E2673)</f>
        <v>0.76337751595483372</v>
      </c>
    </row>
    <row r="2674" spans="1:12" x14ac:dyDescent="0.25">
      <c r="A2674" s="29">
        <v>46062</v>
      </c>
      <c r="B2674" s="16" t="s">
        <v>2720</v>
      </c>
      <c r="C2674" s="34">
        <v>1</v>
      </c>
      <c r="D2674" s="16" t="s">
        <v>64</v>
      </c>
      <c r="E2674" s="35">
        <v>2</v>
      </c>
      <c r="F2674" s="35">
        <v>1.5</v>
      </c>
      <c r="G2674" s="16" t="s">
        <v>44</v>
      </c>
      <c r="H2674" s="16" t="s">
        <v>45</v>
      </c>
      <c r="I2674" s="16">
        <f>COUNTIF(G$5:G2674,"Y")/COUNTA(G$5:G2674)</f>
        <v>0.88352059925093629</v>
      </c>
      <c r="J2674" s="16">
        <f>COUNTIF(H$5:H2674,"Y")/COUNTA(H$5:H2674)</f>
        <v>4.8314606741573035E-2</v>
      </c>
      <c r="K2674" s="16">
        <f>AVERAGE(F$5:F2674)</f>
        <v>2.2136704119850177</v>
      </c>
      <c r="L2674" s="16">
        <f>SUM(F$5:F2674)/SUM(E$5:E2674)</f>
        <v>0.76337406039314781</v>
      </c>
    </row>
    <row r="2675" spans="1:12" x14ac:dyDescent="0.25">
      <c r="A2675" s="29">
        <v>46063</v>
      </c>
      <c r="B2675" s="16" t="s">
        <v>2721</v>
      </c>
      <c r="C2675" s="34">
        <v>1</v>
      </c>
      <c r="D2675" s="16" t="s">
        <v>64</v>
      </c>
      <c r="E2675" s="35">
        <v>2.2999999999999998</v>
      </c>
      <c r="F2675" s="35">
        <v>1.7</v>
      </c>
      <c r="G2675" s="16" t="s">
        <v>44</v>
      </c>
      <c r="H2675" s="16" t="s">
        <v>45</v>
      </c>
      <c r="I2675" s="16">
        <f>COUNTIF(G$5:G2675,"Y")/COUNTA(G$5:G2675)</f>
        <v>0.8835642081617372</v>
      </c>
      <c r="J2675" s="16">
        <f>COUNTIF(H$5:H2675,"Y")/COUNTA(H$5:H2675)</f>
        <v>4.8296518157993261E-2</v>
      </c>
      <c r="K2675" s="16">
        <f>AVERAGE(F$5:F2675)</f>
        <v>2.2134780980906017</v>
      </c>
      <c r="L2675" s="16">
        <f>SUM(F$5:F2675)/SUM(E$5:E2675)</f>
        <v>0.76336686077289384</v>
      </c>
    </row>
    <row r="2676" spans="1:12" x14ac:dyDescent="0.25">
      <c r="A2676" s="29">
        <v>46064</v>
      </c>
      <c r="B2676" s="16" t="s">
        <v>2722</v>
      </c>
      <c r="C2676" s="34">
        <v>1</v>
      </c>
      <c r="D2676" s="16" t="s">
        <v>50</v>
      </c>
      <c r="E2676" s="35">
        <v>4.0999999999999996</v>
      </c>
      <c r="F2676" s="35">
        <v>3.1</v>
      </c>
      <c r="G2676" s="16" t="s">
        <v>44</v>
      </c>
      <c r="H2676" s="16" t="s">
        <v>45</v>
      </c>
      <c r="I2676" s="16">
        <f>COUNTIF(G$5:G2676,"Y")/COUNTA(G$5:G2676)</f>
        <v>0.88360778443113774</v>
      </c>
      <c r="J2676" s="16">
        <f>COUNTIF(H$5:H2676,"Y")/COUNTA(H$5:H2676)</f>
        <v>4.8278443113772454E-2</v>
      </c>
      <c r="K2676" s="16">
        <f>AVERAGE(F$5:F2676)</f>
        <v>2.2138098802395199</v>
      </c>
      <c r="L2676" s="16">
        <f>SUM(F$5:F2676)/SUM(E$5:E2676)</f>
        <v>0.76336301458252498</v>
      </c>
    </row>
    <row r="2677" spans="1:12" x14ac:dyDescent="0.25">
      <c r="A2677" s="29">
        <v>46065</v>
      </c>
      <c r="B2677" s="16" t="s">
        <v>2723</v>
      </c>
      <c r="C2677" s="34">
        <v>1</v>
      </c>
      <c r="D2677" s="16" t="s">
        <v>50</v>
      </c>
      <c r="E2677" s="35">
        <v>2.2999999999999998</v>
      </c>
      <c r="F2677" s="35">
        <v>1.8</v>
      </c>
      <c r="G2677" s="16" t="s">
        <v>44</v>
      </c>
      <c r="H2677" s="16" t="s">
        <v>45</v>
      </c>
      <c r="I2677" s="16">
        <f>COUNTIF(G$5:G2677,"Y")/COUNTA(G$5:G2677)</f>
        <v>0.88365132809577251</v>
      </c>
      <c r="J2677" s="16">
        <f>COUNTIF(H$5:H2677,"Y")/COUNTA(H$5:H2677)</f>
        <v>4.8260381593714929E-2</v>
      </c>
      <c r="K2677" s="16">
        <f>AVERAGE(F$5:F2677)</f>
        <v>2.213655069210624</v>
      </c>
      <c r="L2677" s="16">
        <f>SUM(F$5:F2677)/SUM(E$5:E2677)</f>
        <v>0.7633687252460859</v>
      </c>
    </row>
    <row r="2678" spans="1:12" x14ac:dyDescent="0.25">
      <c r="A2678" s="29">
        <v>46066</v>
      </c>
      <c r="B2678" s="16" t="s">
        <v>2724</v>
      </c>
      <c r="C2678" s="34">
        <v>1</v>
      </c>
      <c r="D2678" s="16" t="s">
        <v>64</v>
      </c>
      <c r="E2678" s="35">
        <v>5.6</v>
      </c>
      <c r="F2678" s="35">
        <v>3.8</v>
      </c>
      <c r="G2678" s="16" t="s">
        <v>44</v>
      </c>
      <c r="H2678" s="16" t="s">
        <v>45</v>
      </c>
      <c r="I2678" s="16">
        <f>COUNTIF(G$5:G2678,"Y")/COUNTA(G$5:G2678)</f>
        <v>0.88369483919222136</v>
      </c>
      <c r="J2678" s="16">
        <f>COUNTIF(H$5:H2678,"Y")/COUNTA(H$5:H2678)</f>
        <v>4.824233358264772E-2</v>
      </c>
      <c r="K2678" s="16">
        <f>AVERAGE(F$5:F2678)</f>
        <v>2.2142483171278973</v>
      </c>
      <c r="L2678" s="16">
        <f>SUM(F$5:F2678)/SUM(E$5:E2678)</f>
        <v>0.76330750686485394</v>
      </c>
    </row>
    <row r="2679" spans="1:12" x14ac:dyDescent="0.25">
      <c r="A2679" s="29">
        <v>46062</v>
      </c>
      <c r="B2679" s="16" t="s">
        <v>2725</v>
      </c>
      <c r="C2679" s="34">
        <v>1</v>
      </c>
      <c r="D2679" s="16" t="s">
        <v>47</v>
      </c>
      <c r="E2679" s="35">
        <v>4.5999999999999996</v>
      </c>
      <c r="F2679" s="35">
        <v>3.2</v>
      </c>
      <c r="G2679" s="16" t="s">
        <v>44</v>
      </c>
      <c r="H2679" s="16" t="s">
        <v>44</v>
      </c>
      <c r="I2679" s="16">
        <f>COUNTIF(G$5:G2679,"Y")/COUNTA(G$5:G2679)</f>
        <v>0.8837383177570094</v>
      </c>
      <c r="J2679" s="16">
        <f>COUNTIF(H$5:H2679,"Y")/COUNTA(H$5:H2679)</f>
        <v>4.8598130841121495E-2</v>
      </c>
      <c r="K2679" s="16">
        <f>AVERAGE(F$5:F2679)</f>
        <v>2.2146168224299059</v>
      </c>
      <c r="L2679" s="16">
        <f>SUM(F$5:F2679)/SUM(E$5:E2679)</f>
        <v>0.76326740965019457</v>
      </c>
    </row>
    <row r="2680" spans="1:12" x14ac:dyDescent="0.25">
      <c r="A2680" s="29">
        <v>46063</v>
      </c>
      <c r="B2680" s="16" t="s">
        <v>2726</v>
      </c>
      <c r="C2680" s="34">
        <v>1</v>
      </c>
      <c r="D2680" s="16" t="s">
        <v>60</v>
      </c>
      <c r="E2680" s="35">
        <v>2</v>
      </c>
      <c r="F2680" s="35">
        <v>1.5</v>
      </c>
      <c r="G2680" s="16" t="s">
        <v>44</v>
      </c>
      <c r="H2680" s="16" t="s">
        <v>45</v>
      </c>
      <c r="I2680" s="16">
        <f>COUNTIF(G$5:G2680,"Y")/COUNTA(G$5:G2680)</f>
        <v>0.88378176382660689</v>
      </c>
      <c r="J2680" s="16">
        <f>COUNTIF(H$5:H2680,"Y")/COUNTA(H$5:H2680)</f>
        <v>4.8579970104633781E-2</v>
      </c>
      <c r="K2680" s="16">
        <f>AVERAGE(F$5:F2680)</f>
        <v>2.2143497757847523</v>
      </c>
      <c r="L2680" s="16">
        <f>SUM(F$5:F2680)/SUM(E$5:E2680)</f>
        <v>0.76326399175629356</v>
      </c>
    </row>
    <row r="2681" spans="1:12" x14ac:dyDescent="0.25">
      <c r="A2681" s="29">
        <v>46064</v>
      </c>
      <c r="B2681" s="16" t="s">
        <v>2727</v>
      </c>
      <c r="C2681" s="34">
        <v>1</v>
      </c>
      <c r="D2681" s="16" t="s">
        <v>52</v>
      </c>
      <c r="E2681" s="35">
        <v>3.9</v>
      </c>
      <c r="F2681" s="35">
        <v>3.5</v>
      </c>
      <c r="G2681" s="16" t="s">
        <v>44</v>
      </c>
      <c r="H2681" s="16" t="s">
        <v>45</v>
      </c>
      <c r="I2681" s="16">
        <f>COUNTIF(G$5:G2681,"Y")/COUNTA(G$5:G2681)</f>
        <v>0.88382517743742994</v>
      </c>
      <c r="J2681" s="16">
        <f>COUNTIF(H$5:H2681,"Y")/COUNTA(H$5:H2681)</f>
        <v>4.8561822936122524E-2</v>
      </c>
      <c r="K2681" s="16">
        <f>AVERAGE(F$5:F2681)</f>
        <v>2.2148300336197226</v>
      </c>
      <c r="L2681" s="16">
        <f>SUM(F$5:F2681)/SUM(E$5:E2681)</f>
        <v>0.76333135927079654</v>
      </c>
    </row>
    <row r="2682" spans="1:12" x14ac:dyDescent="0.25">
      <c r="A2682" s="29">
        <v>46065</v>
      </c>
      <c r="B2682" s="16" t="s">
        <v>2728</v>
      </c>
      <c r="C2682" s="34">
        <v>1</v>
      </c>
      <c r="D2682" s="16" t="s">
        <v>47</v>
      </c>
      <c r="E2682" s="35">
        <v>2.7</v>
      </c>
      <c r="F2682" s="35">
        <v>2.2999999999999998</v>
      </c>
      <c r="G2682" s="16" t="s">
        <v>44</v>
      </c>
      <c r="H2682" s="16" t="s">
        <v>45</v>
      </c>
      <c r="I2682" s="16">
        <f>COUNTIF(G$5:G2682,"Y")/COUNTA(G$5:G2682)</f>
        <v>0.88386855862584013</v>
      </c>
      <c r="J2682" s="16">
        <f>COUNTIF(H$5:H2682,"Y")/COUNTA(H$5:H2682)</f>
        <v>4.8543689320388349E-2</v>
      </c>
      <c r="K2682" s="16">
        <f>AVERAGE(F$5:F2682)</f>
        <v>2.2148618371919335</v>
      </c>
      <c r="L2682" s="16">
        <f>SUM(F$5:F2682)/SUM(E$5:E2682)</f>
        <v>0.76336211889164696</v>
      </c>
    </row>
    <row r="2683" spans="1:12" x14ac:dyDescent="0.25">
      <c r="A2683" s="29">
        <v>46066</v>
      </c>
      <c r="B2683" s="16" t="s">
        <v>2729</v>
      </c>
      <c r="C2683" s="34">
        <v>1</v>
      </c>
      <c r="D2683" s="16" t="s">
        <v>52</v>
      </c>
      <c r="E2683" s="35">
        <v>1.9</v>
      </c>
      <c r="F2683" s="35">
        <v>1.3</v>
      </c>
      <c r="G2683" s="16" t="s">
        <v>44</v>
      </c>
      <c r="H2683" s="16" t="s">
        <v>45</v>
      </c>
      <c r="I2683" s="16">
        <f>COUNTIF(G$5:G2683,"Y")/COUNTA(G$5:G2683)</f>
        <v>0.88391190742814485</v>
      </c>
      <c r="J2683" s="16">
        <f>COUNTIF(H$5:H2683,"Y")/COUNTA(H$5:H2683)</f>
        <v>4.8525569242254575E-2</v>
      </c>
      <c r="K2683" s="16">
        <f>AVERAGE(F$5:F2683)</f>
        <v>2.2145203434117202</v>
      </c>
      <c r="L2683" s="16">
        <f>SUM(F$5:F2683)/SUM(E$5:E2683)</f>
        <v>0.76334276891404862</v>
      </c>
    </row>
    <row r="2684" spans="1:12" x14ac:dyDescent="0.25">
      <c r="A2684" s="29">
        <v>46062</v>
      </c>
      <c r="B2684" s="16" t="s">
        <v>2730</v>
      </c>
      <c r="C2684" s="34">
        <v>1</v>
      </c>
      <c r="D2684" s="16" t="s">
        <v>64</v>
      </c>
      <c r="E2684" s="35">
        <v>2.4</v>
      </c>
      <c r="F2684" s="35">
        <v>2</v>
      </c>
      <c r="G2684" s="16" t="s">
        <v>44</v>
      </c>
      <c r="H2684" s="16" t="s">
        <v>45</v>
      </c>
      <c r="I2684" s="16">
        <f>COUNTIF(G$5:G2684,"Y")/COUNTA(G$5:G2684)</f>
        <v>0.883955223880597</v>
      </c>
      <c r="J2684" s="16">
        <f>COUNTIF(H$5:H2684,"Y")/COUNTA(H$5:H2684)</f>
        <v>4.8507462686567165E-2</v>
      </c>
      <c r="K2684" s="16">
        <f>AVERAGE(F$5:F2684)</f>
        <v>2.214440298507462</v>
      </c>
      <c r="L2684" s="16">
        <f>SUM(F$5:F2684)/SUM(E$5:E2684)</f>
        <v>0.76336437538588009</v>
      </c>
    </row>
    <row r="2685" spans="1:12" x14ac:dyDescent="0.25">
      <c r="A2685" s="29">
        <v>46063</v>
      </c>
      <c r="B2685" s="16" t="s">
        <v>2731</v>
      </c>
      <c r="C2685" s="34">
        <v>1</v>
      </c>
      <c r="D2685" s="16" t="s">
        <v>43</v>
      </c>
      <c r="E2685" s="35">
        <v>4.0999999999999996</v>
      </c>
      <c r="F2685" s="35">
        <v>3.1</v>
      </c>
      <c r="G2685" s="16" t="s">
        <v>44</v>
      </c>
      <c r="H2685" s="16" t="s">
        <v>45</v>
      </c>
      <c r="I2685" s="16">
        <f>COUNTIF(G$5:G2685,"Y")/COUNTA(G$5:G2685)</f>
        <v>0.88399850801939572</v>
      </c>
      <c r="J2685" s="16">
        <f>COUNTIF(H$5:H2685,"Y")/COUNTA(H$5:H2685)</f>
        <v>4.8489369638194703E-2</v>
      </c>
      <c r="K2685" s="16">
        <f>AVERAGE(F$5:F2685)</f>
        <v>2.2147706079820955</v>
      </c>
      <c r="L2685" s="16">
        <f>SUM(F$5:F2685)/SUM(E$5:E2685)</f>
        <v>0.76336054509223972</v>
      </c>
    </row>
    <row r="2686" spans="1:12" x14ac:dyDescent="0.25">
      <c r="A2686" s="29">
        <v>46064</v>
      </c>
      <c r="B2686" s="16" t="s">
        <v>2732</v>
      </c>
      <c r="C2686" s="34">
        <v>1</v>
      </c>
      <c r="D2686" s="16" t="s">
        <v>60</v>
      </c>
      <c r="E2686" s="35">
        <v>2.2999999999999998</v>
      </c>
      <c r="F2686" s="35">
        <v>2</v>
      </c>
      <c r="G2686" s="16" t="s">
        <v>44</v>
      </c>
      <c r="H2686" s="16" t="s">
        <v>45</v>
      </c>
      <c r="I2686" s="16">
        <f>COUNTIF(G$5:G2686,"Y")/COUNTA(G$5:G2686)</f>
        <v>0.88404175988068601</v>
      </c>
      <c r="J2686" s="16">
        <f>COUNTIF(H$5:H2686,"Y")/COUNTA(H$5:H2686)</f>
        <v>4.8471290082028336E-2</v>
      </c>
      <c r="K2686" s="16">
        <f>AVERAGE(F$5:F2686)</f>
        <v>2.2146905294556296</v>
      </c>
      <c r="L2686" s="16">
        <f>SUM(F$5:F2686)/SUM(E$5:E2686)</f>
        <v>0.76339193913222114</v>
      </c>
    </row>
    <row r="2687" spans="1:12" x14ac:dyDescent="0.25">
      <c r="A2687" s="29">
        <v>46065</v>
      </c>
      <c r="B2687" s="16" t="s">
        <v>2733</v>
      </c>
      <c r="C2687" s="34">
        <v>1</v>
      </c>
      <c r="D2687" s="16" t="s">
        <v>64</v>
      </c>
      <c r="E2687" s="35">
        <v>2.8</v>
      </c>
      <c r="F2687" s="35">
        <v>2.4</v>
      </c>
      <c r="G2687" s="16" t="s">
        <v>44</v>
      </c>
      <c r="H2687" s="16" t="s">
        <v>45</v>
      </c>
      <c r="I2687" s="16">
        <f>COUNTIF(G$5:G2687,"Y")/COUNTA(G$5:G2687)</f>
        <v>0.88408497950055909</v>
      </c>
      <c r="J2687" s="16">
        <f>COUNTIF(H$5:H2687,"Y")/COUNTA(H$5:H2687)</f>
        <v>4.8453224002981736E-2</v>
      </c>
      <c r="K2687" s="16">
        <f>AVERAGE(F$5:F2687)</f>
        <v>2.2147595974655228</v>
      </c>
      <c r="L2687" s="16">
        <f>SUM(F$5:F2687)/SUM(E$5:E2687)</f>
        <v>0.76342566421707003</v>
      </c>
    </row>
    <row r="2688" spans="1:12" x14ac:dyDescent="0.25">
      <c r="A2688" s="29">
        <v>46066</v>
      </c>
      <c r="B2688" s="16" t="s">
        <v>2734</v>
      </c>
      <c r="C2688" s="34">
        <v>1</v>
      </c>
      <c r="D2688" s="16" t="s">
        <v>43</v>
      </c>
      <c r="E2688" s="35">
        <v>2.8</v>
      </c>
      <c r="F2688" s="35">
        <v>2.1</v>
      </c>
      <c r="G2688" s="16" t="s">
        <v>44</v>
      </c>
      <c r="H2688" s="16" t="s">
        <v>45</v>
      </c>
      <c r="I2688" s="16">
        <f>COUNTIF(G$5:G2688,"Y")/COUNTA(G$5:G2688)</f>
        <v>0.88412816691505214</v>
      </c>
      <c r="J2688" s="16">
        <f>COUNTIF(H$5:H2688,"Y")/COUNTA(H$5:H2688)</f>
        <v>4.8435171385991058E-2</v>
      </c>
      <c r="K2688" s="16">
        <f>AVERAGE(F$5:F2688)</f>
        <v>2.2147168405365121</v>
      </c>
      <c r="L2688" s="16">
        <f>SUM(F$5:F2688)/SUM(E$5:E2688)</f>
        <v>0.76342083633000957</v>
      </c>
    </row>
    <row r="2689" spans="1:13" x14ac:dyDescent="0.25">
      <c r="A2689" s="29">
        <v>46062</v>
      </c>
      <c r="B2689" s="16" t="s">
        <v>2735</v>
      </c>
      <c r="C2689" s="34">
        <v>1</v>
      </c>
      <c r="D2689" s="16" t="s">
        <v>43</v>
      </c>
      <c r="E2689" s="35">
        <v>2.2999999999999998</v>
      </c>
      <c r="F2689" s="35">
        <v>1.7</v>
      </c>
      <c r="G2689" s="16" t="s">
        <v>44</v>
      </c>
      <c r="H2689" s="16" t="s">
        <v>45</v>
      </c>
      <c r="I2689" s="16">
        <f>COUNTIF(G$5:G2689,"Y")/COUNTA(G$5:G2689)</f>
        <v>0.88417132216014893</v>
      </c>
      <c r="J2689" s="16">
        <f>COUNTIF(H$5:H2689,"Y")/COUNTA(H$5:H2689)</f>
        <v>4.8417132216014895E-2</v>
      </c>
      <c r="K2689" s="16">
        <f>AVERAGE(F$5:F2689)</f>
        <v>2.2145251396648038</v>
      </c>
      <c r="L2689" s="16">
        <f>SUM(F$5:F2689)/SUM(E$5:E2689)</f>
        <v>0.76341366338413164</v>
      </c>
    </row>
    <row r="2690" spans="1:13" x14ac:dyDescent="0.25">
      <c r="A2690" s="29">
        <v>46063</v>
      </c>
      <c r="B2690" s="16" t="s">
        <v>2736</v>
      </c>
      <c r="C2690" s="34">
        <v>1</v>
      </c>
      <c r="D2690" s="16" t="s">
        <v>56</v>
      </c>
      <c r="E2690" s="35">
        <v>4.5999999999999996</v>
      </c>
      <c r="F2690" s="35">
        <v>3.8</v>
      </c>
      <c r="G2690" s="16" t="s">
        <v>44</v>
      </c>
      <c r="H2690" s="16" t="s">
        <v>45</v>
      </c>
      <c r="I2690" s="16">
        <f>COUNTIF(G$5:G2690,"Y")/COUNTA(G$5:G2690)</f>
        <v>0.88421444527177961</v>
      </c>
      <c r="J2690" s="16">
        <f>COUNTIF(H$5:H2690,"Y")/COUNTA(H$5:H2690)</f>
        <v>4.8399106478034248E-2</v>
      </c>
      <c r="K2690" s="16">
        <f>AVERAGE(F$5:F2690)</f>
        <v>2.2151154132539084</v>
      </c>
      <c r="L2690" s="16">
        <f>SUM(F$5:F2690)/SUM(E$5:E2690)</f>
        <v>0.76345065633300213</v>
      </c>
    </row>
    <row r="2691" spans="1:13" x14ac:dyDescent="0.25">
      <c r="A2691" s="29">
        <v>46064</v>
      </c>
      <c r="B2691" s="16" t="s">
        <v>2737</v>
      </c>
      <c r="C2691" s="34">
        <v>1</v>
      </c>
      <c r="D2691" s="16" t="s">
        <v>43</v>
      </c>
      <c r="E2691" s="35">
        <v>4.9000000000000004</v>
      </c>
      <c r="F2691" s="35">
        <v>3.4</v>
      </c>
      <c r="G2691" s="16" t="s">
        <v>44</v>
      </c>
      <c r="H2691" s="16" t="s">
        <v>45</v>
      </c>
      <c r="I2691" s="16">
        <f>COUNTIF(G$5:G2691,"Y")/COUNTA(G$5:G2691)</f>
        <v>0.8842575362858206</v>
      </c>
      <c r="J2691" s="16">
        <f>COUNTIF(H$5:H2691,"Y")/COUNTA(H$5:H2691)</f>
        <v>4.8381094157052475E-2</v>
      </c>
      <c r="K2691" s="16">
        <f>AVERAGE(F$5:F2691)</f>
        <v>2.2155563825828053</v>
      </c>
      <c r="L2691" s="16">
        <f>SUM(F$5:F2691)/SUM(E$5:E2691)</f>
        <v>0.76340694006308962</v>
      </c>
    </row>
    <row r="2692" spans="1:13" x14ac:dyDescent="0.25">
      <c r="A2692" s="29">
        <v>46065</v>
      </c>
      <c r="B2692" s="16" t="s">
        <v>2738</v>
      </c>
      <c r="C2692" s="34">
        <v>1</v>
      </c>
      <c r="D2692" s="16" t="s">
        <v>64</v>
      </c>
      <c r="E2692" s="35">
        <v>3.4</v>
      </c>
      <c r="F2692" s="35">
        <v>2.8</v>
      </c>
      <c r="G2692" s="16" t="s">
        <v>44</v>
      </c>
      <c r="H2692" s="16" t="s">
        <v>45</v>
      </c>
      <c r="I2692" s="16">
        <f>COUNTIF(G$5:G2692,"Y")/COUNTA(G$5:G2692)</f>
        <v>0.88430059523809523</v>
      </c>
      <c r="J2692" s="16">
        <f>COUNTIF(H$5:H2692,"Y")/COUNTA(H$5:H2692)</f>
        <v>4.836309523809524E-2</v>
      </c>
      <c r="K2692" s="16">
        <f>AVERAGE(F$5:F2692)</f>
        <v>2.2157738095238089</v>
      </c>
      <c r="L2692" s="16">
        <f>SUM(F$5:F2692)/SUM(E$5:E2692)</f>
        <v>0.76343314191960443</v>
      </c>
    </row>
    <row r="2693" spans="1:13" x14ac:dyDescent="0.25">
      <c r="A2693" s="29">
        <v>46066</v>
      </c>
      <c r="B2693" s="16" t="s">
        <v>2739</v>
      </c>
      <c r="C2693" s="34">
        <v>1</v>
      </c>
      <c r="D2693" s="16" t="s">
        <v>52</v>
      </c>
      <c r="E2693" s="35">
        <v>1.4</v>
      </c>
      <c r="F2693" s="35">
        <v>1.1000000000000001</v>
      </c>
      <c r="G2693" s="16" t="s">
        <v>44</v>
      </c>
      <c r="H2693" s="16" t="s">
        <v>45</v>
      </c>
      <c r="I2693" s="16">
        <f>COUNTIF(G$5:G2693,"Y")/COUNTA(G$5:G2693)</f>
        <v>0.88434362216437334</v>
      </c>
      <c r="J2693" s="16">
        <f>COUNTIF(H$5:H2693,"Y")/COUNTA(H$5:H2693)</f>
        <v>4.834510970621049E-2</v>
      </c>
      <c r="K2693" s="16">
        <f>AVERAGE(F$5:F2693)</f>
        <v>2.2153588694682034</v>
      </c>
      <c r="L2693" s="16">
        <f>SUM(F$5:F2693)/SUM(E$5:E2693)</f>
        <v>0.76343713956170534</v>
      </c>
    </row>
    <row r="2694" spans="1:13" x14ac:dyDescent="0.25">
      <c r="A2694" s="29">
        <v>46062</v>
      </c>
      <c r="B2694" s="16" t="s">
        <v>2740</v>
      </c>
      <c r="C2694" s="34">
        <v>1</v>
      </c>
      <c r="D2694" s="16" t="s">
        <v>64</v>
      </c>
      <c r="E2694" s="35">
        <v>0.7</v>
      </c>
      <c r="F2694" s="35">
        <v>0.5</v>
      </c>
      <c r="G2694" s="16" t="s">
        <v>44</v>
      </c>
      <c r="H2694" s="16" t="s">
        <v>45</v>
      </c>
      <c r="I2694" s="16">
        <f>COUNTIF(G$5:G2694,"Y")/COUNTA(G$5:G2694)</f>
        <v>0.8843866171003717</v>
      </c>
      <c r="J2694" s="16">
        <f>COUNTIF(H$5:H2694,"Y")/COUNTA(H$5:H2694)</f>
        <v>4.8327137546468404E-2</v>
      </c>
      <c r="K2694" s="16">
        <f>AVERAGE(F$5:F2694)</f>
        <v>2.2147211895910774</v>
      </c>
      <c r="L2694" s="16">
        <f>SUM(F$5:F2694)/SUM(E$5:E2694)</f>
        <v>0.7634327306277775</v>
      </c>
    </row>
    <row r="2695" spans="1:13" x14ac:dyDescent="0.25">
      <c r="A2695" s="29">
        <v>46063</v>
      </c>
      <c r="B2695" s="16" t="s">
        <v>2741</v>
      </c>
      <c r="C2695" s="34">
        <v>1</v>
      </c>
      <c r="D2695" s="16" t="s">
        <v>52</v>
      </c>
      <c r="E2695" s="35">
        <v>0.6</v>
      </c>
      <c r="F2695" s="35">
        <v>0.5</v>
      </c>
      <c r="G2695" s="16" t="s">
        <v>44</v>
      </c>
      <c r="H2695" s="16" t="s">
        <v>45</v>
      </c>
      <c r="I2695" s="16">
        <f>COUNTIF(G$5:G2695,"Y")/COUNTA(G$5:G2695)</f>
        <v>0.88442958008175399</v>
      </c>
      <c r="J2695" s="16">
        <f>COUNTIF(H$5:H2695,"Y")/COUNTA(H$5:H2695)</f>
        <v>4.8309178743961352E-2</v>
      </c>
      <c r="K2695" s="16">
        <f>AVERAGE(F$5:F2695)</f>
        <v>2.2140839836492003</v>
      </c>
      <c r="L2695" s="16">
        <f>SUM(F$5:F2695)/SUM(E$5:E2695)</f>
        <v>0.76343810463462281</v>
      </c>
    </row>
    <row r="2696" spans="1:13" x14ac:dyDescent="0.25">
      <c r="A2696" s="29">
        <v>46064</v>
      </c>
      <c r="B2696" s="16" t="s">
        <v>2742</v>
      </c>
      <c r="C2696" s="34">
        <v>1</v>
      </c>
      <c r="D2696" s="16" t="s">
        <v>60</v>
      </c>
      <c r="E2696" s="35">
        <v>0.7</v>
      </c>
      <c r="F2696" s="35">
        <v>0.5</v>
      </c>
      <c r="G2696" s="16" t="s">
        <v>44</v>
      </c>
      <c r="H2696" s="16" t="s">
        <v>45</v>
      </c>
      <c r="I2696" s="16">
        <f>COUNTIF(G$5:G2696,"Y")/COUNTA(G$5:G2696)</f>
        <v>0.88447251114413072</v>
      </c>
      <c r="J2696" s="16">
        <f>COUNTIF(H$5:H2696,"Y")/COUNTA(H$5:H2696)</f>
        <v>4.8291233283803865E-2</v>
      </c>
      <c r="K2696" s="16">
        <f>AVERAGE(F$5:F2696)</f>
        <v>2.2134472511144123</v>
      </c>
      <c r="L2696" s="16">
        <f>SUM(F$5:F2696)/SUM(E$5:E2696)</f>
        <v>0.7634336963484929</v>
      </c>
    </row>
    <row r="2697" spans="1:13" x14ac:dyDescent="0.25">
      <c r="A2697" s="29">
        <v>46065</v>
      </c>
      <c r="B2697" s="16" t="s">
        <v>2743</v>
      </c>
      <c r="C2697" s="34">
        <v>1</v>
      </c>
      <c r="D2697" s="16" t="s">
        <v>52</v>
      </c>
      <c r="E2697" s="35">
        <v>0.6</v>
      </c>
      <c r="F2697" s="35">
        <v>0.5</v>
      </c>
      <c r="G2697" s="16" t="s">
        <v>44</v>
      </c>
      <c r="H2697" s="16" t="s">
        <v>45</v>
      </c>
      <c r="I2697" s="16">
        <f>COUNTIF(G$5:G2697,"Y")/COUNTA(G$5:G2697)</f>
        <v>0.8845154103230598</v>
      </c>
      <c r="J2697" s="16">
        <f>COUNTIF(H$5:H2697,"Y")/COUNTA(H$5:H2697)</f>
        <v>4.8273301151132569E-2</v>
      </c>
      <c r="K2697" s="16">
        <f>AVERAGE(F$5:F2697)</f>
        <v>2.2128109914593384</v>
      </c>
      <c r="L2697" s="16">
        <f>SUM(F$5:F2697)/SUM(E$5:E2697)</f>
        <v>0.76343906938608008</v>
      </c>
    </row>
    <row r="2698" spans="1:13" x14ac:dyDescent="0.25">
      <c r="A2698" s="29">
        <v>46066</v>
      </c>
      <c r="B2698" s="16" t="s">
        <v>2744</v>
      </c>
      <c r="C2698" s="34">
        <v>1</v>
      </c>
      <c r="D2698" s="16" t="s">
        <v>47</v>
      </c>
      <c r="E2698" s="35">
        <v>0.7</v>
      </c>
      <c r="F2698" s="35">
        <v>0.5</v>
      </c>
      <c r="G2698" s="16" t="s">
        <v>44</v>
      </c>
      <c r="H2698" s="16" t="s">
        <v>45</v>
      </c>
      <c r="I2698" s="16">
        <f>COUNTIF(G$5:G2698,"Y")/COUNTA(G$5:G2698)</f>
        <v>0.88455827765404604</v>
      </c>
      <c r="J2698" s="16">
        <f>COUNTIF(H$5:H2698,"Y")/COUNTA(H$5:H2698)</f>
        <v>4.8255382331106163E-2</v>
      </c>
      <c r="K2698" s="16">
        <f>AVERAGE(F$5:F2698)</f>
        <v>2.2121752041573863</v>
      </c>
      <c r="L2698" s="16">
        <f>SUM(F$5:F2698)/SUM(E$5:E2698)</f>
        <v>0.76343466174756114</v>
      </c>
    </row>
    <row r="2699" spans="1:13" x14ac:dyDescent="0.25">
      <c r="A2699" s="29">
        <v>46062</v>
      </c>
      <c r="B2699" s="16" t="s">
        <v>2745</v>
      </c>
      <c r="C2699" s="34">
        <v>1</v>
      </c>
      <c r="D2699" s="16" t="s">
        <v>47</v>
      </c>
      <c r="E2699" s="35">
        <v>1.7</v>
      </c>
      <c r="F2699" s="35">
        <v>0.5</v>
      </c>
      <c r="G2699" s="16" t="s">
        <v>45</v>
      </c>
      <c r="H2699" s="16" t="s">
        <v>45</v>
      </c>
      <c r="I2699" s="16">
        <f>COUNTIF(G$5:G2699,"Y")/COUNTA(G$5:G2699)</f>
        <v>0.88423005565862711</v>
      </c>
      <c r="J2699" s="16">
        <f>COUNTIF(H$5:H2699,"Y")/COUNTA(H$5:H2699)</f>
        <v>4.8237476808905382E-2</v>
      </c>
      <c r="K2699" s="16">
        <f>AVERAGE(F$5:F2699)</f>
        <v>2.2115398886827453</v>
      </c>
      <c r="L2699" s="16">
        <f>SUM(F$5:F2699)/SUM(E$5:E2699)</f>
        <v>0.76333247950819505</v>
      </c>
      <c r="M2699" s="16">
        <v>11</v>
      </c>
    </row>
    <row r="2700" spans="1:13" x14ac:dyDescent="0.25">
      <c r="A2700" s="29">
        <v>46069</v>
      </c>
      <c r="B2700" s="16" t="s">
        <v>2746</v>
      </c>
      <c r="C2700" s="34">
        <v>1</v>
      </c>
      <c r="D2700" s="16" t="s">
        <v>60</v>
      </c>
      <c r="E2700" s="35">
        <v>2.7</v>
      </c>
      <c r="F2700" s="35">
        <v>2</v>
      </c>
      <c r="G2700" s="16" t="s">
        <v>44</v>
      </c>
      <c r="H2700" s="16" t="s">
        <v>45</v>
      </c>
      <c r="I2700" s="16">
        <f>COUNTIF(G$5:G2700,"Y")/COUNTA(G$5:G2700)</f>
        <v>0.88427299703264095</v>
      </c>
      <c r="J2700" s="16">
        <f>COUNTIF(H$5:H2700,"Y")/COUNTA(H$5:H2700)</f>
        <v>4.8219584569732937E-2</v>
      </c>
      <c r="K2700" s="16">
        <f>AVERAGE(F$5:F2700)</f>
        <v>2.2114614243323438</v>
      </c>
      <c r="L2700" s="16">
        <f>SUM(F$5:F2700)/SUM(E$5:E2700)</f>
        <v>0.7633246700039672</v>
      </c>
    </row>
    <row r="2701" spans="1:13" x14ac:dyDescent="0.25">
      <c r="A2701" s="29">
        <v>46070</v>
      </c>
      <c r="B2701" s="16" t="s">
        <v>2747</v>
      </c>
      <c r="C2701" s="34">
        <v>1</v>
      </c>
      <c r="D2701" s="16" t="s">
        <v>43</v>
      </c>
      <c r="E2701" s="35">
        <v>4.0999999999999996</v>
      </c>
      <c r="F2701" s="35">
        <v>2.9</v>
      </c>
      <c r="G2701" s="16" t="s">
        <v>44</v>
      </c>
      <c r="H2701" s="16" t="s">
        <v>45</v>
      </c>
      <c r="I2701" s="16">
        <f>COUNTIF(G$5:G2701,"Y")/COUNTA(G$5:G2701)</f>
        <v>0.88431590656284764</v>
      </c>
      <c r="J2701" s="16">
        <f>COUNTIF(H$5:H2701,"Y")/COUNTA(H$5:H2701)</f>
        <v>4.8201705598813496E-2</v>
      </c>
      <c r="K2701" s="16">
        <f>AVERAGE(F$5:F2701)</f>
        <v>2.2117167222840184</v>
      </c>
      <c r="L2701" s="16">
        <f>SUM(F$5:F2701)/SUM(E$5:E2701)</f>
        <v>0.76329528586783879</v>
      </c>
    </row>
    <row r="2702" spans="1:13" x14ac:dyDescent="0.25">
      <c r="A2702" s="29">
        <v>46071</v>
      </c>
      <c r="B2702" s="16" t="s">
        <v>2748</v>
      </c>
      <c r="C2702" s="34">
        <v>1</v>
      </c>
      <c r="D2702" s="16" t="s">
        <v>60</v>
      </c>
      <c r="E2702" s="35">
        <v>2.2000000000000002</v>
      </c>
      <c r="F2702" s="35">
        <v>1.5</v>
      </c>
      <c r="G2702" s="16" t="s">
        <v>44</v>
      </c>
      <c r="H2702" s="16" t="s">
        <v>44</v>
      </c>
      <c r="I2702" s="16">
        <f>COUNTIF(G$5:G2702,"Y")/COUNTA(G$5:G2702)</f>
        <v>0.88435878428465531</v>
      </c>
      <c r="J2702" s="16">
        <f>COUNTIF(H$5:H2702,"Y")/COUNTA(H$5:H2702)</f>
        <v>4.8554484803558194E-2</v>
      </c>
      <c r="K2702" s="16">
        <f>AVERAGE(F$5:F2702)</f>
        <v>2.2114529280948845</v>
      </c>
      <c r="L2702" s="16">
        <f>SUM(F$5:F2702)/SUM(E$5:E2702)</f>
        <v>0.76327235512344715</v>
      </c>
    </row>
    <row r="2703" spans="1:13" x14ac:dyDescent="0.25">
      <c r="A2703" s="29">
        <v>46072</v>
      </c>
      <c r="B2703" s="16" t="s">
        <v>2749</v>
      </c>
      <c r="C2703" s="34">
        <v>1</v>
      </c>
      <c r="D2703" s="16" t="s">
        <v>47</v>
      </c>
      <c r="E2703" s="35">
        <v>1.7</v>
      </c>
      <c r="F2703" s="35">
        <v>1.2</v>
      </c>
      <c r="G2703" s="16" t="s">
        <v>44</v>
      </c>
      <c r="H2703" s="16" t="s">
        <v>45</v>
      </c>
      <c r="I2703" s="16">
        <f>COUNTIF(G$5:G2703,"Y")/COUNTA(G$5:G2703)</f>
        <v>0.88440163023341978</v>
      </c>
      <c r="J2703" s="16">
        <f>COUNTIF(H$5:H2703,"Y")/COUNTA(H$5:H2703)</f>
        <v>4.853649499814746E-2</v>
      </c>
      <c r="K2703" s="16">
        <f>AVERAGE(F$5:F2703)</f>
        <v>2.21107817710263</v>
      </c>
      <c r="L2703" s="16">
        <f>SUM(F$5:F2703)/SUM(E$5:E2703)</f>
        <v>0.76325987696164144</v>
      </c>
    </row>
    <row r="2704" spans="1:13" x14ac:dyDescent="0.25">
      <c r="A2704" s="29">
        <v>46073</v>
      </c>
      <c r="B2704" s="16" t="s">
        <v>2750</v>
      </c>
      <c r="C2704" s="34">
        <v>1</v>
      </c>
      <c r="D2704" s="16" t="s">
        <v>56</v>
      </c>
      <c r="E2704" s="35">
        <v>1.7</v>
      </c>
      <c r="F2704" s="35">
        <v>1.3</v>
      </c>
      <c r="G2704" s="16" t="s">
        <v>44</v>
      </c>
      <c r="H2704" s="16" t="s">
        <v>45</v>
      </c>
      <c r="I2704" s="16">
        <f>COUNTIF(G$5:G2704,"Y")/COUNTA(G$5:G2704)</f>
        <v>0.88444444444444448</v>
      </c>
      <c r="J2704" s="16">
        <f>COUNTIF(H$5:H2704,"Y")/COUNTA(H$5:H2704)</f>
        <v>4.8518518518518516E-2</v>
      </c>
      <c r="K2704" s="16">
        <f>AVERAGE(F$5:F2704)</f>
        <v>2.2107407407407402</v>
      </c>
      <c r="L2704" s="16">
        <f>SUM(F$5:F2704)/SUM(E$5:E2704)</f>
        <v>0.76326019129456124</v>
      </c>
    </row>
    <row r="2705" spans="1:12" x14ac:dyDescent="0.25">
      <c r="A2705" s="29">
        <v>46069</v>
      </c>
      <c r="B2705" s="16" t="s">
        <v>2751</v>
      </c>
      <c r="C2705" s="34">
        <v>1</v>
      </c>
      <c r="D2705" s="16" t="s">
        <v>60</v>
      </c>
      <c r="E2705" s="35">
        <v>3.5</v>
      </c>
      <c r="F2705" s="35">
        <v>2.8</v>
      </c>
      <c r="G2705" s="16" t="s">
        <v>44</v>
      </c>
      <c r="H2705" s="16" t="s">
        <v>45</v>
      </c>
      <c r="I2705" s="16">
        <f>COUNTIF(G$5:G2705,"Y")/COUNTA(G$5:G2705)</f>
        <v>0.88448722695298043</v>
      </c>
      <c r="J2705" s="16">
        <f>COUNTIF(H$5:H2705,"Y")/COUNTA(H$5:H2705)</f>
        <v>4.8500555349870418E-2</v>
      </c>
      <c r="K2705" s="16">
        <f>AVERAGE(F$5:F2705)</f>
        <v>2.2109589041095883</v>
      </c>
      <c r="L2705" s="16">
        <f>SUM(F$5:F2705)/SUM(E$5:E2705)</f>
        <v>0.76327662674625019</v>
      </c>
    </row>
    <row r="2706" spans="1:12" x14ac:dyDescent="0.25">
      <c r="A2706" s="29">
        <v>46070</v>
      </c>
      <c r="B2706" s="16" t="s">
        <v>2752</v>
      </c>
      <c r="C2706" s="34">
        <v>1</v>
      </c>
      <c r="D2706" s="16" t="s">
        <v>56</v>
      </c>
      <c r="E2706" s="35">
        <v>3.9</v>
      </c>
      <c r="F2706" s="35">
        <v>3.2</v>
      </c>
      <c r="G2706" s="16" t="s">
        <v>44</v>
      </c>
      <c r="H2706" s="16" t="s">
        <v>45</v>
      </c>
      <c r="I2706" s="16">
        <f>COUNTIF(G$5:G2706,"Y")/COUNTA(G$5:G2706)</f>
        <v>0.88452997779422649</v>
      </c>
      <c r="J2706" s="16">
        <f>COUNTIF(H$5:H2706,"Y")/COUNTA(H$5:H2706)</f>
        <v>4.8482605477424133E-2</v>
      </c>
      <c r="K2706" s="16">
        <f>AVERAGE(F$5:F2706)</f>
        <v>2.2113249444855656</v>
      </c>
      <c r="L2706" s="16">
        <f>SUM(F$5:F2706)/SUM(E$5:E2706)</f>
        <v>0.76330514320754073</v>
      </c>
    </row>
    <row r="2707" spans="1:12" x14ac:dyDescent="0.25">
      <c r="A2707" s="29">
        <v>46071</v>
      </c>
      <c r="B2707" s="16" t="s">
        <v>2753</v>
      </c>
      <c r="C2707" s="34">
        <v>1</v>
      </c>
      <c r="D2707" s="16" t="s">
        <v>50</v>
      </c>
      <c r="E2707" s="35">
        <v>4.4000000000000004</v>
      </c>
      <c r="F2707" s="35">
        <v>3.2</v>
      </c>
      <c r="G2707" s="16" t="s">
        <v>44</v>
      </c>
      <c r="H2707" s="16" t="s">
        <v>45</v>
      </c>
      <c r="I2707" s="16">
        <f>COUNTIF(G$5:G2707,"Y")/COUNTA(G$5:G2707)</f>
        <v>0.88457269700332963</v>
      </c>
      <c r="J2707" s="16">
        <f>COUNTIF(H$5:H2707,"Y")/COUNTA(H$5:H2707)</f>
        <v>4.8464668886422493E-2</v>
      </c>
      <c r="K2707" s="16">
        <f>AVERAGE(F$5:F2707)</f>
        <v>2.211690714021457</v>
      </c>
      <c r="L2707" s="16">
        <f>SUM(F$5:F2707)/SUM(E$5:E2707)</f>
        <v>0.76328490079415579</v>
      </c>
    </row>
    <row r="2708" spans="1:12" x14ac:dyDescent="0.25">
      <c r="A2708" s="29">
        <v>46072</v>
      </c>
      <c r="B2708" s="16" t="s">
        <v>2754</v>
      </c>
      <c r="C2708" s="34">
        <v>1</v>
      </c>
      <c r="D2708" s="16" t="s">
        <v>60</v>
      </c>
      <c r="E2708" s="35">
        <v>3.6</v>
      </c>
      <c r="F2708" s="35">
        <v>2.9</v>
      </c>
      <c r="G2708" s="16" t="s">
        <v>44</v>
      </c>
      <c r="H2708" s="16" t="s">
        <v>45</v>
      </c>
      <c r="I2708" s="16">
        <f>COUNTIF(G$5:G2708,"Y")/COUNTA(G$5:G2708)</f>
        <v>0.88461538461538458</v>
      </c>
      <c r="J2708" s="16">
        <f>COUNTIF(H$5:H2708,"Y")/COUNTA(H$5:H2708)</f>
        <v>4.8446745562130175E-2</v>
      </c>
      <c r="K2708" s="16">
        <f>AVERAGE(F$5:F2708)</f>
        <v>2.2119452662721883</v>
      </c>
      <c r="L2708" s="16">
        <f>SUM(F$5:F2708)/SUM(E$5:E2708)</f>
        <v>0.76330432119247382</v>
      </c>
    </row>
    <row r="2709" spans="1:12" x14ac:dyDescent="0.25">
      <c r="A2709" s="29">
        <v>46073</v>
      </c>
      <c r="B2709" s="16" t="s">
        <v>2755</v>
      </c>
      <c r="C2709" s="34">
        <v>1</v>
      </c>
      <c r="D2709" s="16" t="s">
        <v>64</v>
      </c>
      <c r="E2709" s="35">
        <v>4</v>
      </c>
      <c r="F2709" s="35">
        <v>2.7</v>
      </c>
      <c r="G2709" s="16" t="s">
        <v>44</v>
      </c>
      <c r="H2709" s="16" t="s">
        <v>45</v>
      </c>
      <c r="I2709" s="16">
        <f>COUNTIF(G$5:G2709,"Y")/COUNTA(G$5:G2709)</f>
        <v>0.88465804066543441</v>
      </c>
      <c r="J2709" s="16">
        <f>COUNTIF(H$5:H2709,"Y")/COUNTA(H$5:H2709)</f>
        <v>4.8428835489833642E-2</v>
      </c>
      <c r="K2709" s="16">
        <f>AVERAGE(F$5:F2709)</f>
        <v>2.2121256931608122</v>
      </c>
      <c r="L2709" s="16">
        <f>SUM(F$5:F2709)/SUM(E$5:E2709)</f>
        <v>0.76325926681802936</v>
      </c>
    </row>
    <row r="2710" spans="1:12" x14ac:dyDescent="0.25">
      <c r="A2710" s="29">
        <v>46069</v>
      </c>
      <c r="B2710" s="16" t="s">
        <v>2756</v>
      </c>
      <c r="C2710" s="34">
        <v>1</v>
      </c>
      <c r="D2710" s="16" t="s">
        <v>60</v>
      </c>
      <c r="E2710" s="35">
        <v>3.9</v>
      </c>
      <c r="F2710" s="35">
        <v>3.3</v>
      </c>
      <c r="G2710" s="16" t="s">
        <v>44</v>
      </c>
      <c r="H2710" s="16" t="s">
        <v>45</v>
      </c>
      <c r="I2710" s="16">
        <f>COUNTIF(G$5:G2710,"Y")/COUNTA(G$5:G2710)</f>
        <v>0.88470066518847001</v>
      </c>
      <c r="J2710" s="16">
        <f>COUNTIF(H$5:H2710,"Y")/COUNTA(H$5:H2710)</f>
        <v>4.8410938654841092E-2</v>
      </c>
      <c r="K2710" s="16">
        <f>AVERAGE(F$5:F2710)</f>
        <v>2.2125277161862518</v>
      </c>
      <c r="L2710" s="16">
        <f>SUM(F$5:F2710)/SUM(E$5:E2710)</f>
        <v>0.76330048319032939</v>
      </c>
    </row>
    <row r="2711" spans="1:12" x14ac:dyDescent="0.25">
      <c r="A2711" s="29">
        <v>46070</v>
      </c>
      <c r="B2711" s="16" t="s">
        <v>2757</v>
      </c>
      <c r="C2711" s="34">
        <v>1</v>
      </c>
      <c r="D2711" s="16" t="s">
        <v>56</v>
      </c>
      <c r="E2711" s="35">
        <v>5.0999999999999996</v>
      </c>
      <c r="F2711" s="35">
        <v>3.6</v>
      </c>
      <c r="G2711" s="16" t="s">
        <v>44</v>
      </c>
      <c r="H2711" s="16" t="s">
        <v>45</v>
      </c>
      <c r="I2711" s="16">
        <f>COUNTIF(G$5:G2711,"Y")/COUNTA(G$5:G2711)</f>
        <v>0.88474325821943112</v>
      </c>
      <c r="J2711" s="16">
        <f>COUNTIF(H$5:H2711,"Y")/COUNTA(H$5:H2711)</f>
        <v>4.8393055042482452E-2</v>
      </c>
      <c r="K2711" s="16">
        <f>AVERAGE(F$5:F2711)</f>
        <v>2.2130402659770958</v>
      </c>
      <c r="L2711" s="16">
        <f>SUM(F$5:F2711)/SUM(E$5:E2711)</f>
        <v>0.76326317398837873</v>
      </c>
    </row>
    <row r="2712" spans="1:12" x14ac:dyDescent="0.25">
      <c r="A2712" s="29">
        <v>46071</v>
      </c>
      <c r="B2712" s="16" t="s">
        <v>2758</v>
      </c>
      <c r="C2712" s="34">
        <v>1</v>
      </c>
      <c r="D2712" s="16" t="s">
        <v>60</v>
      </c>
      <c r="E2712" s="35">
        <v>2.2000000000000002</v>
      </c>
      <c r="F2712" s="35">
        <v>2</v>
      </c>
      <c r="G2712" s="16" t="s">
        <v>44</v>
      </c>
      <c r="H2712" s="16" t="s">
        <v>45</v>
      </c>
      <c r="I2712" s="16">
        <f>COUNTIF(G$5:G2712,"Y")/COUNTA(G$5:G2712)</f>
        <v>0.88478581979320536</v>
      </c>
      <c r="J2712" s="16">
        <f>COUNTIF(H$5:H2712,"Y")/COUNTA(H$5:H2712)</f>
        <v>4.8375184638109303E-2</v>
      </c>
      <c r="K2712" s="16">
        <f>AVERAGE(F$5:F2712)</f>
        <v>2.2129615952732635</v>
      </c>
      <c r="L2712" s="16">
        <f>SUM(F$5:F2712)/SUM(E$5:E2712)</f>
        <v>0.7633040377022019</v>
      </c>
    </row>
    <row r="2713" spans="1:12" x14ac:dyDescent="0.25">
      <c r="A2713" s="29">
        <v>46072</v>
      </c>
      <c r="B2713" s="16" t="s">
        <v>2759</v>
      </c>
      <c r="C2713" s="34">
        <v>1</v>
      </c>
      <c r="D2713" s="16" t="s">
        <v>52</v>
      </c>
      <c r="E2713" s="35">
        <v>3.5</v>
      </c>
      <c r="F2713" s="35">
        <v>2.7</v>
      </c>
      <c r="G2713" s="16" t="s">
        <v>44</v>
      </c>
      <c r="H2713" s="16" t="s">
        <v>45</v>
      </c>
      <c r="I2713" s="16">
        <f>COUNTIF(G$5:G2713,"Y")/COUNTA(G$5:G2713)</f>
        <v>0.884828349944629</v>
      </c>
      <c r="J2713" s="16">
        <f>COUNTIF(H$5:H2713,"Y")/COUNTA(H$5:H2713)</f>
        <v>4.8357327427094872E-2</v>
      </c>
      <c r="K2713" s="16">
        <f>AVERAGE(F$5:F2713)</f>
        <v>2.2131413805832403</v>
      </c>
      <c r="L2713" s="16">
        <f>SUM(F$5:F2713)/SUM(E$5:E2713)</f>
        <v>0.76330765803042677</v>
      </c>
    </row>
    <row r="2714" spans="1:12" x14ac:dyDescent="0.25">
      <c r="A2714" s="29">
        <v>46073</v>
      </c>
      <c r="B2714" s="16" t="s">
        <v>2760</v>
      </c>
      <c r="C2714" s="34">
        <v>1</v>
      </c>
      <c r="D2714" s="16" t="s">
        <v>56</v>
      </c>
      <c r="E2714" s="35">
        <v>3.1</v>
      </c>
      <c r="F2714" s="35">
        <v>2.7</v>
      </c>
      <c r="G2714" s="16" t="s">
        <v>45</v>
      </c>
      <c r="H2714" s="16" t="s">
        <v>45</v>
      </c>
      <c r="I2714" s="16">
        <f>COUNTIF(G$5:G2714,"Y")/COUNTA(G$5:G2714)</f>
        <v>0.88450184501845019</v>
      </c>
      <c r="J2714" s="16">
        <f>COUNTIF(H$5:H2714,"Y")/COUNTA(H$5:H2714)</f>
        <v>4.8339483394833946E-2</v>
      </c>
      <c r="K2714" s="16">
        <f>AVERAGE(F$5:F2714)</f>
        <v>2.213321033210331</v>
      </c>
      <c r="L2714" s="16">
        <f>SUM(F$5:F2714)/SUM(E$5:E2714)</f>
        <v>0.76335013235593385</v>
      </c>
    </row>
    <row r="2715" spans="1:12" x14ac:dyDescent="0.25">
      <c r="A2715" s="29">
        <v>46069</v>
      </c>
      <c r="B2715" s="16" t="s">
        <v>2761</v>
      </c>
      <c r="C2715" s="34">
        <v>1</v>
      </c>
      <c r="D2715" s="16" t="s">
        <v>56</v>
      </c>
      <c r="E2715" s="35">
        <v>2.1</v>
      </c>
      <c r="F2715" s="35">
        <v>1.5</v>
      </c>
      <c r="G2715" s="16" t="s">
        <v>44</v>
      </c>
      <c r="H2715" s="16" t="s">
        <v>45</v>
      </c>
      <c r="I2715" s="16">
        <f>COUNTIF(G$5:G2715,"Y")/COUNTA(G$5:G2715)</f>
        <v>0.88454444854297309</v>
      </c>
      <c r="J2715" s="16">
        <f>COUNTIF(H$5:H2715,"Y")/COUNTA(H$5:H2715)</f>
        <v>4.8321652526742899E-2</v>
      </c>
      <c r="K2715" s="16">
        <f>AVERAGE(F$5:F2715)</f>
        <v>2.213057912209516</v>
      </c>
      <c r="L2715" s="16">
        <f>SUM(F$5:F2715)/SUM(E$5:E2715)</f>
        <v>0.76333702304159012</v>
      </c>
    </row>
    <row r="2716" spans="1:12" x14ac:dyDescent="0.25">
      <c r="A2716" s="29">
        <v>46070</v>
      </c>
      <c r="B2716" s="16" t="s">
        <v>2762</v>
      </c>
      <c r="C2716" s="34">
        <v>1</v>
      </c>
      <c r="D2716" s="16" t="s">
        <v>64</v>
      </c>
      <c r="E2716" s="35">
        <v>1.7</v>
      </c>
      <c r="F2716" s="35">
        <v>1.4</v>
      </c>
      <c r="G2716" s="16" t="s">
        <v>44</v>
      </c>
      <c r="H2716" s="16" t="s">
        <v>45</v>
      </c>
      <c r="I2716" s="16">
        <f>COUNTIF(G$5:G2716,"Y")/COUNTA(G$5:G2716)</f>
        <v>0.88458702064896755</v>
      </c>
      <c r="J2716" s="16">
        <f>COUNTIF(H$5:H2716,"Y")/COUNTA(H$5:H2716)</f>
        <v>4.8303834808259588E-2</v>
      </c>
      <c r="K2716" s="16">
        <f>AVERAGE(F$5:F2716)</f>
        <v>2.2127581120943942</v>
      </c>
      <c r="L2716" s="16">
        <f>SUM(F$5:F2716)/SUM(E$5:E2716)</f>
        <v>0.76335003943317803</v>
      </c>
    </row>
    <row r="2717" spans="1:12" x14ac:dyDescent="0.25">
      <c r="A2717" s="29">
        <v>46071</v>
      </c>
      <c r="B2717" s="16" t="s">
        <v>2763</v>
      </c>
      <c r="C2717" s="34">
        <v>1</v>
      </c>
      <c r="D2717" s="16" t="s">
        <v>50</v>
      </c>
      <c r="E2717" s="35">
        <v>1.6</v>
      </c>
      <c r="F2717" s="35">
        <v>1.4</v>
      </c>
      <c r="G2717" s="16" t="s">
        <v>44</v>
      </c>
      <c r="H2717" s="16" t="s">
        <v>45</v>
      </c>
      <c r="I2717" s="16">
        <f>COUNTIF(G$5:G2717,"Y")/COUNTA(G$5:G2717)</f>
        <v>0.88462956137117577</v>
      </c>
      <c r="J2717" s="16">
        <f>COUNTIF(H$5:H2717,"Y")/COUNTA(H$5:H2717)</f>
        <v>4.8286030224843346E-2</v>
      </c>
      <c r="K2717" s="16">
        <f>AVERAGE(F$5:F2717)</f>
        <v>2.2124585329893094</v>
      </c>
      <c r="L2717" s="16">
        <f>SUM(F$5:F2717)/SUM(E$5:E2717)</f>
        <v>0.76337275848912445</v>
      </c>
    </row>
    <row r="2718" spans="1:12" x14ac:dyDescent="0.25">
      <c r="A2718" s="29">
        <v>46072</v>
      </c>
      <c r="B2718" s="16" t="s">
        <v>2764</v>
      </c>
      <c r="C2718" s="34">
        <v>1</v>
      </c>
      <c r="D2718" s="16" t="s">
        <v>52</v>
      </c>
      <c r="E2718" s="35">
        <v>3.6</v>
      </c>
      <c r="F2718" s="35">
        <v>2.6</v>
      </c>
      <c r="G2718" s="16" t="s">
        <v>44</v>
      </c>
      <c r="H2718" s="16" t="s">
        <v>45</v>
      </c>
      <c r="I2718" s="16">
        <f>COUNTIF(G$5:G2718,"Y")/COUNTA(G$5:G2718)</f>
        <v>0.88467207074428889</v>
      </c>
      <c r="J2718" s="16">
        <f>COUNTIF(H$5:H2718,"Y")/COUNTA(H$5:H2718)</f>
        <v>4.8268238761974946E-2</v>
      </c>
      <c r="K2718" s="16">
        <f>AVERAGE(F$5:F2718)</f>
        <v>2.2126013264554154</v>
      </c>
      <c r="L2718" s="16">
        <f>SUM(F$5:F2718)/SUM(E$5:E2718)</f>
        <v>0.76335392672819069</v>
      </c>
    </row>
    <row r="2719" spans="1:12" x14ac:dyDescent="0.25">
      <c r="A2719" s="29">
        <v>46073</v>
      </c>
      <c r="B2719" s="16" t="s">
        <v>2765</v>
      </c>
      <c r="C2719" s="34">
        <v>1</v>
      </c>
      <c r="D2719" s="16" t="s">
        <v>47</v>
      </c>
      <c r="E2719" s="35">
        <v>2.9</v>
      </c>
      <c r="F2719" s="35">
        <v>2.1</v>
      </c>
      <c r="G2719" s="16" t="s">
        <v>44</v>
      </c>
      <c r="H2719" s="16" t="s">
        <v>45</v>
      </c>
      <c r="I2719" s="16">
        <f>COUNTIF(G$5:G2719,"Y")/COUNTA(G$5:G2719)</f>
        <v>0.88471454880294664</v>
      </c>
      <c r="J2719" s="16">
        <f>COUNTIF(H$5:H2719,"Y")/COUNTA(H$5:H2719)</f>
        <v>4.8250460405156535E-2</v>
      </c>
      <c r="K2719" s="16">
        <f>AVERAGE(F$5:F2719)</f>
        <v>2.2125598526703492</v>
      </c>
      <c r="L2719" s="16">
        <f>SUM(F$5:F2719)/SUM(E$5:E2719)</f>
        <v>0.76333947518901912</v>
      </c>
    </row>
    <row r="2720" spans="1:12" x14ac:dyDescent="0.25">
      <c r="A2720" s="29">
        <v>46069</v>
      </c>
      <c r="B2720" s="16" t="s">
        <v>2766</v>
      </c>
      <c r="C2720" s="34">
        <v>1</v>
      </c>
      <c r="D2720" s="16" t="s">
        <v>47</v>
      </c>
      <c r="E2720" s="35">
        <v>4.8</v>
      </c>
      <c r="F2720" s="35">
        <v>3.2</v>
      </c>
      <c r="G2720" s="16" t="s">
        <v>45</v>
      </c>
      <c r="H2720" s="16" t="s">
        <v>45</v>
      </c>
      <c r="I2720" s="16">
        <f>COUNTIF(G$5:G2720,"Y")/COUNTA(G$5:G2720)</f>
        <v>0.88438880706921941</v>
      </c>
      <c r="J2720" s="16">
        <f>COUNTIF(H$5:H2720,"Y")/COUNTA(H$5:H2720)</f>
        <v>4.8232695139911637E-2</v>
      </c>
      <c r="K2720" s="16">
        <f>AVERAGE(F$5:F2720)</f>
        <v>2.2129234167893954</v>
      </c>
      <c r="L2720" s="16">
        <f>SUM(F$5:F2720)/SUM(E$5:E2720)</f>
        <v>0.76328054557230296</v>
      </c>
    </row>
    <row r="2721" spans="1:12" x14ac:dyDescent="0.25">
      <c r="A2721" s="29">
        <v>46070</v>
      </c>
      <c r="B2721" s="16" t="s">
        <v>2767</v>
      </c>
      <c r="C2721" s="34">
        <v>1</v>
      </c>
      <c r="D2721" s="16" t="s">
        <v>50</v>
      </c>
      <c r="E2721" s="35">
        <v>2.4</v>
      </c>
      <c r="F2721" s="35">
        <v>1.8</v>
      </c>
      <c r="G2721" s="16" t="s">
        <v>44</v>
      </c>
      <c r="H2721" s="16" t="s">
        <v>45</v>
      </c>
      <c r="I2721" s="16">
        <f>COUNTIF(G$5:G2721,"Y")/COUNTA(G$5:G2721)</f>
        <v>0.88443135811556861</v>
      </c>
      <c r="J2721" s="16">
        <f>COUNTIF(H$5:H2721,"Y")/COUNTA(H$5:H2721)</f>
        <v>4.8214942951785057E-2</v>
      </c>
      <c r="K2721" s="16">
        <f>AVERAGE(F$5:F2721)</f>
        <v>2.2127714390872275</v>
      </c>
      <c r="L2721" s="16">
        <f>SUM(F$5:F2721)/SUM(E$5:E2721)</f>
        <v>0.76327649904147499</v>
      </c>
    </row>
    <row r="2722" spans="1:12" x14ac:dyDescent="0.25">
      <c r="A2722" s="29">
        <v>46071</v>
      </c>
      <c r="B2722" s="16" t="s">
        <v>2768</v>
      </c>
      <c r="C2722" s="34">
        <v>1</v>
      </c>
      <c r="D2722" s="16" t="s">
        <v>52</v>
      </c>
      <c r="E2722" s="35">
        <v>1.7</v>
      </c>
      <c r="F2722" s="35">
        <v>1.3</v>
      </c>
      <c r="G2722" s="16" t="s">
        <v>44</v>
      </c>
      <c r="H2722" s="16" t="s">
        <v>45</v>
      </c>
      <c r="I2722" s="16">
        <f>COUNTIF(G$5:G2722,"Y")/COUNTA(G$5:G2722)</f>
        <v>0.88447387785136133</v>
      </c>
      <c r="J2722" s="16">
        <f>COUNTIF(H$5:H2722,"Y")/COUNTA(H$5:H2722)</f>
        <v>4.8197203826342898E-2</v>
      </c>
      <c r="K2722" s="16">
        <f>AVERAGE(F$5:F2722)</f>
        <v>2.2124356144223687</v>
      </c>
      <c r="L2722" s="16">
        <f>SUM(F$5:F2722)/SUM(E$5:E2722)</f>
        <v>0.76327680747359694</v>
      </c>
    </row>
    <row r="2723" spans="1:12" x14ac:dyDescent="0.25">
      <c r="A2723" s="29">
        <v>46072</v>
      </c>
      <c r="B2723" s="16" t="s">
        <v>2769</v>
      </c>
      <c r="C2723" s="34">
        <v>1</v>
      </c>
      <c r="D2723" s="16" t="s">
        <v>52</v>
      </c>
      <c r="E2723" s="35">
        <v>3.7</v>
      </c>
      <c r="F2723" s="35">
        <v>3.2</v>
      </c>
      <c r="G2723" s="16" t="s">
        <v>45</v>
      </c>
      <c r="H2723" s="16" t="s">
        <v>45</v>
      </c>
      <c r="I2723" s="16">
        <f>COUNTIF(G$5:G2723,"Y")/COUNTA(G$5:G2723)</f>
        <v>0.88414858403824936</v>
      </c>
      <c r="J2723" s="16">
        <f>COUNTIF(H$5:H2723,"Y")/COUNTA(H$5:H2723)</f>
        <v>4.8179477749172493E-2</v>
      </c>
      <c r="K2723" s="16">
        <f>AVERAGE(F$5:F2723)</f>
        <v>2.2127988230967257</v>
      </c>
      <c r="L2723" s="16">
        <f>SUM(F$5:F2723)/SUM(E$5:E2723)</f>
        <v>0.76332449474124742</v>
      </c>
    </row>
    <row r="2724" spans="1:12" x14ac:dyDescent="0.25">
      <c r="A2724" s="29">
        <v>46073</v>
      </c>
      <c r="B2724" s="16" t="s">
        <v>2770</v>
      </c>
      <c r="C2724" s="34">
        <v>1</v>
      </c>
      <c r="D2724" s="16" t="s">
        <v>56</v>
      </c>
      <c r="E2724" s="35">
        <v>3.9</v>
      </c>
      <c r="F2724" s="35">
        <v>3.4</v>
      </c>
      <c r="G2724" s="16" t="s">
        <v>44</v>
      </c>
      <c r="H2724" s="16" t="s">
        <v>45</v>
      </c>
      <c r="I2724" s="16">
        <f>COUNTIF(G$5:G2724,"Y")/COUNTA(G$5:G2724)</f>
        <v>0.8841911764705882</v>
      </c>
      <c r="J2724" s="16">
        <f>COUNTIF(H$5:H2724,"Y")/COUNTA(H$5:H2724)</f>
        <v>4.8161764705882355E-2</v>
      </c>
      <c r="K2724" s="16">
        <f>AVERAGE(F$5:F2724)</f>
        <v>2.2132352941176459</v>
      </c>
      <c r="L2724" s="16">
        <f>SUM(F$5:F2724)/SUM(E$5:E2724)</f>
        <v>0.76337813847324199</v>
      </c>
    </row>
    <row r="2725" spans="1:12" x14ac:dyDescent="0.25">
      <c r="A2725" s="29">
        <v>46069</v>
      </c>
      <c r="B2725" s="16" t="s">
        <v>2771</v>
      </c>
      <c r="C2725" s="34">
        <v>1</v>
      </c>
      <c r="D2725" s="16" t="s">
        <v>52</v>
      </c>
      <c r="E2725" s="35">
        <v>4</v>
      </c>
      <c r="F2725" s="35">
        <v>3.4</v>
      </c>
      <c r="G2725" s="16" t="s">
        <v>44</v>
      </c>
      <c r="H2725" s="16" t="s">
        <v>45</v>
      </c>
      <c r="I2725" s="16">
        <f>COUNTIF(G$5:G2725,"Y")/COUNTA(G$5:G2725)</f>
        <v>0.88423373759647184</v>
      </c>
      <c r="J2725" s="16">
        <f>COUNTIF(H$5:H2725,"Y")/COUNTA(H$5:H2725)</f>
        <v>4.8144064682102167E-2</v>
      </c>
      <c r="K2725" s="16">
        <f>AVERAGE(F$5:F2725)</f>
        <v>2.2136714443219394</v>
      </c>
      <c r="L2725" s="16">
        <f>SUM(F$5:F2725)/SUM(E$5:E2725)</f>
        <v>0.76342205323193735</v>
      </c>
    </row>
    <row r="2726" spans="1:12" x14ac:dyDescent="0.25">
      <c r="A2726" s="29">
        <v>46070</v>
      </c>
      <c r="B2726" s="16" t="s">
        <v>2772</v>
      </c>
      <c r="C2726" s="34">
        <v>1</v>
      </c>
      <c r="D2726" s="16" t="s">
        <v>50</v>
      </c>
      <c r="E2726" s="35">
        <v>1.5</v>
      </c>
      <c r="F2726" s="35">
        <v>1.2</v>
      </c>
      <c r="G2726" s="16" t="s">
        <v>44</v>
      </c>
      <c r="H2726" s="16" t="s">
        <v>45</v>
      </c>
      <c r="I2726" s="16">
        <f>COUNTIF(G$5:G2726,"Y")/COUNTA(G$5:G2726)</f>
        <v>0.88427626745040411</v>
      </c>
      <c r="J2726" s="16">
        <f>COUNTIF(H$5:H2726,"Y")/COUNTA(H$5:H2726)</f>
        <v>4.8126377663482732E-2</v>
      </c>
      <c r="K2726" s="16">
        <f>AVERAGE(F$5:F2726)</f>
        <v>2.2132990448199843</v>
      </c>
      <c r="L2726" s="16">
        <f>SUM(F$5:F2726)/SUM(E$5:E2726)</f>
        <v>0.76342900589241403</v>
      </c>
    </row>
    <row r="2727" spans="1:12" x14ac:dyDescent="0.25">
      <c r="A2727" s="29">
        <v>46071</v>
      </c>
      <c r="B2727" s="16" t="s">
        <v>2773</v>
      </c>
      <c r="C2727" s="34">
        <v>1</v>
      </c>
      <c r="D2727" s="16" t="s">
        <v>43</v>
      </c>
      <c r="E2727" s="35">
        <v>2.9</v>
      </c>
      <c r="F2727" s="35">
        <v>2.6</v>
      </c>
      <c r="G2727" s="16" t="s">
        <v>44</v>
      </c>
      <c r="H2727" s="16" t="s">
        <v>45</v>
      </c>
      <c r="I2727" s="16">
        <f>COUNTIF(G$5:G2727,"Y")/COUNTA(G$5:G2727)</f>
        <v>0.88431876606683801</v>
      </c>
      <c r="J2727" s="16">
        <f>COUNTIF(H$5:H2727,"Y")/COUNTA(H$5:H2727)</f>
        <v>4.8108703635695922E-2</v>
      </c>
      <c r="K2727" s="16">
        <f>AVERAGE(F$5:F2727)</f>
        <v>2.2134410576569947</v>
      </c>
      <c r="L2727" s="16">
        <f>SUM(F$5:F2727)/SUM(E$5:E2727)</f>
        <v>0.76347790839075624</v>
      </c>
    </row>
    <row r="2728" spans="1:12" x14ac:dyDescent="0.25">
      <c r="A2728" s="29">
        <v>46072</v>
      </c>
      <c r="B2728" s="16" t="s">
        <v>2774</v>
      </c>
      <c r="C2728" s="34">
        <v>1</v>
      </c>
      <c r="D2728" s="16" t="s">
        <v>43</v>
      </c>
      <c r="E2728" s="35">
        <v>1.6</v>
      </c>
      <c r="F2728" s="35">
        <v>1.4</v>
      </c>
      <c r="G2728" s="16" t="s">
        <v>44</v>
      </c>
      <c r="H2728" s="16" t="s">
        <v>45</v>
      </c>
      <c r="I2728" s="16">
        <f>COUNTIF(G$5:G2728,"Y")/COUNTA(G$5:G2728)</f>
        <v>0.88436123348017626</v>
      </c>
      <c r="J2728" s="16">
        <f>COUNTIF(H$5:H2728,"Y")/COUNTA(H$5:H2728)</f>
        <v>4.8091042584434654E-2</v>
      </c>
      <c r="K2728" s="16">
        <f>AVERAGE(F$5:F2728)</f>
        <v>2.2131424375917756</v>
      </c>
      <c r="L2728" s="16">
        <f>SUM(F$5:F2728)/SUM(E$5:E2728)</f>
        <v>0.76350050658561119</v>
      </c>
    </row>
    <row r="2729" spans="1:12" x14ac:dyDescent="0.25">
      <c r="A2729" s="29">
        <v>46073</v>
      </c>
      <c r="B2729" s="16" t="s">
        <v>2775</v>
      </c>
      <c r="C2729" s="34">
        <v>1</v>
      </c>
      <c r="D2729" s="16" t="s">
        <v>56</v>
      </c>
      <c r="E2729" s="35">
        <v>3.5</v>
      </c>
      <c r="F2729" s="35">
        <v>2.7</v>
      </c>
      <c r="G2729" s="16" t="s">
        <v>44</v>
      </c>
      <c r="H2729" s="16" t="s">
        <v>45</v>
      </c>
      <c r="I2729" s="16">
        <f>COUNTIF(G$5:G2729,"Y")/COUNTA(G$5:G2729)</f>
        <v>0.88440366972477069</v>
      </c>
      <c r="J2729" s="16">
        <f>COUNTIF(H$5:H2729,"Y")/COUNTA(H$5:H2729)</f>
        <v>4.8073394495412841E-2</v>
      </c>
      <c r="K2729" s="16">
        <f>AVERAGE(F$5:F2729)</f>
        <v>2.2133211009174301</v>
      </c>
      <c r="L2729" s="16">
        <f>SUM(F$5:F2729)/SUM(E$5:E2729)</f>
        <v>0.76350401924172229</v>
      </c>
    </row>
    <row r="2730" spans="1:12" x14ac:dyDescent="0.25">
      <c r="A2730" s="29">
        <v>46069</v>
      </c>
      <c r="B2730" s="16" t="s">
        <v>2776</v>
      </c>
      <c r="C2730" s="34">
        <v>1</v>
      </c>
      <c r="D2730" s="16" t="s">
        <v>43</v>
      </c>
      <c r="E2730" s="35">
        <v>4.9000000000000004</v>
      </c>
      <c r="F2730" s="35">
        <v>3.3</v>
      </c>
      <c r="G2730" s="16" t="s">
        <v>45</v>
      </c>
      <c r="H2730" s="16" t="s">
        <v>45</v>
      </c>
      <c r="I2730" s="16">
        <f>COUNTIF(G$5:G2730,"Y")/COUNTA(G$5:G2730)</f>
        <v>0.8840792369772561</v>
      </c>
      <c r="J2730" s="16">
        <f>COUNTIF(H$5:H2730,"Y")/COUNTA(H$5:H2730)</f>
        <v>4.8055759354365374E-2</v>
      </c>
      <c r="K2730" s="16">
        <f>AVERAGE(F$5:F2730)</f>
        <v>2.2137197358767411</v>
      </c>
      <c r="L2730" s="16">
        <f>SUM(F$5:F2730)/SUM(E$5:E2730)</f>
        <v>0.76344820606244446</v>
      </c>
    </row>
    <row r="2731" spans="1:12" x14ac:dyDescent="0.25">
      <c r="A2731" s="29">
        <v>46070</v>
      </c>
      <c r="B2731" s="16" t="s">
        <v>2777</v>
      </c>
      <c r="C2731" s="34">
        <v>1</v>
      </c>
      <c r="D2731" s="16" t="s">
        <v>47</v>
      </c>
      <c r="E2731" s="35">
        <v>2.5</v>
      </c>
      <c r="F2731" s="35">
        <v>1.8</v>
      </c>
      <c r="G2731" s="16" t="s">
        <v>44</v>
      </c>
      <c r="H2731" s="16" t="s">
        <v>45</v>
      </c>
      <c r="I2731" s="16">
        <f>COUNTIF(G$5:G2731,"Y")/COUNTA(G$5:G2731)</f>
        <v>0.88412174550788414</v>
      </c>
      <c r="J2731" s="16">
        <f>COUNTIF(H$5:H2731,"Y")/COUNTA(H$5:H2731)</f>
        <v>4.8038137147048035E-2</v>
      </c>
      <c r="K2731" s="16">
        <f>AVERAGE(F$5:F2731)</f>
        <v>2.2135680234690125</v>
      </c>
      <c r="L2731" s="16">
        <f>SUM(F$5:F2731)/SUM(E$5:E2731)</f>
        <v>0.76343446862866438</v>
      </c>
    </row>
    <row r="2732" spans="1:12" x14ac:dyDescent="0.25">
      <c r="A2732" s="29">
        <v>46071</v>
      </c>
      <c r="B2732" s="16" t="s">
        <v>2778</v>
      </c>
      <c r="C2732" s="34">
        <v>1</v>
      </c>
      <c r="D2732" s="16" t="s">
        <v>64</v>
      </c>
      <c r="E2732" s="35">
        <v>5.0999999999999996</v>
      </c>
      <c r="F2732" s="35">
        <v>3.5</v>
      </c>
      <c r="G2732" s="16" t="s">
        <v>44</v>
      </c>
      <c r="H2732" s="16" t="s">
        <v>45</v>
      </c>
      <c r="I2732" s="16">
        <f>COUNTIF(G$5:G2732,"Y")/COUNTA(G$5:G2732)</f>
        <v>0.88416422287390029</v>
      </c>
      <c r="J2732" s="16">
        <f>COUNTIF(H$5:H2732,"Y")/COUNTA(H$5:H2732)</f>
        <v>4.8020527859237536E-2</v>
      </c>
      <c r="K2732" s="16">
        <f>AVERAGE(F$5:F2732)</f>
        <v>2.2140395894428142</v>
      </c>
      <c r="L2732" s="16">
        <f>SUM(F$5:F2732)/SUM(E$5:E2732)</f>
        <v>0.76338473205257662</v>
      </c>
    </row>
    <row r="2733" spans="1:12" x14ac:dyDescent="0.25">
      <c r="A2733" s="29">
        <v>46072</v>
      </c>
      <c r="B2733" s="16" t="s">
        <v>2779</v>
      </c>
      <c r="C2733" s="34">
        <v>1</v>
      </c>
      <c r="D2733" s="16" t="s">
        <v>56</v>
      </c>
      <c r="E2733" s="35">
        <v>4.0999999999999996</v>
      </c>
      <c r="F2733" s="35">
        <v>2.9</v>
      </c>
      <c r="G2733" s="16" t="s">
        <v>44</v>
      </c>
      <c r="H2733" s="16" t="s">
        <v>45</v>
      </c>
      <c r="I2733" s="16">
        <f>COUNTIF(G$5:G2733,"Y")/COUNTA(G$5:G2733)</f>
        <v>0.88420666910956391</v>
      </c>
      <c r="J2733" s="16">
        <f>COUNTIF(H$5:H2733,"Y")/COUNTA(H$5:H2733)</f>
        <v>4.8002931476731403E-2</v>
      </c>
      <c r="K2733" s="16">
        <f>AVERAGE(F$5:F2733)</f>
        <v>2.2142909490655907</v>
      </c>
      <c r="L2733" s="16">
        <f>SUM(F$5:F2733)/SUM(E$5:E2733)</f>
        <v>0.76335569282853744</v>
      </c>
    </row>
    <row r="2734" spans="1:12" x14ac:dyDescent="0.25">
      <c r="A2734" s="29">
        <v>46073</v>
      </c>
      <c r="B2734" s="16" t="s">
        <v>2780</v>
      </c>
      <c r="C2734" s="34">
        <v>1</v>
      </c>
      <c r="D2734" s="16" t="s">
        <v>56</v>
      </c>
      <c r="E2734" s="35">
        <v>1</v>
      </c>
      <c r="F2734" s="35">
        <v>0.8</v>
      </c>
      <c r="G2734" s="16" t="s">
        <v>44</v>
      </c>
      <c r="H2734" s="16" t="s">
        <v>45</v>
      </c>
      <c r="I2734" s="16">
        <f>COUNTIF(G$5:G2734,"Y")/COUNTA(G$5:G2734)</f>
        <v>0.88424908424908422</v>
      </c>
      <c r="J2734" s="16">
        <f>COUNTIF(H$5:H2734,"Y")/COUNTA(H$5:H2734)</f>
        <v>4.7985347985347988E-2</v>
      </c>
      <c r="K2734" s="16">
        <f>AVERAGE(F$5:F2734)</f>
        <v>2.2137728937728927</v>
      </c>
      <c r="L2734" s="16">
        <f>SUM(F$5:F2734)/SUM(E$5:E2734)</f>
        <v>0.76336032132977805</v>
      </c>
    </row>
    <row r="2735" spans="1:12" x14ac:dyDescent="0.25">
      <c r="A2735" s="29">
        <v>46069</v>
      </c>
      <c r="B2735" s="16" t="s">
        <v>2781</v>
      </c>
      <c r="C2735" s="34">
        <v>1</v>
      </c>
      <c r="D2735" s="16" t="s">
        <v>56</v>
      </c>
      <c r="E2735" s="35">
        <v>0.6</v>
      </c>
      <c r="F2735" s="35">
        <v>0.5</v>
      </c>
      <c r="G2735" s="16" t="s">
        <v>44</v>
      </c>
      <c r="H2735" s="16" t="s">
        <v>45</v>
      </c>
      <c r="I2735" s="16">
        <f>COUNTIF(G$5:G2735,"Y")/COUNTA(G$5:G2735)</f>
        <v>0.88429146832662031</v>
      </c>
      <c r="J2735" s="16">
        <f>COUNTIF(H$5:H2735,"Y")/COUNTA(H$5:H2735)</f>
        <v>4.7967777370926404E-2</v>
      </c>
      <c r="K2735" s="16">
        <f>AVERAGE(F$5:F2735)</f>
        <v>2.2131453679970696</v>
      </c>
      <c r="L2735" s="16">
        <f>SUM(F$5:F2735)/SUM(E$5:E2735)</f>
        <v>0.76336562385541062</v>
      </c>
    </row>
    <row r="2736" spans="1:12" x14ac:dyDescent="0.25">
      <c r="A2736" s="29">
        <v>46070</v>
      </c>
      <c r="B2736" s="16" t="s">
        <v>2782</v>
      </c>
      <c r="C2736" s="34">
        <v>1</v>
      </c>
      <c r="D2736" s="16" t="s">
        <v>50</v>
      </c>
      <c r="E2736" s="35">
        <v>0.6</v>
      </c>
      <c r="F2736" s="35">
        <v>0.5</v>
      </c>
      <c r="G2736" s="16" t="s">
        <v>44</v>
      </c>
      <c r="H2736" s="16" t="s">
        <v>45</v>
      </c>
      <c r="I2736" s="16">
        <f>COUNTIF(G$5:G2736,"Y")/COUNTA(G$5:G2736)</f>
        <v>0.88433382137628114</v>
      </c>
      <c r="J2736" s="16">
        <f>COUNTIF(H$5:H2736,"Y")/COUNTA(H$5:H2736)</f>
        <v>4.7950219619326502E-2</v>
      </c>
      <c r="K2736" s="16">
        <f>AVERAGE(F$5:F2736)</f>
        <v>2.2125183016105407</v>
      </c>
      <c r="L2736" s="16">
        <f>SUM(F$5:F2736)/SUM(E$5:E2736)</f>
        <v>0.76337092557745789</v>
      </c>
    </row>
    <row r="2737" spans="1:13" x14ac:dyDescent="0.25">
      <c r="A2737" s="29">
        <v>46071</v>
      </c>
      <c r="B2737" s="16" t="s">
        <v>2783</v>
      </c>
      <c r="C2737" s="34">
        <v>1</v>
      </c>
      <c r="D2737" s="16" t="s">
        <v>50</v>
      </c>
      <c r="E2737" s="35">
        <v>0.6</v>
      </c>
      <c r="F2737" s="35">
        <v>0.5</v>
      </c>
      <c r="G2737" s="16" t="s">
        <v>44</v>
      </c>
      <c r="H2737" s="16" t="s">
        <v>45</v>
      </c>
      <c r="I2737" s="16">
        <f>COUNTIF(G$5:G2737,"Y")/COUNTA(G$5:G2737)</f>
        <v>0.88437614343212589</v>
      </c>
      <c r="J2737" s="16">
        <f>COUNTIF(H$5:H2737,"Y")/COUNTA(H$5:H2737)</f>
        <v>4.7932674716428834E-2</v>
      </c>
      <c r="K2737" s="16">
        <f>AVERAGE(F$5:F2737)</f>
        <v>2.2118916941090365</v>
      </c>
      <c r="L2737" s="16">
        <f>SUM(F$5:F2737)/SUM(E$5:E2737)</f>
        <v>0.76337622649610226</v>
      </c>
    </row>
    <row r="2738" spans="1:13" x14ac:dyDescent="0.25">
      <c r="A2738" s="29">
        <v>46072</v>
      </c>
      <c r="B2738" s="16" t="s">
        <v>2784</v>
      </c>
      <c r="C2738" s="34">
        <v>1</v>
      </c>
      <c r="D2738" s="16" t="s">
        <v>47</v>
      </c>
      <c r="E2738" s="35">
        <v>0.8</v>
      </c>
      <c r="F2738" s="35">
        <v>0.5</v>
      </c>
      <c r="G2738" s="16" t="s">
        <v>44</v>
      </c>
      <c r="H2738" s="16" t="s">
        <v>45</v>
      </c>
      <c r="I2738" s="16">
        <f>COUNTIF(G$5:G2738,"Y")/COUNTA(G$5:G2738)</f>
        <v>0.88441843452816382</v>
      </c>
      <c r="J2738" s="16">
        <f>COUNTIF(H$5:H2738,"Y")/COUNTA(H$5:H2738)</f>
        <v>4.7915142648134602E-2</v>
      </c>
      <c r="K2738" s="16">
        <f>AVERAGE(F$5:F2738)</f>
        <v>2.2112655449890259</v>
      </c>
      <c r="L2738" s="16">
        <f>SUM(F$5:F2738)/SUM(E$5:E2738)</f>
        <v>0.76336224857001966</v>
      </c>
    </row>
    <row r="2739" spans="1:13" x14ac:dyDescent="0.25">
      <c r="A2739" s="29">
        <v>46073</v>
      </c>
      <c r="B2739" s="16" t="s">
        <v>2785</v>
      </c>
      <c r="C2739" s="34">
        <v>1</v>
      </c>
      <c r="D2739" s="16" t="s">
        <v>56</v>
      </c>
      <c r="E2739" s="35">
        <v>0.6</v>
      </c>
      <c r="F2739" s="35">
        <v>0.5</v>
      </c>
      <c r="G2739" s="16" t="s">
        <v>44</v>
      </c>
      <c r="H2739" s="16" t="s">
        <v>45</v>
      </c>
      <c r="I2739" s="16">
        <f>COUNTIF(G$5:G2739,"Y")/COUNTA(G$5:G2739)</f>
        <v>0.88446069469835464</v>
      </c>
      <c r="J2739" s="16">
        <f>COUNTIF(H$5:H2739,"Y")/COUNTA(H$5:H2739)</f>
        <v>4.789762340036563E-2</v>
      </c>
      <c r="K2739" s="16">
        <f>AVERAGE(F$5:F2739)</f>
        <v>2.2106398537477134</v>
      </c>
      <c r="L2739" s="16">
        <f>SUM(F$5:F2739)/SUM(E$5:E2739)</f>
        <v>0.76336754920899264</v>
      </c>
    </row>
    <row r="2740" spans="1:13" x14ac:dyDescent="0.25">
      <c r="A2740" s="29">
        <v>46069</v>
      </c>
      <c r="B2740" s="16" t="s">
        <v>2786</v>
      </c>
      <c r="C2740" s="34">
        <v>1</v>
      </c>
      <c r="D2740" s="16" t="s">
        <v>56</v>
      </c>
      <c r="E2740" s="35">
        <v>0.6</v>
      </c>
      <c r="F2740" s="35">
        <v>0.5</v>
      </c>
      <c r="G2740" s="16" t="s">
        <v>44</v>
      </c>
      <c r="H2740" s="16" t="s">
        <v>45</v>
      </c>
      <c r="I2740" s="16">
        <f>COUNTIF(G$5:G2740,"Y")/COUNTA(G$5:G2740)</f>
        <v>0.88450292397660824</v>
      </c>
      <c r="J2740" s="16">
        <f>COUNTIF(H$5:H2740,"Y")/COUNTA(H$5:H2740)</f>
        <v>4.7880116959064328E-2</v>
      </c>
      <c r="K2740" s="16">
        <f>AVERAGE(F$5:F2740)</f>
        <v>2.2100146198830397</v>
      </c>
      <c r="L2740" s="16">
        <f>SUM(F$5:F2740)/SUM(E$5:E2740)</f>
        <v>0.76337284904492975</v>
      </c>
    </row>
    <row r="2741" spans="1:13" x14ac:dyDescent="0.25">
      <c r="A2741" s="29">
        <v>46070</v>
      </c>
      <c r="B2741" s="16" t="s">
        <v>2787</v>
      </c>
      <c r="C2741" s="34">
        <v>1</v>
      </c>
      <c r="D2741" s="16" t="s">
        <v>52</v>
      </c>
      <c r="E2741" s="35">
        <v>0.7</v>
      </c>
      <c r="F2741" s="35">
        <v>0.5</v>
      </c>
      <c r="G2741" s="16" t="s">
        <v>44</v>
      </c>
      <c r="H2741" s="16" t="s">
        <v>44</v>
      </c>
      <c r="I2741" s="16">
        <f>COUNTIF(G$5:G2741,"Y")/COUNTA(G$5:G2741)</f>
        <v>0.88454512239678484</v>
      </c>
      <c r="J2741" s="16">
        <f>COUNTIF(H$5:H2741,"Y")/COUNTA(H$5:H2741)</f>
        <v>4.8227986846912679E-2</v>
      </c>
      <c r="K2741" s="16">
        <f>AVERAGE(F$5:F2741)</f>
        <v>2.2093898428936782</v>
      </c>
      <c r="L2741" s="16">
        <f>SUM(F$5:F2741)/SUM(E$5:E2741)</f>
        <v>0.76336851141183393</v>
      </c>
    </row>
    <row r="2742" spans="1:13" x14ac:dyDescent="0.25">
      <c r="A2742" s="29">
        <v>46071</v>
      </c>
      <c r="B2742" s="16" t="s">
        <v>2788</v>
      </c>
      <c r="C2742" s="34">
        <v>1</v>
      </c>
      <c r="D2742" s="16" t="s">
        <v>56</v>
      </c>
      <c r="E2742" s="35">
        <v>0.7</v>
      </c>
      <c r="F2742" s="35">
        <v>0.5</v>
      </c>
      <c r="G2742" s="16" t="s">
        <v>44</v>
      </c>
      <c r="H2742" s="16" t="s">
        <v>45</v>
      </c>
      <c r="I2742" s="16">
        <f>COUNTIF(G$5:G2742,"Y")/COUNTA(G$5:G2742)</f>
        <v>0.88458728999269542</v>
      </c>
      <c r="J2742" s="16">
        <f>COUNTIF(H$5:H2742,"Y")/COUNTA(H$5:H2742)</f>
        <v>4.8210372534696858E-2</v>
      </c>
      <c r="K2742" s="16">
        <f>AVERAGE(F$5:F2742)</f>
        <v>2.2087655222790348</v>
      </c>
      <c r="L2742" s="16">
        <f>SUM(F$5:F2742)/SUM(E$5:E2742)</f>
        <v>0.76336417454526895</v>
      </c>
    </row>
    <row r="2743" spans="1:13" x14ac:dyDescent="0.25">
      <c r="A2743" s="29">
        <v>46072</v>
      </c>
      <c r="B2743" s="16" t="s">
        <v>2789</v>
      </c>
      <c r="C2743" s="34">
        <v>1</v>
      </c>
      <c r="D2743" s="16" t="s">
        <v>43</v>
      </c>
      <c r="E2743" s="35">
        <v>1.5</v>
      </c>
      <c r="F2743" s="35">
        <v>0.5</v>
      </c>
      <c r="G2743" s="16" t="s">
        <v>45</v>
      </c>
      <c r="H2743" s="16" t="s">
        <v>45</v>
      </c>
      <c r="I2743" s="16">
        <f>COUNTIF(G$5:G2743,"Y")/COUNTA(G$5:G2743)</f>
        <v>0.88426433004746263</v>
      </c>
      <c r="J2743" s="16">
        <f>COUNTIF(H$5:H2743,"Y")/COUNTA(H$5:H2743)</f>
        <v>4.8192771084337352E-2</v>
      </c>
      <c r="K2743" s="16">
        <f>AVERAGE(F$5:F2743)</f>
        <v>2.2081416575392465</v>
      </c>
      <c r="L2743" s="16">
        <f>SUM(F$5:F2743)/SUM(E$5:E2743)</f>
        <v>0.76328276836871001</v>
      </c>
      <c r="M2743" s="16">
        <v>10</v>
      </c>
    </row>
    <row r="2744" spans="1:13" x14ac:dyDescent="0.25">
      <c r="A2744" s="29">
        <v>46076</v>
      </c>
      <c r="B2744" s="16" t="s">
        <v>2790</v>
      </c>
      <c r="C2744" s="34">
        <v>1</v>
      </c>
      <c r="D2744" s="16" t="s">
        <v>56</v>
      </c>
      <c r="E2744" s="35">
        <v>1.6</v>
      </c>
      <c r="F2744" s="35">
        <v>1.3</v>
      </c>
      <c r="G2744" s="16" t="s">
        <v>44</v>
      </c>
      <c r="H2744" s="16" t="s">
        <v>45</v>
      </c>
      <c r="I2744" s="16">
        <f>COUNTIF(G$5:G2744,"Y")/COUNTA(G$5:G2744)</f>
        <v>0.88430656934306573</v>
      </c>
      <c r="J2744" s="16">
        <f>COUNTIF(H$5:H2744,"Y")/COUNTA(H$5:H2744)</f>
        <v>4.8175182481751823E-2</v>
      </c>
      <c r="K2744" s="16">
        <f>AVERAGE(F$5:F2744)</f>
        <v>2.2078102189781013</v>
      </c>
      <c r="L2744" s="16">
        <f>SUM(F$5:F2744)/SUM(E$5:E2744)</f>
        <v>0.76329270446917308</v>
      </c>
    </row>
    <row r="2745" spans="1:13" x14ac:dyDescent="0.25">
      <c r="A2745" s="29">
        <v>46077</v>
      </c>
      <c r="B2745" s="16" t="s">
        <v>2791</v>
      </c>
      <c r="C2745" s="34">
        <v>1</v>
      </c>
      <c r="D2745" s="16" t="s">
        <v>64</v>
      </c>
      <c r="E2745" s="35">
        <v>4.3</v>
      </c>
      <c r="F2745" s="35">
        <v>2.9</v>
      </c>
      <c r="G2745" s="16" t="s">
        <v>44</v>
      </c>
      <c r="H2745" s="16" t="s">
        <v>45</v>
      </c>
      <c r="I2745" s="16">
        <f>COUNTIF(G$5:G2745,"Y")/COUNTA(G$5:G2745)</f>
        <v>0.88434877781831445</v>
      </c>
      <c r="J2745" s="16">
        <f>COUNTIF(H$5:H2745,"Y")/COUNTA(H$5:H2745)</f>
        <v>4.8157606712878512E-2</v>
      </c>
      <c r="K2745" s="16">
        <f>AVERAGE(F$5:F2745)</f>
        <v>2.2080627508208672</v>
      </c>
      <c r="L2745" s="16">
        <f>SUM(F$5:F2745)/SUM(E$5:E2745)</f>
        <v>0.76324451114165526</v>
      </c>
    </row>
    <row r="2746" spans="1:13" x14ac:dyDescent="0.25">
      <c r="A2746" s="29">
        <v>46078</v>
      </c>
      <c r="B2746" s="16" t="s">
        <v>2792</v>
      </c>
      <c r="C2746" s="34">
        <v>1</v>
      </c>
      <c r="D2746" s="16" t="s">
        <v>50</v>
      </c>
      <c r="E2746" s="35">
        <v>2.8</v>
      </c>
      <c r="F2746" s="35">
        <v>2.1</v>
      </c>
      <c r="G2746" s="16" t="s">
        <v>44</v>
      </c>
      <c r="H2746" s="16" t="s">
        <v>45</v>
      </c>
      <c r="I2746" s="16">
        <f>COUNTIF(G$5:G2746,"Y")/COUNTA(G$5:G2746)</f>
        <v>0.88439095550692925</v>
      </c>
      <c r="J2746" s="16">
        <f>COUNTIF(H$5:H2746,"Y")/COUNTA(H$5:H2746)</f>
        <v>4.8140043763676151E-2</v>
      </c>
      <c r="K2746" s="16">
        <f>AVERAGE(F$5:F2746)</f>
        <v>2.2080233406272782</v>
      </c>
      <c r="L2746" s="16">
        <f>SUM(F$5:F2746)/SUM(E$5:E2746)</f>
        <v>0.76323983611723711</v>
      </c>
    </row>
    <row r="2747" spans="1:13" x14ac:dyDescent="0.25">
      <c r="A2747" s="29">
        <v>46079</v>
      </c>
      <c r="B2747" s="16" t="s">
        <v>2793</v>
      </c>
      <c r="C2747" s="34">
        <v>1</v>
      </c>
      <c r="D2747" s="16" t="s">
        <v>64</v>
      </c>
      <c r="E2747" s="35">
        <v>2.7</v>
      </c>
      <c r="F2747" s="35">
        <v>2</v>
      </c>
      <c r="G2747" s="16" t="s">
        <v>45</v>
      </c>
      <c r="H2747" s="16" t="s">
        <v>45</v>
      </c>
      <c r="I2747" s="16">
        <f>COUNTIF(G$5:G2747,"Y")/COUNTA(G$5:G2747)</f>
        <v>0.88406853809697417</v>
      </c>
      <c r="J2747" s="16">
        <f>COUNTIF(H$5:H2747,"Y")/COUNTA(H$5:H2747)</f>
        <v>4.8122493620123954E-2</v>
      </c>
      <c r="K2747" s="16">
        <f>AVERAGE(F$5:F2747)</f>
        <v>2.2079475027342315</v>
      </c>
      <c r="L2747" s="16">
        <f>SUM(F$5:F2747)/SUM(E$5:E2747)</f>
        <v>0.76323218066337128</v>
      </c>
    </row>
    <row r="2748" spans="1:13" x14ac:dyDescent="0.25">
      <c r="A2748" s="29">
        <v>46080</v>
      </c>
      <c r="B2748" s="16" t="s">
        <v>2794</v>
      </c>
      <c r="C2748" s="34">
        <v>1</v>
      </c>
      <c r="D2748" s="16" t="s">
        <v>64</v>
      </c>
      <c r="E2748" s="35">
        <v>4.0999999999999996</v>
      </c>
      <c r="F2748" s="35">
        <v>2.9</v>
      </c>
      <c r="G2748" s="16" t="s">
        <v>44</v>
      </c>
      <c r="H2748" s="16" t="s">
        <v>45</v>
      </c>
      <c r="I2748" s="16">
        <f>COUNTIF(G$5:G2748,"Y")/COUNTA(G$5:G2748)</f>
        <v>0.88411078717201164</v>
      </c>
      <c r="J2748" s="16">
        <f>COUNTIF(H$5:H2748,"Y")/COUNTA(H$5:H2748)</f>
        <v>4.8104956268221574E-2</v>
      </c>
      <c r="K2748" s="16">
        <f>AVERAGE(F$5:F2748)</f>
        <v>2.2081997084548091</v>
      </c>
      <c r="L2748" s="16">
        <f>SUM(F$5:F2748)/SUM(E$5:E2748)</f>
        <v>0.76320330507727174</v>
      </c>
    </row>
    <row r="2749" spans="1:13" x14ac:dyDescent="0.25">
      <c r="A2749" s="29">
        <v>46076</v>
      </c>
      <c r="B2749" s="16" t="s">
        <v>2795</v>
      </c>
      <c r="C2749" s="34">
        <v>1</v>
      </c>
      <c r="D2749" s="16" t="s">
        <v>64</v>
      </c>
      <c r="E2749" s="35">
        <v>4.9000000000000004</v>
      </c>
      <c r="F2749" s="35">
        <v>3.5</v>
      </c>
      <c r="G2749" s="16" t="s">
        <v>44</v>
      </c>
      <c r="H2749" s="16" t="s">
        <v>45</v>
      </c>
      <c r="I2749" s="16">
        <f>COUNTIF(G$5:G2749,"Y")/COUNTA(G$5:G2749)</f>
        <v>0.88415300546448083</v>
      </c>
      <c r="J2749" s="16">
        <f>COUNTIF(H$5:H2749,"Y")/COUNTA(H$5:H2749)</f>
        <v>4.8087431693989074E-2</v>
      </c>
      <c r="K2749" s="16">
        <f>AVERAGE(F$5:F2749)</f>
        <v>2.2086703096539151</v>
      </c>
      <c r="L2749" s="16">
        <f>SUM(F$5:F2749)/SUM(E$5:E2749)</f>
        <v>0.76317313259988206</v>
      </c>
    </row>
    <row r="2750" spans="1:13" x14ac:dyDescent="0.25">
      <c r="A2750" s="29">
        <v>46077</v>
      </c>
      <c r="B2750" s="16" t="s">
        <v>2796</v>
      </c>
      <c r="C2750" s="34">
        <v>1</v>
      </c>
      <c r="D2750" s="16" t="s">
        <v>47</v>
      </c>
      <c r="E2750" s="35">
        <v>4.7</v>
      </c>
      <c r="F2750" s="35">
        <v>3.3</v>
      </c>
      <c r="G2750" s="16" t="s">
        <v>44</v>
      </c>
      <c r="H2750" s="16" t="s">
        <v>45</v>
      </c>
      <c r="I2750" s="16">
        <f>COUNTIF(G$5:G2750,"Y")/COUNTA(G$5:G2750)</f>
        <v>0.88419519300801164</v>
      </c>
      <c r="J2750" s="16">
        <f>COUNTIF(H$5:H2750,"Y")/COUNTA(H$5:H2750)</f>
        <v>4.8069919883466858E-2</v>
      </c>
      <c r="K2750" s="16">
        <f>AVERAGE(F$5:F2750)</f>
        <v>2.2090677348871073</v>
      </c>
      <c r="L2750" s="16">
        <f>SUM(F$5:F2750)/SUM(E$5:E2750)</f>
        <v>0.76313703782913156</v>
      </c>
    </row>
    <row r="2751" spans="1:13" x14ac:dyDescent="0.25">
      <c r="A2751" s="29">
        <v>46078</v>
      </c>
      <c r="B2751" s="16" t="s">
        <v>2797</v>
      </c>
      <c r="C2751" s="34">
        <v>1</v>
      </c>
      <c r="D2751" s="16" t="s">
        <v>52</v>
      </c>
      <c r="E2751" s="35">
        <v>3.7</v>
      </c>
      <c r="F2751" s="35">
        <v>3.1</v>
      </c>
      <c r="G2751" s="16" t="s">
        <v>45</v>
      </c>
      <c r="H2751" s="16" t="s">
        <v>45</v>
      </c>
      <c r="I2751" s="16">
        <f>COUNTIF(G$5:G2751,"Y")/COUNTA(G$5:G2751)</f>
        <v>0.8838733163451038</v>
      </c>
      <c r="J2751" s="16">
        <f>COUNTIF(H$5:H2751,"Y")/COUNTA(H$5:H2751)</f>
        <v>4.8052420822715693E-2</v>
      </c>
      <c r="K2751" s="16">
        <f>AVERAGE(F$5:F2751)</f>
        <v>2.2093920640698932</v>
      </c>
      <c r="L2751" s="16">
        <f>SUM(F$5:F2751)/SUM(E$5:E2751)</f>
        <v>0.76317179287276915</v>
      </c>
    </row>
    <row r="2752" spans="1:13" x14ac:dyDescent="0.25">
      <c r="A2752" s="29">
        <v>46079</v>
      </c>
      <c r="B2752" s="16" t="s">
        <v>2798</v>
      </c>
      <c r="C2752" s="34">
        <v>1</v>
      </c>
      <c r="D2752" s="16" t="s">
        <v>43</v>
      </c>
      <c r="E2752" s="35">
        <v>2</v>
      </c>
      <c r="F2752" s="35">
        <v>1.4</v>
      </c>
      <c r="G2752" s="16" t="s">
        <v>45</v>
      </c>
      <c r="H2752" s="16" t="s">
        <v>45</v>
      </c>
      <c r="I2752" s="16">
        <f>COUNTIF(G$5:G2752,"Y")/COUNTA(G$5:G2752)</f>
        <v>0.88355167394468703</v>
      </c>
      <c r="J2752" s="16">
        <f>COUNTIF(H$5:H2752,"Y")/COUNTA(H$5:H2752)</f>
        <v>4.8034934497816595E-2</v>
      </c>
      <c r="K2752" s="16">
        <f>AVERAGE(F$5:F2752)</f>
        <v>2.2090975254730703</v>
      </c>
      <c r="L2752" s="16">
        <f>SUM(F$5:F2752)/SUM(E$5:E2752)</f>
        <v>0.76315590978804515</v>
      </c>
    </row>
    <row r="2753" spans="1:12" x14ac:dyDescent="0.25">
      <c r="A2753" s="29">
        <v>46080</v>
      </c>
      <c r="B2753" s="16" t="s">
        <v>2799</v>
      </c>
      <c r="C2753" s="34">
        <v>1</v>
      </c>
      <c r="D2753" s="16" t="s">
        <v>47</v>
      </c>
      <c r="E2753" s="35">
        <v>2</v>
      </c>
      <c r="F2753" s="35">
        <v>1.4</v>
      </c>
      <c r="G2753" s="16" t="s">
        <v>44</v>
      </c>
      <c r="H2753" s="16" t="s">
        <v>45</v>
      </c>
      <c r="I2753" s="16">
        <f>COUNTIF(G$5:G2753,"Y")/COUNTA(G$5:G2753)</f>
        <v>0.88359403419425242</v>
      </c>
      <c r="J2753" s="16">
        <f>COUNTIF(H$5:H2753,"Y")/COUNTA(H$5:H2753)</f>
        <v>4.8017460894870863E-2</v>
      </c>
      <c r="K2753" s="16">
        <f>AVERAGE(F$5:F2753)</f>
        <v>2.2088032011640584</v>
      </c>
      <c r="L2753" s="16">
        <f>SUM(F$5:F2753)/SUM(E$5:E2753)</f>
        <v>0.76314003468818137</v>
      </c>
    </row>
    <row r="2754" spans="1:12" x14ac:dyDescent="0.25">
      <c r="A2754" s="29">
        <v>46076</v>
      </c>
      <c r="B2754" s="16" t="s">
        <v>2800</v>
      </c>
      <c r="C2754" s="34">
        <v>1</v>
      </c>
      <c r="D2754" s="16" t="s">
        <v>52</v>
      </c>
      <c r="E2754" s="35">
        <v>5.2</v>
      </c>
      <c r="F2754" s="35">
        <v>3.5</v>
      </c>
      <c r="G2754" s="16" t="s">
        <v>44</v>
      </c>
      <c r="H2754" s="16" t="s">
        <v>45</v>
      </c>
      <c r="I2754" s="16">
        <f>COUNTIF(G$5:G2754,"Y")/COUNTA(G$5:G2754)</f>
        <v>0.88363636363636366</v>
      </c>
      <c r="J2754" s="16">
        <f>COUNTIF(H$5:H2754,"Y")/COUNTA(H$5:H2754)</f>
        <v>4.8000000000000001E-2</v>
      </c>
      <c r="K2754" s="16">
        <f>AVERAGE(F$5:F2754)</f>
        <v>2.2092727272727259</v>
      </c>
      <c r="L2754" s="16">
        <f>SUM(F$5:F2754)/SUM(E$5:E2754)</f>
        <v>0.76308121279107533</v>
      </c>
    </row>
    <row r="2755" spans="1:12" x14ac:dyDescent="0.25">
      <c r="A2755" s="29">
        <v>46077</v>
      </c>
      <c r="B2755" s="16" t="s">
        <v>2801</v>
      </c>
      <c r="C2755" s="34">
        <v>1</v>
      </c>
      <c r="D2755" s="16" t="s">
        <v>56</v>
      </c>
      <c r="E2755" s="35">
        <v>3.9</v>
      </c>
      <c r="F2755" s="35">
        <v>3</v>
      </c>
      <c r="G2755" s="16" t="s">
        <v>44</v>
      </c>
      <c r="H2755" s="16" t="s">
        <v>45</v>
      </c>
      <c r="I2755" s="16">
        <f>COUNTIF(G$5:G2755,"Y")/COUNTA(G$5:G2755)</f>
        <v>0.88367866230461656</v>
      </c>
      <c r="J2755" s="16">
        <f>COUNTIF(H$5:H2755,"Y")/COUNTA(H$5:H2755)</f>
        <v>4.7982551799345692E-2</v>
      </c>
      <c r="K2755" s="16">
        <f>AVERAGE(F$5:F2755)</f>
        <v>2.2095601599418382</v>
      </c>
      <c r="L2755" s="16">
        <f>SUM(F$5:F2755)/SUM(E$5:E2755)</f>
        <v>0.76308422360872041</v>
      </c>
    </row>
    <row r="2756" spans="1:12" x14ac:dyDescent="0.25">
      <c r="A2756" s="29">
        <v>46078</v>
      </c>
      <c r="B2756" s="16" t="s">
        <v>2802</v>
      </c>
      <c r="C2756" s="34">
        <v>1</v>
      </c>
      <c r="D2756" s="16" t="s">
        <v>60</v>
      </c>
      <c r="E2756" s="35">
        <v>2.5</v>
      </c>
      <c r="F2756" s="35">
        <v>2.1</v>
      </c>
      <c r="G2756" s="16" t="s">
        <v>44</v>
      </c>
      <c r="H2756" s="16" t="s">
        <v>44</v>
      </c>
      <c r="I2756" s="16">
        <f>COUNTIF(G$5:G2756,"Y")/COUNTA(G$5:G2756)</f>
        <v>0.88372093023255816</v>
      </c>
      <c r="J2756" s="16">
        <f>COUNTIF(H$5:H2756,"Y")/COUNTA(H$5:H2756)</f>
        <v>4.8328488372093026E-2</v>
      </c>
      <c r="K2756" s="16">
        <f>AVERAGE(F$5:F2756)</f>
        <v>2.2095203488372079</v>
      </c>
      <c r="L2756" s="16">
        <f>SUM(F$5:F2756)/SUM(E$5:E2756)</f>
        <v>0.76310835571396107</v>
      </c>
    </row>
    <row r="2757" spans="1:12" x14ac:dyDescent="0.25">
      <c r="A2757" s="29">
        <v>46079</v>
      </c>
      <c r="B2757" s="16" t="s">
        <v>2803</v>
      </c>
      <c r="C2757" s="34">
        <v>1</v>
      </c>
      <c r="D2757" s="16" t="s">
        <v>50</v>
      </c>
      <c r="E2757" s="35">
        <v>3.5</v>
      </c>
      <c r="F2757" s="35">
        <v>2.4</v>
      </c>
      <c r="G2757" s="16" t="s">
        <v>44</v>
      </c>
      <c r="H2757" s="16" t="s">
        <v>45</v>
      </c>
      <c r="I2757" s="16">
        <f>COUNTIF(G$5:G2757,"Y")/COUNTA(G$5:G2757)</f>
        <v>0.88376316745368688</v>
      </c>
      <c r="J2757" s="16">
        <f>COUNTIF(H$5:H2757,"Y")/COUNTA(H$5:H2757)</f>
        <v>4.8310933527061388E-2</v>
      </c>
      <c r="K2757" s="16">
        <f>AVERAGE(F$5:F2757)</f>
        <v>2.2095895386850697</v>
      </c>
      <c r="L2757" s="16">
        <f>SUM(F$5:F2757)/SUM(E$5:E2757)</f>
        <v>0.76307437560369606</v>
      </c>
    </row>
    <row r="2758" spans="1:12" x14ac:dyDescent="0.25">
      <c r="A2758" s="29">
        <v>46080</v>
      </c>
      <c r="B2758" s="16" t="s">
        <v>2804</v>
      </c>
      <c r="C2758" s="34">
        <v>1</v>
      </c>
      <c r="D2758" s="16" t="s">
        <v>50</v>
      </c>
      <c r="E2758" s="35">
        <v>3.3</v>
      </c>
      <c r="F2758" s="35">
        <v>2.7</v>
      </c>
      <c r="G2758" s="16" t="s">
        <v>44</v>
      </c>
      <c r="H2758" s="16" t="s">
        <v>45</v>
      </c>
      <c r="I2758" s="16">
        <f>COUNTIF(G$5:G2758,"Y")/COUNTA(G$5:G2758)</f>
        <v>0.88380537400145243</v>
      </c>
      <c r="J2758" s="16">
        <f>COUNTIF(H$5:H2758,"Y")/COUNTA(H$5:H2758)</f>
        <v>4.8293391430646336E-2</v>
      </c>
      <c r="K2758" s="16">
        <f>AVERAGE(F$5:F2758)</f>
        <v>2.2097676107480013</v>
      </c>
      <c r="L2758" s="16">
        <f>SUM(F$5:F2758)/SUM(E$5:E2758)</f>
        <v>0.76309717868338356</v>
      </c>
    </row>
    <row r="2759" spans="1:12" x14ac:dyDescent="0.25">
      <c r="A2759" s="29">
        <v>46076</v>
      </c>
      <c r="B2759" s="16" t="s">
        <v>2805</v>
      </c>
      <c r="C2759" s="34">
        <v>1</v>
      </c>
      <c r="D2759" s="16" t="s">
        <v>60</v>
      </c>
      <c r="E2759" s="35">
        <v>3.9</v>
      </c>
      <c r="F2759" s="35">
        <v>2.7</v>
      </c>
      <c r="G2759" s="16" t="s">
        <v>45</v>
      </c>
      <c r="H2759" s="16" t="s">
        <v>45</v>
      </c>
      <c r="I2759" s="16">
        <f>COUNTIF(G$5:G2759,"Y")/COUNTA(G$5:G2759)</f>
        <v>0.88348457350272236</v>
      </c>
      <c r="J2759" s="16">
        <f>COUNTIF(H$5:H2759,"Y")/COUNTA(H$5:H2759)</f>
        <v>4.8275862068965517E-2</v>
      </c>
      <c r="K2759" s="16">
        <f>AVERAGE(F$5:F2759)</f>
        <v>2.2099455535390184</v>
      </c>
      <c r="L2759" s="16">
        <f>SUM(F$5:F2759)/SUM(E$5:E2759)</f>
        <v>0.76306257754828155</v>
      </c>
    </row>
    <row r="2760" spans="1:12" x14ac:dyDescent="0.25">
      <c r="A2760" s="29">
        <v>46077</v>
      </c>
      <c r="B2760" s="16" t="s">
        <v>2806</v>
      </c>
      <c r="C2760" s="34">
        <v>1</v>
      </c>
      <c r="D2760" s="16" t="s">
        <v>60</v>
      </c>
      <c r="E2760" s="35">
        <v>2.7</v>
      </c>
      <c r="F2760" s="35">
        <v>2.1</v>
      </c>
      <c r="G2760" s="16" t="s">
        <v>44</v>
      </c>
      <c r="H2760" s="16" t="s">
        <v>44</v>
      </c>
      <c r="I2760" s="16">
        <f>COUNTIF(G$5:G2760,"Y")/COUNTA(G$5:G2760)</f>
        <v>0.88352685050798263</v>
      </c>
      <c r="J2760" s="16">
        <f>COUNTIF(H$5:H2760,"Y")/COUNTA(H$5:H2760)</f>
        <v>4.862119013062409E-2</v>
      </c>
      <c r="K2760" s="16">
        <f>AVERAGE(F$5:F2760)</f>
        <v>2.2099056603773573</v>
      </c>
      <c r="L2760" s="16">
        <f>SUM(F$5:F2760)/SUM(E$5:E2760)</f>
        <v>0.76306755537736592</v>
      </c>
    </row>
    <row r="2761" spans="1:12" x14ac:dyDescent="0.25">
      <c r="A2761" s="29">
        <v>46078</v>
      </c>
      <c r="B2761" s="16" t="s">
        <v>2807</v>
      </c>
      <c r="C2761" s="34">
        <v>1</v>
      </c>
      <c r="D2761" s="16" t="s">
        <v>60</v>
      </c>
      <c r="E2761" s="35">
        <v>4.5999999999999996</v>
      </c>
      <c r="F2761" s="35">
        <v>3.3</v>
      </c>
      <c r="G2761" s="16" t="s">
        <v>44</v>
      </c>
      <c r="H2761" s="16" t="s">
        <v>45</v>
      </c>
      <c r="I2761" s="16">
        <f>COUNTIF(G$5:G2761,"Y")/COUNTA(G$5:G2761)</f>
        <v>0.88356909684439611</v>
      </c>
      <c r="J2761" s="16">
        <f>COUNTIF(H$5:H2761,"Y")/COUNTA(H$5:H2761)</f>
        <v>4.8603554588320635E-2</v>
      </c>
      <c r="K2761" s="16">
        <f>AVERAGE(F$5:F2761)</f>
        <v>2.2103010518679711</v>
      </c>
      <c r="L2761" s="16">
        <f>SUM(F$5:F2761)/SUM(E$5:E2761)</f>
        <v>0.76304124614960611</v>
      </c>
    </row>
    <row r="2762" spans="1:12" x14ac:dyDescent="0.25">
      <c r="A2762" s="29">
        <v>46079</v>
      </c>
      <c r="B2762" s="16" t="s">
        <v>2808</v>
      </c>
      <c r="C2762" s="34">
        <v>1</v>
      </c>
      <c r="D2762" s="16" t="s">
        <v>52</v>
      </c>
      <c r="E2762" s="35">
        <v>4.7</v>
      </c>
      <c r="F2762" s="35">
        <v>3.1</v>
      </c>
      <c r="G2762" s="16" t="s">
        <v>44</v>
      </c>
      <c r="H2762" s="16" t="s">
        <v>45</v>
      </c>
      <c r="I2762" s="16">
        <f>COUNTIF(G$5:G2762,"Y")/COUNTA(G$5:G2762)</f>
        <v>0.88361131254532266</v>
      </c>
      <c r="J2762" s="16">
        <f>COUNTIF(H$5:H2762,"Y")/COUNTA(H$5:H2762)</f>
        <v>4.8585931834662796E-2</v>
      </c>
      <c r="K2762" s="16">
        <f>AVERAGE(F$5:F2762)</f>
        <v>2.2106236403190707</v>
      </c>
      <c r="L2762" s="16">
        <f>SUM(F$5:F2762)/SUM(E$5:E2762)</f>
        <v>0.76298039019384356</v>
      </c>
    </row>
    <row r="2763" spans="1:12" x14ac:dyDescent="0.25">
      <c r="A2763" s="29">
        <v>46080</v>
      </c>
      <c r="B2763" s="16" t="s">
        <v>2809</v>
      </c>
      <c r="C2763" s="34">
        <v>1</v>
      </c>
      <c r="D2763" s="16" t="s">
        <v>52</v>
      </c>
      <c r="E2763" s="35">
        <v>3.4</v>
      </c>
      <c r="F2763" s="35">
        <v>2.8</v>
      </c>
      <c r="G2763" s="16" t="s">
        <v>44</v>
      </c>
      <c r="H2763" s="16" t="s">
        <v>45</v>
      </c>
      <c r="I2763" s="16">
        <f>COUNTIF(G$5:G2763,"Y")/COUNTA(G$5:G2763)</f>
        <v>0.88365349764407397</v>
      </c>
      <c r="J2763" s="16">
        <f>COUNTIF(H$5:H2763,"Y")/COUNTA(H$5:H2763)</f>
        <v>4.8568321855744834E-2</v>
      </c>
      <c r="K2763" s="16">
        <f>AVERAGE(F$5:F2763)</f>
        <v>2.210837259876766</v>
      </c>
      <c r="L2763" s="16">
        <f>SUM(F$5:F2763)/SUM(E$5:E2763)</f>
        <v>0.76300614187608484</v>
      </c>
    </row>
    <row r="2764" spans="1:12" x14ac:dyDescent="0.25">
      <c r="A2764" s="29">
        <v>46076</v>
      </c>
      <c r="B2764" s="16" t="s">
        <v>2810</v>
      </c>
      <c r="C2764" s="34">
        <v>1</v>
      </c>
      <c r="D2764" s="16" t="s">
        <v>56</v>
      </c>
      <c r="E2764" s="35">
        <v>2</v>
      </c>
      <c r="F2764" s="35">
        <v>1.6</v>
      </c>
      <c r="G2764" s="16" t="s">
        <v>44</v>
      </c>
      <c r="H2764" s="16" t="s">
        <v>45</v>
      </c>
      <c r="I2764" s="16">
        <f>COUNTIF(G$5:G2764,"Y")/COUNTA(G$5:G2764)</f>
        <v>0.88369565217391299</v>
      </c>
      <c r="J2764" s="16">
        <f>COUNTIF(H$5:H2764,"Y")/COUNTA(H$5:H2764)</f>
        <v>4.8550724637681161E-2</v>
      </c>
      <c r="K2764" s="16">
        <f>AVERAGE(F$5:F2764)</f>
        <v>2.2106159420289844</v>
      </c>
      <c r="L2764" s="16">
        <f>SUM(F$5:F2764)/SUM(E$5:E2764)</f>
        <v>0.76301539462000989</v>
      </c>
    </row>
    <row r="2765" spans="1:12" x14ac:dyDescent="0.25">
      <c r="A2765" s="29">
        <v>46077</v>
      </c>
      <c r="B2765" s="16" t="s">
        <v>2811</v>
      </c>
      <c r="C2765" s="34">
        <v>1</v>
      </c>
      <c r="D2765" s="16" t="s">
        <v>64</v>
      </c>
      <c r="E2765" s="35">
        <v>2.8</v>
      </c>
      <c r="F2765" s="35">
        <v>2.2000000000000002</v>
      </c>
      <c r="G2765" s="16" t="s">
        <v>44</v>
      </c>
      <c r="H2765" s="16" t="s">
        <v>45</v>
      </c>
      <c r="I2765" s="16">
        <f>COUNTIF(G$5:G2765,"Y")/COUNTA(G$5:G2765)</f>
        <v>0.88373777616805504</v>
      </c>
      <c r="J2765" s="16">
        <f>COUNTIF(H$5:H2765,"Y")/COUNTA(H$5:H2765)</f>
        <v>4.8533140166606301E-2</v>
      </c>
      <c r="K2765" s="16">
        <f>AVERAGE(F$5:F2765)</f>
        <v>2.2106120970662793</v>
      </c>
      <c r="L2765" s="16">
        <f>SUM(F$5:F2765)/SUM(E$5:E2765)</f>
        <v>0.76302334012576234</v>
      </c>
    </row>
    <row r="2766" spans="1:12" x14ac:dyDescent="0.25">
      <c r="A2766" s="29">
        <v>46078</v>
      </c>
      <c r="B2766" s="16" t="s">
        <v>2812</v>
      </c>
      <c r="C2766" s="34">
        <v>1</v>
      </c>
      <c r="D2766" s="16" t="s">
        <v>52</v>
      </c>
      <c r="E2766" s="35">
        <v>3.7</v>
      </c>
      <c r="F2766" s="35">
        <v>2.8</v>
      </c>
      <c r="G2766" s="16" t="s">
        <v>44</v>
      </c>
      <c r="H2766" s="16" t="s">
        <v>45</v>
      </c>
      <c r="I2766" s="16">
        <f>COUNTIF(G$5:G2766,"Y")/COUNTA(G$5:G2766)</f>
        <v>0.88377986965966693</v>
      </c>
      <c r="J2766" s="16">
        <f>COUNTIF(H$5:H2766,"Y")/COUNTA(H$5:H2766)</f>
        <v>4.8515568428674875E-2</v>
      </c>
      <c r="K2766" s="16">
        <f>AVERAGE(F$5:F2766)</f>
        <v>2.2108254887762482</v>
      </c>
      <c r="L2766" s="16">
        <f>SUM(F$5:F2766)/SUM(E$5:E2766)</f>
        <v>0.76302044284500248</v>
      </c>
    </row>
    <row r="2767" spans="1:12" x14ac:dyDescent="0.25">
      <c r="A2767" s="29">
        <v>46079</v>
      </c>
      <c r="B2767" s="16" t="s">
        <v>2813</v>
      </c>
      <c r="C2767" s="34">
        <v>1</v>
      </c>
      <c r="D2767" s="16" t="s">
        <v>47</v>
      </c>
      <c r="E2767" s="35">
        <v>2.2999999999999998</v>
      </c>
      <c r="F2767" s="35">
        <v>1.8</v>
      </c>
      <c r="G2767" s="16" t="s">
        <v>44</v>
      </c>
      <c r="H2767" s="16" t="s">
        <v>45</v>
      </c>
      <c r="I2767" s="16">
        <f>COUNTIF(G$5:G2767,"Y")/COUNTA(G$5:G2767)</f>
        <v>0.88382193268186748</v>
      </c>
      <c r="J2767" s="16">
        <f>COUNTIF(H$5:H2767,"Y")/COUNTA(H$5:H2767)</f>
        <v>4.8498009410061528E-2</v>
      </c>
      <c r="K2767" s="16">
        <f>AVERAGE(F$5:F2767)</f>
        <v>2.2106768005790798</v>
      </c>
      <c r="L2767" s="16">
        <f>SUM(F$5:F2767)/SUM(E$5:E2767)</f>
        <v>0.76302607087981233</v>
      </c>
    </row>
    <row r="2768" spans="1:12" x14ac:dyDescent="0.25">
      <c r="A2768" s="29">
        <v>46080</v>
      </c>
      <c r="B2768" s="16" t="s">
        <v>2814</v>
      </c>
      <c r="C2768" s="34">
        <v>1</v>
      </c>
      <c r="D2768" s="16" t="s">
        <v>50</v>
      </c>
      <c r="E2768" s="35">
        <v>3.8</v>
      </c>
      <c r="F2768" s="35">
        <v>3.3</v>
      </c>
      <c r="G2768" s="16" t="s">
        <v>44</v>
      </c>
      <c r="H2768" s="16" t="s">
        <v>45</v>
      </c>
      <c r="I2768" s="16">
        <f>COUNTIF(G$5:G2768,"Y")/COUNTA(G$5:G2768)</f>
        <v>0.88386396526772792</v>
      </c>
      <c r="J2768" s="16">
        <f>COUNTIF(H$5:H2768,"Y")/COUNTA(H$5:H2768)</f>
        <v>4.8480463096960927E-2</v>
      </c>
      <c r="K2768" s="16">
        <f>AVERAGE(F$5:F2768)</f>
        <v>2.2110709117221412</v>
      </c>
      <c r="L2768" s="16">
        <f>SUM(F$5:F2768)/SUM(E$5:E2768)</f>
        <v>0.76307607786337517</v>
      </c>
    </row>
    <row r="2769" spans="1:12" x14ac:dyDescent="0.25">
      <c r="A2769" s="29">
        <v>46076</v>
      </c>
      <c r="B2769" s="16" t="s">
        <v>2815</v>
      </c>
      <c r="C2769" s="34">
        <v>1</v>
      </c>
      <c r="D2769" s="16" t="s">
        <v>60</v>
      </c>
      <c r="E2769" s="35">
        <v>4.9000000000000004</v>
      </c>
      <c r="F2769" s="35">
        <v>3.7</v>
      </c>
      <c r="G2769" s="16" t="s">
        <v>44</v>
      </c>
      <c r="H2769" s="16" t="s">
        <v>45</v>
      </c>
      <c r="I2769" s="16">
        <f>COUNTIF(G$5:G2769,"Y")/COUNTA(G$5:G2769)</f>
        <v>0.88390596745027128</v>
      </c>
      <c r="J2769" s="16">
        <f>COUNTIF(H$5:H2769,"Y")/COUNTA(H$5:H2769)</f>
        <v>4.8462929475587703E-2</v>
      </c>
      <c r="K2769" s="16">
        <f>AVERAGE(F$5:F2769)</f>
        <v>2.2116094032549722</v>
      </c>
      <c r="L2769" s="16">
        <f>SUM(F$5:F2769)/SUM(E$5:E2769)</f>
        <v>0.76307120217624425</v>
      </c>
    </row>
    <row r="2770" spans="1:12" x14ac:dyDescent="0.25">
      <c r="A2770" s="29">
        <v>46077</v>
      </c>
      <c r="B2770" s="16" t="s">
        <v>2816</v>
      </c>
      <c r="C2770" s="34">
        <v>1</v>
      </c>
      <c r="D2770" s="16" t="s">
        <v>43</v>
      </c>
      <c r="E2770" s="35">
        <v>2.1</v>
      </c>
      <c r="F2770" s="35">
        <v>1.5</v>
      </c>
      <c r="G2770" s="16" t="s">
        <v>44</v>
      </c>
      <c r="H2770" s="16" t="s">
        <v>45</v>
      </c>
      <c r="I2770" s="16">
        <f>COUNTIF(G$5:G2770,"Y")/COUNTA(G$5:G2770)</f>
        <v>0.88394793926247284</v>
      </c>
      <c r="J2770" s="16">
        <f>COUNTIF(H$5:H2770,"Y")/COUNTA(H$5:H2770)</f>
        <v>4.844540853217643E-2</v>
      </c>
      <c r="K2770" s="16">
        <f>AVERAGE(F$5:F2770)</f>
        <v>2.2113521330441062</v>
      </c>
      <c r="L2770" s="16">
        <f>SUM(F$5:F2770)/SUM(E$5:E2770)</f>
        <v>0.76305842138749058</v>
      </c>
    </row>
    <row r="2771" spans="1:12" x14ac:dyDescent="0.25">
      <c r="A2771" s="29">
        <v>46078</v>
      </c>
      <c r="B2771" s="16" t="s">
        <v>2817</v>
      </c>
      <c r="C2771" s="34">
        <v>1</v>
      </c>
      <c r="D2771" s="16" t="s">
        <v>56</v>
      </c>
      <c r="E2771" s="35">
        <v>4.4000000000000004</v>
      </c>
      <c r="F2771" s="35">
        <v>3.3</v>
      </c>
      <c r="G2771" s="16" t="s">
        <v>45</v>
      </c>
      <c r="H2771" s="16" t="s">
        <v>45</v>
      </c>
      <c r="I2771" s="16">
        <f>COUNTIF(G$5:G2771,"Y")/COUNTA(G$5:G2771)</f>
        <v>0.88362847849656667</v>
      </c>
      <c r="J2771" s="16">
        <f>COUNTIF(H$5:H2771,"Y")/COUNTA(H$5:H2771)</f>
        <v>4.8427900252981569E-2</v>
      </c>
      <c r="K2771" s="16">
        <f>AVERAGE(F$5:F2771)</f>
        <v>2.2117455728225508</v>
      </c>
      <c r="L2771" s="16">
        <f>SUM(F$5:F2771)/SUM(E$5:E2771)</f>
        <v>0.76305125743425883</v>
      </c>
    </row>
    <row r="2772" spans="1:12" x14ac:dyDescent="0.25">
      <c r="A2772" s="29">
        <v>46079</v>
      </c>
      <c r="B2772" s="16" t="s">
        <v>2818</v>
      </c>
      <c r="C2772" s="34">
        <v>1</v>
      </c>
      <c r="D2772" s="16" t="s">
        <v>52</v>
      </c>
      <c r="E2772" s="35">
        <v>1.8</v>
      </c>
      <c r="F2772" s="35">
        <v>1.3</v>
      </c>
      <c r="G2772" s="16" t="s">
        <v>44</v>
      </c>
      <c r="H2772" s="16" t="s">
        <v>45</v>
      </c>
      <c r="I2772" s="16">
        <f>COUNTIF(G$5:G2772,"Y")/COUNTA(G$5:G2772)</f>
        <v>0.88367052023121384</v>
      </c>
      <c r="J2772" s="16">
        <f>COUNTIF(H$5:H2772,"Y")/COUNTA(H$5:H2772)</f>
        <v>4.8410404624277453E-2</v>
      </c>
      <c r="K2772" s="16">
        <f>AVERAGE(F$5:F2772)</f>
        <v>2.2114161849710974</v>
      </c>
      <c r="L2772" s="16">
        <f>SUM(F$5:F2772)/SUM(E$5:E2772)</f>
        <v>0.76304209620922026</v>
      </c>
    </row>
    <row r="2773" spans="1:12" x14ac:dyDescent="0.25">
      <c r="A2773" s="29">
        <v>46080</v>
      </c>
      <c r="B2773" s="16" t="s">
        <v>2819</v>
      </c>
      <c r="C2773" s="34">
        <v>1</v>
      </c>
      <c r="D2773" s="16" t="s">
        <v>43</v>
      </c>
      <c r="E2773" s="35">
        <v>1.9</v>
      </c>
      <c r="F2773" s="35">
        <v>1.3</v>
      </c>
      <c r="G2773" s="16" t="s">
        <v>44</v>
      </c>
      <c r="H2773" s="16" t="s">
        <v>45</v>
      </c>
      <c r="I2773" s="16">
        <f>COUNTIF(G$5:G2773,"Y")/COUNTA(G$5:G2773)</f>
        <v>0.88371253159985552</v>
      </c>
      <c r="J2773" s="16">
        <f>COUNTIF(H$5:H2773,"Y")/COUNTA(H$5:H2773)</f>
        <v>4.8392921632358255E-2</v>
      </c>
      <c r="K2773" s="16">
        <f>AVERAGE(F$5:F2773)</f>
        <v>2.2110870350306961</v>
      </c>
      <c r="L2773" s="16">
        <f>SUM(F$5:F2773)/SUM(E$5:E2773)</f>
        <v>0.76302342971086567</v>
      </c>
    </row>
    <row r="2774" spans="1:12" x14ac:dyDescent="0.25">
      <c r="A2774" s="29">
        <v>46076</v>
      </c>
      <c r="B2774" s="16" t="s">
        <v>2820</v>
      </c>
      <c r="C2774" s="34">
        <v>1</v>
      </c>
      <c r="D2774" s="16" t="s">
        <v>50</v>
      </c>
      <c r="E2774" s="35">
        <v>3.7</v>
      </c>
      <c r="F2774" s="35">
        <v>3.2</v>
      </c>
      <c r="G2774" s="16" t="s">
        <v>44</v>
      </c>
      <c r="H2774" s="16" t="s">
        <v>45</v>
      </c>
      <c r="I2774" s="16">
        <f>COUNTIF(G$5:G2774,"Y")/COUNTA(G$5:G2774)</f>
        <v>0.88375451263537907</v>
      </c>
      <c r="J2774" s="16">
        <f>COUNTIF(H$5:H2774,"Y")/COUNTA(H$5:H2774)</f>
        <v>4.8375451263537907E-2</v>
      </c>
      <c r="K2774" s="16">
        <f>AVERAGE(F$5:F2774)</f>
        <v>2.2114440433212987</v>
      </c>
      <c r="L2774" s="16">
        <f>SUM(F$5:F2774)/SUM(E$5:E2774)</f>
        <v>0.76307036884786261</v>
      </c>
    </row>
    <row r="2775" spans="1:12" x14ac:dyDescent="0.25">
      <c r="A2775" s="29">
        <v>46077</v>
      </c>
      <c r="B2775" s="16" t="s">
        <v>2821</v>
      </c>
      <c r="C2775" s="34">
        <v>1</v>
      </c>
      <c r="D2775" s="16" t="s">
        <v>64</v>
      </c>
      <c r="E2775" s="35">
        <v>2.6</v>
      </c>
      <c r="F2775" s="35">
        <v>1.9</v>
      </c>
      <c r="G2775" s="16" t="s">
        <v>44</v>
      </c>
      <c r="H2775" s="16" t="s">
        <v>45</v>
      </c>
      <c r="I2775" s="16">
        <f>COUNTIF(G$5:G2775,"Y")/COUNTA(G$5:G2775)</f>
        <v>0.88379646337062434</v>
      </c>
      <c r="J2775" s="16">
        <f>COUNTIF(H$5:H2775,"Y")/COUNTA(H$5:H2775)</f>
        <v>4.8357993504150126E-2</v>
      </c>
      <c r="K2775" s="16">
        <f>AVERAGE(F$5:F2775)</f>
        <v>2.211331649224106</v>
      </c>
      <c r="L2775" s="16">
        <f>SUM(F$5:F2775)/SUM(E$5:E2775)</f>
        <v>0.76305991058864375</v>
      </c>
    </row>
    <row r="2776" spans="1:12" x14ac:dyDescent="0.25">
      <c r="A2776" s="29">
        <v>46078</v>
      </c>
      <c r="B2776" s="16" t="s">
        <v>2822</v>
      </c>
      <c r="C2776" s="34">
        <v>1</v>
      </c>
      <c r="D2776" s="16" t="s">
        <v>64</v>
      </c>
      <c r="E2776" s="35">
        <v>2.8</v>
      </c>
      <c r="F2776" s="35">
        <v>2.1</v>
      </c>
      <c r="G2776" s="16" t="s">
        <v>44</v>
      </c>
      <c r="H2776" s="16" t="s">
        <v>45</v>
      </c>
      <c r="I2776" s="16">
        <f>COUNTIF(G$5:G2776,"Y")/COUNTA(G$5:G2776)</f>
        <v>0.88383838383838387</v>
      </c>
      <c r="J2776" s="16">
        <f>COUNTIF(H$5:H2776,"Y")/COUNTA(H$5:H2776)</f>
        <v>4.8340548340548344E-2</v>
      </c>
      <c r="K2776" s="16">
        <f>AVERAGE(F$5:F2776)</f>
        <v>2.2112914862914854</v>
      </c>
      <c r="L2776" s="16">
        <f>SUM(F$5:F2776)/SUM(E$5:E2776)</f>
        <v>0.76305535845439321</v>
      </c>
    </row>
    <row r="2777" spans="1:12" x14ac:dyDescent="0.25">
      <c r="A2777" s="29">
        <v>46079</v>
      </c>
      <c r="B2777" s="16" t="s">
        <v>2823</v>
      </c>
      <c r="C2777" s="34">
        <v>1</v>
      </c>
      <c r="D2777" s="16" t="s">
        <v>52</v>
      </c>
      <c r="E2777" s="35">
        <v>3.7</v>
      </c>
      <c r="F2777" s="35">
        <v>2.4</v>
      </c>
      <c r="G2777" s="16" t="s">
        <v>44</v>
      </c>
      <c r="H2777" s="16" t="s">
        <v>45</v>
      </c>
      <c r="I2777" s="16">
        <f>COUNTIF(G$5:G2777,"Y")/COUNTA(G$5:G2777)</f>
        <v>0.88388027407140279</v>
      </c>
      <c r="J2777" s="16">
        <f>COUNTIF(H$5:H2777,"Y")/COUNTA(H$5:H2777)</f>
        <v>4.832311575910566E-2</v>
      </c>
      <c r="K2777" s="16">
        <f>AVERAGE(F$5:F2777)</f>
        <v>2.2113595384060574</v>
      </c>
      <c r="L2777" s="16">
        <f>SUM(F$5:F2777)/SUM(E$5:E2777)</f>
        <v>0.76300268763686863</v>
      </c>
    </row>
    <row r="2778" spans="1:12" x14ac:dyDescent="0.25">
      <c r="A2778" s="29">
        <v>46080</v>
      </c>
      <c r="B2778" s="16" t="s">
        <v>2824</v>
      </c>
      <c r="C2778" s="34">
        <v>1</v>
      </c>
      <c r="D2778" s="16" t="s">
        <v>56</v>
      </c>
      <c r="E2778" s="35">
        <v>1</v>
      </c>
      <c r="F2778" s="35">
        <v>0.7</v>
      </c>
      <c r="G2778" s="16" t="s">
        <v>44</v>
      </c>
      <c r="H2778" s="16" t="s">
        <v>45</v>
      </c>
      <c r="I2778" s="16">
        <f>COUNTIF(G$5:G2778,"Y")/COUNTA(G$5:G2778)</f>
        <v>0.88392213410237919</v>
      </c>
      <c r="J2778" s="16">
        <f>COUNTIF(H$5:H2778,"Y")/COUNTA(H$5:H2778)</f>
        <v>4.830569574621485E-2</v>
      </c>
      <c r="K2778" s="16">
        <f>AVERAGE(F$5:F2778)</f>
        <v>2.210814708002883</v>
      </c>
      <c r="L2778" s="16">
        <f>SUM(F$5:F2778)/SUM(E$5:E2778)</f>
        <v>0.76299484933688144</v>
      </c>
    </row>
    <row r="2779" spans="1:12" x14ac:dyDescent="0.25">
      <c r="A2779" s="29">
        <v>46076</v>
      </c>
      <c r="B2779" s="16" t="s">
        <v>2825</v>
      </c>
      <c r="C2779" s="34">
        <v>1</v>
      </c>
      <c r="D2779" s="16" t="s">
        <v>50</v>
      </c>
      <c r="E2779" s="35">
        <v>0.6</v>
      </c>
      <c r="F2779" s="35">
        <v>0.5</v>
      </c>
      <c r="G2779" s="16" t="s">
        <v>44</v>
      </c>
      <c r="H2779" s="16" t="s">
        <v>45</v>
      </c>
      <c r="I2779" s="16">
        <f>COUNTIF(G$5:G2779,"Y")/COUNTA(G$5:G2779)</f>
        <v>0.88396396396396393</v>
      </c>
      <c r="J2779" s="16">
        <f>COUNTIF(H$5:H2779,"Y")/COUNTA(H$5:H2779)</f>
        <v>4.8288288288288288E-2</v>
      </c>
      <c r="K2779" s="16">
        <f>AVERAGE(F$5:F2779)</f>
        <v>2.2101981981981971</v>
      </c>
      <c r="L2779" s="16">
        <f>SUM(F$5:F2779)/SUM(E$5:E2779)</f>
        <v>0.7630000995222912</v>
      </c>
    </row>
    <row r="2780" spans="1:12" x14ac:dyDescent="0.25">
      <c r="A2780" s="29">
        <v>46077</v>
      </c>
      <c r="B2780" s="16" t="s">
        <v>2826</v>
      </c>
      <c r="C2780" s="34">
        <v>1</v>
      </c>
      <c r="D2780" s="16" t="s">
        <v>60</v>
      </c>
      <c r="E2780" s="35">
        <v>0.7</v>
      </c>
      <c r="F2780" s="35">
        <v>0.5</v>
      </c>
      <c r="G2780" s="16" t="s">
        <v>44</v>
      </c>
      <c r="H2780" s="16" t="s">
        <v>45</v>
      </c>
      <c r="I2780" s="16">
        <f>COUNTIF(G$5:G2780,"Y")/COUNTA(G$5:G2780)</f>
        <v>0.88400576368876083</v>
      </c>
      <c r="J2780" s="16">
        <f>COUNTIF(H$5:H2780,"Y")/COUNTA(H$5:H2780)</f>
        <v>4.8270893371757925E-2</v>
      </c>
      <c r="K2780" s="16">
        <f>AVERAGE(F$5:F2780)</f>
        <v>2.2095821325648406</v>
      </c>
      <c r="L2780" s="16">
        <f>SUM(F$5:F2780)/SUM(E$5:E2780)</f>
        <v>0.76299585774526812</v>
      </c>
    </row>
    <row r="2781" spans="1:12" x14ac:dyDescent="0.25">
      <c r="A2781" s="29">
        <v>46078</v>
      </c>
      <c r="B2781" s="16" t="s">
        <v>2827</v>
      </c>
      <c r="C2781" s="34">
        <v>1</v>
      </c>
      <c r="D2781" s="16" t="s">
        <v>64</v>
      </c>
      <c r="E2781" s="35">
        <v>0.7</v>
      </c>
      <c r="F2781" s="35">
        <v>0.5</v>
      </c>
      <c r="G2781" s="16" t="s">
        <v>44</v>
      </c>
      <c r="H2781" s="16" t="s">
        <v>45</v>
      </c>
      <c r="I2781" s="16">
        <f>COUNTIF(G$5:G2781,"Y")/COUNTA(G$5:G2781)</f>
        <v>0.88404753330932662</v>
      </c>
      <c r="J2781" s="16">
        <f>COUNTIF(H$5:H2781,"Y")/COUNTA(H$5:H2781)</f>
        <v>4.825351098307526E-2</v>
      </c>
      <c r="K2781" s="16">
        <f>AVERAGE(F$5:F2781)</f>
        <v>2.2089665106229734</v>
      </c>
      <c r="L2781" s="16">
        <f>SUM(F$5:F2781)/SUM(E$5:E2781)</f>
        <v>0.76299161670688143</v>
      </c>
    </row>
    <row r="2782" spans="1:12" x14ac:dyDescent="0.25">
      <c r="A2782" s="29">
        <v>46079</v>
      </c>
      <c r="B2782" s="16" t="s">
        <v>2828</v>
      </c>
      <c r="C2782" s="34">
        <v>1</v>
      </c>
      <c r="D2782" s="16" t="s">
        <v>47</v>
      </c>
      <c r="E2782" s="35">
        <v>0.7</v>
      </c>
      <c r="F2782" s="35">
        <v>0.5</v>
      </c>
      <c r="G2782" s="16" t="s">
        <v>44</v>
      </c>
      <c r="H2782" s="16" t="s">
        <v>45</v>
      </c>
      <c r="I2782" s="16">
        <f>COUNTIF(G$5:G2782,"Y")/COUNTA(G$5:G2782)</f>
        <v>0.88408927285817129</v>
      </c>
      <c r="J2782" s="16">
        <f>COUNTIF(H$5:H2782,"Y")/COUNTA(H$5:H2782)</f>
        <v>4.82361411087113E-2</v>
      </c>
      <c r="K2782" s="16">
        <f>AVERAGE(F$5:F2782)</f>
        <v>2.2083513318934478</v>
      </c>
      <c r="L2782" s="16">
        <f>SUM(F$5:F2782)/SUM(E$5:E2782)</f>
        <v>0.76298737640693803</v>
      </c>
    </row>
    <row r="2783" spans="1:12" x14ac:dyDescent="0.25">
      <c r="A2783" s="29">
        <v>46080</v>
      </c>
      <c r="B2783" s="16" t="s">
        <v>2829</v>
      </c>
      <c r="C2783" s="34">
        <v>1</v>
      </c>
      <c r="D2783" s="16" t="s">
        <v>60</v>
      </c>
      <c r="E2783" s="35">
        <v>0.7</v>
      </c>
      <c r="F2783" s="35">
        <v>0.5</v>
      </c>
      <c r="G2783" s="16" t="s">
        <v>44</v>
      </c>
      <c r="H2783" s="16" t="s">
        <v>45</v>
      </c>
      <c r="I2783" s="16">
        <f>COUNTIF(G$5:G2783,"Y")/COUNTA(G$5:G2783)</f>
        <v>0.88413098236775822</v>
      </c>
      <c r="J2783" s="16">
        <f>COUNTIF(H$5:H2783,"Y")/COUNTA(H$5:H2783)</f>
        <v>4.8218783735156534E-2</v>
      </c>
      <c r="K2783" s="16">
        <f>AVERAGE(F$5:F2783)</f>
        <v>2.2077365958978041</v>
      </c>
      <c r="L2783" s="16">
        <f>SUM(F$5:F2783)/SUM(E$5:E2783)</f>
        <v>0.76298313684524521</v>
      </c>
    </row>
    <row r="2784" spans="1:12" x14ac:dyDescent="0.25">
      <c r="A2784" s="29">
        <v>46076</v>
      </c>
      <c r="B2784" s="16" t="s">
        <v>2830</v>
      </c>
      <c r="C2784" s="34">
        <v>1</v>
      </c>
      <c r="D2784" s="16" t="s">
        <v>43</v>
      </c>
      <c r="E2784" s="35">
        <v>0.6</v>
      </c>
      <c r="F2784" s="35">
        <v>0.5</v>
      </c>
      <c r="G2784" s="16" t="s">
        <v>44</v>
      </c>
      <c r="H2784" s="16" t="s">
        <v>45</v>
      </c>
      <c r="I2784" s="16">
        <f>COUNTIF(G$5:G2784,"Y")/COUNTA(G$5:G2784)</f>
        <v>0.88417266187050358</v>
      </c>
      <c r="J2784" s="16">
        <f>COUNTIF(H$5:H2784,"Y")/COUNTA(H$5:H2784)</f>
        <v>4.8201438848920863E-2</v>
      </c>
      <c r="K2784" s="16">
        <f>AVERAGE(F$5:F2784)</f>
        <v>2.2071223021582727</v>
      </c>
      <c r="L2784" s="16">
        <f>SUM(F$5:F2784)/SUM(E$5:E2784)</f>
        <v>0.7629883856847951</v>
      </c>
    </row>
    <row r="2785" spans="1:13" x14ac:dyDescent="0.25">
      <c r="A2785" s="29">
        <v>46077</v>
      </c>
      <c r="B2785" s="16" t="s">
        <v>2831</v>
      </c>
      <c r="C2785" s="34">
        <v>1</v>
      </c>
      <c r="D2785" s="16" t="s">
        <v>56</v>
      </c>
      <c r="E2785" s="35">
        <v>0.5</v>
      </c>
      <c r="F2785" s="35">
        <v>0.5</v>
      </c>
      <c r="G2785" s="16" t="s">
        <v>44</v>
      </c>
      <c r="H2785" s="16" t="s">
        <v>45</v>
      </c>
      <c r="I2785" s="16">
        <f>COUNTIF(G$5:G2785,"Y")/COUNTA(G$5:G2785)</f>
        <v>0.88421431139877738</v>
      </c>
      <c r="J2785" s="16">
        <f>COUNTIF(H$5:H2785,"Y")/COUNTA(H$5:H2785)</f>
        <v>4.8184106436533619E-2</v>
      </c>
      <c r="K2785" s="16">
        <f>AVERAGE(F$5:F2785)</f>
        <v>2.2065084501977696</v>
      </c>
      <c r="L2785" s="16">
        <f>SUM(F$5:F2785)/SUM(E$5:E2785)</f>
        <v>0.76300312099772272</v>
      </c>
      <c r="M2785" s="16">
        <v>10</v>
      </c>
    </row>
    <row r="2786" spans="1:13" x14ac:dyDescent="0.25">
      <c r="A2786" s="29">
        <v>46083</v>
      </c>
      <c r="B2786" s="16" t="s">
        <v>2832</v>
      </c>
      <c r="C2786" s="34">
        <v>1</v>
      </c>
      <c r="D2786" s="16" t="s">
        <v>64</v>
      </c>
      <c r="E2786" s="35">
        <v>3.6</v>
      </c>
      <c r="F2786" s="35">
        <v>2.9</v>
      </c>
      <c r="G2786" s="16" t="s">
        <v>44</v>
      </c>
      <c r="H2786" s="16" t="s">
        <v>45</v>
      </c>
      <c r="I2786" s="16">
        <f>COUNTIF(G$5:G2786,"Y")/COUNTA(G$5:G2786)</f>
        <v>0.88425593098490296</v>
      </c>
      <c r="J2786" s="16">
        <f>COUNTIF(H$5:H2786,"Y")/COUNTA(H$5:H2786)</f>
        <v>4.8166786484543492E-2</v>
      </c>
      <c r="K2786" s="16">
        <f>AVERAGE(F$5:F2786)</f>
        <v>2.2067577282530544</v>
      </c>
      <c r="L2786" s="16">
        <f>SUM(F$5:F2786)/SUM(E$5:E2786)</f>
        <v>0.76302216035496151</v>
      </c>
    </row>
    <row r="2787" spans="1:13" x14ac:dyDescent="0.25">
      <c r="A2787" s="29">
        <v>46084</v>
      </c>
      <c r="B2787" s="16" t="s">
        <v>2833</v>
      </c>
      <c r="C2787" s="34">
        <v>1</v>
      </c>
      <c r="D2787" s="16" t="s">
        <v>52</v>
      </c>
      <c r="E2787" s="35">
        <v>2.5</v>
      </c>
      <c r="F2787" s="35">
        <v>2.2000000000000002</v>
      </c>
      <c r="G2787" s="16" t="s">
        <v>45</v>
      </c>
      <c r="H2787" s="16" t="s">
        <v>45</v>
      </c>
      <c r="I2787" s="16">
        <f>COUNTIF(G$5:G2787,"Y")/COUNTA(G$5:G2787)</f>
        <v>0.88393819619116065</v>
      </c>
      <c r="J2787" s="16">
        <f>COUNTIF(H$5:H2787,"Y")/COUNTA(H$5:H2787)</f>
        <v>4.8149478979518504E-2</v>
      </c>
      <c r="K2787" s="16">
        <f>AVERAGE(F$5:F2787)</f>
        <v>2.2067553000359315</v>
      </c>
      <c r="L2787" s="16">
        <f>SUM(F$5:F2787)/SUM(E$5:E2787)</f>
        <v>0.76305849609860155</v>
      </c>
    </row>
    <row r="2788" spans="1:13" x14ac:dyDescent="0.25">
      <c r="A2788" s="29">
        <v>46085</v>
      </c>
      <c r="B2788" s="16" t="s">
        <v>2834</v>
      </c>
      <c r="C2788" s="34">
        <v>1</v>
      </c>
      <c r="D2788" s="16" t="s">
        <v>60</v>
      </c>
      <c r="E2788" s="35">
        <v>2.6</v>
      </c>
      <c r="F2788" s="35">
        <v>2.2000000000000002</v>
      </c>
      <c r="G2788" s="16" t="s">
        <v>44</v>
      </c>
      <c r="H2788" s="16" t="s">
        <v>45</v>
      </c>
      <c r="I2788" s="16">
        <f>COUNTIF(G$5:G2788,"Y")/COUNTA(G$5:G2788)</f>
        <v>0.88397988505747127</v>
      </c>
      <c r="J2788" s="16">
        <f>COUNTIF(H$5:H2788,"Y")/COUNTA(H$5:H2788)</f>
        <v>4.8132183908045974E-2</v>
      </c>
      <c r="K2788" s="16">
        <f>AVERAGE(F$5:F2788)</f>
        <v>2.2067528735632171</v>
      </c>
      <c r="L2788" s="16">
        <f>SUM(F$5:F2788)/SUM(E$5:E2788)</f>
        <v>0.76308533101477882</v>
      </c>
    </row>
    <row r="2789" spans="1:13" x14ac:dyDescent="0.25">
      <c r="A2789" s="29">
        <v>46086</v>
      </c>
      <c r="B2789" s="16" t="s">
        <v>2835</v>
      </c>
      <c r="C2789" s="34">
        <v>1</v>
      </c>
      <c r="D2789" s="16" t="s">
        <v>64</v>
      </c>
      <c r="E2789" s="35">
        <v>2.5</v>
      </c>
      <c r="F2789" s="35">
        <v>1.8</v>
      </c>
      <c r="G2789" s="16" t="s">
        <v>44</v>
      </c>
      <c r="H2789" s="16" t="s">
        <v>45</v>
      </c>
      <c r="I2789" s="16">
        <f>COUNTIF(G$5:G2789,"Y")/COUNTA(G$5:G2789)</f>
        <v>0.88402154398563737</v>
      </c>
      <c r="J2789" s="16">
        <f>COUNTIF(H$5:H2789,"Y")/COUNTA(H$5:H2789)</f>
        <v>4.8114901256732498E-2</v>
      </c>
      <c r="K2789" s="16">
        <f>AVERAGE(F$5:F2789)</f>
        <v>2.2066068222621174</v>
      </c>
      <c r="L2789" s="16">
        <f>SUM(F$5:F2789)/SUM(E$5:E2789)</f>
        <v>0.7630719562922933</v>
      </c>
    </row>
    <row r="2790" spans="1:13" x14ac:dyDescent="0.25">
      <c r="A2790" s="29">
        <v>46087</v>
      </c>
      <c r="B2790" s="16" t="s">
        <v>2836</v>
      </c>
      <c r="C2790" s="34">
        <v>1</v>
      </c>
      <c r="D2790" s="16" t="s">
        <v>60</v>
      </c>
      <c r="E2790" s="35">
        <v>4.7</v>
      </c>
      <c r="F2790" s="35">
        <v>3.7</v>
      </c>
      <c r="G2790" s="16" t="s">
        <v>44</v>
      </c>
      <c r="H2790" s="16" t="s">
        <v>45</v>
      </c>
      <c r="I2790" s="16">
        <f>COUNTIF(G$5:G2790,"Y")/COUNTA(G$5:G2790)</f>
        <v>0.88406317300789661</v>
      </c>
      <c r="J2790" s="16">
        <f>COUNTIF(H$5:H2790,"Y")/COUNTA(H$5:H2790)</f>
        <v>4.8097631012203879E-2</v>
      </c>
      <c r="K2790" s="16">
        <f>AVERAGE(F$5:F2790)</f>
        <v>2.207142857142856</v>
      </c>
      <c r="L2790" s="16">
        <f>SUM(F$5:F2790)/SUM(E$5:E2790)</f>
        <v>0.7630860489935698</v>
      </c>
    </row>
    <row r="2791" spans="1:13" x14ac:dyDescent="0.25">
      <c r="A2791" s="29">
        <v>46083</v>
      </c>
      <c r="B2791" s="16" t="s">
        <v>2837</v>
      </c>
      <c r="C2791" s="34">
        <v>1</v>
      </c>
      <c r="D2791" s="16" t="s">
        <v>64</v>
      </c>
      <c r="E2791" s="35">
        <v>1.9</v>
      </c>
      <c r="F2791" s="35">
        <v>1.7</v>
      </c>
      <c r="G2791" s="16" t="s">
        <v>45</v>
      </c>
      <c r="H2791" s="16" t="s">
        <v>45</v>
      </c>
      <c r="I2791" s="16">
        <f>COUNTIF(G$5:G2791,"Y")/COUNTA(G$5:G2791)</f>
        <v>0.88374596340150702</v>
      </c>
      <c r="J2791" s="16">
        <f>COUNTIF(H$5:H2791,"Y")/COUNTA(H$5:H2791)</f>
        <v>4.8080373161105132E-2</v>
      </c>
      <c r="K2791" s="16">
        <f>AVERAGE(F$5:F2791)</f>
        <v>2.2069608898457109</v>
      </c>
      <c r="L2791" s="16">
        <f>SUM(F$5:F2791)/SUM(E$5:E2791)</f>
        <v>0.76311708291460212</v>
      </c>
    </row>
    <row r="2792" spans="1:13" x14ac:dyDescent="0.25">
      <c r="A2792" s="29">
        <v>46084</v>
      </c>
      <c r="B2792" s="16" t="s">
        <v>2838</v>
      </c>
      <c r="C2792" s="34">
        <v>1</v>
      </c>
      <c r="D2792" s="16" t="s">
        <v>47</v>
      </c>
      <c r="E2792" s="35">
        <v>2.2000000000000002</v>
      </c>
      <c r="F2792" s="35">
        <v>1.9</v>
      </c>
      <c r="G2792" s="16" t="s">
        <v>44</v>
      </c>
      <c r="H2792" s="16" t="s">
        <v>45</v>
      </c>
      <c r="I2792" s="16">
        <f>COUNTIF(G$5:G2792,"Y")/COUNTA(G$5:G2792)</f>
        <v>0.88378766140602583</v>
      </c>
      <c r="J2792" s="16">
        <f>COUNTIF(H$5:H2792,"Y")/COUNTA(H$5:H2792)</f>
        <v>4.8063127690100432E-2</v>
      </c>
      <c r="K2792" s="16">
        <f>AVERAGE(F$5:F2792)</f>
        <v>2.2068507890961251</v>
      </c>
      <c r="L2792" s="16">
        <f>SUM(F$5:F2792)/SUM(E$5:E2792)</f>
        <v>0.76314451211192635</v>
      </c>
    </row>
    <row r="2793" spans="1:13" x14ac:dyDescent="0.25">
      <c r="A2793" s="29">
        <v>46085</v>
      </c>
      <c r="B2793" s="16" t="s">
        <v>2839</v>
      </c>
      <c r="C2793" s="34">
        <v>1</v>
      </c>
      <c r="D2793" s="16" t="s">
        <v>43</v>
      </c>
      <c r="E2793" s="35">
        <v>2.5</v>
      </c>
      <c r="F2793" s="35">
        <v>1.8</v>
      </c>
      <c r="G2793" s="16" t="s">
        <v>44</v>
      </c>
      <c r="H2793" s="16" t="s">
        <v>45</v>
      </c>
      <c r="I2793" s="16">
        <f>COUNTIF(G$5:G2793,"Y")/COUNTA(G$5:G2793)</f>
        <v>0.88382932950878446</v>
      </c>
      <c r="J2793" s="16">
        <f>COUNTIF(H$5:H2793,"Y")/COUNTA(H$5:H2793)</f>
        <v>4.8045894585873071E-2</v>
      </c>
      <c r="K2793" s="16">
        <f>AVERAGE(F$5:F2793)</f>
        <v>2.2067049121548927</v>
      </c>
      <c r="L2793" s="16">
        <f>SUM(F$5:F2793)/SUM(E$5:E2793)</f>
        <v>0.76313113778394803</v>
      </c>
    </row>
    <row r="2794" spans="1:13" x14ac:dyDescent="0.25">
      <c r="A2794" s="29">
        <v>46086</v>
      </c>
      <c r="B2794" s="16" t="s">
        <v>2840</v>
      </c>
      <c r="C2794" s="34">
        <v>1</v>
      </c>
      <c r="D2794" s="16" t="s">
        <v>43</v>
      </c>
      <c r="E2794" s="35">
        <v>4.5</v>
      </c>
      <c r="F2794" s="35">
        <v>3.3</v>
      </c>
      <c r="G2794" s="16" t="s">
        <v>44</v>
      </c>
      <c r="H2794" s="16" t="s">
        <v>45</v>
      </c>
      <c r="I2794" s="16">
        <f>COUNTIF(G$5:G2794,"Y")/COUNTA(G$5:G2794)</f>
        <v>0.88387096774193552</v>
      </c>
      <c r="J2794" s="16">
        <f>COUNTIF(H$5:H2794,"Y")/COUNTA(H$5:H2794)</f>
        <v>4.8028673835125449E-2</v>
      </c>
      <c r="K2794" s="16">
        <f>AVERAGE(F$5:F2794)</f>
        <v>2.207096774193547</v>
      </c>
      <c r="L2794" s="16">
        <f>SUM(F$5:F2794)/SUM(E$5:E2794)</f>
        <v>0.76311452046645734</v>
      </c>
    </row>
    <row r="2795" spans="1:13" x14ac:dyDescent="0.25">
      <c r="A2795" s="29">
        <v>46087</v>
      </c>
      <c r="B2795" s="16" t="s">
        <v>2841</v>
      </c>
      <c r="C2795" s="34">
        <v>1</v>
      </c>
      <c r="D2795" s="16" t="s">
        <v>52</v>
      </c>
      <c r="E2795" s="35">
        <v>3.5</v>
      </c>
      <c r="F2795" s="35">
        <v>2.8</v>
      </c>
      <c r="G2795" s="16" t="s">
        <v>44</v>
      </c>
      <c r="H2795" s="16" t="s">
        <v>45</v>
      </c>
      <c r="I2795" s="16">
        <f>COUNTIF(G$5:G2795,"Y")/COUNTA(G$5:G2795)</f>
        <v>0.88391257613758512</v>
      </c>
      <c r="J2795" s="16">
        <f>COUNTIF(H$5:H2795,"Y")/COUNTA(H$5:H2795)</f>
        <v>4.8011465424579007E-2</v>
      </c>
      <c r="K2795" s="16">
        <f>AVERAGE(F$5:F2795)</f>
        <v>2.2073092081691139</v>
      </c>
      <c r="L2795" s="16">
        <f>SUM(F$5:F2795)/SUM(E$5:E2795)</f>
        <v>0.76313051233772478</v>
      </c>
    </row>
    <row r="2796" spans="1:13" x14ac:dyDescent="0.25">
      <c r="A2796" s="29">
        <v>46083</v>
      </c>
      <c r="B2796" s="16" t="s">
        <v>2842</v>
      </c>
      <c r="C2796" s="34">
        <v>1</v>
      </c>
      <c r="D2796" s="16" t="s">
        <v>64</v>
      </c>
      <c r="E2796" s="35">
        <v>3.2</v>
      </c>
      <c r="F2796" s="35">
        <v>2.1</v>
      </c>
      <c r="G2796" s="16" t="s">
        <v>44</v>
      </c>
      <c r="H2796" s="16" t="s">
        <v>45</v>
      </c>
      <c r="I2796" s="16">
        <f>COUNTIF(G$5:G2796,"Y")/COUNTA(G$5:G2796)</f>
        <v>0.88395415472779371</v>
      </c>
      <c r="J2796" s="16">
        <f>COUNTIF(H$5:H2796,"Y")/COUNTA(H$5:H2796)</f>
        <v>4.7994269340974213E-2</v>
      </c>
      <c r="K2796" s="16">
        <f>AVERAGE(F$5:F2796)</f>
        <v>2.2072707736389674</v>
      </c>
      <c r="L2796" s="16">
        <f>SUM(F$5:F2796)/SUM(E$5:E2796)</f>
        <v>0.76308816245665989</v>
      </c>
    </row>
    <row r="2797" spans="1:13" x14ac:dyDescent="0.25">
      <c r="A2797" s="29">
        <v>46084</v>
      </c>
      <c r="B2797" s="16" t="s">
        <v>2843</v>
      </c>
      <c r="C2797" s="34">
        <v>1</v>
      </c>
      <c r="D2797" s="16" t="s">
        <v>47</v>
      </c>
      <c r="E2797" s="35">
        <v>1.4</v>
      </c>
      <c r="F2797" s="35">
        <v>1.1000000000000001</v>
      </c>
      <c r="G2797" s="16" t="s">
        <v>44</v>
      </c>
      <c r="H2797" s="16" t="s">
        <v>44</v>
      </c>
      <c r="I2797" s="16">
        <f>COUNTIF(G$5:G2797,"Y")/COUNTA(G$5:G2797)</f>
        <v>0.88399570354457568</v>
      </c>
      <c r="J2797" s="16">
        <f>COUNTIF(H$5:H2797,"Y")/COUNTA(H$5:H2797)</f>
        <v>4.8335123523093451E-2</v>
      </c>
      <c r="K2797" s="16">
        <f>AVERAGE(F$5:F2797)</f>
        <v>2.2068743286788393</v>
      </c>
      <c r="L2797" s="16">
        <f>SUM(F$5:F2797)/SUM(E$5:E2797)</f>
        <v>0.76309208408646167</v>
      </c>
    </row>
    <row r="2798" spans="1:13" x14ac:dyDescent="0.25">
      <c r="A2798" s="29">
        <v>46085</v>
      </c>
      <c r="B2798" s="16" t="s">
        <v>2844</v>
      </c>
      <c r="C2798" s="34">
        <v>1</v>
      </c>
      <c r="D2798" s="16" t="s">
        <v>50</v>
      </c>
      <c r="E2798" s="35">
        <v>2.6</v>
      </c>
      <c r="F2798" s="35">
        <v>2</v>
      </c>
      <c r="G2798" s="16" t="s">
        <v>44</v>
      </c>
      <c r="H2798" s="16" t="s">
        <v>45</v>
      </c>
      <c r="I2798" s="16">
        <f>COUNTIF(G$5:G2798,"Y")/COUNTA(G$5:G2798)</f>
        <v>0.88403722261989981</v>
      </c>
      <c r="J2798" s="16">
        <f>COUNTIF(H$5:H2798,"Y")/COUNTA(H$5:H2798)</f>
        <v>4.8317823908375086E-2</v>
      </c>
      <c r="K2798" s="16">
        <f>AVERAGE(F$5:F2798)</f>
        <v>2.2068002863278444</v>
      </c>
      <c r="L2798" s="16">
        <f>SUM(F$5:F2798)/SUM(E$5:E2798)</f>
        <v>0.76309405940593877</v>
      </c>
    </row>
    <row r="2799" spans="1:13" x14ac:dyDescent="0.25">
      <c r="A2799" s="29">
        <v>46086</v>
      </c>
      <c r="B2799" s="16" t="s">
        <v>2845</v>
      </c>
      <c r="C2799" s="34">
        <v>1</v>
      </c>
      <c r="D2799" s="16" t="s">
        <v>52</v>
      </c>
      <c r="E2799" s="35">
        <v>3.3</v>
      </c>
      <c r="F2799" s="35">
        <v>2.2999999999999998</v>
      </c>
      <c r="G2799" s="16" t="s">
        <v>44</v>
      </c>
      <c r="H2799" s="16" t="s">
        <v>45</v>
      </c>
      <c r="I2799" s="16">
        <f>COUNTIF(G$5:G2799,"Y")/COUNTA(G$5:G2799)</f>
        <v>0.88407871198568877</v>
      </c>
      <c r="J2799" s="16">
        <f>COUNTIF(H$5:H2799,"Y")/COUNTA(H$5:H2799)</f>
        <v>4.8300536672629693E-2</v>
      </c>
      <c r="K2799" s="16">
        <f>AVERAGE(F$5:F2799)</f>
        <v>2.2068336314847934</v>
      </c>
      <c r="L2799" s="16">
        <f>SUM(F$5:F2799)/SUM(E$5:E2799)</f>
        <v>0.76306706419407733</v>
      </c>
    </row>
    <row r="2800" spans="1:13" x14ac:dyDescent="0.25">
      <c r="A2800" s="29">
        <v>46087</v>
      </c>
      <c r="B2800" s="16" t="s">
        <v>2846</v>
      </c>
      <c r="C2800" s="34">
        <v>1</v>
      </c>
      <c r="D2800" s="16" t="s">
        <v>43</v>
      </c>
      <c r="E2800" s="35">
        <v>2.2999999999999998</v>
      </c>
      <c r="F2800" s="35">
        <v>1.6</v>
      </c>
      <c r="G2800" s="16" t="s">
        <v>44</v>
      </c>
      <c r="H2800" s="16" t="s">
        <v>45</v>
      </c>
      <c r="I2800" s="16">
        <f>COUNTIF(G$5:G2800,"Y")/COUNTA(G$5:G2800)</f>
        <v>0.88412017167381973</v>
      </c>
      <c r="J2800" s="16">
        <f>COUNTIF(H$5:H2800,"Y")/COUNTA(H$5:H2800)</f>
        <v>4.8283261802575105E-2</v>
      </c>
      <c r="K2800" s="16">
        <f>AVERAGE(F$5:F2800)</f>
        <v>2.2066165951359076</v>
      </c>
      <c r="L2800" s="16">
        <f>SUM(F$5:F2800)/SUM(E$5:E2800)</f>
        <v>0.76304788760264985</v>
      </c>
    </row>
    <row r="2801" spans="1:12" x14ac:dyDescent="0.25">
      <c r="A2801" s="29">
        <v>46083</v>
      </c>
      <c r="B2801" s="16" t="s">
        <v>2847</v>
      </c>
      <c r="C2801" s="34">
        <v>1</v>
      </c>
      <c r="D2801" s="16" t="s">
        <v>52</v>
      </c>
      <c r="E2801" s="35">
        <v>3.6</v>
      </c>
      <c r="F2801" s="35">
        <v>2.9</v>
      </c>
      <c r="G2801" s="16" t="s">
        <v>44</v>
      </c>
      <c r="H2801" s="16" t="s">
        <v>45</v>
      </c>
      <c r="I2801" s="16">
        <f>COUNTIF(G$5:G2801,"Y")/COUNTA(G$5:G2801)</f>
        <v>0.88416160171612446</v>
      </c>
      <c r="J2801" s="16">
        <f>COUNTIF(H$5:H2801,"Y")/COUNTA(H$5:H2801)</f>
        <v>4.8265999284948159E-2</v>
      </c>
      <c r="K2801" s="16">
        <f>AVERAGE(F$5:F2801)</f>
        <v>2.2068644976760807</v>
      </c>
      <c r="L2801" s="16">
        <f>SUM(F$5:F2801)/SUM(E$5:E2801)</f>
        <v>0.76306680512287806</v>
      </c>
    </row>
    <row r="2802" spans="1:12" x14ac:dyDescent="0.25">
      <c r="A2802" s="29">
        <v>46084</v>
      </c>
      <c r="B2802" s="16" t="s">
        <v>2848</v>
      </c>
      <c r="C2802" s="34">
        <v>1</v>
      </c>
      <c r="D2802" s="16" t="s">
        <v>52</v>
      </c>
      <c r="E2802" s="35">
        <v>1.6</v>
      </c>
      <c r="F2802" s="35">
        <v>1.1000000000000001</v>
      </c>
      <c r="G2802" s="16" t="s">
        <v>44</v>
      </c>
      <c r="H2802" s="16" t="s">
        <v>45</v>
      </c>
      <c r="I2802" s="16">
        <f>COUNTIF(G$5:G2802,"Y")/COUNTA(G$5:G2802)</f>
        <v>0.88420300214438885</v>
      </c>
      <c r="J2802" s="16">
        <f>COUNTIF(H$5:H2802,"Y")/COUNTA(H$5:H2802)</f>
        <v>4.8248749106504646E-2</v>
      </c>
      <c r="K2802" s="16">
        <f>AVERAGE(F$5:F2802)</f>
        <v>2.2064689063616862</v>
      </c>
      <c r="L2802" s="16">
        <f>SUM(F$5:F2802)/SUM(E$5:E2802)</f>
        <v>0.76305186137340997</v>
      </c>
    </row>
    <row r="2803" spans="1:12" x14ac:dyDescent="0.25">
      <c r="A2803" s="29">
        <v>46085</v>
      </c>
      <c r="B2803" s="16" t="s">
        <v>2849</v>
      </c>
      <c r="C2803" s="34">
        <v>1</v>
      </c>
      <c r="D2803" s="16" t="s">
        <v>64</v>
      </c>
      <c r="E2803" s="35">
        <v>5.0999999999999996</v>
      </c>
      <c r="F2803" s="35">
        <v>3.7</v>
      </c>
      <c r="G2803" s="16" t="s">
        <v>44</v>
      </c>
      <c r="H2803" s="16" t="s">
        <v>45</v>
      </c>
      <c r="I2803" s="16">
        <f>COUNTIF(G$5:G2803,"Y")/COUNTA(G$5:G2803)</f>
        <v>0.88424437299035374</v>
      </c>
      <c r="J2803" s="16">
        <f>COUNTIF(H$5:H2803,"Y")/COUNTA(H$5:H2803)</f>
        <v>4.8231511254019289E-2</v>
      </c>
      <c r="K2803" s="16">
        <f>AVERAGE(F$5:F2803)</f>
        <v>2.2070025008931755</v>
      </c>
      <c r="L2803" s="16">
        <f>SUM(F$5:F2803)/SUM(E$5:E2803)</f>
        <v>0.76302819945898359</v>
      </c>
    </row>
    <row r="2804" spans="1:12" x14ac:dyDescent="0.25">
      <c r="A2804" s="29">
        <v>46086</v>
      </c>
      <c r="B2804" s="16" t="s">
        <v>2850</v>
      </c>
      <c r="C2804" s="34">
        <v>1</v>
      </c>
      <c r="D2804" s="16" t="s">
        <v>52</v>
      </c>
      <c r="E2804" s="35">
        <v>3.3</v>
      </c>
      <c r="F2804" s="35">
        <v>2.6</v>
      </c>
      <c r="G2804" s="16" t="s">
        <v>44</v>
      </c>
      <c r="H2804" s="16" t="s">
        <v>45</v>
      </c>
      <c r="I2804" s="16">
        <f>COUNTIF(G$5:G2804,"Y")/COUNTA(G$5:G2804)</f>
        <v>0.88428571428571423</v>
      </c>
      <c r="J2804" s="16">
        <f>COUNTIF(H$5:H2804,"Y")/COUNTA(H$5:H2804)</f>
        <v>4.8214285714285716E-2</v>
      </c>
      <c r="K2804" s="16">
        <f>AVERAGE(F$5:F2804)</f>
        <v>2.2071428571428564</v>
      </c>
      <c r="L2804" s="16">
        <f>SUM(F$5:F2804)/SUM(E$5:E2804)</f>
        <v>0.76303832477281519</v>
      </c>
    </row>
    <row r="2805" spans="1:12" x14ac:dyDescent="0.25">
      <c r="A2805" s="29">
        <v>46087</v>
      </c>
      <c r="B2805" s="16" t="s">
        <v>2851</v>
      </c>
      <c r="C2805" s="34">
        <v>1</v>
      </c>
      <c r="D2805" s="16" t="s">
        <v>47</v>
      </c>
      <c r="E2805" s="35">
        <v>2.4</v>
      </c>
      <c r="F2805" s="35">
        <v>1.6</v>
      </c>
      <c r="G2805" s="16" t="s">
        <v>44</v>
      </c>
      <c r="H2805" s="16" t="s">
        <v>45</v>
      </c>
      <c r="I2805" s="16">
        <f>COUNTIF(G$5:G2805,"Y")/COUNTA(G$5:G2805)</f>
        <v>0.88432702606212066</v>
      </c>
      <c r="J2805" s="16">
        <f>COUNTIF(H$5:H2805,"Y")/COUNTA(H$5:H2805)</f>
        <v>4.8197072474116386E-2</v>
      </c>
      <c r="K2805" s="16">
        <f>AVERAGE(F$5:F2805)</f>
        <v>2.2069260978222061</v>
      </c>
      <c r="L2805" s="16">
        <f>SUM(F$5:F2805)/SUM(E$5:E2805)</f>
        <v>0.76300977584674456</v>
      </c>
    </row>
    <row r="2806" spans="1:12" x14ac:dyDescent="0.25">
      <c r="A2806" s="29">
        <v>46083</v>
      </c>
      <c r="B2806" s="16" t="s">
        <v>2852</v>
      </c>
      <c r="C2806" s="34">
        <v>1</v>
      </c>
      <c r="D2806" s="16" t="s">
        <v>50</v>
      </c>
      <c r="E2806" s="35">
        <v>2.6</v>
      </c>
      <c r="F2806" s="35">
        <v>2.1</v>
      </c>
      <c r="G2806" s="16" t="s">
        <v>44</v>
      </c>
      <c r="H2806" s="16" t="s">
        <v>45</v>
      </c>
      <c r="I2806" s="16">
        <f>COUNTIF(G$5:G2806,"Y")/COUNTA(G$5:G2806)</f>
        <v>0.88436830835117775</v>
      </c>
      <c r="J2806" s="16">
        <f>COUNTIF(H$5:H2806,"Y")/COUNTA(H$5:H2806)</f>
        <v>4.8179871520342615E-2</v>
      </c>
      <c r="K2806" s="16">
        <f>AVERAGE(F$5:F2806)</f>
        <v>2.2068879371877226</v>
      </c>
      <c r="L2806" s="16">
        <f>SUM(F$5:F2806)/SUM(E$5:E2806)</f>
        <v>0.76302411095481182</v>
      </c>
    </row>
    <row r="2807" spans="1:12" x14ac:dyDescent="0.25">
      <c r="A2807" s="29">
        <v>46084</v>
      </c>
      <c r="B2807" s="16" t="s">
        <v>2853</v>
      </c>
      <c r="C2807" s="34">
        <v>1</v>
      </c>
      <c r="D2807" s="16" t="s">
        <v>43</v>
      </c>
      <c r="E2807" s="35">
        <v>2.7</v>
      </c>
      <c r="F2807" s="35">
        <v>1.9</v>
      </c>
      <c r="G2807" s="16" t="s">
        <v>44</v>
      </c>
      <c r="H2807" s="16" t="s">
        <v>45</v>
      </c>
      <c r="I2807" s="16">
        <f>COUNTIF(G$5:G2807,"Y")/COUNTA(G$5:G2807)</f>
        <v>0.88440956118444525</v>
      </c>
      <c r="J2807" s="16">
        <f>COUNTIF(H$5:H2807,"Y")/COUNTA(H$5:H2807)</f>
        <v>4.8162682839814487E-2</v>
      </c>
      <c r="K2807" s="16">
        <f>AVERAGE(F$5:F2807)</f>
        <v>2.2067784516589364</v>
      </c>
      <c r="L2807" s="16">
        <f>SUM(F$5:F2807)/SUM(E$5:E2807)</f>
        <v>0.76300435431545788</v>
      </c>
    </row>
    <row r="2808" spans="1:12" x14ac:dyDescent="0.25">
      <c r="A2808" s="29">
        <v>46085</v>
      </c>
      <c r="B2808" s="16" t="s">
        <v>2854</v>
      </c>
      <c r="C2808" s="34">
        <v>1</v>
      </c>
      <c r="D2808" s="16" t="s">
        <v>64</v>
      </c>
      <c r="E2808" s="35">
        <v>1.5</v>
      </c>
      <c r="F2808" s="35">
        <v>1.1000000000000001</v>
      </c>
      <c r="G2808" s="16" t="s">
        <v>44</v>
      </c>
      <c r="H2808" s="16" t="s">
        <v>45</v>
      </c>
      <c r="I2808" s="16">
        <f>COUNTIF(G$5:G2808,"Y")/COUNTA(G$5:G2808)</f>
        <v>0.88445078459343796</v>
      </c>
      <c r="J2808" s="16">
        <f>COUNTIF(H$5:H2808,"Y")/COUNTA(H$5:H2808)</f>
        <v>4.8145506419400859E-2</v>
      </c>
      <c r="K2808" s="16">
        <f>AVERAGE(F$5:F2808)</f>
        <v>2.2063837375178315</v>
      </c>
      <c r="L2808" s="16">
        <f>SUM(F$5:F2808)/SUM(E$5:E2808)</f>
        <v>0.76299886537417816</v>
      </c>
    </row>
    <row r="2809" spans="1:12" x14ac:dyDescent="0.25">
      <c r="A2809" s="29">
        <v>46086</v>
      </c>
      <c r="B2809" s="16" t="s">
        <v>2855</v>
      </c>
      <c r="C2809" s="34">
        <v>1</v>
      </c>
      <c r="D2809" s="16" t="s">
        <v>60</v>
      </c>
      <c r="E2809" s="35">
        <v>1.9</v>
      </c>
      <c r="F2809" s="35">
        <v>1.5</v>
      </c>
      <c r="G2809" s="16" t="s">
        <v>44</v>
      </c>
      <c r="H2809" s="16" t="s">
        <v>45</v>
      </c>
      <c r="I2809" s="16">
        <f>COUNTIF(G$5:G2809,"Y")/COUNTA(G$5:G2809)</f>
        <v>0.8844919786096257</v>
      </c>
      <c r="J2809" s="16">
        <f>COUNTIF(H$5:H2809,"Y")/COUNTA(H$5:H2809)</f>
        <v>4.8128342245989303E-2</v>
      </c>
      <c r="K2809" s="16">
        <f>AVERAGE(F$5:F2809)</f>
        <v>2.2061319073083774</v>
      </c>
      <c r="L2809" s="16">
        <f>SUM(F$5:F2809)/SUM(E$5:E2809)</f>
        <v>0.76300506763004894</v>
      </c>
    </row>
    <row r="2810" spans="1:12" x14ac:dyDescent="0.25">
      <c r="A2810" s="29">
        <v>46087</v>
      </c>
      <c r="B2810" s="16" t="s">
        <v>2856</v>
      </c>
      <c r="C2810" s="34">
        <v>1</v>
      </c>
      <c r="D2810" s="16" t="s">
        <v>64</v>
      </c>
      <c r="E2810" s="35">
        <v>3.4</v>
      </c>
      <c r="F2810" s="35">
        <v>2.2000000000000002</v>
      </c>
      <c r="G2810" s="16" t="s">
        <v>44</v>
      </c>
      <c r="H2810" s="16" t="s">
        <v>45</v>
      </c>
      <c r="I2810" s="16">
        <f>COUNTIF(G$5:G2810,"Y")/COUNTA(G$5:G2810)</f>
        <v>0.88453314326443333</v>
      </c>
      <c r="J2810" s="16">
        <f>COUNTIF(H$5:H2810,"Y")/COUNTA(H$5:H2810)</f>
        <v>4.8111190306486099E-2</v>
      </c>
      <c r="K2810" s="16">
        <f>AVERAGE(F$5:F2810)</f>
        <v>2.2061297220242335</v>
      </c>
      <c r="L2810" s="16">
        <f>SUM(F$5:F2810)/SUM(E$5:E2810)</f>
        <v>0.76295648101359259</v>
      </c>
    </row>
    <row r="2811" spans="1:12" x14ac:dyDescent="0.25">
      <c r="A2811" s="29">
        <v>46083</v>
      </c>
      <c r="B2811" s="16" t="s">
        <v>2857</v>
      </c>
      <c r="C2811" s="34">
        <v>1</v>
      </c>
      <c r="D2811" s="16" t="s">
        <v>64</v>
      </c>
      <c r="E2811" s="35">
        <v>1.7</v>
      </c>
      <c r="F2811" s="35">
        <v>1.1000000000000001</v>
      </c>
      <c r="G2811" s="16" t="s">
        <v>44</v>
      </c>
      <c r="H2811" s="16" t="s">
        <v>45</v>
      </c>
      <c r="I2811" s="16">
        <f>COUNTIF(G$5:G2811,"Y")/COUNTA(G$5:G2811)</f>
        <v>0.8845742785892412</v>
      </c>
      <c r="J2811" s="16">
        <f>COUNTIF(H$5:H2811,"Y")/COUNTA(H$5:H2811)</f>
        <v>4.8094050587816177E-2</v>
      </c>
      <c r="K2811" s="16">
        <f>AVERAGE(F$5:F2811)</f>
        <v>2.2057356608478802</v>
      </c>
      <c r="L2811" s="16">
        <f>SUM(F$5:F2811)/SUM(E$5:E2811)</f>
        <v>0.76293220297212549</v>
      </c>
    </row>
    <row r="2812" spans="1:12" x14ac:dyDescent="0.25">
      <c r="A2812" s="29">
        <v>46084</v>
      </c>
      <c r="B2812" s="16" t="s">
        <v>2858</v>
      </c>
      <c r="C2812" s="34">
        <v>1</v>
      </c>
      <c r="D2812" s="16" t="s">
        <v>43</v>
      </c>
      <c r="E2812" s="35">
        <v>3.4</v>
      </c>
      <c r="F2812" s="35">
        <v>2.6</v>
      </c>
      <c r="G2812" s="16" t="s">
        <v>44</v>
      </c>
      <c r="H2812" s="16" t="s">
        <v>45</v>
      </c>
      <c r="I2812" s="16">
        <f>COUNTIF(G$5:G2812,"Y")/COUNTA(G$5:G2812)</f>
        <v>0.88461538461538458</v>
      </c>
      <c r="J2812" s="16">
        <f>COUNTIF(H$5:H2812,"Y")/COUNTA(H$5:H2812)</f>
        <v>4.807692307692308E-2</v>
      </c>
      <c r="K2812" s="16">
        <f>AVERAGE(F$5:F2812)</f>
        <v>2.2058760683760683</v>
      </c>
      <c r="L2812" s="16">
        <f>SUM(F$5:F2812)/SUM(E$5:E2812)</f>
        <v>0.76293294575552884</v>
      </c>
    </row>
    <row r="2813" spans="1:12" x14ac:dyDescent="0.25">
      <c r="A2813" s="29">
        <v>46085</v>
      </c>
      <c r="B2813" s="16" t="s">
        <v>2859</v>
      </c>
      <c r="C2813" s="34">
        <v>1</v>
      </c>
      <c r="D2813" s="16" t="s">
        <v>43</v>
      </c>
      <c r="E2813" s="35">
        <v>2.5</v>
      </c>
      <c r="F2813" s="35">
        <v>1.7</v>
      </c>
      <c r="G2813" s="16" t="s">
        <v>45</v>
      </c>
      <c r="H2813" s="16" t="s">
        <v>45</v>
      </c>
      <c r="I2813" s="16">
        <f>COUNTIF(G$5:G2813,"Y")/COUNTA(G$5:G2813)</f>
        <v>0.88430046279814878</v>
      </c>
      <c r="J2813" s="16">
        <f>COUNTIF(H$5:H2813,"Y")/COUNTA(H$5:H2813)</f>
        <v>4.8059807760768958E-2</v>
      </c>
      <c r="K2813" s="16">
        <f>AVERAGE(F$5:F2813)</f>
        <v>2.2056959772160907</v>
      </c>
      <c r="L2813" s="16">
        <f>SUM(F$5:F2813)/SUM(E$5:E2813)</f>
        <v>0.76290741630034442</v>
      </c>
    </row>
    <row r="2814" spans="1:12" x14ac:dyDescent="0.25">
      <c r="A2814" s="29">
        <v>46086</v>
      </c>
      <c r="B2814" s="16" t="s">
        <v>2860</v>
      </c>
      <c r="C2814" s="34">
        <v>1</v>
      </c>
      <c r="D2814" s="16" t="s">
        <v>52</v>
      </c>
      <c r="E2814" s="35">
        <v>1.9</v>
      </c>
      <c r="F2814" s="35">
        <v>1.4</v>
      </c>
      <c r="G2814" s="16" t="s">
        <v>44</v>
      </c>
      <c r="H2814" s="16" t="s">
        <v>45</v>
      </c>
      <c r="I2814" s="16">
        <f>COUNTIF(G$5:G2814,"Y")/COUNTA(G$5:G2814)</f>
        <v>0.88434163701067614</v>
      </c>
      <c r="J2814" s="16">
        <f>COUNTIF(H$5:H2814,"Y")/COUNTA(H$5:H2814)</f>
        <v>4.8042704626334518E-2</v>
      </c>
      <c r="K2814" s="16">
        <f>AVERAGE(F$5:F2814)</f>
        <v>2.205409252669039</v>
      </c>
      <c r="L2814" s="16">
        <f>SUM(F$5:F2814)/SUM(E$5:E2814)</f>
        <v>0.76290131967697306</v>
      </c>
    </row>
    <row r="2815" spans="1:12" x14ac:dyDescent="0.25">
      <c r="A2815" s="29">
        <v>46087</v>
      </c>
      <c r="B2815" s="16" t="s">
        <v>2861</v>
      </c>
      <c r="C2815" s="34">
        <v>1</v>
      </c>
      <c r="D2815" s="16" t="s">
        <v>47</v>
      </c>
      <c r="E2815" s="35">
        <v>4</v>
      </c>
      <c r="F2815" s="35">
        <v>3.4</v>
      </c>
      <c r="G2815" s="16" t="s">
        <v>44</v>
      </c>
      <c r="H2815" s="16" t="s">
        <v>45</v>
      </c>
      <c r="I2815" s="16">
        <f>COUNTIF(G$5:G2815,"Y")/COUNTA(G$5:G2815)</f>
        <v>0.88438278192813946</v>
      </c>
      <c r="J2815" s="16">
        <f>COUNTIF(H$5:H2815,"Y")/COUNTA(H$5:H2815)</f>
        <v>4.8025613660618999E-2</v>
      </c>
      <c r="K2815" s="16">
        <f>AVERAGE(F$5:F2815)</f>
        <v>2.2058342226965486</v>
      </c>
      <c r="L2815" s="16">
        <f>SUM(F$5:F2815)/SUM(E$5:E2815)</f>
        <v>0.76294418742002001</v>
      </c>
    </row>
    <row r="2816" spans="1:12" x14ac:dyDescent="0.25">
      <c r="A2816" s="29">
        <v>46083</v>
      </c>
      <c r="B2816" s="16" t="s">
        <v>2862</v>
      </c>
      <c r="C2816" s="34">
        <v>1</v>
      </c>
      <c r="D2816" s="16" t="s">
        <v>47</v>
      </c>
      <c r="E2816" s="35">
        <v>2.4</v>
      </c>
      <c r="F2816" s="35">
        <v>1.6</v>
      </c>
      <c r="G2816" s="16" t="s">
        <v>45</v>
      </c>
      <c r="H2816" s="16" t="s">
        <v>45</v>
      </c>
      <c r="I2816" s="16">
        <f>COUNTIF(G$5:G2816,"Y")/COUNTA(G$5:G2816)</f>
        <v>0.88406827880512096</v>
      </c>
      <c r="J2816" s="16">
        <f>COUNTIF(H$5:H2816,"Y")/COUNTA(H$5:H2816)</f>
        <v>4.8008534850640112E-2</v>
      </c>
      <c r="K2816" s="16">
        <f>AVERAGE(F$5:F2816)</f>
        <v>2.2056187766714079</v>
      </c>
      <c r="L2816" s="16">
        <f>SUM(F$5:F2816)/SUM(E$5:E2816)</f>
        <v>0.7629157646132636</v>
      </c>
    </row>
    <row r="2817" spans="1:13" x14ac:dyDescent="0.25">
      <c r="A2817" s="29">
        <v>46084</v>
      </c>
      <c r="B2817" s="16" t="s">
        <v>2863</v>
      </c>
      <c r="C2817" s="34">
        <v>1</v>
      </c>
      <c r="D2817" s="16" t="s">
        <v>56</v>
      </c>
      <c r="E2817" s="35">
        <v>3.1</v>
      </c>
      <c r="F2817" s="35">
        <v>2.6</v>
      </c>
      <c r="G2817" s="16" t="s">
        <v>44</v>
      </c>
      <c r="H2817" s="16" t="s">
        <v>44</v>
      </c>
      <c r="I2817" s="16">
        <f>COUNTIF(G$5:G2817,"Y")/COUNTA(G$5:G2817)</f>
        <v>0.88410949164592956</v>
      </c>
      <c r="J2817" s="16">
        <f>COUNTIF(H$5:H2817,"Y")/COUNTA(H$5:H2817)</f>
        <v>4.8346960540348385E-2</v>
      </c>
      <c r="K2817" s="16">
        <f>AVERAGE(F$5:F2817)</f>
        <v>2.205758976182012</v>
      </c>
      <c r="L2817" s="16">
        <f>SUM(F$5:F2817)/SUM(E$5:E2817)</f>
        <v>0.76294465552645341</v>
      </c>
    </row>
    <row r="2818" spans="1:13" x14ac:dyDescent="0.25">
      <c r="A2818" s="29">
        <v>46085</v>
      </c>
      <c r="B2818" s="16" t="s">
        <v>2864</v>
      </c>
      <c r="C2818" s="34">
        <v>1</v>
      </c>
      <c r="D2818" s="16" t="s">
        <v>52</v>
      </c>
      <c r="E2818" s="35">
        <v>2.2000000000000002</v>
      </c>
      <c r="F2818" s="35">
        <v>1.5</v>
      </c>
      <c r="G2818" s="16" t="s">
        <v>44</v>
      </c>
      <c r="H2818" s="16" t="s">
        <v>45</v>
      </c>
      <c r="I2818" s="16">
        <f>COUNTIF(G$5:G2818,"Y")/COUNTA(G$5:G2818)</f>
        <v>0.88415067519545132</v>
      </c>
      <c r="J2818" s="16">
        <f>COUNTIF(H$5:H2818,"Y")/COUNTA(H$5:H2818)</f>
        <v>4.8329779673063254E-2</v>
      </c>
      <c r="K2818" s="16">
        <f>AVERAGE(F$5:F2818)</f>
        <v>2.2055081734186208</v>
      </c>
      <c r="L2818" s="16">
        <f>SUM(F$5:F2818)/SUM(E$5:E2818)</f>
        <v>0.76292271570639936</v>
      </c>
    </row>
    <row r="2819" spans="1:13" x14ac:dyDescent="0.25">
      <c r="A2819" s="29">
        <v>46086</v>
      </c>
      <c r="B2819" s="16" t="s">
        <v>2865</v>
      </c>
      <c r="C2819" s="34">
        <v>1</v>
      </c>
      <c r="D2819" s="16" t="s">
        <v>50</v>
      </c>
      <c r="E2819" s="35">
        <v>4</v>
      </c>
      <c r="F2819" s="35">
        <v>3.1</v>
      </c>
      <c r="G2819" s="16" t="s">
        <v>45</v>
      </c>
      <c r="H2819" s="16" t="s">
        <v>45</v>
      </c>
      <c r="I2819" s="16">
        <f>COUNTIF(G$5:G2819,"Y")/COUNTA(G$5:G2819)</f>
        <v>0.88383658969804613</v>
      </c>
      <c r="J2819" s="16">
        <f>COUNTIF(H$5:H2819,"Y")/COUNTA(H$5:H2819)</f>
        <v>4.8312611012433393E-2</v>
      </c>
      <c r="K2819" s="16">
        <f>AVERAGE(F$5:F2819)</f>
        <v>2.2058259325044403</v>
      </c>
      <c r="L2819" s="16">
        <f>SUM(F$5:F2819)/SUM(E$5:E2819)</f>
        <v>0.76292865129194221</v>
      </c>
    </row>
    <row r="2820" spans="1:13" x14ac:dyDescent="0.25">
      <c r="A2820" s="29">
        <v>46087</v>
      </c>
      <c r="B2820" s="16" t="s">
        <v>2866</v>
      </c>
      <c r="C2820" s="34">
        <v>1</v>
      </c>
      <c r="D2820" s="16" t="s">
        <v>52</v>
      </c>
      <c r="E2820" s="35">
        <v>3.1</v>
      </c>
      <c r="F2820" s="35">
        <v>2.2000000000000002</v>
      </c>
      <c r="G2820" s="16" t="s">
        <v>44</v>
      </c>
      <c r="H2820" s="16" t="s">
        <v>45</v>
      </c>
      <c r="I2820" s="16">
        <f>COUNTIF(G$5:G2820,"Y")/COUNTA(G$5:G2820)</f>
        <v>0.88387784090909094</v>
      </c>
      <c r="J2820" s="16">
        <f>COUNTIF(H$5:H2820,"Y")/COUNTA(H$5:H2820)</f>
        <v>4.8295454545454544E-2</v>
      </c>
      <c r="K2820" s="16">
        <f>AVERAGE(F$5:F2820)</f>
        <v>2.2058238636363634</v>
      </c>
      <c r="L2820" s="16">
        <f>SUM(F$5:F2820)/SUM(E$5:E2820)</f>
        <v>0.76290837632031294</v>
      </c>
    </row>
    <row r="2821" spans="1:13" x14ac:dyDescent="0.25">
      <c r="A2821" s="29">
        <v>46083</v>
      </c>
      <c r="B2821" s="16" t="s">
        <v>2867</v>
      </c>
      <c r="C2821" s="34">
        <v>1</v>
      </c>
      <c r="D2821" s="16" t="s">
        <v>52</v>
      </c>
      <c r="E2821" s="35">
        <v>3</v>
      </c>
      <c r="F2821" s="35">
        <v>2.2000000000000002</v>
      </c>
      <c r="G2821" s="16" t="s">
        <v>44</v>
      </c>
      <c r="H2821" s="16" t="s">
        <v>45</v>
      </c>
      <c r="I2821" s="16">
        <f>COUNTIF(G$5:G2821,"Y")/COUNTA(G$5:G2821)</f>
        <v>0.88391906283280086</v>
      </c>
      <c r="J2821" s="16">
        <f>COUNTIF(H$5:H2821,"Y")/COUNTA(H$5:H2821)</f>
        <v>4.8278310259140929E-2</v>
      </c>
      <c r="K2821" s="16">
        <f>AVERAGE(F$5:F2821)</f>
        <v>2.2058217962371316</v>
      </c>
      <c r="L2821" s="16">
        <f>SUM(F$5:F2821)/SUM(E$5:E2821)</f>
        <v>0.76289748311847605</v>
      </c>
    </row>
    <row r="2822" spans="1:13" x14ac:dyDescent="0.25">
      <c r="A2822" s="29">
        <v>46084</v>
      </c>
      <c r="B2822" s="16" t="s">
        <v>2868</v>
      </c>
      <c r="C2822" s="34">
        <v>1</v>
      </c>
      <c r="D2822" s="16" t="s">
        <v>60</v>
      </c>
      <c r="E2822" s="35">
        <v>2.4</v>
      </c>
      <c r="F2822" s="35">
        <v>1.9</v>
      </c>
      <c r="G2822" s="16" t="s">
        <v>44</v>
      </c>
      <c r="H2822" s="16" t="s">
        <v>45</v>
      </c>
      <c r="I2822" s="16">
        <f>COUNTIF(G$5:G2822,"Y")/COUNTA(G$5:G2822)</f>
        <v>0.88396025550035484</v>
      </c>
      <c r="J2822" s="16">
        <f>COUNTIF(H$5:H2822,"Y")/COUNTA(H$5:H2822)</f>
        <v>4.8261178140525197E-2</v>
      </c>
      <c r="K2822" s="16">
        <f>AVERAGE(F$5:F2822)</f>
        <v>2.2057132718239885</v>
      </c>
      <c r="L2822" s="16">
        <f>SUM(F$5:F2822)/SUM(E$5:E2822)</f>
        <v>0.76290595772884451</v>
      </c>
    </row>
    <row r="2823" spans="1:13" x14ac:dyDescent="0.25">
      <c r="A2823" s="29">
        <v>46085</v>
      </c>
      <c r="B2823" s="16" t="s">
        <v>2869</v>
      </c>
      <c r="C2823" s="34">
        <v>1</v>
      </c>
      <c r="D2823" s="16" t="s">
        <v>52</v>
      </c>
      <c r="E2823" s="35">
        <v>1.9</v>
      </c>
      <c r="F2823" s="35">
        <v>1.3</v>
      </c>
      <c r="G2823" s="16" t="s">
        <v>44</v>
      </c>
      <c r="H2823" s="16" t="s">
        <v>45</v>
      </c>
      <c r="I2823" s="16">
        <f>COUNTIF(G$5:G2823,"Y")/COUNTA(G$5:G2823)</f>
        <v>0.88400141894288753</v>
      </c>
      <c r="J2823" s="16">
        <f>COUNTIF(H$5:H2823,"Y")/COUNTA(H$5:H2823)</f>
        <v>4.8244058176658389E-2</v>
      </c>
      <c r="K2823" s="16">
        <f>AVERAGE(F$5:F2823)</f>
        <v>2.2053919829726851</v>
      </c>
      <c r="L2823" s="16">
        <f>SUM(F$5:F2823)/SUM(E$5:E2823)</f>
        <v>0.7628876099787697</v>
      </c>
    </row>
    <row r="2824" spans="1:13" x14ac:dyDescent="0.25">
      <c r="A2824" s="29">
        <v>46086</v>
      </c>
      <c r="B2824" s="16" t="s">
        <v>2870</v>
      </c>
      <c r="C2824" s="34">
        <v>1</v>
      </c>
      <c r="D2824" s="16" t="s">
        <v>52</v>
      </c>
      <c r="E2824" s="35">
        <v>5.3</v>
      </c>
      <c r="F2824" s="35">
        <v>3.7</v>
      </c>
      <c r="G2824" s="16" t="s">
        <v>44</v>
      </c>
      <c r="H2824" s="16" t="s">
        <v>45</v>
      </c>
      <c r="I2824" s="16">
        <f>COUNTIF(G$5:G2824,"Y")/COUNTA(G$5:G2824)</f>
        <v>0.88404255319148939</v>
      </c>
      <c r="J2824" s="16">
        <f>COUNTIF(H$5:H2824,"Y")/COUNTA(H$5:H2824)</f>
        <v>4.8226950354609929E-2</v>
      </c>
      <c r="K2824" s="16">
        <f>AVERAGE(F$5:F2824)</f>
        <v>2.2059219858156025</v>
      </c>
      <c r="L2824" s="16">
        <f>SUM(F$5:F2824)/SUM(E$5:E2824)</f>
        <v>0.76284551050940419</v>
      </c>
    </row>
    <row r="2825" spans="1:13" x14ac:dyDescent="0.25">
      <c r="A2825" s="29">
        <v>46087</v>
      </c>
      <c r="B2825" s="16" t="s">
        <v>2871</v>
      </c>
      <c r="C2825" s="34">
        <v>1</v>
      </c>
      <c r="D2825" s="16" t="s">
        <v>47</v>
      </c>
      <c r="E2825" s="35">
        <v>2.6</v>
      </c>
      <c r="F2825" s="35">
        <v>1.9</v>
      </c>
      <c r="G2825" s="16" t="s">
        <v>44</v>
      </c>
      <c r="H2825" s="16" t="s">
        <v>45</v>
      </c>
      <c r="I2825" s="16">
        <f>COUNTIF(G$5:G2825,"Y")/COUNTA(G$5:G2825)</f>
        <v>0.8840836582772067</v>
      </c>
      <c r="J2825" s="16">
        <f>COUNTIF(H$5:H2825,"Y")/COUNTA(H$5:H2825)</f>
        <v>4.8209854661467565E-2</v>
      </c>
      <c r="K2825" s="16">
        <f>AVERAGE(F$5:F2825)</f>
        <v>2.2058135412974118</v>
      </c>
      <c r="L2825" s="16">
        <f>SUM(F$5:F2825)/SUM(E$5:E2825)</f>
        <v>0.76283528661795552</v>
      </c>
    </row>
    <row r="2826" spans="1:13" x14ac:dyDescent="0.25">
      <c r="A2826" s="29">
        <v>46083</v>
      </c>
      <c r="B2826" s="16" t="s">
        <v>2872</v>
      </c>
      <c r="C2826" s="34">
        <v>1</v>
      </c>
      <c r="D2826" s="16" t="s">
        <v>64</v>
      </c>
      <c r="E2826" s="35">
        <v>3.1</v>
      </c>
      <c r="F2826" s="35">
        <v>2.1</v>
      </c>
      <c r="G2826" s="16" t="s">
        <v>44</v>
      </c>
      <c r="H2826" s="16" t="s">
        <v>45</v>
      </c>
      <c r="I2826" s="16">
        <f>COUNTIF(G$5:G2826,"Y")/COUNTA(G$5:G2826)</f>
        <v>0.88412473423104176</v>
      </c>
      <c r="J2826" s="16">
        <f>COUNTIF(H$5:H2826,"Y")/COUNTA(H$5:H2826)</f>
        <v>4.8192771084337352E-2</v>
      </c>
      <c r="K2826" s="16">
        <f>AVERAGE(F$5:F2826)</f>
        <v>2.2057760453579016</v>
      </c>
      <c r="L2826" s="16">
        <f>SUM(F$5:F2826)/SUM(E$5:E2826)</f>
        <v>0.76280283813094951</v>
      </c>
    </row>
    <row r="2827" spans="1:13" x14ac:dyDescent="0.25">
      <c r="A2827" s="29">
        <v>46084</v>
      </c>
      <c r="B2827" s="16" t="s">
        <v>2873</v>
      </c>
      <c r="C2827" s="34">
        <v>1</v>
      </c>
      <c r="D2827" s="16" t="s">
        <v>56</v>
      </c>
      <c r="E2827" s="35">
        <v>1.6</v>
      </c>
      <c r="F2827" s="35">
        <v>1.4</v>
      </c>
      <c r="G2827" s="16" t="s">
        <v>44</v>
      </c>
      <c r="H2827" s="16" t="s">
        <v>45</v>
      </c>
      <c r="I2827" s="16">
        <f>COUNTIF(G$5:G2827,"Y")/COUNTA(G$5:G2827)</f>
        <v>0.88416578108395327</v>
      </c>
      <c r="J2827" s="16">
        <f>COUNTIF(H$5:H2827,"Y")/COUNTA(H$5:H2827)</f>
        <v>4.8175699610343604E-2</v>
      </c>
      <c r="K2827" s="16">
        <f>AVERAGE(F$5:F2827)</f>
        <v>2.2054906128232372</v>
      </c>
      <c r="L2827" s="16">
        <f>SUM(F$5:F2827)/SUM(E$5:E2827)</f>
        <v>0.76282483245322608</v>
      </c>
    </row>
    <row r="2828" spans="1:13" x14ac:dyDescent="0.25">
      <c r="A2828" s="29">
        <v>46085</v>
      </c>
      <c r="B2828" s="16" t="s">
        <v>2874</v>
      </c>
      <c r="C2828" s="34">
        <v>1</v>
      </c>
      <c r="D2828" s="16" t="s">
        <v>50</v>
      </c>
      <c r="E2828" s="35">
        <v>0.5</v>
      </c>
      <c r="F2828" s="35">
        <v>0.5</v>
      </c>
      <c r="G2828" s="16" t="s">
        <v>44</v>
      </c>
      <c r="H2828" s="16" t="s">
        <v>45</v>
      </c>
      <c r="I2828" s="16">
        <f>COUNTIF(G$5:G2828,"Y")/COUNTA(G$5:G2828)</f>
        <v>0.88420679886685549</v>
      </c>
      <c r="J2828" s="16">
        <f>COUNTIF(H$5:H2828,"Y")/COUNTA(H$5:H2828)</f>
        <v>4.8158640226628892E-2</v>
      </c>
      <c r="K2828" s="16">
        <f>AVERAGE(F$5:F2828)</f>
        <v>2.2048866855524074</v>
      </c>
      <c r="L2828" s="16">
        <f>SUM(F$5:F2828)/SUM(E$5:E2828)</f>
        <v>0.76283936097226135</v>
      </c>
      <c r="M2828" s="16">
        <v>4</v>
      </c>
    </row>
    <row r="2829" spans="1:13" x14ac:dyDescent="0.25">
      <c r="A2829" s="29">
        <v>46090</v>
      </c>
      <c r="B2829" s="16" t="s">
        <v>2875</v>
      </c>
      <c r="C2829" s="34">
        <v>1</v>
      </c>
      <c r="D2829" s="16" t="s">
        <v>50</v>
      </c>
      <c r="E2829" s="35">
        <v>3</v>
      </c>
      <c r="F2829" s="35">
        <v>2.4</v>
      </c>
      <c r="G2829" s="16" t="s">
        <v>44</v>
      </c>
      <c r="H2829" s="16" t="s">
        <v>45</v>
      </c>
      <c r="I2829" s="16">
        <f>COUNTIF(G$5:G2829,"Y")/COUNTA(G$5:G2829)</f>
        <v>0.88424778761061951</v>
      </c>
      <c r="J2829" s="16">
        <f>COUNTIF(H$5:H2829,"Y")/COUNTA(H$5:H2829)</f>
        <v>4.8141592920353984E-2</v>
      </c>
      <c r="K2829" s="16">
        <f>AVERAGE(F$5:F2829)</f>
        <v>2.2049557522123888</v>
      </c>
      <c r="L2829" s="16">
        <f>SUM(F$5:F2829)/SUM(E$5:E2829)</f>
        <v>0.76285301393685379</v>
      </c>
    </row>
    <row r="2830" spans="1:13" x14ac:dyDescent="0.25">
      <c r="A2830" s="29">
        <v>46091</v>
      </c>
      <c r="B2830" s="16" t="s">
        <v>2876</v>
      </c>
      <c r="C2830" s="34">
        <v>1</v>
      </c>
      <c r="D2830" s="16" t="s">
        <v>52</v>
      </c>
      <c r="E2830" s="35">
        <v>5.6</v>
      </c>
      <c r="F2830" s="35">
        <v>3.9</v>
      </c>
      <c r="G2830" s="16" t="s">
        <v>45</v>
      </c>
      <c r="H2830" s="16" t="s">
        <v>44</v>
      </c>
      <c r="I2830" s="16">
        <f>COUNTIF(G$5:G2830,"Y")/COUNTA(G$5:G2830)</f>
        <v>0.88393489030431704</v>
      </c>
      <c r="J2830" s="16">
        <f>COUNTIF(H$5:H2830,"Y")/COUNTA(H$5:H2830)</f>
        <v>4.8478414720452938E-2</v>
      </c>
      <c r="K2830" s="16">
        <f>AVERAGE(F$5:F2830)</f>
        <v>2.2055555555555548</v>
      </c>
      <c r="L2830" s="16">
        <f>SUM(F$5:F2830)/SUM(E$5:E2830)</f>
        <v>0.76280748990331482</v>
      </c>
    </row>
    <row r="2831" spans="1:13" x14ac:dyDescent="0.25">
      <c r="A2831" s="29">
        <v>46092</v>
      </c>
      <c r="B2831" s="16" t="s">
        <v>2877</v>
      </c>
      <c r="C2831" s="34">
        <v>1</v>
      </c>
      <c r="D2831" s="16" t="s">
        <v>60</v>
      </c>
      <c r="E2831" s="35">
        <v>2.1</v>
      </c>
      <c r="F2831" s="35">
        <v>1.8</v>
      </c>
      <c r="G2831" s="16" t="s">
        <v>44</v>
      </c>
      <c r="H2831" s="16" t="s">
        <v>45</v>
      </c>
      <c r="I2831" s="16">
        <f>COUNTIF(G$5:G2831,"Y")/COUNTA(G$5:G2831)</f>
        <v>0.88397594623275555</v>
      </c>
      <c r="J2831" s="16">
        <f>COUNTIF(H$5:H2831,"Y")/COUNTA(H$5:H2831)</f>
        <v>4.8461266360099044E-2</v>
      </c>
      <c r="K2831" s="16">
        <f>AVERAGE(F$5:F2831)</f>
        <v>2.2054120976299956</v>
      </c>
      <c r="L2831" s="16">
        <f>SUM(F$5:F2831)/SUM(E$5:E2831)</f>
        <v>0.76283172847511782</v>
      </c>
    </row>
    <row r="2832" spans="1:13" x14ac:dyDescent="0.25">
      <c r="A2832" s="29">
        <v>46093</v>
      </c>
      <c r="B2832" s="16" t="s">
        <v>2878</v>
      </c>
      <c r="C2832" s="34">
        <v>1</v>
      </c>
      <c r="D2832" s="16" t="s">
        <v>56</v>
      </c>
      <c r="E2832" s="35">
        <v>3.6</v>
      </c>
      <c r="F2832" s="35">
        <v>3.1</v>
      </c>
      <c r="G2832" s="16" t="s">
        <v>44</v>
      </c>
      <c r="H2832" s="16" t="s">
        <v>45</v>
      </c>
      <c r="I2832" s="16">
        <f>COUNTIF(G$5:G2832,"Y")/COUNTA(G$5:G2832)</f>
        <v>0.88401697312588401</v>
      </c>
      <c r="J2832" s="16">
        <f>COUNTIF(H$5:H2832,"Y")/COUNTA(H$5:H2832)</f>
        <v>4.8444130127298445E-2</v>
      </c>
      <c r="K2832" s="16">
        <f>AVERAGE(F$5:F2832)</f>
        <v>2.2057284299858551</v>
      </c>
      <c r="L2832" s="16">
        <f>SUM(F$5:F2832)/SUM(E$5:E2832)</f>
        <v>0.76287499847126417</v>
      </c>
    </row>
    <row r="2833" spans="1:12" x14ac:dyDescent="0.25">
      <c r="A2833" s="29">
        <v>46094</v>
      </c>
      <c r="B2833" s="16" t="s">
        <v>2879</v>
      </c>
      <c r="C2833" s="34">
        <v>1</v>
      </c>
      <c r="D2833" s="16" t="s">
        <v>50</v>
      </c>
      <c r="E2833" s="35">
        <v>5</v>
      </c>
      <c r="F2833" s="35">
        <v>3.8</v>
      </c>
      <c r="G2833" s="16" t="s">
        <v>44</v>
      </c>
      <c r="H2833" s="16" t="s">
        <v>45</v>
      </c>
      <c r="I2833" s="16">
        <f>COUNTIF(G$5:G2833,"Y")/COUNTA(G$5:G2833)</f>
        <v>0.88405797101449279</v>
      </c>
      <c r="J2833" s="16">
        <f>COUNTIF(H$5:H2833,"Y")/COUNTA(H$5:H2833)</f>
        <v>4.8427006009190525E-2</v>
      </c>
      <c r="K2833" s="16">
        <f>AVERAGE(F$5:F2833)</f>
        <v>2.2062919759632376</v>
      </c>
      <c r="L2833" s="16">
        <f>SUM(F$5:F2833)/SUM(E$5:E2833)</f>
        <v>0.76287324150237545</v>
      </c>
    </row>
    <row r="2834" spans="1:12" x14ac:dyDescent="0.25">
      <c r="A2834" s="29">
        <v>46090</v>
      </c>
      <c r="B2834" s="16" t="s">
        <v>2880</v>
      </c>
      <c r="C2834" s="34">
        <v>1</v>
      </c>
      <c r="D2834" s="16" t="s">
        <v>50</v>
      </c>
      <c r="E2834" s="35">
        <v>2.2999999999999998</v>
      </c>
      <c r="F2834" s="35">
        <v>1.9</v>
      </c>
      <c r="G2834" s="16" t="s">
        <v>44</v>
      </c>
      <c r="H2834" s="16" t="s">
        <v>45</v>
      </c>
      <c r="I2834" s="16">
        <f>COUNTIF(G$5:G2834,"Y")/COUNTA(G$5:G2834)</f>
        <v>0.88409893992932864</v>
      </c>
      <c r="J2834" s="16">
        <f>COUNTIF(H$5:H2834,"Y")/COUNTA(H$5:H2834)</f>
        <v>4.8409893992932863E-2</v>
      </c>
      <c r="K2834" s="16">
        <f>AVERAGE(F$5:F2834)</f>
        <v>2.2061837455830382</v>
      </c>
      <c r="L2834" s="16">
        <f>SUM(F$5:F2834)/SUM(E$5:E2834)</f>
        <v>0.7628910068426179</v>
      </c>
    </row>
    <row r="2835" spans="1:12" x14ac:dyDescent="0.25">
      <c r="A2835" s="29">
        <v>46091</v>
      </c>
      <c r="B2835" s="16" t="s">
        <v>2881</v>
      </c>
      <c r="C2835" s="34">
        <v>1</v>
      </c>
      <c r="D2835" s="16" t="s">
        <v>64</v>
      </c>
      <c r="E2835" s="35">
        <v>2.6</v>
      </c>
      <c r="F2835" s="35">
        <v>2</v>
      </c>
      <c r="G2835" s="16" t="s">
        <v>44</v>
      </c>
      <c r="H2835" s="16" t="s">
        <v>45</v>
      </c>
      <c r="I2835" s="16">
        <f>COUNTIF(G$5:G2835,"Y")/COUNTA(G$5:G2835)</f>
        <v>0.88413987990109499</v>
      </c>
      <c r="J2835" s="16">
        <f>COUNTIF(H$5:H2835,"Y")/COUNTA(H$5:H2835)</f>
        <v>4.8392794065701163E-2</v>
      </c>
      <c r="K2835" s="16">
        <f>AVERAGE(F$5:F2835)</f>
        <v>2.2061109148710698</v>
      </c>
      <c r="L2835" s="16">
        <f>SUM(F$5:F2835)/SUM(E$5:E2835)</f>
        <v>0.76289302030146644</v>
      </c>
    </row>
    <row r="2836" spans="1:12" x14ac:dyDescent="0.25">
      <c r="A2836" s="29">
        <v>46092</v>
      </c>
      <c r="B2836" s="16" t="s">
        <v>2882</v>
      </c>
      <c r="C2836" s="34">
        <v>1</v>
      </c>
      <c r="D2836" s="16" t="s">
        <v>60</v>
      </c>
      <c r="E2836" s="35">
        <v>4.9000000000000004</v>
      </c>
      <c r="F2836" s="35">
        <v>3.5</v>
      </c>
      <c r="G2836" s="16" t="s">
        <v>44</v>
      </c>
      <c r="H2836" s="16" t="s">
        <v>45</v>
      </c>
      <c r="I2836" s="16">
        <f>COUNTIF(G$5:G2836,"Y")/COUNTA(G$5:G2836)</f>
        <v>0.88418079096045199</v>
      </c>
      <c r="J2836" s="16">
        <f>COUNTIF(H$5:H2836,"Y")/COUNTA(H$5:H2836)</f>
        <v>4.8375706214689264E-2</v>
      </c>
      <c r="K2836" s="16">
        <f>AVERAGE(F$5:F2836)</f>
        <v>2.2065677966101687</v>
      </c>
      <c r="L2836" s="16">
        <f>SUM(F$5:F2836)/SUM(E$5:E2836)</f>
        <v>0.76286394433253801</v>
      </c>
    </row>
    <row r="2837" spans="1:12" x14ac:dyDescent="0.25">
      <c r="A2837" s="29">
        <v>46093</v>
      </c>
      <c r="B2837" s="16" t="s">
        <v>2883</v>
      </c>
      <c r="C2837" s="34">
        <v>1</v>
      </c>
      <c r="D2837" s="16" t="s">
        <v>60</v>
      </c>
      <c r="E2837" s="35">
        <v>3.8</v>
      </c>
      <c r="F2837" s="35">
        <v>2.8</v>
      </c>
      <c r="G2837" s="16" t="s">
        <v>45</v>
      </c>
      <c r="H2837" s="16" t="s">
        <v>45</v>
      </c>
      <c r="I2837" s="16">
        <f>COUNTIF(G$5:G2837,"Y")/COUNTA(G$5:G2837)</f>
        <v>0.88386869043416871</v>
      </c>
      <c r="J2837" s="16">
        <f>COUNTIF(H$5:H2837,"Y")/COUNTA(H$5:H2837)</f>
        <v>4.835863042710907E-2</v>
      </c>
      <c r="K2837" s="16">
        <f>AVERAGE(F$5:F2837)</f>
        <v>2.2067772679138717</v>
      </c>
      <c r="L2837" s="16">
        <f>SUM(F$5:F2837)/SUM(E$5:E2837)</f>
        <v>0.76285187851573277</v>
      </c>
    </row>
    <row r="2838" spans="1:12" x14ac:dyDescent="0.25">
      <c r="A2838" s="29">
        <v>46094</v>
      </c>
      <c r="B2838" s="16" t="s">
        <v>2884</v>
      </c>
      <c r="C2838" s="34">
        <v>1</v>
      </c>
      <c r="D2838" s="16" t="s">
        <v>50</v>
      </c>
      <c r="E2838" s="35">
        <v>4</v>
      </c>
      <c r="F2838" s="35">
        <v>3.4</v>
      </c>
      <c r="G2838" s="16" t="s">
        <v>44</v>
      </c>
      <c r="H2838" s="16" t="s">
        <v>45</v>
      </c>
      <c r="I2838" s="16">
        <f>COUNTIF(G$5:G2838,"Y")/COUNTA(G$5:G2838)</f>
        <v>0.88390966831333806</v>
      </c>
      <c r="J2838" s="16">
        <f>COUNTIF(H$5:H2838,"Y")/COUNTA(H$5:H2838)</f>
        <v>4.8341566690190546E-2</v>
      </c>
      <c r="K2838" s="16">
        <f>AVERAGE(F$5:F2838)</f>
        <v>2.2071983062808744</v>
      </c>
      <c r="L2838" s="16">
        <f>SUM(F$5:F2838)/SUM(E$5:E2838)</f>
        <v>0.76289439342382703</v>
      </c>
    </row>
    <row r="2839" spans="1:12" x14ac:dyDescent="0.25">
      <c r="A2839" s="29">
        <v>46090</v>
      </c>
      <c r="B2839" s="16" t="s">
        <v>2885</v>
      </c>
      <c r="C2839" s="34">
        <v>1</v>
      </c>
      <c r="D2839" s="16" t="s">
        <v>64</v>
      </c>
      <c r="E2839" s="35">
        <v>2.4</v>
      </c>
      <c r="F2839" s="35">
        <v>2</v>
      </c>
      <c r="G2839" s="16" t="s">
        <v>44</v>
      </c>
      <c r="H2839" s="16" t="s">
        <v>45</v>
      </c>
      <c r="I2839" s="16">
        <f>COUNTIF(G$5:G2839,"Y")/COUNTA(G$5:G2839)</f>
        <v>0.88395061728395063</v>
      </c>
      <c r="J2839" s="16">
        <f>COUNTIF(H$5:H2839,"Y")/COUNTA(H$5:H2839)</f>
        <v>4.8324514991181657E-2</v>
      </c>
      <c r="K2839" s="16">
        <f>AVERAGE(F$5:F2839)</f>
        <v>2.2071252204585532</v>
      </c>
      <c r="L2839" s="16">
        <f>SUM(F$5:F2839)/SUM(E$5:E2839)</f>
        <v>0.76291500542570256</v>
      </c>
    </row>
    <row r="2840" spans="1:12" x14ac:dyDescent="0.25">
      <c r="A2840" s="29">
        <v>46091</v>
      </c>
      <c r="B2840" s="16" t="s">
        <v>2886</v>
      </c>
      <c r="C2840" s="34">
        <v>1</v>
      </c>
      <c r="D2840" s="16" t="s">
        <v>43</v>
      </c>
      <c r="E2840" s="35">
        <v>2.9</v>
      </c>
      <c r="F2840" s="35">
        <v>2.2999999999999998</v>
      </c>
      <c r="G2840" s="16" t="s">
        <v>44</v>
      </c>
      <c r="H2840" s="16" t="s">
        <v>45</v>
      </c>
      <c r="I2840" s="16">
        <f>COUNTIF(G$5:G2840,"Y")/COUNTA(G$5:G2840)</f>
        <v>0.88399153737658676</v>
      </c>
      <c r="J2840" s="16">
        <f>COUNTIF(H$5:H2840,"Y")/COUNTA(H$5:H2840)</f>
        <v>4.8307475317348379E-2</v>
      </c>
      <c r="K2840" s="16">
        <f>AVERAGE(F$5:F2840)</f>
        <v>2.20715796897038</v>
      </c>
      <c r="L2840" s="16">
        <f>SUM(F$5:F2840)/SUM(E$5:E2840)</f>
        <v>0.7629256758403804</v>
      </c>
    </row>
    <row r="2841" spans="1:12" x14ac:dyDescent="0.25">
      <c r="A2841" s="29">
        <v>46092</v>
      </c>
      <c r="B2841" s="16" t="s">
        <v>2887</v>
      </c>
      <c r="C2841" s="34">
        <v>1</v>
      </c>
      <c r="D2841" s="16" t="s">
        <v>47</v>
      </c>
      <c r="E2841" s="35">
        <v>3</v>
      </c>
      <c r="F2841" s="35">
        <v>2</v>
      </c>
      <c r="G2841" s="16" t="s">
        <v>44</v>
      </c>
      <c r="H2841" s="16" t="s">
        <v>45</v>
      </c>
      <c r="I2841" s="16">
        <f>COUNTIF(G$5:G2841,"Y")/COUNTA(G$5:G2841)</f>
        <v>0.88403242862178355</v>
      </c>
      <c r="J2841" s="16">
        <f>COUNTIF(H$5:H2841,"Y")/COUNTA(H$5:H2841)</f>
        <v>4.8290447655974622E-2</v>
      </c>
      <c r="K2841" s="16">
        <f>AVERAGE(F$5:F2841)</f>
        <v>2.2070849488896713</v>
      </c>
      <c r="L2841" s="16">
        <f>SUM(F$5:F2841)/SUM(E$5:E2841)</f>
        <v>0.76289049173936174</v>
      </c>
    </row>
    <row r="2842" spans="1:12" x14ac:dyDescent="0.25">
      <c r="A2842" s="29">
        <v>46093</v>
      </c>
      <c r="B2842" s="16" t="s">
        <v>2888</v>
      </c>
      <c r="C2842" s="34">
        <v>1</v>
      </c>
      <c r="D2842" s="16" t="s">
        <v>52</v>
      </c>
      <c r="E2842" s="35">
        <v>2.2000000000000002</v>
      </c>
      <c r="F2842" s="35">
        <v>1.6</v>
      </c>
      <c r="G2842" s="16" t="s">
        <v>45</v>
      </c>
      <c r="H2842" s="16" t="s">
        <v>45</v>
      </c>
      <c r="I2842" s="16">
        <f>COUNTIF(G$5:G2842,"Y")/COUNTA(G$5:G2842)</f>
        <v>0.88372093023255816</v>
      </c>
      <c r="J2842" s="16">
        <f>COUNTIF(H$5:H2842,"Y")/COUNTA(H$5:H2842)</f>
        <v>4.827343199436223E-2</v>
      </c>
      <c r="K2842" s="16">
        <f>AVERAGE(F$5:F2842)</f>
        <v>2.2068710359408028</v>
      </c>
      <c r="L2842" s="16">
        <f>SUM(F$5:F2842)/SUM(E$5:E2842)</f>
        <v>0.76288094716070853</v>
      </c>
    </row>
    <row r="2843" spans="1:12" x14ac:dyDescent="0.25">
      <c r="A2843" s="29">
        <v>46094</v>
      </c>
      <c r="B2843" s="16" t="s">
        <v>2889</v>
      </c>
      <c r="C2843" s="34">
        <v>1</v>
      </c>
      <c r="D2843" s="16" t="s">
        <v>56</v>
      </c>
      <c r="E2843" s="35">
        <v>3.4</v>
      </c>
      <c r="F2843" s="35">
        <v>2.6</v>
      </c>
      <c r="G2843" s="16" t="s">
        <v>44</v>
      </c>
      <c r="H2843" s="16" t="s">
        <v>45</v>
      </c>
      <c r="I2843" s="16">
        <f>COUNTIF(G$5:G2843,"Y")/COUNTA(G$5:G2843)</f>
        <v>0.88376188798872846</v>
      </c>
      <c r="J2843" s="16">
        <f>COUNTIF(H$5:H2843,"Y")/COUNTA(H$5:H2843)</f>
        <v>4.825642831983093E-2</v>
      </c>
      <c r="K2843" s="16">
        <f>AVERAGE(F$5:F2843)</f>
        <v>2.2070095103909821</v>
      </c>
      <c r="L2843" s="16">
        <f>SUM(F$5:F2843)/SUM(E$5:E2843)</f>
        <v>0.76288170262504085</v>
      </c>
    </row>
    <row r="2844" spans="1:12" x14ac:dyDescent="0.25">
      <c r="A2844" s="29">
        <v>46090</v>
      </c>
      <c r="B2844" s="16" t="s">
        <v>2890</v>
      </c>
      <c r="C2844" s="34">
        <v>1</v>
      </c>
      <c r="D2844" s="16" t="s">
        <v>43</v>
      </c>
      <c r="E2844" s="35">
        <v>2.8</v>
      </c>
      <c r="F2844" s="35">
        <v>2</v>
      </c>
      <c r="G2844" s="16" t="s">
        <v>44</v>
      </c>
      <c r="H2844" s="16" t="s">
        <v>45</v>
      </c>
      <c r="I2844" s="16">
        <f>COUNTIF(G$5:G2844,"Y")/COUNTA(G$5:G2844)</f>
        <v>0.88380281690140849</v>
      </c>
      <c r="J2844" s="16">
        <f>COUNTIF(H$5:H2844,"Y")/COUNTA(H$5:H2844)</f>
        <v>4.8239436619718308E-2</v>
      </c>
      <c r="K2844" s="16">
        <f>AVERAGE(F$5:F2844)</f>
        <v>2.2069366197183093</v>
      </c>
      <c r="L2844" s="16">
        <f>SUM(F$5:F2844)/SUM(E$5:E2844)</f>
        <v>0.76286514118792437</v>
      </c>
    </row>
    <row r="2845" spans="1:12" x14ac:dyDescent="0.25">
      <c r="A2845" s="29">
        <v>46091</v>
      </c>
      <c r="B2845" s="16" t="s">
        <v>2891</v>
      </c>
      <c r="C2845" s="34">
        <v>1</v>
      </c>
      <c r="D2845" s="16" t="s">
        <v>47</v>
      </c>
      <c r="E2845" s="35">
        <v>3.8</v>
      </c>
      <c r="F2845" s="35">
        <v>3.2</v>
      </c>
      <c r="G2845" s="16" t="s">
        <v>44</v>
      </c>
      <c r="H2845" s="16" t="s">
        <v>45</v>
      </c>
      <c r="I2845" s="16">
        <f>COUNTIF(G$5:G2845,"Y")/COUNTA(G$5:G2845)</f>
        <v>0.88384371700105602</v>
      </c>
      <c r="J2845" s="16">
        <f>COUNTIF(H$5:H2845,"Y")/COUNTA(H$5:H2845)</f>
        <v>4.8222456881379792E-2</v>
      </c>
      <c r="K2845" s="16">
        <f>AVERAGE(F$5:F2845)</f>
        <v>2.2072861668426604</v>
      </c>
      <c r="L2845" s="16">
        <f>SUM(F$5:F2845)/SUM(E$5:E2845)</f>
        <v>0.7629017737657835</v>
      </c>
    </row>
    <row r="2846" spans="1:12" x14ac:dyDescent="0.25">
      <c r="A2846" s="29">
        <v>46092</v>
      </c>
      <c r="B2846" s="16" t="s">
        <v>2892</v>
      </c>
      <c r="C2846" s="34">
        <v>1</v>
      </c>
      <c r="D2846" s="16" t="s">
        <v>50</v>
      </c>
      <c r="E2846" s="35">
        <v>2.5</v>
      </c>
      <c r="F2846" s="35">
        <v>2</v>
      </c>
      <c r="G2846" s="16" t="s">
        <v>45</v>
      </c>
      <c r="H2846" s="16" t="s">
        <v>45</v>
      </c>
      <c r="I2846" s="16">
        <f>COUNTIF(G$5:G2846,"Y")/COUNTA(G$5:G2846)</f>
        <v>0.88353272343420131</v>
      </c>
      <c r="J2846" s="16">
        <f>COUNTIF(H$5:H2846,"Y")/COUNTA(H$5:H2846)</f>
        <v>4.8205489092188601E-2</v>
      </c>
      <c r="K2846" s="16">
        <f>AVERAGE(F$5:F2846)</f>
        <v>2.2072132301196334</v>
      </c>
      <c r="L2846" s="16">
        <f>SUM(F$5:F2846)/SUM(E$5:E2846)</f>
        <v>0.76291305352516769</v>
      </c>
    </row>
    <row r="2847" spans="1:12" x14ac:dyDescent="0.25">
      <c r="A2847" s="29">
        <v>46093</v>
      </c>
      <c r="B2847" s="16" t="s">
        <v>2893</v>
      </c>
      <c r="C2847" s="34">
        <v>1</v>
      </c>
      <c r="D2847" s="16" t="s">
        <v>60</v>
      </c>
      <c r="E2847" s="35">
        <v>3.5</v>
      </c>
      <c r="F2847" s="35">
        <v>3.1</v>
      </c>
      <c r="G2847" s="16" t="s">
        <v>44</v>
      </c>
      <c r="H2847" s="16" t="s">
        <v>45</v>
      </c>
      <c r="I2847" s="16">
        <f>COUNTIF(G$5:G2847,"Y")/COUNTA(G$5:G2847)</f>
        <v>0.88357368976433348</v>
      </c>
      <c r="J2847" s="16">
        <f>COUNTIF(H$5:H2847,"Y")/COUNTA(H$5:H2847)</f>
        <v>4.8188533239535702E-2</v>
      </c>
      <c r="K2847" s="16">
        <f>AVERAGE(F$5:F2847)</f>
        <v>2.2075272599366862</v>
      </c>
      <c r="L2847" s="16">
        <f>SUM(F$5:F2847)/SUM(E$5:E2847)</f>
        <v>0.76296530428651166</v>
      </c>
    </row>
    <row r="2848" spans="1:12" x14ac:dyDescent="0.25">
      <c r="A2848" s="29">
        <v>46094</v>
      </c>
      <c r="B2848" s="16" t="s">
        <v>2894</v>
      </c>
      <c r="C2848" s="34">
        <v>1</v>
      </c>
      <c r="D2848" s="16" t="s">
        <v>43</v>
      </c>
      <c r="E2848" s="35">
        <v>2.2000000000000002</v>
      </c>
      <c r="F2848" s="35">
        <v>1.8</v>
      </c>
      <c r="G2848" s="16" t="s">
        <v>44</v>
      </c>
      <c r="H2848" s="16" t="s">
        <v>45</v>
      </c>
      <c r="I2848" s="16">
        <f>COUNTIF(G$5:G2848,"Y")/COUNTA(G$5:G2848)</f>
        <v>0.88361462728551332</v>
      </c>
      <c r="J2848" s="16">
        <f>COUNTIF(H$5:H2848,"Y")/COUNTA(H$5:H2848)</f>
        <v>4.8171589310829814E-2</v>
      </c>
      <c r="K2848" s="16">
        <f>AVERAGE(F$5:F2848)</f>
        <v>2.2073839662447257</v>
      </c>
      <c r="L2848" s="16">
        <f>SUM(F$5:F2848)/SUM(E$5:E2848)</f>
        <v>0.7629800680602804</v>
      </c>
    </row>
    <row r="2849" spans="1:12" x14ac:dyDescent="0.25">
      <c r="A2849" s="29">
        <v>46090</v>
      </c>
      <c r="B2849" s="16" t="s">
        <v>2895</v>
      </c>
      <c r="C2849" s="34">
        <v>1</v>
      </c>
      <c r="D2849" s="16" t="s">
        <v>43</v>
      </c>
      <c r="E2849" s="35">
        <v>3.5</v>
      </c>
      <c r="F2849" s="35">
        <v>2.9</v>
      </c>
      <c r="G2849" s="16" t="s">
        <v>44</v>
      </c>
      <c r="H2849" s="16" t="s">
        <v>45</v>
      </c>
      <c r="I2849" s="16">
        <f>COUNTIF(G$5:G2849,"Y")/COUNTA(G$5:G2849)</f>
        <v>0.88365553602811953</v>
      </c>
      <c r="J2849" s="16">
        <f>COUNTIF(H$5:H2849,"Y")/COUNTA(H$5:H2849)</f>
        <v>4.8154657293497362E-2</v>
      </c>
      <c r="K2849" s="16">
        <f>AVERAGE(F$5:F2849)</f>
        <v>2.2076274165202103</v>
      </c>
      <c r="L2849" s="16">
        <f>SUM(F$5:F2849)/SUM(E$5:E2849)</f>
        <v>0.76300795723743986</v>
      </c>
    </row>
    <row r="2850" spans="1:12" x14ac:dyDescent="0.25">
      <c r="A2850" s="29">
        <v>46091</v>
      </c>
      <c r="B2850" s="16" t="s">
        <v>2896</v>
      </c>
      <c r="C2850" s="34">
        <v>1</v>
      </c>
      <c r="D2850" s="16" t="s">
        <v>56</v>
      </c>
      <c r="E2850" s="35">
        <v>4.7</v>
      </c>
      <c r="F2850" s="35">
        <v>3.3</v>
      </c>
      <c r="G2850" s="16" t="s">
        <v>44</v>
      </c>
      <c r="H2850" s="16" t="s">
        <v>45</v>
      </c>
      <c r="I2850" s="16">
        <f>COUNTIF(G$5:G2850,"Y")/COUNTA(G$5:G2850)</f>
        <v>0.88369641602248772</v>
      </c>
      <c r="J2850" s="16">
        <f>COUNTIF(H$5:H2850,"Y")/COUNTA(H$5:H2850)</f>
        <v>4.8137737174982431E-2</v>
      </c>
      <c r="K2850" s="16">
        <f>AVERAGE(F$5:F2850)</f>
        <v>2.2080112438510184</v>
      </c>
      <c r="L2850" s="16">
        <f>SUM(F$5:F2850)/SUM(E$5:E2850)</f>
        <v>0.76297321580340283</v>
      </c>
    </row>
    <row r="2851" spans="1:12" x14ac:dyDescent="0.25">
      <c r="A2851" s="29">
        <v>46092</v>
      </c>
      <c r="B2851" s="16" t="s">
        <v>2897</v>
      </c>
      <c r="C2851" s="34">
        <v>1</v>
      </c>
      <c r="D2851" s="16" t="s">
        <v>56</v>
      </c>
      <c r="E2851" s="35">
        <v>5.3</v>
      </c>
      <c r="F2851" s="35">
        <v>4.0999999999999996</v>
      </c>
      <c r="G2851" s="16" t="s">
        <v>44</v>
      </c>
      <c r="H2851" s="16" t="s">
        <v>44</v>
      </c>
      <c r="I2851" s="16">
        <f>COUNTIF(G$5:G2851,"Y")/COUNTA(G$5:G2851)</f>
        <v>0.88373726729891111</v>
      </c>
      <c r="J2851" s="16">
        <f>COUNTIF(H$5:H2851,"Y")/COUNTA(H$5:H2851)</f>
        <v>4.8472075869336141E-2</v>
      </c>
      <c r="K2851" s="16">
        <f>AVERAGE(F$5:F2851)</f>
        <v>2.2086757990867576</v>
      </c>
      <c r="L2851" s="16">
        <f>SUM(F$5:F2851)/SUM(E$5:E2851)</f>
        <v>0.76298004004125308</v>
      </c>
    </row>
    <row r="2852" spans="1:12" x14ac:dyDescent="0.25">
      <c r="A2852" s="29">
        <v>46093</v>
      </c>
      <c r="B2852" s="16" t="s">
        <v>2898</v>
      </c>
      <c r="C2852" s="34">
        <v>1</v>
      </c>
      <c r="D2852" s="16" t="s">
        <v>47</v>
      </c>
      <c r="E2852" s="35">
        <v>3.6</v>
      </c>
      <c r="F2852" s="35">
        <v>3</v>
      </c>
      <c r="G2852" s="16" t="s">
        <v>44</v>
      </c>
      <c r="H2852" s="16" t="s">
        <v>45</v>
      </c>
      <c r="I2852" s="16">
        <f>COUNTIF(G$5:G2852,"Y")/COUNTA(G$5:G2852)</f>
        <v>0.88377808988764039</v>
      </c>
      <c r="J2852" s="16">
        <f>COUNTIF(H$5:H2852,"Y")/COUNTA(H$5:H2852)</f>
        <v>4.8455056179775281E-2</v>
      </c>
      <c r="K2852" s="16">
        <f>AVERAGE(F$5:F2852)</f>
        <v>2.2089536516853929</v>
      </c>
      <c r="L2852" s="16">
        <f>SUM(F$5:F2852)/SUM(E$5:E2852)</f>
        <v>0.7630107579046933</v>
      </c>
    </row>
    <row r="2853" spans="1:12" x14ac:dyDescent="0.25">
      <c r="A2853" s="29">
        <v>46094</v>
      </c>
      <c r="B2853" s="16" t="s">
        <v>2899</v>
      </c>
      <c r="C2853" s="34">
        <v>1</v>
      </c>
      <c r="D2853" s="16" t="s">
        <v>52</v>
      </c>
      <c r="E2853" s="35">
        <v>2.6</v>
      </c>
      <c r="F2853" s="35">
        <v>2.2000000000000002</v>
      </c>
      <c r="G2853" s="16" t="s">
        <v>44</v>
      </c>
      <c r="H2853" s="16" t="s">
        <v>45</v>
      </c>
      <c r="I2853" s="16">
        <f>COUNTIF(G$5:G2853,"Y")/COUNTA(G$5:G2853)</f>
        <v>0.88381888381888385</v>
      </c>
      <c r="J2853" s="16">
        <f>COUNTIF(H$5:H2853,"Y")/COUNTA(H$5:H2853)</f>
        <v>4.8438048438048435E-2</v>
      </c>
      <c r="K2853" s="16">
        <f>AVERAGE(F$5:F2853)</f>
        <v>2.2089505089505086</v>
      </c>
      <c r="L2853" s="16">
        <f>SUM(F$5:F2853)/SUM(E$5:E2853)</f>
        <v>0.7630369678819533</v>
      </c>
    </row>
    <row r="2854" spans="1:12" x14ac:dyDescent="0.25">
      <c r="A2854" s="29">
        <v>46090</v>
      </c>
      <c r="B2854" s="16" t="s">
        <v>2900</v>
      </c>
      <c r="C2854" s="34">
        <v>1</v>
      </c>
      <c r="D2854" s="16" t="s">
        <v>43</v>
      </c>
      <c r="E2854" s="35">
        <v>4.5999999999999996</v>
      </c>
      <c r="F2854" s="35">
        <v>3.7</v>
      </c>
      <c r="G2854" s="16" t="s">
        <v>44</v>
      </c>
      <c r="H2854" s="16" t="s">
        <v>45</v>
      </c>
      <c r="I2854" s="16">
        <f>COUNTIF(G$5:G2854,"Y")/COUNTA(G$5:G2854)</f>
        <v>0.88385964912280701</v>
      </c>
      <c r="J2854" s="16">
        <f>COUNTIF(H$5:H2854,"Y")/COUNTA(H$5:H2854)</f>
        <v>4.8421052631578948E-2</v>
      </c>
      <c r="K2854" s="16">
        <f>AVERAGE(F$5:F2854)</f>
        <v>2.209473684210526</v>
      </c>
      <c r="L2854" s="16">
        <f>SUM(F$5:F2854)/SUM(E$5:E2854)</f>
        <v>0.7630599953952214</v>
      </c>
    </row>
    <row r="2855" spans="1:12" x14ac:dyDescent="0.25">
      <c r="A2855" s="29">
        <v>46091</v>
      </c>
      <c r="B2855" s="16" t="s">
        <v>2901</v>
      </c>
      <c r="C2855" s="34">
        <v>1</v>
      </c>
      <c r="D2855" s="16" t="s">
        <v>64</v>
      </c>
      <c r="E2855" s="35">
        <v>3.4</v>
      </c>
      <c r="F2855" s="35">
        <v>2.2999999999999998</v>
      </c>
      <c r="G2855" s="16" t="s">
        <v>44</v>
      </c>
      <c r="H2855" s="16" t="s">
        <v>45</v>
      </c>
      <c r="I2855" s="16">
        <f>COUNTIF(G$5:G2855,"Y")/COUNTA(G$5:G2855)</f>
        <v>0.88390038582953345</v>
      </c>
      <c r="J2855" s="16">
        <f>COUNTIF(H$5:H2855,"Y")/COUNTA(H$5:H2855)</f>
        <v>4.8404068747807789E-2</v>
      </c>
      <c r="K2855" s="16">
        <f>AVERAGE(F$5:F2855)</f>
        <v>2.2095054366888807</v>
      </c>
      <c r="L2855" s="16">
        <f>SUM(F$5:F2855)/SUM(E$5:E2855)</f>
        <v>0.76302433470208297</v>
      </c>
    </row>
    <row r="2856" spans="1:12" x14ac:dyDescent="0.25">
      <c r="A2856" s="29">
        <v>46092</v>
      </c>
      <c r="B2856" s="16" t="s">
        <v>2902</v>
      </c>
      <c r="C2856" s="34">
        <v>1</v>
      </c>
      <c r="D2856" s="16" t="s">
        <v>50</v>
      </c>
      <c r="E2856" s="35">
        <v>3.1</v>
      </c>
      <c r="F2856" s="35">
        <v>2.6</v>
      </c>
      <c r="G2856" s="16" t="s">
        <v>44</v>
      </c>
      <c r="H2856" s="16" t="s">
        <v>45</v>
      </c>
      <c r="I2856" s="16">
        <f>COUNTIF(G$5:G2856,"Y")/COUNTA(G$5:G2856)</f>
        <v>0.88394109396914444</v>
      </c>
      <c r="J2856" s="16">
        <f>COUNTIF(H$5:H2856,"Y")/COUNTA(H$5:H2856)</f>
        <v>4.8387096774193547E-2</v>
      </c>
      <c r="K2856" s="16">
        <f>AVERAGE(F$5:F2856)</f>
        <v>2.209642356241234</v>
      </c>
      <c r="L2856" s="16">
        <f>SUM(F$5:F2856)/SUM(E$5:E2856)</f>
        <v>0.76305274374000898</v>
      </c>
    </row>
    <row r="2857" spans="1:12" x14ac:dyDescent="0.25">
      <c r="A2857" s="29">
        <v>46093</v>
      </c>
      <c r="B2857" s="16" t="s">
        <v>2903</v>
      </c>
      <c r="C2857" s="34">
        <v>1</v>
      </c>
      <c r="D2857" s="16" t="s">
        <v>47</v>
      </c>
      <c r="E2857" s="35">
        <v>3.2</v>
      </c>
      <c r="F2857" s="35">
        <v>2.7</v>
      </c>
      <c r="G2857" s="16" t="s">
        <v>44</v>
      </c>
      <c r="H2857" s="16" t="s">
        <v>45</v>
      </c>
      <c r="I2857" s="16">
        <f>COUNTIF(G$5:G2857,"Y")/COUNTA(G$5:G2857)</f>
        <v>0.88398177357167895</v>
      </c>
      <c r="J2857" s="16">
        <f>COUNTIF(H$5:H2857,"Y")/COUNTA(H$5:H2857)</f>
        <v>4.8370136698212406E-2</v>
      </c>
      <c r="K2857" s="16">
        <f>AVERAGE(F$5:F2857)</f>
        <v>2.2098142306344197</v>
      </c>
      <c r="L2857" s="16">
        <f>SUM(F$5:F2857)/SUM(E$5:E2857)</f>
        <v>0.76308399903170976</v>
      </c>
    </row>
    <row r="2858" spans="1:12" x14ac:dyDescent="0.25">
      <c r="A2858" s="29">
        <v>46094</v>
      </c>
      <c r="B2858" s="16" t="s">
        <v>2904</v>
      </c>
      <c r="C2858" s="34">
        <v>1</v>
      </c>
      <c r="D2858" s="16" t="s">
        <v>52</v>
      </c>
      <c r="E2858" s="35">
        <v>4.3</v>
      </c>
      <c r="F2858" s="35">
        <v>3.8</v>
      </c>
      <c r="G2858" s="16" t="s">
        <v>44</v>
      </c>
      <c r="H2858" s="16" t="s">
        <v>45</v>
      </c>
      <c r="I2858" s="16">
        <f>COUNTIF(G$5:G2858,"Y")/COUNTA(G$5:G2858)</f>
        <v>0.88402242466713388</v>
      </c>
      <c r="J2858" s="16">
        <f>COUNTIF(H$5:H2858,"Y")/COUNTA(H$5:H2858)</f>
        <v>4.8353188507358091E-2</v>
      </c>
      <c r="K2858" s="16">
        <f>AVERAGE(F$5:F2858)</f>
        <v>2.2103714085494044</v>
      </c>
      <c r="L2858" s="16">
        <f>SUM(F$5:F2858)/SUM(E$5:E2858)</f>
        <v>0.76314675247692276</v>
      </c>
    </row>
    <row r="2859" spans="1:12" x14ac:dyDescent="0.25">
      <c r="A2859" s="29">
        <v>46090</v>
      </c>
      <c r="B2859" s="16" t="s">
        <v>2905</v>
      </c>
      <c r="C2859" s="34">
        <v>1</v>
      </c>
      <c r="D2859" s="16" t="s">
        <v>43</v>
      </c>
      <c r="E2859" s="35">
        <v>5</v>
      </c>
      <c r="F2859" s="35">
        <v>4</v>
      </c>
      <c r="G2859" s="16" t="s">
        <v>44</v>
      </c>
      <c r="H2859" s="16" t="s">
        <v>45</v>
      </c>
      <c r="I2859" s="16">
        <f>COUNTIF(G$5:G2859,"Y")/COUNTA(G$5:G2859)</f>
        <v>0.88406304728546414</v>
      </c>
      <c r="J2859" s="16">
        <f>COUNTIF(H$5:H2859,"Y")/COUNTA(H$5:H2859)</f>
        <v>4.8336252189141858E-2</v>
      </c>
      <c r="K2859" s="16">
        <f>AVERAGE(F$5:F2859)</f>
        <v>2.210998248686515</v>
      </c>
      <c r="L2859" s="16">
        <f>SUM(F$5:F2859)/SUM(E$5:E2859)</f>
        <v>0.76316903026126315</v>
      </c>
    </row>
    <row r="2860" spans="1:12" x14ac:dyDescent="0.25">
      <c r="A2860" s="29">
        <v>46091</v>
      </c>
      <c r="B2860" s="16" t="s">
        <v>2906</v>
      </c>
      <c r="C2860" s="34">
        <v>1</v>
      </c>
      <c r="D2860" s="16" t="s">
        <v>50</v>
      </c>
      <c r="E2860" s="35">
        <v>2.5</v>
      </c>
      <c r="F2860" s="35">
        <v>2.1</v>
      </c>
      <c r="G2860" s="16" t="s">
        <v>44</v>
      </c>
      <c r="H2860" s="16" t="s">
        <v>45</v>
      </c>
      <c r="I2860" s="16">
        <f>COUNTIF(G$5:G2860,"Y")/COUNTA(G$5:G2860)</f>
        <v>0.8841036414565826</v>
      </c>
      <c r="J2860" s="16">
        <f>COUNTIF(H$5:H2860,"Y")/COUNTA(H$5:H2860)</f>
        <v>4.8319327731092439E-2</v>
      </c>
      <c r="K2860" s="16">
        <f>AVERAGE(F$5:F2860)</f>
        <v>2.2109593837535013</v>
      </c>
      <c r="L2860" s="16">
        <f>SUM(F$5:F2860)/SUM(E$5:E2860)</f>
        <v>0.76319224540114416</v>
      </c>
    </row>
    <row r="2861" spans="1:12" x14ac:dyDescent="0.25">
      <c r="A2861" s="29">
        <v>46092</v>
      </c>
      <c r="B2861" s="16" t="s">
        <v>2907</v>
      </c>
      <c r="C2861" s="34">
        <v>1</v>
      </c>
      <c r="D2861" s="16" t="s">
        <v>64</v>
      </c>
      <c r="E2861" s="35">
        <v>2.9</v>
      </c>
      <c r="F2861" s="35">
        <v>2</v>
      </c>
      <c r="G2861" s="16" t="s">
        <v>44</v>
      </c>
      <c r="H2861" s="16" t="s">
        <v>45</v>
      </c>
      <c r="I2861" s="16">
        <f>COUNTIF(G$5:G2861,"Y")/COUNTA(G$5:G2861)</f>
        <v>0.88414420721036047</v>
      </c>
      <c r="J2861" s="16">
        <f>COUNTIF(H$5:H2861,"Y")/COUNTA(H$5:H2861)</f>
        <v>4.8302415120756038E-2</v>
      </c>
      <c r="K2861" s="16">
        <f>AVERAGE(F$5:F2861)</f>
        <v>2.2108855442772137</v>
      </c>
      <c r="L2861" s="16">
        <f>SUM(F$5:F2861)/SUM(E$5:E2861)</f>
        <v>0.76316647939395976</v>
      </c>
    </row>
    <row r="2862" spans="1:12" x14ac:dyDescent="0.25">
      <c r="A2862" s="29">
        <v>46093</v>
      </c>
      <c r="B2862" s="16" t="s">
        <v>2908</v>
      </c>
      <c r="C2862" s="34">
        <v>1</v>
      </c>
      <c r="D2862" s="16" t="s">
        <v>64</v>
      </c>
      <c r="E2862" s="35">
        <v>3.7</v>
      </c>
      <c r="F2862" s="35">
        <v>2.7</v>
      </c>
      <c r="G2862" s="16" t="s">
        <v>44</v>
      </c>
      <c r="H2862" s="16" t="s">
        <v>45</v>
      </c>
      <c r="I2862" s="16">
        <f>COUNTIF(G$5:G2862,"Y")/COUNTA(G$5:G2862)</f>
        <v>0.88418474457662699</v>
      </c>
      <c r="J2862" s="16">
        <f>COUNTIF(H$5:H2862,"Y")/COUNTA(H$5:H2862)</f>
        <v>4.8285514345696293E-2</v>
      </c>
      <c r="K2862" s="16">
        <f>AVERAGE(F$5:F2862)</f>
        <v>2.2110566829951015</v>
      </c>
      <c r="L2862" s="16">
        <f>SUM(F$5:F2862)/SUM(E$5:E2862)</f>
        <v>0.7631515385730141</v>
      </c>
    </row>
    <row r="2863" spans="1:12" x14ac:dyDescent="0.25">
      <c r="A2863" s="29">
        <v>46094</v>
      </c>
      <c r="B2863" s="16" t="s">
        <v>2909</v>
      </c>
      <c r="C2863" s="34">
        <v>1</v>
      </c>
      <c r="D2863" s="16" t="s">
        <v>60</v>
      </c>
      <c r="E2863" s="35">
        <v>0.7</v>
      </c>
      <c r="F2863" s="35">
        <v>0.5</v>
      </c>
      <c r="G2863" s="16" t="s">
        <v>44</v>
      </c>
      <c r="H2863" s="16" t="s">
        <v>45</v>
      </c>
      <c r="I2863" s="16">
        <f>COUNTIF(G$5:G2863,"Y")/COUNTA(G$5:G2863)</f>
        <v>0.88422525358516968</v>
      </c>
      <c r="J2863" s="16">
        <f>COUNTIF(H$5:H2863,"Y")/COUNTA(H$5:H2863)</f>
        <v>4.8268625393494226E-2</v>
      </c>
      <c r="K2863" s="16">
        <f>AVERAGE(F$5:F2863)</f>
        <v>2.2104582021685903</v>
      </c>
      <c r="L2863" s="16">
        <f>SUM(F$5:F2863)/SUM(E$5:E2863)</f>
        <v>0.76314740795304803</v>
      </c>
    </row>
    <row r="2864" spans="1:12" x14ac:dyDescent="0.25">
      <c r="A2864" s="29">
        <v>46090</v>
      </c>
      <c r="B2864" s="16" t="s">
        <v>2910</v>
      </c>
      <c r="C2864" s="34">
        <v>1</v>
      </c>
      <c r="D2864" s="16" t="s">
        <v>52</v>
      </c>
      <c r="E2864" s="35">
        <v>0.7</v>
      </c>
      <c r="F2864" s="35">
        <v>0.5</v>
      </c>
      <c r="G2864" s="16" t="s">
        <v>44</v>
      </c>
      <c r="H2864" s="16" t="s">
        <v>45</v>
      </c>
      <c r="I2864" s="16">
        <f>COUNTIF(G$5:G2864,"Y")/COUNTA(G$5:G2864)</f>
        <v>0.88426573426573429</v>
      </c>
      <c r="J2864" s="16">
        <f>COUNTIF(H$5:H2864,"Y")/COUNTA(H$5:H2864)</f>
        <v>4.8251748251748251E-2</v>
      </c>
      <c r="K2864" s="16">
        <f>AVERAGE(F$5:F2864)</f>
        <v>2.2098601398601398</v>
      </c>
      <c r="L2864" s="16">
        <f>SUM(F$5:F2864)/SUM(E$5:E2864)</f>
        <v>0.76314327803134407</v>
      </c>
    </row>
    <row r="2865" spans="1:13" x14ac:dyDescent="0.25">
      <c r="A2865" s="29">
        <v>46091</v>
      </c>
      <c r="B2865" s="16" t="s">
        <v>2911</v>
      </c>
      <c r="C2865" s="34">
        <v>1</v>
      </c>
      <c r="D2865" s="16" t="s">
        <v>56</v>
      </c>
      <c r="E2865" s="35">
        <v>0.7</v>
      </c>
      <c r="F2865" s="35">
        <v>0.5</v>
      </c>
      <c r="G2865" s="16" t="s">
        <v>44</v>
      </c>
      <c r="H2865" s="16" t="s">
        <v>45</v>
      </c>
      <c r="I2865" s="16">
        <f>COUNTIF(G$5:G2865,"Y")/COUNTA(G$5:G2865)</f>
        <v>0.88430618664802518</v>
      </c>
      <c r="J2865" s="16">
        <f>COUNTIF(H$5:H2865,"Y")/COUNTA(H$5:H2865)</f>
        <v>4.8234882908074102E-2</v>
      </c>
      <c r="K2865" s="16">
        <f>AVERAGE(F$5:F2865)</f>
        <v>2.2092624956308984</v>
      </c>
      <c r="L2865" s="16">
        <f>SUM(F$5:F2865)/SUM(E$5:E2865)</f>
        <v>0.76313914880772526</v>
      </c>
    </row>
    <row r="2866" spans="1:13" x14ac:dyDescent="0.25">
      <c r="A2866" s="29">
        <v>46092</v>
      </c>
      <c r="B2866" s="16" t="s">
        <v>2912</v>
      </c>
      <c r="C2866" s="34">
        <v>1</v>
      </c>
      <c r="D2866" s="16" t="s">
        <v>56</v>
      </c>
      <c r="E2866" s="35">
        <v>0.7</v>
      </c>
      <c r="F2866" s="35">
        <v>0.5</v>
      </c>
      <c r="G2866" s="16" t="s">
        <v>45</v>
      </c>
      <c r="H2866" s="16" t="s">
        <v>45</v>
      </c>
      <c r="I2866" s="16">
        <f>COUNTIF(G$5:G2866,"Y")/COUNTA(G$5:G2866)</f>
        <v>0.88399720475192178</v>
      </c>
      <c r="J2866" s="16">
        <f>COUNTIF(H$5:H2866,"Y")/COUNTA(H$5:H2866)</f>
        <v>4.8218029350104823E-2</v>
      </c>
      <c r="K2866" s="16">
        <f>AVERAGE(F$5:F2866)</f>
        <v>2.2086652690426276</v>
      </c>
      <c r="L2866" s="16">
        <f>SUM(F$5:F2866)/SUM(E$5:E2866)</f>
        <v>0.76313502028201463</v>
      </c>
    </row>
    <row r="2867" spans="1:13" x14ac:dyDescent="0.25">
      <c r="A2867" s="29">
        <v>46093</v>
      </c>
      <c r="B2867" s="16" t="s">
        <v>2913</v>
      </c>
      <c r="C2867" s="34">
        <v>1</v>
      </c>
      <c r="D2867" s="16" t="s">
        <v>52</v>
      </c>
      <c r="E2867" s="35">
        <v>0.6</v>
      </c>
      <c r="F2867" s="35">
        <v>0.5</v>
      </c>
      <c r="G2867" s="16" t="s">
        <v>44</v>
      </c>
      <c r="H2867" s="16" t="s">
        <v>45</v>
      </c>
      <c r="I2867" s="16">
        <f>COUNTIF(G$5:G2867,"Y")/COUNTA(G$5:G2867)</f>
        <v>0.88403772266852954</v>
      </c>
      <c r="J2867" s="16">
        <f>COUNTIF(H$5:H2867,"Y")/COUNTA(H$5:H2867)</f>
        <v>4.8201187565490744E-2</v>
      </c>
      <c r="K2867" s="16">
        <f>AVERAGE(F$5:F2867)</f>
        <v>2.2080684596577016</v>
      </c>
      <c r="L2867" s="16">
        <f>SUM(F$5:F2867)/SUM(E$5:E2867)</f>
        <v>0.76314010478282712</v>
      </c>
    </row>
    <row r="2868" spans="1:13" x14ac:dyDescent="0.25">
      <c r="A2868" s="29">
        <v>46094</v>
      </c>
      <c r="B2868" s="16" t="s">
        <v>2914</v>
      </c>
      <c r="C2868" s="34">
        <v>1</v>
      </c>
      <c r="D2868" s="16" t="s">
        <v>47</v>
      </c>
      <c r="E2868" s="35">
        <v>0.6</v>
      </c>
      <c r="F2868" s="35">
        <v>0.5</v>
      </c>
      <c r="G2868" s="16" t="s">
        <v>44</v>
      </c>
      <c r="H2868" s="16" t="s">
        <v>45</v>
      </c>
      <c r="I2868" s="16">
        <f>COUNTIF(G$5:G2868,"Y")/COUNTA(G$5:G2868)</f>
        <v>0.88407821229050276</v>
      </c>
      <c r="J2868" s="16">
        <f>COUNTIF(H$5:H2868,"Y")/COUNTA(H$5:H2868)</f>
        <v>4.8184357541899439E-2</v>
      </c>
      <c r="K2868" s="16">
        <f>AVERAGE(F$5:F2868)</f>
        <v>2.2074720670391059</v>
      </c>
      <c r="L2868" s="16">
        <f>SUM(F$5:F2868)/SUM(E$5:E2868)</f>
        <v>0.76314518854714686</v>
      </c>
    </row>
    <row r="2869" spans="1:13" x14ac:dyDescent="0.25">
      <c r="A2869" s="29">
        <v>46090</v>
      </c>
      <c r="B2869" s="16" t="s">
        <v>2915</v>
      </c>
      <c r="C2869" s="34">
        <v>1</v>
      </c>
      <c r="D2869" s="16" t="s">
        <v>52</v>
      </c>
      <c r="E2869" s="35">
        <v>0.6</v>
      </c>
      <c r="F2869" s="35">
        <v>0.5</v>
      </c>
      <c r="G2869" s="16" t="s">
        <v>44</v>
      </c>
      <c r="H2869" s="16" t="s">
        <v>45</v>
      </c>
      <c r="I2869" s="16">
        <f>COUNTIF(G$5:G2869,"Y")/COUNTA(G$5:G2869)</f>
        <v>0.88411867364746943</v>
      </c>
      <c r="J2869" s="16">
        <f>COUNTIF(H$5:H2869,"Y")/COUNTA(H$5:H2869)</f>
        <v>4.8167539267015703E-2</v>
      </c>
      <c r="K2869" s="16">
        <f>AVERAGE(F$5:F2869)</f>
        <v>2.2068760907504363</v>
      </c>
      <c r="L2869" s="16">
        <f>SUM(F$5:F2869)/SUM(E$5:E2869)</f>
        <v>0.76315027157513371</v>
      </c>
    </row>
    <row r="2870" spans="1:13" x14ac:dyDescent="0.25">
      <c r="A2870" s="29">
        <v>46091</v>
      </c>
      <c r="B2870" s="16" t="s">
        <v>2916</v>
      </c>
      <c r="C2870" s="34">
        <v>1</v>
      </c>
      <c r="D2870" s="16" t="s">
        <v>56</v>
      </c>
      <c r="E2870" s="35">
        <v>4.7</v>
      </c>
      <c r="F2870" s="35">
        <v>0.5</v>
      </c>
      <c r="G2870" s="16" t="s">
        <v>44</v>
      </c>
      <c r="H2870" s="16" t="s">
        <v>45</v>
      </c>
      <c r="I2870" s="16">
        <f>COUNTIF(G$5:G2870,"Y")/COUNTA(G$5:G2870)</f>
        <v>0.8841591067690161</v>
      </c>
      <c r="J2870" s="16">
        <f>COUNTIF(H$5:H2870,"Y")/COUNTA(H$5:H2870)</f>
        <v>4.815073272854152E-2</v>
      </c>
      <c r="K2870" s="16">
        <f>AVERAGE(F$5:F2870)</f>
        <v>2.2062805303558966</v>
      </c>
      <c r="L2870" s="16">
        <f>SUM(F$5:F2870)/SUM(E$5:E2870)</f>
        <v>0.76277790511115995</v>
      </c>
      <c r="M2870" s="16">
        <v>10</v>
      </c>
    </row>
    <row r="2871" spans="1:13" x14ac:dyDescent="0.25">
      <c r="A2871" s="29">
        <v>46097</v>
      </c>
      <c r="B2871" s="16" t="s">
        <v>2917</v>
      </c>
      <c r="C2871" s="34">
        <v>1</v>
      </c>
      <c r="D2871" s="16" t="s">
        <v>64</v>
      </c>
      <c r="E2871" s="35">
        <v>2.1</v>
      </c>
      <c r="F2871" s="35">
        <v>1.6</v>
      </c>
      <c r="G2871" s="16" t="s">
        <v>44</v>
      </c>
      <c r="H2871" s="16" t="s">
        <v>45</v>
      </c>
      <c r="I2871" s="16">
        <f>COUNTIF(G$5:G2871,"Y")/COUNTA(G$5:G2871)</f>
        <v>0.8841995116846878</v>
      </c>
      <c r="J2871" s="16">
        <f>COUNTIF(H$5:H2871,"Y")/COUNTA(H$5:H2871)</f>
        <v>4.8133937914196026E-2</v>
      </c>
      <c r="K2871" s="16">
        <f>AVERAGE(F$5:F2871)</f>
        <v>2.2060690617370073</v>
      </c>
      <c r="L2871" s="16">
        <f>SUM(F$5:F2871)/SUM(E$5:E2871)</f>
        <v>0.76277768397693901</v>
      </c>
    </row>
    <row r="2872" spans="1:13" x14ac:dyDescent="0.25">
      <c r="A2872" s="29">
        <v>46098</v>
      </c>
      <c r="B2872" s="16" t="s">
        <v>2918</v>
      </c>
      <c r="C2872" s="34">
        <v>1</v>
      </c>
      <c r="D2872" s="16" t="s">
        <v>60</v>
      </c>
      <c r="E2872" s="35">
        <v>2.5</v>
      </c>
      <c r="F2872" s="35">
        <v>1.9</v>
      </c>
      <c r="G2872" s="16" t="s">
        <v>45</v>
      </c>
      <c r="H2872" s="16" t="s">
        <v>45</v>
      </c>
      <c r="I2872" s="16">
        <f>COUNTIF(G$5:G2872,"Y")/COUNTA(G$5:G2872)</f>
        <v>0.88389121338912136</v>
      </c>
      <c r="J2872" s="16">
        <f>COUNTIF(H$5:H2872,"Y")/COUNTA(H$5:H2872)</f>
        <v>4.8117154811715482E-2</v>
      </c>
      <c r="K2872" s="16">
        <f>AVERAGE(F$5:F2872)</f>
        <v>2.2059623430962341</v>
      </c>
      <c r="L2872" s="16">
        <f>SUM(F$5:F2872)/SUM(E$5:E2872)</f>
        <v>0.76277684675017565</v>
      </c>
    </row>
    <row r="2873" spans="1:13" x14ac:dyDescent="0.25">
      <c r="A2873" s="29">
        <v>46099</v>
      </c>
      <c r="B2873" s="16" t="s">
        <v>2919</v>
      </c>
      <c r="C2873" s="34">
        <v>1</v>
      </c>
      <c r="D2873" s="16" t="s">
        <v>50</v>
      </c>
      <c r="E2873" s="35">
        <v>1.6</v>
      </c>
      <c r="F2873" s="35">
        <v>1.3</v>
      </c>
      <c r="G2873" s="16" t="s">
        <v>44</v>
      </c>
      <c r="H2873" s="16" t="s">
        <v>44</v>
      </c>
      <c r="I2873" s="16">
        <f>COUNTIF(G$5:G2873,"Y")/COUNTA(G$5:G2873)</f>
        <v>0.88393168351341933</v>
      </c>
      <c r="J2873" s="16">
        <f>COUNTIF(H$5:H2873,"Y")/COUNTA(H$5:H2873)</f>
        <v>4.8448936911815961E-2</v>
      </c>
      <c r="K2873" s="16">
        <f>AVERAGE(F$5:F2873)</f>
        <v>2.2056465667479959</v>
      </c>
      <c r="L2873" s="16">
        <f>SUM(F$5:F2873)/SUM(E$5:E2873)</f>
        <v>0.76278643667353541</v>
      </c>
    </row>
    <row r="2874" spans="1:13" x14ac:dyDescent="0.25">
      <c r="A2874" s="29">
        <v>46100</v>
      </c>
      <c r="B2874" s="16" t="s">
        <v>2920</v>
      </c>
      <c r="C2874" s="34">
        <v>1</v>
      </c>
      <c r="D2874" s="16" t="s">
        <v>43</v>
      </c>
      <c r="E2874" s="35">
        <v>3.6</v>
      </c>
      <c r="F2874" s="35">
        <v>2.7</v>
      </c>
      <c r="G2874" s="16" t="s">
        <v>44</v>
      </c>
      <c r="H2874" s="16" t="s">
        <v>45</v>
      </c>
      <c r="I2874" s="16">
        <f>COUNTIF(G$5:G2874,"Y")/COUNTA(G$5:G2874)</f>
        <v>0.88397212543554005</v>
      </c>
      <c r="J2874" s="16">
        <f>COUNTIF(H$5:H2874,"Y")/COUNTA(H$5:H2874)</f>
        <v>4.843205574912892E-2</v>
      </c>
      <c r="K2874" s="16">
        <f>AVERAGE(F$5:F2874)</f>
        <v>2.2058188153310105</v>
      </c>
      <c r="L2874" s="16">
        <f>SUM(F$5:F2874)/SUM(E$5:E2874)</f>
        <v>0.76278089041508301</v>
      </c>
    </row>
    <row r="2875" spans="1:13" x14ac:dyDescent="0.25">
      <c r="A2875" s="29">
        <v>46101</v>
      </c>
      <c r="B2875" s="16" t="s">
        <v>2921</v>
      </c>
      <c r="C2875" s="34">
        <v>1</v>
      </c>
      <c r="D2875" s="16" t="s">
        <v>60</v>
      </c>
      <c r="E2875" s="35">
        <v>1.7</v>
      </c>
      <c r="F2875" s="35">
        <v>1.5</v>
      </c>
      <c r="G2875" s="16" t="s">
        <v>44</v>
      </c>
      <c r="H2875" s="16" t="s">
        <v>45</v>
      </c>
      <c r="I2875" s="16">
        <f>COUNTIF(G$5:G2875,"Y")/COUNTA(G$5:G2875)</f>
        <v>0.88401253918495293</v>
      </c>
      <c r="J2875" s="16">
        <f>COUNTIF(H$5:H2875,"Y")/COUNTA(H$5:H2875)</f>
        <v>4.8415186346220829E-2</v>
      </c>
      <c r="K2875" s="16">
        <f>AVERAGE(F$5:F2875)</f>
        <v>2.2055729710902123</v>
      </c>
      <c r="L2875" s="16">
        <f>SUM(F$5:F2875)/SUM(E$5:E2875)</f>
        <v>0.76280537753577571</v>
      </c>
    </row>
    <row r="2876" spans="1:13" x14ac:dyDescent="0.25">
      <c r="A2876" s="29">
        <v>46097</v>
      </c>
      <c r="B2876" s="16" t="s">
        <v>2922</v>
      </c>
      <c r="C2876" s="34">
        <v>1</v>
      </c>
      <c r="D2876" s="16" t="s">
        <v>52</v>
      </c>
      <c r="E2876" s="35">
        <v>4.4000000000000004</v>
      </c>
      <c r="F2876" s="35">
        <v>3.1</v>
      </c>
      <c r="G2876" s="16" t="s">
        <v>45</v>
      </c>
      <c r="H2876" s="16" t="s">
        <v>45</v>
      </c>
      <c r="I2876" s="16">
        <f>COUNTIF(G$5:G2876,"Y")/COUNTA(G$5:G2876)</f>
        <v>0.88370473537604455</v>
      </c>
      <c r="J2876" s="16">
        <f>COUNTIF(H$5:H2876,"Y")/COUNTA(H$5:H2876)</f>
        <v>4.8398328690807797E-2</v>
      </c>
      <c r="K2876" s="16">
        <f>AVERAGE(F$5:F2876)</f>
        <v>2.205884401114206</v>
      </c>
      <c r="L2876" s="16">
        <f>SUM(F$5:F2876)/SUM(E$5:E2876)</f>
        <v>0.76277451358119608</v>
      </c>
    </row>
    <row r="2877" spans="1:13" x14ac:dyDescent="0.25">
      <c r="A2877" s="29">
        <v>46098</v>
      </c>
      <c r="B2877" s="16" t="s">
        <v>2923</v>
      </c>
      <c r="C2877" s="34">
        <v>1</v>
      </c>
      <c r="D2877" s="16" t="s">
        <v>64</v>
      </c>
      <c r="E2877" s="35">
        <v>4.5999999999999996</v>
      </c>
      <c r="F2877" s="35">
        <v>3.4</v>
      </c>
      <c r="G2877" s="16" t="s">
        <v>44</v>
      </c>
      <c r="H2877" s="16" t="s">
        <v>45</v>
      </c>
      <c r="I2877" s="16">
        <f>COUNTIF(G$5:G2877,"Y")/COUNTA(G$5:G2877)</f>
        <v>0.88374521406195616</v>
      </c>
      <c r="J2877" s="16">
        <f>COUNTIF(H$5:H2877,"Y")/COUNTA(H$5:H2877)</f>
        <v>4.8381482770623041E-2</v>
      </c>
      <c r="K2877" s="16">
        <f>AVERAGE(F$5:F2877)</f>
        <v>2.206300034806822</v>
      </c>
      <c r="L2877" s="16">
        <f>SUM(F$5:F2877)/SUM(E$5:E2877)</f>
        <v>0.76276142571779038</v>
      </c>
    </row>
    <row r="2878" spans="1:13" x14ac:dyDescent="0.25">
      <c r="A2878" s="29">
        <v>46099</v>
      </c>
      <c r="B2878" s="16" t="s">
        <v>2924</v>
      </c>
      <c r="C2878" s="34">
        <v>1</v>
      </c>
      <c r="D2878" s="16" t="s">
        <v>64</v>
      </c>
      <c r="E2878" s="35">
        <v>2.2000000000000002</v>
      </c>
      <c r="F2878" s="35">
        <v>1.5</v>
      </c>
      <c r="G2878" s="16" t="s">
        <v>44</v>
      </c>
      <c r="H2878" s="16" t="s">
        <v>45</v>
      </c>
      <c r="I2878" s="16">
        <f>COUNTIF(G$5:G2878,"Y")/COUNTA(G$5:G2878)</f>
        <v>0.883785664578984</v>
      </c>
      <c r="J2878" s="16">
        <f>COUNTIF(H$5:H2878,"Y")/COUNTA(H$5:H2878)</f>
        <v>4.8364648573416838E-2</v>
      </c>
      <c r="K2878" s="16">
        <f>AVERAGE(F$5:F2878)</f>
        <v>2.2060542797494782</v>
      </c>
      <c r="L2878" s="16">
        <f>SUM(F$5:F2878)/SUM(E$5:E2878)</f>
        <v>0.76274000288725041</v>
      </c>
    </row>
    <row r="2879" spans="1:13" x14ac:dyDescent="0.25">
      <c r="A2879" s="29">
        <v>46100</v>
      </c>
      <c r="B2879" s="16" t="s">
        <v>2925</v>
      </c>
      <c r="C2879" s="34">
        <v>1</v>
      </c>
      <c r="D2879" s="16" t="s">
        <v>52</v>
      </c>
      <c r="E2879" s="35">
        <v>5</v>
      </c>
      <c r="F2879" s="35">
        <v>3.7</v>
      </c>
      <c r="G2879" s="16" t="s">
        <v>44</v>
      </c>
      <c r="H2879" s="16" t="s">
        <v>45</v>
      </c>
      <c r="I2879" s="16">
        <f>COUNTIF(G$5:G2879,"Y")/COUNTA(G$5:G2879)</f>
        <v>0.88382608695652176</v>
      </c>
      <c r="J2879" s="16">
        <f>COUNTIF(H$5:H2879,"Y")/COUNTA(H$5:H2879)</f>
        <v>4.8347826086956522E-2</v>
      </c>
      <c r="K2879" s="16">
        <f>AVERAGE(F$5:F2879)</f>
        <v>2.2065739130434783</v>
      </c>
      <c r="L2879" s="16">
        <f>SUM(F$5:F2879)/SUM(E$5:E2879)</f>
        <v>0.76272633274821222</v>
      </c>
    </row>
    <row r="2880" spans="1:13" x14ac:dyDescent="0.25">
      <c r="A2880" s="29">
        <v>46101</v>
      </c>
      <c r="B2880" s="16" t="s">
        <v>2926</v>
      </c>
      <c r="C2880" s="34">
        <v>1</v>
      </c>
      <c r="D2880" s="16" t="s">
        <v>43</v>
      </c>
      <c r="E2880" s="35">
        <v>4.5</v>
      </c>
      <c r="F2880" s="35">
        <v>3.2</v>
      </c>
      <c r="G2880" s="16" t="s">
        <v>44</v>
      </c>
      <c r="H2880" s="16" t="s">
        <v>45</v>
      </c>
      <c r="I2880" s="16">
        <f>COUNTIF(G$5:G2880,"Y")/COUNTA(G$5:G2880)</f>
        <v>0.88386648122392208</v>
      </c>
      <c r="J2880" s="16">
        <f>COUNTIF(H$5:H2880,"Y")/COUNTA(H$5:H2880)</f>
        <v>4.8331015299026427E-2</v>
      </c>
      <c r="K2880" s="16">
        <f>AVERAGE(F$5:F2880)</f>
        <v>2.2069193324061196</v>
      </c>
      <c r="L2880" s="16">
        <f>SUM(F$5:F2880)/SUM(E$5:E2880)</f>
        <v>0.76269842223530449</v>
      </c>
    </row>
    <row r="2881" spans="1:12" x14ac:dyDescent="0.25">
      <c r="A2881" s="29">
        <v>46097</v>
      </c>
      <c r="B2881" s="16" t="s">
        <v>2927</v>
      </c>
      <c r="C2881" s="34">
        <v>1</v>
      </c>
      <c r="D2881" s="16" t="s">
        <v>47</v>
      </c>
      <c r="E2881" s="35">
        <v>2.6</v>
      </c>
      <c r="F2881" s="35">
        <v>1.8</v>
      </c>
      <c r="G2881" s="16" t="s">
        <v>44</v>
      </c>
      <c r="H2881" s="16" t="s">
        <v>45</v>
      </c>
      <c r="I2881" s="16">
        <f>COUNTIF(G$5:G2881,"Y")/COUNTA(G$5:G2881)</f>
        <v>0.88390684741049708</v>
      </c>
      <c r="J2881" s="16">
        <f>COUNTIF(H$5:H2881,"Y")/COUNTA(H$5:H2881)</f>
        <v>4.831421619742788E-2</v>
      </c>
      <c r="K2881" s="16">
        <f>AVERAGE(F$5:F2881)</f>
        <v>2.2067778936392073</v>
      </c>
      <c r="L2881" s="16">
        <f>SUM(F$5:F2881)/SUM(E$5:E2881)</f>
        <v>0.76267643702324228</v>
      </c>
    </row>
    <row r="2882" spans="1:12" x14ac:dyDescent="0.25">
      <c r="A2882" s="29">
        <v>46098</v>
      </c>
      <c r="B2882" s="16" t="s">
        <v>2928</v>
      </c>
      <c r="C2882" s="34">
        <v>1</v>
      </c>
      <c r="D2882" s="16" t="s">
        <v>43</v>
      </c>
      <c r="E2882" s="35">
        <v>3.3</v>
      </c>
      <c r="F2882" s="35">
        <v>2.2999999999999998</v>
      </c>
      <c r="G2882" s="16" t="s">
        <v>44</v>
      </c>
      <c r="H2882" s="16" t="s">
        <v>45</v>
      </c>
      <c r="I2882" s="16">
        <f>COUNTIF(G$5:G2882,"Y")/COUNTA(G$5:G2882)</f>
        <v>0.88394718554551777</v>
      </c>
      <c r="J2882" s="16">
        <f>COUNTIF(H$5:H2882,"Y")/COUNTA(H$5:H2882)</f>
        <v>4.8297428769979153E-2</v>
      </c>
      <c r="K2882" s="16">
        <f>AVERAGE(F$5:F2882)</f>
        <v>2.2068102849200835</v>
      </c>
      <c r="L2882" s="16">
        <f>SUM(F$5:F2882)/SUM(E$5:E2882)</f>
        <v>0.76265039986550842</v>
      </c>
    </row>
    <row r="2883" spans="1:12" x14ac:dyDescent="0.25">
      <c r="A2883" s="29">
        <v>46099</v>
      </c>
      <c r="B2883" s="16" t="s">
        <v>2929</v>
      </c>
      <c r="C2883" s="34">
        <v>1</v>
      </c>
      <c r="D2883" s="16" t="s">
        <v>60</v>
      </c>
      <c r="E2883" s="35">
        <v>2.2000000000000002</v>
      </c>
      <c r="F2883" s="35">
        <v>1.9</v>
      </c>
      <c r="G2883" s="16" t="s">
        <v>44</v>
      </c>
      <c r="H2883" s="16" t="s">
        <v>45</v>
      </c>
      <c r="I2883" s="16">
        <f>COUNTIF(G$5:G2883,"Y")/COUNTA(G$5:G2883)</f>
        <v>0.88398749565821466</v>
      </c>
      <c r="J2883" s="16">
        <f>COUNTIF(H$5:H2883,"Y")/COUNTA(H$5:H2883)</f>
        <v>4.8280653004515457E-2</v>
      </c>
      <c r="K2883" s="16">
        <f>AVERAGE(F$5:F2883)</f>
        <v>2.2067037165682528</v>
      </c>
      <c r="L2883" s="16">
        <f>SUM(F$5:F2883)/SUM(E$5:E2883)</f>
        <v>0.76267707082832892</v>
      </c>
    </row>
    <row r="2884" spans="1:12" x14ac:dyDescent="0.25">
      <c r="A2884" s="29">
        <v>46100</v>
      </c>
      <c r="B2884" s="16" t="s">
        <v>2930</v>
      </c>
      <c r="C2884" s="34">
        <v>1</v>
      </c>
      <c r="D2884" s="16" t="s">
        <v>50</v>
      </c>
      <c r="E2884" s="35">
        <v>2.5</v>
      </c>
      <c r="F2884" s="35">
        <v>2</v>
      </c>
      <c r="G2884" s="16" t="s">
        <v>45</v>
      </c>
      <c r="H2884" s="16" t="s">
        <v>45</v>
      </c>
      <c r="I2884" s="16">
        <f>COUNTIF(G$5:G2884,"Y")/COUNTA(G$5:G2884)</f>
        <v>0.88368055555555558</v>
      </c>
      <c r="J2884" s="16">
        <f>COUNTIF(H$5:H2884,"Y")/COUNTA(H$5:H2884)</f>
        <v>4.8263888888888891E-2</v>
      </c>
      <c r="K2884" s="16">
        <f>AVERAGE(F$5:F2884)</f>
        <v>2.2066319444444442</v>
      </c>
      <c r="L2884" s="16">
        <f>SUM(F$5:F2884)/SUM(E$5:E2884)</f>
        <v>0.76268826882688034</v>
      </c>
    </row>
    <row r="2885" spans="1:12" x14ac:dyDescent="0.25">
      <c r="A2885" s="29">
        <v>46101</v>
      </c>
      <c r="B2885" s="16" t="s">
        <v>2931</v>
      </c>
      <c r="C2885" s="34">
        <v>1</v>
      </c>
      <c r="D2885" s="16" t="s">
        <v>47</v>
      </c>
      <c r="E2885" s="35">
        <v>4</v>
      </c>
      <c r="F2885" s="35">
        <v>3.1</v>
      </c>
      <c r="G2885" s="16" t="s">
        <v>45</v>
      </c>
      <c r="H2885" s="16" t="s">
        <v>45</v>
      </c>
      <c r="I2885" s="16">
        <f>COUNTIF(G$5:G2885,"Y")/COUNTA(G$5:G2885)</f>
        <v>0.88337382853175983</v>
      </c>
      <c r="J2885" s="16">
        <f>COUNTIF(H$5:H2885,"Y")/COUNTA(H$5:H2885)</f>
        <v>4.8247136410968415E-2</v>
      </c>
      <c r="K2885" s="16">
        <f>AVERAGE(F$5:F2885)</f>
        <v>2.2069420340159667</v>
      </c>
      <c r="L2885" s="16">
        <f>SUM(F$5:F2885)/SUM(E$5:E2885)</f>
        <v>0.7626941762130367</v>
      </c>
    </row>
    <row r="2886" spans="1:12" x14ac:dyDescent="0.25">
      <c r="A2886" s="29">
        <v>46097</v>
      </c>
      <c r="B2886" s="16" t="s">
        <v>2932</v>
      </c>
      <c r="C2886" s="34">
        <v>1</v>
      </c>
      <c r="D2886" s="16" t="s">
        <v>60</v>
      </c>
      <c r="E2886" s="35">
        <v>2.8</v>
      </c>
      <c r="F2886" s="35">
        <v>2.2000000000000002</v>
      </c>
      <c r="G2886" s="16" t="s">
        <v>44</v>
      </c>
      <c r="H2886" s="16" t="s">
        <v>45</v>
      </c>
      <c r="I2886" s="16">
        <f>COUNTIF(G$5:G2886,"Y")/COUNTA(G$5:G2886)</f>
        <v>0.88341429562803608</v>
      </c>
      <c r="J2886" s="16">
        <f>COUNTIF(H$5:H2886,"Y")/COUNTA(H$5:H2886)</f>
        <v>4.8230395558639831E-2</v>
      </c>
      <c r="K2886" s="16">
        <f>AVERAGE(F$5:F2886)</f>
        <v>2.2069396252602358</v>
      </c>
      <c r="L2886" s="16">
        <f>SUM(F$5:F2886)/SUM(E$5:E2886)</f>
        <v>0.76270190543570571</v>
      </c>
    </row>
    <row r="2887" spans="1:12" x14ac:dyDescent="0.25">
      <c r="A2887" s="29">
        <v>46098</v>
      </c>
      <c r="B2887" s="16" t="s">
        <v>2933</v>
      </c>
      <c r="C2887" s="34">
        <v>1</v>
      </c>
      <c r="D2887" s="16" t="s">
        <v>52</v>
      </c>
      <c r="E2887" s="35">
        <v>3.1</v>
      </c>
      <c r="F2887" s="35">
        <v>2.2000000000000002</v>
      </c>
      <c r="G2887" s="16" t="s">
        <v>45</v>
      </c>
      <c r="H2887" s="16" t="s">
        <v>45</v>
      </c>
      <c r="I2887" s="16">
        <f>COUNTIF(G$5:G2887,"Y")/COUNTA(G$5:G2887)</f>
        <v>0.88310787374262922</v>
      </c>
      <c r="J2887" s="16">
        <f>COUNTIF(H$5:H2887,"Y")/COUNTA(H$5:H2887)</f>
        <v>4.8213666319805761E-2</v>
      </c>
      <c r="K2887" s="16">
        <f>AVERAGE(F$5:F2887)</f>
        <v>2.2069372181755114</v>
      </c>
      <c r="L2887" s="16">
        <f>SUM(F$5:F2887)/SUM(E$5:E2887)</f>
        <v>0.76268220176447787</v>
      </c>
    </row>
    <row r="2888" spans="1:12" x14ac:dyDescent="0.25">
      <c r="A2888" s="29">
        <v>46099</v>
      </c>
      <c r="B2888" s="16" t="s">
        <v>2934</v>
      </c>
      <c r="C2888" s="34">
        <v>1</v>
      </c>
      <c r="D2888" s="16" t="s">
        <v>43</v>
      </c>
      <c r="E2888" s="35">
        <v>3.3</v>
      </c>
      <c r="F2888" s="35">
        <v>2.2000000000000002</v>
      </c>
      <c r="G2888" s="16" t="s">
        <v>44</v>
      </c>
      <c r="H2888" s="16" t="s">
        <v>45</v>
      </c>
      <c r="I2888" s="16">
        <f>COUNTIF(G$5:G2888,"Y")/COUNTA(G$5:G2888)</f>
        <v>0.88314840499306524</v>
      </c>
      <c r="J2888" s="16">
        <f>COUNTIF(H$5:H2888,"Y")/COUNTA(H$5:H2888)</f>
        <v>4.8196948682385575E-2</v>
      </c>
      <c r="K2888" s="16">
        <f>AVERAGE(F$5:F2888)</f>
        <v>2.2069348127600552</v>
      </c>
      <c r="L2888" s="16">
        <f>SUM(F$5:F2888)/SUM(E$5:E2888)</f>
        <v>0.76264423595384223</v>
      </c>
    </row>
    <row r="2889" spans="1:12" x14ac:dyDescent="0.25">
      <c r="A2889" s="29">
        <v>46100</v>
      </c>
      <c r="B2889" s="16" t="s">
        <v>2935</v>
      </c>
      <c r="C2889" s="34">
        <v>1</v>
      </c>
      <c r="D2889" s="16" t="s">
        <v>47</v>
      </c>
      <c r="E2889" s="35">
        <v>2.8</v>
      </c>
      <c r="F2889" s="35">
        <v>2</v>
      </c>
      <c r="G2889" s="16" t="s">
        <v>45</v>
      </c>
      <c r="H2889" s="16" t="s">
        <v>45</v>
      </c>
      <c r="I2889" s="16">
        <f>COUNTIF(G$5:G2889,"Y")/COUNTA(G$5:G2889)</f>
        <v>0.88284228769497397</v>
      </c>
      <c r="J2889" s="16">
        <f>COUNTIF(H$5:H2889,"Y")/COUNTA(H$5:H2889)</f>
        <v>4.8180242634315425E-2</v>
      </c>
      <c r="K2889" s="16">
        <f>AVERAGE(F$5:F2889)</f>
        <v>2.2068630849220101</v>
      </c>
      <c r="L2889" s="16">
        <f>SUM(F$5:F2889)/SUM(E$5:E2889)</f>
        <v>0.76262801700904126</v>
      </c>
    </row>
    <row r="2890" spans="1:12" x14ac:dyDescent="0.25">
      <c r="A2890" s="29">
        <v>46101</v>
      </c>
      <c r="B2890" s="16" t="s">
        <v>2936</v>
      </c>
      <c r="C2890" s="34">
        <v>1</v>
      </c>
      <c r="D2890" s="16" t="s">
        <v>47</v>
      </c>
      <c r="E2890" s="35">
        <v>5.2</v>
      </c>
      <c r="F2890" s="35">
        <v>3.7</v>
      </c>
      <c r="G2890" s="16" t="s">
        <v>44</v>
      </c>
      <c r="H2890" s="16" t="s">
        <v>45</v>
      </c>
      <c r="I2890" s="16">
        <f>COUNTIF(G$5:G2890,"Y")/COUNTA(G$5:G2890)</f>
        <v>0.88288288288288286</v>
      </c>
      <c r="J2890" s="16">
        <f>COUNTIF(H$5:H2890,"Y")/COUNTA(H$5:H2890)</f>
        <v>4.8163548163548162E-2</v>
      </c>
      <c r="K2890" s="16">
        <f>AVERAGE(F$5:F2890)</f>
        <v>2.2073804573804572</v>
      </c>
      <c r="L2890" s="16">
        <f>SUM(F$5:F2890)/SUM(E$5:E2890)</f>
        <v>0.76259621485090201</v>
      </c>
    </row>
    <row r="2891" spans="1:12" x14ac:dyDescent="0.25">
      <c r="A2891" s="29">
        <v>46097</v>
      </c>
      <c r="B2891" s="16" t="s">
        <v>2937</v>
      </c>
      <c r="C2891" s="34">
        <v>1</v>
      </c>
      <c r="D2891" s="16" t="s">
        <v>56</v>
      </c>
      <c r="E2891" s="35">
        <v>1.5</v>
      </c>
      <c r="F2891" s="35">
        <v>1.1000000000000001</v>
      </c>
      <c r="G2891" s="16" t="s">
        <v>44</v>
      </c>
      <c r="H2891" s="16" t="s">
        <v>45</v>
      </c>
      <c r="I2891" s="16">
        <f>COUNTIF(G$5:G2891,"Y")/COUNTA(G$5:G2891)</f>
        <v>0.88292344994804295</v>
      </c>
      <c r="J2891" s="16">
        <f>COUNTIF(H$5:H2891,"Y")/COUNTA(H$5:H2891)</f>
        <v>4.814686525805334E-2</v>
      </c>
      <c r="K2891" s="16">
        <f>AVERAGE(F$5:F2891)</f>
        <v>2.2069968825770694</v>
      </c>
      <c r="L2891" s="16">
        <f>SUM(F$5:F2891)/SUM(E$5:E2891)</f>
        <v>0.76259096131750059</v>
      </c>
    </row>
    <row r="2892" spans="1:12" x14ac:dyDescent="0.25">
      <c r="A2892" s="29">
        <v>46098</v>
      </c>
      <c r="B2892" s="16" t="s">
        <v>2938</v>
      </c>
      <c r="C2892" s="34">
        <v>1</v>
      </c>
      <c r="D2892" s="16" t="s">
        <v>50</v>
      </c>
      <c r="E2892" s="35">
        <v>2.2000000000000002</v>
      </c>
      <c r="F2892" s="35">
        <v>1.6</v>
      </c>
      <c r="G2892" s="16" t="s">
        <v>44</v>
      </c>
      <c r="H2892" s="16" t="s">
        <v>45</v>
      </c>
      <c r="I2892" s="16">
        <f>COUNTIF(G$5:G2892,"Y")/COUNTA(G$5:G2892)</f>
        <v>0.88296398891966754</v>
      </c>
      <c r="J2892" s="16">
        <f>COUNTIF(H$5:H2892,"Y")/COUNTA(H$5:H2892)</f>
        <v>4.8130193905817173E-2</v>
      </c>
      <c r="K2892" s="16">
        <f>AVERAGE(F$5:F2892)</f>
        <v>2.2067867036011082</v>
      </c>
      <c r="L2892" s="16">
        <f>SUM(F$5:F2892)/SUM(E$5:E2892)</f>
        <v>0.76258166415392115</v>
      </c>
    </row>
    <row r="2893" spans="1:12" x14ac:dyDescent="0.25">
      <c r="A2893" s="29">
        <v>46099</v>
      </c>
      <c r="B2893" s="16" t="s">
        <v>2939</v>
      </c>
      <c r="C2893" s="34">
        <v>1</v>
      </c>
      <c r="D2893" s="16" t="s">
        <v>43</v>
      </c>
      <c r="E2893" s="35">
        <v>2.4</v>
      </c>
      <c r="F2893" s="35">
        <v>1.9</v>
      </c>
      <c r="G2893" s="16" t="s">
        <v>44</v>
      </c>
      <c r="H2893" s="16" t="s">
        <v>45</v>
      </c>
      <c r="I2893" s="16">
        <f>COUNTIF(G$5:G2893,"Y")/COUNTA(G$5:G2893)</f>
        <v>0.88300449982692975</v>
      </c>
      <c r="J2893" s="16">
        <f>COUNTIF(H$5:H2893,"Y")/COUNTA(H$5:H2893)</f>
        <v>4.8113534094842508E-2</v>
      </c>
      <c r="K2893" s="16">
        <f>AVERAGE(F$5:F2893)</f>
        <v>2.2066805122879889</v>
      </c>
      <c r="L2893" s="16">
        <f>SUM(F$5:F2893)/SUM(E$5:E2893)</f>
        <v>0.76259001411516791</v>
      </c>
    </row>
    <row r="2894" spans="1:12" x14ac:dyDescent="0.25">
      <c r="A2894" s="29">
        <v>46100</v>
      </c>
      <c r="B2894" s="16" t="s">
        <v>2940</v>
      </c>
      <c r="C2894" s="34">
        <v>1</v>
      </c>
      <c r="D2894" s="16" t="s">
        <v>56</v>
      </c>
      <c r="E2894" s="35">
        <v>2.7</v>
      </c>
      <c r="F2894" s="35">
        <v>1.9</v>
      </c>
      <c r="G2894" s="16" t="s">
        <v>44</v>
      </c>
      <c r="H2894" s="16" t="s">
        <v>45</v>
      </c>
      <c r="I2894" s="16">
        <f>COUNTIF(G$5:G2894,"Y")/COUNTA(G$5:G2894)</f>
        <v>0.88304498269896192</v>
      </c>
      <c r="J2894" s="16">
        <f>COUNTIF(H$5:H2894,"Y")/COUNTA(H$5:H2894)</f>
        <v>4.809688581314879E-2</v>
      </c>
      <c r="K2894" s="16">
        <f>AVERAGE(F$5:F2894)</f>
        <v>2.2065743944636673</v>
      </c>
      <c r="L2894" s="16">
        <f>SUM(F$5:F2894)/SUM(E$5:E2894)</f>
        <v>0.76257100149476587</v>
      </c>
    </row>
    <row r="2895" spans="1:12" x14ac:dyDescent="0.25">
      <c r="A2895" s="29">
        <v>46101</v>
      </c>
      <c r="B2895" s="16" t="s">
        <v>2941</v>
      </c>
      <c r="C2895" s="34">
        <v>1</v>
      </c>
      <c r="D2895" s="16" t="s">
        <v>50</v>
      </c>
      <c r="E2895" s="35">
        <v>2.5</v>
      </c>
      <c r="F2895" s="35">
        <v>1.9</v>
      </c>
      <c r="G2895" s="16" t="s">
        <v>44</v>
      </c>
      <c r="H2895" s="16" t="s">
        <v>45</v>
      </c>
      <c r="I2895" s="16">
        <f>COUNTIF(G$5:G2895,"Y")/COUNTA(G$5:G2895)</f>
        <v>0.88308543756485647</v>
      </c>
      <c r="J2895" s="16">
        <f>COUNTIF(H$5:H2895,"Y")/COUNTA(H$5:H2895)</f>
        <v>4.8080249048772054E-2</v>
      </c>
      <c r="K2895" s="16">
        <f>AVERAGE(F$5:F2895)</f>
        <v>2.2064683500518849</v>
      </c>
      <c r="L2895" s="16">
        <f>SUM(F$5:F2895)/SUM(E$5:E2895)</f>
        <v>0.76257023311416372</v>
      </c>
    </row>
    <row r="2896" spans="1:12" x14ac:dyDescent="0.25">
      <c r="A2896" s="29">
        <v>46097</v>
      </c>
      <c r="B2896" s="16" t="s">
        <v>2942</v>
      </c>
      <c r="C2896" s="34">
        <v>1</v>
      </c>
      <c r="D2896" s="16" t="s">
        <v>52</v>
      </c>
      <c r="E2896" s="35">
        <v>1.9</v>
      </c>
      <c r="F2896" s="35">
        <v>1.6</v>
      </c>
      <c r="G2896" s="16" t="s">
        <v>44</v>
      </c>
      <c r="H2896" s="16" t="s">
        <v>45</v>
      </c>
      <c r="I2896" s="16">
        <f>COUNTIF(G$5:G2896,"Y")/COUNTA(G$5:G2896)</f>
        <v>0.88312586445366525</v>
      </c>
      <c r="J2896" s="16">
        <f>COUNTIF(H$5:H2896,"Y")/COUNTA(H$5:H2896)</f>
        <v>4.8063623789764871E-2</v>
      </c>
      <c r="K2896" s="16">
        <f>AVERAGE(F$5:F2896)</f>
        <v>2.2062586445366525</v>
      </c>
      <c r="L2896" s="16">
        <f>SUM(F$5:F2896)/SUM(E$5:E2896)</f>
        <v>0.76258829435035436</v>
      </c>
    </row>
    <row r="2897" spans="1:12" x14ac:dyDescent="0.25">
      <c r="A2897" s="29">
        <v>46098</v>
      </c>
      <c r="B2897" s="16" t="s">
        <v>2943</v>
      </c>
      <c r="C2897" s="34">
        <v>1</v>
      </c>
      <c r="D2897" s="16" t="s">
        <v>56</v>
      </c>
      <c r="E2897" s="35">
        <v>3.5</v>
      </c>
      <c r="F2897" s="35">
        <v>2.4</v>
      </c>
      <c r="G2897" s="16" t="s">
        <v>44</v>
      </c>
      <c r="H2897" s="16" t="s">
        <v>45</v>
      </c>
      <c r="I2897" s="16">
        <f>COUNTIF(G$5:G2897,"Y")/COUNTA(G$5:G2897)</f>
        <v>0.8831662633944003</v>
      </c>
      <c r="J2897" s="16">
        <f>COUNTIF(H$5:H2897,"Y")/COUNTA(H$5:H2897)</f>
        <v>4.8047010024196334E-2</v>
      </c>
      <c r="K2897" s="16">
        <f>AVERAGE(F$5:F2897)</f>
        <v>2.2063256135499478</v>
      </c>
      <c r="L2897" s="16">
        <f>SUM(F$5:F2897)/SUM(E$5:E2897)</f>
        <v>0.76255615024371348</v>
      </c>
    </row>
    <row r="2898" spans="1:12" x14ac:dyDescent="0.25">
      <c r="A2898" s="29">
        <v>46099</v>
      </c>
      <c r="B2898" s="16" t="s">
        <v>2944</v>
      </c>
      <c r="C2898" s="34">
        <v>1</v>
      </c>
      <c r="D2898" s="16" t="s">
        <v>60</v>
      </c>
      <c r="E2898" s="35">
        <v>1.6</v>
      </c>
      <c r="F2898" s="35">
        <v>1.3</v>
      </c>
      <c r="G2898" s="16" t="s">
        <v>44</v>
      </c>
      <c r="H2898" s="16" t="s">
        <v>45</v>
      </c>
      <c r="I2898" s="16">
        <f>COUNTIF(G$5:G2898,"Y")/COUNTA(G$5:G2898)</f>
        <v>0.8832066344160332</v>
      </c>
      <c r="J2898" s="16">
        <f>COUNTIF(H$5:H2898,"Y")/COUNTA(H$5:H2898)</f>
        <v>4.8030407740152041E-2</v>
      </c>
      <c r="K2898" s="16">
        <f>AVERAGE(F$5:F2898)</f>
        <v>2.206012439530062</v>
      </c>
      <c r="L2898" s="16">
        <f>SUM(F$5:F2898)/SUM(E$5:E2898)</f>
        <v>0.76256569517438832</v>
      </c>
    </row>
    <row r="2899" spans="1:12" x14ac:dyDescent="0.25">
      <c r="A2899" s="29">
        <v>46100</v>
      </c>
      <c r="B2899" s="16" t="s">
        <v>2945</v>
      </c>
      <c r="C2899" s="34">
        <v>1</v>
      </c>
      <c r="D2899" s="16" t="s">
        <v>64</v>
      </c>
      <c r="E2899" s="35">
        <v>2.5</v>
      </c>
      <c r="F2899" s="35">
        <v>1.9</v>
      </c>
      <c r="G2899" s="16" t="s">
        <v>44</v>
      </c>
      <c r="H2899" s="16" t="s">
        <v>45</v>
      </c>
      <c r="I2899" s="16">
        <f>COUNTIF(G$5:G2899,"Y")/COUNTA(G$5:G2899)</f>
        <v>0.8832469775474957</v>
      </c>
      <c r="J2899" s="16">
        <f>COUNTIF(H$5:H2899,"Y")/COUNTA(H$5:H2899)</f>
        <v>4.8013816925734025E-2</v>
      </c>
      <c r="K2899" s="16">
        <f>AVERAGE(F$5:F2899)</f>
        <v>2.2059067357512947</v>
      </c>
      <c r="L2899" s="16">
        <f>SUM(F$5:F2899)/SUM(E$5:E2899)</f>
        <v>0.76256492924950492</v>
      </c>
    </row>
    <row r="2900" spans="1:12" x14ac:dyDescent="0.25">
      <c r="A2900" s="29">
        <v>46101</v>
      </c>
      <c r="B2900" s="16" t="s">
        <v>2946</v>
      </c>
      <c r="C2900" s="34">
        <v>1</v>
      </c>
      <c r="D2900" s="16" t="s">
        <v>52</v>
      </c>
      <c r="E2900" s="35">
        <v>3.9</v>
      </c>
      <c r="F2900" s="35">
        <v>3</v>
      </c>
      <c r="G2900" s="16" t="s">
        <v>44</v>
      </c>
      <c r="H2900" s="16" t="s">
        <v>45</v>
      </c>
      <c r="I2900" s="16">
        <f>COUNTIF(G$5:G2900,"Y")/COUNTA(G$5:G2900)</f>
        <v>0.88328729281767959</v>
      </c>
      <c r="J2900" s="16">
        <f>COUNTIF(H$5:H2900,"Y")/COUNTA(H$5:H2900)</f>
        <v>4.7997237569060776E-2</v>
      </c>
      <c r="K2900" s="16">
        <f>AVERAGE(F$5:F2900)</f>
        <v>2.206180939226519</v>
      </c>
      <c r="L2900" s="16">
        <f>SUM(F$5:F2900)/SUM(E$5:E2900)</f>
        <v>0.76256803208249535</v>
      </c>
    </row>
    <row r="2901" spans="1:12" x14ac:dyDescent="0.25">
      <c r="A2901" s="29">
        <v>46097</v>
      </c>
      <c r="B2901" s="16" t="s">
        <v>2947</v>
      </c>
      <c r="C2901" s="34">
        <v>1</v>
      </c>
      <c r="D2901" s="16" t="s">
        <v>50</v>
      </c>
      <c r="E2901" s="35">
        <v>4.2</v>
      </c>
      <c r="F2901" s="35">
        <v>3.7</v>
      </c>
      <c r="G2901" s="16" t="s">
        <v>44</v>
      </c>
      <c r="H2901" s="16" t="s">
        <v>45</v>
      </c>
      <c r="I2901" s="16">
        <f>COUNTIF(G$5:G2901,"Y")/COUNTA(G$5:G2901)</f>
        <v>0.88332758025543667</v>
      </c>
      <c r="J2901" s="16">
        <f>COUNTIF(H$5:H2901,"Y")/COUNTA(H$5:H2901)</f>
        <v>4.7980669658267174E-2</v>
      </c>
      <c r="K2901" s="16">
        <f>AVERAGE(F$5:F2901)</f>
        <v>2.2066965826717286</v>
      </c>
      <c r="L2901" s="16">
        <f>SUM(F$5:F2901)/SUM(E$5:E2901)</f>
        <v>0.76262734712380154</v>
      </c>
    </row>
    <row r="2902" spans="1:12" x14ac:dyDescent="0.25">
      <c r="A2902" s="29">
        <v>46098</v>
      </c>
      <c r="B2902" s="16" t="s">
        <v>2948</v>
      </c>
      <c r="C2902" s="34">
        <v>1</v>
      </c>
      <c r="D2902" s="16" t="s">
        <v>60</v>
      </c>
      <c r="E2902" s="35">
        <v>4</v>
      </c>
      <c r="F2902" s="35">
        <v>2.9</v>
      </c>
      <c r="G2902" s="16" t="s">
        <v>44</v>
      </c>
      <c r="H2902" s="16" t="s">
        <v>45</v>
      </c>
      <c r="I2902" s="16">
        <f>COUNTIF(G$5:G2902,"Y")/COUNTA(G$5:G2902)</f>
        <v>0.88336783988957901</v>
      </c>
      <c r="J2902" s="16">
        <f>COUNTIF(H$5:H2902,"Y")/COUNTA(H$5:H2902)</f>
        <v>4.7964113181504488E-2</v>
      </c>
      <c r="K2902" s="16">
        <f>AVERAGE(F$5:F2902)</f>
        <v>2.2069358178053822</v>
      </c>
      <c r="L2902" s="16">
        <f>SUM(F$5:F2902)/SUM(E$5:E2902)</f>
        <v>0.76260940071065486</v>
      </c>
    </row>
    <row r="2903" spans="1:12" x14ac:dyDescent="0.25">
      <c r="A2903" s="29">
        <v>46099</v>
      </c>
      <c r="B2903" s="16" t="s">
        <v>2949</v>
      </c>
      <c r="C2903" s="34">
        <v>1</v>
      </c>
      <c r="D2903" s="16" t="s">
        <v>43</v>
      </c>
      <c r="E2903" s="35">
        <v>4.5</v>
      </c>
      <c r="F2903" s="35">
        <v>3.5</v>
      </c>
      <c r="G2903" s="16" t="s">
        <v>44</v>
      </c>
      <c r="H2903" s="16" t="s">
        <v>45</v>
      </c>
      <c r="I2903" s="16">
        <f>COUNTIF(G$5:G2903,"Y")/COUNTA(G$5:G2903)</f>
        <v>0.88340807174887892</v>
      </c>
      <c r="J2903" s="16">
        <f>COUNTIF(H$5:H2903,"Y")/COUNTA(H$5:H2903)</f>
        <v>4.7947568126940322E-2</v>
      </c>
      <c r="K2903" s="16">
        <f>AVERAGE(F$5:F2903)</f>
        <v>2.2073818558123484</v>
      </c>
      <c r="L2903" s="16">
        <f>SUM(F$5:F2903)/SUM(E$5:E2903)</f>
        <v>0.76261753524567433</v>
      </c>
    </row>
    <row r="2904" spans="1:12" x14ac:dyDescent="0.25">
      <c r="A2904" s="29">
        <v>46100</v>
      </c>
      <c r="B2904" s="16" t="s">
        <v>2950</v>
      </c>
      <c r="C2904" s="34">
        <v>1</v>
      </c>
      <c r="D2904" s="16" t="s">
        <v>64</v>
      </c>
      <c r="E2904" s="35">
        <v>2.4</v>
      </c>
      <c r="F2904" s="35">
        <v>1.8</v>
      </c>
      <c r="G2904" s="16" t="s">
        <v>44</v>
      </c>
      <c r="H2904" s="16" t="s">
        <v>45</v>
      </c>
      <c r="I2904" s="16">
        <f>COUNTIF(G$5:G2904,"Y")/COUNTA(G$5:G2904)</f>
        <v>0.88344827586206898</v>
      </c>
      <c r="J2904" s="16">
        <f>COUNTIF(H$5:H2904,"Y")/COUNTA(H$5:H2904)</f>
        <v>4.7931034482758622E-2</v>
      </c>
      <c r="K2904" s="16">
        <f>AVERAGE(F$5:F2904)</f>
        <v>2.2072413793103443</v>
      </c>
      <c r="L2904" s="16">
        <f>SUM(F$5:F2904)/SUM(E$5:E2904)</f>
        <v>0.76261392744385281</v>
      </c>
    </row>
    <row r="2905" spans="1:12" x14ac:dyDescent="0.25">
      <c r="A2905" s="29">
        <v>46101</v>
      </c>
      <c r="B2905" s="16" t="s">
        <v>2951</v>
      </c>
      <c r="C2905" s="34">
        <v>1</v>
      </c>
      <c r="D2905" s="16" t="s">
        <v>64</v>
      </c>
      <c r="E2905" s="35">
        <v>2.4</v>
      </c>
      <c r="F2905" s="35">
        <v>2.1</v>
      </c>
      <c r="G2905" s="16" t="s">
        <v>44</v>
      </c>
      <c r="H2905" s="16" t="s">
        <v>45</v>
      </c>
      <c r="I2905" s="16">
        <f>COUNTIF(G$5:G2905,"Y")/COUNTA(G$5:G2905)</f>
        <v>0.88348845225784212</v>
      </c>
      <c r="J2905" s="16">
        <f>COUNTIF(H$5:H2905,"Y")/COUNTA(H$5:H2905)</f>
        <v>4.7914512237159597E-2</v>
      </c>
      <c r="K2905" s="16">
        <f>AVERAGE(F$5:F2905)</f>
        <v>2.2072044122716301</v>
      </c>
      <c r="L2905" s="16">
        <f>SUM(F$5:F2905)/SUM(E$5:E2905)</f>
        <v>0.7626460534308388</v>
      </c>
    </row>
    <row r="2906" spans="1:12" x14ac:dyDescent="0.25">
      <c r="A2906" s="29">
        <v>46097</v>
      </c>
      <c r="B2906" s="16" t="s">
        <v>2952</v>
      </c>
      <c r="C2906" s="34">
        <v>1</v>
      </c>
      <c r="D2906" s="16" t="s">
        <v>56</v>
      </c>
      <c r="E2906" s="35">
        <v>3.4</v>
      </c>
      <c r="F2906" s="35">
        <v>2.8</v>
      </c>
      <c r="G2906" s="16" t="s">
        <v>44</v>
      </c>
      <c r="H2906" s="16" t="s">
        <v>45</v>
      </c>
      <c r="I2906" s="16">
        <f>COUNTIF(G$5:G2906,"Y")/COUNTA(G$5:G2906)</f>
        <v>0.88352860096485186</v>
      </c>
      <c r="J2906" s="16">
        <f>COUNTIF(H$5:H2906,"Y")/COUNTA(H$5:H2906)</f>
        <v>4.7898001378359749E-2</v>
      </c>
      <c r="K2906" s="16">
        <f>AVERAGE(F$5:F2906)</f>
        <v>2.2074086836664364</v>
      </c>
      <c r="L2906" s="16">
        <f>SUM(F$5:F2906)/SUM(E$5:E2906)</f>
        <v>0.76267069874870286</v>
      </c>
    </row>
    <row r="2907" spans="1:12" x14ac:dyDescent="0.25">
      <c r="A2907" s="29">
        <v>46098</v>
      </c>
      <c r="B2907" s="16" t="s">
        <v>2953</v>
      </c>
      <c r="C2907" s="34">
        <v>1</v>
      </c>
      <c r="D2907" s="16" t="s">
        <v>52</v>
      </c>
      <c r="E2907" s="35">
        <v>3.1</v>
      </c>
      <c r="F2907" s="35">
        <v>2.1</v>
      </c>
      <c r="G2907" s="16" t="s">
        <v>44</v>
      </c>
      <c r="H2907" s="16" t="s">
        <v>45</v>
      </c>
      <c r="I2907" s="16">
        <f>COUNTIF(G$5:G2907,"Y")/COUNTA(G$5:G2907)</f>
        <v>0.88356872201171199</v>
      </c>
      <c r="J2907" s="16">
        <f>COUNTIF(H$5:H2907,"Y")/COUNTA(H$5:H2907)</f>
        <v>4.7881501894591803E-2</v>
      </c>
      <c r="K2907" s="16">
        <f>AVERAGE(F$5:F2907)</f>
        <v>2.2073716844643467</v>
      </c>
      <c r="L2907" s="16">
        <f>SUM(F$5:F2907)/SUM(E$5:E2907)</f>
        <v>0.76263924592973198</v>
      </c>
    </row>
    <row r="2908" spans="1:12" x14ac:dyDescent="0.25">
      <c r="A2908" s="29">
        <v>46099</v>
      </c>
      <c r="B2908" s="16" t="s">
        <v>2954</v>
      </c>
      <c r="C2908" s="34">
        <v>1</v>
      </c>
      <c r="D2908" s="16" t="s">
        <v>52</v>
      </c>
      <c r="E2908" s="35">
        <v>1.6</v>
      </c>
      <c r="F2908" s="35">
        <v>1.4</v>
      </c>
      <c r="G2908" s="16" t="s">
        <v>44</v>
      </c>
      <c r="H2908" s="16" t="s">
        <v>44</v>
      </c>
      <c r="I2908" s="16">
        <f>COUNTIF(G$5:G2908,"Y")/COUNTA(G$5:G2908)</f>
        <v>0.88360881542699721</v>
      </c>
      <c r="J2908" s="16">
        <f>COUNTIF(H$5:H2908,"Y")/COUNTA(H$5:H2908)</f>
        <v>4.8209366391184574E-2</v>
      </c>
      <c r="K2908" s="16">
        <f>AVERAGE(F$5:F2908)</f>
        <v>2.2070936639118455</v>
      </c>
      <c r="L2908" s="16">
        <f>SUM(F$5:F2908)/SUM(E$5:E2908)</f>
        <v>0.76266063779152538</v>
      </c>
    </row>
    <row r="2909" spans="1:12" x14ac:dyDescent="0.25">
      <c r="A2909" s="29">
        <v>46100</v>
      </c>
      <c r="B2909" s="16" t="s">
        <v>2955</v>
      </c>
      <c r="C2909" s="34">
        <v>1</v>
      </c>
      <c r="D2909" s="16" t="s">
        <v>60</v>
      </c>
      <c r="E2909" s="35">
        <v>1.1000000000000001</v>
      </c>
      <c r="F2909" s="35">
        <v>2.1</v>
      </c>
      <c r="G2909" s="16" t="s">
        <v>44</v>
      </c>
      <c r="H2909" s="16" t="s">
        <v>45</v>
      </c>
      <c r="I2909" s="16">
        <f>COUNTIF(G$5:G2909,"Y")/COUNTA(G$5:G2909)</f>
        <v>0.88364888123924268</v>
      </c>
      <c r="J2909" s="16">
        <f>COUNTIF(H$5:H2909,"Y")/COUNTA(H$5:H2909)</f>
        <v>4.8192771084337352E-2</v>
      </c>
      <c r="K2909" s="16">
        <f>AVERAGE(F$5:F2909)</f>
        <v>2.2070567986230634</v>
      </c>
      <c r="L2909" s="16">
        <f>SUM(F$5:F2909)/SUM(E$5:E2909)</f>
        <v>0.76281067447144946</v>
      </c>
    </row>
    <row r="2910" spans="1:12" x14ac:dyDescent="0.25">
      <c r="A2910" s="29">
        <v>46101</v>
      </c>
      <c r="B2910" s="16" t="s">
        <v>2956</v>
      </c>
      <c r="C2910" s="34">
        <v>1</v>
      </c>
      <c r="D2910" s="16" t="s">
        <v>50</v>
      </c>
      <c r="E2910" s="35">
        <v>0.5</v>
      </c>
      <c r="F2910" s="35">
        <v>0.5</v>
      </c>
      <c r="G2910" s="16" t="s">
        <v>44</v>
      </c>
      <c r="H2910" s="16" t="s">
        <v>45</v>
      </c>
      <c r="I2910" s="16">
        <f>COUNTIF(G$5:G2910,"Y")/COUNTA(G$5:G2910)</f>
        <v>0.88368891947694428</v>
      </c>
      <c r="J2910" s="16">
        <f>COUNTIF(H$5:H2910,"Y")/COUNTA(H$5:H2910)</f>
        <v>4.817618719889883E-2</v>
      </c>
      <c r="K2910" s="16">
        <f>AVERAGE(F$5:F2910)</f>
        <v>2.2064693737095662</v>
      </c>
      <c r="L2910" s="16">
        <f>SUM(F$5:F2910)/SUM(E$5:E2910)</f>
        <v>0.76282478347767912</v>
      </c>
    </row>
    <row r="2911" spans="1:12" x14ac:dyDescent="0.25">
      <c r="A2911" s="29">
        <v>46097</v>
      </c>
      <c r="B2911" s="16" t="s">
        <v>2957</v>
      </c>
      <c r="C2911" s="34">
        <v>1</v>
      </c>
      <c r="D2911" s="16" t="s">
        <v>64</v>
      </c>
      <c r="E2911" s="35">
        <v>0.5</v>
      </c>
      <c r="F2911" s="35">
        <v>0.5</v>
      </c>
      <c r="G2911" s="16" t="s">
        <v>44</v>
      </c>
      <c r="H2911" s="16" t="s">
        <v>45</v>
      </c>
      <c r="I2911" s="16">
        <f>COUNTIF(G$5:G2911,"Y")/COUNTA(G$5:G2911)</f>
        <v>0.88372893016855869</v>
      </c>
      <c r="J2911" s="16">
        <f>COUNTIF(H$5:H2911,"Y")/COUNTA(H$5:H2911)</f>
        <v>4.8159614723082216E-2</v>
      </c>
      <c r="K2911" s="16">
        <f>AVERAGE(F$5:F2911)</f>
        <v>2.2058823529411762</v>
      </c>
      <c r="L2911" s="16">
        <f>SUM(F$5:F2911)/SUM(E$5:E2911)</f>
        <v>0.76283889080548406</v>
      </c>
    </row>
    <row r="2912" spans="1:12" x14ac:dyDescent="0.25">
      <c r="A2912" s="29">
        <v>46098</v>
      </c>
      <c r="B2912" s="16" t="s">
        <v>2958</v>
      </c>
      <c r="C2912" s="34">
        <v>1</v>
      </c>
      <c r="D2912" s="16" t="s">
        <v>52</v>
      </c>
      <c r="E2912" s="35">
        <v>0.5</v>
      </c>
      <c r="F2912" s="35">
        <v>0.5</v>
      </c>
      <c r="G2912" s="16" t="s">
        <v>44</v>
      </c>
      <c r="H2912" s="16" t="s">
        <v>45</v>
      </c>
      <c r="I2912" s="16">
        <f>COUNTIF(G$5:G2912,"Y")/COUNTA(G$5:G2912)</f>
        <v>0.8837689133425034</v>
      </c>
      <c r="J2912" s="16">
        <f>COUNTIF(H$5:H2912,"Y")/COUNTA(H$5:H2912)</f>
        <v>4.8143053645116916E-2</v>
      </c>
      <c r="K2912" s="16">
        <f>AVERAGE(F$5:F2912)</f>
        <v>2.2052957359009624</v>
      </c>
      <c r="L2912" s="16">
        <f>SUM(F$5:F2912)/SUM(E$5:E2912)</f>
        <v>0.76285299645516369</v>
      </c>
    </row>
    <row r="2913" spans="1:13" x14ac:dyDescent="0.25">
      <c r="A2913" s="29">
        <v>46099</v>
      </c>
      <c r="B2913" s="16" t="s">
        <v>2959</v>
      </c>
      <c r="C2913" s="34">
        <v>1</v>
      </c>
      <c r="D2913" s="16" t="s">
        <v>60</v>
      </c>
      <c r="E2913" s="35">
        <v>0.5</v>
      </c>
      <c r="F2913" s="35">
        <v>0.5</v>
      </c>
      <c r="G2913" s="16" t="s">
        <v>44</v>
      </c>
      <c r="H2913" s="16" t="s">
        <v>45</v>
      </c>
      <c r="I2913" s="16">
        <f>COUNTIF(G$5:G2913,"Y")/COUNTA(G$5:G2913)</f>
        <v>0.88380886902715705</v>
      </c>
      <c r="J2913" s="16">
        <f>COUNTIF(H$5:H2913,"Y")/COUNTA(H$5:H2913)</f>
        <v>4.8126503953248537E-2</v>
      </c>
      <c r="K2913" s="16">
        <f>AVERAGE(F$5:F2913)</f>
        <v>2.2047095221725677</v>
      </c>
      <c r="L2913" s="16">
        <f>SUM(F$5:F2913)/SUM(E$5:E2913)</f>
        <v>0.76286710042701755</v>
      </c>
      <c r="M2913" s="16">
        <v>10</v>
      </c>
    </row>
    <row r="2914" spans="1:13" x14ac:dyDescent="0.25">
      <c r="A2914" s="29">
        <v>46104</v>
      </c>
      <c r="B2914" s="16" t="s">
        <v>2960</v>
      </c>
      <c r="C2914" s="34">
        <v>1</v>
      </c>
      <c r="D2914" s="16" t="s">
        <v>60</v>
      </c>
      <c r="E2914" s="35">
        <v>2.2999999999999998</v>
      </c>
      <c r="F2914" s="35">
        <v>1.6</v>
      </c>
      <c r="G2914" s="16" t="s">
        <v>44</v>
      </c>
      <c r="H2914" s="16" t="s">
        <v>45</v>
      </c>
      <c r="I2914" s="16">
        <f>COUNTIF(G$5:G2914,"Y")/COUNTA(G$5:G2914)</f>
        <v>0.88384879725085908</v>
      </c>
      <c r="J2914" s="16">
        <f>COUNTIF(H$5:H2914,"Y")/COUNTA(H$5:H2914)</f>
        <v>4.8109965635738834E-2</v>
      </c>
      <c r="K2914" s="16">
        <f>AVERAGE(F$5:F2914)</f>
        <v>2.2045017182130584</v>
      </c>
      <c r="L2914" s="16">
        <f>SUM(F$5:F2914)/SUM(E$5:E2914)</f>
        <v>0.76284871691202472</v>
      </c>
    </row>
    <row r="2915" spans="1:13" x14ac:dyDescent="0.25">
      <c r="A2915" s="29">
        <v>46105</v>
      </c>
      <c r="B2915" s="16" t="s">
        <v>2961</v>
      </c>
      <c r="C2915" s="34">
        <v>1</v>
      </c>
      <c r="D2915" s="16" t="s">
        <v>64</v>
      </c>
      <c r="E2915" s="35">
        <v>2.1</v>
      </c>
      <c r="F2915" s="35">
        <v>1.8</v>
      </c>
      <c r="G2915" s="16" t="s">
        <v>44</v>
      </c>
      <c r="H2915" s="16" t="s">
        <v>44</v>
      </c>
      <c r="I2915" s="16">
        <f>COUNTIF(G$5:G2915,"Y")/COUNTA(G$5:G2915)</f>
        <v>0.88388869804190995</v>
      </c>
      <c r="J2915" s="16">
        <f>COUNTIF(H$5:H2915,"Y")/COUNTA(H$5:H2915)</f>
        <v>4.8436963242871868E-2</v>
      </c>
      <c r="K2915" s="16">
        <f>AVERAGE(F$5:F2915)</f>
        <v>2.2043627619374786</v>
      </c>
      <c r="L2915" s="16">
        <f>SUM(F$5:F2915)/SUM(E$5:E2915)</f>
        <v>0.7628722582179136</v>
      </c>
    </row>
    <row r="2916" spans="1:13" x14ac:dyDescent="0.25">
      <c r="A2916" s="29">
        <v>46106</v>
      </c>
      <c r="B2916" s="16" t="s">
        <v>2962</v>
      </c>
      <c r="C2916" s="34">
        <v>1</v>
      </c>
      <c r="D2916" s="16" t="s">
        <v>52</v>
      </c>
      <c r="E2916" s="35">
        <v>1.6</v>
      </c>
      <c r="F2916" s="35">
        <v>1.2</v>
      </c>
      <c r="G2916" s="16" t="s">
        <v>44</v>
      </c>
      <c r="H2916" s="16" t="s">
        <v>45</v>
      </c>
      <c r="I2916" s="16">
        <f>COUNTIF(G$5:G2916,"Y")/COUNTA(G$5:G2916)</f>
        <v>0.8839285714285714</v>
      </c>
      <c r="J2916" s="16">
        <f>COUNTIF(H$5:H2916,"Y")/COUNTA(H$5:H2916)</f>
        <v>4.8420329670329672E-2</v>
      </c>
      <c r="K2916" s="16">
        <f>AVERAGE(F$5:F2916)</f>
        <v>2.204017857142857</v>
      </c>
      <c r="L2916" s="16">
        <f>SUM(F$5:F2916)/SUM(E$5:E2916)</f>
        <v>0.76286981017698352</v>
      </c>
    </row>
    <row r="2917" spans="1:13" x14ac:dyDescent="0.25">
      <c r="A2917" s="29">
        <v>46107</v>
      </c>
      <c r="B2917" s="16" t="s">
        <v>2963</v>
      </c>
      <c r="C2917" s="34">
        <v>1</v>
      </c>
      <c r="D2917" s="16" t="s">
        <v>47</v>
      </c>
      <c r="E2917" s="35">
        <v>5.3</v>
      </c>
      <c r="F2917" s="35">
        <v>3.7</v>
      </c>
      <c r="G2917" s="16" t="s">
        <v>44</v>
      </c>
      <c r="H2917" s="16" t="s">
        <v>45</v>
      </c>
      <c r="I2917" s="16">
        <f>COUNTIF(G$5:G2917,"Y")/COUNTA(G$5:G2917)</f>
        <v>0.88396841743906629</v>
      </c>
      <c r="J2917" s="16">
        <f>COUNTIF(H$5:H2917,"Y")/COUNTA(H$5:H2917)</f>
        <v>4.8403707518022657E-2</v>
      </c>
      <c r="K2917" s="16">
        <f>AVERAGE(F$5:F2917)</f>
        <v>2.2045314109165806</v>
      </c>
      <c r="L2917" s="16">
        <f>SUM(F$5:F2917)/SUM(E$5:E2917)</f>
        <v>0.76282904114795924</v>
      </c>
    </row>
    <row r="2918" spans="1:13" x14ac:dyDescent="0.25">
      <c r="A2918" s="29">
        <v>46108</v>
      </c>
      <c r="B2918" s="16" t="s">
        <v>2964</v>
      </c>
      <c r="C2918" s="34">
        <v>1</v>
      </c>
      <c r="D2918" s="16" t="s">
        <v>64</v>
      </c>
      <c r="E2918" s="35">
        <v>4.2</v>
      </c>
      <c r="F2918" s="35">
        <v>2.8</v>
      </c>
      <c r="G2918" s="16" t="s">
        <v>44</v>
      </c>
      <c r="H2918" s="16" t="s">
        <v>45</v>
      </c>
      <c r="I2918" s="16">
        <f>COUNTIF(G$5:G2918,"Y")/COUNTA(G$5:G2918)</f>
        <v>0.88400823610157864</v>
      </c>
      <c r="J2918" s="16">
        <f>COUNTIF(H$5:H2918,"Y")/COUNTA(H$5:H2918)</f>
        <v>4.8387096774193547E-2</v>
      </c>
      <c r="K2918" s="16">
        <f>AVERAGE(F$5:F2918)</f>
        <v>2.2047357584076868</v>
      </c>
      <c r="L2918" s="16">
        <f>SUM(F$5:F2918)/SUM(E$5:E2918)</f>
        <v>0.76278108897489849</v>
      </c>
    </row>
    <row r="2919" spans="1:13" x14ac:dyDescent="0.25">
      <c r="A2919" s="29">
        <v>46104</v>
      </c>
      <c r="B2919" s="16" t="s">
        <v>2965</v>
      </c>
      <c r="C2919" s="34">
        <v>1</v>
      </c>
      <c r="D2919" s="16" t="s">
        <v>52</v>
      </c>
      <c r="E2919" s="35">
        <v>2.6</v>
      </c>
      <c r="F2919" s="35">
        <v>2.1</v>
      </c>
      <c r="G2919" s="16" t="s">
        <v>44</v>
      </c>
      <c r="H2919" s="16" t="s">
        <v>44</v>
      </c>
      <c r="I2919" s="16">
        <f>COUNTIF(G$5:G2919,"Y")/COUNTA(G$5:G2919)</f>
        <v>0.88404802744425381</v>
      </c>
      <c r="J2919" s="16">
        <f>COUNTIF(H$5:H2919,"Y")/COUNTA(H$5:H2919)</f>
        <v>4.8713550600343054E-2</v>
      </c>
      <c r="K2919" s="16">
        <f>AVERAGE(F$5:F2919)</f>
        <v>2.2046998284734132</v>
      </c>
      <c r="L2919" s="16">
        <f>SUM(F$5:F2919)/SUM(E$5:E2919)</f>
        <v>0.76279494848786733</v>
      </c>
    </row>
    <row r="2920" spans="1:13" x14ac:dyDescent="0.25">
      <c r="A2920" s="29">
        <v>46105</v>
      </c>
      <c r="B2920" s="16" t="s">
        <v>2966</v>
      </c>
      <c r="C2920" s="34">
        <v>1</v>
      </c>
      <c r="D2920" s="16" t="s">
        <v>43</v>
      </c>
      <c r="E2920" s="35">
        <v>2.2000000000000002</v>
      </c>
      <c r="F2920" s="35">
        <v>1.8</v>
      </c>
      <c r="G2920" s="16" t="s">
        <v>44</v>
      </c>
      <c r="H2920" s="16" t="s">
        <v>45</v>
      </c>
      <c r="I2920" s="16">
        <f>COUNTIF(G$5:G2920,"Y")/COUNTA(G$5:G2920)</f>
        <v>0.88408779149519889</v>
      </c>
      <c r="J2920" s="16">
        <f>COUNTIF(H$5:H2920,"Y")/COUNTA(H$5:H2920)</f>
        <v>4.8696844993141288E-2</v>
      </c>
      <c r="K2920" s="16">
        <f>AVERAGE(F$5:F2920)</f>
        <v>2.2045610425240056</v>
      </c>
      <c r="L2920" s="16">
        <f>SUM(F$5:F2920)/SUM(E$5:E2920)</f>
        <v>0.76280940740916292</v>
      </c>
    </row>
    <row r="2921" spans="1:13" x14ac:dyDescent="0.25">
      <c r="A2921" s="29">
        <v>46106</v>
      </c>
      <c r="B2921" s="16" t="s">
        <v>2967</v>
      </c>
      <c r="C2921" s="34">
        <v>1</v>
      </c>
      <c r="D2921" s="16" t="s">
        <v>64</v>
      </c>
      <c r="E2921" s="35">
        <v>2.7</v>
      </c>
      <c r="F2921" s="35">
        <v>2.1</v>
      </c>
      <c r="G2921" s="16" t="s">
        <v>45</v>
      </c>
      <c r="H2921" s="16" t="s">
        <v>45</v>
      </c>
      <c r="I2921" s="16">
        <f>COUNTIF(G$5:G2921,"Y")/COUNTA(G$5:G2921)</f>
        <v>0.88378471031882067</v>
      </c>
      <c r="J2921" s="16">
        <f>COUNTIF(H$5:H2921,"Y")/COUNTA(H$5:H2921)</f>
        <v>4.8680150839904013E-2</v>
      </c>
      <c r="K2921" s="16">
        <f>AVERAGE(F$5:F2921)</f>
        <v>2.2045251971203292</v>
      </c>
      <c r="L2921" s="16">
        <f>SUM(F$5:F2921)/SUM(E$5:E2921)</f>
        <v>0.76281420149226931</v>
      </c>
    </row>
    <row r="2922" spans="1:13" x14ac:dyDescent="0.25">
      <c r="A2922" s="29">
        <v>46107</v>
      </c>
      <c r="B2922" s="16" t="s">
        <v>2968</v>
      </c>
      <c r="C2922" s="34">
        <v>1</v>
      </c>
      <c r="D2922" s="16" t="s">
        <v>47</v>
      </c>
      <c r="E2922" s="35">
        <v>3</v>
      </c>
      <c r="F2922" s="35">
        <v>2</v>
      </c>
      <c r="G2922" s="16" t="s">
        <v>44</v>
      </c>
      <c r="H2922" s="16" t="s">
        <v>45</v>
      </c>
      <c r="I2922" s="16">
        <f>COUNTIF(G$5:G2922,"Y")/COUNTA(G$5:G2922)</f>
        <v>0.88382453735435229</v>
      </c>
      <c r="J2922" s="16">
        <f>COUNTIF(H$5:H2922,"Y")/COUNTA(H$5:H2922)</f>
        <v>4.8663468128855379E-2</v>
      </c>
      <c r="K2922" s="16">
        <f>AVERAGE(F$5:F2922)</f>
        <v>2.2044551062371487</v>
      </c>
      <c r="L2922" s="16">
        <f>SUM(F$5:F2922)/SUM(E$5:E2922)</f>
        <v>0.76277999786555117</v>
      </c>
    </row>
    <row r="2923" spans="1:13" x14ac:dyDescent="0.25">
      <c r="A2923" s="29">
        <v>46108</v>
      </c>
      <c r="B2923" s="16" t="s">
        <v>2969</v>
      </c>
      <c r="C2923" s="34">
        <v>1</v>
      </c>
      <c r="D2923" s="16" t="s">
        <v>52</v>
      </c>
      <c r="E2923" s="35">
        <v>2.2999999999999998</v>
      </c>
      <c r="F2923" s="35">
        <v>1.8</v>
      </c>
      <c r="G2923" s="16" t="s">
        <v>45</v>
      </c>
      <c r="H2923" s="16" t="s">
        <v>45</v>
      </c>
      <c r="I2923" s="16">
        <f>COUNTIF(G$5:G2923,"Y")/COUNTA(G$5:G2923)</f>
        <v>0.88352175402535116</v>
      </c>
      <c r="J2923" s="16">
        <f>COUNTIF(H$5:H2923,"Y")/COUNTA(H$5:H2923)</f>
        <v>4.8646796848235696E-2</v>
      </c>
      <c r="K2923" s="16">
        <f>AVERAGE(F$5:F2923)</f>
        <v>2.2043165467625903</v>
      </c>
      <c r="L2923" s="16">
        <f>SUM(F$5:F2923)/SUM(E$5:E2923)</f>
        <v>0.7627854043673068</v>
      </c>
    </row>
    <row r="2924" spans="1:13" x14ac:dyDescent="0.25">
      <c r="A2924" s="29">
        <v>46104</v>
      </c>
      <c r="B2924" s="16" t="s">
        <v>2970</v>
      </c>
      <c r="C2924" s="34">
        <v>1</v>
      </c>
      <c r="D2924" s="16" t="s">
        <v>56</v>
      </c>
      <c r="E2924" s="35">
        <v>2.2999999999999998</v>
      </c>
      <c r="F2924" s="35">
        <v>1.6</v>
      </c>
      <c r="G2924" s="16" t="s">
        <v>44</v>
      </c>
      <c r="H2924" s="16" t="s">
        <v>45</v>
      </c>
      <c r="I2924" s="16">
        <f>COUNTIF(G$5:G2924,"Y")/COUNTA(G$5:G2924)</f>
        <v>0.88356164383561642</v>
      </c>
      <c r="J2924" s="16">
        <f>COUNTIF(H$5:H2924,"Y")/COUNTA(H$5:H2924)</f>
        <v>4.8630136986301371E-2</v>
      </c>
      <c r="K2924" s="16">
        <f>AVERAGE(F$5:F2924)</f>
        <v>2.2041095890410962</v>
      </c>
      <c r="L2924" s="16">
        <f>SUM(F$5:F2924)/SUM(E$5:E2924)</f>
        <v>0.7627671047797363</v>
      </c>
    </row>
    <row r="2925" spans="1:13" x14ac:dyDescent="0.25">
      <c r="A2925" s="29">
        <v>46105</v>
      </c>
      <c r="B2925" s="16" t="s">
        <v>2971</v>
      </c>
      <c r="C2925" s="34">
        <v>1</v>
      </c>
      <c r="D2925" s="16" t="s">
        <v>56</v>
      </c>
      <c r="E2925" s="35">
        <v>3.6</v>
      </c>
      <c r="F2925" s="35">
        <v>2.5</v>
      </c>
      <c r="G2925" s="16" t="s">
        <v>44</v>
      </c>
      <c r="H2925" s="16" t="s">
        <v>45</v>
      </c>
      <c r="I2925" s="16">
        <f>COUNTIF(G$5:G2925,"Y")/COUNTA(G$5:G2925)</f>
        <v>0.88360150633344747</v>
      </c>
      <c r="J2925" s="16">
        <f>COUNTIF(H$5:H2925,"Y")/COUNTA(H$5:H2925)</f>
        <v>4.861348853132489E-2</v>
      </c>
      <c r="K2925" s="16">
        <f>AVERAGE(F$5:F2925)</f>
        <v>2.2042108866826431</v>
      </c>
      <c r="L2925" s="16">
        <f>SUM(F$5:F2925)/SUM(E$5:E2925)</f>
        <v>0.76273796690083051</v>
      </c>
    </row>
    <row r="2926" spans="1:13" x14ac:dyDescent="0.25">
      <c r="A2926" s="29">
        <v>46106</v>
      </c>
      <c r="B2926" s="16" t="s">
        <v>2972</v>
      </c>
      <c r="C2926" s="34">
        <v>1</v>
      </c>
      <c r="D2926" s="16" t="s">
        <v>47</v>
      </c>
      <c r="E2926" s="35">
        <v>3</v>
      </c>
      <c r="F2926" s="35">
        <v>2.2999999999999998</v>
      </c>
      <c r="G2926" s="16" t="s">
        <v>44</v>
      </c>
      <c r="H2926" s="16" t="s">
        <v>45</v>
      </c>
      <c r="I2926" s="16">
        <f>COUNTIF(G$5:G2926,"Y")/COUNTA(G$5:G2926)</f>
        <v>0.88364134154688567</v>
      </c>
      <c r="J2926" s="16">
        <f>COUNTIF(H$5:H2926,"Y")/COUNTA(H$5:H2926)</f>
        <v>4.8596851471594801E-2</v>
      </c>
      <c r="K2926" s="16">
        <f>AVERAGE(F$5:F2926)</f>
        <v>2.2042436687200553</v>
      </c>
      <c r="L2926" s="16">
        <f>SUM(F$5:F2926)/SUM(E$5:E2926)</f>
        <v>0.76273936264699038</v>
      </c>
    </row>
    <row r="2927" spans="1:13" x14ac:dyDescent="0.25">
      <c r="A2927" s="29">
        <v>46107</v>
      </c>
      <c r="B2927" s="16" t="s">
        <v>2973</v>
      </c>
      <c r="C2927" s="34">
        <v>1</v>
      </c>
      <c r="D2927" s="16" t="s">
        <v>56</v>
      </c>
      <c r="E2927" s="35">
        <v>4.8</v>
      </c>
      <c r="F2927" s="35">
        <v>3.4</v>
      </c>
      <c r="G2927" s="16" t="s">
        <v>44</v>
      </c>
      <c r="H2927" s="16" t="s">
        <v>45</v>
      </c>
      <c r="I2927" s="16">
        <f>COUNTIF(G$5:G2927,"Y")/COUNTA(G$5:G2927)</f>
        <v>0.88368114950393428</v>
      </c>
      <c r="J2927" s="16">
        <f>COUNTIF(H$5:H2927,"Y")/COUNTA(H$5:H2927)</f>
        <v>4.8580225795415669E-2</v>
      </c>
      <c r="K2927" s="16">
        <f>AVERAGE(F$5:F2927)</f>
        <v>2.2046527540198428</v>
      </c>
      <c r="L2927" s="16">
        <f>SUM(F$5:F2927)/SUM(E$5:E2927)</f>
        <v>0.7627084541548782</v>
      </c>
    </row>
    <row r="2928" spans="1:13" x14ac:dyDescent="0.25">
      <c r="A2928" s="29">
        <v>46108</v>
      </c>
      <c r="B2928" s="16" t="s">
        <v>2974</v>
      </c>
      <c r="C2928" s="34">
        <v>1</v>
      </c>
      <c r="D2928" s="16" t="s">
        <v>64</v>
      </c>
      <c r="E2928" s="35">
        <v>3</v>
      </c>
      <c r="F2928" s="35">
        <v>2.2999999999999998</v>
      </c>
      <c r="G2928" s="16" t="s">
        <v>44</v>
      </c>
      <c r="H2928" s="16" t="s">
        <v>45</v>
      </c>
      <c r="I2928" s="16">
        <f>COUNTIF(G$5:G2928,"Y")/COUNTA(G$5:G2928)</f>
        <v>0.88372093023255816</v>
      </c>
      <c r="J2928" s="16">
        <f>COUNTIF(H$5:H2928,"Y")/COUNTA(H$5:H2928)</f>
        <v>4.856361149110807E-2</v>
      </c>
      <c r="K2928" s="16">
        <f>AVERAGE(F$5:F2928)</f>
        <v>2.2046853625171003</v>
      </c>
      <c r="L2928" s="16">
        <f>SUM(F$5:F2928)/SUM(E$5:E2928)</f>
        <v>0.76270985908827171</v>
      </c>
    </row>
    <row r="2929" spans="1:12" x14ac:dyDescent="0.25">
      <c r="A2929" s="29">
        <v>46104</v>
      </c>
      <c r="B2929" s="16" t="s">
        <v>2975</v>
      </c>
      <c r="C2929" s="34">
        <v>1</v>
      </c>
      <c r="D2929" s="16" t="s">
        <v>47</v>
      </c>
      <c r="E2929" s="35">
        <v>2.7</v>
      </c>
      <c r="F2929" s="35">
        <v>2.2999999999999998</v>
      </c>
      <c r="G2929" s="16" t="s">
        <v>44</v>
      </c>
      <c r="H2929" s="16" t="s">
        <v>45</v>
      </c>
      <c r="I2929" s="16">
        <f>COUNTIF(G$5:G2929,"Y")/COUNTA(G$5:G2929)</f>
        <v>0.88376068376068373</v>
      </c>
      <c r="J2929" s="16">
        <f>COUNTIF(H$5:H2929,"Y")/COUNTA(H$5:H2929)</f>
        <v>4.8547008547008545E-2</v>
      </c>
      <c r="K2929" s="16">
        <f>AVERAGE(F$5:F2929)</f>
        <v>2.2047179487179491</v>
      </c>
      <c r="L2929" s="16">
        <f>SUM(F$5:F2929)/SUM(E$5:E2929)</f>
        <v>0.76273832615791981</v>
      </c>
    </row>
    <row r="2930" spans="1:12" x14ac:dyDescent="0.25">
      <c r="A2930" s="29">
        <v>46105</v>
      </c>
      <c r="B2930" s="16" t="s">
        <v>2976</v>
      </c>
      <c r="C2930" s="34">
        <v>1</v>
      </c>
      <c r="D2930" s="16" t="s">
        <v>52</v>
      </c>
      <c r="E2930" s="35">
        <v>3.3</v>
      </c>
      <c r="F2930" s="35">
        <v>2.2999999999999998</v>
      </c>
      <c r="G2930" s="16" t="s">
        <v>44</v>
      </c>
      <c r="H2930" s="16" t="s">
        <v>45</v>
      </c>
      <c r="I2930" s="16">
        <f>COUNTIF(G$5:G2930,"Y")/COUNTA(G$5:G2930)</f>
        <v>0.88380041011619959</v>
      </c>
      <c r="J2930" s="16">
        <f>COUNTIF(H$5:H2930,"Y")/COUNTA(H$5:H2930)</f>
        <v>4.8530416951469584E-2</v>
      </c>
      <c r="K2930" s="16">
        <f>AVERAGE(F$5:F2930)</f>
        <v>2.20475051264525</v>
      </c>
      <c r="L2930" s="16">
        <f>SUM(F$5:F2930)/SUM(E$5:E2930)</f>
        <v>0.76271266596516729</v>
      </c>
    </row>
    <row r="2931" spans="1:12" x14ac:dyDescent="0.25">
      <c r="A2931" s="29">
        <v>46106</v>
      </c>
      <c r="B2931" s="16" t="s">
        <v>2977</v>
      </c>
      <c r="C2931" s="34">
        <v>1</v>
      </c>
      <c r="D2931" s="16" t="s">
        <v>52</v>
      </c>
      <c r="E2931" s="35">
        <v>1.7</v>
      </c>
      <c r="F2931" s="35">
        <v>1.4</v>
      </c>
      <c r="G2931" s="16" t="s">
        <v>44</v>
      </c>
      <c r="H2931" s="16" t="s">
        <v>45</v>
      </c>
      <c r="I2931" s="16">
        <f>COUNTIF(G$5:G2931,"Y")/COUNTA(G$5:G2931)</f>
        <v>0.88384010932695589</v>
      </c>
      <c r="J2931" s="16">
        <f>COUNTIF(H$5:H2931,"Y")/COUNTA(H$5:H2931)</f>
        <v>4.851383669285958E-2</v>
      </c>
      <c r="K2931" s="16">
        <f>AVERAGE(F$5:F2931)</f>
        <v>2.2044755722582852</v>
      </c>
      <c r="L2931" s="16">
        <f>SUM(F$5:F2931)/SUM(E$5:E2931)</f>
        <v>0.76272488711316822</v>
      </c>
    </row>
    <row r="2932" spans="1:12" x14ac:dyDescent="0.25">
      <c r="A2932" s="29">
        <v>46107</v>
      </c>
      <c r="B2932" s="16" t="s">
        <v>2978</v>
      </c>
      <c r="C2932" s="34">
        <v>1</v>
      </c>
      <c r="D2932" s="16" t="s">
        <v>56</v>
      </c>
      <c r="E2932" s="35">
        <v>5.4</v>
      </c>
      <c r="F2932" s="35">
        <v>3.9</v>
      </c>
      <c r="G2932" s="16" t="s">
        <v>44</v>
      </c>
      <c r="H2932" s="16" t="s">
        <v>45</v>
      </c>
      <c r="I2932" s="16">
        <f>COUNTIF(G$5:G2932,"Y")/COUNTA(G$5:G2932)</f>
        <v>0.88387978142076506</v>
      </c>
      <c r="J2932" s="16">
        <f>COUNTIF(H$5:H2932,"Y")/COUNTA(H$5:H2932)</f>
        <v>4.849726775956284E-2</v>
      </c>
      <c r="K2932" s="16">
        <f>AVERAGE(F$5:F2932)</f>
        <v>2.2050546448087434</v>
      </c>
      <c r="L2932" s="16">
        <f>SUM(F$5:F2932)/SUM(E$5:E2932)</f>
        <v>0.76269905022917128</v>
      </c>
    </row>
    <row r="2933" spans="1:12" x14ac:dyDescent="0.25">
      <c r="A2933" s="29">
        <v>46108</v>
      </c>
      <c r="B2933" s="16" t="s">
        <v>2979</v>
      </c>
      <c r="C2933" s="34">
        <v>1</v>
      </c>
      <c r="D2933" s="16" t="s">
        <v>56</v>
      </c>
      <c r="E2933" s="35">
        <v>2.1</v>
      </c>
      <c r="F2933" s="35">
        <v>1.5</v>
      </c>
      <c r="G2933" s="16" t="s">
        <v>44</v>
      </c>
      <c r="H2933" s="16" t="s">
        <v>45</v>
      </c>
      <c r="I2933" s="16">
        <f>COUNTIF(G$5:G2933,"Y")/COUNTA(G$5:G2933)</f>
        <v>0.88391942642540111</v>
      </c>
      <c r="J2933" s="16">
        <f>COUNTIF(H$5:H2933,"Y")/COUNTA(H$5:H2933)</f>
        <v>4.8480710139979517E-2</v>
      </c>
      <c r="K2933" s="16">
        <f>AVERAGE(F$5:F2933)</f>
        <v>2.2048139296688292</v>
      </c>
      <c r="L2933" s="16">
        <f>SUM(F$5:F2933)/SUM(E$5:E2933)</f>
        <v>0.76268704309519919</v>
      </c>
    </row>
    <row r="2934" spans="1:12" x14ac:dyDescent="0.25">
      <c r="A2934" s="29">
        <v>46104</v>
      </c>
      <c r="B2934" s="16" t="s">
        <v>2980</v>
      </c>
      <c r="C2934" s="34">
        <v>1</v>
      </c>
      <c r="D2934" s="16" t="s">
        <v>43</v>
      </c>
      <c r="E2934" s="35">
        <v>2</v>
      </c>
      <c r="F2934" s="35">
        <v>1.5</v>
      </c>
      <c r="G2934" s="16" t="s">
        <v>44</v>
      </c>
      <c r="H2934" s="16" t="s">
        <v>45</v>
      </c>
      <c r="I2934" s="16">
        <f>COUNTIF(G$5:G2934,"Y")/COUNTA(G$5:G2934)</f>
        <v>0.88395904436860073</v>
      </c>
      <c r="J2934" s="16">
        <f>COUNTIF(H$5:H2934,"Y")/COUNTA(H$5:H2934)</f>
        <v>4.8464163822525594E-2</v>
      </c>
      <c r="K2934" s="16">
        <f>AVERAGE(F$5:F2934)</f>
        <v>2.2045733788395907</v>
      </c>
      <c r="L2934" s="16">
        <f>SUM(F$5:F2934)/SUM(E$5:E2934)</f>
        <v>0.76268404708771453</v>
      </c>
    </row>
    <row r="2935" spans="1:12" x14ac:dyDescent="0.25">
      <c r="A2935" s="29">
        <v>46105</v>
      </c>
      <c r="B2935" s="16" t="s">
        <v>2981</v>
      </c>
      <c r="C2935" s="34">
        <v>1</v>
      </c>
      <c r="D2935" s="16" t="s">
        <v>50</v>
      </c>
      <c r="E2935" s="35">
        <v>4.2</v>
      </c>
      <c r="F2935" s="35">
        <v>3</v>
      </c>
      <c r="G2935" s="16" t="s">
        <v>44</v>
      </c>
      <c r="H2935" s="16" t="s">
        <v>45</v>
      </c>
      <c r="I2935" s="16">
        <f>COUNTIF(G$5:G2935,"Y")/COUNTA(G$5:G2935)</f>
        <v>0.88399863527806211</v>
      </c>
      <c r="J2935" s="16">
        <f>COUNTIF(H$5:H2935,"Y")/COUNTA(H$5:H2935)</f>
        <v>4.8447628795632892E-2</v>
      </c>
      <c r="K2935" s="16">
        <f>AVERAGE(F$5:F2935)</f>
        <v>2.2048447628795635</v>
      </c>
      <c r="L2935" s="16">
        <f>SUM(F$5:F2935)/SUM(E$5:E2935)</f>
        <v>0.7626600578273417</v>
      </c>
    </row>
    <row r="2936" spans="1:12" x14ac:dyDescent="0.25">
      <c r="A2936" s="29">
        <v>46106</v>
      </c>
      <c r="B2936" s="16" t="s">
        <v>2982</v>
      </c>
      <c r="C2936" s="34">
        <v>1</v>
      </c>
      <c r="D2936" s="16" t="s">
        <v>47</v>
      </c>
      <c r="E2936" s="35">
        <v>2.5</v>
      </c>
      <c r="F2936" s="35">
        <v>2.1</v>
      </c>
      <c r="G2936" s="16" t="s">
        <v>44</v>
      </c>
      <c r="H2936" s="16" t="s">
        <v>45</v>
      </c>
      <c r="I2936" s="16">
        <f>COUNTIF(G$5:G2936,"Y")/COUNTA(G$5:G2936)</f>
        <v>0.8840381991814461</v>
      </c>
      <c r="J2936" s="16">
        <f>COUNTIF(H$5:H2936,"Y")/COUNTA(H$5:H2936)</f>
        <v>4.8431105047748974E-2</v>
      </c>
      <c r="K2936" s="16">
        <f>AVERAGE(F$5:F2936)</f>
        <v>2.2048090040927697</v>
      </c>
      <c r="L2936" s="16">
        <f>SUM(F$5:F2936)/SUM(E$5:E2936)</f>
        <v>0.76268286927795892</v>
      </c>
    </row>
    <row r="2937" spans="1:12" x14ac:dyDescent="0.25">
      <c r="A2937" s="29">
        <v>46107</v>
      </c>
      <c r="B2937" s="16" t="s">
        <v>2983</v>
      </c>
      <c r="C2937" s="34">
        <v>1</v>
      </c>
      <c r="D2937" s="16" t="s">
        <v>60</v>
      </c>
      <c r="E2937" s="35">
        <v>5.9</v>
      </c>
      <c r="F2937" s="35">
        <v>4.0999999999999996</v>
      </c>
      <c r="G2937" s="16" t="s">
        <v>44</v>
      </c>
      <c r="H2937" s="16" t="s">
        <v>45</v>
      </c>
      <c r="I2937" s="16">
        <f>COUNTIF(G$5:G2937,"Y")/COUNTA(G$5:G2937)</f>
        <v>0.88407773610637574</v>
      </c>
      <c r="J2937" s="16">
        <f>COUNTIF(H$5:H2937,"Y")/COUNTA(H$5:H2937)</f>
        <v>4.8414592567337197E-2</v>
      </c>
      <c r="K2937" s="16">
        <f>AVERAGE(F$5:F2937)</f>
        <v>2.2054551653597003</v>
      </c>
      <c r="L2937" s="16">
        <f>SUM(F$5:F2937)/SUM(E$5:E2937)</f>
        <v>0.76263573020195718</v>
      </c>
    </row>
    <row r="2938" spans="1:12" x14ac:dyDescent="0.25">
      <c r="A2938" s="29">
        <v>46108</v>
      </c>
      <c r="B2938" s="16" t="s">
        <v>2984</v>
      </c>
      <c r="C2938" s="34">
        <v>1</v>
      </c>
      <c r="D2938" s="16" t="s">
        <v>43</v>
      </c>
      <c r="E2938" s="35">
        <v>2.7</v>
      </c>
      <c r="F2938" s="35">
        <v>2.2000000000000002</v>
      </c>
      <c r="G2938" s="16" t="s">
        <v>44</v>
      </c>
      <c r="H2938" s="16" t="s">
        <v>45</v>
      </c>
      <c r="I2938" s="16">
        <f>COUNTIF(G$5:G2938,"Y")/COUNTA(G$5:G2938)</f>
        <v>0.88411724608043629</v>
      </c>
      <c r="J2938" s="16">
        <f>COUNTIF(H$5:H2938,"Y")/COUNTA(H$5:H2938)</f>
        <v>4.839809134287662E-2</v>
      </c>
      <c r="K2938" s="16">
        <f>AVERAGE(F$5:F2938)</f>
        <v>2.2054533060668033</v>
      </c>
      <c r="L2938" s="16">
        <f>SUM(F$5:F2938)/SUM(E$5:E2938)</f>
        <v>0.76265233481837447</v>
      </c>
    </row>
    <row r="2939" spans="1:12" x14ac:dyDescent="0.25">
      <c r="A2939" s="29">
        <v>46104</v>
      </c>
      <c r="B2939" s="16" t="s">
        <v>2985</v>
      </c>
      <c r="C2939" s="34">
        <v>1</v>
      </c>
      <c r="D2939" s="16" t="s">
        <v>43</v>
      </c>
      <c r="E2939" s="35">
        <v>1.9</v>
      </c>
      <c r="F2939" s="35">
        <v>1.5</v>
      </c>
      <c r="G2939" s="16" t="s">
        <v>44</v>
      </c>
      <c r="H2939" s="16" t="s">
        <v>45</v>
      </c>
      <c r="I2939" s="16">
        <f>COUNTIF(G$5:G2939,"Y")/COUNTA(G$5:G2939)</f>
        <v>0.88415672913117549</v>
      </c>
      <c r="J2939" s="16">
        <f>COUNTIF(H$5:H2939,"Y")/COUNTA(H$5:H2939)</f>
        <v>4.8381601362862008E-2</v>
      </c>
      <c r="K2939" s="16">
        <f>AVERAGE(F$5:F2939)</f>
        <v>2.2052129471890973</v>
      </c>
      <c r="L2939" s="16">
        <f>SUM(F$5:F2939)/SUM(E$5:E2939)</f>
        <v>0.76265833971601726</v>
      </c>
    </row>
    <row r="2940" spans="1:12" x14ac:dyDescent="0.25">
      <c r="A2940" s="29">
        <v>46105</v>
      </c>
      <c r="B2940" s="16" t="s">
        <v>2986</v>
      </c>
      <c r="C2940" s="34">
        <v>1</v>
      </c>
      <c r="D2940" s="16" t="s">
        <v>52</v>
      </c>
      <c r="E2940" s="35">
        <v>1.7</v>
      </c>
      <c r="F2940" s="35">
        <v>1.2</v>
      </c>
      <c r="G2940" s="16" t="s">
        <v>44</v>
      </c>
      <c r="H2940" s="16" t="s">
        <v>45</v>
      </c>
      <c r="I2940" s="16">
        <f>COUNTIF(G$5:G2940,"Y")/COUNTA(G$5:G2940)</f>
        <v>0.88419618528610355</v>
      </c>
      <c r="J2940" s="16">
        <f>COUNTIF(H$5:H2940,"Y")/COUNTA(H$5:H2940)</f>
        <v>4.8365122615803814E-2</v>
      </c>
      <c r="K2940" s="16">
        <f>AVERAGE(F$5:F2940)</f>
        <v>2.2048705722070849</v>
      </c>
      <c r="L2940" s="16">
        <f>SUM(F$5:F2940)/SUM(E$5:E2940)</f>
        <v>0.76264696873306237</v>
      </c>
    </row>
    <row r="2941" spans="1:12" x14ac:dyDescent="0.25">
      <c r="A2941" s="29">
        <v>46106</v>
      </c>
      <c r="B2941" s="16" t="s">
        <v>2987</v>
      </c>
      <c r="C2941" s="34">
        <v>1</v>
      </c>
      <c r="D2941" s="16" t="s">
        <v>50</v>
      </c>
      <c r="E2941" s="35">
        <v>3.3</v>
      </c>
      <c r="F2941" s="35">
        <v>2.2999999999999998</v>
      </c>
      <c r="G2941" s="16" t="s">
        <v>44</v>
      </c>
      <c r="H2941" s="16" t="s">
        <v>45</v>
      </c>
      <c r="I2941" s="16">
        <f>COUNTIF(G$5:G2941,"Y")/COUNTA(G$5:G2941)</f>
        <v>0.88423561457269317</v>
      </c>
      <c r="J2941" s="16">
        <f>COUNTIF(H$5:H2941,"Y")/COUNTA(H$5:H2941)</f>
        <v>4.8348655090228121E-2</v>
      </c>
      <c r="K2941" s="16">
        <f>AVERAGE(F$5:F2941)</f>
        <v>2.2049029622063334</v>
      </c>
      <c r="L2941" s="16">
        <f>SUM(F$5:F2941)/SUM(E$5:E2941)</f>
        <v>0.76262144497438378</v>
      </c>
    </row>
    <row r="2942" spans="1:12" x14ac:dyDescent="0.25">
      <c r="A2942" s="29">
        <v>46107</v>
      </c>
      <c r="B2942" s="16" t="s">
        <v>2988</v>
      </c>
      <c r="C2942" s="34">
        <v>1</v>
      </c>
      <c r="D2942" s="16" t="s">
        <v>56</v>
      </c>
      <c r="E2942" s="35">
        <v>3.3</v>
      </c>
      <c r="F2942" s="35">
        <v>2.2000000000000002</v>
      </c>
      <c r="G2942" s="16" t="s">
        <v>45</v>
      </c>
      <c r="H2942" s="16" t="s">
        <v>45</v>
      </c>
      <c r="I2942" s="16">
        <f>COUNTIF(G$5:G2942,"Y")/COUNTA(G$5:G2942)</f>
        <v>0.88393464942137512</v>
      </c>
      <c r="J2942" s="16">
        <f>COUNTIF(H$5:H2942,"Y")/COUNTA(H$5:H2942)</f>
        <v>4.8332198774676649E-2</v>
      </c>
      <c r="K2942" s="16">
        <f>AVERAGE(F$5:F2942)</f>
        <v>2.204901293396869</v>
      </c>
      <c r="L2942" s="16">
        <f>SUM(F$5:F2942)/SUM(E$5:E2942)</f>
        <v>0.76258416913876492</v>
      </c>
    </row>
    <row r="2943" spans="1:12" x14ac:dyDescent="0.25">
      <c r="A2943" s="29">
        <v>46108</v>
      </c>
      <c r="B2943" s="16" t="s">
        <v>2989</v>
      </c>
      <c r="C2943" s="34">
        <v>1</v>
      </c>
      <c r="D2943" s="16" t="s">
        <v>64</v>
      </c>
      <c r="E2943" s="35">
        <v>4.7</v>
      </c>
      <c r="F2943" s="35">
        <v>3.7</v>
      </c>
      <c r="G2943" s="16" t="s">
        <v>44</v>
      </c>
      <c r="H2943" s="16" t="s">
        <v>45</v>
      </c>
      <c r="I2943" s="16">
        <f>COUNTIF(G$5:G2943,"Y")/COUNTA(G$5:G2943)</f>
        <v>0.88397414086423953</v>
      </c>
      <c r="J2943" s="16">
        <f>COUNTIF(H$5:H2943,"Y")/COUNTA(H$5:H2943)</f>
        <v>4.8315753657706705E-2</v>
      </c>
      <c r="K2943" s="16">
        <f>AVERAGE(F$5:F2943)</f>
        <v>2.2054100034025179</v>
      </c>
      <c r="L2943" s="16">
        <f>SUM(F$5:F2943)/SUM(E$5:E2943)</f>
        <v>0.7625977998705783</v>
      </c>
    </row>
    <row r="2944" spans="1:12" x14ac:dyDescent="0.25">
      <c r="A2944" s="29">
        <v>46104</v>
      </c>
      <c r="B2944" s="16" t="s">
        <v>2990</v>
      </c>
      <c r="C2944" s="34">
        <v>1</v>
      </c>
      <c r="D2944" s="16" t="s">
        <v>52</v>
      </c>
      <c r="E2944" s="35">
        <v>4.5999999999999996</v>
      </c>
      <c r="F2944" s="35">
        <v>3.7</v>
      </c>
      <c r="G2944" s="16" t="s">
        <v>44</v>
      </c>
      <c r="H2944" s="16" t="s">
        <v>45</v>
      </c>
      <c r="I2944" s="16">
        <f>COUNTIF(G$5:G2944,"Y")/COUNTA(G$5:G2944)</f>
        <v>0.88401360544217689</v>
      </c>
      <c r="J2944" s="16">
        <f>COUNTIF(H$5:H2944,"Y")/COUNTA(H$5:H2944)</f>
        <v>4.8299319727891157E-2</v>
      </c>
      <c r="K2944" s="16">
        <f>AVERAGE(F$5:F2944)</f>
        <v>2.2059183673469391</v>
      </c>
      <c r="L2944" s="16">
        <f>SUM(F$5:F2944)/SUM(E$5:E2944)</f>
        <v>0.76262038310932134</v>
      </c>
    </row>
    <row r="2945" spans="1:13" x14ac:dyDescent="0.25">
      <c r="A2945" s="29">
        <v>46105</v>
      </c>
      <c r="B2945" s="16" t="s">
        <v>2991</v>
      </c>
      <c r="C2945" s="34">
        <v>1</v>
      </c>
      <c r="D2945" s="16" t="s">
        <v>52</v>
      </c>
      <c r="E2945" s="35">
        <v>4.7</v>
      </c>
      <c r="F2945" s="35">
        <v>4.0999999999999996</v>
      </c>
      <c r="G2945" s="16" t="s">
        <v>45</v>
      </c>
      <c r="H2945" s="16" t="s">
        <v>45</v>
      </c>
      <c r="I2945" s="16">
        <f>COUNTIF(G$5:G2945,"Y")/COUNTA(G$5:G2945)</f>
        <v>0.88371302278136687</v>
      </c>
      <c r="J2945" s="16">
        <f>COUNTIF(H$5:H2945,"Y")/COUNTA(H$5:H2945)</f>
        <v>4.8282896973818427E-2</v>
      </c>
      <c r="K2945" s="16">
        <f>AVERAGE(F$5:F2945)</f>
        <v>2.2065623937436247</v>
      </c>
      <c r="L2945" s="16">
        <f>SUM(F$5:F2945)/SUM(E$5:E2945)</f>
        <v>0.76268098909364179</v>
      </c>
    </row>
    <row r="2946" spans="1:13" x14ac:dyDescent="0.25">
      <c r="A2946" s="29">
        <v>46106</v>
      </c>
      <c r="B2946" s="16" t="s">
        <v>2992</v>
      </c>
      <c r="C2946" s="34">
        <v>1</v>
      </c>
      <c r="D2946" s="16" t="s">
        <v>60</v>
      </c>
      <c r="E2946" s="35">
        <v>3.9</v>
      </c>
      <c r="F2946" s="35">
        <v>3.1</v>
      </c>
      <c r="G2946" s="16" t="s">
        <v>44</v>
      </c>
      <c r="H2946" s="16" t="s">
        <v>45</v>
      </c>
      <c r="I2946" s="16">
        <f>COUNTIF(G$5:G2946,"Y")/COUNTA(G$5:G2946)</f>
        <v>0.88375254928619984</v>
      </c>
      <c r="J2946" s="16">
        <f>COUNTIF(H$5:H2946,"Y")/COUNTA(H$5:H2946)</f>
        <v>4.8266485384092457E-2</v>
      </c>
      <c r="K2946" s="16">
        <f>AVERAGE(F$5:F2946)</f>
        <v>2.2068660774983009</v>
      </c>
      <c r="L2946" s="16">
        <f>SUM(F$5:F2946)/SUM(E$5:E2946)</f>
        <v>0.76269573695771964</v>
      </c>
    </row>
    <row r="2947" spans="1:13" x14ac:dyDescent="0.25">
      <c r="A2947" s="29">
        <v>46107</v>
      </c>
      <c r="B2947" s="16" t="s">
        <v>2993</v>
      </c>
      <c r="C2947" s="34">
        <v>1</v>
      </c>
      <c r="D2947" s="16" t="s">
        <v>43</v>
      </c>
      <c r="E2947" s="35">
        <v>3.9</v>
      </c>
      <c r="F2947" s="35">
        <v>2.6</v>
      </c>
      <c r="G2947" s="16" t="s">
        <v>44</v>
      </c>
      <c r="H2947" s="16" t="s">
        <v>45</v>
      </c>
      <c r="I2947" s="16">
        <f>COUNTIF(G$5:G2947,"Y")/COUNTA(G$5:G2947)</f>
        <v>0.88379204892966357</v>
      </c>
      <c r="J2947" s="16">
        <f>COUNTIF(H$5:H2947,"Y")/COUNTA(H$5:H2947)</f>
        <v>4.8250084947332655E-2</v>
      </c>
      <c r="K2947" s="16">
        <f>AVERAGE(F$5:F2947)</f>
        <v>2.2069996602106698</v>
      </c>
      <c r="L2947" s="16">
        <f>SUM(F$5:F2947)/SUM(E$5:E2947)</f>
        <v>0.76265176244040822</v>
      </c>
    </row>
    <row r="2948" spans="1:13" x14ac:dyDescent="0.25">
      <c r="A2948" s="29">
        <v>46108</v>
      </c>
      <c r="B2948" s="16" t="s">
        <v>2994</v>
      </c>
      <c r="C2948" s="34">
        <v>1</v>
      </c>
      <c r="D2948" s="16" t="s">
        <v>43</v>
      </c>
      <c r="E2948" s="35">
        <v>2.7</v>
      </c>
      <c r="F2948" s="35">
        <v>2</v>
      </c>
      <c r="G2948" s="16" t="s">
        <v>45</v>
      </c>
      <c r="H2948" s="16" t="s">
        <v>45</v>
      </c>
      <c r="I2948" s="16">
        <f>COUNTIF(G$5:G2948,"Y")/COUNTA(G$5:G2948)</f>
        <v>0.88349184782608692</v>
      </c>
      <c r="J2948" s="16">
        <f>COUNTIF(H$5:H2948,"Y")/COUNTA(H$5:H2948)</f>
        <v>4.8233695652173912E-2</v>
      </c>
      <c r="K2948" s="16">
        <f>AVERAGE(F$5:F2948)</f>
        <v>2.2069293478260876</v>
      </c>
      <c r="L2948" s="16">
        <f>SUM(F$5:F2948)/SUM(E$5:E2948)</f>
        <v>0.76264481823623775</v>
      </c>
    </row>
    <row r="2949" spans="1:13" x14ac:dyDescent="0.25">
      <c r="A2949" s="29">
        <v>46104</v>
      </c>
      <c r="B2949" s="16" t="s">
        <v>2995</v>
      </c>
      <c r="C2949" s="34">
        <v>1</v>
      </c>
      <c r="D2949" s="16" t="s">
        <v>56</v>
      </c>
      <c r="E2949" s="35">
        <v>2.5</v>
      </c>
      <c r="F2949" s="35">
        <v>2.1</v>
      </c>
      <c r="G2949" s="16" t="s">
        <v>44</v>
      </c>
      <c r="H2949" s="16" t="s">
        <v>45</v>
      </c>
      <c r="I2949" s="16">
        <f>COUNTIF(G$5:G2949,"Y")/COUNTA(G$5:G2949)</f>
        <v>0.88353140916808148</v>
      </c>
      <c r="J2949" s="16">
        <f>COUNTIF(H$5:H2949,"Y")/COUNTA(H$5:H2949)</f>
        <v>4.8217317487266556E-2</v>
      </c>
      <c r="K2949" s="16">
        <f>AVERAGE(F$5:F2949)</f>
        <v>2.2068930390492367</v>
      </c>
      <c r="L2949" s="16">
        <f>SUM(F$5:F2949)/SUM(E$5:E2949)</f>
        <v>0.76266751155858858</v>
      </c>
    </row>
    <row r="2950" spans="1:13" x14ac:dyDescent="0.25">
      <c r="A2950" s="29">
        <v>46105</v>
      </c>
      <c r="B2950" s="16" t="s">
        <v>2996</v>
      </c>
      <c r="C2950" s="34">
        <v>1</v>
      </c>
      <c r="D2950" s="16" t="s">
        <v>43</v>
      </c>
      <c r="E2950" s="35">
        <v>2.5</v>
      </c>
      <c r="F2950" s="35">
        <v>1.9</v>
      </c>
      <c r="G2950" s="16" t="s">
        <v>44</v>
      </c>
      <c r="H2950" s="16" t="s">
        <v>45</v>
      </c>
      <c r="I2950" s="16">
        <f>COUNTIF(G$5:G2950,"Y")/COUNTA(G$5:G2950)</f>
        <v>0.88357094365241007</v>
      </c>
      <c r="J2950" s="16">
        <f>COUNTIF(H$5:H2950,"Y")/COUNTA(H$5:H2950)</f>
        <v>4.8200950441276307E-2</v>
      </c>
      <c r="K2950" s="16">
        <f>AVERAGE(F$5:F2950)</f>
        <v>2.2067888662593353</v>
      </c>
      <c r="L2950" s="16">
        <f>SUM(F$5:F2950)/SUM(E$5:E2950)</f>
        <v>0.76266672923289658</v>
      </c>
    </row>
    <row r="2951" spans="1:13" x14ac:dyDescent="0.25">
      <c r="A2951" s="29">
        <v>46106</v>
      </c>
      <c r="B2951" s="16" t="s">
        <v>2997</v>
      </c>
      <c r="C2951" s="34">
        <v>1</v>
      </c>
      <c r="D2951" s="16" t="s">
        <v>60</v>
      </c>
      <c r="E2951" s="35">
        <v>1.8</v>
      </c>
      <c r="F2951" s="35">
        <v>1.5</v>
      </c>
      <c r="G2951" s="16" t="s">
        <v>44</v>
      </c>
      <c r="H2951" s="16" t="s">
        <v>45</v>
      </c>
      <c r="I2951" s="16">
        <f>COUNTIF(G$5:G2951,"Y")/COUNTA(G$5:G2951)</f>
        <v>0.88361045130641325</v>
      </c>
      <c r="J2951" s="16">
        <f>COUNTIF(H$5:H2951,"Y")/COUNTA(H$5:H2951)</f>
        <v>4.8184594502884287E-2</v>
      </c>
      <c r="K2951" s="16">
        <f>AVERAGE(F$5:F2951)</f>
        <v>2.2065490329148294</v>
      </c>
      <c r="L2951" s="16">
        <f>SUM(F$5:F2951)/SUM(E$5:E2951)</f>
        <v>0.76268164811578332</v>
      </c>
    </row>
    <row r="2952" spans="1:13" x14ac:dyDescent="0.25">
      <c r="A2952" s="29">
        <v>46107</v>
      </c>
      <c r="B2952" s="16" t="s">
        <v>2998</v>
      </c>
      <c r="C2952" s="34">
        <v>1</v>
      </c>
      <c r="D2952" s="16" t="s">
        <v>50</v>
      </c>
      <c r="E2952" s="35">
        <v>4.5</v>
      </c>
      <c r="F2952" s="35">
        <v>3.2</v>
      </c>
      <c r="G2952" s="16" t="s">
        <v>44</v>
      </c>
      <c r="H2952" s="16" t="s">
        <v>45</v>
      </c>
      <c r="I2952" s="16">
        <f>COUNTIF(G$5:G2952,"Y")/COUNTA(G$5:G2952)</f>
        <v>0.88364993215739485</v>
      </c>
      <c r="J2952" s="16">
        <f>COUNTIF(H$5:H2952,"Y")/COUNTA(H$5:H2952)</f>
        <v>4.8168249660786977E-2</v>
      </c>
      <c r="K2952" s="16">
        <f>AVERAGE(F$5:F2952)</f>
        <v>2.2068860244233384</v>
      </c>
      <c r="L2952" s="16">
        <f>SUM(F$5:F2952)/SUM(E$5:E2952)</f>
        <v>0.76265444400159199</v>
      </c>
    </row>
    <row r="2953" spans="1:13" x14ac:dyDescent="0.25">
      <c r="A2953" s="29">
        <v>46108</v>
      </c>
      <c r="B2953" s="16" t="s">
        <v>2999</v>
      </c>
      <c r="C2953" s="34">
        <v>1</v>
      </c>
      <c r="D2953" s="16" t="s">
        <v>60</v>
      </c>
      <c r="E2953" s="35">
        <v>1.9</v>
      </c>
      <c r="F2953" s="35">
        <v>1.3</v>
      </c>
      <c r="G2953" s="16" t="s">
        <v>44</v>
      </c>
      <c r="H2953" s="16" t="s">
        <v>45</v>
      </c>
      <c r="I2953" s="16">
        <f>COUNTIF(G$5:G2953,"Y")/COUNTA(G$5:G2953)</f>
        <v>0.88368938623262128</v>
      </c>
      <c r="J2953" s="16">
        <f>COUNTIF(H$5:H2953,"Y")/COUNTA(H$5:H2953)</f>
        <v>4.815191590369617E-2</v>
      </c>
      <c r="K2953" s="16">
        <f>AVERAGE(F$5:F2953)</f>
        <v>2.2065785011868435</v>
      </c>
      <c r="L2953" s="16">
        <f>SUM(F$5:F2953)/SUM(E$5:E2953)</f>
        <v>0.76263697626721139</v>
      </c>
    </row>
    <row r="2954" spans="1:13" x14ac:dyDescent="0.25">
      <c r="A2954" s="29">
        <v>46104</v>
      </c>
      <c r="B2954" s="16" t="s">
        <v>3000</v>
      </c>
      <c r="C2954" s="34">
        <v>1</v>
      </c>
      <c r="D2954" s="16" t="s">
        <v>43</v>
      </c>
      <c r="E2954" s="35">
        <v>5.0999999999999996</v>
      </c>
      <c r="F2954" s="35">
        <v>3.7</v>
      </c>
      <c r="G2954" s="16" t="s">
        <v>44</v>
      </c>
      <c r="H2954" s="16" t="s">
        <v>45</v>
      </c>
      <c r="I2954" s="16">
        <f>COUNTIF(G$5:G2954,"Y")/COUNTA(G$5:G2954)</f>
        <v>0.88372881355932198</v>
      </c>
      <c r="J2954" s="16">
        <f>COUNTIF(H$5:H2954,"Y")/COUNTA(H$5:H2954)</f>
        <v>4.8135593220338981E-2</v>
      </c>
      <c r="K2954" s="16">
        <f>AVERAGE(F$5:F2954)</f>
        <v>2.2070847457627125</v>
      </c>
      <c r="L2954" s="16">
        <f>SUM(F$5:F2954)/SUM(E$5:E2954)</f>
        <v>0.76261478635681934</v>
      </c>
    </row>
    <row r="2955" spans="1:13" x14ac:dyDescent="0.25">
      <c r="A2955" s="29">
        <v>46105</v>
      </c>
      <c r="B2955" s="16" t="s">
        <v>3001</v>
      </c>
      <c r="C2955" s="34">
        <v>1</v>
      </c>
      <c r="D2955" s="16" t="s">
        <v>47</v>
      </c>
      <c r="E2955" s="35">
        <v>2.9</v>
      </c>
      <c r="F2955" s="35">
        <v>2.2999999999999998</v>
      </c>
      <c r="G2955" s="16" t="s">
        <v>44</v>
      </c>
      <c r="H2955" s="16" t="s">
        <v>45</v>
      </c>
      <c r="I2955" s="16">
        <f>COUNTIF(G$5:G2955,"Y")/COUNTA(G$5:G2955)</f>
        <v>0.88376821416468998</v>
      </c>
      <c r="J2955" s="16">
        <f>COUNTIF(H$5:H2955,"Y")/COUNTA(H$5:H2955)</f>
        <v>4.811928159945781E-2</v>
      </c>
      <c r="K2955" s="16">
        <f>AVERAGE(F$5:F2955)</f>
        <v>2.2071162317858359</v>
      </c>
      <c r="L2955" s="16">
        <f>SUM(F$5:F2955)/SUM(E$5:E2955)</f>
        <v>0.76262513904337925</v>
      </c>
    </row>
    <row r="2956" spans="1:13" x14ac:dyDescent="0.25">
      <c r="A2956" s="29">
        <v>46106</v>
      </c>
      <c r="B2956" s="16" t="s">
        <v>3002</v>
      </c>
      <c r="C2956" s="34">
        <v>1</v>
      </c>
      <c r="D2956" s="16" t="s">
        <v>64</v>
      </c>
      <c r="E2956" s="35">
        <v>1.1000000000000001</v>
      </c>
      <c r="F2956" s="35">
        <v>1.6</v>
      </c>
      <c r="G2956" s="16" t="s">
        <v>44</v>
      </c>
      <c r="H2956" s="16" t="s">
        <v>45</v>
      </c>
      <c r="I2956" s="16">
        <f>COUNTIF(G$5:G2956,"Y")/COUNTA(G$5:G2956)</f>
        <v>0.88380758807588078</v>
      </c>
      <c r="J2956" s="16">
        <f>COUNTIF(H$5:H2956,"Y")/COUNTA(H$5:H2956)</f>
        <v>4.8102981029810296E-2</v>
      </c>
      <c r="K2956" s="16">
        <f>AVERAGE(F$5:F2956)</f>
        <v>2.2069105691056916</v>
      </c>
      <c r="L2956" s="16">
        <f>SUM(F$5:F2956)/SUM(E$5:E2956)</f>
        <v>0.76271424557459733</v>
      </c>
    </row>
    <row r="2957" spans="1:13" x14ac:dyDescent="0.25">
      <c r="A2957" s="29">
        <v>46107</v>
      </c>
      <c r="B2957" s="16" t="s">
        <v>3003</v>
      </c>
      <c r="C2957" s="34">
        <v>1</v>
      </c>
      <c r="D2957" s="16" t="s">
        <v>50</v>
      </c>
      <c r="E2957" s="35">
        <v>0.5</v>
      </c>
      <c r="F2957" s="35">
        <v>1.7</v>
      </c>
      <c r="G2957" s="16" t="s">
        <v>44</v>
      </c>
      <c r="H2957" s="16" t="s">
        <v>45</v>
      </c>
      <c r="I2957" s="16">
        <f>COUNTIF(G$5:G2957,"Y")/COUNTA(G$5:G2957)</f>
        <v>0.88384693532001357</v>
      </c>
      <c r="J2957" s="16">
        <f>COUNTIF(H$5:H2957,"Y")/COUNTA(H$5:H2957)</f>
        <v>4.8086691500169317E-2</v>
      </c>
      <c r="K2957" s="16">
        <f>AVERAGE(F$5:F2957)</f>
        <v>2.2067389095834749</v>
      </c>
      <c r="L2957" s="16">
        <f>SUM(F$5:F2957)/SUM(E$5:E2957)</f>
        <v>0.76286861544584827</v>
      </c>
    </row>
    <row r="2958" spans="1:13" x14ac:dyDescent="0.25">
      <c r="A2958" s="29">
        <v>46108</v>
      </c>
      <c r="B2958" s="16" t="s">
        <v>3004</v>
      </c>
      <c r="C2958" s="34">
        <v>1</v>
      </c>
      <c r="D2958" s="16" t="s">
        <v>64</v>
      </c>
      <c r="E2958" s="35">
        <v>0.5</v>
      </c>
      <c r="F2958" s="35">
        <v>0.5</v>
      </c>
      <c r="G2958" s="16" t="s">
        <v>45</v>
      </c>
      <c r="H2958" s="16" t="s">
        <v>45</v>
      </c>
      <c r="I2958" s="16">
        <f>COUNTIF(G$5:G2958,"Y")/COUNTA(G$5:G2958)</f>
        <v>0.88354773188896407</v>
      </c>
      <c r="J2958" s="16">
        <f>COUNTIF(H$5:H2958,"Y")/COUNTA(H$5:H2958)</f>
        <v>4.8070412999322951E-2</v>
      </c>
      <c r="K2958" s="16">
        <f>AVERAGE(F$5:F2958)</f>
        <v>2.206161137440759</v>
      </c>
      <c r="L2958" s="16">
        <f>SUM(F$5:F2958)/SUM(E$5:E2958)</f>
        <v>0.76288249479081083</v>
      </c>
      <c r="M2958" s="16">
        <v>14</v>
      </c>
    </row>
    <row r="2959" spans="1:13" x14ac:dyDescent="0.25">
      <c r="A2959" s="29">
        <v>46111</v>
      </c>
      <c r="B2959" s="16" t="s">
        <v>3005</v>
      </c>
      <c r="C2959" s="34">
        <v>1</v>
      </c>
      <c r="D2959" s="16" t="s">
        <v>60</v>
      </c>
      <c r="E2959" s="35">
        <v>5.2</v>
      </c>
      <c r="F2959" s="35">
        <v>3.6</v>
      </c>
      <c r="G2959" s="16" t="s">
        <v>44</v>
      </c>
      <c r="H2959" s="16" t="s">
        <v>45</v>
      </c>
      <c r="I2959" s="16">
        <f>COUNTIF(G$5:G2959,"Y")/COUNTA(G$5:G2959)</f>
        <v>0.88358714043993236</v>
      </c>
      <c r="J2959" s="16">
        <f>COUNTIF(H$5:H2959,"Y")/COUNTA(H$5:H2959)</f>
        <v>4.8054145516074454E-2</v>
      </c>
      <c r="K2959" s="16">
        <f>AVERAGE(F$5:F2959)</f>
        <v>2.206632825719121</v>
      </c>
      <c r="L2959" s="16">
        <f>SUM(F$5:F2959)/SUM(E$5:E2959)</f>
        <v>0.76283956105664386</v>
      </c>
    </row>
    <row r="2960" spans="1:13" x14ac:dyDescent="0.25">
      <c r="A2960" s="29">
        <v>46112</v>
      </c>
      <c r="B2960" s="16" t="s">
        <v>3006</v>
      </c>
      <c r="C2960" s="34">
        <v>1</v>
      </c>
      <c r="D2960" s="16" t="s">
        <v>60</v>
      </c>
      <c r="E2960" s="35">
        <v>3.3</v>
      </c>
      <c r="F2960" s="35">
        <v>2.2999999999999998</v>
      </c>
      <c r="G2960" s="16" t="s">
        <v>45</v>
      </c>
      <c r="H2960" s="16" t="s">
        <v>45</v>
      </c>
      <c r="I2960" s="16">
        <f>COUNTIF(G$5:G2960,"Y")/COUNTA(G$5:G2960)</f>
        <v>0.8832882273342354</v>
      </c>
      <c r="J2960" s="16">
        <f>COUNTIF(H$5:H2960,"Y")/COUNTA(H$5:H2960)</f>
        <v>4.8037889039242221E-2</v>
      </c>
      <c r="K2960" s="16">
        <f>AVERAGE(F$5:F2960)</f>
        <v>2.2066644113667127</v>
      </c>
      <c r="L2960" s="16">
        <f>SUM(F$5:F2960)/SUM(E$5:E2960)</f>
        <v>0.76281414087076294</v>
      </c>
    </row>
    <row r="2961" spans="1:12" x14ac:dyDescent="0.25">
      <c r="A2961" s="29">
        <v>46113</v>
      </c>
      <c r="B2961" s="16" t="s">
        <v>3007</v>
      </c>
      <c r="C2961" s="34">
        <v>1</v>
      </c>
      <c r="D2961" s="16" t="s">
        <v>52</v>
      </c>
      <c r="E2961" s="35">
        <v>2.8</v>
      </c>
      <c r="F2961" s="35">
        <v>2</v>
      </c>
      <c r="G2961" s="16" t="s">
        <v>44</v>
      </c>
      <c r="H2961" s="16" t="s">
        <v>45</v>
      </c>
      <c r="I2961" s="16">
        <f>COUNTIF(G$5:G2961,"Y")/COUNTA(G$5:G2961)</f>
        <v>0.88332769699019276</v>
      </c>
      <c r="J2961" s="16">
        <f>COUNTIF(H$5:H2961,"Y")/COUNTA(H$5:H2961)</f>
        <v>4.8021643557659789E-2</v>
      </c>
      <c r="K2961" s="16">
        <f>AVERAGE(F$5:F2961)</f>
        <v>2.206594521474468</v>
      </c>
      <c r="L2961" s="16">
        <f>SUM(F$5:F2961)/SUM(E$5:E2961)</f>
        <v>0.7627982557663735</v>
      </c>
    </row>
    <row r="2962" spans="1:12" x14ac:dyDescent="0.25">
      <c r="A2962" s="29">
        <v>46114</v>
      </c>
      <c r="B2962" s="16" t="s">
        <v>3008</v>
      </c>
      <c r="C2962" s="34">
        <v>1</v>
      </c>
      <c r="D2962" s="16" t="s">
        <v>60</v>
      </c>
      <c r="E2962" s="35">
        <v>3.5</v>
      </c>
      <c r="F2962" s="35">
        <v>2.7</v>
      </c>
      <c r="G2962" s="16" t="s">
        <v>44</v>
      </c>
      <c r="H2962" s="16" t="s">
        <v>45</v>
      </c>
      <c r="I2962" s="16">
        <f>COUNTIF(G$5:G2962,"Y")/COUNTA(G$5:G2962)</f>
        <v>0.88336713995943206</v>
      </c>
      <c r="J2962" s="16">
        <f>COUNTIF(H$5:H2962,"Y")/COUNTA(H$5:H2962)</f>
        <v>4.8005409060175794E-2</v>
      </c>
      <c r="K2962" s="16">
        <f>AVERAGE(F$5:F2962)</f>
        <v>2.2067613252197438</v>
      </c>
      <c r="L2962" s="16">
        <f>SUM(F$5:F2962)/SUM(E$5:E2962)</f>
        <v>0.76280178558907863</v>
      </c>
    </row>
    <row r="2963" spans="1:12" x14ac:dyDescent="0.25">
      <c r="A2963" s="29">
        <v>46115</v>
      </c>
      <c r="B2963" s="16" t="s">
        <v>3009</v>
      </c>
      <c r="C2963" s="34">
        <v>1</v>
      </c>
      <c r="D2963" s="16" t="s">
        <v>43</v>
      </c>
      <c r="E2963" s="35">
        <v>4.4000000000000004</v>
      </c>
      <c r="F2963" s="35">
        <v>3.3</v>
      </c>
      <c r="G2963" s="16" t="s">
        <v>44</v>
      </c>
      <c r="H2963" s="16" t="s">
        <v>45</v>
      </c>
      <c r="I2963" s="16">
        <f>COUNTIF(G$5:G2963,"Y")/COUNTA(G$5:G2963)</f>
        <v>0.88340655626900977</v>
      </c>
      <c r="J2963" s="16">
        <f>COUNTIF(H$5:H2963,"Y")/COUNTA(H$5:H2963)</f>
        <v>4.7989185535653935E-2</v>
      </c>
      <c r="K2963" s="16">
        <f>AVERAGE(F$5:F2963)</f>
        <v>2.207130787428186</v>
      </c>
      <c r="L2963" s="16">
        <f>SUM(F$5:F2963)/SUM(E$5:E2963)</f>
        <v>0.76279520661542921</v>
      </c>
    </row>
    <row r="2964" spans="1:12" x14ac:dyDescent="0.25">
      <c r="A2964" s="29">
        <v>46111</v>
      </c>
      <c r="B2964" s="16" t="s">
        <v>3010</v>
      </c>
      <c r="C2964" s="34">
        <v>1</v>
      </c>
      <c r="D2964" s="16" t="s">
        <v>60</v>
      </c>
      <c r="E2964" s="35">
        <v>3</v>
      </c>
      <c r="F2964" s="35">
        <v>2.2999999999999998</v>
      </c>
      <c r="G2964" s="16" t="s">
        <v>44</v>
      </c>
      <c r="H2964" s="16" t="s">
        <v>45</v>
      </c>
      <c r="I2964" s="16">
        <f>COUNTIF(G$5:G2964,"Y")/COUNTA(G$5:G2964)</f>
        <v>0.88344594594594594</v>
      </c>
      <c r="J2964" s="16">
        <f>COUNTIF(H$5:H2964,"Y")/COUNTA(H$5:H2964)</f>
        <v>4.7972972972972976E-2</v>
      </c>
      <c r="K2964" s="16">
        <f>AVERAGE(F$5:F2964)</f>
        <v>2.2071621621621631</v>
      </c>
      <c r="L2964" s="16">
        <f>SUM(F$5:F2964)/SUM(E$5:E2964)</f>
        <v>0.7627965626751334</v>
      </c>
    </row>
    <row r="2965" spans="1:12" x14ac:dyDescent="0.25">
      <c r="A2965" s="29">
        <v>46112</v>
      </c>
      <c r="B2965" s="16" t="s">
        <v>3011</v>
      </c>
      <c r="C2965" s="34">
        <v>1</v>
      </c>
      <c r="D2965" s="16" t="s">
        <v>60</v>
      </c>
      <c r="E2965" s="35">
        <v>1.7</v>
      </c>
      <c r="F2965" s="35">
        <v>1.4</v>
      </c>
      <c r="G2965" s="16" t="s">
        <v>44</v>
      </c>
      <c r="H2965" s="16" t="s">
        <v>45</v>
      </c>
      <c r="I2965" s="16">
        <f>COUNTIF(G$5:G2965,"Y")/COUNTA(G$5:G2965)</f>
        <v>0.88348530901722389</v>
      </c>
      <c r="J2965" s="16">
        <f>COUNTIF(H$5:H2965,"Y")/COUNTA(H$5:H2965)</f>
        <v>4.7956771361026683E-2</v>
      </c>
      <c r="K2965" s="16">
        <f>AVERAGE(F$5:F2965)</f>
        <v>2.2068895643363735</v>
      </c>
      <c r="L2965" s="16">
        <f>SUM(F$5:F2965)/SUM(E$5:E2965)</f>
        <v>0.7628086149535962</v>
      </c>
    </row>
    <row r="2966" spans="1:12" x14ac:dyDescent="0.25">
      <c r="A2966" s="29">
        <v>46113</v>
      </c>
      <c r="B2966" s="16" t="s">
        <v>3012</v>
      </c>
      <c r="C2966" s="34">
        <v>1</v>
      </c>
      <c r="D2966" s="16" t="s">
        <v>52</v>
      </c>
      <c r="E2966" s="35">
        <v>4.7</v>
      </c>
      <c r="F2966" s="35">
        <v>3.2</v>
      </c>
      <c r="G2966" s="16" t="s">
        <v>44</v>
      </c>
      <c r="H2966" s="16" t="s">
        <v>45</v>
      </c>
      <c r="I2966" s="16">
        <f>COUNTIF(G$5:G2966,"Y")/COUNTA(G$5:G2966)</f>
        <v>0.88352464550979071</v>
      </c>
      <c r="J2966" s="16">
        <f>COUNTIF(H$5:H2966,"Y")/COUNTA(H$5:H2966)</f>
        <v>4.7940580688723838E-2</v>
      </c>
      <c r="K2966" s="16">
        <f>AVERAGE(F$5:F2966)</f>
        <v>2.2072248480756254</v>
      </c>
      <c r="L2966" s="16">
        <f>SUM(F$5:F2966)/SUM(E$5:E2966)</f>
        <v>0.76276367369796305</v>
      </c>
    </row>
    <row r="2967" spans="1:12" x14ac:dyDescent="0.25">
      <c r="A2967" s="29">
        <v>46114</v>
      </c>
      <c r="B2967" s="16" t="s">
        <v>3013</v>
      </c>
      <c r="C2967" s="34">
        <v>1</v>
      </c>
      <c r="D2967" s="16" t="s">
        <v>64</v>
      </c>
      <c r="E2967" s="35">
        <v>1.9</v>
      </c>
      <c r="F2967" s="35">
        <v>1.6</v>
      </c>
      <c r="G2967" s="16" t="s">
        <v>44</v>
      </c>
      <c r="H2967" s="16" t="s">
        <v>45</v>
      </c>
      <c r="I2967" s="16">
        <f>COUNTIF(G$5:G2967,"Y")/COUNTA(G$5:G2967)</f>
        <v>0.88356395545055688</v>
      </c>
      <c r="J2967" s="16">
        <f>COUNTIF(H$5:H2967,"Y")/COUNTA(H$5:H2967)</f>
        <v>4.7924400944988191E-2</v>
      </c>
      <c r="K2967" s="16">
        <f>AVERAGE(F$5:F2967)</f>
        <v>2.2070199122510976</v>
      </c>
      <c r="L2967" s="16">
        <f>SUM(F$5:F2967)/SUM(E$5:E2967)</f>
        <v>0.76278125765475513</v>
      </c>
    </row>
    <row r="2968" spans="1:12" x14ac:dyDescent="0.25">
      <c r="A2968" s="29">
        <v>46115</v>
      </c>
      <c r="B2968" s="16" t="s">
        <v>3014</v>
      </c>
      <c r="C2968" s="34">
        <v>1</v>
      </c>
      <c r="D2968" s="16" t="s">
        <v>43</v>
      </c>
      <c r="E2968" s="35">
        <v>2.9</v>
      </c>
      <c r="F2968" s="35">
        <v>2.6</v>
      </c>
      <c r="G2968" s="16" t="s">
        <v>44</v>
      </c>
      <c r="H2968" s="16" t="s">
        <v>45</v>
      </c>
      <c r="I2968" s="16">
        <f>COUNTIF(G$5:G2968,"Y")/COUNTA(G$5:G2968)</f>
        <v>0.8836032388663968</v>
      </c>
      <c r="J2968" s="16">
        <f>COUNTIF(H$5:H2968,"Y")/COUNTA(H$5:H2968)</f>
        <v>4.7908232118758436E-2</v>
      </c>
      <c r="K2968" s="16">
        <f>AVERAGE(F$5:F2968)</f>
        <v>2.2071524966261817</v>
      </c>
      <c r="L2968" s="16">
        <f>SUM(F$5:F2968)/SUM(E$5:E2968)</f>
        <v>0.76282649253731127</v>
      </c>
    </row>
    <row r="2969" spans="1:12" x14ac:dyDescent="0.25">
      <c r="A2969" s="29">
        <v>46111</v>
      </c>
      <c r="B2969" s="16" t="s">
        <v>3015</v>
      </c>
      <c r="C2969" s="34">
        <v>1</v>
      </c>
      <c r="D2969" s="16" t="s">
        <v>47</v>
      </c>
      <c r="E2969" s="35">
        <v>3.5</v>
      </c>
      <c r="F2969" s="35">
        <v>2.9</v>
      </c>
      <c r="G2969" s="16" t="s">
        <v>44</v>
      </c>
      <c r="H2969" s="16" t="s">
        <v>45</v>
      </c>
      <c r="I2969" s="16">
        <f>COUNTIF(G$5:G2969,"Y")/COUNTA(G$5:G2969)</f>
        <v>0.88364249578414844</v>
      </c>
      <c r="J2969" s="16">
        <f>COUNTIF(H$5:H2969,"Y")/COUNTA(H$5:H2969)</f>
        <v>4.7892074198988194E-2</v>
      </c>
      <c r="K2969" s="16">
        <f>AVERAGE(F$5:F2969)</f>
        <v>2.2073861720067462</v>
      </c>
      <c r="L2969" s="16">
        <f>SUM(F$5:F2969)/SUM(E$5:E2969)</f>
        <v>0.7628533131301336</v>
      </c>
    </row>
    <row r="2970" spans="1:12" x14ac:dyDescent="0.25">
      <c r="A2970" s="29">
        <v>46112</v>
      </c>
      <c r="B2970" s="16" t="s">
        <v>3016</v>
      </c>
      <c r="C2970" s="34">
        <v>1</v>
      </c>
      <c r="D2970" s="16" t="s">
        <v>60</v>
      </c>
      <c r="E2970" s="35">
        <v>4.7</v>
      </c>
      <c r="F2970" s="35">
        <v>3.9</v>
      </c>
      <c r="G2970" s="16" t="s">
        <v>44</v>
      </c>
      <c r="H2970" s="16" t="s">
        <v>45</v>
      </c>
      <c r="I2970" s="16">
        <f>COUNTIF(G$5:G2970,"Y")/COUNTA(G$5:G2970)</f>
        <v>0.88368172623061358</v>
      </c>
      <c r="J2970" s="16">
        <f>COUNTIF(H$5:H2970,"Y")/COUNTA(H$5:H2970)</f>
        <v>4.7875927174645991E-2</v>
      </c>
      <c r="K2970" s="16">
        <f>AVERAGE(F$5:F2970)</f>
        <v>2.2079568442346602</v>
      </c>
      <c r="L2970" s="16">
        <f>SUM(F$5:F2970)/SUM(E$5:E2970)</f>
        <v>0.76288996062533265</v>
      </c>
    </row>
    <row r="2971" spans="1:12" x14ac:dyDescent="0.25">
      <c r="A2971" s="29">
        <v>46113</v>
      </c>
      <c r="B2971" s="16" t="s">
        <v>3017</v>
      </c>
      <c r="C2971" s="34">
        <v>1</v>
      </c>
      <c r="D2971" s="16" t="s">
        <v>47</v>
      </c>
      <c r="E2971" s="35">
        <v>3.8</v>
      </c>
      <c r="F2971" s="35">
        <v>2.6</v>
      </c>
      <c r="G2971" s="16" t="s">
        <v>44</v>
      </c>
      <c r="H2971" s="16" t="s">
        <v>45</v>
      </c>
      <c r="I2971" s="16">
        <f>COUNTIF(G$5:G2971,"Y")/COUNTA(G$5:G2971)</f>
        <v>0.88372093023255816</v>
      </c>
      <c r="J2971" s="16">
        <f>COUNTIF(H$5:H2971,"Y")/COUNTA(H$5:H2971)</f>
        <v>4.7859791034715202E-2</v>
      </c>
      <c r="K2971" s="16">
        <f>AVERAGE(F$5:F2971)</f>
        <v>2.2080889787664315</v>
      </c>
      <c r="L2971" s="16">
        <f>SUM(F$5:F2971)/SUM(E$5:E2971)</f>
        <v>0.76285514671634624</v>
      </c>
    </row>
    <row r="2972" spans="1:12" x14ac:dyDescent="0.25">
      <c r="A2972" s="29">
        <v>46114</v>
      </c>
      <c r="B2972" s="16" t="s">
        <v>3018</v>
      </c>
      <c r="C2972" s="34">
        <v>1</v>
      </c>
      <c r="D2972" s="16" t="s">
        <v>60</v>
      </c>
      <c r="E2972" s="35">
        <v>2.1</v>
      </c>
      <c r="F2972" s="35">
        <v>1.5</v>
      </c>
      <c r="G2972" s="16" t="s">
        <v>44</v>
      </c>
      <c r="H2972" s="16" t="s">
        <v>45</v>
      </c>
      <c r="I2972" s="16">
        <f>COUNTIF(G$5:G2972,"Y")/COUNTA(G$5:G2972)</f>
        <v>0.88376010781671155</v>
      </c>
      <c r="J2972" s="16">
        <f>COUNTIF(H$5:H2972,"Y")/COUNTA(H$5:H2972)</f>
        <v>4.7843665768194071E-2</v>
      </c>
      <c r="K2972" s="16">
        <f>AVERAGE(F$5:F2972)</f>
        <v>2.2078504043126692</v>
      </c>
      <c r="L2972" s="16">
        <f>SUM(F$5:F2972)/SUM(E$5:E2972)</f>
        <v>0.76284327307015998</v>
      </c>
    </row>
    <row r="2973" spans="1:12" x14ac:dyDescent="0.25">
      <c r="A2973" s="29">
        <v>46115</v>
      </c>
      <c r="B2973" s="16" t="s">
        <v>3019</v>
      </c>
      <c r="C2973" s="34">
        <v>1</v>
      </c>
      <c r="D2973" s="16" t="s">
        <v>52</v>
      </c>
      <c r="E2973" s="35">
        <v>3.5</v>
      </c>
      <c r="F2973" s="35">
        <v>2.8</v>
      </c>
      <c r="G2973" s="16" t="s">
        <v>44</v>
      </c>
      <c r="H2973" s="16" t="s">
        <v>44</v>
      </c>
      <c r="I2973" s="16">
        <f>COUNTIF(G$5:G2973,"Y")/COUNTA(G$5:G2973)</f>
        <v>0.88379925900976763</v>
      </c>
      <c r="J2973" s="16">
        <f>COUNTIF(H$5:H2973,"Y")/COUNTA(H$5:H2973)</f>
        <v>4.8164365106096327E-2</v>
      </c>
      <c r="K2973" s="16">
        <f>AVERAGE(F$5:F2973)</f>
        <v>2.2080498484338169</v>
      </c>
      <c r="L2973" s="16">
        <f>SUM(F$5:F2973)/SUM(E$5:E2973)</f>
        <v>0.76285840625581613</v>
      </c>
    </row>
    <row r="2974" spans="1:12" x14ac:dyDescent="0.25">
      <c r="A2974" s="29">
        <v>46111</v>
      </c>
      <c r="B2974" s="16" t="s">
        <v>3020</v>
      </c>
      <c r="C2974" s="34">
        <v>1</v>
      </c>
      <c r="D2974" s="16" t="s">
        <v>52</v>
      </c>
      <c r="E2974" s="35">
        <v>6</v>
      </c>
      <c r="F2974" s="35">
        <v>4.0999999999999996</v>
      </c>
      <c r="G2974" s="16" t="s">
        <v>45</v>
      </c>
      <c r="H2974" s="16" t="s">
        <v>44</v>
      </c>
      <c r="I2974" s="16">
        <f>COUNTIF(G$5:G2974,"Y")/COUNTA(G$5:G2974)</f>
        <v>0.88350168350168345</v>
      </c>
      <c r="J2974" s="16">
        <f>COUNTIF(H$5:H2974,"Y")/COUNTA(H$5:H2974)</f>
        <v>4.8484848484848485E-2</v>
      </c>
      <c r="K2974" s="16">
        <f>AVERAGE(F$5:F2974)</f>
        <v>2.2086868686868697</v>
      </c>
      <c r="L2974" s="16">
        <f>SUM(F$5:F2974)/SUM(E$5:E2974)</f>
        <v>0.76280292106609393</v>
      </c>
    </row>
    <row r="2975" spans="1:12" x14ac:dyDescent="0.25">
      <c r="A2975" s="29">
        <v>46112</v>
      </c>
      <c r="B2975" s="16" t="s">
        <v>3021</v>
      </c>
      <c r="C2975" s="34">
        <v>1</v>
      </c>
      <c r="D2975" s="16" t="s">
        <v>64</v>
      </c>
      <c r="E2975" s="35">
        <v>2.5</v>
      </c>
      <c r="F2975" s="35">
        <v>1.8</v>
      </c>
      <c r="G2975" s="16" t="s">
        <v>44</v>
      </c>
      <c r="H2975" s="16" t="s">
        <v>45</v>
      </c>
      <c r="I2975" s="16">
        <f>COUNTIF(G$5:G2975,"Y")/COUNTA(G$5:G2975)</f>
        <v>0.88354089532144064</v>
      </c>
      <c r="J2975" s="16">
        <f>COUNTIF(H$5:H2975,"Y")/COUNTA(H$5:H2975)</f>
        <v>4.8468529114776171E-2</v>
      </c>
      <c r="K2975" s="16">
        <f>AVERAGE(F$5:F2975)</f>
        <v>2.2085493099966351</v>
      </c>
      <c r="L2975" s="16">
        <f>SUM(F$5:F2975)/SUM(E$5:E2975)</f>
        <v>0.76279048139407613</v>
      </c>
    </row>
    <row r="2976" spans="1:12" x14ac:dyDescent="0.25">
      <c r="A2976" s="29">
        <v>46113</v>
      </c>
      <c r="B2976" s="16" t="s">
        <v>3022</v>
      </c>
      <c r="C2976" s="34">
        <v>1</v>
      </c>
      <c r="D2976" s="16" t="s">
        <v>47</v>
      </c>
      <c r="E2976" s="35">
        <v>2.1</v>
      </c>
      <c r="F2976" s="35">
        <v>1.9</v>
      </c>
      <c r="G2976" s="16" t="s">
        <v>44</v>
      </c>
      <c r="H2976" s="16" t="s">
        <v>45</v>
      </c>
      <c r="I2976" s="16">
        <f>COUNTIF(G$5:G2976,"Y")/COUNTA(G$5:G2976)</f>
        <v>0.8835800807537012</v>
      </c>
      <c r="J2976" s="16">
        <f>COUNTIF(H$5:H2976,"Y")/COUNTA(H$5:H2976)</f>
        <v>4.8452220726783311E-2</v>
      </c>
      <c r="K2976" s="16">
        <f>AVERAGE(F$5:F2976)</f>
        <v>2.2084454912516831</v>
      </c>
      <c r="L2976" s="16">
        <f>SUM(F$5:F2976)/SUM(E$5:E2976)</f>
        <v>0.76282513191231971</v>
      </c>
    </row>
    <row r="2977" spans="1:12" x14ac:dyDescent="0.25">
      <c r="A2977" s="29">
        <v>46114</v>
      </c>
      <c r="B2977" s="16" t="s">
        <v>3023</v>
      </c>
      <c r="C2977" s="34">
        <v>1</v>
      </c>
      <c r="D2977" s="16" t="s">
        <v>60</v>
      </c>
      <c r="E2977" s="35">
        <v>4.3</v>
      </c>
      <c r="F2977" s="35">
        <v>3.5</v>
      </c>
      <c r="G2977" s="16" t="s">
        <v>44</v>
      </c>
      <c r="H2977" s="16" t="s">
        <v>45</v>
      </c>
      <c r="I2977" s="16">
        <f>COUNTIF(G$5:G2977,"Y")/COUNTA(G$5:G2977)</f>
        <v>0.8836192398250925</v>
      </c>
      <c r="J2977" s="16">
        <f>COUNTIF(H$5:H2977,"Y")/COUNTA(H$5:H2977)</f>
        <v>4.843592330978809E-2</v>
      </c>
      <c r="K2977" s="16">
        <f>AVERAGE(F$5:F2977)</f>
        <v>2.2088799192734623</v>
      </c>
      <c r="L2977" s="16">
        <f>SUM(F$5:F2977)/SUM(E$5:E2977)</f>
        <v>0.76285067084857783</v>
      </c>
    </row>
    <row r="2978" spans="1:12" x14ac:dyDescent="0.25">
      <c r="A2978" s="29">
        <v>46115</v>
      </c>
      <c r="B2978" s="16" t="s">
        <v>3024</v>
      </c>
      <c r="C2978" s="34">
        <v>1</v>
      </c>
      <c r="D2978" s="16" t="s">
        <v>47</v>
      </c>
      <c r="E2978" s="35">
        <v>3.6</v>
      </c>
      <c r="F2978" s="35">
        <v>3.1</v>
      </c>
      <c r="G2978" s="16" t="s">
        <v>45</v>
      </c>
      <c r="H2978" s="16" t="s">
        <v>45</v>
      </c>
      <c r="I2978" s="16">
        <f>COUNTIF(G$5:G2978,"Y")/COUNTA(G$5:G2978)</f>
        <v>0.88332212508406183</v>
      </c>
      <c r="J2978" s="16">
        <f>COUNTIF(H$5:H2978,"Y")/COUNTA(H$5:H2978)</f>
        <v>4.8419636852723602E-2</v>
      </c>
      <c r="K2978" s="16">
        <f>AVERAGE(F$5:F2978)</f>
        <v>2.2091795561533298</v>
      </c>
      <c r="L2978" s="16">
        <f>SUM(F$5:F2978)/SUM(E$5:E2978)</f>
        <v>0.76289174533504978</v>
      </c>
    </row>
    <row r="2979" spans="1:12" x14ac:dyDescent="0.25">
      <c r="A2979" s="29">
        <v>46111</v>
      </c>
      <c r="B2979" s="16" t="s">
        <v>3025</v>
      </c>
      <c r="C2979" s="34">
        <v>1</v>
      </c>
      <c r="D2979" s="16" t="s">
        <v>47</v>
      </c>
      <c r="E2979" s="35">
        <v>5</v>
      </c>
      <c r="F2979" s="35">
        <v>3.9</v>
      </c>
      <c r="G2979" s="16" t="s">
        <v>44</v>
      </c>
      <c r="H2979" s="16" t="s">
        <v>45</v>
      </c>
      <c r="I2979" s="16">
        <f>COUNTIF(G$5:G2979,"Y")/COUNTA(G$5:G2979)</f>
        <v>0.88336134453781512</v>
      </c>
      <c r="J2979" s="16">
        <f>COUNTIF(H$5:H2979,"Y")/COUNTA(H$5:H2979)</f>
        <v>4.8403361344537814E-2</v>
      </c>
      <c r="K2979" s="16">
        <f>AVERAGE(F$5:F2979)</f>
        <v>2.2097478991596646</v>
      </c>
      <c r="L2979" s="16">
        <f>SUM(F$5:F2979)/SUM(E$5:E2979)</f>
        <v>0.76290167225632544</v>
      </c>
    </row>
    <row r="2980" spans="1:12" x14ac:dyDescent="0.25">
      <c r="A2980" s="29">
        <v>46112</v>
      </c>
      <c r="B2980" s="16" t="s">
        <v>3026</v>
      </c>
      <c r="C2980" s="34">
        <v>1</v>
      </c>
      <c r="D2980" s="16" t="s">
        <v>52</v>
      </c>
      <c r="E2980" s="35">
        <v>4.5</v>
      </c>
      <c r="F2980" s="35">
        <v>3.7</v>
      </c>
      <c r="G2980" s="16" t="s">
        <v>44</v>
      </c>
      <c r="H2980" s="16" t="s">
        <v>45</v>
      </c>
      <c r="I2980" s="16">
        <f>COUNTIF(G$5:G2980,"Y")/COUNTA(G$5:G2980)</f>
        <v>0.88340053763440862</v>
      </c>
      <c r="J2980" s="16">
        <f>COUNTIF(H$5:H2980,"Y")/COUNTA(H$5:H2980)</f>
        <v>4.8387096774193547E-2</v>
      </c>
      <c r="K2980" s="16">
        <f>AVERAGE(F$5:F2980)</f>
        <v>2.2102486559139796</v>
      </c>
      <c r="L2980" s="16">
        <f>SUM(F$5:F2980)/SUM(E$5:E2980)</f>
        <v>0.76293263431381431</v>
      </c>
    </row>
    <row r="2981" spans="1:12" x14ac:dyDescent="0.25">
      <c r="A2981" s="29">
        <v>46113</v>
      </c>
      <c r="B2981" s="16" t="s">
        <v>3027</v>
      </c>
      <c r="C2981" s="34">
        <v>1</v>
      </c>
      <c r="D2981" s="16" t="s">
        <v>56</v>
      </c>
      <c r="E2981" s="35">
        <v>2.8</v>
      </c>
      <c r="F2981" s="35">
        <v>1.9</v>
      </c>
      <c r="G2981" s="16" t="s">
        <v>44</v>
      </c>
      <c r="H2981" s="16" t="s">
        <v>45</v>
      </c>
      <c r="I2981" s="16">
        <f>COUNTIF(G$5:G2981,"Y")/COUNTA(G$5:G2981)</f>
        <v>0.88343970440040309</v>
      </c>
      <c r="J2981" s="16">
        <f>COUNTIF(H$5:H2981,"Y")/COUNTA(H$5:H2981)</f>
        <v>4.8370843130668459E-2</v>
      </c>
      <c r="K2981" s="16">
        <f>AVERAGE(F$5:F2981)</f>
        <v>2.2101444407121269</v>
      </c>
      <c r="L2981" s="16">
        <f>SUM(F$5:F2981)/SUM(E$5:E2981)</f>
        <v>0.76290524558229922</v>
      </c>
    </row>
    <row r="2982" spans="1:12" x14ac:dyDescent="0.25">
      <c r="A2982" s="29">
        <v>46114</v>
      </c>
      <c r="B2982" s="16" t="s">
        <v>3028</v>
      </c>
      <c r="C2982" s="34">
        <v>1</v>
      </c>
      <c r="D2982" s="16" t="s">
        <v>50</v>
      </c>
      <c r="E2982" s="35">
        <v>3.6</v>
      </c>
      <c r="F2982" s="35">
        <v>2.9</v>
      </c>
      <c r="G2982" s="16" t="s">
        <v>44</v>
      </c>
      <c r="H2982" s="16" t="s">
        <v>45</v>
      </c>
      <c r="I2982" s="16">
        <f>COUNTIF(G$5:G2982,"Y")/COUNTA(G$5:G2982)</f>
        <v>0.88347884486232375</v>
      </c>
      <c r="J2982" s="16">
        <f>COUNTIF(H$5:H2982,"Y")/COUNTA(H$5:H2982)</f>
        <v>4.8354600402955E-2</v>
      </c>
      <c r="K2982" s="16">
        <f>AVERAGE(F$5:F2982)</f>
        <v>2.2103760913364678</v>
      </c>
      <c r="L2982" s="16">
        <f>SUM(F$5:F2982)/SUM(E$5:E2982)</f>
        <v>0.76292304126100852</v>
      </c>
    </row>
    <row r="2983" spans="1:12" x14ac:dyDescent="0.25">
      <c r="A2983" s="29">
        <v>46115</v>
      </c>
      <c r="B2983" s="16" t="s">
        <v>3029</v>
      </c>
      <c r="C2983" s="34">
        <v>1</v>
      </c>
      <c r="D2983" s="16" t="s">
        <v>60</v>
      </c>
      <c r="E2983" s="35">
        <v>1.7</v>
      </c>
      <c r="F2983" s="35">
        <v>1.5</v>
      </c>
      <c r="G2983" s="16" t="s">
        <v>44</v>
      </c>
      <c r="H2983" s="16" t="s">
        <v>45</v>
      </c>
      <c r="I2983" s="16">
        <f>COUNTIF(G$5:G2983,"Y")/COUNTA(G$5:G2983)</f>
        <v>0.88351795904665997</v>
      </c>
      <c r="J2983" s="16">
        <f>COUNTIF(H$5:H2983,"Y")/COUNTA(H$5:H2983)</f>
        <v>4.8338368580060423E-2</v>
      </c>
      <c r="K2983" s="16">
        <f>AVERAGE(F$5:F2983)</f>
        <v>2.2101376300772078</v>
      </c>
      <c r="L2983" s="16">
        <f>SUM(F$5:F2983)/SUM(E$5:E2983)</f>
        <v>0.76294656824686613</v>
      </c>
    </row>
    <row r="2984" spans="1:12" x14ac:dyDescent="0.25">
      <c r="A2984" s="29">
        <v>46111</v>
      </c>
      <c r="B2984" s="16" t="s">
        <v>3030</v>
      </c>
      <c r="C2984" s="34">
        <v>1</v>
      </c>
      <c r="D2984" s="16" t="s">
        <v>64</v>
      </c>
      <c r="E2984" s="35">
        <v>4.2</v>
      </c>
      <c r="F2984" s="35">
        <v>3.2</v>
      </c>
      <c r="G2984" s="16" t="s">
        <v>44</v>
      </c>
      <c r="H2984" s="16" t="s">
        <v>45</v>
      </c>
      <c r="I2984" s="16">
        <f>COUNTIF(G$5:G2984,"Y")/COUNTA(G$5:G2984)</f>
        <v>0.88355704697986581</v>
      </c>
      <c r="J2984" s="16">
        <f>COUNTIF(H$5:H2984,"Y")/COUNTA(H$5:H2984)</f>
        <v>4.832214765100671E-2</v>
      </c>
      <c r="K2984" s="16">
        <f>AVERAGE(F$5:F2984)</f>
        <v>2.2104697986577189</v>
      </c>
      <c r="L2984" s="16">
        <f>SUM(F$5:F2984)/SUM(E$5:E2984)</f>
        <v>0.76294606145542332</v>
      </c>
    </row>
    <row r="2985" spans="1:12" x14ac:dyDescent="0.25">
      <c r="A2985" s="29">
        <v>46112</v>
      </c>
      <c r="B2985" s="16" t="s">
        <v>3031</v>
      </c>
      <c r="C2985" s="34">
        <v>1</v>
      </c>
      <c r="D2985" s="16" t="s">
        <v>64</v>
      </c>
      <c r="E2985" s="35">
        <v>5.2</v>
      </c>
      <c r="F2985" s="35">
        <v>3.8</v>
      </c>
      <c r="G2985" s="16" t="s">
        <v>44</v>
      </c>
      <c r="H2985" s="16" t="s">
        <v>45</v>
      </c>
      <c r="I2985" s="16">
        <f>COUNTIF(G$5:G2985,"Y")/COUNTA(G$5:G2985)</f>
        <v>0.88359610868835958</v>
      </c>
      <c r="J2985" s="16">
        <f>COUNTIF(H$5:H2985,"Y")/COUNTA(H$5:H2985)</f>
        <v>4.8305937604830596E-2</v>
      </c>
      <c r="K2985" s="16">
        <f>AVERAGE(F$5:F2985)</f>
        <v>2.211003019121101</v>
      </c>
      <c r="L2985" s="16">
        <f>SUM(F$5:F2985)/SUM(E$5:E2985)</f>
        <v>0.76292669375281907</v>
      </c>
    </row>
    <row r="2986" spans="1:12" x14ac:dyDescent="0.25">
      <c r="A2986" s="29">
        <v>46113</v>
      </c>
      <c r="B2986" s="16" t="s">
        <v>3032</v>
      </c>
      <c r="C2986" s="34">
        <v>1</v>
      </c>
      <c r="D2986" s="16" t="s">
        <v>60</v>
      </c>
      <c r="E2986" s="35">
        <v>2.5</v>
      </c>
      <c r="F2986" s="35">
        <v>1.7</v>
      </c>
      <c r="G2986" s="16" t="s">
        <v>44</v>
      </c>
      <c r="H2986" s="16" t="s">
        <v>45</v>
      </c>
      <c r="I2986" s="16">
        <f>COUNTIF(G$5:G2986,"Y")/COUNTA(G$5:G2986)</f>
        <v>0.88363514419852451</v>
      </c>
      <c r="J2986" s="16">
        <f>COUNTIF(H$5:H2986,"Y")/COUNTA(H$5:H2986)</f>
        <v>4.8289738430583498E-2</v>
      </c>
      <c r="K2986" s="16">
        <f>AVERAGE(F$5:F2986)</f>
        <v>2.2108316566063051</v>
      </c>
      <c r="L2986" s="16">
        <f>SUM(F$5:F2986)/SUM(E$5:E2986)</f>
        <v>0.76290270320310816</v>
      </c>
    </row>
    <row r="2987" spans="1:12" x14ac:dyDescent="0.25">
      <c r="A2987" s="29">
        <v>46114</v>
      </c>
      <c r="B2987" s="16" t="s">
        <v>3033</v>
      </c>
      <c r="C2987" s="34">
        <v>1</v>
      </c>
      <c r="D2987" s="16" t="s">
        <v>43</v>
      </c>
      <c r="E2987" s="35">
        <v>4.4000000000000004</v>
      </c>
      <c r="F2987" s="35">
        <v>3.1</v>
      </c>
      <c r="G2987" s="16" t="s">
        <v>44</v>
      </c>
      <c r="H2987" s="16" t="s">
        <v>45</v>
      </c>
      <c r="I2987" s="16">
        <f>COUNTIF(G$5:G2987,"Y")/COUNTA(G$5:G2987)</f>
        <v>0.88367415353670797</v>
      </c>
      <c r="J2987" s="16">
        <f>COUNTIF(H$5:H2987,"Y")/COUNTA(H$5:H2987)</f>
        <v>4.8273550117331546E-2</v>
      </c>
      <c r="K2987" s="16">
        <f>AVERAGE(F$5:F2987)</f>
        <v>2.2111297351659411</v>
      </c>
      <c r="L2987" s="16">
        <f>SUM(F$5:F2987)/SUM(E$5:E2987)</f>
        <v>0.76287300485773535</v>
      </c>
    </row>
    <row r="2988" spans="1:12" x14ac:dyDescent="0.25">
      <c r="A2988" s="29">
        <v>46115</v>
      </c>
      <c r="B2988" s="16" t="s">
        <v>3034</v>
      </c>
      <c r="C2988" s="34">
        <v>1</v>
      </c>
      <c r="D2988" s="16" t="s">
        <v>52</v>
      </c>
      <c r="E2988" s="35">
        <v>3.1</v>
      </c>
      <c r="F2988" s="35">
        <v>2.1</v>
      </c>
      <c r="G2988" s="16" t="s">
        <v>44</v>
      </c>
      <c r="H2988" s="16" t="s">
        <v>45</v>
      </c>
      <c r="I2988" s="16">
        <f>COUNTIF(G$5:G2988,"Y")/COUNTA(G$5:G2988)</f>
        <v>0.88371313672922247</v>
      </c>
      <c r="J2988" s="16">
        <f>COUNTIF(H$5:H2988,"Y")/COUNTA(H$5:H2988)</f>
        <v>4.8257372654155493E-2</v>
      </c>
      <c r="K2988" s="16">
        <f>AVERAGE(F$5:F2988)</f>
        <v>2.2110924932975879</v>
      </c>
      <c r="L2988" s="16">
        <f>SUM(F$5:F2988)/SUM(E$5:E2988)</f>
        <v>0.76284237666346555</v>
      </c>
    </row>
    <row r="2989" spans="1:12" x14ac:dyDescent="0.25">
      <c r="A2989" s="29">
        <v>46111</v>
      </c>
      <c r="B2989" s="16" t="s">
        <v>3035</v>
      </c>
      <c r="C2989" s="34">
        <v>1</v>
      </c>
      <c r="D2989" s="16" t="s">
        <v>43</v>
      </c>
      <c r="E2989" s="35">
        <v>5</v>
      </c>
      <c r="F2989" s="35">
        <v>4.2</v>
      </c>
      <c r="G2989" s="16" t="s">
        <v>44</v>
      </c>
      <c r="H2989" s="16" t="s">
        <v>45</v>
      </c>
      <c r="I2989" s="16">
        <f>COUNTIF(G$5:G2989,"Y")/COUNTA(G$5:G2989)</f>
        <v>0.8837520938023451</v>
      </c>
      <c r="J2989" s="16">
        <f>COUNTIF(H$5:H2989,"Y")/COUNTA(H$5:H2989)</f>
        <v>4.8241206030150752E-2</v>
      </c>
      <c r="K2989" s="16">
        <f>AVERAGE(F$5:F2989)</f>
        <v>2.21175879396985</v>
      </c>
      <c r="L2989" s="16">
        <f>SUM(F$5:F2989)/SUM(E$5:E2989)</f>
        <v>0.76288695531597506</v>
      </c>
    </row>
    <row r="2990" spans="1:12" x14ac:dyDescent="0.25">
      <c r="A2990" s="29">
        <v>46112</v>
      </c>
      <c r="B2990" s="16" t="s">
        <v>3036</v>
      </c>
      <c r="C2990" s="34">
        <v>1</v>
      </c>
      <c r="D2990" s="16" t="s">
        <v>64</v>
      </c>
      <c r="E2990" s="35">
        <v>5.8</v>
      </c>
      <c r="F2990" s="35">
        <v>4</v>
      </c>
      <c r="G2990" s="16" t="s">
        <v>44</v>
      </c>
      <c r="H2990" s="16" t="s">
        <v>45</v>
      </c>
      <c r="I2990" s="16">
        <f>COUNTIF(G$5:G2990,"Y")/COUNTA(G$5:G2990)</f>
        <v>0.88379102478231752</v>
      </c>
      <c r="J2990" s="16">
        <f>COUNTIF(H$5:H2990,"Y")/COUNTA(H$5:H2990)</f>
        <v>4.822505023442733E-2</v>
      </c>
      <c r="K2990" s="16">
        <f>AVERAGE(F$5:F2990)</f>
        <v>2.2123576691225728</v>
      </c>
      <c r="L2990" s="16">
        <f>SUM(F$5:F2990)/SUM(E$5:E2990)</f>
        <v>0.76283790805898222</v>
      </c>
    </row>
    <row r="2991" spans="1:12" x14ac:dyDescent="0.25">
      <c r="A2991" s="29">
        <v>46113</v>
      </c>
      <c r="B2991" s="16" t="s">
        <v>3037</v>
      </c>
      <c r="C2991" s="34">
        <v>1</v>
      </c>
      <c r="D2991" s="16" t="s">
        <v>64</v>
      </c>
      <c r="E2991" s="35">
        <v>5.0999999999999996</v>
      </c>
      <c r="F2991" s="35">
        <v>4</v>
      </c>
      <c r="G2991" s="16" t="s">
        <v>44</v>
      </c>
      <c r="H2991" s="16" t="s">
        <v>45</v>
      </c>
      <c r="I2991" s="16">
        <f>COUNTIF(G$5:G2991,"Y")/COUNTA(G$5:G2991)</f>
        <v>0.88382992969534646</v>
      </c>
      <c r="J2991" s="16">
        <f>COUNTIF(H$5:H2991,"Y")/COUNTA(H$5:H2991)</f>
        <v>4.820890525610981E-2</v>
      </c>
      <c r="K2991" s="16">
        <f>AVERAGE(F$5:F2991)</f>
        <v>2.2129561432875802</v>
      </c>
      <c r="L2991" s="16">
        <f>SUM(F$5:F2991)/SUM(E$5:E2991)</f>
        <v>0.76285054818234044</v>
      </c>
    </row>
    <row r="2992" spans="1:12" x14ac:dyDescent="0.25">
      <c r="A2992" s="29">
        <v>46114</v>
      </c>
      <c r="B2992" s="16" t="s">
        <v>3038</v>
      </c>
      <c r="C2992" s="34">
        <v>1</v>
      </c>
      <c r="D2992" s="16" t="s">
        <v>47</v>
      </c>
      <c r="E2992" s="35">
        <v>2.2999999999999998</v>
      </c>
      <c r="F2992" s="35">
        <v>1.6</v>
      </c>
      <c r="G2992" s="16" t="s">
        <v>45</v>
      </c>
      <c r="H2992" s="16" t="s">
        <v>45</v>
      </c>
      <c r="I2992" s="16">
        <f>COUNTIF(G$5:G2992,"Y")/COUNTA(G$5:G2992)</f>
        <v>0.88353413654618473</v>
      </c>
      <c r="J2992" s="16">
        <f>COUNTIF(H$5:H2992,"Y")/COUNTA(H$5:H2992)</f>
        <v>4.8192771084337352E-2</v>
      </c>
      <c r="K2992" s="16">
        <f>AVERAGE(F$5:F2992)</f>
        <v>2.2127510040160652</v>
      </c>
      <c r="L2992" s="16">
        <f>SUM(F$5:F2992)/SUM(E$5:E2992)</f>
        <v>0.76283271607074643</v>
      </c>
    </row>
    <row r="2993" spans="1:13" x14ac:dyDescent="0.25">
      <c r="A2993" s="29">
        <v>46115</v>
      </c>
      <c r="B2993" s="16" t="s">
        <v>3039</v>
      </c>
      <c r="C2993" s="34">
        <v>1</v>
      </c>
      <c r="D2993" s="16" t="s">
        <v>50</v>
      </c>
      <c r="E2993" s="35">
        <v>1.4</v>
      </c>
      <c r="F2993" s="35">
        <v>1.2</v>
      </c>
      <c r="G2993" s="16" t="s">
        <v>44</v>
      </c>
      <c r="H2993" s="16" t="s">
        <v>45</v>
      </c>
      <c r="I2993" s="16">
        <f>COUNTIF(G$5:G2993,"Y")/COUNTA(G$5:G2993)</f>
        <v>0.8835731013716962</v>
      </c>
      <c r="J2993" s="16">
        <f>COUNTIF(H$5:H2993,"Y")/COUNTA(H$5:H2993)</f>
        <v>4.8176647708263631E-2</v>
      </c>
      <c r="K2993" s="16">
        <f>AVERAGE(F$5:F2993)</f>
        <v>2.2124121779859491</v>
      </c>
      <c r="L2993" s="16">
        <f>SUM(F$5:F2993)/SUM(E$5:E2993)</f>
        <v>0.76284794721238258</v>
      </c>
    </row>
    <row r="2994" spans="1:13" x14ac:dyDescent="0.25">
      <c r="A2994" s="29">
        <v>46111</v>
      </c>
      <c r="B2994" s="16" t="s">
        <v>3040</v>
      </c>
      <c r="C2994" s="34">
        <v>1</v>
      </c>
      <c r="D2994" s="16" t="s">
        <v>64</v>
      </c>
      <c r="E2994" s="35">
        <v>3.5</v>
      </c>
      <c r="F2994" s="35">
        <v>2.9</v>
      </c>
      <c r="G2994" s="16" t="s">
        <v>44</v>
      </c>
      <c r="H2994" s="16" t="s">
        <v>45</v>
      </c>
      <c r="I2994" s="16">
        <f>COUNTIF(G$5:G2994,"Y")/COUNTA(G$5:G2994)</f>
        <v>0.88361204013377925</v>
      </c>
      <c r="J2994" s="16">
        <f>COUNTIF(H$5:H2994,"Y")/COUNTA(H$5:H2994)</f>
        <v>4.8160535117056855E-2</v>
      </c>
      <c r="K2994" s="16">
        <f>AVERAGE(F$5:F2994)</f>
        <v>2.2126421404682279</v>
      </c>
      <c r="L2994" s="16">
        <f>SUM(F$5:F2994)/SUM(E$5:E2994)</f>
        <v>0.76287447245220141</v>
      </c>
    </row>
    <row r="2995" spans="1:13" x14ac:dyDescent="0.25">
      <c r="A2995" s="29">
        <v>46112</v>
      </c>
      <c r="B2995" s="16" t="s">
        <v>3041</v>
      </c>
      <c r="C2995" s="34">
        <v>1</v>
      </c>
      <c r="D2995" s="16" t="s">
        <v>52</v>
      </c>
      <c r="E2995" s="35">
        <v>4.7</v>
      </c>
      <c r="F2995" s="35">
        <v>4.0999999999999996</v>
      </c>
      <c r="G2995" s="16" t="s">
        <v>44</v>
      </c>
      <c r="H2995" s="16" t="s">
        <v>45</v>
      </c>
      <c r="I2995" s="16">
        <f>COUNTIF(G$5:G2995,"Y")/COUNTA(G$5:G2995)</f>
        <v>0.88365095285857576</v>
      </c>
      <c r="J2995" s="16">
        <f>COUNTIF(H$5:H2995,"Y")/COUNTA(H$5:H2995)</f>
        <v>4.8144433299899696E-2</v>
      </c>
      <c r="K2995" s="16">
        <f>AVERAGE(F$5:F2995)</f>
        <v>2.2132731527917091</v>
      </c>
      <c r="L2995" s="16">
        <f>SUM(F$5:F2995)/SUM(E$5:E2995)</f>
        <v>0.76293376666781687</v>
      </c>
    </row>
    <row r="2996" spans="1:13" x14ac:dyDescent="0.25">
      <c r="A2996" s="29">
        <v>46113</v>
      </c>
      <c r="B2996" s="16" t="s">
        <v>3042</v>
      </c>
      <c r="C2996" s="34">
        <v>1</v>
      </c>
      <c r="D2996" s="16" t="s">
        <v>43</v>
      </c>
      <c r="E2996" s="35">
        <v>0.5</v>
      </c>
      <c r="F2996" s="35">
        <v>1.6</v>
      </c>
      <c r="G2996" s="16" t="s">
        <v>44</v>
      </c>
      <c r="H2996" s="16" t="s">
        <v>45</v>
      </c>
      <c r="I2996" s="16">
        <f>COUNTIF(G$5:G2996,"Y")/COUNTA(G$5:G2996)</f>
        <v>0.88368983957219249</v>
      </c>
      <c r="J2996" s="16">
        <f>COUNTIF(H$5:H2996,"Y")/COUNTA(H$5:H2996)</f>
        <v>4.8128342245989303E-2</v>
      </c>
      <c r="K2996" s="16">
        <f>AVERAGE(F$5:F2996)</f>
        <v>2.2130681818181825</v>
      </c>
      <c r="L2996" s="16">
        <f>SUM(F$5:F2996)/SUM(E$5:E2996)</f>
        <v>0.76307419273053922</v>
      </c>
    </row>
    <row r="2997" spans="1:13" x14ac:dyDescent="0.25">
      <c r="A2997" s="29">
        <v>46114</v>
      </c>
      <c r="B2997" s="16" t="s">
        <v>3043</v>
      </c>
      <c r="C2997" s="34">
        <v>1</v>
      </c>
      <c r="D2997" s="16" t="s">
        <v>52</v>
      </c>
      <c r="E2997" s="35">
        <v>0.5</v>
      </c>
      <c r="F2997" s="35">
        <v>0.5</v>
      </c>
      <c r="G2997" s="16" t="s">
        <v>44</v>
      </c>
      <c r="H2997" s="16" t="s">
        <v>45</v>
      </c>
      <c r="I2997" s="16">
        <f>COUNTIF(G$5:G2997,"Y")/COUNTA(G$5:G2997)</f>
        <v>0.88372870030070161</v>
      </c>
      <c r="J2997" s="16">
        <f>COUNTIF(H$5:H2997,"Y")/COUNTA(H$5:H2997)</f>
        <v>4.811226194453725E-2</v>
      </c>
      <c r="K2997" s="16">
        <f>AVERAGE(F$5:F2997)</f>
        <v>2.2124958235883736</v>
      </c>
      <c r="L2997" s="16">
        <f>SUM(F$5:F2997)/SUM(E$5:E2997)</f>
        <v>0.76308784383318329</v>
      </c>
    </row>
    <row r="2998" spans="1:13" x14ac:dyDescent="0.25">
      <c r="A2998" s="29">
        <v>46115</v>
      </c>
      <c r="B2998" s="16" t="s">
        <v>3044</v>
      </c>
      <c r="C2998" s="34">
        <v>1</v>
      </c>
      <c r="D2998" s="16" t="s">
        <v>43</v>
      </c>
      <c r="E2998" s="35">
        <v>0.5</v>
      </c>
      <c r="F2998" s="35">
        <v>0.5</v>
      </c>
      <c r="G2998" s="16" t="s">
        <v>44</v>
      </c>
      <c r="H2998" s="16" t="s">
        <v>45</v>
      </c>
      <c r="I2998" s="16">
        <f>COUNTIF(G$5:G2998,"Y")/COUNTA(G$5:G2998)</f>
        <v>0.88376753507014028</v>
      </c>
      <c r="J2998" s="16">
        <f>COUNTIF(H$5:H2998,"Y")/COUNTA(H$5:H2998)</f>
        <v>4.8096192384769539E-2</v>
      </c>
      <c r="K2998" s="16">
        <f>AVERAGE(F$5:F2998)</f>
        <v>2.2119238476953917</v>
      </c>
      <c r="L2998" s="16">
        <f>SUM(F$5:F2998)/SUM(E$5:E2998)</f>
        <v>0.76310149336282962</v>
      </c>
    </row>
    <row r="2999" spans="1:13" x14ac:dyDescent="0.25">
      <c r="A2999" s="29">
        <v>46111</v>
      </c>
      <c r="B2999" s="16" t="s">
        <v>3045</v>
      </c>
      <c r="C2999" s="34">
        <v>1</v>
      </c>
      <c r="D2999" s="16" t="s">
        <v>60</v>
      </c>
      <c r="E2999" s="35">
        <v>0.5</v>
      </c>
      <c r="F2999" s="35">
        <v>0.5</v>
      </c>
      <c r="G2999" s="16" t="s">
        <v>44</v>
      </c>
      <c r="H2999" s="16" t="s">
        <v>45</v>
      </c>
      <c r="I2999" s="16">
        <f>COUNTIF(G$5:G2999,"Y")/COUNTA(G$5:G2999)</f>
        <v>0.88380634390651081</v>
      </c>
      <c r="J2999" s="16">
        <f>COUNTIF(H$5:H2999,"Y")/COUNTA(H$5:H2999)</f>
        <v>4.8080133555926545E-2</v>
      </c>
      <c r="K2999" s="16">
        <f>AVERAGE(F$5:F2999)</f>
        <v>2.2113522537562615</v>
      </c>
      <c r="L2999" s="16">
        <f>SUM(F$5:F2999)/SUM(E$5:E2999)</f>
        <v>0.76311514131975033</v>
      </c>
    </row>
    <row r="3000" spans="1:13" x14ac:dyDescent="0.25">
      <c r="A3000" s="29">
        <v>46112</v>
      </c>
      <c r="B3000" s="16" t="s">
        <v>3046</v>
      </c>
      <c r="C3000" s="34">
        <v>1</v>
      </c>
      <c r="D3000" s="16" t="s">
        <v>52</v>
      </c>
      <c r="E3000" s="35">
        <v>0.5</v>
      </c>
      <c r="F3000" s="35">
        <v>0.5</v>
      </c>
      <c r="G3000" s="16" t="s">
        <v>44</v>
      </c>
      <c r="H3000" s="16" t="s">
        <v>45</v>
      </c>
      <c r="I3000" s="16">
        <f>COUNTIF(G$5:G3000,"Y")/COUNTA(G$5:G3000)</f>
        <v>0.88384512683578109</v>
      </c>
      <c r="J3000" s="16">
        <f>COUNTIF(H$5:H3000,"Y")/COUNTA(H$5:H3000)</f>
        <v>4.8064085447263018E-2</v>
      </c>
      <c r="K3000" s="16">
        <f>AVERAGE(F$5:F3000)</f>
        <v>2.2107810413885187</v>
      </c>
      <c r="L3000" s="16">
        <f>SUM(F$5:F3000)/SUM(E$5:E3000)</f>
        <v>0.76312878770421699</v>
      </c>
    </row>
    <row r="3001" spans="1:13" x14ac:dyDescent="0.25">
      <c r="A3001" s="29">
        <v>46113</v>
      </c>
      <c r="B3001" s="16" t="s">
        <v>3047</v>
      </c>
      <c r="C3001" s="34">
        <v>1</v>
      </c>
      <c r="D3001" s="16" t="s">
        <v>60</v>
      </c>
      <c r="E3001" s="35">
        <v>0.5</v>
      </c>
      <c r="F3001" s="35">
        <v>0.5</v>
      </c>
      <c r="G3001" s="16" t="s">
        <v>44</v>
      </c>
      <c r="H3001" s="16" t="s">
        <v>45</v>
      </c>
      <c r="I3001" s="16">
        <f>COUNTIF(G$5:G3001,"Y")/COUNTA(G$5:G3001)</f>
        <v>0.88388388388388384</v>
      </c>
      <c r="J3001" s="16">
        <f>COUNTIF(H$5:H3001,"Y")/COUNTA(H$5:H3001)</f>
        <v>4.8048048048048048E-2</v>
      </c>
      <c r="K3001" s="16">
        <f>AVERAGE(F$5:F3001)</f>
        <v>2.210210210210211</v>
      </c>
      <c r="L3001" s="16">
        <f>SUM(F$5:F3001)/SUM(E$5:E3001)</f>
        <v>0.76314243251650138</v>
      </c>
    </row>
    <row r="3002" spans="1:13" x14ac:dyDescent="0.25">
      <c r="A3002" s="29">
        <v>46114</v>
      </c>
      <c r="B3002" s="16" t="s">
        <v>3048</v>
      </c>
      <c r="C3002" s="34">
        <v>1</v>
      </c>
      <c r="D3002" s="16" t="s">
        <v>47</v>
      </c>
      <c r="E3002" s="35">
        <v>0.5</v>
      </c>
      <c r="F3002" s="35">
        <v>0.5</v>
      </c>
      <c r="G3002" s="16" t="s">
        <v>44</v>
      </c>
      <c r="H3002" s="16" t="s">
        <v>45</v>
      </c>
      <c r="I3002" s="16">
        <f>COUNTIF(G$5:G3002,"Y")/COUNTA(G$5:G3002)</f>
        <v>0.88392261507671777</v>
      </c>
      <c r="J3002" s="16">
        <f>COUNTIF(H$5:H3002,"Y")/COUNTA(H$5:H3002)</f>
        <v>4.803202134756504E-2</v>
      </c>
      <c r="K3002" s="16">
        <f>AVERAGE(F$5:F3002)</f>
        <v>2.2096397598398942</v>
      </c>
      <c r="L3002" s="16">
        <f>SUM(F$5:F3002)/SUM(E$5:E3002)</f>
        <v>0.76315607575687538</v>
      </c>
    </row>
    <row r="3003" spans="1:13" x14ac:dyDescent="0.25">
      <c r="A3003" s="29">
        <v>46115</v>
      </c>
      <c r="B3003" s="16" t="s">
        <v>3049</v>
      </c>
      <c r="C3003" s="34">
        <v>1</v>
      </c>
      <c r="D3003" s="16" t="s">
        <v>43</v>
      </c>
      <c r="E3003" s="35">
        <v>0.5</v>
      </c>
      <c r="F3003" s="35">
        <v>0.5</v>
      </c>
      <c r="G3003" s="16" t="s">
        <v>44</v>
      </c>
      <c r="H3003" s="16" t="s">
        <v>45</v>
      </c>
      <c r="I3003" s="16">
        <f>COUNTIF(G$5:G3003,"Y")/COUNTA(G$5:G3003)</f>
        <v>0.88396132044014675</v>
      </c>
      <c r="J3003" s="16">
        <f>COUNTIF(H$5:H3003,"Y")/COUNTA(H$5:H3003)</f>
        <v>4.8016005335111703E-2</v>
      </c>
      <c r="K3003" s="16">
        <f>AVERAGE(F$5:F3003)</f>
        <v>2.2090696898966331</v>
      </c>
      <c r="L3003" s="16">
        <f>SUM(F$5:F3003)/SUM(E$5:E3003)</f>
        <v>0.76316971742561035</v>
      </c>
      <c r="M3003" s="16">
        <v>11</v>
      </c>
    </row>
    <row r="3004" spans="1:13" x14ac:dyDescent="0.25">
      <c r="A3004" s="29">
        <v>46118</v>
      </c>
      <c r="B3004" s="16" t="s">
        <v>3050</v>
      </c>
      <c r="C3004" s="34">
        <v>1</v>
      </c>
      <c r="D3004" s="16" t="s">
        <v>43</v>
      </c>
      <c r="E3004" s="35">
        <v>5.2</v>
      </c>
      <c r="F3004" s="35">
        <v>3.9</v>
      </c>
      <c r="G3004" s="16" t="s">
        <v>44</v>
      </c>
      <c r="H3004" s="16" t="s">
        <v>45</v>
      </c>
      <c r="I3004" s="16">
        <f>COUNTIF(G$5:G3004,"Y")/COUNTA(G$5:G3004)</f>
        <v>0.88400000000000001</v>
      </c>
      <c r="J3004" s="16">
        <f>COUNTIF(H$5:H3004,"Y")/COUNTA(H$5:H3004)</f>
        <v>4.8000000000000001E-2</v>
      </c>
      <c r="K3004" s="16">
        <f>AVERAGE(F$5:F3004)</f>
        <v>2.209633333333334</v>
      </c>
      <c r="L3004" s="16">
        <f>SUM(F$5:F3004)/SUM(E$5:E3004)</f>
        <v>0.76316183327384901</v>
      </c>
    </row>
    <row r="3005" spans="1:13" x14ac:dyDescent="0.25">
      <c r="A3005" s="29">
        <v>46119</v>
      </c>
      <c r="B3005" s="16" t="s">
        <v>3051</v>
      </c>
      <c r="C3005" s="34">
        <v>1</v>
      </c>
      <c r="D3005" s="16" t="s">
        <v>60</v>
      </c>
      <c r="E3005" s="35">
        <v>5.2</v>
      </c>
      <c r="F3005" s="35">
        <v>3.8</v>
      </c>
      <c r="G3005" s="16" t="s">
        <v>45</v>
      </c>
      <c r="H3005" s="16" t="s">
        <v>44</v>
      </c>
      <c r="I3005" s="16">
        <f>COUNTIF(G$5:G3005,"Y")/COUNTA(G$5:G3005)</f>
        <v>0.88370543152282577</v>
      </c>
      <c r="J3005" s="16">
        <f>COUNTIF(H$5:H3005,"Y")/COUNTA(H$5:H3005)</f>
        <v>4.8317227590803064E-2</v>
      </c>
      <c r="K3005" s="16">
        <f>AVERAGE(F$5:F3005)</f>
        <v>2.2101632789070318</v>
      </c>
      <c r="L3005" s="16">
        <f>SUM(F$5:F3005)/SUM(E$5:E3005)</f>
        <v>0.76314245279762283</v>
      </c>
    </row>
    <row r="3006" spans="1:13" x14ac:dyDescent="0.25">
      <c r="A3006" s="29">
        <v>46120</v>
      </c>
      <c r="B3006" s="16" t="s">
        <v>3052</v>
      </c>
      <c r="C3006" s="34">
        <v>1</v>
      </c>
      <c r="D3006" s="16" t="s">
        <v>43</v>
      </c>
      <c r="E3006" s="35">
        <v>1.7</v>
      </c>
      <c r="F3006" s="35">
        <v>1.3</v>
      </c>
      <c r="G3006" s="16" t="s">
        <v>44</v>
      </c>
      <c r="H3006" s="16" t="s">
        <v>45</v>
      </c>
      <c r="I3006" s="16">
        <f>COUNTIF(G$5:G3006,"Y")/COUNTA(G$5:G3006)</f>
        <v>0.88374417055296473</v>
      </c>
      <c r="J3006" s="16">
        <f>COUNTIF(H$5:H3006,"Y")/COUNTA(H$5:H3006)</f>
        <v>4.8301132578281149E-2</v>
      </c>
      <c r="K3006" s="16">
        <f>AVERAGE(F$5:F3006)</f>
        <v>2.2098600932711534</v>
      </c>
      <c r="L3006" s="16">
        <f>SUM(F$5:F3006)/SUM(E$5:E3006)</f>
        <v>0.76314275854135272</v>
      </c>
    </row>
    <row r="3007" spans="1:13" x14ac:dyDescent="0.25">
      <c r="A3007" s="29">
        <v>46121</v>
      </c>
      <c r="B3007" s="16" t="s">
        <v>3053</v>
      </c>
      <c r="C3007" s="34">
        <v>1</v>
      </c>
      <c r="D3007" s="16" t="s">
        <v>47</v>
      </c>
      <c r="E3007" s="35">
        <v>1.9</v>
      </c>
      <c r="F3007" s="35">
        <v>1.3</v>
      </c>
      <c r="G3007" s="16" t="s">
        <v>44</v>
      </c>
      <c r="H3007" s="16" t="s">
        <v>45</v>
      </c>
      <c r="I3007" s="16">
        <f>COUNTIF(G$5:G3007,"Y")/COUNTA(G$5:G3007)</f>
        <v>0.88378288378288383</v>
      </c>
      <c r="J3007" s="16">
        <f>COUNTIF(H$5:H3007,"Y")/COUNTA(H$5:H3007)</f>
        <v>4.8285048285048288E-2</v>
      </c>
      <c r="K3007" s="16">
        <f>AVERAGE(F$5:F3007)</f>
        <v>2.2095571095571107</v>
      </c>
      <c r="L3007" s="16">
        <f>SUM(F$5:F3007)/SUM(E$5:E3007)</f>
        <v>0.76312551035664355</v>
      </c>
    </row>
    <row r="3008" spans="1:13" x14ac:dyDescent="0.25">
      <c r="A3008" s="29">
        <v>46122</v>
      </c>
      <c r="B3008" s="16" t="s">
        <v>3054</v>
      </c>
      <c r="C3008" s="34">
        <v>1</v>
      </c>
      <c r="D3008" s="16" t="s">
        <v>56</v>
      </c>
      <c r="E3008" s="35">
        <v>2.2999999999999998</v>
      </c>
      <c r="F3008" s="35">
        <v>1.6</v>
      </c>
      <c r="G3008" s="16" t="s">
        <v>44</v>
      </c>
      <c r="H3008" s="16" t="s">
        <v>44</v>
      </c>
      <c r="I3008" s="16">
        <f>COUNTIF(G$5:G3008,"Y")/COUNTA(G$5:G3008)</f>
        <v>0.88382157123834881</v>
      </c>
      <c r="J3008" s="16">
        <f>COUNTIF(H$5:H3008,"Y")/COUNTA(H$5:H3008)</f>
        <v>4.8601864181091879E-2</v>
      </c>
      <c r="K3008" s="16">
        <f>AVERAGE(F$5:F3008)</f>
        <v>2.2093541944074579</v>
      </c>
      <c r="L3008" s="16">
        <f>SUM(F$5:F3008)/SUM(E$5:E3008)</f>
        <v>0.76310766683530107</v>
      </c>
    </row>
    <row r="3009" spans="1:12" x14ac:dyDescent="0.25">
      <c r="A3009" s="29">
        <v>46118</v>
      </c>
      <c r="B3009" s="16" t="s">
        <v>3055</v>
      </c>
      <c r="C3009" s="34">
        <v>1</v>
      </c>
      <c r="D3009" s="16" t="s">
        <v>47</v>
      </c>
      <c r="E3009" s="35">
        <v>5.4</v>
      </c>
      <c r="F3009" s="35">
        <v>3.9</v>
      </c>
      <c r="G3009" s="16" t="s">
        <v>44</v>
      </c>
      <c r="H3009" s="16" t="s">
        <v>45</v>
      </c>
      <c r="I3009" s="16">
        <f>COUNTIF(G$5:G3009,"Y")/COUNTA(G$5:G3009)</f>
        <v>0.88386023294509153</v>
      </c>
      <c r="J3009" s="16">
        <f>COUNTIF(H$5:H3009,"Y")/COUNTA(H$5:H3009)</f>
        <v>4.8585690515806988E-2</v>
      </c>
      <c r="K3009" s="16">
        <f>AVERAGE(F$5:F3009)</f>
        <v>2.2099168053244602</v>
      </c>
      <c r="L3009" s="16">
        <f>SUM(F$5:F3009)/SUM(E$5:E3009)</f>
        <v>0.76308229724449939</v>
      </c>
    </row>
    <row r="3010" spans="1:12" x14ac:dyDescent="0.25">
      <c r="A3010" s="29">
        <v>46119</v>
      </c>
      <c r="B3010" s="16" t="s">
        <v>3056</v>
      </c>
      <c r="C3010" s="34">
        <v>1</v>
      </c>
      <c r="D3010" s="16" t="s">
        <v>60</v>
      </c>
      <c r="E3010" s="35">
        <v>4.8</v>
      </c>
      <c r="F3010" s="35">
        <v>4</v>
      </c>
      <c r="G3010" s="16" t="s">
        <v>44</v>
      </c>
      <c r="H3010" s="16" t="s">
        <v>45</v>
      </c>
      <c r="I3010" s="16">
        <f>COUNTIF(G$5:G3010,"Y")/COUNTA(G$5:G3010)</f>
        <v>0.88389886892880909</v>
      </c>
      <c r="J3010" s="16">
        <f>COUNTIF(H$5:H3010,"Y")/COUNTA(H$5:H3010)</f>
        <v>4.8569527611443779E-2</v>
      </c>
      <c r="K3010" s="16">
        <f>AVERAGE(F$5:F3010)</f>
        <v>2.2105123087159027</v>
      </c>
      <c r="L3010" s="16">
        <f>SUM(F$5:F3010)/SUM(E$5:E3010)</f>
        <v>0.76312102349725297</v>
      </c>
    </row>
    <row r="3011" spans="1:12" x14ac:dyDescent="0.25">
      <c r="A3011" s="29">
        <v>46120</v>
      </c>
      <c r="B3011" s="16" t="s">
        <v>3057</v>
      </c>
      <c r="C3011" s="34">
        <v>1</v>
      </c>
      <c r="D3011" s="16" t="s">
        <v>43</v>
      </c>
      <c r="E3011" s="35">
        <v>4.8</v>
      </c>
      <c r="F3011" s="35">
        <v>3.9</v>
      </c>
      <c r="G3011" s="16" t="s">
        <v>44</v>
      </c>
      <c r="H3011" s="16" t="s">
        <v>45</v>
      </c>
      <c r="I3011" s="16">
        <f>COUNTIF(G$5:G3011,"Y")/COUNTA(G$5:G3011)</f>
        <v>0.88393747921516463</v>
      </c>
      <c r="J3011" s="16">
        <f>COUNTIF(H$5:H3011,"Y")/COUNTA(H$5:H3011)</f>
        <v>4.855337545726638E-2</v>
      </c>
      <c r="K3011" s="16">
        <f>AVERAGE(F$5:F3011)</f>
        <v>2.2110741602926511</v>
      </c>
      <c r="L3011" s="16">
        <f>SUM(F$5:F3011)/SUM(E$5:E3011)</f>
        <v>0.76314822892036238</v>
      </c>
    </row>
    <row r="3012" spans="1:12" x14ac:dyDescent="0.25">
      <c r="A3012" s="29">
        <v>46121</v>
      </c>
      <c r="B3012" s="16" t="s">
        <v>3058</v>
      </c>
      <c r="C3012" s="34">
        <v>1</v>
      </c>
      <c r="D3012" s="16" t="s">
        <v>60</v>
      </c>
      <c r="E3012" s="35">
        <v>5.3</v>
      </c>
      <c r="F3012" s="35">
        <v>4.4000000000000004</v>
      </c>
      <c r="G3012" s="16" t="s">
        <v>44</v>
      </c>
      <c r="H3012" s="16" t="s">
        <v>45</v>
      </c>
      <c r="I3012" s="16">
        <f>COUNTIF(G$5:G3012,"Y")/COUNTA(G$5:G3012)</f>
        <v>0.88397606382978722</v>
      </c>
      <c r="J3012" s="16">
        <f>COUNTIF(H$5:H3012,"Y")/COUNTA(H$5:H3012)</f>
        <v>4.8537234042553189E-2</v>
      </c>
      <c r="K3012" s="16">
        <f>AVERAGE(F$5:F3012)</f>
        <v>2.2118018617021282</v>
      </c>
      <c r="L3012" s="16">
        <f>SUM(F$5:F3012)/SUM(E$5:E3012)</f>
        <v>0.76318898766848076</v>
      </c>
    </row>
    <row r="3013" spans="1:12" x14ac:dyDescent="0.25">
      <c r="A3013" s="29">
        <v>46122</v>
      </c>
      <c r="B3013" s="16" t="s">
        <v>3059</v>
      </c>
      <c r="C3013" s="34">
        <v>1</v>
      </c>
      <c r="D3013" s="16" t="s">
        <v>64</v>
      </c>
      <c r="E3013" s="35">
        <v>3</v>
      </c>
      <c r="F3013" s="35">
        <v>2.7</v>
      </c>
      <c r="G3013" s="16" t="s">
        <v>45</v>
      </c>
      <c r="H3013" s="16" t="s">
        <v>45</v>
      </c>
      <c r="I3013" s="16">
        <f>COUNTIF(G$5:G3013,"Y")/COUNTA(G$5:G3013)</f>
        <v>0.88368228647391156</v>
      </c>
      <c r="J3013" s="16">
        <f>COUNTIF(H$5:H3013,"Y")/COUNTA(H$5:H3013)</f>
        <v>4.8521103356596873E-2</v>
      </c>
      <c r="K3013" s="16">
        <f>AVERAGE(F$5:F3013)</f>
        <v>2.2119641076769696</v>
      </c>
      <c r="L3013" s="16">
        <f>SUM(F$5:F3013)/SUM(E$5:E3013)</f>
        <v>0.76323605297861141</v>
      </c>
    </row>
    <row r="3014" spans="1:12" x14ac:dyDescent="0.25">
      <c r="A3014" s="29">
        <v>46118</v>
      </c>
      <c r="B3014" s="16" t="s">
        <v>3060</v>
      </c>
      <c r="C3014" s="34">
        <v>1</v>
      </c>
      <c r="D3014" s="16" t="s">
        <v>47</v>
      </c>
      <c r="E3014" s="35">
        <v>4</v>
      </c>
      <c r="F3014" s="35">
        <v>2.7</v>
      </c>
      <c r="G3014" s="16" t="s">
        <v>44</v>
      </c>
      <c r="H3014" s="16" t="s">
        <v>45</v>
      </c>
      <c r="I3014" s="16">
        <f>COUNTIF(G$5:G3014,"Y")/COUNTA(G$5:G3014)</f>
        <v>0.88372093023255816</v>
      </c>
      <c r="J3014" s="16">
        <f>COUNTIF(H$5:H3014,"Y")/COUNTA(H$5:H3014)</f>
        <v>4.850498338870432E-2</v>
      </c>
      <c r="K3014" s="16">
        <f>AVERAGE(F$5:F3014)</f>
        <v>2.2121262458471769</v>
      </c>
      <c r="L3014" s="16">
        <f>SUM(F$5:F3014)/SUM(E$5:E3014)</f>
        <v>0.76319559860163688</v>
      </c>
    </row>
    <row r="3015" spans="1:12" x14ac:dyDescent="0.25">
      <c r="A3015" s="29">
        <v>46119</v>
      </c>
      <c r="B3015" s="16" t="s">
        <v>3061</v>
      </c>
      <c r="C3015" s="34">
        <v>1</v>
      </c>
      <c r="D3015" s="16" t="s">
        <v>50</v>
      </c>
      <c r="E3015" s="35">
        <v>3</v>
      </c>
      <c r="F3015" s="35">
        <v>2.1</v>
      </c>
      <c r="G3015" s="16" t="s">
        <v>45</v>
      </c>
      <c r="H3015" s="16" t="s">
        <v>45</v>
      </c>
      <c r="I3015" s="16">
        <f>COUNTIF(G$5:G3015,"Y")/COUNTA(G$5:G3015)</f>
        <v>0.88342743274659585</v>
      </c>
      <c r="J3015" s="16">
        <f>COUNTIF(H$5:H3015,"Y")/COUNTA(H$5:H3015)</f>
        <v>4.8488874128196614E-2</v>
      </c>
      <c r="K3015" s="16">
        <f>AVERAGE(F$5:F3015)</f>
        <v>2.2120890069744279</v>
      </c>
      <c r="L3015" s="16">
        <f>SUM(F$5:F3015)/SUM(E$5:E3015)</f>
        <v>0.76317387568031869</v>
      </c>
    </row>
    <row r="3016" spans="1:12" x14ac:dyDescent="0.25">
      <c r="A3016" s="29">
        <v>46120</v>
      </c>
      <c r="B3016" s="16" t="s">
        <v>3062</v>
      </c>
      <c r="C3016" s="34">
        <v>1</v>
      </c>
      <c r="D3016" s="16" t="s">
        <v>43</v>
      </c>
      <c r="E3016" s="35">
        <v>2.7</v>
      </c>
      <c r="F3016" s="35">
        <v>1.9</v>
      </c>
      <c r="G3016" s="16" t="s">
        <v>44</v>
      </c>
      <c r="H3016" s="16" t="s">
        <v>45</v>
      </c>
      <c r="I3016" s="16">
        <f>COUNTIF(G$5:G3016,"Y")/COUNTA(G$5:G3016)</f>
        <v>0.88346613545816732</v>
      </c>
      <c r="J3016" s="16">
        <f>COUNTIF(H$5:H3016,"Y")/COUNTA(H$5:H3016)</f>
        <v>4.8472775564409029E-2</v>
      </c>
      <c r="K3016" s="16">
        <f>AVERAGE(F$5:F3016)</f>
        <v>2.2119853917662691</v>
      </c>
      <c r="L3016" s="16">
        <f>SUM(F$5:F3016)/SUM(E$5:E3016)</f>
        <v>0.76315548326498595</v>
      </c>
    </row>
    <row r="3017" spans="1:12" x14ac:dyDescent="0.25">
      <c r="A3017" s="29">
        <v>46121</v>
      </c>
      <c r="B3017" s="16" t="s">
        <v>3063</v>
      </c>
      <c r="C3017" s="34">
        <v>1</v>
      </c>
      <c r="D3017" s="16" t="s">
        <v>52</v>
      </c>
      <c r="E3017" s="35">
        <v>3.7</v>
      </c>
      <c r="F3017" s="35">
        <v>3</v>
      </c>
      <c r="G3017" s="16" t="s">
        <v>44</v>
      </c>
      <c r="H3017" s="16" t="s">
        <v>45</v>
      </c>
      <c r="I3017" s="16">
        <f>COUNTIF(G$5:G3017,"Y")/COUNTA(G$5:G3017)</f>
        <v>0.88350481247925661</v>
      </c>
      <c r="J3017" s="16">
        <f>COUNTIF(H$5:H3017,"Y")/COUNTA(H$5:H3017)</f>
        <v>4.8456687686691008E-2</v>
      </c>
      <c r="K3017" s="16">
        <f>AVERAGE(F$5:F3017)</f>
        <v>2.2122469299701302</v>
      </c>
      <c r="L3017" s="16">
        <f>SUM(F$5:F3017)/SUM(E$5:E3017)</f>
        <v>0.76317567180755219</v>
      </c>
    </row>
    <row r="3018" spans="1:12" x14ac:dyDescent="0.25">
      <c r="A3018" s="29">
        <v>46122</v>
      </c>
      <c r="B3018" s="16" t="s">
        <v>3064</v>
      </c>
      <c r="C3018" s="34">
        <v>1</v>
      </c>
      <c r="D3018" s="16" t="s">
        <v>64</v>
      </c>
      <c r="E3018" s="35">
        <v>3.2</v>
      </c>
      <c r="F3018" s="35">
        <v>2.6</v>
      </c>
      <c r="G3018" s="16" t="s">
        <v>44</v>
      </c>
      <c r="H3018" s="16" t="s">
        <v>45</v>
      </c>
      <c r="I3018" s="16">
        <f>COUNTIF(G$5:G3018,"Y")/COUNTA(G$5:G3018)</f>
        <v>0.88354346383543458</v>
      </c>
      <c r="J3018" s="16">
        <f>COUNTIF(H$5:H3018,"Y")/COUNTA(H$5:H3018)</f>
        <v>4.8440610484406108E-2</v>
      </c>
      <c r="K3018" s="16">
        <f>AVERAGE(F$5:F3018)</f>
        <v>2.2123755806237564</v>
      </c>
      <c r="L3018" s="16">
        <f>SUM(F$5:F3018)/SUM(E$5:E3018)</f>
        <v>0.76319373705233773</v>
      </c>
    </row>
    <row r="3019" spans="1:12" x14ac:dyDescent="0.25">
      <c r="A3019" s="29">
        <v>46118</v>
      </c>
      <c r="B3019" s="16" t="s">
        <v>3065</v>
      </c>
      <c r="C3019" s="34">
        <v>1</v>
      </c>
      <c r="D3019" s="16" t="s">
        <v>56</v>
      </c>
      <c r="E3019" s="35">
        <v>5.6</v>
      </c>
      <c r="F3019" s="35">
        <v>3.9</v>
      </c>
      <c r="G3019" s="16" t="s">
        <v>44</v>
      </c>
      <c r="H3019" s="16" t="s">
        <v>45</v>
      </c>
      <c r="I3019" s="16">
        <f>COUNTIF(G$5:G3019,"Y")/COUNTA(G$5:G3019)</f>
        <v>0.88358208955223883</v>
      </c>
      <c r="J3019" s="16">
        <f>COUNTIF(H$5:H3019,"Y")/COUNTA(H$5:H3019)</f>
        <v>4.8424543946932005E-2</v>
      </c>
      <c r="K3019" s="16">
        <f>AVERAGE(F$5:F3019)</f>
        <v>2.2129353233830851</v>
      </c>
      <c r="L3019" s="16">
        <f>SUM(F$5:F3019)/SUM(E$5:E3019)</f>
        <v>0.763150971667789</v>
      </c>
    </row>
    <row r="3020" spans="1:12" x14ac:dyDescent="0.25">
      <c r="A3020" s="29">
        <v>46119</v>
      </c>
      <c r="B3020" s="16" t="s">
        <v>3066</v>
      </c>
      <c r="C3020" s="34">
        <v>1</v>
      </c>
      <c r="D3020" s="16" t="s">
        <v>47</v>
      </c>
      <c r="E3020" s="35">
        <v>4.9000000000000004</v>
      </c>
      <c r="F3020" s="35">
        <v>4</v>
      </c>
      <c r="G3020" s="16" t="s">
        <v>44</v>
      </c>
      <c r="H3020" s="16" t="s">
        <v>45</v>
      </c>
      <c r="I3020" s="16">
        <f>COUNTIF(G$5:G3020,"Y")/COUNTA(G$5:G3020)</f>
        <v>0.88362068965517238</v>
      </c>
      <c r="J3020" s="16">
        <f>COUNTIF(H$5:H3020,"Y")/COUNTA(H$5:H3020)</f>
        <v>4.8408488063660479E-2</v>
      </c>
      <c r="K3020" s="16">
        <f>AVERAGE(F$5:F3020)</f>
        <v>2.2135278514588865</v>
      </c>
      <c r="L3020" s="16">
        <f>SUM(F$5:F3020)/SUM(E$5:E3020)</f>
        <v>0.76318075815080466</v>
      </c>
    </row>
    <row r="3021" spans="1:12" x14ac:dyDescent="0.25">
      <c r="A3021" s="29">
        <v>46120</v>
      </c>
      <c r="B3021" s="16" t="s">
        <v>3067</v>
      </c>
      <c r="C3021" s="34">
        <v>1</v>
      </c>
      <c r="D3021" s="16" t="s">
        <v>64</v>
      </c>
      <c r="E3021" s="35">
        <v>4.5999999999999996</v>
      </c>
      <c r="F3021" s="35">
        <v>3.3</v>
      </c>
      <c r="G3021" s="16" t="s">
        <v>44</v>
      </c>
      <c r="H3021" s="16" t="s">
        <v>45</v>
      </c>
      <c r="I3021" s="16">
        <f>COUNTIF(G$5:G3021,"Y")/COUNTA(G$5:G3021)</f>
        <v>0.88365926416970497</v>
      </c>
      <c r="J3021" s="16">
        <f>COUNTIF(H$5:H3021,"Y")/COUNTA(H$5:H3021)</f>
        <v>4.839244282399735E-2</v>
      </c>
      <c r="K3021" s="16">
        <f>AVERAGE(F$5:F3021)</f>
        <v>2.2138879681803121</v>
      </c>
      <c r="L3021" s="16">
        <f>SUM(F$5:F3021)/SUM(E$5:E3021)</f>
        <v>0.76315669203171532</v>
      </c>
    </row>
    <row r="3022" spans="1:12" x14ac:dyDescent="0.25">
      <c r="A3022" s="29">
        <v>46121</v>
      </c>
      <c r="B3022" s="16" t="s">
        <v>3068</v>
      </c>
      <c r="C3022" s="34">
        <v>1</v>
      </c>
      <c r="D3022" s="16" t="s">
        <v>50</v>
      </c>
      <c r="E3022" s="35">
        <v>4.7</v>
      </c>
      <c r="F3022" s="35">
        <v>4</v>
      </c>
      <c r="G3022" s="16" t="s">
        <v>44</v>
      </c>
      <c r="H3022" s="16" t="s">
        <v>45</v>
      </c>
      <c r="I3022" s="16">
        <f>COUNTIF(G$5:G3022,"Y")/COUNTA(G$5:G3022)</f>
        <v>0.88369781312127238</v>
      </c>
      <c r="J3022" s="16">
        <f>COUNTIF(H$5:H3022,"Y")/COUNTA(H$5:H3022)</f>
        <v>4.8376408217362492E-2</v>
      </c>
      <c r="K3022" s="16">
        <f>AVERAGE(F$5:F3022)</f>
        <v>2.214479787939033</v>
      </c>
      <c r="L3022" s="16">
        <f>SUM(F$5:F3022)/SUM(E$5:E3022)</f>
        <v>0.76320387351688135</v>
      </c>
    </row>
    <row r="3023" spans="1:12" x14ac:dyDescent="0.25">
      <c r="A3023" s="29">
        <v>46122</v>
      </c>
      <c r="B3023" s="16" t="s">
        <v>3069</v>
      </c>
      <c r="C3023" s="34">
        <v>1</v>
      </c>
      <c r="D3023" s="16" t="s">
        <v>47</v>
      </c>
      <c r="E3023" s="35">
        <v>4.4000000000000004</v>
      </c>
      <c r="F3023" s="35">
        <v>3.9</v>
      </c>
      <c r="G3023" s="16" t="s">
        <v>45</v>
      </c>
      <c r="H3023" s="16" t="s">
        <v>45</v>
      </c>
      <c r="I3023" s="16">
        <f>COUNTIF(G$5:G3023,"Y")/COUNTA(G$5:G3023)</f>
        <v>0.88340510102683012</v>
      </c>
      <c r="J3023" s="16">
        <f>COUNTIF(H$5:H3023,"Y")/COUNTA(H$5:H3023)</f>
        <v>4.83603842331898E-2</v>
      </c>
      <c r="K3023" s="16">
        <f>AVERAGE(F$5:F3023)</f>
        <v>2.2150380920834718</v>
      </c>
      <c r="L3023" s="16">
        <f>SUM(F$5:F3023)/SUM(E$5:E3023)</f>
        <v>0.76326572540604465</v>
      </c>
    </row>
    <row r="3024" spans="1:12" x14ac:dyDescent="0.25">
      <c r="A3024" s="29">
        <v>46118</v>
      </c>
      <c r="B3024" s="16" t="s">
        <v>3070</v>
      </c>
      <c r="C3024" s="34">
        <v>1</v>
      </c>
      <c r="D3024" s="16" t="s">
        <v>64</v>
      </c>
      <c r="E3024" s="35">
        <v>4.8</v>
      </c>
      <c r="F3024" s="35">
        <v>3.6</v>
      </c>
      <c r="G3024" s="16" t="s">
        <v>44</v>
      </c>
      <c r="H3024" s="16" t="s">
        <v>45</v>
      </c>
      <c r="I3024" s="16">
        <f>COUNTIF(G$5:G3024,"Y")/COUNTA(G$5:G3024)</f>
        <v>0.88344370860927157</v>
      </c>
      <c r="J3024" s="16">
        <f>COUNTIF(H$5:H3024,"Y")/COUNTA(H$5:H3024)</f>
        <v>4.8344370860927154E-2</v>
      </c>
      <c r="K3024" s="16">
        <f>AVERAGE(F$5:F3024)</f>
        <v>2.2154966887417227</v>
      </c>
      <c r="L3024" s="16">
        <f>SUM(F$5:F3024)/SUM(E$5:E3024)</f>
        <v>0.76325846157355948</v>
      </c>
    </row>
    <row r="3025" spans="1:12" x14ac:dyDescent="0.25">
      <c r="A3025" s="29">
        <v>46119</v>
      </c>
      <c r="B3025" s="16" t="s">
        <v>3071</v>
      </c>
      <c r="C3025" s="34">
        <v>1</v>
      </c>
      <c r="D3025" s="16" t="s">
        <v>50</v>
      </c>
      <c r="E3025" s="35">
        <v>3</v>
      </c>
      <c r="F3025" s="35">
        <v>2.2999999999999998</v>
      </c>
      <c r="G3025" s="16" t="s">
        <v>44</v>
      </c>
      <c r="H3025" s="16" t="s">
        <v>45</v>
      </c>
      <c r="I3025" s="16">
        <f>COUNTIF(G$5:G3025,"Y")/COUNTA(G$5:G3025)</f>
        <v>0.88348229063224093</v>
      </c>
      <c r="J3025" s="16">
        <f>COUNTIF(H$5:H3025,"Y")/COUNTA(H$5:H3025)</f>
        <v>4.8328368090036412E-2</v>
      </c>
      <c r="K3025" s="16">
        <f>AVERAGE(F$5:F3025)</f>
        <v>2.2155246607083754</v>
      </c>
      <c r="L3025" s="16">
        <f>SUM(F$5:F3025)/SUM(E$5:E3025)</f>
        <v>0.7632596275558472</v>
      </c>
    </row>
    <row r="3026" spans="1:12" x14ac:dyDescent="0.25">
      <c r="A3026" s="29">
        <v>46120</v>
      </c>
      <c r="B3026" s="16" t="s">
        <v>3072</v>
      </c>
      <c r="C3026" s="34">
        <v>1</v>
      </c>
      <c r="D3026" s="16" t="s">
        <v>60</v>
      </c>
      <c r="E3026" s="35">
        <v>2.4</v>
      </c>
      <c r="F3026" s="35">
        <v>1.9</v>
      </c>
      <c r="G3026" s="16" t="s">
        <v>44</v>
      </c>
      <c r="H3026" s="16" t="s">
        <v>45</v>
      </c>
      <c r="I3026" s="16">
        <f>COUNTIF(G$5:G3026,"Y")/COUNTA(G$5:G3026)</f>
        <v>0.8835208471211119</v>
      </c>
      <c r="J3026" s="16">
        <f>COUNTIF(H$5:H3026,"Y")/COUNTA(H$5:H3026)</f>
        <v>4.8312375909993384E-2</v>
      </c>
      <c r="K3026" s="16">
        <f>AVERAGE(F$5:F3026)</f>
        <v>2.2154202514890806</v>
      </c>
      <c r="L3026" s="16">
        <f>SUM(F$5:F3026)/SUM(E$5:E3026)</f>
        <v>0.76326740010260274</v>
      </c>
    </row>
    <row r="3027" spans="1:12" x14ac:dyDescent="0.25">
      <c r="A3027" s="29">
        <v>46121</v>
      </c>
      <c r="B3027" s="16" t="s">
        <v>3073</v>
      </c>
      <c r="C3027" s="34">
        <v>1</v>
      </c>
      <c r="D3027" s="16" t="s">
        <v>50</v>
      </c>
      <c r="E3027" s="35">
        <v>2.9</v>
      </c>
      <c r="F3027" s="35">
        <v>2.1</v>
      </c>
      <c r="G3027" s="16" t="s">
        <v>44</v>
      </c>
      <c r="H3027" s="16" t="s">
        <v>45</v>
      </c>
      <c r="I3027" s="16">
        <f>COUNTIF(G$5:G3027,"Y")/COUNTA(G$5:G3027)</f>
        <v>0.88355937810122398</v>
      </c>
      <c r="J3027" s="16">
        <f>COUNTIF(H$5:H3027,"Y")/COUNTA(H$5:H3027)</f>
        <v>4.8296394310287795E-2</v>
      </c>
      <c r="K3027" s="16">
        <f>AVERAGE(F$5:F3027)</f>
        <v>2.2153820707906062</v>
      </c>
      <c r="L3027" s="16">
        <f>SUM(F$5:F3027)/SUM(E$5:E3027)</f>
        <v>0.76325446754193793</v>
      </c>
    </row>
    <row r="3028" spans="1:12" x14ac:dyDescent="0.25">
      <c r="A3028" s="29">
        <v>46122</v>
      </c>
      <c r="B3028" s="16" t="s">
        <v>3074</v>
      </c>
      <c r="C3028" s="34">
        <v>1</v>
      </c>
      <c r="D3028" s="16" t="s">
        <v>64</v>
      </c>
      <c r="E3028" s="35">
        <v>3.4</v>
      </c>
      <c r="F3028" s="35">
        <v>2.4</v>
      </c>
      <c r="G3028" s="16" t="s">
        <v>44</v>
      </c>
      <c r="H3028" s="16" t="s">
        <v>45</v>
      </c>
      <c r="I3028" s="16">
        <f>COUNTIF(G$5:G3028,"Y")/COUNTA(G$5:G3028)</f>
        <v>0.8835978835978836</v>
      </c>
      <c r="J3028" s="16">
        <f>COUNTIF(H$5:H3028,"Y")/COUNTA(H$5:H3028)</f>
        <v>4.8280423280423278E-2</v>
      </c>
      <c r="K3028" s="16">
        <f>AVERAGE(F$5:F3028)</f>
        <v>2.2154431216931223</v>
      </c>
      <c r="L3028" s="16">
        <f>SUM(F$5:F3028)/SUM(E$5:E3028)</f>
        <v>0.76323224498165598</v>
      </c>
    </row>
    <row r="3029" spans="1:12" x14ac:dyDescent="0.25">
      <c r="A3029" s="29">
        <v>46118</v>
      </c>
      <c r="B3029" s="16" t="s">
        <v>3075</v>
      </c>
      <c r="C3029" s="34">
        <v>1</v>
      </c>
      <c r="D3029" s="16" t="s">
        <v>47</v>
      </c>
      <c r="E3029" s="35">
        <v>5.8</v>
      </c>
      <c r="F3029" s="35">
        <v>4.2</v>
      </c>
      <c r="G3029" s="16" t="s">
        <v>44</v>
      </c>
      <c r="H3029" s="16" t="s">
        <v>45</v>
      </c>
      <c r="I3029" s="16">
        <f>COUNTIF(G$5:G3029,"Y")/COUNTA(G$5:G3029)</f>
        <v>0.88363636363636366</v>
      </c>
      <c r="J3029" s="16">
        <f>COUNTIF(H$5:H3029,"Y")/COUNTA(H$5:H3029)</f>
        <v>4.8264462809917356E-2</v>
      </c>
      <c r="K3029" s="16">
        <f>AVERAGE(F$5:F3029)</f>
        <v>2.2160991735537197</v>
      </c>
      <c r="L3029" s="16">
        <f>SUM(F$5:F3029)/SUM(E$5:E3029)</f>
        <v>0.76320643016530587</v>
      </c>
    </row>
    <row r="3030" spans="1:12" x14ac:dyDescent="0.25">
      <c r="A3030" s="29">
        <v>46119</v>
      </c>
      <c r="B3030" s="16" t="s">
        <v>3076</v>
      </c>
      <c r="C3030" s="34">
        <v>1</v>
      </c>
      <c r="D3030" s="16" t="s">
        <v>64</v>
      </c>
      <c r="E3030" s="35">
        <v>5.4</v>
      </c>
      <c r="F3030" s="35">
        <v>4.4000000000000004</v>
      </c>
      <c r="G3030" s="16" t="s">
        <v>44</v>
      </c>
      <c r="H3030" s="16" t="s">
        <v>45</v>
      </c>
      <c r="I3030" s="16">
        <f>COUNTIF(G$5:G3030,"Y")/COUNTA(G$5:G3030)</f>
        <v>0.88367481824190353</v>
      </c>
      <c r="J3030" s="16">
        <f>COUNTIF(H$5:H3030,"Y")/COUNTA(H$5:H3030)</f>
        <v>4.8248512888301391E-2</v>
      </c>
      <c r="K3030" s="16">
        <f>AVERAGE(F$5:F3030)</f>
        <v>2.2168208856576341</v>
      </c>
      <c r="L3030" s="16">
        <f>SUM(F$5:F3030)/SUM(E$5:E3030)</f>
        <v>0.76323813858231659</v>
      </c>
    </row>
    <row r="3031" spans="1:12" x14ac:dyDescent="0.25">
      <c r="A3031" s="29">
        <v>46120</v>
      </c>
      <c r="B3031" s="16" t="s">
        <v>3077</v>
      </c>
      <c r="C3031" s="34">
        <v>1</v>
      </c>
      <c r="D3031" s="16" t="s">
        <v>60</v>
      </c>
      <c r="E3031" s="35">
        <v>2.1</v>
      </c>
      <c r="F3031" s="35">
        <v>1.6</v>
      </c>
      <c r="G3031" s="16" t="s">
        <v>44</v>
      </c>
      <c r="H3031" s="16" t="s">
        <v>45</v>
      </c>
      <c r="I3031" s="16">
        <f>COUNTIF(G$5:G3031,"Y")/COUNTA(G$5:G3031)</f>
        <v>0.88371324743970925</v>
      </c>
      <c r="J3031" s="16">
        <f>COUNTIF(H$5:H3031,"Y")/COUNTA(H$5:H3031)</f>
        <v>4.8232573505120578E-2</v>
      </c>
      <c r="K3031" s="16">
        <f>AVERAGE(F$5:F3031)</f>
        <v>2.2166171126527923</v>
      </c>
      <c r="L3031" s="16">
        <f>SUM(F$5:F3031)/SUM(E$5:E3031)</f>
        <v>0.7632378200680211</v>
      </c>
    </row>
    <row r="3032" spans="1:12" x14ac:dyDescent="0.25">
      <c r="A3032" s="29">
        <v>46121</v>
      </c>
      <c r="B3032" s="16" t="s">
        <v>3078</v>
      </c>
      <c r="C3032" s="34">
        <v>1</v>
      </c>
      <c r="D3032" s="16" t="s">
        <v>43</v>
      </c>
      <c r="E3032" s="35">
        <v>5.8</v>
      </c>
      <c r="F3032" s="35">
        <v>4.2</v>
      </c>
      <c r="G3032" s="16" t="s">
        <v>44</v>
      </c>
      <c r="H3032" s="16" t="s">
        <v>45</v>
      </c>
      <c r="I3032" s="16">
        <f>COUNTIF(G$5:G3032,"Y")/COUNTA(G$5:G3032)</f>
        <v>0.88375165125495381</v>
      </c>
      <c r="J3032" s="16">
        <f>COUNTIF(H$5:H3032,"Y")/COUNTA(H$5:H3032)</f>
        <v>4.821664464993395E-2</v>
      </c>
      <c r="K3032" s="16">
        <f>AVERAGE(F$5:F3032)</f>
        <v>2.2172721268163809</v>
      </c>
      <c r="L3032" s="16">
        <f>SUM(F$5:F3032)/SUM(E$5:E3032)</f>
        <v>0.76321204060521108</v>
      </c>
    </row>
    <row r="3033" spans="1:12" x14ac:dyDescent="0.25">
      <c r="A3033" s="29">
        <v>46122</v>
      </c>
      <c r="B3033" s="16" t="s">
        <v>3079</v>
      </c>
      <c r="C3033" s="34">
        <v>1</v>
      </c>
      <c r="D3033" s="16" t="s">
        <v>43</v>
      </c>
      <c r="E3033" s="35">
        <v>4.3</v>
      </c>
      <c r="F3033" s="35">
        <v>3.1</v>
      </c>
      <c r="G3033" s="16" t="s">
        <v>44</v>
      </c>
      <c r="H3033" s="16" t="s">
        <v>45</v>
      </c>
      <c r="I3033" s="16">
        <f>COUNTIF(G$5:G3033,"Y")/COUNTA(G$5:G3033)</f>
        <v>0.88379002971277654</v>
      </c>
      <c r="J3033" s="16">
        <f>COUNTIF(H$5:H3033,"Y")/COUNTA(H$5:H3033)</f>
        <v>4.8200726312314292E-2</v>
      </c>
      <c r="K3033" s="16">
        <f>AVERAGE(F$5:F3033)</f>
        <v>2.2175635523275012</v>
      </c>
      <c r="L3033" s="16">
        <f>SUM(F$5:F3033)/SUM(E$5:E3033)</f>
        <v>0.76319138299322609</v>
      </c>
    </row>
    <row r="3034" spans="1:12" x14ac:dyDescent="0.25">
      <c r="A3034" s="29">
        <v>46118</v>
      </c>
      <c r="B3034" s="16" t="s">
        <v>3080</v>
      </c>
      <c r="C3034" s="34">
        <v>1</v>
      </c>
      <c r="D3034" s="16" t="s">
        <v>64</v>
      </c>
      <c r="E3034" s="35">
        <v>1.7</v>
      </c>
      <c r="F3034" s="35">
        <v>1.5</v>
      </c>
      <c r="G3034" s="16" t="s">
        <v>44</v>
      </c>
      <c r="H3034" s="16" t="s">
        <v>45</v>
      </c>
      <c r="I3034" s="16">
        <f>COUNTIF(G$5:G3034,"Y")/COUNTA(G$5:G3034)</f>
        <v>0.8838283828382838</v>
      </c>
      <c r="J3034" s="16">
        <f>COUNTIF(H$5:H3034,"Y")/COUNTA(H$5:H3034)</f>
        <v>4.8184818481848184E-2</v>
      </c>
      <c r="K3034" s="16">
        <f>AVERAGE(F$5:F3034)</f>
        <v>2.2173267326732677</v>
      </c>
      <c r="L3034" s="16">
        <f>SUM(F$5:F3034)/SUM(E$5:E3034)</f>
        <v>0.76321439525610668</v>
      </c>
    </row>
    <row r="3035" spans="1:12" x14ac:dyDescent="0.25">
      <c r="A3035" s="29">
        <v>46119</v>
      </c>
      <c r="B3035" s="16" t="s">
        <v>3081</v>
      </c>
      <c r="C3035" s="34">
        <v>1</v>
      </c>
      <c r="D3035" s="16" t="s">
        <v>52</v>
      </c>
      <c r="E3035" s="35">
        <v>0.5</v>
      </c>
      <c r="F3035" s="35">
        <v>0.5</v>
      </c>
      <c r="G3035" s="16" t="s">
        <v>44</v>
      </c>
      <c r="H3035" s="16" t="s">
        <v>45</v>
      </c>
      <c r="I3035" s="16">
        <f>COUNTIF(G$5:G3035,"Y")/COUNTA(G$5:G3035)</f>
        <v>0.88386671065654898</v>
      </c>
      <c r="J3035" s="16">
        <f>COUNTIF(H$5:H3035,"Y")/COUNTA(H$5:H3035)</f>
        <v>4.8168921148135931E-2</v>
      </c>
      <c r="K3035" s="16">
        <f>AVERAGE(F$5:F3035)</f>
        <v>2.2167601451666124</v>
      </c>
      <c r="L3035" s="16">
        <f>SUM(F$5:F3035)/SUM(E$5:E3035)</f>
        <v>0.76322784378762543</v>
      </c>
    </row>
    <row r="3036" spans="1:12" x14ac:dyDescent="0.25">
      <c r="A3036" s="29">
        <v>46120</v>
      </c>
      <c r="B3036" s="16" t="s">
        <v>3082</v>
      </c>
      <c r="C3036" s="34">
        <v>1</v>
      </c>
      <c r="D3036" s="16" t="s">
        <v>56</v>
      </c>
      <c r="E3036" s="35">
        <v>0.5</v>
      </c>
      <c r="F3036" s="35">
        <v>0.5</v>
      </c>
      <c r="G3036" s="16" t="s">
        <v>44</v>
      </c>
      <c r="H3036" s="16" t="s">
        <v>45</v>
      </c>
      <c r="I3036" s="16">
        <f>COUNTIF(G$5:G3036,"Y")/COUNTA(G$5:G3036)</f>
        <v>0.88390501319261217</v>
      </c>
      <c r="J3036" s="16">
        <f>COUNTIF(H$5:H3036,"Y")/COUNTA(H$5:H3036)</f>
        <v>4.8153034300791556E-2</v>
      </c>
      <c r="K3036" s="16">
        <f>AVERAGE(F$5:F3036)</f>
        <v>2.2161939313984176</v>
      </c>
      <c r="L3036" s="16">
        <f>SUM(F$5:F3036)/SUM(E$5:E3036)</f>
        <v>0.76324129079157887</v>
      </c>
    </row>
    <row r="3037" spans="1:12" x14ac:dyDescent="0.25">
      <c r="A3037" s="29">
        <v>46121</v>
      </c>
      <c r="B3037" s="16" t="s">
        <v>3083</v>
      </c>
      <c r="C3037" s="34">
        <v>1</v>
      </c>
      <c r="D3037" s="16" t="s">
        <v>43</v>
      </c>
      <c r="E3037" s="35">
        <v>0.5</v>
      </c>
      <c r="F3037" s="35">
        <v>0.5</v>
      </c>
      <c r="G3037" s="16" t="s">
        <v>44</v>
      </c>
      <c r="H3037" s="16" t="s">
        <v>45</v>
      </c>
      <c r="I3037" s="16">
        <f>COUNTIF(G$5:G3037,"Y")/COUNTA(G$5:G3037)</f>
        <v>0.88394329047148035</v>
      </c>
      <c r="J3037" s="16">
        <f>COUNTIF(H$5:H3037,"Y")/COUNTA(H$5:H3037)</f>
        <v>4.8137157929442793E-2</v>
      </c>
      <c r="K3037" s="16">
        <f>AVERAGE(F$5:F3037)</f>
        <v>2.2156280909990116</v>
      </c>
      <c r="L3037" s="16">
        <f>SUM(F$5:F3037)/SUM(E$5:E3037)</f>
        <v>0.76325473626822737</v>
      </c>
    </row>
    <row r="3038" spans="1:12" x14ac:dyDescent="0.25">
      <c r="A3038" s="29">
        <v>46122</v>
      </c>
      <c r="B3038" s="16" t="s">
        <v>3084</v>
      </c>
      <c r="C3038" s="34">
        <v>1</v>
      </c>
      <c r="D3038" s="16" t="s">
        <v>56</v>
      </c>
      <c r="E3038" s="35">
        <v>0.5</v>
      </c>
      <c r="F3038" s="35">
        <v>0.5</v>
      </c>
      <c r="G3038" s="16" t="s">
        <v>44</v>
      </c>
      <c r="H3038" s="16" t="s">
        <v>45</v>
      </c>
      <c r="I3038" s="16">
        <f>COUNTIF(G$5:G3038,"Y")/COUNTA(G$5:G3038)</f>
        <v>0.88398154251812788</v>
      </c>
      <c r="J3038" s="16">
        <f>COUNTIF(H$5:H3038,"Y")/COUNTA(H$5:H3038)</f>
        <v>4.8121292023731048E-2</v>
      </c>
      <c r="K3038" s="16">
        <f>AVERAGE(F$5:F3038)</f>
        <v>2.2150626235992097</v>
      </c>
      <c r="L3038" s="16">
        <f>SUM(F$5:F3038)/SUM(E$5:E3038)</f>
        <v>0.76326818021783116</v>
      </c>
    </row>
    <row r="3039" spans="1:12" x14ac:dyDescent="0.25">
      <c r="A3039" s="29">
        <v>46118</v>
      </c>
      <c r="B3039" s="16" t="s">
        <v>3085</v>
      </c>
      <c r="C3039" s="34">
        <v>1</v>
      </c>
      <c r="D3039" s="16" t="s">
        <v>64</v>
      </c>
      <c r="E3039" s="35">
        <v>0.5</v>
      </c>
      <c r="F3039" s="35">
        <v>0.5</v>
      </c>
      <c r="G3039" s="16" t="s">
        <v>44</v>
      </c>
      <c r="H3039" s="16" t="s">
        <v>45</v>
      </c>
      <c r="I3039" s="16">
        <f>COUNTIF(G$5:G3039,"Y")/COUNTA(G$5:G3039)</f>
        <v>0.88401976935749593</v>
      </c>
      <c r="J3039" s="16">
        <f>COUNTIF(H$5:H3039,"Y")/COUNTA(H$5:H3039)</f>
        <v>4.8105436573311365E-2</v>
      </c>
      <c r="K3039" s="16">
        <f>AVERAGE(F$5:F3039)</f>
        <v>2.2144975288303135</v>
      </c>
      <c r="L3039" s="16">
        <f>SUM(F$5:F3039)/SUM(E$5:E3039)</f>
        <v>0.76328162264065025</v>
      </c>
    </row>
    <row r="3040" spans="1:12" x14ac:dyDescent="0.25">
      <c r="A3040" s="29">
        <v>46119</v>
      </c>
      <c r="B3040" s="16" t="s">
        <v>3086</v>
      </c>
      <c r="C3040" s="34">
        <v>1</v>
      </c>
      <c r="D3040" s="16" t="s">
        <v>43</v>
      </c>
      <c r="E3040" s="35">
        <v>0.5</v>
      </c>
      <c r="F3040" s="35">
        <v>0.5</v>
      </c>
      <c r="G3040" s="16" t="s">
        <v>44</v>
      </c>
      <c r="H3040" s="16" t="s">
        <v>45</v>
      </c>
      <c r="I3040" s="16">
        <f>COUNTIF(G$5:G3040,"Y")/COUNTA(G$5:G3040)</f>
        <v>0.88405797101449279</v>
      </c>
      <c r="J3040" s="16">
        <f>COUNTIF(H$5:H3040,"Y")/COUNTA(H$5:H3040)</f>
        <v>4.808959156785244E-2</v>
      </c>
      <c r="K3040" s="16">
        <f>AVERAGE(F$5:F3040)</f>
        <v>2.2139328063241113</v>
      </c>
      <c r="L3040" s="16">
        <f>SUM(F$5:F3040)/SUM(E$5:E3040)</f>
        <v>0.76329506353694465</v>
      </c>
    </row>
    <row r="3041" spans="1:13" x14ac:dyDescent="0.25">
      <c r="A3041" s="29">
        <v>46120</v>
      </c>
      <c r="B3041" s="16" t="s">
        <v>3087</v>
      </c>
      <c r="C3041" s="34">
        <v>1</v>
      </c>
      <c r="D3041" s="16" t="s">
        <v>50</v>
      </c>
      <c r="E3041" s="35">
        <v>0.5</v>
      </c>
      <c r="F3041" s="35">
        <v>0.5</v>
      </c>
      <c r="G3041" s="16" t="s">
        <v>45</v>
      </c>
      <c r="H3041" s="16" t="s">
        <v>45</v>
      </c>
      <c r="I3041" s="16">
        <f>COUNTIF(G$5:G3041,"Y")/COUNTA(G$5:G3041)</f>
        <v>0.88376687520579522</v>
      </c>
      <c r="J3041" s="16">
        <f>COUNTIF(H$5:H3041,"Y")/COUNTA(H$5:H3041)</f>
        <v>4.8073756997036546E-2</v>
      </c>
      <c r="K3041" s="16">
        <f>AVERAGE(F$5:F3041)</f>
        <v>2.213368455712875</v>
      </c>
      <c r="L3041" s="16">
        <f>SUM(F$5:F3041)/SUM(E$5:E3041)</f>
        <v>0.76330850290697461</v>
      </c>
    </row>
    <row r="3042" spans="1:13" x14ac:dyDescent="0.25">
      <c r="A3042" s="29">
        <v>46121</v>
      </c>
      <c r="B3042" s="16" t="s">
        <v>3088</v>
      </c>
      <c r="C3042" s="34">
        <v>1</v>
      </c>
      <c r="D3042" s="16" t="s">
        <v>60</v>
      </c>
      <c r="E3042" s="35">
        <v>0.5</v>
      </c>
      <c r="F3042" s="35">
        <v>0.5</v>
      </c>
      <c r="G3042" s="16" t="s">
        <v>44</v>
      </c>
      <c r="H3042" s="16" t="s">
        <v>45</v>
      </c>
      <c r="I3042" s="16">
        <f>COUNTIF(G$5:G3042,"Y")/COUNTA(G$5:G3042)</f>
        <v>0.88380513495720869</v>
      </c>
      <c r="J3042" s="16">
        <f>COUNTIF(H$5:H3042,"Y")/COUNTA(H$5:H3042)</f>
        <v>4.8057932850559579E-2</v>
      </c>
      <c r="K3042" s="16">
        <f>AVERAGE(F$5:F3042)</f>
        <v>2.212804476629362</v>
      </c>
      <c r="L3042" s="16">
        <f>SUM(F$5:F3042)/SUM(E$5:E3042)</f>
        <v>0.76332194075099991</v>
      </c>
      <c r="M3042" s="16">
        <v>12</v>
      </c>
    </row>
    <row r="3043" spans="1:13" x14ac:dyDescent="0.25">
      <c r="A3043" s="29">
        <v>46125</v>
      </c>
      <c r="B3043" s="16" t="s">
        <v>3089</v>
      </c>
      <c r="C3043" s="34">
        <v>1</v>
      </c>
      <c r="D3043" s="16" t="s">
        <v>64</v>
      </c>
      <c r="E3043" s="35">
        <v>3.7</v>
      </c>
      <c r="F3043" s="35">
        <v>3</v>
      </c>
      <c r="G3043" s="16" t="s">
        <v>44</v>
      </c>
      <c r="H3043" s="16" t="s">
        <v>45</v>
      </c>
      <c r="I3043" s="16">
        <f>COUNTIF(G$5:G3043,"Y")/COUNTA(G$5:G3043)</f>
        <v>0.88384336952945053</v>
      </c>
      <c r="J3043" s="16">
        <f>COUNTIF(H$5:H3043,"Y")/COUNTA(H$5:H3043)</f>
        <v>4.8042119118130965E-2</v>
      </c>
      <c r="K3043" s="16">
        <f>AVERAGE(F$5:F3043)</f>
        <v>2.2130635077328074</v>
      </c>
      <c r="L3043" s="16">
        <f>SUM(F$5:F3043)/SUM(E$5:E3043)</f>
        <v>0.76334188364015854</v>
      </c>
    </row>
    <row r="3044" spans="1:13" x14ac:dyDescent="0.25">
      <c r="A3044" s="29">
        <v>46126</v>
      </c>
      <c r="B3044" s="16" t="s">
        <v>3090</v>
      </c>
      <c r="C3044" s="34">
        <v>1</v>
      </c>
      <c r="D3044" s="16" t="s">
        <v>50</v>
      </c>
      <c r="E3044" s="35">
        <v>2.4</v>
      </c>
      <c r="F3044" s="35">
        <v>1.7</v>
      </c>
      <c r="G3044" s="16" t="s">
        <v>44</v>
      </c>
      <c r="H3044" s="16" t="s">
        <v>45</v>
      </c>
      <c r="I3044" s="16">
        <f>COUNTIF(G$5:G3044,"Y")/COUNTA(G$5:G3044)</f>
        <v>0.88388157894736841</v>
      </c>
      <c r="J3044" s="16">
        <f>COUNTIF(H$5:H3044,"Y")/COUNTA(H$5:H3044)</f>
        <v>4.8026315789473681E-2</v>
      </c>
      <c r="K3044" s="16">
        <f>AVERAGE(F$5:F3044)</f>
        <v>2.2128947368421059</v>
      </c>
      <c r="L3044" s="16">
        <f>SUM(F$5:F3044)/SUM(E$5:E3044)</f>
        <v>0.76332690343810061</v>
      </c>
    </row>
    <row r="3045" spans="1:13" x14ac:dyDescent="0.25">
      <c r="A3045" s="29">
        <v>46127</v>
      </c>
      <c r="B3045" s="16" t="s">
        <v>3091</v>
      </c>
      <c r="C3045" s="34">
        <v>1</v>
      </c>
      <c r="D3045" s="16" t="s">
        <v>64</v>
      </c>
      <c r="E3045" s="35">
        <v>3</v>
      </c>
      <c r="F3045" s="35">
        <v>2.4</v>
      </c>
      <c r="G3045" s="16" t="s">
        <v>44</v>
      </c>
      <c r="H3045" s="16" t="s">
        <v>45</v>
      </c>
      <c r="I3045" s="16">
        <f>COUNTIF(G$5:G3045,"Y")/COUNTA(G$5:G3045)</f>
        <v>0.8839197632357777</v>
      </c>
      <c r="J3045" s="16">
        <f>COUNTIF(H$5:H3045,"Y")/COUNTA(H$5:H3045)</f>
        <v>4.8010522854324236E-2</v>
      </c>
      <c r="K3045" s="16">
        <f>AVERAGE(F$5:F3045)</f>
        <v>2.2129562643867153</v>
      </c>
      <c r="L3045" s="16">
        <f>SUM(F$5:F3045)/SUM(E$5:E3045)</f>
        <v>0.76333938294010673</v>
      </c>
    </row>
    <row r="3046" spans="1:13" x14ac:dyDescent="0.25">
      <c r="A3046" s="29">
        <v>46128</v>
      </c>
      <c r="B3046" s="16" t="s">
        <v>3092</v>
      </c>
      <c r="C3046" s="34">
        <v>1</v>
      </c>
      <c r="D3046" s="16" t="s">
        <v>47</v>
      </c>
      <c r="E3046" s="35">
        <v>4.5999999999999996</v>
      </c>
      <c r="F3046" s="35">
        <v>3.1</v>
      </c>
      <c r="G3046" s="16" t="s">
        <v>44</v>
      </c>
      <c r="H3046" s="16" t="s">
        <v>45</v>
      </c>
      <c r="I3046" s="16">
        <f>COUNTIF(G$5:G3046,"Y")/COUNTA(G$5:G3046)</f>
        <v>0.88395792241946092</v>
      </c>
      <c r="J3046" s="16">
        <f>COUNTIF(H$5:H3046,"Y")/COUNTA(H$5:H3046)</f>
        <v>4.7994740302432608E-2</v>
      </c>
      <c r="K3046" s="16">
        <f>AVERAGE(F$5:F3046)</f>
        <v>2.2132478632478638</v>
      </c>
      <c r="L3046" s="16">
        <f>SUM(F$5:F3046)/SUM(E$5:E3046)</f>
        <v>0.76329274652517753</v>
      </c>
    </row>
    <row r="3047" spans="1:13" x14ac:dyDescent="0.25">
      <c r="A3047" s="29">
        <v>46129</v>
      </c>
      <c r="B3047" s="16" t="s">
        <v>3093</v>
      </c>
      <c r="C3047" s="34">
        <v>1</v>
      </c>
      <c r="D3047" s="16" t="s">
        <v>60</v>
      </c>
      <c r="E3047" s="35">
        <v>3.9</v>
      </c>
      <c r="F3047" s="35">
        <v>2.7</v>
      </c>
      <c r="G3047" s="16" t="s">
        <v>44</v>
      </c>
      <c r="H3047" s="16" t="s">
        <v>44</v>
      </c>
      <c r="I3047" s="16">
        <f>COUNTIF(G$5:G3047,"Y")/COUNTA(G$5:G3047)</f>
        <v>0.88399605652316793</v>
      </c>
      <c r="J3047" s="16">
        <f>COUNTIF(H$5:H3047,"Y")/COUNTA(H$5:H3047)</f>
        <v>4.830759119290174E-2</v>
      </c>
      <c r="K3047" s="16">
        <f>AVERAGE(F$5:F3047)</f>
        <v>2.2134078212290507</v>
      </c>
      <c r="L3047" s="16">
        <f>SUM(F$5:F3047)/SUM(E$5:E3047)</f>
        <v>0.76326137458212706</v>
      </c>
    </row>
    <row r="3048" spans="1:13" x14ac:dyDescent="0.25">
      <c r="A3048" s="29">
        <v>46125</v>
      </c>
      <c r="B3048" s="16" t="s">
        <v>3094</v>
      </c>
      <c r="C3048" s="34">
        <v>1</v>
      </c>
      <c r="D3048" s="16" t="s">
        <v>47</v>
      </c>
      <c r="E3048" s="35">
        <v>4.0999999999999996</v>
      </c>
      <c r="F3048" s="35">
        <v>3.7</v>
      </c>
      <c r="G3048" s="16" t="s">
        <v>44</v>
      </c>
      <c r="H3048" s="16" t="s">
        <v>45</v>
      </c>
      <c r="I3048" s="16">
        <f>COUNTIF(G$5:G3048,"Y")/COUNTA(G$5:G3048)</f>
        <v>0.88403416557161629</v>
      </c>
      <c r="J3048" s="16">
        <f>COUNTIF(H$5:H3048,"Y")/COUNTA(H$5:H3048)</f>
        <v>4.8291721419185279E-2</v>
      </c>
      <c r="K3048" s="16">
        <f>AVERAGE(F$5:F3048)</f>
        <v>2.2138961892247049</v>
      </c>
      <c r="L3048" s="16">
        <f>SUM(F$5:F3048)/SUM(E$5:E3048)</f>
        <v>0.76332600865369138</v>
      </c>
    </row>
    <row r="3049" spans="1:13" x14ac:dyDescent="0.25">
      <c r="A3049" s="29">
        <v>46126</v>
      </c>
      <c r="B3049" s="16" t="s">
        <v>3095</v>
      </c>
      <c r="C3049" s="34">
        <v>1</v>
      </c>
      <c r="D3049" s="16" t="s">
        <v>47</v>
      </c>
      <c r="E3049" s="35">
        <v>4.0999999999999996</v>
      </c>
      <c r="F3049" s="35">
        <v>3.1</v>
      </c>
      <c r="G3049" s="16" t="s">
        <v>45</v>
      </c>
      <c r="H3049" s="16" t="s">
        <v>45</v>
      </c>
      <c r="I3049" s="16">
        <f>COUNTIF(G$5:G3049,"Y")/COUNTA(G$5:G3049)</f>
        <v>0.88374384236453207</v>
      </c>
      <c r="J3049" s="16">
        <f>COUNTIF(H$5:H3049,"Y")/COUNTA(H$5:H3049)</f>
        <v>4.8275862068965517E-2</v>
      </c>
      <c r="K3049" s="16">
        <f>AVERAGE(F$5:F3049)</f>
        <v>2.214187192118227</v>
      </c>
      <c r="L3049" s="16">
        <f>SUM(F$5:F3049)/SUM(E$5:E3049)</f>
        <v>0.76332265332231142</v>
      </c>
    </row>
    <row r="3050" spans="1:13" x14ac:dyDescent="0.25">
      <c r="A3050" s="29">
        <v>46127</v>
      </c>
      <c r="B3050" s="16" t="s">
        <v>3096</v>
      </c>
      <c r="C3050" s="34">
        <v>1</v>
      </c>
      <c r="D3050" s="16" t="s">
        <v>50</v>
      </c>
      <c r="E3050" s="35">
        <v>3.6</v>
      </c>
      <c r="F3050" s="35">
        <v>3.2</v>
      </c>
      <c r="G3050" s="16" t="s">
        <v>44</v>
      </c>
      <c r="H3050" s="16" t="s">
        <v>45</v>
      </c>
      <c r="I3050" s="16">
        <f>COUNTIF(G$5:G3050,"Y")/COUNTA(G$5:G3050)</f>
        <v>0.88378200919238348</v>
      </c>
      <c r="J3050" s="16">
        <f>COUNTIF(H$5:H3050,"Y")/COUNTA(H$5:H3050)</f>
        <v>4.8260013131976365E-2</v>
      </c>
      <c r="K3050" s="16">
        <f>AVERAGE(F$5:F3050)</f>
        <v>2.2145108338804995</v>
      </c>
      <c r="L3050" s="16">
        <f>SUM(F$5:F3050)/SUM(E$5:E3050)</f>
        <v>0.76337381030521601</v>
      </c>
    </row>
    <row r="3051" spans="1:13" x14ac:dyDescent="0.25">
      <c r="A3051" s="29">
        <v>46128</v>
      </c>
      <c r="B3051" s="16" t="s">
        <v>3097</v>
      </c>
      <c r="C3051" s="34">
        <v>1</v>
      </c>
      <c r="D3051" s="16" t="s">
        <v>43</v>
      </c>
      <c r="E3051" s="35">
        <v>1.5</v>
      </c>
      <c r="F3051" s="35">
        <v>1.2</v>
      </c>
      <c r="G3051" s="16" t="s">
        <v>44</v>
      </c>
      <c r="H3051" s="16" t="s">
        <v>45</v>
      </c>
      <c r="I3051" s="16">
        <f>COUNTIF(G$5:G3051,"Y")/COUNTA(G$5:G3051)</f>
        <v>0.88382015096816546</v>
      </c>
      <c r="J3051" s="16">
        <f>COUNTIF(H$5:H3051,"Y")/COUNTA(H$5:H3051)</f>
        <v>4.8244174597965213E-2</v>
      </c>
      <c r="K3051" s="16">
        <f>AVERAGE(F$5:F3051)</f>
        <v>2.2141778798818512</v>
      </c>
      <c r="L3051" s="16">
        <f>SUM(F$5:F3051)/SUM(E$5:E3051)</f>
        <v>0.76338002670347593</v>
      </c>
    </row>
    <row r="3052" spans="1:13" x14ac:dyDescent="0.25">
      <c r="A3052" s="29">
        <v>46129</v>
      </c>
      <c r="B3052" s="16" t="s">
        <v>3098</v>
      </c>
      <c r="C3052" s="34">
        <v>1</v>
      </c>
      <c r="D3052" s="16" t="s">
        <v>56</v>
      </c>
      <c r="E3052" s="35">
        <v>1.8</v>
      </c>
      <c r="F3052" s="35">
        <v>1.5</v>
      </c>
      <c r="G3052" s="16" t="s">
        <v>44</v>
      </c>
      <c r="H3052" s="16" t="s">
        <v>45</v>
      </c>
      <c r="I3052" s="16">
        <f>COUNTIF(G$5:G3052,"Y")/COUNTA(G$5:G3052)</f>
        <v>0.88385826771653542</v>
      </c>
      <c r="J3052" s="16">
        <f>COUNTIF(H$5:H3052,"Y")/COUNTA(H$5:H3052)</f>
        <v>4.8228346456692911E-2</v>
      </c>
      <c r="K3052" s="16">
        <f>AVERAGE(F$5:F3052)</f>
        <v>2.2139435695538063</v>
      </c>
      <c r="L3052" s="16">
        <f>SUM(F$5:F3052)/SUM(E$5:E3052)</f>
        <v>0.76339427123399028</v>
      </c>
    </row>
    <row r="3053" spans="1:13" x14ac:dyDescent="0.25">
      <c r="A3053" s="29">
        <v>46125</v>
      </c>
      <c r="B3053" s="16" t="s">
        <v>3099</v>
      </c>
      <c r="C3053" s="34">
        <v>1</v>
      </c>
      <c r="D3053" s="16" t="s">
        <v>50</v>
      </c>
      <c r="E3053" s="35">
        <v>5.2</v>
      </c>
      <c r="F3053" s="35">
        <v>3.7</v>
      </c>
      <c r="G3053" s="16" t="s">
        <v>44</v>
      </c>
      <c r="H3053" s="16" t="s">
        <v>45</v>
      </c>
      <c r="I3053" s="16">
        <f>COUNTIF(G$5:G3053,"Y")/COUNTA(G$5:G3053)</f>
        <v>0.88389635946211875</v>
      </c>
      <c r="J3053" s="16">
        <f>COUNTIF(H$5:H3053,"Y")/COUNTA(H$5:H3053)</f>
        <v>4.821252869793375E-2</v>
      </c>
      <c r="K3053" s="16">
        <f>AVERAGE(F$5:F3053)</f>
        <v>2.2144309609708106</v>
      </c>
      <c r="L3053" s="16">
        <f>SUM(F$5:F3053)/SUM(E$5:E3053)</f>
        <v>0.76336378437047525</v>
      </c>
    </row>
    <row r="3054" spans="1:13" x14ac:dyDescent="0.25">
      <c r="A3054" s="29">
        <v>46126</v>
      </c>
      <c r="B3054" s="16" t="s">
        <v>3100</v>
      </c>
      <c r="C3054" s="34">
        <v>1</v>
      </c>
      <c r="D3054" s="16" t="s">
        <v>60</v>
      </c>
      <c r="E3054" s="35">
        <v>5.4</v>
      </c>
      <c r="F3054" s="35">
        <v>3.8</v>
      </c>
      <c r="G3054" s="16" t="s">
        <v>44</v>
      </c>
      <c r="H3054" s="16" t="s">
        <v>45</v>
      </c>
      <c r="I3054" s="16">
        <f>COUNTIF(G$5:G3054,"Y")/COUNTA(G$5:G3054)</f>
        <v>0.88393442622950824</v>
      </c>
      <c r="J3054" s="16">
        <f>COUNTIF(H$5:H3054,"Y")/COUNTA(H$5:H3054)</f>
        <v>4.8196721311475413E-2</v>
      </c>
      <c r="K3054" s="16">
        <f>AVERAGE(F$5:F3054)</f>
        <v>2.2149508196721315</v>
      </c>
      <c r="L3054" s="16">
        <f>SUM(F$5:F3054)/SUM(E$5:E3054)</f>
        <v>0.76332738243203313</v>
      </c>
    </row>
    <row r="3055" spans="1:13" x14ac:dyDescent="0.25">
      <c r="A3055" s="29">
        <v>46127</v>
      </c>
      <c r="B3055" s="16" t="s">
        <v>3101</v>
      </c>
      <c r="C3055" s="34">
        <v>1</v>
      </c>
      <c r="D3055" s="16" t="s">
        <v>47</v>
      </c>
      <c r="E3055" s="35">
        <v>1.6</v>
      </c>
      <c r="F3055" s="35">
        <v>1.1000000000000001</v>
      </c>
      <c r="G3055" s="16" t="s">
        <v>44</v>
      </c>
      <c r="H3055" s="16" t="s">
        <v>45</v>
      </c>
      <c r="I3055" s="16">
        <f>COUNTIF(G$5:G3055,"Y")/COUNTA(G$5:G3055)</f>
        <v>0.88397246804326446</v>
      </c>
      <c r="J3055" s="16">
        <f>COUNTIF(H$5:H3055,"Y")/COUNTA(H$5:H3055)</f>
        <v>4.8180924287118974E-2</v>
      </c>
      <c r="K3055" s="16">
        <f>AVERAGE(F$5:F3055)</f>
        <v>2.2145853818420194</v>
      </c>
      <c r="L3055" s="16">
        <f>SUM(F$5:F3055)/SUM(E$5:E3055)</f>
        <v>0.76331367631441971</v>
      </c>
    </row>
    <row r="3056" spans="1:13" x14ac:dyDescent="0.25">
      <c r="A3056" s="29">
        <v>46128</v>
      </c>
      <c r="B3056" s="16" t="s">
        <v>3102</v>
      </c>
      <c r="C3056" s="34">
        <v>1</v>
      </c>
      <c r="D3056" s="16" t="s">
        <v>52</v>
      </c>
      <c r="E3056" s="35">
        <v>3.7</v>
      </c>
      <c r="F3056" s="35">
        <v>3</v>
      </c>
      <c r="G3056" s="16" t="s">
        <v>44</v>
      </c>
      <c r="H3056" s="16" t="s">
        <v>45</v>
      </c>
      <c r="I3056" s="16">
        <f>COUNTIF(G$5:G3056,"Y")/COUNTA(G$5:G3056)</f>
        <v>0.88401048492791612</v>
      </c>
      <c r="J3056" s="16">
        <f>COUNTIF(H$5:H3056,"Y")/COUNTA(H$5:H3056)</f>
        <v>4.8165137614678902E-2</v>
      </c>
      <c r="K3056" s="16">
        <f>AVERAGE(F$5:F3056)</f>
        <v>2.2148427260812587</v>
      </c>
      <c r="L3056" s="16">
        <f>SUM(F$5:F3056)/SUM(E$5:E3056)</f>
        <v>0.76333352154028333</v>
      </c>
    </row>
    <row r="3057" spans="1:12" x14ac:dyDescent="0.25">
      <c r="A3057" s="29">
        <v>46129</v>
      </c>
      <c r="B3057" s="16" t="s">
        <v>3103</v>
      </c>
      <c r="C3057" s="34">
        <v>1</v>
      </c>
      <c r="D3057" s="16" t="s">
        <v>52</v>
      </c>
      <c r="E3057" s="35">
        <v>1.6</v>
      </c>
      <c r="F3057" s="35">
        <v>1.3</v>
      </c>
      <c r="G3057" s="16" t="s">
        <v>44</v>
      </c>
      <c r="H3057" s="16" t="s">
        <v>45</v>
      </c>
      <c r="I3057" s="16">
        <f>COUNTIF(G$5:G3057,"Y")/COUNTA(G$5:G3057)</f>
        <v>0.8840484769079594</v>
      </c>
      <c r="J3057" s="16">
        <f>COUNTIF(H$5:H3057,"Y")/COUNTA(H$5:H3057)</f>
        <v>4.8149361283982971E-2</v>
      </c>
      <c r="K3057" s="16">
        <f>AVERAGE(F$5:F3057)</f>
        <v>2.2145430723878157</v>
      </c>
      <c r="L3057" s="16">
        <f>SUM(F$5:F3057)/SUM(E$5:E3057)</f>
        <v>0.76334240326969094</v>
      </c>
    </row>
    <row r="3058" spans="1:12" x14ac:dyDescent="0.25">
      <c r="A3058" s="29">
        <v>46125</v>
      </c>
      <c r="B3058" s="16" t="s">
        <v>3104</v>
      </c>
      <c r="C3058" s="34">
        <v>1</v>
      </c>
      <c r="D3058" s="16" t="s">
        <v>64</v>
      </c>
      <c r="E3058" s="35">
        <v>4.0999999999999996</v>
      </c>
      <c r="F3058" s="35">
        <v>3</v>
      </c>
      <c r="G3058" s="16" t="s">
        <v>45</v>
      </c>
      <c r="H3058" s="16" t="s">
        <v>45</v>
      </c>
      <c r="I3058" s="16">
        <f>COUNTIF(G$5:G3058,"Y")/COUNTA(G$5:G3058)</f>
        <v>0.88375900458415191</v>
      </c>
      <c r="J3058" s="16">
        <f>COUNTIF(H$5:H3058,"Y")/COUNTA(H$5:H3058)</f>
        <v>4.8133595284872301E-2</v>
      </c>
      <c r="K3058" s="16">
        <f>AVERAGE(F$5:F3058)</f>
        <v>2.2148002619515395</v>
      </c>
      <c r="L3058" s="16">
        <f>SUM(F$5:F3058)/SUM(E$5:E3058)</f>
        <v>0.76332776599105978</v>
      </c>
    </row>
    <row r="3059" spans="1:12" x14ac:dyDescent="0.25">
      <c r="A3059" s="29">
        <v>46126</v>
      </c>
      <c r="B3059" s="16" t="s">
        <v>3105</v>
      </c>
      <c r="C3059" s="34">
        <v>1</v>
      </c>
      <c r="D3059" s="16" t="s">
        <v>52</v>
      </c>
      <c r="E3059" s="35">
        <v>4</v>
      </c>
      <c r="F3059" s="35">
        <v>3.2</v>
      </c>
      <c r="G3059" s="16" t="s">
        <v>44</v>
      </c>
      <c r="H3059" s="16" t="s">
        <v>45</v>
      </c>
      <c r="I3059" s="16">
        <f>COUNTIF(G$5:G3059,"Y")/COUNTA(G$5:G3059)</f>
        <v>0.88379705400982</v>
      </c>
      <c r="J3059" s="16">
        <f>COUNTIF(H$5:H3059,"Y")/COUNTA(H$5:H3059)</f>
        <v>4.8117839607201313E-2</v>
      </c>
      <c r="K3059" s="16">
        <f>AVERAGE(F$5:F3059)</f>
        <v>2.2151227495908352</v>
      </c>
      <c r="L3059" s="16">
        <f>SUM(F$5:F3059)/SUM(E$5:E3059)</f>
        <v>0.76334431259305813</v>
      </c>
    </row>
    <row r="3060" spans="1:12" x14ac:dyDescent="0.25">
      <c r="A3060" s="29">
        <v>46127</v>
      </c>
      <c r="B3060" s="16" t="s">
        <v>3106</v>
      </c>
      <c r="C3060" s="34">
        <v>1</v>
      </c>
      <c r="D3060" s="16" t="s">
        <v>43</v>
      </c>
      <c r="E3060" s="35">
        <v>3.3</v>
      </c>
      <c r="F3060" s="35">
        <v>2.2999999999999998</v>
      </c>
      <c r="G3060" s="16" t="s">
        <v>45</v>
      </c>
      <c r="H3060" s="16" t="s">
        <v>45</v>
      </c>
      <c r="I3060" s="16">
        <f>COUNTIF(G$5:G3060,"Y")/COUNTA(G$5:G3060)</f>
        <v>0.88350785340314131</v>
      </c>
      <c r="J3060" s="16">
        <f>COUNTIF(H$5:H3060,"Y")/COUNTA(H$5:H3060)</f>
        <v>4.8102094240837695E-2</v>
      </c>
      <c r="K3060" s="16">
        <f>AVERAGE(F$5:F3060)</f>
        <v>2.2151505235602098</v>
      </c>
      <c r="L3060" s="16">
        <f>SUM(F$5:F3060)/SUM(E$5:E3060)</f>
        <v>0.76331961436544848</v>
      </c>
    </row>
    <row r="3061" spans="1:12" x14ac:dyDescent="0.25">
      <c r="A3061" s="29">
        <v>46128</v>
      </c>
      <c r="B3061" s="16" t="s">
        <v>3107</v>
      </c>
      <c r="C3061" s="34">
        <v>1</v>
      </c>
      <c r="D3061" s="16" t="s">
        <v>64</v>
      </c>
      <c r="E3061" s="35">
        <v>1.8</v>
      </c>
      <c r="F3061" s="35">
        <v>1.5</v>
      </c>
      <c r="G3061" s="16" t="s">
        <v>44</v>
      </c>
      <c r="H3061" s="16" t="s">
        <v>44</v>
      </c>
      <c r="I3061" s="16">
        <f>COUNTIF(G$5:G3061,"Y")/COUNTA(G$5:G3061)</f>
        <v>0.88354596009159303</v>
      </c>
      <c r="J3061" s="16">
        <f>COUNTIF(H$5:H3061,"Y")/COUNTA(H$5:H3061)</f>
        <v>4.841347726529277E-2</v>
      </c>
      <c r="K3061" s="16">
        <f>AVERAGE(F$5:F3061)</f>
        <v>2.214916584887145</v>
      </c>
      <c r="L3061" s="16">
        <f>SUM(F$5:F3061)/SUM(E$5:E3061)</f>
        <v>0.76333382185495191</v>
      </c>
    </row>
    <row r="3062" spans="1:12" x14ac:dyDescent="0.25">
      <c r="A3062" s="29">
        <v>46129</v>
      </c>
      <c r="B3062" s="16" t="s">
        <v>3108</v>
      </c>
      <c r="C3062" s="34">
        <v>1</v>
      </c>
      <c r="D3062" s="16" t="s">
        <v>60</v>
      </c>
      <c r="E3062" s="35">
        <v>1.9</v>
      </c>
      <c r="F3062" s="35">
        <v>1.5</v>
      </c>
      <c r="G3062" s="16" t="s">
        <v>45</v>
      </c>
      <c r="H3062" s="16" t="s">
        <v>45</v>
      </c>
      <c r="I3062" s="16">
        <f>COUNTIF(G$5:G3062,"Y")/COUNTA(G$5:G3062)</f>
        <v>0.88325703073904516</v>
      </c>
      <c r="J3062" s="16">
        <f>COUNTIF(H$5:H3062,"Y")/COUNTA(H$5:H3062)</f>
        <v>4.8397645519947678E-2</v>
      </c>
      <c r="K3062" s="16">
        <f>AVERAGE(F$5:F3062)</f>
        <v>2.2146827992151739</v>
      </c>
      <c r="L3062" s="16">
        <f>SUM(F$5:F3062)/SUM(E$5:E3062)</f>
        <v>0.76333941976059827</v>
      </c>
    </row>
    <row r="3063" spans="1:12" x14ac:dyDescent="0.25">
      <c r="A3063" s="29">
        <v>46125</v>
      </c>
      <c r="B3063" s="16" t="s">
        <v>3109</v>
      </c>
      <c r="C3063" s="34">
        <v>1</v>
      </c>
      <c r="D3063" s="16" t="s">
        <v>60</v>
      </c>
      <c r="E3063" s="35">
        <v>1.9</v>
      </c>
      <c r="F3063" s="35">
        <v>1.7</v>
      </c>
      <c r="G3063" s="16" t="s">
        <v>44</v>
      </c>
      <c r="H3063" s="16" t="s">
        <v>45</v>
      </c>
      <c r="I3063" s="16">
        <f>COUNTIF(G$5:G3063,"Y")/COUNTA(G$5:G3063)</f>
        <v>0.8832951945080092</v>
      </c>
      <c r="J3063" s="16">
        <f>COUNTIF(H$5:H3063,"Y")/COUNTA(H$5:H3063)</f>
        <v>4.8381824125531221E-2</v>
      </c>
      <c r="K3063" s="16">
        <f>AVERAGE(F$5:F3063)</f>
        <v>2.2145145472376599</v>
      </c>
      <c r="L3063" s="16">
        <f>SUM(F$5:F3063)/SUM(E$5:E3063)</f>
        <v>0.76336755276591206</v>
      </c>
    </row>
    <row r="3064" spans="1:12" x14ac:dyDescent="0.25">
      <c r="A3064" s="29">
        <v>46126</v>
      </c>
      <c r="B3064" s="16" t="s">
        <v>3110</v>
      </c>
      <c r="C3064" s="34">
        <v>1</v>
      </c>
      <c r="D3064" s="16" t="s">
        <v>52</v>
      </c>
      <c r="E3064" s="35">
        <v>2.1</v>
      </c>
      <c r="F3064" s="35">
        <v>1.8</v>
      </c>
      <c r="G3064" s="16" t="s">
        <v>44</v>
      </c>
      <c r="H3064" s="16" t="s">
        <v>45</v>
      </c>
      <c r="I3064" s="16">
        <f>COUNTIF(G$5:G3064,"Y")/COUNTA(G$5:G3064)</f>
        <v>0.8833333333333333</v>
      </c>
      <c r="J3064" s="16">
        <f>COUNTIF(H$5:H3064,"Y")/COUNTA(H$5:H3064)</f>
        <v>4.8366013071895426E-2</v>
      </c>
      <c r="K3064" s="16">
        <f>AVERAGE(F$5:F3064)</f>
        <v>2.2143790849673208</v>
      </c>
      <c r="L3064" s="16">
        <f>SUM(F$5:F3064)/SUM(E$5:E3064)</f>
        <v>0.76338973885220929</v>
      </c>
    </row>
    <row r="3065" spans="1:12" x14ac:dyDescent="0.25">
      <c r="A3065" s="29">
        <v>46127</v>
      </c>
      <c r="B3065" s="16" t="s">
        <v>3111</v>
      </c>
      <c r="C3065" s="34">
        <v>1</v>
      </c>
      <c r="D3065" s="16" t="s">
        <v>56</v>
      </c>
      <c r="E3065" s="35">
        <v>2.7</v>
      </c>
      <c r="F3065" s="35">
        <v>2</v>
      </c>
      <c r="G3065" s="16" t="s">
        <v>44</v>
      </c>
      <c r="H3065" s="16" t="s">
        <v>45</v>
      </c>
      <c r="I3065" s="16">
        <f>COUNTIF(G$5:G3065,"Y")/COUNTA(G$5:G3065)</f>
        <v>0.88337144723946426</v>
      </c>
      <c r="J3065" s="16">
        <f>COUNTIF(H$5:H3065,"Y")/COUNTA(H$5:H3065)</f>
        <v>4.8350212348905588E-2</v>
      </c>
      <c r="K3065" s="16">
        <f>AVERAGE(F$5:F3065)</f>
        <v>2.2143090493302848</v>
      </c>
      <c r="L3065" s="16">
        <f>SUM(F$5:F3065)/SUM(E$5:E3065)</f>
        <v>0.7633828514793477</v>
      </c>
    </row>
    <row r="3066" spans="1:12" x14ac:dyDescent="0.25">
      <c r="A3066" s="29">
        <v>46128</v>
      </c>
      <c r="B3066" s="16" t="s">
        <v>3112</v>
      </c>
      <c r="C3066" s="34">
        <v>1</v>
      </c>
      <c r="D3066" s="16" t="s">
        <v>60</v>
      </c>
      <c r="E3066" s="35">
        <v>1.7</v>
      </c>
      <c r="F3066" s="35">
        <v>1.3</v>
      </c>
      <c r="G3066" s="16" t="s">
        <v>44</v>
      </c>
      <c r="H3066" s="16" t="s">
        <v>45</v>
      </c>
      <c r="I3066" s="16">
        <f>COUNTIF(G$5:G3066,"Y")/COUNTA(G$5:G3066)</f>
        <v>0.88340953625081642</v>
      </c>
      <c r="J3066" s="16">
        <f>COUNTIF(H$5:H3066,"Y")/COUNTA(H$5:H3066)</f>
        <v>4.8334421946440234E-2</v>
      </c>
      <c r="K3066" s="16">
        <f>AVERAGE(F$5:F3066)</f>
        <v>2.2140104506858269</v>
      </c>
      <c r="L3066" s="16">
        <f>SUM(F$5:F3066)/SUM(E$5:E3066)</f>
        <v>0.76338310474517257</v>
      </c>
    </row>
    <row r="3067" spans="1:12" x14ac:dyDescent="0.25">
      <c r="A3067" s="29">
        <v>46129</v>
      </c>
      <c r="B3067" s="16" t="s">
        <v>3113</v>
      </c>
      <c r="C3067" s="34">
        <v>1</v>
      </c>
      <c r="D3067" s="16" t="s">
        <v>50</v>
      </c>
      <c r="E3067" s="35">
        <v>1.6</v>
      </c>
      <c r="F3067" s="35">
        <v>1.3</v>
      </c>
      <c r="G3067" s="16" t="s">
        <v>44</v>
      </c>
      <c r="H3067" s="16" t="s">
        <v>45</v>
      </c>
      <c r="I3067" s="16">
        <f>COUNTIF(G$5:G3067,"Y")/COUNTA(G$5:G3067)</f>
        <v>0.88344760039177272</v>
      </c>
      <c r="J3067" s="16">
        <f>COUNTIF(H$5:H3067,"Y")/COUNTA(H$5:H3067)</f>
        <v>4.8318641854391123E-2</v>
      </c>
      <c r="K3067" s="16">
        <f>AVERAGE(F$5:F3067)</f>
        <v>2.2137120470127334</v>
      </c>
      <c r="L3067" s="16">
        <f>SUM(F$5:F3067)/SUM(E$5:E3067)</f>
        <v>0.76339195244421199</v>
      </c>
    </row>
    <row r="3068" spans="1:12" x14ac:dyDescent="0.25">
      <c r="A3068" s="29">
        <v>46125</v>
      </c>
      <c r="B3068" s="16" t="s">
        <v>3114</v>
      </c>
      <c r="C3068" s="34">
        <v>1</v>
      </c>
      <c r="D3068" s="16" t="s">
        <v>64</v>
      </c>
      <c r="E3068" s="35">
        <v>3.9</v>
      </c>
      <c r="F3068" s="35">
        <v>3.5</v>
      </c>
      <c r="G3068" s="16" t="s">
        <v>44</v>
      </c>
      <c r="H3068" s="16" t="s">
        <v>45</v>
      </c>
      <c r="I3068" s="16">
        <f>COUNTIF(G$5:G3068,"Y")/COUNTA(G$5:G3068)</f>
        <v>0.88348563968668403</v>
      </c>
      <c r="J3068" s="16">
        <f>COUNTIF(H$5:H3068,"Y")/COUNTA(H$5:H3068)</f>
        <v>4.8302872062663184E-2</v>
      </c>
      <c r="K3068" s="16">
        <f>AVERAGE(F$5:F3068)</f>
        <v>2.2141318537859016</v>
      </c>
      <c r="L3068" s="16">
        <f>SUM(F$5:F3068)/SUM(E$5:E3068)</f>
        <v>0.76345078268306454</v>
      </c>
    </row>
    <row r="3069" spans="1:12" x14ac:dyDescent="0.25">
      <c r="A3069" s="29">
        <v>46126</v>
      </c>
      <c r="B3069" s="16" t="s">
        <v>3115</v>
      </c>
      <c r="C3069" s="34">
        <v>1</v>
      </c>
      <c r="D3069" s="16" t="s">
        <v>64</v>
      </c>
      <c r="E3069" s="35">
        <v>3.5</v>
      </c>
      <c r="F3069" s="35">
        <v>2.6</v>
      </c>
      <c r="G3069" s="16" t="s">
        <v>44</v>
      </c>
      <c r="H3069" s="16" t="s">
        <v>45</v>
      </c>
      <c r="I3069" s="16">
        <f>COUNTIF(G$5:G3069,"Y")/COUNTA(G$5:G3069)</f>
        <v>0.88352365415986944</v>
      </c>
      <c r="J3069" s="16">
        <f>COUNTIF(H$5:H3069,"Y")/COUNTA(H$5:H3069)</f>
        <v>4.8287112561174551E-2</v>
      </c>
      <c r="K3069" s="16">
        <f>AVERAGE(F$5:F3069)</f>
        <v>2.2142577487765096</v>
      </c>
      <c r="L3069" s="16">
        <f>SUM(F$5:F3069)/SUM(E$5:E3069)</f>
        <v>0.76344267458603088</v>
      </c>
    </row>
    <row r="3070" spans="1:12" x14ac:dyDescent="0.25">
      <c r="A3070" s="29">
        <v>46127</v>
      </c>
      <c r="B3070" s="16" t="s">
        <v>3116</v>
      </c>
      <c r="C3070" s="34">
        <v>1</v>
      </c>
      <c r="D3070" s="16" t="s">
        <v>47</v>
      </c>
      <c r="E3070" s="35">
        <v>1.4</v>
      </c>
      <c r="F3070" s="35">
        <v>1.3</v>
      </c>
      <c r="G3070" s="16" t="s">
        <v>44</v>
      </c>
      <c r="H3070" s="16" t="s">
        <v>45</v>
      </c>
      <c r="I3070" s="16">
        <f>COUNTIF(G$5:G3070,"Y")/COUNTA(G$5:G3070)</f>
        <v>0.88356164383561642</v>
      </c>
      <c r="J3070" s="16">
        <f>COUNTIF(H$5:H3070,"Y")/COUNTA(H$5:H3070)</f>
        <v>4.8271363339856488E-2</v>
      </c>
      <c r="K3070" s="16">
        <f>AVERAGE(F$5:F3070)</f>
        <v>2.2139595564253107</v>
      </c>
      <c r="L3070" s="16">
        <f>SUM(F$5:F3070)/SUM(E$5:E3070)</f>
        <v>0.76346867618940284</v>
      </c>
    </row>
    <row r="3071" spans="1:12" x14ac:dyDescent="0.25">
      <c r="A3071" s="29">
        <v>46128</v>
      </c>
      <c r="B3071" s="16" t="s">
        <v>3117</v>
      </c>
      <c r="C3071" s="34">
        <v>1</v>
      </c>
      <c r="D3071" s="16" t="s">
        <v>56</v>
      </c>
      <c r="E3071" s="35">
        <v>4.0999999999999996</v>
      </c>
      <c r="F3071" s="35">
        <v>3.7</v>
      </c>
      <c r="G3071" s="16" t="s">
        <v>44</v>
      </c>
      <c r="H3071" s="16" t="s">
        <v>45</v>
      </c>
      <c r="I3071" s="16">
        <f>COUNTIF(G$5:G3071,"Y")/COUNTA(G$5:G3071)</f>
        <v>0.88359960873818066</v>
      </c>
      <c r="J3071" s="16">
        <f>COUNTIF(H$5:H3071,"Y")/COUNTA(H$5:H3071)</f>
        <v>4.8255624388653405E-2</v>
      </c>
      <c r="K3071" s="16">
        <f>AVERAGE(F$5:F3071)</f>
        <v>2.2144440821649831</v>
      </c>
      <c r="L3071" s="16">
        <f>SUM(F$5:F3071)/SUM(E$5:E3071)</f>
        <v>0.76353273150385947</v>
      </c>
    </row>
    <row r="3072" spans="1:12" x14ac:dyDescent="0.25">
      <c r="A3072" s="29">
        <v>46129</v>
      </c>
      <c r="B3072" s="16" t="s">
        <v>3118</v>
      </c>
      <c r="C3072" s="34">
        <v>1</v>
      </c>
      <c r="D3072" s="16" t="s">
        <v>47</v>
      </c>
      <c r="E3072" s="35">
        <v>2.2999999999999998</v>
      </c>
      <c r="F3072" s="35">
        <v>1.9</v>
      </c>
      <c r="G3072" s="16" t="s">
        <v>44</v>
      </c>
      <c r="H3072" s="16" t="s">
        <v>45</v>
      </c>
      <c r="I3072" s="16">
        <f>COUNTIF(G$5:G3072,"Y")/COUNTA(G$5:G3072)</f>
        <v>0.88363754889178614</v>
      </c>
      <c r="J3072" s="16">
        <f>COUNTIF(H$5:H3072,"Y")/COUNTA(H$5:H3072)</f>
        <v>4.8239895697522815E-2</v>
      </c>
      <c r="K3072" s="16">
        <f>AVERAGE(F$5:F3072)</f>
        <v>2.2143415906127779</v>
      </c>
      <c r="L3072" s="16">
        <f>SUM(F$5:F3072)/SUM(E$5:E3072)</f>
        <v>0.76354890192640323</v>
      </c>
    </row>
    <row r="3073" spans="1:13" x14ac:dyDescent="0.25">
      <c r="A3073" s="29">
        <v>46125</v>
      </c>
      <c r="B3073" s="16" t="s">
        <v>3119</v>
      </c>
      <c r="C3073" s="34">
        <v>1</v>
      </c>
      <c r="D3073" s="16" t="s">
        <v>43</v>
      </c>
      <c r="E3073" s="35">
        <v>4.2</v>
      </c>
      <c r="F3073" s="35">
        <v>3.2</v>
      </c>
      <c r="G3073" s="16" t="s">
        <v>44</v>
      </c>
      <c r="H3073" s="16" t="s">
        <v>45</v>
      </c>
      <c r="I3073" s="16">
        <f>COUNTIF(G$5:G3073,"Y")/COUNTA(G$5:G3073)</f>
        <v>0.8836754643206256</v>
      </c>
      <c r="J3073" s="16">
        <f>COUNTIF(H$5:H3073,"Y")/COUNTA(H$5:H3073)</f>
        <v>4.8224177256435324E-2</v>
      </c>
      <c r="K3073" s="16">
        <f>AVERAGE(F$5:F3073)</f>
        <v>2.2146627565982411</v>
      </c>
      <c r="L3073" s="16">
        <f>SUM(F$5:F3073)/SUM(E$5:E3073)</f>
        <v>0.76354812617956092</v>
      </c>
    </row>
    <row r="3074" spans="1:13" x14ac:dyDescent="0.25">
      <c r="A3074" s="29">
        <v>46126</v>
      </c>
      <c r="B3074" s="16" t="s">
        <v>3120</v>
      </c>
      <c r="C3074" s="34">
        <v>1</v>
      </c>
      <c r="D3074" s="16" t="s">
        <v>56</v>
      </c>
      <c r="E3074" s="35">
        <v>2.4</v>
      </c>
      <c r="F3074" s="35">
        <v>2.1</v>
      </c>
      <c r="G3074" s="16" t="s">
        <v>44</v>
      </c>
      <c r="H3074" s="16" t="s">
        <v>45</v>
      </c>
      <c r="I3074" s="16">
        <f>COUNTIF(G$5:G3074,"Y")/COUNTA(G$5:G3074)</f>
        <v>0.88371335504885995</v>
      </c>
      <c r="J3074" s="16">
        <f>COUNTIF(H$5:H3074,"Y")/COUNTA(H$5:H3074)</f>
        <v>4.8208469055374591E-2</v>
      </c>
      <c r="K3074" s="16">
        <f>AVERAGE(F$5:F3074)</f>
        <v>2.2146254071661247</v>
      </c>
      <c r="L3074" s="16">
        <f>SUM(F$5:F3074)/SUM(E$5:E3074)</f>
        <v>0.76357816711590076</v>
      </c>
    </row>
    <row r="3075" spans="1:13" x14ac:dyDescent="0.25">
      <c r="A3075" s="29">
        <v>46127</v>
      </c>
      <c r="B3075" s="16" t="s">
        <v>3121</v>
      </c>
      <c r="C3075" s="34">
        <v>1</v>
      </c>
      <c r="D3075" s="16" t="s">
        <v>56</v>
      </c>
      <c r="E3075" s="35">
        <v>2</v>
      </c>
      <c r="F3075" s="35">
        <v>1.5</v>
      </c>
      <c r="G3075" s="16" t="s">
        <v>44</v>
      </c>
      <c r="H3075" s="16" t="s">
        <v>45</v>
      </c>
      <c r="I3075" s="16">
        <f>COUNTIF(G$5:G3075,"Y")/COUNTA(G$5:G3075)</f>
        <v>0.88375122110061866</v>
      </c>
      <c r="J3075" s="16">
        <f>COUNTIF(H$5:H3075,"Y")/COUNTA(H$5:H3075)</f>
        <v>4.8192771084337352E-2</v>
      </c>
      <c r="K3075" s="16">
        <f>AVERAGE(F$5:F3075)</f>
        <v>2.2143927059589719</v>
      </c>
      <c r="L3075" s="16">
        <f>SUM(F$5:F3075)/SUM(E$5:E3075)</f>
        <v>0.763575117898044</v>
      </c>
    </row>
    <row r="3076" spans="1:13" x14ac:dyDescent="0.25">
      <c r="A3076" s="29">
        <v>46128</v>
      </c>
      <c r="B3076" s="16" t="s">
        <v>3122</v>
      </c>
      <c r="C3076" s="34">
        <v>1</v>
      </c>
      <c r="D3076" s="16" t="s">
        <v>64</v>
      </c>
      <c r="E3076" s="35">
        <v>3.1</v>
      </c>
      <c r="F3076" s="35">
        <v>2.4</v>
      </c>
      <c r="G3076" s="16" t="s">
        <v>44</v>
      </c>
      <c r="H3076" s="16" t="s">
        <v>45</v>
      </c>
      <c r="I3076" s="16">
        <f>COUNTIF(G$5:G3076,"Y")/COUNTA(G$5:G3076)</f>
        <v>0.8837890625</v>
      </c>
      <c r="J3076" s="16">
        <f>COUNTIF(H$5:H3076,"Y")/COUNTA(H$5:H3076)</f>
        <v>4.8177083333333336E-2</v>
      </c>
      <c r="K3076" s="16">
        <f>AVERAGE(F$5:F3076)</f>
        <v>2.2144531250000008</v>
      </c>
      <c r="L3076" s="16">
        <f>SUM(F$5:F3076)/SUM(E$5:E3076)</f>
        <v>0.76357881267467864</v>
      </c>
    </row>
    <row r="3077" spans="1:13" x14ac:dyDescent="0.25">
      <c r="A3077" s="29">
        <v>46129</v>
      </c>
      <c r="B3077" s="16" t="s">
        <v>3123</v>
      </c>
      <c r="C3077" s="34">
        <v>1</v>
      </c>
      <c r="D3077" s="16" t="s">
        <v>50</v>
      </c>
      <c r="E3077" s="35">
        <v>4.2</v>
      </c>
      <c r="F3077" s="35">
        <v>3.7</v>
      </c>
      <c r="G3077" s="16" t="s">
        <v>44</v>
      </c>
      <c r="H3077" s="16" t="s">
        <v>45</v>
      </c>
      <c r="I3077" s="16">
        <f>COUNTIF(G$5:G3077,"Y")/COUNTA(G$5:G3077)</f>
        <v>0.88382687927107062</v>
      </c>
      <c r="J3077" s="16">
        <f>COUNTIF(H$5:H3077,"Y")/COUNTA(H$5:H3077)</f>
        <v>4.8161405792385294E-2</v>
      </c>
      <c r="K3077" s="16">
        <f>AVERAGE(F$5:F3077)</f>
        <v>2.2149365440937201</v>
      </c>
      <c r="L3077" s="16">
        <f>SUM(F$5:F3077)/SUM(E$5:E3077)</f>
        <v>0.76363411979850093</v>
      </c>
    </row>
    <row r="3078" spans="1:13" x14ac:dyDescent="0.25">
      <c r="A3078" s="29">
        <v>46125</v>
      </c>
      <c r="B3078" s="16" t="s">
        <v>3124</v>
      </c>
      <c r="C3078" s="34">
        <v>1</v>
      </c>
      <c r="D3078" s="16" t="s">
        <v>47</v>
      </c>
      <c r="E3078" s="35">
        <v>3.4</v>
      </c>
      <c r="F3078" s="35">
        <v>2.9</v>
      </c>
      <c r="G3078" s="16" t="s">
        <v>44</v>
      </c>
      <c r="H3078" s="16" t="s">
        <v>45</v>
      </c>
      <c r="I3078" s="16">
        <f>COUNTIF(G$5:G3078,"Y")/COUNTA(G$5:G3078)</f>
        <v>0.88386467143786596</v>
      </c>
      <c r="J3078" s="16">
        <f>COUNTIF(H$5:H3078,"Y")/COUNTA(H$5:H3078)</f>
        <v>4.8145738451528954E-2</v>
      </c>
      <c r="K3078" s="16">
        <f>AVERAGE(F$5:F3078)</f>
        <v>2.2151594014313605</v>
      </c>
      <c r="L3078" s="16">
        <f>SUM(F$5:F3078)/SUM(E$5:E3078)</f>
        <v>0.76366817320308844</v>
      </c>
    </row>
    <row r="3079" spans="1:13" x14ac:dyDescent="0.25">
      <c r="A3079" s="29">
        <v>46126</v>
      </c>
      <c r="B3079" s="16" t="s">
        <v>3125</v>
      </c>
      <c r="C3079" s="34">
        <v>1</v>
      </c>
      <c r="D3079" s="16" t="s">
        <v>64</v>
      </c>
      <c r="E3079" s="35">
        <v>2.2999999999999998</v>
      </c>
      <c r="F3079" s="35">
        <v>2</v>
      </c>
      <c r="G3079" s="16" t="s">
        <v>45</v>
      </c>
      <c r="H3079" s="16" t="s">
        <v>45</v>
      </c>
      <c r="I3079" s="16">
        <f>COUNTIF(G$5:G3079,"Y")/COUNTA(G$5:G3079)</f>
        <v>0.88357723577235769</v>
      </c>
      <c r="J3079" s="16">
        <f>COUNTIF(H$5:H3079,"Y")/COUNTA(H$5:H3079)</f>
        <v>4.8130081300813012E-2</v>
      </c>
      <c r="K3079" s="16">
        <f>AVERAGE(F$5:F3079)</f>
        <v>2.2150894308943094</v>
      </c>
      <c r="L3079" s="16">
        <f>SUM(F$5:F3079)/SUM(E$5:E3079)</f>
        <v>0.76369548155622591</v>
      </c>
    </row>
    <row r="3080" spans="1:13" x14ac:dyDescent="0.25">
      <c r="A3080" s="29">
        <v>46127</v>
      </c>
      <c r="B3080" s="16" t="s">
        <v>3126</v>
      </c>
      <c r="C3080" s="34">
        <v>1</v>
      </c>
      <c r="D3080" s="16" t="s">
        <v>56</v>
      </c>
      <c r="E3080" s="35">
        <v>0.7</v>
      </c>
      <c r="F3080" s="35">
        <v>0.5</v>
      </c>
      <c r="G3080" s="16" t="s">
        <v>44</v>
      </c>
      <c r="H3080" s="16" t="s">
        <v>45</v>
      </c>
      <c r="I3080" s="16">
        <f>COUNTIF(G$5:G3080,"Y")/COUNTA(G$5:G3080)</f>
        <v>0.88361508452535764</v>
      </c>
      <c r="J3080" s="16">
        <f>COUNTIF(H$5:H3080,"Y")/COUNTA(H$5:H3080)</f>
        <v>4.8114434330299091E-2</v>
      </c>
      <c r="K3080" s="16">
        <f>AVERAGE(F$5:F3080)</f>
        <v>2.214531859557868</v>
      </c>
      <c r="L3080" s="16">
        <f>SUM(F$5:F3080)/SUM(E$5:E3080)</f>
        <v>0.76369160397770985</v>
      </c>
    </row>
    <row r="3081" spans="1:13" x14ac:dyDescent="0.25">
      <c r="A3081" s="29">
        <v>46128</v>
      </c>
      <c r="B3081" s="16" t="s">
        <v>3127</v>
      </c>
      <c r="C3081" s="34">
        <v>1</v>
      </c>
      <c r="D3081" s="16" t="s">
        <v>43</v>
      </c>
      <c r="E3081" s="35">
        <v>0.6</v>
      </c>
      <c r="F3081" s="35">
        <v>0.5</v>
      </c>
      <c r="G3081" s="16" t="s">
        <v>44</v>
      </c>
      <c r="H3081" s="16" t="s">
        <v>45</v>
      </c>
      <c r="I3081" s="16">
        <f>COUNTIF(G$5:G3081,"Y")/COUNTA(G$5:G3081)</f>
        <v>0.88365290867728308</v>
      </c>
      <c r="J3081" s="16">
        <f>COUNTIF(H$5:H3081,"Y")/COUNTA(H$5:H3081)</f>
        <v>4.809879753006175E-2</v>
      </c>
      <c r="K3081" s="16">
        <f>AVERAGE(F$5:F3081)</f>
        <v>2.2139746506337348</v>
      </c>
      <c r="L3081" s="16">
        <f>SUM(F$5:F3081)/SUM(E$5:E3081)</f>
        <v>0.76369628824142444</v>
      </c>
    </row>
    <row r="3082" spans="1:13" x14ac:dyDescent="0.25">
      <c r="A3082" s="29">
        <v>46129</v>
      </c>
      <c r="B3082" s="16" t="s">
        <v>3128</v>
      </c>
      <c r="C3082" s="34">
        <v>1</v>
      </c>
      <c r="D3082" s="16" t="s">
        <v>56</v>
      </c>
      <c r="E3082" s="35">
        <v>0.6</v>
      </c>
      <c r="F3082" s="35">
        <v>0.5</v>
      </c>
      <c r="G3082" s="16" t="s">
        <v>44</v>
      </c>
      <c r="H3082" s="16" t="s">
        <v>45</v>
      </c>
      <c r="I3082" s="16">
        <f>COUNTIF(G$5:G3082,"Y")/COUNTA(G$5:G3082)</f>
        <v>0.88369070825211171</v>
      </c>
      <c r="J3082" s="16">
        <f>COUNTIF(H$5:H3082,"Y")/COUNTA(H$5:H3082)</f>
        <v>4.8083170890188431E-2</v>
      </c>
      <c r="K3082" s="16">
        <f>AVERAGE(F$5:F3082)</f>
        <v>2.2134178037686816</v>
      </c>
      <c r="L3082" s="16">
        <f>SUM(F$5:F3082)/SUM(E$5:E3082)</f>
        <v>0.76370097187503261</v>
      </c>
    </row>
    <row r="3083" spans="1:13" x14ac:dyDescent="0.25">
      <c r="A3083" s="29">
        <v>46125</v>
      </c>
      <c r="B3083" s="16" t="s">
        <v>3129</v>
      </c>
      <c r="C3083" s="34">
        <v>1</v>
      </c>
      <c r="D3083" s="16" t="s">
        <v>60</v>
      </c>
      <c r="E3083" s="35">
        <v>0.7</v>
      </c>
      <c r="F3083" s="35">
        <v>0.5</v>
      </c>
      <c r="G3083" s="16" t="s">
        <v>44</v>
      </c>
      <c r="H3083" s="16" t="s">
        <v>45</v>
      </c>
      <c r="I3083" s="16">
        <f>COUNTIF(G$5:G3083,"Y")/COUNTA(G$5:G3083)</f>
        <v>0.88372848327379017</v>
      </c>
      <c r="J3083" s="16">
        <f>COUNTIF(H$5:H3083,"Y")/COUNTA(H$5:H3083)</f>
        <v>4.8067554400779471E-2</v>
      </c>
      <c r="K3083" s="16">
        <f>AVERAGE(F$5:F3083)</f>
        <v>2.2128613186099386</v>
      </c>
      <c r="L3083" s="16">
        <f>SUM(F$5:F3083)/SUM(E$5:E3083)</f>
        <v>0.76369709469153269</v>
      </c>
    </row>
    <row r="3084" spans="1:13" x14ac:dyDescent="0.25">
      <c r="A3084" s="29">
        <v>46126</v>
      </c>
      <c r="B3084" s="16" t="s">
        <v>3130</v>
      </c>
      <c r="C3084" s="34">
        <v>1</v>
      </c>
      <c r="D3084" s="16" t="s">
        <v>64</v>
      </c>
      <c r="E3084" s="35">
        <v>0.7</v>
      </c>
      <c r="F3084" s="35">
        <v>0.5</v>
      </c>
      <c r="G3084" s="16" t="s">
        <v>44</v>
      </c>
      <c r="H3084" s="16" t="s">
        <v>45</v>
      </c>
      <c r="I3084" s="16">
        <f>COUNTIF(G$5:G3084,"Y")/COUNTA(G$5:G3084)</f>
        <v>0.88376623376623376</v>
      </c>
      <c r="J3084" s="16">
        <f>COUNTIF(H$5:H3084,"Y")/COUNTA(H$5:H3084)</f>
        <v>4.8051948051948054E-2</v>
      </c>
      <c r="K3084" s="16">
        <f>AVERAGE(F$5:F3084)</f>
        <v>2.2123051948051953</v>
      </c>
      <c r="L3084" s="16">
        <f>SUM(F$5:F3084)/SUM(E$5:E3084)</f>
        <v>0.76369321811640234</v>
      </c>
    </row>
    <row r="3085" spans="1:13" x14ac:dyDescent="0.25">
      <c r="A3085" s="29">
        <v>46127</v>
      </c>
      <c r="B3085" s="16" t="s">
        <v>3131</v>
      </c>
      <c r="C3085" s="34">
        <v>1</v>
      </c>
      <c r="D3085" s="16" t="s">
        <v>60</v>
      </c>
      <c r="E3085" s="35">
        <v>0.7</v>
      </c>
      <c r="F3085" s="35">
        <v>0.5</v>
      </c>
      <c r="G3085" s="16" t="s">
        <v>44</v>
      </c>
      <c r="H3085" s="16" t="s">
        <v>45</v>
      </c>
      <c r="I3085" s="16">
        <f>COUNTIF(G$5:G3085,"Y")/COUNTA(G$5:G3085)</f>
        <v>0.88380395975332682</v>
      </c>
      <c r="J3085" s="16">
        <f>COUNTIF(H$5:H3085,"Y")/COUNTA(H$5:H3085)</f>
        <v>4.8036351833820191E-2</v>
      </c>
      <c r="K3085" s="16">
        <f>AVERAGE(F$5:F3085)</f>
        <v>2.211749432002597</v>
      </c>
      <c r="L3085" s="16">
        <f>SUM(F$5:F3085)/SUM(E$5:E3085)</f>
        <v>0.76368934214949868</v>
      </c>
    </row>
    <row r="3086" spans="1:13" x14ac:dyDescent="0.25">
      <c r="A3086" s="29">
        <v>46128</v>
      </c>
      <c r="B3086" s="16" t="s">
        <v>3132</v>
      </c>
      <c r="C3086" s="34">
        <v>1</v>
      </c>
      <c r="D3086" s="16" t="s">
        <v>47</v>
      </c>
      <c r="E3086" s="35">
        <v>3.4</v>
      </c>
      <c r="F3086" s="35">
        <v>0.5</v>
      </c>
      <c r="G3086" s="16" t="s">
        <v>44</v>
      </c>
      <c r="H3086" s="16" t="s">
        <v>45</v>
      </c>
      <c r="I3086" s="16">
        <f>COUNTIF(G$5:G3086,"Y")/COUNTA(G$5:G3086)</f>
        <v>0.88384166125892283</v>
      </c>
      <c r="J3086" s="16">
        <f>COUNTIF(H$5:H3086,"Y")/COUNTA(H$5:H3086)</f>
        <v>4.8020765736534715E-2</v>
      </c>
      <c r="K3086" s="16">
        <f>AVERAGE(F$5:F3086)</f>
        <v>2.2111940298507466</v>
      </c>
      <c r="L3086" s="16">
        <f>SUM(F$5:F3086)/SUM(E$5:E3086)</f>
        <v>0.76345447212761886</v>
      </c>
      <c r="M3086" s="16">
        <v>8</v>
      </c>
    </row>
    <row r="3087" spans="1:13" x14ac:dyDescent="0.25">
      <c r="A3087" s="29">
        <v>46132</v>
      </c>
      <c r="B3087" s="16" t="s">
        <v>3133</v>
      </c>
      <c r="C3087" s="34">
        <v>1</v>
      </c>
      <c r="D3087" s="16" t="s">
        <v>50</v>
      </c>
      <c r="E3087" s="35">
        <v>1.4</v>
      </c>
      <c r="F3087" s="35">
        <v>1.1000000000000001</v>
      </c>
      <c r="G3087" s="16" t="s">
        <v>45</v>
      </c>
      <c r="H3087" s="16" t="s">
        <v>45</v>
      </c>
      <c r="I3087" s="16">
        <f>COUNTIF(G$5:G3087,"Y")/COUNTA(G$5:G3087)</f>
        <v>0.88355497891663959</v>
      </c>
      <c r="J3087" s="16">
        <f>COUNTIF(H$5:H3087,"Y")/COUNTA(H$5:H3087)</f>
        <v>4.8005189750243267E-2</v>
      </c>
      <c r="K3087" s="16">
        <f>AVERAGE(F$5:F3087)</f>
        <v>2.2108336036328256</v>
      </c>
      <c r="L3087" s="16">
        <f>SUM(F$5:F3087)/SUM(E$5:E3087)</f>
        <v>0.76345796276798061</v>
      </c>
    </row>
    <row r="3088" spans="1:13" x14ac:dyDescent="0.25">
      <c r="A3088" s="29">
        <v>46133</v>
      </c>
      <c r="B3088" s="16" t="s">
        <v>3134</v>
      </c>
      <c r="C3088" s="34">
        <v>1</v>
      </c>
      <c r="D3088" s="16" t="s">
        <v>64</v>
      </c>
      <c r="E3088" s="35">
        <v>3.7</v>
      </c>
      <c r="F3088" s="35">
        <v>3.3</v>
      </c>
      <c r="G3088" s="16" t="s">
        <v>44</v>
      </c>
      <c r="H3088" s="16" t="s">
        <v>45</v>
      </c>
      <c r="I3088" s="16">
        <f>COUNTIF(G$5:G3088,"Y")/COUNTA(G$5:G3088)</f>
        <v>0.88359273670557714</v>
      </c>
      <c r="J3088" s="16">
        <f>COUNTIF(H$5:H3088,"Y")/COUNTA(H$5:H3088)</f>
        <v>4.7989623865110249E-2</v>
      </c>
      <c r="K3088" s="16">
        <f>AVERAGE(F$5:F3088)</f>
        <v>2.2111867704280161</v>
      </c>
      <c r="L3088" s="16">
        <f>SUM(F$5:F3088)/SUM(E$5:E3088)</f>
        <v>0.76351116833678301</v>
      </c>
    </row>
    <row r="3089" spans="1:12" x14ac:dyDescent="0.25">
      <c r="A3089" s="29">
        <v>46134</v>
      </c>
      <c r="B3089" s="16" t="s">
        <v>3135</v>
      </c>
      <c r="C3089" s="34">
        <v>1</v>
      </c>
      <c r="D3089" s="16" t="s">
        <v>47</v>
      </c>
      <c r="E3089" s="35">
        <v>2.6</v>
      </c>
      <c r="F3089" s="35">
        <v>1.8</v>
      </c>
      <c r="G3089" s="16" t="s">
        <v>44</v>
      </c>
      <c r="H3089" s="16" t="s">
        <v>45</v>
      </c>
      <c r="I3089" s="16">
        <f>COUNTIF(G$5:G3089,"Y")/COUNTA(G$5:G3089)</f>
        <v>0.88363047001620743</v>
      </c>
      <c r="J3089" s="16">
        <f>COUNTIF(H$5:H3089,"Y")/COUNTA(H$5:H3089)</f>
        <v>4.7974068071312805E-2</v>
      </c>
      <c r="K3089" s="16">
        <f>AVERAGE(F$5:F3089)</f>
        <v>2.211053484602918</v>
      </c>
      <c r="L3089" s="16">
        <f>SUM(F$5:F3089)/SUM(E$5:E3089)</f>
        <v>0.76349044671539124</v>
      </c>
    </row>
    <row r="3090" spans="1:12" x14ac:dyDescent="0.25">
      <c r="A3090" s="29">
        <v>46135</v>
      </c>
      <c r="B3090" s="16" t="s">
        <v>3136</v>
      </c>
      <c r="C3090" s="34">
        <v>1</v>
      </c>
      <c r="D3090" s="16" t="s">
        <v>43</v>
      </c>
      <c r="E3090" s="35">
        <v>3.9</v>
      </c>
      <c r="F3090" s="35">
        <v>2.7</v>
      </c>
      <c r="G3090" s="16" t="s">
        <v>45</v>
      </c>
      <c r="H3090" s="16" t="s">
        <v>45</v>
      </c>
      <c r="I3090" s="16">
        <f>COUNTIF(G$5:G3090,"Y")/COUNTA(G$5:G3090)</f>
        <v>0.88334413480233309</v>
      </c>
      <c r="J3090" s="16">
        <f>COUNTIF(H$5:H3090,"Y")/COUNTA(H$5:H3090)</f>
        <v>4.7958522359040828E-2</v>
      </c>
      <c r="K3090" s="16">
        <f>AVERAGE(F$5:F3090)</f>
        <v>2.2112119248217765</v>
      </c>
      <c r="L3090" s="16">
        <f>SUM(F$5:F3090)/SUM(E$5:E3090)</f>
        <v>0.7634593868874443</v>
      </c>
    </row>
    <row r="3091" spans="1:12" x14ac:dyDescent="0.25">
      <c r="A3091" s="29">
        <v>46136</v>
      </c>
      <c r="B3091" s="16" t="s">
        <v>3137</v>
      </c>
      <c r="C3091" s="34">
        <v>1</v>
      </c>
      <c r="D3091" s="16" t="s">
        <v>52</v>
      </c>
      <c r="E3091" s="35">
        <v>2.2000000000000002</v>
      </c>
      <c r="F3091" s="35">
        <v>1.9</v>
      </c>
      <c r="G3091" s="16" t="s">
        <v>44</v>
      </c>
      <c r="H3091" s="16" t="s">
        <v>45</v>
      </c>
      <c r="I3091" s="16">
        <f>COUNTIF(G$5:G3091,"Y")/COUNTA(G$5:G3091)</f>
        <v>0.88338192419825068</v>
      </c>
      <c r="J3091" s="16">
        <f>COUNTIF(H$5:H3091,"Y")/COUNTA(H$5:H3091)</f>
        <v>4.7942986718496922E-2</v>
      </c>
      <c r="K3091" s="16">
        <f>AVERAGE(F$5:F3091)</f>
        <v>2.2111111111111117</v>
      </c>
      <c r="L3091" s="16">
        <f>SUM(F$5:F3091)/SUM(E$5:E3091)</f>
        <v>0.76348403838840029</v>
      </c>
    </row>
    <row r="3092" spans="1:12" x14ac:dyDescent="0.25">
      <c r="A3092" s="29">
        <v>46132</v>
      </c>
      <c r="B3092" s="16" t="s">
        <v>3138</v>
      </c>
      <c r="C3092" s="34">
        <v>1</v>
      </c>
      <c r="D3092" s="16" t="s">
        <v>50</v>
      </c>
      <c r="E3092" s="35">
        <v>2.2999999999999998</v>
      </c>
      <c r="F3092" s="35">
        <v>2</v>
      </c>
      <c r="G3092" s="16" t="s">
        <v>44</v>
      </c>
      <c r="H3092" s="16" t="s">
        <v>45</v>
      </c>
      <c r="I3092" s="16">
        <f>COUNTIF(G$5:G3092,"Y")/COUNTA(G$5:G3092)</f>
        <v>0.88341968911917101</v>
      </c>
      <c r="J3092" s="16">
        <f>COUNTIF(H$5:H3092,"Y")/COUNTA(H$5:H3092)</f>
        <v>4.792746113989637E-2</v>
      </c>
      <c r="K3092" s="16">
        <f>AVERAGE(F$5:F3092)</f>
        <v>2.2110427461139901</v>
      </c>
      <c r="L3092" s="16">
        <f>SUM(F$5:F3092)/SUM(E$5:E3092)</f>
        <v>0.76351132233715147</v>
      </c>
    </row>
    <row r="3093" spans="1:12" x14ac:dyDescent="0.25">
      <c r="A3093" s="29">
        <v>46133</v>
      </c>
      <c r="B3093" s="16" t="s">
        <v>3139</v>
      </c>
      <c r="C3093" s="34">
        <v>1</v>
      </c>
      <c r="D3093" s="16" t="s">
        <v>56</v>
      </c>
      <c r="E3093" s="35">
        <v>4.2</v>
      </c>
      <c r="F3093" s="35">
        <v>3.4</v>
      </c>
      <c r="G3093" s="16" t="s">
        <v>44</v>
      </c>
      <c r="H3093" s="16" t="s">
        <v>44</v>
      </c>
      <c r="I3093" s="16">
        <f>COUNTIF(G$5:G3093,"Y")/COUNTA(G$5:G3093)</f>
        <v>0.88345742958886375</v>
      </c>
      <c r="J3093" s="16">
        <f>COUNTIF(H$5:H3093,"Y")/COUNTA(H$5:H3093)</f>
        <v>4.8235674975720295E-2</v>
      </c>
      <c r="K3093" s="16">
        <f>AVERAGE(F$5:F3093)</f>
        <v>2.2114276464875369</v>
      </c>
      <c r="L3093" s="16">
        <f>SUM(F$5:F3093)/SUM(E$5:E3093)</f>
        <v>0.76353292275363827</v>
      </c>
    </row>
    <row r="3094" spans="1:12" x14ac:dyDescent="0.25">
      <c r="A3094" s="29">
        <v>46134</v>
      </c>
      <c r="B3094" s="16" t="s">
        <v>3140</v>
      </c>
      <c r="C3094" s="34">
        <v>1</v>
      </c>
      <c r="D3094" s="16" t="s">
        <v>47</v>
      </c>
      <c r="E3094" s="35">
        <v>1.8</v>
      </c>
      <c r="F3094" s="35">
        <v>1.4</v>
      </c>
      <c r="G3094" s="16" t="s">
        <v>45</v>
      </c>
      <c r="H3094" s="16" t="s">
        <v>45</v>
      </c>
      <c r="I3094" s="16">
        <f>COUNTIF(G$5:G3094,"Y")/COUNTA(G$5:G3094)</f>
        <v>0.88317152103559871</v>
      </c>
      <c r="J3094" s="16">
        <f>COUNTIF(H$5:H3094,"Y")/COUNTA(H$5:H3094)</f>
        <v>4.8220064724919097E-2</v>
      </c>
      <c r="K3094" s="16">
        <f>AVERAGE(F$5:F3094)</f>
        <v>2.2111650485436898</v>
      </c>
      <c r="L3094" s="16">
        <f>SUM(F$5:F3094)/SUM(E$5:E3094)</f>
        <v>0.76353578812091139</v>
      </c>
    </row>
    <row r="3095" spans="1:12" x14ac:dyDescent="0.25">
      <c r="A3095" s="29">
        <v>46135</v>
      </c>
      <c r="B3095" s="16" t="s">
        <v>3141</v>
      </c>
      <c r="C3095" s="34">
        <v>1</v>
      </c>
      <c r="D3095" s="16" t="s">
        <v>43</v>
      </c>
      <c r="E3095" s="35">
        <v>3.1</v>
      </c>
      <c r="F3095" s="35">
        <v>2.6</v>
      </c>
      <c r="G3095" s="16" t="s">
        <v>45</v>
      </c>
      <c r="H3095" s="16" t="s">
        <v>45</v>
      </c>
      <c r="I3095" s="16">
        <f>COUNTIF(G$5:G3095,"Y")/COUNTA(G$5:G3095)</f>
        <v>0.88288579747654483</v>
      </c>
      <c r="J3095" s="16">
        <f>COUNTIF(H$5:H3095,"Y")/COUNTA(H$5:H3095)</f>
        <v>4.8204464574571337E-2</v>
      </c>
      <c r="K3095" s="16">
        <f>AVERAGE(F$5:F3095)</f>
        <v>2.2112908443869301</v>
      </c>
      <c r="L3095" s="16">
        <f>SUM(F$5:F3095)/SUM(E$5:E3095)</f>
        <v>0.76356182135037043</v>
      </c>
    </row>
    <row r="3096" spans="1:12" x14ac:dyDescent="0.25">
      <c r="A3096" s="29">
        <v>46136</v>
      </c>
      <c r="B3096" s="16" t="s">
        <v>3142</v>
      </c>
      <c r="C3096" s="34">
        <v>1</v>
      </c>
      <c r="D3096" s="16" t="s">
        <v>43</v>
      </c>
      <c r="E3096" s="35">
        <v>4.5999999999999996</v>
      </c>
      <c r="F3096" s="35">
        <v>3.4</v>
      </c>
      <c r="G3096" s="16" t="s">
        <v>44</v>
      </c>
      <c r="H3096" s="16" t="s">
        <v>45</v>
      </c>
      <c r="I3096" s="16">
        <f>COUNTIF(G$5:G3096,"Y")/COUNTA(G$5:G3096)</f>
        <v>0.88292367399741267</v>
      </c>
      <c r="J3096" s="16">
        <f>COUNTIF(H$5:H3096,"Y")/COUNTA(H$5:H3096)</f>
        <v>4.8188874514877099E-2</v>
      </c>
      <c r="K3096" s="16">
        <f>AVERAGE(F$5:F3096)</f>
        <v>2.2116752910737389</v>
      </c>
      <c r="L3096" s="16">
        <f>SUM(F$5:F3096)/SUM(E$5:E3096)</f>
        <v>0.76354927312922616</v>
      </c>
    </row>
    <row r="3097" spans="1:12" x14ac:dyDescent="0.25">
      <c r="A3097" s="29">
        <v>46132</v>
      </c>
      <c r="B3097" s="16" t="s">
        <v>3143</v>
      </c>
      <c r="C3097" s="34">
        <v>1</v>
      </c>
      <c r="D3097" s="16" t="s">
        <v>64</v>
      </c>
      <c r="E3097" s="35">
        <v>4</v>
      </c>
      <c r="F3097" s="35">
        <v>2.8</v>
      </c>
      <c r="G3097" s="16" t="s">
        <v>44</v>
      </c>
      <c r="H3097" s="16" t="s">
        <v>45</v>
      </c>
      <c r="I3097" s="16">
        <f>COUNTIF(G$5:G3097,"Y")/COUNTA(G$5:G3097)</f>
        <v>0.88296152602651146</v>
      </c>
      <c r="J3097" s="16">
        <f>COUNTIF(H$5:H3097,"Y")/COUNTA(H$5:H3097)</f>
        <v>4.8173294536049141E-2</v>
      </c>
      <c r="K3097" s="16">
        <f>AVERAGE(F$5:F3097)</f>
        <v>2.2118655027481413</v>
      </c>
      <c r="L3097" s="16">
        <f>SUM(F$5:F3097)/SUM(E$5:E3097)</f>
        <v>0.76352090355125724</v>
      </c>
    </row>
    <row r="3098" spans="1:12" x14ac:dyDescent="0.25">
      <c r="A3098" s="29">
        <v>46133</v>
      </c>
      <c r="B3098" s="16" t="s">
        <v>3144</v>
      </c>
      <c r="C3098" s="34">
        <v>1</v>
      </c>
      <c r="D3098" s="16" t="s">
        <v>60</v>
      </c>
      <c r="E3098" s="35">
        <v>2.6</v>
      </c>
      <c r="F3098" s="35">
        <v>1.8</v>
      </c>
      <c r="G3098" s="16" t="s">
        <v>44</v>
      </c>
      <c r="H3098" s="16" t="s">
        <v>45</v>
      </c>
      <c r="I3098" s="16">
        <f>COUNTIF(G$5:G3098,"Y")/COUNTA(G$5:G3098)</f>
        <v>0.88299935358758885</v>
      </c>
      <c r="J3098" s="16">
        <f>COUNTIF(H$5:H3098,"Y")/COUNTA(H$5:H3098)</f>
        <v>4.8157724628312866E-2</v>
      </c>
      <c r="K3098" s="16">
        <f>AVERAGE(F$5:F3098)</f>
        <v>2.2117323852617976</v>
      </c>
      <c r="L3098" s="16">
        <f>SUM(F$5:F3098)/SUM(E$5:E3098)</f>
        <v>0.76350024545900563</v>
      </c>
    </row>
    <row r="3099" spans="1:12" x14ac:dyDescent="0.25">
      <c r="A3099" s="29">
        <v>46134</v>
      </c>
      <c r="B3099" s="16" t="s">
        <v>3145</v>
      </c>
      <c r="C3099" s="34">
        <v>1</v>
      </c>
      <c r="D3099" s="16" t="s">
        <v>52</v>
      </c>
      <c r="E3099" s="35">
        <v>3.9</v>
      </c>
      <c r="F3099" s="35">
        <v>2.7</v>
      </c>
      <c r="G3099" s="16" t="s">
        <v>44</v>
      </c>
      <c r="H3099" s="16" t="s">
        <v>45</v>
      </c>
      <c r="I3099" s="16">
        <f>COUNTIF(G$5:G3099,"Y")/COUNTA(G$5:G3099)</f>
        <v>0.88303715670436189</v>
      </c>
      <c r="J3099" s="16">
        <f>COUNTIF(H$5:H3099,"Y")/COUNTA(H$5:H3099)</f>
        <v>4.8142164781906298E-2</v>
      </c>
      <c r="K3099" s="16">
        <f>AVERAGE(F$5:F3099)</f>
        <v>2.2118901453958002</v>
      </c>
      <c r="L3099" s="16">
        <f>SUM(F$5:F3099)/SUM(E$5:E3099)</f>
        <v>0.76346928078334009</v>
      </c>
    </row>
    <row r="3100" spans="1:12" x14ac:dyDescent="0.25">
      <c r="A3100" s="29">
        <v>46135</v>
      </c>
      <c r="B3100" s="16" t="s">
        <v>3146</v>
      </c>
      <c r="C3100" s="34">
        <v>1</v>
      </c>
      <c r="D3100" s="16" t="s">
        <v>56</v>
      </c>
      <c r="E3100" s="35">
        <v>2.2999999999999998</v>
      </c>
      <c r="F3100" s="35">
        <v>2.1</v>
      </c>
      <c r="G3100" s="16" t="s">
        <v>44</v>
      </c>
      <c r="H3100" s="16" t="s">
        <v>45</v>
      </c>
      <c r="I3100" s="16">
        <f>COUNTIF(G$5:G3100,"Y")/COUNTA(G$5:G3100)</f>
        <v>0.88307493540051685</v>
      </c>
      <c r="J3100" s="16">
        <f>COUNTIF(H$5:H3100,"Y")/COUNTA(H$5:H3100)</f>
        <v>4.8126614987080103E-2</v>
      </c>
      <c r="K3100" s="16">
        <f>AVERAGE(F$5:F3100)</f>
        <v>2.2118540051679592</v>
      </c>
      <c r="L3100" s="16">
        <f>SUM(F$5:F3100)/SUM(E$5:E3100)</f>
        <v>0.76350763741776972</v>
      </c>
    </row>
    <row r="3101" spans="1:12" x14ac:dyDescent="0.25">
      <c r="A3101" s="29">
        <v>46136</v>
      </c>
      <c r="B3101" s="16" t="s">
        <v>3147</v>
      </c>
      <c r="C3101" s="34">
        <v>1</v>
      </c>
      <c r="D3101" s="16" t="s">
        <v>43</v>
      </c>
      <c r="E3101" s="35">
        <v>3.8</v>
      </c>
      <c r="F3101" s="35">
        <v>3.1</v>
      </c>
      <c r="G3101" s="16" t="s">
        <v>44</v>
      </c>
      <c r="H3101" s="16" t="s">
        <v>45</v>
      </c>
      <c r="I3101" s="16">
        <f>COUNTIF(G$5:G3101,"Y")/COUNTA(G$5:G3101)</f>
        <v>0.88311268969970935</v>
      </c>
      <c r="J3101" s="16">
        <f>COUNTIF(H$5:H3101,"Y")/COUNTA(H$5:H3101)</f>
        <v>4.8111075234097515E-2</v>
      </c>
      <c r="K3101" s="16">
        <f>AVERAGE(F$5:F3101)</f>
        <v>2.2121407814013567</v>
      </c>
      <c r="L3101" s="16">
        <f>SUM(F$5:F3101)/SUM(E$5:E3101)</f>
        <v>0.76352977888730134</v>
      </c>
    </row>
    <row r="3102" spans="1:12" x14ac:dyDescent="0.25">
      <c r="A3102" s="29">
        <v>46132</v>
      </c>
      <c r="B3102" s="16" t="s">
        <v>3148</v>
      </c>
      <c r="C3102" s="34">
        <v>1</v>
      </c>
      <c r="D3102" s="16" t="s">
        <v>56</v>
      </c>
      <c r="E3102" s="35">
        <v>3.7</v>
      </c>
      <c r="F3102" s="35">
        <v>3.2</v>
      </c>
      <c r="G3102" s="16" t="s">
        <v>44</v>
      </c>
      <c r="H3102" s="16" t="s">
        <v>45</v>
      </c>
      <c r="I3102" s="16">
        <f>COUNTIF(G$5:G3102,"Y")/COUNTA(G$5:G3102)</f>
        <v>0.88315041962556484</v>
      </c>
      <c r="J3102" s="16">
        <f>COUNTIF(H$5:H3102,"Y")/COUNTA(H$5:H3102)</f>
        <v>4.8095545513234347E-2</v>
      </c>
      <c r="K3102" s="16">
        <f>AVERAGE(F$5:F3102)</f>
        <v>2.2124596513879928</v>
      </c>
      <c r="L3102" s="16">
        <f>SUM(F$5:F3102)/SUM(E$5:E3102)</f>
        <v>0.76357154793070536</v>
      </c>
    </row>
    <row r="3103" spans="1:12" x14ac:dyDescent="0.25">
      <c r="A3103" s="29">
        <v>46133</v>
      </c>
      <c r="B3103" s="16" t="s">
        <v>3149</v>
      </c>
      <c r="C3103" s="34">
        <v>1</v>
      </c>
      <c r="D3103" s="16" t="s">
        <v>52</v>
      </c>
      <c r="E3103" s="35">
        <v>3.5</v>
      </c>
      <c r="F3103" s="35">
        <v>3</v>
      </c>
      <c r="G3103" s="16" t="s">
        <v>44</v>
      </c>
      <c r="H3103" s="16" t="s">
        <v>45</v>
      </c>
      <c r="I3103" s="16">
        <f>COUNTIF(G$5:G3103,"Y")/COUNTA(G$5:G3103)</f>
        <v>0.883188125201678</v>
      </c>
      <c r="J3103" s="16">
        <f>COUNTIF(H$5:H3103,"Y")/COUNTA(H$5:H3103)</f>
        <v>4.8080025814778958E-2</v>
      </c>
      <c r="K3103" s="16">
        <f>AVERAGE(F$5:F3103)</f>
        <v>2.2127137786382711</v>
      </c>
      <c r="L3103" s="16">
        <f>SUM(F$5:F3103)/SUM(E$5:E3103)</f>
        <v>0.76360801781736931</v>
      </c>
    </row>
    <row r="3104" spans="1:12" x14ac:dyDescent="0.25">
      <c r="A3104" s="29">
        <v>46134</v>
      </c>
      <c r="B3104" s="16" t="s">
        <v>3150</v>
      </c>
      <c r="C3104" s="34">
        <v>1</v>
      </c>
      <c r="D3104" s="16" t="s">
        <v>64</v>
      </c>
      <c r="E3104" s="35">
        <v>1.4</v>
      </c>
      <c r="F3104" s="35">
        <v>1</v>
      </c>
      <c r="G3104" s="16" t="s">
        <v>44</v>
      </c>
      <c r="H3104" s="16" t="s">
        <v>45</v>
      </c>
      <c r="I3104" s="16">
        <f>COUNTIF(G$5:G3104,"Y")/COUNTA(G$5:G3104)</f>
        <v>0.88322580645161286</v>
      </c>
      <c r="J3104" s="16">
        <f>COUNTIF(H$5:H3104,"Y")/COUNTA(H$5:H3104)</f>
        <v>4.8064516129032259E-2</v>
      </c>
      <c r="K3104" s="16">
        <f>AVERAGE(F$5:F3104)</f>
        <v>2.2123225806451616</v>
      </c>
      <c r="L3104" s="16">
        <f>SUM(F$5:F3104)/SUM(E$5:E3104)</f>
        <v>0.76360032956999768</v>
      </c>
    </row>
    <row r="3105" spans="1:12" x14ac:dyDescent="0.25">
      <c r="A3105" s="29">
        <v>46135</v>
      </c>
      <c r="B3105" s="16" t="s">
        <v>3151</v>
      </c>
      <c r="C3105" s="34">
        <v>1</v>
      </c>
      <c r="D3105" s="16" t="s">
        <v>50</v>
      </c>
      <c r="E3105" s="35">
        <v>1.5</v>
      </c>
      <c r="F3105" s="35">
        <v>1.1000000000000001</v>
      </c>
      <c r="G3105" s="16" t="s">
        <v>44</v>
      </c>
      <c r="H3105" s="16" t="s">
        <v>45</v>
      </c>
      <c r="I3105" s="16">
        <f>COUNTIF(G$5:G3105,"Y")/COUNTA(G$5:G3105)</f>
        <v>0.8832634633989036</v>
      </c>
      <c r="J3105" s="16">
        <f>COUNTIF(H$5:H3105,"Y")/COUNTA(H$5:H3105)</f>
        <v>4.8049016446307644E-2</v>
      </c>
      <c r="K3105" s="16">
        <f>AVERAGE(F$5:F3105)</f>
        <v>2.2119638826185106</v>
      </c>
      <c r="L3105" s="16">
        <f>SUM(F$5:F3105)/SUM(E$5:E3105)</f>
        <v>0.76359527546783079</v>
      </c>
    </row>
    <row r="3106" spans="1:12" x14ac:dyDescent="0.25">
      <c r="A3106" s="29">
        <v>46136</v>
      </c>
      <c r="B3106" s="16" t="s">
        <v>3152</v>
      </c>
      <c r="C3106" s="34">
        <v>1</v>
      </c>
      <c r="D3106" s="16" t="s">
        <v>56</v>
      </c>
      <c r="E3106" s="35">
        <v>1.8</v>
      </c>
      <c r="F3106" s="35">
        <v>1.3</v>
      </c>
      <c r="G3106" s="16" t="s">
        <v>44</v>
      </c>
      <c r="H3106" s="16" t="s">
        <v>45</v>
      </c>
      <c r="I3106" s="16">
        <f>COUNTIF(G$5:G3106,"Y")/COUNTA(G$5:G3106)</f>
        <v>0.88330109606705354</v>
      </c>
      <c r="J3106" s="16">
        <f>COUNTIF(H$5:H3106,"Y")/COUNTA(H$5:H3106)</f>
        <v>4.8033526756931011E-2</v>
      </c>
      <c r="K3106" s="16">
        <f>AVERAGE(F$5:F3106)</f>
        <v>2.2116698903932952</v>
      </c>
      <c r="L3106" s="16">
        <f>SUM(F$5:F3106)/SUM(E$5:E3106)</f>
        <v>0.76358698676638925</v>
      </c>
    </row>
    <row r="3107" spans="1:12" x14ac:dyDescent="0.25">
      <c r="A3107" s="29">
        <v>46132</v>
      </c>
      <c r="B3107" s="16" t="s">
        <v>3153</v>
      </c>
      <c r="C3107" s="34">
        <v>1</v>
      </c>
      <c r="D3107" s="16" t="s">
        <v>43</v>
      </c>
      <c r="E3107" s="35">
        <v>1.4</v>
      </c>
      <c r="F3107" s="35">
        <v>1.2</v>
      </c>
      <c r="G3107" s="16" t="s">
        <v>44</v>
      </c>
      <c r="H3107" s="16" t="s">
        <v>45</v>
      </c>
      <c r="I3107" s="16">
        <f>COUNTIF(G$5:G3107,"Y")/COUNTA(G$5:G3107)</f>
        <v>0.88333870447953589</v>
      </c>
      <c r="J3107" s="16">
        <f>COUNTIF(H$5:H3107,"Y")/COUNTA(H$5:H3107)</f>
        <v>4.8018047051240735E-2</v>
      </c>
      <c r="K3107" s="16">
        <f>AVERAGE(F$5:F3107)</f>
        <v>2.2113438607798912</v>
      </c>
      <c r="L3107" s="16">
        <f>SUM(F$5:F3107)/SUM(E$5:E3107)</f>
        <v>0.76360156241305777</v>
      </c>
    </row>
    <row r="3108" spans="1:12" x14ac:dyDescent="0.25">
      <c r="A3108" s="29">
        <v>46133</v>
      </c>
      <c r="B3108" s="16" t="s">
        <v>3154</v>
      </c>
      <c r="C3108" s="34">
        <v>1</v>
      </c>
      <c r="D3108" s="16" t="s">
        <v>43</v>
      </c>
      <c r="E3108" s="35">
        <v>1.9</v>
      </c>
      <c r="F3108" s="35">
        <v>1.4</v>
      </c>
      <c r="G3108" s="16" t="s">
        <v>44</v>
      </c>
      <c r="H3108" s="16" t="s">
        <v>45</v>
      </c>
      <c r="I3108" s="16">
        <f>COUNTIF(G$5:G3108,"Y")/COUNTA(G$5:G3108)</f>
        <v>0.88337628865979378</v>
      </c>
      <c r="J3108" s="16">
        <f>COUNTIF(H$5:H3108,"Y")/COUNTA(H$5:H3108)</f>
        <v>4.8002577319587632E-2</v>
      </c>
      <c r="K3108" s="16">
        <f>AVERAGE(F$5:F3108)</f>
        <v>2.2110824742268047</v>
      </c>
      <c r="L3108" s="16">
        <f>SUM(F$5:F3108)/SUM(E$5:E3108)</f>
        <v>0.76359590565197799</v>
      </c>
    </row>
    <row r="3109" spans="1:12" x14ac:dyDescent="0.25">
      <c r="A3109" s="29">
        <v>46134</v>
      </c>
      <c r="B3109" s="16" t="s">
        <v>3155</v>
      </c>
      <c r="C3109" s="34">
        <v>1</v>
      </c>
      <c r="D3109" s="16" t="s">
        <v>43</v>
      </c>
      <c r="E3109" s="35">
        <v>1.5</v>
      </c>
      <c r="F3109" s="35">
        <v>1.2</v>
      </c>
      <c r="G3109" s="16" t="s">
        <v>44</v>
      </c>
      <c r="H3109" s="16" t="s">
        <v>45</v>
      </c>
      <c r="I3109" s="16">
        <f>COUNTIF(G$5:G3109,"Y")/COUNTA(G$5:G3109)</f>
        <v>0.88341384863123995</v>
      </c>
      <c r="J3109" s="16">
        <f>COUNTIF(H$5:H3109,"Y")/COUNTA(H$5:H3109)</f>
        <v>4.7987117552334944E-2</v>
      </c>
      <c r="K3109" s="16">
        <f>AVERAGE(F$5:F3109)</f>
        <v>2.2107568438003224</v>
      </c>
      <c r="L3109" s="16">
        <f>SUM(F$5:F3109)/SUM(E$5:E3109)</f>
        <v>0.76360198008787783</v>
      </c>
    </row>
    <row r="3110" spans="1:12" x14ac:dyDescent="0.25">
      <c r="A3110" s="29">
        <v>46135</v>
      </c>
      <c r="B3110" s="16" t="s">
        <v>3156</v>
      </c>
      <c r="C3110" s="34">
        <v>1</v>
      </c>
      <c r="D3110" s="16" t="s">
        <v>43</v>
      </c>
      <c r="E3110" s="35">
        <v>1.9</v>
      </c>
      <c r="F3110" s="35">
        <v>1.4</v>
      </c>
      <c r="G3110" s="16" t="s">
        <v>44</v>
      </c>
      <c r="H3110" s="16" t="s">
        <v>45</v>
      </c>
      <c r="I3110" s="16">
        <f>COUNTIF(G$5:G3110,"Y")/COUNTA(G$5:G3110)</f>
        <v>0.8834513844172569</v>
      </c>
      <c r="J3110" s="16">
        <f>COUNTIF(H$5:H3110,"Y")/COUNTA(H$5:H3110)</f>
        <v>4.7971667739858337E-2</v>
      </c>
      <c r="K3110" s="16">
        <f>AVERAGE(F$5:F3110)</f>
        <v>2.2104958145524796</v>
      </c>
      <c r="L3110" s="16">
        <f>SUM(F$5:F3110)/SUM(E$5:E3110)</f>
        <v>0.7635963253775806</v>
      </c>
    </row>
    <row r="3111" spans="1:12" x14ac:dyDescent="0.25">
      <c r="A3111" s="29">
        <v>46136</v>
      </c>
      <c r="B3111" s="16" t="s">
        <v>3157</v>
      </c>
      <c r="C3111" s="34">
        <v>1</v>
      </c>
      <c r="D3111" s="16" t="s">
        <v>64</v>
      </c>
      <c r="E3111" s="35">
        <v>4.8</v>
      </c>
      <c r="F3111" s="35">
        <v>3.5</v>
      </c>
      <c r="G3111" s="16" t="s">
        <v>44</v>
      </c>
      <c r="H3111" s="16" t="s">
        <v>45</v>
      </c>
      <c r="I3111" s="16">
        <f>COUNTIF(G$5:G3111,"Y")/COUNTA(G$5:G3111)</f>
        <v>0.88348889604119729</v>
      </c>
      <c r="J3111" s="16">
        <f>COUNTIF(H$5:H3111,"Y")/COUNTA(H$5:H3111)</f>
        <v>4.7956227872545866E-2</v>
      </c>
      <c r="K3111" s="16">
        <f>AVERAGE(F$5:F3111)</f>
        <v>2.2109108464757004</v>
      </c>
      <c r="L3111" s="16">
        <f>SUM(F$5:F3111)/SUM(E$5:E3111)</f>
        <v>0.76357795513661086</v>
      </c>
    </row>
    <row r="3112" spans="1:12" x14ac:dyDescent="0.25">
      <c r="A3112" s="29">
        <v>46132</v>
      </c>
      <c r="B3112" s="16" t="s">
        <v>3158</v>
      </c>
      <c r="C3112" s="34">
        <v>1</v>
      </c>
      <c r="D3112" s="16" t="s">
        <v>43</v>
      </c>
      <c r="E3112" s="35">
        <v>3.3</v>
      </c>
      <c r="F3112" s="35">
        <v>2.8</v>
      </c>
      <c r="G3112" s="16" t="s">
        <v>44</v>
      </c>
      <c r="H3112" s="16" t="s">
        <v>45</v>
      </c>
      <c r="I3112" s="16">
        <f>COUNTIF(G$5:G3112,"Y")/COUNTA(G$5:G3112)</f>
        <v>0.88352638352638357</v>
      </c>
      <c r="J3112" s="16">
        <f>COUNTIF(H$5:H3112,"Y")/COUNTA(H$5:H3112)</f>
        <v>4.794079794079794E-2</v>
      </c>
      <c r="K3112" s="16">
        <f>AVERAGE(F$5:F3112)</f>
        <v>2.2111003861003864</v>
      </c>
      <c r="L3112" s="16">
        <f>SUM(F$5:F3112)/SUM(E$5:E3112)</f>
        <v>0.76360908939385286</v>
      </c>
    </row>
    <row r="3113" spans="1:12" x14ac:dyDescent="0.25">
      <c r="A3113" s="29">
        <v>46133</v>
      </c>
      <c r="B3113" s="16" t="s">
        <v>3159</v>
      </c>
      <c r="C3113" s="34">
        <v>1</v>
      </c>
      <c r="D3113" s="16" t="s">
        <v>43</v>
      </c>
      <c r="E3113" s="35">
        <v>2.4</v>
      </c>
      <c r="F3113" s="35">
        <v>1.7</v>
      </c>
      <c r="G3113" s="16" t="s">
        <v>44</v>
      </c>
      <c r="H3113" s="16" t="s">
        <v>45</v>
      </c>
      <c r="I3113" s="16">
        <f>COUNTIF(G$5:G3113,"Y")/COUNTA(G$5:G3113)</f>
        <v>0.88356384689610812</v>
      </c>
      <c r="J3113" s="16">
        <f>COUNTIF(H$5:H3113,"Y")/COUNTA(H$5:H3113)</f>
        <v>4.7925377935027338E-2</v>
      </c>
      <c r="K3113" s="16">
        <f>AVERAGE(F$5:F3113)</f>
        <v>2.2109359922804765</v>
      </c>
      <c r="L3113" s="16">
        <f>SUM(F$5:F3113)/SUM(E$5:E3113)</f>
        <v>0.76359435230340034</v>
      </c>
    </row>
    <row r="3114" spans="1:12" x14ac:dyDescent="0.25">
      <c r="A3114" s="29">
        <v>46134</v>
      </c>
      <c r="B3114" s="16" t="s">
        <v>3160</v>
      </c>
      <c r="C3114" s="34">
        <v>1</v>
      </c>
      <c r="D3114" s="16" t="s">
        <v>43</v>
      </c>
      <c r="E3114" s="35">
        <v>2.2999999999999998</v>
      </c>
      <c r="F3114" s="35">
        <v>1.7</v>
      </c>
      <c r="G3114" s="16" t="s">
        <v>44</v>
      </c>
      <c r="H3114" s="16" t="s">
        <v>45</v>
      </c>
      <c r="I3114" s="16">
        <f>COUNTIF(G$5:G3114,"Y")/COUNTA(G$5:G3114)</f>
        <v>0.88360128617363343</v>
      </c>
      <c r="J3114" s="16">
        <f>COUNTIF(H$5:H3114,"Y")/COUNTA(H$5:H3114)</f>
        <v>4.7909967845659165E-2</v>
      </c>
      <c r="K3114" s="16">
        <f>AVERAGE(F$5:F3114)</f>
        <v>2.2107717041800647</v>
      </c>
      <c r="L3114" s="16">
        <f>SUM(F$5:F3114)/SUM(E$5:E3114)</f>
        <v>0.76358810332955507</v>
      </c>
    </row>
    <row r="3115" spans="1:12" x14ac:dyDescent="0.25">
      <c r="A3115" s="29">
        <v>46135</v>
      </c>
      <c r="B3115" s="16" t="s">
        <v>3161</v>
      </c>
      <c r="C3115" s="34">
        <v>1</v>
      </c>
      <c r="D3115" s="16" t="s">
        <v>43</v>
      </c>
      <c r="E3115" s="35">
        <v>2.9</v>
      </c>
      <c r="F3115" s="35">
        <v>2</v>
      </c>
      <c r="G3115" s="16" t="s">
        <v>44</v>
      </c>
      <c r="H3115" s="16" t="s">
        <v>45</v>
      </c>
      <c r="I3115" s="16">
        <f>COUNTIF(G$5:G3115,"Y")/COUNTA(G$5:G3115)</f>
        <v>0.88363870138219225</v>
      </c>
      <c r="J3115" s="16">
        <f>COUNTIF(H$5:H3115,"Y")/COUNTA(H$5:H3115)</f>
        <v>4.7894567663130827E-2</v>
      </c>
      <c r="K3115" s="16">
        <f>AVERAGE(F$5:F3115)</f>
        <v>2.210703953712633</v>
      </c>
      <c r="L3115" s="16">
        <f>SUM(F$5:F3115)/SUM(E$5:E3115)</f>
        <v>0.76356429927501412</v>
      </c>
    </row>
    <row r="3116" spans="1:12" x14ac:dyDescent="0.25">
      <c r="A3116" s="29">
        <v>46136</v>
      </c>
      <c r="B3116" s="16" t="s">
        <v>3162</v>
      </c>
      <c r="C3116" s="34">
        <v>1</v>
      </c>
      <c r="D3116" s="16" t="s">
        <v>50</v>
      </c>
      <c r="E3116" s="35">
        <v>1.7</v>
      </c>
      <c r="F3116" s="35">
        <v>1.5</v>
      </c>
      <c r="G3116" s="16" t="s">
        <v>44</v>
      </c>
      <c r="H3116" s="16" t="s">
        <v>45</v>
      </c>
      <c r="I3116" s="16">
        <f>COUNTIF(G$5:G3116,"Y")/COUNTA(G$5:G3116)</f>
        <v>0.88367609254498714</v>
      </c>
      <c r="J3116" s="16">
        <f>COUNTIF(H$5:H3116,"Y")/COUNTA(H$5:H3116)</f>
        <v>4.7879177377892032E-2</v>
      </c>
      <c r="K3116" s="16">
        <f>AVERAGE(F$5:F3116)</f>
        <v>2.2104755784061698</v>
      </c>
      <c r="L3116" s="16">
        <f>SUM(F$5:F3116)/SUM(E$5:E3116)</f>
        <v>0.76358671521179056</v>
      </c>
    </row>
    <row r="3117" spans="1:12" x14ac:dyDescent="0.25">
      <c r="A3117" s="29">
        <v>46132</v>
      </c>
      <c r="B3117" s="16" t="s">
        <v>3163</v>
      </c>
      <c r="C3117" s="34">
        <v>1</v>
      </c>
      <c r="D3117" s="16" t="s">
        <v>50</v>
      </c>
      <c r="E3117" s="35">
        <v>3.7</v>
      </c>
      <c r="F3117" s="35">
        <v>3.2</v>
      </c>
      <c r="G3117" s="16" t="s">
        <v>44</v>
      </c>
      <c r="H3117" s="16" t="s">
        <v>45</v>
      </c>
      <c r="I3117" s="16">
        <f>COUNTIF(G$5:G3117,"Y")/COUNTA(G$5:G3117)</f>
        <v>0.88371345968519111</v>
      </c>
      <c r="J3117" s="16">
        <f>COUNTIF(H$5:H3117,"Y")/COUNTA(H$5:H3117)</f>
        <v>4.7863796980404757E-2</v>
      </c>
      <c r="K3117" s="16">
        <f>AVERAGE(F$5:F3117)</f>
        <v>2.2107934468358499</v>
      </c>
      <c r="L3117" s="16">
        <f>SUM(F$5:F3117)/SUM(E$5:E3117)</f>
        <v>0.76362829403605859</v>
      </c>
    </row>
    <row r="3118" spans="1:12" x14ac:dyDescent="0.25">
      <c r="A3118" s="29">
        <v>46133</v>
      </c>
      <c r="B3118" s="16" t="s">
        <v>3164</v>
      </c>
      <c r="C3118" s="34">
        <v>1</v>
      </c>
      <c r="D3118" s="16" t="s">
        <v>50</v>
      </c>
      <c r="E3118" s="35">
        <v>2.5</v>
      </c>
      <c r="F3118" s="35">
        <v>2.2999999999999998</v>
      </c>
      <c r="G3118" s="16" t="s">
        <v>45</v>
      </c>
      <c r="H3118" s="16" t="s">
        <v>45</v>
      </c>
      <c r="I3118" s="16">
        <f>COUNTIF(G$5:G3118,"Y")/COUNTA(G$5:G3118)</f>
        <v>0.88342967244701354</v>
      </c>
      <c r="J3118" s="16">
        <f>COUNTIF(H$5:H3118,"Y")/COUNTA(H$5:H3118)</f>
        <v>4.7848426461143227E-2</v>
      </c>
      <c r="K3118" s="16">
        <f>AVERAGE(F$5:F3118)</f>
        <v>2.2108220937700711</v>
      </c>
      <c r="L3118" s="16">
        <f>SUM(F$5:F3118)/SUM(E$5:E3118)</f>
        <v>0.76367165834719675</v>
      </c>
    </row>
    <row r="3119" spans="1:12" x14ac:dyDescent="0.25">
      <c r="A3119" s="29">
        <v>46134</v>
      </c>
      <c r="B3119" s="16" t="s">
        <v>3165</v>
      </c>
      <c r="C3119" s="34">
        <v>1</v>
      </c>
      <c r="D3119" s="16" t="s">
        <v>64</v>
      </c>
      <c r="E3119" s="35">
        <v>2.5</v>
      </c>
      <c r="F3119" s="35">
        <v>2.2000000000000002</v>
      </c>
      <c r="G3119" s="16" t="s">
        <v>44</v>
      </c>
      <c r="H3119" s="16" t="s">
        <v>45</v>
      </c>
      <c r="I3119" s="16">
        <f>COUNTIF(G$5:G3119,"Y")/COUNTA(G$5:G3119)</f>
        <v>0.88346709470304974</v>
      </c>
      <c r="J3119" s="16">
        <f>COUNTIF(H$5:H3119,"Y")/COUNTA(H$5:H3119)</f>
        <v>4.7833065810593899E-2</v>
      </c>
      <c r="K3119" s="16">
        <f>AVERAGE(F$5:F3119)</f>
        <v>2.2108186195826649</v>
      </c>
      <c r="L3119" s="16">
        <f>SUM(F$5:F3119)/SUM(E$5:E3119)</f>
        <v>0.76370390906570318</v>
      </c>
    </row>
    <row r="3120" spans="1:12" x14ac:dyDescent="0.25">
      <c r="A3120" s="29">
        <v>46135</v>
      </c>
      <c r="B3120" s="16" t="s">
        <v>3166</v>
      </c>
      <c r="C3120" s="34">
        <v>1</v>
      </c>
      <c r="D3120" s="16" t="s">
        <v>43</v>
      </c>
      <c r="E3120" s="35">
        <v>1.4</v>
      </c>
      <c r="F3120" s="35">
        <v>1.1000000000000001</v>
      </c>
      <c r="G3120" s="16" t="s">
        <v>44</v>
      </c>
      <c r="H3120" s="16" t="s">
        <v>45</v>
      </c>
      <c r="I3120" s="16">
        <f>COUNTIF(G$5:G3120,"Y")/COUNTA(G$5:G3120)</f>
        <v>0.88350449293966626</v>
      </c>
      <c r="J3120" s="16">
        <f>COUNTIF(H$5:H3120,"Y")/COUNTA(H$5:H3120)</f>
        <v>4.7817715019255455E-2</v>
      </c>
      <c r="K3120" s="16">
        <f>AVERAGE(F$5:F3120)</f>
        <v>2.2104621309370991</v>
      </c>
      <c r="L3120" s="16">
        <f>SUM(F$5:F3120)/SUM(E$5:E3120)</f>
        <v>0.76370732572708189</v>
      </c>
    </row>
    <row r="3121" spans="1:13" x14ac:dyDescent="0.25">
      <c r="A3121" s="29">
        <v>46136</v>
      </c>
      <c r="B3121" s="16" t="s">
        <v>3167</v>
      </c>
      <c r="C3121" s="34">
        <v>1</v>
      </c>
      <c r="D3121" s="16" t="s">
        <v>56</v>
      </c>
      <c r="E3121" s="35">
        <v>1.6</v>
      </c>
      <c r="F3121" s="35">
        <v>1.2</v>
      </c>
      <c r="G3121" s="16" t="s">
        <v>44</v>
      </c>
      <c r="H3121" s="16" t="s">
        <v>45</v>
      </c>
      <c r="I3121" s="16">
        <f>COUNTIF(G$5:G3121,"Y")/COUNTA(G$5:G3121)</f>
        <v>0.88354186717998073</v>
      </c>
      <c r="J3121" s="16">
        <f>COUNTIF(H$5:H3121,"Y")/COUNTA(H$5:H3121)</f>
        <v>4.7802374077638758E-2</v>
      </c>
      <c r="K3121" s="16">
        <f>AVERAGE(F$5:F3121)</f>
        <v>2.21013795316009</v>
      </c>
      <c r="L3121" s="16">
        <f>SUM(F$5:F3121)/SUM(E$5:E3121)</f>
        <v>0.76370489440718126</v>
      </c>
    </row>
    <row r="3122" spans="1:13" x14ac:dyDescent="0.25">
      <c r="A3122" s="29">
        <v>46132</v>
      </c>
      <c r="B3122" s="16" t="s">
        <v>3168</v>
      </c>
      <c r="C3122" s="34">
        <v>1</v>
      </c>
      <c r="D3122" s="16" t="s">
        <v>64</v>
      </c>
      <c r="E3122" s="35">
        <v>1.5</v>
      </c>
      <c r="F3122" s="35">
        <v>1.2</v>
      </c>
      <c r="G3122" s="16" t="s">
        <v>44</v>
      </c>
      <c r="H3122" s="16" t="s">
        <v>45</v>
      </c>
      <c r="I3122" s="16">
        <f>COUNTIF(G$5:G3122,"Y")/COUNTA(G$5:G3122)</f>
        <v>0.88357921744708146</v>
      </c>
      <c r="J3122" s="16">
        <f>COUNTIF(H$5:H3122,"Y")/COUNTA(H$5:H3122)</f>
        <v>4.778704297626684E-2</v>
      </c>
      <c r="K3122" s="16">
        <f>AVERAGE(F$5:F3122)</f>
        <v>2.2098139833226429</v>
      </c>
      <c r="L3122" s="16">
        <f>SUM(F$5:F3122)/SUM(E$5:E3122)</f>
        <v>0.76371092884060943</v>
      </c>
    </row>
    <row r="3123" spans="1:13" x14ac:dyDescent="0.25">
      <c r="A3123" s="29">
        <v>46133</v>
      </c>
      <c r="B3123" s="16" t="s">
        <v>3169</v>
      </c>
      <c r="C3123" s="34">
        <v>1</v>
      </c>
      <c r="D3123" s="16" t="s">
        <v>60</v>
      </c>
      <c r="E3123" s="35">
        <v>2.7</v>
      </c>
      <c r="F3123" s="35">
        <v>2</v>
      </c>
      <c r="G3123" s="16" t="s">
        <v>44</v>
      </c>
      <c r="H3123" s="16" t="s">
        <v>45</v>
      </c>
      <c r="I3123" s="16">
        <f>COUNTIF(G$5:G3123,"Y")/COUNTA(G$5:G3123)</f>
        <v>0.88361654376402698</v>
      </c>
      <c r="J3123" s="16">
        <f>COUNTIF(H$5:H3123,"Y")/COUNTA(H$5:H3123)</f>
        <v>4.7771721705674897E-2</v>
      </c>
      <c r="K3123" s="16">
        <f>AVERAGE(F$5:F3123)</f>
        <v>2.2097467136902855</v>
      </c>
      <c r="L3123" s="16">
        <f>SUM(F$5:F3123)/SUM(E$5:E3123)</f>
        <v>0.76370405664453977</v>
      </c>
    </row>
    <row r="3124" spans="1:13" x14ac:dyDescent="0.25">
      <c r="A3124" s="29">
        <v>46134</v>
      </c>
      <c r="B3124" s="16" t="s">
        <v>3170</v>
      </c>
      <c r="C3124" s="34">
        <v>1</v>
      </c>
      <c r="D3124" s="16" t="s">
        <v>56</v>
      </c>
      <c r="E3124" s="35">
        <v>2.9</v>
      </c>
      <c r="F3124" s="35">
        <v>2.1</v>
      </c>
      <c r="G3124" s="16" t="s">
        <v>44</v>
      </c>
      <c r="H3124" s="16" t="s">
        <v>45</v>
      </c>
      <c r="I3124" s="16">
        <f>COUNTIF(G$5:G3124,"Y")/COUNTA(G$5:G3124)</f>
        <v>0.88365384615384612</v>
      </c>
      <c r="J3124" s="16">
        <f>COUNTIF(H$5:H3124,"Y")/COUNTA(H$5:H3124)</f>
        <v>4.7756410256410253E-2</v>
      </c>
      <c r="K3124" s="16">
        <f>AVERAGE(F$5:F3124)</f>
        <v>2.2097115384615389</v>
      </c>
      <c r="L3124" s="16">
        <f>SUM(F$5:F3124)/SUM(E$5:E3124)</f>
        <v>0.76369134653728332</v>
      </c>
    </row>
    <row r="3125" spans="1:13" x14ac:dyDescent="0.25">
      <c r="A3125" s="29">
        <v>46135</v>
      </c>
      <c r="B3125" s="16" t="s">
        <v>3171</v>
      </c>
      <c r="C3125" s="34">
        <v>1</v>
      </c>
      <c r="D3125" s="16" t="s">
        <v>56</v>
      </c>
      <c r="E3125" s="35">
        <v>3.5</v>
      </c>
      <c r="F3125" s="35">
        <v>2.7</v>
      </c>
      <c r="G3125" s="16" t="s">
        <v>44</v>
      </c>
      <c r="H3125" s="16" t="s">
        <v>45</v>
      </c>
      <c r="I3125" s="16">
        <f>COUNTIF(G$5:G3125,"Y")/COUNTA(G$5:G3125)</f>
        <v>0.88369112463953858</v>
      </c>
      <c r="J3125" s="16">
        <f>COUNTIF(H$5:H3125,"Y")/COUNTA(H$5:H3125)</f>
        <v>4.7741108619032364E-2</v>
      </c>
      <c r="K3125" s="16">
        <f>AVERAGE(F$5:F3125)</f>
        <v>2.2098686318487668</v>
      </c>
      <c r="L3125" s="16">
        <f>SUM(F$5:F3125)/SUM(E$5:E3125)</f>
        <v>0.76369434509638678</v>
      </c>
    </row>
    <row r="3126" spans="1:13" x14ac:dyDescent="0.25">
      <c r="A3126" s="29">
        <v>46136</v>
      </c>
      <c r="B3126" s="16" t="s">
        <v>3172</v>
      </c>
      <c r="C3126" s="34">
        <v>1</v>
      </c>
      <c r="D3126" s="16" t="s">
        <v>56</v>
      </c>
      <c r="E3126" s="35">
        <v>4.8</v>
      </c>
      <c r="F3126" s="35">
        <v>3.5</v>
      </c>
      <c r="G3126" s="16" t="s">
        <v>44</v>
      </c>
      <c r="H3126" s="16" t="s">
        <v>45</v>
      </c>
      <c r="I3126" s="16">
        <f>COUNTIF(G$5:G3126,"Y")/COUNTA(G$5:G3126)</f>
        <v>0.88372837924407432</v>
      </c>
      <c r="J3126" s="16">
        <f>COUNTIF(H$5:H3126,"Y")/COUNTA(H$5:H3126)</f>
        <v>4.7725816784112751E-2</v>
      </c>
      <c r="K3126" s="16">
        <f>AVERAGE(F$5:F3126)</f>
        <v>2.2102818705957721</v>
      </c>
      <c r="L3126" s="16">
        <f>SUM(F$5:F3126)/SUM(E$5:E3126)</f>
        <v>0.76367600349715903</v>
      </c>
    </row>
    <row r="3127" spans="1:13" x14ac:dyDescent="0.25">
      <c r="A3127" s="29">
        <v>46132</v>
      </c>
      <c r="B3127" s="16" t="s">
        <v>3173</v>
      </c>
      <c r="C3127" s="34">
        <v>1</v>
      </c>
      <c r="D3127" s="16" t="s">
        <v>64</v>
      </c>
      <c r="E3127" s="35">
        <v>1</v>
      </c>
      <c r="F3127" s="35">
        <v>0.9</v>
      </c>
      <c r="G3127" s="16" t="s">
        <v>44</v>
      </c>
      <c r="H3127" s="16" t="s">
        <v>44</v>
      </c>
      <c r="I3127" s="16">
        <f>COUNTIF(G$5:G3127,"Y")/COUNTA(G$5:G3127)</f>
        <v>0.88376560999039389</v>
      </c>
      <c r="J3127" s="16">
        <f>COUNTIF(H$5:H3127,"Y")/COUNTA(H$5:H3127)</f>
        <v>4.8030739673390971E-2</v>
      </c>
      <c r="K3127" s="16">
        <f>AVERAGE(F$5:F3127)</f>
        <v>2.2098623118796032</v>
      </c>
      <c r="L3127" s="16">
        <f>SUM(F$5:F3127)/SUM(E$5:E3127)</f>
        <v>0.76369108875831082</v>
      </c>
    </row>
    <row r="3128" spans="1:13" x14ac:dyDescent="0.25">
      <c r="A3128" s="29">
        <v>46133</v>
      </c>
      <c r="B3128" s="16" t="s">
        <v>3174</v>
      </c>
      <c r="C3128" s="34">
        <v>1</v>
      </c>
      <c r="D3128" s="16" t="s">
        <v>56</v>
      </c>
      <c r="E3128" s="35">
        <v>0.6</v>
      </c>
      <c r="F3128" s="35">
        <v>0.5</v>
      </c>
      <c r="G3128" s="16" t="s">
        <v>44</v>
      </c>
      <c r="H3128" s="16" t="s">
        <v>45</v>
      </c>
      <c r="I3128" s="16">
        <f>COUNTIF(G$5:G3128,"Y")/COUNTA(G$5:G3128)</f>
        <v>0.88380281690140849</v>
      </c>
      <c r="J3128" s="16">
        <f>COUNTIF(H$5:H3128,"Y")/COUNTA(H$5:H3128)</f>
        <v>4.801536491677337E-2</v>
      </c>
      <c r="K3128" s="16">
        <f>AVERAGE(F$5:F3128)</f>
        <v>2.2093149807938541</v>
      </c>
      <c r="L3128" s="16">
        <f>SUM(F$5:F3128)/SUM(E$5:E3128)</f>
        <v>0.76369571230981781</v>
      </c>
    </row>
    <row r="3129" spans="1:13" x14ac:dyDescent="0.25">
      <c r="A3129" s="29">
        <v>46134</v>
      </c>
      <c r="B3129" s="16" t="s">
        <v>3175</v>
      </c>
      <c r="C3129" s="34">
        <v>1</v>
      </c>
      <c r="D3129" s="16" t="s">
        <v>60</v>
      </c>
      <c r="E3129" s="35">
        <v>0.6</v>
      </c>
      <c r="F3129" s="35">
        <v>0.5</v>
      </c>
      <c r="G3129" s="16" t="s">
        <v>44</v>
      </c>
      <c r="H3129" s="16" t="s">
        <v>45</v>
      </c>
      <c r="I3129" s="16">
        <f>COUNTIF(G$5:G3129,"Y")/COUNTA(G$5:G3129)</f>
        <v>0.88383999999999996</v>
      </c>
      <c r="J3129" s="16">
        <f>COUNTIF(H$5:H3129,"Y")/COUNTA(H$5:H3129)</f>
        <v>4.8000000000000001E-2</v>
      </c>
      <c r="K3129" s="16">
        <f>AVERAGE(F$5:F3129)</f>
        <v>2.2087680000000001</v>
      </c>
      <c r="L3129" s="16">
        <f>SUM(F$5:F3129)/SUM(E$5:E3129)</f>
        <v>0.76370033524745007</v>
      </c>
    </row>
    <row r="3130" spans="1:13" x14ac:dyDescent="0.25">
      <c r="A3130" s="29">
        <v>46135</v>
      </c>
      <c r="B3130" s="16" t="s">
        <v>3176</v>
      </c>
      <c r="C3130" s="34">
        <v>1</v>
      </c>
      <c r="D3130" s="16" t="s">
        <v>56</v>
      </c>
      <c r="E3130" s="35">
        <v>0.7</v>
      </c>
      <c r="F3130" s="35">
        <v>0.5</v>
      </c>
      <c r="G3130" s="16" t="s">
        <v>44</v>
      </c>
      <c r="H3130" s="16" t="s">
        <v>45</v>
      </c>
      <c r="I3130" s="16">
        <f>COUNTIF(G$5:G3130,"Y")/COUNTA(G$5:G3130)</f>
        <v>0.88387715930902111</v>
      </c>
      <c r="J3130" s="16">
        <f>COUNTIF(H$5:H3130,"Y")/COUNTA(H$5:H3130)</f>
        <v>4.7984644913627639E-2</v>
      </c>
      <c r="K3130" s="16">
        <f>AVERAGE(F$5:F3130)</f>
        <v>2.2082213691618682</v>
      </c>
      <c r="L3130" s="16">
        <f>SUM(F$5:F3130)/SUM(E$5:E3130)</f>
        <v>0.76369650838606651</v>
      </c>
      <c r="M3130" s="16">
        <v>11</v>
      </c>
    </row>
    <row r="3131" spans="1:13" x14ac:dyDescent="0.25">
      <c r="A3131" s="29">
        <v>46139</v>
      </c>
      <c r="B3131" s="16" t="s">
        <v>3177</v>
      </c>
      <c r="C3131" s="34">
        <v>1</v>
      </c>
      <c r="D3131" s="16" t="s">
        <v>52</v>
      </c>
      <c r="E3131" s="35">
        <v>4.9000000000000004</v>
      </c>
      <c r="F3131" s="35">
        <v>3.6</v>
      </c>
      <c r="G3131" s="16" t="s">
        <v>44</v>
      </c>
      <c r="H3131" s="16" t="s">
        <v>45</v>
      </c>
      <c r="I3131" s="16">
        <f>COUNTIF(G$5:G3131,"Y")/COUNTA(G$5:G3131)</f>
        <v>0.88391429485129513</v>
      </c>
      <c r="J3131" s="16">
        <f>COUNTIF(H$5:H3131,"Y")/COUNTA(H$5:H3131)</f>
        <v>4.7969299648225133E-2</v>
      </c>
      <c r="K3131" s="16">
        <f>AVERAGE(F$5:F3131)</f>
        <v>2.2086664534697795</v>
      </c>
      <c r="L3131" s="16">
        <f>SUM(F$5:F3131)/SUM(E$5:E3131)</f>
        <v>0.7636807943651357</v>
      </c>
    </row>
    <row r="3132" spans="1:13" x14ac:dyDescent="0.25">
      <c r="A3132" s="29">
        <v>46140</v>
      </c>
      <c r="B3132" s="16" t="s">
        <v>3178</v>
      </c>
      <c r="C3132" s="34">
        <v>1</v>
      </c>
      <c r="D3132" s="16" t="s">
        <v>52</v>
      </c>
      <c r="E3132" s="35">
        <v>3.9</v>
      </c>
      <c r="F3132" s="35">
        <v>3.2</v>
      </c>
      <c r="G3132" s="16" t="s">
        <v>44</v>
      </c>
      <c r="H3132" s="16" t="s">
        <v>45</v>
      </c>
      <c r="I3132" s="16">
        <f>COUNTIF(G$5:G3132,"Y")/COUNTA(G$5:G3132)</f>
        <v>0.88395140664961636</v>
      </c>
      <c r="J3132" s="16">
        <f>COUNTIF(H$5:H3132,"Y")/COUNTA(H$5:H3132)</f>
        <v>4.7953964194373401E-2</v>
      </c>
      <c r="K3132" s="16">
        <f>AVERAGE(F$5:F3132)</f>
        <v>2.2089833759590793</v>
      </c>
      <c r="L3132" s="16">
        <f>SUM(F$5:F3132)/SUM(E$5:E3132)</f>
        <v>0.76370529201113868</v>
      </c>
    </row>
    <row r="3133" spans="1:13" x14ac:dyDescent="0.25">
      <c r="A3133" s="29">
        <v>46141</v>
      </c>
      <c r="B3133" s="16" t="s">
        <v>3179</v>
      </c>
      <c r="C3133" s="34">
        <v>1</v>
      </c>
      <c r="D3133" s="16" t="s">
        <v>47</v>
      </c>
      <c r="E3133" s="35">
        <v>3.2</v>
      </c>
      <c r="F3133" s="35">
        <v>2.2999999999999998</v>
      </c>
      <c r="G3133" s="16" t="s">
        <v>44</v>
      </c>
      <c r="H3133" s="16" t="s">
        <v>45</v>
      </c>
      <c r="I3133" s="16">
        <f>COUNTIF(G$5:G3133,"Y")/COUNTA(G$5:G3133)</f>
        <v>0.88398849472674979</v>
      </c>
      <c r="J3133" s="16">
        <f>COUNTIF(H$5:H3133,"Y")/COUNTA(H$5:H3133)</f>
        <v>4.793863854266539E-2</v>
      </c>
      <c r="K3133" s="16">
        <f>AVERAGE(F$5:F3133)</f>
        <v>2.2090124640460216</v>
      </c>
      <c r="L3133" s="16">
        <f>SUM(F$5:F3133)/SUM(E$5:E3133)</f>
        <v>0.76368939762230714</v>
      </c>
    </row>
    <row r="3134" spans="1:13" x14ac:dyDescent="0.25">
      <c r="A3134" s="29">
        <v>46142</v>
      </c>
      <c r="B3134" s="16" t="s">
        <v>3180</v>
      </c>
      <c r="C3134" s="34">
        <v>1</v>
      </c>
      <c r="D3134" s="16" t="s">
        <v>56</v>
      </c>
      <c r="E3134" s="35">
        <v>3.9</v>
      </c>
      <c r="F3134" s="35">
        <v>3.2</v>
      </c>
      <c r="G3134" s="16" t="s">
        <v>44</v>
      </c>
      <c r="H3134" s="16" t="s">
        <v>45</v>
      </c>
      <c r="I3134" s="16">
        <f>COUNTIF(G$5:G3134,"Y")/COUNTA(G$5:G3134)</f>
        <v>0.88402555910543135</v>
      </c>
      <c r="J3134" s="16">
        <f>COUNTIF(H$5:H3134,"Y")/COUNTA(H$5:H3134)</f>
        <v>4.7923322683706068E-2</v>
      </c>
      <c r="K3134" s="16">
        <f>AVERAGE(F$5:F3134)</f>
        <v>2.2093290734824285</v>
      </c>
      <c r="L3134" s="16">
        <f>SUM(F$5:F3134)/SUM(E$5:E3134)</f>
        <v>0.7637138723535819</v>
      </c>
    </row>
    <row r="3135" spans="1:13" x14ac:dyDescent="0.25">
      <c r="A3135" s="29">
        <v>46143</v>
      </c>
      <c r="B3135" s="16" t="s">
        <v>3181</v>
      </c>
      <c r="C3135" s="34">
        <v>1</v>
      </c>
      <c r="D3135" s="16" t="s">
        <v>47</v>
      </c>
      <c r="E3135" s="35">
        <v>2.2999999999999998</v>
      </c>
      <c r="F3135" s="35">
        <v>1.9</v>
      </c>
      <c r="G3135" s="16" t="s">
        <v>45</v>
      </c>
      <c r="H3135" s="16" t="s">
        <v>45</v>
      </c>
      <c r="I3135" s="16">
        <f>COUNTIF(G$5:G3135,"Y")/COUNTA(G$5:G3135)</f>
        <v>0.88374321303098047</v>
      </c>
      <c r="J3135" s="16">
        <f>COUNTIF(H$5:H3135,"Y")/COUNTA(H$5:H3135)</f>
        <v>4.7908016608112426E-2</v>
      </c>
      <c r="K3135" s="16">
        <f>AVERAGE(F$5:F3135)</f>
        <v>2.2092302778664963</v>
      </c>
      <c r="L3135" s="16">
        <f>SUM(F$5:F3135)/SUM(E$5:E3135)</f>
        <v>0.76372971182510518</v>
      </c>
    </row>
    <row r="3136" spans="1:13" x14ac:dyDescent="0.25">
      <c r="A3136" s="29">
        <v>46139</v>
      </c>
      <c r="B3136" s="16" t="s">
        <v>3182</v>
      </c>
      <c r="C3136" s="34">
        <v>1</v>
      </c>
      <c r="D3136" s="16" t="s">
        <v>56</v>
      </c>
      <c r="E3136" s="35">
        <v>2.9</v>
      </c>
      <c r="F3136" s="35">
        <v>2.2999999999999998</v>
      </c>
      <c r="G3136" s="16" t="s">
        <v>44</v>
      </c>
      <c r="H3136" s="16" t="s">
        <v>45</v>
      </c>
      <c r="I3136" s="16">
        <f>COUNTIF(G$5:G3136,"Y")/COUNTA(G$5:G3136)</f>
        <v>0.88378033205619411</v>
      </c>
      <c r="J3136" s="16">
        <f>COUNTIF(H$5:H3136,"Y")/COUNTA(H$5:H3136)</f>
        <v>4.7892720306513412E-2</v>
      </c>
      <c r="K3136" s="16">
        <f>AVERAGE(F$5:F3136)</f>
        <v>2.2092592592592593</v>
      </c>
      <c r="L3136" s="16">
        <f>SUM(F$5:F3136)/SUM(E$5:E3136)</f>
        <v>0.76373911411825501</v>
      </c>
    </row>
    <row r="3137" spans="1:12" x14ac:dyDescent="0.25">
      <c r="A3137" s="29">
        <v>46140</v>
      </c>
      <c r="B3137" s="16" t="s">
        <v>3183</v>
      </c>
      <c r="C3137" s="34">
        <v>1</v>
      </c>
      <c r="D3137" s="16" t="s">
        <v>50</v>
      </c>
      <c r="E3137" s="35">
        <v>3.3</v>
      </c>
      <c r="F3137" s="35">
        <v>2.2999999999999998</v>
      </c>
      <c r="G3137" s="16" t="s">
        <v>44</v>
      </c>
      <c r="H3137" s="16" t="s">
        <v>45</v>
      </c>
      <c r="I3137" s="16">
        <f>COUNTIF(G$5:G3137,"Y")/COUNTA(G$5:G3137)</f>
        <v>0.88381742738589208</v>
      </c>
      <c r="J3137" s="16">
        <f>COUNTIF(H$5:H3137,"Y")/COUNTA(H$5:H3137)</f>
        <v>4.7877433769549956E-2</v>
      </c>
      <c r="K3137" s="16">
        <f>AVERAGE(F$5:F3137)</f>
        <v>2.2092882221512928</v>
      </c>
      <c r="L3137" s="16">
        <f>SUM(F$5:F3137)/SUM(E$5:E3137)</f>
        <v>0.7637148027186843</v>
      </c>
    </row>
    <row r="3138" spans="1:12" x14ac:dyDescent="0.25">
      <c r="A3138" s="29">
        <v>46141</v>
      </c>
      <c r="B3138" s="16" t="s">
        <v>3184</v>
      </c>
      <c r="C3138" s="34">
        <v>1</v>
      </c>
      <c r="D3138" s="16" t="s">
        <v>47</v>
      </c>
      <c r="E3138" s="35">
        <v>5.2</v>
      </c>
      <c r="F3138" s="35">
        <v>3.7</v>
      </c>
      <c r="G3138" s="16" t="s">
        <v>44</v>
      </c>
      <c r="H3138" s="16" t="s">
        <v>45</v>
      </c>
      <c r="I3138" s="16">
        <f>COUNTIF(G$5:G3138,"Y")/COUNTA(G$5:G3138)</f>
        <v>0.88385449904275681</v>
      </c>
      <c r="J3138" s="16">
        <f>COUNTIF(H$5:H3138,"Y")/COUNTA(H$5:H3138)</f>
        <v>4.7862156987874924E-2</v>
      </c>
      <c r="K3138" s="16">
        <f>AVERAGE(F$5:F3138)</f>
        <v>2.2097638800255268</v>
      </c>
      <c r="L3138" s="16">
        <f>SUM(F$5:F3138)/SUM(E$5:E3138)</f>
        <v>0.76368488377221766</v>
      </c>
    </row>
    <row r="3139" spans="1:12" x14ac:dyDescent="0.25">
      <c r="A3139" s="29">
        <v>46142</v>
      </c>
      <c r="B3139" s="16" t="s">
        <v>3185</v>
      </c>
      <c r="C3139" s="34">
        <v>1</v>
      </c>
      <c r="D3139" s="16" t="s">
        <v>56</v>
      </c>
      <c r="E3139" s="35">
        <v>2.5</v>
      </c>
      <c r="F3139" s="35">
        <v>2.2000000000000002</v>
      </c>
      <c r="G3139" s="16" t="s">
        <v>44</v>
      </c>
      <c r="H3139" s="16" t="s">
        <v>45</v>
      </c>
      <c r="I3139" s="16">
        <f>COUNTIF(G$5:G3139,"Y")/COUNTA(G$5:G3139)</f>
        <v>0.88389154704944184</v>
      </c>
      <c r="J3139" s="16">
        <f>COUNTIF(H$5:H3139,"Y")/COUNTA(H$5:H3139)</f>
        <v>4.784688995215311E-2</v>
      </c>
      <c r="K3139" s="16">
        <f>AVERAGE(F$5:F3139)</f>
        <v>2.2097607655502394</v>
      </c>
      <c r="L3139" s="16">
        <f>SUM(F$5:F3139)/SUM(E$5:E3139)</f>
        <v>0.76371694098711029</v>
      </c>
    </row>
    <row r="3140" spans="1:12" x14ac:dyDescent="0.25">
      <c r="A3140" s="29">
        <v>46143</v>
      </c>
      <c r="B3140" s="16" t="s">
        <v>3186</v>
      </c>
      <c r="C3140" s="34">
        <v>1</v>
      </c>
      <c r="D3140" s="16" t="s">
        <v>60</v>
      </c>
      <c r="E3140" s="35">
        <v>2.8</v>
      </c>
      <c r="F3140" s="35">
        <v>2</v>
      </c>
      <c r="G3140" s="16" t="s">
        <v>44</v>
      </c>
      <c r="H3140" s="16" t="s">
        <v>45</v>
      </c>
      <c r="I3140" s="16">
        <f>COUNTIF(G$5:G3140,"Y")/COUNTA(G$5:G3140)</f>
        <v>0.8839285714285714</v>
      </c>
      <c r="J3140" s="16">
        <f>COUNTIF(H$5:H3140,"Y")/COUNTA(H$5:H3140)</f>
        <v>4.7831632653061222E-2</v>
      </c>
      <c r="K3140" s="16">
        <f>AVERAGE(F$5:F3140)</f>
        <v>2.2096938775510204</v>
      </c>
      <c r="L3140" s="16">
        <f>SUM(F$5:F3140)/SUM(E$5:E3140)</f>
        <v>0.76370168729404531</v>
      </c>
    </row>
    <row r="3141" spans="1:12" x14ac:dyDescent="0.25">
      <c r="A3141" s="29">
        <v>46139</v>
      </c>
      <c r="B3141" s="16" t="s">
        <v>3187</v>
      </c>
      <c r="C3141" s="34">
        <v>1</v>
      </c>
      <c r="D3141" s="16" t="s">
        <v>52</v>
      </c>
      <c r="E3141" s="35">
        <v>4.0999999999999996</v>
      </c>
      <c r="F3141" s="35">
        <v>2.9</v>
      </c>
      <c r="G3141" s="16" t="s">
        <v>44</v>
      </c>
      <c r="H3141" s="16" t="s">
        <v>45</v>
      </c>
      <c r="I3141" s="16">
        <f>COUNTIF(G$5:G3141,"Y")/COUNTA(G$5:G3141)</f>
        <v>0.88396557220274152</v>
      </c>
      <c r="J3141" s="16">
        <f>COUNTIF(H$5:H3141,"Y")/COUNTA(H$5:H3141)</f>
        <v>4.7816385081287854E-2</v>
      </c>
      <c r="K3141" s="16">
        <f>AVERAGE(F$5:F3141)</f>
        <v>2.2099139305068536</v>
      </c>
      <c r="L3141" s="16">
        <f>SUM(F$5:F3141)/SUM(E$5:E3141)</f>
        <v>0.76367622111083944</v>
      </c>
    </row>
    <row r="3142" spans="1:12" x14ac:dyDescent="0.25">
      <c r="A3142" s="29">
        <v>46140</v>
      </c>
      <c r="B3142" s="16" t="s">
        <v>3188</v>
      </c>
      <c r="C3142" s="34">
        <v>1</v>
      </c>
      <c r="D3142" s="16" t="s">
        <v>56</v>
      </c>
      <c r="E3142" s="35">
        <v>3.2</v>
      </c>
      <c r="F3142" s="35">
        <v>2.2000000000000002</v>
      </c>
      <c r="G3142" s="16" t="s">
        <v>44</v>
      </c>
      <c r="H3142" s="16" t="s">
        <v>45</v>
      </c>
      <c r="I3142" s="16">
        <f>COUNTIF(G$5:G3142,"Y")/COUNTA(G$5:G3142)</f>
        <v>0.88400254939451883</v>
      </c>
      <c r="J3142" s="16">
        <f>COUNTIF(H$5:H3142,"Y")/COUNTA(H$5:H3142)</f>
        <v>4.780114722753346E-2</v>
      </c>
      <c r="K3142" s="16">
        <f>AVERAGE(F$5:F3142)</f>
        <v>2.2099107711918418</v>
      </c>
      <c r="L3142" s="16">
        <f>SUM(F$5:F3142)/SUM(E$5:E3142)</f>
        <v>0.76364937782182329</v>
      </c>
    </row>
    <row r="3143" spans="1:12" x14ac:dyDescent="0.25">
      <c r="A3143" s="29">
        <v>46141</v>
      </c>
      <c r="B3143" s="16" t="s">
        <v>3189</v>
      </c>
      <c r="C3143" s="34">
        <v>1</v>
      </c>
      <c r="D3143" s="16" t="s">
        <v>52</v>
      </c>
      <c r="E3143" s="35">
        <v>1.3</v>
      </c>
      <c r="F3143" s="35">
        <v>1.1000000000000001</v>
      </c>
      <c r="G3143" s="16" t="s">
        <v>44</v>
      </c>
      <c r="H3143" s="16" t="s">
        <v>45</v>
      </c>
      <c r="I3143" s="16">
        <f>COUNTIF(G$5:G3143,"Y")/COUNTA(G$5:G3143)</f>
        <v>0.88403950302644152</v>
      </c>
      <c r="J3143" s="16">
        <f>COUNTIF(H$5:H3143,"Y")/COUNTA(H$5:H3143)</f>
        <v>4.7785919082510356E-2</v>
      </c>
      <c r="K3143" s="16">
        <f>AVERAGE(F$5:F3143)</f>
        <v>2.2095571838165022</v>
      </c>
      <c r="L3143" s="16">
        <f>SUM(F$5:F3143)/SUM(E$5:E3143)</f>
        <v>0.76366118714422326</v>
      </c>
    </row>
    <row r="3144" spans="1:12" x14ac:dyDescent="0.25">
      <c r="A3144" s="29">
        <v>46142</v>
      </c>
      <c r="B3144" s="16" t="s">
        <v>3190</v>
      </c>
      <c r="C3144" s="34">
        <v>1</v>
      </c>
      <c r="D3144" s="16" t="s">
        <v>47</v>
      </c>
      <c r="E3144" s="35">
        <v>3</v>
      </c>
      <c r="F3144" s="35">
        <v>2.6</v>
      </c>
      <c r="G3144" s="16" t="s">
        <v>44</v>
      </c>
      <c r="H3144" s="16" t="s">
        <v>45</v>
      </c>
      <c r="I3144" s="16">
        <f>COUNTIF(G$5:G3144,"Y")/COUNTA(G$5:G3144)</f>
        <v>0.88407643312101913</v>
      </c>
      <c r="J3144" s="16">
        <f>COUNTIF(H$5:H3144,"Y")/COUNTA(H$5:H3144)</f>
        <v>4.7770700636942678E-2</v>
      </c>
      <c r="K3144" s="16">
        <f>AVERAGE(F$5:F3144)</f>
        <v>2.2096815286624207</v>
      </c>
      <c r="L3144" s="16">
        <f>SUM(F$5:F3144)/SUM(E$5:E3144)</f>
        <v>0.76369519993835966</v>
      </c>
    </row>
    <row r="3145" spans="1:12" x14ac:dyDescent="0.25">
      <c r="A3145" s="29">
        <v>46143</v>
      </c>
      <c r="B3145" s="16" t="s">
        <v>3191</v>
      </c>
      <c r="C3145" s="34">
        <v>1</v>
      </c>
      <c r="D3145" s="16" t="s">
        <v>52</v>
      </c>
      <c r="E3145" s="35">
        <v>4.9000000000000004</v>
      </c>
      <c r="F3145" s="35">
        <v>3.7</v>
      </c>
      <c r="G3145" s="16" t="s">
        <v>44</v>
      </c>
      <c r="H3145" s="16" t="s">
        <v>45</v>
      </c>
      <c r="I3145" s="16">
        <f>COUNTIF(G$5:G3145,"Y")/COUNTA(G$5:G3145)</f>
        <v>0.88411333970073225</v>
      </c>
      <c r="J3145" s="16">
        <f>COUNTIF(H$5:H3145,"Y")/COUNTA(H$5:H3145)</f>
        <v>4.775549188156638E-2</v>
      </c>
      <c r="K3145" s="16">
        <f>AVERAGE(F$5:F3145)</f>
        <v>2.21015600127348</v>
      </c>
      <c r="L3145" s="16">
        <f>SUM(F$5:F3145)/SUM(E$5:E3145)</f>
        <v>0.76369056786429113</v>
      </c>
    </row>
    <row r="3146" spans="1:12" x14ac:dyDescent="0.25">
      <c r="A3146" s="29">
        <v>46139</v>
      </c>
      <c r="B3146" s="16" t="s">
        <v>3192</v>
      </c>
      <c r="C3146" s="34">
        <v>1</v>
      </c>
      <c r="D3146" s="16" t="s">
        <v>47</v>
      </c>
      <c r="E3146" s="35">
        <v>4.2</v>
      </c>
      <c r="F3146" s="35">
        <v>3.2</v>
      </c>
      <c r="G3146" s="16" t="s">
        <v>44</v>
      </c>
      <c r="H3146" s="16" t="s">
        <v>45</v>
      </c>
      <c r="I3146" s="16">
        <f>COUNTIF(G$5:G3146,"Y")/COUNTA(G$5:G3146)</f>
        <v>0.88415022278803312</v>
      </c>
      <c r="J3146" s="16">
        <f>COUNTIF(H$5:H3146,"Y")/COUNTA(H$5:H3146)</f>
        <v>4.7740292807129214E-2</v>
      </c>
      <c r="K3146" s="16">
        <f>AVERAGE(F$5:F3146)</f>
        <v>2.2104710375556968</v>
      </c>
      <c r="L3146" s="16">
        <f>SUM(F$5:F3146)/SUM(E$5:E3146)</f>
        <v>0.76368974313863236</v>
      </c>
    </row>
    <row r="3147" spans="1:12" x14ac:dyDescent="0.25">
      <c r="A3147" s="29">
        <v>46140</v>
      </c>
      <c r="B3147" s="16" t="s">
        <v>3193</v>
      </c>
      <c r="C3147" s="34">
        <v>1</v>
      </c>
      <c r="D3147" s="16" t="s">
        <v>47</v>
      </c>
      <c r="E3147" s="35">
        <v>3.6</v>
      </c>
      <c r="F3147" s="35">
        <v>2.6</v>
      </c>
      <c r="G3147" s="16" t="s">
        <v>44</v>
      </c>
      <c r="H3147" s="16" t="s">
        <v>45</v>
      </c>
      <c r="I3147" s="16">
        <f>COUNTIF(G$5:G3147,"Y")/COUNTA(G$5:G3147)</f>
        <v>0.88418708240534516</v>
      </c>
      <c r="J3147" s="16">
        <f>COUNTIF(H$5:H3147,"Y")/COUNTA(H$5:H3147)</f>
        <v>4.7725103404390706E-2</v>
      </c>
      <c r="K3147" s="16">
        <f>AVERAGE(F$5:F3147)</f>
        <v>2.210594972955775</v>
      </c>
      <c r="L3147" s="16">
        <f>SUM(F$5:F3147)/SUM(E$5:E3147)</f>
        <v>0.76367333479885446</v>
      </c>
    </row>
    <row r="3148" spans="1:12" x14ac:dyDescent="0.25">
      <c r="A3148" s="29">
        <v>46141</v>
      </c>
      <c r="B3148" s="16" t="s">
        <v>3194</v>
      </c>
      <c r="C3148" s="34">
        <v>1</v>
      </c>
      <c r="D3148" s="16" t="s">
        <v>64</v>
      </c>
      <c r="E3148" s="35">
        <v>1.8</v>
      </c>
      <c r="F3148" s="35">
        <v>1.5</v>
      </c>
      <c r="G3148" s="16" t="s">
        <v>44</v>
      </c>
      <c r="H3148" s="16" t="s">
        <v>45</v>
      </c>
      <c r="I3148" s="16">
        <f>COUNTIF(G$5:G3148,"Y")/COUNTA(G$5:G3148)</f>
        <v>0.88422391857506366</v>
      </c>
      <c r="J3148" s="16">
        <f>COUNTIF(H$5:H3148,"Y")/COUNTA(H$5:H3148)</f>
        <v>4.7709923664122141E-2</v>
      </c>
      <c r="K3148" s="16">
        <f>AVERAGE(F$5:F3148)</f>
        <v>2.2103689567430029</v>
      </c>
      <c r="L3148" s="16">
        <f>SUM(F$5:F3148)/SUM(E$5:E3148)</f>
        <v>0.76368711400250322</v>
      </c>
    </row>
    <row r="3149" spans="1:12" x14ac:dyDescent="0.25">
      <c r="A3149" s="29">
        <v>46142</v>
      </c>
      <c r="B3149" s="16" t="s">
        <v>3195</v>
      </c>
      <c r="C3149" s="34">
        <v>1</v>
      </c>
      <c r="D3149" s="16" t="s">
        <v>47</v>
      </c>
      <c r="E3149" s="35">
        <v>2.2999999999999998</v>
      </c>
      <c r="F3149" s="35">
        <v>1.7</v>
      </c>
      <c r="G3149" s="16" t="s">
        <v>44</v>
      </c>
      <c r="H3149" s="16" t="s">
        <v>45</v>
      </c>
      <c r="I3149" s="16">
        <f>COUNTIF(G$5:G3149,"Y")/COUNTA(G$5:G3149)</f>
        <v>0.88426073131955485</v>
      </c>
      <c r="J3149" s="16">
        <f>COUNTIF(H$5:H3149,"Y")/COUNTA(H$5:H3149)</f>
        <v>4.7694753577106522E-2</v>
      </c>
      <c r="K3149" s="16">
        <f>AVERAGE(F$5:F3149)</f>
        <v>2.2102066772655009</v>
      </c>
      <c r="L3149" s="16">
        <f>SUM(F$5:F3149)/SUM(E$5:E3149)</f>
        <v>0.76368090880126338</v>
      </c>
    </row>
    <row r="3150" spans="1:12" x14ac:dyDescent="0.25">
      <c r="A3150" s="29">
        <v>46143</v>
      </c>
      <c r="B3150" s="16" t="s">
        <v>3196</v>
      </c>
      <c r="C3150" s="34">
        <v>1</v>
      </c>
      <c r="D3150" s="16" t="s">
        <v>64</v>
      </c>
      <c r="E3150" s="35">
        <v>3.9</v>
      </c>
      <c r="F3150" s="35">
        <v>3.1</v>
      </c>
      <c r="G3150" s="16" t="s">
        <v>45</v>
      </c>
      <c r="H3150" s="16" t="s">
        <v>45</v>
      </c>
      <c r="I3150" s="16">
        <f>COUNTIF(G$5:G3150,"Y")/COUNTA(G$5:G3150)</f>
        <v>0.88397965670692946</v>
      </c>
      <c r="J3150" s="16">
        <f>COUNTIF(H$5:H3150,"Y")/COUNTA(H$5:H3150)</f>
        <v>4.7679593134138588E-2</v>
      </c>
      <c r="K3150" s="16">
        <f>AVERAGE(F$5:F3150)</f>
        <v>2.2104895104895106</v>
      </c>
      <c r="L3150" s="16">
        <f>SUM(F$5:F3150)/SUM(E$5:E3150)</f>
        <v>0.7636942675159214</v>
      </c>
    </row>
    <row r="3151" spans="1:12" x14ac:dyDescent="0.25">
      <c r="A3151" s="29">
        <v>46139</v>
      </c>
      <c r="B3151" s="16" t="s">
        <v>3197</v>
      </c>
      <c r="C3151" s="34">
        <v>1</v>
      </c>
      <c r="D3151" s="16" t="s">
        <v>52</v>
      </c>
      <c r="E3151" s="35">
        <v>3.7</v>
      </c>
      <c r="F3151" s="35">
        <v>2.7</v>
      </c>
      <c r="G3151" s="16" t="s">
        <v>44</v>
      </c>
      <c r="H3151" s="16" t="s">
        <v>45</v>
      </c>
      <c r="I3151" s="16">
        <f>COUNTIF(G$5:G3151,"Y")/COUNTA(G$5:G3151)</f>
        <v>0.88401652367333972</v>
      </c>
      <c r="J3151" s="16">
        <f>COUNTIF(H$5:H3151,"Y")/COUNTA(H$5:H3151)</f>
        <v>4.7664442326024785E-2</v>
      </c>
      <c r="K3151" s="16">
        <f>AVERAGE(F$5:F3151)</f>
        <v>2.2106450587861457</v>
      </c>
      <c r="L3151" s="16">
        <f>SUM(F$5:F3151)/SUM(E$5:E3151)</f>
        <v>0.76368047246341586</v>
      </c>
    </row>
    <row r="3152" spans="1:12" x14ac:dyDescent="0.25">
      <c r="A3152" s="29">
        <v>46140</v>
      </c>
      <c r="B3152" s="16" t="s">
        <v>3198</v>
      </c>
      <c r="C3152" s="34">
        <v>1</v>
      </c>
      <c r="D3152" s="16" t="s">
        <v>50</v>
      </c>
      <c r="E3152" s="35">
        <v>3.3</v>
      </c>
      <c r="F3152" s="35">
        <v>2.5</v>
      </c>
      <c r="G3152" s="16" t="s">
        <v>45</v>
      </c>
      <c r="H3152" s="16" t="s">
        <v>45</v>
      </c>
      <c r="I3152" s="16">
        <f>COUNTIF(G$5:G3152,"Y")/COUNTA(G$5:G3152)</f>
        <v>0.88373570520965694</v>
      </c>
      <c r="J3152" s="16">
        <f>COUNTIF(H$5:H3152,"Y")/COUNTA(H$5:H3152)</f>
        <v>4.7649301143583227E-2</v>
      </c>
      <c r="K3152" s="16">
        <f>AVERAGE(F$5:F3152)</f>
        <v>2.2107369758576878</v>
      </c>
      <c r="L3152" s="16">
        <f>SUM(F$5:F3152)/SUM(E$5:E3152)</f>
        <v>0.76367826182376597</v>
      </c>
    </row>
    <row r="3153" spans="1:12" x14ac:dyDescent="0.25">
      <c r="A3153" s="29">
        <v>46141</v>
      </c>
      <c r="B3153" s="16" t="s">
        <v>3199</v>
      </c>
      <c r="C3153" s="34">
        <v>1</v>
      </c>
      <c r="D3153" s="16" t="s">
        <v>52</v>
      </c>
      <c r="E3153" s="35">
        <v>1.2</v>
      </c>
      <c r="F3153" s="35">
        <v>1.1000000000000001</v>
      </c>
      <c r="G3153" s="16" t="s">
        <v>44</v>
      </c>
      <c r="H3153" s="16" t="s">
        <v>45</v>
      </c>
      <c r="I3153" s="16">
        <f>COUNTIF(G$5:G3153,"Y")/COUNTA(G$5:G3153)</f>
        <v>0.88377262623054942</v>
      </c>
      <c r="J3153" s="16">
        <f>COUNTIF(H$5:H3153,"Y")/COUNTA(H$5:H3153)</f>
        <v>4.7634169577643694E-2</v>
      </c>
      <c r="K3153" s="16">
        <f>AVERAGE(F$5:F3153)</f>
        <v>2.2103842489679266</v>
      </c>
      <c r="L3153" s="16">
        <f>SUM(F$5:F3153)/SUM(E$5:E3153)</f>
        <v>0.76369840468718919</v>
      </c>
    </row>
    <row r="3154" spans="1:12" x14ac:dyDescent="0.25">
      <c r="A3154" s="29">
        <v>46142</v>
      </c>
      <c r="B3154" s="16" t="s">
        <v>3200</v>
      </c>
      <c r="C3154" s="34">
        <v>1</v>
      </c>
      <c r="D3154" s="16" t="s">
        <v>60</v>
      </c>
      <c r="E3154" s="35">
        <v>1.3</v>
      </c>
      <c r="F3154" s="35">
        <v>1.2</v>
      </c>
      <c r="G3154" s="16" t="s">
        <v>44</v>
      </c>
      <c r="H3154" s="16" t="s">
        <v>45</v>
      </c>
      <c r="I3154" s="16">
        <f>COUNTIF(G$5:G3154,"Y")/COUNTA(G$5:G3154)</f>
        <v>0.88380952380952382</v>
      </c>
      <c r="J3154" s="16">
        <f>COUNTIF(H$5:H3154,"Y")/COUNTA(H$5:H3154)</f>
        <v>4.7619047619047616E-2</v>
      </c>
      <c r="K3154" s="16">
        <f>AVERAGE(F$5:F3154)</f>
        <v>2.2100634920634925</v>
      </c>
      <c r="L3154" s="16">
        <f>SUM(F$5:F3154)/SUM(E$5:E3154)</f>
        <v>0.76372113433163069</v>
      </c>
    </row>
    <row r="3155" spans="1:12" x14ac:dyDescent="0.25">
      <c r="A3155" s="29">
        <v>46143</v>
      </c>
      <c r="B3155" s="16" t="s">
        <v>3201</v>
      </c>
      <c r="C3155" s="34">
        <v>1</v>
      </c>
      <c r="D3155" s="16" t="s">
        <v>47</v>
      </c>
      <c r="E3155" s="35">
        <v>5.0999999999999996</v>
      </c>
      <c r="F3155" s="35">
        <v>3.6</v>
      </c>
      <c r="G3155" s="16" t="s">
        <v>44</v>
      </c>
      <c r="H3155" s="16" t="s">
        <v>45</v>
      </c>
      <c r="I3155" s="16">
        <f>COUNTIF(G$5:G3155,"Y")/COUNTA(G$5:G3155)</f>
        <v>0.88384639796889874</v>
      </c>
      <c r="J3155" s="16">
        <f>COUNTIF(H$5:H3155,"Y")/COUNTA(H$5:H3155)</f>
        <v>4.7603935258648047E-2</v>
      </c>
      <c r="K3155" s="16">
        <f>AVERAGE(F$5:F3155)</f>
        <v>2.2105046017137422</v>
      </c>
      <c r="L3155" s="16">
        <f>SUM(F$5:F3155)/SUM(E$5:E3155)</f>
        <v>0.76368879240400633</v>
      </c>
    </row>
    <row r="3156" spans="1:12" x14ac:dyDescent="0.25">
      <c r="A3156" s="29">
        <v>46139</v>
      </c>
      <c r="B3156" s="16" t="s">
        <v>3202</v>
      </c>
      <c r="C3156" s="34">
        <v>1</v>
      </c>
      <c r="D3156" s="16" t="s">
        <v>56</v>
      </c>
      <c r="E3156" s="35">
        <v>2.2000000000000002</v>
      </c>
      <c r="F3156" s="35">
        <v>2</v>
      </c>
      <c r="G3156" s="16" t="s">
        <v>44</v>
      </c>
      <c r="H3156" s="16" t="s">
        <v>45</v>
      </c>
      <c r="I3156" s="16">
        <f>COUNTIF(G$5:G3156,"Y")/COUNTA(G$5:G3156)</f>
        <v>0.88388324873096447</v>
      </c>
      <c r="J3156" s="16">
        <f>COUNTIF(H$5:H3156,"Y")/COUNTA(H$5:H3156)</f>
        <v>4.7588832487309642E-2</v>
      </c>
      <c r="K3156" s="16">
        <f>AVERAGE(F$5:F3156)</f>
        <v>2.2104378172588834</v>
      </c>
      <c r="L3156" s="16">
        <f>SUM(F$5:F3156)/SUM(E$5:E3156)</f>
        <v>0.76372385671065679</v>
      </c>
    </row>
    <row r="3157" spans="1:12" x14ac:dyDescent="0.25">
      <c r="A3157" s="29">
        <v>46140</v>
      </c>
      <c r="B3157" s="16" t="s">
        <v>3203</v>
      </c>
      <c r="C3157" s="34">
        <v>1</v>
      </c>
      <c r="D3157" s="16" t="s">
        <v>60</v>
      </c>
      <c r="E3157" s="35">
        <v>4.4000000000000004</v>
      </c>
      <c r="F3157" s="35">
        <v>3.6</v>
      </c>
      <c r="G3157" s="16" t="s">
        <v>44</v>
      </c>
      <c r="H3157" s="16" t="s">
        <v>45</v>
      </c>
      <c r="I3157" s="16">
        <f>COUNTIF(G$5:G3157,"Y")/COUNTA(G$5:G3157)</f>
        <v>0.88392007611798284</v>
      </c>
      <c r="J3157" s="16">
        <f>COUNTIF(H$5:H3157,"Y")/COUNTA(H$5:H3157)</f>
        <v>4.7573739295908656E-2</v>
      </c>
      <c r="K3157" s="16">
        <f>AVERAGE(F$5:F3157)</f>
        <v>2.2108785283856651</v>
      </c>
      <c r="L3157" s="16">
        <f>SUM(F$5:F3157)/SUM(E$5:E3157)</f>
        <v>0.76375010956262379</v>
      </c>
    </row>
    <row r="3158" spans="1:12" x14ac:dyDescent="0.25">
      <c r="A3158" s="29">
        <v>46141</v>
      </c>
      <c r="B3158" s="16" t="s">
        <v>3204</v>
      </c>
      <c r="C3158" s="34">
        <v>1</v>
      </c>
      <c r="D3158" s="16" t="s">
        <v>64</v>
      </c>
      <c r="E3158" s="35">
        <v>4.5</v>
      </c>
      <c r="F3158" s="35">
        <v>3.1</v>
      </c>
      <c r="G3158" s="16" t="s">
        <v>44</v>
      </c>
      <c r="H3158" s="16" t="s">
        <v>45</v>
      </c>
      <c r="I3158" s="16">
        <f>COUNTIF(G$5:G3158,"Y")/COUNTA(G$5:G3158)</f>
        <v>0.88395688015218765</v>
      </c>
      <c r="J3158" s="16">
        <f>COUNTIF(H$5:H3158,"Y")/COUNTA(H$5:H3158)</f>
        <v>4.7558655675332913E-2</v>
      </c>
      <c r="K3158" s="16">
        <f>AVERAGE(F$5:F3158)</f>
        <v>2.2111604311984787</v>
      </c>
      <c r="L3158" s="16">
        <f>SUM(F$5:F3158)/SUM(E$5:E3158)</f>
        <v>0.76371321878729925</v>
      </c>
    </row>
    <row r="3159" spans="1:12" x14ac:dyDescent="0.25">
      <c r="A3159" s="29">
        <v>46142</v>
      </c>
      <c r="B3159" s="16" t="s">
        <v>3205</v>
      </c>
      <c r="C3159" s="34">
        <v>1</v>
      </c>
      <c r="D3159" s="16" t="s">
        <v>52</v>
      </c>
      <c r="E3159" s="35">
        <v>2.1</v>
      </c>
      <c r="F3159" s="35">
        <v>1.9</v>
      </c>
      <c r="G3159" s="16" t="s">
        <v>44</v>
      </c>
      <c r="H3159" s="16" t="s">
        <v>45</v>
      </c>
      <c r="I3159" s="16">
        <f>COUNTIF(G$5:G3159,"Y")/COUNTA(G$5:G3159)</f>
        <v>0.88399366085578446</v>
      </c>
      <c r="J3159" s="16">
        <f>COUNTIF(H$5:H3159,"Y")/COUNTA(H$5:H3159)</f>
        <v>4.7543581616481777E-2</v>
      </c>
      <c r="K3159" s="16">
        <f>AVERAGE(F$5:F3159)</f>
        <v>2.2110618066561019</v>
      </c>
      <c r="L3159" s="16">
        <f>SUM(F$5:F3159)/SUM(E$5:E3159)</f>
        <v>0.76374564803258005</v>
      </c>
    </row>
    <row r="3160" spans="1:12" x14ac:dyDescent="0.25">
      <c r="A3160" s="29">
        <v>46143</v>
      </c>
      <c r="B3160" s="16" t="s">
        <v>3206</v>
      </c>
      <c r="C3160" s="34">
        <v>1</v>
      </c>
      <c r="D3160" s="16" t="s">
        <v>43</v>
      </c>
      <c r="E3160" s="35">
        <v>3.3</v>
      </c>
      <c r="F3160" s="35">
        <v>2.8</v>
      </c>
      <c r="G3160" s="16" t="s">
        <v>45</v>
      </c>
      <c r="H3160" s="16" t="s">
        <v>45</v>
      </c>
      <c r="I3160" s="16">
        <f>COUNTIF(G$5:G3160,"Y")/COUNTA(G$5:G3160)</f>
        <v>0.88371356147021551</v>
      </c>
      <c r="J3160" s="16">
        <f>COUNTIF(H$5:H3160,"Y")/COUNTA(H$5:H3160)</f>
        <v>4.7528517110266157E-2</v>
      </c>
      <c r="K3160" s="16">
        <f>AVERAGE(F$5:F3160)</f>
        <v>2.211248415716097</v>
      </c>
      <c r="L3160" s="16">
        <f>SUM(F$5:F3160)/SUM(E$5:E3160)</f>
        <v>0.76377625285922013</v>
      </c>
    </row>
    <row r="3161" spans="1:12" x14ac:dyDescent="0.25">
      <c r="A3161" s="29">
        <v>46139</v>
      </c>
      <c r="B3161" s="16" t="s">
        <v>3207</v>
      </c>
      <c r="C3161" s="34">
        <v>1</v>
      </c>
      <c r="D3161" s="16" t="s">
        <v>64</v>
      </c>
      <c r="E3161" s="35">
        <v>4.4000000000000004</v>
      </c>
      <c r="F3161" s="35">
        <v>3.5</v>
      </c>
      <c r="G3161" s="16" t="s">
        <v>45</v>
      </c>
      <c r="H3161" s="16" t="s">
        <v>45</v>
      </c>
      <c r="I3161" s="16">
        <f>COUNTIF(G$5:G3161,"Y")/COUNTA(G$5:G3161)</f>
        <v>0.88343363953120047</v>
      </c>
      <c r="J3161" s="16">
        <f>COUNTIF(H$5:H3161,"Y")/COUNTA(H$5:H3161)</f>
        <v>4.7513462147608487E-2</v>
      </c>
      <c r="K3161" s="16">
        <f>AVERAGE(F$5:F3161)</f>
        <v>2.2116566360468806</v>
      </c>
      <c r="L3161" s="16">
        <f>SUM(F$5:F3161)/SUM(E$5:E3161)</f>
        <v>0.76379150030082377</v>
      </c>
    </row>
    <row r="3162" spans="1:12" x14ac:dyDescent="0.25">
      <c r="A3162" s="29">
        <v>46140</v>
      </c>
      <c r="B3162" s="16" t="s">
        <v>3208</v>
      </c>
      <c r="C3162" s="34">
        <v>1</v>
      </c>
      <c r="D3162" s="16" t="s">
        <v>52</v>
      </c>
      <c r="E3162" s="35">
        <v>2.2999999999999998</v>
      </c>
      <c r="F3162" s="35">
        <v>2</v>
      </c>
      <c r="G3162" s="16" t="s">
        <v>44</v>
      </c>
      <c r="H3162" s="16" t="s">
        <v>45</v>
      </c>
      <c r="I3162" s="16">
        <f>COUNTIF(G$5:G3162,"Y")/COUNTA(G$5:G3162)</f>
        <v>0.88347055098163396</v>
      </c>
      <c r="J3162" s="16">
        <f>COUNTIF(H$5:H3162,"Y")/COUNTA(H$5:H3162)</f>
        <v>4.7498416719442688E-2</v>
      </c>
      <c r="K3162" s="16">
        <f>AVERAGE(F$5:F3162)</f>
        <v>2.2115896136795445</v>
      </c>
      <c r="L3162" s="16">
        <f>SUM(F$5:F3162)/SUM(E$5:E3162)</f>
        <v>0.76381810625779012</v>
      </c>
    </row>
    <row r="3163" spans="1:12" x14ac:dyDescent="0.25">
      <c r="A3163" s="29">
        <v>46141</v>
      </c>
      <c r="B3163" s="16" t="s">
        <v>3209</v>
      </c>
      <c r="C3163" s="34">
        <v>1</v>
      </c>
      <c r="D3163" s="16" t="s">
        <v>50</v>
      </c>
      <c r="E3163" s="35">
        <v>2.6</v>
      </c>
      <c r="F3163" s="35">
        <v>1.9</v>
      </c>
      <c r="G3163" s="16" t="s">
        <v>44</v>
      </c>
      <c r="H3163" s="16" t="s">
        <v>45</v>
      </c>
      <c r="I3163" s="16">
        <f>COUNTIF(G$5:G3163,"Y")/COUNTA(G$5:G3163)</f>
        <v>0.88350743906299467</v>
      </c>
      <c r="J3163" s="16">
        <f>COUNTIF(H$5:H3163,"Y")/COUNTA(H$5:H3163)</f>
        <v>4.7483380816714153E-2</v>
      </c>
      <c r="K3163" s="16">
        <f>AVERAGE(F$5:F3163)</f>
        <v>2.2114909781576451</v>
      </c>
      <c r="L3163" s="16">
        <f>SUM(F$5:F3163)/SUM(E$5:E3163)</f>
        <v>0.76380871162424346</v>
      </c>
    </row>
    <row r="3164" spans="1:12" x14ac:dyDescent="0.25">
      <c r="A3164" s="29">
        <v>46142</v>
      </c>
      <c r="B3164" s="16" t="s">
        <v>3210</v>
      </c>
      <c r="C3164" s="34">
        <v>1</v>
      </c>
      <c r="D3164" s="16" t="s">
        <v>52</v>
      </c>
      <c r="E3164" s="35">
        <v>2.1</v>
      </c>
      <c r="F3164" s="35">
        <v>1.5</v>
      </c>
      <c r="G3164" s="16" t="s">
        <v>44</v>
      </c>
      <c r="H3164" s="16" t="s">
        <v>45</v>
      </c>
      <c r="I3164" s="16">
        <f>COUNTIF(G$5:G3164,"Y")/COUNTA(G$5:G3164)</f>
        <v>0.8835443037974684</v>
      </c>
      <c r="J3164" s="16">
        <f>COUNTIF(H$5:H3164,"Y")/COUNTA(H$5:H3164)</f>
        <v>4.746835443037975E-2</v>
      </c>
      <c r="K3164" s="16">
        <f>AVERAGE(F$5:F3164)</f>
        <v>2.2112658227848105</v>
      </c>
      <c r="L3164" s="16">
        <f>SUM(F$5:F3164)/SUM(E$5:E3164)</f>
        <v>0.76379734382685471</v>
      </c>
    </row>
    <row r="3165" spans="1:12" x14ac:dyDescent="0.25">
      <c r="A3165" s="29">
        <v>46143</v>
      </c>
      <c r="B3165" s="16" t="s">
        <v>3211</v>
      </c>
      <c r="C3165" s="34">
        <v>1</v>
      </c>
      <c r="D3165" s="16" t="s">
        <v>64</v>
      </c>
      <c r="E3165" s="35">
        <v>1.7</v>
      </c>
      <c r="F3165" s="35">
        <v>1.5</v>
      </c>
      <c r="G3165" s="16" t="s">
        <v>44</v>
      </c>
      <c r="H3165" s="16" t="s">
        <v>45</v>
      </c>
      <c r="I3165" s="16">
        <f>COUNTIF(G$5:G3165,"Y")/COUNTA(G$5:G3165)</f>
        <v>0.88358114520721287</v>
      </c>
      <c r="J3165" s="16">
        <f>COUNTIF(H$5:H3165,"Y")/COUNTA(H$5:H3165)</f>
        <v>4.7453337551407786E-2</v>
      </c>
      <c r="K3165" s="16">
        <f>AVERAGE(F$5:F3165)</f>
        <v>2.2110408098702945</v>
      </c>
      <c r="L3165" s="16">
        <f>SUM(F$5:F3165)/SUM(E$5:E3165)</f>
        <v>0.76381937006841161</v>
      </c>
    </row>
    <row r="3166" spans="1:12" x14ac:dyDescent="0.25">
      <c r="A3166" s="29">
        <v>46139</v>
      </c>
      <c r="B3166" s="16" t="s">
        <v>3212</v>
      </c>
      <c r="C3166" s="34">
        <v>1</v>
      </c>
      <c r="D3166" s="16" t="s">
        <v>47</v>
      </c>
      <c r="E3166" s="35">
        <v>4.3</v>
      </c>
      <c r="F3166" s="35">
        <v>3.5</v>
      </c>
      <c r="G3166" s="16" t="s">
        <v>44</v>
      </c>
      <c r="H3166" s="16" t="s">
        <v>45</v>
      </c>
      <c r="I3166" s="16">
        <f>COUNTIF(G$5:G3166,"Y")/COUNTA(G$5:G3166)</f>
        <v>0.88361796331435805</v>
      </c>
      <c r="J3166" s="16">
        <f>COUNTIF(H$5:H3166,"Y")/COUNTA(H$5:H3166)</f>
        <v>4.743833017077799E-2</v>
      </c>
      <c r="K3166" s="16">
        <f>AVERAGE(F$5:F3166)</f>
        <v>2.2114484503478815</v>
      </c>
      <c r="L3166" s="16">
        <f>SUM(F$5:F3166)/SUM(E$5:E3166)</f>
        <v>0.76384291878310995</v>
      </c>
    </row>
    <row r="3167" spans="1:12" x14ac:dyDescent="0.25">
      <c r="A3167" s="29">
        <v>46140</v>
      </c>
      <c r="B3167" s="16" t="s">
        <v>3213</v>
      </c>
      <c r="C3167" s="34">
        <v>1</v>
      </c>
      <c r="D3167" s="16" t="s">
        <v>60</v>
      </c>
      <c r="E3167" s="35">
        <v>3.4</v>
      </c>
      <c r="F3167" s="35">
        <v>2.6</v>
      </c>
      <c r="G3167" s="16" t="s">
        <v>44</v>
      </c>
      <c r="H3167" s="16" t="s">
        <v>44</v>
      </c>
      <c r="I3167" s="16">
        <f>COUNTIF(G$5:G3167,"Y")/COUNTA(G$5:G3167)</f>
        <v>0.88365475814100536</v>
      </c>
      <c r="J3167" s="16">
        <f>COUNTIF(H$5:H3167,"Y")/COUNTA(H$5:H3167)</f>
        <v>4.7739487828011379E-2</v>
      </c>
      <c r="K3167" s="16">
        <f>AVERAGE(F$5:F3167)</f>
        <v>2.2115712930761942</v>
      </c>
      <c r="L3167" s="16">
        <f>SUM(F$5:F3167)/SUM(E$5:E3167)</f>
        <v>0.76384323917055008</v>
      </c>
    </row>
    <row r="3168" spans="1:12" x14ac:dyDescent="0.25">
      <c r="A3168" s="29">
        <v>46141</v>
      </c>
      <c r="B3168" s="16" t="s">
        <v>3214</v>
      </c>
      <c r="C3168" s="34">
        <v>1</v>
      </c>
      <c r="D3168" s="16" t="s">
        <v>47</v>
      </c>
      <c r="E3168" s="35">
        <v>3.3</v>
      </c>
      <c r="F3168" s="35">
        <v>3</v>
      </c>
      <c r="G3168" s="16" t="s">
        <v>44</v>
      </c>
      <c r="H3168" s="16" t="s">
        <v>45</v>
      </c>
      <c r="I3168" s="16">
        <f>COUNTIF(G$5:G3168,"Y")/COUNTA(G$5:G3168)</f>
        <v>0.88369152970922882</v>
      </c>
      <c r="J3168" s="16">
        <f>COUNTIF(H$5:H3168,"Y")/COUNTA(H$5:H3168)</f>
        <v>4.7724399494310996E-2</v>
      </c>
      <c r="K3168" s="16">
        <f>AVERAGE(F$5:F3168)</f>
        <v>2.2118204804045516</v>
      </c>
      <c r="L3168" s="16">
        <f>SUM(F$5:F3168)/SUM(E$5:E3168)</f>
        <v>0.76389555953368349</v>
      </c>
    </row>
    <row r="3169" spans="1:13" x14ac:dyDescent="0.25">
      <c r="A3169" s="29">
        <v>46142</v>
      </c>
      <c r="B3169" s="16" t="s">
        <v>3215</v>
      </c>
      <c r="C3169" s="34">
        <v>1</v>
      </c>
      <c r="D3169" s="16" t="s">
        <v>47</v>
      </c>
      <c r="E3169" s="35">
        <v>0.5</v>
      </c>
      <c r="F3169" s="35">
        <v>1</v>
      </c>
      <c r="G3169" s="16" t="s">
        <v>44</v>
      </c>
      <c r="H3169" s="16" t="s">
        <v>44</v>
      </c>
      <c r="I3169" s="16">
        <f>COUNTIF(G$5:G3169,"Y")/COUNTA(G$5:G3169)</f>
        <v>0.88372827804107423</v>
      </c>
      <c r="J3169" s="16">
        <f>COUNTIF(H$5:H3169,"Y")/COUNTA(H$5:H3169)</f>
        <v>4.8025276461295417E-2</v>
      </c>
      <c r="K3169" s="16">
        <f>AVERAGE(F$5:F3169)</f>
        <v>2.2114375987361776</v>
      </c>
      <c r="L3169" s="16">
        <f>SUM(F$5:F3169)/SUM(E$5:E3169)</f>
        <v>0.76396301996354188</v>
      </c>
    </row>
    <row r="3170" spans="1:13" x14ac:dyDescent="0.25">
      <c r="A3170" s="29">
        <v>46143</v>
      </c>
      <c r="B3170" s="16" t="s">
        <v>3216</v>
      </c>
      <c r="C3170" s="34">
        <v>1</v>
      </c>
      <c r="D3170" s="16" t="s">
        <v>64</v>
      </c>
      <c r="E3170" s="35">
        <v>0.5</v>
      </c>
      <c r="F3170" s="35">
        <v>0.5</v>
      </c>
      <c r="G3170" s="16" t="s">
        <v>44</v>
      </c>
      <c r="H3170" s="16" t="s">
        <v>45</v>
      </c>
      <c r="I3170" s="16">
        <f>COUNTIF(G$5:G3170,"Y")/COUNTA(G$5:G3170)</f>
        <v>0.88376500315855966</v>
      </c>
      <c r="J3170" s="16">
        <f>COUNTIF(H$5:H3170,"Y")/COUNTA(H$5:H3170)</f>
        <v>4.8010107391029691E-2</v>
      </c>
      <c r="K3170" s="16">
        <f>AVERAGE(F$5:F3170)</f>
        <v>2.2108970309538853</v>
      </c>
      <c r="L3170" s="16">
        <f>SUM(F$5:F3170)/SUM(E$5:E3170)</f>
        <v>0.76397590098447765</v>
      </c>
    </row>
    <row r="3171" spans="1:13" x14ac:dyDescent="0.25">
      <c r="A3171" s="29">
        <v>46139</v>
      </c>
      <c r="B3171" s="16" t="s">
        <v>3217</v>
      </c>
      <c r="C3171" s="34">
        <v>1</v>
      </c>
      <c r="D3171" s="16" t="s">
        <v>56</v>
      </c>
      <c r="E3171" s="35">
        <v>0.5</v>
      </c>
      <c r="F3171" s="35">
        <v>0.5</v>
      </c>
      <c r="G3171" s="16" t="s">
        <v>44</v>
      </c>
      <c r="H3171" s="16" t="s">
        <v>45</v>
      </c>
      <c r="I3171" s="16">
        <f>COUNTIF(G$5:G3171,"Y")/COUNTA(G$5:G3171)</f>
        <v>0.88380170508367539</v>
      </c>
      <c r="J3171" s="16">
        <f>COUNTIF(H$5:H3171,"Y")/COUNTA(H$5:H3171)</f>
        <v>4.7994947900221033E-2</v>
      </c>
      <c r="K3171" s="16">
        <f>AVERAGE(F$5:F3171)</f>
        <v>2.2103568045468904</v>
      </c>
      <c r="L3171" s="16">
        <f>SUM(F$5:F3171)/SUM(E$5:E3171)</f>
        <v>0.76398878059960296</v>
      </c>
    </row>
    <row r="3172" spans="1:13" x14ac:dyDescent="0.25">
      <c r="A3172" s="29">
        <v>46140</v>
      </c>
      <c r="B3172" s="16" t="s">
        <v>3218</v>
      </c>
      <c r="C3172" s="34">
        <v>1</v>
      </c>
      <c r="D3172" s="16" t="s">
        <v>56</v>
      </c>
      <c r="E3172" s="35">
        <v>0.5</v>
      </c>
      <c r="F3172" s="35">
        <v>0.5</v>
      </c>
      <c r="G3172" s="16" t="s">
        <v>44</v>
      </c>
      <c r="H3172" s="16" t="s">
        <v>45</v>
      </c>
      <c r="I3172" s="16">
        <f>COUNTIF(G$5:G3172,"Y")/COUNTA(G$5:G3172)</f>
        <v>0.88383838383838387</v>
      </c>
      <c r="J3172" s="16">
        <f>COUNTIF(H$5:H3172,"Y")/COUNTA(H$5:H3172)</f>
        <v>4.7979797979797977E-2</v>
      </c>
      <c r="K3172" s="16">
        <f>AVERAGE(F$5:F3172)</f>
        <v>2.2098169191919199</v>
      </c>
      <c r="L3172" s="16">
        <f>SUM(F$5:F3172)/SUM(E$5:E3172)</f>
        <v>0.76400165880914761</v>
      </c>
    </row>
    <row r="3173" spans="1:13" x14ac:dyDescent="0.25">
      <c r="A3173" s="29">
        <v>46141</v>
      </c>
      <c r="B3173" s="16" t="s">
        <v>3219</v>
      </c>
      <c r="C3173" s="34">
        <v>1</v>
      </c>
      <c r="D3173" s="16" t="s">
        <v>64</v>
      </c>
      <c r="E3173" s="35">
        <v>0.5</v>
      </c>
      <c r="F3173" s="35">
        <v>0.5</v>
      </c>
      <c r="G3173" s="16" t="s">
        <v>44</v>
      </c>
      <c r="H3173" s="16" t="s">
        <v>45</v>
      </c>
      <c r="I3173" s="16">
        <f>COUNTIF(G$5:G3173,"Y")/COUNTA(G$5:G3173)</f>
        <v>0.88387503944461976</v>
      </c>
      <c r="J3173" s="16">
        <f>COUNTIF(H$5:H3173,"Y")/COUNTA(H$5:H3173)</f>
        <v>4.7964657620700533E-2</v>
      </c>
      <c r="K3173" s="16">
        <f>AVERAGE(F$5:F3173)</f>
        <v>2.2092773745661098</v>
      </c>
      <c r="L3173" s="16">
        <f>SUM(F$5:F3173)/SUM(E$5:E3173)</f>
        <v>0.76401453561334198</v>
      </c>
    </row>
    <row r="3174" spans="1:13" x14ac:dyDescent="0.25">
      <c r="A3174" s="29">
        <v>46142</v>
      </c>
      <c r="B3174" s="16" t="s">
        <v>3220</v>
      </c>
      <c r="C3174" s="34">
        <v>1</v>
      </c>
      <c r="D3174" s="16" t="s">
        <v>47</v>
      </c>
      <c r="E3174" s="35">
        <v>0.5</v>
      </c>
      <c r="F3174" s="35">
        <v>0.5</v>
      </c>
      <c r="G3174" s="16" t="s">
        <v>44</v>
      </c>
      <c r="H3174" s="16" t="s">
        <v>45</v>
      </c>
      <c r="I3174" s="16">
        <f>COUNTIF(G$5:G3174,"Y")/COUNTA(G$5:G3174)</f>
        <v>0.88391167192429021</v>
      </c>
      <c r="J3174" s="16">
        <f>COUNTIF(H$5:H3174,"Y")/COUNTA(H$5:H3174)</f>
        <v>4.7949526813880129E-2</v>
      </c>
      <c r="K3174" s="16">
        <f>AVERAGE(F$5:F3174)</f>
        <v>2.2087381703470035</v>
      </c>
      <c r="L3174" s="16">
        <f>SUM(F$5:F3174)/SUM(E$5:E3174)</f>
        <v>0.76402741101241589</v>
      </c>
    </row>
    <row r="3175" spans="1:13" x14ac:dyDescent="0.25">
      <c r="A3175" s="29">
        <v>46143</v>
      </c>
      <c r="B3175" s="16" t="s">
        <v>3221</v>
      </c>
      <c r="C3175" s="34">
        <v>1</v>
      </c>
      <c r="D3175" s="16" t="s">
        <v>56</v>
      </c>
      <c r="E3175" s="35">
        <v>0.5</v>
      </c>
      <c r="F3175" s="35">
        <v>0.5</v>
      </c>
      <c r="G3175" s="16" t="s">
        <v>44</v>
      </c>
      <c r="H3175" s="16" t="s">
        <v>45</v>
      </c>
      <c r="I3175" s="16">
        <f>COUNTIF(G$5:G3175,"Y")/COUNTA(G$5:G3175)</f>
        <v>0.88394828129927472</v>
      </c>
      <c r="J3175" s="16">
        <f>COUNTIF(H$5:H3175,"Y")/COUNTA(H$5:H3175)</f>
        <v>4.793440555029959E-2</v>
      </c>
      <c r="K3175" s="16">
        <f>AVERAGE(F$5:F3175)</f>
        <v>2.2081993062125518</v>
      </c>
      <c r="L3175" s="16">
        <f>SUM(F$5:F3175)/SUM(E$5:E3175)</f>
        <v>0.76404028500659937</v>
      </c>
    </row>
    <row r="3176" spans="1:13" x14ac:dyDescent="0.25">
      <c r="A3176" s="29">
        <v>46139</v>
      </c>
      <c r="B3176" s="16" t="s">
        <v>3222</v>
      </c>
      <c r="C3176" s="34">
        <v>1</v>
      </c>
      <c r="D3176" s="16" t="s">
        <v>47</v>
      </c>
      <c r="E3176" s="35">
        <v>0.5</v>
      </c>
      <c r="F3176" s="35">
        <v>0.5</v>
      </c>
      <c r="G3176" s="16" t="s">
        <v>44</v>
      </c>
      <c r="H3176" s="16" t="s">
        <v>45</v>
      </c>
      <c r="I3176" s="16">
        <f>COUNTIF(G$5:G3176,"Y")/COUNTA(G$5:G3176)</f>
        <v>0.88398486759142492</v>
      </c>
      <c r="J3176" s="16">
        <f>COUNTIF(H$5:H3176,"Y")/COUNTA(H$5:H3176)</f>
        <v>4.7919293820933163E-2</v>
      </c>
      <c r="K3176" s="16">
        <f>AVERAGE(F$5:F3176)</f>
        <v>2.2076607818411103</v>
      </c>
      <c r="L3176" s="16">
        <f>SUM(F$5:F3176)/SUM(E$5:E3176)</f>
        <v>0.76405315759612247</v>
      </c>
    </row>
    <row r="3177" spans="1:13" x14ac:dyDescent="0.25">
      <c r="A3177" s="29">
        <v>46140</v>
      </c>
      <c r="B3177" s="16" t="s">
        <v>3223</v>
      </c>
      <c r="C3177" s="34">
        <v>1</v>
      </c>
      <c r="D3177" s="16" t="s">
        <v>64</v>
      </c>
      <c r="E3177" s="35">
        <v>0.5</v>
      </c>
      <c r="F3177" s="35">
        <v>0.5</v>
      </c>
      <c r="G3177" s="16" t="s">
        <v>44</v>
      </c>
      <c r="H3177" s="16" t="s">
        <v>45</v>
      </c>
      <c r="I3177" s="16">
        <f>COUNTIF(G$5:G3177,"Y")/COUNTA(G$5:G3177)</f>
        <v>0.88402143082256535</v>
      </c>
      <c r="J3177" s="16">
        <f>COUNTIF(H$5:H3177,"Y")/COUNTA(H$5:H3177)</f>
        <v>4.790419161676647E-2</v>
      </c>
      <c r="K3177" s="16">
        <f>AVERAGE(F$5:F3177)</f>
        <v>2.2071225969114407</v>
      </c>
      <c r="L3177" s="16">
        <f>SUM(F$5:F3177)/SUM(E$5:E3177)</f>
        <v>0.76406602878121488</v>
      </c>
    </row>
    <row r="3178" spans="1:13" x14ac:dyDescent="0.25">
      <c r="A3178" s="29">
        <v>46141</v>
      </c>
      <c r="B3178" s="16" t="s">
        <v>3224</v>
      </c>
      <c r="C3178" s="34">
        <v>1</v>
      </c>
      <c r="D3178" s="16" t="s">
        <v>47</v>
      </c>
      <c r="E3178" s="35">
        <v>0.5</v>
      </c>
      <c r="F3178" s="35">
        <v>0.5</v>
      </c>
      <c r="G3178" s="16" t="s">
        <v>44</v>
      </c>
      <c r="H3178" s="16" t="s">
        <v>45</v>
      </c>
      <c r="I3178" s="16">
        <f>COUNTIF(G$5:G3178,"Y")/COUNTA(G$5:G3178)</f>
        <v>0.88405797101449279</v>
      </c>
      <c r="J3178" s="16">
        <f>COUNTIF(H$5:H3178,"Y")/COUNTA(H$5:H3178)</f>
        <v>4.7889098928796468E-2</v>
      </c>
      <c r="K3178" s="16">
        <f>AVERAGE(F$5:F3178)</f>
        <v>2.2065847511027101</v>
      </c>
      <c r="L3178" s="16">
        <f>SUM(F$5:F3178)/SUM(E$5:E3178)</f>
        <v>0.76407889856210665</v>
      </c>
      <c r="M3178" s="16">
        <v>9</v>
      </c>
    </row>
    <row r="3179" spans="1:13" x14ac:dyDescent="0.25">
      <c r="A3179" s="29">
        <v>46146</v>
      </c>
      <c r="B3179" s="16" t="s">
        <v>3225</v>
      </c>
      <c r="C3179" s="34">
        <v>1</v>
      </c>
      <c r="D3179" s="16" t="s">
        <v>50</v>
      </c>
      <c r="E3179" s="35">
        <v>1.7</v>
      </c>
      <c r="F3179" s="35">
        <v>1.2</v>
      </c>
      <c r="G3179" s="16" t="s">
        <v>44</v>
      </c>
      <c r="H3179" s="16" t="s">
        <v>45</v>
      </c>
      <c r="I3179" s="16">
        <f>COUNTIF(G$5:G3179,"Y")/COUNTA(G$5:G3179)</f>
        <v>0.8840944881889764</v>
      </c>
      <c r="J3179" s="16">
        <f>COUNTIF(H$5:H3179,"Y")/COUNTA(H$5:H3179)</f>
        <v>4.7874015748031497E-2</v>
      </c>
      <c r="K3179" s="16">
        <f>AVERAGE(F$5:F3179)</f>
        <v>2.2062677165354336</v>
      </c>
      <c r="L3179" s="16">
        <f>SUM(F$5:F3179)/SUM(E$5:E3179)</f>
        <v>0.76406810720012008</v>
      </c>
    </row>
    <row r="3180" spans="1:13" x14ac:dyDescent="0.25">
      <c r="A3180" s="29">
        <v>46147</v>
      </c>
      <c r="B3180" s="16" t="s">
        <v>3226</v>
      </c>
      <c r="C3180" s="34">
        <v>1</v>
      </c>
      <c r="D3180" s="16" t="s">
        <v>60</v>
      </c>
      <c r="E3180" s="35">
        <v>2.1</v>
      </c>
      <c r="F3180" s="35">
        <v>1.8</v>
      </c>
      <c r="G3180" s="16" t="s">
        <v>44</v>
      </c>
      <c r="H3180" s="16" t="s">
        <v>45</v>
      </c>
      <c r="I3180" s="16">
        <f>COUNTIF(G$5:G3180,"Y")/COUNTA(G$5:G3180)</f>
        <v>0.88413098236775822</v>
      </c>
      <c r="J3180" s="16">
        <f>COUNTIF(H$5:H3180,"Y")/COUNTA(H$5:H3180)</f>
        <v>4.7858942065491183E-2</v>
      </c>
      <c r="K3180" s="16">
        <f>AVERAGE(F$5:F3180)</f>
        <v>2.2061397984886657</v>
      </c>
      <c r="L3180" s="16">
        <f>SUM(F$5:F3180)/SUM(E$5:E3180)</f>
        <v>0.76408942202835128</v>
      </c>
    </row>
    <row r="3181" spans="1:13" x14ac:dyDescent="0.25">
      <c r="A3181" s="29">
        <v>46148</v>
      </c>
      <c r="B3181" s="16" t="s">
        <v>3227</v>
      </c>
      <c r="C3181" s="34">
        <v>1</v>
      </c>
      <c r="D3181" s="16" t="s">
        <v>43</v>
      </c>
      <c r="E3181" s="35">
        <v>1.8</v>
      </c>
      <c r="F3181" s="35">
        <v>1.4</v>
      </c>
      <c r="G3181" s="16" t="s">
        <v>45</v>
      </c>
      <c r="H3181" s="16" t="s">
        <v>45</v>
      </c>
      <c r="I3181" s="16">
        <f>COUNTIF(G$5:G3181,"Y")/COUNTA(G$5:G3181)</f>
        <v>0.88385269121813026</v>
      </c>
      <c r="J3181" s="16">
        <f>COUNTIF(H$5:H3181,"Y")/COUNTA(H$5:H3181)</f>
        <v>4.7843877872206488E-2</v>
      </c>
      <c r="K3181" s="16">
        <f>AVERAGE(F$5:F3181)</f>
        <v>2.2058860560276994</v>
      </c>
      <c r="L3181" s="16">
        <f>SUM(F$5:F3181)/SUM(E$5:E3181)</f>
        <v>0.7640921084192831</v>
      </c>
    </row>
    <row r="3182" spans="1:13" x14ac:dyDescent="0.25">
      <c r="A3182" s="29">
        <v>46149</v>
      </c>
      <c r="B3182" s="16" t="s">
        <v>3228</v>
      </c>
      <c r="C3182" s="34">
        <v>1</v>
      </c>
      <c r="D3182" s="16" t="s">
        <v>47</v>
      </c>
      <c r="E3182" s="35">
        <v>3.6</v>
      </c>
      <c r="F3182" s="35">
        <v>2.7</v>
      </c>
      <c r="G3182" s="16" t="s">
        <v>44</v>
      </c>
      <c r="H3182" s="16" t="s">
        <v>45</v>
      </c>
      <c r="I3182" s="16">
        <f>COUNTIF(G$5:G3182,"Y")/COUNTA(G$5:G3182)</f>
        <v>0.88388923851478918</v>
      </c>
      <c r="J3182" s="16">
        <f>COUNTIF(H$5:H3182,"Y")/COUNTA(H$5:H3182)</f>
        <v>4.7828823159219637E-2</v>
      </c>
      <c r="K3182" s="16">
        <f>AVERAGE(F$5:F3182)</f>
        <v>2.2060415355569543</v>
      </c>
      <c r="L3182" s="16">
        <f>SUM(F$5:F3182)/SUM(E$5:E3182)</f>
        <v>0.76408657933168911</v>
      </c>
    </row>
    <row r="3183" spans="1:13" x14ac:dyDescent="0.25">
      <c r="A3183" s="29">
        <v>46150</v>
      </c>
      <c r="B3183" s="16" t="s">
        <v>3229</v>
      </c>
      <c r="C3183" s="34">
        <v>1</v>
      </c>
      <c r="D3183" s="16" t="s">
        <v>47</v>
      </c>
      <c r="E3183" s="35">
        <v>2.6</v>
      </c>
      <c r="F3183" s="35">
        <v>1.7</v>
      </c>
      <c r="G3183" s="16" t="s">
        <v>44</v>
      </c>
      <c r="H3183" s="16" t="s">
        <v>45</v>
      </c>
      <c r="I3183" s="16">
        <f>COUNTIF(G$5:G3183,"Y")/COUNTA(G$5:G3183)</f>
        <v>0.88392576281849633</v>
      </c>
      <c r="J3183" s="16">
        <f>COUNTIF(H$5:H3183,"Y")/COUNTA(H$5:H3183)</f>
        <v>4.7813777917584149E-2</v>
      </c>
      <c r="K3183" s="16">
        <f>AVERAGE(F$5:F3183)</f>
        <v>2.2058823529411766</v>
      </c>
      <c r="L3183" s="16">
        <f>SUM(F$5:F3183)/SUM(E$5:E3183)</f>
        <v>0.76405534974939859</v>
      </c>
    </row>
    <row r="3184" spans="1:13" x14ac:dyDescent="0.25">
      <c r="A3184" s="29">
        <v>46146</v>
      </c>
      <c r="B3184" s="16" t="s">
        <v>3230</v>
      </c>
      <c r="C3184" s="34">
        <v>1</v>
      </c>
      <c r="D3184" s="16" t="s">
        <v>43</v>
      </c>
      <c r="E3184" s="35">
        <v>3.6</v>
      </c>
      <c r="F3184" s="35">
        <v>3</v>
      </c>
      <c r="G3184" s="16" t="s">
        <v>44</v>
      </c>
      <c r="H3184" s="16" t="s">
        <v>45</v>
      </c>
      <c r="I3184" s="16">
        <f>COUNTIF(G$5:G3184,"Y")/COUNTA(G$5:G3184)</f>
        <v>0.88396226415094337</v>
      </c>
      <c r="J3184" s="16">
        <f>COUNTIF(H$5:H3184,"Y")/COUNTA(H$5:H3184)</f>
        <v>4.7798742138364783E-2</v>
      </c>
      <c r="K3184" s="16">
        <f>AVERAGE(F$5:F3184)</f>
        <v>2.2061320754716984</v>
      </c>
      <c r="L3184" s="16">
        <f>SUM(F$5:F3184)/SUM(E$5:E3184)</f>
        <v>0.7640825128517883</v>
      </c>
    </row>
    <row r="3185" spans="1:12" x14ac:dyDescent="0.25">
      <c r="A3185" s="29">
        <v>46147</v>
      </c>
      <c r="B3185" s="16" t="s">
        <v>3231</v>
      </c>
      <c r="C3185" s="34">
        <v>1</v>
      </c>
      <c r="D3185" s="16" t="s">
        <v>50</v>
      </c>
      <c r="E3185" s="35">
        <v>2.8</v>
      </c>
      <c r="F3185" s="35">
        <v>2</v>
      </c>
      <c r="G3185" s="16" t="s">
        <v>44</v>
      </c>
      <c r="H3185" s="16" t="s">
        <v>45</v>
      </c>
      <c r="I3185" s="16">
        <f>COUNTIF(G$5:G3185,"Y")/COUNTA(G$5:G3185)</f>
        <v>0.8839987425337944</v>
      </c>
      <c r="J3185" s="16">
        <f>COUNTIF(H$5:H3185,"Y")/COUNTA(H$5:H3185)</f>
        <v>4.7783715812637538E-2</v>
      </c>
      <c r="K3185" s="16">
        <f>AVERAGE(F$5:F3185)</f>
        <v>2.2060672744419998</v>
      </c>
      <c r="L3185" s="16">
        <f>SUM(F$5:F3185)/SUM(E$5:E3185)</f>
        <v>0.76406733156221207</v>
      </c>
    </row>
    <row r="3186" spans="1:12" x14ac:dyDescent="0.25">
      <c r="A3186" s="29">
        <v>46148</v>
      </c>
      <c r="B3186" s="16" t="s">
        <v>3232</v>
      </c>
      <c r="C3186" s="34">
        <v>1</v>
      </c>
      <c r="D3186" s="16" t="s">
        <v>43</v>
      </c>
      <c r="E3186" s="35">
        <v>4.3</v>
      </c>
      <c r="F3186" s="35">
        <v>3.7</v>
      </c>
      <c r="G3186" s="16" t="s">
        <v>45</v>
      </c>
      <c r="H3186" s="16" t="s">
        <v>45</v>
      </c>
      <c r="I3186" s="16">
        <f>COUNTIF(G$5:G3186,"Y")/COUNTA(G$5:G3186)</f>
        <v>0.88372093023255816</v>
      </c>
      <c r="J3186" s="16">
        <f>COUNTIF(H$5:H3186,"Y")/COUNTA(H$5:H3186)</f>
        <v>4.7768698931489627E-2</v>
      </c>
      <c r="K3186" s="16">
        <f>AVERAGE(F$5:F3186)</f>
        <v>2.2065367693274673</v>
      </c>
      <c r="L3186" s="16">
        <f>SUM(F$5:F3186)/SUM(E$5:E3186)</f>
        <v>0.76411244245649335</v>
      </c>
    </row>
    <row r="3187" spans="1:12" x14ac:dyDescent="0.25">
      <c r="A3187" s="29">
        <v>46149</v>
      </c>
      <c r="B3187" s="16" t="s">
        <v>3233</v>
      </c>
      <c r="C3187" s="34">
        <v>1</v>
      </c>
      <c r="D3187" s="16" t="s">
        <v>56</v>
      </c>
      <c r="E3187" s="35">
        <v>1.9</v>
      </c>
      <c r="F3187" s="35">
        <v>1.7</v>
      </c>
      <c r="G3187" s="16" t="s">
        <v>44</v>
      </c>
      <c r="H3187" s="16" t="s">
        <v>44</v>
      </c>
      <c r="I3187" s="16">
        <f>COUNTIF(G$5:G3187,"Y")/COUNTA(G$5:G3187)</f>
        <v>0.88375746151429468</v>
      </c>
      <c r="J3187" s="16">
        <f>COUNTIF(H$5:H3187,"Y")/COUNTA(H$5:H3187)</f>
        <v>4.8067860508953821E-2</v>
      </c>
      <c r="K3187" s="16">
        <f>AVERAGE(F$5:F3187)</f>
        <v>2.2063776311655672</v>
      </c>
      <c r="L3187" s="16">
        <f>SUM(F$5:F3187)/SUM(E$5:E3187)</f>
        <v>0.7641394468261028</v>
      </c>
    </row>
    <row r="3188" spans="1:12" x14ac:dyDescent="0.25">
      <c r="A3188" s="29">
        <v>46150</v>
      </c>
      <c r="B3188" s="16" t="s">
        <v>3234</v>
      </c>
      <c r="C3188" s="34">
        <v>1</v>
      </c>
      <c r="D3188" s="16" t="s">
        <v>56</v>
      </c>
      <c r="E3188" s="35">
        <v>2.1</v>
      </c>
      <c r="F3188" s="35">
        <v>1.7</v>
      </c>
      <c r="G3188" s="16" t="s">
        <v>44</v>
      </c>
      <c r="H3188" s="16" t="s">
        <v>45</v>
      </c>
      <c r="I3188" s="16">
        <f>COUNTIF(G$5:G3188,"Y")/COUNTA(G$5:G3188)</f>
        <v>0.88379396984924619</v>
      </c>
      <c r="J3188" s="16">
        <f>COUNTIF(H$5:H3188,"Y")/COUNTA(H$5:H3188)</f>
        <v>4.8052763819095477E-2</v>
      </c>
      <c r="K3188" s="16">
        <f>AVERAGE(F$5:F3188)</f>
        <v>2.2062185929648241</v>
      </c>
      <c r="L3188" s="16">
        <f>SUM(F$5:F3188)/SUM(E$5:E3188)</f>
        <v>0.76414981452674191</v>
      </c>
    </row>
    <row r="3189" spans="1:12" x14ac:dyDescent="0.25">
      <c r="A3189" s="29">
        <v>46146</v>
      </c>
      <c r="B3189" s="16" t="s">
        <v>3235</v>
      </c>
      <c r="C3189" s="34">
        <v>1</v>
      </c>
      <c r="D3189" s="16" t="s">
        <v>50</v>
      </c>
      <c r="E3189" s="35">
        <v>2.2000000000000002</v>
      </c>
      <c r="F3189" s="35">
        <v>1.6</v>
      </c>
      <c r="G3189" s="16" t="s">
        <v>44</v>
      </c>
      <c r="H3189" s="16" t="s">
        <v>45</v>
      </c>
      <c r="I3189" s="16">
        <f>COUNTIF(G$5:G3189,"Y")/COUNTA(G$5:G3189)</f>
        <v>0.8838304552590267</v>
      </c>
      <c r="J3189" s="16">
        <f>COUNTIF(H$5:H3189,"Y")/COUNTA(H$5:H3189)</f>
        <v>4.8037676609105177E-2</v>
      </c>
      <c r="K3189" s="16">
        <f>AVERAGE(F$5:F3189)</f>
        <v>2.2060282574568291</v>
      </c>
      <c r="L3189" s="16">
        <f>SUM(F$5:F3189)/SUM(E$5:E3189)</f>
        <v>0.76414099120164225</v>
      </c>
    </row>
    <row r="3190" spans="1:12" x14ac:dyDescent="0.25">
      <c r="A3190" s="29">
        <v>46147</v>
      </c>
      <c r="B3190" s="16" t="s">
        <v>3236</v>
      </c>
      <c r="C3190" s="34">
        <v>1</v>
      </c>
      <c r="D3190" s="16" t="s">
        <v>64</v>
      </c>
      <c r="E3190" s="35">
        <v>5.8</v>
      </c>
      <c r="F3190" s="35">
        <v>4.0999999999999996</v>
      </c>
      <c r="G3190" s="16" t="s">
        <v>44</v>
      </c>
      <c r="H3190" s="16" t="s">
        <v>45</v>
      </c>
      <c r="I3190" s="16">
        <f>COUNTIF(G$5:G3190,"Y")/COUNTA(G$5:G3190)</f>
        <v>0.88386691776522286</v>
      </c>
      <c r="J3190" s="16">
        <f>COUNTIF(H$5:H3190,"Y")/COUNTA(H$5:H3190)</f>
        <v>4.8022598870056499E-2</v>
      </c>
      <c r="K3190" s="16">
        <f>AVERAGE(F$5:F3190)</f>
        <v>2.206622724419335</v>
      </c>
      <c r="L3190" s="16">
        <f>SUM(F$5:F3190)/SUM(E$5:E3190)</f>
        <v>0.76410490506156936</v>
      </c>
    </row>
    <row r="3191" spans="1:12" x14ac:dyDescent="0.25">
      <c r="A3191" s="29">
        <v>46148</v>
      </c>
      <c r="B3191" s="16" t="s">
        <v>3237</v>
      </c>
      <c r="C3191" s="34">
        <v>1</v>
      </c>
      <c r="D3191" s="16" t="s">
        <v>56</v>
      </c>
      <c r="E3191" s="35">
        <v>3.9</v>
      </c>
      <c r="F3191" s="35">
        <v>3.3</v>
      </c>
      <c r="G3191" s="16" t="s">
        <v>44</v>
      </c>
      <c r="H3191" s="16" t="s">
        <v>45</v>
      </c>
      <c r="I3191" s="16">
        <f>COUNTIF(G$5:G3191,"Y")/COUNTA(G$5:G3191)</f>
        <v>0.88390335738939441</v>
      </c>
      <c r="J3191" s="16">
        <f>COUNTIF(H$5:H3191,"Y")/COUNTA(H$5:H3191)</f>
        <v>4.8007530593034205E-2</v>
      </c>
      <c r="K3191" s="16">
        <f>AVERAGE(F$5:F3191)</f>
        <v>2.2069657985566367</v>
      </c>
      <c r="L3191" s="16">
        <f>SUM(F$5:F3191)/SUM(E$5:E3191)</f>
        <v>0.76413966929578492</v>
      </c>
    </row>
    <row r="3192" spans="1:12" x14ac:dyDescent="0.25">
      <c r="A3192" s="29">
        <v>46149</v>
      </c>
      <c r="B3192" s="16" t="s">
        <v>3238</v>
      </c>
      <c r="C3192" s="34">
        <v>1</v>
      </c>
      <c r="D3192" s="16" t="s">
        <v>52</v>
      </c>
      <c r="E3192" s="35">
        <v>2.2000000000000002</v>
      </c>
      <c r="F3192" s="35">
        <v>1.7</v>
      </c>
      <c r="G3192" s="16" t="s">
        <v>44</v>
      </c>
      <c r="H3192" s="16" t="s">
        <v>45</v>
      </c>
      <c r="I3192" s="16">
        <f>COUNTIF(G$5:G3192,"Y")/COUNTA(G$5:G3192)</f>
        <v>0.88393977415307401</v>
      </c>
      <c r="J3192" s="16">
        <f>COUNTIF(H$5:H3192,"Y")/COUNTA(H$5:H3192)</f>
        <v>4.7992471769134251E-2</v>
      </c>
      <c r="K3192" s="16">
        <f>AVERAGE(F$5:F3192)</f>
        <v>2.2068067754077796</v>
      </c>
      <c r="L3192" s="16">
        <f>SUM(F$5:F3192)/SUM(E$5:E3192)</f>
        <v>0.76414172133640146</v>
      </c>
    </row>
    <row r="3193" spans="1:12" x14ac:dyDescent="0.25">
      <c r="A3193" s="29">
        <v>46150</v>
      </c>
      <c r="B3193" s="16" t="s">
        <v>3239</v>
      </c>
      <c r="C3193" s="34">
        <v>1</v>
      </c>
      <c r="D3193" s="16" t="s">
        <v>50</v>
      </c>
      <c r="E3193" s="35">
        <v>4.9000000000000004</v>
      </c>
      <c r="F3193" s="35">
        <v>4.0999999999999996</v>
      </c>
      <c r="G3193" s="16" t="s">
        <v>44</v>
      </c>
      <c r="H3193" s="16" t="s">
        <v>45</v>
      </c>
      <c r="I3193" s="16">
        <f>COUNTIF(G$5:G3193,"Y")/COUNTA(G$5:G3193)</f>
        <v>0.88397616807776735</v>
      </c>
      <c r="J3193" s="16">
        <f>COUNTIF(H$5:H3193,"Y")/COUNTA(H$5:H3193)</f>
        <v>4.7977422389463779E-2</v>
      </c>
      <c r="K3193" s="16">
        <f>AVERAGE(F$5:F3193)</f>
        <v>2.2074004390090942</v>
      </c>
      <c r="L3193" s="16">
        <f>SUM(F$5:F3193)/SUM(E$5:E3193)</f>
        <v>0.76418033587719758</v>
      </c>
    </row>
    <row r="3194" spans="1:12" x14ac:dyDescent="0.25">
      <c r="A3194" s="29">
        <v>46146</v>
      </c>
      <c r="B3194" s="16" t="s">
        <v>3240</v>
      </c>
      <c r="C3194" s="34">
        <v>1</v>
      </c>
      <c r="D3194" s="16" t="s">
        <v>64</v>
      </c>
      <c r="E3194" s="35">
        <v>4.0999999999999996</v>
      </c>
      <c r="F3194" s="35">
        <v>3</v>
      </c>
      <c r="G3194" s="16" t="s">
        <v>44</v>
      </c>
      <c r="H3194" s="16" t="s">
        <v>45</v>
      </c>
      <c r="I3194" s="16">
        <f>COUNTIF(G$5:G3194,"Y")/COUNTA(G$5:G3194)</f>
        <v>0.88401253918495293</v>
      </c>
      <c r="J3194" s="16">
        <f>COUNTIF(H$5:H3194,"Y")/COUNTA(H$5:H3194)</f>
        <v>4.7962382445141068E-2</v>
      </c>
      <c r="K3194" s="16">
        <f>AVERAGE(F$5:F3194)</f>
        <v>2.2076489028213171</v>
      </c>
      <c r="L3194" s="16">
        <f>SUM(F$5:F3194)/SUM(E$5:E3194)</f>
        <v>0.76416588901668669</v>
      </c>
    </row>
    <row r="3195" spans="1:12" x14ac:dyDescent="0.25">
      <c r="A3195" s="29">
        <v>46147</v>
      </c>
      <c r="B3195" s="16" t="s">
        <v>3241</v>
      </c>
      <c r="C3195" s="34">
        <v>1</v>
      </c>
      <c r="D3195" s="16" t="s">
        <v>43</v>
      </c>
      <c r="E3195" s="35">
        <v>3.9</v>
      </c>
      <c r="F3195" s="35">
        <v>2.9</v>
      </c>
      <c r="G3195" s="16" t="s">
        <v>44</v>
      </c>
      <c r="H3195" s="16" t="s">
        <v>45</v>
      </c>
      <c r="I3195" s="16">
        <f>COUNTIF(G$5:G3195,"Y")/COUNTA(G$5:G3195)</f>
        <v>0.88404888749608268</v>
      </c>
      <c r="J3195" s="16">
        <f>COUNTIF(H$5:H3195,"Y")/COUNTA(H$5:H3195)</f>
        <v>4.7947351927295517E-2</v>
      </c>
      <c r="K3195" s="16">
        <f>AVERAGE(F$5:F3195)</f>
        <v>2.2078658727671581</v>
      </c>
      <c r="L3195" s="16">
        <f>SUM(F$5:F3195)/SUM(E$5:E3195)</f>
        <v>0.76415718515786646</v>
      </c>
    </row>
    <row r="3196" spans="1:12" x14ac:dyDescent="0.25">
      <c r="A3196" s="29">
        <v>46148</v>
      </c>
      <c r="B3196" s="16" t="s">
        <v>3242</v>
      </c>
      <c r="C3196" s="34">
        <v>1</v>
      </c>
      <c r="D3196" s="16" t="s">
        <v>52</v>
      </c>
      <c r="E3196" s="35">
        <v>2.6</v>
      </c>
      <c r="F3196" s="35">
        <v>2</v>
      </c>
      <c r="G3196" s="16" t="s">
        <v>44</v>
      </c>
      <c r="H3196" s="16" t="s">
        <v>44</v>
      </c>
      <c r="I3196" s="16">
        <f>COUNTIF(G$5:G3196,"Y")/COUNTA(G$5:G3196)</f>
        <v>0.88408521303258147</v>
      </c>
      <c r="J3196" s="16">
        <f>COUNTIF(H$5:H3196,"Y")/COUNTA(H$5:H3196)</f>
        <v>4.8245614035087717E-2</v>
      </c>
      <c r="K3196" s="16">
        <f>AVERAGE(F$5:F3196)</f>
        <v>2.2078007518796996</v>
      </c>
      <c r="L3196" s="16">
        <f>SUM(F$5:F3196)/SUM(E$5:E3196)</f>
        <v>0.76415861552974651</v>
      </c>
    </row>
    <row r="3197" spans="1:12" x14ac:dyDescent="0.25">
      <c r="A3197" s="29">
        <v>46149</v>
      </c>
      <c r="B3197" s="16" t="s">
        <v>3243</v>
      </c>
      <c r="C3197" s="34">
        <v>1</v>
      </c>
      <c r="D3197" s="16" t="s">
        <v>50</v>
      </c>
      <c r="E3197" s="35">
        <v>5.2</v>
      </c>
      <c r="F3197" s="35">
        <v>3.6</v>
      </c>
      <c r="G3197" s="16" t="s">
        <v>44</v>
      </c>
      <c r="H3197" s="16" t="s">
        <v>45</v>
      </c>
      <c r="I3197" s="16">
        <f>COUNTIF(G$5:G3197,"Y")/COUNTA(G$5:G3197)</f>
        <v>0.88412151581584719</v>
      </c>
      <c r="J3197" s="16">
        <f>COUNTIF(H$5:H3197,"Y")/COUNTA(H$5:H3197)</f>
        <v>4.8230504227998745E-2</v>
      </c>
      <c r="K3197" s="16">
        <f>AVERAGE(F$5:F3197)</f>
        <v>2.2082367679298471</v>
      </c>
      <c r="L3197" s="16">
        <f>SUM(F$5:F3197)/SUM(E$5:E3197)</f>
        <v>0.76411812516932875</v>
      </c>
    </row>
    <row r="3198" spans="1:12" x14ac:dyDescent="0.25">
      <c r="A3198" s="29">
        <v>46150</v>
      </c>
      <c r="B3198" s="16" t="s">
        <v>3244</v>
      </c>
      <c r="C3198" s="34">
        <v>1</v>
      </c>
      <c r="D3198" s="16" t="s">
        <v>60</v>
      </c>
      <c r="E3198" s="35">
        <v>3.8</v>
      </c>
      <c r="F3198" s="35">
        <v>2.7</v>
      </c>
      <c r="G3198" s="16" t="s">
        <v>44</v>
      </c>
      <c r="H3198" s="16" t="s">
        <v>45</v>
      </c>
      <c r="I3198" s="16">
        <f>COUNTIF(G$5:G3198,"Y")/COUNTA(G$5:G3198)</f>
        <v>0.88415779586725107</v>
      </c>
      <c r="J3198" s="16">
        <f>COUNTIF(H$5:H3198,"Y")/COUNTA(H$5:H3198)</f>
        <v>4.8215403882279274E-2</v>
      </c>
      <c r="K3198" s="16">
        <f>AVERAGE(F$5:F3198)</f>
        <v>2.2083907326236698</v>
      </c>
      <c r="L3198" s="16">
        <f>SUM(F$5:F3198)/SUM(E$5:E3198)</f>
        <v>0.76409606447629053</v>
      </c>
    </row>
    <row r="3199" spans="1:12" x14ac:dyDescent="0.25">
      <c r="A3199" s="29">
        <v>46146</v>
      </c>
      <c r="B3199" s="16" t="s">
        <v>3245</v>
      </c>
      <c r="C3199" s="34">
        <v>1</v>
      </c>
      <c r="D3199" s="16" t="s">
        <v>50</v>
      </c>
      <c r="E3199" s="35">
        <v>5</v>
      </c>
      <c r="F3199" s="35">
        <v>4</v>
      </c>
      <c r="G3199" s="16" t="s">
        <v>44</v>
      </c>
      <c r="H3199" s="16" t="s">
        <v>45</v>
      </c>
      <c r="I3199" s="16">
        <f>COUNTIF(G$5:G3199,"Y")/COUNTA(G$5:G3199)</f>
        <v>0.88419405320813771</v>
      </c>
      <c r="J3199" s="16">
        <f>COUNTIF(H$5:H3199,"Y")/COUNTA(H$5:H3199)</f>
        <v>4.8200312989045382E-2</v>
      </c>
      <c r="K3199" s="16">
        <f>AVERAGE(F$5:F3199)</f>
        <v>2.2089514866979658</v>
      </c>
      <c r="L3199" s="16">
        <f>SUM(F$5:F3199)/SUM(E$5:E3199)</f>
        <v>0.76411550079577117</v>
      </c>
    </row>
    <row r="3200" spans="1:12" x14ac:dyDescent="0.25">
      <c r="A3200" s="29">
        <v>46147</v>
      </c>
      <c r="B3200" s="16" t="s">
        <v>3246</v>
      </c>
      <c r="C3200" s="34">
        <v>1</v>
      </c>
      <c r="D3200" s="16" t="s">
        <v>60</v>
      </c>
      <c r="E3200" s="35">
        <v>4</v>
      </c>
      <c r="F3200" s="35">
        <v>3.4</v>
      </c>
      <c r="G3200" s="16" t="s">
        <v>45</v>
      </c>
      <c r="H3200" s="16" t="s">
        <v>45</v>
      </c>
      <c r="I3200" s="16">
        <f>COUNTIF(G$5:G3200,"Y")/COUNTA(G$5:G3200)</f>
        <v>0.88391739674593239</v>
      </c>
      <c r="J3200" s="16">
        <f>COUNTIF(H$5:H3200,"Y")/COUNTA(H$5:H3200)</f>
        <v>4.8185231539424278E-2</v>
      </c>
      <c r="K3200" s="16">
        <f>AVERAGE(F$5:F3200)</f>
        <v>2.2093241551939928</v>
      </c>
      <c r="L3200" s="16">
        <f>SUM(F$5:F3200)/SUM(E$5:E3200)</f>
        <v>0.76415267902557071</v>
      </c>
    </row>
    <row r="3201" spans="1:12" x14ac:dyDescent="0.25">
      <c r="A3201" s="29">
        <v>46148</v>
      </c>
      <c r="B3201" s="16" t="s">
        <v>3247</v>
      </c>
      <c r="C3201" s="34">
        <v>1</v>
      </c>
      <c r="D3201" s="16" t="s">
        <v>52</v>
      </c>
      <c r="E3201" s="35">
        <v>1.7</v>
      </c>
      <c r="F3201" s="35">
        <v>1.3</v>
      </c>
      <c r="G3201" s="16" t="s">
        <v>44</v>
      </c>
      <c r="H3201" s="16" t="s">
        <v>45</v>
      </c>
      <c r="I3201" s="16">
        <f>COUNTIF(G$5:G3201,"Y")/COUNTA(G$5:G3201)</f>
        <v>0.88395370659993744</v>
      </c>
      <c r="J3201" s="16">
        <f>COUNTIF(H$5:H3201,"Y")/COUNTA(H$5:H3201)</f>
        <v>4.8170159524554272E-2</v>
      </c>
      <c r="K3201" s="16">
        <f>AVERAGE(F$5:F3201)</f>
        <v>2.2090397247419458</v>
      </c>
      <c r="L3201" s="16">
        <f>SUM(F$5:F3201)/SUM(E$5:E3201)</f>
        <v>0.76415278078337812</v>
      </c>
    </row>
    <row r="3202" spans="1:12" x14ac:dyDescent="0.25">
      <c r="A3202" s="29">
        <v>46149</v>
      </c>
      <c r="B3202" s="16" t="s">
        <v>3248</v>
      </c>
      <c r="C3202" s="34">
        <v>1</v>
      </c>
      <c r="D3202" s="16" t="s">
        <v>50</v>
      </c>
      <c r="E3202" s="35">
        <v>4.5999999999999996</v>
      </c>
      <c r="F3202" s="35">
        <v>3.3</v>
      </c>
      <c r="G3202" s="16" t="s">
        <v>44</v>
      </c>
      <c r="H3202" s="16" t="s">
        <v>45</v>
      </c>
      <c r="I3202" s="16">
        <f>COUNTIF(G$5:G3202,"Y")/COUNTA(G$5:G3202)</f>
        <v>0.88398999374609133</v>
      </c>
      <c r="J3202" s="16">
        <f>COUNTIF(H$5:H3202,"Y")/COUNTA(H$5:H3202)</f>
        <v>4.8155096935584743E-2</v>
      </c>
      <c r="K3202" s="16">
        <f>AVERAGE(F$5:F3202)</f>
        <v>2.2093808630393998</v>
      </c>
      <c r="L3202" s="16">
        <f>SUM(F$5:F3202)/SUM(E$5:E3202)</f>
        <v>0.76412951787683903</v>
      </c>
    </row>
    <row r="3203" spans="1:12" x14ac:dyDescent="0.25">
      <c r="A3203" s="29">
        <v>46150</v>
      </c>
      <c r="B3203" s="16" t="s">
        <v>3249</v>
      </c>
      <c r="C3203" s="34">
        <v>1</v>
      </c>
      <c r="D3203" s="16" t="s">
        <v>64</v>
      </c>
      <c r="E3203" s="35">
        <v>4.2</v>
      </c>
      <c r="F3203" s="35">
        <v>3.6</v>
      </c>
      <c r="G3203" s="16" t="s">
        <v>44</v>
      </c>
      <c r="H3203" s="16" t="s">
        <v>45</v>
      </c>
      <c r="I3203" s="16">
        <f>COUNTIF(G$5:G3203,"Y")/COUNTA(G$5:G3203)</f>
        <v>0.88402625820568925</v>
      </c>
      <c r="J3203" s="16">
        <f>COUNTIF(H$5:H3203,"Y")/COUNTA(H$5:H3203)</f>
        <v>4.8140043763676151E-2</v>
      </c>
      <c r="K3203" s="16">
        <f>AVERAGE(F$5:F3203)</f>
        <v>2.2098155673648021</v>
      </c>
      <c r="L3203" s="16">
        <f>SUM(F$5:F3203)/SUM(E$5:E3203)</f>
        <v>0.7641717473083387</v>
      </c>
    </row>
    <row r="3204" spans="1:12" x14ac:dyDescent="0.25">
      <c r="A3204" s="29">
        <v>46146</v>
      </c>
      <c r="B3204" s="16" t="s">
        <v>3250</v>
      </c>
      <c r="C3204" s="34">
        <v>1</v>
      </c>
      <c r="D3204" s="16" t="s">
        <v>56</v>
      </c>
      <c r="E3204" s="35">
        <v>4.8</v>
      </c>
      <c r="F3204" s="35">
        <v>3.4</v>
      </c>
      <c r="G3204" s="16" t="s">
        <v>44</v>
      </c>
      <c r="H3204" s="16" t="s">
        <v>45</v>
      </c>
      <c r="I3204" s="16">
        <f>COUNTIF(G$5:G3204,"Y")/COUNTA(G$5:G3204)</f>
        <v>0.88406249999999997</v>
      </c>
      <c r="J3204" s="16">
        <f>COUNTIF(H$5:H3204,"Y")/COUNTA(H$5:H3204)</f>
        <v>4.8125000000000001E-2</v>
      </c>
      <c r="K3204" s="16">
        <f>AVERAGE(F$5:F3204)</f>
        <v>2.2101875000000004</v>
      </c>
      <c r="L3204" s="16">
        <f>SUM(F$5:F3204)/SUM(E$5:E3204)</f>
        <v>0.76414278923030166</v>
      </c>
    </row>
    <row r="3205" spans="1:12" x14ac:dyDescent="0.25">
      <c r="A3205" s="29">
        <v>46147</v>
      </c>
      <c r="B3205" s="16" t="s">
        <v>3251</v>
      </c>
      <c r="C3205" s="34">
        <v>1</v>
      </c>
      <c r="D3205" s="16" t="s">
        <v>56</v>
      </c>
      <c r="E3205" s="35">
        <v>1.7</v>
      </c>
      <c r="F3205" s="35">
        <v>1.2</v>
      </c>
      <c r="G3205" s="16" t="s">
        <v>44</v>
      </c>
      <c r="H3205" s="16" t="s">
        <v>45</v>
      </c>
      <c r="I3205" s="16">
        <f>COUNTIF(G$5:G3205,"Y")/COUNTA(G$5:G3205)</f>
        <v>0.8840987191502655</v>
      </c>
      <c r="J3205" s="16">
        <f>COUNTIF(H$5:H3205,"Y")/COUNTA(H$5:H3205)</f>
        <v>4.8109965635738834E-2</v>
      </c>
      <c r="K3205" s="16">
        <f>AVERAGE(F$5:F3205)</f>
        <v>2.2098719150265547</v>
      </c>
      <c r="L3205" s="16">
        <f>SUM(F$5:F3205)/SUM(E$5:E3205)</f>
        <v>0.76413209035031593</v>
      </c>
    </row>
    <row r="3206" spans="1:12" x14ac:dyDescent="0.25">
      <c r="A3206" s="29">
        <v>46148</v>
      </c>
      <c r="B3206" s="16" t="s">
        <v>3252</v>
      </c>
      <c r="C3206" s="34">
        <v>1</v>
      </c>
      <c r="D3206" s="16" t="s">
        <v>50</v>
      </c>
      <c r="E3206" s="35">
        <v>1.9</v>
      </c>
      <c r="F3206" s="35">
        <v>1.4</v>
      </c>
      <c r="G3206" s="16" t="s">
        <v>44</v>
      </c>
      <c r="H3206" s="16" t="s">
        <v>45</v>
      </c>
      <c r="I3206" s="16">
        <f>COUNTIF(G$5:G3206,"Y")/COUNTA(G$5:G3206)</f>
        <v>0.88413491567770142</v>
      </c>
      <c r="J3206" s="16">
        <f>COUNTIF(H$5:H3206,"Y")/COUNTA(H$5:H3206)</f>
        <v>4.8094940662086194E-2</v>
      </c>
      <c r="K3206" s="16">
        <f>AVERAGE(F$5:F3206)</f>
        <v>2.2096189881324175</v>
      </c>
      <c r="L3206" s="16">
        <f>SUM(F$5:F3206)/SUM(E$5:E3206)</f>
        <v>0.7641264904095364</v>
      </c>
    </row>
    <row r="3207" spans="1:12" x14ac:dyDescent="0.25">
      <c r="A3207" s="29">
        <v>46149</v>
      </c>
      <c r="B3207" s="16" t="s">
        <v>3253</v>
      </c>
      <c r="C3207" s="34">
        <v>1</v>
      </c>
      <c r="D3207" s="16" t="s">
        <v>52</v>
      </c>
      <c r="E3207" s="35">
        <v>5</v>
      </c>
      <c r="F3207" s="35">
        <v>3.9</v>
      </c>
      <c r="G3207" s="16" t="s">
        <v>44</v>
      </c>
      <c r="H3207" s="16" t="s">
        <v>45</v>
      </c>
      <c r="I3207" s="16">
        <f>COUNTIF(G$5:G3207,"Y")/COUNTA(G$5:G3207)</f>
        <v>0.88417108960349677</v>
      </c>
      <c r="J3207" s="16">
        <f>COUNTIF(H$5:H3207,"Y")/COUNTA(H$5:H3207)</f>
        <v>4.8079925070246644E-2</v>
      </c>
      <c r="K3207" s="16">
        <f>AVERAGE(F$5:F3207)</f>
        <v>2.2101467374336559</v>
      </c>
      <c r="L3207" s="16">
        <f>SUM(F$5:F3207)/SUM(E$5:E3207)</f>
        <v>0.76413505753329791</v>
      </c>
    </row>
    <row r="3208" spans="1:12" x14ac:dyDescent="0.25">
      <c r="A3208" s="29">
        <v>46150</v>
      </c>
      <c r="B3208" s="16" t="s">
        <v>3254</v>
      </c>
      <c r="C3208" s="34">
        <v>1</v>
      </c>
      <c r="D3208" s="16" t="s">
        <v>64</v>
      </c>
      <c r="E3208" s="35">
        <v>4.5</v>
      </c>
      <c r="F3208" s="35">
        <v>3.2</v>
      </c>
      <c r="G3208" s="16" t="s">
        <v>44</v>
      </c>
      <c r="H3208" s="16" t="s">
        <v>45</v>
      </c>
      <c r="I3208" s="16">
        <f>COUNTIF(G$5:G3208,"Y")/COUNTA(G$5:G3208)</f>
        <v>0.88420724094881398</v>
      </c>
      <c r="J3208" s="16">
        <f>COUNTIF(H$5:H3208,"Y")/COUNTA(H$5:H3208)</f>
        <v>4.8064918851435705E-2</v>
      </c>
      <c r="K3208" s="16">
        <f>AVERAGE(F$5:F3208)</f>
        <v>2.2104556803995008</v>
      </c>
      <c r="L3208" s="16">
        <f>SUM(F$5:F3208)/SUM(E$5:E3208)</f>
        <v>0.76410931414329719</v>
      </c>
    </row>
    <row r="3209" spans="1:12" x14ac:dyDescent="0.25">
      <c r="A3209" s="29">
        <v>46146</v>
      </c>
      <c r="B3209" s="16" t="s">
        <v>3255</v>
      </c>
      <c r="C3209" s="34">
        <v>1</v>
      </c>
      <c r="D3209" s="16" t="s">
        <v>60</v>
      </c>
      <c r="E3209" s="35">
        <v>1.6</v>
      </c>
      <c r="F3209" s="35">
        <v>1.3</v>
      </c>
      <c r="G3209" s="16" t="s">
        <v>44</v>
      </c>
      <c r="H3209" s="16" t="s">
        <v>45</v>
      </c>
      <c r="I3209" s="16">
        <f>COUNTIF(G$5:G3209,"Y")/COUNTA(G$5:G3209)</f>
        <v>0.88424336973478934</v>
      </c>
      <c r="J3209" s="16">
        <f>COUNTIF(H$5:H3209,"Y")/COUNTA(H$5:H3209)</f>
        <v>4.8049921996879873E-2</v>
      </c>
      <c r="K3209" s="16">
        <f>AVERAGE(F$5:F3209)</f>
        <v>2.2101716068642747</v>
      </c>
      <c r="L3209" s="16">
        <f>SUM(F$5:F3209)/SUM(E$5:E3209)</f>
        <v>0.76411766609494614</v>
      </c>
    </row>
    <row r="3210" spans="1:12" x14ac:dyDescent="0.25">
      <c r="A3210" s="29">
        <v>46147</v>
      </c>
      <c r="B3210" s="16" t="s">
        <v>3256</v>
      </c>
      <c r="C3210" s="34">
        <v>1</v>
      </c>
      <c r="D3210" s="16" t="s">
        <v>56</v>
      </c>
      <c r="E3210" s="35">
        <v>4.9000000000000004</v>
      </c>
      <c r="F3210" s="35">
        <v>3.7</v>
      </c>
      <c r="G3210" s="16" t="s">
        <v>45</v>
      </c>
      <c r="H3210" s="16" t="s">
        <v>45</v>
      </c>
      <c r="I3210" s="16">
        <f>COUNTIF(G$5:G3210,"Y")/COUNTA(G$5:G3210)</f>
        <v>0.88396756082345607</v>
      </c>
      <c r="J3210" s="16">
        <f>COUNTIF(H$5:H3210,"Y")/COUNTA(H$5:H3210)</f>
        <v>4.8034934497816595E-2</v>
      </c>
      <c r="K3210" s="16">
        <f>AVERAGE(F$5:F3210)</f>
        <v>2.2106363069245165</v>
      </c>
      <c r="L3210" s="16">
        <f>SUM(F$5:F3210)/SUM(E$5:E3210)</f>
        <v>0.76411290322580416</v>
      </c>
    </row>
    <row r="3211" spans="1:12" x14ac:dyDescent="0.25">
      <c r="A3211" s="29">
        <v>46148</v>
      </c>
      <c r="B3211" s="16" t="s">
        <v>3257</v>
      </c>
      <c r="C3211" s="34">
        <v>1</v>
      </c>
      <c r="D3211" s="16" t="s">
        <v>64</v>
      </c>
      <c r="E3211" s="35">
        <v>4.5</v>
      </c>
      <c r="F3211" s="35">
        <v>3.4</v>
      </c>
      <c r="G3211" s="16" t="s">
        <v>44</v>
      </c>
      <c r="H3211" s="16" t="s">
        <v>45</v>
      </c>
      <c r="I3211" s="16">
        <f>COUNTIF(G$5:G3211,"Y")/COUNTA(G$5:G3211)</f>
        <v>0.88400374181478014</v>
      </c>
      <c r="J3211" s="16">
        <f>COUNTIF(H$5:H3211,"Y")/COUNTA(H$5:H3211)</f>
        <v>4.8019956345494233E-2</v>
      </c>
      <c r="K3211" s="16">
        <f>AVERAGE(F$5:F3211)</f>
        <v>2.2110071718116617</v>
      </c>
      <c r="L3211" s="16">
        <f>SUM(F$5:F3211)/SUM(E$5:E3211)</f>
        <v>0.76410875351573637</v>
      </c>
    </row>
    <row r="3212" spans="1:12" x14ac:dyDescent="0.25">
      <c r="A3212" s="29">
        <v>46149</v>
      </c>
      <c r="B3212" s="16" t="s">
        <v>3258</v>
      </c>
      <c r="C3212" s="34">
        <v>1</v>
      </c>
      <c r="D3212" s="16" t="s">
        <v>60</v>
      </c>
      <c r="E3212" s="35">
        <v>3.8</v>
      </c>
      <c r="F3212" s="35">
        <v>2.6</v>
      </c>
      <c r="G3212" s="16" t="s">
        <v>44</v>
      </c>
      <c r="H3212" s="16" t="s">
        <v>45</v>
      </c>
      <c r="I3212" s="16">
        <f>COUNTIF(G$5:G3212,"Y")/COUNTA(G$5:G3212)</f>
        <v>0.88403990024937651</v>
      </c>
      <c r="J3212" s="16">
        <f>COUNTIF(H$5:H3212,"Y")/COUNTA(H$5:H3212)</f>
        <v>4.8004987531172071E-2</v>
      </c>
      <c r="K3212" s="16">
        <f>AVERAGE(F$5:F3212)</f>
        <v>2.2111284289276809</v>
      </c>
      <c r="L3212" s="16">
        <f>SUM(F$5:F3212)/SUM(E$5:E3212)</f>
        <v>0.76407604890396719</v>
      </c>
    </row>
    <row r="3213" spans="1:12" x14ac:dyDescent="0.25">
      <c r="A3213" s="29">
        <v>46150</v>
      </c>
      <c r="B3213" s="16" t="s">
        <v>3259</v>
      </c>
      <c r="C3213" s="34">
        <v>1</v>
      </c>
      <c r="D3213" s="16" t="s">
        <v>60</v>
      </c>
      <c r="E3213" s="35">
        <v>2.6</v>
      </c>
      <c r="F3213" s="35">
        <v>1.7</v>
      </c>
      <c r="G3213" s="16" t="s">
        <v>44</v>
      </c>
      <c r="H3213" s="16" t="s">
        <v>45</v>
      </c>
      <c r="I3213" s="16">
        <f>COUNTIF(G$5:G3213,"Y")/COUNTA(G$5:G3213)</f>
        <v>0.88407603614833286</v>
      </c>
      <c r="J3213" s="16">
        <f>COUNTIF(H$5:H3213,"Y")/COUNTA(H$5:H3213)</f>
        <v>4.7990028046120285E-2</v>
      </c>
      <c r="K3213" s="16">
        <f>AVERAGE(F$5:F3213)</f>
        <v>2.2109691492676848</v>
      </c>
      <c r="L3213" s="16">
        <f>SUM(F$5:F3213)/SUM(E$5:E3213)</f>
        <v>0.76404518581535619</v>
      </c>
    </row>
    <row r="3214" spans="1:12" x14ac:dyDescent="0.25">
      <c r="A3214" s="29">
        <v>46146</v>
      </c>
      <c r="B3214" s="16" t="s">
        <v>3260</v>
      </c>
      <c r="C3214" s="34">
        <v>1</v>
      </c>
      <c r="D3214" s="16" t="s">
        <v>56</v>
      </c>
      <c r="E3214" s="35">
        <v>0.7</v>
      </c>
      <c r="F3214" s="35">
        <v>0.5</v>
      </c>
      <c r="G3214" s="16" t="s">
        <v>44</v>
      </c>
      <c r="H3214" s="16" t="s">
        <v>45</v>
      </c>
      <c r="I3214" s="16">
        <f>COUNTIF(G$5:G3214,"Y")/COUNTA(G$5:G3214)</f>
        <v>0.88411214953271033</v>
      </c>
      <c r="J3214" s="16">
        <f>COUNTIF(H$5:H3214,"Y")/COUNTA(H$5:H3214)</f>
        <v>4.7975077881619935E-2</v>
      </c>
      <c r="K3214" s="16">
        <f>AVERAGE(F$5:F3214)</f>
        <v>2.210436137071651</v>
      </c>
      <c r="L3214" s="16">
        <f>SUM(F$5:F3214)/SUM(E$5:E3214)</f>
        <v>0.76404143515527179</v>
      </c>
    </row>
    <row r="3215" spans="1:12" x14ac:dyDescent="0.25">
      <c r="A3215" s="29">
        <v>46147</v>
      </c>
      <c r="B3215" s="16" t="s">
        <v>3261</v>
      </c>
      <c r="C3215" s="34">
        <v>1</v>
      </c>
      <c r="D3215" s="16" t="s">
        <v>52</v>
      </c>
      <c r="E3215" s="35">
        <v>0.6</v>
      </c>
      <c r="F3215" s="35">
        <v>0.5</v>
      </c>
      <c r="G3215" s="16" t="s">
        <v>44</v>
      </c>
      <c r="H3215" s="16" t="s">
        <v>45</v>
      </c>
      <c r="I3215" s="16">
        <f>COUNTIF(G$5:G3215,"Y")/COUNTA(G$5:G3215)</f>
        <v>0.88414824042354412</v>
      </c>
      <c r="J3215" s="16">
        <f>COUNTIF(H$5:H3215,"Y")/COUNTA(H$5:H3215)</f>
        <v>4.7960137028962943E-2</v>
      </c>
      <c r="K3215" s="16">
        <f>AVERAGE(F$5:F3215)</f>
        <v>2.2099034568670195</v>
      </c>
      <c r="L3215" s="16">
        <f>SUM(F$5:F3215)/SUM(E$5:E3215)</f>
        <v>0.76404591166526459</v>
      </c>
    </row>
    <row r="3216" spans="1:12" x14ac:dyDescent="0.25">
      <c r="A3216" s="29">
        <v>46148</v>
      </c>
      <c r="B3216" s="16" t="s">
        <v>3262</v>
      </c>
      <c r="C3216" s="34">
        <v>1</v>
      </c>
      <c r="D3216" s="16" t="s">
        <v>52</v>
      </c>
      <c r="E3216" s="35">
        <v>0.7</v>
      </c>
      <c r="F3216" s="35">
        <v>0.5</v>
      </c>
      <c r="G3216" s="16" t="s">
        <v>45</v>
      </c>
      <c r="H3216" s="16" t="s">
        <v>45</v>
      </c>
      <c r="I3216" s="16">
        <f>COUNTIF(G$5:G3216,"Y")/COUNTA(G$5:G3216)</f>
        <v>0.88387297633872974</v>
      </c>
      <c r="J3216" s="16">
        <f>COUNTIF(H$5:H3216,"Y")/COUNTA(H$5:H3216)</f>
        <v>4.7945205479452052E-2</v>
      </c>
      <c r="K3216" s="16">
        <f>AVERAGE(F$5:F3216)</f>
        <v>2.2093711083437109</v>
      </c>
      <c r="L3216" s="16">
        <f>SUM(F$5:F3216)/SUM(E$5:E3216)</f>
        <v>0.76404216147543391</v>
      </c>
    </row>
    <row r="3217" spans="1:13" x14ac:dyDescent="0.25">
      <c r="A3217" s="29">
        <v>46149</v>
      </c>
      <c r="B3217" s="16" t="s">
        <v>3263</v>
      </c>
      <c r="C3217" s="34">
        <v>1</v>
      </c>
      <c r="D3217" s="16" t="s">
        <v>56</v>
      </c>
      <c r="E3217" s="35">
        <v>0.7</v>
      </c>
      <c r="F3217" s="35">
        <v>0.5</v>
      </c>
      <c r="G3217" s="16" t="s">
        <v>44</v>
      </c>
      <c r="H3217" s="16" t="s">
        <v>45</v>
      </c>
      <c r="I3217" s="16">
        <f>COUNTIF(G$5:G3217,"Y")/COUNTA(G$5:G3217)</f>
        <v>0.88390911920323689</v>
      </c>
      <c r="J3217" s="16">
        <f>COUNTIF(H$5:H3217,"Y")/COUNTA(H$5:H3217)</f>
        <v>4.793028322440087E-2</v>
      </c>
      <c r="K3217" s="16">
        <f>AVERAGE(F$5:F3217)</f>
        <v>2.2088390911920324</v>
      </c>
      <c r="L3217" s="16">
        <f>SUM(F$5:F3217)/SUM(E$5:E3217)</f>
        <v>0.76403841185082866</v>
      </c>
    </row>
    <row r="3218" spans="1:13" x14ac:dyDescent="0.25">
      <c r="A3218" s="29">
        <v>46150</v>
      </c>
      <c r="B3218" s="16" t="s">
        <v>3264</v>
      </c>
      <c r="C3218" s="34">
        <v>1</v>
      </c>
      <c r="D3218" s="16" t="s">
        <v>43</v>
      </c>
      <c r="E3218" s="35">
        <v>0.7</v>
      </c>
      <c r="F3218" s="35">
        <v>0.5</v>
      </c>
      <c r="G3218" s="16" t="s">
        <v>44</v>
      </c>
      <c r="H3218" s="16" t="s">
        <v>45</v>
      </c>
      <c r="I3218" s="16">
        <f>COUNTIF(G$5:G3218,"Y")/COUNTA(G$5:G3218)</f>
        <v>0.88394523957685123</v>
      </c>
      <c r="J3218" s="16">
        <f>COUNTIF(H$5:H3218,"Y")/COUNTA(H$5:H3218)</f>
        <v>4.7915370255133788E-2</v>
      </c>
      <c r="K3218" s="16">
        <f>AVERAGE(F$5:F3218)</f>
        <v>2.2083074051026759</v>
      </c>
      <c r="L3218" s="16">
        <f>SUM(F$5:F3218)/SUM(E$5:E3218)</f>
        <v>0.76403466279132104</v>
      </c>
    </row>
    <row r="3219" spans="1:13" x14ac:dyDescent="0.25">
      <c r="A3219" s="29">
        <v>46146</v>
      </c>
      <c r="B3219" s="16" t="s">
        <v>3265</v>
      </c>
      <c r="C3219" s="34">
        <v>1</v>
      </c>
      <c r="D3219" s="16" t="s">
        <v>60</v>
      </c>
      <c r="E3219" s="35">
        <v>2.8</v>
      </c>
      <c r="F3219" s="35">
        <v>0.5</v>
      </c>
      <c r="G3219" s="16" t="s">
        <v>44</v>
      </c>
      <c r="H3219" s="16" t="s">
        <v>45</v>
      </c>
      <c r="I3219" s="16">
        <f>COUNTIF(G$5:G3219,"Y")/COUNTA(G$5:G3219)</f>
        <v>0.88398133748055985</v>
      </c>
      <c r="J3219" s="16">
        <f>COUNTIF(H$5:H3219,"Y")/COUNTA(H$5:H3219)</f>
        <v>4.7900466562986001E-2</v>
      </c>
      <c r="K3219" s="16">
        <f>AVERAGE(F$5:F3219)</f>
        <v>2.2077760497667187</v>
      </c>
      <c r="L3219" s="16">
        <f>SUM(F$5:F3219)/SUM(E$5:E3219)</f>
        <v>0.76385824822702419</v>
      </c>
      <c r="M3219" s="16">
        <v>13</v>
      </c>
    </row>
    <row r="3220" spans="1:13" x14ac:dyDescent="0.25">
      <c r="A3220" s="29">
        <v>46153</v>
      </c>
      <c r="B3220" s="16" t="s">
        <v>3266</v>
      </c>
      <c r="C3220" s="34">
        <v>1</v>
      </c>
      <c r="D3220" s="16" t="s">
        <v>47</v>
      </c>
      <c r="E3220" s="35">
        <v>2.5</v>
      </c>
      <c r="F3220" s="35">
        <v>2.2999999999999998</v>
      </c>
      <c r="G3220" s="16" t="s">
        <v>44</v>
      </c>
      <c r="H3220" s="16" t="s">
        <v>45</v>
      </c>
      <c r="I3220" s="16">
        <f>COUNTIF(G$5:G3220,"Y")/COUNTA(G$5:G3220)</f>
        <v>0.88401741293532343</v>
      </c>
      <c r="J3220" s="16">
        <f>COUNTIF(H$5:H3220,"Y")/COUNTA(H$5:H3220)</f>
        <v>4.788557213930348E-2</v>
      </c>
      <c r="K3220" s="16">
        <f>AVERAGE(F$5:F3220)</f>
        <v>2.2078047263681593</v>
      </c>
      <c r="L3220" s="16">
        <f>SUM(F$5:F3220)/SUM(E$5:E3220)</f>
        <v>0.76390024529844403</v>
      </c>
    </row>
    <row r="3221" spans="1:13" x14ac:dyDescent="0.25">
      <c r="A3221" s="29">
        <v>46154</v>
      </c>
      <c r="B3221" s="16" t="s">
        <v>3267</v>
      </c>
      <c r="C3221" s="34">
        <v>1</v>
      </c>
      <c r="D3221" s="16" t="s">
        <v>50</v>
      </c>
      <c r="E3221" s="35">
        <v>2.7</v>
      </c>
      <c r="F3221" s="35">
        <v>2.4</v>
      </c>
      <c r="G3221" s="16" t="s">
        <v>44</v>
      </c>
      <c r="H3221" s="16" t="s">
        <v>45</v>
      </c>
      <c r="I3221" s="16">
        <f>COUNTIF(G$5:G3221,"Y")/COUNTA(G$5:G3221)</f>
        <v>0.88405346596207646</v>
      </c>
      <c r="J3221" s="16">
        <f>COUNTIF(H$5:H3221,"Y")/COUNTA(H$5:H3221)</f>
        <v>4.7870686975442958E-2</v>
      </c>
      <c r="K3221" s="16">
        <f>AVERAGE(F$5:F3221)</f>
        <v>2.2078644700031083</v>
      </c>
      <c r="L3221" s="16">
        <f>SUM(F$5:F3221)/SUM(E$5:E3221)</f>
        <v>0.7639365420812021</v>
      </c>
    </row>
    <row r="3222" spans="1:13" x14ac:dyDescent="0.25">
      <c r="A3222" s="29">
        <v>46155</v>
      </c>
      <c r="B3222" s="16" t="s">
        <v>3268</v>
      </c>
      <c r="C3222" s="34">
        <v>1</v>
      </c>
      <c r="D3222" s="16" t="s">
        <v>64</v>
      </c>
      <c r="E3222" s="35">
        <v>4.0999999999999996</v>
      </c>
      <c r="F3222" s="35">
        <v>3.1</v>
      </c>
      <c r="G3222" s="16" t="s">
        <v>45</v>
      </c>
      <c r="H3222" s="16" t="s">
        <v>45</v>
      </c>
      <c r="I3222" s="16">
        <f>COUNTIF(G$5:G3222,"Y")/COUNTA(G$5:G3222)</f>
        <v>0.88377874456183969</v>
      </c>
      <c r="J3222" s="16">
        <f>COUNTIF(H$5:H3222,"Y")/COUNTA(H$5:H3222)</f>
        <v>4.7855811062771911E-2</v>
      </c>
      <c r="K3222" s="16">
        <f>AVERAGE(F$5:F3222)</f>
        <v>2.2081417029210693</v>
      </c>
      <c r="L3222" s="16">
        <f>SUM(F$5:F3222)/SUM(E$5:E3222)</f>
        <v>0.76393308678076632</v>
      </c>
    </row>
    <row r="3223" spans="1:13" x14ac:dyDescent="0.25">
      <c r="A3223" s="29">
        <v>46156</v>
      </c>
      <c r="B3223" s="16" t="s">
        <v>3269</v>
      </c>
      <c r="C3223" s="34">
        <v>1</v>
      </c>
      <c r="D3223" s="16" t="s">
        <v>47</v>
      </c>
      <c r="E3223" s="35">
        <v>1.7</v>
      </c>
      <c r="F3223" s="35">
        <v>1.3</v>
      </c>
      <c r="G3223" s="16" t="s">
        <v>44</v>
      </c>
      <c r="H3223" s="16" t="s">
        <v>45</v>
      </c>
      <c r="I3223" s="16">
        <f>COUNTIF(G$5:G3223,"Y")/COUNTA(G$5:G3223)</f>
        <v>0.88381484933209076</v>
      </c>
      <c r="J3223" s="16">
        <f>COUNTIF(H$5:H3223,"Y")/COUNTA(H$5:H3223)</f>
        <v>4.7840944392668533E-2</v>
      </c>
      <c r="K3223" s="16">
        <f>AVERAGE(F$5:F3223)</f>
        <v>2.2078595837216528</v>
      </c>
      <c r="L3223" s="16">
        <f>SUM(F$5:F3223)/SUM(E$5:E3223)</f>
        <v>0.76393322799436503</v>
      </c>
    </row>
    <row r="3224" spans="1:13" x14ac:dyDescent="0.25">
      <c r="A3224" s="29">
        <v>46157</v>
      </c>
      <c r="B3224" s="16" t="s">
        <v>3270</v>
      </c>
      <c r="C3224" s="34">
        <v>1</v>
      </c>
      <c r="D3224" s="16" t="s">
        <v>60</v>
      </c>
      <c r="E3224" s="35">
        <v>3.9</v>
      </c>
      <c r="F3224" s="35">
        <v>2.7</v>
      </c>
      <c r="G3224" s="16" t="s">
        <v>44</v>
      </c>
      <c r="H3224" s="16" t="s">
        <v>45</v>
      </c>
      <c r="I3224" s="16">
        <f>COUNTIF(G$5:G3224,"Y")/COUNTA(G$5:G3224)</f>
        <v>0.88385093167701867</v>
      </c>
      <c r="J3224" s="16">
        <f>COUNTIF(H$5:H3224,"Y")/COUNTA(H$5:H3224)</f>
        <v>4.7826086956521741E-2</v>
      </c>
      <c r="K3224" s="16">
        <f>AVERAGE(F$5:F3224)</f>
        <v>2.2080124223602486</v>
      </c>
      <c r="L3224" s="16">
        <f>SUM(F$5:F3224)/SUM(E$5:E3224)</f>
        <v>0.7639032147154865</v>
      </c>
    </row>
    <row r="3225" spans="1:13" x14ac:dyDescent="0.25">
      <c r="A3225" s="29">
        <v>46153</v>
      </c>
      <c r="B3225" s="16" t="s">
        <v>3271</v>
      </c>
      <c r="C3225" s="34">
        <v>1</v>
      </c>
      <c r="D3225" s="16" t="s">
        <v>50</v>
      </c>
      <c r="E3225" s="35">
        <v>4.4000000000000004</v>
      </c>
      <c r="F3225" s="35">
        <v>3.7</v>
      </c>
      <c r="G3225" s="16" t="s">
        <v>44</v>
      </c>
      <c r="H3225" s="16" t="s">
        <v>45</v>
      </c>
      <c r="I3225" s="16">
        <f>COUNTIF(G$5:G3225,"Y")/COUNTA(G$5:G3225)</f>
        <v>0.88388699161751005</v>
      </c>
      <c r="J3225" s="16">
        <f>COUNTIF(H$5:H3225,"Y")/COUNTA(H$5:H3225)</f>
        <v>4.7811238745731142E-2</v>
      </c>
      <c r="K3225" s="16">
        <f>AVERAGE(F$5:F3225)</f>
        <v>2.2084756286867431</v>
      </c>
      <c r="L3225" s="16">
        <f>SUM(F$5:F3225)/SUM(E$5:E3225)</f>
        <v>0.76393960221658752</v>
      </c>
    </row>
    <row r="3226" spans="1:13" x14ac:dyDescent="0.25">
      <c r="A3226" s="29">
        <v>46154</v>
      </c>
      <c r="B3226" s="16" t="s">
        <v>3272</v>
      </c>
      <c r="C3226" s="34">
        <v>1</v>
      </c>
      <c r="D3226" s="16" t="s">
        <v>60</v>
      </c>
      <c r="E3226" s="35">
        <v>3.2</v>
      </c>
      <c r="F3226" s="35">
        <v>2.2999999999999998</v>
      </c>
      <c r="G3226" s="16" t="s">
        <v>44</v>
      </c>
      <c r="H3226" s="16" t="s">
        <v>45</v>
      </c>
      <c r="I3226" s="16">
        <f>COUNTIF(G$5:G3226,"Y")/COUNTA(G$5:G3226)</f>
        <v>0.88392302917442578</v>
      </c>
      <c r="J3226" s="16">
        <f>COUNTIF(H$5:H3226,"Y")/COUNTA(H$5:H3226)</f>
        <v>4.7796399751707012E-2</v>
      </c>
      <c r="K3226" s="16">
        <f>AVERAGE(F$5:F3226)</f>
        <v>2.2085040347610181</v>
      </c>
      <c r="L3226" s="16">
        <f>SUM(F$5:F3226)/SUM(E$5:E3226)</f>
        <v>0.76392407781165195</v>
      </c>
    </row>
    <row r="3227" spans="1:13" x14ac:dyDescent="0.25">
      <c r="A3227" s="29">
        <v>46155</v>
      </c>
      <c r="B3227" s="16" t="s">
        <v>3273</v>
      </c>
      <c r="C3227" s="34">
        <v>1</v>
      </c>
      <c r="D3227" s="16" t="s">
        <v>52</v>
      </c>
      <c r="E3227" s="35">
        <v>3.8</v>
      </c>
      <c r="F3227" s="35">
        <v>3.2</v>
      </c>
      <c r="G3227" s="16" t="s">
        <v>44</v>
      </c>
      <c r="H3227" s="16" t="s">
        <v>45</v>
      </c>
      <c r="I3227" s="16">
        <f>COUNTIF(G$5:G3227,"Y")/COUNTA(G$5:G3227)</f>
        <v>0.88395904436860073</v>
      </c>
      <c r="J3227" s="16">
        <f>COUNTIF(H$5:H3227,"Y")/COUNTA(H$5:H3227)</f>
        <v>4.778156996587031E-2</v>
      </c>
      <c r="K3227" s="16">
        <f>AVERAGE(F$5:F3227)</f>
        <v>2.20881166614955</v>
      </c>
      <c r="L3227" s="16">
        <f>SUM(F$5:F3227)/SUM(E$5:E3227)</f>
        <v>0.76395595904964009</v>
      </c>
    </row>
    <row r="3228" spans="1:13" x14ac:dyDescent="0.25">
      <c r="A3228" s="29">
        <v>46156</v>
      </c>
      <c r="B3228" s="16" t="s">
        <v>3274</v>
      </c>
      <c r="C3228" s="34">
        <v>1</v>
      </c>
      <c r="D3228" s="16" t="s">
        <v>56</v>
      </c>
      <c r="E3228" s="35">
        <v>2</v>
      </c>
      <c r="F3228" s="35">
        <v>1.4</v>
      </c>
      <c r="G3228" s="16" t="s">
        <v>44</v>
      </c>
      <c r="H3228" s="16" t="s">
        <v>45</v>
      </c>
      <c r="I3228" s="16">
        <f>COUNTIF(G$5:G3228,"Y")/COUNTA(G$5:G3228)</f>
        <v>0.88399503722084372</v>
      </c>
      <c r="J3228" s="16">
        <f>COUNTIF(H$5:H3228,"Y")/COUNTA(H$5:H3228)</f>
        <v>4.7766749379652605E-2</v>
      </c>
      <c r="K3228" s="16">
        <f>AVERAGE(F$5:F3228)</f>
        <v>2.208560794044665</v>
      </c>
      <c r="L3228" s="16">
        <f>SUM(F$5:F3228)/SUM(E$5:E3228)</f>
        <v>0.76394223547840012</v>
      </c>
    </row>
    <row r="3229" spans="1:13" x14ac:dyDescent="0.25">
      <c r="A3229" s="29">
        <v>46157</v>
      </c>
      <c r="B3229" s="16" t="s">
        <v>3275</v>
      </c>
      <c r="C3229" s="34">
        <v>1</v>
      </c>
      <c r="D3229" s="16" t="s">
        <v>43</v>
      </c>
      <c r="E3229" s="35">
        <v>1.4</v>
      </c>
      <c r="F3229" s="35">
        <v>1.2</v>
      </c>
      <c r="G3229" s="16" t="s">
        <v>44</v>
      </c>
      <c r="H3229" s="16" t="s">
        <v>45</v>
      </c>
      <c r="I3229" s="16">
        <f>COUNTIF(G$5:G3229,"Y")/COUNTA(G$5:G3229)</f>
        <v>0.88403100775193799</v>
      </c>
      <c r="J3229" s="16">
        <f>COUNTIF(H$5:H3229,"Y")/COUNTA(H$5:H3229)</f>
        <v>4.7751937984496125E-2</v>
      </c>
      <c r="K3229" s="16">
        <f>AVERAGE(F$5:F3229)</f>
        <v>2.2082480620155036</v>
      </c>
      <c r="L3229" s="16">
        <f>SUM(F$5:F3229)/SUM(E$5:E3229)</f>
        <v>0.76395623256811585</v>
      </c>
    </row>
    <row r="3230" spans="1:13" x14ac:dyDescent="0.25">
      <c r="A3230" s="29">
        <v>46153</v>
      </c>
      <c r="B3230" s="16" t="s">
        <v>3276</v>
      </c>
      <c r="C3230" s="34">
        <v>1</v>
      </c>
      <c r="D3230" s="16" t="s">
        <v>56</v>
      </c>
      <c r="E3230" s="35">
        <v>3.4</v>
      </c>
      <c r="F3230" s="35">
        <v>2.8</v>
      </c>
      <c r="G3230" s="16" t="s">
        <v>44</v>
      </c>
      <c r="H3230" s="16" t="s">
        <v>45</v>
      </c>
      <c r="I3230" s="16">
        <f>COUNTIF(G$5:G3230,"Y")/COUNTA(G$5:G3230)</f>
        <v>0.88406695598264107</v>
      </c>
      <c r="J3230" s="16">
        <f>COUNTIF(H$5:H3230,"Y")/COUNTA(H$5:H3230)</f>
        <v>4.7737135771853692E-2</v>
      </c>
      <c r="K3230" s="16">
        <f>AVERAGE(F$5:F3230)</f>
        <v>2.2084314941103531</v>
      </c>
      <c r="L3230" s="16">
        <f>SUM(F$5:F3230)/SUM(E$5:E3230)</f>
        <v>0.763977952688354</v>
      </c>
    </row>
    <row r="3231" spans="1:13" x14ac:dyDescent="0.25">
      <c r="A3231" s="29">
        <v>46154</v>
      </c>
      <c r="B3231" s="16" t="s">
        <v>3277</v>
      </c>
      <c r="C3231" s="34">
        <v>1</v>
      </c>
      <c r="D3231" s="16" t="s">
        <v>56</v>
      </c>
      <c r="E3231" s="35">
        <v>4.2</v>
      </c>
      <c r="F3231" s="35">
        <v>3.3</v>
      </c>
      <c r="G3231" s="16" t="s">
        <v>44</v>
      </c>
      <c r="H3231" s="16" t="s">
        <v>45</v>
      </c>
      <c r="I3231" s="16">
        <f>COUNTIF(G$5:G3231,"Y")/COUNTA(G$5:G3231)</f>
        <v>0.88410288193368458</v>
      </c>
      <c r="J3231" s="16">
        <f>COUNTIF(H$5:H3231,"Y")/COUNTA(H$5:H3231)</f>
        <v>4.7722342733188719E-2</v>
      </c>
      <c r="K3231" s="16">
        <f>AVERAGE(F$5:F3231)</f>
        <v>2.2087697551905796</v>
      </c>
      <c r="L3231" s="16">
        <f>SUM(F$5:F3231)/SUM(E$5:E3231)</f>
        <v>0.76398773795232122</v>
      </c>
    </row>
    <row r="3232" spans="1:13" x14ac:dyDescent="0.25">
      <c r="A3232" s="29">
        <v>46155</v>
      </c>
      <c r="B3232" s="16" t="s">
        <v>3278</v>
      </c>
      <c r="C3232" s="34">
        <v>1</v>
      </c>
      <c r="D3232" s="16" t="s">
        <v>60</v>
      </c>
      <c r="E3232" s="35">
        <v>1.7</v>
      </c>
      <c r="F3232" s="35">
        <v>1.4</v>
      </c>
      <c r="G3232" s="16" t="s">
        <v>44</v>
      </c>
      <c r="H3232" s="16" t="s">
        <v>45</v>
      </c>
      <c r="I3232" s="16">
        <f>COUNTIF(G$5:G3232,"Y")/COUNTA(G$5:G3232)</f>
        <v>0.88413878562577453</v>
      </c>
      <c r="J3232" s="16">
        <f>COUNTIF(H$5:H3232,"Y")/COUNTA(H$5:H3232)</f>
        <v>4.770755885997522E-2</v>
      </c>
      <c r="K3232" s="16">
        <f>AVERAGE(F$5:F3232)</f>
        <v>2.2085192069392812</v>
      </c>
      <c r="L3232" s="16">
        <f>SUM(F$5:F3232)/SUM(E$5:E3232)</f>
        <v>0.76399858540610366</v>
      </c>
    </row>
    <row r="3233" spans="1:12" x14ac:dyDescent="0.25">
      <c r="A3233" s="29">
        <v>46156</v>
      </c>
      <c r="B3233" s="16" t="s">
        <v>3279</v>
      </c>
      <c r="C3233" s="34">
        <v>1</v>
      </c>
      <c r="D3233" s="16" t="s">
        <v>47</v>
      </c>
      <c r="E3233" s="35">
        <v>2.8</v>
      </c>
      <c r="F3233" s="35">
        <v>1.9</v>
      </c>
      <c r="G3233" s="16" t="s">
        <v>44</v>
      </c>
      <c r="H3233" s="16" t="s">
        <v>45</v>
      </c>
      <c r="I3233" s="16">
        <f>COUNTIF(G$5:G3233,"Y")/COUNTA(G$5:G3233)</f>
        <v>0.88417466707959125</v>
      </c>
      <c r="J3233" s="16">
        <f>COUNTIF(H$5:H3233,"Y")/COUNTA(H$5:H3233)</f>
        <v>4.7692784143697736E-2</v>
      </c>
      <c r="K3233" s="16">
        <f>AVERAGE(F$5:F3233)</f>
        <v>2.2084236605760292</v>
      </c>
      <c r="L3233" s="16">
        <f>SUM(F$5:F3233)/SUM(E$5:E3233)</f>
        <v>0.76397295936404963</v>
      </c>
    </row>
    <row r="3234" spans="1:12" x14ac:dyDescent="0.25">
      <c r="A3234" s="29">
        <v>46157</v>
      </c>
      <c r="B3234" s="16" t="s">
        <v>3280</v>
      </c>
      <c r="C3234" s="34">
        <v>1</v>
      </c>
      <c r="D3234" s="16" t="s">
        <v>64</v>
      </c>
      <c r="E3234" s="35">
        <v>3.5</v>
      </c>
      <c r="F3234" s="35">
        <v>2.7</v>
      </c>
      <c r="G3234" s="16" t="s">
        <v>44</v>
      </c>
      <c r="H3234" s="16" t="s">
        <v>45</v>
      </c>
      <c r="I3234" s="16">
        <f>COUNTIF(G$5:G3234,"Y")/COUNTA(G$5:G3234)</f>
        <v>0.88421052631578945</v>
      </c>
      <c r="J3234" s="16">
        <f>COUNTIF(H$5:H3234,"Y")/COUNTA(H$5:H3234)</f>
        <v>4.767801857585139E-2</v>
      </c>
      <c r="K3234" s="16">
        <f>AVERAGE(F$5:F3234)</f>
        <v>2.2085758513931886</v>
      </c>
      <c r="L3234" s="16">
        <f>SUM(F$5:F3234)/SUM(E$5:E3234)</f>
        <v>0.76397575394105288</v>
      </c>
    </row>
    <row r="3235" spans="1:12" x14ac:dyDescent="0.25">
      <c r="A3235" s="29">
        <v>46153</v>
      </c>
      <c r="B3235" s="16" t="s">
        <v>3281</v>
      </c>
      <c r="C3235" s="34">
        <v>1</v>
      </c>
      <c r="D3235" s="16" t="s">
        <v>64</v>
      </c>
      <c r="E3235" s="35">
        <v>4.4000000000000004</v>
      </c>
      <c r="F3235" s="35">
        <v>3.3</v>
      </c>
      <c r="G3235" s="16" t="s">
        <v>44</v>
      </c>
      <c r="H3235" s="16" t="s">
        <v>45</v>
      </c>
      <c r="I3235" s="16">
        <f>COUNTIF(G$5:G3235,"Y")/COUNTA(G$5:G3235)</f>
        <v>0.8842463633549984</v>
      </c>
      <c r="J3235" s="16">
        <f>COUNTIF(H$5:H3235,"Y")/COUNTA(H$5:H3235)</f>
        <v>4.7663262147941816E-2</v>
      </c>
      <c r="K3235" s="16">
        <f>AVERAGE(F$5:F3235)</f>
        <v>2.2089136490250691</v>
      </c>
      <c r="L3235" s="16">
        <f>SUM(F$5:F3235)/SUM(E$5:E3235)</f>
        <v>0.76396917148361976</v>
      </c>
    </row>
    <row r="3236" spans="1:12" x14ac:dyDescent="0.25">
      <c r="A3236" s="29">
        <v>46154</v>
      </c>
      <c r="B3236" s="16" t="s">
        <v>3282</v>
      </c>
      <c r="C3236" s="34">
        <v>1</v>
      </c>
      <c r="D3236" s="16" t="s">
        <v>60</v>
      </c>
      <c r="E3236" s="35">
        <v>4.9000000000000004</v>
      </c>
      <c r="F3236" s="35">
        <v>3.7</v>
      </c>
      <c r="G3236" s="16" t="s">
        <v>45</v>
      </c>
      <c r="H3236" s="16" t="s">
        <v>45</v>
      </c>
      <c r="I3236" s="16">
        <f>COUNTIF(G$5:G3236,"Y")/COUNTA(G$5:G3236)</f>
        <v>0.8839727722772277</v>
      </c>
      <c r="J3236" s="16">
        <f>COUNTIF(H$5:H3236,"Y")/COUNTA(H$5:H3236)</f>
        <v>4.7648514851485149E-2</v>
      </c>
      <c r="K3236" s="16">
        <f>AVERAGE(F$5:F3236)</f>
        <v>2.2093749999999996</v>
      </c>
      <c r="L3236" s="16">
        <f>SUM(F$5:F3236)/SUM(E$5:E3236)</f>
        <v>0.76396452299692685</v>
      </c>
    </row>
    <row r="3237" spans="1:12" x14ac:dyDescent="0.25">
      <c r="A3237" s="29">
        <v>46155</v>
      </c>
      <c r="B3237" s="16" t="s">
        <v>3283</v>
      </c>
      <c r="C3237" s="34">
        <v>1</v>
      </c>
      <c r="D3237" s="16" t="s">
        <v>50</v>
      </c>
      <c r="E3237" s="35">
        <v>1.9</v>
      </c>
      <c r="F3237" s="35">
        <v>1.4</v>
      </c>
      <c r="G3237" s="16" t="s">
        <v>44</v>
      </c>
      <c r="H3237" s="16" t="s">
        <v>44</v>
      </c>
      <c r="I3237" s="16">
        <f>COUNTIF(G$5:G3237,"Y")/COUNTA(G$5:G3237)</f>
        <v>0.88400866068666872</v>
      </c>
      <c r="J3237" s="16">
        <f>COUNTIF(H$5:H3237,"Y")/COUNTA(H$5:H3237)</f>
        <v>4.7943086916176929E-2</v>
      </c>
      <c r="K3237" s="16">
        <f>AVERAGE(F$5:F3237)</f>
        <v>2.2091246520259817</v>
      </c>
      <c r="L3237" s="16">
        <f>SUM(F$5:F3237)/SUM(E$5:E3237)</f>
        <v>0.7639590107821298</v>
      </c>
    </row>
    <row r="3238" spans="1:12" x14ac:dyDescent="0.25">
      <c r="A3238" s="29">
        <v>46156</v>
      </c>
      <c r="B3238" s="16" t="s">
        <v>3284</v>
      </c>
      <c r="C3238" s="34">
        <v>1</v>
      </c>
      <c r="D3238" s="16" t="s">
        <v>50</v>
      </c>
      <c r="E3238" s="35">
        <v>3.6</v>
      </c>
      <c r="F3238" s="35">
        <v>3.1</v>
      </c>
      <c r="G3238" s="16" t="s">
        <v>44</v>
      </c>
      <c r="H3238" s="16" t="s">
        <v>45</v>
      </c>
      <c r="I3238" s="16">
        <f>COUNTIF(G$5:G3238,"Y")/COUNTA(G$5:G3238)</f>
        <v>0.88404452690166979</v>
      </c>
      <c r="J3238" s="16">
        <f>COUNTIF(H$5:H3238,"Y")/COUNTA(H$5:H3238)</f>
        <v>4.7928262213976502E-2</v>
      </c>
      <c r="K3238" s="16">
        <f>AVERAGE(F$5:F3238)</f>
        <v>2.2094001236858376</v>
      </c>
      <c r="L3238" s="16">
        <f>SUM(F$5:F3238)/SUM(E$5:E3238)</f>
        <v>0.76399640733928997</v>
      </c>
    </row>
    <row r="3239" spans="1:12" x14ac:dyDescent="0.25">
      <c r="A3239" s="29">
        <v>46157</v>
      </c>
      <c r="B3239" s="16" t="s">
        <v>3285</v>
      </c>
      <c r="C3239" s="34">
        <v>1</v>
      </c>
      <c r="D3239" s="16" t="s">
        <v>60</v>
      </c>
      <c r="E3239" s="35">
        <v>3.8</v>
      </c>
      <c r="F3239" s="35">
        <v>3.2</v>
      </c>
      <c r="G3239" s="16" t="s">
        <v>44</v>
      </c>
      <c r="H3239" s="16" t="s">
        <v>45</v>
      </c>
      <c r="I3239" s="16">
        <f>COUNTIF(G$5:G3239,"Y")/COUNTA(G$5:G3239)</f>
        <v>0.884080370942813</v>
      </c>
      <c r="J3239" s="16">
        <f>COUNTIF(H$5:H3239,"Y")/COUNTA(H$5:H3239)</f>
        <v>4.7913446676970631E-2</v>
      </c>
      <c r="K3239" s="16">
        <f>AVERAGE(F$5:F3239)</f>
        <v>2.2097063369397212</v>
      </c>
      <c r="L3239" s="16">
        <f>SUM(F$5:F3239)/SUM(E$5:E3239)</f>
        <v>0.76402813107885426</v>
      </c>
    </row>
    <row r="3240" spans="1:12" x14ac:dyDescent="0.25">
      <c r="A3240" s="29">
        <v>46153</v>
      </c>
      <c r="B3240" s="16" t="s">
        <v>3286</v>
      </c>
      <c r="C3240" s="34">
        <v>1</v>
      </c>
      <c r="D3240" s="16" t="s">
        <v>50</v>
      </c>
      <c r="E3240" s="35">
        <v>4</v>
      </c>
      <c r="F3240" s="35">
        <v>3.2</v>
      </c>
      <c r="G3240" s="16" t="s">
        <v>44</v>
      </c>
      <c r="H3240" s="16" t="s">
        <v>45</v>
      </c>
      <c r="I3240" s="16">
        <f>COUNTIF(G$5:G3240,"Y")/COUNTA(G$5:G3240)</f>
        <v>0.88411619283065512</v>
      </c>
      <c r="J3240" s="16">
        <f>COUNTIF(H$5:H3240,"Y")/COUNTA(H$5:H3240)</f>
        <v>4.7898640296662548E-2</v>
      </c>
      <c r="K3240" s="16">
        <f>AVERAGE(F$5:F3240)</f>
        <v>2.2100123609394311</v>
      </c>
      <c r="L3240" s="16">
        <f>SUM(F$5:F3240)/SUM(E$5:E3240)</f>
        <v>0.764043503343943</v>
      </c>
    </row>
    <row r="3241" spans="1:12" x14ac:dyDescent="0.25">
      <c r="A3241" s="29">
        <v>46154</v>
      </c>
      <c r="B3241" s="16" t="s">
        <v>3287</v>
      </c>
      <c r="C3241" s="34">
        <v>1</v>
      </c>
      <c r="D3241" s="16" t="s">
        <v>60</v>
      </c>
      <c r="E3241" s="35">
        <v>3.6</v>
      </c>
      <c r="F3241" s="35">
        <v>3.3</v>
      </c>
      <c r="G3241" s="16" t="s">
        <v>44</v>
      </c>
      <c r="H3241" s="16" t="s">
        <v>45</v>
      </c>
      <c r="I3241" s="16">
        <f>COUNTIF(G$5:G3241,"Y")/COUNTA(G$5:G3241)</f>
        <v>0.88415199258572752</v>
      </c>
      <c r="J3241" s="16">
        <f>COUNTIF(H$5:H3241,"Y")/COUNTA(H$5:H3241)</f>
        <v>4.7883843064565959E-2</v>
      </c>
      <c r="K3241" s="16">
        <f>AVERAGE(F$5:F3241)</f>
        <v>2.2103490886623414</v>
      </c>
      <c r="L3241" s="16">
        <f>SUM(F$5:F3241)/SUM(E$5:E3241)</f>
        <v>0.76410218073858649</v>
      </c>
    </row>
    <row r="3242" spans="1:12" x14ac:dyDescent="0.25">
      <c r="A3242" s="29">
        <v>46155</v>
      </c>
      <c r="B3242" s="16" t="s">
        <v>3288</v>
      </c>
      <c r="C3242" s="34">
        <v>1</v>
      </c>
      <c r="D3242" s="16" t="s">
        <v>43</v>
      </c>
      <c r="E3242" s="35">
        <v>2.1</v>
      </c>
      <c r="F3242" s="35">
        <v>1.8</v>
      </c>
      <c r="G3242" s="16" t="s">
        <v>44</v>
      </c>
      <c r="H3242" s="16" t="s">
        <v>45</v>
      </c>
      <c r="I3242" s="16">
        <f>COUNTIF(G$5:G3242,"Y")/COUNTA(G$5:G3242)</f>
        <v>0.88418777022853612</v>
      </c>
      <c r="J3242" s="16">
        <f>COUNTIF(H$5:H3242,"Y")/COUNTA(H$5:H3242)</f>
        <v>4.7869054972205068E-2</v>
      </c>
      <c r="K3242" s="16">
        <f>AVERAGE(F$5:F3242)</f>
        <v>2.2102223594811607</v>
      </c>
      <c r="L3242" s="16">
        <f>SUM(F$5:F3242)/SUM(E$5:E3242)</f>
        <v>0.76412304209952864</v>
      </c>
    </row>
    <row r="3243" spans="1:12" x14ac:dyDescent="0.25">
      <c r="A3243" s="29">
        <v>46156</v>
      </c>
      <c r="B3243" s="16" t="s">
        <v>3289</v>
      </c>
      <c r="C3243" s="34">
        <v>1</v>
      </c>
      <c r="D3243" s="16" t="s">
        <v>56</v>
      </c>
      <c r="E3243" s="35">
        <v>1.5</v>
      </c>
      <c r="F3243" s="35">
        <v>1.1000000000000001</v>
      </c>
      <c r="G3243" s="16" t="s">
        <v>44</v>
      </c>
      <c r="H3243" s="16" t="s">
        <v>45</v>
      </c>
      <c r="I3243" s="16">
        <f>COUNTIF(G$5:G3243,"Y")/COUNTA(G$5:G3243)</f>
        <v>0.88422352577956165</v>
      </c>
      <c r="J3243" s="16">
        <f>COUNTIF(H$5:H3243,"Y")/COUNTA(H$5:H3243)</f>
        <v>4.7854276011114541E-2</v>
      </c>
      <c r="K3243" s="16">
        <f>AVERAGE(F$5:F3243)</f>
        <v>2.2098795924668106</v>
      </c>
      <c r="L3243" s="16">
        <f>SUM(F$5:F3243)/SUM(E$5:E3243)</f>
        <v>0.76411811174925548</v>
      </c>
    </row>
    <row r="3244" spans="1:12" x14ac:dyDescent="0.25">
      <c r="A3244" s="29">
        <v>46157</v>
      </c>
      <c r="B3244" s="16" t="s">
        <v>3290</v>
      </c>
      <c r="C3244" s="34">
        <v>1</v>
      </c>
      <c r="D3244" s="16" t="s">
        <v>52</v>
      </c>
      <c r="E3244" s="35">
        <v>3.5</v>
      </c>
      <c r="F3244" s="35">
        <v>3.1</v>
      </c>
      <c r="G3244" s="16" t="s">
        <v>44</v>
      </c>
      <c r="H3244" s="16" t="s">
        <v>45</v>
      </c>
      <c r="I3244" s="16">
        <f>COUNTIF(G$5:G3244,"Y")/COUNTA(G$5:G3244)</f>
        <v>0.8842592592592593</v>
      </c>
      <c r="J3244" s="16">
        <f>COUNTIF(H$5:H3244,"Y")/COUNTA(H$5:H3244)</f>
        <v>4.7839506172839504E-2</v>
      </c>
      <c r="K3244" s="16">
        <f>AVERAGE(F$5:F3244)</f>
        <v>2.2101543209876544</v>
      </c>
      <c r="L3244" s="16">
        <f>SUM(F$5:F3244)/SUM(E$5:E3244)</f>
        <v>0.76416352751603112</v>
      </c>
    </row>
    <row r="3245" spans="1:12" x14ac:dyDescent="0.25">
      <c r="A3245" s="29">
        <v>46153</v>
      </c>
      <c r="B3245" s="16" t="s">
        <v>3291</v>
      </c>
      <c r="C3245" s="34">
        <v>1</v>
      </c>
      <c r="D3245" s="16" t="s">
        <v>56</v>
      </c>
      <c r="E3245" s="35">
        <v>3.3</v>
      </c>
      <c r="F3245" s="35">
        <v>2.2999999999999998</v>
      </c>
      <c r="G3245" s="16" t="s">
        <v>44</v>
      </c>
      <c r="H3245" s="16" t="s">
        <v>45</v>
      </c>
      <c r="I3245" s="16">
        <f>COUNTIF(G$5:G3245,"Y")/COUNTA(G$5:G3245)</f>
        <v>0.88429497068805929</v>
      </c>
      <c r="J3245" s="16">
        <f>COUNTIF(H$5:H3245,"Y")/COUNTA(H$5:H3245)</f>
        <v>4.7824745448935516E-2</v>
      </c>
      <c r="K3245" s="16">
        <f>AVERAGE(F$5:F3245)</f>
        <v>2.2101820425794507</v>
      </c>
      <c r="L3245" s="16">
        <f>SUM(F$5:F3245)/SUM(E$5:E3245)</f>
        <v>0.7641398732691832</v>
      </c>
    </row>
    <row r="3246" spans="1:12" x14ac:dyDescent="0.25">
      <c r="A3246" s="29">
        <v>46154</v>
      </c>
      <c r="B3246" s="16" t="s">
        <v>3292</v>
      </c>
      <c r="C3246" s="34">
        <v>1</v>
      </c>
      <c r="D3246" s="16" t="s">
        <v>52</v>
      </c>
      <c r="E3246" s="35">
        <v>2</v>
      </c>
      <c r="F3246" s="35">
        <v>1.5</v>
      </c>
      <c r="G3246" s="16" t="s">
        <v>44</v>
      </c>
      <c r="H3246" s="16" t="s">
        <v>45</v>
      </c>
      <c r="I3246" s="16">
        <f>COUNTIF(G$5:G3246,"Y")/COUNTA(G$5:G3246)</f>
        <v>0.8843306600863664</v>
      </c>
      <c r="J3246" s="16">
        <f>COUNTIF(H$5:H3246,"Y")/COUNTA(H$5:H3246)</f>
        <v>4.7809993830968539E-2</v>
      </c>
      <c r="K3246" s="16">
        <f>AVERAGE(F$5:F3246)</f>
        <v>2.2099629858112277</v>
      </c>
      <c r="L3246" s="16">
        <f>SUM(F$5:F3246)/SUM(E$5:E3246)</f>
        <v>0.76413685714894919</v>
      </c>
    </row>
    <row r="3247" spans="1:12" x14ac:dyDescent="0.25">
      <c r="A3247" s="29">
        <v>46155</v>
      </c>
      <c r="B3247" s="16" t="s">
        <v>3293</v>
      </c>
      <c r="C3247" s="34">
        <v>1</v>
      </c>
      <c r="D3247" s="16" t="s">
        <v>60</v>
      </c>
      <c r="E3247" s="35">
        <v>3.4</v>
      </c>
      <c r="F3247" s="35">
        <v>2.6</v>
      </c>
      <c r="G3247" s="16" t="s">
        <v>44</v>
      </c>
      <c r="H3247" s="16" t="s">
        <v>45</v>
      </c>
      <c r="I3247" s="16">
        <f>COUNTIF(G$5:G3247,"Y")/COUNTA(G$5:G3247)</f>
        <v>0.88436632747456057</v>
      </c>
      <c r="J3247" s="16">
        <f>COUNTIF(H$5:H3247,"Y")/COUNTA(H$5:H3247)</f>
        <v>4.7795251310514958E-2</v>
      </c>
      <c r="K3247" s="16">
        <f>AVERAGE(F$5:F3247)</f>
        <v>2.2100832562442183</v>
      </c>
      <c r="L3247" s="16">
        <f>SUM(F$5:F3247)/SUM(E$5:E3247)</f>
        <v>0.76413706341421572</v>
      </c>
    </row>
    <row r="3248" spans="1:12" x14ac:dyDescent="0.25">
      <c r="A3248" s="29">
        <v>46156</v>
      </c>
      <c r="B3248" s="16" t="s">
        <v>3294</v>
      </c>
      <c r="C3248" s="34">
        <v>1</v>
      </c>
      <c r="D3248" s="16" t="s">
        <v>50</v>
      </c>
      <c r="E3248" s="35">
        <v>3.5</v>
      </c>
      <c r="F3248" s="35">
        <v>3.1</v>
      </c>
      <c r="G3248" s="16" t="s">
        <v>44</v>
      </c>
      <c r="H3248" s="16" t="s">
        <v>45</v>
      </c>
      <c r="I3248" s="16">
        <f>COUNTIF(G$5:G3248,"Y")/COUNTA(G$5:G3248)</f>
        <v>0.88440197287299627</v>
      </c>
      <c r="J3248" s="16">
        <f>COUNTIF(H$5:H3248,"Y")/COUNTA(H$5:H3248)</f>
        <v>4.778051787916153E-2</v>
      </c>
      <c r="K3248" s="16">
        <f>AVERAGE(F$5:F3248)</f>
        <v>2.2103575832305795</v>
      </c>
      <c r="L3248" s="16">
        <f>SUM(F$5:F3248)/SUM(E$5:E3248)</f>
        <v>0.76418241306177892</v>
      </c>
    </row>
    <row r="3249" spans="1:13" x14ac:dyDescent="0.25">
      <c r="A3249" s="29">
        <v>46157</v>
      </c>
      <c r="B3249" s="16" t="s">
        <v>3295</v>
      </c>
      <c r="C3249" s="34">
        <v>1</v>
      </c>
      <c r="D3249" s="16" t="s">
        <v>50</v>
      </c>
      <c r="E3249" s="35">
        <v>2.2000000000000002</v>
      </c>
      <c r="F3249" s="35">
        <v>1.8</v>
      </c>
      <c r="G3249" s="16" t="s">
        <v>44</v>
      </c>
      <c r="H3249" s="16" t="s">
        <v>45</v>
      </c>
      <c r="I3249" s="16">
        <f>COUNTIF(G$5:G3249,"Y")/COUNTA(G$5:G3249)</f>
        <v>0.88443759630200303</v>
      </c>
      <c r="J3249" s="16">
        <f>COUNTIF(H$5:H3249,"Y")/COUNTA(H$5:H3249)</f>
        <v>4.7765793528505393E-2</v>
      </c>
      <c r="K3249" s="16">
        <f>AVERAGE(F$5:F3249)</f>
        <v>2.2102311248073963</v>
      </c>
      <c r="L3249" s="16">
        <f>SUM(F$5:F3249)/SUM(E$5:E3249)</f>
        <v>0.76419507101530881</v>
      </c>
    </row>
    <row r="3250" spans="1:13" x14ac:dyDescent="0.25">
      <c r="A3250" s="29">
        <v>46153</v>
      </c>
      <c r="B3250" s="16" t="s">
        <v>3296</v>
      </c>
      <c r="C3250" s="34">
        <v>1</v>
      </c>
      <c r="D3250" s="16" t="s">
        <v>56</v>
      </c>
      <c r="E3250" s="35">
        <v>3.8</v>
      </c>
      <c r="F3250" s="35">
        <v>3</v>
      </c>
      <c r="G3250" s="16" t="s">
        <v>45</v>
      </c>
      <c r="H3250" s="16" t="s">
        <v>45</v>
      </c>
      <c r="I3250" s="16">
        <f>COUNTIF(G$5:G3250,"Y")/COUNTA(G$5:G3250)</f>
        <v>0.88416512630930377</v>
      </c>
      <c r="J3250" s="16">
        <f>COUNTIF(H$5:H3250,"Y")/COUNTA(H$5:H3250)</f>
        <v>4.7751078250154039E-2</v>
      </c>
      <c r="K3250" s="16">
        <f>AVERAGE(F$5:F3250)</f>
        <v>2.2104744300677761</v>
      </c>
      <c r="L3250" s="16">
        <f>SUM(F$5:F3250)/SUM(E$5:E3250)</f>
        <v>0.76420530189261782</v>
      </c>
    </row>
    <row r="3251" spans="1:13" x14ac:dyDescent="0.25">
      <c r="A3251" s="29">
        <v>46154</v>
      </c>
      <c r="B3251" s="16" t="s">
        <v>3297</v>
      </c>
      <c r="C3251" s="34">
        <v>1</v>
      </c>
      <c r="D3251" s="16" t="s">
        <v>50</v>
      </c>
      <c r="E3251" s="35">
        <v>1.7</v>
      </c>
      <c r="F3251" s="35">
        <v>1.5</v>
      </c>
      <c r="G3251" s="16" t="s">
        <v>44</v>
      </c>
      <c r="H3251" s="16" t="s">
        <v>45</v>
      </c>
      <c r="I3251" s="16">
        <f>COUNTIF(G$5:G3251,"Y")/COUNTA(G$5:G3251)</f>
        <v>0.88420080073914387</v>
      </c>
      <c r="J3251" s="16">
        <f>COUNTIF(H$5:H3251,"Y")/COUNTA(H$5:H3251)</f>
        <v>4.7736372035725283E-2</v>
      </c>
      <c r="K3251" s="16">
        <f>AVERAGE(F$5:F3251)</f>
        <v>2.2102556205728368</v>
      </c>
      <c r="L3251" s="16">
        <f>SUM(F$5:F3251)/SUM(E$5:E3251)</f>
        <v>0.76422668995186538</v>
      </c>
    </row>
    <row r="3252" spans="1:13" x14ac:dyDescent="0.25">
      <c r="A3252" s="29">
        <v>46155</v>
      </c>
      <c r="B3252" s="16" t="s">
        <v>3298</v>
      </c>
      <c r="C3252" s="34">
        <v>1</v>
      </c>
      <c r="D3252" s="16" t="s">
        <v>50</v>
      </c>
      <c r="E3252" s="35">
        <v>2</v>
      </c>
      <c r="F3252" s="35">
        <v>1.8</v>
      </c>
      <c r="G3252" s="16" t="s">
        <v>44</v>
      </c>
      <c r="H3252" s="16" t="s">
        <v>45</v>
      </c>
      <c r="I3252" s="16">
        <f>COUNTIF(G$5:G3252,"Y")/COUNTA(G$5:G3252)</f>
        <v>0.88423645320197042</v>
      </c>
      <c r="J3252" s="16">
        <f>COUNTIF(H$5:H3252,"Y")/COUNTA(H$5:H3252)</f>
        <v>4.7721674876847288E-2</v>
      </c>
      <c r="K3252" s="16">
        <f>AVERAGE(F$5:F3252)</f>
        <v>2.2101293103448278</v>
      </c>
      <c r="L3252" s="16">
        <f>SUM(F$5:F3252)/SUM(E$5:E3252)</f>
        <v>0.76425560003406634</v>
      </c>
    </row>
    <row r="3253" spans="1:13" x14ac:dyDescent="0.25">
      <c r="A3253" s="29">
        <v>46156</v>
      </c>
      <c r="B3253" s="16" t="s">
        <v>3299</v>
      </c>
      <c r="C3253" s="34">
        <v>1</v>
      </c>
      <c r="D3253" s="16" t="s">
        <v>43</v>
      </c>
      <c r="E3253" s="35">
        <v>0.7</v>
      </c>
      <c r="F3253" s="35">
        <v>0.5</v>
      </c>
      <c r="G3253" s="16" t="s">
        <v>44</v>
      </c>
      <c r="H3253" s="16" t="s">
        <v>44</v>
      </c>
      <c r="I3253" s="16">
        <f>COUNTIF(G$5:G3253,"Y")/COUNTA(G$5:G3253)</f>
        <v>0.88427208371806709</v>
      </c>
      <c r="J3253" s="16">
        <f>COUNTIF(H$5:H3253,"Y")/COUNTA(H$5:H3253)</f>
        <v>4.8014773776546629E-2</v>
      </c>
      <c r="K3253" s="16">
        <f>AVERAGE(F$5:F3253)</f>
        <v>2.2096029547553098</v>
      </c>
      <c r="L3253" s="16">
        <f>SUM(F$5:F3253)/SUM(E$5:E3253)</f>
        <v>0.76425187629743729</v>
      </c>
    </row>
    <row r="3254" spans="1:13" x14ac:dyDescent="0.25">
      <c r="A3254" s="29">
        <v>46157</v>
      </c>
      <c r="B3254" s="16" t="s">
        <v>3300</v>
      </c>
      <c r="C3254" s="34">
        <v>1</v>
      </c>
      <c r="D3254" s="16" t="s">
        <v>47</v>
      </c>
      <c r="E3254" s="35">
        <v>0.6</v>
      </c>
      <c r="F3254" s="35">
        <v>0.5</v>
      </c>
      <c r="G3254" s="16" t="s">
        <v>44</v>
      </c>
      <c r="H3254" s="16" t="s">
        <v>45</v>
      </c>
      <c r="I3254" s="16">
        <f>COUNTIF(G$5:G3254,"Y")/COUNTA(G$5:G3254)</f>
        <v>0.88430769230769235</v>
      </c>
      <c r="J3254" s="16">
        <f>COUNTIF(H$5:H3254,"Y")/COUNTA(H$5:H3254)</f>
        <v>4.8000000000000001E-2</v>
      </c>
      <c r="K3254" s="16">
        <f>AVERAGE(F$5:F3254)</f>
        <v>2.2090769230769234</v>
      </c>
      <c r="L3254" s="16">
        <f>SUM(F$5:F3254)/SUM(E$5:E3254)</f>
        <v>0.76425628852151639</v>
      </c>
    </row>
    <row r="3255" spans="1:13" x14ac:dyDescent="0.25">
      <c r="A3255" s="29">
        <v>46153</v>
      </c>
      <c r="B3255" s="16" t="s">
        <v>3301</v>
      </c>
      <c r="C3255" s="34">
        <v>1</v>
      </c>
      <c r="D3255" s="16" t="s">
        <v>64</v>
      </c>
      <c r="E3255" s="35">
        <v>0.7</v>
      </c>
      <c r="F3255" s="35">
        <v>0.5</v>
      </c>
      <c r="G3255" s="16" t="s">
        <v>44</v>
      </c>
      <c r="H3255" s="16" t="s">
        <v>45</v>
      </c>
      <c r="I3255" s="16">
        <f>COUNTIF(G$5:G3255,"Y")/COUNTA(G$5:G3255)</f>
        <v>0.88434327899107967</v>
      </c>
      <c r="J3255" s="16">
        <f>COUNTIF(H$5:H3255,"Y")/COUNTA(H$5:H3255)</f>
        <v>4.7985235312211626E-2</v>
      </c>
      <c r="K3255" s="16">
        <f>AVERAGE(F$5:F3255)</f>
        <v>2.208551215010766</v>
      </c>
      <c r="L3255" s="16">
        <f>SUM(F$5:F3255)/SUM(E$5:E3255)</f>
        <v>0.76425256524885854</v>
      </c>
    </row>
    <row r="3256" spans="1:13" x14ac:dyDescent="0.25">
      <c r="A3256" s="29">
        <v>46154</v>
      </c>
      <c r="B3256" s="16" t="s">
        <v>3302</v>
      </c>
      <c r="C3256" s="34">
        <v>1</v>
      </c>
      <c r="D3256" s="16" t="s">
        <v>50</v>
      </c>
      <c r="E3256" s="35">
        <v>0.7</v>
      </c>
      <c r="F3256" s="35">
        <v>0.5</v>
      </c>
      <c r="G3256" s="16" t="s">
        <v>45</v>
      </c>
      <c r="H3256" s="16" t="s">
        <v>45</v>
      </c>
      <c r="I3256" s="16">
        <f>COUNTIF(G$5:G3256,"Y")/COUNTA(G$5:G3256)</f>
        <v>0.88407134071340709</v>
      </c>
      <c r="J3256" s="16">
        <f>COUNTIF(H$5:H3256,"Y")/COUNTA(H$5:H3256)</f>
        <v>4.797047970479705E-2</v>
      </c>
      <c r="K3256" s="16">
        <f>AVERAGE(F$5:F3256)</f>
        <v>2.2080258302583027</v>
      </c>
      <c r="L3256" s="16">
        <f>SUM(F$5:F3256)/SUM(E$5:E3256)</f>
        <v>0.76424884253099634</v>
      </c>
    </row>
    <row r="3257" spans="1:13" x14ac:dyDescent="0.25">
      <c r="A3257" s="29">
        <v>46155</v>
      </c>
      <c r="B3257" s="16" t="s">
        <v>3303</v>
      </c>
      <c r="C3257" s="34">
        <v>1</v>
      </c>
      <c r="D3257" s="16" t="s">
        <v>43</v>
      </c>
      <c r="E3257" s="35">
        <v>0.6</v>
      </c>
      <c r="F3257" s="35">
        <v>0.5</v>
      </c>
      <c r="G3257" s="16" t="s">
        <v>45</v>
      </c>
      <c r="H3257" s="16" t="s">
        <v>45</v>
      </c>
      <c r="I3257" s="16">
        <f>COUNTIF(G$5:G3257,"Y")/COUNTA(G$5:G3257)</f>
        <v>0.88379956962803563</v>
      </c>
      <c r="J3257" s="16">
        <f>COUNTIF(H$5:H3257,"Y")/COUNTA(H$5:H3257)</f>
        <v>4.7955733169382106E-2</v>
      </c>
      <c r="K3257" s="16">
        <f>AVERAGE(F$5:F3257)</f>
        <v>2.2075007685213652</v>
      </c>
      <c r="L3257" s="16">
        <f>SUM(F$5:F3257)/SUM(E$5:E3257)</f>
        <v>0.76425325400963973</v>
      </c>
    </row>
    <row r="3258" spans="1:13" x14ac:dyDescent="0.25">
      <c r="A3258" s="29">
        <v>46156</v>
      </c>
      <c r="B3258" s="16" t="s">
        <v>3304</v>
      </c>
      <c r="C3258" s="34">
        <v>1</v>
      </c>
      <c r="D3258" s="16" t="s">
        <v>47</v>
      </c>
      <c r="E3258" s="35">
        <v>0.6</v>
      </c>
      <c r="F3258" s="35">
        <v>0.5</v>
      </c>
      <c r="G3258" s="16" t="s">
        <v>44</v>
      </c>
      <c r="H3258" s="16" t="s">
        <v>45</v>
      </c>
      <c r="I3258" s="16">
        <f>COUNTIF(G$5:G3258,"Y")/COUNTA(G$5:G3258)</f>
        <v>0.88383527965580821</v>
      </c>
      <c r="J3258" s="16">
        <f>COUNTIF(H$5:H3258,"Y")/COUNTA(H$5:H3258)</f>
        <v>4.7940995697602948E-2</v>
      </c>
      <c r="K3258" s="16">
        <f>AVERAGE(F$5:F3258)</f>
        <v>2.2069760295021514</v>
      </c>
      <c r="L3258" s="16">
        <f>SUM(F$5:F3258)/SUM(E$5:E3258)</f>
        <v>0.76425766492491787</v>
      </c>
    </row>
    <row r="3259" spans="1:13" x14ac:dyDescent="0.25">
      <c r="A3259" s="29">
        <v>46157</v>
      </c>
      <c r="B3259" s="16" t="s">
        <v>3305</v>
      </c>
      <c r="C3259" s="34">
        <v>1</v>
      </c>
      <c r="D3259" s="16" t="s">
        <v>43</v>
      </c>
      <c r="E3259" s="35">
        <v>3.3</v>
      </c>
      <c r="F3259" s="35">
        <v>0.5</v>
      </c>
      <c r="G3259" s="16" t="s">
        <v>44</v>
      </c>
      <c r="H3259" s="16" t="s">
        <v>45</v>
      </c>
      <c r="I3259" s="16">
        <f>COUNTIF(G$5:G3259,"Y")/COUNTA(G$5:G3259)</f>
        <v>0.88387096774193552</v>
      </c>
      <c r="J3259" s="16">
        <f>COUNTIF(H$5:H3259,"Y")/COUNTA(H$5:H3259)</f>
        <v>4.7926267281105994E-2</v>
      </c>
      <c r="K3259" s="16">
        <f>AVERAGE(F$5:F3259)</f>
        <v>2.2064516129032259</v>
      </c>
      <c r="L3259" s="16">
        <f>SUM(F$5:F3259)/SUM(E$5:E3259)</f>
        <v>0.76404255319148684</v>
      </c>
      <c r="M3259" s="16">
        <v>10</v>
      </c>
    </row>
    <row r="3260" spans="1:13" x14ac:dyDescent="0.25">
      <c r="A3260" s="29">
        <v>46160</v>
      </c>
      <c r="B3260" s="16" t="s">
        <v>3306</v>
      </c>
      <c r="C3260" s="34">
        <v>1</v>
      </c>
      <c r="D3260" s="16" t="s">
        <v>60</v>
      </c>
      <c r="E3260" s="35">
        <v>3.7</v>
      </c>
      <c r="F3260" s="35">
        <v>2.6</v>
      </c>
      <c r="G3260" s="16" t="s">
        <v>44</v>
      </c>
      <c r="H3260" s="16" t="s">
        <v>45</v>
      </c>
      <c r="I3260" s="16">
        <f>COUNTIF(G$5:G3260,"Y")/COUNTA(G$5:G3260)</f>
        <v>0.88390663390663393</v>
      </c>
      <c r="J3260" s="16">
        <f>COUNTIF(H$5:H3260,"Y")/COUNTA(H$5:H3260)</f>
        <v>4.7911547911547912E-2</v>
      </c>
      <c r="K3260" s="16">
        <f>AVERAGE(F$5:F3260)</f>
        <v>2.2065724815724819</v>
      </c>
      <c r="L3260" s="16">
        <f>SUM(F$5:F3260)/SUM(E$5:E3260)</f>
        <v>0.76401841828216299</v>
      </c>
    </row>
    <row r="3261" spans="1:13" x14ac:dyDescent="0.25">
      <c r="A3261" s="29">
        <v>46161</v>
      </c>
      <c r="B3261" s="16" t="s">
        <v>3307</v>
      </c>
      <c r="C3261" s="34">
        <v>1</v>
      </c>
      <c r="D3261" s="16" t="s">
        <v>64</v>
      </c>
      <c r="E3261" s="35">
        <v>3</v>
      </c>
      <c r="F3261" s="35">
        <v>2.2999999999999998</v>
      </c>
      <c r="G3261" s="16" t="s">
        <v>45</v>
      </c>
      <c r="H3261" s="16" t="s">
        <v>45</v>
      </c>
      <c r="I3261" s="16">
        <f>COUNTIF(G$5:G3261,"Y")/COUNTA(G$5:G3261)</f>
        <v>0.88363524715996311</v>
      </c>
      <c r="J3261" s="16">
        <f>COUNTIF(H$5:H3261,"Y")/COUNTA(H$5:H3261)</f>
        <v>4.7896837580595639E-2</v>
      </c>
      <c r="K3261" s="16">
        <f>AVERAGE(F$5:F3261)</f>
        <v>2.2066011667178391</v>
      </c>
      <c r="L3261" s="16">
        <f>SUM(F$5:F3261)/SUM(E$5:E3261)</f>
        <v>0.76401926286582711</v>
      </c>
    </row>
    <row r="3262" spans="1:13" x14ac:dyDescent="0.25">
      <c r="A3262" s="29">
        <v>46162</v>
      </c>
      <c r="B3262" s="16" t="s">
        <v>3308</v>
      </c>
      <c r="C3262" s="34">
        <v>1</v>
      </c>
      <c r="D3262" s="16" t="s">
        <v>52</v>
      </c>
      <c r="E3262" s="35">
        <v>1.7</v>
      </c>
      <c r="F3262" s="35">
        <v>1.5</v>
      </c>
      <c r="G3262" s="16" t="s">
        <v>44</v>
      </c>
      <c r="H3262" s="16" t="s">
        <v>45</v>
      </c>
      <c r="I3262" s="16">
        <f>COUNTIF(G$5:G3262,"Y")/COUNTA(G$5:G3262)</f>
        <v>0.88367096378146104</v>
      </c>
      <c r="J3262" s="16">
        <f>COUNTIF(H$5:H3262,"Y")/COUNTA(H$5:H3262)</f>
        <v>4.7882136279926338E-2</v>
      </c>
      <c r="K3262" s="16">
        <f>AVERAGE(F$5:F3262)</f>
        <v>2.2063842848373239</v>
      </c>
      <c r="L3262" s="16">
        <f>SUM(F$5:F3262)/SUM(E$5:E3262)</f>
        <v>0.76404064453041698</v>
      </c>
    </row>
    <row r="3263" spans="1:13" x14ac:dyDescent="0.25">
      <c r="A3263" s="29">
        <v>46163</v>
      </c>
      <c r="B3263" s="16" t="s">
        <v>3309</v>
      </c>
      <c r="C3263" s="34">
        <v>1</v>
      </c>
      <c r="D3263" s="16" t="s">
        <v>64</v>
      </c>
      <c r="E3263" s="35">
        <v>4.5</v>
      </c>
      <c r="F3263" s="35">
        <v>3.1</v>
      </c>
      <c r="G3263" s="16" t="s">
        <v>45</v>
      </c>
      <c r="H3263" s="16" t="s">
        <v>44</v>
      </c>
      <c r="I3263" s="16">
        <f>COUNTIF(G$5:G3263,"Y")/COUNTA(G$5:G3263)</f>
        <v>0.88339981589444616</v>
      </c>
      <c r="J3263" s="16">
        <f>COUNTIF(H$5:H3263,"Y")/COUNTA(H$5:H3263)</f>
        <v>4.8174286590978825E-2</v>
      </c>
      <c r="K3263" s="16">
        <f>AVERAGE(F$5:F3263)</f>
        <v>2.2066584841976074</v>
      </c>
      <c r="L3263" s="16">
        <f>SUM(F$5:F3263)/SUM(E$5:E3263)</f>
        <v>0.76400471693101757</v>
      </c>
    </row>
    <row r="3264" spans="1:13" x14ac:dyDescent="0.25">
      <c r="A3264" s="29">
        <v>46164</v>
      </c>
      <c r="B3264" s="16" t="s">
        <v>3310</v>
      </c>
      <c r="C3264" s="34">
        <v>1</v>
      </c>
      <c r="D3264" s="16" t="s">
        <v>56</v>
      </c>
      <c r="E3264" s="35">
        <v>4</v>
      </c>
      <c r="F3264" s="35">
        <v>3.3</v>
      </c>
      <c r="G3264" s="16" t="s">
        <v>44</v>
      </c>
      <c r="H3264" s="16" t="s">
        <v>45</v>
      </c>
      <c r="I3264" s="16">
        <f>COUNTIF(G$5:G3264,"Y")/COUNTA(G$5:G3264)</f>
        <v>0.8834355828220859</v>
      </c>
      <c r="J3264" s="16">
        <f>COUNTIF(H$5:H3264,"Y")/COUNTA(H$5:H3264)</f>
        <v>4.8159509202453987E-2</v>
      </c>
      <c r="K3264" s="16">
        <f>AVERAGE(F$5:F3264)</f>
        <v>2.2069938650306753</v>
      </c>
      <c r="L3264" s="16">
        <f>SUM(F$5:F3264)/SUM(E$5:E3264)</f>
        <v>0.76403062578980085</v>
      </c>
    </row>
    <row r="3265" spans="1:12" x14ac:dyDescent="0.25">
      <c r="A3265" s="29">
        <v>46160</v>
      </c>
      <c r="B3265" s="16" t="s">
        <v>3311</v>
      </c>
      <c r="C3265" s="34">
        <v>1</v>
      </c>
      <c r="D3265" s="16" t="s">
        <v>52</v>
      </c>
      <c r="E3265" s="35">
        <v>3.6</v>
      </c>
      <c r="F3265" s="35">
        <v>2.5</v>
      </c>
      <c r="G3265" s="16" t="s">
        <v>44</v>
      </c>
      <c r="H3265" s="16" t="s">
        <v>45</v>
      </c>
      <c r="I3265" s="16">
        <f>COUNTIF(G$5:G3265,"Y")/COUNTA(G$5:G3265)</f>
        <v>0.88347132781355409</v>
      </c>
      <c r="J3265" s="16">
        <f>COUNTIF(H$5:H3265,"Y")/COUNTA(H$5:H3265)</f>
        <v>4.8144740877031585E-2</v>
      </c>
      <c r="K3265" s="16">
        <f>AVERAGE(F$5:F3265)</f>
        <v>2.2070837166513346</v>
      </c>
      <c r="L3265" s="16">
        <f>SUM(F$5:F3265)/SUM(E$5:E3265)</f>
        <v>0.76400403375616743</v>
      </c>
    </row>
    <row r="3266" spans="1:12" x14ac:dyDescent="0.25">
      <c r="A3266" s="29">
        <v>46161</v>
      </c>
      <c r="B3266" s="16" t="s">
        <v>3312</v>
      </c>
      <c r="C3266" s="34">
        <v>1</v>
      </c>
      <c r="D3266" s="16" t="s">
        <v>52</v>
      </c>
      <c r="E3266" s="35">
        <v>4.5</v>
      </c>
      <c r="F3266" s="35">
        <v>3.2</v>
      </c>
      <c r="G3266" s="16" t="s">
        <v>44</v>
      </c>
      <c r="H3266" s="16" t="s">
        <v>44</v>
      </c>
      <c r="I3266" s="16">
        <f>COUNTIF(G$5:G3266,"Y")/COUNTA(G$5:G3266)</f>
        <v>0.88350705088902515</v>
      </c>
      <c r="J3266" s="16">
        <f>COUNTIF(H$5:H3266,"Y")/COUNTA(H$5:H3266)</f>
        <v>4.8436541998773758E-2</v>
      </c>
      <c r="K3266" s="16">
        <f>AVERAGE(F$5:F3266)</f>
        <v>2.2073881054567757</v>
      </c>
      <c r="L3266" s="16">
        <f>SUM(F$5:F3266)/SUM(E$5:E3266)</f>
        <v>0.76397877984084617</v>
      </c>
    </row>
    <row r="3267" spans="1:12" x14ac:dyDescent="0.25">
      <c r="A3267" s="29">
        <v>46162</v>
      </c>
      <c r="B3267" s="16" t="s">
        <v>3313</v>
      </c>
      <c r="C3267" s="34">
        <v>1</v>
      </c>
      <c r="D3267" s="16" t="s">
        <v>60</v>
      </c>
      <c r="E3267" s="35">
        <v>4.9000000000000004</v>
      </c>
      <c r="F3267" s="35">
        <v>3.3</v>
      </c>
      <c r="G3267" s="16" t="s">
        <v>44</v>
      </c>
      <c r="H3267" s="16" t="s">
        <v>45</v>
      </c>
      <c r="I3267" s="16">
        <f>COUNTIF(G$5:G3267,"Y")/COUNTA(G$5:G3267)</f>
        <v>0.88354275206864852</v>
      </c>
      <c r="J3267" s="16">
        <f>COUNTIF(H$5:H3267,"Y")/COUNTA(H$5:H3267)</f>
        <v>4.8421697824088263E-2</v>
      </c>
      <c r="K3267" s="16">
        <f>AVERAGE(F$5:F3267)</f>
        <v>2.2077229543365009</v>
      </c>
      <c r="L3267" s="16">
        <f>SUM(F$5:F3267)/SUM(E$5:E3267)</f>
        <v>0.7639317490111216</v>
      </c>
    </row>
    <row r="3268" spans="1:12" x14ac:dyDescent="0.25">
      <c r="A3268" s="29">
        <v>46163</v>
      </c>
      <c r="B3268" s="16" t="s">
        <v>3314</v>
      </c>
      <c r="C3268" s="34">
        <v>1</v>
      </c>
      <c r="D3268" s="16" t="s">
        <v>56</v>
      </c>
      <c r="E3268" s="35">
        <v>2.2000000000000002</v>
      </c>
      <c r="F3268" s="35">
        <v>1.9</v>
      </c>
      <c r="G3268" s="16" t="s">
        <v>44</v>
      </c>
      <c r="H3268" s="16" t="s">
        <v>45</v>
      </c>
      <c r="I3268" s="16">
        <f>COUNTIF(G$5:G3268,"Y")/COUNTA(G$5:G3268)</f>
        <v>0.88357843137254899</v>
      </c>
      <c r="J3268" s="16">
        <f>COUNTIF(H$5:H3268,"Y")/COUNTA(H$5:H3268)</f>
        <v>4.8406862745098041E-2</v>
      </c>
      <c r="K3268" s="16">
        <f>AVERAGE(F$5:F3268)</f>
        <v>2.2076286764705886</v>
      </c>
      <c r="L3268" s="16">
        <f>SUM(F$5:F3268)/SUM(E$5:E3268)</f>
        <v>0.76395500471792865</v>
      </c>
    </row>
    <row r="3269" spans="1:12" x14ac:dyDescent="0.25">
      <c r="A3269" s="29">
        <v>46164</v>
      </c>
      <c r="B3269" s="16" t="s">
        <v>3315</v>
      </c>
      <c r="C3269" s="34">
        <v>1</v>
      </c>
      <c r="D3269" s="16" t="s">
        <v>52</v>
      </c>
      <c r="E3269" s="35">
        <v>3.6</v>
      </c>
      <c r="F3269" s="35">
        <v>2.6</v>
      </c>
      <c r="G3269" s="16" t="s">
        <v>45</v>
      </c>
      <c r="H3269" s="16" t="s">
        <v>45</v>
      </c>
      <c r="I3269" s="16">
        <f>COUNTIF(G$5:G3269,"Y")/COUNTA(G$5:G3269)</f>
        <v>0.8833078101071975</v>
      </c>
      <c r="J3269" s="16">
        <f>COUNTIF(H$5:H3269,"Y")/COUNTA(H$5:H3269)</f>
        <v>4.8392036753445639E-2</v>
      </c>
      <c r="K3269" s="16">
        <f>AVERAGE(F$5:F3269)</f>
        <v>2.2077488514548245</v>
      </c>
      <c r="L3269" s="16">
        <f>SUM(F$5:F3269)/SUM(E$5:E3269)</f>
        <v>0.76393908242101538</v>
      </c>
    </row>
    <row r="3270" spans="1:12" x14ac:dyDescent="0.25">
      <c r="A3270" s="29">
        <v>46160</v>
      </c>
      <c r="B3270" s="16" t="s">
        <v>3316</v>
      </c>
      <c r="C3270" s="34">
        <v>1</v>
      </c>
      <c r="D3270" s="16" t="s">
        <v>52</v>
      </c>
      <c r="E3270" s="35">
        <v>4.0999999999999996</v>
      </c>
      <c r="F3270" s="35">
        <v>3.3</v>
      </c>
      <c r="G3270" s="16" t="s">
        <v>44</v>
      </c>
      <c r="H3270" s="16" t="s">
        <v>45</v>
      </c>
      <c r="I3270" s="16">
        <f>COUNTIF(G$5:G3270,"Y")/COUNTA(G$5:G3270)</f>
        <v>0.88334353949785671</v>
      </c>
      <c r="J3270" s="16">
        <f>COUNTIF(H$5:H3270,"Y")/COUNTA(H$5:H3270)</f>
        <v>4.8377219840783831E-2</v>
      </c>
      <c r="K3270" s="16">
        <f>AVERAGE(F$5:F3270)</f>
        <v>2.2080832823025114</v>
      </c>
      <c r="L3270" s="16">
        <f>SUM(F$5:F3270)/SUM(E$5:E3270)</f>
        <v>0.76395686349286795</v>
      </c>
    </row>
    <row r="3271" spans="1:12" x14ac:dyDescent="0.25">
      <c r="A3271" s="29">
        <v>46161</v>
      </c>
      <c r="B3271" s="16" t="s">
        <v>3317</v>
      </c>
      <c r="C3271" s="34">
        <v>1</v>
      </c>
      <c r="D3271" s="16" t="s">
        <v>56</v>
      </c>
      <c r="E3271" s="35">
        <v>2.9</v>
      </c>
      <c r="F3271" s="35">
        <v>2.2999999999999998</v>
      </c>
      <c r="G3271" s="16" t="s">
        <v>44</v>
      </c>
      <c r="H3271" s="16" t="s">
        <v>45</v>
      </c>
      <c r="I3271" s="16">
        <f>COUNTIF(G$5:G3271,"Y")/COUNTA(G$5:G3271)</f>
        <v>0.88337924701561066</v>
      </c>
      <c r="J3271" s="16">
        <f>COUNTIF(H$5:H3271,"Y")/COUNTA(H$5:H3271)</f>
        <v>4.8362411998775633E-2</v>
      </c>
      <c r="K3271" s="16">
        <f>AVERAGE(F$5:F3271)</f>
        <v>2.2081114172023271</v>
      </c>
      <c r="L3271" s="16">
        <f>SUM(F$5:F3271)/SUM(E$5:E3271)</f>
        <v>0.763965814862272</v>
      </c>
    </row>
    <row r="3272" spans="1:12" x14ac:dyDescent="0.25">
      <c r="A3272" s="29">
        <v>46162</v>
      </c>
      <c r="B3272" s="16" t="s">
        <v>3318</v>
      </c>
      <c r="C3272" s="34">
        <v>1</v>
      </c>
      <c r="D3272" s="16" t="s">
        <v>52</v>
      </c>
      <c r="E3272" s="35">
        <v>1.9</v>
      </c>
      <c r="F3272" s="35">
        <v>1.6</v>
      </c>
      <c r="G3272" s="16" t="s">
        <v>44</v>
      </c>
      <c r="H3272" s="16" t="s">
        <v>45</v>
      </c>
      <c r="I3272" s="16">
        <f>COUNTIF(G$5:G3272,"Y")/COUNTA(G$5:G3272)</f>
        <v>0.8834149326805385</v>
      </c>
      <c r="J3272" s="16">
        <f>COUNTIF(H$5:H3272,"Y")/COUNTA(H$5:H3272)</f>
        <v>4.8347613219094247E-2</v>
      </c>
      <c r="K3272" s="16">
        <f>AVERAGE(F$5:F3272)</f>
        <v>2.2079253365973082</v>
      </c>
      <c r="L3272" s="16">
        <f>SUM(F$5:F3272)/SUM(E$5:E3272)</f>
        <v>0.7639815344217834</v>
      </c>
    </row>
    <row r="3273" spans="1:12" x14ac:dyDescent="0.25">
      <c r="A3273" s="29">
        <v>46163</v>
      </c>
      <c r="B3273" s="16" t="s">
        <v>3319</v>
      </c>
      <c r="C3273" s="34">
        <v>1</v>
      </c>
      <c r="D3273" s="16" t="s">
        <v>64</v>
      </c>
      <c r="E3273" s="35">
        <v>2.6</v>
      </c>
      <c r="F3273" s="35">
        <v>1.9</v>
      </c>
      <c r="G3273" s="16" t="s">
        <v>44</v>
      </c>
      <c r="H3273" s="16" t="s">
        <v>45</v>
      </c>
      <c r="I3273" s="16">
        <f>COUNTIF(G$5:G3273,"Y")/COUNTA(G$5:G3273)</f>
        <v>0.88345059651269497</v>
      </c>
      <c r="J3273" s="16">
        <f>COUNTIF(H$5:H3273,"Y")/COUNTA(H$5:H3273)</f>
        <v>4.8332823493423063E-2</v>
      </c>
      <c r="K3273" s="16">
        <f>AVERAGE(F$5:F3273)</f>
        <v>2.2078311410217197</v>
      </c>
      <c r="L3273" s="16">
        <f>SUM(F$5:F3273)/SUM(E$5:E3273)</f>
        <v>0.76397239393682526</v>
      </c>
    </row>
    <row r="3274" spans="1:12" x14ac:dyDescent="0.25">
      <c r="A3274" s="29">
        <v>46164</v>
      </c>
      <c r="B3274" s="16" t="s">
        <v>3320</v>
      </c>
      <c r="C3274" s="34">
        <v>1</v>
      </c>
      <c r="D3274" s="16" t="s">
        <v>43</v>
      </c>
      <c r="E3274" s="35">
        <v>4.2</v>
      </c>
      <c r="F3274" s="35">
        <v>2.9</v>
      </c>
      <c r="G3274" s="16" t="s">
        <v>44</v>
      </c>
      <c r="H3274" s="16" t="s">
        <v>45</v>
      </c>
      <c r="I3274" s="16">
        <f>COUNTIF(G$5:G3274,"Y")/COUNTA(G$5:G3274)</f>
        <v>0.88348623853211006</v>
      </c>
      <c r="J3274" s="16">
        <f>COUNTIF(H$5:H3274,"Y")/COUNTA(H$5:H3274)</f>
        <v>4.8318042813455656E-2</v>
      </c>
      <c r="K3274" s="16">
        <f>AVERAGE(F$5:F3274)</f>
        <v>2.2080428134556582</v>
      </c>
      <c r="L3274" s="16">
        <f>SUM(F$5:F3274)/SUM(E$5:E3274)</f>
        <v>0.76393973379604863</v>
      </c>
    </row>
    <row r="3275" spans="1:12" x14ac:dyDescent="0.25">
      <c r="A3275" s="29">
        <v>46160</v>
      </c>
      <c r="B3275" s="16" t="s">
        <v>3321</v>
      </c>
      <c r="C3275" s="34">
        <v>1</v>
      </c>
      <c r="D3275" s="16" t="s">
        <v>47</v>
      </c>
      <c r="E3275" s="35">
        <v>2.9</v>
      </c>
      <c r="F3275" s="35">
        <v>2.2000000000000002</v>
      </c>
      <c r="G3275" s="16" t="s">
        <v>44</v>
      </c>
      <c r="H3275" s="16" t="s">
        <v>45</v>
      </c>
      <c r="I3275" s="16">
        <f>COUNTIF(G$5:G3275,"Y")/COUNTA(G$5:G3275)</f>
        <v>0.88352185875878941</v>
      </c>
      <c r="J3275" s="16">
        <f>COUNTIF(H$5:H3275,"Y")/COUNTA(H$5:H3275)</f>
        <v>4.8303271170895751E-2</v>
      </c>
      <c r="K3275" s="16">
        <f>AVERAGE(F$5:F3275)</f>
        <v>2.2080403546316116</v>
      </c>
      <c r="L3275" s="16">
        <f>SUM(F$5:F3275)/SUM(E$5:E3275)</f>
        <v>0.76393810223919001</v>
      </c>
    </row>
    <row r="3276" spans="1:12" x14ac:dyDescent="0.25">
      <c r="A3276" s="29">
        <v>46161</v>
      </c>
      <c r="B3276" s="16" t="s">
        <v>3322</v>
      </c>
      <c r="C3276" s="34">
        <v>1</v>
      </c>
      <c r="D3276" s="16" t="s">
        <v>52</v>
      </c>
      <c r="E3276" s="35">
        <v>4.5</v>
      </c>
      <c r="F3276" s="35">
        <v>3</v>
      </c>
      <c r="G3276" s="16" t="s">
        <v>44</v>
      </c>
      <c r="H3276" s="16" t="s">
        <v>45</v>
      </c>
      <c r="I3276" s="16">
        <f>COUNTIF(G$5:G3276,"Y")/COUNTA(G$5:G3276)</f>
        <v>0.88355745721271395</v>
      </c>
      <c r="J3276" s="16">
        <f>COUNTIF(H$5:H3276,"Y")/COUNTA(H$5:H3276)</f>
        <v>4.8288508557457213E-2</v>
      </c>
      <c r="K3276" s="16">
        <f>AVERAGE(F$5:F3276)</f>
        <v>2.2082823960880202</v>
      </c>
      <c r="L3276" s="16">
        <f>SUM(F$5:F3276)/SUM(E$5:E3276)</f>
        <v>0.76389182560155355</v>
      </c>
    </row>
    <row r="3277" spans="1:12" x14ac:dyDescent="0.25">
      <c r="A3277" s="29">
        <v>46162</v>
      </c>
      <c r="B3277" s="16" t="s">
        <v>3323</v>
      </c>
      <c r="C3277" s="34">
        <v>1</v>
      </c>
      <c r="D3277" s="16" t="s">
        <v>43</v>
      </c>
      <c r="E3277" s="35">
        <v>3</v>
      </c>
      <c r="F3277" s="35">
        <v>2.2000000000000002</v>
      </c>
      <c r="G3277" s="16" t="s">
        <v>44</v>
      </c>
      <c r="H3277" s="16" t="s">
        <v>45</v>
      </c>
      <c r="I3277" s="16">
        <f>COUNTIF(G$5:G3277,"Y")/COUNTA(G$5:G3277)</f>
        <v>0.88359303391384048</v>
      </c>
      <c r="J3277" s="16">
        <f>COUNTIF(H$5:H3277,"Y")/COUNTA(H$5:H3277)</f>
        <v>4.8273754964864038E-2</v>
      </c>
      <c r="K3277" s="16">
        <f>AVERAGE(F$5:F3277)</f>
        <v>2.2082798655667588</v>
      </c>
      <c r="L3277" s="16">
        <f>SUM(F$5:F3277)/SUM(E$5:E3277)</f>
        <v>0.76388213659134352</v>
      </c>
    </row>
    <row r="3278" spans="1:12" x14ac:dyDescent="0.25">
      <c r="A3278" s="29">
        <v>46163</v>
      </c>
      <c r="B3278" s="16" t="s">
        <v>3324</v>
      </c>
      <c r="C3278" s="34">
        <v>1</v>
      </c>
      <c r="D3278" s="16" t="s">
        <v>47</v>
      </c>
      <c r="E3278" s="35">
        <v>4.4000000000000004</v>
      </c>
      <c r="F3278" s="35">
        <v>3.1</v>
      </c>
      <c r="G3278" s="16" t="s">
        <v>44</v>
      </c>
      <c r="H3278" s="16" t="s">
        <v>45</v>
      </c>
      <c r="I3278" s="16">
        <f>COUNTIF(G$5:G3278,"Y")/COUNTA(G$5:G3278)</f>
        <v>0.88362858888210138</v>
      </c>
      <c r="J3278" s="16">
        <f>COUNTIF(H$5:H3278,"Y")/COUNTA(H$5:H3278)</f>
        <v>4.8259010384850337E-2</v>
      </c>
      <c r="K3278" s="16">
        <f>AVERAGE(F$5:F3278)</f>
        <v>2.208552229688455</v>
      </c>
      <c r="L3278" s="16">
        <f>SUM(F$5:F3278)/SUM(E$5:E3278)</f>
        <v>0.76385455621051479</v>
      </c>
    </row>
    <row r="3279" spans="1:12" x14ac:dyDescent="0.25">
      <c r="A3279" s="29">
        <v>46164</v>
      </c>
      <c r="B3279" s="16" t="s">
        <v>3325</v>
      </c>
      <c r="C3279" s="34">
        <v>1</v>
      </c>
      <c r="D3279" s="16" t="s">
        <v>60</v>
      </c>
      <c r="E3279" s="35">
        <v>4</v>
      </c>
      <c r="F3279" s="35">
        <v>3.4</v>
      </c>
      <c r="G3279" s="16" t="s">
        <v>44</v>
      </c>
      <c r="H3279" s="16" t="s">
        <v>45</v>
      </c>
      <c r="I3279" s="16">
        <f>COUNTIF(G$5:G3279,"Y")/COUNTA(G$5:G3279)</f>
        <v>0.88366412213740453</v>
      </c>
      <c r="J3279" s="16">
        <f>COUNTIF(H$5:H3279,"Y")/COUNTA(H$5:H3279)</f>
        <v>4.8244274809160305E-2</v>
      </c>
      <c r="K3279" s="16">
        <f>AVERAGE(F$5:F3279)</f>
        <v>2.2089160305343518</v>
      </c>
      <c r="L3279" s="16">
        <f>SUM(F$5:F3279)/SUM(E$5:E3279)</f>
        <v>0.76389094211315223</v>
      </c>
    </row>
    <row r="3280" spans="1:12" x14ac:dyDescent="0.25">
      <c r="A3280" s="29">
        <v>46160</v>
      </c>
      <c r="B3280" s="16" t="s">
        <v>3326</v>
      </c>
      <c r="C3280" s="34">
        <v>1</v>
      </c>
      <c r="D3280" s="16" t="s">
        <v>60</v>
      </c>
      <c r="E3280" s="35">
        <v>1.5</v>
      </c>
      <c r="F3280" s="35">
        <v>1.3</v>
      </c>
      <c r="G3280" s="16" t="s">
        <v>44</v>
      </c>
      <c r="H3280" s="16" t="s">
        <v>45</v>
      </c>
      <c r="I3280" s="16">
        <f>COUNTIF(G$5:G3280,"Y")/COUNTA(G$5:G3280)</f>
        <v>0.88369963369963367</v>
      </c>
      <c r="J3280" s="16">
        <f>COUNTIF(H$5:H3280,"Y")/COUNTA(H$5:H3280)</f>
        <v>4.8229548229548232E-2</v>
      </c>
      <c r="K3280" s="16">
        <f>AVERAGE(F$5:F3280)</f>
        <v>2.2086385836385842</v>
      </c>
      <c r="L3280" s="16">
        <f>SUM(F$5:F3280)/SUM(E$5:E3280)</f>
        <v>0.76390721834517294</v>
      </c>
    </row>
    <row r="3281" spans="1:12" x14ac:dyDescent="0.25">
      <c r="A3281" s="29">
        <v>46161</v>
      </c>
      <c r="B3281" s="16" t="s">
        <v>3327</v>
      </c>
      <c r="C3281" s="34">
        <v>1</v>
      </c>
      <c r="D3281" s="16" t="s">
        <v>47</v>
      </c>
      <c r="E3281" s="35">
        <v>1.3</v>
      </c>
      <c r="F3281" s="35">
        <v>1.1000000000000001</v>
      </c>
      <c r="G3281" s="16" t="s">
        <v>45</v>
      </c>
      <c r="H3281" s="16" t="s">
        <v>45</v>
      </c>
      <c r="I3281" s="16">
        <f>COUNTIF(G$5:G3281,"Y")/COUNTA(G$5:G3281)</f>
        <v>0.88342996643271288</v>
      </c>
      <c r="J3281" s="16">
        <f>COUNTIF(H$5:H3281,"Y")/COUNTA(H$5:H3281)</f>
        <v>4.8214830637778455E-2</v>
      </c>
      <c r="K3281" s="16">
        <f>AVERAGE(F$5:F3281)</f>
        <v>2.2083002746414411</v>
      </c>
      <c r="L3281" s="16">
        <f>SUM(F$5:F3281)/SUM(E$5:E3281)</f>
        <v>0.76391850522537486</v>
      </c>
    </row>
    <row r="3282" spans="1:12" x14ac:dyDescent="0.25">
      <c r="A3282" s="29">
        <v>46162</v>
      </c>
      <c r="B3282" s="16" t="s">
        <v>3328</v>
      </c>
      <c r="C3282" s="34">
        <v>1</v>
      </c>
      <c r="D3282" s="16" t="s">
        <v>60</v>
      </c>
      <c r="E3282" s="35">
        <v>1.3</v>
      </c>
      <c r="F3282" s="35">
        <v>1</v>
      </c>
      <c r="G3282" s="16" t="s">
        <v>44</v>
      </c>
      <c r="H3282" s="16" t="s">
        <v>45</v>
      </c>
      <c r="I3282" s="16">
        <f>COUNTIF(G$5:G3282,"Y")/COUNTA(G$5:G3282)</f>
        <v>0.88346552776082976</v>
      </c>
      <c r="J3282" s="16">
        <f>COUNTIF(H$5:H3282,"Y")/COUNTA(H$5:H3282)</f>
        <v>4.8200122025625382E-2</v>
      </c>
      <c r="K3282" s="16">
        <f>AVERAGE(F$5:F3282)</f>
        <v>2.2079316656497872</v>
      </c>
      <c r="L3282" s="16">
        <f>SUM(F$5:F3282)/SUM(E$5:E3282)</f>
        <v>0.76391923413866736</v>
      </c>
    </row>
    <row r="3283" spans="1:12" x14ac:dyDescent="0.25">
      <c r="A3283" s="29">
        <v>46163</v>
      </c>
      <c r="B3283" s="16" t="s">
        <v>3329</v>
      </c>
      <c r="C3283" s="34">
        <v>1</v>
      </c>
      <c r="D3283" s="16" t="s">
        <v>47</v>
      </c>
      <c r="E3283" s="35">
        <v>1.3</v>
      </c>
      <c r="F3283" s="35">
        <v>1</v>
      </c>
      <c r="G3283" s="16" t="s">
        <v>44</v>
      </c>
      <c r="H3283" s="16" t="s">
        <v>45</v>
      </c>
      <c r="I3283" s="16">
        <f>COUNTIF(G$5:G3283,"Y")/COUNTA(G$5:G3283)</f>
        <v>0.88350106739859713</v>
      </c>
      <c r="J3283" s="16">
        <f>COUNTIF(H$5:H3283,"Y")/COUNTA(H$5:H3283)</f>
        <v>4.8185422384873437E-2</v>
      </c>
      <c r="K3283" s="16">
        <f>AVERAGE(F$5:F3283)</f>
        <v>2.2075632814882593</v>
      </c>
      <c r="L3283" s="16">
        <f>SUM(F$5:F3283)/SUM(E$5:E3283)</f>
        <v>0.76391996285195418</v>
      </c>
    </row>
    <row r="3284" spans="1:12" x14ac:dyDescent="0.25">
      <c r="A3284" s="29">
        <v>46164</v>
      </c>
      <c r="B3284" s="16" t="s">
        <v>3330</v>
      </c>
      <c r="C3284" s="34">
        <v>1</v>
      </c>
      <c r="D3284" s="16" t="s">
        <v>60</v>
      </c>
      <c r="E3284" s="35">
        <v>4.4000000000000004</v>
      </c>
      <c r="F3284" s="35">
        <v>2.9</v>
      </c>
      <c r="G3284" s="16" t="s">
        <v>45</v>
      </c>
      <c r="H3284" s="16" t="s">
        <v>45</v>
      </c>
      <c r="I3284" s="16">
        <f>COUNTIF(G$5:G3284,"Y")/COUNTA(G$5:G3284)</f>
        <v>0.88323170731707312</v>
      </c>
      <c r="J3284" s="16">
        <f>COUNTIF(H$5:H3284,"Y")/COUNTA(H$5:H3284)</f>
        <v>4.8170731707317074E-2</v>
      </c>
      <c r="K3284" s="16">
        <f>AVERAGE(F$5:F3284)</f>
        <v>2.2077743902439031</v>
      </c>
      <c r="L3284" s="16">
        <f>SUM(F$5:F3284)/SUM(E$5:E3284)</f>
        <v>0.76387130801687519</v>
      </c>
    </row>
    <row r="3285" spans="1:12" x14ac:dyDescent="0.25">
      <c r="A3285" s="29">
        <v>46160</v>
      </c>
      <c r="B3285" s="16" t="s">
        <v>3331</v>
      </c>
      <c r="C3285" s="34">
        <v>1</v>
      </c>
      <c r="D3285" s="16" t="s">
        <v>47</v>
      </c>
      <c r="E3285" s="35">
        <v>1.7</v>
      </c>
      <c r="F3285" s="35">
        <v>1.3</v>
      </c>
      <c r="G3285" s="16" t="s">
        <v>44</v>
      </c>
      <c r="H3285" s="16" t="s">
        <v>45</v>
      </c>
      <c r="I3285" s="16">
        <f>COUNTIF(G$5:G3285,"Y")/COUNTA(G$5:G3285)</f>
        <v>0.88326729655592806</v>
      </c>
      <c r="J3285" s="16">
        <f>COUNTIF(H$5:H3285,"Y")/COUNTA(H$5:H3285)</f>
        <v>4.8156049984760745E-2</v>
      </c>
      <c r="K3285" s="16">
        <f>AVERAGE(F$5:F3285)</f>
        <v>2.2074977141115522</v>
      </c>
      <c r="L3285" s="16">
        <f>SUM(F$5:F3285)/SUM(E$5:E3285)</f>
        <v>0.76387145764999698</v>
      </c>
    </row>
    <row r="3286" spans="1:12" x14ac:dyDescent="0.25">
      <c r="A3286" s="29">
        <v>46161</v>
      </c>
      <c r="B3286" s="16" t="s">
        <v>3332</v>
      </c>
      <c r="C3286" s="34">
        <v>1</v>
      </c>
      <c r="D3286" s="16" t="s">
        <v>50</v>
      </c>
      <c r="E3286" s="35">
        <v>4.0999999999999996</v>
      </c>
      <c r="F3286" s="35">
        <v>2.7</v>
      </c>
      <c r="G3286" s="16" t="s">
        <v>44</v>
      </c>
      <c r="H3286" s="16" t="s">
        <v>45</v>
      </c>
      <c r="I3286" s="16">
        <f>COUNTIF(G$5:G3286,"Y")/COUNTA(G$5:G3286)</f>
        <v>0.88330286410725167</v>
      </c>
      <c r="J3286" s="16">
        <f>COUNTIF(H$5:H3286,"Y")/COUNTA(H$5:H3286)</f>
        <v>4.8141377209018892E-2</v>
      </c>
      <c r="K3286" s="16">
        <f>AVERAGE(F$5:F3286)</f>
        <v>2.2076477757464965</v>
      </c>
      <c r="L3286" s="16">
        <f>SUM(F$5:F3286)/SUM(E$5:E3286)</f>
        <v>0.76382592928376902</v>
      </c>
    </row>
    <row r="3287" spans="1:12" x14ac:dyDescent="0.25">
      <c r="A3287" s="29">
        <v>46162</v>
      </c>
      <c r="B3287" s="16" t="s">
        <v>3333</v>
      </c>
      <c r="C3287" s="34">
        <v>1</v>
      </c>
      <c r="D3287" s="16" t="s">
        <v>60</v>
      </c>
      <c r="E3287" s="35">
        <v>3.7</v>
      </c>
      <c r="F3287" s="35">
        <v>2.9</v>
      </c>
      <c r="G3287" s="16" t="s">
        <v>44</v>
      </c>
      <c r="H3287" s="16" t="s">
        <v>45</v>
      </c>
      <c r="I3287" s="16">
        <f>COUNTIF(G$5:G3287,"Y")/COUNTA(G$5:G3287)</f>
        <v>0.88333840999086199</v>
      </c>
      <c r="J3287" s="16">
        <f>COUNTIF(H$5:H3287,"Y")/COUNTA(H$5:H3287)</f>
        <v>4.812671337191593E-2</v>
      </c>
      <c r="K3287" s="16">
        <f>AVERAGE(F$5:F3287)</f>
        <v>2.2078586658544017</v>
      </c>
      <c r="L3287" s="16">
        <f>SUM(F$5:F3287)/SUM(E$5:E3287)</f>
        <v>0.76383371094367192</v>
      </c>
    </row>
    <row r="3288" spans="1:12" x14ac:dyDescent="0.25">
      <c r="A3288" s="29">
        <v>46163</v>
      </c>
      <c r="B3288" s="16" t="s">
        <v>3334</v>
      </c>
      <c r="C3288" s="34">
        <v>1</v>
      </c>
      <c r="D3288" s="16" t="s">
        <v>64</v>
      </c>
      <c r="E3288" s="35">
        <v>2.4</v>
      </c>
      <c r="F3288" s="35">
        <v>1.7</v>
      </c>
      <c r="G3288" s="16" t="s">
        <v>44</v>
      </c>
      <c r="H3288" s="16" t="s">
        <v>45</v>
      </c>
      <c r="I3288" s="16">
        <f>COUNTIF(G$5:G3288,"Y")/COUNTA(G$5:G3288)</f>
        <v>0.88337393422655297</v>
      </c>
      <c r="J3288" s="16">
        <f>COUNTIF(H$5:H3288,"Y")/COUNTA(H$5:H3288)</f>
        <v>4.8112058465286239E-2</v>
      </c>
      <c r="K3288" s="16">
        <f>AVERAGE(F$5:F3288)</f>
        <v>2.2077040194884292</v>
      </c>
      <c r="L3288" s="16">
        <f>SUM(F$5:F3288)/SUM(E$5:E3288)</f>
        <v>0.7638196778305687</v>
      </c>
    </row>
    <row r="3289" spans="1:12" x14ac:dyDescent="0.25">
      <c r="A3289" s="29">
        <v>46164</v>
      </c>
      <c r="B3289" s="16" t="s">
        <v>3335</v>
      </c>
      <c r="C3289" s="34">
        <v>1</v>
      </c>
      <c r="D3289" s="16" t="s">
        <v>56</v>
      </c>
      <c r="E3289" s="35">
        <v>2.1</v>
      </c>
      <c r="F3289" s="35">
        <v>1.8</v>
      </c>
      <c r="G3289" s="16" t="s">
        <v>44</v>
      </c>
      <c r="H3289" s="16" t="s">
        <v>45</v>
      </c>
      <c r="I3289" s="16">
        <f>COUNTIF(G$5:G3289,"Y")/COUNTA(G$5:G3289)</f>
        <v>0.88340943683409434</v>
      </c>
      <c r="J3289" s="16">
        <f>COUNTIF(H$5:H3289,"Y")/COUNTA(H$5:H3289)</f>
        <v>4.8097412480974128E-2</v>
      </c>
      <c r="K3289" s="16">
        <f>AVERAGE(F$5:F3289)</f>
        <v>2.2075799086757995</v>
      </c>
      <c r="L3289" s="16">
        <f>SUM(F$5:F3289)/SUM(E$5:E3289)</f>
        <v>0.76384032020223036</v>
      </c>
    </row>
    <row r="3290" spans="1:12" x14ac:dyDescent="0.25">
      <c r="A3290" s="29">
        <v>46160</v>
      </c>
      <c r="B3290" s="16" t="s">
        <v>3336</v>
      </c>
      <c r="C3290" s="34">
        <v>1</v>
      </c>
      <c r="D3290" s="16" t="s">
        <v>64</v>
      </c>
      <c r="E3290" s="35">
        <v>1.6</v>
      </c>
      <c r="F3290" s="35">
        <v>1.3</v>
      </c>
      <c r="G3290" s="16" t="s">
        <v>44</v>
      </c>
      <c r="H3290" s="16" t="s">
        <v>45</v>
      </c>
      <c r="I3290" s="16">
        <f>COUNTIF(G$5:G3290,"Y")/COUNTA(G$5:G3290)</f>
        <v>0.88344491783323187</v>
      </c>
      <c r="J3290" s="16">
        <f>COUNTIF(H$5:H3290,"Y")/COUNTA(H$5:H3290)</f>
        <v>4.808277541083384E-2</v>
      </c>
      <c r="K3290" s="16">
        <f>AVERAGE(F$5:F3290)</f>
        <v>2.2073037127206336</v>
      </c>
      <c r="L3290" s="16">
        <f>SUM(F$5:F3290)/SUM(E$5:E3290)</f>
        <v>0.76384851931420605</v>
      </c>
    </row>
    <row r="3291" spans="1:12" x14ac:dyDescent="0.25">
      <c r="A3291" s="29">
        <v>46161</v>
      </c>
      <c r="B3291" s="16" t="s">
        <v>3337</v>
      </c>
      <c r="C3291" s="34">
        <v>1</v>
      </c>
      <c r="D3291" s="16" t="s">
        <v>56</v>
      </c>
      <c r="E3291" s="35">
        <v>3.3</v>
      </c>
      <c r="F3291" s="35">
        <v>2.2000000000000002</v>
      </c>
      <c r="G3291" s="16" t="s">
        <v>44</v>
      </c>
      <c r="H3291" s="16" t="s">
        <v>45</v>
      </c>
      <c r="I3291" s="16">
        <f>COUNTIF(G$5:G3291,"Y")/COUNTA(G$5:G3291)</f>
        <v>0.88348037724368722</v>
      </c>
      <c r="J3291" s="16">
        <f>COUNTIF(H$5:H3291,"Y")/COUNTA(H$5:H3291)</f>
        <v>4.8068147246729538E-2</v>
      </c>
      <c r="K3291" s="16">
        <f>AVERAGE(F$5:F3291)</f>
        <v>2.2073014907210227</v>
      </c>
      <c r="L3291" s="16">
        <f>SUM(F$5:F3291)/SUM(E$5:E3291)</f>
        <v>0.76381475749823402</v>
      </c>
    </row>
    <row r="3292" spans="1:12" x14ac:dyDescent="0.25">
      <c r="A3292" s="29">
        <v>46162</v>
      </c>
      <c r="B3292" s="16" t="s">
        <v>3338</v>
      </c>
      <c r="C3292" s="34">
        <v>1</v>
      </c>
      <c r="D3292" s="16" t="s">
        <v>64</v>
      </c>
      <c r="E3292" s="35">
        <v>5.4</v>
      </c>
      <c r="F3292" s="35">
        <v>3.6</v>
      </c>
      <c r="G3292" s="16" t="s">
        <v>44</v>
      </c>
      <c r="H3292" s="16" t="s">
        <v>45</v>
      </c>
      <c r="I3292" s="16">
        <f>COUNTIF(G$5:G3292,"Y")/COUNTA(G$5:G3292)</f>
        <v>0.8835158150851582</v>
      </c>
      <c r="J3292" s="16">
        <f>COUNTIF(H$5:H3292,"Y")/COUNTA(H$5:H3292)</f>
        <v>4.8053527980535277E-2</v>
      </c>
      <c r="K3292" s="16">
        <f>AVERAGE(F$5:F3292)</f>
        <v>2.2077250608272512</v>
      </c>
      <c r="L3292" s="16">
        <f>SUM(F$5:F3292)/SUM(E$5:E3292)</f>
        <v>0.76375956146165169</v>
      </c>
    </row>
    <row r="3293" spans="1:12" x14ac:dyDescent="0.25">
      <c r="A3293" s="29">
        <v>46163</v>
      </c>
      <c r="B3293" s="16" t="s">
        <v>3339</v>
      </c>
      <c r="C3293" s="34">
        <v>1</v>
      </c>
      <c r="D3293" s="16" t="s">
        <v>64</v>
      </c>
      <c r="E3293" s="35">
        <v>1.8</v>
      </c>
      <c r="F3293" s="35">
        <v>1.3</v>
      </c>
      <c r="G3293" s="16" t="s">
        <v>44</v>
      </c>
      <c r="H3293" s="16" t="s">
        <v>45</v>
      </c>
      <c r="I3293" s="16">
        <f>COUNTIF(G$5:G3293,"Y")/COUNTA(G$5:G3293)</f>
        <v>0.88355123137731828</v>
      </c>
      <c r="J3293" s="16">
        <f>COUNTIF(H$5:H3293,"Y")/COUNTA(H$5:H3293)</f>
        <v>4.8038917604134992E-2</v>
      </c>
      <c r="K3293" s="16">
        <f>AVERAGE(F$5:F3293)</f>
        <v>2.2074490726664644</v>
      </c>
      <c r="L3293" s="16">
        <f>SUM(F$5:F3293)/SUM(E$5:E3293)</f>
        <v>0.76375169627922879</v>
      </c>
    </row>
    <row r="3294" spans="1:12" x14ac:dyDescent="0.25">
      <c r="A3294" s="29">
        <v>46164</v>
      </c>
      <c r="B3294" s="16" t="s">
        <v>3340</v>
      </c>
      <c r="C3294" s="34">
        <v>1</v>
      </c>
      <c r="D3294" s="16" t="s">
        <v>52</v>
      </c>
      <c r="E3294" s="35">
        <v>3.2</v>
      </c>
      <c r="F3294" s="35">
        <v>2.2000000000000002</v>
      </c>
      <c r="G3294" s="16" t="s">
        <v>44</v>
      </c>
      <c r="H3294" s="16" t="s">
        <v>45</v>
      </c>
      <c r="I3294" s="16">
        <f>COUNTIF(G$5:G3294,"Y")/COUNTA(G$5:G3294)</f>
        <v>0.88358662613981764</v>
      </c>
      <c r="J3294" s="16">
        <f>COUNTIF(H$5:H3294,"Y")/COUNTA(H$5:H3294)</f>
        <v>4.8024316109422489E-2</v>
      </c>
      <c r="K3294" s="16">
        <f>AVERAGE(F$5:F3294)</f>
        <v>2.2074468085106389</v>
      </c>
      <c r="L3294" s="16">
        <f>SUM(F$5:F3294)/SUM(E$5:E3294)</f>
        <v>0.76372603661678318</v>
      </c>
    </row>
    <row r="3295" spans="1:12" x14ac:dyDescent="0.25">
      <c r="A3295" s="29">
        <v>46160</v>
      </c>
      <c r="B3295" s="16" t="s">
        <v>3341</v>
      </c>
      <c r="C3295" s="34">
        <v>1</v>
      </c>
      <c r="D3295" s="16" t="s">
        <v>50</v>
      </c>
      <c r="E3295" s="35">
        <v>0.6</v>
      </c>
      <c r="F3295" s="35">
        <v>0.5</v>
      </c>
      <c r="G3295" s="16" t="s">
        <v>44</v>
      </c>
      <c r="H3295" s="16" t="s">
        <v>45</v>
      </c>
      <c r="I3295" s="16">
        <f>COUNTIF(G$5:G3295,"Y")/COUNTA(G$5:G3295)</f>
        <v>0.88362199939228203</v>
      </c>
      <c r="J3295" s="16">
        <f>COUNTIF(H$5:H3295,"Y")/COUNTA(H$5:H3295)</f>
        <v>4.8009723488301431E-2</v>
      </c>
      <c r="K3295" s="16">
        <f>AVERAGE(F$5:F3295)</f>
        <v>2.2069279854147683</v>
      </c>
      <c r="L3295" s="16">
        <f>SUM(F$5:F3295)/SUM(E$5:E3295)</f>
        <v>0.76373042829051574</v>
      </c>
    </row>
    <row r="3296" spans="1:12" x14ac:dyDescent="0.25">
      <c r="A3296" s="29">
        <v>46161</v>
      </c>
      <c r="B3296" s="16" t="s">
        <v>3342</v>
      </c>
      <c r="C3296" s="34">
        <v>1</v>
      </c>
      <c r="D3296" s="16" t="s">
        <v>43</v>
      </c>
      <c r="E3296" s="35">
        <v>0.5</v>
      </c>
      <c r="F3296" s="35">
        <v>0.5</v>
      </c>
      <c r="G3296" s="16" t="s">
        <v>44</v>
      </c>
      <c r="H3296" s="16" t="s">
        <v>45</v>
      </c>
      <c r="I3296" s="16">
        <f>COUNTIF(G$5:G3296,"Y")/COUNTA(G$5:G3296)</f>
        <v>0.88365735115431354</v>
      </c>
      <c r="J3296" s="16">
        <f>COUNTIF(H$5:H3296,"Y")/COUNTA(H$5:H3296)</f>
        <v>4.79951397326853E-2</v>
      </c>
      <c r="K3296" s="16">
        <f>AVERAGE(F$5:F3296)</f>
        <v>2.2064094775212642</v>
      </c>
      <c r="L3296" s="16">
        <f>SUM(F$5:F3296)/SUM(E$5:E3296)</f>
        <v>0.76374284993270269</v>
      </c>
    </row>
    <row r="3297" spans="1:13" x14ac:dyDescent="0.25">
      <c r="A3297" s="29">
        <v>46162</v>
      </c>
      <c r="B3297" s="16" t="s">
        <v>3343</v>
      </c>
      <c r="C3297" s="34">
        <v>1</v>
      </c>
      <c r="D3297" s="16" t="s">
        <v>47</v>
      </c>
      <c r="E3297" s="35">
        <v>0.5</v>
      </c>
      <c r="F3297" s="35">
        <v>0.5</v>
      </c>
      <c r="G3297" s="16" t="s">
        <v>44</v>
      </c>
      <c r="H3297" s="16" t="s">
        <v>45</v>
      </c>
      <c r="I3297" s="16">
        <f>COUNTIF(G$5:G3297,"Y")/COUNTA(G$5:G3297)</f>
        <v>0.8836926814454904</v>
      </c>
      <c r="J3297" s="16">
        <f>COUNTIF(H$5:H3297,"Y")/COUNTA(H$5:H3297)</f>
        <v>4.7980564834497419E-2</v>
      </c>
      <c r="K3297" s="16">
        <f>AVERAGE(F$5:F3297)</f>
        <v>2.2058912845429703</v>
      </c>
      <c r="L3297" s="16">
        <f>SUM(F$5:F3297)/SUM(E$5:E3297)</f>
        <v>0.76375527026884682</v>
      </c>
    </row>
    <row r="3298" spans="1:13" x14ac:dyDescent="0.25">
      <c r="A3298" s="29">
        <v>46163</v>
      </c>
      <c r="B3298" s="16" t="s">
        <v>3344</v>
      </c>
      <c r="C3298" s="34">
        <v>1</v>
      </c>
      <c r="D3298" s="16" t="s">
        <v>50</v>
      </c>
      <c r="E3298" s="35">
        <v>0.5</v>
      </c>
      <c r="F3298" s="35">
        <v>0.5</v>
      </c>
      <c r="G3298" s="16" t="s">
        <v>44</v>
      </c>
      <c r="H3298" s="16" t="s">
        <v>45</v>
      </c>
      <c r="I3298" s="16">
        <f>COUNTIF(G$5:G3298,"Y")/COUNTA(G$5:G3298)</f>
        <v>0.8837279902853673</v>
      </c>
      <c r="J3298" s="16">
        <f>COUNTIF(H$5:H3298,"Y")/COUNTA(H$5:H3298)</f>
        <v>4.796599878567092E-2</v>
      </c>
      <c r="K3298" s="16">
        <f>AVERAGE(F$5:F3298)</f>
        <v>2.205373406193079</v>
      </c>
      <c r="L3298" s="16">
        <f>SUM(F$5:F3298)/SUM(E$5:E3298)</f>
        <v>0.76376768929915428</v>
      </c>
    </row>
    <row r="3299" spans="1:13" x14ac:dyDescent="0.25">
      <c r="A3299" s="29">
        <v>46164</v>
      </c>
      <c r="B3299" s="16" t="s">
        <v>3345</v>
      </c>
      <c r="C3299" s="34">
        <v>1</v>
      </c>
      <c r="D3299" s="16" t="s">
        <v>64</v>
      </c>
      <c r="E3299" s="35">
        <v>0.5</v>
      </c>
      <c r="F3299" s="35">
        <v>0.5</v>
      </c>
      <c r="G3299" s="16" t="s">
        <v>44</v>
      </c>
      <c r="H3299" s="16" t="s">
        <v>45</v>
      </c>
      <c r="I3299" s="16">
        <f>COUNTIF(G$5:G3299,"Y")/COUNTA(G$5:G3299)</f>
        <v>0.88376327769347496</v>
      </c>
      <c r="J3299" s="16">
        <f>COUNTIF(H$5:H3299,"Y")/COUNTA(H$5:H3299)</f>
        <v>4.7951441578148707E-2</v>
      </c>
      <c r="K3299" s="16">
        <f>AVERAGE(F$5:F3299)</f>
        <v>2.2048558421851294</v>
      </c>
      <c r="L3299" s="16">
        <f>SUM(F$5:F3299)/SUM(E$5:E3299)</f>
        <v>0.7637801070238307</v>
      </c>
    </row>
    <row r="3300" spans="1:13" x14ac:dyDescent="0.25">
      <c r="A3300" s="29">
        <v>46160</v>
      </c>
      <c r="B3300" s="16" t="s">
        <v>3346</v>
      </c>
      <c r="C3300" s="34">
        <v>1</v>
      </c>
      <c r="D3300" s="16" t="s">
        <v>52</v>
      </c>
      <c r="E3300" s="35">
        <v>0.5</v>
      </c>
      <c r="F3300" s="35">
        <v>0.5</v>
      </c>
      <c r="G3300" s="16" t="s">
        <v>44</v>
      </c>
      <c r="H3300" s="16" t="s">
        <v>45</v>
      </c>
      <c r="I3300" s="16">
        <f>COUNTIF(G$5:G3300,"Y")/COUNTA(G$5:G3300)</f>
        <v>0.88379854368932043</v>
      </c>
      <c r="J3300" s="16">
        <f>COUNTIF(H$5:H3300,"Y")/COUNTA(H$5:H3300)</f>
        <v>4.7936893203883495E-2</v>
      </c>
      <c r="K3300" s="16">
        <f>AVERAGE(F$5:F3300)</f>
        <v>2.2043385922330101</v>
      </c>
      <c r="L3300" s="16">
        <f>SUM(F$5:F3300)/SUM(E$5:E3300)</f>
        <v>0.76379252344308224</v>
      </c>
    </row>
    <row r="3301" spans="1:13" x14ac:dyDescent="0.25">
      <c r="A3301" s="29">
        <v>46161</v>
      </c>
      <c r="B3301" s="16" t="s">
        <v>3347</v>
      </c>
      <c r="C3301" s="34">
        <v>1</v>
      </c>
      <c r="D3301" s="16" t="s">
        <v>52</v>
      </c>
      <c r="E3301" s="35">
        <v>0.5</v>
      </c>
      <c r="F3301" s="35">
        <v>0.5</v>
      </c>
      <c r="G3301" s="16" t="s">
        <v>44</v>
      </c>
      <c r="H3301" s="16" t="s">
        <v>45</v>
      </c>
      <c r="I3301" s="16">
        <f>COUNTIF(G$5:G3301,"Y")/COUNTA(G$5:G3301)</f>
        <v>0.88383378829238701</v>
      </c>
      <c r="J3301" s="16">
        <f>COUNTIF(H$5:H3301,"Y")/COUNTA(H$5:H3301)</f>
        <v>4.7922353654837734E-2</v>
      </c>
      <c r="K3301" s="16">
        <f>AVERAGE(F$5:F3301)</f>
        <v>2.2038216560509558</v>
      </c>
      <c r="L3301" s="16">
        <f>SUM(F$5:F3301)/SUM(E$5:E3301)</f>
        <v>0.76380493855711462</v>
      </c>
      <c r="M3301" s="16">
        <v>14</v>
      </c>
    </row>
    <row r="3302" spans="1:13" x14ac:dyDescent="0.25">
      <c r="A3302" s="29">
        <v>46167</v>
      </c>
      <c r="B3302" s="16" t="s">
        <v>3348</v>
      </c>
      <c r="C3302" s="34">
        <v>1</v>
      </c>
      <c r="D3302" s="16" t="s">
        <v>56</v>
      </c>
      <c r="E3302" s="35">
        <v>3.3</v>
      </c>
      <c r="F3302" s="35">
        <v>2.2000000000000002</v>
      </c>
      <c r="G3302" s="16" t="s">
        <v>44</v>
      </c>
      <c r="H3302" s="16" t="s">
        <v>45</v>
      </c>
      <c r="I3302" s="16">
        <f>COUNTIF(G$5:G3302,"Y")/COUNTA(G$5:G3302)</f>
        <v>0.8838690115221346</v>
      </c>
      <c r="J3302" s="16">
        <f>COUNTIF(H$5:H3302,"Y")/COUNTA(H$5:H3302)</f>
        <v>4.790782292298363E-2</v>
      </c>
      <c r="K3302" s="16">
        <f>AVERAGE(F$5:F3302)</f>
        <v>2.203820497271074</v>
      </c>
      <c r="L3302" s="16">
        <f>SUM(F$5:F3302)/SUM(E$5:E3302)</f>
        <v>0.76377125323132933</v>
      </c>
    </row>
    <row r="3303" spans="1:13" x14ac:dyDescent="0.25">
      <c r="A3303" s="29">
        <v>46168</v>
      </c>
      <c r="B3303" s="16" t="s">
        <v>3349</v>
      </c>
      <c r="C3303" s="34">
        <v>1</v>
      </c>
      <c r="D3303" s="16" t="s">
        <v>56</v>
      </c>
      <c r="E3303" s="35">
        <v>3.8</v>
      </c>
      <c r="F3303" s="35">
        <v>2.6</v>
      </c>
      <c r="G3303" s="16" t="s">
        <v>44</v>
      </c>
      <c r="H3303" s="16" t="s">
        <v>45</v>
      </c>
      <c r="I3303" s="16">
        <f>COUNTIF(G$5:G3303,"Y")/COUNTA(G$5:G3303)</f>
        <v>0.88390421339799941</v>
      </c>
      <c r="J3303" s="16">
        <f>COUNTIF(H$5:H3303,"Y")/COUNTA(H$5:H3303)</f>
        <v>4.7893301000303125E-2</v>
      </c>
      <c r="K3303" s="16">
        <f>AVERAGE(F$5:F3303)</f>
        <v>2.2039405880569878</v>
      </c>
      <c r="L3303" s="16">
        <f>SUM(F$5:F3303)/SUM(E$5:E3303)</f>
        <v>0.7637394957983169</v>
      </c>
    </row>
    <row r="3304" spans="1:13" x14ac:dyDescent="0.25">
      <c r="A3304" s="29">
        <v>46169</v>
      </c>
      <c r="B3304" s="16" t="s">
        <v>3350</v>
      </c>
      <c r="C3304" s="34">
        <v>1</v>
      </c>
      <c r="D3304" s="16" t="s">
        <v>56</v>
      </c>
      <c r="E3304" s="35">
        <v>2.1</v>
      </c>
      <c r="F3304" s="35">
        <v>1.7</v>
      </c>
      <c r="G3304" s="16" t="s">
        <v>44</v>
      </c>
      <c r="H3304" s="16" t="s">
        <v>45</v>
      </c>
      <c r="I3304" s="16">
        <f>COUNTIF(G$5:G3304,"Y")/COUNTA(G$5:G3304)</f>
        <v>0.88393939393939391</v>
      </c>
      <c r="J3304" s="16">
        <f>COUNTIF(H$5:H3304,"Y")/COUNTA(H$5:H3304)</f>
        <v>4.7878787878787882E-2</v>
      </c>
      <c r="K3304" s="16">
        <f>AVERAGE(F$5:F3304)</f>
        <v>2.2037878787878795</v>
      </c>
      <c r="L3304" s="16">
        <f>SUM(F$5:F3304)/SUM(E$5:E3304)</f>
        <v>0.76374959305195034</v>
      </c>
    </row>
    <row r="3305" spans="1:13" x14ac:dyDescent="0.25">
      <c r="A3305" s="29">
        <v>46170</v>
      </c>
      <c r="B3305" s="16" t="s">
        <v>3351</v>
      </c>
      <c r="C3305" s="34">
        <v>1</v>
      </c>
      <c r="D3305" s="16" t="s">
        <v>50</v>
      </c>
      <c r="E3305" s="35">
        <v>3.3</v>
      </c>
      <c r="F3305" s="35">
        <v>2.2999999999999998</v>
      </c>
      <c r="G3305" s="16" t="s">
        <v>44</v>
      </c>
      <c r="H3305" s="16" t="s">
        <v>45</v>
      </c>
      <c r="I3305" s="16">
        <f>COUNTIF(G$5:G3305,"Y")/COUNTA(G$5:G3305)</f>
        <v>0.88397455316570739</v>
      </c>
      <c r="J3305" s="16">
        <f>COUNTIF(H$5:H3305,"Y")/COUNTA(H$5:H3305)</f>
        <v>4.7864283550439264E-2</v>
      </c>
      <c r="K3305" s="16">
        <f>AVERAGE(F$5:F3305)</f>
        <v>2.2038170251438962</v>
      </c>
      <c r="L3305" s="16">
        <f>SUM(F$5:F3305)/SUM(E$5:E3305)</f>
        <v>0.76372645768156477</v>
      </c>
    </row>
    <row r="3306" spans="1:13" x14ac:dyDescent="0.25">
      <c r="A3306" s="29">
        <v>46171</v>
      </c>
      <c r="B3306" s="16" t="s">
        <v>3352</v>
      </c>
      <c r="C3306" s="34">
        <v>1</v>
      </c>
      <c r="D3306" s="16" t="s">
        <v>56</v>
      </c>
      <c r="E3306" s="35">
        <v>1.9</v>
      </c>
      <c r="F3306" s="35">
        <v>1.4</v>
      </c>
      <c r="G3306" s="16" t="s">
        <v>44</v>
      </c>
      <c r="H3306" s="16" t="s">
        <v>45</v>
      </c>
      <c r="I3306" s="16">
        <f>COUNTIF(G$5:G3306,"Y")/COUNTA(G$5:G3306)</f>
        <v>0.88400969109630523</v>
      </c>
      <c r="J3306" s="16">
        <f>COUNTIF(H$5:H3306,"Y")/COUNTA(H$5:H3306)</f>
        <v>4.7849788007268322E-2</v>
      </c>
      <c r="K3306" s="16">
        <f>AVERAGE(F$5:F3306)</f>
        <v>2.2035735917625687</v>
      </c>
      <c r="L3306" s="16">
        <f>SUM(F$5:F3306)/SUM(E$5:E3306)</f>
        <v>0.76372109621823359</v>
      </c>
    </row>
    <row r="3307" spans="1:13" x14ac:dyDescent="0.25">
      <c r="A3307" s="29">
        <v>46167</v>
      </c>
      <c r="B3307" s="16" t="s">
        <v>3353</v>
      </c>
      <c r="C3307" s="34">
        <v>1</v>
      </c>
      <c r="D3307" s="16" t="s">
        <v>64</v>
      </c>
      <c r="E3307" s="35">
        <v>3.5</v>
      </c>
      <c r="F3307" s="35">
        <v>2.4</v>
      </c>
      <c r="G3307" s="16" t="s">
        <v>44</v>
      </c>
      <c r="H3307" s="16" t="s">
        <v>45</v>
      </c>
      <c r="I3307" s="16">
        <f>COUNTIF(G$5:G3307,"Y")/COUNTA(G$5:G3307)</f>
        <v>0.88404480775052985</v>
      </c>
      <c r="J3307" s="16">
        <f>COUNTIF(H$5:H3307,"Y")/COUNTA(H$5:H3307)</f>
        <v>4.7835301241295793E-2</v>
      </c>
      <c r="K3307" s="16">
        <f>AVERAGE(F$5:F3307)</f>
        <v>2.2036330608537695</v>
      </c>
      <c r="L3307" s="16">
        <f>SUM(F$5:F3307)/SUM(E$5:E3307)</f>
        <v>0.76369244974188699</v>
      </c>
    </row>
    <row r="3308" spans="1:13" x14ac:dyDescent="0.25">
      <c r="A3308" s="29">
        <v>46168</v>
      </c>
      <c r="B3308" s="16" t="s">
        <v>3354</v>
      </c>
      <c r="C3308" s="34">
        <v>1</v>
      </c>
      <c r="D3308" s="16" t="s">
        <v>64</v>
      </c>
      <c r="E3308" s="35">
        <v>4.4000000000000004</v>
      </c>
      <c r="F3308" s="35">
        <v>3.7</v>
      </c>
      <c r="G3308" s="16" t="s">
        <v>44</v>
      </c>
      <c r="H3308" s="16" t="s">
        <v>45</v>
      </c>
      <c r="I3308" s="16">
        <f>COUNTIF(G$5:G3308,"Y")/COUNTA(G$5:G3308)</f>
        <v>0.8840799031476998</v>
      </c>
      <c r="J3308" s="16">
        <f>COUNTIF(H$5:H3308,"Y")/COUNTA(H$5:H3308)</f>
        <v>4.7820823244552058E-2</v>
      </c>
      <c r="K3308" s="16">
        <f>AVERAGE(F$5:F3308)</f>
        <v>2.2040859564164652</v>
      </c>
      <c r="L3308" s="16">
        <f>SUM(F$5:F3308)/SUM(E$5:E3308)</f>
        <v>0.76372808121486457</v>
      </c>
    </row>
    <row r="3309" spans="1:13" x14ac:dyDescent="0.25">
      <c r="A3309" s="29">
        <v>46169</v>
      </c>
      <c r="B3309" s="16" t="s">
        <v>3355</v>
      </c>
      <c r="C3309" s="34">
        <v>1</v>
      </c>
      <c r="D3309" s="16" t="s">
        <v>43</v>
      </c>
      <c r="E3309" s="35">
        <v>1.6</v>
      </c>
      <c r="F3309" s="35">
        <v>1.1000000000000001</v>
      </c>
      <c r="G3309" s="16" t="s">
        <v>44</v>
      </c>
      <c r="H3309" s="16" t="s">
        <v>45</v>
      </c>
      <c r="I3309" s="16">
        <f>COUNTIF(G$5:G3309,"Y")/COUNTA(G$5:G3309)</f>
        <v>0.88411497730711042</v>
      </c>
      <c r="J3309" s="16">
        <f>COUNTIF(H$5:H3309,"Y")/COUNTA(H$5:H3309)</f>
        <v>4.7806354009077158E-2</v>
      </c>
      <c r="K3309" s="16">
        <f>AVERAGE(F$5:F3309)</f>
        <v>2.2037518910741305</v>
      </c>
      <c r="L3309" s="16">
        <f>SUM(F$5:F3309)/SUM(E$5:E3309)</f>
        <v>0.76371529234124413</v>
      </c>
    </row>
    <row r="3310" spans="1:13" x14ac:dyDescent="0.25">
      <c r="A3310" s="29">
        <v>46170</v>
      </c>
      <c r="B3310" s="16" t="s">
        <v>3356</v>
      </c>
      <c r="C3310" s="34">
        <v>1</v>
      </c>
      <c r="D3310" s="16" t="s">
        <v>47</v>
      </c>
      <c r="E3310" s="35">
        <v>2.9</v>
      </c>
      <c r="F3310" s="35">
        <v>2.5</v>
      </c>
      <c r="G3310" s="16" t="s">
        <v>44</v>
      </c>
      <c r="H3310" s="16" t="s">
        <v>45</v>
      </c>
      <c r="I3310" s="16">
        <f>COUNTIF(G$5:G3310,"Y")/COUNTA(G$5:G3310)</f>
        <v>0.88415003024803385</v>
      </c>
      <c r="J3310" s="16">
        <f>COUNTIF(H$5:H3310,"Y")/COUNTA(H$5:H3310)</f>
        <v>4.7791893526920752E-2</v>
      </c>
      <c r="K3310" s="16">
        <f>AVERAGE(F$5:F3310)</f>
        <v>2.2038415003024809</v>
      </c>
      <c r="L3310" s="16">
        <f>SUM(F$5:F3310)/SUM(E$5:E3310)</f>
        <v>0.7637451911485662</v>
      </c>
    </row>
    <row r="3311" spans="1:13" x14ac:dyDescent="0.25">
      <c r="A3311" s="29">
        <v>46171</v>
      </c>
      <c r="B3311" s="16" t="s">
        <v>3357</v>
      </c>
      <c r="C3311" s="34">
        <v>1</v>
      </c>
      <c r="D3311" s="16" t="s">
        <v>50</v>
      </c>
      <c r="E3311" s="35">
        <v>1.7</v>
      </c>
      <c r="F3311" s="35">
        <v>1.5</v>
      </c>
      <c r="G3311" s="16" t="s">
        <v>44</v>
      </c>
      <c r="H3311" s="16" t="s">
        <v>45</v>
      </c>
      <c r="I3311" s="16">
        <f>COUNTIF(G$5:G3311,"Y")/COUNTA(G$5:G3311)</f>
        <v>0.8841850619897188</v>
      </c>
      <c r="J3311" s="16">
        <f>COUNTIF(H$5:H3311,"Y")/COUNTA(H$5:H3311)</f>
        <v>4.7777441790142122E-2</v>
      </c>
      <c r="K3311" s="16">
        <f>AVERAGE(F$5:F3311)</f>
        <v>2.2036286664650744</v>
      </c>
      <c r="L3311" s="16">
        <f>SUM(F$5:F3311)/SUM(E$5:E3311)</f>
        <v>0.76376632360030783</v>
      </c>
    </row>
    <row r="3312" spans="1:13" x14ac:dyDescent="0.25">
      <c r="A3312" s="29">
        <v>46167</v>
      </c>
      <c r="B3312" s="16" t="s">
        <v>3358</v>
      </c>
      <c r="C3312" s="34">
        <v>1</v>
      </c>
      <c r="D3312" s="16" t="s">
        <v>47</v>
      </c>
      <c r="E3312" s="35">
        <v>4.5999999999999996</v>
      </c>
      <c r="F3312" s="35">
        <v>3.8</v>
      </c>
      <c r="G3312" s="16" t="s">
        <v>44</v>
      </c>
      <c r="H3312" s="16" t="s">
        <v>45</v>
      </c>
      <c r="I3312" s="16">
        <f>COUNTIF(G$5:G3312,"Y")/COUNTA(G$5:G3312)</f>
        <v>0.88422007255139057</v>
      </c>
      <c r="J3312" s="16">
        <f>COUNTIF(H$5:H3312,"Y")/COUNTA(H$5:H3312)</f>
        <v>4.7762998790810154E-2</v>
      </c>
      <c r="K3312" s="16">
        <f>AVERAGE(F$5:F3312)</f>
        <v>2.2041112454655387</v>
      </c>
      <c r="L3312" s="16">
        <f>SUM(F$5:F3312)/SUM(E$5:E3312)</f>
        <v>0.7637963544940265</v>
      </c>
    </row>
    <row r="3313" spans="1:12" x14ac:dyDescent="0.25">
      <c r="A3313" s="29">
        <v>46168</v>
      </c>
      <c r="B3313" s="16" t="s">
        <v>3359</v>
      </c>
      <c r="C3313" s="34">
        <v>1</v>
      </c>
      <c r="D3313" s="16" t="s">
        <v>60</v>
      </c>
      <c r="E3313" s="35">
        <v>3.3</v>
      </c>
      <c r="F3313" s="35">
        <v>2.2999999999999998</v>
      </c>
      <c r="G3313" s="16" t="s">
        <v>45</v>
      </c>
      <c r="H3313" s="16" t="s">
        <v>45</v>
      </c>
      <c r="I3313" s="16">
        <f>COUNTIF(G$5:G3313,"Y")/COUNTA(G$5:G3313)</f>
        <v>0.88395285584768812</v>
      </c>
      <c r="J3313" s="16">
        <f>COUNTIF(H$5:H3313,"Y")/COUNTA(H$5:H3313)</f>
        <v>4.7748564521003324E-2</v>
      </c>
      <c r="K3313" s="16">
        <f>AVERAGE(F$5:F3313)</f>
        <v>2.204140223632518</v>
      </c>
      <c r="L3313" s="16">
        <f>SUM(F$5:F3313)/SUM(E$5:E3313)</f>
        <v>0.76377326086728636</v>
      </c>
    </row>
    <row r="3314" spans="1:12" x14ac:dyDescent="0.25">
      <c r="A3314" s="29">
        <v>46169</v>
      </c>
      <c r="B3314" s="16" t="s">
        <v>3360</v>
      </c>
      <c r="C3314" s="34">
        <v>1</v>
      </c>
      <c r="D3314" s="16" t="s">
        <v>52</v>
      </c>
      <c r="E3314" s="35">
        <v>3.1</v>
      </c>
      <c r="F3314" s="35">
        <v>2.7</v>
      </c>
      <c r="G3314" s="16" t="s">
        <v>44</v>
      </c>
      <c r="H3314" s="16" t="s">
        <v>45</v>
      </c>
      <c r="I3314" s="16">
        <f>COUNTIF(G$5:G3314,"Y")/COUNTA(G$5:G3314)</f>
        <v>0.88398791540785493</v>
      </c>
      <c r="J3314" s="16">
        <f>COUNTIF(H$5:H3314,"Y")/COUNTA(H$5:H3314)</f>
        <v>4.7734138972809668E-2</v>
      </c>
      <c r="K3314" s="16">
        <f>AVERAGE(F$5:F3314)</f>
        <v>2.2042900302114807</v>
      </c>
      <c r="L3314" s="16">
        <f>SUM(F$5:F3314)/SUM(E$5:E3314)</f>
        <v>0.76380804823918358</v>
      </c>
    </row>
    <row r="3315" spans="1:12" x14ac:dyDescent="0.25">
      <c r="A3315" s="29">
        <v>46170</v>
      </c>
      <c r="B3315" s="16" t="s">
        <v>3361</v>
      </c>
      <c r="C3315" s="34">
        <v>1</v>
      </c>
      <c r="D3315" s="16" t="s">
        <v>47</v>
      </c>
      <c r="E3315" s="35">
        <v>3.8</v>
      </c>
      <c r="F3315" s="35">
        <v>3.4</v>
      </c>
      <c r="G3315" s="16" t="s">
        <v>44</v>
      </c>
      <c r="H3315" s="16" t="s">
        <v>45</v>
      </c>
      <c r="I3315" s="16">
        <f>COUNTIF(G$5:G3315,"Y")/COUNTA(G$5:G3315)</f>
        <v>0.88402295379039564</v>
      </c>
      <c r="J3315" s="16">
        <f>COUNTIF(H$5:H3315,"Y")/COUNTA(H$5:H3315)</f>
        <v>4.7719722138326787E-2</v>
      </c>
      <c r="K3315" s="16">
        <f>AVERAGE(F$5:F3315)</f>
        <v>2.2046511627906979</v>
      </c>
      <c r="L3315" s="16">
        <f>SUM(F$5:F3315)/SUM(E$5:E3315)</f>
        <v>0.76386011175990221</v>
      </c>
    </row>
    <row r="3316" spans="1:12" x14ac:dyDescent="0.25">
      <c r="A3316" s="29">
        <v>46171</v>
      </c>
      <c r="B3316" s="16" t="s">
        <v>3362</v>
      </c>
      <c r="C3316" s="34">
        <v>1</v>
      </c>
      <c r="D3316" s="16" t="s">
        <v>47</v>
      </c>
      <c r="E3316" s="35">
        <v>1.4</v>
      </c>
      <c r="F3316" s="35">
        <v>1.2</v>
      </c>
      <c r="G3316" s="16" t="s">
        <v>45</v>
      </c>
      <c r="H3316" s="16" t="s">
        <v>45</v>
      </c>
      <c r="I3316" s="16">
        <f>COUNTIF(G$5:G3316,"Y")/COUNTA(G$5:G3316)</f>
        <v>0.88375603864734298</v>
      </c>
      <c r="J3316" s="16">
        <f>COUNTIF(H$5:H3316,"Y")/COUNTA(H$5:H3316)</f>
        <v>4.7705314009661832E-2</v>
      </c>
      <c r="K3316" s="16">
        <f>AVERAGE(F$5:F3316)</f>
        <v>2.2043478260869569</v>
      </c>
      <c r="L3316" s="16">
        <f>SUM(F$5:F3316)/SUM(E$5:E3316)</f>
        <v>0.76387377584330551</v>
      </c>
    </row>
    <row r="3317" spans="1:12" x14ac:dyDescent="0.25">
      <c r="A3317" s="29">
        <v>46167</v>
      </c>
      <c r="B3317" s="16" t="s">
        <v>3363</v>
      </c>
      <c r="C3317" s="34">
        <v>1</v>
      </c>
      <c r="D3317" s="16" t="s">
        <v>60</v>
      </c>
      <c r="E3317" s="35">
        <v>2.2999999999999998</v>
      </c>
      <c r="F3317" s="35">
        <v>1.6</v>
      </c>
      <c r="G3317" s="16" t="s">
        <v>44</v>
      </c>
      <c r="H3317" s="16" t="s">
        <v>45</v>
      </c>
      <c r="I3317" s="16">
        <f>COUNTIF(G$5:G3317,"Y")/COUNTA(G$5:G3317)</f>
        <v>0.88379112586779351</v>
      </c>
      <c r="J3317" s="16">
        <f>COUNTIF(H$5:H3317,"Y")/COUNTA(H$5:H3317)</f>
        <v>4.769091457893148E-2</v>
      </c>
      <c r="K3317" s="16">
        <f>AVERAGE(F$5:F3317)</f>
        <v>2.2041654089948692</v>
      </c>
      <c r="L3317" s="16">
        <f>SUM(F$5:F3317)/SUM(E$5:E3317)</f>
        <v>0.76385736252471026</v>
      </c>
    </row>
    <row r="3318" spans="1:12" x14ac:dyDescent="0.25">
      <c r="A3318" s="29">
        <v>46168</v>
      </c>
      <c r="B3318" s="16" t="s">
        <v>3364</v>
      </c>
      <c r="C3318" s="34">
        <v>1</v>
      </c>
      <c r="D3318" s="16" t="s">
        <v>64</v>
      </c>
      <c r="E3318" s="35">
        <v>1.6</v>
      </c>
      <c r="F3318" s="35">
        <v>1.3</v>
      </c>
      <c r="G3318" s="16" t="s">
        <v>44</v>
      </c>
      <c r="H3318" s="16" t="s">
        <v>45</v>
      </c>
      <c r="I3318" s="16">
        <f>COUNTIF(G$5:G3318,"Y")/COUNTA(G$5:G3318)</f>
        <v>0.88382619191309597</v>
      </c>
      <c r="J3318" s="16">
        <f>COUNTIF(H$5:H3318,"Y")/COUNTA(H$5:H3318)</f>
        <v>4.7676523838261917E-2</v>
      </c>
      <c r="K3318" s="16">
        <f>AVERAGE(F$5:F3318)</f>
        <v>2.2038925769462892</v>
      </c>
      <c r="L3318" s="16">
        <f>SUM(F$5:F3318)/SUM(E$5:E3318)</f>
        <v>0.76386550227474537</v>
      </c>
    </row>
    <row r="3319" spans="1:12" x14ac:dyDescent="0.25">
      <c r="A3319" s="29">
        <v>46169</v>
      </c>
      <c r="B3319" s="16" t="s">
        <v>3365</v>
      </c>
      <c r="C3319" s="34">
        <v>1</v>
      </c>
      <c r="D3319" s="16" t="s">
        <v>50</v>
      </c>
      <c r="E3319" s="35">
        <v>4.9000000000000004</v>
      </c>
      <c r="F3319" s="35">
        <v>3.8</v>
      </c>
      <c r="G3319" s="16" t="s">
        <v>44</v>
      </c>
      <c r="H3319" s="16" t="s">
        <v>45</v>
      </c>
      <c r="I3319" s="16">
        <f>COUNTIF(G$5:G3319,"Y")/COUNTA(G$5:G3319)</f>
        <v>0.88386123680241324</v>
      </c>
      <c r="J3319" s="16">
        <f>COUNTIF(H$5:H3319,"Y")/COUNTA(H$5:H3319)</f>
        <v>4.7662141779788836E-2</v>
      </c>
      <c r="K3319" s="16">
        <f>AVERAGE(F$5:F3319)</f>
        <v>2.2043740573152344</v>
      </c>
      <c r="L3319" s="16">
        <f>SUM(F$5:F3319)/SUM(E$5:E3319)</f>
        <v>0.76387146680046603</v>
      </c>
    </row>
    <row r="3320" spans="1:12" x14ac:dyDescent="0.25">
      <c r="A3320" s="29">
        <v>46170</v>
      </c>
      <c r="B3320" s="16" t="s">
        <v>3366</v>
      </c>
      <c r="C3320" s="34">
        <v>1</v>
      </c>
      <c r="D3320" s="16" t="s">
        <v>60</v>
      </c>
      <c r="E3320" s="35">
        <v>2.7</v>
      </c>
      <c r="F3320" s="35">
        <v>2.1</v>
      </c>
      <c r="G3320" s="16" t="s">
        <v>44</v>
      </c>
      <c r="H3320" s="16" t="s">
        <v>45</v>
      </c>
      <c r="I3320" s="16">
        <f>COUNTIF(G$5:G3320,"Y")/COUNTA(G$5:G3320)</f>
        <v>0.88389626055488535</v>
      </c>
      <c r="J3320" s="16">
        <f>COUNTIF(H$5:H3320,"Y")/COUNTA(H$5:H3320)</f>
        <v>4.7647768395657417E-2</v>
      </c>
      <c r="K3320" s="16">
        <f>AVERAGE(F$5:F3320)</f>
        <v>2.2043425814234023</v>
      </c>
      <c r="L3320" s="16">
        <f>SUM(F$5:F3320)/SUM(E$5:E3320)</f>
        <v>0.76387539058009413</v>
      </c>
    </row>
    <row r="3321" spans="1:12" x14ac:dyDescent="0.25">
      <c r="A3321" s="29">
        <v>46171</v>
      </c>
      <c r="B3321" s="16" t="s">
        <v>3367</v>
      </c>
      <c r="C3321" s="34">
        <v>1</v>
      </c>
      <c r="D3321" s="16" t="s">
        <v>60</v>
      </c>
      <c r="E3321" s="35">
        <v>3.8</v>
      </c>
      <c r="F3321" s="35">
        <v>3.1</v>
      </c>
      <c r="G3321" s="16" t="s">
        <v>44</v>
      </c>
      <c r="H3321" s="16" t="s">
        <v>44</v>
      </c>
      <c r="I3321" s="16">
        <f>COUNTIF(G$5:G3321,"Y")/COUNTA(G$5:G3321)</f>
        <v>0.88393126318962922</v>
      </c>
      <c r="J3321" s="16">
        <f>COUNTIF(H$5:H3321,"Y")/COUNTA(H$5:H3321)</f>
        <v>4.7934880916490806E-2</v>
      </c>
      <c r="K3321" s="16">
        <f>AVERAGE(F$5:F3321)</f>
        <v>2.2046126017485688</v>
      </c>
      <c r="L3321" s="16">
        <f>SUM(F$5:F3321)/SUM(E$5:E3321)</f>
        <v>0.7638959980779052</v>
      </c>
    </row>
    <row r="3322" spans="1:12" x14ac:dyDescent="0.25">
      <c r="A3322" s="29">
        <v>46167</v>
      </c>
      <c r="B3322" s="16" t="s">
        <v>3368</v>
      </c>
      <c r="C3322" s="34">
        <v>1</v>
      </c>
      <c r="D3322" s="16" t="s">
        <v>47</v>
      </c>
      <c r="E3322" s="35">
        <v>2.6</v>
      </c>
      <c r="F3322" s="35">
        <v>2.2000000000000002</v>
      </c>
      <c r="G3322" s="16" t="s">
        <v>44</v>
      </c>
      <c r="H3322" s="16" t="s">
        <v>45</v>
      </c>
      <c r="I3322" s="16">
        <f>COUNTIF(G$5:G3322,"Y")/COUNTA(G$5:G3322)</f>
        <v>0.88396624472573837</v>
      </c>
      <c r="J3322" s="16">
        <f>COUNTIF(H$5:H3322,"Y")/COUNTA(H$5:H3322)</f>
        <v>4.7920433996383363E-2</v>
      </c>
      <c r="K3322" s="16">
        <f>AVERAGE(F$5:F3322)</f>
        <v>2.2046112115732375</v>
      </c>
      <c r="L3322" s="16">
        <f>SUM(F$5:F3322)/SUM(E$5:E3322)</f>
        <v>0.76391833324630343</v>
      </c>
    </row>
    <row r="3323" spans="1:12" x14ac:dyDescent="0.25">
      <c r="A3323" s="29">
        <v>46168</v>
      </c>
      <c r="B3323" s="16" t="s">
        <v>3369</v>
      </c>
      <c r="C3323" s="34">
        <v>1</v>
      </c>
      <c r="D3323" s="16" t="s">
        <v>50</v>
      </c>
      <c r="E3323" s="35">
        <v>3.1</v>
      </c>
      <c r="F3323" s="35">
        <v>2.2999999999999998</v>
      </c>
      <c r="G3323" s="16" t="s">
        <v>44</v>
      </c>
      <c r="H3323" s="16" t="s">
        <v>45</v>
      </c>
      <c r="I3323" s="16">
        <f>COUNTIF(G$5:G3323,"Y")/COUNTA(G$5:G3323)</f>
        <v>0.88400120518228387</v>
      </c>
      <c r="J3323" s="16">
        <f>COUNTIF(H$5:H3323,"Y")/COUNTA(H$5:H3323)</f>
        <v>4.7905995781862006E-2</v>
      </c>
      <c r="K3323" s="16">
        <f>AVERAGE(F$5:F3323)</f>
        <v>2.2046399517927093</v>
      </c>
      <c r="L3323" s="16">
        <f>SUM(F$5:F3323)/SUM(E$5:E3323)</f>
        <v>0.76391121875848023</v>
      </c>
    </row>
    <row r="3324" spans="1:12" x14ac:dyDescent="0.25">
      <c r="A3324" s="29">
        <v>46169</v>
      </c>
      <c r="B3324" s="16" t="s">
        <v>3370</v>
      </c>
      <c r="C3324" s="34">
        <v>1</v>
      </c>
      <c r="D3324" s="16" t="s">
        <v>52</v>
      </c>
      <c r="E3324" s="35">
        <v>3.4</v>
      </c>
      <c r="F3324" s="35">
        <v>2.5</v>
      </c>
      <c r="G3324" s="16" t="s">
        <v>44</v>
      </c>
      <c r="H3324" s="16" t="s">
        <v>45</v>
      </c>
      <c r="I3324" s="16">
        <f>COUNTIF(G$5:G3324,"Y")/COUNTA(G$5:G3324)</f>
        <v>0.88403614457831325</v>
      </c>
      <c r="J3324" s="16">
        <f>COUNTIF(H$5:H3324,"Y")/COUNTA(H$5:H3324)</f>
        <v>4.7891566265060241E-2</v>
      </c>
      <c r="K3324" s="16">
        <f>AVERAGE(F$5:F3324)</f>
        <v>2.2047289156626513</v>
      </c>
      <c r="L3324" s="16">
        <f>SUM(F$5:F3324)/SUM(E$5:E3324)</f>
        <v>0.76390106449592765</v>
      </c>
    </row>
    <row r="3325" spans="1:12" x14ac:dyDescent="0.25">
      <c r="A3325" s="29">
        <v>46170</v>
      </c>
      <c r="B3325" s="16" t="s">
        <v>3371</v>
      </c>
      <c r="C3325" s="34">
        <v>1</v>
      </c>
      <c r="D3325" s="16" t="s">
        <v>56</v>
      </c>
      <c r="E3325" s="35">
        <v>1.6</v>
      </c>
      <c r="F3325" s="35">
        <v>1.2</v>
      </c>
      <c r="G3325" s="16" t="s">
        <v>44</v>
      </c>
      <c r="H3325" s="16" t="s">
        <v>45</v>
      </c>
      <c r="I3325" s="16">
        <f>COUNTIF(G$5:G3325,"Y")/COUNTA(G$5:G3325)</f>
        <v>0.88407106293285154</v>
      </c>
      <c r="J3325" s="16">
        <f>COUNTIF(H$5:H3325,"Y")/COUNTA(H$5:H3325)</f>
        <v>4.7877145438121049E-2</v>
      </c>
      <c r="K3325" s="16">
        <f>AVERAGE(F$5:F3325)</f>
        <v>2.2044263775971098</v>
      </c>
      <c r="L3325" s="16">
        <f>SUM(F$5:F3325)/SUM(E$5:E3325)</f>
        <v>0.76389874368712996</v>
      </c>
    </row>
    <row r="3326" spans="1:12" x14ac:dyDescent="0.25">
      <c r="A3326" s="29">
        <v>46171</v>
      </c>
      <c r="B3326" s="16" t="s">
        <v>3372</v>
      </c>
      <c r="C3326" s="34">
        <v>1</v>
      </c>
      <c r="D3326" s="16" t="s">
        <v>50</v>
      </c>
      <c r="E3326" s="35">
        <v>1.5</v>
      </c>
      <c r="F3326" s="35">
        <v>1.2</v>
      </c>
      <c r="G3326" s="16" t="s">
        <v>44</v>
      </c>
      <c r="H3326" s="16" t="s">
        <v>45</v>
      </c>
      <c r="I3326" s="16">
        <f>COUNTIF(G$5:G3326,"Y")/COUNTA(G$5:G3326)</f>
        <v>0.88410596026490063</v>
      </c>
      <c r="J3326" s="16">
        <f>COUNTIF(H$5:H3326,"Y")/COUNTA(H$5:H3326)</f>
        <v>4.7862733293196867E-2</v>
      </c>
      <c r="K3326" s="16">
        <f>AVERAGE(F$5:F3326)</f>
        <v>2.204124021673691</v>
      </c>
      <c r="L3326" s="16">
        <f>SUM(F$5:F3326)/SUM(E$5:E3326)</f>
        <v>0.76390439327706317</v>
      </c>
    </row>
    <row r="3327" spans="1:12" x14ac:dyDescent="0.25">
      <c r="A3327" s="29">
        <v>46167</v>
      </c>
      <c r="B3327" s="16" t="s">
        <v>3373</v>
      </c>
      <c r="C3327" s="34">
        <v>1</v>
      </c>
      <c r="D3327" s="16" t="s">
        <v>56</v>
      </c>
      <c r="E3327" s="35">
        <v>1.7</v>
      </c>
      <c r="F3327" s="35">
        <v>1.2</v>
      </c>
      <c r="G3327" s="16" t="s">
        <v>44</v>
      </c>
      <c r="H3327" s="16" t="s">
        <v>45</v>
      </c>
      <c r="I3327" s="16">
        <f>COUNTIF(G$5:G3327,"Y")/COUNTA(G$5:G3327)</f>
        <v>0.88414083659343967</v>
      </c>
      <c r="J3327" s="16">
        <f>COUNTIF(H$5:H3327,"Y")/COUNTA(H$5:H3327)</f>
        <v>4.7848329822449596E-2</v>
      </c>
      <c r="K3327" s="16">
        <f>AVERAGE(F$5:F3327)</f>
        <v>2.2038218477279572</v>
      </c>
      <c r="L3327" s="16">
        <f>SUM(F$5:F3327)/SUM(E$5:E3327)</f>
        <v>0.76389410439353878</v>
      </c>
    </row>
    <row r="3328" spans="1:12" x14ac:dyDescent="0.25">
      <c r="A3328" s="29">
        <v>46168</v>
      </c>
      <c r="B3328" s="16" t="s">
        <v>3374</v>
      </c>
      <c r="C3328" s="34">
        <v>1</v>
      </c>
      <c r="D3328" s="16" t="s">
        <v>52</v>
      </c>
      <c r="E3328" s="35">
        <v>4.5999999999999996</v>
      </c>
      <c r="F3328" s="35">
        <v>3.6</v>
      </c>
      <c r="G3328" s="16" t="s">
        <v>44</v>
      </c>
      <c r="H3328" s="16" t="s">
        <v>45</v>
      </c>
      <c r="I3328" s="16">
        <f>COUNTIF(G$5:G3328,"Y")/COUNTA(G$5:G3328)</f>
        <v>0.88417569193742473</v>
      </c>
      <c r="J3328" s="16">
        <f>COUNTIF(H$5:H3328,"Y")/COUNTA(H$5:H3328)</f>
        <v>4.7833935018050541E-2</v>
      </c>
      <c r="K3328" s="16">
        <f>AVERAGE(F$5:F3328)</f>
        <v>2.2042418772563184</v>
      </c>
      <c r="L3328" s="16">
        <f>SUM(F$5:F3328)/SUM(E$5:E3328)</f>
        <v>0.7639030798423565</v>
      </c>
    </row>
    <row r="3329" spans="1:12" x14ac:dyDescent="0.25">
      <c r="A3329" s="29">
        <v>46169</v>
      </c>
      <c r="B3329" s="16" t="s">
        <v>3375</v>
      </c>
      <c r="C3329" s="34">
        <v>1</v>
      </c>
      <c r="D3329" s="16" t="s">
        <v>43</v>
      </c>
      <c r="E3329" s="35">
        <v>3</v>
      </c>
      <c r="F3329" s="35">
        <v>2.6</v>
      </c>
      <c r="G3329" s="16" t="s">
        <v>44</v>
      </c>
      <c r="H3329" s="16" t="s">
        <v>45</v>
      </c>
      <c r="I3329" s="16">
        <f>COUNTIF(G$5:G3329,"Y")/COUNTA(G$5:G3329)</f>
        <v>0.88421052631578945</v>
      </c>
      <c r="J3329" s="16">
        <f>COUNTIF(H$5:H3329,"Y")/COUNTA(H$5:H3329)</f>
        <v>4.7819548872180449E-2</v>
      </c>
      <c r="K3329" s="16">
        <f>AVERAGE(F$5:F3329)</f>
        <v>2.2043609022556399</v>
      </c>
      <c r="L3329" s="16">
        <f>SUM(F$5:F3329)/SUM(E$5:E3329)</f>
        <v>0.76393521220711857</v>
      </c>
    </row>
    <row r="3330" spans="1:12" x14ac:dyDescent="0.25">
      <c r="A3330" s="29">
        <v>46170</v>
      </c>
      <c r="B3330" s="16" t="s">
        <v>3376</v>
      </c>
      <c r="C3330" s="34">
        <v>1</v>
      </c>
      <c r="D3330" s="16" t="s">
        <v>52</v>
      </c>
      <c r="E3330" s="35">
        <v>4.2</v>
      </c>
      <c r="F3330" s="35">
        <v>3.1</v>
      </c>
      <c r="G3330" s="16" t="s">
        <v>44</v>
      </c>
      <c r="H3330" s="16" t="s">
        <v>45</v>
      </c>
      <c r="I3330" s="16">
        <f>COUNTIF(G$5:G3330,"Y")/COUNTA(G$5:G3330)</f>
        <v>0.88424533974744435</v>
      </c>
      <c r="J3330" s="16">
        <f>COUNTIF(H$5:H3330,"Y")/COUNTA(H$5:H3330)</f>
        <v>4.7805171377029464E-2</v>
      </c>
      <c r="K3330" s="16">
        <f>AVERAGE(F$5:F3330)</f>
        <v>2.2046301864101032</v>
      </c>
      <c r="L3330" s="16">
        <f>SUM(F$5:F3330)/SUM(E$5:E3330)</f>
        <v>0.76392390556955991</v>
      </c>
    </row>
    <row r="3331" spans="1:12" x14ac:dyDescent="0.25">
      <c r="A3331" s="29">
        <v>46171</v>
      </c>
      <c r="B3331" s="16" t="s">
        <v>3377</v>
      </c>
      <c r="C3331" s="34">
        <v>1</v>
      </c>
      <c r="D3331" s="16" t="s">
        <v>56</v>
      </c>
      <c r="E3331" s="35">
        <v>3.2</v>
      </c>
      <c r="F3331" s="35">
        <v>2.1</v>
      </c>
      <c r="G3331" s="16" t="s">
        <v>44</v>
      </c>
      <c r="H3331" s="16" t="s">
        <v>45</v>
      </c>
      <c r="I3331" s="16">
        <f>COUNTIF(G$5:G3331,"Y")/COUNTA(G$5:G3331)</f>
        <v>0.88428013225127744</v>
      </c>
      <c r="J3331" s="16">
        <f>COUNTIF(H$5:H3331,"Y")/COUNTA(H$5:H3331)</f>
        <v>4.7790802524797116E-2</v>
      </c>
      <c r="K3331" s="16">
        <f>AVERAGE(F$5:F3331)</f>
        <v>2.2045987376014438</v>
      </c>
      <c r="L3331" s="16">
        <f>SUM(F$5:F3331)/SUM(E$5:E3331)</f>
        <v>0.7638880209960609</v>
      </c>
    </row>
    <row r="3332" spans="1:12" x14ac:dyDescent="0.25">
      <c r="A3332" s="29">
        <v>46167</v>
      </c>
      <c r="B3332" s="16" t="s">
        <v>3378</v>
      </c>
      <c r="C3332" s="34">
        <v>1</v>
      </c>
      <c r="D3332" s="16" t="s">
        <v>56</v>
      </c>
      <c r="E3332" s="35">
        <v>2.8</v>
      </c>
      <c r="F3332" s="35">
        <v>2.5</v>
      </c>
      <c r="G3332" s="16" t="s">
        <v>45</v>
      </c>
      <c r="H3332" s="16" t="s">
        <v>45</v>
      </c>
      <c r="I3332" s="16">
        <f>COUNTIF(G$5:G3332,"Y")/COUNTA(G$5:G3332)</f>
        <v>0.88401442307692313</v>
      </c>
      <c r="J3332" s="16">
        <f>COUNTIF(H$5:H3332,"Y")/COUNTA(H$5:H3332)</f>
        <v>4.7776442307692304E-2</v>
      </c>
      <c r="K3332" s="16">
        <f>AVERAGE(F$5:F3332)</f>
        <v>2.2046875000000012</v>
      </c>
      <c r="L3332" s="16">
        <f>SUM(F$5:F3332)/SUM(E$5:E3332)</f>
        <v>0.76392561897423927</v>
      </c>
    </row>
    <row r="3333" spans="1:12" x14ac:dyDescent="0.25">
      <c r="A3333" s="29">
        <v>46168</v>
      </c>
      <c r="B3333" s="16" t="s">
        <v>3379</v>
      </c>
      <c r="C3333" s="34">
        <v>1</v>
      </c>
      <c r="D3333" s="16" t="s">
        <v>64</v>
      </c>
      <c r="E3333" s="35">
        <v>1.6</v>
      </c>
      <c r="F3333" s="35">
        <v>1.2</v>
      </c>
      <c r="G3333" s="16" t="s">
        <v>45</v>
      </c>
      <c r="H3333" s="16" t="s">
        <v>45</v>
      </c>
      <c r="I3333" s="16">
        <f>COUNTIF(G$5:G3333,"Y")/COUNTA(G$5:G3333)</f>
        <v>0.88374887353559628</v>
      </c>
      <c r="J3333" s="16">
        <f>COUNTIF(H$5:H3333,"Y")/COUNTA(H$5:H3333)</f>
        <v>4.776209071793331E-2</v>
      </c>
      <c r="K3333" s="16">
        <f>AVERAGE(F$5:F3333)</f>
        <v>2.2043857014118364</v>
      </c>
      <c r="L3333" s="16">
        <f>SUM(F$5:F3333)/SUM(E$5:E3333)</f>
        <v>0.76392329953571425</v>
      </c>
    </row>
    <row r="3334" spans="1:12" x14ac:dyDescent="0.25">
      <c r="A3334" s="29">
        <v>46169</v>
      </c>
      <c r="B3334" s="16" t="s">
        <v>3380</v>
      </c>
      <c r="C3334" s="34">
        <v>1</v>
      </c>
      <c r="D3334" s="16" t="s">
        <v>43</v>
      </c>
      <c r="E3334" s="35">
        <v>4.8</v>
      </c>
      <c r="F3334" s="35">
        <v>3.7</v>
      </c>
      <c r="G3334" s="16" t="s">
        <v>44</v>
      </c>
      <c r="H3334" s="16" t="s">
        <v>45</v>
      </c>
      <c r="I3334" s="16">
        <f>COUNTIF(G$5:G3334,"Y")/COUNTA(G$5:G3334)</f>
        <v>0.88378378378378375</v>
      </c>
      <c r="J3334" s="16">
        <f>COUNTIF(H$5:H3334,"Y")/COUNTA(H$5:H3334)</f>
        <v>4.7747747747747746E-2</v>
      </c>
      <c r="K3334" s="16">
        <f>AVERAGE(F$5:F3334)</f>
        <v>2.2048348348348359</v>
      </c>
      <c r="L3334" s="16">
        <f>SUM(F$5:F3334)/SUM(E$5:E3334)</f>
        <v>0.76392675059827053</v>
      </c>
    </row>
    <row r="3335" spans="1:12" x14ac:dyDescent="0.25">
      <c r="A3335" s="29">
        <v>46170</v>
      </c>
      <c r="B3335" s="16" t="s">
        <v>3381</v>
      </c>
      <c r="C3335" s="34">
        <v>1</v>
      </c>
      <c r="D3335" s="16" t="s">
        <v>43</v>
      </c>
      <c r="E3335" s="35">
        <v>3.1</v>
      </c>
      <c r="F3335" s="35">
        <v>2.7</v>
      </c>
      <c r="G3335" s="16" t="s">
        <v>44</v>
      </c>
      <c r="H3335" s="16" t="s">
        <v>45</v>
      </c>
      <c r="I3335" s="16">
        <f>COUNTIF(G$5:G3335,"Y")/COUNTA(G$5:G3335)</f>
        <v>0.88381867307114981</v>
      </c>
      <c r="J3335" s="16">
        <f>COUNTIF(H$5:H3335,"Y")/COUNTA(H$5:H3335)</f>
        <v>4.7733413389372557E-2</v>
      </c>
      <c r="K3335" s="16">
        <f>AVERAGE(F$5:F3335)</f>
        <v>2.2049834884419104</v>
      </c>
      <c r="L3335" s="16">
        <f>SUM(F$5:F3335)/SUM(E$5:E3335)</f>
        <v>0.76396126522503172</v>
      </c>
    </row>
    <row r="3336" spans="1:12" x14ac:dyDescent="0.25">
      <c r="A3336" s="29">
        <v>46171</v>
      </c>
      <c r="B3336" s="16" t="s">
        <v>3382</v>
      </c>
      <c r="C3336" s="34">
        <v>1</v>
      </c>
      <c r="D3336" s="16" t="s">
        <v>43</v>
      </c>
      <c r="E3336" s="35">
        <v>4.5</v>
      </c>
      <c r="F3336" s="35">
        <v>3.2</v>
      </c>
      <c r="G3336" s="16" t="s">
        <v>45</v>
      </c>
      <c r="H3336" s="16" t="s">
        <v>45</v>
      </c>
      <c r="I3336" s="16">
        <f>COUNTIF(G$5:G3336,"Y")/COUNTA(G$5:G3336)</f>
        <v>0.88355342136854742</v>
      </c>
      <c r="J3336" s="16">
        <f>COUNTIF(H$5:H3336,"Y")/COUNTA(H$5:H3336)</f>
        <v>4.7719087635054024E-2</v>
      </c>
      <c r="K3336" s="16">
        <f>AVERAGE(F$5:F3336)</f>
        <v>2.205282112845139</v>
      </c>
      <c r="L3336" s="16">
        <f>SUM(F$5:F3336)/SUM(E$5:E3336)</f>
        <v>0.76393653962114838</v>
      </c>
    </row>
    <row r="3337" spans="1:12" x14ac:dyDescent="0.25">
      <c r="A3337" s="29">
        <v>46167</v>
      </c>
      <c r="B3337" s="16" t="s">
        <v>3383</v>
      </c>
      <c r="C3337" s="34">
        <v>1</v>
      </c>
      <c r="D3337" s="16" t="s">
        <v>56</v>
      </c>
      <c r="E3337" s="35">
        <v>4.8</v>
      </c>
      <c r="F3337" s="35">
        <v>3.7</v>
      </c>
      <c r="G3337" s="16" t="s">
        <v>44</v>
      </c>
      <c r="H3337" s="16" t="s">
        <v>45</v>
      </c>
      <c r="I3337" s="16">
        <f>COUNTIF(G$5:G3337,"Y")/COUNTA(G$5:G3337)</f>
        <v>0.8835883588358836</v>
      </c>
      <c r="J3337" s="16">
        <f>COUNTIF(H$5:H3337,"Y")/COUNTA(H$5:H3337)</f>
        <v>4.7704770477047707E-2</v>
      </c>
      <c r="K3337" s="16">
        <f>AVERAGE(F$5:F3337)</f>
        <v>2.2057305730573065</v>
      </c>
      <c r="L3337" s="16">
        <f>SUM(F$5:F3337)/SUM(E$5:E3337)</f>
        <v>0.76393997963297566</v>
      </c>
    </row>
    <row r="3338" spans="1:12" x14ac:dyDescent="0.25">
      <c r="A3338" s="29">
        <v>46168</v>
      </c>
      <c r="B3338" s="16" t="s">
        <v>3384</v>
      </c>
      <c r="C3338" s="34">
        <v>1</v>
      </c>
      <c r="D3338" s="16" t="s">
        <v>47</v>
      </c>
      <c r="E3338" s="35">
        <v>3.9</v>
      </c>
      <c r="F3338" s="35">
        <v>3.2</v>
      </c>
      <c r="G3338" s="16" t="s">
        <v>44</v>
      </c>
      <c r="H3338" s="16" t="s">
        <v>45</v>
      </c>
      <c r="I3338" s="16">
        <f>COUNTIF(G$5:G3338,"Y")/COUNTA(G$5:G3338)</f>
        <v>0.88362327534493101</v>
      </c>
      <c r="J3338" s="16">
        <f>COUNTIF(H$5:H3338,"Y")/COUNTA(H$5:H3338)</f>
        <v>4.7690461907618477E-2</v>
      </c>
      <c r="K3338" s="16">
        <f>AVERAGE(F$5:F3338)</f>
        <v>2.2060287942411523</v>
      </c>
      <c r="L3338" s="16">
        <f>SUM(F$5:F3338)/SUM(E$5:E3338)</f>
        <v>0.76396289717781496</v>
      </c>
    </row>
    <row r="3339" spans="1:12" x14ac:dyDescent="0.25">
      <c r="A3339" s="29">
        <v>46169</v>
      </c>
      <c r="B3339" s="16" t="s">
        <v>3385</v>
      </c>
      <c r="C3339" s="34">
        <v>1</v>
      </c>
      <c r="D3339" s="16" t="s">
        <v>56</v>
      </c>
      <c r="E3339" s="35">
        <v>4.4000000000000004</v>
      </c>
      <c r="F3339" s="35">
        <v>3.9</v>
      </c>
      <c r="G3339" s="16" t="s">
        <v>44</v>
      </c>
      <c r="H3339" s="16" t="s">
        <v>45</v>
      </c>
      <c r="I3339" s="16">
        <f>COUNTIF(G$5:G3339,"Y")/COUNTA(G$5:G3339)</f>
        <v>0.88365817091454268</v>
      </c>
      <c r="J3339" s="16">
        <f>COUNTIF(H$5:H3339,"Y")/COUNTA(H$5:H3339)</f>
        <v>4.7676161919040477E-2</v>
      </c>
      <c r="K3339" s="16">
        <f>AVERAGE(F$5:F3339)</f>
        <v>2.2065367316341833</v>
      </c>
      <c r="L3339" s="16">
        <f>SUM(F$5:F3339)/SUM(E$5:E3339)</f>
        <v>0.76401881287830575</v>
      </c>
    </row>
    <row r="3340" spans="1:12" x14ac:dyDescent="0.25">
      <c r="A3340" s="29">
        <v>46170</v>
      </c>
      <c r="B3340" s="16" t="s">
        <v>3386</v>
      </c>
      <c r="C3340" s="34">
        <v>1</v>
      </c>
      <c r="D3340" s="16" t="s">
        <v>43</v>
      </c>
      <c r="E3340" s="35">
        <v>2.9</v>
      </c>
      <c r="F3340" s="35">
        <v>2</v>
      </c>
      <c r="G3340" s="16" t="s">
        <v>44</v>
      </c>
      <c r="H3340" s="16" t="s">
        <v>45</v>
      </c>
      <c r="I3340" s="16">
        <f>COUNTIF(G$5:G3340,"Y")/COUNTA(G$5:G3340)</f>
        <v>0.88369304556354911</v>
      </c>
      <c r="J3340" s="16">
        <f>COUNTIF(H$5:H3340,"Y")/COUNTA(H$5:H3340)</f>
        <v>4.7661870503597124E-2</v>
      </c>
      <c r="K3340" s="16">
        <f>AVERAGE(F$5:F3340)</f>
        <v>2.2064748201438853</v>
      </c>
      <c r="L3340" s="16">
        <f>SUM(F$5:F3340)/SUM(E$5:E3340)</f>
        <v>0.76399642953521452</v>
      </c>
    </row>
    <row r="3341" spans="1:12" x14ac:dyDescent="0.25">
      <c r="A3341" s="29">
        <v>46171</v>
      </c>
      <c r="B3341" s="16" t="s">
        <v>3387</v>
      </c>
      <c r="C3341" s="34">
        <v>1</v>
      </c>
      <c r="D3341" s="16" t="s">
        <v>60</v>
      </c>
      <c r="E3341" s="35">
        <v>4.2</v>
      </c>
      <c r="F3341" s="35">
        <v>3.5</v>
      </c>
      <c r="G3341" s="16" t="s">
        <v>44</v>
      </c>
      <c r="H3341" s="16" t="s">
        <v>45</v>
      </c>
      <c r="I3341" s="16">
        <f>COUNTIF(G$5:G3341,"Y")/COUNTA(G$5:G3341)</f>
        <v>0.88372789931075812</v>
      </c>
      <c r="J3341" s="16">
        <f>COUNTIF(H$5:H3341,"Y")/COUNTA(H$5:H3341)</f>
        <v>4.7647587653581062E-2</v>
      </c>
      <c r="K3341" s="16">
        <f>AVERAGE(F$5:F3341)</f>
        <v>2.2068624513035666</v>
      </c>
      <c r="L3341" s="16">
        <f>SUM(F$5:F3341)/SUM(E$5:E3341)</f>
        <v>0.76402664232061845</v>
      </c>
    </row>
    <row r="3342" spans="1:12" x14ac:dyDescent="0.25">
      <c r="A3342" s="29">
        <v>46167</v>
      </c>
      <c r="B3342" s="16" t="s">
        <v>3388</v>
      </c>
      <c r="C3342" s="34">
        <v>1</v>
      </c>
      <c r="D3342" s="16" t="s">
        <v>64</v>
      </c>
      <c r="E3342" s="35">
        <v>2.4</v>
      </c>
      <c r="F3342" s="35">
        <v>2.1</v>
      </c>
      <c r="G3342" s="16" t="s">
        <v>44</v>
      </c>
      <c r="H3342" s="16" t="s">
        <v>45</v>
      </c>
      <c r="I3342" s="16">
        <f>COUNTIF(G$5:G3342,"Y")/COUNTA(G$5:G3342)</f>
        <v>0.88376273217495505</v>
      </c>
      <c r="J3342" s="16">
        <f>COUNTIF(H$5:H3342,"Y")/COUNTA(H$5:H3342)</f>
        <v>4.7633313361294186E-2</v>
      </c>
      <c r="K3342" s="16">
        <f>AVERAGE(F$5:F3342)</f>
        <v>2.2068304373876582</v>
      </c>
      <c r="L3342" s="16">
        <f>SUM(F$5:F3342)/SUM(E$5:E3342)</f>
        <v>0.76405426710367774</v>
      </c>
    </row>
    <row r="3343" spans="1:12" x14ac:dyDescent="0.25">
      <c r="A3343" s="29">
        <v>46168</v>
      </c>
      <c r="B3343" s="16" t="s">
        <v>3389</v>
      </c>
      <c r="C3343" s="34">
        <v>1</v>
      </c>
      <c r="D3343" s="16" t="s">
        <v>64</v>
      </c>
      <c r="E3343" s="35">
        <v>0.7</v>
      </c>
      <c r="F3343" s="35">
        <v>0.5</v>
      </c>
      <c r="G3343" s="16" t="s">
        <v>44</v>
      </c>
      <c r="H3343" s="16" t="s">
        <v>45</v>
      </c>
      <c r="I3343" s="16">
        <f>COUNTIF(G$5:G3343,"Y")/COUNTA(G$5:G3343)</f>
        <v>0.88379754417490264</v>
      </c>
      <c r="J3343" s="16">
        <f>COUNTIF(H$5:H3343,"Y")/COUNTA(H$5:H3343)</f>
        <v>4.7619047619047616E-2</v>
      </c>
      <c r="K3343" s="16">
        <f>AVERAGE(F$5:F3343)</f>
        <v>2.206319257262654</v>
      </c>
      <c r="L3343" s="16">
        <f>SUM(F$5:F3343)/SUM(E$5:E3343)</f>
        <v>0.76405065391675686</v>
      </c>
    </row>
    <row r="3344" spans="1:12" x14ac:dyDescent="0.25">
      <c r="A3344" s="29">
        <v>46169</v>
      </c>
      <c r="B3344" s="16" t="s">
        <v>3390</v>
      </c>
      <c r="C3344" s="34">
        <v>1</v>
      </c>
      <c r="D3344" s="16" t="s">
        <v>60</v>
      </c>
      <c r="E3344" s="35">
        <v>0.7</v>
      </c>
      <c r="F3344" s="35">
        <v>0.5</v>
      </c>
      <c r="G3344" s="16" t="s">
        <v>44</v>
      </c>
      <c r="H3344" s="16" t="s">
        <v>44</v>
      </c>
      <c r="I3344" s="16">
        <f>COUNTIF(G$5:G3344,"Y")/COUNTA(G$5:G3344)</f>
        <v>0.88383233532934136</v>
      </c>
      <c r="J3344" s="16">
        <f>COUNTIF(H$5:H3344,"Y")/COUNTA(H$5:H3344)</f>
        <v>4.790419161676647E-2</v>
      </c>
      <c r="K3344" s="16">
        <f>AVERAGE(F$5:F3344)</f>
        <v>2.2058083832335336</v>
      </c>
      <c r="L3344" s="16">
        <f>SUM(F$5:F3344)/SUM(E$5:E3344)</f>
        <v>0.76404704125443113</v>
      </c>
    </row>
    <row r="3345" spans="1:13" x14ac:dyDescent="0.25">
      <c r="A3345" s="29">
        <v>46170</v>
      </c>
      <c r="B3345" s="16" t="s">
        <v>3391</v>
      </c>
      <c r="C3345" s="34">
        <v>1</v>
      </c>
      <c r="D3345" s="16" t="s">
        <v>52</v>
      </c>
      <c r="E3345" s="35">
        <v>0.7</v>
      </c>
      <c r="F3345" s="35">
        <v>0.5</v>
      </c>
      <c r="G3345" s="16" t="s">
        <v>44</v>
      </c>
      <c r="H3345" s="16" t="s">
        <v>45</v>
      </c>
      <c r="I3345" s="16">
        <f>COUNTIF(G$5:G3345,"Y")/COUNTA(G$5:G3345)</f>
        <v>0.88386710565698889</v>
      </c>
      <c r="J3345" s="16">
        <f>COUNTIF(H$5:H3345,"Y")/COUNTA(H$5:H3345)</f>
        <v>4.7889853337324158E-2</v>
      </c>
      <c r="K3345" s="16">
        <f>AVERAGE(F$5:F3345)</f>
        <v>2.2052978150254421</v>
      </c>
      <c r="L3345" s="16">
        <f>SUM(F$5:F3345)/SUM(E$5:E3345)</f>
        <v>0.76404342911658629</v>
      </c>
    </row>
    <row r="3346" spans="1:13" x14ac:dyDescent="0.25">
      <c r="A3346" s="29">
        <v>46171</v>
      </c>
      <c r="B3346" s="16" t="s">
        <v>3392</v>
      </c>
      <c r="C3346" s="34">
        <v>1</v>
      </c>
      <c r="D3346" s="16" t="s">
        <v>52</v>
      </c>
      <c r="E3346" s="35">
        <v>0.7</v>
      </c>
      <c r="F3346" s="35">
        <v>0.5</v>
      </c>
      <c r="G3346" s="16" t="s">
        <v>44</v>
      </c>
      <c r="H3346" s="16" t="s">
        <v>45</v>
      </c>
      <c r="I3346" s="16">
        <f>COUNTIF(G$5:G3346,"Y")/COUNTA(G$5:G3346)</f>
        <v>0.88390185517654096</v>
      </c>
      <c r="J3346" s="16">
        <f>COUNTIF(H$5:H3346,"Y")/COUNTA(H$5:H3346)</f>
        <v>4.7875523638539794E-2</v>
      </c>
      <c r="K3346" s="16">
        <f>AVERAGE(F$5:F3346)</f>
        <v>2.2047875523638547</v>
      </c>
      <c r="L3346" s="16">
        <f>SUM(F$5:F3346)/SUM(E$5:E3346)</f>
        <v>0.76403981750310823</v>
      </c>
    </row>
    <row r="3347" spans="1:13" x14ac:dyDescent="0.25">
      <c r="A3347" s="29">
        <v>46167</v>
      </c>
      <c r="B3347" s="16" t="s">
        <v>3393</v>
      </c>
      <c r="C3347" s="34">
        <v>1</v>
      </c>
      <c r="D3347" s="16" t="s">
        <v>47</v>
      </c>
      <c r="E3347" s="35">
        <v>0.7</v>
      </c>
      <c r="F3347" s="35">
        <v>0.5</v>
      </c>
      <c r="G3347" s="16" t="s">
        <v>44</v>
      </c>
      <c r="H3347" s="16" t="s">
        <v>45</v>
      </c>
      <c r="I3347" s="16">
        <f>COUNTIF(G$5:G3347,"Y")/COUNTA(G$5:G3347)</f>
        <v>0.88393658390667063</v>
      </c>
      <c r="J3347" s="16">
        <f>COUNTIF(H$5:H3347,"Y")/COUNTA(H$5:H3347)</f>
        <v>4.7861202512713134E-2</v>
      </c>
      <c r="K3347" s="16">
        <f>AVERAGE(F$5:F3347)</f>
        <v>2.2042775949745743</v>
      </c>
      <c r="L3347" s="16">
        <f>SUM(F$5:F3347)/SUM(E$5:E3347)</f>
        <v>0.76403620641388281</v>
      </c>
    </row>
    <row r="3348" spans="1:13" x14ac:dyDescent="0.25">
      <c r="A3348" s="29">
        <v>46168</v>
      </c>
      <c r="B3348" s="16" t="s">
        <v>3394</v>
      </c>
      <c r="C3348" s="34">
        <v>1</v>
      </c>
      <c r="D3348" s="16" t="s">
        <v>56</v>
      </c>
      <c r="E3348" s="35">
        <v>4.5999999999999996</v>
      </c>
      <c r="F3348" s="35">
        <v>0.5</v>
      </c>
      <c r="G3348" s="16" t="s">
        <v>44</v>
      </c>
      <c r="H3348" s="16" t="s">
        <v>45</v>
      </c>
      <c r="I3348" s="16">
        <f>COUNTIF(G$5:G3348,"Y")/COUNTA(G$5:G3348)</f>
        <v>0.88397129186602874</v>
      </c>
      <c r="J3348" s="16">
        <f>COUNTIF(H$5:H3348,"Y")/COUNTA(H$5:H3348)</f>
        <v>4.784688995215311E-2</v>
      </c>
      <c r="K3348" s="16">
        <f>AVERAGE(F$5:F3348)</f>
        <v>2.2037679425837329</v>
      </c>
      <c r="L3348" s="16">
        <f>SUM(F$5:F3348)/SUM(E$5:E3348)</f>
        <v>0.76372379343579067</v>
      </c>
      <c r="M3348" s="16">
        <v>9</v>
      </c>
    </row>
    <row r="3349" spans="1:13" x14ac:dyDescent="0.25">
      <c r="A3349" s="29">
        <v>46174</v>
      </c>
      <c r="B3349" s="16" t="s">
        <v>3395</v>
      </c>
      <c r="C3349" s="34">
        <v>1</v>
      </c>
      <c r="D3349" s="16" t="s">
        <v>47</v>
      </c>
      <c r="E3349" s="35">
        <v>4.7</v>
      </c>
      <c r="F3349" s="35">
        <v>3.1</v>
      </c>
      <c r="G3349" s="16" t="s">
        <v>44</v>
      </c>
      <c r="H3349" s="16" t="s">
        <v>45</v>
      </c>
      <c r="I3349" s="16">
        <f>COUNTIF(G$5:G3349,"Y")/COUNTA(G$5:G3349)</f>
        <v>0.88400597907324363</v>
      </c>
      <c r="J3349" s="16">
        <f>COUNTIF(H$5:H3349,"Y")/COUNTA(H$5:H3349)</f>
        <v>4.7832585949177879E-2</v>
      </c>
      <c r="K3349" s="16">
        <f>AVERAGE(F$5:F3349)</f>
        <v>2.2040358744394628</v>
      </c>
      <c r="L3349" s="16">
        <f>SUM(F$5:F3349)/SUM(E$5:E3349)</f>
        <v>0.76367308887507512</v>
      </c>
    </row>
    <row r="3350" spans="1:13" x14ac:dyDescent="0.25">
      <c r="A3350" s="29">
        <v>46175</v>
      </c>
      <c r="B3350" s="16" t="s">
        <v>3396</v>
      </c>
      <c r="C3350" s="34">
        <v>1</v>
      </c>
      <c r="D3350" s="16" t="s">
        <v>56</v>
      </c>
      <c r="E3350" s="35">
        <v>2.2999999999999998</v>
      </c>
      <c r="F3350" s="35">
        <v>1.6</v>
      </c>
      <c r="G3350" s="16" t="s">
        <v>44</v>
      </c>
      <c r="H3350" s="16" t="s">
        <v>45</v>
      </c>
      <c r="I3350" s="16">
        <f>COUNTIF(G$5:G3350,"Y")/COUNTA(G$5:G3350)</f>
        <v>0.88404064554692174</v>
      </c>
      <c r="J3350" s="16">
        <f>COUNTIF(H$5:H3350,"Y")/COUNTA(H$5:H3350)</f>
        <v>4.7818290496114767E-2</v>
      </c>
      <c r="K3350" s="16">
        <f>AVERAGE(F$5:F3350)</f>
        <v>2.2038553496712501</v>
      </c>
      <c r="L3350" s="16">
        <f>SUM(F$5:F3350)/SUM(E$5:E3350)</f>
        <v>0.76365688721352654</v>
      </c>
    </row>
    <row r="3351" spans="1:13" x14ac:dyDescent="0.25">
      <c r="A3351" s="29">
        <v>46176</v>
      </c>
      <c r="B3351" s="16" t="s">
        <v>3397</v>
      </c>
      <c r="C3351" s="34">
        <v>1</v>
      </c>
      <c r="D3351" s="16" t="s">
        <v>56</v>
      </c>
      <c r="E3351" s="35">
        <v>4.0999999999999996</v>
      </c>
      <c r="F3351" s="35">
        <v>2.6</v>
      </c>
      <c r="G3351" s="16" t="s">
        <v>44</v>
      </c>
      <c r="H3351" s="16" t="s">
        <v>44</v>
      </c>
      <c r="I3351" s="16">
        <f>COUNTIF(G$5:G3351,"Y")/COUNTA(G$5:G3351)</f>
        <v>0.88407529130564688</v>
      </c>
      <c r="J3351" s="16">
        <f>COUNTIF(H$5:H3351,"Y")/COUNTA(H$5:H3351)</f>
        <v>4.8102778607708396E-2</v>
      </c>
      <c r="K3351" s="16">
        <f>AVERAGE(F$5:F3351)</f>
        <v>2.203973707798029</v>
      </c>
      <c r="L3351" s="16">
        <f>SUM(F$5:F3351)/SUM(E$5:E3351)</f>
        <v>0.76360192124549464</v>
      </c>
    </row>
    <row r="3352" spans="1:13" x14ac:dyDescent="0.25">
      <c r="A3352" s="29">
        <v>46177</v>
      </c>
      <c r="B3352" s="16" t="s">
        <v>3398</v>
      </c>
      <c r="C3352" s="34">
        <v>1</v>
      </c>
      <c r="D3352" s="16" t="s">
        <v>47</v>
      </c>
      <c r="E3352" s="35">
        <v>1.7</v>
      </c>
      <c r="F3352" s="35">
        <v>1.4</v>
      </c>
      <c r="G3352" s="16" t="s">
        <v>44</v>
      </c>
      <c r="H3352" s="16" t="s">
        <v>45</v>
      </c>
      <c r="I3352" s="16">
        <f>COUNTIF(G$5:G3352,"Y")/COUNTA(G$5:G3352)</f>
        <v>0.88410991636798086</v>
      </c>
      <c r="J3352" s="16">
        <f>COUNTIF(H$5:H3352,"Y")/COUNTA(H$5:H3352)</f>
        <v>4.8088410991636799E-2</v>
      </c>
      <c r="K3352" s="16">
        <f>AVERAGE(F$5:F3352)</f>
        <v>2.2037335722819602</v>
      </c>
      <c r="L3352" s="16">
        <f>SUM(F$5:F3352)/SUM(E$5:E3352)</f>
        <v>0.76361246519907422</v>
      </c>
    </row>
    <row r="3353" spans="1:13" x14ac:dyDescent="0.25">
      <c r="A3353" s="29">
        <v>46178</v>
      </c>
      <c r="B3353" s="16" t="s">
        <v>3399</v>
      </c>
      <c r="C3353" s="34">
        <v>1</v>
      </c>
      <c r="D3353" s="16" t="s">
        <v>50</v>
      </c>
      <c r="E3353" s="35">
        <v>4</v>
      </c>
      <c r="F3353" s="35">
        <v>3</v>
      </c>
      <c r="G3353" s="16" t="s">
        <v>44</v>
      </c>
      <c r="H3353" s="16" t="s">
        <v>45</v>
      </c>
      <c r="I3353" s="16">
        <f>COUNTIF(G$5:G3353,"Y")/COUNTA(G$5:G3353)</f>
        <v>0.88414452075246341</v>
      </c>
      <c r="J3353" s="16">
        <f>COUNTIF(H$5:H3353,"Y")/COUNTA(H$5:H3353)</f>
        <v>4.8074051955807703E-2</v>
      </c>
      <c r="K3353" s="16">
        <f>AVERAGE(F$5:F3353)</f>
        <v>2.2039713347267851</v>
      </c>
      <c r="L3353" s="16">
        <f>SUM(F$5:F3353)/SUM(E$5:E3353)</f>
        <v>0.7636068321246392</v>
      </c>
    </row>
    <row r="3354" spans="1:13" x14ac:dyDescent="0.25">
      <c r="A3354" s="29">
        <v>46174</v>
      </c>
      <c r="B3354" s="16" t="s">
        <v>3400</v>
      </c>
      <c r="C3354" s="34">
        <v>1</v>
      </c>
      <c r="D3354" s="16" t="s">
        <v>52</v>
      </c>
      <c r="E3354" s="35">
        <v>4.5999999999999996</v>
      </c>
      <c r="F3354" s="35">
        <v>3</v>
      </c>
      <c r="G3354" s="16" t="s">
        <v>45</v>
      </c>
      <c r="H3354" s="16" t="s">
        <v>45</v>
      </c>
      <c r="I3354" s="16">
        <f>COUNTIF(G$5:G3354,"Y")/COUNTA(G$5:G3354)</f>
        <v>0.88388059701492538</v>
      </c>
      <c r="J3354" s="16">
        <f>COUNTIF(H$5:H3354,"Y")/COUNTA(H$5:H3354)</f>
        <v>4.8059701492537313E-2</v>
      </c>
      <c r="K3354" s="16">
        <f>AVERAGE(F$5:F3354)</f>
        <v>2.2042089552238817</v>
      </c>
      <c r="L3354" s="16">
        <f>SUM(F$5:F3354)/SUM(E$5:E3354)</f>
        <v>0.76355382754091994</v>
      </c>
    </row>
    <row r="3355" spans="1:13" x14ac:dyDescent="0.25">
      <c r="A3355" s="29">
        <v>46175</v>
      </c>
      <c r="B3355" s="16" t="s">
        <v>3401</v>
      </c>
      <c r="C3355" s="34">
        <v>1</v>
      </c>
      <c r="D3355" s="16" t="s">
        <v>52</v>
      </c>
      <c r="E3355" s="35">
        <v>4.8</v>
      </c>
      <c r="F3355" s="35">
        <v>3.6</v>
      </c>
      <c r="G3355" s="16" t="s">
        <v>44</v>
      </c>
      <c r="H3355" s="16" t="s">
        <v>45</v>
      </c>
      <c r="I3355" s="16">
        <f>COUNTIF(G$5:G3355,"Y")/COUNTA(G$5:G3355)</f>
        <v>0.88391524917934949</v>
      </c>
      <c r="J3355" s="16">
        <f>COUNTIF(H$5:H3355,"Y")/COUNTA(H$5:H3355)</f>
        <v>4.8045359594151002E-2</v>
      </c>
      <c r="K3355" s="16">
        <f>AVERAGE(F$5:F3355)</f>
        <v>2.2046254849298728</v>
      </c>
      <c r="L3355" s="16">
        <f>SUM(F$5:F3355)/SUM(E$5:E3355)</f>
        <v>0.76354710350886013</v>
      </c>
    </row>
    <row r="3356" spans="1:13" x14ac:dyDescent="0.25">
      <c r="A3356" s="29">
        <v>46176</v>
      </c>
      <c r="B3356" s="16" t="s">
        <v>3402</v>
      </c>
      <c r="C3356" s="34">
        <v>1</v>
      </c>
      <c r="D3356" s="16" t="s">
        <v>47</v>
      </c>
      <c r="E3356" s="35">
        <v>4</v>
      </c>
      <c r="F3356" s="35">
        <v>3.4</v>
      </c>
      <c r="G3356" s="16" t="s">
        <v>44</v>
      </c>
      <c r="H3356" s="16" t="s">
        <v>45</v>
      </c>
      <c r="I3356" s="16">
        <f>COUNTIF(G$5:G3356,"Y")/COUNTA(G$5:G3356)</f>
        <v>0.88394988066825775</v>
      </c>
      <c r="J3356" s="16">
        <f>COUNTIF(H$5:H3356,"Y")/COUNTA(H$5:H3356)</f>
        <v>4.8031026252983292E-2</v>
      </c>
      <c r="K3356" s="16">
        <f>AVERAGE(F$5:F3356)</f>
        <v>2.2049821002386643</v>
      </c>
      <c r="L3356" s="16">
        <f>SUM(F$5:F3356)/SUM(E$5:E3356)</f>
        <v>0.76358282969161373</v>
      </c>
    </row>
    <row r="3357" spans="1:13" x14ac:dyDescent="0.25">
      <c r="A3357" s="29">
        <v>46177</v>
      </c>
      <c r="B3357" s="16" t="s">
        <v>3403</v>
      </c>
      <c r="C3357" s="34">
        <v>1</v>
      </c>
      <c r="D3357" s="16" t="s">
        <v>47</v>
      </c>
      <c r="E3357" s="35">
        <v>2.8</v>
      </c>
      <c r="F3357" s="35">
        <v>2.1</v>
      </c>
      <c r="G3357" s="16" t="s">
        <v>44</v>
      </c>
      <c r="H3357" s="16" t="s">
        <v>45</v>
      </c>
      <c r="I3357" s="16">
        <f>COUNTIF(G$5:G3357,"Y")/COUNTA(G$5:G3357)</f>
        <v>0.88398449150014913</v>
      </c>
      <c r="J3357" s="16">
        <f>COUNTIF(H$5:H3357,"Y")/COUNTA(H$5:H3357)</f>
        <v>4.8016701461377868E-2</v>
      </c>
      <c r="K3357" s="16">
        <f>AVERAGE(F$5:F3357)</f>
        <v>2.2049507903370125</v>
      </c>
      <c r="L3357" s="16">
        <f>SUM(F$5:F3357)/SUM(E$5:E3357)</f>
        <v>0.76357890170723652</v>
      </c>
    </row>
    <row r="3358" spans="1:13" x14ac:dyDescent="0.25">
      <c r="A3358" s="29">
        <v>46178</v>
      </c>
      <c r="B3358" s="16" t="s">
        <v>3404</v>
      </c>
      <c r="C3358" s="34">
        <v>1</v>
      </c>
      <c r="D3358" s="16" t="s">
        <v>52</v>
      </c>
      <c r="E3358" s="35">
        <v>2.5</v>
      </c>
      <c r="F3358" s="35">
        <v>1.7</v>
      </c>
      <c r="G3358" s="16" t="s">
        <v>44</v>
      </c>
      <c r="H3358" s="16" t="s">
        <v>45</v>
      </c>
      <c r="I3358" s="16">
        <f>COUNTIF(G$5:G3358,"Y")/COUNTA(G$5:G3358)</f>
        <v>0.8840190816935003</v>
      </c>
      <c r="J3358" s="16">
        <f>COUNTIF(H$5:H3358,"Y")/COUNTA(H$5:H3358)</f>
        <v>4.8002385211687537E-2</v>
      </c>
      <c r="K3358" s="16">
        <f>AVERAGE(F$5:F3358)</f>
        <v>2.2048002385211696</v>
      </c>
      <c r="L3358" s="16">
        <f>SUM(F$5:F3358)/SUM(E$5:E3358)</f>
        <v>0.76355732694531386</v>
      </c>
    </row>
    <row r="3359" spans="1:13" x14ac:dyDescent="0.25">
      <c r="A3359" s="29">
        <v>46174</v>
      </c>
      <c r="B3359" s="16" t="s">
        <v>3405</v>
      </c>
      <c r="C3359" s="34">
        <v>1</v>
      </c>
      <c r="D3359" s="16" t="s">
        <v>47</v>
      </c>
      <c r="E3359" s="35">
        <v>3.1</v>
      </c>
      <c r="F3359" s="35">
        <v>2.2999999999999998</v>
      </c>
      <c r="G3359" s="16" t="s">
        <v>44</v>
      </c>
      <c r="H3359" s="16" t="s">
        <v>45</v>
      </c>
      <c r="I3359" s="16">
        <f>COUNTIF(G$5:G3359,"Y")/COUNTA(G$5:G3359)</f>
        <v>0.88405365126676605</v>
      </c>
      <c r="J3359" s="16">
        <f>COUNTIF(H$5:H3359,"Y")/COUNTA(H$5:H3359)</f>
        <v>4.798807749627422E-2</v>
      </c>
      <c r="K3359" s="16">
        <f>AVERAGE(F$5:F3359)</f>
        <v>2.2048286140089428</v>
      </c>
      <c r="L3359" s="16">
        <f>SUM(F$5:F3359)/SUM(E$5:E3359)</f>
        <v>0.76355040824120557</v>
      </c>
    </row>
    <row r="3360" spans="1:13" x14ac:dyDescent="0.25">
      <c r="A3360" s="29">
        <v>46175</v>
      </c>
      <c r="B3360" s="16" t="s">
        <v>3406</v>
      </c>
      <c r="C3360" s="34">
        <v>1</v>
      </c>
      <c r="D3360" s="16" t="s">
        <v>50</v>
      </c>
      <c r="E3360" s="35">
        <v>4.5999999999999996</v>
      </c>
      <c r="F3360" s="35">
        <v>3.7</v>
      </c>
      <c r="G3360" s="16" t="s">
        <v>44</v>
      </c>
      <c r="H3360" s="16" t="s">
        <v>45</v>
      </c>
      <c r="I3360" s="16">
        <f>COUNTIF(G$5:G3360,"Y")/COUNTA(G$5:G3360)</f>
        <v>0.88408820023837897</v>
      </c>
      <c r="J3360" s="16">
        <f>COUNTIF(H$5:H3360,"Y")/COUNTA(H$5:H3360)</f>
        <v>4.7973778307508937E-2</v>
      </c>
      <c r="K3360" s="16">
        <f>AVERAGE(F$5:F3360)</f>
        <v>2.2052741358760439</v>
      </c>
      <c r="L3360" s="16">
        <f>SUM(F$5:F3360)/SUM(E$5:E3360)</f>
        <v>0.76356977044106011</v>
      </c>
    </row>
    <row r="3361" spans="1:12" x14ac:dyDescent="0.25">
      <c r="A3361" s="29">
        <v>46176</v>
      </c>
      <c r="B3361" s="16" t="s">
        <v>3407</v>
      </c>
      <c r="C3361" s="34">
        <v>1</v>
      </c>
      <c r="D3361" s="16" t="s">
        <v>47</v>
      </c>
      <c r="E3361" s="35">
        <v>5.3</v>
      </c>
      <c r="F3361" s="35">
        <v>3.9</v>
      </c>
      <c r="G3361" s="16" t="s">
        <v>44</v>
      </c>
      <c r="H3361" s="16" t="s">
        <v>45</v>
      </c>
      <c r="I3361" s="16">
        <f>COUNTIF(G$5:G3361,"Y")/COUNTA(G$5:G3361)</f>
        <v>0.88412272862675012</v>
      </c>
      <c r="J3361" s="16">
        <f>COUNTIF(H$5:H3361,"Y")/COUNTA(H$5:H3361)</f>
        <v>4.7959487637771823E-2</v>
      </c>
      <c r="K3361" s="16">
        <f>AVERAGE(F$5:F3361)</f>
        <v>2.2057789693178442</v>
      </c>
      <c r="L3361" s="16">
        <f>SUM(F$5:F3361)/SUM(E$5:E3361)</f>
        <v>0.76355462063560553</v>
      </c>
    </row>
    <row r="3362" spans="1:12" x14ac:dyDescent="0.25">
      <c r="A3362" s="29">
        <v>46177</v>
      </c>
      <c r="B3362" s="16" t="s">
        <v>3408</v>
      </c>
      <c r="C3362" s="34">
        <v>1</v>
      </c>
      <c r="D3362" s="16" t="s">
        <v>60</v>
      </c>
      <c r="E3362" s="35">
        <v>5.5</v>
      </c>
      <c r="F3362" s="35">
        <v>4</v>
      </c>
      <c r="G3362" s="16" t="s">
        <v>44</v>
      </c>
      <c r="H3362" s="16" t="s">
        <v>45</v>
      </c>
      <c r="I3362" s="16">
        <f>COUNTIF(G$5:G3362,"Y")/COUNTA(G$5:G3362)</f>
        <v>0.884157236450268</v>
      </c>
      <c r="J3362" s="16">
        <f>COUNTIF(H$5:H3362,"Y")/COUNTA(H$5:H3362)</f>
        <v>4.7945205479452052E-2</v>
      </c>
      <c r="K3362" s="16">
        <f>AVERAGE(F$5:F3362)</f>
        <v>2.2063132817153077</v>
      </c>
      <c r="L3362" s="16">
        <f>SUM(F$5:F3362)/SUM(E$5:E3362)</f>
        <v>0.76353405542444075</v>
      </c>
    </row>
    <row r="3363" spans="1:12" x14ac:dyDescent="0.25">
      <c r="A3363" s="29">
        <v>46178</v>
      </c>
      <c r="B3363" s="16" t="s">
        <v>3409</v>
      </c>
      <c r="C3363" s="34">
        <v>1</v>
      </c>
      <c r="D3363" s="16" t="s">
        <v>60</v>
      </c>
      <c r="E3363" s="35">
        <v>3.6</v>
      </c>
      <c r="F3363" s="35">
        <v>2.4</v>
      </c>
      <c r="G3363" s="16" t="s">
        <v>44</v>
      </c>
      <c r="H3363" s="16" t="s">
        <v>45</v>
      </c>
      <c r="I3363" s="16">
        <f>COUNTIF(G$5:G3363,"Y")/COUNTA(G$5:G3363)</f>
        <v>0.88419172372729982</v>
      </c>
      <c r="J3363" s="16">
        <f>COUNTIF(H$5:H3363,"Y")/COUNTA(H$5:H3363)</f>
        <v>4.7930931824947898E-2</v>
      </c>
      <c r="K3363" s="16">
        <f>AVERAGE(F$5:F3363)</f>
        <v>2.2063709437332548</v>
      </c>
      <c r="L3363" s="16">
        <f>SUM(F$5:F3363)/SUM(E$5:E3363)</f>
        <v>0.76349813019604351</v>
      </c>
    </row>
    <row r="3364" spans="1:12" x14ac:dyDescent="0.25">
      <c r="A3364" s="29">
        <v>46174</v>
      </c>
      <c r="B3364" s="16" t="s">
        <v>3410</v>
      </c>
      <c r="C3364" s="34">
        <v>1</v>
      </c>
      <c r="D3364" s="16" t="s">
        <v>50</v>
      </c>
      <c r="E3364" s="35">
        <v>3.8</v>
      </c>
      <c r="F3364" s="35">
        <v>3</v>
      </c>
      <c r="G3364" s="16" t="s">
        <v>44</v>
      </c>
      <c r="H3364" s="16" t="s">
        <v>45</v>
      </c>
      <c r="I3364" s="16">
        <f>COUNTIF(G$5:G3364,"Y")/COUNTA(G$5:G3364)</f>
        <v>0.88422619047619044</v>
      </c>
      <c r="J3364" s="16">
        <f>COUNTIF(H$5:H3364,"Y")/COUNTA(H$5:H3364)</f>
        <v>4.791666666666667E-2</v>
      </c>
      <c r="K3364" s="16">
        <f>AVERAGE(F$5:F3364)</f>
        <v>2.2066071428571434</v>
      </c>
      <c r="L3364" s="16">
        <f>SUM(F$5:F3364)/SUM(E$5:E3364)</f>
        <v>0.7635082949735833</v>
      </c>
    </row>
    <row r="3365" spans="1:12" x14ac:dyDescent="0.25">
      <c r="A3365" s="29">
        <v>46175</v>
      </c>
      <c r="B3365" s="16" t="s">
        <v>3411</v>
      </c>
      <c r="C3365" s="34">
        <v>1</v>
      </c>
      <c r="D3365" s="16" t="s">
        <v>56</v>
      </c>
      <c r="E3365" s="35">
        <v>3.7</v>
      </c>
      <c r="F3365" s="35">
        <v>2.7</v>
      </c>
      <c r="G3365" s="16" t="s">
        <v>44</v>
      </c>
      <c r="H3365" s="16" t="s">
        <v>45</v>
      </c>
      <c r="I3365" s="16">
        <f>COUNTIF(G$5:G3365,"Y")/COUNTA(G$5:G3365)</f>
        <v>0.88426063671526334</v>
      </c>
      <c r="J3365" s="16">
        <f>COUNTIF(H$5:H3365,"Y")/COUNTA(H$5:H3365)</f>
        <v>4.7902409997024692E-2</v>
      </c>
      <c r="K3365" s="16">
        <f>AVERAGE(F$5:F3365)</f>
        <v>2.2067539422790845</v>
      </c>
      <c r="L3365" s="16">
        <f>SUM(F$5:F3365)/SUM(E$5:E3365)</f>
        <v>0.76349542946553306</v>
      </c>
    </row>
    <row r="3366" spans="1:12" x14ac:dyDescent="0.25">
      <c r="A3366" s="29">
        <v>46176</v>
      </c>
      <c r="B3366" s="16" t="s">
        <v>3412</v>
      </c>
      <c r="C3366" s="34">
        <v>1</v>
      </c>
      <c r="D3366" s="16" t="s">
        <v>52</v>
      </c>
      <c r="E3366" s="35">
        <v>2</v>
      </c>
      <c r="F3366" s="35">
        <v>1.4</v>
      </c>
      <c r="G3366" s="16" t="s">
        <v>45</v>
      </c>
      <c r="H3366" s="16" t="s">
        <v>45</v>
      </c>
      <c r="I3366" s="16">
        <f>COUNTIF(G$5:G3366,"Y")/COUNTA(G$5:G3366)</f>
        <v>0.88399762046400954</v>
      </c>
      <c r="J3366" s="16">
        <f>COUNTIF(H$5:H3366,"Y")/COUNTA(H$5:H3366)</f>
        <v>4.7888161808447356E-2</v>
      </c>
      <c r="K3366" s="16">
        <f>AVERAGE(F$5:F3366)</f>
        <v>2.2065139797739448</v>
      </c>
      <c r="L3366" s="16">
        <f>SUM(F$5:F3366)/SUM(E$5:E3366)</f>
        <v>0.76348235972170497</v>
      </c>
    </row>
    <row r="3367" spans="1:12" x14ac:dyDescent="0.25">
      <c r="A3367" s="29">
        <v>46177</v>
      </c>
      <c r="B3367" s="16" t="s">
        <v>3413</v>
      </c>
      <c r="C3367" s="34">
        <v>1</v>
      </c>
      <c r="D3367" s="16" t="s">
        <v>47</v>
      </c>
      <c r="E3367" s="35">
        <v>3.3</v>
      </c>
      <c r="F3367" s="35">
        <v>2.4</v>
      </c>
      <c r="G3367" s="16" t="s">
        <v>44</v>
      </c>
      <c r="H3367" s="16" t="s">
        <v>45</v>
      </c>
      <c r="I3367" s="16">
        <f>COUNTIF(G$5:G3367,"Y")/COUNTA(G$5:G3367)</f>
        <v>0.88403211418376448</v>
      </c>
      <c r="J3367" s="16">
        <f>COUNTIF(H$5:H3367,"Y")/COUNTA(H$5:H3367)</f>
        <v>4.7873922093369013E-2</v>
      </c>
      <c r="K3367" s="16">
        <f>AVERAGE(F$5:F3367)</f>
        <v>2.2065715135295871</v>
      </c>
      <c r="L3367" s="16">
        <f>SUM(F$5:F3367)/SUM(E$5:E3367)</f>
        <v>0.76347006594853495</v>
      </c>
    </row>
    <row r="3368" spans="1:12" x14ac:dyDescent="0.25">
      <c r="A3368" s="29">
        <v>46178</v>
      </c>
      <c r="B3368" s="16" t="s">
        <v>3414</v>
      </c>
      <c r="C3368" s="34">
        <v>1</v>
      </c>
      <c r="D3368" s="16" t="s">
        <v>64</v>
      </c>
      <c r="E3368" s="35">
        <v>4.9000000000000004</v>
      </c>
      <c r="F3368" s="35">
        <v>3.3</v>
      </c>
      <c r="G3368" s="16" t="s">
        <v>44</v>
      </c>
      <c r="H3368" s="16" t="s">
        <v>45</v>
      </c>
      <c r="I3368" s="16">
        <f>COUNTIF(G$5:G3368,"Y")/COUNTA(G$5:G3368)</f>
        <v>0.88406658739595723</v>
      </c>
      <c r="J3368" s="16">
        <f>COUNTIF(H$5:H3368,"Y")/COUNTA(H$5:H3368)</f>
        <v>4.7859690844233055E-2</v>
      </c>
      <c r="K3368" s="16">
        <f>AVERAGE(F$5:F3368)</f>
        <v>2.2068965517241383</v>
      </c>
      <c r="L3368" s="16">
        <f>SUM(F$5:F3368)/SUM(E$5:E3368)</f>
        <v>0.7634247166978565</v>
      </c>
    </row>
    <row r="3369" spans="1:12" x14ac:dyDescent="0.25">
      <c r="A3369" s="29">
        <v>46174</v>
      </c>
      <c r="B3369" s="16" t="s">
        <v>3415</v>
      </c>
      <c r="C3369" s="34">
        <v>1</v>
      </c>
      <c r="D3369" s="16" t="s">
        <v>64</v>
      </c>
      <c r="E3369" s="35">
        <v>4.0999999999999996</v>
      </c>
      <c r="F3369" s="35">
        <v>3.5</v>
      </c>
      <c r="G3369" s="16" t="s">
        <v>44</v>
      </c>
      <c r="H3369" s="16" t="s">
        <v>45</v>
      </c>
      <c r="I3369" s="16">
        <f>COUNTIF(G$5:G3369,"Y")/COUNTA(G$5:G3369)</f>
        <v>0.8841010401188707</v>
      </c>
      <c r="J3369" s="16">
        <f>COUNTIF(H$5:H3369,"Y")/COUNTA(H$5:H3369)</f>
        <v>4.7845468053491824E-2</v>
      </c>
      <c r="K3369" s="16">
        <f>AVERAGE(F$5:F3369)</f>
        <v>2.2072808320950972</v>
      </c>
      <c r="L3369" s="16">
        <f>SUM(F$5:F3369)/SUM(E$5:E3369)</f>
        <v>0.76346274425154181</v>
      </c>
    </row>
    <row r="3370" spans="1:12" x14ac:dyDescent="0.25">
      <c r="A3370" s="29">
        <v>46175</v>
      </c>
      <c r="B3370" s="16" t="s">
        <v>3416</v>
      </c>
      <c r="C3370" s="34">
        <v>1</v>
      </c>
      <c r="D3370" s="16" t="s">
        <v>43</v>
      </c>
      <c r="E3370" s="35">
        <v>2.5</v>
      </c>
      <c r="F3370" s="35">
        <v>2</v>
      </c>
      <c r="G3370" s="16" t="s">
        <v>44</v>
      </c>
      <c r="H3370" s="16" t="s">
        <v>44</v>
      </c>
      <c r="I3370" s="16">
        <f>COUNTIF(G$5:G3370,"Y")/COUNTA(G$5:G3370)</f>
        <v>0.88413547237076651</v>
      </c>
      <c r="J3370" s="16">
        <f>COUNTIF(H$5:H3370,"Y")/COUNTA(H$5:H3370)</f>
        <v>4.8128342245989303E-2</v>
      </c>
      <c r="K3370" s="16">
        <f>AVERAGE(F$5:F3370)</f>
        <v>2.2072192513368991</v>
      </c>
      <c r="L3370" s="16">
        <f>SUM(F$5:F3370)/SUM(E$5:E3370)</f>
        <v>0.76347213087799803</v>
      </c>
    </row>
    <row r="3371" spans="1:12" x14ac:dyDescent="0.25">
      <c r="A3371" s="29">
        <v>46176</v>
      </c>
      <c r="B3371" s="16" t="s">
        <v>3417</v>
      </c>
      <c r="C3371" s="34">
        <v>1</v>
      </c>
      <c r="D3371" s="16" t="s">
        <v>56</v>
      </c>
      <c r="E3371" s="35">
        <v>4.8</v>
      </c>
      <c r="F3371" s="35">
        <v>3.1</v>
      </c>
      <c r="G3371" s="16" t="s">
        <v>44</v>
      </c>
      <c r="H3371" s="16" t="s">
        <v>45</v>
      </c>
      <c r="I3371" s="16">
        <f>COUNTIF(G$5:G3371,"Y")/COUNTA(G$5:G3371)</f>
        <v>0.88416988416988418</v>
      </c>
      <c r="J3371" s="16">
        <f>COUNTIF(H$5:H3371,"Y")/COUNTA(H$5:H3371)</f>
        <v>4.8114048114048111E-2</v>
      </c>
      <c r="K3371" s="16">
        <f>AVERAGE(F$5:F3371)</f>
        <v>2.207484407484408</v>
      </c>
      <c r="L3371" s="16">
        <f>SUM(F$5:F3371)/SUM(E$5:E3371)</f>
        <v>0.7634141331142128</v>
      </c>
    </row>
    <row r="3372" spans="1:12" x14ac:dyDescent="0.25">
      <c r="A3372" s="29">
        <v>46177</v>
      </c>
      <c r="B3372" s="16" t="s">
        <v>3418</v>
      </c>
      <c r="C3372" s="34">
        <v>1</v>
      </c>
      <c r="D3372" s="16" t="s">
        <v>47</v>
      </c>
      <c r="E3372" s="35">
        <v>3.3</v>
      </c>
      <c r="F3372" s="35">
        <v>2.2000000000000002</v>
      </c>
      <c r="G3372" s="16" t="s">
        <v>44</v>
      </c>
      <c r="H3372" s="16" t="s">
        <v>45</v>
      </c>
      <c r="I3372" s="16">
        <f>COUNTIF(G$5:G3372,"Y")/COUNTA(G$5:G3372)</f>
        <v>0.88420427553444181</v>
      </c>
      <c r="J3372" s="16">
        <f>COUNTIF(H$5:H3372,"Y")/COUNTA(H$5:H3372)</f>
        <v>4.8099762470308789E-2</v>
      </c>
      <c r="K3372" s="16">
        <f>AVERAGE(F$5:F3372)</f>
        <v>2.2074821852731596</v>
      </c>
      <c r="L3372" s="16">
        <f>SUM(F$5:F3372)/SUM(E$5:E3372)</f>
        <v>0.76338135184253242</v>
      </c>
    </row>
    <row r="3373" spans="1:12" x14ac:dyDescent="0.25">
      <c r="A3373" s="29">
        <v>46178</v>
      </c>
      <c r="B3373" s="16" t="s">
        <v>3419</v>
      </c>
      <c r="C3373" s="34">
        <v>1</v>
      </c>
      <c r="D3373" s="16" t="s">
        <v>64</v>
      </c>
      <c r="E3373" s="35">
        <v>4.5999999999999996</v>
      </c>
      <c r="F3373" s="35">
        <v>3</v>
      </c>
      <c r="G3373" s="16" t="s">
        <v>44</v>
      </c>
      <c r="H3373" s="16" t="s">
        <v>45</v>
      </c>
      <c r="I3373" s="16">
        <f>COUNTIF(G$5:G3373,"Y")/COUNTA(G$5:G3373)</f>
        <v>0.88423864648263584</v>
      </c>
      <c r="J3373" s="16">
        <f>COUNTIF(H$5:H3373,"Y")/COUNTA(H$5:H3373)</f>
        <v>4.8085485307212822E-2</v>
      </c>
      <c r="K3373" s="16">
        <f>AVERAGE(F$5:F3373)</f>
        <v>2.207717423567825</v>
      </c>
      <c r="L3373" s="16">
        <f>SUM(F$5:F3373)/SUM(E$5:E3373)</f>
        <v>0.76332885189708188</v>
      </c>
    </row>
    <row r="3374" spans="1:12" x14ac:dyDescent="0.25">
      <c r="A3374" s="29">
        <v>46174</v>
      </c>
      <c r="B3374" s="16" t="s">
        <v>3420</v>
      </c>
      <c r="C3374" s="34">
        <v>1</v>
      </c>
      <c r="D3374" s="16" t="s">
        <v>60</v>
      </c>
      <c r="E3374" s="35">
        <v>5</v>
      </c>
      <c r="F3374" s="35">
        <v>3.7</v>
      </c>
      <c r="G3374" s="16" t="s">
        <v>45</v>
      </c>
      <c r="H3374" s="16" t="s">
        <v>45</v>
      </c>
      <c r="I3374" s="16">
        <f>COUNTIF(G$5:G3374,"Y")/COUNTA(G$5:G3374)</f>
        <v>0.88397626112759642</v>
      </c>
      <c r="J3374" s="16">
        <f>COUNTIF(H$5:H3374,"Y")/COUNTA(H$5:H3374)</f>
        <v>4.8071216617210685E-2</v>
      </c>
      <c r="K3374" s="16">
        <f>AVERAGE(F$5:F3374)</f>
        <v>2.2081602373887246</v>
      </c>
      <c r="L3374" s="16">
        <f>SUM(F$5:F3374)/SUM(E$5:E3374)</f>
        <v>0.76331688703340639</v>
      </c>
    </row>
    <row r="3375" spans="1:12" x14ac:dyDescent="0.25">
      <c r="A3375" s="29">
        <v>46175</v>
      </c>
      <c r="B3375" s="16" t="s">
        <v>3421</v>
      </c>
      <c r="C3375" s="34">
        <v>1</v>
      </c>
      <c r="D3375" s="16" t="s">
        <v>47</v>
      </c>
      <c r="E3375" s="35">
        <v>3.8</v>
      </c>
      <c r="F3375" s="35">
        <v>2.6</v>
      </c>
      <c r="G3375" s="16" t="s">
        <v>44</v>
      </c>
      <c r="H3375" s="16" t="s">
        <v>45</v>
      </c>
      <c r="I3375" s="16">
        <f>COUNTIF(G$5:G3375,"Y")/COUNTA(G$5:G3375)</f>
        <v>0.88401067932364286</v>
      </c>
      <c r="J3375" s="16">
        <f>COUNTIF(H$5:H3375,"Y")/COUNTA(H$5:H3375)</f>
        <v>4.8056956392761793E-2</v>
      </c>
      <c r="K3375" s="16">
        <f>AVERAGE(F$5:F3375)</f>
        <v>2.2082764758231983</v>
      </c>
      <c r="L3375" s="16">
        <f>SUM(F$5:F3375)/SUM(E$5:E3375)</f>
        <v>0.76328606437191515</v>
      </c>
    </row>
    <row r="3376" spans="1:12" x14ac:dyDescent="0.25">
      <c r="A3376" s="29">
        <v>46176</v>
      </c>
      <c r="B3376" s="16" t="s">
        <v>3422</v>
      </c>
      <c r="C3376" s="34">
        <v>1</v>
      </c>
      <c r="D3376" s="16" t="s">
        <v>47</v>
      </c>
      <c r="E3376" s="35">
        <v>5.2</v>
      </c>
      <c r="F3376" s="35">
        <v>3.7</v>
      </c>
      <c r="G3376" s="16" t="s">
        <v>44</v>
      </c>
      <c r="H3376" s="16" t="s">
        <v>45</v>
      </c>
      <c r="I3376" s="16">
        <f>COUNTIF(G$5:G3376,"Y")/COUNTA(G$5:G3376)</f>
        <v>0.88404507710557534</v>
      </c>
      <c r="J3376" s="16">
        <f>COUNTIF(H$5:H3376,"Y")/COUNTA(H$5:H3376)</f>
        <v>4.8042704626334518E-2</v>
      </c>
      <c r="K3376" s="16">
        <f>AVERAGE(F$5:F3376)</f>
        <v>2.2087188612099649</v>
      </c>
      <c r="L3376" s="16">
        <f>SUM(F$5:F3376)/SUM(E$5:E3376)</f>
        <v>0.7632584879943406</v>
      </c>
    </row>
    <row r="3377" spans="1:13" x14ac:dyDescent="0.25">
      <c r="A3377" s="29">
        <v>46177</v>
      </c>
      <c r="B3377" s="16" t="s">
        <v>3423</v>
      </c>
      <c r="C3377" s="34">
        <v>1</v>
      </c>
      <c r="D3377" s="16" t="s">
        <v>47</v>
      </c>
      <c r="E3377" s="35">
        <v>4</v>
      </c>
      <c r="F3377" s="35">
        <v>2.8</v>
      </c>
      <c r="G3377" s="16" t="s">
        <v>44</v>
      </c>
      <c r="H3377" s="16" t="s">
        <v>45</v>
      </c>
      <c r="I3377" s="16">
        <f>COUNTIF(G$5:G3377,"Y")/COUNTA(G$5:G3377)</f>
        <v>0.88407945449155056</v>
      </c>
      <c r="J3377" s="16">
        <f>COUNTIF(H$5:H3377,"Y")/COUNTA(H$5:H3377)</f>
        <v>4.8028461310406168E-2</v>
      </c>
      <c r="K3377" s="16">
        <f>AVERAGE(F$5:F3377)</f>
        <v>2.2088941595019276</v>
      </c>
      <c r="L3377" s="16">
        <f>SUM(F$5:F3377)/SUM(E$5:E3377)</f>
        <v>0.76323256743051826</v>
      </c>
    </row>
    <row r="3378" spans="1:13" x14ac:dyDescent="0.25">
      <c r="A3378" s="29">
        <v>46178</v>
      </c>
      <c r="B3378" s="16" t="s">
        <v>3424</v>
      </c>
      <c r="C3378" s="34">
        <v>1</v>
      </c>
      <c r="D3378" s="16" t="s">
        <v>50</v>
      </c>
      <c r="E3378" s="35">
        <v>2.2999999999999998</v>
      </c>
      <c r="F3378" s="35">
        <v>2.2000000000000002</v>
      </c>
      <c r="G3378" s="16" t="s">
        <v>44</v>
      </c>
      <c r="H3378" s="16" t="s">
        <v>45</v>
      </c>
      <c r="I3378" s="16">
        <f>COUNTIF(G$5:G3378,"Y")/COUNTA(G$5:G3378)</f>
        <v>0.88411381149970358</v>
      </c>
      <c r="J3378" s="16">
        <f>COUNTIF(H$5:H3378,"Y")/COUNTA(H$5:H3378)</f>
        <v>4.8014226437462955E-2</v>
      </c>
      <c r="K3378" s="16">
        <f>AVERAGE(F$5:F3378)</f>
        <v>2.2088915234143456</v>
      </c>
      <c r="L3378" s="16">
        <f>SUM(F$5:F3378)/SUM(E$5:E3378)</f>
        <v>0.76327809753999065</v>
      </c>
    </row>
    <row r="3379" spans="1:13" x14ac:dyDescent="0.25">
      <c r="A3379" s="29">
        <v>46174</v>
      </c>
      <c r="B3379" s="16" t="s">
        <v>3425</v>
      </c>
      <c r="C3379" s="34">
        <v>1</v>
      </c>
      <c r="D3379" s="16" t="s">
        <v>60</v>
      </c>
      <c r="E3379" s="35">
        <v>0.5</v>
      </c>
      <c r="F3379" s="35">
        <v>0.5</v>
      </c>
      <c r="G3379" s="16" t="s">
        <v>44</v>
      </c>
      <c r="H3379" s="16" t="s">
        <v>45</v>
      </c>
      <c r="I3379" s="16">
        <f>COUNTIF(G$5:G3379,"Y")/COUNTA(G$5:G3379)</f>
        <v>0.88414814814814813</v>
      </c>
      <c r="J3379" s="16">
        <f>COUNTIF(H$5:H3379,"Y")/COUNTA(H$5:H3379)</f>
        <v>4.8000000000000001E-2</v>
      </c>
      <c r="K3379" s="16">
        <f>AVERAGE(F$5:F3379)</f>
        <v>2.2083851851851857</v>
      </c>
      <c r="L3379" s="16">
        <f>SUM(F$5:F3379)/SUM(E$5:E3379)</f>
        <v>0.76329021884952697</v>
      </c>
    </row>
    <row r="3380" spans="1:13" x14ac:dyDescent="0.25">
      <c r="A3380" s="29">
        <v>46175</v>
      </c>
      <c r="B3380" s="16" t="s">
        <v>3426</v>
      </c>
      <c r="C3380" s="34">
        <v>1</v>
      </c>
      <c r="D3380" s="16" t="s">
        <v>64</v>
      </c>
      <c r="E3380" s="35">
        <v>0.5</v>
      </c>
      <c r="F3380" s="35">
        <v>0.5</v>
      </c>
      <c r="G3380" s="16" t="s">
        <v>44</v>
      </c>
      <c r="H3380" s="16" t="s">
        <v>45</v>
      </c>
      <c r="I3380" s="16">
        <f>COUNTIF(G$5:G3380,"Y")/COUNTA(G$5:G3380)</f>
        <v>0.88418246445497628</v>
      </c>
      <c r="J3380" s="16">
        <f>COUNTIF(H$5:H3380,"Y")/COUNTA(H$5:H3380)</f>
        <v>4.798578199052133E-2</v>
      </c>
      <c r="K3380" s="16">
        <f>AVERAGE(F$5:F3380)</f>
        <v>2.2078791469194319</v>
      </c>
      <c r="L3380" s="16">
        <f>SUM(F$5:F3380)/SUM(E$5:E3380)</f>
        <v>0.76330233891778732</v>
      </c>
    </row>
    <row r="3381" spans="1:13" x14ac:dyDescent="0.25">
      <c r="A3381" s="29">
        <v>46176</v>
      </c>
      <c r="B3381" s="16" t="s">
        <v>3427</v>
      </c>
      <c r="C3381" s="34">
        <v>1</v>
      </c>
      <c r="D3381" s="16" t="s">
        <v>50</v>
      </c>
      <c r="E3381" s="35">
        <v>0.5</v>
      </c>
      <c r="F3381" s="35">
        <v>0.5</v>
      </c>
      <c r="G3381" s="16" t="s">
        <v>45</v>
      </c>
      <c r="H3381" s="16" t="s">
        <v>45</v>
      </c>
      <c r="I3381" s="16">
        <f>COUNTIF(G$5:G3381,"Y")/COUNTA(G$5:G3381)</f>
        <v>0.88392063962096534</v>
      </c>
      <c r="J3381" s="16">
        <f>COUNTIF(H$5:H3381,"Y")/COUNTA(H$5:H3381)</f>
        <v>4.7971572401539826E-2</v>
      </c>
      <c r="K3381" s="16">
        <f>AVERAGE(F$5:F3381)</f>
        <v>2.2073734083506076</v>
      </c>
      <c r="L3381" s="16">
        <f>SUM(F$5:F3381)/SUM(E$5:E3381)</f>
        <v>0.76331445774496209</v>
      </c>
    </row>
    <row r="3382" spans="1:13" x14ac:dyDescent="0.25">
      <c r="A3382" s="29">
        <v>46177</v>
      </c>
      <c r="B3382" s="16" t="s">
        <v>3428</v>
      </c>
      <c r="C3382" s="34">
        <v>1</v>
      </c>
      <c r="D3382" s="16" t="s">
        <v>50</v>
      </c>
      <c r="E3382" s="35">
        <v>0.5</v>
      </c>
      <c r="F3382" s="35">
        <v>0.5</v>
      </c>
      <c r="G3382" s="16" t="s">
        <v>44</v>
      </c>
      <c r="H3382" s="16" t="s">
        <v>45</v>
      </c>
      <c r="I3382" s="16">
        <f>COUNTIF(G$5:G3382,"Y")/COUNTA(G$5:G3382)</f>
        <v>0.88395500296033158</v>
      </c>
      <c r="J3382" s="16">
        <f>COUNTIF(H$5:H3382,"Y")/COUNTA(H$5:H3382)</f>
        <v>4.7957371225577264E-2</v>
      </c>
      <c r="K3382" s="16">
        <f>AVERAGE(F$5:F3382)</f>
        <v>2.2068679692125523</v>
      </c>
      <c r="L3382" s="16">
        <f>SUM(F$5:F3382)/SUM(E$5:E3382)</f>
        <v>0.76332657533124204</v>
      </c>
    </row>
    <row r="3383" spans="1:13" x14ac:dyDescent="0.25">
      <c r="A3383" s="29">
        <v>46178</v>
      </c>
      <c r="B3383" s="16" t="s">
        <v>3429</v>
      </c>
      <c r="C3383" s="34">
        <v>1</v>
      </c>
      <c r="D3383" s="16" t="s">
        <v>43</v>
      </c>
      <c r="E3383" s="35">
        <v>0.5</v>
      </c>
      <c r="F3383" s="35">
        <v>0.5</v>
      </c>
      <c r="G3383" s="16" t="s">
        <v>44</v>
      </c>
      <c r="H3383" s="16" t="s">
        <v>45</v>
      </c>
      <c r="I3383" s="16">
        <f>COUNTIF(G$5:G3383,"Y")/COUNTA(G$5:G3383)</f>
        <v>0.88398934596034329</v>
      </c>
      <c r="J3383" s="16">
        <f>COUNTIF(H$5:H3383,"Y")/COUNTA(H$5:H3383)</f>
        <v>4.794317845516425E-2</v>
      </c>
      <c r="K3383" s="16">
        <f>AVERAGE(F$5:F3383)</f>
        <v>2.2063628292394206</v>
      </c>
      <c r="L3383" s="16">
        <f>SUM(F$5:F3383)/SUM(E$5:E3383)</f>
        <v>0.76333869167681778</v>
      </c>
    </row>
    <row r="3384" spans="1:13" x14ac:dyDescent="0.25">
      <c r="A3384" s="29">
        <v>46174</v>
      </c>
      <c r="B3384" s="16" t="s">
        <v>3430</v>
      </c>
      <c r="C3384" s="34">
        <v>1</v>
      </c>
      <c r="D3384" s="16" t="s">
        <v>56</v>
      </c>
      <c r="E3384" s="35">
        <v>0.5</v>
      </c>
      <c r="F3384" s="35">
        <v>0.5</v>
      </c>
      <c r="G3384" s="16" t="s">
        <v>44</v>
      </c>
      <c r="H3384" s="16" t="s">
        <v>45</v>
      </c>
      <c r="I3384" s="16">
        <f>COUNTIF(G$5:G3384,"Y")/COUNTA(G$5:G3384)</f>
        <v>0.88402366863905324</v>
      </c>
      <c r="J3384" s="16">
        <f>COUNTIF(H$5:H3384,"Y")/COUNTA(H$5:H3384)</f>
        <v>4.7928994082840237E-2</v>
      </c>
      <c r="K3384" s="16">
        <f>AVERAGE(F$5:F3384)</f>
        <v>2.2058579881656812</v>
      </c>
      <c r="L3384" s="16">
        <f>SUM(F$5:F3384)/SUM(E$5:E3384)</f>
        <v>0.76335080678187983</v>
      </c>
    </row>
    <row r="3385" spans="1:13" x14ac:dyDescent="0.25">
      <c r="A3385" s="29">
        <v>46175</v>
      </c>
      <c r="B3385" s="16" t="s">
        <v>3431</v>
      </c>
      <c r="C3385" s="34">
        <v>1</v>
      </c>
      <c r="D3385" s="16" t="s">
        <v>56</v>
      </c>
      <c r="E3385" s="35">
        <v>0.5</v>
      </c>
      <c r="F3385" s="35">
        <v>0.5</v>
      </c>
      <c r="G3385" s="16" t="s">
        <v>45</v>
      </c>
      <c r="H3385" s="16" t="s">
        <v>45</v>
      </c>
      <c r="I3385" s="16">
        <f>COUNTIF(G$5:G3385,"Y")/COUNTA(G$5:G3385)</f>
        <v>0.88376220053238685</v>
      </c>
      <c r="J3385" s="16">
        <f>COUNTIF(H$5:H3385,"Y")/COUNTA(H$5:H3385)</f>
        <v>4.7914818101153507E-2</v>
      </c>
      <c r="K3385" s="16">
        <f>AVERAGE(F$5:F3385)</f>
        <v>2.205353445726117</v>
      </c>
      <c r="L3385" s="16">
        <f>SUM(F$5:F3385)/SUM(E$5:E3385)</f>
        <v>0.76336292064661859</v>
      </c>
    </row>
    <row r="3386" spans="1:13" x14ac:dyDescent="0.25">
      <c r="A3386" s="29">
        <v>46176</v>
      </c>
      <c r="B3386" s="16" t="s">
        <v>3432</v>
      </c>
      <c r="C3386" s="34">
        <v>1</v>
      </c>
      <c r="D3386" s="16" t="s">
        <v>56</v>
      </c>
      <c r="E3386" s="35">
        <v>0.5</v>
      </c>
      <c r="F3386" s="35">
        <v>0.5</v>
      </c>
      <c r="G3386" s="16" t="s">
        <v>44</v>
      </c>
      <c r="H3386" s="16" t="s">
        <v>45</v>
      </c>
      <c r="I3386" s="16">
        <f>COUNTIF(G$5:G3386,"Y")/COUNTA(G$5:G3386)</f>
        <v>0.88379657007687762</v>
      </c>
      <c r="J3386" s="16">
        <f>COUNTIF(H$5:H3386,"Y")/COUNTA(H$5:H3386)</f>
        <v>4.7900650502661145E-2</v>
      </c>
      <c r="K3386" s="16">
        <f>AVERAGE(F$5:F3386)</f>
        <v>2.2048492016558257</v>
      </c>
      <c r="L3386" s="16">
        <f>SUM(F$5:F3386)/SUM(E$5:E3386)</f>
        <v>0.76337503327122458</v>
      </c>
      <c r="M3386" s="16">
        <v>10</v>
      </c>
    </row>
    <row r="3387" spans="1:13" x14ac:dyDescent="0.25">
      <c r="A3387" s="29">
        <v>46181</v>
      </c>
      <c r="B3387" s="16" t="s">
        <v>3433</v>
      </c>
      <c r="C3387" s="34">
        <v>1</v>
      </c>
      <c r="D3387" s="16" t="s">
        <v>56</v>
      </c>
      <c r="E3387" s="35">
        <v>4.5</v>
      </c>
      <c r="F3387" s="35">
        <v>3.3</v>
      </c>
      <c r="G3387" s="16" t="s">
        <v>44</v>
      </c>
      <c r="H3387" s="16" t="s">
        <v>45</v>
      </c>
      <c r="I3387" s="16">
        <f>COUNTIF(G$5:G3387,"Y")/COUNTA(G$5:G3387)</f>
        <v>0.88383091930239432</v>
      </c>
      <c r="J3387" s="16">
        <f>COUNTIF(H$5:H3387,"Y")/COUNTA(H$5:H3387)</f>
        <v>4.7886491279929055E-2</v>
      </c>
      <c r="K3387" s="16">
        <f>AVERAGE(F$5:F3387)</f>
        <v>2.2051729234407338</v>
      </c>
      <c r="L3387" s="16">
        <f>SUM(F$5:F3387)/SUM(E$5:E3387)</f>
        <v>0.76336120007776531</v>
      </c>
    </row>
    <row r="3388" spans="1:13" x14ac:dyDescent="0.25">
      <c r="A3388" s="29">
        <v>46182</v>
      </c>
      <c r="B3388" s="16" t="s">
        <v>3434</v>
      </c>
      <c r="C3388" s="34">
        <v>1</v>
      </c>
      <c r="D3388" s="16" t="s">
        <v>47</v>
      </c>
      <c r="E3388" s="35">
        <v>2.9</v>
      </c>
      <c r="F3388" s="35">
        <v>2.1</v>
      </c>
      <c r="G3388" s="16" t="s">
        <v>44</v>
      </c>
      <c r="H3388" s="16" t="s">
        <v>45</v>
      </c>
      <c r="I3388" s="16">
        <f>COUNTIF(G$5:G3388,"Y")/COUNTA(G$5:G3388)</f>
        <v>0.88386524822695034</v>
      </c>
      <c r="J3388" s="16">
        <f>COUNTIF(H$5:H3388,"Y")/COUNTA(H$5:H3388)</f>
        <v>4.7872340425531915E-2</v>
      </c>
      <c r="K3388" s="16">
        <f>AVERAGE(F$5:F3388)</f>
        <v>2.2051418439716319</v>
      </c>
      <c r="L3388" s="16">
        <f>SUM(F$5:F3388)/SUM(E$5:E3388)</f>
        <v>0.76334956422111966</v>
      </c>
    </row>
    <row r="3389" spans="1:13" x14ac:dyDescent="0.25">
      <c r="A3389" s="29">
        <v>46183</v>
      </c>
      <c r="B3389" s="16" t="s">
        <v>3435</v>
      </c>
      <c r="C3389" s="34">
        <v>1</v>
      </c>
      <c r="D3389" s="16" t="s">
        <v>43</v>
      </c>
      <c r="E3389" s="35">
        <v>4.8</v>
      </c>
      <c r="F3389" s="35">
        <v>4</v>
      </c>
      <c r="G3389" s="16" t="s">
        <v>44</v>
      </c>
      <c r="H3389" s="16" t="s">
        <v>45</v>
      </c>
      <c r="I3389" s="16">
        <f>COUNTIF(G$5:G3389,"Y")/COUNTA(G$5:G3389)</f>
        <v>0.88389955686853772</v>
      </c>
      <c r="J3389" s="16">
        <f>COUNTIF(H$5:H3389,"Y")/COUNTA(H$5:H3389)</f>
        <v>4.7858197932053176E-2</v>
      </c>
      <c r="K3389" s="16">
        <f>AVERAGE(F$5:F3389)</f>
        <v>2.2056720827178737</v>
      </c>
      <c r="L3389" s="16">
        <f>SUM(F$5:F3389)/SUM(E$5:E3389)</f>
        <v>0.76338391067849753</v>
      </c>
    </row>
    <row r="3390" spans="1:13" x14ac:dyDescent="0.25">
      <c r="A3390" s="29">
        <v>46184</v>
      </c>
      <c r="B3390" s="16" t="s">
        <v>3436</v>
      </c>
      <c r="C3390" s="34">
        <v>1</v>
      </c>
      <c r="D3390" s="16" t="s">
        <v>56</v>
      </c>
      <c r="E3390" s="35">
        <v>3.8</v>
      </c>
      <c r="F3390" s="35">
        <v>3</v>
      </c>
      <c r="G3390" s="16" t="s">
        <v>44</v>
      </c>
      <c r="H3390" s="16" t="s">
        <v>45</v>
      </c>
      <c r="I3390" s="16">
        <f>COUNTIF(G$5:G3390,"Y")/COUNTA(G$5:G3390)</f>
        <v>0.88393384524512697</v>
      </c>
      <c r="J3390" s="16">
        <f>COUNTIF(H$5:H3390,"Y")/COUNTA(H$5:H3390)</f>
        <v>4.7844063792085056E-2</v>
      </c>
      <c r="K3390" s="16">
        <f>AVERAGE(F$5:F3390)</f>
        <v>2.2059066745422333</v>
      </c>
      <c r="L3390" s="16">
        <f>SUM(F$5:F3390)/SUM(E$5:E3390)</f>
        <v>0.76339404345781758</v>
      </c>
    </row>
    <row r="3391" spans="1:13" x14ac:dyDescent="0.25">
      <c r="A3391" s="29">
        <v>46185</v>
      </c>
      <c r="B3391" s="16" t="s">
        <v>3437</v>
      </c>
      <c r="C3391" s="34">
        <v>1</v>
      </c>
      <c r="D3391" s="16" t="s">
        <v>52</v>
      </c>
      <c r="E3391" s="35">
        <v>2.9</v>
      </c>
      <c r="F3391" s="35">
        <v>2</v>
      </c>
      <c r="G3391" s="16" t="s">
        <v>45</v>
      </c>
      <c r="H3391" s="16" t="s">
        <v>45</v>
      </c>
      <c r="I3391" s="16">
        <f>COUNTIF(G$5:G3391,"Y")/COUNTA(G$5:G3391)</f>
        <v>0.88367286684381463</v>
      </c>
      <c r="J3391" s="16">
        <f>COUNTIF(H$5:H3391,"Y")/COUNTA(H$5:H3391)</f>
        <v>4.7829937998228524E-2</v>
      </c>
      <c r="K3391" s="16">
        <f>AVERAGE(F$5:F3391)</f>
        <v>2.2058458813108954</v>
      </c>
      <c r="L3391" s="16">
        <f>SUM(F$5:F3391)/SUM(E$5:E3391)</f>
        <v>0.76337219401048095</v>
      </c>
    </row>
    <row r="3392" spans="1:13" x14ac:dyDescent="0.25">
      <c r="A3392" s="29">
        <v>46181</v>
      </c>
      <c r="B3392" s="16" t="s">
        <v>3438</v>
      </c>
      <c r="C3392" s="34">
        <v>1</v>
      </c>
      <c r="D3392" s="16" t="s">
        <v>56</v>
      </c>
      <c r="E3392" s="35">
        <v>4.8</v>
      </c>
      <c r="F3392" s="35">
        <v>3.9</v>
      </c>
      <c r="G3392" s="16" t="s">
        <v>44</v>
      </c>
      <c r="H3392" s="16" t="s">
        <v>45</v>
      </c>
      <c r="I3392" s="16">
        <f>COUNTIF(G$5:G3392,"Y")/COUNTA(G$5:G3392)</f>
        <v>0.88370720188902008</v>
      </c>
      <c r="J3392" s="16">
        <f>COUNTIF(H$5:H3392,"Y")/COUNTA(H$5:H3392)</f>
        <v>4.7815820543093274E-2</v>
      </c>
      <c r="K3392" s="16">
        <f>AVERAGE(F$5:F3392)</f>
        <v>2.206345926800473</v>
      </c>
      <c r="L3392" s="16">
        <f>SUM(F$5:F3392)/SUM(E$5:E3392)</f>
        <v>0.76339627651425968</v>
      </c>
    </row>
    <row r="3393" spans="1:12" x14ac:dyDescent="0.25">
      <c r="A3393" s="29">
        <v>46182</v>
      </c>
      <c r="B3393" s="16" t="s">
        <v>3439</v>
      </c>
      <c r="C3393" s="34">
        <v>1</v>
      </c>
      <c r="D3393" s="16" t="s">
        <v>56</v>
      </c>
      <c r="E3393" s="35">
        <v>5</v>
      </c>
      <c r="F3393" s="35">
        <v>3.3</v>
      </c>
      <c r="G3393" s="16" t="s">
        <v>44</v>
      </c>
      <c r="H3393" s="16" t="s">
        <v>45</v>
      </c>
      <c r="I3393" s="16">
        <f>COUNTIF(G$5:G3393,"Y")/COUNTA(G$5:G3393)</f>
        <v>0.88374151667158451</v>
      </c>
      <c r="J3393" s="16">
        <f>COUNTIF(H$5:H3393,"Y")/COUNTA(H$5:H3393)</f>
        <v>4.7801711419297725E-2</v>
      </c>
      <c r="K3393" s="16">
        <f>AVERAGE(F$5:F3393)</f>
        <v>2.2066686338152857</v>
      </c>
      <c r="L3393" s="16">
        <f>SUM(F$5:F3393)/SUM(E$5:E3393)</f>
        <v>0.76334350661943873</v>
      </c>
    </row>
    <row r="3394" spans="1:12" x14ac:dyDescent="0.25">
      <c r="A3394" s="29">
        <v>46183</v>
      </c>
      <c r="B3394" s="16" t="s">
        <v>3440</v>
      </c>
      <c r="C3394" s="34">
        <v>1</v>
      </c>
      <c r="D3394" s="16" t="s">
        <v>52</v>
      </c>
      <c r="E3394" s="35">
        <v>2.2000000000000002</v>
      </c>
      <c r="F3394" s="35">
        <v>1.5</v>
      </c>
      <c r="G3394" s="16" t="s">
        <v>44</v>
      </c>
      <c r="H3394" s="16" t="s">
        <v>45</v>
      </c>
      <c r="I3394" s="16">
        <f>COUNTIF(G$5:G3394,"Y")/COUNTA(G$5:G3394)</f>
        <v>0.88377581120943949</v>
      </c>
      <c r="J3394" s="16">
        <f>COUNTIF(H$5:H3394,"Y")/COUNTA(H$5:H3394)</f>
        <v>4.7787610619469026E-2</v>
      </c>
      <c r="K3394" s="16">
        <f>AVERAGE(F$5:F3394)</f>
        <v>2.2064601769911509</v>
      </c>
      <c r="L3394" s="16">
        <f>SUM(F$5:F3394)/SUM(E$5:E3394)</f>
        <v>0.76332520333499798</v>
      </c>
    </row>
    <row r="3395" spans="1:12" x14ac:dyDescent="0.25">
      <c r="A3395" s="29">
        <v>46184</v>
      </c>
      <c r="B3395" s="16" t="s">
        <v>3441</v>
      </c>
      <c r="C3395" s="34">
        <v>1</v>
      </c>
      <c r="D3395" s="16" t="s">
        <v>60</v>
      </c>
      <c r="E3395" s="35">
        <v>5.5</v>
      </c>
      <c r="F3395" s="35">
        <v>4.4000000000000004</v>
      </c>
      <c r="G3395" s="16" t="s">
        <v>44</v>
      </c>
      <c r="H3395" s="16" t="s">
        <v>45</v>
      </c>
      <c r="I3395" s="16">
        <f>COUNTIF(G$5:G3395,"Y")/COUNTA(G$5:G3395)</f>
        <v>0.88381008552049545</v>
      </c>
      <c r="J3395" s="16">
        <f>COUNTIF(H$5:H3395,"Y")/COUNTA(H$5:H3395)</f>
        <v>4.7773518136242997E-2</v>
      </c>
      <c r="K3395" s="16">
        <f>AVERAGE(F$5:F3395)</f>
        <v>2.207107048068417</v>
      </c>
      <c r="L3395" s="16">
        <f>SUM(F$5:F3395)/SUM(E$5:E3395)</f>
        <v>0.76334577647226587</v>
      </c>
    </row>
    <row r="3396" spans="1:12" x14ac:dyDescent="0.25">
      <c r="A3396" s="29">
        <v>46185</v>
      </c>
      <c r="B3396" s="16" t="s">
        <v>3442</v>
      </c>
      <c r="C3396" s="34">
        <v>1</v>
      </c>
      <c r="D3396" s="16" t="s">
        <v>52</v>
      </c>
      <c r="E3396" s="35">
        <v>3.3</v>
      </c>
      <c r="F3396" s="35">
        <v>2.8</v>
      </c>
      <c r="G3396" s="16" t="s">
        <v>44</v>
      </c>
      <c r="H3396" s="16" t="s">
        <v>45</v>
      </c>
      <c r="I3396" s="16">
        <f>COUNTIF(G$5:G3396,"Y")/COUNTA(G$5:G3396)</f>
        <v>0.88384433962264153</v>
      </c>
      <c r="J3396" s="16">
        <f>COUNTIF(H$5:H3396,"Y")/COUNTA(H$5:H3396)</f>
        <v>4.7759433962264154E-2</v>
      </c>
      <c r="K3396" s="16">
        <f>AVERAGE(F$5:F3396)</f>
        <v>2.2072818396226421</v>
      </c>
      <c r="L3396" s="16">
        <f>SUM(F$5:F3396)/SUM(E$5:E3396)</f>
        <v>0.76337442265928268</v>
      </c>
    </row>
    <row r="3397" spans="1:12" x14ac:dyDescent="0.25">
      <c r="A3397" s="29">
        <v>46181</v>
      </c>
      <c r="B3397" s="16" t="s">
        <v>3443</v>
      </c>
      <c r="C3397" s="34">
        <v>1</v>
      </c>
      <c r="D3397" s="16" t="s">
        <v>50</v>
      </c>
      <c r="E3397" s="35">
        <v>4.9000000000000004</v>
      </c>
      <c r="F3397" s="35">
        <v>4</v>
      </c>
      <c r="G3397" s="16" t="s">
        <v>44</v>
      </c>
      <c r="H3397" s="16" t="s">
        <v>44</v>
      </c>
      <c r="I3397" s="16">
        <f>COUNTIF(G$5:G3397,"Y")/COUNTA(G$5:G3397)</f>
        <v>0.88387857353374599</v>
      </c>
      <c r="J3397" s="16">
        <f>COUNTIF(H$5:H3397,"Y")/COUNTA(H$5:H3397)</f>
        <v>4.8040082522841143E-2</v>
      </c>
      <c r="K3397" s="16">
        <f>AVERAGE(F$5:F3397)</f>
        <v>2.2078101974653705</v>
      </c>
      <c r="L3397" s="16">
        <f>SUM(F$5:F3397)/SUM(E$5:E3397)</f>
        <v>0.76340086417739883</v>
      </c>
    </row>
    <row r="3398" spans="1:12" x14ac:dyDescent="0.25">
      <c r="A3398" s="29">
        <v>46182</v>
      </c>
      <c r="B3398" s="16" t="s">
        <v>3444</v>
      </c>
      <c r="C3398" s="34">
        <v>1</v>
      </c>
      <c r="D3398" s="16" t="s">
        <v>60</v>
      </c>
      <c r="E3398" s="35">
        <v>3.3</v>
      </c>
      <c r="F3398" s="35">
        <v>2.7</v>
      </c>
      <c r="G3398" s="16" t="s">
        <v>44</v>
      </c>
      <c r="H3398" s="16" t="s">
        <v>45</v>
      </c>
      <c r="I3398" s="16">
        <f>COUNTIF(G$5:G3398,"Y")/COUNTA(G$5:G3398)</f>
        <v>0.8839127872716559</v>
      </c>
      <c r="J3398" s="16">
        <f>COUNTIF(H$5:H3398,"Y")/COUNTA(H$5:H3398)</f>
        <v>4.8025928108426638E-2</v>
      </c>
      <c r="K3398" s="16">
        <f>AVERAGE(F$5:F3398)</f>
        <v>2.2079552150854456</v>
      </c>
      <c r="L3398" s="16">
        <f>SUM(F$5:F3398)/SUM(E$5:E3398)</f>
        <v>0.76341928056967423</v>
      </c>
    </row>
    <row r="3399" spans="1:12" x14ac:dyDescent="0.25">
      <c r="A3399" s="29">
        <v>46183</v>
      </c>
      <c r="B3399" s="16" t="s">
        <v>3445</v>
      </c>
      <c r="C3399" s="34">
        <v>1</v>
      </c>
      <c r="D3399" s="16" t="s">
        <v>52</v>
      </c>
      <c r="E3399" s="35">
        <v>2.2000000000000002</v>
      </c>
      <c r="F3399" s="35">
        <v>1.8</v>
      </c>
      <c r="G3399" s="16" t="s">
        <v>44</v>
      </c>
      <c r="H3399" s="16" t="s">
        <v>45</v>
      </c>
      <c r="I3399" s="16">
        <f>COUNTIF(G$5:G3399,"Y")/COUNTA(G$5:G3399)</f>
        <v>0.88394698085419732</v>
      </c>
      <c r="J3399" s="16">
        <f>COUNTIF(H$5:H3399,"Y")/COUNTA(H$5:H3399)</f>
        <v>4.8011782032400592E-2</v>
      </c>
      <c r="K3399" s="16">
        <f>AVERAGE(F$5:F3399)</f>
        <v>2.2078350515463923</v>
      </c>
      <c r="L3399" s="16">
        <f>SUM(F$5:F3399)/SUM(E$5:E3399)</f>
        <v>0.76343155128688056</v>
      </c>
    </row>
    <row r="3400" spans="1:12" x14ac:dyDescent="0.25">
      <c r="A3400" s="29">
        <v>46184</v>
      </c>
      <c r="B3400" s="16" t="s">
        <v>3446</v>
      </c>
      <c r="C3400" s="34">
        <v>1</v>
      </c>
      <c r="D3400" s="16" t="s">
        <v>50</v>
      </c>
      <c r="E3400" s="35">
        <v>2</v>
      </c>
      <c r="F3400" s="35">
        <v>1.6</v>
      </c>
      <c r="G3400" s="16" t="s">
        <v>44</v>
      </c>
      <c r="H3400" s="16" t="s">
        <v>45</v>
      </c>
      <c r="I3400" s="16">
        <f>COUNTIF(G$5:G3400,"Y")/COUNTA(G$5:G3400)</f>
        <v>0.88398115429917545</v>
      </c>
      <c r="J3400" s="16">
        <f>COUNTIF(H$5:H3400,"Y")/COUNTA(H$5:H3400)</f>
        <v>4.7997644287396939E-2</v>
      </c>
      <c r="K3400" s="16">
        <f>AVERAGE(F$5:F3400)</f>
        <v>2.2076560659599536</v>
      </c>
      <c r="L3400" s="16">
        <f>SUM(F$5:F3400)/SUM(E$5:E3400)</f>
        <v>0.76343899880858823</v>
      </c>
    </row>
    <row r="3401" spans="1:12" x14ac:dyDescent="0.25">
      <c r="A3401" s="29">
        <v>46185</v>
      </c>
      <c r="B3401" s="16" t="s">
        <v>3447</v>
      </c>
      <c r="C3401" s="34">
        <v>1</v>
      </c>
      <c r="D3401" s="16" t="s">
        <v>43</v>
      </c>
      <c r="E3401" s="35">
        <v>3.2</v>
      </c>
      <c r="F3401" s="35">
        <v>2.2999999999999998</v>
      </c>
      <c r="G3401" s="16" t="s">
        <v>44</v>
      </c>
      <c r="H3401" s="16" t="s">
        <v>45</v>
      </c>
      <c r="I3401" s="16">
        <f>COUNTIF(G$5:G3401,"Y")/COUNTA(G$5:G3401)</f>
        <v>0.88401530762437441</v>
      </c>
      <c r="J3401" s="16">
        <f>COUNTIF(H$5:H3401,"Y")/COUNTA(H$5:H3401)</f>
        <v>4.7983514866058286E-2</v>
      </c>
      <c r="K3401" s="16">
        <f>AVERAGE(F$5:F3401)</f>
        <v>2.2076832499264065</v>
      </c>
      <c r="L3401" s="16">
        <f>SUM(F$5:F3401)/SUM(E$5:E3401)</f>
        <v>0.763424441390541</v>
      </c>
    </row>
    <row r="3402" spans="1:12" x14ac:dyDescent="0.25">
      <c r="A3402" s="29">
        <v>46181</v>
      </c>
      <c r="B3402" s="16" t="s">
        <v>3448</v>
      </c>
      <c r="C3402" s="34">
        <v>1</v>
      </c>
      <c r="D3402" s="16" t="s">
        <v>56</v>
      </c>
      <c r="E3402" s="35">
        <v>4.0999999999999996</v>
      </c>
      <c r="F3402" s="35">
        <v>3.2</v>
      </c>
      <c r="G3402" s="16" t="s">
        <v>45</v>
      </c>
      <c r="H3402" s="16" t="s">
        <v>45</v>
      </c>
      <c r="I3402" s="16">
        <f>COUNTIF(G$5:G3402,"Y")/COUNTA(G$5:G3402)</f>
        <v>0.8837551500882872</v>
      </c>
      <c r="J3402" s="16">
        <f>COUNTIF(H$5:H3402,"Y")/COUNTA(H$5:H3402)</f>
        <v>4.79693937610359E-2</v>
      </c>
      <c r="K3402" s="16">
        <f>AVERAGE(F$5:F3402)</f>
        <v>2.207975279576222</v>
      </c>
      <c r="L3402" s="16">
        <f>SUM(F$5:F3402)/SUM(E$5:E3402)</f>
        <v>0.76343156009605384</v>
      </c>
    </row>
    <row r="3403" spans="1:12" x14ac:dyDescent="0.25">
      <c r="A3403" s="29">
        <v>46182</v>
      </c>
      <c r="B3403" s="16" t="s">
        <v>3449</v>
      </c>
      <c r="C3403" s="34">
        <v>1</v>
      </c>
      <c r="D3403" s="16" t="s">
        <v>43</v>
      </c>
      <c r="E3403" s="35">
        <v>2.2000000000000002</v>
      </c>
      <c r="F3403" s="35">
        <v>1.9</v>
      </c>
      <c r="G3403" s="16" t="s">
        <v>44</v>
      </c>
      <c r="H3403" s="16" t="s">
        <v>45</v>
      </c>
      <c r="I3403" s="16">
        <f>COUNTIF(G$5:G3403,"Y")/COUNTA(G$5:G3403)</f>
        <v>0.88378934980876733</v>
      </c>
      <c r="J3403" s="16">
        <f>COUNTIF(H$5:H3403,"Y")/COUNTA(H$5:H3403)</f>
        <v>4.7955280964989702E-2</v>
      </c>
      <c r="K3403" s="16">
        <f>AVERAGE(F$5:F3403)</f>
        <v>2.2078846719623426</v>
      </c>
      <c r="L3403" s="16">
        <f>SUM(F$5:F3403)/SUM(E$5:E3403)</f>
        <v>0.76345398685629184</v>
      </c>
    </row>
    <row r="3404" spans="1:12" x14ac:dyDescent="0.25">
      <c r="A3404" s="29">
        <v>46183</v>
      </c>
      <c r="B3404" s="16" t="s">
        <v>3450</v>
      </c>
      <c r="C3404" s="34">
        <v>1</v>
      </c>
      <c r="D3404" s="16" t="s">
        <v>56</v>
      </c>
      <c r="E3404" s="35">
        <v>2.1</v>
      </c>
      <c r="F3404" s="35">
        <v>1.5</v>
      </c>
      <c r="G3404" s="16" t="s">
        <v>45</v>
      </c>
      <c r="H3404" s="16" t="s">
        <v>45</v>
      </c>
      <c r="I3404" s="16">
        <f>COUNTIF(G$5:G3404,"Y")/COUNTA(G$5:G3404)</f>
        <v>0.8835294117647059</v>
      </c>
      <c r="J3404" s="16">
        <f>COUNTIF(H$5:H3404,"Y")/COUNTA(H$5:H3404)</f>
        <v>4.7941176470588237E-2</v>
      </c>
      <c r="K3404" s="16">
        <f>AVERAGE(F$5:F3404)</f>
        <v>2.2076764705882361</v>
      </c>
      <c r="L3404" s="16">
        <f>SUM(F$5:F3404)/SUM(E$5:E3404)</f>
        <v>0.76344348498255443</v>
      </c>
    </row>
    <row r="3405" spans="1:12" x14ac:dyDescent="0.25">
      <c r="A3405" s="29">
        <v>46184</v>
      </c>
      <c r="B3405" s="16" t="s">
        <v>3451</v>
      </c>
      <c r="C3405" s="34">
        <v>1</v>
      </c>
      <c r="D3405" s="16" t="s">
        <v>64</v>
      </c>
      <c r="E3405" s="35">
        <v>3.9</v>
      </c>
      <c r="F3405" s="35">
        <v>2.7</v>
      </c>
      <c r="G3405" s="16" t="s">
        <v>44</v>
      </c>
      <c r="H3405" s="16" t="s">
        <v>45</v>
      </c>
      <c r="I3405" s="16">
        <f>COUNTIF(G$5:G3405,"Y")/COUNTA(G$5:G3405)</f>
        <v>0.88356365774772128</v>
      </c>
      <c r="J3405" s="16">
        <f>COUNTIF(H$5:H3405,"Y")/COUNTA(H$5:H3405)</f>
        <v>4.7927080270508675E-2</v>
      </c>
      <c r="K3405" s="16">
        <f>AVERAGE(F$5:F3405)</f>
        <v>2.2078212290502801</v>
      </c>
      <c r="L3405" s="16">
        <f>SUM(F$5:F3405)/SUM(E$5:E3405)</f>
        <v>0.76341527887919414</v>
      </c>
    </row>
    <row r="3406" spans="1:12" x14ac:dyDescent="0.25">
      <c r="A3406" s="29">
        <v>46185</v>
      </c>
      <c r="B3406" s="16" t="s">
        <v>3452</v>
      </c>
      <c r="C3406" s="34">
        <v>1</v>
      </c>
      <c r="D3406" s="16" t="s">
        <v>47</v>
      </c>
      <c r="E3406" s="35">
        <v>3.5</v>
      </c>
      <c r="F3406" s="35">
        <v>2.5</v>
      </c>
      <c r="G3406" s="16" t="s">
        <v>44</v>
      </c>
      <c r="H3406" s="16" t="s">
        <v>45</v>
      </c>
      <c r="I3406" s="16">
        <f>COUNTIF(G$5:G3406,"Y")/COUNTA(G$5:G3406)</f>
        <v>0.8835978835978836</v>
      </c>
      <c r="J3406" s="16">
        <f>COUNTIF(H$5:H3406,"Y")/COUNTA(H$5:H3406)</f>
        <v>4.7912992357436804E-2</v>
      </c>
      <c r="K3406" s="16">
        <f>AVERAGE(F$5:F3406)</f>
        <v>2.2079071134626695</v>
      </c>
      <c r="L3406" s="16">
        <f>SUM(F$5:F3406)/SUM(E$5:E3406)</f>
        <v>0.76339780268921342</v>
      </c>
    </row>
    <row r="3407" spans="1:12" x14ac:dyDescent="0.25">
      <c r="A3407" s="29">
        <v>46181</v>
      </c>
      <c r="B3407" s="16" t="s">
        <v>3453</v>
      </c>
      <c r="C3407" s="34">
        <v>1</v>
      </c>
      <c r="D3407" s="16" t="s">
        <v>64</v>
      </c>
      <c r="E3407" s="35">
        <v>3.4</v>
      </c>
      <c r="F3407" s="35">
        <v>2.5</v>
      </c>
      <c r="G3407" s="16" t="s">
        <v>45</v>
      </c>
      <c r="H3407" s="16" t="s">
        <v>45</v>
      </c>
      <c r="I3407" s="16">
        <f>COUNTIF(G$5:G3407,"Y")/COUNTA(G$5:G3407)</f>
        <v>0.88333823097267117</v>
      </c>
      <c r="J3407" s="16">
        <f>COUNTIF(H$5:H3407,"Y")/COUNTA(H$5:H3407)</f>
        <v>4.7898912724067003E-2</v>
      </c>
      <c r="K3407" s="16">
        <f>AVERAGE(F$5:F3407)</f>
        <v>2.207992947399354</v>
      </c>
      <c r="L3407" s="16">
        <f>SUM(F$5:F3407)/SUM(E$5:E3407)</f>
        <v>0.76338809473010227</v>
      </c>
    </row>
    <row r="3408" spans="1:12" x14ac:dyDescent="0.25">
      <c r="A3408" s="29">
        <v>46182</v>
      </c>
      <c r="B3408" s="16" t="s">
        <v>3454</v>
      </c>
      <c r="C3408" s="34">
        <v>1</v>
      </c>
      <c r="D3408" s="16" t="s">
        <v>56</v>
      </c>
      <c r="E3408" s="35">
        <v>3.1</v>
      </c>
      <c r="F3408" s="35">
        <v>2.1</v>
      </c>
      <c r="G3408" s="16" t="s">
        <v>44</v>
      </c>
      <c r="H3408" s="16" t="s">
        <v>45</v>
      </c>
      <c r="I3408" s="16">
        <f>COUNTIF(G$5:G3408,"Y")/COUNTA(G$5:G3408)</f>
        <v>0.88337250293772029</v>
      </c>
      <c r="J3408" s="16">
        <f>COUNTIF(H$5:H3408,"Y")/COUNTA(H$5:H3408)</f>
        <v>4.7884841363102233E-2</v>
      </c>
      <c r="K3408" s="16">
        <f>AVERAGE(F$5:F3408)</f>
        <v>2.2079612220916576</v>
      </c>
      <c r="L3408" s="16">
        <f>SUM(F$5:F3408)/SUM(E$5:E3408)</f>
        <v>0.76336102703690689</v>
      </c>
    </row>
    <row r="3409" spans="1:12" x14ac:dyDescent="0.25">
      <c r="A3409" s="29">
        <v>46183</v>
      </c>
      <c r="B3409" s="16" t="s">
        <v>3455</v>
      </c>
      <c r="C3409" s="34">
        <v>1</v>
      </c>
      <c r="D3409" s="16" t="s">
        <v>56</v>
      </c>
      <c r="E3409" s="35">
        <v>4.0999999999999996</v>
      </c>
      <c r="F3409" s="35">
        <v>2.8</v>
      </c>
      <c r="G3409" s="16" t="s">
        <v>44</v>
      </c>
      <c r="H3409" s="16" t="s">
        <v>45</v>
      </c>
      <c r="I3409" s="16">
        <f>COUNTIF(G$5:G3409,"Y")/COUNTA(G$5:G3409)</f>
        <v>0.8834067547723935</v>
      </c>
      <c r="J3409" s="16">
        <f>COUNTIF(H$5:H3409,"Y")/COUNTA(H$5:H3409)</f>
        <v>4.7870778267254041E-2</v>
      </c>
      <c r="K3409" s="16">
        <f>AVERAGE(F$5:F3409)</f>
        <v>2.2081350954478713</v>
      </c>
      <c r="L3409" s="16">
        <f>SUM(F$5:F3409)/SUM(E$5:E3409)</f>
        <v>0.76332754647255074</v>
      </c>
    </row>
    <row r="3410" spans="1:12" x14ac:dyDescent="0.25">
      <c r="A3410" s="29">
        <v>46184</v>
      </c>
      <c r="B3410" s="16" t="s">
        <v>3456</v>
      </c>
      <c r="C3410" s="34">
        <v>1</v>
      </c>
      <c r="D3410" s="16" t="s">
        <v>64</v>
      </c>
      <c r="E3410" s="35">
        <v>3.8</v>
      </c>
      <c r="F3410" s="35">
        <v>3</v>
      </c>
      <c r="G3410" s="16" t="s">
        <v>44</v>
      </c>
      <c r="H3410" s="16" t="s">
        <v>45</v>
      </c>
      <c r="I3410" s="16">
        <f>COUNTIF(G$5:G3410,"Y")/COUNTA(G$5:G3410)</f>
        <v>0.8834409864944216</v>
      </c>
      <c r="J3410" s="16">
        <f>COUNTIF(H$5:H3410,"Y")/COUNTA(H$5:H3410)</f>
        <v>4.7856723429242513E-2</v>
      </c>
      <c r="K3410" s="16">
        <f>AVERAGE(F$5:F3410)</f>
        <v>2.2083675866118622</v>
      </c>
      <c r="L3410" s="16">
        <f>SUM(F$5:F3410)/SUM(E$5:E3410)</f>
        <v>0.76333762951987361</v>
      </c>
    </row>
    <row r="3411" spans="1:12" x14ac:dyDescent="0.25">
      <c r="A3411" s="29">
        <v>46185</v>
      </c>
      <c r="B3411" s="16" t="s">
        <v>3457</v>
      </c>
      <c r="C3411" s="34">
        <v>1</v>
      </c>
      <c r="D3411" s="16" t="s">
        <v>60</v>
      </c>
      <c r="E3411" s="35">
        <v>4</v>
      </c>
      <c r="F3411" s="35">
        <v>2.9</v>
      </c>
      <c r="G3411" s="16" t="s">
        <v>44</v>
      </c>
      <c r="H3411" s="16" t="s">
        <v>45</v>
      </c>
      <c r="I3411" s="16">
        <f>COUNTIF(G$5:G3411,"Y")/COUNTA(G$5:G3411)</f>
        <v>0.88347519812151454</v>
      </c>
      <c r="J3411" s="16">
        <f>COUNTIF(H$5:H3411,"Y")/COUNTA(H$5:H3411)</f>
        <v>4.78426768417963E-2</v>
      </c>
      <c r="K3411" s="16">
        <f>AVERAGE(F$5:F3411)</f>
        <v>2.2085705899618437</v>
      </c>
      <c r="L3411" s="16">
        <f>SUM(F$5:F3411)/SUM(E$5:E3411)</f>
        <v>0.76332207310021383</v>
      </c>
    </row>
    <row r="3412" spans="1:12" x14ac:dyDescent="0.25">
      <c r="A3412" s="29">
        <v>46181</v>
      </c>
      <c r="B3412" s="16" t="s">
        <v>3458</v>
      </c>
      <c r="C3412" s="34">
        <v>1</v>
      </c>
      <c r="D3412" s="16" t="s">
        <v>52</v>
      </c>
      <c r="E3412" s="35">
        <v>5.5</v>
      </c>
      <c r="F3412" s="35">
        <v>4</v>
      </c>
      <c r="G3412" s="16" t="s">
        <v>44</v>
      </c>
      <c r="H3412" s="16" t="s">
        <v>45</v>
      </c>
      <c r="I3412" s="16">
        <f>COUNTIF(G$5:G3412,"Y")/COUNTA(G$5:G3412)</f>
        <v>0.8835093896713615</v>
      </c>
      <c r="J3412" s="16">
        <f>COUNTIF(H$5:H3412,"Y")/COUNTA(H$5:H3412)</f>
        <v>4.7828638497652586E-2</v>
      </c>
      <c r="K3412" s="16">
        <f>AVERAGE(F$5:F3412)</f>
        <v>2.2090962441314561</v>
      </c>
      <c r="L3412" s="16">
        <f>SUM(F$5:F3412)/SUM(E$5:E3412)</f>
        <v>0.76330197096276853</v>
      </c>
    </row>
    <row r="3413" spans="1:12" x14ac:dyDescent="0.25">
      <c r="A3413" s="29">
        <v>46182</v>
      </c>
      <c r="B3413" s="16" t="s">
        <v>3459</v>
      </c>
      <c r="C3413" s="34">
        <v>1</v>
      </c>
      <c r="D3413" s="16" t="s">
        <v>47</v>
      </c>
      <c r="E3413" s="35">
        <v>3.6</v>
      </c>
      <c r="F3413" s="35">
        <v>2.5</v>
      </c>
      <c r="G3413" s="16" t="s">
        <v>44</v>
      </c>
      <c r="H3413" s="16" t="s">
        <v>45</v>
      </c>
      <c r="I3413" s="16">
        <f>COUNTIF(G$5:G3413,"Y")/COUNTA(G$5:G3413)</f>
        <v>0.88354356116163102</v>
      </c>
      <c r="J3413" s="16">
        <f>COUNTIF(H$5:H3413,"Y")/COUNTA(H$5:H3413)</f>
        <v>4.7814608389557055E-2</v>
      </c>
      <c r="K3413" s="16">
        <f>AVERAGE(F$5:F3413)</f>
        <v>2.2091815781754187</v>
      </c>
      <c r="L3413" s="16">
        <f>SUM(F$5:F3413)/SUM(E$5:E3413)</f>
        <v>0.76327684761016512</v>
      </c>
    </row>
    <row r="3414" spans="1:12" x14ac:dyDescent="0.25">
      <c r="A3414" s="29">
        <v>46183</v>
      </c>
      <c r="B3414" s="16" t="s">
        <v>3460</v>
      </c>
      <c r="C3414" s="34">
        <v>1</v>
      </c>
      <c r="D3414" s="16" t="s">
        <v>47</v>
      </c>
      <c r="E3414" s="35">
        <v>4.5</v>
      </c>
      <c r="F3414" s="35">
        <v>3.2</v>
      </c>
      <c r="G3414" s="16" t="s">
        <v>44</v>
      </c>
      <c r="H3414" s="16" t="s">
        <v>45</v>
      </c>
      <c r="I3414" s="16">
        <f>COUNTIF(G$5:G3414,"Y")/COUNTA(G$5:G3414)</f>
        <v>0.88357771260997064</v>
      </c>
      <c r="J3414" s="16">
        <f>COUNTIF(H$5:H3414,"Y")/COUNTA(H$5:H3414)</f>
        <v>4.7800586510263927E-2</v>
      </c>
      <c r="K3414" s="16">
        <f>AVERAGE(F$5:F3414)</f>
        <v>2.2094721407624638</v>
      </c>
      <c r="L3414" s="16">
        <f>SUM(F$5:F3414)/SUM(E$5:E3414)</f>
        <v>0.76325306697192641</v>
      </c>
    </row>
    <row r="3415" spans="1:12" x14ac:dyDescent="0.25">
      <c r="A3415" s="29">
        <v>46184</v>
      </c>
      <c r="B3415" s="16" t="s">
        <v>3461</v>
      </c>
      <c r="C3415" s="34">
        <v>1</v>
      </c>
      <c r="D3415" s="16" t="s">
        <v>43</v>
      </c>
      <c r="E3415" s="35">
        <v>3.6</v>
      </c>
      <c r="F3415" s="35">
        <v>2.5</v>
      </c>
      <c r="G3415" s="16" t="s">
        <v>44</v>
      </c>
      <c r="H3415" s="16" t="s">
        <v>45</v>
      </c>
      <c r="I3415" s="16">
        <f>COUNTIF(G$5:G3415,"Y")/COUNTA(G$5:G3415)</f>
        <v>0.88361184403400761</v>
      </c>
      <c r="J3415" s="16">
        <f>COUNTIF(H$5:H3415,"Y")/COUNTA(H$5:H3415)</f>
        <v>4.7786572852535916E-2</v>
      </c>
      <c r="K3415" s="16">
        <f>AVERAGE(F$5:F3415)</f>
        <v>2.2095573145705076</v>
      </c>
      <c r="L3415" s="16">
        <f>SUM(F$5:F3415)/SUM(E$5:E3415)</f>
        <v>0.76322798205551223</v>
      </c>
    </row>
    <row r="3416" spans="1:12" x14ac:dyDescent="0.25">
      <c r="A3416" s="29">
        <v>46185</v>
      </c>
      <c r="B3416" s="16" t="s">
        <v>3462</v>
      </c>
      <c r="C3416" s="34">
        <v>1</v>
      </c>
      <c r="D3416" s="16" t="s">
        <v>56</v>
      </c>
      <c r="E3416" s="35">
        <v>2.4</v>
      </c>
      <c r="F3416" s="35">
        <v>1.9</v>
      </c>
      <c r="G3416" s="16" t="s">
        <v>44</v>
      </c>
      <c r="H3416" s="16" t="s">
        <v>45</v>
      </c>
      <c r="I3416" s="16">
        <f>COUNTIF(G$5:G3416,"Y")/COUNTA(G$5:G3416)</f>
        <v>0.88364595545134816</v>
      </c>
      <c r="J3416" s="16">
        <f>COUNTIF(H$5:H3416,"Y")/COUNTA(H$5:H3416)</f>
        <v>4.77725674091442E-2</v>
      </c>
      <c r="K3416" s="16">
        <f>AVERAGE(F$5:F3416)</f>
        <v>2.2094665885111375</v>
      </c>
      <c r="L3416" s="16">
        <f>SUM(F$5:F3416)/SUM(E$5:E3416)</f>
        <v>0.76323489212638851</v>
      </c>
    </row>
    <row r="3417" spans="1:12" x14ac:dyDescent="0.25">
      <c r="A3417" s="29">
        <v>46181</v>
      </c>
      <c r="B3417" s="16" t="s">
        <v>3463</v>
      </c>
      <c r="C3417" s="34">
        <v>1</v>
      </c>
      <c r="D3417" s="16" t="s">
        <v>47</v>
      </c>
      <c r="E3417" s="35">
        <v>3.2</v>
      </c>
      <c r="F3417" s="35">
        <v>2.6</v>
      </c>
      <c r="G3417" s="16" t="s">
        <v>44</v>
      </c>
      <c r="H3417" s="16" t="s">
        <v>45</v>
      </c>
      <c r="I3417" s="16">
        <f>COUNTIF(G$5:G3417,"Y")/COUNTA(G$5:G3417)</f>
        <v>0.88368004687957813</v>
      </c>
      <c r="J3417" s="16">
        <f>COUNTIF(H$5:H3417,"Y")/COUNTA(H$5:H3417)</f>
        <v>4.7758570172868442E-2</v>
      </c>
      <c r="K3417" s="16">
        <f>AVERAGE(F$5:F3417)</f>
        <v>2.2095810137708765</v>
      </c>
      <c r="L3417" s="16">
        <f>SUM(F$5:F3417)/SUM(E$5:E3417)</f>
        <v>0.76325084762916628</v>
      </c>
    </row>
    <row r="3418" spans="1:12" x14ac:dyDescent="0.25">
      <c r="A3418" s="29">
        <v>46182</v>
      </c>
      <c r="B3418" s="16" t="s">
        <v>3464</v>
      </c>
      <c r="C3418" s="34">
        <v>1</v>
      </c>
      <c r="D3418" s="16" t="s">
        <v>50</v>
      </c>
      <c r="E3418" s="35">
        <v>2.7</v>
      </c>
      <c r="F3418" s="35">
        <v>2.2000000000000002</v>
      </c>
      <c r="G3418" s="16" t="s">
        <v>44</v>
      </c>
      <c r="H3418" s="16" t="s">
        <v>44</v>
      </c>
      <c r="I3418" s="16">
        <f>COUNTIF(G$5:G3418,"Y")/COUNTA(G$5:G3418)</f>
        <v>0.88371411833626246</v>
      </c>
      <c r="J3418" s="16">
        <f>COUNTIF(H$5:H3418,"Y")/COUNTA(H$5:H3418)</f>
        <v>4.8037492677211482E-2</v>
      </c>
      <c r="K3418" s="16">
        <f>AVERAGE(F$5:F3418)</f>
        <v>2.2095782073813712</v>
      </c>
      <c r="L3418" s="16">
        <f>SUM(F$5:F3418)/SUM(E$5:E3418)</f>
        <v>0.76326493443418897</v>
      </c>
    </row>
    <row r="3419" spans="1:12" x14ac:dyDescent="0.25">
      <c r="A3419" s="29">
        <v>46183</v>
      </c>
      <c r="B3419" s="16" t="s">
        <v>3465</v>
      </c>
      <c r="C3419" s="34">
        <v>1</v>
      </c>
      <c r="D3419" s="16" t="s">
        <v>43</v>
      </c>
      <c r="E3419" s="35">
        <v>4.2</v>
      </c>
      <c r="F3419" s="35">
        <v>3.2</v>
      </c>
      <c r="G3419" s="16" t="s">
        <v>44</v>
      </c>
      <c r="H3419" s="16" t="s">
        <v>45</v>
      </c>
      <c r="I3419" s="16">
        <f>COUNTIF(G$5:G3419,"Y")/COUNTA(G$5:G3419)</f>
        <v>0.88374816983894577</v>
      </c>
      <c r="J3419" s="16">
        <f>COUNTIF(H$5:H3419,"Y")/COUNTA(H$5:H3419)</f>
        <v>4.8023426061493409E-2</v>
      </c>
      <c r="K3419" s="16">
        <f>AVERAGE(F$5:F3419)</f>
        <v>2.2098682284041002</v>
      </c>
      <c r="L3419" s="16">
        <f>SUM(F$5:F3419)/SUM(E$5:E3419)</f>
        <v>0.7632643566559435</v>
      </c>
    </row>
    <row r="3420" spans="1:12" x14ac:dyDescent="0.25">
      <c r="A3420" s="29">
        <v>46184</v>
      </c>
      <c r="B3420" s="16" t="s">
        <v>3466</v>
      </c>
      <c r="C3420" s="34">
        <v>1</v>
      </c>
      <c r="D3420" s="16" t="s">
        <v>60</v>
      </c>
      <c r="E3420" s="35">
        <v>2</v>
      </c>
      <c r="F3420" s="35">
        <v>1.3</v>
      </c>
      <c r="G3420" s="16" t="s">
        <v>44</v>
      </c>
      <c r="H3420" s="16" t="s">
        <v>45</v>
      </c>
      <c r="I3420" s="16">
        <f>COUNTIF(G$5:G3420,"Y")/COUNTA(G$5:G3420)</f>
        <v>0.88378220140515218</v>
      </c>
      <c r="J3420" s="16">
        <f>COUNTIF(H$5:H3420,"Y")/COUNTA(H$5:H3420)</f>
        <v>4.8009367681498827E-2</v>
      </c>
      <c r="K3420" s="16">
        <f>AVERAGE(F$5:F3420)</f>
        <v>2.2096018735363003</v>
      </c>
      <c r="L3420" s="16">
        <f>SUM(F$5:F3420)/SUM(E$5:E3420)</f>
        <v>0.76324145044188485</v>
      </c>
    </row>
    <row r="3421" spans="1:12" x14ac:dyDescent="0.25">
      <c r="A3421" s="29">
        <v>46185</v>
      </c>
      <c r="B3421" s="16" t="s">
        <v>3467</v>
      </c>
      <c r="C3421" s="34">
        <v>1</v>
      </c>
      <c r="D3421" s="16" t="s">
        <v>52</v>
      </c>
      <c r="E3421" s="35">
        <v>2.8</v>
      </c>
      <c r="F3421" s="35">
        <v>2</v>
      </c>
      <c r="G3421" s="16" t="s">
        <v>44</v>
      </c>
      <c r="H3421" s="16" t="s">
        <v>45</v>
      </c>
      <c r="I3421" s="16">
        <f>COUNTIF(G$5:G3421,"Y")/COUNTA(G$5:G3421)</f>
        <v>0.88381621305238511</v>
      </c>
      <c r="J3421" s="16">
        <f>COUNTIF(H$5:H3421,"Y")/COUNTA(H$5:H3421)</f>
        <v>4.7995317529997077E-2</v>
      </c>
      <c r="K3421" s="16">
        <f>AVERAGE(F$5:F3421)</f>
        <v>2.2095405326309634</v>
      </c>
      <c r="L3421" s="16">
        <f>SUM(F$5:F3421)/SUM(E$5:E3421)</f>
        <v>0.76322759345746916</v>
      </c>
    </row>
    <row r="3422" spans="1:12" x14ac:dyDescent="0.25">
      <c r="A3422" s="29">
        <v>46181</v>
      </c>
      <c r="B3422" s="16" t="s">
        <v>3468</v>
      </c>
      <c r="C3422" s="34">
        <v>1</v>
      </c>
      <c r="D3422" s="16" t="s">
        <v>43</v>
      </c>
      <c r="E3422" s="35">
        <v>3.9</v>
      </c>
      <c r="F3422" s="35">
        <v>2.7</v>
      </c>
      <c r="G3422" s="16" t="s">
        <v>45</v>
      </c>
      <c r="H3422" s="16" t="s">
        <v>45</v>
      </c>
      <c r="I3422" s="16">
        <f>COUNTIF(G$5:G3422,"Y")/COUNTA(G$5:G3422)</f>
        <v>0.88355763604447046</v>
      </c>
      <c r="J3422" s="16">
        <f>COUNTIF(H$5:H3422,"Y")/COUNTA(H$5:H3422)</f>
        <v>4.7981275599765942E-2</v>
      </c>
      <c r="K3422" s="16">
        <f>AVERAGE(F$5:F3422)</f>
        <v>2.2096840257460508</v>
      </c>
      <c r="L3422" s="16">
        <f>SUM(F$5:F3422)/SUM(E$5:E3422)</f>
        <v>0.76319964430431952</v>
      </c>
    </row>
    <row r="3423" spans="1:12" x14ac:dyDescent="0.25">
      <c r="A3423" s="29">
        <v>46182</v>
      </c>
      <c r="B3423" s="16" t="s">
        <v>3469</v>
      </c>
      <c r="C3423" s="34">
        <v>1</v>
      </c>
      <c r="D3423" s="16" t="s">
        <v>64</v>
      </c>
      <c r="E3423" s="35">
        <v>3.2</v>
      </c>
      <c r="F3423" s="35">
        <v>2.5</v>
      </c>
      <c r="G3423" s="16" t="s">
        <v>44</v>
      </c>
      <c r="H3423" s="16" t="s">
        <v>45</v>
      </c>
      <c r="I3423" s="16">
        <f>COUNTIF(G$5:G3423,"Y")/COUNTA(G$5:G3423)</f>
        <v>0.88359169347762501</v>
      </c>
      <c r="J3423" s="16">
        <f>COUNTIF(H$5:H3423,"Y")/COUNTA(H$5:H3423)</f>
        <v>4.7967241883591694E-2</v>
      </c>
      <c r="K3423" s="16">
        <f>AVERAGE(F$5:F3423)</f>
        <v>2.2097689382860488</v>
      </c>
      <c r="L3423" s="16">
        <f>SUM(F$5:F3423)/SUM(E$5:E3423)</f>
        <v>0.7632054791752928</v>
      </c>
    </row>
    <row r="3424" spans="1:12" x14ac:dyDescent="0.25">
      <c r="A3424" s="29">
        <v>46183</v>
      </c>
      <c r="B3424" s="16" t="s">
        <v>3470</v>
      </c>
      <c r="C3424" s="34">
        <v>1</v>
      </c>
      <c r="D3424" s="16" t="s">
        <v>52</v>
      </c>
      <c r="E3424" s="35">
        <v>3.3</v>
      </c>
      <c r="F3424" s="35">
        <v>2.5</v>
      </c>
      <c r="G3424" s="16" t="s">
        <v>44</v>
      </c>
      <c r="H3424" s="16" t="s">
        <v>45</v>
      </c>
      <c r="I3424" s="16">
        <f>COUNTIF(G$5:G3424,"Y")/COUNTA(G$5:G3424)</f>
        <v>0.88362573099415209</v>
      </c>
      <c r="J3424" s="16">
        <f>COUNTIF(H$5:H3424,"Y")/COUNTA(H$5:H3424)</f>
        <v>4.7953216374269005E-2</v>
      </c>
      <c r="K3424" s="16">
        <f>AVERAGE(F$5:F3424)</f>
        <v>2.209853801169591</v>
      </c>
      <c r="L3424" s="16">
        <f>SUM(F$5:F3424)/SUM(E$5:E3424)</f>
        <v>0.76320360309413449</v>
      </c>
    </row>
    <row r="3425" spans="1:13" x14ac:dyDescent="0.25">
      <c r="A3425" s="29">
        <v>46184</v>
      </c>
      <c r="B3425" s="16" t="s">
        <v>3471</v>
      </c>
      <c r="C3425" s="34">
        <v>1</v>
      </c>
      <c r="D3425" s="16" t="s">
        <v>43</v>
      </c>
      <c r="E3425" s="35">
        <v>3.9</v>
      </c>
      <c r="F3425" s="35">
        <v>2.6</v>
      </c>
      <c r="G3425" s="16" t="s">
        <v>45</v>
      </c>
      <c r="H3425" s="16" t="s">
        <v>45</v>
      </c>
      <c r="I3425" s="16">
        <f>COUNTIF(G$5:G3425,"Y")/COUNTA(G$5:G3425)</f>
        <v>0.88336743642209881</v>
      </c>
      <c r="J3425" s="16">
        <f>COUNTIF(H$5:H3425,"Y")/COUNTA(H$5:H3425)</f>
        <v>4.7939199064600993E-2</v>
      </c>
      <c r="K3425" s="16">
        <f>AVERAGE(F$5:F3425)</f>
        <v>2.2099678456591647</v>
      </c>
      <c r="L3425" s="16">
        <f>SUM(F$5:F3425)/SUM(E$5:E3425)</f>
        <v>0.76316559834451891</v>
      </c>
    </row>
    <row r="3426" spans="1:13" x14ac:dyDescent="0.25">
      <c r="A3426" s="29">
        <v>46185</v>
      </c>
      <c r="B3426" s="16" t="s">
        <v>3472</v>
      </c>
      <c r="C3426" s="34">
        <v>1</v>
      </c>
      <c r="D3426" s="16" t="s">
        <v>60</v>
      </c>
      <c r="E3426" s="35">
        <v>0.6</v>
      </c>
      <c r="F3426" s="35">
        <v>0.5</v>
      </c>
      <c r="G3426" s="16" t="s">
        <v>44</v>
      </c>
      <c r="H3426" s="16" t="s">
        <v>45</v>
      </c>
      <c r="I3426" s="16">
        <f>COUNTIF(G$5:G3426,"Y")/COUNTA(G$5:G3426)</f>
        <v>0.88340151957919344</v>
      </c>
      <c r="J3426" s="16">
        <f>COUNTIF(H$5:H3426,"Y")/COUNTA(H$5:H3426)</f>
        <v>4.792518994739918E-2</v>
      </c>
      <c r="K3426" s="16">
        <f>AVERAGE(F$5:F3426)</f>
        <v>2.2094681472822915</v>
      </c>
      <c r="L3426" s="16">
        <f>SUM(F$5:F3426)/SUM(E$5:E3426)</f>
        <v>0.7631698478868667</v>
      </c>
    </row>
    <row r="3427" spans="1:13" x14ac:dyDescent="0.25">
      <c r="A3427" s="29">
        <v>46181</v>
      </c>
      <c r="B3427" s="16" t="s">
        <v>3473</v>
      </c>
      <c r="C3427" s="34">
        <v>1</v>
      </c>
      <c r="D3427" s="16" t="s">
        <v>60</v>
      </c>
      <c r="E3427" s="35">
        <v>0.6</v>
      </c>
      <c r="F3427" s="35">
        <v>0.5</v>
      </c>
      <c r="G3427" s="16" t="s">
        <v>44</v>
      </c>
      <c r="H3427" s="16" t="s">
        <v>45</v>
      </c>
      <c r="I3427" s="16">
        <f>COUNTIF(G$5:G3427,"Y")/COUNTA(G$5:G3427)</f>
        <v>0.8834355828220859</v>
      </c>
      <c r="J3427" s="16">
        <f>COUNTIF(H$5:H3427,"Y")/COUNTA(H$5:H3427)</f>
        <v>4.7911189015483496E-2</v>
      </c>
      <c r="K3427" s="16">
        <f>AVERAGE(F$5:F3427)</f>
        <v>2.2089687408705818</v>
      </c>
      <c r="L3427" s="16">
        <f>SUM(F$5:F3427)/SUM(E$5:E3427)</f>
        <v>0.76317409691451865</v>
      </c>
    </row>
    <row r="3428" spans="1:13" x14ac:dyDescent="0.25">
      <c r="A3428" s="29">
        <v>46182</v>
      </c>
      <c r="B3428" s="16" t="s">
        <v>3474</v>
      </c>
      <c r="C3428" s="34">
        <v>1</v>
      </c>
      <c r="D3428" s="16" t="s">
        <v>64</v>
      </c>
      <c r="E3428" s="35">
        <v>1.1000000000000001</v>
      </c>
      <c r="F3428" s="35">
        <v>0.5</v>
      </c>
      <c r="G3428" s="16" t="s">
        <v>44</v>
      </c>
      <c r="H3428" s="16" t="s">
        <v>45</v>
      </c>
      <c r="I3428" s="16">
        <f>COUNTIF(G$5:G3428,"Y")/COUNTA(G$5:G3428)</f>
        <v>0.88346962616822433</v>
      </c>
      <c r="J3428" s="16">
        <f>COUNTIF(H$5:H3428,"Y")/COUNTA(H$5:H3428)</f>
        <v>4.7897196261682241E-2</v>
      </c>
      <c r="K3428" s="16">
        <f>AVERAGE(F$5:F3428)</f>
        <v>2.2084696261682248</v>
      </c>
      <c r="L3428" s="16">
        <f>SUM(F$5:F3428)/SUM(E$5:E3428)</f>
        <v>0.76313983529791463</v>
      </c>
      <c r="M3428" s="16">
        <v>6</v>
      </c>
    </row>
    <row r="3429" spans="1:13" x14ac:dyDescent="0.25">
      <c r="A3429" s="29">
        <v>46188</v>
      </c>
      <c r="B3429" s="16" t="s">
        <v>3475</v>
      </c>
      <c r="C3429" s="34">
        <v>1</v>
      </c>
      <c r="D3429" s="16" t="s">
        <v>60</v>
      </c>
      <c r="E3429" s="35">
        <v>3.1</v>
      </c>
      <c r="F3429" s="35">
        <v>2.4</v>
      </c>
      <c r="G3429" s="16" t="s">
        <v>44</v>
      </c>
      <c r="H3429" s="16" t="s">
        <v>45</v>
      </c>
      <c r="I3429" s="16">
        <f>COUNTIF(G$5:G3429,"Y")/COUNTA(G$5:G3429)</f>
        <v>0.88350364963503647</v>
      </c>
      <c r="J3429" s="16">
        <f>COUNTIF(H$5:H3429,"Y")/COUNTA(H$5:H3429)</f>
        <v>4.7883211678832117E-2</v>
      </c>
      <c r="K3429" s="16">
        <f>AVERAGE(F$5:F3429)</f>
        <v>2.2085255474452561</v>
      </c>
      <c r="L3429" s="16">
        <f>SUM(F$5:F3429)/SUM(E$5:E3429)</f>
        <v>0.76314329240609524</v>
      </c>
    </row>
    <row r="3430" spans="1:13" x14ac:dyDescent="0.25">
      <c r="A3430" s="29">
        <v>46189</v>
      </c>
      <c r="B3430" s="16" t="s">
        <v>3476</v>
      </c>
      <c r="C3430" s="34">
        <v>1</v>
      </c>
      <c r="D3430" s="16" t="s">
        <v>56</v>
      </c>
      <c r="E3430" s="35">
        <v>5.8</v>
      </c>
      <c r="F3430" s="35">
        <v>4</v>
      </c>
      <c r="G3430" s="16" t="s">
        <v>44</v>
      </c>
      <c r="H3430" s="16" t="s">
        <v>45</v>
      </c>
      <c r="I3430" s="16">
        <f>COUNTIF(G$5:G3430,"Y")/COUNTA(G$5:G3430)</f>
        <v>0.88353765323992994</v>
      </c>
      <c r="J3430" s="16">
        <f>COUNTIF(H$5:H3430,"Y")/COUNTA(H$5:H3430)</f>
        <v>4.7869235259778167E-2</v>
      </c>
      <c r="K3430" s="16">
        <f>AVERAGE(F$5:F3430)</f>
        <v>2.2090484530064218</v>
      </c>
      <c r="L3430" s="16">
        <f>SUM(F$5:F3430)/SUM(E$5:E3430)</f>
        <v>0.76310031559736391</v>
      </c>
    </row>
    <row r="3431" spans="1:13" x14ac:dyDescent="0.25">
      <c r="A3431" s="29">
        <v>46190</v>
      </c>
      <c r="B3431" s="16" t="s">
        <v>3477</v>
      </c>
      <c r="C3431" s="34">
        <v>1</v>
      </c>
      <c r="D3431" s="16" t="s">
        <v>64</v>
      </c>
      <c r="E3431" s="35">
        <v>2.9</v>
      </c>
      <c r="F3431" s="35">
        <v>2.2000000000000002</v>
      </c>
      <c r="G3431" s="16" t="s">
        <v>44</v>
      </c>
      <c r="H3431" s="16" t="s">
        <v>45</v>
      </c>
      <c r="I3431" s="16">
        <f>COUNTIF(G$5:G3431,"Y")/COUNTA(G$5:G3431)</f>
        <v>0.88357163700029184</v>
      </c>
      <c r="J3431" s="16">
        <f>COUNTIF(H$5:H3431,"Y")/COUNTA(H$5:H3431)</f>
        <v>4.7855266997373795E-2</v>
      </c>
      <c r="K3431" s="16">
        <f>AVERAGE(F$5:F3431)</f>
        <v>2.2090458126641384</v>
      </c>
      <c r="L3431" s="16">
        <f>SUM(F$5:F3431)/SUM(E$5:E3431)</f>
        <v>0.76309900610849912</v>
      </c>
    </row>
    <row r="3432" spans="1:13" x14ac:dyDescent="0.25">
      <c r="A3432" s="29">
        <v>46191</v>
      </c>
      <c r="B3432" s="16" t="s">
        <v>3478</v>
      </c>
      <c r="C3432" s="34">
        <v>1</v>
      </c>
      <c r="D3432" s="16" t="s">
        <v>64</v>
      </c>
      <c r="E3432" s="35">
        <v>4.5999999999999996</v>
      </c>
      <c r="F3432" s="35">
        <v>3.3</v>
      </c>
      <c r="G3432" s="16" t="s">
        <v>45</v>
      </c>
      <c r="H3432" s="16" t="s">
        <v>45</v>
      </c>
      <c r="I3432" s="16">
        <f>COUNTIF(G$5:G3432,"Y")/COUNTA(G$5:G3432)</f>
        <v>0.88331388564760793</v>
      </c>
      <c r="J3432" s="16">
        <f>COUNTIF(H$5:H3432,"Y")/COUNTA(H$5:H3432)</f>
        <v>4.7841306884480746E-2</v>
      </c>
      <c r="K3432" s="16">
        <f>AVERAGE(F$5:F3432)</f>
        <v>2.2093640606767799</v>
      </c>
      <c r="L3432" s="16">
        <f>SUM(F$5:F3432)/SUM(E$5:E3432)</f>
        <v>0.76307782210937569</v>
      </c>
    </row>
    <row r="3433" spans="1:13" x14ac:dyDescent="0.25">
      <c r="A3433" s="29">
        <v>46192</v>
      </c>
      <c r="B3433" s="16" t="s">
        <v>3479</v>
      </c>
      <c r="C3433" s="34">
        <v>1</v>
      </c>
      <c r="D3433" s="16" t="s">
        <v>52</v>
      </c>
      <c r="E3433" s="35">
        <v>4.4000000000000004</v>
      </c>
      <c r="F3433" s="35">
        <v>3.4</v>
      </c>
      <c r="G3433" s="16" t="s">
        <v>44</v>
      </c>
      <c r="H3433" s="16" t="s">
        <v>45</v>
      </c>
      <c r="I3433" s="16">
        <f>COUNTIF(G$5:G3433,"Y")/COUNTA(G$5:G3433)</f>
        <v>0.88334791484397779</v>
      </c>
      <c r="J3433" s="16">
        <f>COUNTIF(H$5:H3433,"Y")/COUNTA(H$5:H3433)</f>
        <v>4.782735491396909E-2</v>
      </c>
      <c r="K3433" s="16">
        <f>AVERAGE(F$5:F3433)</f>
        <v>2.2097112860892394</v>
      </c>
      <c r="L3433" s="16">
        <f>SUM(F$5:F3433)/SUM(E$5:E3433)</f>
        <v>0.76308209796970428</v>
      </c>
    </row>
    <row r="3434" spans="1:13" x14ac:dyDescent="0.25">
      <c r="A3434" s="29">
        <v>46188</v>
      </c>
      <c r="B3434" s="16" t="s">
        <v>3480</v>
      </c>
      <c r="C3434" s="34">
        <v>1</v>
      </c>
      <c r="D3434" s="16" t="s">
        <v>64</v>
      </c>
      <c r="E3434" s="35">
        <v>3.1</v>
      </c>
      <c r="F3434" s="35">
        <v>2.4</v>
      </c>
      <c r="G3434" s="16" t="s">
        <v>44</v>
      </c>
      <c r="H3434" s="16" t="s">
        <v>45</v>
      </c>
      <c r="I3434" s="16">
        <f>COUNTIF(G$5:G3434,"Y")/COUNTA(G$5:G3434)</f>
        <v>0.88338192419825068</v>
      </c>
      <c r="J3434" s="16">
        <f>COUNTIF(H$5:H3434,"Y")/COUNTA(H$5:H3434)</f>
        <v>4.78134110787172E-2</v>
      </c>
      <c r="K3434" s="16">
        <f>AVERAGE(F$5:F3434)</f>
        <v>2.2097667638483967</v>
      </c>
      <c r="L3434" s="16">
        <f>SUM(F$5:F3434)/SUM(E$5:E3434)</f>
        <v>0.7630855658582234</v>
      </c>
    </row>
    <row r="3435" spans="1:13" x14ac:dyDescent="0.25">
      <c r="A3435" s="29">
        <v>46189</v>
      </c>
      <c r="B3435" s="16" t="s">
        <v>3481</v>
      </c>
      <c r="C3435" s="34">
        <v>1</v>
      </c>
      <c r="D3435" s="16" t="s">
        <v>60</v>
      </c>
      <c r="E3435" s="35">
        <v>3.6</v>
      </c>
      <c r="F3435" s="35">
        <v>2.6</v>
      </c>
      <c r="G3435" s="16" t="s">
        <v>44</v>
      </c>
      <c r="H3435" s="16" t="s">
        <v>45</v>
      </c>
      <c r="I3435" s="16">
        <f>COUNTIF(G$5:G3435,"Y")/COUNTA(G$5:G3435)</f>
        <v>0.88341591372777617</v>
      </c>
      <c r="J3435" s="16">
        <f>COUNTIF(H$5:H3435,"Y")/COUNTA(H$5:H3435)</f>
        <v>4.7799475371611777E-2</v>
      </c>
      <c r="K3435" s="16">
        <f>AVERAGE(F$5:F3435)</f>
        <v>2.2098805013115714</v>
      </c>
      <c r="L3435" s="16">
        <f>SUM(F$5:F3435)/SUM(E$5:E3435)</f>
        <v>0.76307076074594926</v>
      </c>
    </row>
    <row r="3436" spans="1:13" x14ac:dyDescent="0.25">
      <c r="A3436" s="29">
        <v>46190</v>
      </c>
      <c r="B3436" s="16" t="s">
        <v>3482</v>
      </c>
      <c r="C3436" s="34">
        <v>1</v>
      </c>
      <c r="D3436" s="16" t="s">
        <v>60</v>
      </c>
      <c r="E3436" s="35">
        <v>2.4</v>
      </c>
      <c r="F3436" s="35">
        <v>1.8</v>
      </c>
      <c r="G3436" s="16" t="s">
        <v>44</v>
      </c>
      <c r="H3436" s="16" t="s">
        <v>45</v>
      </c>
      <c r="I3436" s="16">
        <f>COUNTIF(G$5:G3436,"Y")/COUNTA(G$5:G3436)</f>
        <v>0.8834498834498834</v>
      </c>
      <c r="J3436" s="16">
        <f>COUNTIF(H$5:H3436,"Y")/COUNTA(H$5:H3436)</f>
        <v>4.7785547785547784E-2</v>
      </c>
      <c r="K3436" s="16">
        <f>AVERAGE(F$5:F3436)</f>
        <v>2.2097610722610725</v>
      </c>
      <c r="L3436" s="16">
        <f>SUM(F$5:F3436)/SUM(E$5:E3436)</f>
        <v>0.76306760441506194</v>
      </c>
    </row>
    <row r="3437" spans="1:13" x14ac:dyDescent="0.25">
      <c r="A3437" s="29">
        <v>46191</v>
      </c>
      <c r="B3437" s="16" t="s">
        <v>3483</v>
      </c>
      <c r="C3437" s="34">
        <v>1</v>
      </c>
      <c r="D3437" s="16" t="s">
        <v>64</v>
      </c>
      <c r="E3437" s="35">
        <v>2.7</v>
      </c>
      <c r="F3437" s="35">
        <v>2.2000000000000002</v>
      </c>
      <c r="G3437" s="16" t="s">
        <v>44</v>
      </c>
      <c r="H3437" s="16" t="s">
        <v>45</v>
      </c>
      <c r="I3437" s="16">
        <f>COUNTIF(G$5:G3437,"Y")/COUNTA(G$5:G3437)</f>
        <v>0.88348383338188174</v>
      </c>
      <c r="J3437" s="16">
        <f>COUNTIF(H$5:H3437,"Y")/COUNTA(H$5:H3437)</f>
        <v>4.7771628313428488E-2</v>
      </c>
      <c r="K3437" s="16">
        <f>AVERAGE(F$5:F3437)</f>
        <v>2.2097582289542679</v>
      </c>
      <c r="L3437" s="16">
        <f>SUM(F$5:F3437)/SUM(E$5:E3437)</f>
        <v>0.7630816585189184</v>
      </c>
    </row>
    <row r="3438" spans="1:13" x14ac:dyDescent="0.25">
      <c r="A3438" s="29">
        <v>46192</v>
      </c>
      <c r="B3438" s="16" t="s">
        <v>3484</v>
      </c>
      <c r="C3438" s="34">
        <v>1</v>
      </c>
      <c r="D3438" s="16" t="s">
        <v>50</v>
      </c>
      <c r="E3438" s="35">
        <v>3.7</v>
      </c>
      <c r="F3438" s="35">
        <v>3</v>
      </c>
      <c r="G3438" s="16" t="s">
        <v>44</v>
      </c>
      <c r="H3438" s="16" t="s">
        <v>45</v>
      </c>
      <c r="I3438" s="16">
        <f>COUNTIF(G$5:G3438,"Y")/COUNTA(G$5:G3438)</f>
        <v>0.88351776354106004</v>
      </c>
      <c r="J3438" s="16">
        <f>COUNTIF(H$5:H3438,"Y")/COUNTA(H$5:H3438)</f>
        <v>4.7757716948165406E-2</v>
      </c>
      <c r="K3438" s="16">
        <f>AVERAGE(F$5:F3438)</f>
        <v>2.2099883517763543</v>
      </c>
      <c r="L3438" s="16">
        <f>SUM(F$5:F3438)/SUM(E$5:E3438)</f>
        <v>0.76309941579269935</v>
      </c>
    </row>
    <row r="3439" spans="1:13" x14ac:dyDescent="0.25">
      <c r="A3439" s="29">
        <v>46188</v>
      </c>
      <c r="B3439" s="16" t="s">
        <v>3485</v>
      </c>
      <c r="C3439" s="34">
        <v>1</v>
      </c>
      <c r="D3439" s="16" t="s">
        <v>52</v>
      </c>
      <c r="E3439" s="35">
        <v>2.8</v>
      </c>
      <c r="F3439" s="35">
        <v>2.2999999999999998</v>
      </c>
      <c r="G3439" s="16" t="s">
        <v>45</v>
      </c>
      <c r="H3439" s="16" t="s">
        <v>45</v>
      </c>
      <c r="I3439" s="16">
        <f>COUNTIF(G$5:G3439,"Y")/COUNTA(G$5:G3439)</f>
        <v>0.88326055312954876</v>
      </c>
      <c r="J3439" s="16">
        <f>COUNTIF(H$5:H3439,"Y")/COUNTA(H$5:H3439)</f>
        <v>4.7743813682678313E-2</v>
      </c>
      <c r="K3439" s="16">
        <f>AVERAGE(F$5:F3439)</f>
        <v>2.2100145560407571</v>
      </c>
      <c r="L3439" s="16">
        <f>SUM(F$5:F3439)/SUM(E$5:E3439)</f>
        <v>0.76311583349249346</v>
      </c>
    </row>
    <row r="3440" spans="1:13" x14ac:dyDescent="0.25">
      <c r="A3440" s="29">
        <v>46189</v>
      </c>
      <c r="B3440" s="16" t="s">
        <v>3486</v>
      </c>
      <c r="C3440" s="34">
        <v>1</v>
      </c>
      <c r="D3440" s="16" t="s">
        <v>60</v>
      </c>
      <c r="E3440" s="35">
        <v>2.5</v>
      </c>
      <c r="F3440" s="35">
        <v>2.1</v>
      </c>
      <c r="G3440" s="16" t="s">
        <v>45</v>
      </c>
      <c r="H3440" s="16" t="s">
        <v>45</v>
      </c>
      <c r="I3440" s="16">
        <f>COUNTIF(G$5:G3440,"Y")/COUNTA(G$5:G3440)</f>
        <v>0.88300349243306175</v>
      </c>
      <c r="J3440" s="16">
        <f>COUNTIF(H$5:H3440,"Y")/COUNTA(H$5:H3440)</f>
        <v>4.7729918509895226E-2</v>
      </c>
      <c r="K3440" s="16">
        <f>AVERAGE(F$5:F3440)</f>
        <v>2.209982537834692</v>
      </c>
      <c r="L3440" s="16">
        <f>SUM(F$5:F3440)/SUM(E$5:E3440)</f>
        <v>0.76313515034571233</v>
      </c>
    </row>
    <row r="3441" spans="1:12" x14ac:dyDescent="0.25">
      <c r="A3441" s="29">
        <v>46190</v>
      </c>
      <c r="B3441" s="16" t="s">
        <v>3487</v>
      </c>
      <c r="C3441" s="34">
        <v>1</v>
      </c>
      <c r="D3441" s="16" t="s">
        <v>52</v>
      </c>
      <c r="E3441" s="35">
        <v>1.5</v>
      </c>
      <c r="F3441" s="35">
        <v>1.2</v>
      </c>
      <c r="G3441" s="16" t="s">
        <v>44</v>
      </c>
      <c r="H3441" s="16" t="s">
        <v>45</v>
      </c>
      <c r="I3441" s="16">
        <f>COUNTIF(G$5:G3441,"Y")/COUNTA(G$5:G3441)</f>
        <v>0.88303753273203378</v>
      </c>
      <c r="J3441" s="16">
        <f>COUNTIF(H$5:H3441,"Y")/COUNTA(H$5:H3441)</f>
        <v>4.7716031422752402E-2</v>
      </c>
      <c r="K3441" s="16">
        <f>AVERAGE(F$5:F3441)</f>
        <v>2.2096886819901083</v>
      </c>
      <c r="L3441" s="16">
        <f>SUM(F$5:F3441)/SUM(E$5:E3441)</f>
        <v>0.76314070679970414</v>
      </c>
    </row>
    <row r="3442" spans="1:12" x14ac:dyDescent="0.25">
      <c r="A3442" s="29">
        <v>46191</v>
      </c>
      <c r="B3442" s="16" t="s">
        <v>3488</v>
      </c>
      <c r="C3442" s="34">
        <v>1</v>
      </c>
      <c r="D3442" s="16" t="s">
        <v>56</v>
      </c>
      <c r="E3442" s="35">
        <v>3.6</v>
      </c>
      <c r="F3442" s="35">
        <v>3.1</v>
      </c>
      <c r="G3442" s="16" t="s">
        <v>44</v>
      </c>
      <c r="H3442" s="16" t="s">
        <v>45</v>
      </c>
      <c r="I3442" s="16">
        <f>COUNTIF(G$5:G3442,"Y")/COUNTA(G$5:G3442)</f>
        <v>0.8830715532286213</v>
      </c>
      <c r="J3442" s="16">
        <f>COUNTIF(H$5:H3442,"Y")/COUNTA(H$5:H3442)</f>
        <v>4.7702152414194302E-2</v>
      </c>
      <c r="K3442" s="16">
        <f>AVERAGE(F$5:F3442)</f>
        <v>2.2099476439790582</v>
      </c>
      <c r="L3442" s="16">
        <f>SUM(F$5:F3442)/SUM(E$5:E3442)</f>
        <v>0.76317613379538707</v>
      </c>
    </row>
    <row r="3443" spans="1:12" x14ac:dyDescent="0.25">
      <c r="A3443" s="29">
        <v>46192</v>
      </c>
      <c r="B3443" s="16" t="s">
        <v>3489</v>
      </c>
      <c r="C3443" s="34">
        <v>1</v>
      </c>
      <c r="D3443" s="16" t="s">
        <v>56</v>
      </c>
      <c r="E3443" s="35">
        <v>5.2</v>
      </c>
      <c r="F3443" s="35">
        <v>3.7</v>
      </c>
      <c r="G3443" s="16" t="s">
        <v>44</v>
      </c>
      <c r="H3443" s="16" t="s">
        <v>45</v>
      </c>
      <c r="I3443" s="16">
        <f>COUNTIF(G$5:G3443,"Y")/COUNTA(G$5:G3443)</f>
        <v>0.88310555394009882</v>
      </c>
      <c r="J3443" s="16">
        <f>COUNTIF(H$5:H3443,"Y")/COUNTA(H$5:H3443)</f>
        <v>4.7688281477173598E-2</v>
      </c>
      <c r="K3443" s="16">
        <f>AVERAGE(F$5:F3443)</f>
        <v>2.2103809246874095</v>
      </c>
      <c r="L3443" s="16">
        <f>SUM(F$5:F3443)/SUM(E$5:E3443)</f>
        <v>0.76314917626270995</v>
      </c>
    </row>
    <row r="3444" spans="1:12" x14ac:dyDescent="0.25">
      <c r="A3444" s="29">
        <v>46188</v>
      </c>
      <c r="B3444" s="16" t="s">
        <v>3490</v>
      </c>
      <c r="C3444" s="34">
        <v>1</v>
      </c>
      <c r="D3444" s="16" t="s">
        <v>52</v>
      </c>
      <c r="E3444" s="35">
        <v>4.5999999999999996</v>
      </c>
      <c r="F3444" s="35">
        <v>3.4</v>
      </c>
      <c r="G3444" s="16" t="s">
        <v>44</v>
      </c>
      <c r="H3444" s="16" t="s">
        <v>45</v>
      </c>
      <c r="I3444" s="16">
        <f>COUNTIF(G$5:G3444,"Y")/COUNTA(G$5:G3444)</f>
        <v>0.88313953488372088</v>
      </c>
      <c r="J3444" s="16">
        <f>COUNTIF(H$5:H3444,"Y")/COUNTA(H$5:H3444)</f>
        <v>4.7674418604651166E-2</v>
      </c>
      <c r="K3444" s="16">
        <f>AVERAGE(F$5:F3444)</f>
        <v>2.2107267441860468</v>
      </c>
      <c r="L3444" s="16">
        <f>SUM(F$5:F3444)/SUM(E$5:E3444)</f>
        <v>0.76313808916941528</v>
      </c>
    </row>
    <row r="3445" spans="1:12" x14ac:dyDescent="0.25">
      <c r="A3445" s="29">
        <v>46189</v>
      </c>
      <c r="B3445" s="16" t="s">
        <v>3491</v>
      </c>
      <c r="C3445" s="34">
        <v>1</v>
      </c>
      <c r="D3445" s="16" t="s">
        <v>47</v>
      </c>
      <c r="E3445" s="35">
        <v>2.5</v>
      </c>
      <c r="F3445" s="35">
        <v>2.1</v>
      </c>
      <c r="G3445" s="16" t="s">
        <v>44</v>
      </c>
      <c r="H3445" s="16" t="s">
        <v>45</v>
      </c>
      <c r="I3445" s="16">
        <f>COUNTIF(G$5:G3445,"Y")/COUNTA(G$5:G3445)</f>
        <v>0.88317349607672191</v>
      </c>
      <c r="J3445" s="16">
        <f>COUNTIF(H$5:H3445,"Y")/COUNTA(H$5:H3445)</f>
        <v>4.7660563789596044E-2</v>
      </c>
      <c r="K3445" s="16">
        <f>AVERAGE(F$5:F3445)</f>
        <v>2.2106945655332759</v>
      </c>
      <c r="L3445" s="16">
        <f>SUM(F$5:F3445)/SUM(E$5:E3445)</f>
        <v>0.76315736672083856</v>
      </c>
    </row>
    <row r="3446" spans="1:12" x14ac:dyDescent="0.25">
      <c r="A3446" s="29">
        <v>46190</v>
      </c>
      <c r="B3446" s="16" t="s">
        <v>3492</v>
      </c>
      <c r="C3446" s="34">
        <v>1</v>
      </c>
      <c r="D3446" s="16" t="s">
        <v>43</v>
      </c>
      <c r="E3446" s="35">
        <v>1.4</v>
      </c>
      <c r="F3446" s="35">
        <v>1.2</v>
      </c>
      <c r="G3446" s="16" t="s">
        <v>44</v>
      </c>
      <c r="H3446" s="16" t="s">
        <v>45</v>
      </c>
      <c r="I3446" s="16">
        <f>COUNTIF(G$5:G3446,"Y")/COUNTA(G$5:G3446)</f>
        <v>0.88320743753631614</v>
      </c>
      <c r="J3446" s="16">
        <f>COUNTIF(H$5:H3446,"Y")/COUNTA(H$5:H3446)</f>
        <v>4.764671702498547E-2</v>
      </c>
      <c r="K3446" s="16">
        <f>AVERAGE(F$5:F3446)</f>
        <v>2.2104009296920402</v>
      </c>
      <c r="L3446" s="16">
        <f>SUM(F$5:F3446)/SUM(E$5:E3446)</f>
        <v>0.7631705653412485</v>
      </c>
    </row>
    <row r="3447" spans="1:12" x14ac:dyDescent="0.25">
      <c r="A3447" s="29">
        <v>46191</v>
      </c>
      <c r="B3447" s="16" t="s">
        <v>3493</v>
      </c>
      <c r="C3447" s="34">
        <v>1</v>
      </c>
      <c r="D3447" s="16" t="s">
        <v>43</v>
      </c>
      <c r="E3447" s="35">
        <v>3.2</v>
      </c>
      <c r="F3447" s="35">
        <v>2.5</v>
      </c>
      <c r="G3447" s="16" t="s">
        <v>44</v>
      </c>
      <c r="H3447" s="16" t="s">
        <v>45</v>
      </c>
      <c r="I3447" s="16">
        <f>COUNTIF(G$5:G3447,"Y")/COUNTA(G$5:G3447)</f>
        <v>0.88324135927969794</v>
      </c>
      <c r="J3447" s="16">
        <f>COUNTIF(H$5:H3447,"Y")/COUNTA(H$5:H3447)</f>
        <v>4.7632878303804818E-2</v>
      </c>
      <c r="K3447" s="16">
        <f>AVERAGE(F$5:F3447)</f>
        <v>2.2104850421144357</v>
      </c>
      <c r="L3447" s="16">
        <f>SUM(F$5:F3447)/SUM(E$5:E3447)</f>
        <v>0.76317636677228895</v>
      </c>
    </row>
    <row r="3448" spans="1:12" x14ac:dyDescent="0.25">
      <c r="A3448" s="29">
        <v>46192</v>
      </c>
      <c r="B3448" s="16" t="s">
        <v>3494</v>
      </c>
      <c r="C3448" s="34">
        <v>1</v>
      </c>
      <c r="D3448" s="16" t="s">
        <v>50</v>
      </c>
      <c r="E3448" s="35">
        <v>3.2</v>
      </c>
      <c r="F3448" s="35">
        <v>2.5</v>
      </c>
      <c r="G3448" s="16" t="s">
        <v>44</v>
      </c>
      <c r="H3448" s="16" t="s">
        <v>45</v>
      </c>
      <c r="I3448" s="16">
        <f>COUNTIF(G$5:G3448,"Y")/COUNTA(G$5:G3448)</f>
        <v>0.88327526132404177</v>
      </c>
      <c r="J3448" s="16">
        <f>COUNTIF(H$5:H3448,"Y")/COUNTA(H$5:H3448)</f>
        <v>4.7619047619047616E-2</v>
      </c>
      <c r="K3448" s="16">
        <f>AVERAGE(F$5:F3448)</f>
        <v>2.2105691056910572</v>
      </c>
      <c r="L3448" s="16">
        <f>SUM(F$5:F3448)/SUM(E$5:E3448)</f>
        <v>0.7631821644813318</v>
      </c>
    </row>
    <row r="3449" spans="1:12" x14ac:dyDescent="0.25">
      <c r="A3449" s="29">
        <v>46188</v>
      </c>
      <c r="B3449" s="16" t="s">
        <v>3495</v>
      </c>
      <c r="C3449" s="34">
        <v>1</v>
      </c>
      <c r="D3449" s="16" t="s">
        <v>50</v>
      </c>
      <c r="E3449" s="35">
        <v>4.8</v>
      </c>
      <c r="F3449" s="35">
        <v>3.8</v>
      </c>
      <c r="G3449" s="16" t="s">
        <v>44</v>
      </c>
      <c r="H3449" s="16" t="s">
        <v>45</v>
      </c>
      <c r="I3449" s="16">
        <f>COUNTIF(G$5:G3449,"Y")/COUNTA(G$5:G3449)</f>
        <v>0.88330914368650215</v>
      </c>
      <c r="J3449" s="16">
        <f>COUNTIF(H$5:H3449,"Y")/COUNTA(H$5:H3449)</f>
        <v>4.7605224963715533E-2</v>
      </c>
      <c r="K3449" s="16">
        <f>AVERAGE(F$5:F3449)</f>
        <v>2.2110304789550077</v>
      </c>
      <c r="L3449" s="16">
        <f>SUM(F$5:F3449)/SUM(E$5:E3449)</f>
        <v>0.76319586389322813</v>
      </c>
    </row>
    <row r="3450" spans="1:12" x14ac:dyDescent="0.25">
      <c r="A3450" s="29">
        <v>46189</v>
      </c>
      <c r="B3450" s="16" t="s">
        <v>3496</v>
      </c>
      <c r="C3450" s="34">
        <v>1</v>
      </c>
      <c r="D3450" s="16" t="s">
        <v>60</v>
      </c>
      <c r="E3450" s="35">
        <v>2.7</v>
      </c>
      <c r="F3450" s="35">
        <v>2.4</v>
      </c>
      <c r="G3450" s="16" t="s">
        <v>44</v>
      </c>
      <c r="H3450" s="16" t="s">
        <v>45</v>
      </c>
      <c r="I3450" s="16">
        <f>COUNTIF(G$5:G3450,"Y")/COUNTA(G$5:G3450)</f>
        <v>0.88334300638421359</v>
      </c>
      <c r="J3450" s="16">
        <f>COUNTIF(H$5:H3450,"Y")/COUNTA(H$5:H3450)</f>
        <v>4.7591410330818339E-2</v>
      </c>
      <c r="K3450" s="16">
        <f>AVERAGE(F$5:F3450)</f>
        <v>2.2110853163087643</v>
      </c>
      <c r="L3450" s="16">
        <f>SUM(F$5:F3450)/SUM(E$5:E3450)</f>
        <v>0.76322985846079605</v>
      </c>
    </row>
    <row r="3451" spans="1:12" x14ac:dyDescent="0.25">
      <c r="A3451" s="29">
        <v>46190</v>
      </c>
      <c r="B3451" s="16" t="s">
        <v>3497</v>
      </c>
      <c r="C3451" s="34">
        <v>1</v>
      </c>
      <c r="D3451" s="16" t="s">
        <v>50</v>
      </c>
      <c r="E3451" s="35">
        <v>5.7</v>
      </c>
      <c r="F3451" s="35">
        <v>4</v>
      </c>
      <c r="G3451" s="16" t="s">
        <v>45</v>
      </c>
      <c r="H3451" s="16" t="s">
        <v>45</v>
      </c>
      <c r="I3451" s="16">
        <f>COUNTIF(G$5:G3451,"Y")/COUNTA(G$5:G3451)</f>
        <v>0.88308674209457494</v>
      </c>
      <c r="J3451" s="16">
        <f>COUNTIF(H$5:H3451,"Y")/COUNTA(H$5:H3451)</f>
        <v>4.7577603713373946E-2</v>
      </c>
      <c r="K3451" s="16">
        <f>AVERAGE(F$5:F3451)</f>
        <v>2.2116042935886284</v>
      </c>
      <c r="L3451" s="16">
        <f>SUM(F$5:F3451)/SUM(E$5:E3451)</f>
        <v>0.76319477815152703</v>
      </c>
    </row>
    <row r="3452" spans="1:12" x14ac:dyDescent="0.25">
      <c r="A3452" s="29">
        <v>46191</v>
      </c>
      <c r="B3452" s="16" t="s">
        <v>3498</v>
      </c>
      <c r="C3452" s="34">
        <v>1</v>
      </c>
      <c r="D3452" s="16" t="s">
        <v>43</v>
      </c>
      <c r="E3452" s="35">
        <v>4.7</v>
      </c>
      <c r="F3452" s="35">
        <v>3.9</v>
      </c>
      <c r="G3452" s="16" t="s">
        <v>44</v>
      </c>
      <c r="H3452" s="16" t="s">
        <v>45</v>
      </c>
      <c r="I3452" s="16">
        <f>COUNTIF(G$5:G3452,"Y")/COUNTA(G$5:G3452)</f>
        <v>0.88312064965197212</v>
      </c>
      <c r="J3452" s="16">
        <f>COUNTIF(H$5:H3452,"Y")/COUNTA(H$5:H3452)</f>
        <v>4.7563805104408351E-2</v>
      </c>
      <c r="K3452" s="16">
        <f>AVERAGE(F$5:F3452)</f>
        <v>2.2120939675174016</v>
      </c>
      <c r="L3452" s="16">
        <f>SUM(F$5:F3452)/SUM(E$5:E3452)</f>
        <v>0.76322609696302313</v>
      </c>
    </row>
    <row r="3453" spans="1:12" x14ac:dyDescent="0.25">
      <c r="A3453" s="29">
        <v>46192</v>
      </c>
      <c r="B3453" s="16" t="s">
        <v>3499</v>
      </c>
      <c r="C3453" s="34">
        <v>1</v>
      </c>
      <c r="D3453" s="16" t="s">
        <v>64</v>
      </c>
      <c r="E3453" s="35">
        <v>1.7</v>
      </c>
      <c r="F3453" s="35">
        <v>1.3</v>
      </c>
      <c r="G3453" s="16" t="s">
        <v>45</v>
      </c>
      <c r="H3453" s="16" t="s">
        <v>45</v>
      </c>
      <c r="I3453" s="16">
        <f>COUNTIF(G$5:G3453,"Y")/COUNTA(G$5:G3453)</f>
        <v>0.88286459843432874</v>
      </c>
      <c r="J3453" s="16">
        <f>COUNTIF(H$5:H3453,"Y")/COUNTA(H$5:H3453)</f>
        <v>4.7550014496955638E-2</v>
      </c>
      <c r="K3453" s="16">
        <f>AVERAGE(F$5:F3453)</f>
        <v>2.2118295158016821</v>
      </c>
      <c r="L3453" s="16">
        <f>SUM(F$5:F3453)/SUM(E$5:E3453)</f>
        <v>0.76322634864734784</v>
      </c>
    </row>
    <row r="3454" spans="1:12" x14ac:dyDescent="0.25">
      <c r="A3454" s="29">
        <v>46188</v>
      </c>
      <c r="B3454" s="16" t="s">
        <v>3500</v>
      </c>
      <c r="C3454" s="34">
        <v>1</v>
      </c>
      <c r="D3454" s="16" t="s">
        <v>43</v>
      </c>
      <c r="E3454" s="35">
        <v>3.1</v>
      </c>
      <c r="F3454" s="35">
        <v>2.2999999999999998</v>
      </c>
      <c r="G3454" s="16" t="s">
        <v>44</v>
      </c>
      <c r="H3454" s="16" t="s">
        <v>44</v>
      </c>
      <c r="I3454" s="16">
        <f>COUNTIF(G$5:G3454,"Y")/COUNTA(G$5:G3454)</f>
        <v>0.88289855072463763</v>
      </c>
      <c r="J3454" s="16">
        <f>COUNTIF(H$5:H3454,"Y")/COUNTA(H$5:H3454)</f>
        <v>4.7826086956521741E-2</v>
      </c>
      <c r="K3454" s="16">
        <f>AVERAGE(F$5:F3454)</f>
        <v>2.2118550724637687</v>
      </c>
      <c r="L3454" s="16">
        <f>SUM(F$5:F3454)/SUM(E$5:E3454)</f>
        <v>0.7632197473570479</v>
      </c>
    </row>
    <row r="3455" spans="1:12" x14ac:dyDescent="0.25">
      <c r="A3455" s="29">
        <v>46189</v>
      </c>
      <c r="B3455" s="16" t="s">
        <v>3501</v>
      </c>
      <c r="C3455" s="34">
        <v>1</v>
      </c>
      <c r="D3455" s="16" t="s">
        <v>47</v>
      </c>
      <c r="E3455" s="35">
        <v>3.2</v>
      </c>
      <c r="F3455" s="35">
        <v>2.4</v>
      </c>
      <c r="G3455" s="16" t="s">
        <v>44</v>
      </c>
      <c r="H3455" s="16" t="s">
        <v>45</v>
      </c>
      <c r="I3455" s="16">
        <f>COUNTIF(G$5:G3455,"Y")/COUNTA(G$5:G3455)</f>
        <v>0.88293248333816288</v>
      </c>
      <c r="J3455" s="16">
        <f>COUNTIF(H$5:H3455,"Y")/COUNTA(H$5:H3455)</f>
        <v>4.7812228339611705E-2</v>
      </c>
      <c r="K3455" s="16">
        <f>AVERAGE(F$5:F3455)</f>
        <v>2.2119095914227764</v>
      </c>
      <c r="L3455" s="16">
        <f>SUM(F$5:F3455)/SUM(E$5:E3455)</f>
        <v>0.76321551767234619</v>
      </c>
    </row>
    <row r="3456" spans="1:12" x14ac:dyDescent="0.25">
      <c r="A3456" s="29">
        <v>46190</v>
      </c>
      <c r="B3456" s="16" t="s">
        <v>3502</v>
      </c>
      <c r="C3456" s="34">
        <v>1</v>
      </c>
      <c r="D3456" s="16" t="s">
        <v>60</v>
      </c>
      <c r="E3456" s="35">
        <v>2.8</v>
      </c>
      <c r="F3456" s="35">
        <v>2.2000000000000002</v>
      </c>
      <c r="G3456" s="16" t="s">
        <v>44</v>
      </c>
      <c r="H3456" s="16" t="s">
        <v>45</v>
      </c>
      <c r="I3456" s="16">
        <f>COUNTIF(G$5:G3456,"Y")/COUNTA(G$5:G3456)</f>
        <v>0.88296639629200468</v>
      </c>
      <c r="J3456" s="16">
        <f>COUNTIF(H$5:H3456,"Y")/COUNTA(H$5:H3456)</f>
        <v>4.7798377752027811E-2</v>
      </c>
      <c r="K3456" s="16">
        <f>AVERAGE(F$5:F3456)</f>
        <v>2.2119061413673236</v>
      </c>
      <c r="L3456" s="16">
        <f>SUM(F$5:F3456)/SUM(E$5:E3456)</f>
        <v>0.76322181461971061</v>
      </c>
    </row>
    <row r="3457" spans="1:13" x14ac:dyDescent="0.25">
      <c r="A3457" s="29">
        <v>46191</v>
      </c>
      <c r="B3457" s="16" t="s">
        <v>3503</v>
      </c>
      <c r="C3457" s="34">
        <v>1</v>
      </c>
      <c r="D3457" s="16" t="s">
        <v>50</v>
      </c>
      <c r="E3457" s="35">
        <v>3.8</v>
      </c>
      <c r="F3457" s="35">
        <v>2.6</v>
      </c>
      <c r="G3457" s="16" t="s">
        <v>44</v>
      </c>
      <c r="H3457" s="16" t="s">
        <v>44</v>
      </c>
      <c r="I3457" s="16">
        <f>COUNTIF(G$5:G3457,"Y")/COUNTA(G$5:G3457)</f>
        <v>0.8830002896032435</v>
      </c>
      <c r="J3457" s="16">
        <f>COUNTIF(H$5:H3457,"Y")/COUNTA(H$5:H3457)</f>
        <v>4.8074138430350417E-2</v>
      </c>
      <c r="K3457" s="16">
        <f>AVERAGE(F$5:F3457)</f>
        <v>2.212018534607588</v>
      </c>
      <c r="L3457" s="16">
        <f>SUM(F$5:F3457)/SUM(E$5:E3457)</f>
        <v>0.76319181463014674</v>
      </c>
    </row>
    <row r="3458" spans="1:13" x14ac:dyDescent="0.25">
      <c r="A3458" s="29">
        <v>46192</v>
      </c>
      <c r="B3458" s="16" t="s">
        <v>3504</v>
      </c>
      <c r="C3458" s="34">
        <v>1</v>
      </c>
      <c r="D3458" s="16" t="s">
        <v>52</v>
      </c>
      <c r="E3458" s="35">
        <v>4.7</v>
      </c>
      <c r="F3458" s="35">
        <v>3.7</v>
      </c>
      <c r="G3458" s="16" t="s">
        <v>44</v>
      </c>
      <c r="H3458" s="16" t="s">
        <v>45</v>
      </c>
      <c r="I3458" s="16">
        <f>COUNTIF(G$5:G3458,"Y")/COUNTA(G$5:G3458)</f>
        <v>0.88303416328894035</v>
      </c>
      <c r="J3458" s="16">
        <f>COUNTIF(H$5:H3458,"Y")/COUNTA(H$5:H3458)</f>
        <v>4.8060220034742328E-2</v>
      </c>
      <c r="K3458" s="16">
        <f>AVERAGE(F$5:F3458)</f>
        <v>2.2124493341053855</v>
      </c>
      <c r="L3458" s="16">
        <f>SUM(F$5:F3458)/SUM(E$5:E3458)</f>
        <v>0.76320310003195624</v>
      </c>
    </row>
    <row r="3459" spans="1:13" x14ac:dyDescent="0.25">
      <c r="A3459" s="29">
        <v>46188</v>
      </c>
      <c r="B3459" s="16" t="s">
        <v>3505</v>
      </c>
      <c r="C3459" s="34">
        <v>1</v>
      </c>
      <c r="D3459" s="16" t="s">
        <v>52</v>
      </c>
      <c r="E3459" s="35">
        <v>2.6</v>
      </c>
      <c r="F3459" s="35">
        <v>2.2000000000000002</v>
      </c>
      <c r="G3459" s="16" t="s">
        <v>44</v>
      </c>
      <c r="H3459" s="16" t="s">
        <v>45</v>
      </c>
      <c r="I3459" s="16">
        <f>COUNTIF(G$5:G3459,"Y")/COUNTA(G$5:G3459)</f>
        <v>0.88306801736613605</v>
      </c>
      <c r="J3459" s="16">
        <f>COUNTIF(H$5:H3459,"Y")/COUNTA(H$5:H3459)</f>
        <v>4.8046309696092616E-2</v>
      </c>
      <c r="K3459" s="16">
        <f>AVERAGE(F$5:F3459)</f>
        <v>2.2124457308248919</v>
      </c>
      <c r="L3459" s="16">
        <f>SUM(F$5:F3459)/SUM(E$5:E3459)</f>
        <v>0.76322463406353924</v>
      </c>
    </row>
    <row r="3460" spans="1:13" x14ac:dyDescent="0.25">
      <c r="A3460" s="29">
        <v>46189</v>
      </c>
      <c r="B3460" s="16" t="s">
        <v>3506</v>
      </c>
      <c r="C3460" s="34">
        <v>1</v>
      </c>
      <c r="D3460" s="16" t="s">
        <v>50</v>
      </c>
      <c r="E3460" s="35">
        <v>4.5</v>
      </c>
      <c r="F3460" s="35">
        <v>3.9</v>
      </c>
      <c r="G3460" s="16" t="s">
        <v>44</v>
      </c>
      <c r="H3460" s="16" t="s">
        <v>45</v>
      </c>
      <c r="I3460" s="16">
        <f>COUNTIF(G$5:G3460,"Y")/COUNTA(G$5:G3460)</f>
        <v>0.88310185185185186</v>
      </c>
      <c r="J3460" s="16">
        <f>COUNTIF(H$5:H3460,"Y")/COUNTA(H$5:H3460)</f>
        <v>4.8032407407407406E-2</v>
      </c>
      <c r="K3460" s="16">
        <f>AVERAGE(F$5:F3460)</f>
        <v>2.212934027777778</v>
      </c>
      <c r="L3460" s="16">
        <f>SUM(F$5:F3460)/SUM(E$5:E3460)</f>
        <v>0.76327109052984266</v>
      </c>
    </row>
    <row r="3461" spans="1:13" x14ac:dyDescent="0.25">
      <c r="A3461" s="29">
        <v>46190</v>
      </c>
      <c r="B3461" s="16" t="s">
        <v>3507</v>
      </c>
      <c r="C3461" s="34">
        <v>1</v>
      </c>
      <c r="D3461" s="16" t="s">
        <v>47</v>
      </c>
      <c r="E3461" s="35">
        <v>0.7</v>
      </c>
      <c r="F3461" s="35">
        <v>0.6</v>
      </c>
      <c r="G3461" s="16" t="s">
        <v>44</v>
      </c>
      <c r="H3461" s="16" t="s">
        <v>45</v>
      </c>
      <c r="I3461" s="16">
        <f>COUNTIF(G$5:G3461,"Y")/COUNTA(G$5:G3461)</f>
        <v>0.88313566676308941</v>
      </c>
      <c r="J3461" s="16">
        <f>COUNTIF(H$5:H3461,"Y")/COUNTA(H$5:H3461)</f>
        <v>4.8018513161700895E-2</v>
      </c>
      <c r="K3461" s="16">
        <f>AVERAGE(F$5:F3461)</f>
        <v>2.2124674573329477</v>
      </c>
      <c r="L3461" s="16">
        <f>SUM(F$5:F3461)/SUM(E$5:E3461)</f>
        <v>0.76327764804502429</v>
      </c>
    </row>
    <row r="3462" spans="1:13" x14ac:dyDescent="0.25">
      <c r="A3462" s="29">
        <v>46191</v>
      </c>
      <c r="B3462" s="16" t="s">
        <v>3508</v>
      </c>
      <c r="C3462" s="34">
        <v>1</v>
      </c>
      <c r="D3462" s="16" t="s">
        <v>52</v>
      </c>
      <c r="E3462" s="35">
        <v>0.6</v>
      </c>
      <c r="F3462" s="35">
        <v>0.5</v>
      </c>
      <c r="G3462" s="16" t="s">
        <v>44</v>
      </c>
      <c r="H3462" s="16" t="s">
        <v>45</v>
      </c>
      <c r="I3462" s="16">
        <f>COUNTIF(G$5:G3462,"Y")/COUNTA(G$5:G3462)</f>
        <v>0.88316946211683056</v>
      </c>
      <c r="J3462" s="16">
        <f>COUNTIF(H$5:H3462,"Y")/COUNTA(H$5:H3462)</f>
        <v>4.8004626951995373E-2</v>
      </c>
      <c r="K3462" s="16">
        <f>AVERAGE(F$5:F3462)</f>
        <v>2.2119722382880278</v>
      </c>
      <c r="L3462" s="16">
        <f>SUM(F$5:F3462)/SUM(E$5:E3462)</f>
        <v>0.76328184249390985</v>
      </c>
    </row>
    <row r="3463" spans="1:13" x14ac:dyDescent="0.25">
      <c r="A3463" s="29">
        <v>46192</v>
      </c>
      <c r="B3463" s="16" t="s">
        <v>3509</v>
      </c>
      <c r="C3463" s="34">
        <v>1</v>
      </c>
      <c r="D3463" s="16" t="s">
        <v>56</v>
      </c>
      <c r="E3463" s="35">
        <v>0.6</v>
      </c>
      <c r="F3463" s="35">
        <v>0.5</v>
      </c>
      <c r="G3463" s="16" t="s">
        <v>44</v>
      </c>
      <c r="H3463" s="16" t="s">
        <v>45</v>
      </c>
      <c r="I3463" s="16">
        <f>COUNTIF(G$5:G3463,"Y")/COUNTA(G$5:G3463)</f>
        <v>0.88320323793003763</v>
      </c>
      <c r="J3463" s="16">
        <f>COUNTIF(H$5:H3463,"Y")/COUNTA(H$5:H3463)</f>
        <v>4.7990748771321194E-2</v>
      </c>
      <c r="K3463" s="16">
        <f>AVERAGE(F$5:F3463)</f>
        <v>2.2114773055796477</v>
      </c>
      <c r="L3463" s="16">
        <f>SUM(F$5:F3463)/SUM(E$5:E3463)</f>
        <v>0.76328603644055659</v>
      </c>
    </row>
    <row r="3464" spans="1:13" x14ac:dyDescent="0.25">
      <c r="A3464" s="29">
        <v>46188</v>
      </c>
      <c r="B3464" s="16" t="s">
        <v>3510</v>
      </c>
      <c r="C3464" s="34">
        <v>1</v>
      </c>
      <c r="D3464" s="16" t="s">
        <v>60</v>
      </c>
      <c r="E3464" s="35">
        <v>0.5</v>
      </c>
      <c r="F3464" s="35">
        <v>0.5</v>
      </c>
      <c r="G3464" s="16" t="s">
        <v>44</v>
      </c>
      <c r="H3464" s="16" t="s">
        <v>45</v>
      </c>
      <c r="I3464" s="16">
        <f>COUNTIF(G$5:G3464,"Y")/COUNTA(G$5:G3464)</f>
        <v>0.88323699421965318</v>
      </c>
      <c r="J3464" s="16">
        <f>COUNTIF(H$5:H3464,"Y")/COUNTA(H$5:H3464)</f>
        <v>4.797687861271676E-2</v>
      </c>
      <c r="K3464" s="16">
        <f>AVERAGE(F$5:F3464)</f>
        <v>2.210982658959538</v>
      </c>
      <c r="L3464" s="16">
        <f>SUM(F$5:F3464)/SUM(E$5:E3464)</f>
        <v>0.7632978458038544</v>
      </c>
    </row>
    <row r="3465" spans="1:13" x14ac:dyDescent="0.25">
      <c r="A3465" s="29">
        <v>46189</v>
      </c>
      <c r="B3465" s="16" t="s">
        <v>3511</v>
      </c>
      <c r="C3465" s="34">
        <v>1</v>
      </c>
      <c r="D3465" s="16" t="s">
        <v>56</v>
      </c>
      <c r="E3465" s="35">
        <v>0.6</v>
      </c>
      <c r="F3465" s="35">
        <v>0.5</v>
      </c>
      <c r="G3465" s="16" t="s">
        <v>44</v>
      </c>
      <c r="H3465" s="16" t="s">
        <v>45</v>
      </c>
      <c r="I3465" s="16">
        <f>COUNTIF(G$5:G3465,"Y")/COUNTA(G$5:G3465)</f>
        <v>0.88327073100260045</v>
      </c>
      <c r="J3465" s="16">
        <f>COUNTIF(H$5:H3465,"Y")/COUNTA(H$5:H3465)</f>
        <v>4.7963016469228549E-2</v>
      </c>
      <c r="K3465" s="16">
        <f>AVERAGE(F$5:F3465)</f>
        <v>2.2104882981797171</v>
      </c>
      <c r="L3465" s="16">
        <f>SUM(F$5:F3465)/SUM(E$5:E3465)</f>
        <v>0.7633020383322161</v>
      </c>
    </row>
    <row r="3466" spans="1:13" x14ac:dyDescent="0.25">
      <c r="A3466" s="29">
        <v>46190</v>
      </c>
      <c r="B3466" s="16" t="s">
        <v>3512</v>
      </c>
      <c r="C3466" s="34">
        <v>1</v>
      </c>
      <c r="D3466" s="16" t="s">
        <v>52</v>
      </c>
      <c r="E3466" s="35">
        <v>0.5</v>
      </c>
      <c r="F3466" s="35">
        <v>0.5</v>
      </c>
      <c r="G3466" s="16" t="s">
        <v>44</v>
      </c>
      <c r="H3466" s="16" t="s">
        <v>45</v>
      </c>
      <c r="I3466" s="16">
        <f>COUNTIF(G$5:G3466,"Y")/COUNTA(G$5:G3466)</f>
        <v>0.88330444829578281</v>
      </c>
      <c r="J3466" s="16">
        <f>COUNTIF(H$5:H3466,"Y")/COUNTA(H$5:H3466)</f>
        <v>4.7949162333911034E-2</v>
      </c>
      <c r="K3466" s="16">
        <f>AVERAGE(F$5:F3466)</f>
        <v>2.2099942229924903</v>
      </c>
      <c r="L3466" s="16">
        <f>SUM(F$5:F3466)/SUM(E$5:E3466)</f>
        <v>0.7633138456012899</v>
      </c>
    </row>
    <row r="3467" spans="1:13" x14ac:dyDescent="0.25">
      <c r="A3467" s="29">
        <v>46191</v>
      </c>
      <c r="B3467" s="16" t="s">
        <v>3513</v>
      </c>
      <c r="C3467" s="34">
        <v>1</v>
      </c>
      <c r="D3467" s="16" t="s">
        <v>52</v>
      </c>
      <c r="E3467" s="35">
        <v>0.5</v>
      </c>
      <c r="F3467" s="35">
        <v>0.5</v>
      </c>
      <c r="G3467" s="16" t="s">
        <v>44</v>
      </c>
      <c r="H3467" s="16" t="s">
        <v>45</v>
      </c>
      <c r="I3467" s="16">
        <f>COUNTIF(G$5:G3467,"Y")/COUNTA(G$5:G3467)</f>
        <v>0.8833381461160843</v>
      </c>
      <c r="J3467" s="16">
        <f>COUNTIF(H$5:H3467,"Y")/COUNTA(H$5:H3467)</f>
        <v>4.7935316199826737E-2</v>
      </c>
      <c r="K3467" s="16">
        <f>AVERAGE(F$5:F3467)</f>
        <v>2.2095004331504478</v>
      </c>
      <c r="L3467" s="16">
        <f>SUM(F$5:F3467)/SUM(E$5:E3467)</f>
        <v>0.76332565169245192</v>
      </c>
      <c r="M3467" s="16">
        <v>11</v>
      </c>
    </row>
    <row r="3468" spans="1:13" x14ac:dyDescent="0.25">
      <c r="A3468" s="29">
        <v>46195</v>
      </c>
      <c r="B3468" s="16" t="s">
        <v>3514</v>
      </c>
      <c r="C3468" s="34">
        <v>1</v>
      </c>
      <c r="D3468" s="16" t="s">
        <v>64</v>
      </c>
      <c r="E3468" s="35">
        <v>3</v>
      </c>
      <c r="F3468" s="35">
        <v>2</v>
      </c>
      <c r="G3468" s="16" t="s">
        <v>44</v>
      </c>
      <c r="H3468" s="16" t="s">
        <v>45</v>
      </c>
      <c r="I3468" s="16">
        <f>COUNTIF(G$5:G3468,"Y")/COUNTA(G$5:G3468)</f>
        <v>0.88337182448036955</v>
      </c>
      <c r="J3468" s="16">
        <f>COUNTIF(H$5:H3468,"Y")/COUNTA(H$5:H3468)</f>
        <v>4.7921478060046187E-2</v>
      </c>
      <c r="K3468" s="16">
        <f>AVERAGE(F$5:F3468)</f>
        <v>2.209439953810624</v>
      </c>
      <c r="L3468" s="16">
        <f>SUM(F$5:F3468)/SUM(E$5:E3468)</f>
        <v>0.76329673179147783</v>
      </c>
    </row>
    <row r="3469" spans="1:13" x14ac:dyDescent="0.25">
      <c r="A3469" s="29">
        <v>46196</v>
      </c>
      <c r="B3469" s="16" t="s">
        <v>3515</v>
      </c>
      <c r="C3469" s="34">
        <v>1</v>
      </c>
      <c r="D3469" s="16" t="s">
        <v>56</v>
      </c>
      <c r="E3469" s="35">
        <v>3.3</v>
      </c>
      <c r="F3469" s="35">
        <v>2.8</v>
      </c>
      <c r="G3469" s="16" t="s">
        <v>44</v>
      </c>
      <c r="H3469" s="16" t="s">
        <v>45</v>
      </c>
      <c r="I3469" s="16">
        <f>COUNTIF(G$5:G3469,"Y")/COUNTA(G$5:G3469)</f>
        <v>0.88340548340548342</v>
      </c>
      <c r="J3469" s="16">
        <f>COUNTIF(H$5:H3469,"Y")/COUNTA(H$5:H3469)</f>
        <v>4.7907647907647906E-2</v>
      </c>
      <c r="K3469" s="16">
        <f>AVERAGE(F$5:F3469)</f>
        <v>2.2096103896103898</v>
      </c>
      <c r="L3469" s="16">
        <f>SUM(F$5:F3469)/SUM(E$5:E3469)</f>
        <v>0.76332475922713106</v>
      </c>
    </row>
    <row r="3470" spans="1:13" x14ac:dyDescent="0.25">
      <c r="A3470" s="29">
        <v>46197</v>
      </c>
      <c r="B3470" s="16" t="s">
        <v>3516</v>
      </c>
      <c r="C3470" s="34">
        <v>1</v>
      </c>
      <c r="D3470" s="16" t="s">
        <v>43</v>
      </c>
      <c r="E3470" s="35">
        <v>2.1</v>
      </c>
      <c r="F3470" s="35">
        <v>1.6</v>
      </c>
      <c r="G3470" s="16" t="s">
        <v>44</v>
      </c>
      <c r="H3470" s="16" t="s">
        <v>45</v>
      </c>
      <c r="I3470" s="16">
        <f>COUNTIF(G$5:G3470,"Y")/COUNTA(G$5:G3470)</f>
        <v>0.88343912290825155</v>
      </c>
      <c r="J3470" s="16">
        <f>COUNTIF(H$5:H3470,"Y")/COUNTA(H$5:H3470)</f>
        <v>4.7893825735718411E-2</v>
      </c>
      <c r="K3470" s="16">
        <f>AVERAGE(F$5:F3470)</f>
        <v>2.2094345066358918</v>
      </c>
      <c r="L3470" s="16">
        <f>SUM(F$5:F3470)/SUM(E$5:E3470)</f>
        <v>0.76332446198777648</v>
      </c>
    </row>
    <row r="3471" spans="1:13" x14ac:dyDescent="0.25">
      <c r="A3471" s="29">
        <v>46198</v>
      </c>
      <c r="B3471" s="16" t="s">
        <v>3517</v>
      </c>
      <c r="C3471" s="34">
        <v>1</v>
      </c>
      <c r="D3471" s="16" t="s">
        <v>47</v>
      </c>
      <c r="E3471" s="35">
        <v>3.3</v>
      </c>
      <c r="F3471" s="35">
        <v>2.4</v>
      </c>
      <c r="G3471" s="16" t="s">
        <v>44</v>
      </c>
      <c r="H3471" s="16" t="s">
        <v>45</v>
      </c>
      <c r="I3471" s="16">
        <f>COUNTIF(G$5:G3471,"Y")/COUNTA(G$5:G3471)</f>
        <v>0.88347274300548029</v>
      </c>
      <c r="J3471" s="16">
        <f>COUNTIF(H$5:H3471,"Y")/COUNTA(H$5:H3471)</f>
        <v>4.7880011537352177E-2</v>
      </c>
      <c r="K3471" s="16">
        <f>AVERAGE(F$5:F3471)</f>
        <v>2.2094894721661382</v>
      </c>
      <c r="L3471" s="16">
        <f>SUM(F$5:F3471)/SUM(E$5:E3471)</f>
        <v>0.76331260711865456</v>
      </c>
    </row>
    <row r="3472" spans="1:13" x14ac:dyDescent="0.25">
      <c r="A3472" s="29">
        <v>46199</v>
      </c>
      <c r="B3472" s="16" t="s">
        <v>3518</v>
      </c>
      <c r="C3472" s="34">
        <v>1</v>
      </c>
      <c r="D3472" s="16" t="s">
        <v>52</v>
      </c>
      <c r="E3472" s="35">
        <v>3.2</v>
      </c>
      <c r="F3472" s="35">
        <v>2.6</v>
      </c>
      <c r="G3472" s="16" t="s">
        <v>44</v>
      </c>
      <c r="H3472" s="16" t="s">
        <v>45</v>
      </c>
      <c r="I3472" s="16">
        <f>COUNTIF(G$5:G3472,"Y")/COUNTA(G$5:G3472)</f>
        <v>0.8835063437139562</v>
      </c>
      <c r="J3472" s="16">
        <f>COUNTIF(H$5:H3472,"Y")/COUNTA(H$5:H3472)</f>
        <v>4.7866205305651673E-2</v>
      </c>
      <c r="K3472" s="16">
        <f>AVERAGE(F$5:F3472)</f>
        <v>2.2096020761245678</v>
      </c>
      <c r="L3472" s="16">
        <f>SUM(F$5:F3472)/SUM(E$5:E3472)</f>
        <v>0.76332828624934956</v>
      </c>
    </row>
    <row r="3473" spans="1:12" x14ac:dyDescent="0.25">
      <c r="A3473" s="29">
        <v>46195</v>
      </c>
      <c r="B3473" s="16" t="s">
        <v>3519</v>
      </c>
      <c r="C3473" s="34">
        <v>1</v>
      </c>
      <c r="D3473" s="16" t="s">
        <v>47</v>
      </c>
      <c r="E3473" s="35">
        <v>1.8</v>
      </c>
      <c r="F3473" s="35">
        <v>1.5</v>
      </c>
      <c r="G3473" s="16" t="s">
        <v>44</v>
      </c>
      <c r="H3473" s="16" t="s">
        <v>45</v>
      </c>
      <c r="I3473" s="16">
        <f>COUNTIF(G$5:G3473,"Y")/COUNTA(G$5:G3473)</f>
        <v>0.88353992505044676</v>
      </c>
      <c r="J3473" s="16">
        <f>COUNTIF(H$5:H3473,"Y")/COUNTA(H$5:H3473)</f>
        <v>4.7852407033727298E-2</v>
      </c>
      <c r="K3473" s="16">
        <f>AVERAGE(F$5:F3473)</f>
        <v>2.2093975208993952</v>
      </c>
      <c r="L3473" s="16">
        <f>SUM(F$5:F3473)/SUM(E$5:E3473)</f>
        <v>0.7633408362050047</v>
      </c>
    </row>
    <row r="3474" spans="1:12" x14ac:dyDescent="0.25">
      <c r="A3474" s="29">
        <v>46196</v>
      </c>
      <c r="B3474" s="16" t="s">
        <v>3520</v>
      </c>
      <c r="C3474" s="34">
        <v>1</v>
      </c>
      <c r="D3474" s="16" t="s">
        <v>64</v>
      </c>
      <c r="E3474" s="35">
        <v>4.0999999999999996</v>
      </c>
      <c r="F3474" s="35">
        <v>2.8</v>
      </c>
      <c r="G3474" s="16" t="s">
        <v>44</v>
      </c>
      <c r="H3474" s="16" t="s">
        <v>45</v>
      </c>
      <c r="I3474" s="16">
        <f>COUNTIF(G$5:G3474,"Y")/COUNTA(G$5:G3474)</f>
        <v>0.88357348703170024</v>
      </c>
      <c r="J3474" s="16">
        <f>COUNTIF(H$5:H3474,"Y")/COUNTA(H$5:H3474)</f>
        <v>4.7838616714697406E-2</v>
      </c>
      <c r="K3474" s="16">
        <f>AVERAGE(F$5:F3474)</f>
        <v>2.20956772334294</v>
      </c>
      <c r="L3474" s="16">
        <f>SUM(F$5:F3474)/SUM(E$5:E3474)</f>
        <v>0.76330801318107766</v>
      </c>
    </row>
    <row r="3475" spans="1:12" x14ac:dyDescent="0.25">
      <c r="A3475" s="29">
        <v>46197</v>
      </c>
      <c r="B3475" s="16" t="s">
        <v>3521</v>
      </c>
      <c r="C3475" s="34">
        <v>1</v>
      </c>
      <c r="D3475" s="16" t="s">
        <v>50</v>
      </c>
      <c r="E3475" s="35">
        <v>1.8</v>
      </c>
      <c r="F3475" s="35">
        <v>1.5</v>
      </c>
      <c r="G3475" s="16" t="s">
        <v>44</v>
      </c>
      <c r="H3475" s="16" t="s">
        <v>45</v>
      </c>
      <c r="I3475" s="16">
        <f>COUNTIF(G$5:G3475,"Y")/COUNTA(G$5:G3475)</f>
        <v>0.88360702967444538</v>
      </c>
      <c r="J3475" s="16">
        <f>COUNTIF(H$5:H3475,"Y")/COUNTA(H$5:H3475)</f>
        <v>4.7824834341688272E-2</v>
      </c>
      <c r="K3475" s="16">
        <f>AVERAGE(F$5:F3475)</f>
        <v>2.2093632958801503</v>
      </c>
      <c r="L3475" s="16">
        <f>SUM(F$5:F3475)/SUM(E$5:E3475)</f>
        <v>0.76332055939879273</v>
      </c>
    </row>
    <row r="3476" spans="1:12" x14ac:dyDescent="0.25">
      <c r="A3476" s="29">
        <v>46198</v>
      </c>
      <c r="B3476" s="16" t="s">
        <v>3522</v>
      </c>
      <c r="C3476" s="34">
        <v>1</v>
      </c>
      <c r="D3476" s="16" t="s">
        <v>64</v>
      </c>
      <c r="E3476" s="35">
        <v>5.2</v>
      </c>
      <c r="F3476" s="35">
        <v>4.0999999999999996</v>
      </c>
      <c r="G3476" s="16" t="s">
        <v>44</v>
      </c>
      <c r="H3476" s="16" t="s">
        <v>45</v>
      </c>
      <c r="I3476" s="16">
        <f>COUNTIF(G$5:G3476,"Y")/COUNTA(G$5:G3476)</f>
        <v>0.88364055299539168</v>
      </c>
      <c r="J3476" s="16">
        <f>COUNTIF(H$5:H3476,"Y")/COUNTA(H$5:H3476)</f>
        <v>4.7811059907834103E-2</v>
      </c>
      <c r="K3476" s="16">
        <f>AVERAGE(F$5:F3476)</f>
        <v>2.2099078341013829</v>
      </c>
      <c r="L3476" s="16">
        <f>SUM(F$5:F3476)/SUM(E$5:E3476)</f>
        <v>0.76333356546653508</v>
      </c>
    </row>
    <row r="3477" spans="1:12" x14ac:dyDescent="0.25">
      <c r="A3477" s="29">
        <v>46199</v>
      </c>
      <c r="B3477" s="16" t="s">
        <v>3523</v>
      </c>
      <c r="C3477" s="34">
        <v>1</v>
      </c>
      <c r="D3477" s="16" t="s">
        <v>50</v>
      </c>
      <c r="E3477" s="35">
        <v>4.5</v>
      </c>
      <c r="F3477" s="35">
        <v>3.9</v>
      </c>
      <c r="G3477" s="16" t="s">
        <v>44</v>
      </c>
      <c r="H3477" s="16" t="s">
        <v>45</v>
      </c>
      <c r="I3477" s="16">
        <f>COUNTIF(G$5:G3477,"Y")/COUNTA(G$5:G3477)</f>
        <v>0.88367405701122947</v>
      </c>
      <c r="J3477" s="16">
        <f>COUNTIF(H$5:H3477,"Y")/COUNTA(H$5:H3477)</f>
        <v>4.7797293406276996E-2</v>
      </c>
      <c r="K3477" s="16">
        <f>AVERAGE(F$5:F3477)</f>
        <v>2.2103944716383537</v>
      </c>
      <c r="L3477" s="16">
        <f>SUM(F$5:F3477)/SUM(E$5:E3477)</f>
        <v>0.76337980549312567</v>
      </c>
    </row>
    <row r="3478" spans="1:12" x14ac:dyDescent="0.25">
      <c r="A3478" s="29">
        <v>46195</v>
      </c>
      <c r="B3478" s="16" t="s">
        <v>3524</v>
      </c>
      <c r="C3478" s="34">
        <v>1</v>
      </c>
      <c r="D3478" s="16" t="s">
        <v>52</v>
      </c>
      <c r="E3478" s="35">
        <v>3.1</v>
      </c>
      <c r="F3478" s="35">
        <v>2.8</v>
      </c>
      <c r="G3478" s="16" t="s">
        <v>44</v>
      </c>
      <c r="H3478" s="16" t="s">
        <v>45</v>
      </c>
      <c r="I3478" s="16">
        <f>COUNTIF(G$5:G3478,"Y")/COUNTA(G$5:G3478)</f>
        <v>0.88370754173862986</v>
      </c>
      <c r="J3478" s="16">
        <f>COUNTIF(H$5:H3478,"Y")/COUNTA(H$5:H3478)</f>
        <v>4.7783534830166952E-2</v>
      </c>
      <c r="K3478" s="16">
        <f>AVERAGE(F$5:F3478)</f>
        <v>2.2105641911341398</v>
      </c>
      <c r="L3478" s="16">
        <f>SUM(F$5:F3478)/SUM(E$5:E3478)</f>
        <v>0.7634229021900103</v>
      </c>
    </row>
    <row r="3479" spans="1:12" x14ac:dyDescent="0.25">
      <c r="A3479" s="29">
        <v>46196</v>
      </c>
      <c r="B3479" s="16" t="s">
        <v>3525</v>
      </c>
      <c r="C3479" s="34">
        <v>1</v>
      </c>
      <c r="D3479" s="16" t="s">
        <v>60</v>
      </c>
      <c r="E3479" s="35">
        <v>4.9000000000000004</v>
      </c>
      <c r="F3479" s="35">
        <v>4.3</v>
      </c>
      <c r="G3479" s="16" t="s">
        <v>45</v>
      </c>
      <c r="H3479" s="16" t="s">
        <v>45</v>
      </c>
      <c r="I3479" s="16">
        <f>COUNTIF(G$5:G3479,"Y")/COUNTA(G$5:G3479)</f>
        <v>0.88345323741007198</v>
      </c>
      <c r="J3479" s="16">
        <f>COUNTIF(H$5:H3479,"Y")/COUNTA(H$5:H3479)</f>
        <v>4.7769784172661874E-2</v>
      </c>
      <c r="K3479" s="16">
        <f>AVERAGE(F$5:F3479)</f>
        <v>2.2111654676259</v>
      </c>
      <c r="L3479" s="16">
        <f>SUM(F$5:F3479)/SUM(E$5:E3479)</f>
        <v>0.76347846823393517</v>
      </c>
    </row>
    <row r="3480" spans="1:12" x14ac:dyDescent="0.25">
      <c r="A3480" s="29">
        <v>46197</v>
      </c>
      <c r="B3480" s="16" t="s">
        <v>3526</v>
      </c>
      <c r="C3480" s="34">
        <v>1</v>
      </c>
      <c r="D3480" s="16" t="s">
        <v>50</v>
      </c>
      <c r="E3480" s="35">
        <v>2.9</v>
      </c>
      <c r="F3480" s="35">
        <v>2</v>
      </c>
      <c r="G3480" s="16" t="s">
        <v>44</v>
      </c>
      <c r="H3480" s="16" t="s">
        <v>44</v>
      </c>
      <c r="I3480" s="16">
        <f>COUNTIF(G$5:G3480,"Y")/COUNTA(G$5:G3480)</f>
        <v>0.88348676639815882</v>
      </c>
      <c r="J3480" s="16">
        <f>COUNTIF(H$5:H3480,"Y")/COUNTA(H$5:H3480)</f>
        <v>4.8043728423475256E-2</v>
      </c>
      <c r="K3480" s="16">
        <f>AVERAGE(F$5:F3480)</f>
        <v>2.211104718066744</v>
      </c>
      <c r="L3480" s="16">
        <f>SUM(F$5:F3480)/SUM(E$5:E3480)</f>
        <v>0.76345720217341351</v>
      </c>
    </row>
    <row r="3481" spans="1:12" x14ac:dyDescent="0.25">
      <c r="A3481" s="29">
        <v>46198</v>
      </c>
      <c r="B3481" s="16" t="s">
        <v>3527</v>
      </c>
      <c r="C3481" s="34">
        <v>1</v>
      </c>
      <c r="D3481" s="16" t="s">
        <v>50</v>
      </c>
      <c r="E3481" s="35">
        <v>4.0999999999999996</v>
      </c>
      <c r="F3481" s="35">
        <v>2.8</v>
      </c>
      <c r="G3481" s="16" t="s">
        <v>44</v>
      </c>
      <c r="H3481" s="16" t="s">
        <v>45</v>
      </c>
      <c r="I3481" s="16">
        <f>COUNTIF(G$5:G3481,"Y")/COUNTA(G$5:G3481)</f>
        <v>0.88352027610008632</v>
      </c>
      <c r="J3481" s="16">
        <f>COUNTIF(H$5:H3481,"Y")/COUNTA(H$5:H3481)</f>
        <v>4.8029910842680469E-2</v>
      </c>
      <c r="K3481" s="16">
        <f>AVERAGE(F$5:F3481)</f>
        <v>2.211274086856486</v>
      </c>
      <c r="L3481" s="16">
        <f>SUM(F$5:F3481)/SUM(E$5:E3481)</f>
        <v>0.76342441814282025</v>
      </c>
    </row>
    <row r="3482" spans="1:12" x14ac:dyDescent="0.25">
      <c r="A3482" s="29">
        <v>46199</v>
      </c>
      <c r="B3482" s="16" t="s">
        <v>3528</v>
      </c>
      <c r="C3482" s="34">
        <v>1</v>
      </c>
      <c r="D3482" s="16" t="s">
        <v>47</v>
      </c>
      <c r="E3482" s="35">
        <v>4</v>
      </c>
      <c r="F3482" s="35">
        <v>3.2</v>
      </c>
      <c r="G3482" s="16" t="s">
        <v>44</v>
      </c>
      <c r="H3482" s="16" t="s">
        <v>45</v>
      </c>
      <c r="I3482" s="16">
        <f>COUNTIF(G$5:G3482,"Y")/COUNTA(G$5:G3482)</f>
        <v>0.88355376653248996</v>
      </c>
      <c r="J3482" s="16">
        <f>COUNTIF(H$5:H3482,"Y")/COUNTA(H$5:H3482)</f>
        <v>4.8016101207590568E-2</v>
      </c>
      <c r="K3482" s="16">
        <f>AVERAGE(F$5:F3482)</f>
        <v>2.2115583668775165</v>
      </c>
      <c r="L3482" s="16">
        <f>SUM(F$5:F3482)/SUM(E$5:E3482)</f>
        <v>0.76343893917738315</v>
      </c>
    </row>
    <row r="3483" spans="1:12" x14ac:dyDescent="0.25">
      <c r="A3483" s="29">
        <v>46195</v>
      </c>
      <c r="B3483" s="16" t="s">
        <v>3529</v>
      </c>
      <c r="C3483" s="34">
        <v>1</v>
      </c>
      <c r="D3483" s="16" t="s">
        <v>47</v>
      </c>
      <c r="E3483" s="35">
        <v>4.9000000000000004</v>
      </c>
      <c r="F3483" s="35">
        <v>4</v>
      </c>
      <c r="G3483" s="16" t="s">
        <v>44</v>
      </c>
      <c r="H3483" s="16" t="s">
        <v>45</v>
      </c>
      <c r="I3483" s="16">
        <f>COUNTIF(G$5:G3483,"Y")/COUNTA(G$5:G3483)</f>
        <v>0.88358723771198622</v>
      </c>
      <c r="J3483" s="16">
        <f>COUNTIF(H$5:H3483,"Y")/COUNTA(H$5:H3483)</f>
        <v>4.8002299511353839E-2</v>
      </c>
      <c r="K3483" s="16">
        <f>AVERAGE(F$5:F3483)</f>
        <v>2.2120724346076464</v>
      </c>
      <c r="L3483" s="16">
        <f>SUM(F$5:F3483)/SUM(E$5:E3483)</f>
        <v>0.76346464816817006</v>
      </c>
    </row>
    <row r="3484" spans="1:12" x14ac:dyDescent="0.25">
      <c r="A3484" s="29">
        <v>46196</v>
      </c>
      <c r="B3484" s="16" t="s">
        <v>3530</v>
      </c>
      <c r="C3484" s="34">
        <v>1</v>
      </c>
      <c r="D3484" s="16" t="s">
        <v>43</v>
      </c>
      <c r="E3484" s="35">
        <v>3.7</v>
      </c>
      <c r="F3484" s="35">
        <v>3.2</v>
      </c>
      <c r="G3484" s="16" t="s">
        <v>44</v>
      </c>
      <c r="H3484" s="16" t="s">
        <v>44</v>
      </c>
      <c r="I3484" s="16">
        <f>COUNTIF(G$5:G3484,"Y")/COUNTA(G$5:G3484)</f>
        <v>0.88362068965517238</v>
      </c>
      <c r="J3484" s="16">
        <f>COUNTIF(H$5:H3484,"Y")/COUNTA(H$5:H3484)</f>
        <v>4.8275862068965517E-2</v>
      </c>
      <c r="K3484" s="16">
        <f>AVERAGE(F$5:F3484)</f>
        <v>2.2123563218390809</v>
      </c>
      <c r="L3484" s="16">
        <f>SUM(F$5:F3484)/SUM(E$5:E3484)</f>
        <v>0.76350185445962537</v>
      </c>
    </row>
    <row r="3485" spans="1:12" x14ac:dyDescent="0.25">
      <c r="A3485" s="29">
        <v>46197</v>
      </c>
      <c r="B3485" s="16" t="s">
        <v>3531</v>
      </c>
      <c r="C3485" s="34">
        <v>1</v>
      </c>
      <c r="D3485" s="16" t="s">
        <v>52</v>
      </c>
      <c r="E3485" s="35">
        <v>2.2000000000000002</v>
      </c>
      <c r="F3485" s="35">
        <v>1.8</v>
      </c>
      <c r="G3485" s="16" t="s">
        <v>44</v>
      </c>
      <c r="H3485" s="16" t="s">
        <v>45</v>
      </c>
      <c r="I3485" s="16">
        <f>COUNTIF(G$5:G3485,"Y")/COUNTA(G$5:G3485)</f>
        <v>0.88365412237862684</v>
      </c>
      <c r="J3485" s="16">
        <f>COUNTIF(H$5:H3485,"Y")/COUNTA(H$5:H3485)</f>
        <v>4.8261993679977015E-2</v>
      </c>
      <c r="K3485" s="16">
        <f>AVERAGE(F$5:F3485)</f>
        <v>2.2122378626831378</v>
      </c>
      <c r="L3485" s="16">
        <f>SUM(F$5:F3485)/SUM(E$5:E3485)</f>
        <v>0.76351378147927529</v>
      </c>
    </row>
    <row r="3486" spans="1:12" x14ac:dyDescent="0.25">
      <c r="A3486" s="29">
        <v>46198</v>
      </c>
      <c r="B3486" s="16" t="s">
        <v>3532</v>
      </c>
      <c r="C3486" s="34">
        <v>1</v>
      </c>
      <c r="D3486" s="16" t="s">
        <v>52</v>
      </c>
      <c r="E3486" s="35">
        <v>2.8</v>
      </c>
      <c r="F3486" s="35">
        <v>2.5</v>
      </c>
      <c r="G3486" s="16" t="s">
        <v>44</v>
      </c>
      <c r="H3486" s="16" t="s">
        <v>45</v>
      </c>
      <c r="I3486" s="16">
        <f>COUNTIF(G$5:G3486,"Y")/COUNTA(G$5:G3486)</f>
        <v>0.88368753589890869</v>
      </c>
      <c r="J3486" s="16">
        <f>COUNTIF(H$5:H3486,"Y")/COUNTA(H$5:H3486)</f>
        <v>4.8248133256748996E-2</v>
      </c>
      <c r="K3486" s="16">
        <f>AVERAGE(F$5:F3486)</f>
        <v>2.2123205054566348</v>
      </c>
      <c r="L3486" s="16">
        <f>SUM(F$5:F3486)/SUM(E$5:E3486)</f>
        <v>0.76354967885179315</v>
      </c>
    </row>
    <row r="3487" spans="1:12" x14ac:dyDescent="0.25">
      <c r="A3487" s="29">
        <v>46199</v>
      </c>
      <c r="B3487" s="16" t="s">
        <v>3533</v>
      </c>
      <c r="C3487" s="34">
        <v>1</v>
      </c>
      <c r="D3487" s="16" t="s">
        <v>60</v>
      </c>
      <c r="E3487" s="35">
        <v>2.1</v>
      </c>
      <c r="F3487" s="35">
        <v>1.5</v>
      </c>
      <c r="G3487" s="16" t="s">
        <v>45</v>
      </c>
      <c r="H3487" s="16" t="s">
        <v>45</v>
      </c>
      <c r="I3487" s="16">
        <f>COUNTIF(G$5:G3487,"Y")/COUNTA(G$5:G3487)</f>
        <v>0.8834338214183175</v>
      </c>
      <c r="J3487" s="16">
        <f>COUNTIF(H$5:H3487,"Y")/COUNTA(H$5:H3487)</f>
        <v>4.8234280792420328E-2</v>
      </c>
      <c r="K3487" s="16">
        <f>AVERAGE(F$5:F3487)</f>
        <v>2.2121159919609537</v>
      </c>
      <c r="L3487" s="16">
        <f>SUM(F$5:F3487)/SUM(E$5:E3487)</f>
        <v>0.76353942661209306</v>
      </c>
    </row>
    <row r="3488" spans="1:12" x14ac:dyDescent="0.25">
      <c r="A3488" s="29">
        <v>46195</v>
      </c>
      <c r="B3488" s="16" t="s">
        <v>3534</v>
      </c>
      <c r="C3488" s="34">
        <v>1</v>
      </c>
      <c r="D3488" s="16" t="s">
        <v>56</v>
      </c>
      <c r="E3488" s="35">
        <v>1.7</v>
      </c>
      <c r="F3488" s="35">
        <v>1.3</v>
      </c>
      <c r="G3488" s="16" t="s">
        <v>45</v>
      </c>
      <c r="H3488" s="16" t="s">
        <v>45</v>
      </c>
      <c r="I3488" s="16">
        <f>COUNTIF(G$5:G3488,"Y")/COUNTA(G$5:G3488)</f>
        <v>0.88318025258323762</v>
      </c>
      <c r="J3488" s="16">
        <f>COUNTIF(H$5:H3488,"Y")/COUNTA(H$5:H3488)</f>
        <v>4.8220436280137773E-2</v>
      </c>
      <c r="K3488" s="16">
        <f>AVERAGE(F$5:F3488)</f>
        <v>2.2118541905855347</v>
      </c>
      <c r="L3488" s="16">
        <f>SUM(F$5:F3488)/SUM(E$5:E3488)</f>
        <v>0.76353962309018186</v>
      </c>
    </row>
    <row r="3489" spans="1:12" x14ac:dyDescent="0.25">
      <c r="A3489" s="29">
        <v>46196</v>
      </c>
      <c r="B3489" s="16" t="s">
        <v>3535</v>
      </c>
      <c r="C3489" s="34">
        <v>1</v>
      </c>
      <c r="D3489" s="16" t="s">
        <v>56</v>
      </c>
      <c r="E3489" s="35">
        <v>3.3</v>
      </c>
      <c r="F3489" s="35">
        <v>2.9</v>
      </c>
      <c r="G3489" s="16" t="s">
        <v>44</v>
      </c>
      <c r="H3489" s="16" t="s">
        <v>45</v>
      </c>
      <c r="I3489" s="16">
        <f>COUNTIF(G$5:G3489,"Y")/COUNTA(G$5:G3489)</f>
        <v>0.8832137733142037</v>
      </c>
      <c r="J3489" s="16">
        <f>COUNTIF(H$5:H3489,"Y")/COUNTA(H$5:H3489)</f>
        <v>4.8206599713055957E-2</v>
      </c>
      <c r="K3489" s="16">
        <f>AVERAGE(F$5:F3489)</f>
        <v>2.2120516499282643</v>
      </c>
      <c r="L3489" s="16">
        <f>SUM(F$5:F3489)/SUM(E$5:E3489)</f>
        <v>0.76357729375290662</v>
      </c>
    </row>
    <row r="3490" spans="1:12" x14ac:dyDescent="0.25">
      <c r="A3490" s="29">
        <v>46197</v>
      </c>
      <c r="B3490" s="16" t="s">
        <v>3536</v>
      </c>
      <c r="C3490" s="34">
        <v>1</v>
      </c>
      <c r="D3490" s="16" t="s">
        <v>56</v>
      </c>
      <c r="E3490" s="35">
        <v>6.2</v>
      </c>
      <c r="F3490" s="35">
        <v>4.4000000000000004</v>
      </c>
      <c r="G3490" s="16" t="s">
        <v>44</v>
      </c>
      <c r="H3490" s="16" t="s">
        <v>45</v>
      </c>
      <c r="I3490" s="16">
        <f>COUNTIF(G$5:G3490,"Y")/COUNTA(G$5:G3490)</f>
        <v>0.88324727481353993</v>
      </c>
      <c r="J3490" s="16">
        <f>COUNTIF(H$5:H3490,"Y")/COUNTA(H$5:H3490)</f>
        <v>4.8192771084337352E-2</v>
      </c>
      <c r="K3490" s="16">
        <f>AVERAGE(F$5:F3490)</f>
        <v>2.2126792885829034</v>
      </c>
      <c r="L3490" s="16">
        <f>SUM(F$5:F3490)/SUM(E$5:E3490)</f>
        <v>0.76354421357935176</v>
      </c>
    </row>
    <row r="3491" spans="1:12" x14ac:dyDescent="0.25">
      <c r="A3491" s="29">
        <v>46198</v>
      </c>
      <c r="B3491" s="16" t="s">
        <v>3537</v>
      </c>
      <c r="C3491" s="34">
        <v>1</v>
      </c>
      <c r="D3491" s="16" t="s">
        <v>50</v>
      </c>
      <c r="E3491" s="35">
        <v>5.0999999999999996</v>
      </c>
      <c r="F3491" s="35">
        <v>3.4</v>
      </c>
      <c r="G3491" s="16" t="s">
        <v>44</v>
      </c>
      <c r="H3491" s="16" t="s">
        <v>45</v>
      </c>
      <c r="I3491" s="16">
        <f>COUNTIF(G$5:G3491,"Y")/COUNTA(G$5:G3491)</f>
        <v>0.88328075709779175</v>
      </c>
      <c r="J3491" s="16">
        <f>COUNTIF(H$5:H3491,"Y")/COUNTA(H$5:H3491)</f>
        <v>4.8178950387152281E-2</v>
      </c>
      <c r="K3491" s="16">
        <f>AVERAGE(F$5:F3491)</f>
        <v>2.2130197877831952</v>
      </c>
      <c r="L3491" s="16">
        <f>SUM(F$5:F3491)/SUM(E$5:E3491)</f>
        <v>0.76349533006173509</v>
      </c>
    </row>
    <row r="3492" spans="1:12" x14ac:dyDescent="0.25">
      <c r="A3492" s="29">
        <v>46199</v>
      </c>
      <c r="B3492" s="16" t="s">
        <v>3538</v>
      </c>
      <c r="C3492" s="34">
        <v>1</v>
      </c>
      <c r="D3492" s="16" t="s">
        <v>64</v>
      </c>
      <c r="E3492" s="35">
        <v>1.5</v>
      </c>
      <c r="F3492" s="35">
        <v>1.3</v>
      </c>
      <c r="G3492" s="16" t="s">
        <v>44</v>
      </c>
      <c r="H3492" s="16" t="s">
        <v>45</v>
      </c>
      <c r="I3492" s="16">
        <f>COUNTIF(G$5:G3492,"Y")/COUNTA(G$5:G3492)</f>
        <v>0.88331422018348627</v>
      </c>
      <c r="J3492" s="16">
        <f>COUNTIF(H$5:H3492,"Y")/COUNTA(H$5:H3492)</f>
        <v>4.8165137614678902E-2</v>
      </c>
      <c r="K3492" s="16">
        <f>AVERAGE(F$5:F3492)</f>
        <v>2.2127580275229359</v>
      </c>
      <c r="L3492" s="16">
        <f>SUM(F$5:F3492)/SUM(E$5:E3492)</f>
        <v>0.76351063935025953</v>
      </c>
    </row>
    <row r="3493" spans="1:12" x14ac:dyDescent="0.25">
      <c r="A3493" s="29">
        <v>46195</v>
      </c>
      <c r="B3493" s="16" t="s">
        <v>3539</v>
      </c>
      <c r="C3493" s="34">
        <v>1</v>
      </c>
      <c r="D3493" s="16" t="s">
        <v>64</v>
      </c>
      <c r="E3493" s="35">
        <v>2.5</v>
      </c>
      <c r="F3493" s="35">
        <v>1.7</v>
      </c>
      <c r="G3493" s="16" t="s">
        <v>44</v>
      </c>
      <c r="H3493" s="16" t="s">
        <v>45</v>
      </c>
      <c r="I3493" s="16">
        <f>COUNTIF(G$5:G3493,"Y")/COUNTA(G$5:G3493)</f>
        <v>0.88334766408713095</v>
      </c>
      <c r="J3493" s="16">
        <f>COUNTIF(H$5:H3493,"Y")/COUNTA(H$5:H3493)</f>
        <v>4.815133276010318E-2</v>
      </c>
      <c r="K3493" s="16">
        <f>AVERAGE(F$5:F3493)</f>
        <v>2.212611063341932</v>
      </c>
      <c r="L3493" s="16">
        <f>SUM(F$5:F3493)/SUM(E$5:E3493)</f>
        <v>0.76348999129677675</v>
      </c>
    </row>
    <row r="3494" spans="1:12" x14ac:dyDescent="0.25">
      <c r="A3494" s="29">
        <v>46196</v>
      </c>
      <c r="B3494" s="16" t="s">
        <v>3540</v>
      </c>
      <c r="C3494" s="34">
        <v>1</v>
      </c>
      <c r="D3494" s="16" t="s">
        <v>52</v>
      </c>
      <c r="E3494" s="35">
        <v>3.3</v>
      </c>
      <c r="F3494" s="35">
        <v>2.4</v>
      </c>
      <c r="G3494" s="16" t="s">
        <v>44</v>
      </c>
      <c r="H3494" s="16" t="s">
        <v>45</v>
      </c>
      <c r="I3494" s="16">
        <f>COUNTIF(G$5:G3494,"Y")/COUNTA(G$5:G3494)</f>
        <v>0.88338108882521493</v>
      </c>
      <c r="J3494" s="16">
        <f>COUNTIF(H$5:H3494,"Y")/COUNTA(H$5:H3494)</f>
        <v>4.8137535816618914E-2</v>
      </c>
      <c r="K3494" s="16">
        <f>AVERAGE(F$5:F3494)</f>
        <v>2.2126647564469915</v>
      </c>
      <c r="L3494" s="16">
        <f>SUM(F$5:F3494)/SUM(E$5:E3494)</f>
        <v>0.76347817489742142</v>
      </c>
    </row>
    <row r="3495" spans="1:12" x14ac:dyDescent="0.25">
      <c r="A3495" s="29">
        <v>46197</v>
      </c>
      <c r="B3495" s="16" t="s">
        <v>3541</v>
      </c>
      <c r="C3495" s="34">
        <v>1</v>
      </c>
      <c r="D3495" s="16" t="s">
        <v>64</v>
      </c>
      <c r="E3495" s="35">
        <v>4.9000000000000004</v>
      </c>
      <c r="F3495" s="35">
        <v>3.9</v>
      </c>
      <c r="G3495" s="16" t="s">
        <v>44</v>
      </c>
      <c r="H3495" s="16" t="s">
        <v>45</v>
      </c>
      <c r="I3495" s="16">
        <f>COUNTIF(G$5:G3495,"Y")/COUNTA(G$5:G3495)</f>
        <v>0.88341449441420794</v>
      </c>
      <c r="J3495" s="16">
        <f>COUNTIF(H$5:H3495,"Y")/COUNTA(H$5:H3495)</f>
        <v>4.8123746777427673E-2</v>
      </c>
      <c r="K3495" s="16">
        <f>AVERAGE(F$5:F3495)</f>
        <v>2.21314809510169</v>
      </c>
      <c r="L3495" s="16">
        <f>SUM(F$5:F3495)/SUM(E$5:E3495)</f>
        <v>0.76349388303654053</v>
      </c>
    </row>
    <row r="3496" spans="1:12" x14ac:dyDescent="0.25">
      <c r="A3496" s="29">
        <v>46198</v>
      </c>
      <c r="B3496" s="16" t="s">
        <v>3542</v>
      </c>
      <c r="C3496" s="34">
        <v>1</v>
      </c>
      <c r="D3496" s="16" t="s">
        <v>64</v>
      </c>
      <c r="E3496" s="35">
        <v>3.5</v>
      </c>
      <c r="F3496" s="35">
        <v>3.1</v>
      </c>
      <c r="G3496" s="16" t="s">
        <v>45</v>
      </c>
      <c r="H3496" s="16" t="s">
        <v>45</v>
      </c>
      <c r="I3496" s="16">
        <f>COUNTIF(G$5:G3496,"Y")/COUNTA(G$5:G3496)</f>
        <v>0.88316151202749138</v>
      </c>
      <c r="J3496" s="16">
        <f>COUNTIF(H$5:H3496,"Y")/COUNTA(H$5:H3496)</f>
        <v>4.8109965635738834E-2</v>
      </c>
      <c r="K3496" s="16">
        <f>AVERAGE(F$5:F3496)</f>
        <v>2.2134020618556702</v>
      </c>
      <c r="L3496" s="16">
        <f>SUM(F$5:F3496)/SUM(E$5:E3496)</f>
        <v>0.76353614082920596</v>
      </c>
    </row>
    <row r="3497" spans="1:12" x14ac:dyDescent="0.25">
      <c r="A3497" s="29">
        <v>46199</v>
      </c>
      <c r="B3497" s="16" t="s">
        <v>3543</v>
      </c>
      <c r="C3497" s="34">
        <v>1</v>
      </c>
      <c r="D3497" s="16" t="s">
        <v>60</v>
      </c>
      <c r="E3497" s="35">
        <v>5.2</v>
      </c>
      <c r="F3497" s="35">
        <v>4.2</v>
      </c>
      <c r="G3497" s="16" t="s">
        <v>44</v>
      </c>
      <c r="H3497" s="16" t="s">
        <v>45</v>
      </c>
      <c r="I3497" s="16">
        <f>COUNTIF(G$5:G3497,"Y")/COUNTA(G$5:G3497)</f>
        <v>0.88319496135127395</v>
      </c>
      <c r="J3497" s="16">
        <f>COUNTIF(H$5:H3497,"Y")/COUNTA(H$5:H3497)</f>
        <v>4.8096192384769539E-2</v>
      </c>
      <c r="K3497" s="16">
        <f>AVERAGE(F$5:F3497)</f>
        <v>2.2139707987403381</v>
      </c>
      <c r="L3497" s="16">
        <f>SUM(F$5:F3497)/SUM(E$5:E3497)</f>
        <v>0.7635588116231049</v>
      </c>
    </row>
    <row r="3498" spans="1:12" x14ac:dyDescent="0.25">
      <c r="A3498" s="29">
        <v>46195</v>
      </c>
      <c r="B3498" s="16" t="s">
        <v>3544</v>
      </c>
      <c r="C3498" s="34">
        <v>1</v>
      </c>
      <c r="D3498" s="16" t="s">
        <v>50</v>
      </c>
      <c r="E3498" s="35">
        <v>1.9</v>
      </c>
      <c r="F3498" s="35">
        <v>1.4</v>
      </c>
      <c r="G3498" s="16" t="s">
        <v>44</v>
      </c>
      <c r="H3498" s="16" t="s">
        <v>45</v>
      </c>
      <c r="I3498" s="16">
        <f>COUNTIF(G$5:G3498,"Y")/COUNTA(G$5:G3498)</f>
        <v>0.88322839152833432</v>
      </c>
      <c r="J3498" s="16">
        <f>COUNTIF(H$5:H3498,"Y")/COUNTA(H$5:H3498)</f>
        <v>4.8082427017744706E-2</v>
      </c>
      <c r="K3498" s="16">
        <f>AVERAGE(F$5:F3498)</f>
        <v>2.2137378362907842</v>
      </c>
      <c r="L3498" s="16">
        <f>SUM(F$5:F3498)/SUM(E$5:E3498)</f>
        <v>0.76355380059229694</v>
      </c>
    </row>
    <row r="3499" spans="1:12" x14ac:dyDescent="0.25">
      <c r="A3499" s="29">
        <v>46196</v>
      </c>
      <c r="B3499" s="16" t="s">
        <v>3545</v>
      </c>
      <c r="C3499" s="34">
        <v>1</v>
      </c>
      <c r="D3499" s="16" t="s">
        <v>60</v>
      </c>
      <c r="E3499" s="35">
        <v>6.1</v>
      </c>
      <c r="F3499" s="35">
        <v>4.5</v>
      </c>
      <c r="G3499" s="16" t="s">
        <v>44</v>
      </c>
      <c r="H3499" s="16" t="s">
        <v>45</v>
      </c>
      <c r="I3499" s="16">
        <f>COUNTIF(G$5:G3499,"Y")/COUNTA(G$5:G3499)</f>
        <v>0.88326180257510734</v>
      </c>
      <c r="J3499" s="16">
        <f>COUNTIF(H$5:H3499,"Y")/COUNTA(H$5:H3499)</f>
        <v>4.8068669527896998E-2</v>
      </c>
      <c r="K3499" s="16">
        <f>AVERAGE(F$5:F3499)</f>
        <v>2.2143919885550787</v>
      </c>
      <c r="L3499" s="16">
        <f>SUM(F$5:F3499)/SUM(E$5:E3499)</f>
        <v>0.76353824449245444</v>
      </c>
    </row>
    <row r="3500" spans="1:12" x14ac:dyDescent="0.25">
      <c r="A3500" s="29">
        <v>46197</v>
      </c>
      <c r="B3500" s="16" t="s">
        <v>3546</v>
      </c>
      <c r="C3500" s="34">
        <v>1</v>
      </c>
      <c r="D3500" s="16" t="s">
        <v>43</v>
      </c>
      <c r="E3500" s="35">
        <v>4.5999999999999996</v>
      </c>
      <c r="F3500" s="35">
        <v>3.9</v>
      </c>
      <c r="G3500" s="16" t="s">
        <v>44</v>
      </c>
      <c r="H3500" s="16" t="s">
        <v>45</v>
      </c>
      <c r="I3500" s="16">
        <f>COUNTIF(G$5:G3500,"Y")/COUNTA(G$5:G3500)</f>
        <v>0.8832951945080092</v>
      </c>
      <c r="J3500" s="16">
        <f>COUNTIF(H$5:H3500,"Y")/COUNTA(H$5:H3500)</f>
        <v>4.8054919908466817E-2</v>
      </c>
      <c r="K3500" s="16">
        <f>AVERAGE(F$5:F3500)</f>
        <v>2.2148741418764302</v>
      </c>
      <c r="L3500" s="16">
        <f>SUM(F$5:F3500)/SUM(E$5:E3500)</f>
        <v>0.76357647894129277</v>
      </c>
    </row>
    <row r="3501" spans="1:12" x14ac:dyDescent="0.25">
      <c r="A3501" s="29">
        <v>46198</v>
      </c>
      <c r="B3501" s="16" t="s">
        <v>3547</v>
      </c>
      <c r="C3501" s="34">
        <v>1</v>
      </c>
      <c r="D3501" s="16" t="s">
        <v>60</v>
      </c>
      <c r="E3501" s="35">
        <v>2.2999999999999998</v>
      </c>
      <c r="F3501" s="35">
        <v>1.8</v>
      </c>
      <c r="G3501" s="16" t="s">
        <v>44</v>
      </c>
      <c r="H3501" s="16" t="s">
        <v>45</v>
      </c>
      <c r="I3501" s="16">
        <f>COUNTIF(G$5:G3501,"Y")/COUNTA(G$5:G3501)</f>
        <v>0.88332856734343723</v>
      </c>
      <c r="J3501" s="16">
        <f>COUNTIF(H$5:H3501,"Y")/COUNTA(H$5:H3501)</f>
        <v>4.8041178152702313E-2</v>
      </c>
      <c r="K3501" s="16">
        <f>AVERAGE(F$5:F3501)</f>
        <v>2.21475550471833</v>
      </c>
      <c r="L3501" s="16">
        <f>SUM(F$5:F3501)/SUM(E$5:E3501)</f>
        <v>0.76358079463669215</v>
      </c>
    </row>
    <row r="3502" spans="1:12" x14ac:dyDescent="0.25">
      <c r="A3502" s="29">
        <v>46199</v>
      </c>
      <c r="B3502" s="16" t="s">
        <v>3548</v>
      </c>
      <c r="C3502" s="34">
        <v>1</v>
      </c>
      <c r="D3502" s="16" t="s">
        <v>60</v>
      </c>
      <c r="E3502" s="35">
        <v>5.2</v>
      </c>
      <c r="F3502" s="35">
        <v>4.5</v>
      </c>
      <c r="G3502" s="16" t="s">
        <v>45</v>
      </c>
      <c r="H3502" s="16" t="s">
        <v>45</v>
      </c>
      <c r="I3502" s="16">
        <f>COUNTIF(G$5:G3502,"Y")/COUNTA(G$5:G3502)</f>
        <v>0.88307604345340196</v>
      </c>
      <c r="J3502" s="16">
        <f>COUNTIF(H$5:H3502,"Y")/COUNTA(H$5:H3502)</f>
        <v>4.8027444253859346E-2</v>
      </c>
      <c r="K3502" s="16">
        <f>AVERAGE(F$5:F3502)</f>
        <v>2.2154088050314464</v>
      </c>
      <c r="L3502" s="16">
        <f>SUM(F$5:F3502)/SUM(E$5:E3502)</f>
        <v>0.76363295953961963</v>
      </c>
    </row>
    <row r="3503" spans="1:12" x14ac:dyDescent="0.25">
      <c r="A3503" s="29">
        <v>46195</v>
      </c>
      <c r="B3503" s="16" t="s">
        <v>3549</v>
      </c>
      <c r="C3503" s="34">
        <v>1</v>
      </c>
      <c r="D3503" s="16" t="s">
        <v>60</v>
      </c>
      <c r="E3503" s="35">
        <v>4.3</v>
      </c>
      <c r="F3503" s="35">
        <v>3.2</v>
      </c>
      <c r="G3503" s="16" t="s">
        <v>44</v>
      </c>
      <c r="H3503" s="16" t="s">
        <v>45</v>
      </c>
      <c r="I3503" s="16">
        <f>COUNTIF(G$5:G3503,"Y")/COUNTA(G$5:G3503)</f>
        <v>0.88310945984567024</v>
      </c>
      <c r="J3503" s="16">
        <f>COUNTIF(H$5:H3503,"Y")/COUNTA(H$5:H3503)</f>
        <v>4.8013718205201485E-2</v>
      </c>
      <c r="K3503" s="16">
        <f>AVERAGE(F$5:F3503)</f>
        <v>2.2156901971991996</v>
      </c>
      <c r="L3503" s="16">
        <f>SUM(F$5:F3503)/SUM(E$5:E3503)</f>
        <v>0.76362472297463357</v>
      </c>
    </row>
    <row r="3504" spans="1:12" x14ac:dyDescent="0.25">
      <c r="A3504" s="29">
        <v>46196</v>
      </c>
      <c r="B3504" s="16" t="s">
        <v>3550</v>
      </c>
      <c r="C3504" s="34">
        <v>1</v>
      </c>
      <c r="D3504" s="16" t="s">
        <v>60</v>
      </c>
      <c r="E3504" s="35">
        <v>4.3</v>
      </c>
      <c r="F3504" s="35">
        <v>3</v>
      </c>
      <c r="G3504" s="16" t="s">
        <v>44</v>
      </c>
      <c r="H3504" s="16" t="s">
        <v>45</v>
      </c>
      <c r="I3504" s="16">
        <f>COUNTIF(G$5:G3504,"Y")/COUNTA(G$5:G3504)</f>
        <v>0.88314285714285712</v>
      </c>
      <c r="J3504" s="16">
        <f>COUNTIF(H$5:H3504,"Y")/COUNTA(H$5:H3504)</f>
        <v>4.8000000000000001E-2</v>
      </c>
      <c r="K3504" s="16">
        <f>AVERAGE(F$5:F3504)</f>
        <v>2.2159142857142857</v>
      </c>
      <c r="L3504" s="16">
        <f>SUM(F$5:F3504)/SUM(E$5:E3504)</f>
        <v>0.763596802142404</v>
      </c>
    </row>
    <row r="3505" spans="1:13" x14ac:dyDescent="0.25">
      <c r="A3505" s="29">
        <v>46197</v>
      </c>
      <c r="B3505" s="16" t="s">
        <v>3551</v>
      </c>
      <c r="C3505" s="34">
        <v>1</v>
      </c>
      <c r="D3505" s="16" t="s">
        <v>56</v>
      </c>
      <c r="E3505" s="35">
        <v>2.5</v>
      </c>
      <c r="F3505" s="35">
        <v>2.2000000000000002</v>
      </c>
      <c r="G3505" s="16" t="s">
        <v>44</v>
      </c>
      <c r="H3505" s="16" t="s">
        <v>45</v>
      </c>
      <c r="I3505" s="16">
        <f>COUNTIF(G$5:G3505,"Y")/COUNTA(G$5:G3505)</f>
        <v>0.88317623536132539</v>
      </c>
      <c r="J3505" s="16">
        <f>COUNTIF(H$5:H3505,"Y")/COUNTA(H$5:H3505)</f>
        <v>4.7986289631533847E-2</v>
      </c>
      <c r="K3505" s="16">
        <f>AVERAGE(F$5:F3505)</f>
        <v>2.2159097400742644</v>
      </c>
      <c r="L3505" s="16">
        <f>SUM(F$5:F3505)/SUM(E$5:E3505)</f>
        <v>0.76362544663509968</v>
      </c>
    </row>
    <row r="3506" spans="1:13" x14ac:dyDescent="0.25">
      <c r="A3506" s="29">
        <v>46198</v>
      </c>
      <c r="B3506" s="16" t="s">
        <v>3552</v>
      </c>
      <c r="C3506" s="34">
        <v>1</v>
      </c>
      <c r="D3506" s="16" t="s">
        <v>43</v>
      </c>
      <c r="E3506" s="35">
        <v>1.3</v>
      </c>
      <c r="F3506" s="35">
        <v>1.1000000000000001</v>
      </c>
      <c r="G3506" s="16" t="s">
        <v>44</v>
      </c>
      <c r="H3506" s="16" t="s">
        <v>45</v>
      </c>
      <c r="I3506" s="16">
        <f>COUNTIF(G$5:G3506,"Y")/COUNTA(G$5:G3506)</f>
        <v>0.88320959451741865</v>
      </c>
      <c r="J3506" s="16">
        <f>COUNTIF(H$5:H3506,"Y")/COUNTA(H$5:H3506)</f>
        <v>4.7972587093089665E-2</v>
      </c>
      <c r="K3506" s="16">
        <f>AVERAGE(F$5:F3506)</f>
        <v>2.2155910908052543</v>
      </c>
      <c r="L3506" s="16">
        <f>SUM(F$5:F3506)/SUM(E$5:E3506)</f>
        <v>0.76363600574768908</v>
      </c>
    </row>
    <row r="3507" spans="1:13" x14ac:dyDescent="0.25">
      <c r="A3507" s="29">
        <v>46199</v>
      </c>
      <c r="B3507" s="16" t="s">
        <v>3553</v>
      </c>
      <c r="C3507" s="34">
        <v>1</v>
      </c>
      <c r="D3507" s="16" t="s">
        <v>52</v>
      </c>
      <c r="E3507" s="35">
        <v>0.7</v>
      </c>
      <c r="F3507" s="35">
        <v>0.5</v>
      </c>
      <c r="G3507" s="16" t="s">
        <v>44</v>
      </c>
      <c r="H3507" s="16" t="s">
        <v>45</v>
      </c>
      <c r="I3507" s="16">
        <f>COUNTIF(G$5:G3507,"Y")/COUNTA(G$5:G3507)</f>
        <v>0.88324293462746217</v>
      </c>
      <c r="J3507" s="16">
        <f>COUNTIF(H$5:H3507,"Y")/COUNTA(H$5:H3507)</f>
        <v>4.7958892377961748E-2</v>
      </c>
      <c r="K3507" s="16">
        <f>AVERAGE(F$5:F3507)</f>
        <v>2.2151013417071082</v>
      </c>
      <c r="L3507" s="16">
        <f>SUM(F$5:F3507)/SUM(E$5:E3507)</f>
        <v>0.7636326060641816</v>
      </c>
    </row>
    <row r="3508" spans="1:13" x14ac:dyDescent="0.25">
      <c r="A3508" s="29">
        <v>46195</v>
      </c>
      <c r="B3508" s="16" t="s">
        <v>3554</v>
      </c>
      <c r="C3508" s="34">
        <v>1</v>
      </c>
      <c r="D3508" s="16" t="s">
        <v>64</v>
      </c>
      <c r="E3508" s="35">
        <v>0.7</v>
      </c>
      <c r="F3508" s="35">
        <v>0.5</v>
      </c>
      <c r="G3508" s="16" t="s">
        <v>44</v>
      </c>
      <c r="H3508" s="16" t="s">
        <v>45</v>
      </c>
      <c r="I3508" s="16">
        <f>COUNTIF(G$5:G3508,"Y")/COUNTA(G$5:G3508)</f>
        <v>0.88327625570776258</v>
      </c>
      <c r="J3508" s="16">
        <f>COUNTIF(H$5:H3508,"Y")/COUNTA(H$5:H3508)</f>
        <v>4.7945205479452052E-2</v>
      </c>
      <c r="K3508" s="16">
        <f>AVERAGE(F$5:F3508)</f>
        <v>2.2146118721461185</v>
      </c>
      <c r="L3508" s="16">
        <f>SUM(F$5:F3508)/SUM(E$5:E3508)</f>
        <v>0.76362920684904234</v>
      </c>
    </row>
    <row r="3509" spans="1:13" x14ac:dyDescent="0.25">
      <c r="A3509" s="29">
        <v>46196</v>
      </c>
      <c r="B3509" s="16" t="s">
        <v>3555</v>
      </c>
      <c r="C3509" s="34">
        <v>1</v>
      </c>
      <c r="D3509" s="16" t="s">
        <v>52</v>
      </c>
      <c r="E3509" s="35">
        <v>0.6</v>
      </c>
      <c r="F3509" s="35">
        <v>0.5</v>
      </c>
      <c r="G3509" s="16" t="s">
        <v>44</v>
      </c>
      <c r="H3509" s="16" t="s">
        <v>45</v>
      </c>
      <c r="I3509" s="16">
        <f>COUNTIF(G$5:G3509,"Y")/COUNTA(G$5:G3509)</f>
        <v>0.88330955777460773</v>
      </c>
      <c r="J3509" s="16">
        <f>COUNTIF(H$5:H3509,"Y")/COUNTA(H$5:H3509)</f>
        <v>4.7931526390870186E-2</v>
      </c>
      <c r="K3509" s="16">
        <f>AVERAGE(F$5:F3509)</f>
        <v>2.2141226818830244</v>
      </c>
      <c r="L3509" s="16">
        <f>SUM(F$5:F3509)/SUM(E$5:E3509)</f>
        <v>0.7636333221813284</v>
      </c>
    </row>
    <row r="3510" spans="1:13" x14ac:dyDescent="0.25">
      <c r="A3510" s="29">
        <v>46197</v>
      </c>
      <c r="B3510" s="16" t="s">
        <v>3556</v>
      </c>
      <c r="C3510" s="34">
        <v>1</v>
      </c>
      <c r="D3510" s="16" t="s">
        <v>47</v>
      </c>
      <c r="E3510" s="35">
        <v>0.7</v>
      </c>
      <c r="F3510" s="35">
        <v>0.5</v>
      </c>
      <c r="G3510" s="16" t="s">
        <v>44</v>
      </c>
      <c r="H3510" s="16" t="s">
        <v>45</v>
      </c>
      <c r="I3510" s="16">
        <f>COUNTIF(G$5:G3510,"Y")/COUNTA(G$5:G3510)</f>
        <v>0.88334284084426695</v>
      </c>
      <c r="J3510" s="16">
        <f>COUNTIF(H$5:H3510,"Y")/COUNTA(H$5:H3510)</f>
        <v>4.7917855105533369E-2</v>
      </c>
      <c r="K3510" s="16">
        <f>AVERAGE(F$5:F3510)</f>
        <v>2.2136337706788365</v>
      </c>
      <c r="L3510" s="16">
        <f>SUM(F$5:F3510)/SUM(E$5:E3510)</f>
        <v>0.76362992335166402</v>
      </c>
    </row>
    <row r="3511" spans="1:13" x14ac:dyDescent="0.25">
      <c r="A3511" s="29">
        <v>46198</v>
      </c>
      <c r="B3511" s="16" t="s">
        <v>3557</v>
      </c>
      <c r="C3511" s="34">
        <v>1</v>
      </c>
      <c r="D3511" s="16" t="s">
        <v>43</v>
      </c>
      <c r="E3511" s="35">
        <v>3.6</v>
      </c>
      <c r="F3511" s="35">
        <v>0.5</v>
      </c>
      <c r="G3511" s="16" t="s">
        <v>44</v>
      </c>
      <c r="H3511" s="16" t="s">
        <v>45</v>
      </c>
      <c r="I3511" s="16">
        <f>COUNTIF(G$5:G3511,"Y")/COUNTA(G$5:G3511)</f>
        <v>0.88337610493299112</v>
      </c>
      <c r="J3511" s="16">
        <f>COUNTIF(H$5:H3511,"Y")/COUNTA(H$5:H3511)</f>
        <v>4.790419161676647E-2</v>
      </c>
      <c r="K3511" s="16">
        <f>AVERAGE(F$5:F3511)</f>
        <v>2.2131451382948391</v>
      </c>
      <c r="L3511" s="16">
        <f>SUM(F$5:F3511)/SUM(E$5:E3511)</f>
        <v>0.76340870865258503</v>
      </c>
      <c r="M3511" s="16">
        <v>6</v>
      </c>
    </row>
    <row r="3512" spans="1:13" x14ac:dyDescent="0.25">
      <c r="A3512" s="29">
        <v>46202</v>
      </c>
      <c r="B3512" s="16" t="s">
        <v>3558</v>
      </c>
      <c r="C3512" s="34">
        <v>1</v>
      </c>
      <c r="D3512" s="16" t="s">
        <v>47</v>
      </c>
      <c r="E3512" s="35">
        <v>5.7</v>
      </c>
      <c r="F3512" s="35">
        <v>4.2</v>
      </c>
      <c r="G3512" s="16" t="s">
        <v>44</v>
      </c>
      <c r="H3512" s="16" t="s">
        <v>45</v>
      </c>
      <c r="I3512" s="16">
        <f>COUNTIF(G$5:G3512,"Y")/COUNTA(G$5:G3512)</f>
        <v>0.88340935005701249</v>
      </c>
      <c r="J3512" s="16">
        <f>COUNTIF(H$5:H3512,"Y")/COUNTA(H$5:H3512)</f>
        <v>4.789053591790194E-2</v>
      </c>
      <c r="K3512" s="16">
        <f>AVERAGE(F$5:F3512)</f>
        <v>2.2137115165336372</v>
      </c>
      <c r="L3512" s="16">
        <f>SUM(F$5:F3512)/SUM(E$5:E3512)</f>
        <v>0.76339382262154865</v>
      </c>
    </row>
    <row r="3513" spans="1:13" x14ac:dyDescent="0.25">
      <c r="A3513" s="29">
        <v>46203</v>
      </c>
      <c r="B3513" s="16" t="s">
        <v>3559</v>
      </c>
      <c r="C3513" s="34">
        <v>1</v>
      </c>
      <c r="D3513" s="16" t="s">
        <v>60</v>
      </c>
      <c r="E3513" s="35">
        <v>3.2</v>
      </c>
      <c r="F3513" s="35">
        <v>2.1</v>
      </c>
      <c r="G3513" s="16" t="s">
        <v>44</v>
      </c>
      <c r="H3513" s="16" t="s">
        <v>45</v>
      </c>
      <c r="I3513" s="16">
        <f>COUNTIF(G$5:G3513,"Y")/COUNTA(G$5:G3513)</f>
        <v>0.88344257623254485</v>
      </c>
      <c r="J3513" s="16">
        <f>COUNTIF(H$5:H3513,"Y")/COUNTA(H$5:H3513)</f>
        <v>4.7876888002279849E-2</v>
      </c>
      <c r="K3513" s="16">
        <f>AVERAGE(F$5:F3513)</f>
        <v>2.2136791108577945</v>
      </c>
      <c r="L3513" s="16">
        <f>SUM(F$5:F3513)/SUM(E$5:E3513)</f>
        <v>0.76336012893334837</v>
      </c>
    </row>
    <row r="3514" spans="1:13" x14ac:dyDescent="0.25">
      <c r="A3514" s="29">
        <v>46204</v>
      </c>
      <c r="B3514" s="16" t="s">
        <v>3560</v>
      </c>
      <c r="C3514" s="34">
        <v>1</v>
      </c>
      <c r="D3514" s="16" t="s">
        <v>52</v>
      </c>
      <c r="E3514" s="35">
        <v>3.2</v>
      </c>
      <c r="F3514" s="35">
        <v>2.6</v>
      </c>
      <c r="G3514" s="16" t="s">
        <v>44</v>
      </c>
      <c r="H3514" s="16" t="s">
        <v>45</v>
      </c>
      <c r="I3514" s="16">
        <f>COUNTIF(G$5:G3514,"Y")/COUNTA(G$5:G3514)</f>
        <v>0.88347578347578348</v>
      </c>
      <c r="J3514" s="16">
        <f>COUNTIF(H$5:H3514,"Y")/COUNTA(H$5:H3514)</f>
        <v>4.7863247863247867E-2</v>
      </c>
      <c r="K3514" s="16">
        <f>AVERAGE(F$5:F3514)</f>
        <v>2.2137891737891739</v>
      </c>
      <c r="L3514" s="16">
        <f>SUM(F$5:F3514)/SUM(E$5:E3514)</f>
        <v>0.76337557716867721</v>
      </c>
    </row>
    <row r="3515" spans="1:13" x14ac:dyDescent="0.25">
      <c r="A3515" s="29">
        <v>46205</v>
      </c>
      <c r="B3515" s="16" t="s">
        <v>3561</v>
      </c>
      <c r="C3515" s="34">
        <v>1</v>
      </c>
      <c r="D3515" s="16" t="s">
        <v>47</v>
      </c>
      <c r="E3515" s="35">
        <v>1.8</v>
      </c>
      <c r="F3515" s="35">
        <v>1.3</v>
      </c>
      <c r="G3515" s="16" t="s">
        <v>44</v>
      </c>
      <c r="H3515" s="16" t="s">
        <v>45</v>
      </c>
      <c r="I3515" s="16">
        <f>COUNTIF(G$5:G3515,"Y")/COUNTA(G$5:G3515)</f>
        <v>0.88350897180290511</v>
      </c>
      <c r="J3515" s="16">
        <f>COUNTIF(H$5:H3515,"Y")/COUNTA(H$5:H3515)</f>
        <v>4.784961549416121E-2</v>
      </c>
      <c r="K3515" s="16">
        <f>AVERAGE(F$5:F3515)</f>
        <v>2.2135289091426946</v>
      </c>
      <c r="L3515" s="16">
        <f>SUM(F$5:F3515)/SUM(E$5:E3515)</f>
        <v>0.76336830111582255</v>
      </c>
    </row>
    <row r="3516" spans="1:13" x14ac:dyDescent="0.25">
      <c r="A3516" s="29">
        <v>46206</v>
      </c>
      <c r="B3516" s="16" t="s">
        <v>3562</v>
      </c>
      <c r="C3516" s="34">
        <v>1</v>
      </c>
      <c r="D3516" s="16" t="s">
        <v>52</v>
      </c>
      <c r="E3516" s="35">
        <v>4.8</v>
      </c>
      <c r="F3516" s="35">
        <v>4.2</v>
      </c>
      <c r="G3516" s="16" t="s">
        <v>44</v>
      </c>
      <c r="H3516" s="16" t="s">
        <v>45</v>
      </c>
      <c r="I3516" s="16">
        <f>COUNTIF(G$5:G3516,"Y")/COUNTA(G$5:G3516)</f>
        <v>0.88354214123006836</v>
      </c>
      <c r="J3516" s="16">
        <f>COUNTIF(H$5:H3516,"Y")/COUNTA(H$5:H3516)</f>
        <v>4.7835990888382689E-2</v>
      </c>
      <c r="K3516" s="16">
        <f>AVERAGE(F$5:F3516)</f>
        <v>2.2140945330296131</v>
      </c>
      <c r="L3516" s="16">
        <f>SUM(F$5:F3516)/SUM(E$5:E3516)</f>
        <v>0.76342090794847306</v>
      </c>
    </row>
    <row r="3517" spans="1:13" x14ac:dyDescent="0.25">
      <c r="A3517" s="29">
        <v>46202</v>
      </c>
      <c r="B3517" s="16" t="s">
        <v>3563</v>
      </c>
      <c r="C3517" s="34">
        <v>1</v>
      </c>
      <c r="D3517" s="16" t="s">
        <v>52</v>
      </c>
      <c r="E3517" s="35">
        <v>4.9000000000000004</v>
      </c>
      <c r="F3517" s="35">
        <v>3.8</v>
      </c>
      <c r="G3517" s="16" t="s">
        <v>44</v>
      </c>
      <c r="H3517" s="16" t="s">
        <v>45</v>
      </c>
      <c r="I3517" s="16">
        <f>COUNTIF(G$5:G3517,"Y")/COUNTA(G$5:G3517)</f>
        <v>0.88357529177341299</v>
      </c>
      <c r="J3517" s="16">
        <f>COUNTIF(H$5:H3517,"Y")/COUNTA(H$5:H3517)</f>
        <v>4.7822374039282661E-2</v>
      </c>
      <c r="K3517" s="16">
        <f>AVERAGE(F$5:F3517)</f>
        <v>2.2145459721036151</v>
      </c>
      <c r="L3517" s="16">
        <f>SUM(F$5:F3517)/SUM(E$5:E3517)</f>
        <v>0.76342672096560205</v>
      </c>
    </row>
    <row r="3518" spans="1:13" x14ac:dyDescent="0.25">
      <c r="A3518" s="29">
        <v>46203</v>
      </c>
      <c r="B3518" s="16" t="s">
        <v>3564</v>
      </c>
      <c r="C3518" s="34">
        <v>1</v>
      </c>
      <c r="D3518" s="16" t="s">
        <v>64</v>
      </c>
      <c r="E3518" s="35">
        <v>3.8</v>
      </c>
      <c r="F3518" s="35">
        <v>2.6</v>
      </c>
      <c r="G3518" s="16" t="s">
        <v>44</v>
      </c>
      <c r="H3518" s="16" t="s">
        <v>45</v>
      </c>
      <c r="I3518" s="16">
        <f>COUNTIF(G$5:G3518,"Y")/COUNTA(G$5:G3518)</f>
        <v>0.88360842344906088</v>
      </c>
      <c r="J3518" s="16">
        <f>COUNTIF(H$5:H3518,"Y")/COUNTA(H$5:H3518)</f>
        <v>4.7808764940239043E-2</v>
      </c>
      <c r="K3518" s="16">
        <f>AVERAGE(F$5:F3518)</f>
        <v>2.2146556630620378</v>
      </c>
      <c r="L3518" s="16">
        <f>SUM(F$5:F3518)/SUM(E$5:E3518)</f>
        <v>0.76339719254877414</v>
      </c>
    </row>
    <row r="3519" spans="1:13" x14ac:dyDescent="0.25">
      <c r="A3519" s="29">
        <v>46204</v>
      </c>
      <c r="B3519" s="16" t="s">
        <v>3565</v>
      </c>
      <c r="C3519" s="34">
        <v>1</v>
      </c>
      <c r="D3519" s="16" t="s">
        <v>50</v>
      </c>
      <c r="E3519" s="35">
        <v>4.5</v>
      </c>
      <c r="F3519" s="35">
        <v>3</v>
      </c>
      <c r="G3519" s="16" t="s">
        <v>44</v>
      </c>
      <c r="H3519" s="16" t="s">
        <v>45</v>
      </c>
      <c r="I3519" s="16">
        <f>COUNTIF(G$5:G3519,"Y")/COUNTA(G$5:G3519)</f>
        <v>0.88364153627311526</v>
      </c>
      <c r="J3519" s="16">
        <f>COUNTIF(H$5:H3519,"Y")/COUNTA(H$5:H3519)</f>
        <v>4.7795163584637271E-2</v>
      </c>
      <c r="K3519" s="16">
        <f>AVERAGE(F$5:F3519)</f>
        <v>2.2148790896159318</v>
      </c>
      <c r="L3519" s="16">
        <f>SUM(F$5:F3519)/SUM(E$5:E3519)</f>
        <v>0.76335451229556106</v>
      </c>
    </row>
    <row r="3520" spans="1:13" x14ac:dyDescent="0.25">
      <c r="A3520" s="29">
        <v>46205</v>
      </c>
      <c r="B3520" s="16" t="s">
        <v>3566</v>
      </c>
      <c r="C3520" s="34">
        <v>1</v>
      </c>
      <c r="D3520" s="16" t="s">
        <v>56</v>
      </c>
      <c r="E3520" s="35">
        <v>4.5999999999999996</v>
      </c>
      <c r="F3520" s="35">
        <v>3.8</v>
      </c>
      <c r="G3520" s="16" t="s">
        <v>44</v>
      </c>
      <c r="H3520" s="16" t="s">
        <v>45</v>
      </c>
      <c r="I3520" s="16">
        <f>COUNTIF(G$5:G3520,"Y")/COUNTA(G$5:G3520)</f>
        <v>0.88367463026166093</v>
      </c>
      <c r="J3520" s="16">
        <f>COUNTIF(H$5:H3520,"Y")/COUNTA(H$5:H3520)</f>
        <v>4.778156996587031E-2</v>
      </c>
      <c r="K3520" s="16">
        <f>AVERAGE(F$5:F3520)</f>
        <v>2.2153299203640504</v>
      </c>
      <c r="L3520" s="16">
        <f>SUM(F$5:F3520)/SUM(E$5:E3520)</f>
        <v>0.76338279397063413</v>
      </c>
    </row>
    <row r="3521" spans="1:12" x14ac:dyDescent="0.25">
      <c r="A3521" s="29">
        <v>46206</v>
      </c>
      <c r="B3521" s="16" t="s">
        <v>3567</v>
      </c>
      <c r="C3521" s="34">
        <v>1</v>
      </c>
      <c r="D3521" s="16" t="s">
        <v>50</v>
      </c>
      <c r="E3521" s="35">
        <v>3</v>
      </c>
      <c r="F3521" s="35">
        <v>2</v>
      </c>
      <c r="G3521" s="16" t="s">
        <v>44</v>
      </c>
      <c r="H3521" s="16" t="s">
        <v>45</v>
      </c>
      <c r="I3521" s="16">
        <f>COUNTIF(G$5:G3521,"Y")/COUNTA(G$5:G3521)</f>
        <v>0.88370770543076482</v>
      </c>
      <c r="J3521" s="16">
        <f>COUNTIF(H$5:H3521,"Y")/COUNTA(H$5:H3521)</f>
        <v>4.7767984077338642E-2</v>
      </c>
      <c r="K3521" s="16">
        <f>AVERAGE(F$5:F3521)</f>
        <v>2.2152686949104354</v>
      </c>
      <c r="L3521" s="16">
        <f>SUM(F$5:F3521)/SUM(E$5:E3521)</f>
        <v>0.76335436588806715</v>
      </c>
    </row>
    <row r="3522" spans="1:12" x14ac:dyDescent="0.25">
      <c r="A3522" s="29">
        <v>46202</v>
      </c>
      <c r="B3522" s="16" t="s">
        <v>3568</v>
      </c>
      <c r="C3522" s="34">
        <v>1</v>
      </c>
      <c r="D3522" s="16" t="s">
        <v>60</v>
      </c>
      <c r="E3522" s="35">
        <v>5.6</v>
      </c>
      <c r="F3522" s="35">
        <v>3.9</v>
      </c>
      <c r="G3522" s="16" t="s">
        <v>44</v>
      </c>
      <c r="H3522" s="16" t="s">
        <v>45</v>
      </c>
      <c r="I3522" s="16">
        <f>COUNTIF(G$5:G3522,"Y")/COUNTA(G$5:G3522)</f>
        <v>0.88374076179647532</v>
      </c>
      <c r="J3522" s="16">
        <f>COUNTIF(H$5:H3522,"Y")/COUNTA(H$5:H3522)</f>
        <v>4.7754405912450254E-2</v>
      </c>
      <c r="K3522" s="16">
        <f>AVERAGE(F$5:F3522)</f>
        <v>2.2157475838544629</v>
      </c>
      <c r="L3522" s="16">
        <f>SUM(F$5:F3522)/SUM(E$5:E3522)</f>
        <v>0.76331766549157531</v>
      </c>
    </row>
    <row r="3523" spans="1:12" x14ac:dyDescent="0.25">
      <c r="A3523" s="29">
        <v>46203</v>
      </c>
      <c r="B3523" s="16" t="s">
        <v>3569</v>
      </c>
      <c r="C3523" s="34">
        <v>1</v>
      </c>
      <c r="D3523" s="16" t="s">
        <v>52</v>
      </c>
      <c r="E3523" s="35">
        <v>4.5</v>
      </c>
      <c r="F3523" s="35">
        <v>3.3</v>
      </c>
      <c r="G3523" s="16" t="s">
        <v>44</v>
      </c>
      <c r="H3523" s="16" t="s">
        <v>45</v>
      </c>
      <c r="I3523" s="16">
        <f>COUNTIF(G$5:G3523,"Y")/COUNTA(G$5:G3523)</f>
        <v>0.88377379937482237</v>
      </c>
      <c r="J3523" s="16">
        <f>COUNTIF(H$5:H3523,"Y")/COUNTA(H$5:H3523)</f>
        <v>4.7740835464620629E-2</v>
      </c>
      <c r="K3523" s="16">
        <f>AVERAGE(F$5:F3523)</f>
        <v>2.2160556976413757</v>
      </c>
      <c r="L3523" s="16">
        <f>SUM(F$5:F3523)/SUM(E$5:E3523)</f>
        <v>0.76330445847403394</v>
      </c>
    </row>
    <row r="3524" spans="1:12" x14ac:dyDescent="0.25">
      <c r="A3524" s="29">
        <v>46204</v>
      </c>
      <c r="B3524" s="16" t="s">
        <v>3570</v>
      </c>
      <c r="C3524" s="34">
        <v>1</v>
      </c>
      <c r="D3524" s="16" t="s">
        <v>43</v>
      </c>
      <c r="E3524" s="35">
        <v>2.7</v>
      </c>
      <c r="F3524" s="35">
        <v>2.4</v>
      </c>
      <c r="G3524" s="16" t="s">
        <v>44</v>
      </c>
      <c r="H3524" s="16" t="s">
        <v>45</v>
      </c>
      <c r="I3524" s="16">
        <f>COUNTIF(G$5:G3524,"Y")/COUNTA(G$5:G3524)</f>
        <v>0.88380681818181817</v>
      </c>
      <c r="J3524" s="16">
        <f>COUNTIF(H$5:H3524,"Y")/COUNTA(H$5:H3524)</f>
        <v>4.7727272727272729E-2</v>
      </c>
      <c r="K3524" s="16">
        <f>AVERAGE(F$5:F3524)</f>
        <v>2.2161079545454547</v>
      </c>
      <c r="L3524" s="16">
        <f>SUM(F$5:F3524)/SUM(E$5:E3524)</f>
        <v>0.76333763895412232</v>
      </c>
    </row>
    <row r="3525" spans="1:12" x14ac:dyDescent="0.25">
      <c r="A3525" s="29">
        <v>46205</v>
      </c>
      <c r="B3525" s="16" t="s">
        <v>3571</v>
      </c>
      <c r="C3525" s="34">
        <v>1</v>
      </c>
      <c r="D3525" s="16" t="s">
        <v>50</v>
      </c>
      <c r="E3525" s="35">
        <v>2.2999999999999998</v>
      </c>
      <c r="F3525" s="35">
        <v>1.9</v>
      </c>
      <c r="G3525" s="16" t="s">
        <v>45</v>
      </c>
      <c r="H3525" s="16" t="s">
        <v>45</v>
      </c>
      <c r="I3525" s="16">
        <f>COUNTIF(G$5:G3525,"Y")/COUNTA(G$5:G3525)</f>
        <v>0.88355580800908828</v>
      </c>
      <c r="J3525" s="16">
        <f>COUNTIF(H$5:H3525,"Y")/COUNTA(H$5:H3525)</f>
        <v>4.7713717693836977E-2</v>
      </c>
      <c r="K3525" s="16">
        <f>AVERAGE(F$5:F3525)</f>
        <v>2.2160181766543596</v>
      </c>
      <c r="L3525" s="16">
        <f>SUM(F$5:F3525)/SUM(E$5:E3525)</f>
        <v>0.76335175854815507</v>
      </c>
    </row>
    <row r="3526" spans="1:12" x14ac:dyDescent="0.25">
      <c r="A3526" s="29">
        <v>46206</v>
      </c>
      <c r="B3526" s="16" t="s">
        <v>3572</v>
      </c>
      <c r="C3526" s="34">
        <v>1</v>
      </c>
      <c r="D3526" s="16" t="s">
        <v>47</v>
      </c>
      <c r="E3526" s="35">
        <v>4.5999999999999996</v>
      </c>
      <c r="F3526" s="35">
        <v>3.8</v>
      </c>
      <c r="G3526" s="16" t="s">
        <v>44</v>
      </c>
      <c r="H3526" s="16" t="s">
        <v>45</v>
      </c>
      <c r="I3526" s="16">
        <f>COUNTIF(G$5:G3526,"Y")/COUNTA(G$5:G3526)</f>
        <v>0.88358886996024988</v>
      </c>
      <c r="J3526" s="16">
        <f>COUNTIF(H$5:H3526,"Y")/COUNTA(H$5:H3526)</f>
        <v>4.770017035775128E-2</v>
      </c>
      <c r="K3526" s="16">
        <f>AVERAGE(F$5:F3526)</f>
        <v>2.216467915956843</v>
      </c>
      <c r="L3526" s="16">
        <f>SUM(F$5:F3526)/SUM(E$5:E3526)</f>
        <v>0.7633799786819967</v>
      </c>
    </row>
    <row r="3527" spans="1:12" x14ac:dyDescent="0.25">
      <c r="A3527" s="29">
        <v>46202</v>
      </c>
      <c r="B3527" s="16" t="s">
        <v>3573</v>
      </c>
      <c r="C3527" s="34">
        <v>1</v>
      </c>
      <c r="D3527" s="16" t="s">
        <v>52</v>
      </c>
      <c r="E3527" s="35">
        <v>1.4</v>
      </c>
      <c r="F3527" s="35">
        <v>1.2</v>
      </c>
      <c r="G3527" s="16" t="s">
        <v>44</v>
      </c>
      <c r="H3527" s="16" t="s">
        <v>45</v>
      </c>
      <c r="I3527" s="16">
        <f>COUNTIF(G$5:G3527,"Y")/COUNTA(G$5:G3527)</f>
        <v>0.88362191314220839</v>
      </c>
      <c r="J3527" s="16">
        <f>COUNTIF(H$5:H3527,"Y")/COUNTA(H$5:H3527)</f>
        <v>4.7686630712460973E-2</v>
      </c>
      <c r="K3527" s="16">
        <f>AVERAGE(F$5:F3527)</f>
        <v>2.2161793925631565</v>
      </c>
      <c r="L3527" s="16">
        <f>SUM(F$5:F3527)/SUM(E$5:E3527)</f>
        <v>0.76339281349303023</v>
      </c>
    </row>
    <row r="3528" spans="1:12" x14ac:dyDescent="0.25">
      <c r="A3528" s="29">
        <v>46203</v>
      </c>
      <c r="B3528" s="16" t="s">
        <v>3574</v>
      </c>
      <c r="C3528" s="34">
        <v>1</v>
      </c>
      <c r="D3528" s="16" t="s">
        <v>47</v>
      </c>
      <c r="E3528" s="35">
        <v>2</v>
      </c>
      <c r="F3528" s="35">
        <v>1.4</v>
      </c>
      <c r="G3528" s="16" t="s">
        <v>44</v>
      </c>
      <c r="H3528" s="16" t="s">
        <v>45</v>
      </c>
      <c r="I3528" s="16">
        <f>COUNTIF(G$5:G3528,"Y")/COUNTA(G$5:G3528)</f>
        <v>0.88365493757094216</v>
      </c>
      <c r="J3528" s="16">
        <f>COUNTIF(H$5:H3528,"Y")/COUNTA(H$5:H3528)</f>
        <v>4.7673098751418841E-2</v>
      </c>
      <c r="K3528" s="16">
        <f>AVERAGE(F$5:F3528)</f>
        <v>2.2159477866061295</v>
      </c>
      <c r="L3528" s="16">
        <f>SUM(F$5:F3528)/SUM(E$5:E3528)</f>
        <v>0.76338041937533274</v>
      </c>
    </row>
    <row r="3529" spans="1:12" x14ac:dyDescent="0.25">
      <c r="A3529" s="29">
        <v>46204</v>
      </c>
      <c r="B3529" s="16" t="s">
        <v>3575</v>
      </c>
      <c r="C3529" s="34">
        <v>1</v>
      </c>
      <c r="D3529" s="16" t="s">
        <v>47</v>
      </c>
      <c r="E3529" s="35">
        <v>4.3</v>
      </c>
      <c r="F3529" s="35">
        <v>2.9</v>
      </c>
      <c r="G3529" s="16" t="s">
        <v>44</v>
      </c>
      <c r="H3529" s="16" t="s">
        <v>45</v>
      </c>
      <c r="I3529" s="16">
        <f>COUNTIF(G$5:G3529,"Y")/COUNTA(G$5:G3529)</f>
        <v>0.8836879432624114</v>
      </c>
      <c r="J3529" s="16">
        <f>COUNTIF(H$5:H3529,"Y")/COUNTA(H$5:H3529)</f>
        <v>4.7659574468085109E-2</v>
      </c>
      <c r="K3529" s="16">
        <f>AVERAGE(F$5:F3529)</f>
        <v>2.2161418439716312</v>
      </c>
      <c r="L3529" s="16">
        <f>SUM(F$5:F3529)/SUM(E$5:E3529)</f>
        <v>0.76334303973108397</v>
      </c>
    </row>
    <row r="3530" spans="1:12" x14ac:dyDescent="0.25">
      <c r="A3530" s="29">
        <v>46205</v>
      </c>
      <c r="B3530" s="16" t="s">
        <v>3576</v>
      </c>
      <c r="C3530" s="34">
        <v>1</v>
      </c>
      <c r="D3530" s="16" t="s">
        <v>50</v>
      </c>
      <c r="E3530" s="35">
        <v>4.5999999999999996</v>
      </c>
      <c r="F3530" s="35">
        <v>4.0999999999999996</v>
      </c>
      <c r="G3530" s="16" t="s">
        <v>44</v>
      </c>
      <c r="H3530" s="16" t="s">
        <v>45</v>
      </c>
      <c r="I3530" s="16">
        <f>COUNTIF(G$5:G3530,"Y")/COUNTA(G$5:G3530)</f>
        <v>0.88372093023255816</v>
      </c>
      <c r="J3530" s="16">
        <f>COUNTIF(H$5:H3530,"Y")/COUNTA(H$5:H3530)</f>
        <v>4.7646057855927397E-2</v>
      </c>
      <c r="K3530" s="16">
        <f>AVERAGE(F$5:F3530)</f>
        <v>2.2166761202495744</v>
      </c>
      <c r="L3530" s="16">
        <f>SUM(F$5:F3530)/SUM(E$5:E3530)</f>
        <v>0.76340053133301755</v>
      </c>
    </row>
    <row r="3531" spans="1:12" x14ac:dyDescent="0.25">
      <c r="A3531" s="29">
        <v>46206</v>
      </c>
      <c r="B3531" s="16" t="s">
        <v>3577</v>
      </c>
      <c r="C3531" s="34">
        <v>1</v>
      </c>
      <c r="D3531" s="16" t="s">
        <v>64</v>
      </c>
      <c r="E3531" s="35">
        <v>5.5</v>
      </c>
      <c r="F3531" s="35">
        <v>3.9</v>
      </c>
      <c r="G3531" s="16" t="s">
        <v>44</v>
      </c>
      <c r="H3531" s="16" t="s">
        <v>45</v>
      </c>
      <c r="I3531" s="16">
        <f>COUNTIF(G$5:G3531,"Y")/COUNTA(G$5:G3531)</f>
        <v>0.88375389849730646</v>
      </c>
      <c r="J3531" s="16">
        <f>COUNTIF(H$5:H3531,"Y")/COUNTA(H$5:H3531)</f>
        <v>4.7632548908420752E-2</v>
      </c>
      <c r="K3531" s="16">
        <f>AVERAGE(F$5:F3531)</f>
        <v>2.2171533881485681</v>
      </c>
      <c r="L3531" s="16">
        <f>SUM(F$5:F3531)/SUM(E$5:E3531)</f>
        <v>0.76337137223127582</v>
      </c>
    </row>
    <row r="3532" spans="1:12" x14ac:dyDescent="0.25">
      <c r="A3532" s="29">
        <v>46202</v>
      </c>
      <c r="B3532" s="16" t="s">
        <v>3578</v>
      </c>
      <c r="C3532" s="34">
        <v>1</v>
      </c>
      <c r="D3532" s="16" t="s">
        <v>56</v>
      </c>
      <c r="E3532" s="35">
        <v>5.2</v>
      </c>
      <c r="F3532" s="35">
        <v>3.6</v>
      </c>
      <c r="G3532" s="16" t="s">
        <v>44</v>
      </c>
      <c r="H3532" s="16" t="s">
        <v>45</v>
      </c>
      <c r="I3532" s="16">
        <f>COUNTIF(G$5:G3532,"Y")/COUNTA(G$5:G3532)</f>
        <v>0.88378684807256236</v>
      </c>
      <c r="J3532" s="16">
        <f>COUNTIF(H$5:H3532,"Y")/COUNTA(H$5:H3532)</f>
        <v>4.7619047619047616E-2</v>
      </c>
      <c r="K3532" s="16">
        <f>AVERAGE(F$5:F3532)</f>
        <v>2.2175453514739227</v>
      </c>
      <c r="L3532" s="16">
        <f>SUM(F$5:F3532)/SUM(E$5:E3532)</f>
        <v>0.76333531724736481</v>
      </c>
    </row>
    <row r="3533" spans="1:12" x14ac:dyDescent="0.25">
      <c r="A3533" s="29">
        <v>46203</v>
      </c>
      <c r="B3533" s="16" t="s">
        <v>3579</v>
      </c>
      <c r="C3533" s="34">
        <v>1</v>
      </c>
      <c r="D3533" s="16" t="s">
        <v>64</v>
      </c>
      <c r="E3533" s="35">
        <v>5</v>
      </c>
      <c r="F3533" s="35">
        <v>3.6</v>
      </c>
      <c r="G3533" s="16" t="s">
        <v>44</v>
      </c>
      <c r="H3533" s="16" t="s">
        <v>45</v>
      </c>
      <c r="I3533" s="16">
        <f>COUNTIF(G$5:G3533,"Y")/COUNTA(G$5:G3533)</f>
        <v>0.88381977897421371</v>
      </c>
      <c r="J3533" s="16">
        <f>COUNTIF(H$5:H3533,"Y")/COUNTA(H$5:H3533)</f>
        <v>4.7605553981297816E-2</v>
      </c>
      <c r="K3533" s="16">
        <f>AVERAGE(F$5:F3533)</f>
        <v>2.2179370926608106</v>
      </c>
      <c r="L3533" s="16">
        <f>SUM(F$5:F3533)/SUM(E$5:E3533)</f>
        <v>0.76331418652051053</v>
      </c>
    </row>
    <row r="3534" spans="1:12" x14ac:dyDescent="0.25">
      <c r="A3534" s="29">
        <v>46204</v>
      </c>
      <c r="B3534" s="16" t="s">
        <v>3580</v>
      </c>
      <c r="C3534" s="34">
        <v>1</v>
      </c>
      <c r="D3534" s="16" t="s">
        <v>50</v>
      </c>
      <c r="E3534" s="35">
        <v>3.7</v>
      </c>
      <c r="F3534" s="35">
        <v>2.7</v>
      </c>
      <c r="G3534" s="16" t="s">
        <v>44</v>
      </c>
      <c r="H3534" s="16" t="s">
        <v>45</v>
      </c>
      <c r="I3534" s="16">
        <f>COUNTIF(G$5:G3534,"Y")/COUNTA(G$5:G3534)</f>
        <v>0.88385269121813026</v>
      </c>
      <c r="J3534" s="16">
        <f>COUNTIF(H$5:H3534,"Y")/COUNTA(H$5:H3534)</f>
        <v>4.7592067988668559E-2</v>
      </c>
      <c r="K3534" s="16">
        <f>AVERAGE(F$5:F3534)</f>
        <v>2.2180736543909347</v>
      </c>
      <c r="L3534" s="16">
        <f>SUM(F$5:F3534)/SUM(E$5:E3534)</f>
        <v>0.7633020725691636</v>
      </c>
    </row>
    <row r="3535" spans="1:12" x14ac:dyDescent="0.25">
      <c r="A3535" s="29">
        <v>46205</v>
      </c>
      <c r="B3535" s="16" t="s">
        <v>3581</v>
      </c>
      <c r="C3535" s="34">
        <v>1</v>
      </c>
      <c r="D3535" s="16" t="s">
        <v>52</v>
      </c>
      <c r="E3535" s="35">
        <v>3.9</v>
      </c>
      <c r="F3535" s="35">
        <v>2.9</v>
      </c>
      <c r="G3535" s="16" t="s">
        <v>44</v>
      </c>
      <c r="H3535" s="16" t="s">
        <v>44</v>
      </c>
      <c r="I3535" s="16">
        <f>COUNTIF(G$5:G3535,"Y")/COUNTA(G$5:G3535)</f>
        <v>0.88388558482016422</v>
      </c>
      <c r="J3535" s="16">
        <f>COUNTIF(H$5:H3535,"Y")/COUNTA(H$5:H3535)</f>
        <v>4.7861795525346924E-2</v>
      </c>
      <c r="K3535" s="16">
        <f>AVERAGE(F$5:F3535)</f>
        <v>2.218266779949023</v>
      </c>
      <c r="L3535" s="16">
        <f>SUM(F$5:F3535)/SUM(E$5:E3535)</f>
        <v>0.76329458081993884</v>
      </c>
    </row>
    <row r="3536" spans="1:12" x14ac:dyDescent="0.25">
      <c r="A3536" s="29">
        <v>46206</v>
      </c>
      <c r="B3536" s="16" t="s">
        <v>3582</v>
      </c>
      <c r="C3536" s="34">
        <v>1</v>
      </c>
      <c r="D3536" s="16" t="s">
        <v>43</v>
      </c>
      <c r="E3536" s="35">
        <v>5.3</v>
      </c>
      <c r="F3536" s="35">
        <v>3.6</v>
      </c>
      <c r="G3536" s="16" t="s">
        <v>44</v>
      </c>
      <c r="H3536" s="16" t="s">
        <v>45</v>
      </c>
      <c r="I3536" s="16">
        <f>COUNTIF(G$5:G3536,"Y")/COUNTA(G$5:G3536)</f>
        <v>0.88391845979614947</v>
      </c>
      <c r="J3536" s="16">
        <f>COUNTIF(H$5:H3536,"Y")/COUNTA(H$5:H3536)</f>
        <v>4.7848244620611553E-2</v>
      </c>
      <c r="K3536" s="16">
        <f>AVERAGE(F$5:F3536)</f>
        <v>2.2186579841449605</v>
      </c>
      <c r="L3536" s="16">
        <f>SUM(F$5:F3536)/SUM(E$5:E3536)</f>
        <v>0.76325119314307655</v>
      </c>
    </row>
    <row r="3537" spans="1:12" x14ac:dyDescent="0.25">
      <c r="A3537" s="29">
        <v>46202</v>
      </c>
      <c r="B3537" s="16" t="s">
        <v>3583</v>
      </c>
      <c r="C3537" s="34">
        <v>1</v>
      </c>
      <c r="D3537" s="16" t="s">
        <v>56</v>
      </c>
      <c r="E3537" s="35">
        <v>5.2</v>
      </c>
      <c r="F3537" s="35">
        <v>4.0999999999999996</v>
      </c>
      <c r="G3537" s="16" t="s">
        <v>45</v>
      </c>
      <c r="H3537" s="16" t="s">
        <v>45</v>
      </c>
      <c r="I3537" s="16">
        <f>COUNTIF(G$5:G3537,"Y")/COUNTA(G$5:G3537)</f>
        <v>0.88366827059156527</v>
      </c>
      <c r="J3537" s="16">
        <f>COUNTIF(H$5:H3537,"Y")/COUNTA(H$5:H3537)</f>
        <v>4.7834701386923292E-2</v>
      </c>
      <c r="K3537" s="16">
        <f>AVERAGE(F$5:F3537)</f>
        <v>2.2191904896688368</v>
      </c>
      <c r="L3537" s="16">
        <f>SUM(F$5:F3537)/SUM(E$5:E3537)</f>
        <v>0.76326395514105705</v>
      </c>
    </row>
    <row r="3538" spans="1:12" x14ac:dyDescent="0.25">
      <c r="A3538" s="29">
        <v>46203</v>
      </c>
      <c r="B3538" s="16" t="s">
        <v>3584</v>
      </c>
      <c r="C3538" s="34">
        <v>1</v>
      </c>
      <c r="D3538" s="16" t="s">
        <v>50</v>
      </c>
      <c r="E3538" s="35">
        <v>4.2</v>
      </c>
      <c r="F3538" s="35">
        <v>3.5</v>
      </c>
      <c r="G3538" s="16" t="s">
        <v>44</v>
      </c>
      <c r="H3538" s="16" t="s">
        <v>45</v>
      </c>
      <c r="I3538" s="16">
        <f>COUNTIF(G$5:G3538,"Y")/COUNTA(G$5:G3538)</f>
        <v>0.88370118845500845</v>
      </c>
      <c r="J3538" s="16">
        <f>COUNTIF(H$5:H3538,"Y")/COUNTA(H$5:H3538)</f>
        <v>4.7821165817770232E-2</v>
      </c>
      <c r="K3538" s="16">
        <f>AVERAGE(F$5:F3538)</f>
        <v>2.2195529145444257</v>
      </c>
      <c r="L3538" s="16">
        <f>SUM(F$5:F3538)/SUM(E$5:E3538)</f>
        <v>0.76329259273675276</v>
      </c>
    </row>
    <row r="3539" spans="1:12" x14ac:dyDescent="0.25">
      <c r="A3539" s="29">
        <v>46204</v>
      </c>
      <c r="B3539" s="16" t="s">
        <v>3585</v>
      </c>
      <c r="C3539" s="34">
        <v>1</v>
      </c>
      <c r="D3539" s="16" t="s">
        <v>50</v>
      </c>
      <c r="E3539" s="35">
        <v>3.6</v>
      </c>
      <c r="F3539" s="35">
        <v>3.2</v>
      </c>
      <c r="G3539" s="16" t="s">
        <v>44</v>
      </c>
      <c r="H3539" s="16" t="s">
        <v>44</v>
      </c>
      <c r="I3539" s="16">
        <f>COUNTIF(G$5:G3539,"Y")/COUNTA(G$5:G3539)</f>
        <v>0.88373408769448369</v>
      </c>
      <c r="J3539" s="16">
        <f>COUNTIF(H$5:H3539,"Y")/COUNTA(H$5:H3539)</f>
        <v>4.8090523338048093E-2</v>
      </c>
      <c r="K3539" s="16">
        <f>AVERAGE(F$5:F3539)</f>
        <v>2.21983026874116</v>
      </c>
      <c r="L3539" s="16">
        <f>SUM(F$5:F3539)/SUM(E$5:E3539)</f>
        <v>0.76333657587548309</v>
      </c>
    </row>
    <row r="3540" spans="1:12" x14ac:dyDescent="0.25">
      <c r="A3540" s="29">
        <v>46205</v>
      </c>
      <c r="B3540" s="16" t="s">
        <v>3586</v>
      </c>
      <c r="C3540" s="34">
        <v>1</v>
      </c>
      <c r="D3540" s="16" t="s">
        <v>52</v>
      </c>
      <c r="E3540" s="35">
        <v>3.1</v>
      </c>
      <c r="F3540" s="35">
        <v>2.5</v>
      </c>
      <c r="G3540" s="16" t="s">
        <v>45</v>
      </c>
      <c r="H3540" s="16" t="s">
        <v>45</v>
      </c>
      <c r="I3540" s="16">
        <f>COUNTIF(G$5:G3540,"Y")/COUNTA(G$5:G3540)</f>
        <v>0.88348416289592757</v>
      </c>
      <c r="J3540" s="16">
        <f>COUNTIF(H$5:H3540,"Y")/COUNTA(H$5:H3540)</f>
        <v>4.807692307692308E-2</v>
      </c>
      <c r="K3540" s="16">
        <f>AVERAGE(F$5:F3540)</f>
        <v>2.2199095022624435</v>
      </c>
      <c r="L3540" s="16">
        <f>SUM(F$5:F3540)/SUM(E$5:E3540)</f>
        <v>0.76334957357216848</v>
      </c>
    </row>
    <row r="3541" spans="1:12" x14ac:dyDescent="0.25">
      <c r="A3541" s="29">
        <v>46206</v>
      </c>
      <c r="B3541" s="16" t="s">
        <v>3587</v>
      </c>
      <c r="C3541" s="34">
        <v>1</v>
      </c>
      <c r="D3541" s="16" t="s">
        <v>43</v>
      </c>
      <c r="E3541" s="35">
        <v>2.6</v>
      </c>
      <c r="F3541" s="35">
        <v>2</v>
      </c>
      <c r="G3541" s="16" t="s">
        <v>44</v>
      </c>
      <c r="H3541" s="16" t="s">
        <v>45</v>
      </c>
      <c r="I3541" s="16">
        <f>COUNTIF(G$5:G3541,"Y")/COUNTA(G$5:G3541)</f>
        <v>0.88351710489115065</v>
      </c>
      <c r="J3541" s="16">
        <f>COUNTIF(H$5:H3541,"Y")/COUNTA(H$5:H3541)</f>
        <v>4.8063330506078597E-2</v>
      </c>
      <c r="K3541" s="16">
        <f>AVERAGE(F$5:F3541)</f>
        <v>2.219847328244275</v>
      </c>
      <c r="L3541" s="16">
        <f>SUM(F$5:F3541)/SUM(E$5:E3541)</f>
        <v>0.76335106020980248</v>
      </c>
    </row>
    <row r="3542" spans="1:12" x14ac:dyDescent="0.25">
      <c r="A3542" s="29">
        <v>46202</v>
      </c>
      <c r="B3542" s="16" t="s">
        <v>3588</v>
      </c>
      <c r="C3542" s="34">
        <v>1</v>
      </c>
      <c r="D3542" s="16" t="s">
        <v>47</v>
      </c>
      <c r="E3542" s="35">
        <v>2.2000000000000002</v>
      </c>
      <c r="F3542" s="35">
        <v>1.5</v>
      </c>
      <c r="G3542" s="16" t="s">
        <v>44</v>
      </c>
      <c r="H3542" s="16" t="s">
        <v>45</v>
      </c>
      <c r="I3542" s="16">
        <f>COUNTIF(G$5:G3542,"Y")/COUNTA(G$5:G3542)</f>
        <v>0.8835500282645562</v>
      </c>
      <c r="J3542" s="16">
        <f>COUNTIF(H$5:H3542,"Y")/COUNTA(H$5:H3542)</f>
        <v>4.8049745618993785E-2</v>
      </c>
      <c r="K3542" s="16">
        <f>AVERAGE(F$5:F3542)</f>
        <v>2.2196438665912948</v>
      </c>
      <c r="L3542" s="16">
        <f>SUM(F$5:F3542)/SUM(E$5:E3542)</f>
        <v>0.76333362493803059</v>
      </c>
    </row>
    <row r="3543" spans="1:12" x14ac:dyDescent="0.25">
      <c r="A3543" s="29">
        <v>46203</v>
      </c>
      <c r="B3543" s="16" t="s">
        <v>3589</v>
      </c>
      <c r="C3543" s="34">
        <v>1</v>
      </c>
      <c r="D3543" s="16" t="s">
        <v>60</v>
      </c>
      <c r="E3543" s="35">
        <v>4.2</v>
      </c>
      <c r="F3543" s="35">
        <v>3.5</v>
      </c>
      <c r="G3543" s="16" t="s">
        <v>44</v>
      </c>
      <c r="H3543" s="16" t="s">
        <v>45</v>
      </c>
      <c r="I3543" s="16">
        <f>COUNTIF(G$5:G3543,"Y")/COUNTA(G$5:G3543)</f>
        <v>0.88358293303192992</v>
      </c>
      <c r="J3543" s="16">
        <f>COUNTIF(H$5:H3543,"Y")/COUNTA(H$5:H3543)</f>
        <v>4.8036168409155131E-2</v>
      </c>
      <c r="K3543" s="16">
        <f>AVERAGE(F$5:F3543)</f>
        <v>2.2200056513139308</v>
      </c>
      <c r="L3543" s="16">
        <f>SUM(F$5:F3543)/SUM(E$5:E3543)</f>
        <v>0.76336219041788989</v>
      </c>
    </row>
    <row r="3544" spans="1:12" x14ac:dyDescent="0.25">
      <c r="A3544" s="29">
        <v>46204</v>
      </c>
      <c r="B3544" s="16" t="s">
        <v>3590</v>
      </c>
      <c r="C3544" s="34">
        <v>1</v>
      </c>
      <c r="D3544" s="16" t="s">
        <v>50</v>
      </c>
      <c r="E3544" s="35">
        <v>2.6</v>
      </c>
      <c r="F3544" s="35">
        <v>2.1</v>
      </c>
      <c r="G3544" s="16" t="s">
        <v>44</v>
      </c>
      <c r="H3544" s="16" t="s">
        <v>45</v>
      </c>
      <c r="I3544" s="16">
        <f>COUNTIF(G$5:G3544,"Y")/COUNTA(G$5:G3544)</f>
        <v>0.88361581920903953</v>
      </c>
      <c r="J3544" s="16">
        <f>COUNTIF(H$5:H3544,"Y")/COUNTA(H$5:H3544)</f>
        <v>4.8022598870056499E-2</v>
      </c>
      <c r="K3544" s="16">
        <f>AVERAGE(F$5:F3544)</f>
        <v>2.2199717514124298</v>
      </c>
      <c r="L3544" s="16">
        <f>SUM(F$5:F3544)/SUM(E$5:E3544)</f>
        <v>0.76337338630557128</v>
      </c>
    </row>
    <row r="3545" spans="1:12" x14ac:dyDescent="0.25">
      <c r="A3545" s="29">
        <v>46205</v>
      </c>
      <c r="B3545" s="16" t="s">
        <v>3591</v>
      </c>
      <c r="C3545" s="34">
        <v>1</v>
      </c>
      <c r="D3545" s="16" t="s">
        <v>47</v>
      </c>
      <c r="E3545" s="35">
        <v>1.9</v>
      </c>
      <c r="F3545" s="35">
        <v>1.5</v>
      </c>
      <c r="G3545" s="16" t="s">
        <v>45</v>
      </c>
      <c r="H3545" s="16" t="s">
        <v>45</v>
      </c>
      <c r="I3545" s="16">
        <f>COUNTIF(G$5:G3545,"Y")/COUNTA(G$5:G3545)</f>
        <v>0.88336628071166334</v>
      </c>
      <c r="J3545" s="16">
        <f>COUNTIF(H$5:H3545,"Y")/COUNTA(H$5:H3545)</f>
        <v>4.8009036995199095E-2</v>
      </c>
      <c r="K3545" s="16">
        <f>AVERAGE(F$5:F3545)</f>
        <v>2.2197684269980233</v>
      </c>
      <c r="L3545" s="16">
        <f>SUM(F$5:F3545)/SUM(E$5:E3545)</f>
        <v>0.76337820251344757</v>
      </c>
    </row>
    <row r="3546" spans="1:12" x14ac:dyDescent="0.25">
      <c r="A3546" s="29">
        <v>46206</v>
      </c>
      <c r="B3546" s="16" t="s">
        <v>3592</v>
      </c>
      <c r="C3546" s="34">
        <v>1</v>
      </c>
      <c r="D3546" s="16" t="s">
        <v>43</v>
      </c>
      <c r="E3546" s="35">
        <v>0.6</v>
      </c>
      <c r="F3546" s="35">
        <v>0.5</v>
      </c>
      <c r="G3546" s="16" t="s">
        <v>44</v>
      </c>
      <c r="H3546" s="16" t="s">
        <v>45</v>
      </c>
      <c r="I3546" s="16">
        <f>COUNTIF(G$5:G3546,"Y")/COUNTA(G$5:G3546)</f>
        <v>0.88339920948616601</v>
      </c>
      <c r="J3546" s="16">
        <f>COUNTIF(H$5:H3546,"Y")/COUNTA(H$5:H3546)</f>
        <v>4.7995482778091472E-2</v>
      </c>
      <c r="K3546" s="16">
        <f>AVERAGE(F$5:F3546)</f>
        <v>2.2192828910220217</v>
      </c>
      <c r="L3546" s="16">
        <f>SUM(F$5:F3546)/SUM(E$5:E3546)</f>
        <v>0.76338227867769526</v>
      </c>
    </row>
    <row r="3547" spans="1:12" x14ac:dyDescent="0.25">
      <c r="A3547" s="29">
        <v>46202</v>
      </c>
      <c r="B3547" s="16" t="s">
        <v>3593</v>
      </c>
      <c r="C3547" s="34">
        <v>1</v>
      </c>
      <c r="D3547" s="16" t="s">
        <v>50</v>
      </c>
      <c r="E3547" s="35">
        <v>0.6</v>
      </c>
      <c r="F3547" s="35">
        <v>0.5</v>
      </c>
      <c r="G3547" s="16" t="s">
        <v>44</v>
      </c>
      <c r="H3547" s="16" t="s">
        <v>45</v>
      </c>
      <c r="I3547" s="16">
        <f>COUNTIF(G$5:G3547,"Y")/COUNTA(G$5:G3547)</f>
        <v>0.88343211967259383</v>
      </c>
      <c r="J3547" s="16">
        <f>COUNTIF(H$5:H3547,"Y")/COUNTA(H$5:H3547)</f>
        <v>4.7981936212249506E-2</v>
      </c>
      <c r="K3547" s="16">
        <f>AVERAGE(F$5:F3547)</f>
        <v>2.2187976291278582</v>
      </c>
      <c r="L3547" s="16">
        <f>SUM(F$5:F3547)/SUM(E$5:E3547)</f>
        <v>0.76338635436694868</v>
      </c>
    </row>
    <row r="3548" spans="1:12" x14ac:dyDescent="0.25">
      <c r="A3548" s="29">
        <v>46203</v>
      </c>
      <c r="B3548" s="16" t="s">
        <v>3594</v>
      </c>
      <c r="C3548" s="34">
        <v>1</v>
      </c>
      <c r="D3548" s="16" t="s">
        <v>64</v>
      </c>
      <c r="E3548" s="35">
        <v>0.7</v>
      </c>
      <c r="F3548" s="35">
        <v>0.5</v>
      </c>
      <c r="G3548" s="16" t="s">
        <v>44</v>
      </c>
      <c r="H3548" s="16" t="s">
        <v>45</v>
      </c>
      <c r="I3548" s="16">
        <f>COUNTIF(G$5:G3548,"Y")/COUNTA(G$5:G3548)</f>
        <v>0.88346501128668176</v>
      </c>
      <c r="J3548" s="16">
        <f>COUNTIF(H$5:H3548,"Y")/COUNTA(H$5:H3548)</f>
        <v>4.7968397291196389E-2</v>
      </c>
      <c r="K3548" s="16">
        <f>AVERAGE(F$5:F3548)</f>
        <v>2.2183126410835214</v>
      </c>
      <c r="L3548" s="16">
        <f>SUM(F$5:F3548)/SUM(E$5:E3548)</f>
        <v>0.76338301694421162</v>
      </c>
    </row>
    <row r="3549" spans="1:12" x14ac:dyDescent="0.25">
      <c r="A3549" s="29">
        <v>46204</v>
      </c>
      <c r="B3549" s="16" t="s">
        <v>3595</v>
      </c>
      <c r="C3549" s="34">
        <v>1</v>
      </c>
      <c r="D3549" s="16" t="s">
        <v>50</v>
      </c>
      <c r="E3549" s="35">
        <v>0.6</v>
      </c>
      <c r="F3549" s="35">
        <v>0.5</v>
      </c>
      <c r="G3549" s="16" t="s">
        <v>44</v>
      </c>
      <c r="H3549" s="16" t="s">
        <v>45</v>
      </c>
      <c r="I3549" s="16">
        <f>COUNTIF(G$5:G3549,"Y")/COUNTA(G$5:G3549)</f>
        <v>0.88349788434414667</v>
      </c>
      <c r="J3549" s="16">
        <f>COUNTIF(H$5:H3549,"Y")/COUNTA(H$5:H3549)</f>
        <v>4.7954866008462625E-2</v>
      </c>
      <c r="K3549" s="16">
        <f>AVERAGE(F$5:F3549)</f>
        <v>2.217827926657264</v>
      </c>
      <c r="L3549" s="16">
        <f>SUM(F$5:F3549)/SUM(E$5:E3549)</f>
        <v>0.76338709207600308</v>
      </c>
    </row>
    <row r="3550" spans="1:12" x14ac:dyDescent="0.25">
      <c r="A3550" s="29">
        <v>46205</v>
      </c>
      <c r="B3550" s="16" t="s">
        <v>3596</v>
      </c>
      <c r="C3550" s="34">
        <v>1</v>
      </c>
      <c r="D3550" s="16" t="s">
        <v>43</v>
      </c>
      <c r="E3550" s="35">
        <v>0.6</v>
      </c>
      <c r="F3550" s="35">
        <v>0.5</v>
      </c>
      <c r="G3550" s="16" t="s">
        <v>45</v>
      </c>
      <c r="H3550" s="16" t="s">
        <v>45</v>
      </c>
      <c r="I3550" s="16">
        <f>COUNTIF(G$5:G3550,"Y")/COUNTA(G$5:G3550)</f>
        <v>0.88324873096446699</v>
      </c>
      <c r="J3550" s="16">
        <f>COUNTIF(H$5:H3550,"Y")/COUNTA(H$5:H3550)</f>
        <v>4.7941342357586014E-2</v>
      </c>
      <c r="K3550" s="16">
        <f>AVERAGE(F$5:F3550)</f>
        <v>2.2173434856175973</v>
      </c>
      <c r="L3550" s="16">
        <f>SUM(F$5:F3550)/SUM(E$5:E3550)</f>
        <v>0.763391166733008</v>
      </c>
    </row>
    <row r="3551" spans="1:12" x14ac:dyDescent="0.25">
      <c r="A3551" s="29">
        <v>46206</v>
      </c>
      <c r="B3551" s="16" t="s">
        <v>3597</v>
      </c>
      <c r="C3551" s="34">
        <v>1</v>
      </c>
      <c r="D3551" s="16" t="s">
        <v>47</v>
      </c>
      <c r="E3551" s="35">
        <v>0.8</v>
      </c>
      <c r="F3551" s="35">
        <v>0.5</v>
      </c>
      <c r="G3551" s="16" t="s">
        <v>44</v>
      </c>
      <c r="H3551" s="16" t="s">
        <v>45</v>
      </c>
      <c r="I3551" s="16">
        <f>COUNTIF(G$5:G3551,"Y")/COUNTA(G$5:G3551)</f>
        <v>0.88328164646179874</v>
      </c>
      <c r="J3551" s="16">
        <f>COUNTIF(H$5:H3551,"Y")/COUNTA(H$5:H3551)</f>
        <v>4.7927826332111644E-2</v>
      </c>
      <c r="K3551" s="16">
        <f>AVERAGE(F$5:F3551)</f>
        <v>2.216859317733296</v>
      </c>
      <c r="L3551" s="16">
        <f>SUM(F$5:F3551)/SUM(E$5:E3551)</f>
        <v>0.76338041842628646</v>
      </c>
    </row>
    <row r="3552" spans="1:12" x14ac:dyDescent="0.25">
      <c r="A3552" s="29">
        <v>46202</v>
      </c>
      <c r="B3552" s="16" t="s">
        <v>3598</v>
      </c>
      <c r="C3552" s="34">
        <v>1</v>
      </c>
      <c r="D3552" s="16" t="s">
        <v>47</v>
      </c>
      <c r="E3552" s="35">
        <v>0.7</v>
      </c>
      <c r="F3552" s="35">
        <v>0.5</v>
      </c>
      <c r="G3552" s="16" t="s">
        <v>44</v>
      </c>
      <c r="H3552" s="16" t="s">
        <v>45</v>
      </c>
      <c r="I3552" s="16">
        <f>COUNTIF(G$5:G3552,"Y")/COUNTA(G$5:G3552)</f>
        <v>0.88331454340473503</v>
      </c>
      <c r="J3552" s="16">
        <f>COUNTIF(H$5:H3552,"Y")/COUNTA(H$5:H3552)</f>
        <v>4.7914317925591886E-2</v>
      </c>
      <c r="K3552" s="16">
        <f>AVERAGE(F$5:F3552)</f>
        <v>2.2163754227733938</v>
      </c>
      <c r="L3552" s="16">
        <f>SUM(F$5:F3552)/SUM(E$5:E3552)</f>
        <v>0.76337708228167234</v>
      </c>
    </row>
    <row r="3553" spans="1:13" x14ac:dyDescent="0.25">
      <c r="A3553" s="29">
        <v>46203</v>
      </c>
      <c r="B3553" s="16" t="s">
        <v>3599</v>
      </c>
      <c r="C3553" s="34">
        <v>1</v>
      </c>
      <c r="D3553" s="16" t="s">
        <v>50</v>
      </c>
      <c r="E3553" s="35">
        <v>0.6</v>
      </c>
      <c r="F3553" s="35">
        <v>0.5</v>
      </c>
      <c r="G3553" s="16" t="s">
        <v>44</v>
      </c>
      <c r="H3553" s="16" t="s">
        <v>45</v>
      </c>
      <c r="I3553" s="16">
        <f>COUNTIF(G$5:G3553,"Y")/COUNTA(G$5:G3553)</f>
        <v>0.88334742180896031</v>
      </c>
      <c r="J3553" s="16">
        <f>COUNTIF(H$5:H3553,"Y")/COUNTA(H$5:H3553)</f>
        <v>4.7900817131586365E-2</v>
      </c>
      <c r="K3553" s="16">
        <f>AVERAGE(F$5:F3553)</f>
        <v>2.2158918005071855</v>
      </c>
      <c r="L3553" s="16">
        <f>SUM(F$5:F3553)/SUM(E$5:E3553)</f>
        <v>0.7633811566910601</v>
      </c>
    </row>
    <row r="3554" spans="1:13" x14ac:dyDescent="0.25">
      <c r="A3554" s="29">
        <v>46204</v>
      </c>
      <c r="B3554" s="16" t="s">
        <v>3600</v>
      </c>
      <c r="C3554" s="34">
        <v>1</v>
      </c>
      <c r="D3554" s="16" t="s">
        <v>50</v>
      </c>
      <c r="E3554" s="35">
        <v>1.4</v>
      </c>
      <c r="F3554" s="35">
        <v>0.5</v>
      </c>
      <c r="G3554" s="16" t="s">
        <v>44</v>
      </c>
      <c r="H3554" s="16" t="s">
        <v>45</v>
      </c>
      <c r="I3554" s="16">
        <f>COUNTIF(G$5:G3554,"Y")/COUNTA(G$5:G3554)</f>
        <v>0.88338028169014082</v>
      </c>
      <c r="J3554" s="16">
        <f>COUNTIF(H$5:H3554,"Y")/COUNTA(H$5:H3554)</f>
        <v>4.788732394366197E-2</v>
      </c>
      <c r="K3554" s="16">
        <f>AVERAGE(F$5:F3554)</f>
        <v>2.2154084507042255</v>
      </c>
      <c r="L3554" s="16">
        <f>SUM(F$5:F3554)/SUM(E$5:E3554)</f>
        <v>0.76332595698423433</v>
      </c>
      <c r="M3554" s="16">
        <v>14</v>
      </c>
    </row>
  </sheetData>
  <mergeCells count="3">
    <mergeCell ref="I4:M4"/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zoomScaleNormal="100" workbookViewId="0">
      <selection activeCell="H30" sqref="H30"/>
    </sheetView>
  </sheetViews>
  <sheetFormatPr defaultRowHeight="15" x14ac:dyDescent="0.25"/>
  <cols>
    <col min="1" max="1" width="24" style="16" customWidth="1"/>
    <col min="2" max="3" width="16" style="16" customWidth="1"/>
    <col min="4" max="4" width="50" style="16" customWidth="1"/>
    <col min="5" max="6" width="9.140625" style="16" customWidth="1"/>
    <col min="7" max="16384" width="9.140625" style="16"/>
  </cols>
  <sheetData>
    <row r="1" spans="1:4" ht="30" customHeight="1" x14ac:dyDescent="0.25">
      <c r="A1" s="36" t="s">
        <v>3601</v>
      </c>
      <c r="B1" s="37"/>
      <c r="C1" s="37"/>
      <c r="D1" s="37"/>
    </row>
    <row r="2" spans="1:4" ht="15.95" customHeight="1" x14ac:dyDescent="0.25">
      <c r="A2" s="42" t="s">
        <v>3602</v>
      </c>
      <c r="B2" s="37"/>
      <c r="C2" s="37"/>
      <c r="D2" s="37"/>
    </row>
    <row r="3" spans="1:4" ht="21.95" customHeight="1" x14ac:dyDescent="0.25">
      <c r="A3" s="6" t="s">
        <v>3603</v>
      </c>
      <c r="B3" s="6" t="s">
        <v>3604</v>
      </c>
      <c r="C3" s="6" t="s">
        <v>3605</v>
      </c>
      <c r="D3" s="6" t="s">
        <v>17</v>
      </c>
    </row>
    <row r="4" spans="1:4" x14ac:dyDescent="0.25">
      <c r="A4" s="17" t="s">
        <v>4</v>
      </c>
      <c r="B4" s="24">
        <v>0.92</v>
      </c>
      <c r="C4" s="24">
        <v>0.85</v>
      </c>
      <c r="D4" s="17" t="s">
        <v>3606</v>
      </c>
    </row>
    <row r="5" spans="1:4" x14ac:dyDescent="0.25">
      <c r="A5" s="22" t="s">
        <v>5</v>
      </c>
      <c r="B5" s="25">
        <v>0.04</v>
      </c>
      <c r="C5" s="25">
        <v>7.0000000000000007E-2</v>
      </c>
      <c r="D5" s="22" t="s">
        <v>3607</v>
      </c>
    </row>
    <row r="6" spans="1:4" x14ac:dyDescent="0.25">
      <c r="A6" s="17" t="s">
        <v>6</v>
      </c>
      <c r="B6" s="24">
        <v>2.5</v>
      </c>
      <c r="C6" s="24">
        <v>3.1</v>
      </c>
      <c r="D6" s="17" t="s">
        <v>3608</v>
      </c>
    </row>
    <row r="7" spans="1:4" x14ac:dyDescent="0.25">
      <c r="A7" s="22" t="s">
        <v>7</v>
      </c>
      <c r="B7" s="25">
        <v>0.8</v>
      </c>
      <c r="C7" s="25">
        <v>0.72</v>
      </c>
      <c r="D7" s="22" t="s">
        <v>3609</v>
      </c>
    </row>
    <row r="8" spans="1:4" x14ac:dyDescent="0.25">
      <c r="A8" s="17" t="s">
        <v>3610</v>
      </c>
      <c r="B8" s="18">
        <v>10</v>
      </c>
      <c r="C8" s="18">
        <v>8</v>
      </c>
      <c r="D8" s="17" t="s">
        <v>3611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Weekly Log</vt:lpstr>
      <vt:lpstr>Benchmarks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truenorth</cp:lastModifiedBy>
  <dcterms:created xsi:type="dcterms:W3CDTF">2026-03-28T14:09:26Z</dcterms:created>
  <dcterms:modified xsi:type="dcterms:W3CDTF">2026-03-30T08:57:48Z</dcterms:modified>
</cp:coreProperties>
</file>