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Dashboard" state="visible" r:id="rId4"/>
    <sheet sheetId="2" name="Weekly Log" state="visible" r:id="rId5"/>
    <sheet sheetId="3" name="Benchmarks" state="visible" r:id="rId6"/>
  </sheets>
  <calcPr calcId="171027"/>
</workbook>
</file>

<file path=xl/sharedStrings.xml><?xml version="1.0" encoding="utf-8"?>
<sst xmlns="http://schemas.openxmlformats.org/spreadsheetml/2006/main" count="130" uniqueCount="90">
  <si>
    <t>SignalStack | Ops Pulse — Operational Health Dashboard</t>
  </si>
  <si>
    <t xml:space="preserve">  Weekly snapshot of field operations. Update the Weekly Log tab each week. Metrics auto-calculate here.</t>
  </si>
  <si>
    <t>KEY PERFORMANCE INDICATORS — CURRENT WEEK</t>
  </si>
  <si>
    <t>Jobs Completed</t>
  </si>
  <si>
    <t>On-Time Rate</t>
  </si>
  <si>
    <t>Callback Rate</t>
  </si>
  <si>
    <t>Avg Job Duration</t>
  </si>
  <si>
    <t>Crew Utilization</t>
  </si>
  <si>
    <t>Open Work Orders</t>
  </si>
  <si>
    <t>WEEKLY TREND — LAST 8 WEEKS</t>
  </si>
  <si>
    <t>Week</t>
  </si>
  <si>
    <t>Jobs Done</t>
  </si>
  <si>
    <t>On-Time %</t>
  </si>
  <si>
    <t>Callback %</t>
  </si>
  <si>
    <t>Avg Hours</t>
  </si>
  <si>
    <t>Utilization %</t>
  </si>
  <si>
    <t>Open WOs</t>
  </si>
  <si>
    <t>Notes</t>
  </si>
  <si>
    <t>2024-W47</t>
  </si>
  <si>
    <t/>
  </si>
  <si>
    <t>2024-W48</t>
  </si>
  <si>
    <t>2024-W49</t>
  </si>
  <si>
    <t>Holiday staffing</t>
  </si>
  <si>
    <t>2024-W50</t>
  </si>
  <si>
    <t>Short week</t>
  </si>
  <si>
    <t>2024-W51</t>
  </si>
  <si>
    <t>Christmas week</t>
  </si>
  <si>
    <t>2024-W52</t>
  </si>
  <si>
    <t>New Years</t>
  </si>
  <si>
    <t>2025-W01</t>
  </si>
  <si>
    <t>Back to full staff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</si>
  <si>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</si>
  <si>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</si>
  <si>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</si>
  <si>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</si>
  <si>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</si>
  <si>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</si>
  <si>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</si>
  <si>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</si>
  <si>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</si>
  <si>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</si>
  <si>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Weather delays</t>
  </si>
  <si>
    <t>2025-W12</t>
  </si>
  <si>
    <t>2025-W13</t>
  </si>
  <si>
    <t>2025-W14</t>
  </si>
  <si>
    <t>SignalStack | Ops Pulse — Weekly Job Log</t>
  </si>
  <si>
    <t xml:space="preserve">  Enter one row per job. All Dashboard KPIs pull from this sheet.</t>
  </si>
  <si>
    <t>Date</t>
  </si>
  <si>
    <t>Job ID</t>
  </si>
  <si>
    <t xml:space="preserve">Jobs
Completed</t>
  </si>
  <si>
    <t>Technician</t>
  </si>
  <si>
    <t xml:space="preserve">Scheduled
Time (h)</t>
  </si>
  <si>
    <t xml:space="preserve">Actual
Time (h)</t>
  </si>
  <si>
    <t xml:space="preserve">On Time?
(Y/N)</t>
  </si>
  <si>
    <t xml:space="preserve">Callback?
(Y/N)</t>
  </si>
  <si>
    <t xml:space="preserve">On-Time
Rate</t>
  </si>
  <si>
    <t xml:space="preserve">Callback
Rate</t>
  </si>
  <si>
    <t xml:space="preserve">Avg
Duration</t>
  </si>
  <si>
    <t xml:space="preserve">Utilization
%</t>
  </si>
  <si>
    <t xml:space="preserve">Open
WOs</t>
  </si>
  <si>
    <t>AUTO-CALCULATED — DO NOT EDIT</t>
  </si>
  <si>
    <t>03/24/2025</t>
  </si>
  <si>
    <t>JOB-1001</t>
  </si>
  <si>
    <t>Mike R.</t>
  </si>
  <si>
    <t>Y</t>
  </si>
  <si>
    <t>N</t>
  </si>
  <si>
    <t>JOB-1002</t>
  </si>
  <si>
    <t>Sara T.</t>
  </si>
  <si>
    <t>JOB-1003</t>
  </si>
  <si>
    <t>Chris B.</t>
  </si>
  <si>
    <t>03/25/2025</t>
  </si>
  <si>
    <t>JOB-1004</t>
  </si>
  <si>
    <t>JOB-1005</t>
  </si>
  <si>
    <t>James L.</t>
  </si>
  <si>
    <t>03/26/2025</t>
  </si>
  <si>
    <t>JOB-1006</t>
  </si>
  <si>
    <t>JOB-1007</t>
  </si>
  <si>
    <t>03/27/2025</t>
  </si>
  <si>
    <t>JOB-1008</t>
  </si>
  <si>
    <t>SignalStack | Ops Pulse — Target Benchmarks</t>
  </si>
  <si>
    <t xml:space="preserve">  Set your targets here. Red/yellow/green flags on Dashboard compare actuals against these.</t>
  </si>
  <si>
    <t>Metric</t>
  </si>
  <si>
    <t>Your Target</t>
  </si>
  <si>
    <t>Industry Avg</t>
  </si>
  <si>
    <t>Best-in-class field service = 95%+</t>
  </si>
  <si>
    <t>Under 3% = excellent; over 8% = investigate</t>
  </si>
  <si>
    <t>Track in hours. Benchmark varies by trade.</t>
  </si>
  <si>
    <t>80-85% is the sweet spot. Over 90% = burnout risk.</t>
  </si>
  <si>
    <t>Jobs per Tech/Wk</t>
  </si>
  <si>
    <t>Adjust based on job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</si>
</sst>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.0&quot;h&quot;"/>
    <numFmt numFmtId="166" formatCode="#,##0.0"/>
    <numFmt numFmtId="167" formatCode="MM/DD/YYYY"/>
  </numFmts>
  <fonts count="8" x14ac:knownFonts="1">
    <font>
      <color theme="1"/>
      <family val="2"/>
      <scheme val="minor"/>
      <sz val="11"/>
      <name val="Calibri"/>
    </font>
    <font>
      <b/>
      <color rgb="00FFFFFF"/>
      <sz val="13"/>
      <name val="Arial"/>
    </font>
    <font>
      <i/>
      <color rgb="001a3a5c"/>
      <sz val="9"/>
      <name val="Arial"/>
    </font>
    <font>
      <b/>
      <color rgb="00FFFFFF"/>
      <sz val="10"/>
      <name val="Arial"/>
    </font>
    <font>
      <b/>
      <color rgb="00FFFFFF"/>
      <sz val="9"/>
      <name val="Arial"/>
    </font>
    <font>
      <b/>
      <color rgb="001a3a5c"/>
      <sz val="14"/>
      <name val="Arial"/>
    </font>
    <font>
      <color rgb="00000000"/>
      <sz val="10"/>
      <name val="Arial"/>
    </font>
    <font>
      <b/>
      <color rgb="00444441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001a3a5c"/>
      </patternFill>
    </fill>
    <fill>
      <patternFill patternType="solid">
        <fgColor rgb="00d6e8f5"/>
      </patternFill>
    </fill>
    <fill>
      <patternFill patternType="solid">
        <fgColor rgb="003d8eb9"/>
      </patternFill>
    </fill>
    <fill>
      <patternFill patternType="solid">
        <fgColor rgb="00FFFFFF"/>
      </patternFill>
    </fill>
    <fill>
      <patternFill patternType="solid">
        <fgColor rgb="00F7F9FB"/>
      </patternFill>
    </fill>
    <fill>
      <patternFill patternType="solid">
        <fgColor rgb="00E0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left" vertical="center"/>
    </xf>
    <xf numFmtId="166" fontId="6" fillId="6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3" fontId="6" fillId="8" borderId="1" xfId="0" applyNumberFormat="1" applyFont="1" applyFill="1" applyBorder="1" applyAlignment="1">
      <alignment horizontal="left" vertical="center"/>
    </xf>
    <xf numFmtId="167" fontId="6" fillId="6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29"/>
  <sheetViews>
    <sheetView workbookViewId="0" zoomScale="100" zoomScaleNormal="100">
      <pane ySplit="9" topLeftCell="A10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2" customWidth="1"/>
    <col min="6" max="6" width="14" customWidth="1"/>
    <col min="7" max="7" width="10" customWidth="1"/>
    <col min="8" max="8" width="30" customWidth="1"/>
    <col min="9" max="10" width="10" customWidth="1"/>
  </cols>
  <sheetData>
    <row r="1" ht="30" customHeight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ht="16" customHeight="1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3" ht="8" customHeight="1" x14ac:dyDescent="0.25"/>
    <row r="4" ht="22" customHeight="1" spans="1:10" x14ac:dyDescent="0.25">
      <c r="A4" s="3" t="s">
        <v>2</v>
      </c>
      <c r="B4"/>
      <c r="C4"/>
      <c r="D4"/>
      <c r="E4"/>
      <c r="F4"/>
      <c r="G4"/>
      <c r="H4"/>
      <c r="I4"/>
      <c r="J4"/>
    </row>
    <row r="5" ht="18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28" customHeight="1" spans="1:6" x14ac:dyDescent="0.25">
      <c r="A6" s="5">
        <v>47</v>
      </c>
      <c r="B6" s="6">
        <v>0.912</v>
      </c>
      <c r="C6" s="6">
        <v>0.043</v>
      </c>
      <c r="D6" s="7">
        <v>2.3</v>
      </c>
      <c r="E6" s="6">
        <v>0.784</v>
      </c>
      <c r="F6" s="5">
        <v>8</v>
      </c>
    </row>
    <row r="7" ht="10" customHeight="1" x14ac:dyDescent="0.25"/>
    <row r="8" ht="22" customHeight="1" spans="1:10" x14ac:dyDescent="0.25">
      <c r="A8" s="3" t="s">
        <v>9</v>
      </c>
      <c r="B8"/>
      <c r="C8"/>
      <c r="D8"/>
      <c r="E8"/>
      <c r="F8"/>
      <c r="G8"/>
      <c r="H8"/>
      <c r="I8"/>
      <c r="J8"/>
    </row>
    <row r="9" ht="34" customHeight="1" spans="1:8" x14ac:dyDescent="0.25">
      <c r="A9" s="8" t="s">
        <v>10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</row>
    <row r="10" spans="1:8" x14ac:dyDescent="0.25">
      <c r="A10" s="9" t="s">
        <v>18</v>
      </c>
      <c r="B10" s="10">
        <v>36</v>
      </c>
      <c r="C10" s="11">
        <v>0.861</v>
      </c>
      <c r="D10" s="11">
        <v>0.056</v>
      </c>
      <c r="E10" s="12">
        <v>2.2</v>
      </c>
      <c r="F10" s="11">
        <v>0.741</v>
      </c>
      <c r="G10" s="10">
        <v>16</v>
      </c>
      <c r="H10" s="9" t="s">
        <v>19</v>
      </c>
    </row>
    <row r="11" spans="1:8" x14ac:dyDescent="0.25">
      <c r="A11" s="13" t="s">
        <v>20</v>
      </c>
      <c r="B11" s="14">
        <v>38</v>
      </c>
      <c r="C11" s="15">
        <v>0.868</v>
      </c>
      <c r="D11" s="15">
        <v>0.053</v>
      </c>
      <c r="E11" s="16">
        <v>2.1</v>
      </c>
      <c r="F11" s="15">
        <v>0.748</v>
      </c>
      <c r="G11" s="14">
        <v>15</v>
      </c>
      <c r="H11" s="13" t="s">
        <v>19</v>
      </c>
    </row>
    <row r="12" spans="1:8" x14ac:dyDescent="0.25">
      <c r="A12" s="9" t="s">
        <v>21</v>
      </c>
      <c r="B12" s="10">
        <v>34</v>
      </c>
      <c r="C12" s="11">
        <v>0.855</v>
      </c>
      <c r="D12" s="11">
        <v>0.058</v>
      </c>
      <c r="E12" s="12">
        <v>2.3</v>
      </c>
      <c r="F12" s="11">
        <v>0.735</v>
      </c>
      <c r="G12" s="10">
        <v>18</v>
      </c>
      <c r="H12" s="9" t="s">
        <v>22</v>
      </c>
    </row>
    <row r="13" spans="1:8" x14ac:dyDescent="0.25">
      <c r="A13" s="13" t="s">
        <v>23</v>
      </c>
      <c r="B13" s="14">
        <v>31</v>
      </c>
      <c r="C13" s="15">
        <v>0.841</v>
      </c>
      <c r="D13" s="15">
        <v>0.065</v>
      </c>
      <c r="E13" s="16">
        <v>2.2</v>
      </c>
      <c r="F13" s="15">
        <v>0.718</v>
      </c>
      <c r="G13" s="14">
        <v>20</v>
      </c>
      <c r="H13" s="13" t="s">
        <v>24</v>
      </c>
    </row>
    <row r="14" spans="1:8" x14ac:dyDescent="0.25">
      <c r="A14" s="9" t="s">
        <v>25</v>
      </c>
      <c r="B14" s="10">
        <v>28</v>
      </c>
      <c r="C14" s="11">
        <v>0.832</v>
      </c>
      <c r="D14" s="11">
        <v>0.071</v>
      </c>
      <c r="E14" s="12">
        <v>2</v>
      </c>
      <c r="F14" s="11">
        <v>0.704</v>
      </c>
      <c r="G14" s="10">
        <v>22</v>
      </c>
      <c r="H14" s="9" t="s">
        <v>26</v>
      </c>
    </row>
    <row r="15" spans="1:8" x14ac:dyDescent="0.25">
      <c r="A15" s="13" t="s">
        <v>27</v>
      </c>
      <c r="B15" s="14">
        <v>22</v>
      </c>
      <c r="C15" s="15">
        <v>0.818</v>
      </c>
      <c r="D15" s="15">
        <v>0.078</v>
      </c>
      <c r="E15" s="16">
        <v>1.9</v>
      </c>
      <c r="F15" s="15">
        <v>0.681</v>
      </c>
      <c r="G15" s="14">
        <v>24</v>
      </c>
      <c r="H15" s="13" t="s">
        <v>28</v>
      </c>
    </row>
    <row r="16" spans="1:8" x14ac:dyDescent="0.25">
      <c r="A16" s="9" t="s">
        <v>29</v>
      </c>
      <c r="B16" s="10">
        <v>35</v>
      </c>
      <c r="C16" s="11">
        <v>0.857</v>
      </c>
      <c r="D16" s="11">
        <v>0.059</v>
      </c>
      <c r="E16" s="12">
        <v>2.1</v>
      </c>
      <c r="F16" s="11">
        <v>0.738</v>
      </c>
      <c r="G16" s="10">
        <v>17</v>
      </c>
      <c r="H16" s="9" t="s">
        <v>30</v>
      </c>
    </row>
    <row r="17" spans="1:8" x14ac:dyDescent="0.25">
      <c r="A17" s="13" t="s">
        <v>31</v>
      </c>
      <c r="B17" s="14">
        <v>38</v>
      </c>
      <c r="C17" s="15">
        <v>0.864</v>
      </c>
      <c r="D17" s="15">
        <v>0.055</v>
      </c>
      <c r="E17" s="16">
        <v>2.2</v>
      </c>
      <c r="F17" s="15">
        <v>0.745</v>
      </c>
      <c r="G17" s="14">
        <v>15</v>
      </c>
      <c r="H17" s="13" t="s">
        <v>19</v>
      </c>
    </row>
    <row r="18" spans="1:8" x14ac:dyDescent="0.25">
      <c r="A18" t="s">
        <v>32</v>
      </c>
      <c r="B18">
        <v>40</v>
      </c>
      <c r="C18">
        <v>0.871</v>
      </c>
      <c r="D18">
        <v>0.052</v>
      </c>
      <c r="E18">
        <v>2.2</v>
      </c>
      <c r="F18">
        <v>0.752</v>
      </c>
      <c r="G18">
        <v>14</v>
      </c>
      <c r="H18" t="s">
        <v>19</v>
      </c>
    </row>
    <row r="19" spans="1:8" x14ac:dyDescent="0.25">
      <c r="A19" t="s">
        <v>33</v>
      </c>
      <c r="B19">
        <v>37</v>
      </c>
      <c r="C19">
        <v>0.858</v>
      </c>
      <c r="D19">
        <v>0.057</v>
      </c>
      <c r="E19">
        <v>2.3</v>
      </c>
      <c r="F19">
        <v>0.742</v>
      </c>
      <c r="G19">
        <v>16</v>
      </c>
      <c r="H19" t="s">
        <v>19</v>
      </c>
    </row>
    <row r="20" spans="1:8" x14ac:dyDescent="0.25">
      <c r="A20" t="s">
        <v>34</v>
      </c>
      <c r="B20">
        <v>41</v>
      </c>
      <c r="C20">
        <v>0.875</v>
      </c>
      <c r="D20">
        <v>0.05</v>
      </c>
      <c r="E20">
        <v>2.1</v>
      </c>
      <c r="F20">
        <v>0.758</v>
      </c>
      <c r="G20">
        <v>13</v>
      </c>
      <c r="H20" t="s">
        <v>19</v>
      </c>
    </row>
    <row r="21" spans="1:8" x14ac:dyDescent="0.25">
      <c r="A21" t="s">
        <v>35</v>
      </c>
      <c r="B21">
        <v>40</v>
      </c>
      <c r="C21">
        <v>0.869</v>
      </c>
      <c r="D21">
        <v>0.053</v>
      </c>
      <c r="E21">
        <v>2.2</v>
      </c>
      <c r="F21">
        <v>0.751</v>
      </c>
      <c r="G21">
        <v>14</v>
      </c>
      <c r="H21" t="s">
        <v>19</v>
      </c>
    </row>
    <row r="22" spans="1:8" x14ac:dyDescent="0.25">
      <c r="A22" t="s">
        <v>36</v>
      </c>
      <c r="B22">
        <v>42</v>
      </c>
      <c r="C22">
        <v>0.879</v>
      </c>
      <c r="D22">
        <v>0.048</v>
      </c>
      <c r="E22">
        <v>2.3</v>
      </c>
      <c r="F22">
        <v>0.762</v>
      </c>
      <c r="G22">
        <v>12</v>
      </c>
      <c r="H22" t="s">
        <v>19</v>
      </c>
    </row>
    <row r="23" spans="1:8" x14ac:dyDescent="0.25">
      <c r="A23" t="s">
        <v>37</v>
      </c>
      <c r="B23">
        <v>43</v>
      </c>
      <c r="C23">
        <v>0.883</v>
      </c>
      <c r="D23">
        <v>0.047</v>
      </c>
      <c r="E23">
        <v>2.2</v>
      </c>
      <c r="F23">
        <v>0.765</v>
      </c>
      <c r="G23">
        <v>11</v>
      </c>
      <c r="H23" t="s">
        <v>19</v>
      </c>
    </row>
    <row r="24" spans="1:8" x14ac:dyDescent="0.25">
      <c r="A24" t="s">
        <v>38</v>
      </c>
      <c r="B24">
        <v>41</v>
      </c>
      <c r="C24">
        <v>0.878</v>
      </c>
      <c r="D24">
        <v>0.049</v>
      </c>
      <c r="E24">
        <v>2.1</v>
      </c>
      <c r="F24">
        <v>0.761</v>
      </c>
      <c r="G24">
        <v>12</v>
      </c>
      <c r="H24" t="s">
        <v>24</v>
      </c>
    </row>
    <row r="25" spans="1:8" x14ac:dyDescent="0.25">
      <c r="A25" t="s">
        <v>39</v>
      </c>
      <c r="B25">
        <v>44</v>
      </c>
      <c r="C25">
        <v>0.886</v>
      </c>
      <c r="D25">
        <v>0.045</v>
      </c>
      <c r="E25">
        <v>2.2</v>
      </c>
      <c r="F25">
        <v>0.769</v>
      </c>
      <c r="G25">
        <v>10</v>
      </c>
      <c r="H25" t="s">
        <v>19</v>
      </c>
    </row>
    <row r="26" spans="1:8" x14ac:dyDescent="0.25">
      <c r="A26" t="s">
        <v>40</v>
      </c>
      <c r="B26">
        <v>39</v>
      </c>
      <c r="C26">
        <v>0.872</v>
      </c>
      <c r="D26">
        <v>0.051</v>
      </c>
      <c r="E26">
        <v>2.4</v>
      </c>
      <c r="F26">
        <v>0.755</v>
      </c>
      <c r="G26">
        <v>14</v>
      </c>
      <c r="H26" t="s">
        <v>41</v>
      </c>
    </row>
    <row r="27" spans="1:8" x14ac:dyDescent="0.25">
      <c r="A27" t="s">
        <v>42</v>
      </c>
      <c r="B27">
        <v>46</v>
      </c>
      <c r="C27">
        <v>0.901</v>
      </c>
      <c r="D27">
        <v>0.044</v>
      </c>
      <c r="E27">
        <v>2.3</v>
      </c>
      <c r="F27">
        <v>0.78</v>
      </c>
      <c r="G27">
        <v>9</v>
      </c>
      <c r="H27" t="s">
        <v>19</v>
      </c>
    </row>
    <row r="28" spans="1:8" x14ac:dyDescent="0.25">
      <c r="A28" t="s">
        <v>43</v>
      </c>
      <c r="B28">
        <v>43</v>
      </c>
      <c r="C28">
        <v>0.895</v>
      </c>
      <c r="D28">
        <v>0.046</v>
      </c>
      <c r="E28">
        <v>2.2</v>
      </c>
      <c r="F28">
        <v>0.772</v>
      </c>
      <c r="G28">
        <v>11</v>
      </c>
      <c r="H28" t="s">
        <v>19</v>
      </c>
    </row>
    <row r="29" spans="1:8" x14ac:dyDescent="0.25">
      <c r="A29" t="s">
        <v>44</v>
      </c>
      <c r="B29">
        <v>48</v>
      </c>
      <c r="C29">
        <v>0.908</v>
      </c>
      <c r="D29">
        <v>0.041</v>
      </c>
      <c r="E29">
        <v>2.3</v>
      </c>
      <c r="F29">
        <v>0.788</v>
      </c>
      <c r="G29">
        <v>7</v>
      </c>
      <c r="H29" t="s">
        <v>19</v>
      </c>
    </row>
  </sheetData>
  <mergeCells count="4">
    <mergeCell ref="A1:J1"/>
    <mergeCell ref="A2:J2"/>
    <mergeCell ref="A4:J4"/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12"/>
  <sheetViews>
    <sheetView workbookViewId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2" customWidth="1"/>
    <col min="3" max="3" width="10" customWidth="1"/>
    <col min="4" max="4" width="14" customWidth="1"/>
    <col min="5" max="6" width="12" customWidth="1"/>
    <col min="7" max="8" width="10" customWidth="1"/>
    <col min="9" max="11" width="12" customWidth="1"/>
    <col min="12" max="12" width="14" customWidth="1"/>
    <col min="13" max="13" width="10" customWidth="1"/>
  </cols>
  <sheetData>
    <row r="1" ht="30" customHeight="1" spans="1:13" x14ac:dyDescent="0.25">
      <c r="A1" s="1" t="s">
        <v>45</v>
      </c>
      <c r="B1"/>
      <c r="C1"/>
      <c r="D1"/>
      <c r="E1"/>
      <c r="F1"/>
      <c r="G1"/>
      <c r="H1"/>
      <c r="I1"/>
      <c r="J1"/>
      <c r="K1"/>
      <c r="L1"/>
      <c r="M1"/>
    </row>
    <row r="2" ht="16" customHeight="1" spans="1:13" x14ac:dyDescent="0.25">
      <c r="A2" s="2" t="s">
        <v>46</v>
      </c>
      <c r="B2"/>
      <c r="C2"/>
      <c r="D2"/>
      <c r="E2"/>
      <c r="F2"/>
      <c r="G2"/>
      <c r="H2"/>
      <c r="I2"/>
      <c r="J2"/>
      <c r="K2"/>
      <c r="L2"/>
      <c r="M2"/>
    </row>
    <row r="3" ht="40" customHeight="1" spans="1:13" x14ac:dyDescent="0.25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53</v>
      </c>
      <c r="H3" s="8" t="s">
        <v>54</v>
      </c>
      <c r="I3" s="8" t="s">
        <v>55</v>
      </c>
      <c r="J3" s="8" t="s">
        <v>56</v>
      </c>
      <c r="K3" s="8" t="s">
        <v>57</v>
      </c>
      <c r="L3" s="8" t="s">
        <v>58</v>
      </c>
      <c r="M3" s="8" t="s">
        <v>59</v>
      </c>
    </row>
    <row r="4" ht="22" customHeight="1" spans="9:13" x14ac:dyDescent="0.25">
      <c r="I4" s="17" t="s">
        <v>60</v>
      </c>
      <c r="J4"/>
      <c r="K4"/>
      <c r="L4"/>
      <c r="M4"/>
    </row>
    <row r="5" spans="1:13" x14ac:dyDescent="0.25">
      <c r="A5" s="18" t="s">
        <v>61</v>
      </c>
      <c r="B5" s="9" t="s">
        <v>62</v>
      </c>
      <c r="C5" s="10">
        <v>1</v>
      </c>
      <c r="D5" s="9" t="s">
        <v>63</v>
      </c>
      <c r="E5" s="12">
        <v>2</v>
      </c>
      <c r="F5" s="12">
        <v>1.9</v>
      </c>
      <c r="G5" s="9" t="s">
        <v>64</v>
      </c>
      <c r="H5" s="9" t="s">
        <v>65</v>
      </c>
      <c r="I5" s="19">
        <f>COUNTIF(G$5:G5,"Y")/COUNTA(G$5:G5)</f>
      </c>
      <c r="J5" s="19">
        <f>COUNTIF(H$5:H5,"Y")/COUNTA(H$5:H5)</f>
      </c>
      <c r="K5" s="20">
        <f>AVERAGE(F$5:F5)</f>
      </c>
      <c r="L5" s="19">
        <f>SUM(F$5:F5)/SUM(E$5:E5)</f>
      </c>
      <c r="M5" s="21">
        <v>8</v>
      </c>
    </row>
    <row r="6" spans="1:13" x14ac:dyDescent="0.25">
      <c r="A6" s="22" t="s">
        <v>61</v>
      </c>
      <c r="B6" s="13" t="s">
        <v>66</v>
      </c>
      <c r="C6" s="14">
        <v>1</v>
      </c>
      <c r="D6" s="13" t="s">
        <v>67</v>
      </c>
      <c r="E6" s="16">
        <v>3</v>
      </c>
      <c r="F6" s="16">
        <v>3.2</v>
      </c>
      <c r="G6" s="13" t="s">
        <v>65</v>
      </c>
      <c r="H6" s="13" t="s">
        <v>65</v>
      </c>
      <c r="I6" s="19">
        <f>COUNTIF(G$5:G6,"Y")/COUNTA(G$5:G6)</f>
      </c>
      <c r="J6" s="19">
        <f>COUNTIF(H$5:H6,"Y")/COUNTA(H$5:H6)</f>
      </c>
      <c r="K6" s="20">
        <f>AVERAGE(F$5:F6)</f>
      </c>
      <c r="L6" s="19">
        <f>SUM(F$5:F6)/SUM(E$5:E6)</f>
      </c>
      <c r="M6" s="21">
        <v>8</v>
      </c>
    </row>
    <row r="7" spans="1:13" x14ac:dyDescent="0.25">
      <c r="A7" s="18" t="s">
        <v>61</v>
      </c>
      <c r="B7" s="9" t="s">
        <v>68</v>
      </c>
      <c r="C7" s="10">
        <v>1</v>
      </c>
      <c r="D7" s="9" t="s">
        <v>69</v>
      </c>
      <c r="E7" s="12">
        <v>2.5</v>
      </c>
      <c r="F7" s="12">
        <v>2.5</v>
      </c>
      <c r="G7" s="9" t="s">
        <v>64</v>
      </c>
      <c r="H7" s="9" t="s">
        <v>64</v>
      </c>
      <c r="I7" s="19">
        <f>COUNTIF(G$5:G7,"Y")/COUNTA(G$5:G7)</f>
      </c>
      <c r="J7" s="19">
        <f>COUNTIF(H$5:H7,"Y")/COUNTA(H$5:H7)</f>
      </c>
      <c r="K7" s="20">
        <f>AVERAGE(F$5:F7)</f>
      </c>
      <c r="L7" s="19">
        <f>SUM(F$5:F7)/SUM(E$5:E7)</f>
      </c>
      <c r="M7" s="21">
        <v>8</v>
      </c>
    </row>
    <row r="8" spans="1:13" x14ac:dyDescent="0.25">
      <c r="A8" s="22" t="s">
        <v>70</v>
      </c>
      <c r="B8" s="13" t="s">
        <v>71</v>
      </c>
      <c r="C8" s="14">
        <v>1</v>
      </c>
      <c r="D8" s="13" t="s">
        <v>63</v>
      </c>
      <c r="E8" s="16">
        <v>2</v>
      </c>
      <c r="F8" s="16">
        <v>1.8</v>
      </c>
      <c r="G8" s="13" t="s">
        <v>64</v>
      </c>
      <c r="H8" s="13" t="s">
        <v>65</v>
      </c>
      <c r="I8" s="19">
        <f>COUNTIF(G$5:G8,"Y")/COUNTA(G$5:G8)</f>
      </c>
      <c r="J8" s="19">
        <f>COUNTIF(H$5:H8,"Y")/COUNTA(H$5:H8)</f>
      </c>
      <c r="K8" s="20">
        <f>AVERAGE(F$5:F8)</f>
      </c>
      <c r="L8" s="19">
        <f>SUM(F$5:F8)/SUM(E$5:E8)</f>
      </c>
      <c r="M8" s="21">
        <v>8</v>
      </c>
    </row>
    <row r="9" spans="1:13" x14ac:dyDescent="0.25">
      <c r="A9" s="18" t="s">
        <v>70</v>
      </c>
      <c r="B9" s="9" t="s">
        <v>72</v>
      </c>
      <c r="C9" s="10">
        <v>1</v>
      </c>
      <c r="D9" s="9" t="s">
        <v>73</v>
      </c>
      <c r="E9" s="12">
        <v>4</v>
      </c>
      <c r="F9" s="12">
        <v>4.1</v>
      </c>
      <c r="G9" s="9" t="s">
        <v>64</v>
      </c>
      <c r="H9" s="9" t="s">
        <v>65</v>
      </c>
      <c r="I9" s="19">
        <f>COUNTIF(G$5:G9,"Y")/COUNTA(G$5:G9)</f>
      </c>
      <c r="J9" s="19">
        <f>COUNTIF(H$5:H9,"Y")/COUNTA(H$5:H9)</f>
      </c>
      <c r="K9" s="20">
        <f>AVERAGE(F$5:F9)</f>
      </c>
      <c r="L9" s="19">
        <f>SUM(F$5:F9)/SUM(E$5:E9)</f>
      </c>
      <c r="M9" s="21">
        <v>8</v>
      </c>
    </row>
    <row r="10" spans="1:13" x14ac:dyDescent="0.25">
      <c r="A10" s="22" t="s">
        <v>74</v>
      </c>
      <c r="B10" s="13" t="s">
        <v>75</v>
      </c>
      <c r="C10" s="14">
        <v>1</v>
      </c>
      <c r="D10" s="13" t="s">
        <v>67</v>
      </c>
      <c r="E10" s="16">
        <v>2</v>
      </c>
      <c r="F10" s="16">
        <v>2.2</v>
      </c>
      <c r="G10" s="13" t="s">
        <v>65</v>
      </c>
      <c r="H10" s="13" t="s">
        <v>64</v>
      </c>
      <c r="I10" s="19">
        <f>COUNTIF(G$5:G10,"Y")/COUNTA(G$5:G10)</f>
      </c>
      <c r="J10" s="19">
        <f>COUNTIF(H$5:H10,"Y")/COUNTA(H$5:H10)</f>
      </c>
      <c r="K10" s="20">
        <f>AVERAGE(F$5:F10)</f>
      </c>
      <c r="L10" s="19">
        <f>SUM(F$5:F10)/SUM(E$5:E10)</f>
      </c>
      <c r="M10" s="21">
        <v>8</v>
      </c>
    </row>
    <row r="11" spans="1:13" x14ac:dyDescent="0.25">
      <c r="A11" s="18" t="s">
        <v>74</v>
      </c>
      <c r="B11" s="9" t="s">
        <v>76</v>
      </c>
      <c r="C11" s="10">
        <v>1</v>
      </c>
      <c r="D11" s="9" t="s">
        <v>69</v>
      </c>
      <c r="E11" s="12">
        <v>3</v>
      </c>
      <c r="F11" s="12">
        <v>3</v>
      </c>
      <c r="G11" s="9" t="s">
        <v>64</v>
      </c>
      <c r="H11" s="9" t="s">
        <v>65</v>
      </c>
      <c r="I11" s="19">
        <f>COUNTIF(G$5:G11,"Y")/COUNTA(G$5:G11)</f>
      </c>
      <c r="J11" s="19">
        <f>COUNTIF(H$5:H11,"Y")/COUNTA(H$5:H11)</f>
      </c>
      <c r="K11" s="20">
        <f>AVERAGE(F$5:F11)</f>
      </c>
      <c r="L11" s="19">
        <f>SUM(F$5:F11)/SUM(E$5:E11)</f>
      </c>
      <c r="M11" s="21">
        <v>8</v>
      </c>
    </row>
    <row r="12" spans="1:13" x14ac:dyDescent="0.25">
      <c r="A12" s="22" t="s">
        <v>77</v>
      </c>
      <c r="B12" s="13" t="s">
        <v>78</v>
      </c>
      <c r="C12" s="14">
        <v>1</v>
      </c>
      <c r="D12" s="13" t="s">
        <v>73</v>
      </c>
      <c r="E12" s="16">
        <v>2.5</v>
      </c>
      <c r="F12" s="16">
        <v>2.4</v>
      </c>
      <c r="G12" s="13" t="s">
        <v>64</v>
      </c>
      <c r="H12" s="13" t="s">
        <v>65</v>
      </c>
      <c r="I12" s="19">
        <f>COUNTIF(G$5:G12,"Y")/COUNTA(G$5:G12)</f>
      </c>
      <c r="J12" s="19">
        <f>COUNTIF(H$5:H12,"Y")/COUNTA(H$5:H12)</f>
      </c>
      <c r="K12" s="20">
        <f>AVERAGE(F$5:F12)</f>
      </c>
      <c r="L12" s="19">
        <f>SUM(F$5:F12)/SUM(E$5:E12)</f>
      </c>
      <c r="M12" s="21">
        <v>8</v>
      </c>
    </row>
  </sheetData>
  <mergeCells count="3">
    <mergeCell ref="A1:M1"/>
    <mergeCell ref="A2:M2"/>
    <mergeCell ref="I4:M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4" customWidth="1"/>
    <col min="2" max="3" width="16" customWidth="1"/>
    <col min="4" max="4" width="50" customWidth="1"/>
  </cols>
  <sheetData>
    <row r="1" ht="30" customHeight="1" spans="1:4" x14ac:dyDescent="0.25">
      <c r="A1" s="1" t="s">
        <v>79</v>
      </c>
      <c r="B1"/>
      <c r="C1"/>
      <c r="D1"/>
    </row>
    <row r="2" ht="16" customHeight="1" spans="1:4" x14ac:dyDescent="0.25">
      <c r="A2" s="2" t="s">
        <v>80</v>
      </c>
      <c r="B2"/>
      <c r="C2"/>
      <c r="D2"/>
    </row>
    <row r="3" ht="22" customHeight="1" spans="1:4" x14ac:dyDescent="0.25">
      <c r="A3" s="23" t="s">
        <v>81</v>
      </c>
      <c r="B3" s="23" t="s">
        <v>82</v>
      </c>
      <c r="C3" s="23" t="s">
        <v>83</v>
      </c>
      <c r="D3" s="23" t="s">
        <v>17</v>
      </c>
    </row>
    <row r="4" spans="1:4" x14ac:dyDescent="0.25">
      <c r="A4" s="9" t="s">
        <v>4</v>
      </c>
      <c r="B4" s="11">
        <v>0.92</v>
      </c>
      <c r="C4" s="11">
        <v>0.85</v>
      </c>
      <c r="D4" s="9" t="s">
        <v>84</v>
      </c>
    </row>
    <row r="5" spans="1:4" x14ac:dyDescent="0.25">
      <c r="A5" s="13" t="s">
        <v>5</v>
      </c>
      <c r="B5" s="15">
        <v>0.04</v>
      </c>
      <c r="C5" s="15">
        <v>0.07</v>
      </c>
      <c r="D5" s="13" t="s">
        <v>85</v>
      </c>
    </row>
    <row r="6" spans="1:4" x14ac:dyDescent="0.25">
      <c r="A6" s="9" t="s">
        <v>6</v>
      </c>
      <c r="B6" s="11">
        <v>2.5</v>
      </c>
      <c r="C6" s="11">
        <v>3.1</v>
      </c>
      <c r="D6" s="9" t="s">
        <v>86</v>
      </c>
    </row>
    <row r="7" spans="1:4" x14ac:dyDescent="0.25">
      <c r="A7" s="13" t="s">
        <v>7</v>
      </c>
      <c r="B7" s="15">
        <v>0.8</v>
      </c>
      <c r="C7" s="15">
        <v>0.72</v>
      </c>
      <c r="D7" s="13" t="s">
        <v>87</v>
      </c>
    </row>
    <row r="8" spans="1:4" x14ac:dyDescent="0.25">
      <c r="A8" s="9" t="s">
        <v>88</v>
      </c>
      <c r="B8" s="12">
        <v>10</v>
      </c>
      <c r="C8" s="12">
        <v>8</v>
      </c>
      <c r="D8" s="9" t="s">
        <v>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Weekly Log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2026-03-28T14:09:26Z</dcterms:created>
  <dcterms:modified xsi:type="dcterms:W3CDTF">2026-03-28T14:09:26Z</dcterms:modified>
</cp:coreProperties>
</file>